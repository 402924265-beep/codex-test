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tabRatio="751" firstSheet="1" activeTab="10"/>
  </bookViews>
  <sheets>
    <sheet name="DW  2026" sheetId="1" state="hidden" r:id="rId1"/>
    <sheet name="厨电成本数据" sheetId="2" r:id="rId2"/>
    <sheet name="26年厨电费用指标到月测算汇总表 " sheetId="3" r:id="rId3"/>
    <sheet name="25年厨电费用指标到月测算汇总表  (2)" sheetId="4" state="hidden" r:id="rId4"/>
    <sheet name="25年厨电费用指标到月测算汇总表" sheetId="5" state="hidden" r:id="rId5"/>
    <sheet name="厨电1月 " sheetId="6" r:id="rId6"/>
    <sheet name="厨电2月 " sheetId="7" r:id="rId7"/>
    <sheet name="厨电3月" sheetId="8" r:id="rId8"/>
    <sheet name="厨电4月" sheetId="9" r:id="rId9"/>
    <sheet name="厨电5月 " sheetId="10" r:id="rId10"/>
    <sheet name="厨电6月" sheetId="13" r:id="rId11"/>
    <sheet name="降费项目厨电 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</externalReferences>
  <definedNames>
    <definedName name="_xlnm._FilterDatabase" localSheetId="0" hidden="1">'DW  2026'!$A$31:$M$220</definedName>
    <definedName name="_xlnm._FilterDatabase" localSheetId="9" hidden="1">'厨电5月 '!$A$28:$S$245</definedName>
    <definedName name="\0" localSheetId="4">#REF!</definedName>
    <definedName name="\0" localSheetId="3">#REF!</definedName>
    <definedName name="\0" localSheetId="2">#REF!</definedName>
    <definedName name="\0" localSheetId="5">#REF!</definedName>
    <definedName name="\0" localSheetId="6">#REF!</definedName>
    <definedName name="\0" localSheetId="7">#REF!</definedName>
    <definedName name="\0" localSheetId="8">#REF!</definedName>
    <definedName name="\0" localSheetId="9">#REF!</definedName>
    <definedName name="\0" localSheetId="10">#REF!</definedName>
    <definedName name="\0" localSheetId="11">#REF!</definedName>
    <definedName name="\0">#REF!</definedName>
    <definedName name="\2" localSheetId="4">#REF!</definedName>
    <definedName name="\2" localSheetId="3">#REF!</definedName>
    <definedName name="\2" localSheetId="2">#REF!</definedName>
    <definedName name="\2" localSheetId="5">#REF!</definedName>
    <definedName name="\2" localSheetId="6">#REF!</definedName>
    <definedName name="\2" localSheetId="7">#REF!</definedName>
    <definedName name="\2" localSheetId="8">#REF!</definedName>
    <definedName name="\2" localSheetId="9">#REF!</definedName>
    <definedName name="\2" localSheetId="10">#REF!</definedName>
    <definedName name="\2" localSheetId="11">#REF!</definedName>
    <definedName name="\2">#REF!</definedName>
    <definedName name="\a" localSheetId="4">'[64]FA-LISTING'!#REF!</definedName>
    <definedName name="\a" localSheetId="3">'[64]FA-LISTING'!#REF!</definedName>
    <definedName name="\a" localSheetId="2">'[64]FA-LISTING'!#REF!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  <definedName name="\a">#REF!</definedName>
    <definedName name="\B" localSheetId="4">'[64]FA-LISTING'!#REF!</definedName>
    <definedName name="\B" localSheetId="3">'[64]FA-LISTING'!#REF!</definedName>
    <definedName name="\B" localSheetId="2">'[64]FA-LISTING'!#REF!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0">#REF!</definedName>
    <definedName name="\b" localSheetId="11">#REF!</definedName>
    <definedName name="\b">#REF!</definedName>
    <definedName name="\b1" localSheetId="4">#REF!</definedName>
    <definedName name="\b1" localSheetId="3">#REF!</definedName>
    <definedName name="\b1" localSheetId="2">#REF!</definedName>
    <definedName name="\b1" localSheetId="5">#REF!</definedName>
    <definedName name="\b1" localSheetId="6">#REF!</definedName>
    <definedName name="\b1" localSheetId="7">#REF!</definedName>
    <definedName name="\b1" localSheetId="8">#REF!</definedName>
    <definedName name="\b1" localSheetId="9">#REF!</definedName>
    <definedName name="\b1" localSheetId="10">#REF!</definedName>
    <definedName name="\b1" localSheetId="11">#REF!</definedName>
    <definedName name="\b1">#REF!</definedName>
    <definedName name="\m" localSheetId="4">#REF!</definedName>
    <definedName name="\m" localSheetId="3">#REF!</definedName>
    <definedName name="\m" localSheetId="2">#REF!</definedName>
    <definedName name="\m" localSheetId="5">#REF!</definedName>
    <definedName name="\m" localSheetId="6">#REF!</definedName>
    <definedName name="\m" localSheetId="7">#REF!</definedName>
    <definedName name="\m" localSheetId="8">#REF!</definedName>
    <definedName name="\m" localSheetId="9">#REF!</definedName>
    <definedName name="\m" localSheetId="10">#REF!</definedName>
    <definedName name="\m" localSheetId="11">#REF!</definedName>
    <definedName name="\m">#REF!</definedName>
    <definedName name="\p" localSheetId="4">'[64]FA-LISTING'!#REF!</definedName>
    <definedName name="\p" localSheetId="3">'[64]FA-LISTING'!#REF!</definedName>
    <definedName name="\p" localSheetId="2">'[64]FA-LISTING'!#REF!</definedName>
    <definedName name="\p" localSheetId="5">'[64]FA-LISTING'!#REF!</definedName>
    <definedName name="\p" localSheetId="6">'[64]FA-LISTING'!#REF!</definedName>
    <definedName name="\p" localSheetId="7">'[64]FA-LISTING'!#REF!</definedName>
    <definedName name="\p" localSheetId="8">'[2]FA-LISTING'!#REF!</definedName>
    <definedName name="\p" localSheetId="9">'[2]FA-LISTING'!#REF!</definedName>
    <definedName name="\p" localSheetId="10">'[2]FA-LISTING'!#REF!</definedName>
    <definedName name="\p">'[1]FA-LISTING'!#REF!</definedName>
    <definedName name="\v" localSheetId="4">'[64]FA-LISTING'!#REF!</definedName>
    <definedName name="\v" localSheetId="3">'[64]FA-LISTING'!#REF!</definedName>
    <definedName name="\v" localSheetId="2">'[64]FA-LISTING'!#REF!</definedName>
    <definedName name="\v" localSheetId="5">'[64]FA-LISTING'!#REF!</definedName>
    <definedName name="\v" localSheetId="6">'[64]FA-LISTING'!#REF!</definedName>
    <definedName name="\v" localSheetId="7">'[64]FA-LISTING'!#REF!</definedName>
    <definedName name="\v" localSheetId="8">'[2]FA-LISTING'!#REF!</definedName>
    <definedName name="\v" localSheetId="9">'[2]FA-LISTING'!#REF!</definedName>
    <definedName name="\v" localSheetId="10">'[2]FA-LISTING'!#REF!</definedName>
    <definedName name="\v">'[1]FA-LISTING'!#REF!</definedName>
    <definedName name="___" localSheetId="4">#REF!</definedName>
    <definedName name="___" localSheetId="3">#REF!</definedName>
    <definedName name="___" localSheetId="2">#REF!</definedName>
    <definedName name="___" localSheetId="5">#REF!</definedName>
    <definedName name="___" localSheetId="6">#REF!</definedName>
    <definedName name="___" localSheetId="7">#REF!</definedName>
    <definedName name="___" localSheetId="8">#REF!</definedName>
    <definedName name="___" localSheetId="9">#REF!</definedName>
    <definedName name="___" localSheetId="10">#REF!</definedName>
    <definedName name="___" localSheetId="11">#REF!</definedName>
    <definedName name="___">#REF!</definedName>
    <definedName name="_______5월국내제품" localSheetId="4">#REF!</definedName>
    <definedName name="_______5월국내제품" localSheetId="3">#REF!</definedName>
    <definedName name="_______5월국내제품" localSheetId="2">#REF!</definedName>
    <definedName name="_______5월국내제품" localSheetId="5">#REF!</definedName>
    <definedName name="_______5월국내제품" localSheetId="6">#REF!</definedName>
    <definedName name="_______5월국내제품" localSheetId="7">#REF!</definedName>
    <definedName name="_______5월국내제품" localSheetId="8">#REF!</definedName>
    <definedName name="_______5월국내제품" localSheetId="9">#REF!</definedName>
    <definedName name="_______5월국내제품" localSheetId="10">#REF!</definedName>
    <definedName name="_______5월국내제품" localSheetId="11">#REF!</definedName>
    <definedName name="_______5월국내제품">#REF!</definedName>
    <definedName name="_______AEM14" localSheetId="4">#REF!</definedName>
    <definedName name="_______AEM14" localSheetId="3">#REF!</definedName>
    <definedName name="_______AEM14" localSheetId="2">#REF!</definedName>
    <definedName name="_______AEM14" localSheetId="5">#REF!</definedName>
    <definedName name="_______AEM14" localSheetId="6">#REF!</definedName>
    <definedName name="_______AEM14" localSheetId="7">#REF!</definedName>
    <definedName name="_______AEM14" localSheetId="8">#REF!</definedName>
    <definedName name="_______AEM14" localSheetId="9">#REF!</definedName>
    <definedName name="_______AEM14" localSheetId="10">#REF!</definedName>
    <definedName name="_______AEM14" localSheetId="11">#REF!</definedName>
    <definedName name="_______AEM14">#REF!</definedName>
    <definedName name="_______CAR05" localSheetId="4">#REF!</definedName>
    <definedName name="_______CAR05" localSheetId="3">#REF!</definedName>
    <definedName name="_______CAR05" localSheetId="2">#REF!</definedName>
    <definedName name="_______CAR05" localSheetId="5">#REF!</definedName>
    <definedName name="_______CAR05" localSheetId="6">#REF!</definedName>
    <definedName name="_______CAR05" localSheetId="7">#REF!</definedName>
    <definedName name="_______CAR05" localSheetId="8">#REF!</definedName>
    <definedName name="_______CAR05" localSheetId="9">#REF!</definedName>
    <definedName name="_______CAR05" localSheetId="10">#REF!</definedName>
    <definedName name="_______CAR05" localSheetId="11">#REF!</definedName>
    <definedName name="_______CAR05">#REF!</definedName>
    <definedName name="_______FED18" localSheetId="4">#REF!</definedName>
    <definedName name="_______FED18" localSheetId="3">#REF!</definedName>
    <definedName name="_______FED18" localSheetId="2">#REF!</definedName>
    <definedName name="_______FED18" localSheetId="5">#REF!</definedName>
    <definedName name="_______FED18" localSheetId="6">#REF!</definedName>
    <definedName name="_______FED18" localSheetId="7">#REF!</definedName>
    <definedName name="_______FED18" localSheetId="8">#REF!</definedName>
    <definedName name="_______FED18" localSheetId="9">#REF!</definedName>
    <definedName name="_______FED18" localSheetId="10">#REF!</definedName>
    <definedName name="_______FED18" localSheetId="11">#REF!</definedName>
    <definedName name="_______FED18">#REF!</definedName>
    <definedName name="_______GMC1" localSheetId="4">#REF!</definedName>
    <definedName name="_______GMC1" localSheetId="3">#REF!</definedName>
    <definedName name="_______GMC1" localSheetId="2">#REF!</definedName>
    <definedName name="_______GMC1" localSheetId="5">#REF!</definedName>
    <definedName name="_______GMC1" localSheetId="6">#REF!</definedName>
    <definedName name="_______GMC1" localSheetId="7">#REF!</definedName>
    <definedName name="_______GMC1" localSheetId="8">#REF!</definedName>
    <definedName name="_______GMC1" localSheetId="9">#REF!</definedName>
    <definedName name="_______GMC1" localSheetId="10">#REF!</definedName>
    <definedName name="_______GMC1" localSheetId="11">#REF!</definedName>
    <definedName name="_______GMC1">#REF!</definedName>
    <definedName name="_______GMC2" localSheetId="4">#REF!</definedName>
    <definedName name="_______GMC2" localSheetId="3">#REF!</definedName>
    <definedName name="_______GMC2" localSheetId="2">#REF!</definedName>
    <definedName name="_______GMC2" localSheetId="5">#REF!</definedName>
    <definedName name="_______GMC2" localSheetId="6">#REF!</definedName>
    <definedName name="_______GMC2" localSheetId="7">#REF!</definedName>
    <definedName name="_______GMC2" localSheetId="8">#REF!</definedName>
    <definedName name="_______GMC2" localSheetId="9">#REF!</definedName>
    <definedName name="_______GMC2" localSheetId="10">#REF!</definedName>
    <definedName name="_______GMC2" localSheetId="11">#REF!</definedName>
    <definedName name="_______GMC2">#REF!</definedName>
    <definedName name="______ST2" localSheetId="4">#REF!</definedName>
    <definedName name="______ST2" localSheetId="3">#REF!</definedName>
    <definedName name="______ST2" localSheetId="2">#REF!</definedName>
    <definedName name="______ST2" localSheetId="5">#REF!</definedName>
    <definedName name="______ST2" localSheetId="6">#REF!</definedName>
    <definedName name="______ST2" localSheetId="7">#REF!</definedName>
    <definedName name="______ST2" localSheetId="8">#REF!</definedName>
    <definedName name="______ST2" localSheetId="9">#REF!</definedName>
    <definedName name="______ST2" localSheetId="10">#REF!</definedName>
    <definedName name="______ST2" localSheetId="11">#REF!</definedName>
    <definedName name="______ST2">#REF!</definedName>
    <definedName name="_____5월국내제품" localSheetId="4">#REF!</definedName>
    <definedName name="_____5월국내제품" localSheetId="3">#REF!</definedName>
    <definedName name="_____5월국내제품" localSheetId="2">#REF!</definedName>
    <definedName name="_____5월국내제품" localSheetId="5">#REF!</definedName>
    <definedName name="_____5월국내제품" localSheetId="6">#REF!</definedName>
    <definedName name="_____5월국내제품" localSheetId="7">#REF!</definedName>
    <definedName name="_____5월국내제품" localSheetId="8">#REF!</definedName>
    <definedName name="_____5월국내제품" localSheetId="9">#REF!</definedName>
    <definedName name="_____5월국내제품" localSheetId="10">#REF!</definedName>
    <definedName name="_____5월국내제품" localSheetId="11">#REF!</definedName>
    <definedName name="_____5월국내제품">#REF!</definedName>
    <definedName name="_____AEM14" localSheetId="4">#REF!</definedName>
    <definedName name="_____AEM14" localSheetId="3">#REF!</definedName>
    <definedName name="_____AEM14" localSheetId="2">#REF!</definedName>
    <definedName name="_____AEM14" localSheetId="5">#REF!</definedName>
    <definedName name="_____AEM14" localSheetId="6">#REF!</definedName>
    <definedName name="_____AEM14" localSheetId="7">#REF!</definedName>
    <definedName name="_____AEM14" localSheetId="8">#REF!</definedName>
    <definedName name="_____AEM14" localSheetId="9">#REF!</definedName>
    <definedName name="_____AEM14" localSheetId="10">#REF!</definedName>
    <definedName name="_____AEM14" localSheetId="11">#REF!</definedName>
    <definedName name="_____AEM14">#REF!</definedName>
    <definedName name="_____CAR05" localSheetId="4">#REF!</definedName>
    <definedName name="_____CAR05" localSheetId="3">#REF!</definedName>
    <definedName name="_____CAR05" localSheetId="2">#REF!</definedName>
    <definedName name="_____CAR05" localSheetId="5">#REF!</definedName>
    <definedName name="_____CAR05" localSheetId="6">#REF!</definedName>
    <definedName name="_____CAR05" localSheetId="7">#REF!</definedName>
    <definedName name="_____CAR05" localSheetId="8">#REF!</definedName>
    <definedName name="_____CAR05" localSheetId="9">#REF!</definedName>
    <definedName name="_____CAR05" localSheetId="10">#REF!</definedName>
    <definedName name="_____CAR05" localSheetId="11">#REF!</definedName>
    <definedName name="_____CAR05">#REF!</definedName>
    <definedName name="_____FED18" localSheetId="4">#REF!</definedName>
    <definedName name="_____FED18" localSheetId="3">#REF!</definedName>
    <definedName name="_____FED18" localSheetId="2">#REF!</definedName>
    <definedName name="_____FED18" localSheetId="5">#REF!</definedName>
    <definedName name="_____FED18" localSheetId="6">#REF!</definedName>
    <definedName name="_____FED18" localSheetId="7">#REF!</definedName>
    <definedName name="_____FED18" localSheetId="8">#REF!</definedName>
    <definedName name="_____FED18" localSheetId="9">#REF!</definedName>
    <definedName name="_____FED18" localSheetId="10">#REF!</definedName>
    <definedName name="_____FED18" localSheetId="11">#REF!</definedName>
    <definedName name="_____FED18">#REF!</definedName>
    <definedName name="_____GMC1" localSheetId="4">#REF!</definedName>
    <definedName name="_____GMC1" localSheetId="3">#REF!</definedName>
    <definedName name="_____GMC1" localSheetId="2">#REF!</definedName>
    <definedName name="_____GMC1" localSheetId="5">#REF!</definedName>
    <definedName name="_____GMC1" localSheetId="6">#REF!</definedName>
    <definedName name="_____GMC1" localSheetId="7">#REF!</definedName>
    <definedName name="_____GMC1" localSheetId="8">#REF!</definedName>
    <definedName name="_____GMC1" localSheetId="9">#REF!</definedName>
    <definedName name="_____GMC1" localSheetId="10">#REF!</definedName>
    <definedName name="_____GMC1" localSheetId="11">#REF!</definedName>
    <definedName name="_____GMC1">#REF!</definedName>
    <definedName name="_____GMC2" localSheetId="4">#REF!</definedName>
    <definedName name="_____GMC2" localSheetId="3">#REF!</definedName>
    <definedName name="_____GMC2" localSheetId="2">#REF!</definedName>
    <definedName name="_____GMC2" localSheetId="5">#REF!</definedName>
    <definedName name="_____GMC2" localSheetId="6">#REF!</definedName>
    <definedName name="_____GMC2" localSheetId="7">#REF!</definedName>
    <definedName name="_____GMC2" localSheetId="8">#REF!</definedName>
    <definedName name="_____GMC2" localSheetId="9">#REF!</definedName>
    <definedName name="_____GMC2" localSheetId="10">#REF!</definedName>
    <definedName name="_____GMC2" localSheetId="11">#REF!</definedName>
    <definedName name="_____GMC2">#REF!</definedName>
    <definedName name="____5월국내제품" localSheetId="4">#REF!</definedName>
    <definedName name="____5월국내제품" localSheetId="3">#REF!</definedName>
    <definedName name="____5월국내제품" localSheetId="2">#REF!</definedName>
    <definedName name="____5월국내제품" localSheetId="5">#REF!</definedName>
    <definedName name="____5월국내제품" localSheetId="6">#REF!</definedName>
    <definedName name="____5월국내제품" localSheetId="7">#REF!</definedName>
    <definedName name="____5월국내제품" localSheetId="8">#REF!</definedName>
    <definedName name="____5월국내제품" localSheetId="9">#REF!</definedName>
    <definedName name="____5월국내제품" localSheetId="10">#REF!</definedName>
    <definedName name="____5월국내제품" localSheetId="11">#REF!</definedName>
    <definedName name="____5월국내제품">#REF!</definedName>
    <definedName name="____AEM14" localSheetId="4">#REF!</definedName>
    <definedName name="____AEM14" localSheetId="3">#REF!</definedName>
    <definedName name="____AEM14" localSheetId="2">#REF!</definedName>
    <definedName name="____AEM14" localSheetId="5">#REF!</definedName>
    <definedName name="____AEM14" localSheetId="6">#REF!</definedName>
    <definedName name="____AEM14" localSheetId="7">#REF!</definedName>
    <definedName name="____AEM14" localSheetId="8">#REF!</definedName>
    <definedName name="____AEM14" localSheetId="9">#REF!</definedName>
    <definedName name="____AEM14" localSheetId="10">#REF!</definedName>
    <definedName name="____AEM14" localSheetId="11">#REF!</definedName>
    <definedName name="____AEM14">#REF!</definedName>
    <definedName name="____CAR05" localSheetId="4">#REF!</definedName>
    <definedName name="____CAR05" localSheetId="3">#REF!</definedName>
    <definedName name="____CAR05" localSheetId="2">#REF!</definedName>
    <definedName name="____CAR05" localSheetId="5">#REF!</definedName>
    <definedName name="____CAR05" localSheetId="6">#REF!</definedName>
    <definedName name="____CAR05" localSheetId="7">#REF!</definedName>
    <definedName name="____CAR05" localSheetId="8">#REF!</definedName>
    <definedName name="____CAR05" localSheetId="9">#REF!</definedName>
    <definedName name="____CAR05" localSheetId="10">#REF!</definedName>
    <definedName name="____CAR05" localSheetId="11">#REF!</definedName>
    <definedName name="____CAR05">#REF!</definedName>
    <definedName name="____FED18" localSheetId="4">#REF!</definedName>
    <definedName name="____FED18" localSheetId="3">#REF!</definedName>
    <definedName name="____FED18" localSheetId="2">#REF!</definedName>
    <definedName name="____FED18" localSheetId="5">#REF!</definedName>
    <definedName name="____FED18" localSheetId="6">#REF!</definedName>
    <definedName name="____FED18" localSheetId="7">#REF!</definedName>
    <definedName name="____FED18" localSheetId="8">#REF!</definedName>
    <definedName name="____FED18" localSheetId="9">#REF!</definedName>
    <definedName name="____FED18" localSheetId="10">#REF!</definedName>
    <definedName name="____FED18" localSheetId="11">#REF!</definedName>
    <definedName name="____FED18">#REF!</definedName>
    <definedName name="____GMC1" localSheetId="4">#REF!</definedName>
    <definedName name="____GMC1" localSheetId="3">#REF!</definedName>
    <definedName name="____GMC1" localSheetId="2">#REF!</definedName>
    <definedName name="____GMC1" localSheetId="5">#REF!</definedName>
    <definedName name="____GMC1" localSheetId="6">#REF!</definedName>
    <definedName name="____GMC1" localSheetId="7">#REF!</definedName>
    <definedName name="____GMC1" localSheetId="8">#REF!</definedName>
    <definedName name="____GMC1" localSheetId="9">#REF!</definedName>
    <definedName name="____GMC1" localSheetId="10">#REF!</definedName>
    <definedName name="____GMC1" localSheetId="11">#REF!</definedName>
    <definedName name="____GMC1">#REF!</definedName>
    <definedName name="____GMC2" localSheetId="4">#REF!</definedName>
    <definedName name="____GMC2" localSheetId="3">#REF!</definedName>
    <definedName name="____GMC2" localSheetId="2">#REF!</definedName>
    <definedName name="____GMC2" localSheetId="5">#REF!</definedName>
    <definedName name="____GMC2" localSheetId="6">#REF!</definedName>
    <definedName name="____GMC2" localSheetId="7">#REF!</definedName>
    <definedName name="____GMC2" localSheetId="8">#REF!</definedName>
    <definedName name="____GMC2" localSheetId="9">#REF!</definedName>
    <definedName name="____GMC2" localSheetId="10">#REF!</definedName>
    <definedName name="____GMC2" localSheetId="11">#REF!</definedName>
    <definedName name="____GMC2">#REF!</definedName>
    <definedName name="____ST2" localSheetId="4">#REF!</definedName>
    <definedName name="____ST2" localSheetId="3">#REF!</definedName>
    <definedName name="____ST2" localSheetId="2">#REF!</definedName>
    <definedName name="____ST2" localSheetId="5">#REF!</definedName>
    <definedName name="____ST2" localSheetId="6">#REF!</definedName>
    <definedName name="____ST2" localSheetId="7">#REF!</definedName>
    <definedName name="____ST2" localSheetId="8">#REF!</definedName>
    <definedName name="____ST2" localSheetId="9">#REF!</definedName>
    <definedName name="____ST2" localSheetId="10">#REF!</definedName>
    <definedName name="____ST2" localSheetId="11">#REF!</definedName>
    <definedName name="____ST2">#REF!</definedName>
    <definedName name="___5월국내제품" localSheetId="4">#REF!</definedName>
    <definedName name="___5월국내제품" localSheetId="3">#REF!</definedName>
    <definedName name="___5월국내제품" localSheetId="2">#REF!</definedName>
    <definedName name="___5월국내제품" localSheetId="5">#REF!</definedName>
    <definedName name="___5월국내제품" localSheetId="6">#REF!</definedName>
    <definedName name="___5월국내제품" localSheetId="7">#REF!</definedName>
    <definedName name="___5월국내제품" localSheetId="8">#REF!</definedName>
    <definedName name="___5월국내제품" localSheetId="9">#REF!</definedName>
    <definedName name="___5월국내제품" localSheetId="10">#REF!</definedName>
    <definedName name="___5월국내제품" localSheetId="11">#REF!</definedName>
    <definedName name="___5월국내제품">#REF!</definedName>
    <definedName name="___AEM14" localSheetId="4">#REF!</definedName>
    <definedName name="___AEM14" localSheetId="3">#REF!</definedName>
    <definedName name="___AEM14" localSheetId="2">#REF!</definedName>
    <definedName name="___AEM14" localSheetId="5">#REF!</definedName>
    <definedName name="___AEM14" localSheetId="6">#REF!</definedName>
    <definedName name="___AEM14" localSheetId="7">#REF!</definedName>
    <definedName name="___AEM14" localSheetId="8">#REF!</definedName>
    <definedName name="___AEM14" localSheetId="9">#REF!</definedName>
    <definedName name="___AEM14" localSheetId="10">#REF!</definedName>
    <definedName name="___AEM14" localSheetId="11">#REF!</definedName>
    <definedName name="___AEM14">#REF!</definedName>
    <definedName name="___CAR05" localSheetId="4">#REF!</definedName>
    <definedName name="___CAR05" localSheetId="3">#REF!</definedName>
    <definedName name="___CAR05" localSheetId="2">#REF!</definedName>
    <definedName name="___CAR05" localSheetId="5">#REF!</definedName>
    <definedName name="___CAR05" localSheetId="6">#REF!</definedName>
    <definedName name="___CAR05" localSheetId="7">#REF!</definedName>
    <definedName name="___CAR05" localSheetId="8">#REF!</definedName>
    <definedName name="___CAR05" localSheetId="9">#REF!</definedName>
    <definedName name="___CAR05" localSheetId="10">#REF!</definedName>
    <definedName name="___CAR05" localSheetId="11">#REF!</definedName>
    <definedName name="___CAR05">#REF!</definedName>
    <definedName name="___FED18" localSheetId="4">#REF!</definedName>
    <definedName name="___FED18" localSheetId="3">#REF!</definedName>
    <definedName name="___FED18" localSheetId="2">#REF!</definedName>
    <definedName name="___FED18" localSheetId="5">#REF!</definedName>
    <definedName name="___FED18" localSheetId="6">#REF!</definedName>
    <definedName name="___FED18" localSheetId="7">#REF!</definedName>
    <definedName name="___FED18" localSheetId="8">#REF!</definedName>
    <definedName name="___FED18" localSheetId="9">#REF!</definedName>
    <definedName name="___FED18" localSheetId="10">#REF!</definedName>
    <definedName name="___FED18" localSheetId="11">#REF!</definedName>
    <definedName name="___FED18">#REF!</definedName>
    <definedName name="__5월국내제품" localSheetId="4">#REF!</definedName>
    <definedName name="__5월국내제품" localSheetId="3">#REF!</definedName>
    <definedName name="__5월국내제품" localSheetId="2">#REF!</definedName>
    <definedName name="__5월국내제품" localSheetId="5">#REF!</definedName>
    <definedName name="__5월국내제품" localSheetId="6">#REF!</definedName>
    <definedName name="__5월국내제품" localSheetId="7">#REF!</definedName>
    <definedName name="__5월국내제품" localSheetId="8">#REF!</definedName>
    <definedName name="__5월국내제품" localSheetId="9">#REF!</definedName>
    <definedName name="__5월국내제품" localSheetId="10">#REF!</definedName>
    <definedName name="__5월국내제품" localSheetId="11">#REF!</definedName>
    <definedName name="__5월국내제품">#REF!</definedName>
    <definedName name="__a66000" localSheetId="4">#REF!</definedName>
    <definedName name="__a66000" localSheetId="3">#REF!</definedName>
    <definedName name="__a66000" localSheetId="2">#REF!</definedName>
    <definedName name="__a66000" localSheetId="5">#REF!</definedName>
    <definedName name="__a66000" localSheetId="6">#REF!</definedName>
    <definedName name="__a66000" localSheetId="7">#REF!</definedName>
    <definedName name="__a66000" localSheetId="8">#REF!</definedName>
    <definedName name="__a66000" localSheetId="9">#REF!</definedName>
    <definedName name="__a66000" localSheetId="10">#REF!</definedName>
    <definedName name="__a66000" localSheetId="11">#REF!</definedName>
    <definedName name="__a66000">#REF!</definedName>
    <definedName name="__a69000" localSheetId="4">#REF!</definedName>
    <definedName name="__a69000" localSheetId="3">#REF!</definedName>
    <definedName name="__a69000" localSheetId="2">#REF!</definedName>
    <definedName name="__a69000" localSheetId="5">#REF!</definedName>
    <definedName name="__a69000" localSheetId="6">#REF!</definedName>
    <definedName name="__a69000" localSheetId="7">#REF!</definedName>
    <definedName name="__a69000" localSheetId="8">#REF!</definedName>
    <definedName name="__a69000" localSheetId="9">#REF!</definedName>
    <definedName name="__a69000" localSheetId="10">#REF!</definedName>
    <definedName name="__a69000" localSheetId="11">#REF!</definedName>
    <definedName name="__a69000">#REF!</definedName>
    <definedName name="__act2" localSheetId="4">#REF!</definedName>
    <definedName name="__act2" localSheetId="3">#REF!</definedName>
    <definedName name="__act2" localSheetId="2">#REF!</definedName>
    <definedName name="__act2" localSheetId="5">#REF!</definedName>
    <definedName name="__act2" localSheetId="6">#REF!</definedName>
    <definedName name="__act2" localSheetId="7">#REF!</definedName>
    <definedName name="__act2" localSheetId="8">#REF!</definedName>
    <definedName name="__act2" localSheetId="9">#REF!</definedName>
    <definedName name="__act2" localSheetId="10">#REF!</definedName>
    <definedName name="__act2" localSheetId="11">#REF!</definedName>
    <definedName name="__act2">#REF!</definedName>
    <definedName name="__act3" localSheetId="4">#REF!</definedName>
    <definedName name="__act3" localSheetId="3">#REF!</definedName>
    <definedName name="__act3" localSheetId="2">#REF!</definedName>
    <definedName name="__act3" localSheetId="5">#REF!</definedName>
    <definedName name="__act3" localSheetId="6">#REF!</definedName>
    <definedName name="__act3" localSheetId="7">#REF!</definedName>
    <definedName name="__act3" localSheetId="8">#REF!</definedName>
    <definedName name="__act3" localSheetId="9">#REF!</definedName>
    <definedName name="__act3" localSheetId="10">#REF!</definedName>
    <definedName name="__act3" localSheetId="11">#REF!</definedName>
    <definedName name="__act3">#REF!</definedName>
    <definedName name="__act4" localSheetId="4">#REF!</definedName>
    <definedName name="__act4" localSheetId="3">#REF!</definedName>
    <definedName name="__act4" localSheetId="2">#REF!</definedName>
    <definedName name="__act4" localSheetId="5">#REF!</definedName>
    <definedName name="__act4" localSheetId="6">#REF!</definedName>
    <definedName name="__act4" localSheetId="7">#REF!</definedName>
    <definedName name="__act4" localSheetId="8">#REF!</definedName>
    <definedName name="__act4" localSheetId="9">#REF!</definedName>
    <definedName name="__act4" localSheetId="10">#REF!</definedName>
    <definedName name="__act4" localSheetId="11">#REF!</definedName>
    <definedName name="__act4">#REF!</definedName>
    <definedName name="__AEM14" localSheetId="4">#REF!</definedName>
    <definedName name="__AEM14" localSheetId="3">#REF!</definedName>
    <definedName name="__AEM14" localSheetId="2">#REF!</definedName>
    <definedName name="__AEM14" localSheetId="5">#REF!</definedName>
    <definedName name="__AEM14" localSheetId="6">#REF!</definedName>
    <definedName name="__AEM14" localSheetId="7">#REF!</definedName>
    <definedName name="__AEM14" localSheetId="8">#REF!</definedName>
    <definedName name="__AEM14" localSheetId="9">#REF!</definedName>
    <definedName name="__AEM14" localSheetId="10">#REF!</definedName>
    <definedName name="__AEM14" localSheetId="11">#REF!</definedName>
    <definedName name="__AEM14">#REF!</definedName>
    <definedName name="__afo3" localSheetId="4">#REF!</definedName>
    <definedName name="__afo3" localSheetId="3">#REF!</definedName>
    <definedName name="__afo3" localSheetId="2">#REF!</definedName>
    <definedName name="__afo3" localSheetId="5">#REF!</definedName>
    <definedName name="__afo3" localSheetId="6">#REF!</definedName>
    <definedName name="__afo3" localSheetId="7">#REF!</definedName>
    <definedName name="__afo3" localSheetId="8">#REF!</definedName>
    <definedName name="__afo3" localSheetId="9">#REF!</definedName>
    <definedName name="__afo3" localSheetId="10">#REF!</definedName>
    <definedName name="__afo3" localSheetId="11">#REF!</definedName>
    <definedName name="__afo3">#REF!</definedName>
    <definedName name="__all22" localSheetId="4">[3]PLALL!$A$1:$BM$137</definedName>
    <definedName name="__all22" localSheetId="3">[3]PLALL!$A$1:$BM$137</definedName>
    <definedName name="__all22" localSheetId="2">[3]PLALL!$A$1:$BM$137</definedName>
    <definedName name="__all22" localSheetId="5">[3]PLALL!$A$1:$BM$137</definedName>
    <definedName name="__all22" localSheetId="6">[3]PLALL!$A$1:$BM$137</definedName>
    <definedName name="__all22" localSheetId="7">[3]PLALL!$A$1:$BM$137</definedName>
    <definedName name="__all22" localSheetId="8">[3]PLALL!$A$1:$BM$137</definedName>
    <definedName name="__all22" localSheetId="9">[3]PLALL!$A$1:$BM$137</definedName>
    <definedName name="__all22" localSheetId="10">[1]PLALL!$A$1:$BM$137</definedName>
    <definedName name="__all22">[2]PLALL!$A$1:$BM$137</definedName>
    <definedName name="__CAR05" localSheetId="4">#REF!</definedName>
    <definedName name="__CAR05" localSheetId="3">#REF!</definedName>
    <definedName name="__CAR05" localSheetId="2">#REF!</definedName>
    <definedName name="__CAR05" localSheetId="5">#REF!</definedName>
    <definedName name="__CAR05" localSheetId="6">#REF!</definedName>
    <definedName name="__CAR05" localSheetId="7">#REF!</definedName>
    <definedName name="__CAR05" localSheetId="8">#REF!</definedName>
    <definedName name="__CAR05" localSheetId="9">#REF!</definedName>
    <definedName name="__CAR05" localSheetId="10">#REF!</definedName>
    <definedName name="__CAR05" localSheetId="11">#REF!</definedName>
    <definedName name="__CAR05">#REF!</definedName>
    <definedName name="__cat2" localSheetId="4" hidden="1">{#N/A,#N/A,TRUE,"Distribution";#N/A,#N/A,TRUE,"Fulfillment";#N/A,#N/A,TRUE,"Aged Backorders"}</definedName>
    <definedName name="__cat2" localSheetId="3" hidden="1">{#N/A,#N/A,TRUE,"Distribution";#N/A,#N/A,TRUE,"Fulfillment";#N/A,#N/A,TRUE,"Aged Backorders"}</definedName>
    <definedName name="__cat2" localSheetId="2" hidden="1">{#N/A,#N/A,TRUE,"Distribution";#N/A,#N/A,TRUE,"Fulfillment";#N/A,#N/A,TRUE,"Aged Backorders"}</definedName>
    <definedName name="__cat2" localSheetId="8" hidden="1">{#N/A,#N/A,TRUE,"Distribution";#N/A,#N/A,TRUE,"Fulfillment";#N/A,#N/A,TRUE,"Aged Backorders"}</definedName>
    <definedName name="__cat2" localSheetId="9" hidden="1">{#N/A,#N/A,TRUE,"Distribution";#N/A,#N/A,TRUE,"Fulfillment";#N/A,#N/A,TRUE,"Aged Backorders"}</definedName>
    <definedName name="__cat2" localSheetId="10" hidden="1">{#N/A,#N/A,TRUE,"Distribution";#N/A,#N/A,TRUE,"Fulfillment";#N/A,#N/A,TRUE,"Aged Backorders"}</definedName>
    <definedName name="__cat2" hidden="1">{#N/A,#N/A,TRUE,"Distribution";#N/A,#N/A,TRUE,"Fulfillment";#N/A,#N/A,TRUE,"Aged Backorders"}</definedName>
    <definedName name="__Col3" localSheetId="4">[4]Tables!$S$7</definedName>
    <definedName name="__Col3" localSheetId="3">[4]Tables!$S$7</definedName>
    <definedName name="__Col3" localSheetId="2">[4]Tables!$S$7</definedName>
    <definedName name="__Col3" localSheetId="5">[4]Tables!$S$7</definedName>
    <definedName name="__Col3" localSheetId="6">[4]Tables!$S$7</definedName>
    <definedName name="__Col3" localSheetId="7">[4]Tables!$S$7</definedName>
    <definedName name="__Col3" localSheetId="8">[4]Tables!$S$7</definedName>
    <definedName name="__Col3" localSheetId="9">[4]Tables!$S$7</definedName>
    <definedName name="__Col3" localSheetId="10">[3]Tables!$S$7</definedName>
    <definedName name="__Col3">[3]Tables!$S$7</definedName>
    <definedName name="__Col6" localSheetId="4">[4]Tables!$S$12</definedName>
    <definedName name="__Col6" localSheetId="3">[4]Tables!$S$12</definedName>
    <definedName name="__Col6" localSheetId="2">[4]Tables!$S$12</definedName>
    <definedName name="__Col6" localSheetId="5">[4]Tables!$S$12</definedName>
    <definedName name="__Col6" localSheetId="6">[4]Tables!$S$12</definedName>
    <definedName name="__Col6" localSheetId="7">[4]Tables!$S$12</definedName>
    <definedName name="__Col6" localSheetId="8">[4]Tables!$S$12</definedName>
    <definedName name="__Col6" localSheetId="9">[4]Tables!$S$12</definedName>
    <definedName name="__Col6" localSheetId="10">[3]Tables!$S$12</definedName>
    <definedName name="__Col6">[3]Tables!$S$12</definedName>
    <definedName name="__CSD3" localSheetId="4">#REF!</definedName>
    <definedName name="__CSD3" localSheetId="3">#REF!</definedName>
    <definedName name="__CSD3" localSheetId="2">#REF!</definedName>
    <definedName name="__CSD3" localSheetId="5">#REF!</definedName>
    <definedName name="__CSD3" localSheetId="6">#REF!</definedName>
    <definedName name="__CSD3" localSheetId="7">#REF!</definedName>
    <definedName name="__CSD3" localSheetId="8">#REF!</definedName>
    <definedName name="__CSD3" localSheetId="9">#REF!</definedName>
    <definedName name="__CSD3" localSheetId="10">#REF!</definedName>
    <definedName name="__CSD3" localSheetId="11">#REF!</definedName>
    <definedName name="__CSD3">#REF!</definedName>
    <definedName name="__DAT1" localSheetId="4">'[5]Raw materials'!#REF!</definedName>
    <definedName name="__DAT1" localSheetId="3">'[5]Raw materials'!#REF!</definedName>
    <definedName name="__DAT1" localSheetId="2">'[5]Raw materials'!#REF!</definedName>
    <definedName name="__DAT1" localSheetId="5">'[5]Raw materials'!#REF!</definedName>
    <definedName name="__DAT1" localSheetId="6">'[5]Raw materials'!#REF!</definedName>
    <definedName name="__DAT1" localSheetId="7">'[5]Raw materials'!#REF!</definedName>
    <definedName name="__DAT1" localSheetId="8">'[5]Raw materials'!#REF!</definedName>
    <definedName name="__DAT1" localSheetId="9">'[5]Raw materials'!#REF!</definedName>
    <definedName name="__DAT1" localSheetId="10">'[4]Raw materials'!#REF!</definedName>
    <definedName name="__DAT1">'[4]Raw materials'!#REF!</definedName>
    <definedName name="__DAT10" localSheetId="4">#REF!</definedName>
    <definedName name="__DAT10" localSheetId="3">#REF!</definedName>
    <definedName name="__DAT10" localSheetId="2">#REF!</definedName>
    <definedName name="__DAT10" localSheetId="5">#REF!</definedName>
    <definedName name="__DAT10" localSheetId="6">#REF!</definedName>
    <definedName name="__DAT10" localSheetId="7">#REF!</definedName>
    <definedName name="__DAT10" localSheetId="8">#REF!</definedName>
    <definedName name="__DAT10" localSheetId="9">#REF!</definedName>
    <definedName name="__DAT10" localSheetId="10">#REF!</definedName>
    <definedName name="__DAT10" localSheetId="11">#REF!</definedName>
    <definedName name="__DAT10">#REF!</definedName>
    <definedName name="__DAT11" localSheetId="4">#REF!</definedName>
    <definedName name="__DAT11" localSheetId="3">#REF!</definedName>
    <definedName name="__DAT11" localSheetId="2">#REF!</definedName>
    <definedName name="__DAT11" localSheetId="5">#REF!</definedName>
    <definedName name="__DAT11" localSheetId="6">#REF!</definedName>
    <definedName name="__DAT11" localSheetId="7">#REF!</definedName>
    <definedName name="__DAT11" localSheetId="8">#REF!</definedName>
    <definedName name="__DAT11" localSheetId="9">#REF!</definedName>
    <definedName name="__DAT11" localSheetId="10">#REF!</definedName>
    <definedName name="__DAT11" localSheetId="11">#REF!</definedName>
    <definedName name="__DAT11">#REF!</definedName>
    <definedName name="__DAT12" localSheetId="4">#REF!</definedName>
    <definedName name="__DAT12" localSheetId="3">#REF!</definedName>
    <definedName name="__DAT12" localSheetId="2">#REF!</definedName>
    <definedName name="__DAT12" localSheetId="5">#REF!</definedName>
    <definedName name="__DAT12" localSheetId="6">#REF!</definedName>
    <definedName name="__DAT12" localSheetId="7">#REF!</definedName>
    <definedName name="__DAT12" localSheetId="8">#REF!</definedName>
    <definedName name="__DAT12" localSheetId="9">#REF!</definedName>
    <definedName name="__DAT12" localSheetId="10">#REF!</definedName>
    <definedName name="__DAT12" localSheetId="11">#REF!</definedName>
    <definedName name="__DAT12">#REF!</definedName>
    <definedName name="__DAT13" localSheetId="4">#REF!</definedName>
    <definedName name="__DAT13" localSheetId="3">#REF!</definedName>
    <definedName name="__DAT13" localSheetId="2">#REF!</definedName>
    <definedName name="__DAT13" localSheetId="5">#REF!</definedName>
    <definedName name="__DAT13" localSheetId="6">#REF!</definedName>
    <definedName name="__DAT13" localSheetId="7">#REF!</definedName>
    <definedName name="__DAT13" localSheetId="8">#REF!</definedName>
    <definedName name="__DAT13" localSheetId="9">#REF!</definedName>
    <definedName name="__DAT13" localSheetId="10">#REF!</definedName>
    <definedName name="__DAT13" localSheetId="11">#REF!</definedName>
    <definedName name="__DAT13">#REF!</definedName>
    <definedName name="__DAT14" localSheetId="4">#REF!</definedName>
    <definedName name="__DAT14" localSheetId="3">#REF!</definedName>
    <definedName name="__DAT14" localSheetId="2">#REF!</definedName>
    <definedName name="__DAT14" localSheetId="5">#REF!</definedName>
    <definedName name="__DAT14" localSheetId="6">#REF!</definedName>
    <definedName name="__DAT14" localSheetId="7">#REF!</definedName>
    <definedName name="__DAT14" localSheetId="8">#REF!</definedName>
    <definedName name="__DAT14" localSheetId="9">#REF!</definedName>
    <definedName name="__DAT14" localSheetId="10">#REF!</definedName>
    <definedName name="__DAT14" localSheetId="11">#REF!</definedName>
    <definedName name="__DAT14">#REF!</definedName>
    <definedName name="__DAT15" localSheetId="4">#REF!</definedName>
    <definedName name="__DAT15" localSheetId="3">#REF!</definedName>
    <definedName name="__DAT15" localSheetId="2">#REF!</definedName>
    <definedName name="__DAT15" localSheetId="5">#REF!</definedName>
    <definedName name="__DAT15" localSheetId="6">#REF!</definedName>
    <definedName name="__DAT15" localSheetId="7">#REF!</definedName>
    <definedName name="__DAT15" localSheetId="8">#REF!</definedName>
    <definedName name="__DAT15" localSheetId="9">#REF!</definedName>
    <definedName name="__DAT15" localSheetId="10">#REF!</definedName>
    <definedName name="__DAT15" localSheetId="11">#REF!</definedName>
    <definedName name="__DAT15">#REF!</definedName>
    <definedName name="__DAT16" localSheetId="4">#REF!</definedName>
    <definedName name="__DAT16" localSheetId="3">#REF!</definedName>
    <definedName name="__DAT16" localSheetId="2">#REF!</definedName>
    <definedName name="__DAT16" localSheetId="5">#REF!</definedName>
    <definedName name="__DAT16" localSheetId="6">#REF!</definedName>
    <definedName name="__DAT16" localSheetId="7">#REF!</definedName>
    <definedName name="__DAT16" localSheetId="8">#REF!</definedName>
    <definedName name="__DAT16" localSheetId="9">#REF!</definedName>
    <definedName name="__DAT16" localSheetId="10">#REF!</definedName>
    <definedName name="__DAT16" localSheetId="11">#REF!</definedName>
    <definedName name="__DAT16">#REF!</definedName>
    <definedName name="__DAT17" localSheetId="4">#REF!</definedName>
    <definedName name="__DAT17" localSheetId="3">#REF!</definedName>
    <definedName name="__DAT17" localSheetId="2">#REF!</definedName>
    <definedName name="__DAT17" localSheetId="5">#REF!</definedName>
    <definedName name="__DAT17" localSheetId="6">#REF!</definedName>
    <definedName name="__DAT17" localSheetId="7">#REF!</definedName>
    <definedName name="__DAT17" localSheetId="8">#REF!</definedName>
    <definedName name="__DAT17" localSheetId="9">#REF!</definedName>
    <definedName name="__DAT17" localSheetId="10">#REF!</definedName>
    <definedName name="__DAT17" localSheetId="11">#REF!</definedName>
    <definedName name="__DAT17">#REF!</definedName>
    <definedName name="__DAT2" localSheetId="4">'[5]Raw materials'!#REF!</definedName>
    <definedName name="__DAT2" localSheetId="3">'[5]Raw materials'!#REF!</definedName>
    <definedName name="__DAT2" localSheetId="2">'[5]Raw materials'!#REF!</definedName>
    <definedName name="__DAT2" localSheetId="5">'[5]Raw materials'!#REF!</definedName>
    <definedName name="__DAT2" localSheetId="6">'[5]Raw materials'!#REF!</definedName>
    <definedName name="__DAT2" localSheetId="7">'[5]Raw materials'!#REF!</definedName>
    <definedName name="__DAT2" localSheetId="8">'[5]Raw materials'!#REF!</definedName>
    <definedName name="__DAT2" localSheetId="9">'[5]Raw materials'!#REF!</definedName>
    <definedName name="__DAT2" localSheetId="10">'[4]Raw materials'!#REF!</definedName>
    <definedName name="__DAT2">'[4]Raw materials'!#REF!</definedName>
    <definedName name="__DAT3" localSheetId="4">'[5]Raw materials'!#REF!</definedName>
    <definedName name="__DAT3" localSheetId="3">'[5]Raw materials'!#REF!</definedName>
    <definedName name="__DAT3" localSheetId="2">'[5]Raw materials'!#REF!</definedName>
    <definedName name="__DAT3" localSheetId="5">'[5]Raw materials'!#REF!</definedName>
    <definedName name="__DAT3" localSheetId="6">'[5]Raw materials'!#REF!</definedName>
    <definedName name="__DAT3" localSheetId="7">'[5]Raw materials'!#REF!</definedName>
    <definedName name="__DAT3" localSheetId="8">'[5]Raw materials'!#REF!</definedName>
    <definedName name="__DAT3" localSheetId="9">'[5]Raw materials'!#REF!</definedName>
    <definedName name="__DAT3" localSheetId="10">'[4]Raw materials'!#REF!</definedName>
    <definedName name="__DAT3">'[4]Raw materials'!#REF!</definedName>
    <definedName name="__DAT4" localSheetId="4">'[5]Raw materials'!#REF!</definedName>
    <definedName name="__DAT4" localSheetId="3">'[5]Raw materials'!#REF!</definedName>
    <definedName name="__DAT4" localSheetId="2">'[5]Raw materials'!#REF!</definedName>
    <definedName name="__DAT4" localSheetId="5">'[5]Raw materials'!#REF!</definedName>
    <definedName name="__DAT4" localSheetId="6">'[5]Raw materials'!#REF!</definedName>
    <definedName name="__DAT4" localSheetId="7">'[5]Raw materials'!#REF!</definedName>
    <definedName name="__DAT4" localSheetId="8">'[5]Raw materials'!#REF!</definedName>
    <definedName name="__DAT4" localSheetId="9">'[5]Raw materials'!#REF!</definedName>
    <definedName name="__DAT4" localSheetId="10">'[4]Raw materials'!#REF!</definedName>
    <definedName name="__DAT4">'[4]Raw materials'!#REF!</definedName>
    <definedName name="__DAT5" localSheetId="4">'[5]Raw materials'!#REF!</definedName>
    <definedName name="__DAT5" localSheetId="3">'[5]Raw materials'!#REF!</definedName>
    <definedName name="__DAT5" localSheetId="2">'[5]Raw materials'!#REF!</definedName>
    <definedName name="__DAT5" localSheetId="5">'[5]Raw materials'!#REF!</definedName>
    <definedName name="__DAT5" localSheetId="6">'[5]Raw materials'!#REF!</definedName>
    <definedName name="__DAT5" localSheetId="7">'[5]Raw materials'!#REF!</definedName>
    <definedName name="__DAT5" localSheetId="8">'[5]Raw materials'!#REF!</definedName>
    <definedName name="__DAT5" localSheetId="9">'[5]Raw materials'!#REF!</definedName>
    <definedName name="__DAT5" localSheetId="10">'[4]Raw materials'!#REF!</definedName>
    <definedName name="__DAT5">'[4]Raw materials'!#REF!</definedName>
    <definedName name="__DAT6" localSheetId="4">'[5]Raw materials'!#REF!</definedName>
    <definedName name="__DAT6" localSheetId="3">'[5]Raw materials'!#REF!</definedName>
    <definedName name="__DAT6" localSheetId="2">'[5]Raw materials'!#REF!</definedName>
    <definedName name="__DAT6" localSheetId="5">'[5]Raw materials'!#REF!</definedName>
    <definedName name="__DAT6" localSheetId="6">'[5]Raw materials'!#REF!</definedName>
    <definedName name="__DAT6" localSheetId="7">'[5]Raw materials'!#REF!</definedName>
    <definedName name="__DAT6" localSheetId="8">'[5]Raw materials'!#REF!</definedName>
    <definedName name="__DAT6" localSheetId="9">'[5]Raw materials'!#REF!</definedName>
    <definedName name="__DAT6" localSheetId="10">'[4]Raw materials'!#REF!</definedName>
    <definedName name="__DAT6">'[4]Raw materials'!#REF!</definedName>
    <definedName name="__DAT7" localSheetId="4">'[5]Raw materials'!#REF!</definedName>
    <definedName name="__DAT7" localSheetId="3">'[5]Raw materials'!#REF!</definedName>
    <definedName name="__DAT7" localSheetId="2">'[5]Raw materials'!#REF!</definedName>
    <definedName name="__DAT7" localSheetId="5">'[5]Raw materials'!#REF!</definedName>
    <definedName name="__DAT7" localSheetId="6">'[5]Raw materials'!#REF!</definedName>
    <definedName name="__DAT7" localSheetId="7">'[5]Raw materials'!#REF!</definedName>
    <definedName name="__DAT7" localSheetId="8">'[5]Raw materials'!#REF!</definedName>
    <definedName name="__DAT7" localSheetId="9">'[5]Raw materials'!#REF!</definedName>
    <definedName name="__DAT7" localSheetId="10">'[4]Raw materials'!#REF!</definedName>
    <definedName name="__DAT7">'[4]Raw materials'!#REF!</definedName>
    <definedName name="__DAT8" localSheetId="4">'[5]Raw materials'!#REF!</definedName>
    <definedName name="__DAT8" localSheetId="3">'[5]Raw materials'!#REF!</definedName>
    <definedName name="__DAT8" localSheetId="2">'[5]Raw materials'!#REF!</definedName>
    <definedName name="__DAT8" localSheetId="5">'[5]Raw materials'!#REF!</definedName>
    <definedName name="__DAT8" localSheetId="6">'[5]Raw materials'!#REF!</definedName>
    <definedName name="__DAT8" localSheetId="7">'[5]Raw materials'!#REF!</definedName>
    <definedName name="__DAT8" localSheetId="8">'[5]Raw materials'!#REF!</definedName>
    <definedName name="__DAT8" localSheetId="9">'[5]Raw materials'!#REF!</definedName>
    <definedName name="__DAT8" localSheetId="10">'[4]Raw materials'!#REF!</definedName>
    <definedName name="__DAT8">'[4]Raw materials'!#REF!</definedName>
    <definedName name="__DAT9" localSheetId="4">'[6]9100-PO'!#REF!</definedName>
    <definedName name="__DAT9" localSheetId="3">'[6]9100-PO'!#REF!</definedName>
    <definedName name="__DAT9" localSheetId="2">'[6]9100-PO'!#REF!</definedName>
    <definedName name="__DAT9" localSheetId="5">'[6]9100-PO'!#REF!</definedName>
    <definedName name="__DAT9" localSheetId="6">'[6]9100-PO'!#REF!</definedName>
    <definedName name="__DAT9" localSheetId="7">'[6]9100-PO'!#REF!</definedName>
    <definedName name="__DAT9" localSheetId="8">'[6]9100-PO'!#REF!</definedName>
    <definedName name="__DAT9" localSheetId="9">'[6]9100-PO'!#REF!</definedName>
    <definedName name="__DAT9" localSheetId="10">'[5]9100-PO'!#REF!</definedName>
    <definedName name="__DAT9">'[5]9100-PO'!#REF!</definedName>
    <definedName name="__FED18" localSheetId="4">#REF!</definedName>
    <definedName name="__FED18" localSheetId="3">#REF!</definedName>
    <definedName name="__FED18" localSheetId="2">#REF!</definedName>
    <definedName name="__FED18" localSheetId="5">#REF!</definedName>
    <definedName name="__FED18" localSheetId="6">#REF!</definedName>
    <definedName name="__FED18" localSheetId="7">#REF!</definedName>
    <definedName name="__FED18" localSheetId="8">#REF!</definedName>
    <definedName name="__FED18" localSheetId="9">#REF!</definedName>
    <definedName name="__FED18" localSheetId="10">#REF!</definedName>
    <definedName name="__FED18" localSheetId="11">#REF!</definedName>
    <definedName name="__FED18">#REF!</definedName>
    <definedName name="__GMC1" localSheetId="4">#REF!</definedName>
    <definedName name="__GMC1" localSheetId="3">#REF!</definedName>
    <definedName name="__GMC1" localSheetId="2">#REF!</definedName>
    <definedName name="__GMC1" localSheetId="5">#REF!</definedName>
    <definedName name="__GMC1" localSheetId="6">#REF!</definedName>
    <definedName name="__GMC1" localSheetId="7">#REF!</definedName>
    <definedName name="__GMC1" localSheetId="8">#REF!</definedName>
    <definedName name="__GMC1" localSheetId="9">#REF!</definedName>
    <definedName name="__GMC1" localSheetId="10">#REF!</definedName>
    <definedName name="__GMC1" localSheetId="11">#REF!</definedName>
    <definedName name="__GMC1">#REF!</definedName>
    <definedName name="__GMC2" localSheetId="4">#REF!</definedName>
    <definedName name="__GMC2" localSheetId="3">#REF!</definedName>
    <definedName name="__GMC2" localSheetId="2">#REF!</definedName>
    <definedName name="__GMC2" localSheetId="5">#REF!</definedName>
    <definedName name="__GMC2" localSheetId="6">#REF!</definedName>
    <definedName name="__GMC2" localSheetId="7">#REF!</definedName>
    <definedName name="__GMC2" localSheetId="8">#REF!</definedName>
    <definedName name="__GMC2" localSheetId="9">#REF!</definedName>
    <definedName name="__GMC2" localSheetId="10">#REF!</definedName>
    <definedName name="__GMC2" localSheetId="11">#REF!</definedName>
    <definedName name="__GMC2">#REF!</definedName>
    <definedName name="__M111" localSheetId="4" hidden="1">{"'打点割り振り (2)'!$A$1:$G$35"}</definedName>
    <definedName name="__M111" localSheetId="3" hidden="1">{"'打点割り振り (2)'!$A$1:$G$35"}</definedName>
    <definedName name="__M111" localSheetId="2" hidden="1">{"'打点割り振り (2)'!$A$1:$G$35"}</definedName>
    <definedName name="__M111" localSheetId="8" hidden="1">{"'打点割り振り (2)'!$A$1:$G$35"}</definedName>
    <definedName name="__M111" localSheetId="9" hidden="1">{"'打点割り振り (2)'!$A$1:$G$35"}</definedName>
    <definedName name="__M111" localSheetId="10" hidden="1">{"'打点割り振り (2)'!$A$1:$G$35"}</definedName>
    <definedName name="__M111" hidden="1">{"'打点割り振り (2)'!$A$1:$G$35"}</definedName>
    <definedName name="__MS2" localSheetId="4">#REF!</definedName>
    <definedName name="__MS2" localSheetId="3">#REF!</definedName>
    <definedName name="__MS2" localSheetId="2">#REF!</definedName>
    <definedName name="__MS2" localSheetId="5">#REF!</definedName>
    <definedName name="__MS2" localSheetId="6">#REF!</definedName>
    <definedName name="__MS2" localSheetId="7">#REF!</definedName>
    <definedName name="__MS2" localSheetId="8">#REF!</definedName>
    <definedName name="__MS2" localSheetId="9">#REF!</definedName>
    <definedName name="__MS2" localSheetId="10">#REF!</definedName>
    <definedName name="__MS2" localSheetId="11">#REF!</definedName>
    <definedName name="__MS2">#REF!</definedName>
    <definedName name="__Qtr1" localSheetId="4">#REF!</definedName>
    <definedName name="__Qtr1" localSheetId="3">#REF!</definedName>
    <definedName name="__Qtr1" localSheetId="2">#REF!</definedName>
    <definedName name="__Qtr1" localSheetId="5">#REF!</definedName>
    <definedName name="__Qtr1" localSheetId="6">#REF!</definedName>
    <definedName name="__Qtr1" localSheetId="7">#REF!</definedName>
    <definedName name="__Qtr1" localSheetId="8">#REF!</definedName>
    <definedName name="__Qtr1" localSheetId="9">#REF!</definedName>
    <definedName name="__Qtr1" localSheetId="10">#REF!</definedName>
    <definedName name="__Qtr1" localSheetId="11">#REF!</definedName>
    <definedName name="__Qtr1">#REF!</definedName>
    <definedName name="__ST2" localSheetId="4">#REF!</definedName>
    <definedName name="__ST2" localSheetId="3">#REF!</definedName>
    <definedName name="__ST2" localSheetId="2">#REF!</definedName>
    <definedName name="__ST2" localSheetId="5">#REF!</definedName>
    <definedName name="__ST2" localSheetId="6">#REF!</definedName>
    <definedName name="__ST2" localSheetId="7">#REF!</definedName>
    <definedName name="__ST2" localSheetId="8">#REF!</definedName>
    <definedName name="__ST2" localSheetId="9">#REF!</definedName>
    <definedName name="__ST2" localSheetId="10">#REF!</definedName>
    <definedName name="__ST2" localSheetId="11">#REF!</definedName>
    <definedName name="__ST2">#REF!</definedName>
    <definedName name="__wd6" localSheetId="4">[65]tables!$A$1:$B$29</definedName>
    <definedName name="__wd6" localSheetId="3">[65]tables!$A$1:$B$29</definedName>
    <definedName name="__wd6" localSheetId="2">[65]tables!$A$1:$B$29</definedName>
    <definedName name="__wd6" localSheetId="5">[65]tables!$A$1:$B$29</definedName>
    <definedName name="__wd6" localSheetId="6">[65]tables!$A$1:$B$29</definedName>
    <definedName name="__wd6" localSheetId="7">[65]tables!$A$1:$B$29</definedName>
    <definedName name="__wd6" localSheetId="8">[65]tables!$A$1:$B$29</definedName>
    <definedName name="__wd6" localSheetId="9">[65]tables!$A$1:$B$29</definedName>
    <definedName name="__wd6" localSheetId="10">[78]tables!$A$1:$B$29</definedName>
    <definedName name="__wd6">[6]Tables!$A$1:$B$29</definedName>
    <definedName name="_1">#N/A</definedName>
    <definedName name="_1.1经营合规性" localSheetId="4">'[66]4 审核发现描述'!#REF!</definedName>
    <definedName name="_1.1经营合规性" localSheetId="3">'[66]4 审核发现描述'!#REF!</definedName>
    <definedName name="_1.1经营合规性" localSheetId="2">'[66]4 审核发现描述'!#REF!</definedName>
    <definedName name="_1.1经营合规性" localSheetId="5">'[66]4 审核发现描述'!#REF!</definedName>
    <definedName name="_1.1经营合规性" localSheetId="6">'[66]4 审核发现描述'!#REF!</definedName>
    <definedName name="_1.1经营合规性" localSheetId="7">'[66]4 审核发现描述'!#REF!</definedName>
    <definedName name="_1.1经营合规性" localSheetId="8">'[8]4 审核发现描述'!#REF!</definedName>
    <definedName name="_1.1经营合规性" localSheetId="9">'[8]4 审核发现描述'!#REF!</definedName>
    <definedName name="_1.1经营合规性" localSheetId="10">'[6]4 审核发现描述'!#REF!</definedName>
    <definedName name="_1.1经营合规性">'[7]4 审核发现描述'!#REF!</definedName>
    <definedName name="_1.2行业合规性" localSheetId="4">'[66]4 审核发现描述'!#REF!</definedName>
    <definedName name="_1.2行业合规性" localSheetId="3">'[66]4 审核发现描述'!#REF!</definedName>
    <definedName name="_1.2行业合规性" localSheetId="2">'[66]4 审核发现描述'!#REF!</definedName>
    <definedName name="_1.2行业合规性" localSheetId="5">'[66]4 审核发现描述'!#REF!</definedName>
    <definedName name="_1.2行业合规性" localSheetId="6">'[66]4 审核发现描述'!#REF!</definedName>
    <definedName name="_1.2行业合规性" localSheetId="7">'[66]4 审核发现描述'!#REF!</definedName>
    <definedName name="_1.2行业合规性" localSheetId="8">'[8]4 审核发现描述'!#REF!</definedName>
    <definedName name="_1.2行业合规性" localSheetId="9">'[8]4 审核发现描述'!#REF!</definedName>
    <definedName name="_1.2行业合规性" localSheetId="10">'[6]4 审核发现描述'!#REF!</definedName>
    <definedName name="_1.2行业合规性">'[7]4 审核发现描述'!#REF!</definedName>
    <definedName name="_1.3体系认证合规性" localSheetId="4">'[66]4 审核发现描述'!#REF!</definedName>
    <definedName name="_1.3体系认证合规性" localSheetId="3">'[66]4 审核发现描述'!#REF!</definedName>
    <definedName name="_1.3体系认证合规性" localSheetId="2">'[66]4 审核发现描述'!#REF!</definedName>
    <definedName name="_1.3体系认证合规性" localSheetId="5">'[66]4 审核发现描述'!#REF!</definedName>
    <definedName name="_1.3体系认证合规性" localSheetId="6">'[66]4 审核发现描述'!#REF!</definedName>
    <definedName name="_1.3体系认证合规性" localSheetId="7">'[66]4 审核发现描述'!#REF!</definedName>
    <definedName name="_1.3体系认证合规性" localSheetId="8">'[8]4 审核发现描述'!#REF!</definedName>
    <definedName name="_1.3体系认证合规性" localSheetId="9">'[8]4 审核发现描述'!#REF!</definedName>
    <definedName name="_1.3体系认证合规性" localSheetId="10">'[6]4 审核发现描述'!#REF!</definedName>
    <definedName name="_1.3体系认证合规性">'[7]4 审核发现描述'!#REF!</definedName>
    <definedName name="_1.4市场抽查" localSheetId="4">'[66]4 审核发现描述'!#REF!</definedName>
    <definedName name="_1.4市场抽查" localSheetId="3">'[66]4 审核发现描述'!#REF!</definedName>
    <definedName name="_1.4市场抽查" localSheetId="2">'[66]4 审核发现描述'!#REF!</definedName>
    <definedName name="_1.4市场抽查" localSheetId="5">'[66]4 审核发现描述'!#REF!</definedName>
    <definedName name="_1.4市场抽查" localSheetId="6">'[66]4 审核发现描述'!#REF!</definedName>
    <definedName name="_1.4市场抽查" localSheetId="7">'[66]4 审核发现描述'!#REF!</definedName>
    <definedName name="_1.4市场抽查" localSheetId="8">'[8]4 审核发现描述'!#REF!</definedName>
    <definedName name="_1.4市场抽查" localSheetId="9">'[8]4 审核发现描述'!#REF!</definedName>
    <definedName name="_1.4市场抽查" localSheetId="10">'[6]4 审核发现描述'!#REF!</definedName>
    <definedName name="_1.4市场抽查">'[7]4 审核发现描述'!#REF!</definedName>
    <definedName name="_1.5产品合规性" localSheetId="4">'[66]4 审核发现描述'!#REF!</definedName>
    <definedName name="_1.5产品合规性" localSheetId="3">'[66]4 审核发现描述'!#REF!</definedName>
    <definedName name="_1.5产品合规性" localSheetId="2">'[66]4 审核发现描述'!#REF!</definedName>
    <definedName name="_1.5产品合规性" localSheetId="5">'[66]4 审核发现描述'!#REF!</definedName>
    <definedName name="_1.5产品合规性" localSheetId="6">'[66]4 审核发现描述'!#REF!</definedName>
    <definedName name="_1.5产品合规性" localSheetId="7">'[66]4 审核发现描述'!#REF!</definedName>
    <definedName name="_1.5产品合规性" localSheetId="8">'[8]4 审核发现描述'!#REF!</definedName>
    <definedName name="_1.5产品合规性" localSheetId="9">'[8]4 审核发现描述'!#REF!</definedName>
    <definedName name="_1.5产品合规性" localSheetId="10">'[6]4 审核发现描述'!#REF!</definedName>
    <definedName name="_1.5产品合规性">'[7]4 审核发现描述'!#REF!</definedName>
    <definedName name="_1______123Graph_AGRAFICO_2" localSheetId="4" hidden="1">#REF!</definedName>
    <definedName name="_1______123Graph_AGRAFICO_2" localSheetId="3" hidden="1">#REF!</definedName>
    <definedName name="_1______123Graph_AGRAFICO_2" localSheetId="2" hidden="1">#REF!</definedName>
    <definedName name="_1______123Graph_AGRAFICO_2" localSheetId="5" hidden="1">#REF!</definedName>
    <definedName name="_1______123Graph_AGRAFICO_2" localSheetId="6" hidden="1">#REF!</definedName>
    <definedName name="_1______123Graph_AGRAFICO_2" localSheetId="7" hidden="1">#REF!</definedName>
    <definedName name="_1______123Graph_AGRAFICO_2" localSheetId="8" hidden="1">#REF!</definedName>
    <definedName name="_1______123Graph_AGRAFICO_2" localSheetId="9" hidden="1">#REF!</definedName>
    <definedName name="_1______123Graph_AGRAFICO_2" localSheetId="10" hidden="1">#REF!</definedName>
    <definedName name="_1______123Graph_AGRAFICO_2" localSheetId="11" hidden="1">#REF!</definedName>
    <definedName name="_1______123Graph_AGRAFICO_2" hidden="1">#REF!</definedName>
    <definedName name="_1_5월국내제품" localSheetId="4">#REF!</definedName>
    <definedName name="_1_5월국내제품" localSheetId="3">#REF!</definedName>
    <definedName name="_1_5월국내제품" localSheetId="2">#REF!</definedName>
    <definedName name="_1_5월국내제품" localSheetId="5">#REF!</definedName>
    <definedName name="_1_5월국내제품" localSheetId="6">#REF!</definedName>
    <definedName name="_1_5월국내제품" localSheetId="7">#REF!</definedName>
    <definedName name="_1_5월국내제품" localSheetId="8">#REF!</definedName>
    <definedName name="_1_5월국내제품" localSheetId="9">#REF!</definedName>
    <definedName name="_1_5월국내제품" localSheetId="10">#REF!</definedName>
    <definedName name="_1_5월국내제품" localSheetId="11">#REF!</definedName>
    <definedName name="_1_5월국내제품">#REF!</definedName>
    <definedName name="_1000A01">#N/A</definedName>
    <definedName name="_112d" localSheetId="4" hidden="1">{#N/A,#N/A,TRUE,"Distribution";#N/A,#N/A,TRUE,"Fulfillment";#N/A,#N/A,TRUE,"Aged Backorders"}</definedName>
    <definedName name="_112d" localSheetId="3" hidden="1">{#N/A,#N/A,TRUE,"Distribution";#N/A,#N/A,TRUE,"Fulfillment";#N/A,#N/A,TRUE,"Aged Backorders"}</definedName>
    <definedName name="_112d" localSheetId="2" hidden="1">{#N/A,#N/A,TRUE,"Distribution";#N/A,#N/A,TRUE,"Fulfillment";#N/A,#N/A,TRUE,"Aged Backorders"}</definedName>
    <definedName name="_112d" localSheetId="8" hidden="1">{#N/A,#N/A,TRUE,"Distribution";#N/A,#N/A,TRUE,"Fulfillment";#N/A,#N/A,TRUE,"Aged Backorders"}</definedName>
    <definedName name="_112d" localSheetId="9" hidden="1">{#N/A,#N/A,TRUE,"Distribution";#N/A,#N/A,TRUE,"Fulfillment";#N/A,#N/A,TRUE,"Aged Backorders"}</definedName>
    <definedName name="_112d" localSheetId="10" hidden="1">{#N/A,#N/A,TRUE,"Distribution";#N/A,#N/A,TRUE,"Fulfillment";#N/A,#N/A,TRUE,"Aged Backorders"}</definedName>
    <definedName name="_112d" hidden="1">{#N/A,#N/A,TRUE,"Distribution";#N/A,#N/A,TRUE,"Fulfillment";#N/A,#N/A,TRUE,"Aged Backorders"}</definedName>
    <definedName name="_18_02_94" localSheetId="4">#REF!</definedName>
    <definedName name="_18_02_94" localSheetId="3">#REF!</definedName>
    <definedName name="_18_02_94" localSheetId="2">#REF!</definedName>
    <definedName name="_18_02_94" localSheetId="5">#REF!</definedName>
    <definedName name="_18_02_94" localSheetId="6">#REF!</definedName>
    <definedName name="_18_02_94" localSheetId="7">#REF!</definedName>
    <definedName name="_18_02_94" localSheetId="8">#REF!</definedName>
    <definedName name="_18_02_94" localSheetId="9">#REF!</definedName>
    <definedName name="_18_02_94" localSheetId="10">#REF!</definedName>
    <definedName name="_18_02_94" localSheetId="11">#REF!</definedName>
    <definedName name="_18_02_94">#REF!</definedName>
    <definedName name="_19T02_" localSheetId="8">{"Book1"}</definedName>
    <definedName name="_19T02_" localSheetId="9">{"Book1"}</definedName>
    <definedName name="_19T02_" localSheetId="10">{"Book1"}</definedName>
    <definedName name="_19T02_">{"Book1"}</definedName>
    <definedName name="_1A5_" localSheetId="4">#REF!</definedName>
    <definedName name="_1A5_" localSheetId="3">#REF!</definedName>
    <definedName name="_1A5_" localSheetId="2">#REF!</definedName>
    <definedName name="_1A5_" localSheetId="5">#REF!</definedName>
    <definedName name="_1A5_" localSheetId="6">#REF!</definedName>
    <definedName name="_1A5_" localSheetId="7">#REF!</definedName>
    <definedName name="_1A5_" localSheetId="8">#REF!</definedName>
    <definedName name="_1A5_" localSheetId="9">#REF!</definedName>
    <definedName name="_1A5_" localSheetId="10">#REF!</definedName>
    <definedName name="_1A5_" localSheetId="11">#REF!</definedName>
    <definedName name="_1A5_">#REF!</definedName>
    <definedName name="_1ff1_" localSheetId="4">#REF!</definedName>
    <definedName name="_1ff1_" localSheetId="3">#REF!</definedName>
    <definedName name="_1ff1_" localSheetId="2">#REF!</definedName>
    <definedName name="_1ff1_" localSheetId="5">#REF!</definedName>
    <definedName name="_1ff1_" localSheetId="6">#REF!</definedName>
    <definedName name="_1ff1_" localSheetId="7">#REF!</definedName>
    <definedName name="_1ff1_" localSheetId="8">#REF!</definedName>
    <definedName name="_1ff1_" localSheetId="9">#REF!</definedName>
    <definedName name="_1ff1_" localSheetId="10">#REF!</definedName>
    <definedName name="_1ff1_" localSheetId="11">#REF!</definedName>
    <definedName name="_1ff1_">#REF!</definedName>
    <definedName name="_1月停机时汇总.xlsx" localSheetId="4">#REF!</definedName>
    <definedName name="_1月停机时汇总.xlsx" localSheetId="3">#REF!</definedName>
    <definedName name="_1月停机时汇总.xlsx" localSheetId="2">#REF!</definedName>
    <definedName name="_1月停机时汇总.xlsx" localSheetId="5">#REF!</definedName>
    <definedName name="_1月停机时汇总.xlsx" localSheetId="6">#REF!</definedName>
    <definedName name="_1月停机时汇总.xlsx" localSheetId="7">#REF!</definedName>
    <definedName name="_1月停机时汇总.xlsx" localSheetId="8">#REF!</definedName>
    <definedName name="_1月停机时汇总.xlsx" localSheetId="9">#REF!</definedName>
    <definedName name="_1月停机时汇总.xlsx" localSheetId="10">#REF!</definedName>
    <definedName name="_1月停机时汇总.xlsx" localSheetId="11">#REF!</definedName>
    <definedName name="_1月停机时汇总.xlsx">#REF!</definedName>
    <definedName name="_2">#N/A</definedName>
    <definedName name="_2.1采购管理" localSheetId="4">'[66]4 审核发现描述'!#REF!</definedName>
    <definedName name="_2.1采购管理" localSheetId="3">'[66]4 审核发现描述'!#REF!</definedName>
    <definedName name="_2.1采购管理" localSheetId="2">'[66]4 审核发现描述'!#REF!</definedName>
    <definedName name="_2.1采购管理" localSheetId="5">'[66]4 审核发现描述'!#REF!</definedName>
    <definedName name="_2.1采购管理" localSheetId="6">'[66]4 审核发现描述'!#REF!</definedName>
    <definedName name="_2.1采购管理" localSheetId="7">'[66]4 审核发现描述'!#REF!</definedName>
    <definedName name="_2.1采购管理" localSheetId="8">'[8]4 审核发现描述'!#REF!</definedName>
    <definedName name="_2.1采购管理" localSheetId="9">'[8]4 审核发现描述'!#REF!</definedName>
    <definedName name="_2.1采购管理" localSheetId="10">'[6]4 审核发现描述'!#REF!</definedName>
    <definedName name="_2.1采购管理">'[7]4 审核发现描述'!#REF!</definedName>
    <definedName name="_2.2供方管理" localSheetId="4">'[66]4 审核发现描述'!#REF!</definedName>
    <definedName name="_2.2供方管理" localSheetId="3">'[66]4 审核发现描述'!#REF!</definedName>
    <definedName name="_2.2供方管理" localSheetId="2">'[66]4 审核发现描述'!#REF!</definedName>
    <definedName name="_2.2供方管理" localSheetId="5">'[66]4 审核发现描述'!#REF!</definedName>
    <definedName name="_2.2供方管理" localSheetId="6">'[66]4 审核发现描述'!#REF!</definedName>
    <definedName name="_2.2供方管理" localSheetId="7">'[66]4 审核发现描述'!#REF!</definedName>
    <definedName name="_2.2供方管理" localSheetId="8">'[8]4 审核发现描述'!#REF!</definedName>
    <definedName name="_2.2供方管理" localSheetId="9">'[8]4 审核发现描述'!#REF!</definedName>
    <definedName name="_2.2供方管理" localSheetId="10">'[6]4 审核发现描述'!#REF!</definedName>
    <definedName name="_2.2供方管理">'[7]4 审核发现描述'!#REF!</definedName>
    <definedName name="_2______123Graph_LBL_AGRAFICO_2" localSheetId="4" hidden="1">#REF!</definedName>
    <definedName name="_2______123Graph_LBL_AGRAFICO_2" localSheetId="3" hidden="1">#REF!</definedName>
    <definedName name="_2______123Graph_LBL_AGRAFICO_2" localSheetId="2" hidden="1">#REF!</definedName>
    <definedName name="_2______123Graph_LBL_AGRAFICO_2" localSheetId="5" hidden="1">#REF!</definedName>
    <definedName name="_2______123Graph_LBL_AGRAFICO_2" localSheetId="6" hidden="1">#REF!</definedName>
    <definedName name="_2______123Graph_LBL_AGRAFICO_2" localSheetId="7" hidden="1">#REF!</definedName>
    <definedName name="_2______123Graph_LBL_AGRAFICO_2" localSheetId="8" hidden="1">#REF!</definedName>
    <definedName name="_2______123Graph_LBL_AGRAFICO_2" localSheetId="9" hidden="1">#REF!</definedName>
    <definedName name="_2______123Graph_LBL_AGRAFICO_2" localSheetId="10" hidden="1">#REF!</definedName>
    <definedName name="_2______123Graph_LBL_AGRAFICO_2" localSheetId="11" hidden="1">#REF!</definedName>
    <definedName name="_2______123Graph_LBL_AGRAFICO_2" hidden="1">#REF!</definedName>
    <definedName name="_2_5월국내제품" localSheetId="4">#REF!</definedName>
    <definedName name="_2_5월국내제품" localSheetId="3">#REF!</definedName>
    <definedName name="_2_5월국내제품" localSheetId="2">#REF!</definedName>
    <definedName name="_2_5월국내제품" localSheetId="5">#REF!</definedName>
    <definedName name="_2_5월국내제품" localSheetId="6">#REF!</definedName>
    <definedName name="_2_5월국내제품" localSheetId="7">#REF!</definedName>
    <definedName name="_2_5월국내제품" localSheetId="8">#REF!</definedName>
    <definedName name="_2_5월국내제품" localSheetId="9">#REF!</definedName>
    <definedName name="_2_5월국내제품" localSheetId="10">#REF!</definedName>
    <definedName name="_2_5월국내제품" localSheetId="11">#REF!</definedName>
    <definedName name="_2_5월국내제품">#REF!</definedName>
    <definedName name="_23" localSheetId="4">#REF!</definedName>
    <definedName name="_23" localSheetId="3">#REF!</definedName>
    <definedName name="_23" localSheetId="2">#REF!</definedName>
    <definedName name="_23" localSheetId="5">#REF!</definedName>
    <definedName name="_23" localSheetId="6">#REF!</definedName>
    <definedName name="_23" localSheetId="7">#REF!</definedName>
    <definedName name="_23" localSheetId="8">#REF!</definedName>
    <definedName name="_23" localSheetId="9">#REF!</definedName>
    <definedName name="_23" localSheetId="10">#REF!</definedName>
    <definedName name="_23" localSheetId="11">#REF!</definedName>
    <definedName name="_23">#REF!</definedName>
    <definedName name="_2GO_TO" localSheetId="4">'[67]Total Financials'!#REF!</definedName>
    <definedName name="_2GO_TO" localSheetId="3">'[67]Total Financials'!#REF!</definedName>
    <definedName name="_2GO_TO" localSheetId="2">'[67]Total Financials'!#REF!</definedName>
    <definedName name="_2GO_TO" localSheetId="5">'[67]Total Financials'!#REF!</definedName>
    <definedName name="_2GO_TO" localSheetId="6">'[67]Total Financials'!#REF!</definedName>
    <definedName name="_2GO_TO" localSheetId="7">'[67]Total Financials'!#REF!</definedName>
    <definedName name="_2GO_TO" localSheetId="8">'[67]Total Financials'!#REF!</definedName>
    <definedName name="_2GO_TO" localSheetId="9">'[67]Total Financials'!#REF!</definedName>
    <definedName name="_2GO_TO" localSheetId="10">'[79]Total Financials'!#REF!</definedName>
    <definedName name="_2GO_TO">'[8]Total Financials'!#REF!</definedName>
    <definedName name="_3.1设计开发" localSheetId="4">'[66]4 审核发现描述'!#REF!</definedName>
    <definedName name="_3.1设计开发" localSheetId="3">'[66]4 审核发现描述'!#REF!</definedName>
    <definedName name="_3.1设计开发" localSheetId="2">'[66]4 审核发现描述'!#REF!</definedName>
    <definedName name="_3.1设计开发" localSheetId="5">'[66]4 审核发现描述'!#REF!</definedName>
    <definedName name="_3.1设计开发" localSheetId="6">'[66]4 审核发现描述'!#REF!</definedName>
    <definedName name="_3.1设计开发" localSheetId="7">'[66]4 审核发现描述'!#REF!</definedName>
    <definedName name="_3.1设计开发" localSheetId="8">'[8]4 审核发现描述'!#REF!</definedName>
    <definedName name="_3.1设计开发" localSheetId="9">'[8]4 审核发现描述'!#REF!</definedName>
    <definedName name="_3.1设计开发" localSheetId="10">'[6]4 审核发现描述'!#REF!</definedName>
    <definedName name="_3.1设计开发">'[7]4 审核发现描述'!#REF!</definedName>
    <definedName name="_3.2制程管理" localSheetId="4">'[66]4 审核发现描述'!#REF!</definedName>
    <definedName name="_3.2制程管理" localSheetId="3">'[66]4 审核发现描述'!#REF!</definedName>
    <definedName name="_3.2制程管理" localSheetId="2">'[66]4 审核发现描述'!#REF!</definedName>
    <definedName name="_3.2制程管理" localSheetId="5">'[66]4 审核发现描述'!#REF!</definedName>
    <definedName name="_3.2制程管理" localSheetId="6">'[66]4 审核发现描述'!#REF!</definedName>
    <definedName name="_3.2制程管理" localSheetId="7">'[66]4 审核发现描述'!#REF!</definedName>
    <definedName name="_3.2制程管理" localSheetId="8">'[8]4 审核发现描述'!#REF!</definedName>
    <definedName name="_3.2制程管理" localSheetId="9">'[8]4 审核发现描述'!#REF!</definedName>
    <definedName name="_3.2制程管理" localSheetId="10">'[6]4 审核发现描述'!#REF!</definedName>
    <definedName name="_3.2制程管理">'[7]4 审核发现描述'!#REF!</definedName>
    <definedName name="_3_____123Graph_AGRAFICO_2" localSheetId="4" hidden="1">#REF!</definedName>
    <definedName name="_3_____123Graph_AGRAFICO_2" localSheetId="3" hidden="1">#REF!</definedName>
    <definedName name="_3_____123Graph_AGRAFICO_2" localSheetId="2" hidden="1">#REF!</definedName>
    <definedName name="_3_____123Graph_AGRAFICO_2" localSheetId="5" hidden="1">#REF!</definedName>
    <definedName name="_3_____123Graph_AGRAFICO_2" localSheetId="6" hidden="1">#REF!</definedName>
    <definedName name="_3_____123Graph_AGRAFICO_2" localSheetId="7" hidden="1">#REF!</definedName>
    <definedName name="_3_____123Graph_AGRAFICO_2" localSheetId="8" hidden="1">#REF!</definedName>
    <definedName name="_3_____123Graph_AGRAFICO_2" localSheetId="9" hidden="1">#REF!</definedName>
    <definedName name="_3_____123Graph_AGRAFICO_2" localSheetId="10" hidden="1">#REF!</definedName>
    <definedName name="_3_____123Graph_AGRAFICO_2" localSheetId="11" hidden="1">#REF!</definedName>
    <definedName name="_3_____123Graph_AGRAFICO_2" hidden="1">#REF!</definedName>
    <definedName name="_4.1进货检验" localSheetId="4">'[66]4 审核发现描述'!#REF!</definedName>
    <definedName name="_4.1进货检验" localSheetId="3">'[66]4 审核发现描述'!#REF!</definedName>
    <definedName name="_4.1进货检验" localSheetId="2">'[66]4 审核发现描述'!#REF!</definedName>
    <definedName name="_4.1进货检验" localSheetId="5">'[66]4 审核发现描述'!#REF!</definedName>
    <definedName name="_4.1进货检验" localSheetId="6">'[66]4 审核发现描述'!#REF!</definedName>
    <definedName name="_4.1进货检验" localSheetId="7">'[66]4 审核发现描述'!#REF!</definedName>
    <definedName name="_4.1进货检验" localSheetId="8">'[8]4 审核发现描述'!#REF!</definedName>
    <definedName name="_4.1进货检验" localSheetId="9">'[8]4 审核发现描述'!#REF!</definedName>
    <definedName name="_4.1进货检验" localSheetId="10">'[6]4 审核发现描述'!#REF!</definedName>
    <definedName name="_4.1进货检验">'[7]4 审核发现描述'!#REF!</definedName>
    <definedName name="_4.5.18" localSheetId="4">'[66]4 审核发现描述'!#REF!</definedName>
    <definedName name="_4.5.18" localSheetId="3">'[66]4 审核发现描述'!#REF!</definedName>
    <definedName name="_4.5.18" localSheetId="2">'[66]4 审核发现描述'!#REF!</definedName>
    <definedName name="_4.5.18" localSheetId="5">'[66]4 审核发现描述'!#REF!</definedName>
    <definedName name="_4.5.18" localSheetId="6">'[66]4 审核发现描述'!#REF!</definedName>
    <definedName name="_4.5.18" localSheetId="7">'[66]4 审核发现描述'!#REF!</definedName>
    <definedName name="_4.5.18" localSheetId="8">'[8]4 审核发现描述'!#REF!</definedName>
    <definedName name="_4.5.18" localSheetId="9">'[8]4 审核发现描述'!#REF!</definedName>
    <definedName name="_4.5.18" localSheetId="10">'[6]4 审核发现描述'!#REF!</definedName>
    <definedName name="_4.5.18">'[7]4 审核发现描述'!#REF!</definedName>
    <definedName name="_4_____123Graph_LBL_AGRAFICO_2" localSheetId="4" hidden="1">#REF!</definedName>
    <definedName name="_4_____123Graph_LBL_AGRAFICO_2" localSheetId="3" hidden="1">#REF!</definedName>
    <definedName name="_4_____123Graph_LBL_AGRAFICO_2" localSheetId="2" hidden="1">#REF!</definedName>
    <definedName name="_4_____123Graph_LBL_AGRAFICO_2" localSheetId="5" hidden="1">#REF!</definedName>
    <definedName name="_4_____123Graph_LBL_AGRAFICO_2" localSheetId="6" hidden="1">#REF!</definedName>
    <definedName name="_4_____123Graph_LBL_AGRAFICO_2" localSheetId="7" hidden="1">#REF!</definedName>
    <definedName name="_4_____123Graph_LBL_AGRAFICO_2" localSheetId="8" hidden="1">#REF!</definedName>
    <definedName name="_4_____123Graph_LBL_AGRAFICO_2" localSheetId="9" hidden="1">#REF!</definedName>
    <definedName name="_4_____123Graph_LBL_AGRAFICO_2" localSheetId="10" hidden="1">#REF!</definedName>
    <definedName name="_4_____123Graph_LBL_AGRAFICO_2" localSheetId="11" hidden="1">#REF!</definedName>
    <definedName name="_4_____123Graph_LBL_AGRAFICO_2" hidden="1">#REF!</definedName>
    <definedName name="_4A5_" localSheetId="4">#REF!</definedName>
    <definedName name="_4A5_" localSheetId="3">#REF!</definedName>
    <definedName name="_4A5_" localSheetId="2">#REF!</definedName>
    <definedName name="_4A5_" localSheetId="5">#REF!</definedName>
    <definedName name="_4A5_" localSheetId="6">#REF!</definedName>
    <definedName name="_4A5_" localSheetId="7">#REF!</definedName>
    <definedName name="_4A5_" localSheetId="8">#REF!</definedName>
    <definedName name="_4A5_" localSheetId="9">#REF!</definedName>
    <definedName name="_4A5_" localSheetId="10">#REF!</definedName>
    <definedName name="_4A5_" localSheetId="11">#REF!</definedName>
    <definedName name="_4A5_">#REF!</definedName>
    <definedName name="_5.1.2" localSheetId="4">'[66]4 审核发现描述'!#REF!</definedName>
    <definedName name="_5.1.2" localSheetId="3">'[66]4 审核发现描述'!#REF!</definedName>
    <definedName name="_5.1.2" localSheetId="2">'[66]4 审核发现描述'!#REF!</definedName>
    <definedName name="_5.1.2" localSheetId="5">'[66]4 审核发现描述'!#REF!</definedName>
    <definedName name="_5.1.2" localSheetId="6">'[66]4 审核发现描述'!#REF!</definedName>
    <definedName name="_5.1.2" localSheetId="7">'[66]4 审核发现描述'!#REF!</definedName>
    <definedName name="_5.1.2" localSheetId="8">'[8]4 审核发现描述'!#REF!</definedName>
    <definedName name="_5.1.2" localSheetId="9">'[8]4 审核发现描述'!#REF!</definedName>
    <definedName name="_5.1.2" localSheetId="10">'[6]4 审核发现描述'!#REF!</definedName>
    <definedName name="_5.1.2">'[7]4 审核发现描述'!#REF!</definedName>
    <definedName name="_5___123Graph_AGRAFICO_2" localSheetId="4" hidden="1">#REF!</definedName>
    <definedName name="_5___123Graph_AGRAFICO_2" localSheetId="3" hidden="1">#REF!</definedName>
    <definedName name="_5___123Graph_AGRAFICO_2" localSheetId="2" hidden="1">#REF!</definedName>
    <definedName name="_5___123Graph_AGRAFICO_2" localSheetId="5" hidden="1">#REF!</definedName>
    <definedName name="_5___123Graph_AGRAFICO_2" localSheetId="6" hidden="1">#REF!</definedName>
    <definedName name="_5___123Graph_AGRAFICO_2" localSheetId="7" hidden="1">#REF!</definedName>
    <definedName name="_5___123Graph_AGRAFICO_2" localSheetId="8" hidden="1">#REF!</definedName>
    <definedName name="_5___123Graph_AGRAFICO_2" localSheetId="9" hidden="1">#REF!</definedName>
    <definedName name="_5___123Graph_AGRAFICO_2" localSheetId="10" hidden="1">#REF!</definedName>
    <definedName name="_5___123Graph_AGRAFICO_2" localSheetId="11" hidden="1">#REF!</definedName>
    <definedName name="_5___123Graph_AGRAFICO_2" hidden="1">#REF!</definedName>
    <definedName name="_6___123Graph_LBL_AGRAFICO_2" localSheetId="4" hidden="1">#REF!</definedName>
    <definedName name="_6___123Graph_LBL_AGRAFICO_2" localSheetId="3" hidden="1">#REF!</definedName>
    <definedName name="_6___123Graph_LBL_AGRAFICO_2" localSheetId="2" hidden="1">#REF!</definedName>
    <definedName name="_6___123Graph_LBL_AGRAFICO_2" localSheetId="5" hidden="1">#REF!</definedName>
    <definedName name="_6___123Graph_LBL_AGRAFICO_2" localSheetId="6" hidden="1">#REF!</definedName>
    <definedName name="_6___123Graph_LBL_AGRAFICO_2" localSheetId="7" hidden="1">#REF!</definedName>
    <definedName name="_6___123Graph_LBL_AGRAFICO_2" localSheetId="8" hidden="1">#REF!</definedName>
    <definedName name="_6___123Graph_LBL_AGRAFICO_2" localSheetId="9" hidden="1">#REF!</definedName>
    <definedName name="_6___123Graph_LBL_AGRAFICO_2" localSheetId="10" hidden="1">#REF!</definedName>
    <definedName name="_6___123Graph_LBL_AGRAFICO_2" localSheetId="11" hidden="1">#REF!</definedName>
    <definedName name="_6___123Graph_LBL_AGRAFICO_2" hidden="1">#REF!</definedName>
    <definedName name="_7__123Graph_AGRAFICO_2" localSheetId="4" hidden="1">#REF!</definedName>
    <definedName name="_7__123Graph_AGRAFICO_2" localSheetId="3" hidden="1">#REF!</definedName>
    <definedName name="_7__123Graph_AGRAFICO_2" localSheetId="2" hidden="1">#REF!</definedName>
    <definedName name="_7__123Graph_AGRAFICO_2" localSheetId="5" hidden="1">#REF!</definedName>
    <definedName name="_7__123Graph_AGRAFICO_2" localSheetId="6" hidden="1">#REF!</definedName>
    <definedName name="_7__123Graph_AGRAFICO_2" localSheetId="7" hidden="1">#REF!</definedName>
    <definedName name="_7__123Graph_AGRAFICO_2" localSheetId="8" hidden="1">#REF!</definedName>
    <definedName name="_7__123Graph_AGRAFICO_2" localSheetId="9" hidden="1">#REF!</definedName>
    <definedName name="_7__123Graph_AGRAFICO_2" localSheetId="10" hidden="1">#REF!</definedName>
    <definedName name="_7__123Graph_AGRAFICO_2" localSheetId="11" hidden="1">#REF!</definedName>
    <definedName name="_7__123Graph_AGRAFICO_2" hidden="1">#REF!</definedName>
    <definedName name="_8__123Graph_LBL_AGRAFICO_2" localSheetId="4" hidden="1">#REF!</definedName>
    <definedName name="_8__123Graph_LBL_AGRAFICO_2" localSheetId="3" hidden="1">#REF!</definedName>
    <definedName name="_8__123Graph_LBL_AGRAFICO_2" localSheetId="2" hidden="1">#REF!</definedName>
    <definedName name="_8__123Graph_LBL_AGRAFICO_2" localSheetId="5" hidden="1">#REF!</definedName>
    <definedName name="_8__123Graph_LBL_AGRAFICO_2" localSheetId="6" hidden="1">#REF!</definedName>
    <definedName name="_8__123Graph_LBL_AGRAFICO_2" localSheetId="7" hidden="1">#REF!</definedName>
    <definedName name="_8__123Graph_LBL_AGRAFICO_2" localSheetId="8" hidden="1">#REF!</definedName>
    <definedName name="_8__123Graph_LBL_AGRAFICO_2" localSheetId="9" hidden="1">#REF!</definedName>
    <definedName name="_8__123Graph_LBL_AGRAFICO_2" localSheetId="10" hidden="1">#REF!</definedName>
    <definedName name="_8__123Graph_LBL_AGRAFICO_2" localSheetId="11" hidden="1">#REF!</definedName>
    <definedName name="_8__123Graph_LBL_AGRAFICO_2" hidden="1">#REF!</definedName>
    <definedName name="_8GO_TO" localSheetId="4">'[67]Total Financials'!#REF!</definedName>
    <definedName name="_8GO_TO" localSheetId="3">'[67]Total Financials'!#REF!</definedName>
    <definedName name="_8GO_TO" localSheetId="2">'[67]Total Financials'!#REF!</definedName>
    <definedName name="_8GO_TO" localSheetId="5">'[67]Total Financials'!#REF!</definedName>
    <definedName name="_8GO_TO" localSheetId="6">'[67]Total Financials'!#REF!</definedName>
    <definedName name="_8GO_TO" localSheetId="7">'[67]Total Financials'!#REF!</definedName>
    <definedName name="_8GO_TO" localSheetId="8">'[67]Total Financials'!#REF!</definedName>
    <definedName name="_8GO_TO" localSheetId="9">'[67]Total Financials'!#REF!</definedName>
    <definedName name="_8GO_TO" localSheetId="10">'[79]Total Financials'!#REF!</definedName>
    <definedName name="_8GO_TO">'[8]Total Financials'!#REF!</definedName>
    <definedName name="_A16572" localSheetId="4">#REF!</definedName>
    <definedName name="_A16572" localSheetId="3">#REF!</definedName>
    <definedName name="_A16572" localSheetId="2">#REF!</definedName>
    <definedName name="_A16572" localSheetId="5">#REF!</definedName>
    <definedName name="_A16572" localSheetId="6">#REF!</definedName>
    <definedName name="_A16572" localSheetId="7">#REF!</definedName>
    <definedName name="_A16572" localSheetId="8">#REF!</definedName>
    <definedName name="_A16572" localSheetId="9">#REF!</definedName>
    <definedName name="_A16572" localSheetId="10">#REF!</definedName>
    <definedName name="_A16572" localSheetId="11">#REF!</definedName>
    <definedName name="_A16572">#REF!</definedName>
    <definedName name="_A165721" localSheetId="4">'[65]#BEZUG'!$A$16172</definedName>
    <definedName name="_A165721" localSheetId="3">'[65]#BEZUG'!$A$16172</definedName>
    <definedName name="_A165721" localSheetId="2">'[65]#BEZUG'!$A$16172</definedName>
    <definedName name="_A165721" localSheetId="5">'[65]#BEZUG'!$A$16172</definedName>
    <definedName name="_A165721" localSheetId="6">'[65]#BEZUG'!$A$16172</definedName>
    <definedName name="_A165721" localSheetId="7">'[65]#BEZUG'!$A$16172</definedName>
    <definedName name="_A165721" localSheetId="8">'[65]#BEZUG'!$A$16172</definedName>
    <definedName name="_A165721" localSheetId="9">'[65]#BEZUG'!$A$16172</definedName>
    <definedName name="_A165721" localSheetId="10">'[78]#BEZUG'!$A$16172</definedName>
    <definedName name="_A165721">'[6]#BEZUG'!$A$16172</definedName>
    <definedName name="_A17172" localSheetId="4">#REF!</definedName>
    <definedName name="_A17172" localSheetId="3">#REF!</definedName>
    <definedName name="_A17172" localSheetId="2">#REF!</definedName>
    <definedName name="_A17172" localSheetId="5">#REF!</definedName>
    <definedName name="_A17172" localSheetId="6">#REF!</definedName>
    <definedName name="_A17172" localSheetId="7">#REF!</definedName>
    <definedName name="_A17172" localSheetId="8">#REF!</definedName>
    <definedName name="_A17172" localSheetId="9">#REF!</definedName>
    <definedName name="_A17172" localSheetId="10">#REF!</definedName>
    <definedName name="_A17172" localSheetId="11">#REF!</definedName>
    <definedName name="_A17172">#REF!</definedName>
    <definedName name="_A18172" localSheetId="4">#REF!</definedName>
    <definedName name="_A18172" localSheetId="3">#REF!</definedName>
    <definedName name="_A18172" localSheetId="2">#REF!</definedName>
    <definedName name="_A18172" localSheetId="5">#REF!</definedName>
    <definedName name="_A18172" localSheetId="6">#REF!</definedName>
    <definedName name="_A18172" localSheetId="7">#REF!</definedName>
    <definedName name="_A18172" localSheetId="8">#REF!</definedName>
    <definedName name="_A18172" localSheetId="9">#REF!</definedName>
    <definedName name="_A18172" localSheetId="10">#REF!</definedName>
    <definedName name="_A18172" localSheetId="11">#REF!</definedName>
    <definedName name="_A18172">#REF!</definedName>
    <definedName name="_A19172" localSheetId="4">#REF!</definedName>
    <definedName name="_A19172" localSheetId="3">#REF!</definedName>
    <definedName name="_A19172" localSheetId="2">#REF!</definedName>
    <definedName name="_A19172" localSheetId="5">#REF!</definedName>
    <definedName name="_A19172" localSheetId="6">#REF!</definedName>
    <definedName name="_A19172" localSheetId="7">#REF!</definedName>
    <definedName name="_A19172" localSheetId="8">#REF!</definedName>
    <definedName name="_A19172" localSheetId="9">#REF!</definedName>
    <definedName name="_A19172" localSheetId="10">#REF!</definedName>
    <definedName name="_A19172" localSheetId="11">#REF!</definedName>
    <definedName name="_A19172">#REF!</definedName>
    <definedName name="_A20000" localSheetId="4">#REF!</definedName>
    <definedName name="_A20000" localSheetId="3">#REF!</definedName>
    <definedName name="_A20000" localSheetId="2">#REF!</definedName>
    <definedName name="_A20000" localSheetId="5">#REF!</definedName>
    <definedName name="_A20000" localSheetId="6">#REF!</definedName>
    <definedName name="_A20000" localSheetId="7">#REF!</definedName>
    <definedName name="_A20000" localSheetId="8">#REF!</definedName>
    <definedName name="_A20000" localSheetId="9">#REF!</definedName>
    <definedName name="_A20000" localSheetId="10">#REF!</definedName>
    <definedName name="_A20000" localSheetId="11">#REF!</definedName>
    <definedName name="_A20000">#REF!</definedName>
    <definedName name="_a66000" localSheetId="4">#REF!</definedName>
    <definedName name="_a66000" localSheetId="3">#REF!</definedName>
    <definedName name="_a66000" localSheetId="2">#REF!</definedName>
    <definedName name="_a66000" localSheetId="5">#REF!</definedName>
    <definedName name="_a66000" localSheetId="6">#REF!</definedName>
    <definedName name="_a66000" localSheetId="7">#REF!</definedName>
    <definedName name="_a66000" localSheetId="8">#REF!</definedName>
    <definedName name="_a66000" localSheetId="9">#REF!</definedName>
    <definedName name="_a66000" localSheetId="10">#REF!</definedName>
    <definedName name="_a66000" localSheetId="11">#REF!</definedName>
    <definedName name="_a66000">#REF!</definedName>
    <definedName name="_a69000" localSheetId="4">#REF!</definedName>
    <definedName name="_a69000" localSheetId="3">#REF!</definedName>
    <definedName name="_a69000" localSheetId="2">#REF!</definedName>
    <definedName name="_a69000" localSheetId="5">#REF!</definedName>
    <definedName name="_a69000" localSheetId="6">#REF!</definedName>
    <definedName name="_a69000" localSheetId="7">#REF!</definedName>
    <definedName name="_a69000" localSheetId="8">#REF!</definedName>
    <definedName name="_a69000" localSheetId="9">#REF!</definedName>
    <definedName name="_a69000" localSheetId="10">#REF!</definedName>
    <definedName name="_a69000" localSheetId="11">#REF!</definedName>
    <definedName name="_a69000">#REF!</definedName>
    <definedName name="_A80000" localSheetId="4">#REF!</definedName>
    <definedName name="_A80000" localSheetId="3">#REF!</definedName>
    <definedName name="_A80000" localSheetId="2">#REF!</definedName>
    <definedName name="_A80000" localSheetId="5">#REF!</definedName>
    <definedName name="_A80000" localSheetId="6">#REF!</definedName>
    <definedName name="_A80000" localSheetId="7">#REF!</definedName>
    <definedName name="_A80000" localSheetId="8">#REF!</definedName>
    <definedName name="_A80000" localSheetId="9">#REF!</definedName>
    <definedName name="_A80000" localSheetId="10">#REF!</definedName>
    <definedName name="_A80000" localSheetId="11">#REF!</definedName>
    <definedName name="_A80000">#REF!</definedName>
    <definedName name="_act2" localSheetId="4">#REF!</definedName>
    <definedName name="_act2" localSheetId="3">#REF!</definedName>
    <definedName name="_act2" localSheetId="2">#REF!</definedName>
    <definedName name="_act2" localSheetId="5">#REF!</definedName>
    <definedName name="_act2" localSheetId="6">#REF!</definedName>
    <definedName name="_act2" localSheetId="7">#REF!</definedName>
    <definedName name="_act2" localSheetId="8">#REF!</definedName>
    <definedName name="_act2" localSheetId="9">#REF!</definedName>
    <definedName name="_act2" localSheetId="10">#REF!</definedName>
    <definedName name="_act2" localSheetId="11">#REF!</definedName>
    <definedName name="_act2">#REF!</definedName>
    <definedName name="_act3" localSheetId="4">#REF!</definedName>
    <definedName name="_act3" localSheetId="3">#REF!</definedName>
    <definedName name="_act3" localSheetId="2">#REF!</definedName>
    <definedName name="_act3" localSheetId="5">#REF!</definedName>
    <definedName name="_act3" localSheetId="6">#REF!</definedName>
    <definedName name="_act3" localSheetId="7">#REF!</definedName>
    <definedName name="_act3" localSheetId="8">#REF!</definedName>
    <definedName name="_act3" localSheetId="9">#REF!</definedName>
    <definedName name="_act3" localSheetId="10">#REF!</definedName>
    <definedName name="_act3" localSheetId="11">#REF!</definedName>
    <definedName name="_act3">#REF!</definedName>
    <definedName name="_act4" localSheetId="4">#REF!</definedName>
    <definedName name="_act4" localSheetId="3">#REF!</definedName>
    <definedName name="_act4" localSheetId="2">#REF!</definedName>
    <definedName name="_act4" localSheetId="5">#REF!</definedName>
    <definedName name="_act4" localSheetId="6">#REF!</definedName>
    <definedName name="_act4" localSheetId="7">#REF!</definedName>
    <definedName name="_act4" localSheetId="8">#REF!</definedName>
    <definedName name="_act4" localSheetId="9">#REF!</definedName>
    <definedName name="_act4" localSheetId="10">#REF!</definedName>
    <definedName name="_act4" localSheetId="11">#REF!</definedName>
    <definedName name="_act4">#REF!</definedName>
    <definedName name="_AEM14" localSheetId="4">#REF!</definedName>
    <definedName name="_AEM14" localSheetId="3">#REF!</definedName>
    <definedName name="_AEM14" localSheetId="2">#REF!</definedName>
    <definedName name="_AEM14" localSheetId="5">#REF!</definedName>
    <definedName name="_AEM14" localSheetId="6">#REF!</definedName>
    <definedName name="_AEM14" localSheetId="7">#REF!</definedName>
    <definedName name="_AEM14" localSheetId="8">#REF!</definedName>
    <definedName name="_AEM14" localSheetId="9">#REF!</definedName>
    <definedName name="_AEM14" localSheetId="10">#REF!</definedName>
    <definedName name="_AEM14" localSheetId="11">#REF!</definedName>
    <definedName name="_AEM14">#REF!</definedName>
    <definedName name="_afo1" localSheetId="4">#REF!</definedName>
    <definedName name="_afo1" localSheetId="3">#REF!</definedName>
    <definedName name="_afo1" localSheetId="2">#REF!</definedName>
    <definedName name="_afo1" localSheetId="5">#REF!</definedName>
    <definedName name="_afo1" localSheetId="6">#REF!</definedName>
    <definedName name="_afo1" localSheetId="7">#REF!</definedName>
    <definedName name="_afo1" localSheetId="8">#REF!</definedName>
    <definedName name="_afo1" localSheetId="9">#REF!</definedName>
    <definedName name="_afo1" localSheetId="10">#REF!</definedName>
    <definedName name="_afo1" localSheetId="11">#REF!</definedName>
    <definedName name="_afo1">#REF!</definedName>
    <definedName name="_ag1" localSheetId="4">#REF!</definedName>
    <definedName name="_ag1" localSheetId="3">#REF!</definedName>
    <definedName name="_ag1" localSheetId="2">#REF!</definedName>
    <definedName name="_ag1" localSheetId="5">#REF!</definedName>
    <definedName name="_ag1" localSheetId="6">#REF!</definedName>
    <definedName name="_ag1" localSheetId="7">#REF!</definedName>
    <definedName name="_ag1" localSheetId="8">#REF!</definedName>
    <definedName name="_ag1" localSheetId="9">#REF!</definedName>
    <definedName name="_ag1" localSheetId="10">#REF!</definedName>
    <definedName name="_ag1" localSheetId="11">#REF!</definedName>
    <definedName name="_ag1">#REF!</definedName>
    <definedName name="_ALL18" localSheetId="4">#REF!</definedName>
    <definedName name="_ALL18" localSheetId="3">#REF!</definedName>
    <definedName name="_ALL18" localSheetId="2">#REF!</definedName>
    <definedName name="_ALL18" localSheetId="5">#REF!</definedName>
    <definedName name="_ALL18" localSheetId="6">#REF!</definedName>
    <definedName name="_ALL18" localSheetId="7">#REF!</definedName>
    <definedName name="_ALL18" localSheetId="8">#REF!</definedName>
    <definedName name="_ALL18" localSheetId="9">#REF!</definedName>
    <definedName name="_ALL18" localSheetId="10">#REF!</definedName>
    <definedName name="_ALL18" localSheetId="11">#REF!</definedName>
    <definedName name="_ALL18">#REF!</definedName>
    <definedName name="_all22" localSheetId="4">[68]PLALL!$A$1:$BM$137</definedName>
    <definedName name="_all22" localSheetId="3">[68]PLALL!$A$1:$BM$137</definedName>
    <definedName name="_all22" localSheetId="2">[68]PLALL!$A$1:$BM$137</definedName>
    <definedName name="_all22" localSheetId="5">[68]PLALL!$A$1:$BM$137</definedName>
    <definedName name="_all22" localSheetId="6">[68]PLALL!$A$1:$BM$137</definedName>
    <definedName name="_all22" localSheetId="7">[68]PLALL!$A$1:$BM$137</definedName>
    <definedName name="_all22" localSheetId="10">[80]PLALL!$A$1:$BM$137</definedName>
    <definedName name="_all22">[9]PLALL!$A$1:$BM$137</definedName>
    <definedName name="_BKL1" localSheetId="4">#REF!</definedName>
    <definedName name="_BKL1" localSheetId="3">#REF!</definedName>
    <definedName name="_BKL1" localSheetId="2">#REF!</definedName>
    <definedName name="_BKL1" localSheetId="5">#REF!</definedName>
    <definedName name="_BKL1" localSheetId="6">#REF!</definedName>
    <definedName name="_BKL1" localSheetId="7">#REF!</definedName>
    <definedName name="_BKL1" localSheetId="8">#REF!</definedName>
    <definedName name="_BKL1" localSheetId="9">#REF!</definedName>
    <definedName name="_BKL1" localSheetId="10">#REF!</definedName>
    <definedName name="_BKL1" localSheetId="11">#REF!</definedName>
    <definedName name="_BKL1">#REF!</definedName>
    <definedName name="_BKL2" localSheetId="4">#REF!</definedName>
    <definedName name="_BKL2" localSheetId="3">#REF!</definedName>
    <definedName name="_BKL2" localSheetId="2">#REF!</definedName>
    <definedName name="_BKL2" localSheetId="5">#REF!</definedName>
    <definedName name="_BKL2" localSheetId="6">#REF!</definedName>
    <definedName name="_BKL2" localSheetId="7">#REF!</definedName>
    <definedName name="_BKL2" localSheetId="8">#REF!</definedName>
    <definedName name="_BKL2" localSheetId="9">#REF!</definedName>
    <definedName name="_BKL2" localSheetId="10">#REF!</definedName>
    <definedName name="_BKL2" localSheetId="11">#REF!</definedName>
    <definedName name="_BKL2">#REF!</definedName>
    <definedName name="_BKL3" localSheetId="4">#REF!</definedName>
    <definedName name="_BKL3" localSheetId="3">#REF!</definedName>
    <definedName name="_BKL3" localSheetId="2">#REF!</definedName>
    <definedName name="_BKL3" localSheetId="5">#REF!</definedName>
    <definedName name="_BKL3" localSheetId="6">#REF!</definedName>
    <definedName name="_BKL3" localSheetId="7">#REF!</definedName>
    <definedName name="_BKL3" localSheetId="8">#REF!</definedName>
    <definedName name="_BKL3" localSheetId="9">#REF!</definedName>
    <definedName name="_BKL3" localSheetId="10">#REF!</definedName>
    <definedName name="_BKL3" localSheetId="11">#REF!</definedName>
    <definedName name="_BKL3">#REF!</definedName>
    <definedName name="_BQ4.2" localSheetId="4" hidden="1">'[12]#REF'!#REF!</definedName>
    <definedName name="_BQ4.2" localSheetId="3" hidden="1">'[12]#REF'!#REF!</definedName>
    <definedName name="_BQ4.2" localSheetId="2" hidden="1">'[12]#REF'!#REF!</definedName>
    <definedName name="_BQ4.2" localSheetId="5" hidden="1">'[13]#REF'!#REF!</definedName>
    <definedName name="_BQ4.2" localSheetId="6" hidden="1">'[13]#REF'!#REF!</definedName>
    <definedName name="_BQ4.2" localSheetId="7" hidden="1">'[13]#REF'!#REF!</definedName>
    <definedName name="_BQ4.2" localSheetId="8" hidden="1">'[77]#REF'!#REF!</definedName>
    <definedName name="_BQ4.2" localSheetId="9" hidden="1">'[77]#REF'!#REF!</definedName>
    <definedName name="_BQ4.2" localSheetId="10" hidden="1">'[8]#REF'!#REF!</definedName>
    <definedName name="_BQ4.2" hidden="1">'[10]#REF'!#REF!</definedName>
    <definedName name="_BQ4.5" localSheetId="4" hidden="1">[12]Table!#REF!</definedName>
    <definedName name="_BQ4.5" localSheetId="3" hidden="1">[12]Table!#REF!</definedName>
    <definedName name="_BQ4.5" localSheetId="2" hidden="1">[12]Table!#REF!</definedName>
    <definedName name="_BQ4.5" localSheetId="5" hidden="1">[13]Table!#REF!</definedName>
    <definedName name="_BQ4.5" localSheetId="6" hidden="1">[13]Table!#REF!</definedName>
    <definedName name="_BQ4.5" localSheetId="7" hidden="1">[13]Table!#REF!</definedName>
    <definedName name="_BQ4.5" localSheetId="8" hidden="1">[77]Table!#REF!</definedName>
    <definedName name="_BQ4.5" localSheetId="9" hidden="1">[77]Table!#REF!</definedName>
    <definedName name="_BQ4.5" localSheetId="10" hidden="1">[8]Table!#REF!</definedName>
    <definedName name="_BQ4.5" hidden="1">[10]Table!#REF!</definedName>
    <definedName name="_CAR05" localSheetId="4">#REF!</definedName>
    <definedName name="_CAR05" localSheetId="3">#REF!</definedName>
    <definedName name="_CAR05" localSheetId="2">#REF!</definedName>
    <definedName name="_CAR05" localSheetId="5">#REF!</definedName>
    <definedName name="_CAR05" localSheetId="6">#REF!</definedName>
    <definedName name="_CAR05" localSheetId="7">#REF!</definedName>
    <definedName name="_CAR05" localSheetId="8">#REF!</definedName>
    <definedName name="_CAR05" localSheetId="9">#REF!</definedName>
    <definedName name="_CAR05" localSheetId="10">#REF!</definedName>
    <definedName name="_CAR05" localSheetId="11">#REF!</definedName>
    <definedName name="_CAR05">#REF!</definedName>
    <definedName name="_cat2" localSheetId="4" hidden="1">{#N/A,#N/A,TRUE,"Distribution";#N/A,#N/A,TRUE,"Fulfillment";#N/A,#N/A,TRUE,"Aged Backorders"}</definedName>
    <definedName name="_cat2" localSheetId="3" hidden="1">{#N/A,#N/A,TRUE,"Distribution";#N/A,#N/A,TRUE,"Fulfillment";#N/A,#N/A,TRUE,"Aged Backorders"}</definedName>
    <definedName name="_cat2" localSheetId="2" hidden="1">{#N/A,#N/A,TRUE,"Distribution";#N/A,#N/A,TRUE,"Fulfillment";#N/A,#N/A,TRUE,"Aged Backorders"}</definedName>
    <definedName name="_cat2" localSheetId="8" hidden="1">{#N/A,#N/A,TRUE,"Distribution";#N/A,#N/A,TRUE,"Fulfillment";#N/A,#N/A,TRUE,"Aged Backorders"}</definedName>
    <definedName name="_cat2" localSheetId="9" hidden="1">{#N/A,#N/A,TRUE,"Distribution";#N/A,#N/A,TRUE,"Fulfillment";#N/A,#N/A,TRUE,"Aged Backorders"}</definedName>
    <definedName name="_cat2" localSheetId="10" hidden="1">{#N/A,#N/A,TRUE,"Distribution";#N/A,#N/A,TRUE,"Fulfillment";#N/A,#N/A,TRUE,"Aged Backorders"}</definedName>
    <definedName name="_cat2" hidden="1">{#N/A,#N/A,TRUE,"Distribution";#N/A,#N/A,TRUE,"Fulfillment";#N/A,#N/A,TRUE,"Aged Backorders"}</definedName>
    <definedName name="_Col3" localSheetId="4">[69]tables!$S$7</definedName>
    <definedName name="_Col3" localSheetId="3">[69]tables!$S$7</definedName>
    <definedName name="_Col3" localSheetId="2">[69]tables!$S$7</definedName>
    <definedName name="_Col3" localSheetId="5">[69]tables!$S$7</definedName>
    <definedName name="_Col3" localSheetId="6">[69]tables!$S$7</definedName>
    <definedName name="_Col3" localSheetId="7">[69]tables!$S$7</definedName>
    <definedName name="_Col3" localSheetId="8">[14]tables!$S$7</definedName>
    <definedName name="_Col3" localSheetId="9">[14]tables!$S$7</definedName>
    <definedName name="_Col3" localSheetId="10">[7]Tables!$S$7</definedName>
    <definedName name="_Col3">[11]tables!$S$7</definedName>
    <definedName name="_Col6" localSheetId="4">[69]tables!$S$12</definedName>
    <definedName name="_Col6" localSheetId="3">[69]tables!$S$12</definedName>
    <definedName name="_Col6" localSheetId="2">[69]tables!$S$12</definedName>
    <definedName name="_Col6" localSheetId="5">[69]tables!$S$12</definedName>
    <definedName name="_Col6" localSheetId="6">[69]tables!$S$12</definedName>
    <definedName name="_Col6" localSheetId="7">[69]tables!$S$12</definedName>
    <definedName name="_Col6" localSheetId="8">[14]tables!$S$12</definedName>
    <definedName name="_Col6" localSheetId="9">[14]tables!$S$12</definedName>
    <definedName name="_Col6" localSheetId="10">[7]Tables!$S$12</definedName>
    <definedName name="_Col6">[11]tables!$S$12</definedName>
    <definedName name="_CSD3" localSheetId="4">#REF!</definedName>
    <definedName name="_CSD3" localSheetId="3">#REF!</definedName>
    <definedName name="_CSD3" localSheetId="2">#REF!</definedName>
    <definedName name="_CSD3" localSheetId="5">#REF!</definedName>
    <definedName name="_CSD3" localSheetId="6">#REF!</definedName>
    <definedName name="_CSD3" localSheetId="7">#REF!</definedName>
    <definedName name="_CSD3" localSheetId="8">#REF!</definedName>
    <definedName name="_CSD3" localSheetId="9">#REF!</definedName>
    <definedName name="_CSD3" localSheetId="10">#REF!</definedName>
    <definedName name="_CSD3" localSheetId="11">#REF!</definedName>
    <definedName name="_CSD3">#REF!</definedName>
    <definedName name="_DAT1" localSheetId="4">#REF!</definedName>
    <definedName name="_DAT1" localSheetId="3">#REF!</definedName>
    <definedName name="_DAT1" localSheetId="2">#REF!</definedName>
    <definedName name="_DAT1" localSheetId="5">#REF!</definedName>
    <definedName name="_DAT1" localSheetId="6">#REF!</definedName>
    <definedName name="_DAT1" localSheetId="7">#REF!</definedName>
    <definedName name="_DAT1" localSheetId="8">#REF!</definedName>
    <definedName name="_DAT1" localSheetId="9">#REF!</definedName>
    <definedName name="_DAT1" localSheetId="10">#REF!</definedName>
    <definedName name="_DAT1" localSheetId="11">#REF!</definedName>
    <definedName name="_DAT1">#REF!</definedName>
    <definedName name="_DAT10" localSheetId="4">#REF!</definedName>
    <definedName name="_DAT10" localSheetId="3">#REF!</definedName>
    <definedName name="_DAT10" localSheetId="2">#REF!</definedName>
    <definedName name="_DAT10" localSheetId="5">#REF!</definedName>
    <definedName name="_DAT10" localSheetId="6">#REF!</definedName>
    <definedName name="_DAT10" localSheetId="7">#REF!</definedName>
    <definedName name="_DAT10" localSheetId="8">#REF!</definedName>
    <definedName name="_DAT10" localSheetId="9">#REF!</definedName>
    <definedName name="_DAT10" localSheetId="10">#REF!</definedName>
    <definedName name="_DAT10" localSheetId="11">#REF!</definedName>
    <definedName name="_DAT10">#REF!</definedName>
    <definedName name="_DAT11" localSheetId="4">#REF!</definedName>
    <definedName name="_DAT11" localSheetId="3">#REF!</definedName>
    <definedName name="_DAT11" localSheetId="2">#REF!</definedName>
    <definedName name="_DAT11" localSheetId="5">#REF!</definedName>
    <definedName name="_DAT11" localSheetId="6">#REF!</definedName>
    <definedName name="_DAT11" localSheetId="7">#REF!</definedName>
    <definedName name="_DAT11" localSheetId="8">#REF!</definedName>
    <definedName name="_DAT11" localSheetId="9">#REF!</definedName>
    <definedName name="_DAT11" localSheetId="10">#REF!</definedName>
    <definedName name="_DAT11" localSheetId="11">#REF!</definedName>
    <definedName name="_DAT11">#REF!</definedName>
    <definedName name="_DAT12" localSheetId="4">#REF!</definedName>
    <definedName name="_DAT12" localSheetId="3">#REF!</definedName>
    <definedName name="_DAT12" localSheetId="2">#REF!</definedName>
    <definedName name="_DAT12" localSheetId="5">#REF!</definedName>
    <definedName name="_DAT12" localSheetId="6">#REF!</definedName>
    <definedName name="_DAT12" localSheetId="7">#REF!</definedName>
    <definedName name="_DAT12" localSheetId="8">#REF!</definedName>
    <definedName name="_DAT12" localSheetId="9">#REF!</definedName>
    <definedName name="_DAT12" localSheetId="10">#REF!</definedName>
    <definedName name="_DAT12" localSheetId="11">#REF!</definedName>
    <definedName name="_DAT12">#REF!</definedName>
    <definedName name="_DAT13" localSheetId="4">#REF!</definedName>
    <definedName name="_DAT13" localSheetId="3">#REF!</definedName>
    <definedName name="_DAT13" localSheetId="2">#REF!</definedName>
    <definedName name="_DAT13" localSheetId="5">#REF!</definedName>
    <definedName name="_DAT13" localSheetId="6">#REF!</definedName>
    <definedName name="_DAT13" localSheetId="7">#REF!</definedName>
    <definedName name="_DAT13" localSheetId="8">#REF!</definedName>
    <definedName name="_DAT13" localSheetId="9">#REF!</definedName>
    <definedName name="_DAT13" localSheetId="10">#REF!</definedName>
    <definedName name="_DAT13" localSheetId="11">#REF!</definedName>
    <definedName name="_DAT13">#REF!</definedName>
    <definedName name="_DAT14" localSheetId="4">#REF!</definedName>
    <definedName name="_DAT14" localSheetId="3">#REF!</definedName>
    <definedName name="_DAT14" localSheetId="2">#REF!</definedName>
    <definedName name="_DAT14" localSheetId="5">#REF!</definedName>
    <definedName name="_DAT14" localSheetId="6">#REF!</definedName>
    <definedName name="_DAT14" localSheetId="7">#REF!</definedName>
    <definedName name="_DAT14" localSheetId="8">#REF!</definedName>
    <definedName name="_DAT14" localSheetId="9">#REF!</definedName>
    <definedName name="_DAT14" localSheetId="10">#REF!</definedName>
    <definedName name="_DAT14" localSheetId="11">#REF!</definedName>
    <definedName name="_DAT14">#REF!</definedName>
    <definedName name="_DAT15" localSheetId="4">#REF!</definedName>
    <definedName name="_DAT15" localSheetId="3">#REF!</definedName>
    <definedName name="_DAT15" localSheetId="2">#REF!</definedName>
    <definedName name="_DAT15" localSheetId="5">#REF!</definedName>
    <definedName name="_DAT15" localSheetId="6">#REF!</definedName>
    <definedName name="_DAT15" localSheetId="7">#REF!</definedName>
    <definedName name="_DAT15" localSheetId="8">#REF!</definedName>
    <definedName name="_DAT15" localSheetId="9">#REF!</definedName>
    <definedName name="_DAT15" localSheetId="10">#REF!</definedName>
    <definedName name="_DAT15" localSheetId="11">#REF!</definedName>
    <definedName name="_DAT15">#REF!</definedName>
    <definedName name="_DAT16" localSheetId="4">#REF!</definedName>
    <definedName name="_DAT16" localSheetId="3">#REF!</definedName>
    <definedName name="_DAT16" localSheetId="2">#REF!</definedName>
    <definedName name="_DAT16" localSheetId="5">#REF!</definedName>
    <definedName name="_DAT16" localSheetId="6">#REF!</definedName>
    <definedName name="_DAT16" localSheetId="7">#REF!</definedName>
    <definedName name="_DAT16" localSheetId="8">#REF!</definedName>
    <definedName name="_DAT16" localSheetId="9">#REF!</definedName>
    <definedName name="_DAT16" localSheetId="10">#REF!</definedName>
    <definedName name="_DAT16" localSheetId="11">#REF!</definedName>
    <definedName name="_DAT16">#REF!</definedName>
    <definedName name="_DAT17" localSheetId="4">#REF!</definedName>
    <definedName name="_DAT17" localSheetId="3">#REF!</definedName>
    <definedName name="_DAT17" localSheetId="2">#REF!</definedName>
    <definedName name="_DAT17" localSheetId="5">#REF!</definedName>
    <definedName name="_DAT17" localSheetId="6">#REF!</definedName>
    <definedName name="_DAT17" localSheetId="7">#REF!</definedName>
    <definedName name="_DAT17" localSheetId="8">#REF!</definedName>
    <definedName name="_DAT17" localSheetId="9">#REF!</definedName>
    <definedName name="_DAT17" localSheetId="10">#REF!</definedName>
    <definedName name="_DAT17" localSheetId="11">#REF!</definedName>
    <definedName name="_DAT17">#REF!</definedName>
    <definedName name="_DAT2" localSheetId="4">#REF!</definedName>
    <definedName name="_DAT2" localSheetId="3">#REF!</definedName>
    <definedName name="_DAT2" localSheetId="2">#REF!</definedName>
    <definedName name="_DAT2" localSheetId="5">#REF!</definedName>
    <definedName name="_DAT2" localSheetId="6">#REF!</definedName>
    <definedName name="_DAT2" localSheetId="7">#REF!</definedName>
    <definedName name="_DAT2" localSheetId="8">#REF!</definedName>
    <definedName name="_DAT2" localSheetId="9">#REF!</definedName>
    <definedName name="_DAT2" localSheetId="10">#REF!</definedName>
    <definedName name="_DAT2" localSheetId="11">#REF!</definedName>
    <definedName name="_DAT2">#REF!</definedName>
    <definedName name="_DAT3" localSheetId="4">#REF!</definedName>
    <definedName name="_DAT3" localSheetId="3">#REF!</definedName>
    <definedName name="_DAT3" localSheetId="2">#REF!</definedName>
    <definedName name="_DAT3" localSheetId="5">#REF!</definedName>
    <definedName name="_DAT3" localSheetId="6">#REF!</definedName>
    <definedName name="_DAT3" localSheetId="7">#REF!</definedName>
    <definedName name="_DAT3" localSheetId="8">#REF!</definedName>
    <definedName name="_DAT3" localSheetId="9">#REF!</definedName>
    <definedName name="_DAT3" localSheetId="10">#REF!</definedName>
    <definedName name="_DAT3" localSheetId="11">#REF!</definedName>
    <definedName name="_DAT3">#REF!</definedName>
    <definedName name="_DAT4" localSheetId="4">#REF!</definedName>
    <definedName name="_DAT4" localSheetId="3">#REF!</definedName>
    <definedName name="_DAT4" localSheetId="2">#REF!</definedName>
    <definedName name="_DAT4" localSheetId="5">#REF!</definedName>
    <definedName name="_DAT4" localSheetId="6">#REF!</definedName>
    <definedName name="_DAT4" localSheetId="7">#REF!</definedName>
    <definedName name="_DAT4" localSheetId="8">#REF!</definedName>
    <definedName name="_DAT4" localSheetId="9">#REF!</definedName>
    <definedName name="_DAT4" localSheetId="10">#REF!</definedName>
    <definedName name="_DAT4" localSheetId="11">#REF!</definedName>
    <definedName name="_DAT4">#REF!</definedName>
    <definedName name="_DAT5" localSheetId="4">#REF!</definedName>
    <definedName name="_DAT5" localSheetId="3">#REF!</definedName>
    <definedName name="_DAT5" localSheetId="2">#REF!</definedName>
    <definedName name="_DAT5" localSheetId="5">#REF!</definedName>
    <definedName name="_DAT5" localSheetId="6">#REF!</definedName>
    <definedName name="_DAT5" localSheetId="7">#REF!</definedName>
    <definedName name="_DAT5" localSheetId="8">#REF!</definedName>
    <definedName name="_DAT5" localSheetId="9">#REF!</definedName>
    <definedName name="_DAT5" localSheetId="10">#REF!</definedName>
    <definedName name="_DAT5" localSheetId="11">#REF!</definedName>
    <definedName name="_DAT5">#REF!</definedName>
    <definedName name="_DAT6" localSheetId="4">#REF!</definedName>
    <definedName name="_DAT6" localSheetId="3">#REF!</definedName>
    <definedName name="_DAT6" localSheetId="2">#REF!</definedName>
    <definedName name="_DAT6" localSheetId="5">#REF!</definedName>
    <definedName name="_DAT6" localSheetId="6">#REF!</definedName>
    <definedName name="_DAT6" localSheetId="7">#REF!</definedName>
    <definedName name="_DAT6" localSheetId="8">#REF!</definedName>
    <definedName name="_DAT6" localSheetId="9">#REF!</definedName>
    <definedName name="_DAT6" localSheetId="10">#REF!</definedName>
    <definedName name="_DAT6" localSheetId="11">#REF!</definedName>
    <definedName name="_DAT6">#REF!</definedName>
    <definedName name="_DAT7" localSheetId="4">#REF!</definedName>
    <definedName name="_DAT7" localSheetId="3">#REF!</definedName>
    <definedName name="_DAT7" localSheetId="2">#REF!</definedName>
    <definedName name="_DAT7" localSheetId="5">#REF!</definedName>
    <definedName name="_DAT7" localSheetId="6">#REF!</definedName>
    <definedName name="_DAT7" localSheetId="7">#REF!</definedName>
    <definedName name="_DAT7" localSheetId="8">#REF!</definedName>
    <definedName name="_DAT7" localSheetId="9">#REF!</definedName>
    <definedName name="_DAT7" localSheetId="10">#REF!</definedName>
    <definedName name="_DAT7" localSheetId="11">#REF!</definedName>
    <definedName name="_DAT7">#REF!</definedName>
    <definedName name="_DAT8" localSheetId="4">#REF!</definedName>
    <definedName name="_DAT8" localSheetId="3">#REF!</definedName>
    <definedName name="_DAT8" localSheetId="2">#REF!</definedName>
    <definedName name="_DAT8" localSheetId="5">#REF!</definedName>
    <definedName name="_DAT8" localSheetId="6">#REF!</definedName>
    <definedName name="_DAT8" localSheetId="7">#REF!</definedName>
    <definedName name="_DAT8" localSheetId="8">#REF!</definedName>
    <definedName name="_DAT8" localSheetId="9">#REF!</definedName>
    <definedName name="_DAT8" localSheetId="10">#REF!</definedName>
    <definedName name="_DAT8" localSheetId="11">#REF!</definedName>
    <definedName name="_DAT8">#REF!</definedName>
    <definedName name="_DAT9" localSheetId="4">#REF!</definedName>
    <definedName name="_DAT9" localSheetId="3">#REF!</definedName>
    <definedName name="_DAT9" localSheetId="2">#REF!</definedName>
    <definedName name="_DAT9" localSheetId="5">#REF!</definedName>
    <definedName name="_DAT9" localSheetId="6">#REF!</definedName>
    <definedName name="_DAT9" localSheetId="7">#REF!</definedName>
    <definedName name="_DAT9" localSheetId="8">#REF!</definedName>
    <definedName name="_DAT9" localSheetId="9">#REF!</definedName>
    <definedName name="_DAT9" localSheetId="10">#REF!</definedName>
    <definedName name="_DAT9" localSheetId="11">#REF!</definedName>
    <definedName name="_DAT9">#REF!</definedName>
    <definedName name="_DEL1" localSheetId="4">[16]!_xlbgnm.DEL1</definedName>
    <definedName name="_DEL1" localSheetId="3">[16]!_xlbgnm.DEL1</definedName>
    <definedName name="_DEL1" localSheetId="2">[16]!_xlbgnm.DEL1</definedName>
    <definedName name="_DEL1" localSheetId="5">[16]!_xlbgnm.DEL1</definedName>
    <definedName name="_DEL1" localSheetId="6">[16]!_xlbgnm.DEL1</definedName>
    <definedName name="_DEL1" localSheetId="7">[16]!_xlbgnm.DEL1</definedName>
    <definedName name="_DEL1" localSheetId="8">[16]!_xlbgnm.DEL1</definedName>
    <definedName name="_DEL1" localSheetId="9">[16]!_xlbgnm.DEL1</definedName>
    <definedName name="_DEL1" localSheetId="10">[67]!_xlbgnm.DEL1</definedName>
    <definedName name="_DEL1">[12]!_xlbgnm.DEL1</definedName>
    <definedName name="_DEL2" localSheetId="4">[16]!_xlbgnm.DEL2</definedName>
    <definedName name="_DEL2" localSheetId="3">[16]!_xlbgnm.DEL2</definedName>
    <definedName name="_DEL2" localSheetId="2">[16]!_xlbgnm.DEL2</definedName>
    <definedName name="_DEL2" localSheetId="5">[16]!_xlbgnm.DEL2</definedName>
    <definedName name="_DEL2" localSheetId="6">[16]!_xlbgnm.DEL2</definedName>
    <definedName name="_DEL2" localSheetId="7">[16]!_xlbgnm.DEL2</definedName>
    <definedName name="_DEL2" localSheetId="8">[16]!_xlbgnm.DEL2</definedName>
    <definedName name="_DEL2" localSheetId="9">[16]!_xlbgnm.DEL2</definedName>
    <definedName name="_DEL2" localSheetId="10">[67]!_xlbgnm.DEL2</definedName>
    <definedName name="_DEL2">[12]!_xlbgnm.DEL2</definedName>
    <definedName name="_dfjkasfbwefyusvasd" localSheetId="4" hidden="1">{#N/A,#N/A,TRUE,"Distribution";#N/A,#N/A,TRUE,"Fulfillment";#N/A,#N/A,TRUE,"Aged Backorders"}</definedName>
    <definedName name="_dfjkasfbwefyusvasd" localSheetId="3" hidden="1">{#N/A,#N/A,TRUE,"Distribution";#N/A,#N/A,TRUE,"Fulfillment";#N/A,#N/A,TRUE,"Aged Backorders"}</definedName>
    <definedName name="_dfjkasfbwefyusvasd" localSheetId="2" hidden="1">{#N/A,#N/A,TRUE,"Distribution";#N/A,#N/A,TRUE,"Fulfillment";#N/A,#N/A,TRUE,"Aged Backorders"}</definedName>
    <definedName name="_dfjkasfbwefyusvasd" localSheetId="8" hidden="1">{#N/A,#N/A,TRUE,"Distribution";#N/A,#N/A,TRUE,"Fulfillment";#N/A,#N/A,TRUE,"Aged Backorders"}</definedName>
    <definedName name="_dfjkasfbwefyusvasd" localSheetId="9" hidden="1">{#N/A,#N/A,TRUE,"Distribution";#N/A,#N/A,TRUE,"Fulfillment";#N/A,#N/A,TRUE,"Aged Backorders"}</definedName>
    <definedName name="_dfjkasfbwefyusvasd" localSheetId="10" hidden="1">{#N/A,#N/A,TRUE,"Distribution";#N/A,#N/A,TRUE,"Fulfillment";#N/A,#N/A,TRUE,"Aged Backorders"}</definedName>
    <definedName name="_dfjkasfbwefyusvasd" hidden="1">{#N/A,#N/A,TRUE,"Distribution";#N/A,#N/A,TRUE,"Fulfillment";#N/A,#N/A,TRUE,"Aged Backorders"}</definedName>
    <definedName name="_FED18" localSheetId="4">#REF!</definedName>
    <definedName name="_FED18" localSheetId="3">#REF!</definedName>
    <definedName name="_FED18" localSheetId="2">#REF!</definedName>
    <definedName name="_FED18" localSheetId="5">#REF!</definedName>
    <definedName name="_FED18" localSheetId="6">#REF!</definedName>
    <definedName name="_FED18" localSheetId="7">#REF!</definedName>
    <definedName name="_FED18" localSheetId="8">#REF!</definedName>
    <definedName name="_FED18" localSheetId="9">#REF!</definedName>
    <definedName name="_FED18" localSheetId="10">#REF!</definedName>
    <definedName name="_FED18" localSheetId="11">#REF!</definedName>
    <definedName name="_FED18">#REF!</definedName>
    <definedName name="_Fill" localSheetId="4" hidden="1">#REF!</definedName>
    <definedName name="_Fill" localSheetId="3" hidden="1">#REF!</definedName>
    <definedName name="_Fill" localSheetId="2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hidden="1">#REF!</definedName>
    <definedName name="_G100000" localSheetId="4">#REF!</definedName>
    <definedName name="_G100000" localSheetId="3">#REF!</definedName>
    <definedName name="_G100000" localSheetId="2">#REF!</definedName>
    <definedName name="_G100000" localSheetId="5">#REF!</definedName>
    <definedName name="_G100000" localSheetId="6">#REF!</definedName>
    <definedName name="_G100000" localSheetId="7">#REF!</definedName>
    <definedName name="_G100000" localSheetId="8">#REF!</definedName>
    <definedName name="_G100000" localSheetId="9">#REF!</definedName>
    <definedName name="_G100000" localSheetId="10">#REF!</definedName>
    <definedName name="_G100000" localSheetId="11">#REF!</definedName>
    <definedName name="_G100000">#REF!</definedName>
    <definedName name="_GMC1" localSheetId="4">#REF!</definedName>
    <definedName name="_GMC1" localSheetId="3">#REF!</definedName>
    <definedName name="_GMC1" localSheetId="2">#REF!</definedName>
    <definedName name="_GMC1" localSheetId="5">#REF!</definedName>
    <definedName name="_GMC1" localSheetId="6">#REF!</definedName>
    <definedName name="_GMC1" localSheetId="7">#REF!</definedName>
    <definedName name="_GMC1" localSheetId="8">#REF!</definedName>
    <definedName name="_GMC1" localSheetId="9">#REF!</definedName>
    <definedName name="_GMC1" localSheetId="10">#REF!</definedName>
    <definedName name="_GMC1" localSheetId="11">#REF!</definedName>
    <definedName name="_GMC1">#REF!</definedName>
    <definedName name="_GMC2" localSheetId="4">#REF!</definedName>
    <definedName name="_GMC2" localSheetId="3">#REF!</definedName>
    <definedName name="_GMC2" localSheetId="2">#REF!</definedName>
    <definedName name="_GMC2" localSheetId="5">#REF!</definedName>
    <definedName name="_GMC2" localSheetId="6">#REF!</definedName>
    <definedName name="_GMC2" localSheetId="7">#REF!</definedName>
    <definedName name="_GMC2" localSheetId="8">#REF!</definedName>
    <definedName name="_GMC2" localSheetId="9">#REF!</definedName>
    <definedName name="_GMC2" localSheetId="10">#REF!</definedName>
    <definedName name="_GMC2" localSheetId="11">#REF!</definedName>
    <definedName name="_GMC2">#REF!</definedName>
    <definedName name="_Key1" localSheetId="4" hidden="1">#REF!</definedName>
    <definedName name="_Key1" localSheetId="3" hidden="1">#REF!</definedName>
    <definedName name="_Key1" localSheetId="2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localSheetId="11" hidden="1">#REF!</definedName>
    <definedName name="_Key1" hidden="1">#REF!</definedName>
    <definedName name="_Key1.1" localSheetId="4" hidden="1">#REF!</definedName>
    <definedName name="_Key1.1" localSheetId="3" hidden="1">#REF!</definedName>
    <definedName name="_Key1.1" localSheetId="2" hidden="1">#REF!</definedName>
    <definedName name="_Key1.1" localSheetId="5" hidden="1">#REF!</definedName>
    <definedName name="_Key1.1" localSheetId="6" hidden="1">#REF!</definedName>
    <definedName name="_Key1.1" localSheetId="7" hidden="1">#REF!</definedName>
    <definedName name="_Key1.1" localSheetId="8" hidden="1">#REF!</definedName>
    <definedName name="_Key1.1" localSheetId="9" hidden="1">#REF!</definedName>
    <definedName name="_Key1.1" localSheetId="10" hidden="1">#REF!</definedName>
    <definedName name="_Key1.1" localSheetId="11" hidden="1">#REF!</definedName>
    <definedName name="_Key1.1" hidden="1">#REF!</definedName>
    <definedName name="_Key1.2" localSheetId="4" hidden="1">#REF!</definedName>
    <definedName name="_Key1.2" localSheetId="3" hidden="1">#REF!</definedName>
    <definedName name="_Key1.2" localSheetId="2" hidden="1">#REF!</definedName>
    <definedName name="_Key1.2" localSheetId="5" hidden="1">#REF!</definedName>
    <definedName name="_Key1.2" localSheetId="6" hidden="1">#REF!</definedName>
    <definedName name="_Key1.2" localSheetId="7" hidden="1">#REF!</definedName>
    <definedName name="_Key1.2" localSheetId="8" hidden="1">#REF!</definedName>
    <definedName name="_Key1.2" localSheetId="9" hidden="1">#REF!</definedName>
    <definedName name="_Key1.2" localSheetId="10" hidden="1">#REF!</definedName>
    <definedName name="_Key1.2" localSheetId="11" hidden="1">#REF!</definedName>
    <definedName name="_Key1.2" hidden="1">#REF!</definedName>
    <definedName name="_Key1.3" localSheetId="4" hidden="1">#REF!</definedName>
    <definedName name="_Key1.3" localSheetId="3" hidden="1">#REF!</definedName>
    <definedName name="_Key1.3" localSheetId="2" hidden="1">#REF!</definedName>
    <definedName name="_Key1.3" localSheetId="5" hidden="1">#REF!</definedName>
    <definedName name="_Key1.3" localSheetId="6" hidden="1">#REF!</definedName>
    <definedName name="_Key1.3" localSheetId="7" hidden="1">#REF!</definedName>
    <definedName name="_Key1.3" localSheetId="8" hidden="1">#REF!</definedName>
    <definedName name="_Key1.3" localSheetId="9" hidden="1">#REF!</definedName>
    <definedName name="_Key1.3" localSheetId="10" hidden="1">#REF!</definedName>
    <definedName name="_Key1.3" localSheetId="11" hidden="1">#REF!</definedName>
    <definedName name="_Key1.3" hidden="1">#REF!</definedName>
    <definedName name="_KK123" localSheetId="4">#REF!</definedName>
    <definedName name="_KK123" localSheetId="3">#REF!</definedName>
    <definedName name="_KK123" localSheetId="2">#REF!</definedName>
    <definedName name="_KK123" localSheetId="5">#REF!</definedName>
    <definedName name="_KK123" localSheetId="6">#REF!</definedName>
    <definedName name="_KK123" localSheetId="7">#REF!</definedName>
    <definedName name="_KK123" localSheetId="8">#REF!</definedName>
    <definedName name="_KK123" localSheetId="9">#REF!</definedName>
    <definedName name="_KK123" localSheetId="10">#REF!</definedName>
    <definedName name="_KK123" localSheetId="11">#REF!</definedName>
    <definedName name="_KK123">#REF!</definedName>
    <definedName name="_MS1" localSheetId="4">#REF!</definedName>
    <definedName name="_MS1" localSheetId="3">#REF!</definedName>
    <definedName name="_MS1" localSheetId="2">#REF!</definedName>
    <definedName name="_MS1" localSheetId="5">#REF!</definedName>
    <definedName name="_MS1" localSheetId="6">#REF!</definedName>
    <definedName name="_MS1" localSheetId="7">#REF!</definedName>
    <definedName name="_MS1" localSheetId="8">#REF!</definedName>
    <definedName name="_MS1" localSheetId="9">#REF!</definedName>
    <definedName name="_MS1" localSheetId="10">#REF!</definedName>
    <definedName name="_MS1" localSheetId="11">#REF!</definedName>
    <definedName name="_MS1">#REF!</definedName>
    <definedName name="_MS2" localSheetId="4">#REF!</definedName>
    <definedName name="_MS2" localSheetId="3">#REF!</definedName>
    <definedName name="_MS2" localSheetId="2">#REF!</definedName>
    <definedName name="_MS2" localSheetId="5">#REF!</definedName>
    <definedName name="_MS2" localSheetId="6">#REF!</definedName>
    <definedName name="_MS2" localSheetId="7">#REF!</definedName>
    <definedName name="_MS2" localSheetId="8">#REF!</definedName>
    <definedName name="_MS2" localSheetId="9">#REF!</definedName>
    <definedName name="_MS2" localSheetId="10">#REF!</definedName>
    <definedName name="_MS2" localSheetId="11">#REF!</definedName>
    <definedName name="_MS2">#REF!</definedName>
    <definedName name="_MS3" localSheetId="4">#REF!</definedName>
    <definedName name="_MS3" localSheetId="3">#REF!</definedName>
    <definedName name="_MS3" localSheetId="2">#REF!</definedName>
    <definedName name="_MS3" localSheetId="5">#REF!</definedName>
    <definedName name="_MS3" localSheetId="6">#REF!</definedName>
    <definedName name="_MS3" localSheetId="7">#REF!</definedName>
    <definedName name="_MS3" localSheetId="8">#REF!</definedName>
    <definedName name="_MS3" localSheetId="9">#REF!</definedName>
    <definedName name="_MS3" localSheetId="10">#REF!</definedName>
    <definedName name="_MS3" localSheetId="11">#REF!</definedName>
    <definedName name="_MS3">#REF!</definedName>
    <definedName name="_Order1" hidden="1">255</definedName>
    <definedName name="_Order2" hidden="1">255</definedName>
    <definedName name="_pos2" localSheetId="4">'[18]Quantum PO Std'!$A$6:$IV$526</definedName>
    <definedName name="_pos2" localSheetId="3">'[18]Quantum PO Std'!$A$6:$IV$526</definedName>
    <definedName name="_pos2" localSheetId="2">'[18]Quantum PO Std'!$A$6:$IV$526</definedName>
    <definedName name="_pos2" localSheetId="5">'[18]Quantum PO Std'!$A$6:$IV$526</definedName>
    <definedName name="_pos2" localSheetId="6">'[18]Quantum PO Std'!$A$6:$IV$526</definedName>
    <definedName name="_pos2" localSheetId="7">'[18]Quantum PO Std'!$A$6:$IV$526</definedName>
    <definedName name="_pos2" localSheetId="8">'[18]Quantum PO Std'!$A$6:$IV$526</definedName>
    <definedName name="_pos2" localSheetId="9">'[18]Quantum PO Std'!$A$6:$IV$526</definedName>
    <definedName name="_pos2" localSheetId="10">'[9]Quantum PO Std'!$A$6:$IV$526</definedName>
    <definedName name="_pos2">'[13]Quantum PO Std'!$A$6:$IV$526</definedName>
    <definedName name="_pos3" localSheetId="4">'[18]Leap PO Std.'!$A$25:$IV$445</definedName>
    <definedName name="_pos3" localSheetId="3">'[18]Leap PO Std.'!$A$25:$IV$445</definedName>
    <definedName name="_pos3" localSheetId="2">'[18]Leap PO Std.'!$A$25:$IV$445</definedName>
    <definedName name="_pos3" localSheetId="5">'[18]Leap PO Std.'!$A$25:$IV$445</definedName>
    <definedName name="_pos3" localSheetId="6">'[18]Leap PO Std.'!$A$25:$IV$445</definedName>
    <definedName name="_pos3" localSheetId="7">'[18]Leap PO Std.'!$A$25:$IV$445</definedName>
    <definedName name="_pos3" localSheetId="8">'[18]Leap PO Std.'!$A$25:$IV$445</definedName>
    <definedName name="_pos3" localSheetId="9">'[18]Leap PO Std.'!$A$25:$IV$445</definedName>
    <definedName name="_pos3" localSheetId="10">'[9]Leap PO Std.'!$A$25:$IV$445</definedName>
    <definedName name="_pos3">'[13]Leap PO Std.'!$A$25:$IV$445</definedName>
    <definedName name="_Qtr1" localSheetId="4">#REF!</definedName>
    <definedName name="_Qtr1" localSheetId="3">#REF!</definedName>
    <definedName name="_Qtr1" localSheetId="2">#REF!</definedName>
    <definedName name="_Qtr1" localSheetId="5">#REF!</definedName>
    <definedName name="_Qtr1" localSheetId="6">#REF!</definedName>
    <definedName name="_Qtr1" localSheetId="7">#REF!</definedName>
    <definedName name="_Qtr1" localSheetId="8">#REF!</definedName>
    <definedName name="_Qtr1" localSheetId="9">#REF!</definedName>
    <definedName name="_Qtr1" localSheetId="10">#REF!</definedName>
    <definedName name="_Qtr1" localSheetId="11">#REF!</definedName>
    <definedName name="_Qtr1">#REF!</definedName>
    <definedName name="_Ref1" localSheetId="4">#REF!</definedName>
    <definedName name="_Ref1" localSheetId="3">#REF!</definedName>
    <definedName name="_Ref1" localSheetId="2">#REF!</definedName>
    <definedName name="_Ref1" localSheetId="5">#REF!</definedName>
    <definedName name="_Ref1" localSheetId="6">#REF!</definedName>
    <definedName name="_Ref1" localSheetId="7">#REF!</definedName>
    <definedName name="_Ref1" localSheetId="8">#REF!</definedName>
    <definedName name="_Ref1" localSheetId="9">#REF!</definedName>
    <definedName name="_Ref1" localSheetId="10">#REF!</definedName>
    <definedName name="_Ref1" localSheetId="11">#REF!</definedName>
    <definedName name="_Ref1">#REF!</definedName>
    <definedName name="_Regression_Int" hidden="1">1</definedName>
    <definedName name="_Sort" localSheetId="4" hidden="1">#REF!</definedName>
    <definedName name="_Sort" localSheetId="3" hidden="1">#REF!</definedName>
    <definedName name="_Sort" localSheetId="2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localSheetId="11" hidden="1">#REF!</definedName>
    <definedName name="_Sort" hidden="1">#REF!</definedName>
    <definedName name="_Sort1.1" localSheetId="4" hidden="1">#REF!</definedName>
    <definedName name="_Sort1.1" localSheetId="3" hidden="1">#REF!</definedName>
    <definedName name="_Sort1.1" localSheetId="2" hidden="1">#REF!</definedName>
    <definedName name="_Sort1.1" localSheetId="5" hidden="1">#REF!</definedName>
    <definedName name="_Sort1.1" localSheetId="6" hidden="1">#REF!</definedName>
    <definedName name="_Sort1.1" localSheetId="7" hidden="1">#REF!</definedName>
    <definedName name="_Sort1.1" localSheetId="8" hidden="1">#REF!</definedName>
    <definedName name="_Sort1.1" localSheetId="9" hidden="1">#REF!</definedName>
    <definedName name="_Sort1.1" localSheetId="10" hidden="1">#REF!</definedName>
    <definedName name="_Sort1.1" localSheetId="11" hidden="1">#REF!</definedName>
    <definedName name="_Sort1.1" hidden="1">#REF!</definedName>
    <definedName name="_Sort1.2" localSheetId="4" hidden="1">#REF!</definedName>
    <definedName name="_Sort1.2" localSheetId="3" hidden="1">#REF!</definedName>
    <definedName name="_Sort1.2" localSheetId="2" hidden="1">#REF!</definedName>
    <definedName name="_Sort1.2" localSheetId="5" hidden="1">#REF!</definedName>
    <definedName name="_Sort1.2" localSheetId="6" hidden="1">#REF!</definedName>
    <definedName name="_Sort1.2" localSheetId="7" hidden="1">#REF!</definedName>
    <definedName name="_Sort1.2" localSheetId="8" hidden="1">#REF!</definedName>
    <definedName name="_Sort1.2" localSheetId="9" hidden="1">#REF!</definedName>
    <definedName name="_Sort1.2" localSheetId="10" hidden="1">#REF!</definedName>
    <definedName name="_Sort1.2" localSheetId="11" hidden="1">#REF!</definedName>
    <definedName name="_Sort1.2" hidden="1">#REF!</definedName>
    <definedName name="_Sort1.3" localSheetId="4" hidden="1">#REF!</definedName>
    <definedName name="_Sort1.3" localSheetId="3" hidden="1">#REF!</definedName>
    <definedName name="_Sort1.3" localSheetId="2" hidden="1">#REF!</definedName>
    <definedName name="_Sort1.3" localSheetId="5" hidden="1">#REF!</definedName>
    <definedName name="_Sort1.3" localSheetId="6" hidden="1">#REF!</definedName>
    <definedName name="_Sort1.3" localSheetId="7" hidden="1">#REF!</definedName>
    <definedName name="_Sort1.3" localSheetId="8" hidden="1">#REF!</definedName>
    <definedName name="_Sort1.3" localSheetId="9" hidden="1">#REF!</definedName>
    <definedName name="_Sort1.3" localSheetId="10" hidden="1">#REF!</definedName>
    <definedName name="_Sort1.3" localSheetId="11" hidden="1">#REF!</definedName>
    <definedName name="_Sort1.3" hidden="1">#REF!</definedName>
    <definedName name="_spp1301" localSheetId="4">'[70]SPP current as of 1-3-01'!$C$1:$GY$65536</definedName>
    <definedName name="_spp1301" localSheetId="3">'[70]SPP current as of 1-3-01'!$C$1:$GY$65536</definedName>
    <definedName name="_spp1301" localSheetId="2">'[70]SPP current as of 1-3-01'!$C$1:$GY$65536</definedName>
    <definedName name="_spp1301" localSheetId="5">'[70]SPP current as of 1-3-01'!$C$1:$GY$65536</definedName>
    <definedName name="_spp1301" localSheetId="6">'[70]SPP current as of 1-3-01'!$C$1:$GY$65536</definedName>
    <definedName name="_spp1301" localSheetId="7">'[70]SPP current as of 1-3-01'!$C$1:$GY$65536</definedName>
    <definedName name="_spp1301" localSheetId="8">'[70]SPP current as of 1-3-01'!$C$1:$GY$65536</definedName>
    <definedName name="_spp1301" localSheetId="9">'[70]SPP current as of 1-3-01'!$C$1:$GY$65536</definedName>
    <definedName name="_spp1301" localSheetId="10">'[81]SPP current as of 1-3-01'!$C$1:$GY$65536</definedName>
    <definedName name="_spp1301">'[14]SPP current as of 1-3-01'!$C$1:$GY$65536</definedName>
    <definedName name="_ST2" localSheetId="4">#REF!</definedName>
    <definedName name="_ST2" localSheetId="3">#REF!</definedName>
    <definedName name="_ST2" localSheetId="2">#REF!</definedName>
    <definedName name="_ST2" localSheetId="5">#REF!</definedName>
    <definedName name="_ST2" localSheetId="6">#REF!</definedName>
    <definedName name="_ST2" localSheetId="7">#REF!</definedName>
    <definedName name="_ST2" localSheetId="8">#REF!</definedName>
    <definedName name="_ST2" localSheetId="9">#REF!</definedName>
    <definedName name="_ST2" localSheetId="10">#REF!</definedName>
    <definedName name="_ST2" localSheetId="11">#REF!</definedName>
    <definedName name="_ST2">#REF!</definedName>
    <definedName name="_T02" localSheetId="8">{"Book1"}</definedName>
    <definedName name="_T02" localSheetId="9">{"Book1"}</definedName>
    <definedName name="_T02" localSheetId="10">{"Book1"}</definedName>
    <definedName name="_T02">{"Book1"}</definedName>
    <definedName name="_TCP1" localSheetId="4">#REF!</definedName>
    <definedName name="_TCP1" localSheetId="3">#REF!</definedName>
    <definedName name="_TCP1" localSheetId="2">#REF!</definedName>
    <definedName name="_TCP1" localSheetId="5">#REF!</definedName>
    <definedName name="_TCP1" localSheetId="6">#REF!</definedName>
    <definedName name="_TCP1" localSheetId="7">#REF!</definedName>
    <definedName name="_TCP1" localSheetId="8">#REF!</definedName>
    <definedName name="_TCP1" localSheetId="9">#REF!</definedName>
    <definedName name="_TCP1" localSheetId="10">#REF!</definedName>
    <definedName name="_TCP1" localSheetId="11">#REF!</definedName>
    <definedName name="_TCP1">#REF!</definedName>
    <definedName name="_TCR1" localSheetId="4">#REF!</definedName>
    <definedName name="_TCR1" localSheetId="3">#REF!</definedName>
    <definedName name="_TCR1" localSheetId="2">#REF!</definedName>
    <definedName name="_TCR1" localSheetId="5">#REF!</definedName>
    <definedName name="_TCR1" localSheetId="6">#REF!</definedName>
    <definedName name="_TCR1" localSheetId="7">#REF!</definedName>
    <definedName name="_TCR1" localSheetId="8">#REF!</definedName>
    <definedName name="_TCR1" localSheetId="9">#REF!</definedName>
    <definedName name="_TCR1" localSheetId="10">#REF!</definedName>
    <definedName name="_TCR1" localSheetId="11">#REF!</definedName>
    <definedName name="_TCR1">#REF!</definedName>
    <definedName name="_Toc94602557_10" localSheetId="4">#REF!</definedName>
    <definedName name="_Toc94602557_10" localSheetId="3">#REF!</definedName>
    <definedName name="_Toc94602557_10" localSheetId="2">#REF!</definedName>
    <definedName name="_Toc94602557_10" localSheetId="5">#REF!</definedName>
    <definedName name="_Toc94602557_10" localSheetId="6">#REF!</definedName>
    <definedName name="_Toc94602557_10" localSheetId="7">#REF!</definedName>
    <definedName name="_Toc94602557_10" localSheetId="8">#REF!</definedName>
    <definedName name="_Toc94602557_10" localSheetId="9">#REF!</definedName>
    <definedName name="_Toc94602557_10" localSheetId="10">#REF!</definedName>
    <definedName name="_Toc94602557_10" localSheetId="11">#REF!</definedName>
    <definedName name="_Toc94602557_10">#REF!</definedName>
    <definedName name="_Toc94602558_10" localSheetId="4">#REF!</definedName>
    <definedName name="_Toc94602558_10" localSheetId="3">#REF!</definedName>
    <definedName name="_Toc94602558_10" localSheetId="2">#REF!</definedName>
    <definedName name="_Toc94602558_10" localSheetId="5">#REF!</definedName>
    <definedName name="_Toc94602558_10" localSheetId="6">#REF!</definedName>
    <definedName name="_Toc94602558_10" localSheetId="7">#REF!</definedName>
    <definedName name="_Toc94602558_10" localSheetId="8">#REF!</definedName>
    <definedName name="_Toc94602558_10" localSheetId="9">#REF!</definedName>
    <definedName name="_Toc94602558_10" localSheetId="10">#REF!</definedName>
    <definedName name="_Toc94602558_10" localSheetId="11">#REF!</definedName>
    <definedName name="_Toc94602558_10">#REF!</definedName>
    <definedName name="_Toc94602559_10" localSheetId="4">#REF!</definedName>
    <definedName name="_Toc94602559_10" localSheetId="3">#REF!</definedName>
    <definedName name="_Toc94602559_10" localSheetId="2">#REF!</definedName>
    <definedName name="_Toc94602559_10" localSheetId="5">#REF!</definedName>
    <definedName name="_Toc94602559_10" localSheetId="6">#REF!</definedName>
    <definedName name="_Toc94602559_10" localSheetId="7">#REF!</definedName>
    <definedName name="_Toc94602559_10" localSheetId="8">#REF!</definedName>
    <definedName name="_Toc94602559_10" localSheetId="9">#REF!</definedName>
    <definedName name="_Toc94602559_10" localSheetId="10">#REF!</definedName>
    <definedName name="_Toc94602559_10" localSheetId="11">#REF!</definedName>
    <definedName name="_Toc94602559_10">#REF!</definedName>
    <definedName name="_Toc94602560_10" localSheetId="4">#REF!</definedName>
    <definedName name="_Toc94602560_10" localSheetId="3">#REF!</definedName>
    <definedName name="_Toc94602560_10" localSheetId="2">#REF!</definedName>
    <definedName name="_Toc94602560_10" localSheetId="5">#REF!</definedName>
    <definedName name="_Toc94602560_10" localSheetId="6">#REF!</definedName>
    <definedName name="_Toc94602560_10" localSheetId="7">#REF!</definedName>
    <definedName name="_Toc94602560_10" localSheetId="8">#REF!</definedName>
    <definedName name="_Toc94602560_10" localSheetId="9">#REF!</definedName>
    <definedName name="_Toc94602560_10" localSheetId="10">#REF!</definedName>
    <definedName name="_Toc94602560_10" localSheetId="11">#REF!</definedName>
    <definedName name="_Toc94602560_10">#REF!</definedName>
    <definedName name="_TUF41" localSheetId="4">#REF!</definedName>
    <definedName name="_TUF41" localSheetId="3">#REF!</definedName>
    <definedName name="_TUF41" localSheetId="2">#REF!</definedName>
    <definedName name="_TUF41" localSheetId="5">#REF!</definedName>
    <definedName name="_TUF41" localSheetId="6">#REF!</definedName>
    <definedName name="_TUF41" localSheetId="7">#REF!</definedName>
    <definedName name="_TUF41" localSheetId="8">#REF!</definedName>
    <definedName name="_TUF41" localSheetId="9">#REF!</definedName>
    <definedName name="_TUF41" localSheetId="10">#REF!</definedName>
    <definedName name="_TUF41" localSheetId="11">#REF!</definedName>
    <definedName name="_TUF41">#REF!</definedName>
    <definedName name="_wd6" localSheetId="4">[21]tables!$A$1:$B$29</definedName>
    <definedName name="_wd6" localSheetId="3">[21]tables!$A$1:$B$29</definedName>
    <definedName name="_wd6" localSheetId="2">[21]tables!$A$1:$B$29</definedName>
    <definedName name="_wd6" localSheetId="5">[21]tables!$A$1:$B$29</definedName>
    <definedName name="_wd6" localSheetId="6">[21]tables!$A$1:$B$29</definedName>
    <definedName name="_wd6" localSheetId="7">[21]tables!$A$1:$B$29</definedName>
    <definedName name="_wd6" localSheetId="10">[82]tables!$A$1:$B$29</definedName>
    <definedName name="_wd6">[15]tables!$A$1:$B$29</definedName>
    <definedName name="·" localSheetId="4">#REF!</definedName>
    <definedName name="·" localSheetId="3">#REF!</definedName>
    <definedName name="·" localSheetId="2">#REF!</definedName>
    <definedName name="·" localSheetId="5">#REF!</definedName>
    <definedName name="·" localSheetId="6">#REF!</definedName>
    <definedName name="·" localSheetId="7">#REF!</definedName>
    <definedName name="·" localSheetId="8">#REF!</definedName>
    <definedName name="·" localSheetId="9">#REF!</definedName>
    <definedName name="·" localSheetId="10">#REF!</definedName>
    <definedName name="·" localSheetId="11">#REF!</definedName>
    <definedName name="·">#REF!</definedName>
    <definedName name="①" localSheetId="4">#REF!</definedName>
    <definedName name="①" localSheetId="3">#REF!</definedName>
    <definedName name="①" localSheetId="2">#REF!</definedName>
    <definedName name="①" localSheetId="5">#REF!</definedName>
    <definedName name="①" localSheetId="6">#REF!</definedName>
    <definedName name="①" localSheetId="7">#REF!</definedName>
    <definedName name="①" localSheetId="8">#REF!</definedName>
    <definedName name="①" localSheetId="9">#REF!</definedName>
    <definedName name="①" localSheetId="10">#REF!</definedName>
    <definedName name="①" localSheetId="11">#REF!</definedName>
    <definedName name="①">#REF!</definedName>
    <definedName name="②" localSheetId="4">#REF!</definedName>
    <definedName name="②" localSheetId="3">#REF!</definedName>
    <definedName name="②" localSheetId="2">#REF!</definedName>
    <definedName name="②" localSheetId="5">#REF!</definedName>
    <definedName name="②" localSheetId="6">#REF!</definedName>
    <definedName name="②" localSheetId="7">#REF!</definedName>
    <definedName name="②" localSheetId="8">#REF!</definedName>
    <definedName name="②" localSheetId="9">#REF!</definedName>
    <definedName name="②" localSheetId="10">#REF!</definedName>
    <definedName name="②" localSheetId="11">#REF!</definedName>
    <definedName name="②">#REF!</definedName>
    <definedName name="③" localSheetId="4">#REF!</definedName>
    <definedName name="③" localSheetId="3">#REF!</definedName>
    <definedName name="③" localSheetId="2">#REF!</definedName>
    <definedName name="③" localSheetId="5">#REF!</definedName>
    <definedName name="③" localSheetId="6">#REF!</definedName>
    <definedName name="③" localSheetId="7">#REF!</definedName>
    <definedName name="③" localSheetId="8">#REF!</definedName>
    <definedName name="③" localSheetId="9">#REF!</definedName>
    <definedName name="③" localSheetId="10">#REF!</definedName>
    <definedName name="③" localSheetId="11">#REF!</definedName>
    <definedName name="③">#REF!</definedName>
    <definedName name="④" localSheetId="4">#REF!</definedName>
    <definedName name="④" localSheetId="3">#REF!</definedName>
    <definedName name="④" localSheetId="2">#REF!</definedName>
    <definedName name="④" localSheetId="5">#REF!</definedName>
    <definedName name="④" localSheetId="6">#REF!</definedName>
    <definedName name="④" localSheetId="7">#REF!</definedName>
    <definedName name="④" localSheetId="8">#REF!</definedName>
    <definedName name="④" localSheetId="9">#REF!</definedName>
    <definedName name="④" localSheetId="10">#REF!</definedName>
    <definedName name="④" localSheetId="11">#REF!</definedName>
    <definedName name="④">#REF!</definedName>
    <definedName name="⑤" localSheetId="4">#REF!</definedName>
    <definedName name="⑤" localSheetId="3">#REF!</definedName>
    <definedName name="⑤" localSheetId="2">#REF!</definedName>
    <definedName name="⑤" localSheetId="5">#REF!</definedName>
    <definedName name="⑤" localSheetId="6">#REF!</definedName>
    <definedName name="⑤" localSheetId="7">#REF!</definedName>
    <definedName name="⑤" localSheetId="8">#REF!</definedName>
    <definedName name="⑤" localSheetId="9">#REF!</definedName>
    <definedName name="⑤" localSheetId="10">#REF!</definedName>
    <definedName name="⑤" localSheetId="11">#REF!</definedName>
    <definedName name="⑤">#REF!</definedName>
    <definedName name="⑥" localSheetId="4">#REF!</definedName>
    <definedName name="⑥" localSheetId="3">#REF!</definedName>
    <definedName name="⑥" localSheetId="2">#REF!</definedName>
    <definedName name="⑥" localSheetId="5">#REF!</definedName>
    <definedName name="⑥" localSheetId="6">#REF!</definedName>
    <definedName name="⑥" localSheetId="7">#REF!</definedName>
    <definedName name="⑥" localSheetId="8">#REF!</definedName>
    <definedName name="⑥" localSheetId="9">#REF!</definedName>
    <definedName name="⑥" localSheetId="10">#REF!</definedName>
    <definedName name="⑥" localSheetId="11">#REF!</definedName>
    <definedName name="⑥">#REF!</definedName>
    <definedName name="⑦" localSheetId="4">#REF!</definedName>
    <definedName name="⑦" localSheetId="3">#REF!</definedName>
    <definedName name="⑦" localSheetId="2">#REF!</definedName>
    <definedName name="⑦" localSheetId="5">#REF!</definedName>
    <definedName name="⑦" localSheetId="6">#REF!</definedName>
    <definedName name="⑦" localSheetId="7">#REF!</definedName>
    <definedName name="⑦" localSheetId="8">#REF!</definedName>
    <definedName name="⑦" localSheetId="9">#REF!</definedName>
    <definedName name="⑦" localSheetId="10">#REF!</definedName>
    <definedName name="⑦" localSheetId="11">#REF!</definedName>
    <definedName name="⑦">#REF!</definedName>
    <definedName name="⑧" localSheetId="4">#REF!</definedName>
    <definedName name="⑧" localSheetId="3">#REF!</definedName>
    <definedName name="⑧" localSheetId="2">#REF!</definedName>
    <definedName name="⑧" localSheetId="5">#REF!</definedName>
    <definedName name="⑧" localSheetId="6">#REF!</definedName>
    <definedName name="⑧" localSheetId="7">#REF!</definedName>
    <definedName name="⑧" localSheetId="8">#REF!</definedName>
    <definedName name="⑧" localSheetId="9">#REF!</definedName>
    <definedName name="⑧" localSheetId="10">#REF!</definedName>
    <definedName name="⑧" localSheetId="11">#REF!</definedName>
    <definedName name="⑧">#REF!</definedName>
    <definedName name="⑨" localSheetId="4">#REF!</definedName>
    <definedName name="⑨" localSheetId="3">#REF!</definedName>
    <definedName name="⑨" localSheetId="2">#REF!</definedName>
    <definedName name="⑨" localSheetId="5">#REF!</definedName>
    <definedName name="⑨" localSheetId="6">#REF!</definedName>
    <definedName name="⑨" localSheetId="7">#REF!</definedName>
    <definedName name="⑨" localSheetId="8">#REF!</definedName>
    <definedName name="⑨" localSheetId="9">#REF!</definedName>
    <definedName name="⑨" localSheetId="10">#REF!</definedName>
    <definedName name="⑨" localSheetId="11">#REF!</definedName>
    <definedName name="⑨">#REF!</definedName>
    <definedName name="A" localSheetId="4" hidden="1">#REF!</definedName>
    <definedName name="A" localSheetId="3" hidden="1">#REF!</definedName>
    <definedName name="A" localSheetId="2" hidden="1">#REF!</definedName>
    <definedName name="a" localSheetId="8" hidden="1">{"WSQ1",#N/A,FALSE,"WRK P&amp;L -Qtr";"Q1ECG",#N/A,FALSE,"ECG P&amp;L -Qtr";"SRVQ1",#N/A,FALSE,"Server P&amp;L -Qtr";"Q1OPT",#N/A,FALSE,"Server Options P&amp;L -Qtr";"SOPSQ1",#N/A,FALSE,"SOPs P&amp;L -Qtr"}</definedName>
    <definedName name="a" localSheetId="9" hidden="1">{"WSQ1",#N/A,FALSE,"WRK P&amp;L -Qtr";"Q1ECG",#N/A,FALSE,"ECG P&amp;L -Qtr";"SRVQ1",#N/A,FALSE,"Server P&amp;L -Qtr";"Q1OPT",#N/A,FALSE,"Server Options P&amp;L -Qtr";"SOPSQ1",#N/A,FALSE,"SOPs P&amp;L -Qtr"}</definedName>
    <definedName name="a" localSheetId="10" hidden="1">{"WSQ1",#N/A,FALSE,"WRK P&amp;L -Qtr";"Q1ECG",#N/A,FALSE,"ECG P&amp;L -Qtr";"SRVQ1",#N/A,FALSE,"Server P&amp;L -Qtr";"Q1OPT",#N/A,FALSE,"Server Options P&amp;L -Qtr";"SOPSQ1",#N/A,FALSE,"SOPs P&amp;L -Qtr"}</definedName>
    <definedName name="a" hidden="1">{"WSQ1",#N/A,FALSE,"WRK P&amp;L -Qtr";"Q1ECG",#N/A,FALSE,"ECG P&amp;L -Qtr";"SRVQ1",#N/A,FALSE,"Server P&amp;L -Qtr";"Q1OPT",#N/A,FALSE,"Server Options P&amp;L -Qtr";"SOPSQ1",#N/A,FALSE,"SOPs P&amp;L -Qtr"}</definedName>
    <definedName name="A.K" localSheetId="4">'[22]NVA-300T返品リスト'!$A$1:$AA$6</definedName>
    <definedName name="A.K" localSheetId="3">'[22]NVA-300T返品リスト'!$A$1:$AA$6</definedName>
    <definedName name="A.K" localSheetId="2">'[22]NVA-300T返品リスト'!$A$1:$AA$6</definedName>
    <definedName name="A.K" localSheetId="5">'[22]NVA-300T返品リスト'!$A$1:$AA$6</definedName>
    <definedName name="A.K" localSheetId="6">'[22]NVA-300T返品リスト'!$A$1:$AA$6</definedName>
    <definedName name="A.K" localSheetId="7">'[22]NVA-300T返品リスト'!$A$1:$AA$6</definedName>
    <definedName name="A.K" localSheetId="8">'[22]NVA-300T返品リスト'!$A$1:$AA$6</definedName>
    <definedName name="A.K" localSheetId="9">'[22]NVA-300T返品リスト'!$A$1:$AA$6</definedName>
    <definedName name="A.K" localSheetId="10">'[13]NVA-300T返品リスト'!$A$1:$AA$6</definedName>
    <definedName name="A.K">'[16]NVA-300T返品リスト'!$A$1:$AA$6</definedName>
    <definedName name="a_1" localSheetId="8">{"Book1"}</definedName>
    <definedName name="a_1" localSheetId="9">{"Book1"}</definedName>
    <definedName name="a_1" localSheetId="10">{"Book1"}</definedName>
    <definedName name="a_1">{"Book1"}</definedName>
    <definedName name="A_Foam" localSheetId="4">#REF!</definedName>
    <definedName name="A_Foam" localSheetId="3">#REF!</definedName>
    <definedName name="A_Foam" localSheetId="2">#REF!</definedName>
    <definedName name="A_Foam" localSheetId="5">#REF!</definedName>
    <definedName name="A_Foam" localSheetId="6">#REF!</definedName>
    <definedName name="A_Foam" localSheetId="7">#REF!</definedName>
    <definedName name="A_Foam" localSheetId="8">#REF!</definedName>
    <definedName name="A_Foam" localSheetId="9">#REF!</definedName>
    <definedName name="A_Foam" localSheetId="10">#REF!</definedName>
    <definedName name="A_Foam" localSheetId="11">#REF!</definedName>
    <definedName name="A_Foa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4">#REF!</definedName>
    <definedName name="aa" localSheetId="3">#REF!</definedName>
    <definedName name="aa" localSheetId="2">#REF!</definedName>
    <definedName name="AA" localSheetId="5">#REF!</definedName>
    <definedName name="AA" localSheetId="6">#REF!</definedName>
    <definedName name="AA" localSheetId="7">#REF!</definedName>
    <definedName name="AA" localSheetId="8">#REF!</definedName>
    <definedName name="AA" localSheetId="9">#REF!</definedName>
    <definedName name="AA" localSheetId="10">#REF!</definedName>
    <definedName name="AA" localSheetId="11">#REF!</definedName>
    <definedName name="AA">#REF!</definedName>
    <definedName name="aaa" localSheetId="4">#REF!</definedName>
    <definedName name="aaa" localSheetId="3">#REF!</definedName>
    <definedName name="aaa" localSheetId="2">#REF!</definedName>
    <definedName name="aaa" localSheetId="5">#REF!</definedName>
    <definedName name="aaa" localSheetId="6">#REF!</definedName>
    <definedName name="aaa" localSheetId="7">#REF!</definedName>
    <definedName name="aaa" localSheetId="8">#REF!</definedName>
    <definedName name="aaa" localSheetId="9">#REF!</definedName>
    <definedName name="aaa" localSheetId="10">#REF!</definedName>
    <definedName name="aaa" localSheetId="11">#REF!</definedName>
    <definedName name="aaa">#REF!</definedName>
    <definedName name="aaaa" localSheetId="4" hidden="1">#REF!</definedName>
    <definedName name="aaaa" localSheetId="3" hidden="1">#REF!</definedName>
    <definedName name="aaaa" localSheetId="2" hidden="1">#REF!</definedName>
    <definedName name="aaaa" localSheetId="8" hidden="1">{"WSQ1",#N/A,FALSE,"WRK P&amp;L -Qtr";"Q1ECG",#N/A,FALSE,"ECG P&amp;L -Qtr";"SRVQ1",#N/A,FALSE,"Server P&amp;L -Qtr";"Q1OPT",#N/A,FALSE,"Server Options P&amp;L -Qtr";"SOPSQ1",#N/A,FALSE,"SOPs P&amp;L -Qtr"}</definedName>
    <definedName name="aaaa" localSheetId="9" hidden="1">{"WSQ1",#N/A,FALSE,"WRK P&amp;L -Qtr";"Q1ECG",#N/A,FALSE,"ECG P&amp;L -Qtr";"SRVQ1",#N/A,FALSE,"Server P&amp;L -Qtr";"Q1OPT",#N/A,FALSE,"Server Options P&amp;L -Qtr";"SOPSQ1",#N/A,FALSE,"SOPs P&amp;L -Qtr"}</definedName>
    <definedName name="aaaa" localSheetId="10" hidden="1">{"WSQ1",#N/A,FALSE,"WRK P&amp;L -Qtr";"Q1ECG",#N/A,FALSE,"ECG P&amp;L -Qtr";"SRVQ1",#N/A,FALSE,"Server P&amp;L -Qtr";"Q1OPT",#N/A,FALSE,"Server Options P&amp;L -Qtr";"SOPSQ1",#N/A,FALSE,"SOPs P&amp;L -Qtr"}</definedName>
    <definedName name="aaaa" hidden="1">{"WSQ1",#N/A,FALSE,"WRK P&amp;L -Qtr";"Q1ECG",#N/A,FALSE,"ECG P&amp;L -Qtr";"SRVQ1",#N/A,FALSE,"Server P&amp;L -Qtr";"Q1OPT",#N/A,FALSE,"Server Options P&amp;L -Qtr";"SOPSQ1",#N/A,FALSE,"SOPs P&amp;L -Qtr"}</definedName>
    <definedName name="aaas" localSheetId="4">#REF!</definedName>
    <definedName name="aaas" localSheetId="3">#REF!</definedName>
    <definedName name="aaas" localSheetId="2">#REF!</definedName>
    <definedName name="aaas" localSheetId="5">#REF!</definedName>
    <definedName name="aaas" localSheetId="6">#REF!</definedName>
    <definedName name="aaas" localSheetId="7">#REF!</definedName>
    <definedName name="aaas" localSheetId="8">#REF!</definedName>
    <definedName name="aaas" localSheetId="9">#REF!</definedName>
    <definedName name="aaas" localSheetId="10">#REF!</definedName>
    <definedName name="aaas" localSheetId="11">#REF!</definedName>
    <definedName name="aaas">#REF!</definedName>
    <definedName name="aar" localSheetId="4">#REF!</definedName>
    <definedName name="aar" localSheetId="3">#REF!</definedName>
    <definedName name="aar" localSheetId="2">#REF!</definedName>
    <definedName name="aar" localSheetId="5">#REF!</definedName>
    <definedName name="aar" localSheetId="6">#REF!</definedName>
    <definedName name="aar" localSheetId="7">#REF!</definedName>
    <definedName name="aar" localSheetId="8">#REF!</definedName>
    <definedName name="aar" localSheetId="9">#REF!</definedName>
    <definedName name="aar" localSheetId="10">#REF!</definedName>
    <definedName name="aar" localSheetId="11">#REF!</definedName>
    <definedName name="aar">#REF!</definedName>
    <definedName name="aawe" localSheetId="4" hidden="1">{"'打点割り振り (2)'!$A$1:$G$35"}</definedName>
    <definedName name="aawe" localSheetId="3" hidden="1">{"'打点割り振り (2)'!$A$1:$G$35"}</definedName>
    <definedName name="aawe" localSheetId="2" hidden="1">{"'打点割り振り (2)'!$A$1:$G$35"}</definedName>
    <definedName name="aawe" localSheetId="8" hidden="1">{"'打点割り振り (2)'!$A$1:$G$35"}</definedName>
    <definedName name="aawe" localSheetId="9" hidden="1">{"'打点割り振り (2)'!$A$1:$G$35"}</definedName>
    <definedName name="aawe" localSheetId="10" hidden="1">{"'打点割り振り (2)'!$A$1:$G$35"}</definedName>
    <definedName name="aawe" hidden="1">{"'打点割り振り (2)'!$A$1:$G$35"}</definedName>
    <definedName name="abc" localSheetId="4" hidden="1">{"WSQ1",#N/A,FALSE,"WRK P&amp;L -Qtr";"Q1ECG",#N/A,FALSE,"ECG P&amp;L -Qtr";"SRVQ1",#N/A,FALSE,"Server P&amp;L -Qtr";"Q1OPT",#N/A,FALSE,"Server Options P&amp;L -Qtr";"SOPSQ1",#N/A,FALSE,"SOPs P&amp;L -Qtr"}</definedName>
    <definedName name="abc" localSheetId="3" hidden="1">{"WSQ1",#N/A,FALSE,"WRK P&amp;L -Qtr";"Q1ECG",#N/A,FALSE,"ECG P&amp;L -Qtr";"SRVQ1",#N/A,FALSE,"Server P&amp;L -Qtr";"Q1OPT",#N/A,FALSE,"Server Options P&amp;L -Qtr";"SOPSQ1",#N/A,FALSE,"SOPs P&amp;L -Qtr"}</definedName>
    <definedName name="abc" localSheetId="2" hidden="1">{"WSQ1",#N/A,FALSE,"WRK P&amp;L -Qtr";"Q1ECG",#N/A,FALSE,"ECG P&amp;L -Qtr";"SRVQ1",#N/A,FALSE,"Server P&amp;L -Qtr";"Q1OPT",#N/A,FALSE,"Server Options P&amp;L -Qtr";"SOPSQ1",#N/A,FALSE,"SOPs P&amp;L -Qtr"}</definedName>
    <definedName name="abc" localSheetId="8" hidden="1">{"WSQ1",#N/A,FALSE,"WRK P&amp;L -Qtr";"Q1ECG",#N/A,FALSE,"ECG P&amp;L -Qtr";"SRVQ1",#N/A,FALSE,"Server P&amp;L -Qtr";"Q1OPT",#N/A,FALSE,"Server Options P&amp;L -Qtr";"SOPSQ1",#N/A,FALSE,"SOPs P&amp;L -Qtr"}</definedName>
    <definedName name="abc" localSheetId="9" hidden="1">{"WSQ1",#N/A,FALSE,"WRK P&amp;L -Qtr";"Q1ECG",#N/A,FALSE,"ECG P&amp;L -Qtr";"SRVQ1",#N/A,FALSE,"Server P&amp;L -Qtr";"Q1OPT",#N/A,FALSE,"Server Options P&amp;L -Qtr";"SOPSQ1",#N/A,FALSE,"SOPs P&amp;L -Qtr"}</definedName>
    <definedName name="abc" localSheetId="10" hidden="1">{"WSQ1",#N/A,FALSE,"WRK P&amp;L -Qtr";"Q1ECG",#N/A,FALSE,"ECG P&amp;L -Qtr";"SRVQ1",#N/A,FALSE,"Server P&amp;L -Qtr";"Q1OPT",#N/A,FALSE,"Server Options P&amp;L -Qtr";"SOPSQ1",#N/A,FALSE,"SOPs P&amp;L -Qtr"}</definedName>
    <definedName name="abc" hidden="1">{"WSQ1",#N/A,FALSE,"WRK P&amp;L -Qtr";"Q1ECG",#N/A,FALSE,"ECG P&amp;L -Qtr";"SRVQ1",#N/A,FALSE,"Server P&amp;L -Qtr";"Q1OPT",#N/A,FALSE,"Server Options P&amp;L -Qtr";"SOPSQ1",#N/A,FALSE,"SOPs P&amp;L -Qtr"}</definedName>
    <definedName name="ABM14AA" localSheetId="4">#REF!</definedName>
    <definedName name="ABM14AA" localSheetId="3">#REF!</definedName>
    <definedName name="ABM14AA" localSheetId="2">#REF!</definedName>
    <definedName name="ABM14AA" localSheetId="5">#REF!</definedName>
    <definedName name="ABM14AA" localSheetId="6">#REF!</definedName>
    <definedName name="ABM14AA" localSheetId="7">#REF!</definedName>
    <definedName name="ABM14AA" localSheetId="8">#REF!</definedName>
    <definedName name="ABM14AA" localSheetId="9">#REF!</definedName>
    <definedName name="ABM14AA" localSheetId="10">#REF!</definedName>
    <definedName name="ABM14AA" localSheetId="11">#REF!</definedName>
    <definedName name="ABM14AA">#REF!</definedName>
    <definedName name="ABM18DA" localSheetId="4">#REF!</definedName>
    <definedName name="ABM18DA" localSheetId="3">#REF!</definedName>
    <definedName name="ABM18DA" localSheetId="2">#REF!</definedName>
    <definedName name="ABM18DA" localSheetId="5">#REF!</definedName>
    <definedName name="ABM18DA" localSheetId="6">#REF!</definedName>
    <definedName name="ABM18DA" localSheetId="7">#REF!</definedName>
    <definedName name="ABM18DA" localSheetId="8">#REF!</definedName>
    <definedName name="ABM18DA" localSheetId="9">#REF!</definedName>
    <definedName name="ABM18DA" localSheetId="10">#REF!</definedName>
    <definedName name="ABM18DA" localSheetId="11">#REF!</definedName>
    <definedName name="ABM18DA">#REF!</definedName>
    <definedName name="ABM18DA1" localSheetId="4">#REF!</definedName>
    <definedName name="ABM18DA1" localSheetId="3">#REF!</definedName>
    <definedName name="ABM18DA1" localSheetId="2">#REF!</definedName>
    <definedName name="ABM18DA1" localSheetId="5">#REF!</definedName>
    <definedName name="ABM18DA1" localSheetId="6">#REF!</definedName>
    <definedName name="ABM18DA1" localSheetId="7">#REF!</definedName>
    <definedName name="ABM18DA1" localSheetId="8">#REF!</definedName>
    <definedName name="ABM18DA1" localSheetId="9">#REF!</definedName>
    <definedName name="ABM18DA1" localSheetId="10">#REF!</definedName>
    <definedName name="ABM18DA1" localSheetId="11">#REF!</definedName>
    <definedName name="ABM18DA1">#REF!</definedName>
    <definedName name="ABM22DA" localSheetId="4">#REF!</definedName>
    <definedName name="ABM22DA" localSheetId="3">#REF!</definedName>
    <definedName name="ABM22DA" localSheetId="2">#REF!</definedName>
    <definedName name="ABM22DA" localSheetId="5">#REF!</definedName>
    <definedName name="ABM22DA" localSheetId="6">#REF!</definedName>
    <definedName name="ABM22DA" localSheetId="7">#REF!</definedName>
    <definedName name="ABM22DA" localSheetId="8">#REF!</definedName>
    <definedName name="ABM22DA" localSheetId="9">#REF!</definedName>
    <definedName name="ABM22DA" localSheetId="10">#REF!</definedName>
    <definedName name="ABM22DA" localSheetId="11">#REF!</definedName>
    <definedName name="ABM22DA">#REF!</definedName>
    <definedName name="ABM24DA" localSheetId="4">#REF!</definedName>
    <definedName name="ABM24DA" localSheetId="3">#REF!</definedName>
    <definedName name="ABM24DA" localSheetId="2">#REF!</definedName>
    <definedName name="ABM24DA" localSheetId="5">#REF!</definedName>
    <definedName name="ABM24DA" localSheetId="6">#REF!</definedName>
    <definedName name="ABM24DA" localSheetId="7">#REF!</definedName>
    <definedName name="ABM24DA" localSheetId="8">#REF!</definedName>
    <definedName name="ABM24DA" localSheetId="9">#REF!</definedName>
    <definedName name="ABM24DA" localSheetId="10">#REF!</definedName>
    <definedName name="ABM24DA" localSheetId="11">#REF!</definedName>
    <definedName name="ABM24DA">#REF!</definedName>
    <definedName name="Abteilung" localSheetId="4">#REF!</definedName>
    <definedName name="Abteilung" localSheetId="3">#REF!</definedName>
    <definedName name="Abteilung" localSheetId="2">#REF!</definedName>
    <definedName name="Abteilung" localSheetId="5">#REF!</definedName>
    <definedName name="Abteilung" localSheetId="6">#REF!</definedName>
    <definedName name="Abteilung" localSheetId="7">#REF!</definedName>
    <definedName name="Abteilung" localSheetId="8">#REF!</definedName>
    <definedName name="Abteilung" localSheetId="9">#REF!</definedName>
    <definedName name="Abteilung" localSheetId="10">#REF!</definedName>
    <definedName name="Abteilung" localSheetId="11">#REF!</definedName>
    <definedName name="Abteilung">#REF!</definedName>
    <definedName name="ABV10AA" localSheetId="4">#REF!</definedName>
    <definedName name="ABV10AA" localSheetId="3">#REF!</definedName>
    <definedName name="ABV10AA" localSheetId="2">#REF!</definedName>
    <definedName name="ABV10AA" localSheetId="5">#REF!</definedName>
    <definedName name="ABV10AA" localSheetId="6">#REF!</definedName>
    <definedName name="ABV10AA" localSheetId="7">#REF!</definedName>
    <definedName name="ABV10AA" localSheetId="8">#REF!</definedName>
    <definedName name="ABV10AA" localSheetId="9">#REF!</definedName>
    <definedName name="ABV10AA" localSheetId="10">#REF!</definedName>
    <definedName name="ABV10AA" localSheetId="11">#REF!</definedName>
    <definedName name="ABV10AA">#REF!</definedName>
    <definedName name="ACCELERATION" localSheetId="4">#REF!</definedName>
    <definedName name="ACCELERATION" localSheetId="3">#REF!</definedName>
    <definedName name="ACCELERATION" localSheetId="2">#REF!</definedName>
    <definedName name="ACCELERATION" localSheetId="5">#REF!</definedName>
    <definedName name="ACCELERATION" localSheetId="6">#REF!</definedName>
    <definedName name="ACCELERATION" localSheetId="7">#REF!</definedName>
    <definedName name="ACCELERATION" localSheetId="8">#REF!</definedName>
    <definedName name="ACCELERATION" localSheetId="9">#REF!</definedName>
    <definedName name="ACCELERATION" localSheetId="10">#REF!</definedName>
    <definedName name="ACCELERATION" localSheetId="11">#REF!</definedName>
    <definedName name="ACCELERATION">#REF!</definedName>
    <definedName name="Acceptance_Data_Start" localSheetId="4">'[23]Meas Acceptance Template'!$C$21</definedName>
    <definedName name="Acceptance_Data_Start" localSheetId="3">'[23]Meas Acceptance Template'!$C$21</definedName>
    <definedName name="Acceptance_Data_Start" localSheetId="2">'[23]Meas Acceptance Template'!$C$21</definedName>
    <definedName name="Acceptance_Data_Start" localSheetId="5">'[23]Meas Acceptance Template'!$C$21</definedName>
    <definedName name="Acceptance_Data_Start" localSheetId="6">'[23]Meas Acceptance Template'!$C$21</definedName>
    <definedName name="Acceptance_Data_Start" localSheetId="7">'[23]Meas Acceptance Template'!$C$21</definedName>
    <definedName name="Acceptance_Data_Start" localSheetId="8">'[23]Meas Acceptance Template'!$C$21</definedName>
    <definedName name="Acceptance_Data_Start" localSheetId="9">'[23]Meas Acceptance Template'!$C$21</definedName>
    <definedName name="Acceptance_Data_Start" localSheetId="10">'[77]Meas Acceptance Template'!$C$21</definedName>
    <definedName name="Acceptance_Data_Start">'[17]Meas Acceptance Template'!$C$21</definedName>
    <definedName name="Acceptance_Formats" localSheetId="4">'[23]Meas Acceptance Template'!$B$21:$R$21</definedName>
    <definedName name="Acceptance_Formats" localSheetId="3">'[23]Meas Acceptance Template'!$B$21:$R$21</definedName>
    <definedName name="Acceptance_Formats" localSheetId="2">'[23]Meas Acceptance Template'!$B$21:$R$21</definedName>
    <definedName name="Acceptance_Formats" localSheetId="5">'[23]Meas Acceptance Template'!$B$21:$R$21</definedName>
    <definedName name="Acceptance_Formats" localSheetId="6">'[23]Meas Acceptance Template'!$B$21:$R$21</definedName>
    <definedName name="Acceptance_Formats" localSheetId="7">'[23]Meas Acceptance Template'!$B$21:$R$21</definedName>
    <definedName name="Acceptance_Formats" localSheetId="8">'[23]Meas Acceptance Template'!$B$21:$R$21</definedName>
    <definedName name="Acceptance_Formats" localSheetId="9">'[23]Meas Acceptance Template'!$B$21:$R$21</definedName>
    <definedName name="Acceptance_Formats" localSheetId="10">'[77]Meas Acceptance Template'!$B$21:$R$21</definedName>
    <definedName name="Acceptance_Formats">'[17]Meas Acceptance Template'!$B$21:$R$21</definedName>
    <definedName name="Acceptance_Formulas" localSheetId="4">'[23]Meas Acceptance Template'!$H$21:$R$21</definedName>
    <definedName name="Acceptance_Formulas" localSheetId="3">'[23]Meas Acceptance Template'!$H$21:$R$21</definedName>
    <definedName name="Acceptance_Formulas" localSheetId="2">'[23]Meas Acceptance Template'!$H$21:$R$21</definedName>
    <definedName name="Acceptance_Formulas" localSheetId="5">'[23]Meas Acceptance Template'!$H$21:$R$21</definedName>
    <definedName name="Acceptance_Formulas" localSheetId="6">'[23]Meas Acceptance Template'!$H$21:$R$21</definedName>
    <definedName name="Acceptance_Formulas" localSheetId="7">'[23]Meas Acceptance Template'!$H$21:$R$21</definedName>
    <definedName name="Acceptance_Formulas" localSheetId="8">'[23]Meas Acceptance Template'!$H$21:$R$21</definedName>
    <definedName name="Acceptance_Formulas" localSheetId="9">'[23]Meas Acceptance Template'!$H$21:$R$21</definedName>
    <definedName name="Acceptance_Formulas" localSheetId="10">'[77]Meas Acceptance Template'!$H$21:$R$21</definedName>
    <definedName name="Acceptance_Formulas">'[17]Meas Acceptance Template'!$H$21:$R$21</definedName>
    <definedName name="Acceptance_Header_Measurer" localSheetId="4">'[23]Meas Acceptance Template'!$C$7</definedName>
    <definedName name="Acceptance_Header_Measurer" localSheetId="3">'[23]Meas Acceptance Template'!$C$7</definedName>
    <definedName name="Acceptance_Header_Measurer" localSheetId="2">'[23]Meas Acceptance Template'!$C$7</definedName>
    <definedName name="Acceptance_Header_Measurer" localSheetId="5">'[23]Meas Acceptance Template'!$C$7</definedName>
    <definedName name="Acceptance_Header_Measurer" localSheetId="6">'[23]Meas Acceptance Template'!$C$7</definedName>
    <definedName name="Acceptance_Header_Measurer" localSheetId="7">'[23]Meas Acceptance Template'!$C$7</definedName>
    <definedName name="Acceptance_Header_Measurer" localSheetId="8">'[23]Meas Acceptance Template'!$C$7</definedName>
    <definedName name="Acceptance_Header_Measurer" localSheetId="9">'[23]Meas Acceptance Template'!$C$7</definedName>
    <definedName name="Acceptance_Header_Measurer" localSheetId="10">'[77]Meas Acceptance Template'!$C$7</definedName>
    <definedName name="Acceptance_Header_Measurer">'[17]Meas Acceptance Template'!$C$7</definedName>
    <definedName name="Acceptance_Header_PartIssue" localSheetId="4">'[23]Meas Acceptance Template'!$E$5</definedName>
    <definedName name="Acceptance_Header_PartIssue" localSheetId="3">'[23]Meas Acceptance Template'!$E$5</definedName>
    <definedName name="Acceptance_Header_PartIssue" localSheetId="2">'[23]Meas Acceptance Template'!$E$5</definedName>
    <definedName name="Acceptance_Header_PartIssue" localSheetId="5">'[23]Meas Acceptance Template'!$E$5</definedName>
    <definedName name="Acceptance_Header_PartIssue" localSheetId="6">'[23]Meas Acceptance Template'!$E$5</definedName>
    <definedName name="Acceptance_Header_PartIssue" localSheetId="7">'[23]Meas Acceptance Template'!$E$5</definedName>
    <definedName name="Acceptance_Header_PartIssue" localSheetId="8">'[23]Meas Acceptance Template'!$E$5</definedName>
    <definedName name="Acceptance_Header_PartIssue" localSheetId="9">'[23]Meas Acceptance Template'!$E$5</definedName>
    <definedName name="Acceptance_Header_PartIssue" localSheetId="10">'[77]Meas Acceptance Template'!$E$5</definedName>
    <definedName name="Acceptance_Header_PartIssue">'[17]Meas Acceptance Template'!$E$5</definedName>
    <definedName name="Acceptance_Header_PartName" localSheetId="4">'[23]Meas Acceptance Template'!$C$4</definedName>
    <definedName name="Acceptance_Header_PartName" localSheetId="3">'[23]Meas Acceptance Template'!$C$4</definedName>
    <definedName name="Acceptance_Header_PartName" localSheetId="2">'[23]Meas Acceptance Template'!$C$4</definedName>
    <definedName name="Acceptance_Header_PartName" localSheetId="5">'[23]Meas Acceptance Template'!$C$4</definedName>
    <definedName name="Acceptance_Header_PartName" localSheetId="6">'[23]Meas Acceptance Template'!$C$4</definedName>
    <definedName name="Acceptance_Header_PartName" localSheetId="7">'[23]Meas Acceptance Template'!$C$4</definedName>
    <definedName name="Acceptance_Header_PartName" localSheetId="8">'[23]Meas Acceptance Template'!$C$4</definedName>
    <definedName name="Acceptance_Header_PartName" localSheetId="9">'[23]Meas Acceptance Template'!$C$4</definedName>
    <definedName name="Acceptance_Header_PartName" localSheetId="10">'[77]Meas Acceptance Template'!$C$4</definedName>
    <definedName name="Acceptance_Header_PartName">'[17]Meas Acceptance Template'!$C$4</definedName>
    <definedName name="Acceptance_Header_PartNumber" localSheetId="4">'[23]Meas Acceptance Template'!$C$5</definedName>
    <definedName name="Acceptance_Header_PartNumber" localSheetId="3">'[23]Meas Acceptance Template'!$C$5</definedName>
    <definedName name="Acceptance_Header_PartNumber" localSheetId="2">'[23]Meas Acceptance Template'!$C$5</definedName>
    <definedName name="Acceptance_Header_PartNumber" localSheetId="5">'[23]Meas Acceptance Template'!$C$5</definedName>
    <definedName name="Acceptance_Header_PartNumber" localSheetId="6">'[23]Meas Acceptance Template'!$C$5</definedName>
    <definedName name="Acceptance_Header_PartNumber" localSheetId="7">'[23]Meas Acceptance Template'!$C$5</definedName>
    <definedName name="Acceptance_Header_PartNumber" localSheetId="8">'[23]Meas Acceptance Template'!$C$5</definedName>
    <definedName name="Acceptance_Header_PartNumber" localSheetId="9">'[23]Meas Acceptance Template'!$C$5</definedName>
    <definedName name="Acceptance_Header_PartNumber" localSheetId="10">'[77]Meas Acceptance Template'!$C$5</definedName>
    <definedName name="Acceptance_Header_PartNumber">'[17]Meas Acceptance Template'!$C$5</definedName>
    <definedName name="Acceptance_Header_Reason" localSheetId="4">'[23]Meas Acceptance Template'!$C$10</definedName>
    <definedName name="Acceptance_Header_Reason" localSheetId="3">'[23]Meas Acceptance Template'!$C$10</definedName>
    <definedName name="Acceptance_Header_Reason" localSheetId="2">'[23]Meas Acceptance Template'!$C$10</definedName>
    <definedName name="Acceptance_Header_Reason" localSheetId="5">'[23]Meas Acceptance Template'!$C$10</definedName>
    <definedName name="Acceptance_Header_Reason" localSheetId="6">'[23]Meas Acceptance Template'!$C$10</definedName>
    <definedName name="Acceptance_Header_Reason" localSheetId="7">'[23]Meas Acceptance Template'!$C$10</definedName>
    <definedName name="Acceptance_Header_Reason" localSheetId="8">'[23]Meas Acceptance Template'!$C$10</definedName>
    <definedName name="Acceptance_Header_Reason" localSheetId="9">'[23]Meas Acceptance Template'!$C$10</definedName>
    <definedName name="Acceptance_Header_Reason" localSheetId="10">'[77]Meas Acceptance Template'!$C$10</definedName>
    <definedName name="Acceptance_Header_Reason">'[17]Meas Acceptance Template'!$C$10</definedName>
    <definedName name="Acceptance_Header_Requested" localSheetId="4">'[23]Meas Acceptance Template'!$C$6</definedName>
    <definedName name="Acceptance_Header_Requested" localSheetId="3">'[23]Meas Acceptance Template'!$C$6</definedName>
    <definedName name="Acceptance_Header_Requested" localSheetId="2">'[23]Meas Acceptance Template'!$C$6</definedName>
    <definedName name="Acceptance_Header_Requested" localSheetId="5">'[23]Meas Acceptance Template'!$C$6</definedName>
    <definedName name="Acceptance_Header_Requested" localSheetId="6">'[23]Meas Acceptance Template'!$C$6</definedName>
    <definedName name="Acceptance_Header_Requested" localSheetId="7">'[23]Meas Acceptance Template'!$C$6</definedName>
    <definedName name="Acceptance_Header_Requested" localSheetId="8">'[23]Meas Acceptance Template'!$C$6</definedName>
    <definedName name="Acceptance_Header_Requested" localSheetId="9">'[23]Meas Acceptance Template'!$C$6</definedName>
    <definedName name="Acceptance_Header_Requested" localSheetId="10">'[77]Meas Acceptance Template'!$C$6</definedName>
    <definedName name="Acceptance_Header_Requested">'[17]Meas Acceptance Template'!$C$6</definedName>
    <definedName name="Acceptance_Header_SampleSize" localSheetId="4">'[23]Meas Acceptance Template'!$G$7</definedName>
    <definedName name="Acceptance_Header_SampleSize" localSheetId="3">'[23]Meas Acceptance Template'!$G$7</definedName>
    <definedName name="Acceptance_Header_SampleSize" localSheetId="2">'[23]Meas Acceptance Template'!$G$7</definedName>
    <definedName name="Acceptance_Header_SampleSize" localSheetId="5">'[23]Meas Acceptance Template'!$G$7</definedName>
    <definedName name="Acceptance_Header_SampleSize" localSheetId="6">'[23]Meas Acceptance Template'!$G$7</definedName>
    <definedName name="Acceptance_Header_SampleSize" localSheetId="7">'[23]Meas Acceptance Template'!$G$7</definedName>
    <definedName name="Acceptance_Header_SampleSize" localSheetId="8">'[23]Meas Acceptance Template'!$G$7</definedName>
    <definedName name="Acceptance_Header_SampleSize" localSheetId="9">'[23]Meas Acceptance Template'!$G$7</definedName>
    <definedName name="Acceptance_Header_SampleSize" localSheetId="10">'[77]Meas Acceptance Template'!$G$7</definedName>
    <definedName name="Acceptance_Header_SampleSize">'[17]Meas Acceptance Template'!$G$7</definedName>
    <definedName name="Acceptance_Header_StudyEnd" localSheetId="4">'[23]Meas Acceptance Template'!$E$8</definedName>
    <definedName name="Acceptance_Header_StudyEnd" localSheetId="3">'[23]Meas Acceptance Template'!$E$8</definedName>
    <definedName name="Acceptance_Header_StudyEnd" localSheetId="2">'[23]Meas Acceptance Template'!$E$8</definedName>
    <definedName name="Acceptance_Header_StudyEnd" localSheetId="5">'[23]Meas Acceptance Template'!$E$8</definedName>
    <definedName name="Acceptance_Header_StudyEnd" localSheetId="6">'[23]Meas Acceptance Template'!$E$8</definedName>
    <definedName name="Acceptance_Header_StudyEnd" localSheetId="7">'[23]Meas Acceptance Template'!$E$8</definedName>
    <definedName name="Acceptance_Header_StudyEnd" localSheetId="8">'[23]Meas Acceptance Template'!$E$8</definedName>
    <definedName name="Acceptance_Header_StudyEnd" localSheetId="9">'[23]Meas Acceptance Template'!$E$8</definedName>
    <definedName name="Acceptance_Header_StudyEnd" localSheetId="10">'[77]Meas Acceptance Template'!$E$8</definedName>
    <definedName name="Acceptance_Header_StudyEnd">'[17]Meas Acceptance Template'!$E$8</definedName>
    <definedName name="Acceptance_Header_StudyStart" localSheetId="4">'[23]Meas Acceptance Template'!$C$8</definedName>
    <definedName name="Acceptance_Header_StudyStart" localSheetId="3">'[23]Meas Acceptance Template'!$C$8</definedName>
    <definedName name="Acceptance_Header_StudyStart" localSheetId="2">'[23]Meas Acceptance Template'!$C$8</definedName>
    <definedName name="Acceptance_Header_StudyStart" localSheetId="5">'[23]Meas Acceptance Template'!$C$8</definedName>
    <definedName name="Acceptance_Header_StudyStart" localSheetId="6">'[23]Meas Acceptance Template'!$C$8</definedName>
    <definedName name="Acceptance_Header_StudyStart" localSheetId="7">'[23]Meas Acceptance Template'!$C$8</definedName>
    <definedName name="Acceptance_Header_StudyStart" localSheetId="8">'[23]Meas Acceptance Template'!$C$8</definedName>
    <definedName name="Acceptance_Header_StudyStart" localSheetId="9">'[23]Meas Acceptance Template'!$C$8</definedName>
    <definedName name="Acceptance_Header_StudyStart" localSheetId="10">'[77]Meas Acceptance Template'!$C$8</definedName>
    <definedName name="Acceptance_Header_StudyStart">'[17]Meas Acceptance Template'!$C$8</definedName>
    <definedName name="Acceptance_Header_Using" localSheetId="4">'[23]Meas Acceptance Template'!$G$8</definedName>
    <definedName name="Acceptance_Header_Using" localSheetId="3">'[23]Meas Acceptance Template'!$G$8</definedName>
    <definedName name="Acceptance_Header_Using" localSheetId="2">'[23]Meas Acceptance Template'!$G$8</definedName>
    <definedName name="Acceptance_Header_Using" localSheetId="5">'[23]Meas Acceptance Template'!$G$8</definedName>
    <definedName name="Acceptance_Header_Using" localSheetId="6">'[23]Meas Acceptance Template'!$G$8</definedName>
    <definedName name="Acceptance_Header_Using" localSheetId="7">'[23]Meas Acceptance Template'!$G$8</definedName>
    <definedName name="Acceptance_Header_Using" localSheetId="8">'[23]Meas Acceptance Template'!$G$8</definedName>
    <definedName name="Acceptance_Header_Using" localSheetId="9">'[23]Meas Acceptance Template'!$G$8</definedName>
    <definedName name="Acceptance_Header_Using" localSheetId="10">'[77]Meas Acceptance Template'!$G$8</definedName>
    <definedName name="Acceptance_Header_Using">'[17]Meas Acceptance Template'!$G$8</definedName>
    <definedName name="AccessDatabase" hidden="1">"N:\ALLA\Reliability\Vision\Production\Spectra Production Reliability Data.mdb"</definedName>
    <definedName name="accounts" localSheetId="4">#REF!</definedName>
    <definedName name="accounts" localSheetId="3">#REF!</definedName>
    <definedName name="accounts" localSheetId="2">#REF!</definedName>
    <definedName name="accounts" localSheetId="5">#REF!</definedName>
    <definedName name="accounts" localSheetId="6">#REF!</definedName>
    <definedName name="accounts" localSheetId="7">#REF!</definedName>
    <definedName name="accounts" localSheetId="8">#REF!</definedName>
    <definedName name="accounts" localSheetId="9">#REF!</definedName>
    <definedName name="accounts" localSheetId="10">#REF!</definedName>
    <definedName name="accounts" localSheetId="11">#REF!</definedName>
    <definedName name="accounts">#REF!</definedName>
    <definedName name="Actdata" localSheetId="4">#REF!</definedName>
    <definedName name="Actdata" localSheetId="3">#REF!</definedName>
    <definedName name="Actdata" localSheetId="2">#REF!</definedName>
    <definedName name="Actdata" localSheetId="5">#REF!</definedName>
    <definedName name="Actdata" localSheetId="6">#REF!</definedName>
    <definedName name="Actdata" localSheetId="7">#REF!</definedName>
    <definedName name="Actdata" localSheetId="8">#REF!</definedName>
    <definedName name="Actdata" localSheetId="9">#REF!</definedName>
    <definedName name="Actdata" localSheetId="10">#REF!</definedName>
    <definedName name="Actdata" localSheetId="11">#REF!</definedName>
    <definedName name="Actdata">#REF!</definedName>
    <definedName name="Actual_AHAM" localSheetId="4">[71]Optimize!$AS$70</definedName>
    <definedName name="Actual_AHAM" localSheetId="3">[71]Optimize!$AS$70</definedName>
    <definedName name="Actual_AHAM" localSheetId="2">[71]Optimize!$AS$70</definedName>
    <definedName name="Actual_AHAM" localSheetId="5">[71]Optimize!$AS$70</definedName>
    <definedName name="Actual_AHAM" localSheetId="6">[71]Optimize!$AS$70</definedName>
    <definedName name="Actual_AHAM" localSheetId="7">[71]Optimize!$AS$70</definedName>
    <definedName name="Actual_AHAM" localSheetId="8">[71]Optimize!$AS$70</definedName>
    <definedName name="Actual_AHAM" localSheetId="9">[71]Optimize!$AS$70</definedName>
    <definedName name="Actual_AHAM" localSheetId="10">[10]Optimize!$AS$70</definedName>
    <definedName name="Actual_AHAM">[18]Optimize!$AS$70</definedName>
    <definedName name="actuals" localSheetId="4">'[26]FY01 Actuals'!$A$2:$P$48</definedName>
    <definedName name="actuals" localSheetId="3">'[26]FY01 Actuals'!$A$2:$P$48</definedName>
    <definedName name="actuals" localSheetId="2">'[26]FY01 Actuals'!$A$2:$P$48</definedName>
    <definedName name="actuals" localSheetId="5">'[26]FY01 Actuals'!$A$2:$P$48</definedName>
    <definedName name="actuals" localSheetId="6">'[26]FY01 Actuals'!$A$2:$P$48</definedName>
    <definedName name="actuals" localSheetId="7">'[26]FY01 Actuals'!$A$2:$P$48</definedName>
    <definedName name="actuals" localSheetId="8">'[25]FY01 Actuals'!$A$2:$P$48</definedName>
    <definedName name="actuals" localSheetId="9">'[25]FY01 Actuals'!$A$2:$P$48</definedName>
    <definedName name="actuals" localSheetId="10">'[14]FY01 Actuals'!$A$2:$P$48</definedName>
    <definedName name="actuals">'[19]FY01 Actuals'!$A$2:$P$48</definedName>
    <definedName name="actuals2" localSheetId="4">'[26]FY01 Actuals'!$E$3:$N$13</definedName>
    <definedName name="actuals2" localSheetId="3">'[26]FY01 Actuals'!$E$3:$N$13</definedName>
    <definedName name="actuals2" localSheetId="2">'[26]FY01 Actuals'!$E$3:$N$13</definedName>
    <definedName name="actuals2" localSheetId="5">'[26]FY01 Actuals'!$E$3:$N$13</definedName>
    <definedName name="actuals2" localSheetId="6">'[26]FY01 Actuals'!$E$3:$N$13</definedName>
    <definedName name="actuals2" localSheetId="7">'[26]FY01 Actuals'!$E$3:$N$13</definedName>
    <definedName name="actuals2" localSheetId="8">'[25]FY01 Actuals'!$E$3:$N$13</definedName>
    <definedName name="actuals2" localSheetId="9">'[25]FY01 Actuals'!$E$3:$N$13</definedName>
    <definedName name="actuals2" localSheetId="10">'[14]FY01 Actuals'!$E$3:$N$13</definedName>
    <definedName name="actuals2">'[19]FY01 Actuals'!$E$3:$N$13</definedName>
    <definedName name="ADFGHJdafhg" localSheetId="4" hidden="1">{#N/A,#N/A,TRUE,"Distribution";#N/A,#N/A,TRUE,"Fulfillment";#N/A,#N/A,TRUE,"Aged Backorders"}</definedName>
    <definedName name="ADFGHJdafhg" localSheetId="3" hidden="1">{#N/A,#N/A,TRUE,"Distribution";#N/A,#N/A,TRUE,"Fulfillment";#N/A,#N/A,TRUE,"Aged Backorders"}</definedName>
    <definedName name="ADFGHJdafhg" localSheetId="2" hidden="1">{#N/A,#N/A,TRUE,"Distribution";#N/A,#N/A,TRUE,"Fulfillment";#N/A,#N/A,TRUE,"Aged Backorders"}</definedName>
    <definedName name="ADFGHJdafhg" localSheetId="8" hidden="1">{#N/A,#N/A,TRUE,"Distribution";#N/A,#N/A,TRUE,"Fulfillment";#N/A,#N/A,TRUE,"Aged Backorders"}</definedName>
    <definedName name="ADFGHJdafhg" localSheetId="9" hidden="1">{#N/A,#N/A,TRUE,"Distribution";#N/A,#N/A,TRUE,"Fulfillment";#N/A,#N/A,TRUE,"Aged Backorders"}</definedName>
    <definedName name="ADFGHJdafhg" localSheetId="10" hidden="1">{#N/A,#N/A,TRUE,"Distribution";#N/A,#N/A,TRUE,"Fulfillment";#N/A,#N/A,TRUE,"Aged Backorders"}</definedName>
    <definedName name="ADFGHJdafhg" hidden="1">{#N/A,#N/A,TRUE,"Distribution";#N/A,#N/A,TRUE,"Fulfillment";#N/A,#N/A,TRUE,"Aged Backorders"}</definedName>
    <definedName name="ADJUSTMENTS" localSheetId="4">#REF!</definedName>
    <definedName name="ADJUSTMENTS" localSheetId="3">#REF!</definedName>
    <definedName name="ADJUSTMENTS" localSheetId="2">#REF!</definedName>
    <definedName name="ADJUSTMENTS" localSheetId="5">#REF!</definedName>
    <definedName name="ADJUSTMENTS" localSheetId="6">#REF!</definedName>
    <definedName name="ADJUSTMENTS" localSheetId="7">#REF!</definedName>
    <definedName name="ADJUSTMENTS" localSheetId="8">#REF!</definedName>
    <definedName name="ADJUSTMENTS" localSheetId="9">#REF!</definedName>
    <definedName name="ADJUSTMENTS" localSheetId="10">#REF!</definedName>
    <definedName name="ADJUSTMENTS" localSheetId="11">#REF!</definedName>
    <definedName name="ADJUSTMENTS">#REF!</definedName>
    <definedName name="adsg" localSheetId="4">#REF!</definedName>
    <definedName name="adsg" localSheetId="3">#REF!</definedName>
    <definedName name="adsg" localSheetId="2">#REF!</definedName>
    <definedName name="adsg" localSheetId="5">#REF!</definedName>
    <definedName name="adsg" localSheetId="6">#REF!</definedName>
    <definedName name="adsg" localSheetId="7">#REF!</definedName>
    <definedName name="adsg" localSheetId="8">#REF!</definedName>
    <definedName name="adsg" localSheetId="9">#REF!</definedName>
    <definedName name="adsg" localSheetId="10">#REF!</definedName>
    <definedName name="adsg" localSheetId="11">#REF!</definedName>
    <definedName name="adsg">#REF!</definedName>
    <definedName name="ADSS" localSheetId="4">#REF!</definedName>
    <definedName name="ADSS" localSheetId="3">#REF!</definedName>
    <definedName name="ADSS" localSheetId="2">#REF!</definedName>
    <definedName name="ADSS" localSheetId="5">#REF!</definedName>
    <definedName name="ADSS" localSheetId="6">#REF!</definedName>
    <definedName name="ADSS" localSheetId="7">#REF!</definedName>
    <definedName name="ADSS" localSheetId="8">#REF!</definedName>
    <definedName name="ADSS" localSheetId="9">#REF!</definedName>
    <definedName name="ADSS" localSheetId="10">#REF!</definedName>
    <definedName name="ADSS" localSheetId="11">#REF!</definedName>
    <definedName name="ADSS">#REF!</definedName>
    <definedName name="aefe">#N/A</definedName>
    <definedName name="AF_VP" localSheetId="4">#REF!</definedName>
    <definedName name="AF_VP" localSheetId="3">#REF!</definedName>
    <definedName name="AF_VP" localSheetId="2">#REF!</definedName>
    <definedName name="AF_VP" localSheetId="5">#REF!</definedName>
    <definedName name="AF_VP" localSheetId="6">#REF!</definedName>
    <definedName name="AF_VP" localSheetId="7">#REF!</definedName>
    <definedName name="AF_VP" localSheetId="8">#REF!</definedName>
    <definedName name="AF_VP" localSheetId="9">#REF!</definedName>
    <definedName name="AF_VP" localSheetId="10">#REF!</definedName>
    <definedName name="AF_VP" localSheetId="11">#REF!</definedName>
    <definedName name="AF_VP">#REF!</definedName>
    <definedName name="afd" localSheetId="4" hidden="1">{#N/A,#N/A,TRUE,"Distribution";#N/A,#N/A,TRUE,"Fulfillment";#N/A,#N/A,TRUE,"Aged Backorders"}</definedName>
    <definedName name="afd" localSheetId="3" hidden="1">{#N/A,#N/A,TRUE,"Distribution";#N/A,#N/A,TRUE,"Fulfillment";#N/A,#N/A,TRUE,"Aged Backorders"}</definedName>
    <definedName name="afd" localSheetId="2" hidden="1">{#N/A,#N/A,TRUE,"Distribution";#N/A,#N/A,TRUE,"Fulfillment";#N/A,#N/A,TRUE,"Aged Backorders"}</definedName>
    <definedName name="afd" localSheetId="8" hidden="1">{#N/A,#N/A,TRUE,"Distribution";#N/A,#N/A,TRUE,"Fulfillment";#N/A,#N/A,TRUE,"Aged Backorders"}</definedName>
    <definedName name="afd" localSheetId="9" hidden="1">{#N/A,#N/A,TRUE,"Distribution";#N/A,#N/A,TRUE,"Fulfillment";#N/A,#N/A,TRUE,"Aged Backorders"}</definedName>
    <definedName name="afd" localSheetId="10" hidden="1">{#N/A,#N/A,TRUE,"Distribution";#N/A,#N/A,TRUE,"Fulfillment";#N/A,#N/A,TRUE,"Aged Backorders"}</definedName>
    <definedName name="afd" hidden="1">{#N/A,#N/A,TRUE,"Distribution";#N/A,#N/A,TRUE,"Fulfillment";#N/A,#N/A,TRUE,"Aged Backorders"}</definedName>
    <definedName name="AFF_YR1_SW" localSheetId="4">#REF!</definedName>
    <definedName name="AFF_YR1_SW" localSheetId="3">#REF!</definedName>
    <definedName name="AFF_YR1_SW" localSheetId="2">#REF!</definedName>
    <definedName name="AFF_YR1_SW" localSheetId="5">#REF!</definedName>
    <definedName name="AFF_YR1_SW" localSheetId="6">#REF!</definedName>
    <definedName name="AFF_YR1_SW" localSheetId="7">#REF!</definedName>
    <definedName name="AFF_YR1_SW" localSheetId="8">#REF!</definedName>
    <definedName name="AFF_YR1_SW" localSheetId="9">#REF!</definedName>
    <definedName name="AFF_YR1_SW" localSheetId="10">#REF!</definedName>
    <definedName name="AFF_YR1_SW" localSheetId="11">#REF!</definedName>
    <definedName name="AFF_YR1_SW">#REF!</definedName>
    <definedName name="AFF_YR2_SW" localSheetId="4">#REF!</definedName>
    <definedName name="AFF_YR2_SW" localSheetId="3">#REF!</definedName>
    <definedName name="AFF_YR2_SW" localSheetId="2">#REF!</definedName>
    <definedName name="AFF_YR2_SW" localSheetId="5">#REF!</definedName>
    <definedName name="AFF_YR2_SW" localSheetId="6">#REF!</definedName>
    <definedName name="AFF_YR2_SW" localSheetId="7">#REF!</definedName>
    <definedName name="AFF_YR2_SW" localSheetId="8">#REF!</definedName>
    <definedName name="AFF_YR2_SW" localSheetId="9">#REF!</definedName>
    <definedName name="AFF_YR2_SW" localSheetId="10">#REF!</definedName>
    <definedName name="AFF_YR2_SW" localSheetId="11">#REF!</definedName>
    <definedName name="AFF_YR2_SW">#REF!</definedName>
    <definedName name="AFF_YR3_SW" localSheetId="4">#REF!</definedName>
    <definedName name="AFF_YR3_SW" localSheetId="3">#REF!</definedName>
    <definedName name="AFF_YR3_SW" localSheetId="2">#REF!</definedName>
    <definedName name="AFF_YR3_SW" localSheetId="5">#REF!</definedName>
    <definedName name="AFF_YR3_SW" localSheetId="6">#REF!</definedName>
    <definedName name="AFF_YR3_SW" localSheetId="7">#REF!</definedName>
    <definedName name="AFF_YR3_SW" localSheetId="8">#REF!</definedName>
    <definedName name="AFF_YR3_SW" localSheetId="9">#REF!</definedName>
    <definedName name="AFF_YR3_SW" localSheetId="10">#REF!</definedName>
    <definedName name="AFF_YR3_SW" localSheetId="11">#REF!</definedName>
    <definedName name="AFF_YR3_SW">#REF!</definedName>
    <definedName name="AFF_YR4_SW" localSheetId="4">#REF!</definedName>
    <definedName name="AFF_YR4_SW" localSheetId="3">#REF!</definedName>
    <definedName name="AFF_YR4_SW" localSheetId="2">#REF!</definedName>
    <definedName name="AFF_YR4_SW" localSheetId="5">#REF!</definedName>
    <definedName name="AFF_YR4_SW" localSheetId="6">#REF!</definedName>
    <definedName name="AFF_YR4_SW" localSheetId="7">#REF!</definedName>
    <definedName name="AFF_YR4_SW" localSheetId="8">#REF!</definedName>
    <definedName name="AFF_YR4_SW" localSheetId="9">#REF!</definedName>
    <definedName name="AFF_YR4_SW" localSheetId="10">#REF!</definedName>
    <definedName name="AFF_YR4_SW" localSheetId="11">#REF!</definedName>
    <definedName name="AFF_YR4_SW">#REF!</definedName>
    <definedName name="afo" localSheetId="4">#REF!</definedName>
    <definedName name="afo" localSheetId="3">#REF!</definedName>
    <definedName name="afo" localSheetId="2">#REF!</definedName>
    <definedName name="afo" localSheetId="5">#REF!</definedName>
    <definedName name="afo" localSheetId="6">#REF!</definedName>
    <definedName name="afo" localSheetId="7">#REF!</definedName>
    <definedName name="afo" localSheetId="8">#REF!</definedName>
    <definedName name="afo" localSheetId="9">#REF!</definedName>
    <definedName name="afo" localSheetId="10">#REF!</definedName>
    <definedName name="afo" localSheetId="11">#REF!</definedName>
    <definedName name="afo">#REF!</definedName>
    <definedName name="afo_neu" localSheetId="4">#REF!</definedName>
    <definedName name="afo_neu" localSheetId="3">#REF!</definedName>
    <definedName name="afo_neu" localSheetId="2">#REF!</definedName>
    <definedName name="afo_neu" localSheetId="5">#REF!</definedName>
    <definedName name="afo_neu" localSheetId="6">#REF!</definedName>
    <definedName name="afo_neu" localSheetId="7">#REF!</definedName>
    <definedName name="afo_neu" localSheetId="8">#REF!</definedName>
    <definedName name="afo_neu" localSheetId="9">#REF!</definedName>
    <definedName name="afo_neu" localSheetId="10">#REF!</definedName>
    <definedName name="afo_neu" localSheetId="11">#REF!</definedName>
    <definedName name="afo_neu">#REF!</definedName>
    <definedName name="AG" localSheetId="4">#REF!</definedName>
    <definedName name="AG" localSheetId="3">#REF!</definedName>
    <definedName name="AG" localSheetId="2">#REF!</definedName>
    <definedName name="AG" localSheetId="5">#REF!</definedName>
    <definedName name="AG" localSheetId="6">#REF!</definedName>
    <definedName name="AG" localSheetId="7">#REF!</definedName>
    <definedName name="AG" localSheetId="8">#REF!</definedName>
    <definedName name="AG" localSheetId="9">#REF!</definedName>
    <definedName name="AG" localSheetId="10">#REF!</definedName>
    <definedName name="AG" localSheetId="11">#REF!</definedName>
    <definedName name="AG">#REF!</definedName>
    <definedName name="AGA" localSheetId="4" hidden="1">{#N/A,#N/A,TRUE,"Distribution";#N/A,#N/A,TRUE,"Fulfillment";#N/A,#N/A,TRUE,"Aged Backorders"}</definedName>
    <definedName name="AGA" localSheetId="3" hidden="1">{#N/A,#N/A,TRUE,"Distribution";#N/A,#N/A,TRUE,"Fulfillment";#N/A,#N/A,TRUE,"Aged Backorders"}</definedName>
    <definedName name="AGA" localSheetId="2" hidden="1">{#N/A,#N/A,TRUE,"Distribution";#N/A,#N/A,TRUE,"Fulfillment";#N/A,#N/A,TRUE,"Aged Backorders"}</definedName>
    <definedName name="AGA" localSheetId="8" hidden="1">{#N/A,#N/A,TRUE,"Distribution";#N/A,#N/A,TRUE,"Fulfillment";#N/A,#N/A,TRUE,"Aged Backorders"}</definedName>
    <definedName name="AGA" localSheetId="9" hidden="1">{#N/A,#N/A,TRUE,"Distribution";#N/A,#N/A,TRUE,"Fulfillment";#N/A,#N/A,TRUE,"Aged Backorders"}</definedName>
    <definedName name="AGA" localSheetId="10" hidden="1">{#N/A,#N/A,TRUE,"Distribution";#N/A,#N/A,TRUE,"Fulfillment";#N/A,#N/A,TRUE,"Aged Backorders"}</definedName>
    <definedName name="AGA" hidden="1">{#N/A,#N/A,TRUE,"Distribution";#N/A,#N/A,TRUE,"Fulfillment";#N/A,#N/A,TRUE,"Aged Backorders"}</definedName>
    <definedName name="agag" localSheetId="4" hidden="1">{#N/A,#N/A,TRUE,"Distribution";#N/A,#N/A,TRUE,"Fulfillment";#N/A,#N/A,TRUE,"Aged Backorders"}</definedName>
    <definedName name="agag" localSheetId="3" hidden="1">{#N/A,#N/A,TRUE,"Distribution";#N/A,#N/A,TRUE,"Fulfillment";#N/A,#N/A,TRUE,"Aged Backorders"}</definedName>
    <definedName name="agag" localSheetId="2" hidden="1">{#N/A,#N/A,TRUE,"Distribution";#N/A,#N/A,TRUE,"Fulfillment";#N/A,#N/A,TRUE,"Aged Backorders"}</definedName>
    <definedName name="agag" localSheetId="8" hidden="1">{#N/A,#N/A,TRUE,"Distribution";#N/A,#N/A,TRUE,"Fulfillment";#N/A,#N/A,TRUE,"Aged Backorders"}</definedName>
    <definedName name="agag" localSheetId="9" hidden="1">{#N/A,#N/A,TRUE,"Distribution";#N/A,#N/A,TRUE,"Fulfillment";#N/A,#N/A,TRUE,"Aged Backorders"}</definedName>
    <definedName name="agag" localSheetId="10" hidden="1">{#N/A,#N/A,TRUE,"Distribution";#N/A,#N/A,TRUE,"Fulfillment";#N/A,#N/A,TRUE,"Aged Backorders"}</definedName>
    <definedName name="agag" hidden="1">{#N/A,#N/A,TRUE,"Distribution";#N/A,#N/A,TRUE,"Fulfillment";#N/A,#N/A,TRUE,"Aged Backorders"}</definedName>
    <definedName name="agang" localSheetId="4">#REF!</definedName>
    <definedName name="agang" localSheetId="3">#REF!</definedName>
    <definedName name="agang" localSheetId="2">#REF!</definedName>
    <definedName name="agang" localSheetId="5">#REF!</definedName>
    <definedName name="agang" localSheetId="6">#REF!</definedName>
    <definedName name="agang" localSheetId="7">#REF!</definedName>
    <definedName name="agang" localSheetId="8">#REF!</definedName>
    <definedName name="agang" localSheetId="9">#REF!</definedName>
    <definedName name="agang" localSheetId="10">#REF!</definedName>
    <definedName name="agang" localSheetId="11">#REF!</definedName>
    <definedName name="agang">#REF!</definedName>
    <definedName name="agang1" localSheetId="4">#REF!</definedName>
    <definedName name="agang1" localSheetId="3">#REF!</definedName>
    <definedName name="agang1" localSheetId="2">#REF!</definedName>
    <definedName name="agang1" localSheetId="5">#REF!</definedName>
    <definedName name="agang1" localSheetId="6">#REF!</definedName>
    <definedName name="agang1" localSheetId="7">#REF!</definedName>
    <definedName name="agang1" localSheetId="8">#REF!</definedName>
    <definedName name="agang1" localSheetId="9">#REF!</definedName>
    <definedName name="agang1" localSheetId="10">#REF!</definedName>
    <definedName name="agang1" localSheetId="11">#REF!</definedName>
    <definedName name="agang1">#REF!</definedName>
    <definedName name="agEGRTTRTH" localSheetId="4" hidden="1">{#N/A,#N/A,TRUE,"Distribution";#N/A,#N/A,TRUE,"Fulfillment";#N/A,#N/A,TRUE,"Aged Backorders"}</definedName>
    <definedName name="agEGRTTRTH" localSheetId="3" hidden="1">{#N/A,#N/A,TRUE,"Distribution";#N/A,#N/A,TRUE,"Fulfillment";#N/A,#N/A,TRUE,"Aged Backorders"}</definedName>
    <definedName name="agEGRTTRTH" localSheetId="2" hidden="1">{#N/A,#N/A,TRUE,"Distribution";#N/A,#N/A,TRUE,"Fulfillment";#N/A,#N/A,TRUE,"Aged Backorders"}</definedName>
    <definedName name="agEGRTTRTH" localSheetId="8" hidden="1">{#N/A,#N/A,TRUE,"Distribution";#N/A,#N/A,TRUE,"Fulfillment";#N/A,#N/A,TRUE,"Aged Backorders"}</definedName>
    <definedName name="agEGRTTRTH" localSheetId="9" hidden="1">{#N/A,#N/A,TRUE,"Distribution";#N/A,#N/A,TRUE,"Fulfillment";#N/A,#N/A,TRUE,"Aged Backorders"}</definedName>
    <definedName name="agEGRTTRTH" localSheetId="10" hidden="1">{#N/A,#N/A,TRUE,"Distribution";#N/A,#N/A,TRUE,"Fulfillment";#N/A,#N/A,TRUE,"Aged Backorders"}</definedName>
    <definedName name="agEGRTTRTH" hidden="1">{#N/A,#N/A,TRUE,"Distribution";#N/A,#N/A,TRUE,"Fulfillment";#N/A,#N/A,TRUE,"Aged Backorders"}</definedName>
    <definedName name="aggggggggggg" localSheetId="4">#REF!</definedName>
    <definedName name="aggggggggggg" localSheetId="3">#REF!</definedName>
    <definedName name="aggggggggggg" localSheetId="2">#REF!</definedName>
    <definedName name="aggggggggggg" localSheetId="5">#REF!</definedName>
    <definedName name="aggggggggggg" localSheetId="6">#REF!</definedName>
    <definedName name="aggggggggggg" localSheetId="7">#REF!</definedName>
    <definedName name="aggggggggggg" localSheetId="8">#REF!</definedName>
    <definedName name="aggggggggggg" localSheetId="9">#REF!</definedName>
    <definedName name="aggggggggggg" localSheetId="10">#REF!</definedName>
    <definedName name="aggggggggggg" localSheetId="11">#REF!</definedName>
    <definedName name="aggggggggggg">#REF!</definedName>
    <definedName name="AGH08FA" localSheetId="4">#REF!</definedName>
    <definedName name="AGH08FA" localSheetId="3">#REF!</definedName>
    <definedName name="AGH08FA" localSheetId="2">#REF!</definedName>
    <definedName name="AGH08FA" localSheetId="5">#REF!</definedName>
    <definedName name="AGH08FA" localSheetId="6">#REF!</definedName>
    <definedName name="AGH08FA" localSheetId="7">#REF!</definedName>
    <definedName name="AGH08FA" localSheetId="8">#REF!</definedName>
    <definedName name="AGH08FA" localSheetId="9">#REF!</definedName>
    <definedName name="AGH08FA" localSheetId="10">#REF!</definedName>
    <definedName name="AGH08FA" localSheetId="11">#REF!</definedName>
    <definedName name="AGH08FA">#REF!</definedName>
    <definedName name="Agilent" localSheetId="4">'[27]Pull HP Wide'!#REF!</definedName>
    <definedName name="Agilent" localSheetId="3">'[27]Pull HP Wide'!#REF!</definedName>
    <definedName name="Agilent" localSheetId="2">'[27]Pull HP Wide'!#REF!</definedName>
    <definedName name="Agilent" localSheetId="5">'[27]Pull HP Wide'!#REF!</definedName>
    <definedName name="Agilent" localSheetId="6">'[27]Pull HP Wide'!#REF!</definedName>
    <definedName name="Agilent" localSheetId="7">'[27]Pull HP Wide'!#REF!</definedName>
    <definedName name="Agilent" localSheetId="8">'[28]Pull HP Wide'!#REF!</definedName>
    <definedName name="Agilent" localSheetId="9">'[28]Pull HP Wide'!#REF!</definedName>
    <definedName name="Agilent" localSheetId="10">'[16]Pull HP Wide'!#REF!</definedName>
    <definedName name="Agilent">'[20]Pull HP Wide'!#REF!</definedName>
    <definedName name="AGP05LA" localSheetId="4">#REF!</definedName>
    <definedName name="AGP05LA" localSheetId="3">#REF!</definedName>
    <definedName name="AGP05LA" localSheetId="2">#REF!</definedName>
    <definedName name="AGP05LA" localSheetId="5">#REF!</definedName>
    <definedName name="AGP05LA" localSheetId="6">#REF!</definedName>
    <definedName name="AGP05LA" localSheetId="7">#REF!</definedName>
    <definedName name="AGP05LA" localSheetId="8">#REF!</definedName>
    <definedName name="AGP05LA" localSheetId="9">#REF!</definedName>
    <definedName name="AGP05LA" localSheetId="10">#REF!</definedName>
    <definedName name="AGP05LA" localSheetId="11">#REF!</definedName>
    <definedName name="AGP05LA">#REF!</definedName>
    <definedName name="AGP08AA" localSheetId="4">#REF!</definedName>
    <definedName name="AGP08AA" localSheetId="3">#REF!</definedName>
    <definedName name="AGP08AA" localSheetId="2">#REF!</definedName>
    <definedName name="AGP08AA" localSheetId="5">#REF!</definedName>
    <definedName name="AGP08AA" localSheetId="6">#REF!</definedName>
    <definedName name="AGP08AA" localSheetId="7">#REF!</definedName>
    <definedName name="AGP08AA" localSheetId="8">#REF!</definedName>
    <definedName name="AGP08AA" localSheetId="9">#REF!</definedName>
    <definedName name="AGP08AA" localSheetId="10">#REF!</definedName>
    <definedName name="AGP08AA" localSheetId="11">#REF!</definedName>
    <definedName name="AGP08AA">#REF!</definedName>
    <definedName name="AGP12AA" localSheetId="4">#REF!</definedName>
    <definedName name="AGP12AA" localSheetId="3">#REF!</definedName>
    <definedName name="AGP12AA" localSheetId="2">#REF!</definedName>
    <definedName name="AGP12AA" localSheetId="5">#REF!</definedName>
    <definedName name="AGP12AA" localSheetId="6">#REF!</definedName>
    <definedName name="AGP12AA" localSheetId="7">#REF!</definedName>
    <definedName name="AGP12AA" localSheetId="8">#REF!</definedName>
    <definedName name="AGP12AA" localSheetId="9">#REF!</definedName>
    <definedName name="AGP12AA" localSheetId="10">#REF!</definedName>
    <definedName name="AGP12AA" localSheetId="11">#REF!</definedName>
    <definedName name="AGP12AA">#REF!</definedName>
    <definedName name="AGV08AA" localSheetId="4">#REF!</definedName>
    <definedName name="AGV08AA" localSheetId="3">#REF!</definedName>
    <definedName name="AGV08AA" localSheetId="2">#REF!</definedName>
    <definedName name="AGV08AA" localSheetId="5">#REF!</definedName>
    <definedName name="AGV08AA" localSheetId="6">#REF!</definedName>
    <definedName name="AGV08AA" localSheetId="7">#REF!</definedName>
    <definedName name="AGV08AA" localSheetId="8">#REF!</definedName>
    <definedName name="AGV08AA" localSheetId="9">#REF!</definedName>
    <definedName name="AGV08AA" localSheetId="10">#REF!</definedName>
    <definedName name="AGV08AA" localSheetId="11">#REF!</definedName>
    <definedName name="AGV08AA">#REF!</definedName>
    <definedName name="AGV12AA" localSheetId="4">#REF!</definedName>
    <definedName name="AGV12AA" localSheetId="3">#REF!</definedName>
    <definedName name="AGV12AA" localSheetId="2">#REF!</definedName>
    <definedName name="AGV12AA" localSheetId="5">#REF!</definedName>
    <definedName name="AGV12AA" localSheetId="6">#REF!</definedName>
    <definedName name="AGV12AA" localSheetId="7">#REF!</definedName>
    <definedName name="AGV12AA" localSheetId="8">#REF!</definedName>
    <definedName name="AGV12AA" localSheetId="9">#REF!</definedName>
    <definedName name="AGV12AA" localSheetId="10">#REF!</definedName>
    <definedName name="AGV12AA" localSheetId="11">#REF!</definedName>
    <definedName name="AGV12AA">#REF!</definedName>
    <definedName name="AGV18DA" localSheetId="4">#REF!</definedName>
    <definedName name="AGV18DA" localSheetId="3">#REF!</definedName>
    <definedName name="AGV18DA" localSheetId="2">#REF!</definedName>
    <definedName name="AGV18DA" localSheetId="5">#REF!</definedName>
    <definedName name="AGV18DA" localSheetId="6">#REF!</definedName>
    <definedName name="AGV18DA" localSheetId="7">#REF!</definedName>
    <definedName name="AGV18DA" localSheetId="8">#REF!</definedName>
    <definedName name="AGV18DA" localSheetId="9">#REF!</definedName>
    <definedName name="AGV18DA" localSheetId="10">#REF!</definedName>
    <definedName name="AGV18DA" localSheetId="11">#REF!</definedName>
    <definedName name="AGV18DA">#REF!</definedName>
    <definedName name="AHF25LA" localSheetId="4">#REF!</definedName>
    <definedName name="AHF25LA" localSheetId="3">#REF!</definedName>
    <definedName name="AHF25LA" localSheetId="2">#REF!</definedName>
    <definedName name="AHF25LA" localSheetId="5">#REF!</definedName>
    <definedName name="AHF25LA" localSheetId="6">#REF!</definedName>
    <definedName name="AHF25LA" localSheetId="7">#REF!</definedName>
    <definedName name="AHF25LA" localSheetId="8">#REF!</definedName>
    <definedName name="AHF25LA" localSheetId="9">#REF!</definedName>
    <definedName name="AHF25LA" localSheetId="10">#REF!</definedName>
    <definedName name="AHF25LA" localSheetId="11">#REF!</definedName>
    <definedName name="AHF25LA">#REF!</definedName>
    <definedName name="AHF35FA" localSheetId="4">#REF!</definedName>
    <definedName name="AHF35FA" localSheetId="3">#REF!</definedName>
    <definedName name="AHF35FA" localSheetId="2">#REF!</definedName>
    <definedName name="AHF35FA" localSheetId="5">#REF!</definedName>
    <definedName name="AHF35FA" localSheetId="6">#REF!</definedName>
    <definedName name="AHF35FA" localSheetId="7">#REF!</definedName>
    <definedName name="AHF35FA" localSheetId="8">#REF!</definedName>
    <definedName name="AHF35FA" localSheetId="9">#REF!</definedName>
    <definedName name="AHF35FA" localSheetId="10">#REF!</definedName>
    <definedName name="AHF35FA" localSheetId="11">#REF!</definedName>
    <definedName name="AHF35FA">#REF!</definedName>
    <definedName name="AHF45AA" localSheetId="4">#REF!</definedName>
    <definedName name="AHF45AA" localSheetId="3">#REF!</definedName>
    <definedName name="AHF45AA" localSheetId="2">#REF!</definedName>
    <definedName name="AHF45AA" localSheetId="5">#REF!</definedName>
    <definedName name="AHF45AA" localSheetId="6">#REF!</definedName>
    <definedName name="AHF45AA" localSheetId="7">#REF!</definedName>
    <definedName name="AHF45AA" localSheetId="8">#REF!</definedName>
    <definedName name="AHF45AA" localSheetId="9">#REF!</definedName>
    <definedName name="AHF45AA" localSheetId="10">#REF!</definedName>
    <definedName name="AHF45AA" localSheetId="11">#REF!</definedName>
    <definedName name="AHF45AA">#REF!</definedName>
    <definedName name="AHG20LA" localSheetId="4">#REF!</definedName>
    <definedName name="AHG20LA" localSheetId="3">#REF!</definedName>
    <definedName name="AHG20LA" localSheetId="2">#REF!</definedName>
    <definedName name="AHG20LA" localSheetId="5">#REF!</definedName>
    <definedName name="AHG20LA" localSheetId="6">#REF!</definedName>
    <definedName name="AHG20LA" localSheetId="7">#REF!</definedName>
    <definedName name="AHG20LA" localSheetId="8">#REF!</definedName>
    <definedName name="AHG20LA" localSheetId="9">#REF!</definedName>
    <definedName name="AHG20LA" localSheetId="10">#REF!</definedName>
    <definedName name="AHG20LA" localSheetId="11">#REF!</definedName>
    <definedName name="AHG20LA">#REF!</definedName>
    <definedName name="ale" localSheetId="4" hidden="1">{#N/A,#N/A,TRUE,"Distribution";#N/A,#N/A,TRUE,"Fulfillment";#N/A,#N/A,TRUE,"Aged Backorders"}</definedName>
    <definedName name="ale" localSheetId="3" hidden="1">{#N/A,#N/A,TRUE,"Distribution";#N/A,#N/A,TRUE,"Fulfillment";#N/A,#N/A,TRUE,"Aged Backorders"}</definedName>
    <definedName name="ale" localSheetId="2" hidden="1">{#N/A,#N/A,TRUE,"Distribution";#N/A,#N/A,TRUE,"Fulfillment";#N/A,#N/A,TRUE,"Aged Backorders"}</definedName>
    <definedName name="ale" localSheetId="8" hidden="1">{#N/A,#N/A,TRUE,"Distribution";#N/A,#N/A,TRUE,"Fulfillment";#N/A,#N/A,TRUE,"Aged Backorders"}</definedName>
    <definedName name="ale" localSheetId="9" hidden="1">{#N/A,#N/A,TRUE,"Distribution";#N/A,#N/A,TRUE,"Fulfillment";#N/A,#N/A,TRUE,"Aged Backorders"}</definedName>
    <definedName name="ale" localSheetId="10" hidden="1">{#N/A,#N/A,TRUE,"Distribution";#N/A,#N/A,TRUE,"Fulfillment";#N/A,#N/A,TRUE,"Aged Backorders"}</definedName>
    <definedName name="ale" hidden="1">{#N/A,#N/A,TRUE,"Distribution";#N/A,#N/A,TRUE,"Fulfillment";#N/A,#N/A,TRUE,"Aged Backorders"}</definedName>
    <definedName name="all" localSheetId="4">[68]PLALL!$A$1:$BM$137</definedName>
    <definedName name="all" localSheetId="3">[68]PLALL!$A$1:$BM$137</definedName>
    <definedName name="all" localSheetId="2">[68]PLALL!$A$1:$BM$137</definedName>
    <definedName name="all" localSheetId="5">[68]PLALL!$A$1:$BM$137</definedName>
    <definedName name="all" localSheetId="6">[68]PLALL!$A$1:$BM$137</definedName>
    <definedName name="all" localSheetId="7">[68]PLALL!$A$1:$BM$137</definedName>
    <definedName name="all" localSheetId="10">[80]PLALL!$A$1:$BM$137</definedName>
    <definedName name="all">[9]PLALL!$A$1:$BM$137</definedName>
    <definedName name="ALLCAR" localSheetId="4">[29]WIBLE!$D$1</definedName>
    <definedName name="ALLCAR" localSheetId="3">[29]WIBLE!$D$1</definedName>
    <definedName name="ALLCAR" localSheetId="2">[29]WIBLE!$D$1</definedName>
    <definedName name="ALLCAR" localSheetId="5">[29]WIBLE!$D$1</definedName>
    <definedName name="ALLCAR" localSheetId="6">[29]WIBLE!$D$1</definedName>
    <definedName name="ALLCAR" localSheetId="7">[29]WIBLE!$D$1</definedName>
    <definedName name="ALLCAR" localSheetId="8">[29]WIBLE!$D$1</definedName>
    <definedName name="ALLCAR" localSheetId="9">[29]WIBLE!$D$1</definedName>
    <definedName name="ALLCAR" localSheetId="10">[17]WIBLE!$D$1</definedName>
    <definedName name="ALLCAR">[21]WIBLE!$D$1</definedName>
    <definedName name="ALPHA" localSheetId="4">#REF!</definedName>
    <definedName name="ALPHA" localSheetId="3">#REF!</definedName>
    <definedName name="ALPHA" localSheetId="2">#REF!</definedName>
    <definedName name="ALPHA" localSheetId="5">#REF!</definedName>
    <definedName name="ALPHA" localSheetId="6">#REF!</definedName>
    <definedName name="ALPHA" localSheetId="7">#REF!</definedName>
    <definedName name="ALPHA" localSheetId="8">#REF!</definedName>
    <definedName name="ALPHA" localSheetId="9">#REF!</definedName>
    <definedName name="ALPHA" localSheetId="10">#REF!</definedName>
    <definedName name="ALPHA" localSheetId="11">#REF!</definedName>
    <definedName name="ALPHA">#REF!</definedName>
    <definedName name="ALPIN">#N/A</definedName>
    <definedName name="ALPJYOU">#N/A</definedName>
    <definedName name="ALPTOI">#N/A</definedName>
    <definedName name="ALT_" localSheetId="4">#REF!</definedName>
    <definedName name="ALT_" localSheetId="3">#REF!</definedName>
    <definedName name="ALT_" localSheetId="2">#REF!</definedName>
    <definedName name="ALT_" localSheetId="5">#REF!</definedName>
    <definedName name="ALT_" localSheetId="6">#REF!</definedName>
    <definedName name="ALT_" localSheetId="7">#REF!</definedName>
    <definedName name="ALT_" localSheetId="8">#REF!</definedName>
    <definedName name="ALT_" localSheetId="9">#REF!</definedName>
    <definedName name="ALT_" localSheetId="10">#REF!</definedName>
    <definedName name="ALT_" localSheetId="11">#REF!</definedName>
    <definedName name="ALT_">#REF!</definedName>
    <definedName name="AME" localSheetId="4">#REF!</definedName>
    <definedName name="AME" localSheetId="3">#REF!</definedName>
    <definedName name="AME" localSheetId="2">#REF!</definedName>
    <definedName name="AME" localSheetId="5">#REF!</definedName>
    <definedName name="AME" localSheetId="6">#REF!</definedName>
    <definedName name="AME" localSheetId="7">#REF!</definedName>
    <definedName name="AME" localSheetId="8">#REF!</definedName>
    <definedName name="AME" localSheetId="9">#REF!</definedName>
    <definedName name="AME" localSheetId="10">#REF!</definedName>
    <definedName name="AME" localSheetId="11">#REF!</definedName>
    <definedName name="AME">#REF!</definedName>
    <definedName name="AmeCI" localSheetId="4">#REF!</definedName>
    <definedName name="AmeCI" localSheetId="3">#REF!</definedName>
    <definedName name="AmeCI" localSheetId="2">#REF!</definedName>
    <definedName name="AmeCI" localSheetId="5">#REF!</definedName>
    <definedName name="AmeCI" localSheetId="6">#REF!</definedName>
    <definedName name="AmeCI" localSheetId="7">#REF!</definedName>
    <definedName name="AmeCI" localSheetId="8">#REF!</definedName>
    <definedName name="AmeCI" localSheetId="9">#REF!</definedName>
    <definedName name="AmeCI" localSheetId="10">#REF!</definedName>
    <definedName name="AmeCI" localSheetId="11">#REF!</definedName>
    <definedName name="AmeCI">#REF!</definedName>
    <definedName name="AmeCS" localSheetId="4">#REF!</definedName>
    <definedName name="AmeCS" localSheetId="3">#REF!</definedName>
    <definedName name="AmeCS" localSheetId="2">#REF!</definedName>
    <definedName name="AmeCS" localSheetId="5">#REF!</definedName>
    <definedName name="AmeCS" localSheetId="6">#REF!</definedName>
    <definedName name="AmeCS" localSheetId="7">#REF!</definedName>
    <definedName name="AmeCS" localSheetId="8">#REF!</definedName>
    <definedName name="AmeCS" localSheetId="9">#REF!</definedName>
    <definedName name="AmeCS" localSheetId="10">#REF!</definedName>
    <definedName name="AmeCS" localSheetId="11">#REF!</definedName>
    <definedName name="AmeCS">#REF!</definedName>
    <definedName name="AmeGBUHq" localSheetId="4">#REF!</definedName>
    <definedName name="AmeGBUHq" localSheetId="3">#REF!</definedName>
    <definedName name="AmeGBUHq" localSheetId="2">#REF!</definedName>
    <definedName name="AmeGBUHq" localSheetId="5">#REF!</definedName>
    <definedName name="AmeGBUHq" localSheetId="6">#REF!</definedName>
    <definedName name="AmeGBUHq" localSheetId="7">#REF!</definedName>
    <definedName name="AmeGBUHq" localSheetId="8">#REF!</definedName>
    <definedName name="AmeGBUHq" localSheetId="9">#REF!</definedName>
    <definedName name="AmeGBUHq" localSheetId="10">#REF!</definedName>
    <definedName name="AmeGBUHq" localSheetId="11">#REF!</definedName>
    <definedName name="AmeGBUHq">#REF!</definedName>
    <definedName name="AmeMS" localSheetId="4">#REF!</definedName>
    <definedName name="AmeMS" localSheetId="3">#REF!</definedName>
    <definedName name="AmeMS" localSheetId="2">#REF!</definedName>
    <definedName name="AmeMS" localSheetId="5">#REF!</definedName>
    <definedName name="AmeMS" localSheetId="6">#REF!</definedName>
    <definedName name="AmeMS" localSheetId="7">#REF!</definedName>
    <definedName name="AmeMS" localSheetId="8">#REF!</definedName>
    <definedName name="AmeMS" localSheetId="9">#REF!</definedName>
    <definedName name="AmeMS" localSheetId="10">#REF!</definedName>
    <definedName name="AmeMS" localSheetId="11">#REF!</definedName>
    <definedName name="AmeMS">#REF!</definedName>
    <definedName name="AmeOSS" localSheetId="4">#REF!</definedName>
    <definedName name="AmeOSS" localSheetId="3">#REF!</definedName>
    <definedName name="AmeOSS" localSheetId="2">#REF!</definedName>
    <definedName name="AmeOSS" localSheetId="5">#REF!</definedName>
    <definedName name="AmeOSS" localSheetId="6">#REF!</definedName>
    <definedName name="AmeOSS" localSheetId="7">#REF!</definedName>
    <definedName name="AmeOSS" localSheetId="8">#REF!</definedName>
    <definedName name="AmeOSS" localSheetId="9">#REF!</definedName>
    <definedName name="AmeOSS" localSheetId="10">#REF!</definedName>
    <definedName name="AmeOSS" localSheetId="11">#REF!</definedName>
    <definedName name="AmeOSS">#REF!</definedName>
    <definedName name="Amer" localSheetId="4">#REF!</definedName>
    <definedName name="Amer" localSheetId="3">#REF!</definedName>
    <definedName name="Amer" localSheetId="2">#REF!</definedName>
    <definedName name="Amer" localSheetId="5">#REF!</definedName>
    <definedName name="Amer" localSheetId="6">#REF!</definedName>
    <definedName name="Amer" localSheetId="7">#REF!</definedName>
    <definedName name="Amer" localSheetId="8">#REF!</definedName>
    <definedName name="Amer" localSheetId="9">#REF!</definedName>
    <definedName name="Amer" localSheetId="10">#REF!</definedName>
    <definedName name="Amer" localSheetId="11">#REF!</definedName>
    <definedName name="Amer">#REF!</definedName>
    <definedName name="Americas" localSheetId="4">#REF!</definedName>
    <definedName name="Americas" localSheetId="3">#REF!</definedName>
    <definedName name="Americas" localSheetId="2">#REF!</definedName>
    <definedName name="Americas" localSheetId="5">#REF!</definedName>
    <definedName name="Americas" localSheetId="6">#REF!</definedName>
    <definedName name="Americas" localSheetId="7">#REF!</definedName>
    <definedName name="Americas" localSheetId="8">#REF!</definedName>
    <definedName name="Americas" localSheetId="9">#REF!</definedName>
    <definedName name="Americas" localSheetId="10">#REF!</definedName>
    <definedName name="Americas" localSheetId="11">#REF!</definedName>
    <definedName name="Americas">#REF!</definedName>
    <definedName name="analisis" localSheetId="4">[72]ANALISIS!$B$1:$N$65536</definedName>
    <definedName name="analisis" localSheetId="3">[72]ANALISIS!$B$1:$N$65536</definedName>
    <definedName name="analisis" localSheetId="2">[72]ANALISIS!$B$1:$N$65536</definedName>
    <definedName name="analisis" localSheetId="5">[72]ANALISIS!$B$1:$N$65536</definedName>
    <definedName name="analisis" localSheetId="6">[72]ANALISIS!$B$1:$N$65536</definedName>
    <definedName name="analisis" localSheetId="7">[72]ANALISIS!$B$1:$N$65536</definedName>
    <definedName name="analisis" localSheetId="8">[72]ANALISIS!$B$1:$N$65536</definedName>
    <definedName name="analisis" localSheetId="9">[72]ANALISIS!$B$1:$N$65536</definedName>
    <definedName name="analisis" localSheetId="10">[83]ANALISIS!$B$1:$N$65536</definedName>
    <definedName name="analisis">[22]ANALISIS!$B$1:$N$65536</definedName>
    <definedName name="Analyst" localSheetId="4">[73]SUMMARY!$W$7</definedName>
    <definedName name="Analyst" localSheetId="3">[73]SUMMARY!$W$7</definedName>
    <definedName name="Analyst" localSheetId="2">[73]SUMMARY!$W$7</definedName>
    <definedName name="Analyst" localSheetId="5">[73]SUMMARY!$W$7</definedName>
    <definedName name="Analyst" localSheetId="6">[73]SUMMARY!$W$7</definedName>
    <definedName name="Analyst" localSheetId="7">[73]SUMMARY!$W$7</definedName>
    <definedName name="Analyst" localSheetId="8">[73]SUMMARY!$W$7</definedName>
    <definedName name="Analyst" localSheetId="9">[73]SUMMARY!$W$7</definedName>
    <definedName name="Analyst" localSheetId="10">[18]Summary!$W$7</definedName>
    <definedName name="Analyst">[23]Summary!$W$7</definedName>
    <definedName name="Analyst_10" localSheetId="4">[73]SUMMARY!$W$7</definedName>
    <definedName name="Analyst_10" localSheetId="3">[73]SUMMARY!$W$7</definedName>
    <definedName name="Analyst_10" localSheetId="2">[73]SUMMARY!$W$7</definedName>
    <definedName name="Analyst_10" localSheetId="5">[73]SUMMARY!$W$7</definedName>
    <definedName name="Analyst_10" localSheetId="6">[73]SUMMARY!$W$7</definedName>
    <definedName name="Analyst_10" localSheetId="7">[73]SUMMARY!$W$7</definedName>
    <definedName name="Analyst_10" localSheetId="8">[73]SUMMARY!$W$7</definedName>
    <definedName name="Analyst_10" localSheetId="9">[73]SUMMARY!$W$7</definedName>
    <definedName name="Analyst_10" localSheetId="10">[18]Summary!$W$7</definedName>
    <definedName name="Analyst_10">[23]Summary!$W$7</definedName>
    <definedName name="anscount" hidden="1">1</definedName>
    <definedName name="AP" localSheetId="4">#REF!</definedName>
    <definedName name="AP" localSheetId="3">#REF!</definedName>
    <definedName name="AP" localSheetId="2">#REF!</definedName>
    <definedName name="AP" localSheetId="5">#REF!</definedName>
    <definedName name="AP" localSheetId="6">#REF!</definedName>
    <definedName name="AP" localSheetId="7">#REF!</definedName>
    <definedName name="AP" localSheetId="8">#REF!</definedName>
    <definedName name="AP" localSheetId="9">#REF!</definedName>
    <definedName name="AP" localSheetId="10">#REF!</definedName>
    <definedName name="AP" localSheetId="11">#REF!</definedName>
    <definedName name="AP">#REF!</definedName>
    <definedName name="ApCI" localSheetId="4">#REF!</definedName>
    <definedName name="ApCI" localSheetId="3">#REF!</definedName>
    <definedName name="ApCI" localSheetId="2">#REF!</definedName>
    <definedName name="ApCI" localSheetId="5">#REF!</definedName>
    <definedName name="ApCI" localSheetId="6">#REF!</definedName>
    <definedName name="ApCI" localSheetId="7">#REF!</definedName>
    <definedName name="ApCI" localSheetId="8">#REF!</definedName>
    <definedName name="ApCI" localSheetId="9">#REF!</definedName>
    <definedName name="ApCI" localSheetId="10">#REF!</definedName>
    <definedName name="ApCI" localSheetId="11">#REF!</definedName>
    <definedName name="ApCI">#REF!</definedName>
    <definedName name="ApCS" localSheetId="4">#REF!</definedName>
    <definedName name="ApCS" localSheetId="3">#REF!</definedName>
    <definedName name="ApCS" localSheetId="2">#REF!</definedName>
    <definedName name="ApCS" localSheetId="5">#REF!</definedName>
    <definedName name="ApCS" localSheetId="6">#REF!</definedName>
    <definedName name="ApCS" localSheetId="7">#REF!</definedName>
    <definedName name="ApCS" localSheetId="8">#REF!</definedName>
    <definedName name="ApCS" localSheetId="9">#REF!</definedName>
    <definedName name="ApCS" localSheetId="10">#REF!</definedName>
    <definedName name="ApCS" localSheetId="11">#REF!</definedName>
    <definedName name="ApCS">#REF!</definedName>
    <definedName name="ApGBUHq" localSheetId="4">#REF!</definedName>
    <definedName name="ApGBUHq" localSheetId="3">#REF!</definedName>
    <definedName name="ApGBUHq" localSheetId="2">#REF!</definedName>
    <definedName name="ApGBUHq" localSheetId="5">#REF!</definedName>
    <definedName name="ApGBUHq" localSheetId="6">#REF!</definedName>
    <definedName name="ApGBUHq" localSheetId="7">#REF!</definedName>
    <definedName name="ApGBUHq" localSheetId="8">#REF!</definedName>
    <definedName name="ApGBUHq" localSheetId="9">#REF!</definedName>
    <definedName name="ApGBUHq" localSheetId="10">#REF!</definedName>
    <definedName name="ApGBUHq" localSheetId="11">#REF!</definedName>
    <definedName name="ApGBUHq">#REF!</definedName>
    <definedName name="ApMS" localSheetId="4">#REF!</definedName>
    <definedName name="ApMS" localSheetId="3">#REF!</definedName>
    <definedName name="ApMS" localSheetId="2">#REF!</definedName>
    <definedName name="ApMS" localSheetId="5">#REF!</definedName>
    <definedName name="ApMS" localSheetId="6">#REF!</definedName>
    <definedName name="ApMS" localSheetId="7">#REF!</definedName>
    <definedName name="ApMS" localSheetId="8">#REF!</definedName>
    <definedName name="ApMS" localSheetId="9">#REF!</definedName>
    <definedName name="ApMS" localSheetId="10">#REF!</definedName>
    <definedName name="ApMS" localSheetId="11">#REF!</definedName>
    <definedName name="ApMS">#REF!</definedName>
    <definedName name="ApOSS" localSheetId="4">#REF!</definedName>
    <definedName name="ApOSS" localSheetId="3">#REF!</definedName>
    <definedName name="ApOSS" localSheetId="2">#REF!</definedName>
    <definedName name="ApOSS" localSheetId="5">#REF!</definedName>
    <definedName name="ApOSS" localSheetId="6">#REF!</definedName>
    <definedName name="ApOSS" localSheetId="7">#REF!</definedName>
    <definedName name="ApOSS" localSheetId="8">#REF!</definedName>
    <definedName name="ApOSS" localSheetId="9">#REF!</definedName>
    <definedName name="ApOSS" localSheetId="10">#REF!</definedName>
    <definedName name="ApOSS" localSheetId="11">#REF!</definedName>
    <definedName name="ApOSS">#REF!</definedName>
    <definedName name="approvals" localSheetId="4">'[74]AR Signature Page'!#REF!</definedName>
    <definedName name="approvals" localSheetId="3">'[74]AR Signature Page'!#REF!</definedName>
    <definedName name="approvals" localSheetId="2">'[74]AR Signature Page'!#REF!</definedName>
    <definedName name="approvals" localSheetId="5">'[74]AR Signature Page'!#REF!</definedName>
    <definedName name="approvals" localSheetId="6">'[74]AR Signature Page'!#REF!</definedName>
    <definedName name="approvals" localSheetId="7">'[74]AR Signature Page'!#REF!</definedName>
    <definedName name="approvals" localSheetId="10">'[84]AR Signature Page'!#REF!</definedName>
    <definedName name="approvals">'[24]AR Signature Page'!#REF!</definedName>
    <definedName name="AprCost" localSheetId="4">'[13]Container Cost Assumptions'!$A:$IV</definedName>
    <definedName name="AprCost" localSheetId="3">'[13]Container Cost Assumptions'!$A:$IV</definedName>
    <definedName name="AprCost" localSheetId="2">'[13]Container Cost Assumptions'!$A:$IV</definedName>
    <definedName name="AprCost" localSheetId="5">'[13]Container Cost Assumptions'!$A:$IV</definedName>
    <definedName name="AprCost" localSheetId="6">'[13]Container Cost Assumptions'!$A:$IV</definedName>
    <definedName name="AprCost" localSheetId="7">'[13]Container Cost Assumptions'!$A:$IV</definedName>
    <definedName name="AprCost" localSheetId="8">'[77]Container Cost Assumptions'!$A:$IV</definedName>
    <definedName name="AprCost" localSheetId="9">'[77]Container Cost Assumptions'!$A:$IV</definedName>
    <definedName name="AprCost" localSheetId="10">'[8]Container Cost Assumptions'!$A:$IV</definedName>
    <definedName name="AprCost">'[10]Container Cost Assumptions'!$A:$IV</definedName>
    <definedName name="april" localSheetId="4">[33]abril!$I$1:$J$65536</definedName>
    <definedName name="april" localSheetId="3">[33]abril!$I$1:$J$65536</definedName>
    <definedName name="april" localSheetId="2">[33]abril!$I$1:$J$65536</definedName>
    <definedName name="april" localSheetId="5">[33]abril!$I$1:$J$65536</definedName>
    <definedName name="april" localSheetId="6">[33]abril!$I$1:$J$65536</definedName>
    <definedName name="april" localSheetId="7">[33]abril!$I$1:$J$65536</definedName>
    <definedName name="april" localSheetId="8">[33]abril!$I$1:$J$65536</definedName>
    <definedName name="april" localSheetId="9">[33]abril!$I$1:$J$65536</definedName>
    <definedName name="april" localSheetId="10">[70]abril!$I$1:$J$65536</definedName>
    <definedName name="april">[25]abril!$I$1:$J$65536</definedName>
    <definedName name="aprilcost" localSheetId="4">'[13]Container Cost Assumptions'!$A$9:$IV$235</definedName>
    <definedName name="aprilcost" localSheetId="3">'[13]Container Cost Assumptions'!$A$9:$IV$235</definedName>
    <definedName name="aprilcost" localSheetId="2">'[13]Container Cost Assumptions'!$A$9:$IV$235</definedName>
    <definedName name="aprilcost" localSheetId="5">'[13]Container Cost Assumptions'!$A$9:$IV$235</definedName>
    <definedName name="aprilcost" localSheetId="6">'[13]Container Cost Assumptions'!$A$9:$IV$235</definedName>
    <definedName name="aprilcost" localSheetId="7">'[13]Container Cost Assumptions'!$A$9:$IV$235</definedName>
    <definedName name="aprilcost" localSheetId="8">'[77]Container Cost Assumptions'!$A$9:$IV$235</definedName>
    <definedName name="aprilcost" localSheetId="9">'[77]Container Cost Assumptions'!$A$9:$IV$235</definedName>
    <definedName name="aprilcost" localSheetId="10">'[8]Container Cost Assumptions'!$A$9:$IV$235</definedName>
    <definedName name="aprilcost">'[10]Container Cost Assumptions'!$A$9:$IV$235</definedName>
    <definedName name="aprildante" localSheetId="4">'[33]april Dante'!$A$1:$K$65536</definedName>
    <definedName name="aprildante" localSheetId="3">'[33]april Dante'!$A$1:$K$65536</definedName>
    <definedName name="aprildante" localSheetId="2">'[33]april Dante'!$A$1:$K$65536</definedName>
    <definedName name="aprildante" localSheetId="5">'[33]april Dante'!$A$1:$K$65536</definedName>
    <definedName name="aprildante" localSheetId="6">'[33]april Dante'!$A$1:$K$65536</definedName>
    <definedName name="aprildante" localSheetId="7">'[33]april Dante'!$A$1:$K$65536</definedName>
    <definedName name="aprildante" localSheetId="8">'[33]april Dante'!$A$1:$K$65536</definedName>
    <definedName name="aprildante" localSheetId="9">'[33]april Dante'!$A$1:$K$65536</definedName>
    <definedName name="aprildante" localSheetId="10">'[70]april Dante'!$A$1:$K$65536</definedName>
    <definedName name="aprildante">'[25]april Dante'!$A$1:$K$65536</definedName>
    <definedName name="AQ" localSheetId="4">#REF!</definedName>
    <definedName name="AQ" localSheetId="3">#REF!</definedName>
    <definedName name="AQ" localSheetId="2">#REF!</definedName>
    <definedName name="AQ" localSheetId="5">#REF!</definedName>
    <definedName name="AQ" localSheetId="6">#REF!</definedName>
    <definedName name="AQ" localSheetId="7">#REF!</definedName>
    <definedName name="AQ" localSheetId="8">#REF!</definedName>
    <definedName name="AQ" localSheetId="9">#REF!</definedName>
    <definedName name="AQ" localSheetId="10">#REF!</definedName>
    <definedName name="AQ" localSheetId="11">#REF!</definedName>
    <definedName name="AQ">#REF!</definedName>
    <definedName name="AQV05LA" localSheetId="4">#REF!</definedName>
    <definedName name="AQV05LA" localSheetId="3">#REF!</definedName>
    <definedName name="AQV05LA" localSheetId="2">#REF!</definedName>
    <definedName name="AQV05LA" localSheetId="5">#REF!</definedName>
    <definedName name="AQV05LA" localSheetId="6">#REF!</definedName>
    <definedName name="AQV05LA" localSheetId="7">#REF!</definedName>
    <definedName name="AQV05LA" localSheetId="8">#REF!</definedName>
    <definedName name="AQV05LA" localSheetId="9">#REF!</definedName>
    <definedName name="AQV05LA" localSheetId="10">#REF!</definedName>
    <definedName name="AQV05LA" localSheetId="11">#REF!</definedName>
    <definedName name="AQV05LA">#REF!</definedName>
    <definedName name="AQV06LA" localSheetId="4">#REF!</definedName>
    <definedName name="AQV06LA" localSheetId="3">#REF!</definedName>
    <definedName name="AQV06LA" localSheetId="2">#REF!</definedName>
    <definedName name="AQV06LA" localSheetId="5">#REF!</definedName>
    <definedName name="AQV06LA" localSheetId="6">#REF!</definedName>
    <definedName name="AQV06LA" localSheetId="7">#REF!</definedName>
    <definedName name="AQV06LA" localSheetId="8">#REF!</definedName>
    <definedName name="AQV06LA" localSheetId="9">#REF!</definedName>
    <definedName name="AQV06LA" localSheetId="10">#REF!</definedName>
    <definedName name="AQV06LA" localSheetId="11">#REF!</definedName>
    <definedName name="AQV06LA">#REF!</definedName>
    <definedName name="AQV08AA" localSheetId="4">#REF!</definedName>
    <definedName name="AQV08AA" localSheetId="3">#REF!</definedName>
    <definedName name="AQV08AA" localSheetId="2">#REF!</definedName>
    <definedName name="AQV08AA" localSheetId="5">#REF!</definedName>
    <definedName name="AQV08AA" localSheetId="6">#REF!</definedName>
    <definedName name="AQV08AA" localSheetId="7">#REF!</definedName>
    <definedName name="AQV08AA" localSheetId="8">#REF!</definedName>
    <definedName name="AQV08AA" localSheetId="9">#REF!</definedName>
    <definedName name="AQV08AA" localSheetId="10">#REF!</definedName>
    <definedName name="AQV08AA" localSheetId="11">#REF!</definedName>
    <definedName name="AQV08AA">#REF!</definedName>
    <definedName name="ar4block" localSheetId="4">#REF!</definedName>
    <definedName name="ar4block" localSheetId="3">#REF!</definedName>
    <definedName name="ar4block" localSheetId="2">#REF!</definedName>
    <definedName name="ar4block" localSheetId="5">#REF!</definedName>
    <definedName name="ar4block" localSheetId="6">#REF!</definedName>
    <definedName name="ar4block" localSheetId="7">#REF!</definedName>
    <definedName name="ar4block" localSheetId="8">#REF!</definedName>
    <definedName name="ar4block" localSheetId="9">#REF!</definedName>
    <definedName name="ar4block" localSheetId="10">#REF!</definedName>
    <definedName name="ar4block" localSheetId="11">#REF!</definedName>
    <definedName name="ar4block">#REF!</definedName>
    <definedName name="Arbeitszeit" localSheetId="4">#REF!</definedName>
    <definedName name="Arbeitszeit" localSheetId="3">#REF!</definedName>
    <definedName name="Arbeitszeit" localSheetId="2">#REF!</definedName>
    <definedName name="Arbeitszeit" localSheetId="5">#REF!</definedName>
    <definedName name="Arbeitszeit" localSheetId="6">#REF!</definedName>
    <definedName name="Arbeitszeit" localSheetId="7">#REF!</definedName>
    <definedName name="Arbeitszeit" localSheetId="8">#REF!</definedName>
    <definedName name="Arbeitszeit" localSheetId="9">#REF!</definedName>
    <definedName name="Arbeitszeit" localSheetId="10">#REF!</definedName>
    <definedName name="Arbeitszeit" localSheetId="11">#REF!</definedName>
    <definedName name="Arbeitszeit">#REF!</definedName>
    <definedName name="art" localSheetId="4" hidden="1">{#N/A,#N/A,TRUE,"Distribution";#N/A,#N/A,TRUE,"Fulfillment";#N/A,#N/A,TRUE,"Aged Backorders"}</definedName>
    <definedName name="art" localSheetId="3" hidden="1">{#N/A,#N/A,TRUE,"Distribution";#N/A,#N/A,TRUE,"Fulfillment";#N/A,#N/A,TRUE,"Aged Backorders"}</definedName>
    <definedName name="art" localSheetId="2" hidden="1">{#N/A,#N/A,TRUE,"Distribution";#N/A,#N/A,TRUE,"Fulfillment";#N/A,#N/A,TRUE,"Aged Backorders"}</definedName>
    <definedName name="art" localSheetId="8" hidden="1">{#N/A,#N/A,TRUE,"Distribution";#N/A,#N/A,TRUE,"Fulfillment";#N/A,#N/A,TRUE,"Aged Backorders"}</definedName>
    <definedName name="art" localSheetId="9" hidden="1">{#N/A,#N/A,TRUE,"Distribution";#N/A,#N/A,TRUE,"Fulfillment";#N/A,#N/A,TRUE,"Aged Backorders"}</definedName>
    <definedName name="art" localSheetId="10" hidden="1">{#N/A,#N/A,TRUE,"Distribution";#N/A,#N/A,TRUE,"Fulfillment";#N/A,#N/A,TRUE,"Aged Backorders"}</definedName>
    <definedName name="art" hidden="1">{#N/A,#N/A,TRUE,"Distribution";#N/A,#N/A,TRUE,"Fulfillment";#N/A,#N/A,TRUE,"Aged Backorders"}</definedName>
    <definedName name="as" localSheetId="4">#REF!</definedName>
    <definedName name="as" localSheetId="3">#REF!</definedName>
    <definedName name="as" localSheetId="2">#REF!</definedName>
    <definedName name="as" localSheetId="5">#REF!</definedName>
    <definedName name="as" localSheetId="6">#REF!</definedName>
    <definedName name="as" localSheetId="7">#REF!</definedName>
    <definedName name="as" localSheetId="8">#REF!</definedName>
    <definedName name="as" localSheetId="9">#REF!</definedName>
    <definedName name="as" localSheetId="10">#REF!</definedName>
    <definedName name="as" localSheetId="11">#REF!</definedName>
    <definedName name="as">#REF!</definedName>
    <definedName name="asd" localSheetId="4">[34]工厂!$A$1:$A$65536</definedName>
    <definedName name="asd" localSheetId="3">[34]工厂!$A$1:$A$65536</definedName>
    <definedName name="asd" localSheetId="2">[34]工厂!$A$1:$A$65536</definedName>
    <definedName name="asd" localSheetId="5">[34]工厂!$A$1:$A$65536</definedName>
    <definedName name="asd" localSheetId="6">[34]工厂!$A$1:$A$65536</definedName>
    <definedName name="asd" localSheetId="7">[34]工厂!$A$1:$A$65536</definedName>
    <definedName name="asd" localSheetId="8">[34]工厂!$A$1:$A$65536</definedName>
    <definedName name="asd" localSheetId="9">[34]工厂!$A$1:$A$65536</definedName>
    <definedName name="asd" localSheetId="10">[21]工厂!$A$1:$A$65536</definedName>
    <definedName name="asd">[26]工厂!$A$1:$A$65536</definedName>
    <definedName name="asdf" localSheetId="4" hidden="1">{"WSQ1",#N/A,FALSE,"WRK P&amp;L -Qtr";"Q1ECG",#N/A,FALSE,"ECG P&amp;L -Qtr";"SRVQ1",#N/A,FALSE,"Server P&amp;L -Qtr";"Q1OPT",#N/A,FALSE,"Server Options P&amp;L -Qtr";"SOPSQ1",#N/A,FALSE,"SOPs P&amp;L -Qtr"}</definedName>
    <definedName name="asdf" localSheetId="3" hidden="1">{"WSQ1",#N/A,FALSE,"WRK P&amp;L -Qtr";"Q1ECG",#N/A,FALSE,"ECG P&amp;L -Qtr";"SRVQ1",#N/A,FALSE,"Server P&amp;L -Qtr";"Q1OPT",#N/A,FALSE,"Server Options P&amp;L -Qtr";"SOPSQ1",#N/A,FALSE,"SOPs P&amp;L -Qtr"}</definedName>
    <definedName name="asdf" localSheetId="2" hidden="1">{"WSQ1",#N/A,FALSE,"WRK P&amp;L -Qtr";"Q1ECG",#N/A,FALSE,"ECG P&amp;L -Qtr";"SRVQ1",#N/A,FALSE,"Server P&amp;L -Qtr";"Q1OPT",#N/A,FALSE,"Server Options P&amp;L -Qtr";"SOPSQ1",#N/A,FALSE,"SOPs P&amp;L -Qtr"}</definedName>
    <definedName name="asdf" localSheetId="8" hidden="1">{"WSQ1",#N/A,FALSE,"WRK P&amp;L -Qtr";"Q1ECG",#N/A,FALSE,"ECG P&amp;L -Qtr";"SRVQ1",#N/A,FALSE,"Server P&amp;L -Qtr";"Q1OPT",#N/A,FALSE,"Server Options P&amp;L -Qtr";"SOPSQ1",#N/A,FALSE,"SOPs P&amp;L -Qtr"}</definedName>
    <definedName name="asdf" localSheetId="9" hidden="1">{"WSQ1",#N/A,FALSE,"WRK P&amp;L -Qtr";"Q1ECG",#N/A,FALSE,"ECG P&amp;L -Qtr";"SRVQ1",#N/A,FALSE,"Server P&amp;L -Qtr";"Q1OPT",#N/A,FALSE,"Server Options P&amp;L -Qtr";"SOPSQ1",#N/A,FALSE,"SOPs P&amp;L -Qtr"}</definedName>
    <definedName name="asdf" localSheetId="10" hidden="1">{"WSQ1",#N/A,FALSE,"WRK P&amp;L -Qtr";"Q1ECG",#N/A,FALSE,"ECG P&amp;L -Qtr";"SRVQ1",#N/A,FALSE,"Server P&amp;L -Qtr";"Q1OPT",#N/A,FALSE,"Server Options P&amp;L -Qtr";"SOPSQ1",#N/A,FALSE,"SOPs P&amp;L -Qtr"}</definedName>
    <definedName name="asdf" hidden="1">{"WSQ1",#N/A,FALSE,"WRK P&amp;L -Qtr";"Q1ECG",#N/A,FALSE,"ECG P&amp;L -Qtr";"SRVQ1",#N/A,FALSE,"Server P&amp;L -Qtr";"Q1OPT",#N/A,FALSE,"Server Options P&amp;L -Qtr";"SOPSQ1",#N/A,FALSE,"SOPs P&amp;L -Qtr"}</definedName>
    <definedName name="AsiaPacific" localSheetId="4">#REF!</definedName>
    <definedName name="AsiaPacific" localSheetId="3">#REF!</definedName>
    <definedName name="AsiaPacific" localSheetId="2">#REF!</definedName>
    <definedName name="AsiaPacific" localSheetId="5">#REF!</definedName>
    <definedName name="AsiaPacific" localSheetId="6">#REF!</definedName>
    <definedName name="AsiaPacific" localSheetId="7">#REF!</definedName>
    <definedName name="AsiaPacific" localSheetId="8">#REF!</definedName>
    <definedName name="AsiaPacific" localSheetId="9">#REF!</definedName>
    <definedName name="AsiaPacific" localSheetId="10">#REF!</definedName>
    <definedName name="AsiaPacific" localSheetId="11">#REF!</definedName>
    <definedName name="AsiaPacific">#REF!</definedName>
    <definedName name="Asmgrp_avg_cont_cost" localSheetId="4">'[13]BRK BY LOCATION'!$D$5:$J$39</definedName>
    <definedName name="Asmgrp_avg_cont_cost" localSheetId="3">'[13]BRK BY LOCATION'!$D$5:$J$39</definedName>
    <definedName name="Asmgrp_avg_cont_cost" localSheetId="2">'[13]BRK BY LOCATION'!$D$5:$J$39</definedName>
    <definedName name="Asmgrp_avg_cont_cost" localSheetId="5">'[13]BRK BY LOCATION'!$D$5:$J$39</definedName>
    <definedName name="Asmgrp_avg_cont_cost" localSheetId="6">'[13]BRK BY LOCATION'!$D$5:$J$39</definedName>
    <definedName name="Asmgrp_avg_cont_cost" localSheetId="7">'[13]BRK BY LOCATION'!$D$5:$J$39</definedName>
    <definedName name="Asmgrp_avg_cont_cost" localSheetId="8">'[77]BRK BY LOCATION'!$D$5:$J$39</definedName>
    <definedName name="Asmgrp_avg_cont_cost" localSheetId="9">'[77]BRK BY LOCATION'!$D$5:$J$39</definedName>
    <definedName name="Asmgrp_avg_cont_cost" localSheetId="10">'[8]BRK BY LOCATION'!$D$5:$J$39</definedName>
    <definedName name="Asmgrp_avg_cont_cost">'[10]BRK BY LOCATION'!$D$5:$J$39</definedName>
    <definedName name="aspire" localSheetId="4">'[35]Comet ASPIRE'!$A:$IV</definedName>
    <definedName name="aspire" localSheetId="3">'[35]Comet ASPIRE'!$A:$IV</definedName>
    <definedName name="aspire" localSheetId="2">'[35]Comet ASPIRE'!$A:$IV</definedName>
    <definedName name="aspire" localSheetId="5">'[35]Comet ASPIRE'!$A:$IV</definedName>
    <definedName name="aspire" localSheetId="6">'[35]Comet ASPIRE'!$A:$IV</definedName>
    <definedName name="aspire" localSheetId="7">'[35]Comet ASPIRE'!$A:$IV</definedName>
    <definedName name="aspire" localSheetId="8">'[35]Comet ASPIRE'!$A:$IV</definedName>
    <definedName name="aspire" localSheetId="9">'[35]Comet ASPIRE'!$A:$IV</definedName>
    <definedName name="aspire" localSheetId="10">'[15]Comet ASPIRE'!$A:$IV</definedName>
    <definedName name="aspire">'[27]Comet ASPIRE'!$A:$IV</definedName>
    <definedName name="aspire_col_match" localSheetId="4">'[35]Comet ASPIRE'!$A$2:$IV$2</definedName>
    <definedName name="aspire_col_match" localSheetId="3">'[35]Comet ASPIRE'!$A$2:$IV$2</definedName>
    <definedName name="aspire_col_match" localSheetId="2">'[35]Comet ASPIRE'!$A$2:$IV$2</definedName>
    <definedName name="aspire_col_match" localSheetId="5">'[35]Comet ASPIRE'!$A$2:$IV$2</definedName>
    <definedName name="aspire_col_match" localSheetId="6">'[35]Comet ASPIRE'!$A$2:$IV$2</definedName>
    <definedName name="aspire_col_match" localSheetId="7">'[35]Comet ASPIRE'!$A$2:$IV$2</definedName>
    <definedName name="aspire_col_match" localSheetId="8">'[35]Comet ASPIRE'!$A$2:$IV$2</definedName>
    <definedName name="aspire_col_match" localSheetId="9">'[35]Comet ASPIRE'!$A$2:$IV$2</definedName>
    <definedName name="aspire_col_match" localSheetId="10">'[15]Comet ASPIRE'!$A$2:$IV$2</definedName>
    <definedName name="aspire_col_match">'[27]Comet ASPIRE'!$A$2:$IV$2</definedName>
    <definedName name="Aspire_Pull" localSheetId="4">#REF!</definedName>
    <definedName name="Aspire_Pull" localSheetId="3">#REF!</definedName>
    <definedName name="Aspire_Pull" localSheetId="2">#REF!</definedName>
    <definedName name="Aspire_Pull" localSheetId="5">#REF!</definedName>
    <definedName name="Aspire_Pull" localSheetId="6">#REF!</definedName>
    <definedName name="Aspire_Pull" localSheetId="7">#REF!</definedName>
    <definedName name="Aspire_Pull" localSheetId="8">#REF!</definedName>
    <definedName name="Aspire_Pull" localSheetId="9">#REF!</definedName>
    <definedName name="Aspire_Pull" localSheetId="10">#REF!</definedName>
    <definedName name="Aspire_Pull" localSheetId="11">#REF!</definedName>
    <definedName name="Aspire_Pull">#REF!</definedName>
    <definedName name="aspire_row_match" localSheetId="4">'[35]Comet ASPIRE'!$A$1:$A$65536</definedName>
    <definedName name="aspire_row_match" localSheetId="3">'[35]Comet ASPIRE'!$A$1:$A$65536</definedName>
    <definedName name="aspire_row_match" localSheetId="2">'[35]Comet ASPIRE'!$A$1:$A$65536</definedName>
    <definedName name="aspire_row_match" localSheetId="5">'[35]Comet ASPIRE'!$A$1:$A$65536</definedName>
    <definedName name="aspire_row_match" localSheetId="6">'[35]Comet ASPIRE'!$A$1:$A$65536</definedName>
    <definedName name="aspire_row_match" localSheetId="7">'[35]Comet ASPIRE'!$A$1:$A$65536</definedName>
    <definedName name="aspire_row_match" localSheetId="8">'[35]Comet ASPIRE'!$A$1:$A$65536</definedName>
    <definedName name="aspire_row_match" localSheetId="9">'[35]Comet ASPIRE'!$A$1:$A$65536</definedName>
    <definedName name="aspire_row_match" localSheetId="10">'[15]Comet ASPIRE'!$A$1:$A$65536</definedName>
    <definedName name="aspire_row_match">'[27]Comet ASPIRE'!$A$1:$A$65536</definedName>
    <definedName name="Aspireh2" localSheetId="4">#REF!</definedName>
    <definedName name="Aspireh2" localSheetId="3">#REF!</definedName>
    <definedName name="Aspireh2" localSheetId="2">#REF!</definedName>
    <definedName name="Aspireh2" localSheetId="5">#REF!</definedName>
    <definedName name="Aspireh2" localSheetId="6">#REF!</definedName>
    <definedName name="Aspireh2" localSheetId="7">#REF!</definedName>
    <definedName name="Aspireh2" localSheetId="8">#REF!</definedName>
    <definedName name="Aspireh2" localSheetId="9">#REF!</definedName>
    <definedName name="Aspireh2" localSheetId="10">#REF!</definedName>
    <definedName name="Aspireh2" localSheetId="11">#REF!</definedName>
    <definedName name="Aspireh2">#REF!</definedName>
    <definedName name="Assembly_Name" localSheetId="4">[73]SUMMARY!$W$3</definedName>
    <definedName name="Assembly_Name" localSheetId="3">[73]SUMMARY!$W$3</definedName>
    <definedName name="Assembly_Name" localSheetId="2">[73]SUMMARY!$W$3</definedName>
    <definedName name="Assembly_Name" localSheetId="5">[73]SUMMARY!$W$3</definedName>
    <definedName name="Assembly_Name" localSheetId="6">[73]SUMMARY!$W$3</definedName>
    <definedName name="Assembly_Name" localSheetId="7">[73]SUMMARY!$W$3</definedName>
    <definedName name="Assembly_Name" localSheetId="8">[73]SUMMARY!$W$3</definedName>
    <definedName name="Assembly_Name" localSheetId="9">[73]SUMMARY!$W$3</definedName>
    <definedName name="Assembly_Name" localSheetId="10">[18]Summary!$W$3</definedName>
    <definedName name="Assembly_Name">[23]Summary!$W$3</definedName>
    <definedName name="Assembly_Name_10" localSheetId="4">[73]SUMMARY!$W$3</definedName>
    <definedName name="Assembly_Name_10" localSheetId="3">[73]SUMMARY!$W$3</definedName>
    <definedName name="Assembly_Name_10" localSheetId="2">[73]SUMMARY!$W$3</definedName>
    <definedName name="Assembly_Name_10" localSheetId="5">[73]SUMMARY!$W$3</definedName>
    <definedName name="Assembly_Name_10" localSheetId="6">[73]SUMMARY!$W$3</definedName>
    <definedName name="Assembly_Name_10" localSheetId="7">[73]SUMMARY!$W$3</definedName>
    <definedName name="Assembly_Name_10" localSheetId="8">[73]SUMMARY!$W$3</definedName>
    <definedName name="Assembly_Name_10" localSheetId="9">[73]SUMMARY!$W$3</definedName>
    <definedName name="Assembly_Name_10" localSheetId="10">[18]Summary!$W$3</definedName>
    <definedName name="Assembly_Name_10">[23]Summary!$W$3</definedName>
    <definedName name="ASSESSMENT" localSheetId="4">#REF!</definedName>
    <definedName name="ASSESSMENT" localSheetId="3">#REF!</definedName>
    <definedName name="ASSESSMENT" localSheetId="2">#REF!</definedName>
    <definedName name="ASSESSMENT" localSheetId="5">#REF!</definedName>
    <definedName name="ASSESSMENT" localSheetId="6">#REF!</definedName>
    <definedName name="ASSESSMENT" localSheetId="7">#REF!</definedName>
    <definedName name="ASSESSMENT" localSheetId="8">#REF!</definedName>
    <definedName name="ASSESSMENT" localSheetId="9">#REF!</definedName>
    <definedName name="ASSESSMENT" localSheetId="10">#REF!</definedName>
    <definedName name="ASSESSMENT" localSheetId="11">#REF!</definedName>
    <definedName name="ASSESSMENT">#REF!</definedName>
    <definedName name="assfddsgghjkkjhgfds" localSheetId="4">#REF!</definedName>
    <definedName name="assfddsgghjkkjhgfds" localSheetId="3">#REF!</definedName>
    <definedName name="assfddsgghjkkjhgfds" localSheetId="2">#REF!</definedName>
    <definedName name="assfddsgghjkkjhgfds" localSheetId="5">#REF!</definedName>
    <definedName name="assfddsgghjkkjhgfds" localSheetId="6">#REF!</definedName>
    <definedName name="assfddsgghjkkjhgfds" localSheetId="7">#REF!</definedName>
    <definedName name="assfddsgghjkkjhgfds" localSheetId="8">#REF!</definedName>
    <definedName name="assfddsgghjkkjhgfds" localSheetId="9">#REF!</definedName>
    <definedName name="assfddsgghjkkjhgfds" localSheetId="10">#REF!</definedName>
    <definedName name="assfddsgghjkkjhgfds" localSheetId="11">#REF!</definedName>
    <definedName name="assfddsgghjkkjhgfds">#REF!</definedName>
    <definedName name="ASV08AA" localSheetId="4">#REF!</definedName>
    <definedName name="ASV08AA" localSheetId="3">#REF!</definedName>
    <definedName name="ASV08AA" localSheetId="2">#REF!</definedName>
    <definedName name="ASV08AA" localSheetId="5">#REF!</definedName>
    <definedName name="ASV08AA" localSheetId="6">#REF!</definedName>
    <definedName name="ASV08AA" localSheetId="7">#REF!</definedName>
    <definedName name="ASV08AA" localSheetId="8">#REF!</definedName>
    <definedName name="ASV08AA" localSheetId="9">#REF!</definedName>
    <definedName name="ASV08AA" localSheetId="10">#REF!</definedName>
    <definedName name="ASV08AA" localSheetId="11">#REF!</definedName>
    <definedName name="ASV08AA">#REF!</definedName>
    <definedName name="ATTRIB" localSheetId="4">#REF!</definedName>
    <definedName name="ATTRIB" localSheetId="3">#REF!</definedName>
    <definedName name="ATTRIB" localSheetId="2">#REF!</definedName>
    <definedName name="ATTRIB" localSheetId="5">#REF!</definedName>
    <definedName name="ATTRIB" localSheetId="6">#REF!</definedName>
    <definedName name="ATTRIB" localSheetId="7">#REF!</definedName>
    <definedName name="ATTRIB" localSheetId="8">#REF!</definedName>
    <definedName name="ATTRIB" localSheetId="9">#REF!</definedName>
    <definedName name="ATTRIB" localSheetId="10">#REF!</definedName>
    <definedName name="ATTRIB" localSheetId="11">#REF!</definedName>
    <definedName name="ATTRIB">#REF!</definedName>
    <definedName name="August" localSheetId="4">'[13]Container Cost Assumptions'!$A:$IV</definedName>
    <definedName name="August" localSheetId="3">'[13]Container Cost Assumptions'!$A:$IV</definedName>
    <definedName name="August" localSheetId="2">'[13]Container Cost Assumptions'!$A:$IV</definedName>
    <definedName name="August" localSheetId="5">'[13]Container Cost Assumptions'!$A:$IV</definedName>
    <definedName name="August" localSheetId="6">'[13]Container Cost Assumptions'!$A:$IV</definedName>
    <definedName name="August" localSheetId="7">'[13]Container Cost Assumptions'!$A:$IV</definedName>
    <definedName name="August" localSheetId="8">'[77]Container Cost Assumptions'!$A:$IV</definedName>
    <definedName name="August" localSheetId="9">'[77]Container Cost Assumptions'!$A:$IV</definedName>
    <definedName name="August" localSheetId="10">'[8]Container Cost Assumptions'!$A:$IV</definedName>
    <definedName name="August">'[10]Container Cost Assumptions'!$A:$IV</definedName>
    <definedName name="augustcosts" localSheetId="4">#REF!</definedName>
    <definedName name="augustcosts" localSheetId="3">#REF!</definedName>
    <definedName name="augustcosts" localSheetId="2">#REF!</definedName>
    <definedName name="augustcosts" localSheetId="5">#REF!</definedName>
    <definedName name="augustcosts" localSheetId="6">#REF!</definedName>
    <definedName name="augustcosts" localSheetId="7">#REF!</definedName>
    <definedName name="augustcosts" localSheetId="8">#REF!</definedName>
    <definedName name="augustcosts" localSheetId="9">#REF!</definedName>
    <definedName name="augustcosts" localSheetId="10">#REF!</definedName>
    <definedName name="augustcosts" localSheetId="11">#REF!</definedName>
    <definedName name="augustcosts">#REF!</definedName>
    <definedName name="AV" localSheetId="4">#REF!</definedName>
    <definedName name="AV" localSheetId="3">#REF!</definedName>
    <definedName name="AV" localSheetId="2">#REF!</definedName>
    <definedName name="AV" localSheetId="5">#REF!</definedName>
    <definedName name="AV" localSheetId="6">#REF!</definedName>
    <definedName name="AV" localSheetId="7">#REF!</definedName>
    <definedName name="AV" localSheetId="8">#REF!</definedName>
    <definedName name="AV" localSheetId="9">#REF!</definedName>
    <definedName name="AV" localSheetId="10">#REF!</definedName>
    <definedName name="AV" localSheetId="11">#REF!</definedName>
    <definedName name="AV">#REF!</definedName>
    <definedName name="AVP12AA" localSheetId="4">#REF!</definedName>
    <definedName name="AVP12AA" localSheetId="3">#REF!</definedName>
    <definedName name="AVP12AA" localSheetId="2">#REF!</definedName>
    <definedName name="AVP12AA" localSheetId="5">#REF!</definedName>
    <definedName name="AVP12AA" localSheetId="6">#REF!</definedName>
    <definedName name="AVP12AA" localSheetId="7">#REF!</definedName>
    <definedName name="AVP12AA" localSheetId="8">#REF!</definedName>
    <definedName name="AVP12AA" localSheetId="9">#REF!</definedName>
    <definedName name="AVP12AA" localSheetId="10">#REF!</definedName>
    <definedName name="AVP12AA" localSheetId="11">#REF!</definedName>
    <definedName name="AVP12AA">#REF!</definedName>
    <definedName name="AVP18DA" localSheetId="4">#REF!</definedName>
    <definedName name="AVP18DA" localSheetId="3">#REF!</definedName>
    <definedName name="AVP18DA" localSheetId="2">#REF!</definedName>
    <definedName name="AVP18DA" localSheetId="5">#REF!</definedName>
    <definedName name="AVP18DA" localSheetId="6">#REF!</definedName>
    <definedName name="AVP18DA" localSheetId="7">#REF!</definedName>
    <definedName name="AVP18DA" localSheetId="8">#REF!</definedName>
    <definedName name="AVP18DA" localSheetId="9">#REF!</definedName>
    <definedName name="AVP18DA" localSheetId="10">#REF!</definedName>
    <definedName name="AVP18DA" localSheetId="11">#REF!</definedName>
    <definedName name="AVP18DA">#REF!</definedName>
    <definedName name="AVP18DB" localSheetId="4">#REF!</definedName>
    <definedName name="AVP18DB" localSheetId="3">#REF!</definedName>
    <definedName name="AVP18DB" localSheetId="2">#REF!</definedName>
    <definedName name="AVP18DB" localSheetId="5">#REF!</definedName>
    <definedName name="AVP18DB" localSheetId="6">#REF!</definedName>
    <definedName name="AVP18DB" localSheetId="7">#REF!</definedName>
    <definedName name="AVP18DB" localSheetId="8">#REF!</definedName>
    <definedName name="AVP18DB" localSheetId="9">#REF!</definedName>
    <definedName name="AVP18DB" localSheetId="10">#REF!</definedName>
    <definedName name="AVP18DB" localSheetId="11">#REF!</definedName>
    <definedName name="AVP18DB">#REF!</definedName>
    <definedName name="AVV10AA" localSheetId="4">#REF!</definedName>
    <definedName name="AVV10AA" localSheetId="3">#REF!</definedName>
    <definedName name="AVV10AA" localSheetId="2">#REF!</definedName>
    <definedName name="AVV10AA" localSheetId="5">#REF!</definedName>
    <definedName name="AVV10AA" localSheetId="6">#REF!</definedName>
    <definedName name="AVV10AA" localSheetId="7">#REF!</definedName>
    <definedName name="AVV10AA" localSheetId="8">#REF!</definedName>
    <definedName name="AVV10AA" localSheetId="9">#REF!</definedName>
    <definedName name="AVV10AA" localSheetId="10">#REF!</definedName>
    <definedName name="AVV10AA" localSheetId="11">#REF!</definedName>
    <definedName name="AVV10AA">#REF!</definedName>
    <definedName name="AVV18DB" localSheetId="4">#REF!</definedName>
    <definedName name="AVV18DB" localSheetId="3">#REF!</definedName>
    <definedName name="AVV18DB" localSheetId="2">#REF!</definedName>
    <definedName name="AVV18DB" localSheetId="5">#REF!</definedName>
    <definedName name="AVV18DB" localSheetId="6">#REF!</definedName>
    <definedName name="AVV18DB" localSheetId="7">#REF!</definedName>
    <definedName name="AVV18DB" localSheetId="8">#REF!</definedName>
    <definedName name="AVV18DB" localSheetId="9">#REF!</definedName>
    <definedName name="AVV18DB" localSheetId="10">#REF!</definedName>
    <definedName name="AVV18DB" localSheetId="11">#REF!</definedName>
    <definedName name="AVV18DB">#REF!</definedName>
    <definedName name="AVV18DC" localSheetId="4">#REF!</definedName>
    <definedName name="AVV18DC" localSheetId="3">#REF!</definedName>
    <definedName name="AVV18DC" localSheetId="2">#REF!</definedName>
    <definedName name="AVV18DC" localSheetId="5">#REF!</definedName>
    <definedName name="AVV18DC" localSheetId="6">#REF!</definedName>
    <definedName name="AVV18DC" localSheetId="7">#REF!</definedName>
    <definedName name="AVV18DC" localSheetId="8">#REF!</definedName>
    <definedName name="AVV18DC" localSheetId="9">#REF!</definedName>
    <definedName name="AVV18DC" localSheetId="10">#REF!</definedName>
    <definedName name="AVV18DC" localSheetId="11">#REF!</definedName>
    <definedName name="AVV18DC">#REF!</definedName>
    <definedName name="AVX07FA" localSheetId="4">#REF!</definedName>
    <definedName name="AVX07FA" localSheetId="3">#REF!</definedName>
    <definedName name="AVX07FA" localSheetId="2">#REF!</definedName>
    <definedName name="AVX07FA" localSheetId="5">#REF!</definedName>
    <definedName name="AVX07FA" localSheetId="6">#REF!</definedName>
    <definedName name="AVX07FA" localSheetId="7">#REF!</definedName>
    <definedName name="AVX07FA" localSheetId="8">#REF!</definedName>
    <definedName name="AVX07FA" localSheetId="9">#REF!</definedName>
    <definedName name="AVX07FA" localSheetId="10">#REF!</definedName>
    <definedName name="AVX07FA" localSheetId="11">#REF!</definedName>
    <definedName name="AVX07FA">#REF!</definedName>
    <definedName name="AVX07FB" localSheetId="4">#REF!</definedName>
    <definedName name="AVX07FB" localSheetId="3">#REF!</definedName>
    <definedName name="AVX07FB" localSheetId="2">#REF!</definedName>
    <definedName name="AVX07FB" localSheetId="5">#REF!</definedName>
    <definedName name="AVX07FB" localSheetId="6">#REF!</definedName>
    <definedName name="AVX07FB" localSheetId="7">#REF!</definedName>
    <definedName name="AVX07FB" localSheetId="8">#REF!</definedName>
    <definedName name="AVX07FB" localSheetId="9">#REF!</definedName>
    <definedName name="AVX07FB" localSheetId="10">#REF!</definedName>
    <definedName name="AVX07FB" localSheetId="11">#REF!</definedName>
    <definedName name="AVX07FB">#REF!</definedName>
    <definedName name="AVX10AB" localSheetId="4">#REF!</definedName>
    <definedName name="AVX10AB" localSheetId="3">#REF!</definedName>
    <definedName name="AVX10AB" localSheetId="2">#REF!</definedName>
    <definedName name="AVX10AB" localSheetId="5">#REF!</definedName>
    <definedName name="AVX10AB" localSheetId="6">#REF!</definedName>
    <definedName name="AVX10AB" localSheetId="7">#REF!</definedName>
    <definedName name="AVX10AB" localSheetId="8">#REF!</definedName>
    <definedName name="AVX10AB" localSheetId="9">#REF!</definedName>
    <definedName name="AVX10AB" localSheetId="10">#REF!</definedName>
    <definedName name="AVX10AB" localSheetId="11">#REF!</definedName>
    <definedName name="AVX10AB">#REF!</definedName>
    <definedName name="AVX10AC" localSheetId="4">#REF!</definedName>
    <definedName name="AVX10AC" localSheetId="3">#REF!</definedName>
    <definedName name="AVX10AC" localSheetId="2">#REF!</definedName>
    <definedName name="AVX10AC" localSheetId="5">#REF!</definedName>
    <definedName name="AVX10AC" localSheetId="6">#REF!</definedName>
    <definedName name="AVX10AC" localSheetId="7">#REF!</definedName>
    <definedName name="AVX10AC" localSheetId="8">#REF!</definedName>
    <definedName name="AVX10AC" localSheetId="9">#REF!</definedName>
    <definedName name="AVX10AC" localSheetId="10">#REF!</definedName>
    <definedName name="AVX10AC" localSheetId="11">#REF!</definedName>
    <definedName name="AVX10AC">#REF!</definedName>
    <definedName name="AWE" localSheetId="4">#REF!</definedName>
    <definedName name="AWE" localSheetId="3">#REF!</definedName>
    <definedName name="AWE" localSheetId="2">#REF!</definedName>
    <definedName name="AWE" localSheetId="5">#REF!</definedName>
    <definedName name="AWE" localSheetId="6">#REF!</definedName>
    <definedName name="AWE" localSheetId="7">#REF!</definedName>
    <definedName name="AWE" localSheetId="8">#REF!</definedName>
    <definedName name="AWE" localSheetId="9">#REF!</definedName>
    <definedName name="AWE" localSheetId="10">#REF!</definedName>
    <definedName name="AWE" localSheetId="11">#REF!</definedName>
    <definedName name="AWE">#REF!</definedName>
    <definedName name="azx" localSheetId="4">#REF!</definedName>
    <definedName name="azx" localSheetId="3">#REF!</definedName>
    <definedName name="azx" localSheetId="2">#REF!</definedName>
    <definedName name="azx" localSheetId="5">#REF!</definedName>
    <definedName name="azx" localSheetId="6">#REF!</definedName>
    <definedName name="azx" localSheetId="7">#REF!</definedName>
    <definedName name="azx" localSheetId="8">#REF!</definedName>
    <definedName name="azx" localSheetId="9">#REF!</definedName>
    <definedName name="azx" localSheetId="10">#REF!</definedName>
    <definedName name="azx" localSheetId="11">#REF!</definedName>
    <definedName name="azx">#REF!</definedName>
    <definedName name="b" localSheetId="4" hidden="1">{"WSQ1",#N/A,FALSE,"WRK P&amp;L -Qtr";"Q1ECG",#N/A,FALSE,"ECG P&amp;L -Qtr";"SRVQ1",#N/A,FALSE,"Server P&amp;L -Qtr";"Q1OPT",#N/A,FALSE,"Server Options P&amp;L -Qtr";"SOPSQ1",#N/A,FALSE,"SOPs P&amp;L -Qtr"}</definedName>
    <definedName name="b" localSheetId="3" hidden="1">{"WSQ1",#N/A,FALSE,"WRK P&amp;L -Qtr";"Q1ECG",#N/A,FALSE,"ECG P&amp;L -Qtr";"SRVQ1",#N/A,FALSE,"Server P&amp;L -Qtr";"Q1OPT",#N/A,FALSE,"Server Options P&amp;L -Qtr";"SOPSQ1",#N/A,FALSE,"SOPs P&amp;L -Qtr"}</definedName>
    <definedName name="b" localSheetId="2" hidden="1">{"WSQ1",#N/A,FALSE,"WRK P&amp;L -Qtr";"Q1ECG",#N/A,FALSE,"ECG P&amp;L -Qtr";"SRVQ1",#N/A,FALSE,"Server P&amp;L -Qtr";"Q1OPT",#N/A,FALSE,"Server Options P&amp;L -Qtr";"SOPSQ1",#N/A,FALSE,"SOPs P&amp;L -Qtr"}</definedName>
    <definedName name="b" localSheetId="8" hidden="1">{"WSQ1",#N/A,FALSE,"WRK P&amp;L -Qtr";"Q1ECG",#N/A,FALSE,"ECG P&amp;L -Qtr";"SRVQ1",#N/A,FALSE,"Server P&amp;L -Qtr";"Q1OPT",#N/A,FALSE,"Server Options P&amp;L -Qtr";"SOPSQ1",#N/A,FALSE,"SOPs P&amp;L -Qtr"}</definedName>
    <definedName name="b" localSheetId="9" hidden="1">{"WSQ1",#N/A,FALSE,"WRK P&amp;L -Qtr";"Q1ECG",#N/A,FALSE,"ECG P&amp;L -Qtr";"SRVQ1",#N/A,FALSE,"Server P&amp;L -Qtr";"Q1OPT",#N/A,FALSE,"Server Options P&amp;L -Qtr";"SOPSQ1",#N/A,FALSE,"SOPs P&amp;L -Qtr"}</definedName>
    <definedName name="b" localSheetId="10" hidden="1">{"WSQ1",#N/A,FALSE,"WRK P&amp;L -Qtr";"Q1ECG",#N/A,FALSE,"ECG P&amp;L -Qtr";"SRVQ1",#N/A,FALSE,"Server P&amp;L -Qtr";"Q1OPT",#N/A,FALSE,"Server Options P&amp;L -Qtr";"SOPSQ1",#N/A,FALSE,"SOPs P&amp;L -Qtr"}</definedName>
    <definedName name="b" hidden="1">{"WSQ1",#N/A,FALSE,"WRK P&amp;L -Qtr";"Q1ECG",#N/A,FALSE,"ECG P&amp;L -Qtr";"SRVQ1",#N/A,FALSE,"Server P&amp;L -Qtr";"Q1OPT",#N/A,FALSE,"Server Options P&amp;L -Qtr";"SOPSQ1",#N/A,FALSE,"SOPs P&amp;L -Qtr"}</definedName>
    <definedName name="baanfw47a" localSheetId="4">'[75]BaaN FW47'!$B$1:$P$65536</definedName>
    <definedName name="baanfw47a" localSheetId="3">'[75]BaaN FW47'!$B$1:$P$65536</definedName>
    <definedName name="baanfw47a" localSheetId="2">'[75]BaaN FW47'!$B$1:$P$65536</definedName>
    <definedName name="baanfw47a" localSheetId="5">'[75]BaaN FW47'!$B$1:$P$65536</definedName>
    <definedName name="baanfw47a" localSheetId="6">'[75]BaaN FW47'!$B$1:$P$65536</definedName>
    <definedName name="baanfw47a" localSheetId="7">'[75]BaaN FW47'!$B$1:$P$65536</definedName>
    <definedName name="baanfw47a" localSheetId="8">'[75]BaaN FW47'!$B$1:$P$65536</definedName>
    <definedName name="baanfw47a" localSheetId="9">'[75]BaaN FW47'!$B$1:$P$65536</definedName>
    <definedName name="baanfw47a" localSheetId="10">'[85]BaaN FW47'!$B$1:$P$65536</definedName>
    <definedName name="baanfw47a">'[28]BaaN FW47'!$B$1:$P$65536</definedName>
    <definedName name="BadDebt" localSheetId="4">#REF!</definedName>
    <definedName name="BadDebt" localSheetId="3">#REF!</definedName>
    <definedName name="BadDebt" localSheetId="2">#REF!</definedName>
    <definedName name="BadDebt" localSheetId="5">#REF!</definedName>
    <definedName name="BadDebt" localSheetId="6">#REF!</definedName>
    <definedName name="BadDebt" localSheetId="7">#REF!</definedName>
    <definedName name="BadDebt" localSheetId="8">#REF!</definedName>
    <definedName name="BadDebt" localSheetId="9">#REF!</definedName>
    <definedName name="BadDebt" localSheetId="10">#REF!</definedName>
    <definedName name="BadDebt" localSheetId="11">#REF!</definedName>
    <definedName name="BadDebt">#REF!</definedName>
    <definedName name="Bag" localSheetId="4">[37]Spec!$B$30:$F$40</definedName>
    <definedName name="Bag" localSheetId="3">[37]Spec!$B$30:$F$40</definedName>
    <definedName name="Bag" localSheetId="2">[37]Spec!$B$30:$F$40</definedName>
    <definedName name="Bag" localSheetId="5">[37]Spec!$B$30:$F$40</definedName>
    <definedName name="Bag" localSheetId="6">[37]Spec!$B$30:$F$40</definedName>
    <definedName name="Bag" localSheetId="7">[37]Spec!$B$30:$F$40</definedName>
    <definedName name="Bag" localSheetId="8">[37]Spec!$B$30:$F$40</definedName>
    <definedName name="Bag" localSheetId="9">[37]Spec!$B$30:$F$40</definedName>
    <definedName name="Bag" localSheetId="10">[22]Spec!$B$30:$F$40</definedName>
    <definedName name="Bag">[29]Spec!$B$30:$F$40</definedName>
    <definedName name="Basic_PMM_rng" localSheetId="4">'[39]Basic PMM'!$D$6:$FK$26,'[39]Basic PMM'!$D$28:$FK$96,'[39]Basic PMM'!$FN$28:$FX$96</definedName>
    <definedName name="Basic_PMM_rng" localSheetId="3">'[39]Basic PMM'!$D$6:$FK$26,'[39]Basic PMM'!$D$28:$FK$96,'[39]Basic PMM'!$FN$28:$FX$96</definedName>
    <definedName name="Basic_PMM_rng" localSheetId="2">'[39]Basic PMM'!$D$6:$FK$26,'[39]Basic PMM'!$D$28:$FK$96,'[39]Basic PMM'!$FN$28:$FX$96</definedName>
    <definedName name="Basic_PMM_rng" localSheetId="5">'[39]Basic PMM'!$D$6:$FK$26,'[39]Basic PMM'!$D$28:$FK$96,'[39]Basic PMM'!$FN$28:$FX$96</definedName>
    <definedName name="Basic_PMM_rng" localSheetId="6">'[39]Basic PMM'!$D$6:$FK$26,'[39]Basic PMM'!$D$28:$FK$96,'[39]Basic PMM'!$FN$28:$FX$96</definedName>
    <definedName name="Basic_PMM_rng" localSheetId="7">'[39]Basic PMM'!$D$6:$FK$26,'[39]Basic PMM'!$D$28:$FK$96,'[39]Basic PMM'!$FN$28:$FX$96</definedName>
    <definedName name="Basic_PMM_rng" localSheetId="10">'[86]Basic PMM'!$D$6:$FK$26,'[86]Basic PMM'!$D$28:$FK$96,'[86]Basic PMM'!$FN$28:$FX$96</definedName>
    <definedName name="Basic_PMM_rng">'[30]Basic PMM'!$D$6:$FK$26,'[30]Basic PMM'!$D$28:$FK$96,'[30]Basic PMM'!$FN$28:$FX$96</definedName>
    <definedName name="BatchComp_Cp" localSheetId="4">'[23]Batch Comparison Template'!$L$10</definedName>
    <definedName name="BatchComp_Cp" localSheetId="3">'[23]Batch Comparison Template'!$L$10</definedName>
    <definedName name="BatchComp_Cp" localSheetId="2">'[23]Batch Comparison Template'!$L$10</definedName>
    <definedName name="BatchComp_Cp" localSheetId="5">'[23]Batch Comparison Template'!$L$10</definedName>
    <definedName name="BatchComp_Cp" localSheetId="6">'[23]Batch Comparison Template'!$L$10</definedName>
    <definedName name="BatchComp_Cp" localSheetId="7">'[23]Batch Comparison Template'!$L$10</definedName>
    <definedName name="BatchComp_Cp" localSheetId="8">'[23]Batch Comparison Template'!$L$10</definedName>
    <definedName name="BatchComp_Cp" localSheetId="9">'[23]Batch Comparison Template'!$L$10</definedName>
    <definedName name="BatchComp_Cp" localSheetId="10">'[77]Batch Comparison Template'!$L$10</definedName>
    <definedName name="BatchComp_Cp">'[17]Batch Comparison Template'!$L$10</definedName>
    <definedName name="BatchComp_Data" localSheetId="4">'[23]Batch Comparison Template'!$Z$21</definedName>
    <definedName name="BatchComp_Data" localSheetId="3">'[23]Batch Comparison Template'!$Z$21</definedName>
    <definedName name="BatchComp_Data" localSheetId="2">'[23]Batch Comparison Template'!$Z$21</definedName>
    <definedName name="BatchComp_Data" localSheetId="5">'[23]Batch Comparison Template'!$Z$21</definedName>
    <definedName name="BatchComp_Data" localSheetId="6">'[23]Batch Comparison Template'!$Z$21</definedName>
    <definedName name="BatchComp_Data" localSheetId="7">'[23]Batch Comparison Template'!$Z$21</definedName>
    <definedName name="BatchComp_Data" localSheetId="8">'[23]Batch Comparison Template'!$Z$21</definedName>
    <definedName name="BatchComp_Data" localSheetId="9">'[23]Batch Comparison Template'!$Z$21</definedName>
    <definedName name="BatchComp_Data" localSheetId="10">'[77]Batch Comparison Template'!$Z$21</definedName>
    <definedName name="BatchComp_Data">'[17]Batch Comparison Template'!$Z$21</definedName>
    <definedName name="BatchComp_Details" localSheetId="4">'[23]Batch Comparison Template'!$Z$14</definedName>
    <definedName name="BatchComp_Details" localSheetId="3">'[23]Batch Comparison Template'!$Z$14</definedName>
    <definedName name="BatchComp_Details" localSheetId="2">'[23]Batch Comparison Template'!$Z$14</definedName>
    <definedName name="BatchComp_Details" localSheetId="5">'[23]Batch Comparison Template'!$Z$14</definedName>
    <definedName name="BatchComp_Details" localSheetId="6">'[23]Batch Comparison Template'!$Z$14</definedName>
    <definedName name="BatchComp_Details" localSheetId="7">'[23]Batch Comparison Template'!$Z$14</definedName>
    <definedName name="BatchComp_Details" localSheetId="8">'[23]Batch Comparison Template'!$Z$14</definedName>
    <definedName name="BatchComp_Details" localSheetId="9">'[23]Batch Comparison Template'!$Z$14</definedName>
    <definedName name="BatchComp_Details" localSheetId="10">'[77]Batch Comparison Template'!$Z$14</definedName>
    <definedName name="BatchComp_Details">'[17]Batch Comparison Template'!$Z$14</definedName>
    <definedName name="BatchComp_Details_Max" localSheetId="4">#REF!</definedName>
    <definedName name="BatchComp_Details_Max" localSheetId="3">#REF!</definedName>
    <definedName name="BatchComp_Details_Max" localSheetId="2">#REF!</definedName>
    <definedName name="BatchComp_Details_Max" localSheetId="5">#REF!</definedName>
    <definedName name="BatchComp_Details_Max" localSheetId="6">#REF!</definedName>
    <definedName name="BatchComp_Details_Max" localSheetId="7">#REF!</definedName>
    <definedName name="BatchComp_Details_Max" localSheetId="8">#REF!</definedName>
    <definedName name="BatchComp_Details_Max" localSheetId="9">#REF!</definedName>
    <definedName name="BatchComp_Details_Max" localSheetId="10">#REF!</definedName>
    <definedName name="BatchComp_Details_Max" localSheetId="11">#REF!</definedName>
    <definedName name="BatchComp_Details_Max">#REF!</definedName>
    <definedName name="BatchComp_Details_Max_Population" localSheetId="4">'[23]Batch Comparison Template'!$Y$16</definedName>
    <definedName name="BatchComp_Details_Max_Population" localSheetId="3">'[23]Batch Comparison Template'!$Y$16</definedName>
    <definedName name="BatchComp_Details_Max_Population" localSheetId="2">'[23]Batch Comparison Template'!$Y$16</definedName>
    <definedName name="BatchComp_Details_Max_Population" localSheetId="5">'[23]Batch Comparison Template'!$Y$16</definedName>
    <definedName name="BatchComp_Details_Max_Population" localSheetId="6">'[23]Batch Comparison Template'!$Y$16</definedName>
    <definedName name="BatchComp_Details_Max_Population" localSheetId="7">'[23]Batch Comparison Template'!$Y$16</definedName>
    <definedName name="BatchComp_Details_Max_Population" localSheetId="8">'[23]Batch Comparison Template'!$Y$16</definedName>
    <definedName name="BatchComp_Details_Max_Population" localSheetId="9">'[23]Batch Comparison Template'!$Y$16</definedName>
    <definedName name="BatchComp_Details_Max_Population" localSheetId="10">'[77]Batch Comparison Template'!$Y$16</definedName>
    <definedName name="BatchComp_Details_Max_Population">'[17]Batch Comparison Template'!$Y$16</definedName>
    <definedName name="BatchComp_Details_MaxY" localSheetId="4">'[23]Batch Comparison Template'!$Y$19</definedName>
    <definedName name="BatchComp_Details_MaxY" localSheetId="3">'[23]Batch Comparison Template'!$Y$19</definedName>
    <definedName name="BatchComp_Details_MaxY" localSheetId="2">'[23]Batch Comparison Template'!$Y$19</definedName>
    <definedName name="BatchComp_Details_MaxY" localSheetId="5">'[23]Batch Comparison Template'!$Y$19</definedName>
    <definedName name="BatchComp_Details_MaxY" localSheetId="6">'[23]Batch Comparison Template'!$Y$19</definedName>
    <definedName name="BatchComp_Details_MaxY" localSheetId="7">'[23]Batch Comparison Template'!$Y$19</definedName>
    <definedName name="BatchComp_Details_MaxY" localSheetId="8">'[23]Batch Comparison Template'!$Y$19</definedName>
    <definedName name="BatchComp_Details_MaxY" localSheetId="9">'[23]Batch Comparison Template'!$Y$19</definedName>
    <definedName name="BatchComp_Details_MaxY" localSheetId="10">'[77]Batch Comparison Template'!$Y$19</definedName>
    <definedName name="BatchComp_Details_MaxY">'[17]Batch Comparison Template'!$Y$19</definedName>
    <definedName name="BatchComp_Details_MaxYs" localSheetId="4">#REF!</definedName>
    <definedName name="BatchComp_Details_MaxYs" localSheetId="3">#REF!</definedName>
    <definedName name="BatchComp_Details_MaxYs" localSheetId="2">#REF!</definedName>
    <definedName name="BatchComp_Details_MaxYs" localSheetId="5">#REF!</definedName>
    <definedName name="BatchComp_Details_MaxYs" localSheetId="6">#REF!</definedName>
    <definedName name="BatchComp_Details_MaxYs" localSheetId="7">#REF!</definedName>
    <definedName name="BatchComp_Details_MaxYs" localSheetId="8">#REF!</definedName>
    <definedName name="BatchComp_Details_MaxYs" localSheetId="9">#REF!</definedName>
    <definedName name="BatchComp_Details_MaxYs" localSheetId="10">#REF!</definedName>
    <definedName name="BatchComp_Details_MaxYs" localSheetId="11">#REF!</definedName>
    <definedName name="BatchComp_Details_MaxYs">#REF!</definedName>
    <definedName name="BatchComp_Details_Mean_Population" localSheetId="4">'[23]Batch Comparison Template'!$Y$14</definedName>
    <definedName name="BatchComp_Details_Mean_Population" localSheetId="3">'[23]Batch Comparison Template'!$Y$14</definedName>
    <definedName name="BatchComp_Details_Mean_Population" localSheetId="2">'[23]Batch Comparison Template'!$Y$14</definedName>
    <definedName name="BatchComp_Details_Mean_Population" localSheetId="5">'[23]Batch Comparison Template'!$Y$14</definedName>
    <definedName name="BatchComp_Details_Mean_Population" localSheetId="6">'[23]Batch Comparison Template'!$Y$14</definedName>
    <definedName name="BatchComp_Details_Mean_Population" localSheetId="7">'[23]Batch Comparison Template'!$Y$14</definedName>
    <definedName name="BatchComp_Details_Mean_Population" localSheetId="8">'[23]Batch Comparison Template'!$Y$14</definedName>
    <definedName name="BatchComp_Details_Mean_Population" localSheetId="9">'[23]Batch Comparison Template'!$Y$14</definedName>
    <definedName name="BatchComp_Details_Mean_Population" localSheetId="10">'[77]Batch Comparison Template'!$Y$14</definedName>
    <definedName name="BatchComp_Details_Mean_Population">'[17]Batch Comparison Template'!$Y$14</definedName>
    <definedName name="BatchComp_Details_Min_Population" localSheetId="4">'[23]Batch Comparison Template'!$Y$17</definedName>
    <definedName name="BatchComp_Details_Min_Population" localSheetId="3">'[23]Batch Comparison Template'!$Y$17</definedName>
    <definedName name="BatchComp_Details_Min_Population" localSheetId="2">'[23]Batch Comparison Template'!$Y$17</definedName>
    <definedName name="BatchComp_Details_Min_Population" localSheetId="5">'[23]Batch Comparison Template'!$Y$17</definedName>
    <definedName name="BatchComp_Details_Min_Population" localSheetId="6">'[23]Batch Comparison Template'!$Y$17</definedName>
    <definedName name="BatchComp_Details_Min_Population" localSheetId="7">'[23]Batch Comparison Template'!$Y$17</definedName>
    <definedName name="BatchComp_Details_Min_Population" localSheetId="8">'[23]Batch Comparison Template'!$Y$17</definedName>
    <definedName name="BatchComp_Details_Min_Population" localSheetId="9">'[23]Batch Comparison Template'!$Y$17</definedName>
    <definedName name="BatchComp_Details_Min_Population" localSheetId="10">'[77]Batch Comparison Template'!$Y$17</definedName>
    <definedName name="BatchComp_Details_Min_Population">'[17]Batch Comparison Template'!$Y$17</definedName>
    <definedName name="BatchComp_Details_SD_Population" localSheetId="4">'[23]Batch Comparison Template'!$Y$15</definedName>
    <definedName name="BatchComp_Details_SD_Population" localSheetId="3">'[23]Batch Comparison Template'!$Y$15</definedName>
    <definedName name="BatchComp_Details_SD_Population" localSheetId="2">'[23]Batch Comparison Template'!$Y$15</definedName>
    <definedName name="BatchComp_Details_SD_Population" localSheetId="5">'[23]Batch Comparison Template'!$Y$15</definedName>
    <definedName name="BatchComp_Details_SD_Population" localSheetId="6">'[23]Batch Comparison Template'!$Y$15</definedName>
    <definedName name="BatchComp_Details_SD_Population" localSheetId="7">'[23]Batch Comparison Template'!$Y$15</definedName>
    <definedName name="BatchComp_Details_SD_Population" localSheetId="8">'[23]Batch Comparison Template'!$Y$15</definedName>
    <definedName name="BatchComp_Details_SD_Population" localSheetId="9">'[23]Batch Comparison Template'!$Y$15</definedName>
    <definedName name="BatchComp_Details_SD_Population" localSheetId="10">'[77]Batch Comparison Template'!$Y$15</definedName>
    <definedName name="BatchComp_Details_SD_Population">'[17]Batch Comparison Template'!$Y$15</definedName>
    <definedName name="BatchComp_Dimension" localSheetId="4">'[23]Batch Comparison Template'!$Z$8:$Z$12</definedName>
    <definedName name="BatchComp_Dimension" localSheetId="3">'[23]Batch Comparison Template'!$Z$8:$Z$12</definedName>
    <definedName name="BatchComp_Dimension" localSheetId="2">'[23]Batch Comparison Template'!$Z$8:$Z$12</definedName>
    <definedName name="BatchComp_Dimension" localSheetId="5">'[23]Batch Comparison Template'!$Z$8:$Z$12</definedName>
    <definedName name="BatchComp_Dimension" localSheetId="6">'[23]Batch Comparison Template'!$Z$8:$Z$12</definedName>
    <definedName name="BatchComp_Dimension" localSheetId="7">'[23]Batch Comparison Template'!$Z$8:$Z$12</definedName>
    <definedName name="BatchComp_Dimension" localSheetId="8">'[23]Batch Comparison Template'!$Z$8:$Z$12</definedName>
    <definedName name="BatchComp_Dimension" localSheetId="9">'[23]Batch Comparison Template'!$Z$8:$Z$12</definedName>
    <definedName name="BatchComp_Dimension" localSheetId="10">'[77]Batch Comparison Template'!$Z$8:$Z$12</definedName>
    <definedName name="BatchComp_Dimension">'[17]Batch Comparison Template'!$Z$8:$Z$12</definedName>
    <definedName name="BatchComp_Dimension_LShift" localSheetId="4">'[23]Batch Comparison Template'!$L$9</definedName>
    <definedName name="BatchComp_Dimension_LShift" localSheetId="3">'[23]Batch Comparison Template'!$L$9</definedName>
    <definedName name="BatchComp_Dimension_LShift" localSheetId="2">'[23]Batch Comparison Template'!$L$9</definedName>
    <definedName name="BatchComp_Dimension_LShift" localSheetId="5">'[23]Batch Comparison Template'!$L$9</definedName>
    <definedName name="BatchComp_Dimension_LShift" localSheetId="6">'[23]Batch Comparison Template'!$L$9</definedName>
    <definedName name="BatchComp_Dimension_LShift" localSheetId="7">'[23]Batch Comparison Template'!$L$9</definedName>
    <definedName name="BatchComp_Dimension_LShift" localSheetId="8">'[23]Batch Comparison Template'!$L$9</definedName>
    <definedName name="BatchComp_Dimension_LShift" localSheetId="9">'[23]Batch Comparison Template'!$L$9</definedName>
    <definedName name="BatchComp_Dimension_LShift" localSheetId="10">'[77]Batch Comparison Template'!$L$9</definedName>
    <definedName name="BatchComp_Dimension_LShift">'[17]Batch Comparison Template'!$L$9</definedName>
    <definedName name="BatchComp_Dimension_LSL" localSheetId="4">'[23]Batch Comparison Template'!$L$7</definedName>
    <definedName name="BatchComp_Dimension_LSL" localSheetId="3">'[23]Batch Comparison Template'!$L$7</definedName>
    <definedName name="BatchComp_Dimension_LSL" localSheetId="2">'[23]Batch Comparison Template'!$L$7</definedName>
    <definedName name="BatchComp_Dimension_LSL" localSheetId="5">'[23]Batch Comparison Template'!$L$7</definedName>
    <definedName name="BatchComp_Dimension_LSL" localSheetId="6">'[23]Batch Comparison Template'!$L$7</definedName>
    <definedName name="BatchComp_Dimension_LSL" localSheetId="7">'[23]Batch Comparison Template'!$L$7</definedName>
    <definedName name="BatchComp_Dimension_LSL" localSheetId="8">'[23]Batch Comparison Template'!$L$7</definedName>
    <definedName name="BatchComp_Dimension_LSL" localSheetId="9">'[23]Batch Comparison Template'!$L$7</definedName>
    <definedName name="BatchComp_Dimension_LSL" localSheetId="10">'[77]Batch Comparison Template'!$L$7</definedName>
    <definedName name="BatchComp_Dimension_LSL">'[17]Batch Comparison Template'!$L$7</definedName>
    <definedName name="BatchComp_Dimension_Mean" localSheetId="4">'[23]Batch Comparison Template'!$L$41</definedName>
    <definedName name="BatchComp_Dimension_Mean" localSheetId="3">'[23]Batch Comparison Template'!$L$41</definedName>
    <definedName name="BatchComp_Dimension_Mean" localSheetId="2">'[23]Batch Comparison Template'!$L$41</definedName>
    <definedName name="BatchComp_Dimension_Mean" localSheetId="5">'[23]Batch Comparison Template'!$L$41</definedName>
    <definedName name="BatchComp_Dimension_Mean" localSheetId="6">'[23]Batch Comparison Template'!$L$41</definedName>
    <definedName name="BatchComp_Dimension_Mean" localSheetId="7">'[23]Batch Comparison Template'!$L$41</definedName>
    <definedName name="BatchComp_Dimension_Mean" localSheetId="8">'[23]Batch Comparison Template'!$L$41</definedName>
    <definedName name="BatchComp_Dimension_Mean" localSheetId="9">'[23]Batch Comparison Template'!$L$41</definedName>
    <definedName name="BatchComp_Dimension_Mean" localSheetId="10">'[77]Batch Comparison Template'!$L$41</definedName>
    <definedName name="BatchComp_Dimension_Mean">'[17]Batch Comparison Template'!$L$41</definedName>
    <definedName name="BatchComp_Dimension_Nom" localSheetId="4">'[23]Batch Comparison Template'!$L$5</definedName>
    <definedName name="BatchComp_Dimension_Nom" localSheetId="3">'[23]Batch Comparison Template'!$L$5</definedName>
    <definedName name="BatchComp_Dimension_Nom" localSheetId="2">'[23]Batch Comparison Template'!$L$5</definedName>
    <definedName name="BatchComp_Dimension_Nom" localSheetId="5">'[23]Batch Comparison Template'!$L$5</definedName>
    <definedName name="BatchComp_Dimension_Nom" localSheetId="6">'[23]Batch Comparison Template'!$L$5</definedName>
    <definedName name="BatchComp_Dimension_Nom" localSheetId="7">'[23]Batch Comparison Template'!$L$5</definedName>
    <definedName name="BatchComp_Dimension_Nom" localSheetId="8">'[23]Batch Comparison Template'!$L$5</definedName>
    <definedName name="BatchComp_Dimension_Nom" localSheetId="9">'[23]Batch Comparison Template'!$L$5</definedName>
    <definedName name="BatchComp_Dimension_Nom" localSheetId="10">'[77]Batch Comparison Template'!$L$5</definedName>
    <definedName name="BatchComp_Dimension_Nom">'[17]Batch Comparison Template'!$L$5</definedName>
    <definedName name="BatchComp_Dimension_NoSamples" localSheetId="4">'[23]Batch Comparison Template'!$L$40</definedName>
    <definedName name="BatchComp_Dimension_NoSamples" localSheetId="3">'[23]Batch Comparison Template'!$L$40</definedName>
    <definedName name="BatchComp_Dimension_NoSamples" localSheetId="2">'[23]Batch Comparison Template'!$L$40</definedName>
    <definedName name="BatchComp_Dimension_NoSamples" localSheetId="5">'[23]Batch Comparison Template'!$L$40</definedName>
    <definedName name="BatchComp_Dimension_NoSamples" localSheetId="6">'[23]Batch Comparison Template'!$L$40</definedName>
    <definedName name="BatchComp_Dimension_NoSamples" localSheetId="7">'[23]Batch Comparison Template'!$L$40</definedName>
    <definedName name="BatchComp_Dimension_NoSamples" localSheetId="8">'[23]Batch Comparison Template'!$L$40</definedName>
    <definedName name="BatchComp_Dimension_NoSamples" localSheetId="9">'[23]Batch Comparison Template'!$L$40</definedName>
    <definedName name="BatchComp_Dimension_NoSamples" localSheetId="10">'[77]Batch Comparison Template'!$L$40</definedName>
    <definedName name="BatchComp_Dimension_NoSamples">'[17]Batch Comparison Template'!$L$40</definedName>
    <definedName name="BatchComp_Dimension_SD" localSheetId="4">'[23]Batch Comparison Template'!$L$42</definedName>
    <definedName name="BatchComp_Dimension_SD" localSheetId="3">'[23]Batch Comparison Template'!$L$42</definedName>
    <definedName name="BatchComp_Dimension_SD" localSheetId="2">'[23]Batch Comparison Template'!$L$42</definedName>
    <definedName name="BatchComp_Dimension_SD" localSheetId="5">'[23]Batch Comparison Template'!$L$42</definedName>
    <definedName name="BatchComp_Dimension_SD" localSheetId="6">'[23]Batch Comparison Template'!$L$42</definedName>
    <definedName name="BatchComp_Dimension_SD" localSheetId="7">'[23]Batch Comparison Template'!$L$42</definedName>
    <definedName name="BatchComp_Dimension_SD" localSheetId="8">'[23]Batch Comparison Template'!$L$42</definedName>
    <definedName name="BatchComp_Dimension_SD" localSheetId="9">'[23]Batch Comparison Template'!$L$42</definedName>
    <definedName name="BatchComp_Dimension_SD" localSheetId="10">'[77]Batch Comparison Template'!$L$42</definedName>
    <definedName name="BatchComp_Dimension_SD">'[17]Batch Comparison Template'!$L$42</definedName>
    <definedName name="BatchComp_Dimension_UShift" localSheetId="4">'[23]Batch Comparison Template'!$L$8</definedName>
    <definedName name="BatchComp_Dimension_UShift" localSheetId="3">'[23]Batch Comparison Template'!$L$8</definedName>
    <definedName name="BatchComp_Dimension_UShift" localSheetId="2">'[23]Batch Comparison Template'!$L$8</definedName>
    <definedName name="BatchComp_Dimension_UShift" localSheetId="5">'[23]Batch Comparison Template'!$L$8</definedName>
    <definedName name="BatchComp_Dimension_UShift" localSheetId="6">'[23]Batch Comparison Template'!$L$8</definedName>
    <definedName name="BatchComp_Dimension_UShift" localSheetId="7">'[23]Batch Comparison Template'!$L$8</definedName>
    <definedName name="BatchComp_Dimension_UShift" localSheetId="8">'[23]Batch Comparison Template'!$L$8</definedName>
    <definedName name="BatchComp_Dimension_UShift" localSheetId="9">'[23]Batch Comparison Template'!$L$8</definedName>
    <definedName name="BatchComp_Dimension_UShift" localSheetId="10">'[77]Batch Comparison Template'!$L$8</definedName>
    <definedName name="BatchComp_Dimension_UShift">'[17]Batch Comparison Template'!$L$8</definedName>
    <definedName name="BatchComp_Dimension_USL" localSheetId="4">'[23]Batch Comparison Template'!$L$6</definedName>
    <definedName name="BatchComp_Dimension_USL" localSheetId="3">'[23]Batch Comparison Template'!$L$6</definedName>
    <definedName name="BatchComp_Dimension_USL" localSheetId="2">'[23]Batch Comparison Template'!$L$6</definedName>
    <definedName name="BatchComp_Dimension_USL" localSheetId="5">'[23]Batch Comparison Template'!$L$6</definedName>
    <definedName name="BatchComp_Dimension_USL" localSheetId="6">'[23]Batch Comparison Template'!$L$6</definedName>
    <definedName name="BatchComp_Dimension_USL" localSheetId="7">'[23]Batch Comparison Template'!$L$6</definedName>
    <definedName name="BatchComp_Dimension_USL" localSheetId="8">'[23]Batch Comparison Template'!$L$6</definedName>
    <definedName name="BatchComp_Dimension_USL" localSheetId="9">'[23]Batch Comparison Template'!$L$6</definedName>
    <definedName name="BatchComp_Dimension_USL" localSheetId="10">'[77]Batch Comparison Template'!$L$6</definedName>
    <definedName name="BatchComp_Dimension_USL">'[17]Batch Comparison Template'!$L$6</definedName>
    <definedName name="BatchComp_Header_Measurer" localSheetId="4">'[40]Batch Comparison Template'!#REF!</definedName>
    <definedName name="BatchComp_Header_Measurer" localSheetId="3">'[40]Batch Comparison Template'!#REF!</definedName>
    <definedName name="BatchComp_Header_Measurer" localSheetId="2">'[40]Batch Comparison Template'!#REF!</definedName>
    <definedName name="BatchComp_Header_Measurer" localSheetId="5">'[41]Batch Comparison Template'!#REF!</definedName>
    <definedName name="BatchComp_Header_Measurer" localSheetId="6">'[41]Batch Comparison Template'!#REF!</definedName>
    <definedName name="BatchComp_Header_Measurer" localSheetId="7">'[41]Batch Comparison Template'!#REF!</definedName>
    <definedName name="BatchComp_Header_Measurer" localSheetId="10">'[87]Batch Comparison Template'!#REF!</definedName>
    <definedName name="BatchComp_Header_Measurer">'[31]Batch Comparison Template'!#REF!</definedName>
    <definedName name="BatchComp_Header_PartIssue" localSheetId="4">'[23]Batch Comparison Template'!$C$6</definedName>
    <definedName name="BatchComp_Header_PartIssue" localSheetId="3">'[23]Batch Comparison Template'!$C$6</definedName>
    <definedName name="BatchComp_Header_PartIssue" localSheetId="2">'[23]Batch Comparison Template'!$C$6</definedName>
    <definedName name="BatchComp_Header_PartIssue" localSheetId="5">'[23]Batch Comparison Template'!$C$6</definedName>
    <definedName name="BatchComp_Header_PartIssue" localSheetId="6">'[23]Batch Comparison Template'!$C$6</definedName>
    <definedName name="BatchComp_Header_PartIssue" localSheetId="7">'[23]Batch Comparison Template'!$C$6</definedName>
    <definedName name="BatchComp_Header_PartIssue" localSheetId="8">'[23]Batch Comparison Template'!$C$6</definedName>
    <definedName name="BatchComp_Header_PartIssue" localSheetId="9">'[23]Batch Comparison Template'!$C$6</definedName>
    <definedName name="BatchComp_Header_PartIssue" localSheetId="10">'[77]Batch Comparison Template'!$C$6</definedName>
    <definedName name="BatchComp_Header_PartIssue">'[17]Batch Comparison Template'!$C$6</definedName>
    <definedName name="BatchComp_Header_PartName" localSheetId="4">'[23]Batch Comparison Template'!$C$4</definedName>
    <definedName name="BatchComp_Header_PartName" localSheetId="3">'[23]Batch Comparison Template'!$C$4</definedName>
    <definedName name="BatchComp_Header_PartName" localSheetId="2">'[23]Batch Comparison Template'!$C$4</definedName>
    <definedName name="BatchComp_Header_PartName" localSheetId="5">'[23]Batch Comparison Template'!$C$4</definedName>
    <definedName name="BatchComp_Header_PartName" localSheetId="6">'[23]Batch Comparison Template'!$C$4</definedName>
    <definedName name="BatchComp_Header_PartName" localSheetId="7">'[23]Batch Comparison Template'!$C$4</definedName>
    <definedName name="BatchComp_Header_PartName" localSheetId="8">'[23]Batch Comparison Template'!$C$4</definedName>
    <definedName name="BatchComp_Header_PartName" localSheetId="9">'[23]Batch Comparison Template'!$C$4</definedName>
    <definedName name="BatchComp_Header_PartName" localSheetId="10">'[77]Batch Comparison Template'!$C$4</definedName>
    <definedName name="BatchComp_Header_PartName">'[17]Batch Comparison Template'!$C$4</definedName>
    <definedName name="BatchComp_Header_PartNumber" localSheetId="4">'[23]Batch Comparison Template'!$C$5</definedName>
    <definedName name="BatchComp_Header_PartNumber" localSheetId="3">'[23]Batch Comparison Template'!$C$5</definedName>
    <definedName name="BatchComp_Header_PartNumber" localSheetId="2">'[23]Batch Comparison Template'!$C$5</definedName>
    <definedName name="BatchComp_Header_PartNumber" localSheetId="5">'[23]Batch Comparison Template'!$C$5</definedName>
    <definedName name="BatchComp_Header_PartNumber" localSheetId="6">'[23]Batch Comparison Template'!$C$5</definedName>
    <definedName name="BatchComp_Header_PartNumber" localSheetId="7">'[23]Batch Comparison Template'!$C$5</definedName>
    <definedName name="BatchComp_Header_PartNumber" localSheetId="8">'[23]Batch Comparison Template'!$C$5</definedName>
    <definedName name="BatchComp_Header_PartNumber" localSheetId="9">'[23]Batch Comparison Template'!$C$5</definedName>
    <definedName name="BatchComp_Header_PartNumber" localSheetId="10">'[77]Batch Comparison Template'!$C$5</definedName>
    <definedName name="BatchComp_Header_PartNumber">'[17]Batch Comparison Template'!$C$5</definedName>
    <definedName name="BatchComp_Header_Requested" localSheetId="4">'[40]Batch Comparison Template'!#REF!</definedName>
    <definedName name="BatchComp_Header_Requested" localSheetId="3">'[40]Batch Comparison Template'!#REF!</definedName>
    <definedName name="BatchComp_Header_Requested" localSheetId="2">'[40]Batch Comparison Template'!#REF!</definedName>
    <definedName name="BatchComp_Header_Requested" localSheetId="5">'[41]Batch Comparison Template'!#REF!</definedName>
    <definedName name="BatchComp_Header_Requested" localSheetId="6">'[41]Batch Comparison Template'!#REF!</definedName>
    <definedName name="BatchComp_Header_Requested" localSheetId="7">'[41]Batch Comparison Template'!#REF!</definedName>
    <definedName name="BatchComp_Header_Requested" localSheetId="10">'[87]Batch Comparison Template'!#REF!</definedName>
    <definedName name="BatchComp_Header_Requested">'[31]Batch Comparison Template'!#REF!</definedName>
    <definedName name="BatchComp_Header_Using" localSheetId="4">'[40]Batch Comparison Template'!#REF!</definedName>
    <definedName name="BatchComp_Header_Using" localSheetId="3">'[40]Batch Comparison Template'!#REF!</definedName>
    <definedName name="BatchComp_Header_Using" localSheetId="2">'[40]Batch Comparison Template'!#REF!</definedName>
    <definedName name="BatchComp_Header_Using" localSheetId="5">'[41]Batch Comparison Template'!#REF!</definedName>
    <definedName name="BatchComp_Header_Using" localSheetId="6">'[41]Batch Comparison Template'!#REF!</definedName>
    <definedName name="BatchComp_Header_Using" localSheetId="7">'[41]Batch Comparison Template'!#REF!</definedName>
    <definedName name="BatchComp_Header_Using" localSheetId="10">'[87]Batch Comparison Template'!#REF!</definedName>
    <definedName name="BatchComp_Header_Using">'[31]Batch Comparison Template'!#REF!</definedName>
    <definedName name="BatchComp_NormDist_Formula_Population" localSheetId="4">'[23]Batch Comparison Template'!$Y$18</definedName>
    <definedName name="BatchComp_NormDist_Formula_Population" localSheetId="3">'[23]Batch Comparison Template'!$Y$18</definedName>
    <definedName name="BatchComp_NormDist_Formula_Population" localSheetId="2">'[23]Batch Comparison Template'!$Y$18</definedName>
    <definedName name="BatchComp_NormDist_Formula_Population" localSheetId="5">'[23]Batch Comparison Template'!$Y$18</definedName>
    <definedName name="BatchComp_NormDist_Formula_Population" localSheetId="6">'[23]Batch Comparison Template'!$Y$18</definedName>
    <definedName name="BatchComp_NormDist_Formula_Population" localSheetId="7">'[23]Batch Comparison Template'!$Y$18</definedName>
    <definedName name="BatchComp_NormDist_Formula_Population" localSheetId="8">'[23]Batch Comparison Template'!$Y$18</definedName>
    <definedName name="BatchComp_NormDist_Formula_Population" localSheetId="9">'[23]Batch Comparison Template'!$Y$18</definedName>
    <definedName name="BatchComp_NormDist_Formula_Population" localSheetId="10">'[77]Batch Comparison Template'!$Y$18</definedName>
    <definedName name="BatchComp_NormDist_Formula_Population">'[17]Batch Comparison Template'!$Y$18</definedName>
    <definedName name="BatchComp_Shift" localSheetId="4">'[40]Batch Comparison Template'!#REF!</definedName>
    <definedName name="BatchComp_Shift" localSheetId="3">'[40]Batch Comparison Template'!#REF!</definedName>
    <definedName name="BatchComp_Shift" localSheetId="2">'[40]Batch Comparison Template'!#REF!</definedName>
    <definedName name="BatchComp_Shift" localSheetId="5">'[41]Batch Comparison Template'!#REF!</definedName>
    <definedName name="BatchComp_Shift" localSheetId="6">'[41]Batch Comparison Template'!#REF!</definedName>
    <definedName name="BatchComp_Shift" localSheetId="7">'[41]Batch Comparison Template'!#REF!</definedName>
    <definedName name="BatchComp_Shift" localSheetId="10">'[87]Batch Comparison Template'!#REF!</definedName>
    <definedName name="BatchComp_Shift">'[31]Batch Comparison Template'!#REF!</definedName>
    <definedName name="BatchComp_Source" localSheetId="4">'[23]Batch Comparison Template'!$Z$3</definedName>
    <definedName name="BatchComp_Source" localSheetId="3">'[23]Batch Comparison Template'!$Z$3</definedName>
    <definedName name="BatchComp_Source" localSheetId="2">'[23]Batch Comparison Template'!$Z$3</definedName>
    <definedName name="BatchComp_Source" localSheetId="5">'[23]Batch Comparison Template'!$Z$3</definedName>
    <definedName name="BatchComp_Source" localSheetId="6">'[23]Batch Comparison Template'!$Z$3</definedName>
    <definedName name="BatchComp_Source" localSheetId="7">'[23]Batch Comparison Template'!$Z$3</definedName>
    <definedName name="BatchComp_Source" localSheetId="8">'[23]Batch Comparison Template'!$Z$3</definedName>
    <definedName name="BatchComp_Source" localSheetId="9">'[23]Batch Comparison Template'!$Z$3</definedName>
    <definedName name="BatchComp_Source" localSheetId="10">'[77]Batch Comparison Template'!$Z$3</definedName>
    <definedName name="BatchComp_Source">'[17]Batch Comparison Template'!$Z$3</definedName>
    <definedName name="bauteil" localSheetId="4">#REF!</definedName>
    <definedName name="bauteil" localSheetId="3">#REF!</definedName>
    <definedName name="bauteil" localSheetId="2">#REF!</definedName>
    <definedName name="bauteil" localSheetId="5">#REF!</definedName>
    <definedName name="bauteil" localSheetId="6">#REF!</definedName>
    <definedName name="bauteil" localSheetId="7">#REF!</definedName>
    <definedName name="bauteil" localSheetId="8">#REF!</definedName>
    <definedName name="bauteil" localSheetId="9">#REF!</definedName>
    <definedName name="bauteil" localSheetId="10">#REF!</definedName>
    <definedName name="bauteil" localSheetId="11">#REF!</definedName>
    <definedName name="bauteil">#REF!</definedName>
    <definedName name="bauteil1" localSheetId="4">#REF!</definedName>
    <definedName name="bauteil1" localSheetId="3">#REF!</definedName>
    <definedName name="bauteil1" localSheetId="2">#REF!</definedName>
    <definedName name="bauteil1" localSheetId="5">#REF!</definedName>
    <definedName name="bauteil1" localSheetId="6">#REF!</definedName>
    <definedName name="bauteil1" localSheetId="7">#REF!</definedName>
    <definedName name="bauteil1" localSheetId="8">#REF!</definedName>
    <definedName name="bauteil1" localSheetId="9">#REF!</definedName>
    <definedName name="bauteil1" localSheetId="10">#REF!</definedName>
    <definedName name="bauteil1" localSheetId="11">#REF!</definedName>
    <definedName name="bauteil1">#REF!</definedName>
    <definedName name="bauteile" localSheetId="4">#REF!</definedName>
    <definedName name="bauteile" localSheetId="3">#REF!</definedName>
    <definedName name="bauteile" localSheetId="2">#REF!</definedName>
    <definedName name="bauteile" localSheetId="5">#REF!</definedName>
    <definedName name="bauteile" localSheetId="6">#REF!</definedName>
    <definedName name="bauteile" localSheetId="7">#REF!</definedName>
    <definedName name="bauteile" localSheetId="8">#REF!</definedName>
    <definedName name="bauteile" localSheetId="9">#REF!</definedName>
    <definedName name="bauteile" localSheetId="10">#REF!</definedName>
    <definedName name="bauteile" localSheetId="11">#REF!</definedName>
    <definedName name="bauteile">#REF!</definedName>
    <definedName name="bbbb" localSheetId="4">#REF!</definedName>
    <definedName name="bbbb" localSheetId="3">#REF!</definedName>
    <definedName name="bbbb" localSheetId="2">#REF!</definedName>
    <definedName name="bbbb" localSheetId="5">#REF!</definedName>
    <definedName name="bbbb" localSheetId="6">#REF!</definedName>
    <definedName name="bbbb" localSheetId="7">#REF!</definedName>
    <definedName name="bbbb" localSheetId="8">#REF!</definedName>
    <definedName name="bbbb" localSheetId="9">#REF!</definedName>
    <definedName name="bbbb" localSheetId="10">#REF!</definedName>
    <definedName name="bbbb" localSheetId="11">#REF!</definedName>
    <definedName name="bbbb">#REF!</definedName>
    <definedName name="BCC" localSheetId="4">#REF!</definedName>
    <definedName name="BCC" localSheetId="3">#REF!</definedName>
    <definedName name="BCC" localSheetId="2">#REF!</definedName>
    <definedName name="BCC" localSheetId="5">#REF!</definedName>
    <definedName name="BCC" localSheetId="6">#REF!</definedName>
    <definedName name="BCC" localSheetId="7">#REF!</definedName>
    <definedName name="BCC" localSheetId="8">#REF!</definedName>
    <definedName name="BCC" localSheetId="9">#REF!</definedName>
    <definedName name="BCC" localSheetId="10">#REF!</definedName>
    <definedName name="BCC" localSheetId="11">#REF!</definedName>
    <definedName name="BCC">#REF!</definedName>
    <definedName name="BCO" localSheetId="4">#REF!</definedName>
    <definedName name="BCO" localSheetId="3">#REF!</definedName>
    <definedName name="BCO" localSheetId="2">#REF!</definedName>
    <definedName name="BCO" localSheetId="5">#REF!</definedName>
    <definedName name="BCO" localSheetId="6">#REF!</definedName>
    <definedName name="BCO" localSheetId="7">#REF!</definedName>
    <definedName name="BCO" localSheetId="8">#REF!</definedName>
    <definedName name="BCO" localSheetId="9">#REF!</definedName>
    <definedName name="BCO" localSheetId="10">#REF!</definedName>
    <definedName name="BCO" localSheetId="11">#REF!</definedName>
    <definedName name="BCO">#REF!</definedName>
    <definedName name="BCS" localSheetId="4">#REF!</definedName>
    <definedName name="BCS" localSheetId="3">#REF!</definedName>
    <definedName name="BCS" localSheetId="2">#REF!</definedName>
    <definedName name="BCS" localSheetId="5">#REF!</definedName>
    <definedName name="BCS" localSheetId="6">#REF!</definedName>
    <definedName name="BCS" localSheetId="7">#REF!</definedName>
    <definedName name="BCS" localSheetId="8">#REF!</definedName>
    <definedName name="BCS" localSheetId="9">#REF!</definedName>
    <definedName name="BCS" localSheetId="10">#REF!</definedName>
    <definedName name="BCS" localSheetId="11">#REF!</definedName>
    <definedName name="BCS">#REF!</definedName>
    <definedName name="BCS.New" localSheetId="4">#REF!</definedName>
    <definedName name="BCS.New" localSheetId="3">#REF!</definedName>
    <definedName name="BCS.New" localSheetId="2">#REF!</definedName>
    <definedName name="BCS.New" localSheetId="5">#REF!</definedName>
    <definedName name="BCS.New" localSheetId="6">#REF!</definedName>
    <definedName name="BCS.New" localSheetId="7">#REF!</definedName>
    <definedName name="BCS.New" localSheetId="8">#REF!</definedName>
    <definedName name="BCS.New" localSheetId="9">#REF!</definedName>
    <definedName name="BCS.New" localSheetId="10">#REF!</definedName>
    <definedName name="BCS.New" localSheetId="11">#REF!</definedName>
    <definedName name="BCS.New">#REF!</definedName>
    <definedName name="BCSa" localSheetId="4">[76]APJSum!$A$1007</definedName>
    <definedName name="BCSa" localSheetId="3">[76]APJSum!$A$1007</definedName>
    <definedName name="BCSa" localSheetId="2">[76]APJSum!$A$1007</definedName>
    <definedName name="BCSa" localSheetId="5">[76]APJSum!$A$1007</definedName>
    <definedName name="BCSa" localSheetId="6">[76]APJSum!$A$1007</definedName>
    <definedName name="BCSa" localSheetId="7">[76]APJSum!$A$1007</definedName>
    <definedName name="BCSa" localSheetId="10">[25]APJSum!$A$1007</definedName>
    <definedName name="BCSa">[32]APJSum!$A$1007</definedName>
    <definedName name="BCSame" localSheetId="4">[76]AmeSum!$A$1007</definedName>
    <definedName name="BCSame" localSheetId="3">[76]AmeSum!$A$1007</definedName>
    <definedName name="BCSame" localSheetId="2">[76]AmeSum!$A$1007</definedName>
    <definedName name="BCSame" localSheetId="5">[76]AmeSum!$A$1007</definedName>
    <definedName name="BCSame" localSheetId="6">[76]AmeSum!$A$1007</definedName>
    <definedName name="BCSame" localSheetId="7">[76]AmeSum!$A$1007</definedName>
    <definedName name="BCSame" localSheetId="10">[25]AmeSum!$A$1007</definedName>
    <definedName name="BCSame">[32]AmeSum!$A$1007</definedName>
    <definedName name="BCSe" localSheetId="4">[76]EMEASum!$A$1007</definedName>
    <definedName name="BCSe" localSheetId="3">[76]EMEASum!$A$1007</definedName>
    <definedName name="BCSe" localSheetId="2">[76]EMEASum!$A$1007</definedName>
    <definedName name="BCSe" localSheetId="5">[76]EMEASum!$A$1007</definedName>
    <definedName name="BCSe" localSheetId="6">[76]EMEASum!$A$1007</definedName>
    <definedName name="BCSe" localSheetId="7">[76]EMEASum!$A$1007</definedName>
    <definedName name="BCSe" localSheetId="10">[25]EMEASum!$A$1007</definedName>
    <definedName name="BCSe">[32]EMEASum!$A$1007</definedName>
    <definedName name="BCSh" localSheetId="4">[76]HPCoSum!$A$1007</definedName>
    <definedName name="BCSh" localSheetId="3">[76]HPCoSum!$A$1007</definedName>
    <definedName name="BCSh" localSheetId="2">[76]HPCoSum!$A$1007</definedName>
    <definedName name="BCSh" localSheetId="5">[76]HPCoSum!$A$1007</definedName>
    <definedName name="BCSh" localSheetId="6">[76]HPCoSum!$A$1007</definedName>
    <definedName name="BCSh" localSheetId="7">[76]HPCoSum!$A$1007</definedName>
    <definedName name="BCSh" localSheetId="10">[25]HPCoSum!$A$1007</definedName>
    <definedName name="BCSh">[32]HPCoSum!$A$1007</definedName>
    <definedName name="BCSo" localSheetId="4">[76]OGSum!$A$1007</definedName>
    <definedName name="BCSo" localSheetId="3">[76]OGSum!$A$1007</definedName>
    <definedName name="BCSo" localSheetId="2">[76]OGSum!$A$1007</definedName>
    <definedName name="BCSo" localSheetId="5">[76]OGSum!$A$1007</definedName>
    <definedName name="BCSo" localSheetId="6">[76]OGSum!$A$1007</definedName>
    <definedName name="BCSo" localSheetId="7">[76]OGSum!$A$1007</definedName>
    <definedName name="BCSo" localSheetId="10">[25]OGSum!$A$1007</definedName>
    <definedName name="BCSo">[32]OGSum!$A$1007</definedName>
    <definedName name="BCSw" localSheetId="4">#REF!</definedName>
    <definedName name="BCSw" localSheetId="3">#REF!</definedName>
    <definedName name="BCSw" localSheetId="2">#REF!</definedName>
    <definedName name="BCSw" localSheetId="5">#REF!</definedName>
    <definedName name="BCSw" localSheetId="6">#REF!</definedName>
    <definedName name="BCSw" localSheetId="7">#REF!</definedName>
    <definedName name="BCSw" localSheetId="8">#REF!</definedName>
    <definedName name="BCSw" localSheetId="9">#REF!</definedName>
    <definedName name="BCSw" localSheetId="10">#REF!</definedName>
    <definedName name="BCSw" localSheetId="11">#REF!</definedName>
    <definedName name="BCSw">#REF!</definedName>
    <definedName name="Beg_Bal" localSheetId="4">#REF!</definedName>
    <definedName name="Beg_Bal" localSheetId="3">#REF!</definedName>
    <definedName name="Beg_Bal" localSheetId="2">#REF!</definedName>
    <definedName name="Beg_Bal" localSheetId="5">#REF!</definedName>
    <definedName name="Beg_Bal" localSheetId="6">#REF!</definedName>
    <definedName name="Beg_Bal" localSheetId="7">#REF!</definedName>
    <definedName name="Beg_Bal" localSheetId="8">#REF!</definedName>
    <definedName name="Beg_Bal" localSheetId="9">#REF!</definedName>
    <definedName name="Beg_Bal" localSheetId="10">#REF!</definedName>
    <definedName name="Beg_Bal" localSheetId="11">#REF!</definedName>
    <definedName name="Beg_Bal">#REF!</definedName>
    <definedName name="Belegungszeit" localSheetId="4">#REF!</definedName>
    <definedName name="Belegungszeit" localSheetId="3">#REF!</definedName>
    <definedName name="Belegungszeit" localSheetId="2">#REF!</definedName>
    <definedName name="Belegungszeit" localSheetId="5">#REF!</definedName>
    <definedName name="Belegungszeit" localSheetId="6">#REF!</definedName>
    <definedName name="Belegungszeit" localSheetId="7">#REF!</definedName>
    <definedName name="Belegungszeit" localSheetId="8">#REF!</definedName>
    <definedName name="Belegungszeit" localSheetId="9">#REF!</definedName>
    <definedName name="Belegungszeit" localSheetId="10">#REF!</definedName>
    <definedName name="Belegungszeit" localSheetId="11">#REF!</definedName>
    <definedName name="Belegungszeit">#REF!</definedName>
    <definedName name="benefit_distribution" localSheetId="4">'[44]Commercial Benefits'!$K$7:$L$18</definedName>
    <definedName name="benefit_distribution" localSheetId="3">'[44]Commercial Benefits'!$K$7:$L$18</definedName>
    <definedName name="benefit_distribution" localSheetId="2">'[44]Commercial Benefits'!$K$7:$L$18</definedName>
    <definedName name="benefit_distribution" localSheetId="5">'[44]Commercial Benefits'!$K$7:$L$18</definedName>
    <definedName name="benefit_distribution" localSheetId="6">'[44]Commercial Benefits'!$K$7:$L$18</definedName>
    <definedName name="benefit_distribution" localSheetId="7">'[44]Commercial Benefits'!$K$7:$L$18</definedName>
    <definedName name="benefit_distribution" localSheetId="8">'[44]Commercial Benefits'!$K$7:$L$18</definedName>
    <definedName name="benefit_distribution" localSheetId="9">'[44]Commercial Benefits'!$K$7:$L$18</definedName>
    <definedName name="benefit_distribution" localSheetId="10">'[19]Commercial Benefits'!$K$7:$L$18</definedName>
    <definedName name="benefit_distribution">'[33]Commercial Benefits'!$K$7:$L$18</definedName>
    <definedName name="benefit_dollars_gross" localSheetId="4">'[44]Commercial Benefits'!$O$39:$AJ$43</definedName>
    <definedName name="benefit_dollars_gross" localSheetId="3">'[44]Commercial Benefits'!$O$39:$AJ$43</definedName>
    <definedName name="benefit_dollars_gross" localSheetId="2">'[44]Commercial Benefits'!$O$39:$AJ$43</definedName>
    <definedName name="benefit_dollars_gross" localSheetId="5">'[44]Commercial Benefits'!$O$39:$AJ$43</definedName>
    <definedName name="benefit_dollars_gross" localSheetId="6">'[44]Commercial Benefits'!$O$39:$AJ$43</definedName>
    <definedName name="benefit_dollars_gross" localSheetId="7">'[44]Commercial Benefits'!$O$39:$AJ$43</definedName>
    <definedName name="benefit_dollars_gross" localSheetId="8">'[44]Commercial Benefits'!$O$39:$AJ$43</definedName>
    <definedName name="benefit_dollars_gross" localSheetId="9">'[44]Commercial Benefits'!$O$39:$AJ$43</definedName>
    <definedName name="benefit_dollars_gross" localSheetId="10">'[19]Commercial Benefits'!$O$39:$AJ$43</definedName>
    <definedName name="benefit_dollars_gross">'[33]Commercial Benefits'!$O$39:$AJ$43</definedName>
    <definedName name="benefit_dollars_incremental" localSheetId="4">'[44]Commercial Benefits'!$AM$39:$BH$43</definedName>
    <definedName name="benefit_dollars_incremental" localSheetId="3">'[44]Commercial Benefits'!$AM$39:$BH$43</definedName>
    <definedName name="benefit_dollars_incremental" localSheetId="2">'[44]Commercial Benefits'!$AM$39:$BH$43</definedName>
    <definedName name="benefit_dollars_incremental" localSheetId="5">'[44]Commercial Benefits'!$AM$39:$BH$43</definedName>
    <definedName name="benefit_dollars_incremental" localSheetId="6">'[44]Commercial Benefits'!$AM$39:$BH$43</definedName>
    <definedName name="benefit_dollars_incremental" localSheetId="7">'[44]Commercial Benefits'!$AM$39:$BH$43</definedName>
    <definedName name="benefit_dollars_incremental" localSheetId="8">'[44]Commercial Benefits'!$AM$39:$BH$43</definedName>
    <definedName name="benefit_dollars_incremental" localSheetId="9">'[44]Commercial Benefits'!$AM$39:$BH$43</definedName>
    <definedName name="benefit_dollars_incremental" localSheetId="10">'[19]Commercial Benefits'!$AM$39:$BH$43</definedName>
    <definedName name="benefit_dollars_incremental">'[33]Commercial Benefits'!$AM$39:$BH$43</definedName>
    <definedName name="bfdfjahgrfjb" localSheetId="4" hidden="1">{#N/A,#N/A,TRUE,"Distribution";#N/A,#N/A,TRUE,"Fulfillment";#N/A,#N/A,TRUE,"Aged Backorders"}</definedName>
    <definedName name="bfdfjahgrfjb" localSheetId="3" hidden="1">{#N/A,#N/A,TRUE,"Distribution";#N/A,#N/A,TRUE,"Fulfillment";#N/A,#N/A,TRUE,"Aged Backorders"}</definedName>
    <definedName name="bfdfjahgrfjb" localSheetId="2" hidden="1">{#N/A,#N/A,TRUE,"Distribution";#N/A,#N/A,TRUE,"Fulfillment";#N/A,#N/A,TRUE,"Aged Backorders"}</definedName>
    <definedName name="bfdfjahgrfjb" localSheetId="8" hidden="1">{#N/A,#N/A,TRUE,"Distribution";#N/A,#N/A,TRUE,"Fulfillment";#N/A,#N/A,TRUE,"Aged Backorders"}</definedName>
    <definedName name="bfdfjahgrfjb" localSheetId="9" hidden="1">{#N/A,#N/A,TRUE,"Distribution";#N/A,#N/A,TRUE,"Fulfillment";#N/A,#N/A,TRUE,"Aged Backorders"}</definedName>
    <definedName name="bfdfjahgrfjb" localSheetId="10" hidden="1">{#N/A,#N/A,TRUE,"Distribution";#N/A,#N/A,TRUE,"Fulfillment";#N/A,#N/A,TRUE,"Aged Backorders"}</definedName>
    <definedName name="bfdfjahgrfjb" hidden="1">{#N/A,#N/A,TRUE,"Distribution";#N/A,#N/A,TRUE,"Fulfillment";#N/A,#N/A,TRUE,"Aged Backorders"}</definedName>
    <definedName name="BIL_NO">"MO85110026"</definedName>
    <definedName name="Blah" localSheetId="4">#REF!</definedName>
    <definedName name="Blah" localSheetId="3">#REF!</definedName>
    <definedName name="Blah" localSheetId="2">#REF!</definedName>
    <definedName name="Blah" localSheetId="5">#REF!</definedName>
    <definedName name="Blah" localSheetId="6">#REF!</definedName>
    <definedName name="Blah" localSheetId="7">#REF!</definedName>
    <definedName name="Blah" localSheetId="8">#REF!</definedName>
    <definedName name="Blah" localSheetId="9">#REF!</definedName>
    <definedName name="Blah" localSheetId="10">#REF!</definedName>
    <definedName name="Blah" localSheetId="11">#REF!</definedName>
    <definedName name="Blah">#REF!</definedName>
    <definedName name="blank" localSheetId="4">'[40]Batch Comparison Template'!#REF!</definedName>
    <definedName name="blank" localSheetId="3">'[40]Batch Comparison Template'!#REF!</definedName>
    <definedName name="blank" localSheetId="2">'[40]Batch Comparison Template'!#REF!</definedName>
    <definedName name="blank" localSheetId="5">'[41]Batch Comparison Template'!#REF!</definedName>
    <definedName name="blank" localSheetId="6">'[41]Batch Comparison Template'!#REF!</definedName>
    <definedName name="blank" localSheetId="7">'[41]Batch Comparison Template'!#REF!</definedName>
    <definedName name="blank" localSheetId="10">'[87]Batch Comparison Template'!#REF!</definedName>
    <definedName name="blank">'[31]Batch Comparison Template'!#REF!</definedName>
    <definedName name="BLDG" localSheetId="4">'[64]FA-LISTING'!#REF!</definedName>
    <definedName name="BLDG" localSheetId="3">'[64]FA-LISTING'!#REF!</definedName>
    <definedName name="BLDG" localSheetId="2">'[64]FA-LISTING'!#REF!</definedName>
    <definedName name="BLDG" localSheetId="5">'[64]FA-LISTING'!#REF!</definedName>
    <definedName name="BLDG" localSheetId="6">'[64]FA-LISTING'!#REF!</definedName>
    <definedName name="BLDG" localSheetId="7">'[64]FA-LISTING'!#REF!</definedName>
    <definedName name="BLDG" localSheetId="8">'[2]FA-LISTING'!#REF!</definedName>
    <definedName name="BLDG" localSheetId="9">'[2]FA-LISTING'!#REF!</definedName>
    <definedName name="BLDG" localSheetId="10">'[2]FA-LISTING'!#REF!</definedName>
    <definedName name="BLDG">'[1]FA-LISTING'!#REF!</definedName>
    <definedName name="BLDGIMP" localSheetId="4">'[64]FA-LISTING'!#REF!</definedName>
    <definedName name="BLDGIMP" localSheetId="3">'[64]FA-LISTING'!#REF!</definedName>
    <definedName name="BLDGIMP" localSheetId="2">'[64]FA-LISTING'!#REF!</definedName>
    <definedName name="BLDGIMP" localSheetId="5">'[64]FA-LISTING'!#REF!</definedName>
    <definedName name="BLDGIMP" localSheetId="6">'[64]FA-LISTING'!#REF!</definedName>
    <definedName name="BLDGIMP" localSheetId="7">'[64]FA-LISTING'!#REF!</definedName>
    <definedName name="BLDGIMP" localSheetId="8">'[2]FA-LISTING'!#REF!</definedName>
    <definedName name="BLDGIMP" localSheetId="9">'[2]FA-LISTING'!#REF!</definedName>
    <definedName name="BLDGIMP" localSheetId="10">'[2]FA-LISTING'!#REF!</definedName>
    <definedName name="BLDGIMP">'[1]FA-LISTING'!#REF!</definedName>
    <definedName name="BLDGREV" localSheetId="4">'[64]FA-LISTING'!#REF!</definedName>
    <definedName name="BLDGREV" localSheetId="3">'[64]FA-LISTING'!#REF!</definedName>
    <definedName name="BLDGREV" localSheetId="2">'[64]FA-LISTING'!#REF!</definedName>
    <definedName name="BLDGREV" localSheetId="5">'[64]FA-LISTING'!#REF!</definedName>
    <definedName name="BLDGREV" localSheetId="6">'[64]FA-LISTING'!#REF!</definedName>
    <definedName name="BLDGREV" localSheetId="7">'[64]FA-LISTING'!#REF!</definedName>
    <definedName name="BLDGREV" localSheetId="8">'[2]FA-LISTING'!#REF!</definedName>
    <definedName name="BLDGREV" localSheetId="9">'[2]FA-LISTING'!#REF!</definedName>
    <definedName name="BLDGREV" localSheetId="10">'[2]FA-LISTING'!#REF!</definedName>
    <definedName name="BLDGREV">'[1]FA-LISTING'!#REF!</definedName>
    <definedName name="bn" localSheetId="4">#REF!</definedName>
    <definedName name="bn" localSheetId="3">#REF!</definedName>
    <definedName name="bn" localSheetId="2">#REF!</definedName>
    <definedName name="bn" localSheetId="5">#REF!</definedName>
    <definedName name="bn" localSheetId="6">#REF!</definedName>
    <definedName name="bn" localSheetId="7">#REF!</definedName>
    <definedName name="bn" localSheetId="8">#REF!</definedName>
    <definedName name="bn" localSheetId="9">#REF!</definedName>
    <definedName name="bn" localSheetId="10">#REF!</definedName>
    <definedName name="bn" localSheetId="11">#REF!</definedName>
    <definedName name="bn">#REF!</definedName>
    <definedName name="Book" localSheetId="4" hidden="1">{#N/A,#N/A,TRUE,"Out-Month "}</definedName>
    <definedName name="Book" localSheetId="3" hidden="1">{#N/A,#N/A,TRUE,"Out-Month "}</definedName>
    <definedName name="Book" localSheetId="2" hidden="1">{#N/A,#N/A,TRUE,"Out-Month "}</definedName>
    <definedName name="Book" localSheetId="8" hidden="1">{#N/A,#N/A,TRUE,"Out-Month "}</definedName>
    <definedName name="Book" localSheetId="9" hidden="1">{#N/A,#N/A,TRUE,"Out-Month "}</definedName>
    <definedName name="Book" localSheetId="10" hidden="1">{#N/A,#N/A,TRUE,"Out-Month "}</definedName>
    <definedName name="Book" hidden="1">{#N/A,#N/A,TRUE,"Out-Month "}</definedName>
    <definedName name="Book1" localSheetId="4">#REF!</definedName>
    <definedName name="Book1" localSheetId="3">#REF!</definedName>
    <definedName name="Book1" localSheetId="2">#REF!</definedName>
    <definedName name="Book1" localSheetId="5">#REF!</definedName>
    <definedName name="Book1" localSheetId="6">#REF!</definedName>
    <definedName name="Book1" localSheetId="7">#REF!</definedName>
    <definedName name="Book1" localSheetId="8">#REF!</definedName>
    <definedName name="Book1" localSheetId="9">#REF!</definedName>
    <definedName name="Book1" localSheetId="10">#REF!</definedName>
    <definedName name="Book1" localSheetId="11">#REF!</definedName>
    <definedName name="Book1">#REF!</definedName>
    <definedName name="BORRA" localSheetId="4">#REF!,#REF!,#REF!,#REF!,#REF!,#REF!,#REF!,#REF!,#REF!,#REF!,#REF!,#REF!,#REF!,#REF!,#REF!,#REF!,#REF!</definedName>
    <definedName name="BORRA" localSheetId="3">#REF!,#REF!,#REF!,#REF!,#REF!,#REF!,#REF!,#REF!,#REF!,#REF!,#REF!,#REF!,#REF!,#REF!,#REF!,#REF!,#REF!</definedName>
    <definedName name="BORRA" localSheetId="2">#REF!,#REF!,#REF!,#REF!,#REF!,#REF!,#REF!,#REF!,#REF!,#REF!,#REF!,#REF!,#REF!,#REF!,#REF!,#REF!,#REF!</definedName>
    <definedName name="BORRA" localSheetId="5">#REF!,#REF!,#REF!,#REF!,#REF!,#REF!,#REF!,#REF!,#REF!,#REF!,#REF!,#REF!,#REF!,#REF!,#REF!,#REF!,#REF!</definedName>
    <definedName name="BORRA" localSheetId="6">#REF!,#REF!,#REF!,#REF!,#REF!,#REF!,#REF!,#REF!,#REF!,#REF!,#REF!,#REF!,#REF!,#REF!,#REF!,#REF!,#REF!</definedName>
    <definedName name="BORRA" localSheetId="7">#REF!,#REF!,#REF!,#REF!,#REF!,#REF!,#REF!,#REF!,#REF!,#REF!,#REF!,#REF!,#REF!,#REF!,#REF!,#REF!,#REF!</definedName>
    <definedName name="BORRA" localSheetId="8">#REF!,#REF!,#REF!,#REF!,#REF!,#REF!,#REF!,#REF!,#REF!,#REF!,#REF!,#REF!,#REF!,#REF!,#REF!,#REF!,#REF!</definedName>
    <definedName name="BORRA" localSheetId="9">#REF!,#REF!,#REF!,#REF!,#REF!,#REF!,#REF!,#REF!,#REF!,#REF!,#REF!,#REF!,#REF!,#REF!,#REF!,#REF!,#REF!</definedName>
    <definedName name="BORRA" localSheetId="10">#REF!,#REF!,#REF!,#REF!,#REF!,#REF!,#REF!,#REF!,#REF!,#REF!,#REF!,#REF!,#REF!,#REF!,#REF!,#REF!,#REF!</definedName>
    <definedName name="BORRA" localSheetId="11">#REF!,#REF!,#REF!,#REF!,#REF!,#REF!,#REF!,#REF!,#REF!,#REF!,#REF!,#REF!,#REF!,#REF!,#REF!,#REF!,#REF!</definedName>
    <definedName name="BORRA">#REF!,#REF!,#REF!,#REF!,#REF!,#REF!,#REF!,#REF!,#REF!,#REF!,#REF!,#REF!,#REF!,#REF!,#REF!,#REF!,#REF!</definedName>
    <definedName name="BoxList" localSheetId="4">#REF!</definedName>
    <definedName name="BoxList" localSheetId="3">#REF!</definedName>
    <definedName name="BoxList" localSheetId="2">#REF!</definedName>
    <definedName name="BoxList" localSheetId="5">#REF!</definedName>
    <definedName name="BoxList" localSheetId="6">#REF!</definedName>
    <definedName name="BoxList" localSheetId="7">#REF!</definedName>
    <definedName name="BoxList" localSheetId="8">#REF!</definedName>
    <definedName name="BoxList" localSheetId="9">#REF!</definedName>
    <definedName name="BoxList" localSheetId="10">#REF!</definedName>
    <definedName name="BoxList" localSheetId="11">#REF!</definedName>
    <definedName name="BoxList">#REF!</definedName>
    <definedName name="BPOa" localSheetId="4">#REF!</definedName>
    <definedName name="BPOa" localSheetId="3">#REF!</definedName>
    <definedName name="BPOa" localSheetId="2">#REF!</definedName>
    <definedName name="BPOa" localSheetId="5">#REF!</definedName>
    <definedName name="BPOa" localSheetId="6">#REF!</definedName>
    <definedName name="BPOa" localSheetId="7">#REF!</definedName>
    <definedName name="BPOa" localSheetId="8">#REF!</definedName>
    <definedName name="BPOa" localSheetId="9">#REF!</definedName>
    <definedName name="BPOa" localSheetId="10">#REF!</definedName>
    <definedName name="BPOa" localSheetId="11">#REF!</definedName>
    <definedName name="BPOa">#REF!</definedName>
    <definedName name="BPOame" localSheetId="4">#REF!</definedName>
    <definedName name="BPOame" localSheetId="3">#REF!</definedName>
    <definedName name="BPOame" localSheetId="2">#REF!</definedName>
    <definedName name="BPOame" localSheetId="5">#REF!</definedName>
    <definedName name="BPOame" localSheetId="6">#REF!</definedName>
    <definedName name="BPOame" localSheetId="7">#REF!</definedName>
    <definedName name="BPOame" localSheetId="8">#REF!</definedName>
    <definedName name="BPOame" localSheetId="9">#REF!</definedName>
    <definedName name="BPOame" localSheetId="10">#REF!</definedName>
    <definedName name="BPOame" localSheetId="11">#REF!</definedName>
    <definedName name="BPOame">#REF!</definedName>
    <definedName name="BPOAP" localSheetId="10">[21]AmeSum!#REF!</definedName>
    <definedName name="BPOAP">[34]AmeSum!#REF!</definedName>
    <definedName name="BPOe" localSheetId="4">#REF!</definedName>
    <definedName name="BPOe" localSheetId="3">#REF!</definedName>
    <definedName name="BPOe" localSheetId="2">#REF!</definedName>
    <definedName name="BPOe" localSheetId="5">#REF!</definedName>
    <definedName name="BPOe" localSheetId="6">#REF!</definedName>
    <definedName name="BPOe" localSheetId="7">#REF!</definedName>
    <definedName name="BPOe" localSheetId="8">#REF!</definedName>
    <definedName name="BPOe" localSheetId="9">#REF!</definedName>
    <definedName name="BPOe" localSheetId="10">#REF!</definedName>
    <definedName name="BPOe" localSheetId="11">#REF!</definedName>
    <definedName name="BPOe">#REF!</definedName>
    <definedName name="BPOEMEA" localSheetId="10">[21]AmeSum!#REF!</definedName>
    <definedName name="BPOEMEA">[34]AmeSum!#REF!</definedName>
    <definedName name="BPOh" localSheetId="4">#REF!</definedName>
    <definedName name="BPOh" localSheetId="3">#REF!</definedName>
    <definedName name="BPOh" localSheetId="2">#REF!</definedName>
    <definedName name="BPOh" localSheetId="5">#REF!</definedName>
    <definedName name="BPOh" localSheetId="6">#REF!</definedName>
    <definedName name="BPOh" localSheetId="7">#REF!</definedName>
    <definedName name="BPOh" localSheetId="8">#REF!</definedName>
    <definedName name="BPOh" localSheetId="9">#REF!</definedName>
    <definedName name="BPOh" localSheetId="10">#REF!</definedName>
    <definedName name="BPOh" localSheetId="11">#REF!</definedName>
    <definedName name="BPOh">#REF!</definedName>
    <definedName name="BPOHPCo" localSheetId="10">[21]AmeSum!#REF!</definedName>
    <definedName name="BPOHPCo">[34]AmeSum!#REF!</definedName>
    <definedName name="BPOJP" localSheetId="10">[21]AmeSum!#REF!</definedName>
    <definedName name="BPOJP">[34]AmeSum!#REF!</definedName>
    <definedName name="BPOo" localSheetId="4">#REF!</definedName>
    <definedName name="BPOo" localSheetId="3">#REF!</definedName>
    <definedName name="BPOo" localSheetId="2">#REF!</definedName>
    <definedName name="BPOo" localSheetId="5">#REF!</definedName>
    <definedName name="BPOo" localSheetId="6">#REF!</definedName>
    <definedName name="BPOo" localSheetId="7">#REF!</definedName>
    <definedName name="BPOo" localSheetId="8">#REF!</definedName>
    <definedName name="BPOo" localSheetId="9">#REF!</definedName>
    <definedName name="BPOo" localSheetId="10">#REF!</definedName>
    <definedName name="BPOo" localSheetId="11">#REF!</definedName>
    <definedName name="BPOo">#REF!</definedName>
    <definedName name="BPOOG" localSheetId="10">[21]AmeSum!#REF!</definedName>
    <definedName name="BPOOG">[34]AmeSum!#REF!</definedName>
    <definedName name="BPOww" localSheetId="4">[76]WWSum!$A$707</definedName>
    <definedName name="BPOww" localSheetId="3">[76]WWSum!$A$707</definedName>
    <definedName name="BPOww" localSheetId="2">[76]WWSum!$A$707</definedName>
    <definedName name="BPOww" localSheetId="5">[76]WWSum!$A$707</definedName>
    <definedName name="BPOww" localSheetId="6">[76]WWSum!$A$707</definedName>
    <definedName name="BPOww" localSheetId="7">[76]WWSum!$A$707</definedName>
    <definedName name="BPOww" localSheetId="10">[25]WWSum!$A$707</definedName>
    <definedName name="BPOww">[32]WWSum!$A$707</definedName>
    <definedName name="BS계">#N/A</definedName>
    <definedName name="BS무료">#N/A</definedName>
    <definedName name="BS유료">#N/A</definedName>
    <definedName name="Build">1</definedName>
    <definedName name="Build1" localSheetId="4">[46]Dates!$C$6</definedName>
    <definedName name="Build1" localSheetId="3">[46]Dates!$C$6</definedName>
    <definedName name="Build1" localSheetId="2">[46]Dates!$C$6</definedName>
    <definedName name="Build1" localSheetId="5">[46]Dates!$C$6</definedName>
    <definedName name="Build1" localSheetId="6">[46]Dates!$C$6</definedName>
    <definedName name="Build1" localSheetId="7">[46]Dates!$C$6</definedName>
    <definedName name="Build1" localSheetId="8">[46]Dates!$C$6</definedName>
    <definedName name="Build1" localSheetId="9">[46]Dates!$C$6</definedName>
    <definedName name="Build1" localSheetId="10">[88]Dates!$C$6</definedName>
    <definedName name="Build1">[35]Dates!$C$6</definedName>
    <definedName name="Build2" localSheetId="4">[46]Dates!$C$7</definedName>
    <definedName name="Build2" localSheetId="3">[46]Dates!$C$7</definedName>
    <definedName name="Build2" localSheetId="2">[46]Dates!$C$7</definedName>
    <definedName name="Build2" localSheetId="5">[46]Dates!$C$7</definedName>
    <definedName name="Build2" localSheetId="6">[46]Dates!$C$7</definedName>
    <definedName name="Build2" localSheetId="7">[46]Dates!$C$7</definedName>
    <definedName name="Build2" localSheetId="8">[46]Dates!$C$7</definedName>
    <definedName name="Build2" localSheetId="9">[46]Dates!$C$7</definedName>
    <definedName name="Build2" localSheetId="10">[88]Dates!$C$7</definedName>
    <definedName name="Build2">[35]Dates!$C$7</definedName>
    <definedName name="Build3" localSheetId="4">[46]Dates!$C$8</definedName>
    <definedName name="Build3" localSheetId="3">[46]Dates!$C$8</definedName>
    <definedName name="Build3" localSheetId="2">[46]Dates!$C$8</definedName>
    <definedName name="Build3" localSheetId="5">[46]Dates!$C$8</definedName>
    <definedName name="Build3" localSheetId="6">[46]Dates!$C$8</definedName>
    <definedName name="Build3" localSheetId="7">[46]Dates!$C$8</definedName>
    <definedName name="Build3" localSheetId="8">[46]Dates!$C$8</definedName>
    <definedName name="Build3" localSheetId="9">[46]Dates!$C$8</definedName>
    <definedName name="Build3" localSheetId="10">[88]Dates!$C$8</definedName>
    <definedName name="Build3">[35]Dates!$C$8</definedName>
    <definedName name="Build4" localSheetId="4">[46]Dates!$C$9</definedName>
    <definedName name="Build4" localSheetId="3">[46]Dates!$C$9</definedName>
    <definedName name="Build4" localSheetId="2">[46]Dates!$C$9</definedName>
    <definedName name="Build4" localSheetId="5">[46]Dates!$C$9</definedName>
    <definedName name="Build4" localSheetId="6">[46]Dates!$C$9</definedName>
    <definedName name="Build4" localSheetId="7">[46]Dates!$C$9</definedName>
    <definedName name="Build4" localSheetId="8">[46]Dates!$C$9</definedName>
    <definedName name="Build4" localSheetId="9">[46]Dates!$C$9</definedName>
    <definedName name="Build4" localSheetId="10">[88]Dates!$C$9</definedName>
    <definedName name="Build4">[35]Dates!$C$9</definedName>
    <definedName name="Build5" localSheetId="4">[46]Dates!$C$10</definedName>
    <definedName name="Build5" localSheetId="3">[46]Dates!$C$10</definedName>
    <definedName name="Build5" localSheetId="2">[46]Dates!$C$10</definedName>
    <definedName name="Build5" localSheetId="5">[46]Dates!$C$10</definedName>
    <definedName name="Build5" localSheetId="6">[46]Dates!$C$10</definedName>
    <definedName name="Build5" localSheetId="7">[46]Dates!$C$10</definedName>
    <definedName name="Build5" localSheetId="8">[46]Dates!$C$10</definedName>
    <definedName name="Build5" localSheetId="9">[46]Dates!$C$10</definedName>
    <definedName name="Build5" localSheetId="10">[88]Dates!$C$10</definedName>
    <definedName name="Build5">[35]Dates!$C$10</definedName>
    <definedName name="bv" localSheetId="4">#REF!</definedName>
    <definedName name="bv" localSheetId="3">#REF!</definedName>
    <definedName name="bv" localSheetId="2">#REF!</definedName>
    <definedName name="bv" localSheetId="5">#REF!</definedName>
    <definedName name="bv" localSheetId="6">#REF!</definedName>
    <definedName name="bv" localSheetId="7">#REF!</definedName>
    <definedName name="bv" localSheetId="8">#REF!</definedName>
    <definedName name="bv" localSheetId="9">#REF!</definedName>
    <definedName name="bv" localSheetId="10">#REF!</definedName>
    <definedName name="bv" localSheetId="11">#REF!</definedName>
    <definedName name="bv">#REF!</definedName>
    <definedName name="cai" localSheetId="4" hidden="1">{#N/A,#N/A,TRUE,"Distribution";#N/A,#N/A,TRUE,"Fulfillment";#N/A,#N/A,TRUE,"Aged Backorders"}</definedName>
    <definedName name="cai" localSheetId="3" hidden="1">{#N/A,#N/A,TRUE,"Distribution";#N/A,#N/A,TRUE,"Fulfillment";#N/A,#N/A,TRUE,"Aged Backorders"}</definedName>
    <definedName name="cai" localSheetId="2" hidden="1">{#N/A,#N/A,TRUE,"Distribution";#N/A,#N/A,TRUE,"Fulfillment";#N/A,#N/A,TRUE,"Aged Backorders"}</definedName>
    <definedName name="cai" localSheetId="8" hidden="1">{#N/A,#N/A,TRUE,"Distribution";#N/A,#N/A,TRUE,"Fulfillment";#N/A,#N/A,TRUE,"Aged Backorders"}</definedName>
    <definedName name="cai" localSheetId="9" hidden="1">{#N/A,#N/A,TRUE,"Distribution";#N/A,#N/A,TRUE,"Fulfillment";#N/A,#N/A,TRUE,"Aged Backorders"}</definedName>
    <definedName name="cai" localSheetId="10" hidden="1">{#N/A,#N/A,TRUE,"Distribution";#N/A,#N/A,TRUE,"Fulfillment";#N/A,#N/A,TRUE,"Aged Backorders"}</definedName>
    <definedName name="cai" hidden="1">{#N/A,#N/A,TRUE,"Distribution";#N/A,#N/A,TRUE,"Fulfillment";#N/A,#N/A,TRUE,"Aged Backorders"}</definedName>
    <definedName name="caja" localSheetId="4" hidden="1">{#N/A,#N/A,TRUE,"Distribution";#N/A,#N/A,TRUE,"Fulfillment";#N/A,#N/A,TRUE,"Aged Backorders"}</definedName>
    <definedName name="caja" localSheetId="3" hidden="1">{#N/A,#N/A,TRUE,"Distribution";#N/A,#N/A,TRUE,"Fulfillment";#N/A,#N/A,TRUE,"Aged Backorders"}</definedName>
    <definedName name="caja" localSheetId="2" hidden="1">{#N/A,#N/A,TRUE,"Distribution";#N/A,#N/A,TRUE,"Fulfillment";#N/A,#N/A,TRUE,"Aged Backorders"}</definedName>
    <definedName name="caja" localSheetId="8" hidden="1">{#N/A,#N/A,TRUE,"Distribution";#N/A,#N/A,TRUE,"Fulfillment";#N/A,#N/A,TRUE,"Aged Backorders"}</definedName>
    <definedName name="caja" localSheetId="9" hidden="1">{#N/A,#N/A,TRUE,"Distribution";#N/A,#N/A,TRUE,"Fulfillment";#N/A,#N/A,TRUE,"Aged Backorders"}</definedName>
    <definedName name="caja" localSheetId="10" hidden="1">{#N/A,#N/A,TRUE,"Distribution";#N/A,#N/A,TRUE,"Fulfillment";#N/A,#N/A,TRUE,"Aged Backorders"}</definedName>
    <definedName name="caja" hidden="1">{#N/A,#N/A,TRUE,"Distribution";#N/A,#N/A,TRUE,"Fulfillment";#N/A,#N/A,TRUE,"Aged Backorders"}</definedName>
    <definedName name="Calendar_Payback" localSheetId="4">'[44]Inc_DCRR by Yr'!$B$62</definedName>
    <definedName name="Calendar_Payback" localSheetId="3">'[44]Inc_DCRR by Yr'!$B$62</definedName>
    <definedName name="Calendar_Payback" localSheetId="2">'[44]Inc_DCRR by Yr'!$B$62</definedName>
    <definedName name="Calendar_Payback" localSheetId="5">'[44]Inc_DCRR by Yr'!$B$62</definedName>
    <definedName name="Calendar_Payback" localSheetId="6">'[44]Inc_DCRR by Yr'!$B$62</definedName>
    <definedName name="Calendar_Payback" localSheetId="7">'[44]Inc_DCRR by Yr'!$B$62</definedName>
    <definedName name="Calendar_Payback" localSheetId="8">'[44]Inc_DCRR by Yr'!$B$62</definedName>
    <definedName name="Calendar_Payback" localSheetId="9">'[44]Inc_DCRR by Yr'!$B$62</definedName>
    <definedName name="Calendar_Payback" localSheetId="10">'[19]Inc_DCRR by Yr'!$B$62</definedName>
    <definedName name="Calendar_Payback">'[33]Inc_DCRR by Yr'!$B$62</definedName>
    <definedName name="CAPACITY" localSheetId="4">#REF!</definedName>
    <definedName name="CAPACITY" localSheetId="3">#REF!</definedName>
    <definedName name="CAPACITY" localSheetId="2">#REF!</definedName>
    <definedName name="CAPACITY" localSheetId="5">#REF!</definedName>
    <definedName name="CAPACITY" localSheetId="6">#REF!</definedName>
    <definedName name="CAPACITY" localSheetId="7">#REF!</definedName>
    <definedName name="CAPACITY" localSheetId="8">#REF!</definedName>
    <definedName name="CAPACITY" localSheetId="9">#REF!</definedName>
    <definedName name="CAPACITY" localSheetId="10">#REF!</definedName>
    <definedName name="CAPACITY" localSheetId="11">#REF!</definedName>
    <definedName name="CAPACITY">#REF!</definedName>
    <definedName name="Carton" localSheetId="4">#REF!</definedName>
    <definedName name="Carton" localSheetId="3">#REF!</definedName>
    <definedName name="Carton" localSheetId="2">#REF!</definedName>
    <definedName name="Carton" localSheetId="5">#REF!</definedName>
    <definedName name="Carton" localSheetId="6">#REF!</definedName>
    <definedName name="Carton" localSheetId="7">#REF!</definedName>
    <definedName name="Carton" localSheetId="8">#REF!</definedName>
    <definedName name="Carton" localSheetId="9">#REF!</definedName>
    <definedName name="Carton" localSheetId="10">#REF!</definedName>
    <definedName name="Carton" localSheetId="11">#REF!</definedName>
    <definedName name="Carton">#REF!</definedName>
    <definedName name="Cash_flow_last_yr" localSheetId="4">'[44]Program Inputs'!$C$18</definedName>
    <definedName name="Cash_flow_last_yr" localSheetId="3">'[44]Program Inputs'!$C$18</definedName>
    <definedName name="Cash_flow_last_yr" localSheetId="2">'[44]Program Inputs'!$C$18</definedName>
    <definedName name="Cash_flow_last_yr" localSheetId="5">'[44]Program Inputs'!$C$18</definedName>
    <definedName name="Cash_flow_last_yr" localSheetId="6">'[44]Program Inputs'!$C$18</definedName>
    <definedName name="Cash_flow_last_yr" localSheetId="7">'[44]Program Inputs'!$C$18</definedName>
    <definedName name="Cash_flow_last_yr" localSheetId="8">'[44]Program Inputs'!$C$18</definedName>
    <definedName name="Cash_flow_last_yr" localSheetId="9">'[44]Program Inputs'!$C$18</definedName>
    <definedName name="Cash_flow_last_yr" localSheetId="10">'[19]Program Inputs'!$C$18</definedName>
    <definedName name="Cash_flow_last_yr">'[33]Program Inputs'!$C$18</definedName>
    <definedName name="Cash_inflow_date" localSheetId="4">'[44]Program Inputs'!$C$19</definedName>
    <definedName name="Cash_inflow_date" localSheetId="3">'[44]Program Inputs'!$C$19</definedName>
    <definedName name="Cash_inflow_date" localSheetId="2">'[44]Program Inputs'!$C$19</definedName>
    <definedName name="Cash_inflow_date" localSheetId="5">'[44]Program Inputs'!$C$19</definedName>
    <definedName name="Cash_inflow_date" localSheetId="6">'[44]Program Inputs'!$C$19</definedName>
    <definedName name="Cash_inflow_date" localSheetId="7">'[44]Program Inputs'!$C$19</definedName>
    <definedName name="Cash_inflow_date" localSheetId="8">'[44]Program Inputs'!$C$19</definedName>
    <definedName name="Cash_inflow_date" localSheetId="9">'[44]Program Inputs'!$C$19</definedName>
    <definedName name="Cash_inflow_date" localSheetId="10">'[19]Program Inputs'!$C$19</definedName>
    <definedName name="Cash_inflow_date">'[33]Program Inputs'!$C$19</definedName>
    <definedName name="Cash_inflow_date_end" localSheetId="4">'[44]Program Inputs'!$C$20</definedName>
    <definedName name="Cash_inflow_date_end" localSheetId="3">'[44]Program Inputs'!$C$20</definedName>
    <definedName name="Cash_inflow_date_end" localSheetId="2">'[44]Program Inputs'!$C$20</definedName>
    <definedName name="Cash_inflow_date_end" localSheetId="5">'[44]Program Inputs'!$C$20</definedName>
    <definedName name="Cash_inflow_date_end" localSheetId="6">'[44]Program Inputs'!$C$20</definedName>
    <definedName name="Cash_inflow_date_end" localSheetId="7">'[44]Program Inputs'!$C$20</definedName>
    <definedName name="Cash_inflow_date_end" localSheetId="8">'[44]Program Inputs'!$C$20</definedName>
    <definedName name="Cash_inflow_date_end" localSheetId="9">'[44]Program Inputs'!$C$20</definedName>
    <definedName name="Cash_inflow_date_end" localSheetId="10">'[19]Program Inputs'!$C$20</definedName>
    <definedName name="Cash_inflow_date_end">'[33]Program Inputs'!$C$20</definedName>
    <definedName name="Cash_inflow_month" localSheetId="4">'[44]Program Inputs'!$C$15</definedName>
    <definedName name="Cash_inflow_month" localSheetId="3">'[44]Program Inputs'!$C$15</definedName>
    <definedName name="Cash_inflow_month" localSheetId="2">'[44]Program Inputs'!$C$15</definedName>
    <definedName name="Cash_inflow_month" localSheetId="5">'[44]Program Inputs'!$C$15</definedName>
    <definedName name="Cash_inflow_month" localSheetId="6">'[44]Program Inputs'!$C$15</definedName>
    <definedName name="Cash_inflow_month" localSheetId="7">'[44]Program Inputs'!$C$15</definedName>
    <definedName name="Cash_inflow_month" localSheetId="8">'[44]Program Inputs'!$C$15</definedName>
    <definedName name="Cash_inflow_month" localSheetId="9">'[44]Program Inputs'!$C$15</definedName>
    <definedName name="Cash_inflow_month" localSheetId="10">'[19]Program Inputs'!$C$15</definedName>
    <definedName name="Cash_inflow_month">'[33]Program Inputs'!$C$15</definedName>
    <definedName name="Cash_inflow_yr" localSheetId="4">'[44]Program Inputs'!$C$14</definedName>
    <definedName name="Cash_inflow_yr" localSheetId="3">'[44]Program Inputs'!$C$14</definedName>
    <definedName name="Cash_inflow_yr" localSheetId="2">'[44]Program Inputs'!$C$14</definedName>
    <definedName name="Cash_inflow_yr" localSheetId="5">'[44]Program Inputs'!$C$14</definedName>
    <definedName name="Cash_inflow_yr" localSheetId="6">'[44]Program Inputs'!$C$14</definedName>
    <definedName name="Cash_inflow_yr" localSheetId="7">'[44]Program Inputs'!$C$14</definedName>
    <definedName name="Cash_inflow_yr" localSheetId="8">'[44]Program Inputs'!$C$14</definedName>
    <definedName name="Cash_inflow_yr" localSheetId="9">'[44]Program Inputs'!$C$14</definedName>
    <definedName name="Cash_inflow_yr" localSheetId="10">'[19]Program Inputs'!$C$14</definedName>
    <definedName name="Cash_inflow_yr">'[33]Program Inputs'!$C$14</definedName>
    <definedName name="cash_outflow_quarter_start" localSheetId="4">'[44]Program Inputs'!$C$11</definedName>
    <definedName name="cash_outflow_quarter_start" localSheetId="3">'[44]Program Inputs'!$C$11</definedName>
    <definedName name="cash_outflow_quarter_start" localSheetId="2">'[44]Program Inputs'!$C$11</definedName>
    <definedName name="cash_outflow_quarter_start" localSheetId="5">'[44]Program Inputs'!$C$11</definedName>
    <definedName name="cash_outflow_quarter_start" localSheetId="6">'[44]Program Inputs'!$C$11</definedName>
    <definedName name="cash_outflow_quarter_start" localSheetId="7">'[44]Program Inputs'!$C$11</definedName>
    <definedName name="cash_outflow_quarter_start" localSheetId="8">'[44]Program Inputs'!$C$11</definedName>
    <definedName name="cash_outflow_quarter_start" localSheetId="9">'[44]Program Inputs'!$C$11</definedName>
    <definedName name="cash_outflow_quarter_start" localSheetId="10">'[19]Program Inputs'!$C$11</definedName>
    <definedName name="cash_outflow_quarter_start">'[33]Program Inputs'!$C$11</definedName>
    <definedName name="Cash_outflow_yr" localSheetId="4">'[44]Program Inputs'!$C$10</definedName>
    <definedName name="Cash_outflow_yr" localSheetId="3">'[44]Program Inputs'!$C$10</definedName>
    <definedName name="Cash_outflow_yr" localSheetId="2">'[44]Program Inputs'!$C$10</definedName>
    <definedName name="Cash_outflow_yr" localSheetId="5">'[44]Program Inputs'!$C$10</definedName>
    <definedName name="Cash_outflow_yr" localSheetId="6">'[44]Program Inputs'!$C$10</definedName>
    <definedName name="Cash_outflow_yr" localSheetId="7">'[44]Program Inputs'!$C$10</definedName>
    <definedName name="Cash_outflow_yr" localSheetId="8">'[44]Program Inputs'!$C$10</definedName>
    <definedName name="Cash_outflow_yr" localSheetId="9">'[44]Program Inputs'!$C$10</definedName>
    <definedName name="Cash_outflow_yr" localSheetId="10">'[19]Program Inputs'!$C$10</definedName>
    <definedName name="Cash_outflow_yr">'[33]Program Inputs'!$C$10</definedName>
    <definedName name="cat" localSheetId="4" hidden="1">{#N/A,#N/A,TRUE,"Distribution";#N/A,#N/A,TRUE,"Fulfillment";#N/A,#N/A,TRUE,"Aged Backorders"}</definedName>
    <definedName name="cat" localSheetId="3" hidden="1">{#N/A,#N/A,TRUE,"Distribution";#N/A,#N/A,TRUE,"Fulfillment";#N/A,#N/A,TRUE,"Aged Backorders"}</definedName>
    <definedName name="cat" localSheetId="2" hidden="1">{#N/A,#N/A,TRUE,"Distribution";#N/A,#N/A,TRUE,"Fulfillment";#N/A,#N/A,TRUE,"Aged Backorders"}</definedName>
    <definedName name="cat" localSheetId="8" hidden="1">{#N/A,#N/A,TRUE,"Distribution";#N/A,#N/A,TRUE,"Fulfillment";#N/A,#N/A,TRUE,"Aged Backorders"}</definedName>
    <definedName name="cat" localSheetId="9" hidden="1">{#N/A,#N/A,TRUE,"Distribution";#N/A,#N/A,TRUE,"Fulfillment";#N/A,#N/A,TRUE,"Aged Backorders"}</definedName>
    <definedName name="cat" localSheetId="10" hidden="1">{#N/A,#N/A,TRUE,"Distribution";#N/A,#N/A,TRUE,"Fulfillment";#N/A,#N/A,TRUE,"Aged Backorders"}</definedName>
    <definedName name="cat" hidden="1">{#N/A,#N/A,TRUE,"Distribution";#N/A,#N/A,TRUE,"Fulfillment";#N/A,#N/A,TRUE,"Aged Backorders"}</definedName>
    <definedName name="category" localSheetId="10">[27]abbr!$D$2:$D$18</definedName>
    <definedName name="category">[36]abbr!$D$2:$D$18</definedName>
    <definedName name="CATIN">#N/A</definedName>
    <definedName name="CATJYOU">#N/A</definedName>
    <definedName name="CATREC">#N/A</definedName>
    <definedName name="CATSYU">#N/A</definedName>
    <definedName name="CB1_END_DD">"2008-05-13"</definedName>
    <definedName name="cbt" localSheetId="4">#REF!</definedName>
    <definedName name="cbt" localSheetId="3">#REF!</definedName>
    <definedName name="cbt" localSheetId="2">#REF!</definedName>
    <definedName name="cbt" localSheetId="5">#REF!</definedName>
    <definedName name="cbt" localSheetId="6">#REF!</definedName>
    <definedName name="cbt" localSheetId="7">#REF!</definedName>
    <definedName name="cbt" localSheetId="8">#REF!</definedName>
    <definedName name="cbt" localSheetId="9">#REF!</definedName>
    <definedName name="cbt" localSheetId="10">#REF!</definedName>
    <definedName name="cbt" localSheetId="11">#REF!</definedName>
    <definedName name="cbt">#REF!</definedName>
    <definedName name="CBT_TEAMS" localSheetId="4">'[13]Cont Cost Var by Month (SII)'!$AV$3:$AX$32</definedName>
    <definedName name="CBT_TEAMS" localSheetId="3">'[13]Cont Cost Var by Month (SII)'!$AV$3:$AX$32</definedName>
    <definedName name="CBT_TEAMS" localSheetId="2">'[13]Cont Cost Var by Month (SII)'!$AV$3:$AX$32</definedName>
    <definedName name="CBT_TEAMS" localSheetId="5">'[13]Cont Cost Var by Month (SII)'!$AV$3:$AX$32</definedName>
    <definedName name="CBT_TEAMS" localSheetId="6">'[13]Cont Cost Var by Month (SII)'!$AV$3:$AX$32</definedName>
    <definedName name="CBT_TEAMS" localSheetId="7">'[13]Cont Cost Var by Month (SII)'!$AV$3:$AX$32</definedName>
    <definedName name="CBT_TEAMS" localSheetId="8">'[77]Cont Cost Var by Month (SII)'!$AV$3:$AX$32</definedName>
    <definedName name="CBT_TEAMS" localSheetId="9">'[77]Cont Cost Var by Month (SII)'!$AV$3:$AX$32</definedName>
    <definedName name="CBT_TEAMS" localSheetId="10">'[8]Cont Cost Var by Month (SII)'!$AV$3:$AX$32</definedName>
    <definedName name="CBT_TEAMS">'[10]Cont Cost Var by Month (SII)'!$AV$3:$AX$32</definedName>
    <definedName name="CC" localSheetId="4">#REF!</definedName>
    <definedName name="CC" localSheetId="3">#REF!</definedName>
    <definedName name="CC" localSheetId="2">#REF!</definedName>
    <definedName name="CC" localSheetId="5">#REF!</definedName>
    <definedName name="CC" localSheetId="6">#REF!</definedName>
    <definedName name="CC" localSheetId="7">#REF!</definedName>
    <definedName name="CC" localSheetId="8">#REF!</definedName>
    <definedName name="CC" localSheetId="9">#REF!</definedName>
    <definedName name="CC" localSheetId="10">#REF!</definedName>
    <definedName name="CC" localSheetId="11">#REF!</definedName>
    <definedName name="CC">#REF!</definedName>
    <definedName name="ccc" localSheetId="4" hidden="1">{#N/A,#N/A,TRUE,"Distribution";#N/A,#N/A,TRUE,"Fulfillment";#N/A,#N/A,TRUE,"Aged Backorders"}</definedName>
    <definedName name="ccc" localSheetId="3" hidden="1">{#N/A,#N/A,TRUE,"Distribution";#N/A,#N/A,TRUE,"Fulfillment";#N/A,#N/A,TRUE,"Aged Backorders"}</definedName>
    <definedName name="ccc" localSheetId="2" hidden="1">{#N/A,#N/A,TRUE,"Distribution";#N/A,#N/A,TRUE,"Fulfillment";#N/A,#N/A,TRUE,"Aged Backorders"}</definedName>
    <definedName name="ccc" localSheetId="8" hidden="1">{#N/A,#N/A,TRUE,"Distribution";#N/A,#N/A,TRUE,"Fulfillment";#N/A,#N/A,TRUE,"Aged Backorders"}</definedName>
    <definedName name="ccc" localSheetId="9" hidden="1">{#N/A,#N/A,TRUE,"Distribution";#N/A,#N/A,TRUE,"Fulfillment";#N/A,#N/A,TRUE,"Aged Backorders"}</definedName>
    <definedName name="ccc" localSheetId="10" hidden="1">{#N/A,#N/A,TRUE,"Distribution";#N/A,#N/A,TRUE,"Fulfillment";#N/A,#N/A,TRUE,"Aged Backorders"}</definedName>
    <definedName name="ccc" hidden="1">{#N/A,#N/A,TRUE,"Distribution";#N/A,#N/A,TRUE,"Fulfillment";#N/A,#N/A,TRUE,"Aged Backorders"}</definedName>
    <definedName name="CcyLabel" localSheetId="4">[48]Instructions!$D$10</definedName>
    <definedName name="CcyLabel" localSheetId="3">[48]Instructions!$D$10</definedName>
    <definedName name="CcyLabel" localSheetId="2">[48]Instructions!$D$10</definedName>
    <definedName name="CcyLabel" localSheetId="5">[48]Instructions!$D$10</definedName>
    <definedName name="CcyLabel" localSheetId="6">[48]Instructions!$D$10</definedName>
    <definedName name="CcyLabel" localSheetId="7">[48]Instructions!$D$10</definedName>
    <definedName name="CcyLabel" localSheetId="8">[48]Instructions!$D$10</definedName>
    <definedName name="CcyLabel" localSheetId="9">[48]Instructions!$D$10</definedName>
    <definedName name="CcyLabel" localSheetId="10">[28]Instructions!$D$10</definedName>
    <definedName name="CcyLabel">[37]Instructions!$D$10</definedName>
    <definedName name="cents" localSheetId="4">[13]Table1!$A$1:$B$37</definedName>
    <definedName name="cents" localSheetId="3">[13]Table1!$A$1:$B$37</definedName>
    <definedName name="cents" localSheetId="2">[13]Table1!$A$1:$B$37</definedName>
    <definedName name="cents" localSheetId="5">[13]Table1!$A$1:$B$37</definedName>
    <definedName name="cents" localSheetId="6">[13]Table1!$A$1:$B$37</definedName>
    <definedName name="cents" localSheetId="7">[13]Table1!$A$1:$B$37</definedName>
    <definedName name="cents" localSheetId="8">[77]Table1!$A$1:$B$37</definedName>
    <definedName name="cents" localSheetId="9">[77]Table1!$A$1:$B$37</definedName>
    <definedName name="cents" localSheetId="10">[8]Table1!$A$1:$B$37</definedName>
    <definedName name="cents">[10]Table1!$A$1:$B$37</definedName>
    <definedName name="ch" localSheetId="4" hidden="1">{#N/A,#N/A,TRUE,"Distribution";#N/A,#N/A,TRUE,"Fulfillment";#N/A,#N/A,TRUE,"Aged Backorders"}</definedName>
    <definedName name="ch" localSheetId="3" hidden="1">{#N/A,#N/A,TRUE,"Distribution";#N/A,#N/A,TRUE,"Fulfillment";#N/A,#N/A,TRUE,"Aged Backorders"}</definedName>
    <definedName name="ch" localSheetId="2" hidden="1">{#N/A,#N/A,TRUE,"Distribution";#N/A,#N/A,TRUE,"Fulfillment";#N/A,#N/A,TRUE,"Aged Backorders"}</definedName>
    <definedName name="ch" localSheetId="8" hidden="1">{#N/A,#N/A,TRUE,"Distribution";#N/A,#N/A,TRUE,"Fulfillment";#N/A,#N/A,TRUE,"Aged Backorders"}</definedName>
    <definedName name="ch" localSheetId="9" hidden="1">{#N/A,#N/A,TRUE,"Distribution";#N/A,#N/A,TRUE,"Fulfillment";#N/A,#N/A,TRUE,"Aged Backorders"}</definedName>
    <definedName name="ch" localSheetId="10" hidden="1">{#N/A,#N/A,TRUE,"Distribution";#N/A,#N/A,TRUE,"Fulfillment";#N/A,#N/A,TRUE,"Aged Backorders"}</definedName>
    <definedName name="ch" hidden="1">{#N/A,#N/A,TRUE,"Distribution";#N/A,#N/A,TRUE,"Fulfillment";#N/A,#N/A,TRUE,"Aged Backorders"}</definedName>
    <definedName name="Chargeable" localSheetId="4">#REF!</definedName>
    <definedName name="Chargeable" localSheetId="3">#REF!</definedName>
    <definedName name="Chargeable" localSheetId="2">#REF!</definedName>
    <definedName name="Chargeable" localSheetId="5">#REF!</definedName>
    <definedName name="Chargeable" localSheetId="6">#REF!</definedName>
    <definedName name="Chargeable" localSheetId="7">#REF!</definedName>
    <definedName name="Chargeable" localSheetId="8">#REF!</definedName>
    <definedName name="Chargeable" localSheetId="9">#REF!</definedName>
    <definedName name="Chargeable" localSheetId="10">#REF!</definedName>
    <definedName name="Chargeable" localSheetId="11">#REF!</definedName>
    <definedName name="Chargeable">#REF!</definedName>
    <definedName name="Check" localSheetId="4">[39]產品基本信息!#REF!</definedName>
    <definedName name="Check" localSheetId="3">[39]產品基本信息!#REF!</definedName>
    <definedName name="Check" localSheetId="2">[39]產品基本信息!#REF!</definedName>
    <definedName name="Check" localSheetId="5">[39]產品基本信息!#REF!</definedName>
    <definedName name="Check" localSheetId="6">[39]產品基本信息!#REF!</definedName>
    <definedName name="Check" localSheetId="7">[39]產品基本信息!#REF!</definedName>
    <definedName name="Check" localSheetId="10">[86]產品基本信息!#REF!</definedName>
    <definedName name="Check">[30]產品基本信息!#REF!</definedName>
    <definedName name="CHJ" localSheetId="4">#REF!</definedName>
    <definedName name="CHJ" localSheetId="3">#REF!</definedName>
    <definedName name="CHJ" localSheetId="2">#REF!</definedName>
    <definedName name="CHJ" localSheetId="5">#REF!</definedName>
    <definedName name="CHJ" localSheetId="6">#REF!</definedName>
    <definedName name="CHJ" localSheetId="7">#REF!</definedName>
    <definedName name="CHJ" localSheetId="8">#REF!</definedName>
    <definedName name="CHJ" localSheetId="9">#REF!</definedName>
    <definedName name="CHJ" localSheetId="10">#REF!</definedName>
    <definedName name="CHJ" localSheetId="11">#REF!</definedName>
    <definedName name="CHJ">#REF!</definedName>
    <definedName name="cht" localSheetId="4" hidden="1">{#N/A,#N/A,TRUE,"Distribution";#N/A,#N/A,TRUE,"Fulfillment";#N/A,#N/A,TRUE,"Aged Backorders"}</definedName>
    <definedName name="cht" localSheetId="3" hidden="1">{#N/A,#N/A,TRUE,"Distribution";#N/A,#N/A,TRUE,"Fulfillment";#N/A,#N/A,TRUE,"Aged Backorders"}</definedName>
    <definedName name="cht" localSheetId="2" hidden="1">{#N/A,#N/A,TRUE,"Distribution";#N/A,#N/A,TRUE,"Fulfillment";#N/A,#N/A,TRUE,"Aged Backorders"}</definedName>
    <definedName name="cht" localSheetId="8" hidden="1">{#N/A,#N/A,TRUE,"Distribution";#N/A,#N/A,TRUE,"Fulfillment";#N/A,#N/A,TRUE,"Aged Backorders"}</definedName>
    <definedName name="cht" localSheetId="9" hidden="1">{#N/A,#N/A,TRUE,"Distribution";#N/A,#N/A,TRUE,"Fulfillment";#N/A,#N/A,TRUE,"Aged Backorders"}</definedName>
    <definedName name="cht" localSheetId="10" hidden="1">{#N/A,#N/A,TRUE,"Distribution";#N/A,#N/A,TRUE,"Fulfillment";#N/A,#N/A,TRUE,"Aged Backorders"}</definedName>
    <definedName name="cht" hidden="1">{#N/A,#N/A,TRUE,"Distribution";#N/A,#N/A,TRUE,"Fulfillment";#N/A,#N/A,TRUE,"Aged Backorders"}</definedName>
    <definedName name="chy" localSheetId="4" hidden="1">{#N/A,#N/A,TRUE,"Distribution";#N/A,#N/A,TRUE,"Fulfillment";#N/A,#N/A,TRUE,"Aged Backorders"}</definedName>
    <definedName name="chy" localSheetId="3" hidden="1">{#N/A,#N/A,TRUE,"Distribution";#N/A,#N/A,TRUE,"Fulfillment";#N/A,#N/A,TRUE,"Aged Backorders"}</definedName>
    <definedName name="chy" localSheetId="2" hidden="1">{#N/A,#N/A,TRUE,"Distribution";#N/A,#N/A,TRUE,"Fulfillment";#N/A,#N/A,TRUE,"Aged Backorders"}</definedName>
    <definedName name="chy" localSheetId="8" hidden="1">{#N/A,#N/A,TRUE,"Distribution";#N/A,#N/A,TRUE,"Fulfillment";#N/A,#N/A,TRUE,"Aged Backorders"}</definedName>
    <definedName name="chy" localSheetId="9" hidden="1">{#N/A,#N/A,TRUE,"Distribution";#N/A,#N/A,TRUE,"Fulfillment";#N/A,#N/A,TRUE,"Aged Backorders"}</definedName>
    <definedName name="chy" localSheetId="10" hidden="1">{#N/A,#N/A,TRUE,"Distribution";#N/A,#N/A,TRUE,"Fulfillment";#N/A,#N/A,TRUE,"Aged Backorders"}</definedName>
    <definedName name="chy" hidden="1">{#N/A,#N/A,TRUE,"Distribution";#N/A,#N/A,TRUE,"Fulfillment";#N/A,#N/A,TRUE,"Aged Backorders"}</definedName>
    <definedName name="CI" localSheetId="4">#REF!</definedName>
    <definedName name="CI" localSheetId="3">#REF!</definedName>
    <definedName name="CI" localSheetId="2">#REF!</definedName>
    <definedName name="CI" localSheetId="5">#REF!</definedName>
    <definedName name="CI" localSheetId="6">#REF!</definedName>
    <definedName name="CI" localSheetId="7">#REF!</definedName>
    <definedName name="CI" localSheetId="8">#REF!</definedName>
    <definedName name="CI" localSheetId="9">#REF!</definedName>
    <definedName name="CI" localSheetId="10">#REF!</definedName>
    <definedName name="CI" localSheetId="11">#REF!</definedName>
    <definedName name="CI">#REF!</definedName>
    <definedName name="CI_Enterprise_Business" localSheetId="4">[49]LOV!#REF!</definedName>
    <definedName name="CI_Enterprise_Business" localSheetId="3">[49]LOV!#REF!</definedName>
    <definedName name="CI_Enterprise_Business" localSheetId="2">[49]LOV!#REF!</definedName>
    <definedName name="CI_Enterprise_Business" localSheetId="5">[49]LOV!#REF!</definedName>
    <definedName name="CI_Enterprise_Business" localSheetId="6">[49]LOV!#REF!</definedName>
    <definedName name="CI_Enterprise_Business" localSheetId="7">[49]LOV!#REF!</definedName>
    <definedName name="CI_Enterprise_Business" localSheetId="8">[50]LOV!#REF!</definedName>
    <definedName name="CI_Enterprise_Business" localSheetId="9">[50]LOV!#REF!</definedName>
    <definedName name="CI_Enterprise_Business" localSheetId="10">[89]LOV!#REF!</definedName>
    <definedName name="CI_Enterprise_Business">[38]LOV!#REF!</definedName>
    <definedName name="CIa" localSheetId="4">[76]APJSum!$A$607</definedName>
    <definedName name="CIa" localSheetId="3">[76]APJSum!$A$607</definedName>
    <definedName name="CIa" localSheetId="2">[76]APJSum!$A$607</definedName>
    <definedName name="CIa" localSheetId="5">[76]APJSum!$A$607</definedName>
    <definedName name="CIa" localSheetId="6">[76]APJSum!$A$607</definedName>
    <definedName name="CIa" localSheetId="7">[76]APJSum!$A$607</definedName>
    <definedName name="CIa" localSheetId="10">[25]APJSum!$A$607</definedName>
    <definedName name="CIa">[32]APJSum!$A$607</definedName>
    <definedName name="CIame" localSheetId="4">[76]AmeSum!$A$607</definedName>
    <definedName name="CIame" localSheetId="3">[76]AmeSum!$A$607</definedName>
    <definedName name="CIame" localSheetId="2">[76]AmeSum!$A$607</definedName>
    <definedName name="CIame" localSheetId="5">[76]AmeSum!$A$607</definedName>
    <definedName name="CIame" localSheetId="6">[76]AmeSum!$A$607</definedName>
    <definedName name="CIame" localSheetId="7">[76]AmeSum!$A$607</definedName>
    <definedName name="CIame" localSheetId="10">[25]AmeSum!$A$607</definedName>
    <definedName name="CIame">[32]AmeSum!$A$607</definedName>
    <definedName name="CIAP" localSheetId="10">[21]AmeSum!#REF!</definedName>
    <definedName name="CIAP">[34]AmeSum!#REF!</definedName>
    <definedName name="ciasp" localSheetId="4">#REF!</definedName>
    <definedName name="ciasp" localSheetId="3">#REF!</definedName>
    <definedName name="ciasp" localSheetId="2">#REF!</definedName>
    <definedName name="ciasp" localSheetId="5">#REF!</definedName>
    <definedName name="ciasp" localSheetId="6">#REF!</definedName>
    <definedName name="ciasp" localSheetId="7">#REF!</definedName>
    <definedName name="ciasp" localSheetId="8">#REF!</definedName>
    <definedName name="ciasp" localSheetId="9">#REF!</definedName>
    <definedName name="ciasp" localSheetId="10">#REF!</definedName>
    <definedName name="ciasp" localSheetId="11">#REF!</definedName>
    <definedName name="ciasp">#REF!</definedName>
    <definedName name="CIe" localSheetId="4">[76]EMEASum!$A$607</definedName>
    <definedName name="CIe" localSheetId="3">[76]EMEASum!$A$607</definedName>
    <definedName name="CIe" localSheetId="2">[76]EMEASum!$A$607</definedName>
    <definedName name="CIe" localSheetId="5">[76]EMEASum!$A$607</definedName>
    <definedName name="CIe" localSheetId="6">[76]EMEASum!$A$607</definedName>
    <definedName name="CIe" localSheetId="7">[76]EMEASum!$A$607</definedName>
    <definedName name="CIe" localSheetId="10">[25]EMEASum!$A$607</definedName>
    <definedName name="CIe">[32]EMEASum!$A$607</definedName>
    <definedName name="CIEMEA" localSheetId="10">[21]AmeSum!#REF!</definedName>
    <definedName name="CIEMEA">[34]AmeSum!#REF!</definedName>
    <definedName name="CIh" localSheetId="4">[76]HPCoSum!$A$607</definedName>
    <definedName name="CIh" localSheetId="3">[76]HPCoSum!$A$607</definedName>
    <definedName name="CIh" localSheetId="2">[76]HPCoSum!$A$607</definedName>
    <definedName name="CIh" localSheetId="5">[76]HPCoSum!$A$607</definedName>
    <definedName name="CIh" localSheetId="6">[76]HPCoSum!$A$607</definedName>
    <definedName name="CIh" localSheetId="7">[76]HPCoSum!$A$607</definedName>
    <definedName name="CIh" localSheetId="10">[25]HPCoSum!$A$607</definedName>
    <definedName name="CIh">[32]HPCoSum!$A$607</definedName>
    <definedName name="CIHPCo" localSheetId="10">[21]AmeSum!#REF!</definedName>
    <definedName name="CIHPCo">[34]AmeSum!#REF!</definedName>
    <definedName name="CIJP" localSheetId="10">[21]AmeSum!#REF!</definedName>
    <definedName name="CIJP">[34]AmeSum!#REF!</definedName>
    <definedName name="CIo" localSheetId="4">[76]OGSum!$A$607</definedName>
    <definedName name="CIo" localSheetId="3">[76]OGSum!$A$607</definedName>
    <definedName name="CIo" localSheetId="2">[76]OGSum!$A$607</definedName>
    <definedName name="CIo" localSheetId="5">[76]OGSum!$A$607</definedName>
    <definedName name="CIo" localSheetId="6">[76]OGSum!$A$607</definedName>
    <definedName name="CIo" localSheetId="7">[76]OGSum!$A$607</definedName>
    <definedName name="CIo" localSheetId="10">[25]OGSum!$A$607</definedName>
    <definedName name="CIo">[32]OGSum!$A$607</definedName>
    <definedName name="CIOG" localSheetId="10">[21]AmeSum!#REF!</definedName>
    <definedName name="CIOG">[34]AmeSum!#REF!</definedName>
    <definedName name="circle" localSheetId="4">#REF!</definedName>
    <definedName name="circle" localSheetId="3">#REF!</definedName>
    <definedName name="circle" localSheetId="2">#REF!</definedName>
    <definedName name="circle" localSheetId="5">#REF!</definedName>
    <definedName name="circle" localSheetId="6">#REF!</definedName>
    <definedName name="circle" localSheetId="7">#REF!</definedName>
    <definedName name="circle" localSheetId="8">#REF!</definedName>
    <definedName name="circle" localSheetId="9">#REF!</definedName>
    <definedName name="circle" localSheetId="10">#REF!</definedName>
    <definedName name="circle" localSheetId="11">#REF!</definedName>
    <definedName name="circle">#REF!</definedName>
    <definedName name="cirestat" localSheetId="4">#REF!</definedName>
    <definedName name="cirestat" localSheetId="3">#REF!</definedName>
    <definedName name="cirestat" localSheetId="2">#REF!</definedName>
    <definedName name="cirestat" localSheetId="5">#REF!</definedName>
    <definedName name="cirestat" localSheetId="6">#REF!</definedName>
    <definedName name="cirestat" localSheetId="7">#REF!</definedName>
    <definedName name="cirestat" localSheetId="8">#REF!</definedName>
    <definedName name="cirestat" localSheetId="9">#REF!</definedName>
    <definedName name="cirestat" localSheetId="10">#REF!</definedName>
    <definedName name="cirestat" localSheetId="11">#REF!</definedName>
    <definedName name="cirestat">#REF!</definedName>
    <definedName name="CIw" localSheetId="4">#REF!</definedName>
    <definedName name="CIw" localSheetId="3">#REF!</definedName>
    <definedName name="CIw" localSheetId="2">#REF!</definedName>
    <definedName name="CIw" localSheetId="5">#REF!</definedName>
    <definedName name="CIw" localSheetId="6">#REF!</definedName>
    <definedName name="CIw" localSheetId="7">#REF!</definedName>
    <definedName name="CIw" localSheetId="8">#REF!</definedName>
    <definedName name="CIw" localSheetId="9">#REF!</definedName>
    <definedName name="CIw" localSheetId="10">#REF!</definedName>
    <definedName name="CIw" localSheetId="11">#REF!</definedName>
    <definedName name="CIw">#REF!</definedName>
    <definedName name="CL" localSheetId="4">#REF!</definedName>
    <definedName name="CL" localSheetId="3">#REF!</definedName>
    <definedName name="CL" localSheetId="2">#REF!</definedName>
    <definedName name="CL" localSheetId="5">#REF!</definedName>
    <definedName name="CL" localSheetId="6">#REF!</definedName>
    <definedName name="CL" localSheetId="7">#REF!</definedName>
    <definedName name="CL" localSheetId="8">#REF!</definedName>
    <definedName name="CL" localSheetId="9">#REF!</definedName>
    <definedName name="CL" localSheetId="10">#REF!</definedName>
    <definedName name="CL" localSheetId="11">#REF!</definedName>
    <definedName name="CL">#REF!</definedName>
    <definedName name="Class" localSheetId="4">#REF!</definedName>
    <definedName name="Class" localSheetId="3">#REF!</definedName>
    <definedName name="Class" localSheetId="2">#REF!</definedName>
    <definedName name="Class" localSheetId="5">#REF!</definedName>
    <definedName name="Class" localSheetId="6">#REF!</definedName>
    <definedName name="Class" localSheetId="7">#REF!</definedName>
    <definedName name="Class" localSheetId="8">#REF!</definedName>
    <definedName name="Class" localSheetId="9">#REF!</definedName>
    <definedName name="Class" localSheetId="10">#REF!</definedName>
    <definedName name="Class" localSheetId="11">#REF!</definedName>
    <definedName name="Class">#REF!</definedName>
    <definedName name="CLVC3">0.1</definedName>
    <definedName name="Co_Code_in_CoNo" localSheetId="4">#REF!</definedName>
    <definedName name="Co_Code_in_CoNo" localSheetId="3">#REF!</definedName>
    <definedName name="Co_Code_in_CoNo" localSheetId="2">#REF!</definedName>
    <definedName name="Co_Code_in_CoNo" localSheetId="5">#REF!</definedName>
    <definedName name="Co_Code_in_CoNo" localSheetId="6">#REF!</definedName>
    <definedName name="Co_Code_in_CoNo" localSheetId="7">#REF!</definedName>
    <definedName name="Co_Code_in_CoNo" localSheetId="8">#REF!</definedName>
    <definedName name="Co_Code_in_CoNo" localSheetId="9">#REF!</definedName>
    <definedName name="Co_Code_in_CoNo" localSheetId="10">#REF!</definedName>
    <definedName name="Co_Code_in_CoNo" localSheetId="11">#REF!</definedName>
    <definedName name="Co_Code_in_CoNo">#REF!</definedName>
    <definedName name="coefficient" localSheetId="4">[51]SUM14ZC1!#REF!</definedName>
    <definedName name="coefficient" localSheetId="3">[51]SUM14ZC1!#REF!</definedName>
    <definedName name="coefficient" localSheetId="2">[51]SUM14ZC1!#REF!</definedName>
    <definedName name="coefficient" localSheetId="5">[51]SUM14ZC1!#REF!</definedName>
    <definedName name="coefficient" localSheetId="6">[51]SUM14ZC1!#REF!</definedName>
    <definedName name="coefficient" localSheetId="7">[51]SUM14ZC1!#REF!</definedName>
    <definedName name="coefficient" localSheetId="8">[51]SUM14ZC1!#REF!</definedName>
    <definedName name="coefficient" localSheetId="9">[51]SUM14ZC1!#REF!</definedName>
    <definedName name="coefficient" localSheetId="10">[72]SUM14ZC1!#REF!</definedName>
    <definedName name="coefficient">[39]SUM14ZC1!#REF!</definedName>
    <definedName name="COLUMNS10">#N/A</definedName>
    <definedName name="CometASPIRETable" localSheetId="4">'[52]3D ASPIRE Table'!$E$2:$P$182</definedName>
    <definedName name="CometASPIRETable" localSheetId="3">'[52]3D ASPIRE Table'!$E$2:$P$182</definedName>
    <definedName name="CometASPIRETable" localSheetId="2">'[52]3D ASPIRE Table'!$E$2:$P$182</definedName>
    <definedName name="CometASPIRETable" localSheetId="5">'[52]3D ASPIRE Table'!$E$2:$P$182</definedName>
    <definedName name="CometASPIRETable" localSheetId="6">'[52]3D ASPIRE Table'!$E$2:$P$182</definedName>
    <definedName name="CometASPIRETable" localSheetId="7">'[52]3D ASPIRE Table'!$E$2:$P$182</definedName>
    <definedName name="CometASPIRETable" localSheetId="8">'[52]3D ASPIRE Table'!$E$2:$P$182</definedName>
    <definedName name="CometASPIRETable" localSheetId="9">'[52]3D ASPIRE Table'!$E$2:$P$182</definedName>
    <definedName name="CometASPIRETable" localSheetId="10">'[73]3D ASPIRE Table'!$E$2:$P$182</definedName>
    <definedName name="CometASPIRETable">'[40]3D ASPIRE Table'!$E$2:$P$182</definedName>
    <definedName name="CometPull" localSheetId="4">#REF!</definedName>
    <definedName name="CometPull" localSheetId="3">#REF!</definedName>
    <definedName name="CometPull" localSheetId="2">#REF!</definedName>
    <definedName name="CometPull" localSheetId="5">#REF!</definedName>
    <definedName name="CometPull" localSheetId="6">#REF!</definedName>
    <definedName name="CometPull" localSheetId="7">#REF!</definedName>
    <definedName name="CometPull" localSheetId="8">#REF!</definedName>
    <definedName name="CometPull" localSheetId="9">#REF!</definedName>
    <definedName name="CometPull" localSheetId="10">#REF!</definedName>
    <definedName name="CometPull" localSheetId="11">#REF!</definedName>
    <definedName name="CometPull">#REF!</definedName>
    <definedName name="COMP" localSheetId="4">'[64]FA-LISTING'!#REF!</definedName>
    <definedName name="COMP" localSheetId="3">'[64]FA-LISTING'!#REF!</definedName>
    <definedName name="COMP" localSheetId="2">'[64]FA-LISTING'!#REF!</definedName>
    <definedName name="COMP" localSheetId="5">'[64]FA-LISTING'!#REF!</definedName>
    <definedName name="COMP" localSheetId="6">'[64]FA-LISTING'!#REF!</definedName>
    <definedName name="COMP" localSheetId="7">'[64]FA-LISTING'!#REF!</definedName>
    <definedName name="COMP" localSheetId="8">'[2]FA-LISTING'!#REF!</definedName>
    <definedName name="COMP" localSheetId="9">'[2]FA-LISTING'!#REF!</definedName>
    <definedName name="COMP" localSheetId="10">'[2]FA-LISTING'!#REF!</definedName>
    <definedName name="COMP">'[1]FA-LISTING'!#REF!</definedName>
    <definedName name="Comp_Cap" localSheetId="4">#REF!</definedName>
    <definedName name="Comp_Cap" localSheetId="3">#REF!</definedName>
    <definedName name="Comp_Cap" localSheetId="2">#REF!</definedName>
    <definedName name="Comp_Cap" localSheetId="5">#REF!</definedName>
    <definedName name="Comp_Cap" localSheetId="6">#REF!</definedName>
    <definedName name="Comp_Cap" localSheetId="7">#REF!</definedName>
    <definedName name="Comp_Cap" localSheetId="8">#REF!</definedName>
    <definedName name="Comp_Cap" localSheetId="9">#REF!</definedName>
    <definedName name="Comp_Cap" localSheetId="10">#REF!</definedName>
    <definedName name="Comp_Cap" localSheetId="11">#REF!</definedName>
    <definedName name="Comp_Cap">#REF!</definedName>
    <definedName name="Comp_Pow" localSheetId="4">#REF!</definedName>
    <definedName name="Comp_Pow" localSheetId="3">#REF!</definedName>
    <definedName name="Comp_Pow" localSheetId="2">#REF!</definedName>
    <definedName name="Comp_Pow" localSheetId="5">#REF!</definedName>
    <definedName name="Comp_Pow" localSheetId="6">#REF!</definedName>
    <definedName name="Comp_Pow" localSheetId="7">#REF!</definedName>
    <definedName name="Comp_Pow" localSheetId="8">#REF!</definedName>
    <definedName name="Comp_Pow" localSheetId="9">#REF!</definedName>
    <definedName name="Comp_Pow" localSheetId="10">#REF!</definedName>
    <definedName name="Comp_Pow" localSheetId="11">#REF!</definedName>
    <definedName name="Comp_Pow">#REF!</definedName>
    <definedName name="company" localSheetId="5">[53]公司!$A$1:$B$721</definedName>
    <definedName name="company" localSheetId="6">[53]公司!$A$1:$B$721</definedName>
    <definedName name="company" localSheetId="7">[53]公司!$A$1:$B$721</definedName>
    <definedName name="company" localSheetId="8">[53]公司!$A$1:$B$721</definedName>
    <definedName name="company" localSheetId="9">[53]公司!$A$1:$B$721</definedName>
    <definedName name="company" localSheetId="10">[74]公司!$A$1:$B$721</definedName>
    <definedName name="company">[41]公司!$A$1:$B$721</definedName>
    <definedName name="Company_Code" localSheetId="4">#REF!</definedName>
    <definedName name="Company_Code" localSheetId="3">#REF!</definedName>
    <definedName name="Company_Code" localSheetId="2">#REF!</definedName>
    <definedName name="Company_Code" localSheetId="5">#REF!</definedName>
    <definedName name="Company_Code" localSheetId="6">#REF!</definedName>
    <definedName name="Company_Code" localSheetId="7">#REF!</definedName>
    <definedName name="Company_Code" localSheetId="8">#REF!</definedName>
    <definedName name="Company_Code" localSheetId="9">#REF!</definedName>
    <definedName name="Company_Code" localSheetId="10">#REF!</definedName>
    <definedName name="Company_Code" localSheetId="11">#REF!</definedName>
    <definedName name="Company_Code">#REF!</definedName>
    <definedName name="Compressors" localSheetId="4">#REF!</definedName>
    <definedName name="Compressors" localSheetId="3">#REF!</definedName>
    <definedName name="Compressors" localSheetId="2">#REF!</definedName>
    <definedName name="Compressors" localSheetId="5">#REF!</definedName>
    <definedName name="Compressors" localSheetId="6">#REF!</definedName>
    <definedName name="Compressors" localSheetId="7">#REF!</definedName>
    <definedName name="Compressors" localSheetId="8">#REF!</definedName>
    <definedName name="Compressors" localSheetId="9">#REF!</definedName>
    <definedName name="Compressors" localSheetId="10">#REF!</definedName>
    <definedName name="Compressors" localSheetId="11">#REF!</definedName>
    <definedName name="Compressors">#REF!</definedName>
    <definedName name="Consol_Time" localSheetId="8">[54]FP!$F$17</definedName>
    <definedName name="Consol_Time" localSheetId="9">[54]FP!$F$17</definedName>
    <definedName name="Consol_Time" localSheetId="10">[90]FP!$F$17</definedName>
    <definedName name="Consol_Time">[42]FP!$F$17</definedName>
    <definedName name="Const_D4" localSheetId="4">#REF!</definedName>
    <definedName name="Const_D4" localSheetId="3">#REF!</definedName>
    <definedName name="Const_D4" localSheetId="2">#REF!</definedName>
    <definedName name="Const_D4" localSheetId="5">#REF!</definedName>
    <definedName name="Const_D4" localSheetId="6">#REF!</definedName>
    <definedName name="Const_D4" localSheetId="7">#REF!</definedName>
    <definedName name="Const_D4" localSheetId="8">#REF!</definedName>
    <definedName name="Const_D4" localSheetId="9">#REF!</definedName>
    <definedName name="Const_D4" localSheetId="10">#REF!</definedName>
    <definedName name="Const_D4" localSheetId="11">#REF!</definedName>
    <definedName name="Const_D4">#REF!</definedName>
    <definedName name="Const_K1" localSheetId="4">#REF!</definedName>
    <definedName name="Const_K1" localSheetId="3">#REF!</definedName>
    <definedName name="Const_K1" localSheetId="2">#REF!</definedName>
    <definedName name="Const_K1" localSheetId="5">#REF!</definedName>
    <definedName name="Const_K1" localSheetId="6">#REF!</definedName>
    <definedName name="Const_K1" localSheetId="7">#REF!</definedName>
    <definedName name="Const_K1" localSheetId="8">#REF!</definedName>
    <definedName name="Const_K1" localSheetId="9">#REF!</definedName>
    <definedName name="Const_K1" localSheetId="10">#REF!</definedName>
    <definedName name="Const_K1" localSheetId="11">#REF!</definedName>
    <definedName name="Const_K1">#REF!</definedName>
    <definedName name="Const_K2" localSheetId="4">#REF!</definedName>
    <definedName name="Const_K2" localSheetId="3">#REF!</definedName>
    <definedName name="Const_K2" localSheetId="2">#REF!</definedName>
    <definedName name="Const_K2" localSheetId="5">#REF!</definedName>
    <definedName name="Const_K2" localSheetId="6">#REF!</definedName>
    <definedName name="Const_K2" localSheetId="7">#REF!</definedName>
    <definedName name="Const_K2" localSheetId="8">#REF!</definedName>
    <definedName name="Const_K2" localSheetId="9">#REF!</definedName>
    <definedName name="Const_K2" localSheetId="10">#REF!</definedName>
    <definedName name="Const_K2" localSheetId="11">#REF!</definedName>
    <definedName name="Const_K2">#REF!</definedName>
    <definedName name="Const_K3" localSheetId="4">#REF!</definedName>
    <definedName name="Const_K3" localSheetId="3">#REF!</definedName>
    <definedName name="Const_K3" localSheetId="2">#REF!</definedName>
    <definedName name="Const_K3" localSheetId="5">#REF!</definedName>
    <definedName name="Const_K3" localSheetId="6">#REF!</definedName>
    <definedName name="Const_K3" localSheetId="7">#REF!</definedName>
    <definedName name="Const_K3" localSheetId="8">#REF!</definedName>
    <definedName name="Const_K3" localSheetId="9">#REF!</definedName>
    <definedName name="Const_K3" localSheetId="10">#REF!</definedName>
    <definedName name="Const_K3" localSheetId="11">#REF!</definedName>
    <definedName name="Const_K3">#REF!</definedName>
    <definedName name="Constants" localSheetId="4">#REF!</definedName>
    <definedName name="Constants" localSheetId="3">#REF!</definedName>
    <definedName name="Constants" localSheetId="2">#REF!</definedName>
    <definedName name="Constants" localSheetId="5">#REF!</definedName>
    <definedName name="Constants" localSheetId="6">#REF!</definedName>
    <definedName name="Constants" localSheetId="7">#REF!</definedName>
    <definedName name="Constants" localSheetId="8">#REF!</definedName>
    <definedName name="Constants" localSheetId="9">#REF!</definedName>
    <definedName name="Constants" localSheetId="10">#REF!</definedName>
    <definedName name="Constants" localSheetId="11">#REF!</definedName>
    <definedName name="Constants">#REF!</definedName>
    <definedName name="Corporate_Reporting" localSheetId="4">#REF!</definedName>
    <definedName name="Corporate_Reporting" localSheetId="3">#REF!</definedName>
    <definedName name="Corporate_Reporting" localSheetId="2">#REF!</definedName>
    <definedName name="Corporate_Reporting" localSheetId="5">#REF!</definedName>
    <definedName name="Corporate_Reporting" localSheetId="6">#REF!</definedName>
    <definedName name="Corporate_Reporting" localSheetId="7">#REF!</definedName>
    <definedName name="Corporate_Reporting" localSheetId="8">#REF!</definedName>
    <definedName name="Corporate_Reporting" localSheetId="9">#REF!</definedName>
    <definedName name="Corporate_Reporting" localSheetId="10">#REF!</definedName>
    <definedName name="Corporate_Reporting" localSheetId="11">#REF!</definedName>
    <definedName name="Corporate_Reporting">#REF!</definedName>
    <definedName name="COS" localSheetId="8">[54]COS1!$A$10:$L$40</definedName>
    <definedName name="COS" localSheetId="9">[54]COS1!$A$10:$L$40</definedName>
    <definedName name="COS" localSheetId="10">[90]COS1!$A$10:$L$40</definedName>
    <definedName name="COS">[42]COS1!$A$10:$L$40</definedName>
    <definedName name="Cost_of_Capital" localSheetId="4">'[44]Fixed calculations'!$O$2</definedName>
    <definedName name="Cost_of_Capital" localSheetId="3">'[44]Fixed calculations'!$O$2</definedName>
    <definedName name="Cost_of_Capital" localSheetId="2">'[44]Fixed calculations'!$O$2</definedName>
    <definedName name="Cost_of_Capital" localSheetId="5">'[44]Fixed calculations'!$O$2</definedName>
    <definedName name="Cost_of_Capital" localSheetId="6">'[44]Fixed calculations'!$O$2</definedName>
    <definedName name="Cost_of_Capital" localSheetId="7">'[44]Fixed calculations'!$O$2</definedName>
    <definedName name="Cost_of_Capital" localSheetId="8">'[44]Fixed calculations'!$O$2</definedName>
    <definedName name="Cost_of_Capital" localSheetId="9">'[44]Fixed calculations'!$O$2</definedName>
    <definedName name="Cost_of_Capital" localSheetId="10">'[19]Fixed calculations'!$O$2</definedName>
    <definedName name="Cost_of_Capital">'[33]Fixed calculations'!$O$2</definedName>
    <definedName name="COST_UNIT" localSheetId="4">[71]Optimize!$AB$57</definedName>
    <definedName name="COST_UNIT" localSheetId="3">[71]Optimize!$AB$57</definedName>
    <definedName name="COST_UNIT" localSheetId="2">[71]Optimize!$AB$57</definedName>
    <definedName name="COST_UNIT" localSheetId="5">[71]Optimize!$AB$57</definedName>
    <definedName name="COST_UNIT" localSheetId="6">[71]Optimize!$AB$57</definedName>
    <definedName name="COST_UNIT" localSheetId="7">[71]Optimize!$AB$57</definedName>
    <definedName name="COST_UNIT" localSheetId="8">[71]Optimize!$AB$57</definedName>
    <definedName name="COST_UNIT" localSheetId="9">[71]Optimize!$AB$57</definedName>
    <definedName name="COST_UNIT" localSheetId="10">[10]Optimize!$AB$57</definedName>
    <definedName name="COST_UNIT">[18]Optimize!$AB$57</definedName>
    <definedName name="CostMatrix" localSheetId="4">[71]Optimize!$AI$16:$AL$54</definedName>
    <definedName name="CostMatrix" localSheetId="3">[71]Optimize!$AI$16:$AL$54</definedName>
    <definedName name="CostMatrix" localSheetId="2">[71]Optimize!$AI$16:$AL$54</definedName>
    <definedName name="CostMatrix" localSheetId="5">[71]Optimize!$AI$16:$AL$54</definedName>
    <definedName name="CostMatrix" localSheetId="6">[71]Optimize!$AI$16:$AL$54</definedName>
    <definedName name="CostMatrix" localSheetId="7">[71]Optimize!$AI$16:$AL$54</definedName>
    <definedName name="CostMatrix" localSheetId="8">[71]Optimize!$AI$16:$AL$54</definedName>
    <definedName name="CostMatrix" localSheetId="9">[71]Optimize!$AI$16:$AL$54</definedName>
    <definedName name="CostMatrix" localSheetId="10">[10]Optimize!$AI$16:$AL$54</definedName>
    <definedName name="CostMatrix">[18]Optimize!$AI$16:$AL$54</definedName>
    <definedName name="CostStruPull" localSheetId="4">[55]FY03CostStructure!#REF!</definedName>
    <definedName name="CostStruPull" localSheetId="3">[55]FY03CostStructure!#REF!</definedName>
    <definedName name="CostStruPull" localSheetId="2">[55]FY03CostStructure!#REF!</definedName>
    <definedName name="CostStruPull" localSheetId="5">[55]FY03CostStructure!#REF!</definedName>
    <definedName name="CostStruPull" localSheetId="6">[55]FY03CostStructure!#REF!</definedName>
    <definedName name="CostStruPull" localSheetId="7">[55]FY03CostStructure!#REF!</definedName>
    <definedName name="CostStruPull" localSheetId="10">[33]FY03CostStructure!#REF!</definedName>
    <definedName name="CostStruPull">[43]FY03CostStructure!#REF!</definedName>
    <definedName name="Count" localSheetId="4">[56]Chart!$B$19:$B$38</definedName>
    <definedName name="Count" localSheetId="3">[56]Chart!$B$19:$B$38</definedName>
    <definedName name="Count" localSheetId="2">[56]Chart!$B$19:$B$38</definedName>
    <definedName name="Count" localSheetId="5">[56]Chart!$B$19:$B$38</definedName>
    <definedName name="Count" localSheetId="6">[56]Chart!$B$19:$B$38</definedName>
    <definedName name="Count" localSheetId="7">[56]Chart!$B$19:$B$38</definedName>
    <definedName name="Count" localSheetId="8">[56]Chart!$B$19:$B$38</definedName>
    <definedName name="Count" localSheetId="9">[56]Chart!$B$19:$B$38</definedName>
    <definedName name="Count" localSheetId="10">[34]Chart!$B$19:$B$38</definedName>
    <definedName name="Count">[44]Chart!$B$19:$B$38</definedName>
    <definedName name="Count_In_OnePage">1</definedName>
    <definedName name="CountReaudit" localSheetId="4">[58]审核总览!$F$57</definedName>
    <definedName name="CountReaudit" localSheetId="3">[58]审核总览!$F$57</definedName>
    <definedName name="CountReaudit" localSheetId="2">[58]审核总览!$F$57</definedName>
    <definedName name="CountReaudit" localSheetId="5">[58]审核总览!$F$57</definedName>
    <definedName name="CountReaudit" localSheetId="6">[58]审核总览!$F$57</definedName>
    <definedName name="CountReaudit" localSheetId="7">[58]审核总览!$F$57</definedName>
    <definedName name="CountReaudit" localSheetId="8">[57]审核总览!$F$57</definedName>
    <definedName name="CountReaudit" localSheetId="9">[57]审核总览!$F$57</definedName>
    <definedName name="CountReaudit" localSheetId="10">[91]审核总览!$F$57</definedName>
    <definedName name="CountReaudit">[45]审核总览!$F$57</definedName>
    <definedName name="Countries" localSheetId="4">[49]LOV!$A$10:$M$10</definedName>
    <definedName name="Countries" localSheetId="3">[49]LOV!$A$10:$M$10</definedName>
    <definedName name="Countries" localSheetId="2">[49]LOV!$A$10:$M$10</definedName>
    <definedName name="Countries" localSheetId="5">[49]LOV!$A$10:$M$10</definedName>
    <definedName name="Countries" localSheetId="6">[49]LOV!$A$10:$M$10</definedName>
    <definedName name="Countries" localSheetId="7">[49]LOV!$A$10:$M$10</definedName>
    <definedName name="Countries" localSheetId="8">[50]LOV!$A$10:$M$10</definedName>
    <definedName name="Countries" localSheetId="9">[50]LOV!$A$10:$M$10</definedName>
    <definedName name="Countries" localSheetId="10">[89]LOV!$A$10:$M$10</definedName>
    <definedName name="Countries">[38]LOV!$A$10:$M$10</definedName>
    <definedName name="Country_Name" localSheetId="4">#REF!</definedName>
    <definedName name="Country_Name" localSheetId="3">#REF!</definedName>
    <definedName name="Country_Name" localSheetId="2">#REF!</definedName>
    <definedName name="Country_Name" localSheetId="5">#REF!</definedName>
    <definedName name="Country_Name" localSheetId="6">#REF!</definedName>
    <definedName name="Country_Name" localSheetId="7">#REF!</definedName>
    <definedName name="Country_Name" localSheetId="8">#REF!</definedName>
    <definedName name="Country_Name" localSheetId="9">#REF!</definedName>
    <definedName name="Country_Name" localSheetId="10">#REF!</definedName>
    <definedName name="Country_Name" localSheetId="11">#REF!</definedName>
    <definedName name="Country_Name">#REF!</definedName>
    <definedName name="CountryList" localSheetId="4">[49]LOV!$A$9</definedName>
    <definedName name="CountryList" localSheetId="3">[49]LOV!$A$9</definedName>
    <definedName name="CountryList" localSheetId="2">[49]LOV!$A$9</definedName>
    <definedName name="CountryList" localSheetId="5">[49]LOV!$A$9</definedName>
    <definedName name="CountryList" localSheetId="6">[49]LOV!$A$9</definedName>
    <definedName name="CountryList" localSheetId="7">[49]LOV!$A$9</definedName>
    <definedName name="CountryList" localSheetId="8">[50]LOV!$A$9</definedName>
    <definedName name="CountryList" localSheetId="9">[50]LOV!$A$9</definedName>
    <definedName name="CountryList" localSheetId="10">[89]LOV!$A$9</definedName>
    <definedName name="CountryList">[38]LOV!$A$9</definedName>
    <definedName name="CPBaug" localSheetId="4">#REF!</definedName>
    <definedName name="CPBaug" localSheetId="3">#REF!</definedName>
    <definedName name="CPBaug" localSheetId="2">#REF!</definedName>
    <definedName name="CPBaug" localSheetId="5">#REF!</definedName>
    <definedName name="CPBaug" localSheetId="6">#REF!</definedName>
    <definedName name="CPBaug" localSheetId="7">#REF!</definedName>
    <definedName name="CPBaug" localSheetId="8">#REF!</definedName>
    <definedName name="CPBaug" localSheetId="9">#REF!</definedName>
    <definedName name="CPBaug" localSheetId="10">#REF!</definedName>
    <definedName name="CPBaug" localSheetId="11">#REF!</definedName>
    <definedName name="CPBaug">#REF!</definedName>
    <definedName name="CPBQ4" localSheetId="4">#REF!</definedName>
    <definedName name="CPBQ4" localSheetId="3">#REF!</definedName>
    <definedName name="CPBQ4" localSheetId="2">#REF!</definedName>
    <definedName name="CPBQ4" localSheetId="5">#REF!</definedName>
    <definedName name="CPBQ4" localSheetId="6">#REF!</definedName>
    <definedName name="CPBQ4" localSheetId="7">#REF!</definedName>
    <definedName name="CPBQ4" localSheetId="8">#REF!</definedName>
    <definedName name="CPBQ4" localSheetId="9">#REF!</definedName>
    <definedName name="CPBQ4" localSheetId="10">#REF!</definedName>
    <definedName name="CPBQ4" localSheetId="11">#REF!</definedName>
    <definedName name="CPBQ4">#REF!</definedName>
    <definedName name="CPD" localSheetId="4">#REF!</definedName>
    <definedName name="CPD" localSheetId="3">#REF!</definedName>
    <definedName name="CPD" localSheetId="2">#REF!</definedName>
    <definedName name="CPD" localSheetId="5">#REF!</definedName>
    <definedName name="CPD" localSheetId="6">#REF!</definedName>
    <definedName name="CPD" localSheetId="7">#REF!</definedName>
    <definedName name="CPD" localSheetId="8">#REF!</definedName>
    <definedName name="CPD" localSheetId="9">#REF!</definedName>
    <definedName name="CPD" localSheetId="10">#REF!</definedName>
    <definedName name="CPD" localSheetId="11">#REF!</definedName>
    <definedName name="CPD">#REF!</definedName>
    <definedName name="CPH" localSheetId="4">#REF!</definedName>
    <definedName name="CPH" localSheetId="3">#REF!</definedName>
    <definedName name="CPH" localSheetId="2">#REF!</definedName>
    <definedName name="CPH" localSheetId="5">#REF!</definedName>
    <definedName name="CPH" localSheetId="6">#REF!</definedName>
    <definedName name="CPH" localSheetId="7">#REF!</definedName>
    <definedName name="CPH" localSheetId="8">#REF!</definedName>
    <definedName name="CPH" localSheetId="9">#REF!</definedName>
    <definedName name="CPH" localSheetId="10">#REF!</definedName>
    <definedName name="CPH" localSheetId="11">#REF!</definedName>
    <definedName name="CPH">#REF!</definedName>
    <definedName name="Cpk_LCLX" localSheetId="4">#REF!:OFFSET(#REF!,COUNTA(#REF!)-1,0)</definedName>
    <definedName name="Cpk_LCLX" localSheetId="3">#REF!:OFFSET(#REF!,COUNTA(#REF!)-1,0)</definedName>
    <definedName name="Cpk_LCLX" localSheetId="2">#REF!:OFFSET(#REF!,COUNTA(#REF!)-1,0)</definedName>
    <definedName name="Cpk_LCLX" localSheetId="5">#REF!:OFFSET(#REF!,COUNTA(#REF!)-1,0)</definedName>
    <definedName name="Cpk_LCLX" localSheetId="6">#REF!:OFFSET(#REF!,COUNTA(#REF!)-1,0)</definedName>
    <definedName name="Cpk_LCLX" localSheetId="7">#REF!:OFFSET(#REF!,COUNTA(#REF!)-1,0)</definedName>
    <definedName name="Cpk_LCLX" localSheetId="8">#REF!:OFFSET(#REF!,COUNTA(#REF!)-1,0)</definedName>
    <definedName name="Cpk_LCLX" localSheetId="9">#REF!:OFFSET(#REF!,COUNTA(#REF!)-1,0)</definedName>
    <definedName name="Cpk_LCLX" localSheetId="10">#REF!:OFFSET(#REF!,COUNTA(#REF!)-1,0)</definedName>
    <definedName name="Cpk_LCLX" localSheetId="11">#REF!:OFFSET(#REF!,COUNTA(#REF!)-1,0)</definedName>
    <definedName name="Cpk_LCLX">#REF!:OFFSET(#REF!,COUNTA(#REF!)-1,0)</definedName>
    <definedName name="Cpk_Mean" localSheetId="4">#REF!:OFFSET(#REF!,COUNTA(#REF!)-1,0)</definedName>
    <definedName name="Cpk_Mean" localSheetId="3">#REF!:OFFSET(#REF!,COUNTA(#REF!)-1,0)</definedName>
    <definedName name="Cpk_Mean" localSheetId="2">#REF!:OFFSET(#REF!,COUNTA(#REF!)-1,0)</definedName>
    <definedName name="Cpk_Mean" localSheetId="5">#REF!:OFFSET(#REF!,COUNTA(#REF!)-1,0)</definedName>
    <definedName name="Cpk_Mean" localSheetId="6">#REF!:OFFSET(#REF!,COUNTA(#REF!)-1,0)</definedName>
    <definedName name="Cpk_Mean" localSheetId="7">#REF!:OFFSET(#REF!,COUNTA(#REF!)-1,0)</definedName>
    <definedName name="Cpk_Mean" localSheetId="8">#REF!:OFFSET(#REF!,COUNTA(#REF!)-1,0)</definedName>
    <definedName name="Cpk_Mean" localSheetId="9">#REF!:OFFSET(#REF!,COUNTA(#REF!)-1,0)</definedName>
    <definedName name="Cpk_Mean" localSheetId="10">#REF!:OFFSET(#REF!,COUNTA(#REF!)-1,0)</definedName>
    <definedName name="Cpk_Mean" localSheetId="11">#REF!:OFFSET(#REF!,COUNTA(#REF!)-1,0)</definedName>
    <definedName name="Cpk_Mean">#REF!:OFFSET(#REF!,COUNTA(#REF!)-1,0)</definedName>
    <definedName name="Cpk_NumDataPoints" localSheetId="4">#REF!:OFFSET(#REF!,COUNTA(#REF!)-1,0)</definedName>
    <definedName name="Cpk_NumDataPoints" localSheetId="3">#REF!:OFFSET(#REF!,COUNTA(#REF!)-1,0)</definedName>
    <definedName name="Cpk_NumDataPoints" localSheetId="2">#REF!:OFFSET(#REF!,COUNTA(#REF!)-1,0)</definedName>
    <definedName name="Cpk_NumDataPoints" localSheetId="5">#REF!:OFFSET(#REF!,COUNTA(#REF!)-1,0)</definedName>
    <definedName name="Cpk_NumDataPoints" localSheetId="6">#REF!:OFFSET(#REF!,COUNTA(#REF!)-1,0)</definedName>
    <definedName name="Cpk_NumDataPoints" localSheetId="7">#REF!:OFFSET(#REF!,COUNTA(#REF!)-1,0)</definedName>
    <definedName name="Cpk_NumDataPoints" localSheetId="8">#REF!:OFFSET(#REF!,COUNTA(#REF!)-1,0)</definedName>
    <definedName name="Cpk_NumDataPoints" localSheetId="9">#REF!:OFFSET(#REF!,COUNTA(#REF!)-1,0)</definedName>
    <definedName name="Cpk_NumDataPoints" localSheetId="10">#REF!:OFFSET(#REF!,COUNTA(#REF!)-1,0)</definedName>
    <definedName name="Cpk_NumDataPoints" localSheetId="11">#REF!:OFFSET(#REF!,COUNTA(#REF!)-1,0)</definedName>
    <definedName name="Cpk_NumDataPoints">#REF!:OFFSET(#REF!,COUNTA(#REF!)-1,0)</definedName>
    <definedName name="Cpk_RangeAverage" localSheetId="4">#REF!:OFFSET(#REF!,COUNTA(#REF!)-1,0)</definedName>
    <definedName name="Cpk_RangeAverage" localSheetId="3">#REF!:OFFSET(#REF!,COUNTA(#REF!)-1,0)</definedName>
    <definedName name="Cpk_RangeAverage" localSheetId="2">#REF!:OFFSET(#REF!,COUNTA(#REF!)-1,0)</definedName>
    <definedName name="Cpk_RangeAverage" localSheetId="5">#REF!:OFFSET(#REF!,COUNTA(#REF!)-1,0)</definedName>
    <definedName name="Cpk_RangeAverage" localSheetId="6">#REF!:OFFSET(#REF!,COUNTA(#REF!)-1,0)</definedName>
    <definedName name="Cpk_RangeAverage" localSheetId="7">#REF!:OFFSET(#REF!,COUNTA(#REF!)-1,0)</definedName>
    <definedName name="Cpk_RangeAverage" localSheetId="8">#REF!:OFFSET(#REF!,COUNTA(#REF!)-1,0)</definedName>
    <definedName name="Cpk_RangeAverage" localSheetId="9">#REF!:OFFSET(#REF!,COUNTA(#REF!)-1,0)</definedName>
    <definedName name="Cpk_RangeAverage" localSheetId="10">#REF!:OFFSET(#REF!,COUNTA(#REF!)-1,0)</definedName>
    <definedName name="Cpk_RangeAverage" localSheetId="11">#REF!:OFFSET(#REF!,COUNTA(#REF!)-1,0)</definedName>
    <definedName name="Cpk_RangeAverage">#REF!:OFFSET(#REF!,COUNTA(#REF!)-1,0)</definedName>
    <definedName name="Cpk_TestValue" localSheetId="4">#REF!:OFFSET(#REF!,COUNTA(#REF!)-1,0)</definedName>
    <definedName name="Cpk_TestValue" localSheetId="3">#REF!:OFFSET(#REF!,COUNTA(#REF!)-1,0)</definedName>
    <definedName name="Cpk_TestValue" localSheetId="2">#REF!:OFFSET(#REF!,COUNTA(#REF!)-1,0)</definedName>
    <definedName name="Cpk_TestValue" localSheetId="5">#REF!:OFFSET(#REF!,COUNTA(#REF!)-1,0)</definedName>
    <definedName name="Cpk_TestValue" localSheetId="6">#REF!:OFFSET(#REF!,COUNTA(#REF!)-1,0)</definedName>
    <definedName name="Cpk_TestValue" localSheetId="7">#REF!:OFFSET(#REF!,COUNTA(#REF!)-1,0)</definedName>
    <definedName name="Cpk_TestValue" localSheetId="8">#REF!:OFFSET(#REF!,COUNTA(#REF!)-1,0)</definedName>
    <definedName name="Cpk_TestValue" localSheetId="9">#REF!:OFFSET(#REF!,COUNTA(#REF!)-1,0)</definedName>
    <definedName name="Cpk_TestValue" localSheetId="10">#REF!:OFFSET(#REF!,COUNTA(#REF!)-1,0)</definedName>
    <definedName name="Cpk_TestValue" localSheetId="11">#REF!:OFFSET(#REF!,COUNTA(#REF!)-1,0)</definedName>
    <definedName name="Cpk_TestValue">#REF!:OFFSET(#REF!,COUNTA(#REF!)-1,0)</definedName>
    <definedName name="Cpk_UCLR" localSheetId="4">#REF!:OFFSET(#REF!,COUNTA(#REF!)-1,0)</definedName>
    <definedName name="Cpk_UCLR" localSheetId="3">#REF!:OFFSET(#REF!,COUNTA(#REF!)-1,0)</definedName>
    <definedName name="Cpk_UCLR" localSheetId="2">#REF!:OFFSET(#REF!,COUNTA(#REF!)-1,0)</definedName>
    <definedName name="Cpk_UCLR" localSheetId="5">#REF!:OFFSET(#REF!,COUNTA(#REF!)-1,0)</definedName>
    <definedName name="Cpk_UCLR" localSheetId="6">#REF!:OFFSET(#REF!,COUNTA(#REF!)-1,0)</definedName>
    <definedName name="Cpk_UCLR" localSheetId="7">#REF!:OFFSET(#REF!,COUNTA(#REF!)-1,0)</definedName>
    <definedName name="Cpk_UCLR" localSheetId="8">#REF!:OFFSET(#REF!,COUNTA(#REF!)-1,0)</definedName>
    <definedName name="Cpk_UCLR" localSheetId="9">#REF!:OFFSET(#REF!,COUNTA(#REF!)-1,0)</definedName>
    <definedName name="Cpk_UCLR" localSheetId="10">#REF!:OFFSET(#REF!,COUNTA(#REF!)-1,0)</definedName>
    <definedName name="Cpk_UCLR" localSheetId="11">#REF!:OFFSET(#REF!,COUNTA(#REF!)-1,0)</definedName>
    <definedName name="Cpk_UCLR">#REF!:OFFSET(#REF!,COUNTA(#REF!)-1,0)</definedName>
    <definedName name="Cpk_UCLX" localSheetId="4">#REF!:OFFSET(#REF!,COUNTA(#REF!)-1,0)</definedName>
    <definedName name="Cpk_UCLX" localSheetId="3">#REF!:OFFSET(#REF!,COUNTA(#REF!)-1,0)</definedName>
    <definedName name="Cpk_UCLX" localSheetId="2">#REF!:OFFSET(#REF!,COUNTA(#REF!)-1,0)</definedName>
    <definedName name="Cpk_UCLX" localSheetId="5">#REF!:OFFSET(#REF!,COUNTA(#REF!)-1,0)</definedName>
    <definedName name="Cpk_UCLX" localSheetId="6">#REF!:OFFSET(#REF!,COUNTA(#REF!)-1,0)</definedName>
    <definedName name="Cpk_UCLX" localSheetId="7">#REF!:OFFSET(#REF!,COUNTA(#REF!)-1,0)</definedName>
    <definedName name="Cpk_UCLX" localSheetId="8">#REF!:OFFSET(#REF!,COUNTA(#REF!)-1,0)</definedName>
    <definedName name="Cpk_UCLX" localSheetId="9">#REF!:OFFSET(#REF!,COUNTA(#REF!)-1,0)</definedName>
    <definedName name="Cpk_UCLX" localSheetId="10">#REF!:OFFSET(#REF!,COUNTA(#REF!)-1,0)</definedName>
    <definedName name="Cpk_UCLX" localSheetId="11">#REF!:OFFSET(#REF!,COUNTA(#REF!)-1,0)</definedName>
    <definedName name="Cpk_UCLX">#REF!:OFFSET(#REF!,COUNTA(#REF!)-1,0)</definedName>
    <definedName name="Cpk_XmR" localSheetId="4">#REF!:OFFSET(#REF!,COUNTA(#REF!)-1,0)</definedName>
    <definedName name="Cpk_XmR" localSheetId="3">#REF!:OFFSET(#REF!,COUNTA(#REF!)-1,0)</definedName>
    <definedName name="Cpk_XmR" localSheetId="2">#REF!:OFFSET(#REF!,COUNTA(#REF!)-1,0)</definedName>
    <definedName name="Cpk_XmR" localSheetId="5">#REF!:OFFSET(#REF!,COUNTA(#REF!)-1,0)</definedName>
    <definedName name="Cpk_XmR" localSheetId="6">#REF!:OFFSET(#REF!,COUNTA(#REF!)-1,0)</definedName>
    <definedName name="Cpk_XmR" localSheetId="7">#REF!:OFFSET(#REF!,COUNTA(#REF!)-1,0)</definedName>
    <definedName name="Cpk_XmR" localSheetId="8">#REF!:OFFSET(#REF!,COUNTA(#REF!)-1,0)</definedName>
    <definedName name="Cpk_XmR" localSheetId="9">#REF!:OFFSET(#REF!,COUNTA(#REF!)-1,0)</definedName>
    <definedName name="Cpk_XmR" localSheetId="10">#REF!:OFFSET(#REF!,COUNTA(#REF!)-1,0)</definedName>
    <definedName name="Cpk_XmR" localSheetId="11">#REF!:OFFSET(#REF!,COUNTA(#REF!)-1,0)</definedName>
    <definedName name="Cpk_XmR">#REF!:OFFSET(#REF!,COUNTA(#REF!)-1,0)</definedName>
    <definedName name="CPL" localSheetId="4">#REF!</definedName>
    <definedName name="CPL" localSheetId="3">#REF!</definedName>
    <definedName name="CPL" localSheetId="2">#REF!</definedName>
    <definedName name="CPL" localSheetId="5">#REF!</definedName>
    <definedName name="CPL" localSheetId="6">#REF!</definedName>
    <definedName name="CPL" localSheetId="7">#REF!</definedName>
    <definedName name="CPL" localSheetId="8">#REF!</definedName>
    <definedName name="CPL" localSheetId="9">#REF!</definedName>
    <definedName name="CPL" localSheetId="10">#REF!</definedName>
    <definedName name="CPL" localSheetId="11">#REF!</definedName>
    <definedName name="CPL">#REF!</definedName>
    <definedName name="CPMC" localSheetId="4">[59]产品!$C$3:$C$16</definedName>
    <definedName name="CPMC" localSheetId="3">[59]产品!$C$3:$C$16</definedName>
    <definedName name="CPMC" localSheetId="2">[59]产品!$C$3:$C$16</definedName>
    <definedName name="CPMC" localSheetId="5">[59]产品!$C$3:$C$16</definedName>
    <definedName name="CPMC" localSheetId="6">[59]产品!$C$3:$C$16</definedName>
    <definedName name="CPMC" localSheetId="7">[59]产品!$C$3:$C$16</definedName>
    <definedName name="CPMC" localSheetId="8">[59]产品!$C$3:$C$16</definedName>
    <definedName name="CPMC" localSheetId="9">[59]产品!$C$3:$C$16</definedName>
    <definedName name="CPMC" localSheetId="10">[37]产品!$C$3:$C$16</definedName>
    <definedName name="CPMC">[46]产品!$C$3:$C$16</definedName>
    <definedName name="CPY" localSheetId="4">#REF!</definedName>
    <definedName name="CPY" localSheetId="3">#REF!</definedName>
    <definedName name="CPY" localSheetId="2">#REF!</definedName>
    <definedName name="CPY" localSheetId="5">#REF!</definedName>
    <definedName name="CPY" localSheetId="6">#REF!</definedName>
    <definedName name="CPY" localSheetId="7">#REF!</definedName>
    <definedName name="CPY" localSheetId="8">#REF!</definedName>
    <definedName name="CPY" localSheetId="9">#REF!</definedName>
    <definedName name="CPY" localSheetId="10">#REF!</definedName>
    <definedName name="CPY" localSheetId="11">#REF!</definedName>
    <definedName name="CPY">#REF!</definedName>
    <definedName name="_xlnm.Criteria">#REF!</definedName>
    <definedName name="CS_Customer_Services" localSheetId="4">[49]LOV!#REF!</definedName>
    <definedName name="CS_Customer_Services" localSheetId="3">[49]LOV!#REF!</definedName>
    <definedName name="CS_Customer_Services" localSheetId="2">[49]LOV!#REF!</definedName>
    <definedName name="CS_Customer_Services" localSheetId="5">[49]LOV!#REF!</definedName>
    <definedName name="CS_Customer_Services" localSheetId="6">[49]LOV!#REF!</definedName>
    <definedName name="CS_Customer_Services" localSheetId="7">[49]LOV!#REF!</definedName>
    <definedName name="CS_Customer_Services" localSheetId="8">[50]LOV!#REF!</definedName>
    <definedName name="CS_Customer_Services" localSheetId="9">[50]LOV!#REF!</definedName>
    <definedName name="CS_Customer_Services" localSheetId="10">[89]LOV!#REF!</definedName>
    <definedName name="CS_Customer_Services">[38]LOV!#REF!</definedName>
    <definedName name="CS_PlatformList" localSheetId="4">[49]LOV!$A$22</definedName>
    <definedName name="CS_PlatformList" localSheetId="3">[49]LOV!$A$22</definedName>
    <definedName name="CS_PlatformList" localSheetId="2">[49]LOV!$A$22</definedName>
    <definedName name="CS_PlatformList" localSheetId="5">[49]LOV!$A$22</definedName>
    <definedName name="CS_PlatformList" localSheetId="6">[49]LOV!$A$22</definedName>
    <definedName name="CS_PlatformList" localSheetId="7">[49]LOV!$A$22</definedName>
    <definedName name="CS_PlatformList" localSheetId="8">[50]LOV!$A$22</definedName>
    <definedName name="CS_PlatformList" localSheetId="9">[50]LOV!$A$22</definedName>
    <definedName name="CS_PlatformList" localSheetId="10">[89]LOV!$A$22</definedName>
    <definedName name="CS_PlatformList">[38]LOV!$A$22</definedName>
    <definedName name="CS_Platforms" localSheetId="4">[49]LOV!$A$23:$G$23</definedName>
    <definedName name="CS_Platforms" localSheetId="3">[49]LOV!$A$23:$G$23</definedName>
    <definedName name="CS_Platforms" localSheetId="2">[49]LOV!$A$23:$G$23</definedName>
    <definedName name="CS_Platforms" localSheetId="5">[49]LOV!$A$23:$G$23</definedName>
    <definedName name="CS_Platforms" localSheetId="6">[49]LOV!$A$23:$G$23</definedName>
    <definedName name="CS_Platforms" localSheetId="7">[49]LOV!$A$23:$G$23</definedName>
    <definedName name="CS_Platforms" localSheetId="8">[50]LOV!$A$23:$G$23</definedName>
    <definedName name="CS_Platforms" localSheetId="9">[50]LOV!$A$23:$G$23</definedName>
    <definedName name="CS_Platforms" localSheetId="10">[89]LOV!$A$23:$G$23</definedName>
    <definedName name="CS_Platforms">[38]LOV!$A$23:$G$23</definedName>
    <definedName name="CS_TypeList" localSheetId="4">[49]LOV!$A$19</definedName>
    <definedName name="CS_TypeList" localSheetId="3">[49]LOV!$A$19</definedName>
    <definedName name="CS_TypeList" localSheetId="2">[49]LOV!$A$19</definedName>
    <definedName name="CS_TypeList" localSheetId="5">[49]LOV!$A$19</definedName>
    <definedName name="CS_TypeList" localSheetId="6">[49]LOV!$A$19</definedName>
    <definedName name="CS_TypeList" localSheetId="7">[49]LOV!$A$19</definedName>
    <definedName name="CS_TypeList" localSheetId="8">[50]LOV!$A$19</definedName>
    <definedName name="CS_TypeList" localSheetId="9">[50]LOV!$A$19</definedName>
    <definedName name="CS_TypeList" localSheetId="10">[89]LOV!$A$19</definedName>
    <definedName name="CS_TypeList">[38]LOV!$A$19</definedName>
    <definedName name="CS_Types" localSheetId="4">[49]LOV!$A$20:$C$20</definedName>
    <definedName name="CS_Types" localSheetId="3">[49]LOV!$A$20:$C$20</definedName>
    <definedName name="CS_Types" localSheetId="2">[49]LOV!$A$20:$C$20</definedName>
    <definedName name="CS_Types" localSheetId="5">[49]LOV!$A$20:$C$20</definedName>
    <definedName name="CS_Types" localSheetId="6">[49]LOV!$A$20:$C$20</definedName>
    <definedName name="CS_Types" localSheetId="7">[49]LOV!$A$20:$C$20</definedName>
    <definedName name="CS_Types" localSheetId="8">[50]LOV!$A$20:$C$20</definedName>
    <definedName name="CS_Types" localSheetId="9">[50]LOV!$A$20:$C$20</definedName>
    <definedName name="CS_Types" localSheetId="10">[89]LOV!$A$20:$C$20</definedName>
    <definedName name="CS_Types">[38]LOV!$A$20:$C$20</definedName>
    <definedName name="CSa" localSheetId="4">[76]APJSum!$A$407</definedName>
    <definedName name="CSa" localSheetId="3">[76]APJSum!$A$407</definedName>
    <definedName name="CSa" localSheetId="2">[76]APJSum!$A$407</definedName>
    <definedName name="CSa" localSheetId="5">[76]APJSum!$A$407</definedName>
    <definedName name="CSa" localSheetId="6">[76]APJSum!$A$407</definedName>
    <definedName name="CSa" localSheetId="7">[76]APJSum!$A$407</definedName>
    <definedName name="CSa" localSheetId="10">[25]APJSum!$A$407</definedName>
    <definedName name="CSa">[32]APJSum!$A$407</definedName>
    <definedName name="CSame" localSheetId="4">[76]AmeSum!$A$407</definedName>
    <definedName name="CSame" localSheetId="3">[76]AmeSum!$A$407</definedName>
    <definedName name="CSame" localSheetId="2">[76]AmeSum!$A$407</definedName>
    <definedName name="CSame" localSheetId="5">[76]AmeSum!$A$407</definedName>
    <definedName name="CSame" localSheetId="6">[76]AmeSum!$A$407</definedName>
    <definedName name="CSame" localSheetId="7">[76]AmeSum!$A$407</definedName>
    <definedName name="CSame" localSheetId="10">[25]AmeSum!$A$407</definedName>
    <definedName name="CSame">[32]AmeSum!$A$407</definedName>
    <definedName name="CSAP" localSheetId="10">[21]AmeSum!#REF!</definedName>
    <definedName name="CSAP">[34]AmeSum!#REF!</definedName>
    <definedName name="csaspir" localSheetId="4">#REF!</definedName>
    <definedName name="csaspir" localSheetId="3">#REF!</definedName>
    <definedName name="csaspir" localSheetId="2">#REF!</definedName>
    <definedName name="csaspir" localSheetId="5">#REF!</definedName>
    <definedName name="csaspir" localSheetId="6">#REF!</definedName>
    <definedName name="csaspir" localSheetId="7">#REF!</definedName>
    <definedName name="csaspir" localSheetId="8">#REF!</definedName>
    <definedName name="csaspir" localSheetId="9">#REF!</definedName>
    <definedName name="csaspir" localSheetId="10">#REF!</definedName>
    <definedName name="csaspir" localSheetId="11">#REF!</definedName>
    <definedName name="csaspir">#REF!</definedName>
    <definedName name="CSe" localSheetId="4">[76]EMEASum!$A$407</definedName>
    <definedName name="CSe" localSheetId="3">[76]EMEASum!$A$407</definedName>
    <definedName name="CSe" localSheetId="2">[76]EMEASum!$A$407</definedName>
    <definedName name="CSe" localSheetId="5">[76]EMEASum!$A$407</definedName>
    <definedName name="CSe" localSheetId="6">[76]EMEASum!$A$407</definedName>
    <definedName name="CSe" localSheetId="7">[76]EMEASum!$A$407</definedName>
    <definedName name="CSe" localSheetId="10">[25]EMEASum!$A$407</definedName>
    <definedName name="CSe">[32]EMEASum!$A$407</definedName>
    <definedName name="CSEMEA" localSheetId="10">[21]AmeSum!#REF!</definedName>
    <definedName name="CSEMEA">[34]AmeSum!#REF!</definedName>
    <definedName name="CSh" localSheetId="4">[76]HPCoSum!$A$407</definedName>
    <definedName name="CSh" localSheetId="3">[76]HPCoSum!$A$407</definedName>
    <definedName name="CSh" localSheetId="2">[76]HPCoSum!$A$407</definedName>
    <definedName name="CSh" localSheetId="5">[76]HPCoSum!$A$407</definedName>
    <definedName name="CSh" localSheetId="6">[76]HPCoSum!$A$407</definedName>
    <definedName name="CSh" localSheetId="7">[76]HPCoSum!$A$407</definedName>
    <definedName name="CSh" localSheetId="10">[25]HPCoSum!$A$407</definedName>
    <definedName name="CSh">[32]HPCoSum!$A$407</definedName>
    <definedName name="CSHPCo" localSheetId="10">[21]AmeSum!#REF!</definedName>
    <definedName name="CSHPCo">[34]AmeSum!#REF!</definedName>
    <definedName name="CSJP" localSheetId="10">[21]AmeSum!#REF!</definedName>
    <definedName name="CSJP">[34]AmeSum!#REF!</definedName>
    <definedName name="CSo" localSheetId="4">[76]OGSum!$A$407</definedName>
    <definedName name="CSo" localSheetId="3">[76]OGSum!$A$407</definedName>
    <definedName name="CSo" localSheetId="2">[76]OGSum!$A$407</definedName>
    <definedName name="CSo" localSheetId="5">[76]OGSum!$A$407</definedName>
    <definedName name="CSo" localSheetId="6">[76]OGSum!$A$407</definedName>
    <definedName name="CSo" localSheetId="7">[76]OGSum!$A$407</definedName>
    <definedName name="CSo" localSheetId="10">[25]OGSum!$A$407</definedName>
    <definedName name="CSo">[32]OGSum!$A$407</definedName>
    <definedName name="CSOG" localSheetId="10">[21]AmeSum!#REF!</definedName>
    <definedName name="CSOG">[34]AmeSum!#REF!</definedName>
    <definedName name="csresta" localSheetId="4">#REF!</definedName>
    <definedName name="csresta" localSheetId="3">#REF!</definedName>
    <definedName name="csresta" localSheetId="2">#REF!</definedName>
    <definedName name="csresta" localSheetId="5">#REF!</definedName>
    <definedName name="csresta" localSheetId="6">#REF!</definedName>
    <definedName name="csresta" localSheetId="7">#REF!</definedName>
    <definedName name="csresta" localSheetId="8">#REF!</definedName>
    <definedName name="csresta" localSheetId="9">#REF!</definedName>
    <definedName name="csresta" localSheetId="10">#REF!</definedName>
    <definedName name="csresta" localSheetId="11">#REF!</definedName>
    <definedName name="csresta">#REF!</definedName>
    <definedName name="csss" localSheetId="4">#REF!</definedName>
    <definedName name="csss" localSheetId="3">#REF!</definedName>
    <definedName name="csss" localSheetId="2">#REF!</definedName>
    <definedName name="csss" localSheetId="5">#REF!</definedName>
    <definedName name="csss" localSheetId="6">#REF!</definedName>
    <definedName name="csss" localSheetId="7">#REF!</definedName>
    <definedName name="csss" localSheetId="8">#REF!</definedName>
    <definedName name="csss" localSheetId="9">#REF!</definedName>
    <definedName name="csss" localSheetId="10">#REF!</definedName>
    <definedName name="csss" localSheetId="11">#REF!</definedName>
    <definedName name="csss">#REF!</definedName>
    <definedName name="CSw" localSheetId="4">#REF!</definedName>
    <definedName name="CSw" localSheetId="3">#REF!</definedName>
    <definedName name="CSw" localSheetId="2">#REF!</definedName>
    <definedName name="CSw" localSheetId="5">#REF!</definedName>
    <definedName name="CSw" localSheetId="6">#REF!</definedName>
    <definedName name="CSw" localSheetId="7">#REF!</definedName>
    <definedName name="CSw" localSheetId="8">#REF!</definedName>
    <definedName name="CSw" localSheetId="9">#REF!</definedName>
    <definedName name="CSw" localSheetId="10">#REF!</definedName>
    <definedName name="CSw" localSheetId="11">#REF!</definedName>
    <definedName name="CSw">#REF!</definedName>
    <definedName name="Cum_Int" localSheetId="4">#REF!</definedName>
    <definedName name="Cum_Int" localSheetId="3">#REF!</definedName>
    <definedName name="Cum_Int" localSheetId="2">#REF!</definedName>
    <definedName name="Cum_Int" localSheetId="5">#REF!</definedName>
    <definedName name="Cum_Int" localSheetId="6">#REF!</definedName>
    <definedName name="Cum_Int" localSheetId="7">#REF!</definedName>
    <definedName name="Cum_Int" localSheetId="8">#REF!</definedName>
    <definedName name="Cum_Int" localSheetId="9">#REF!</definedName>
    <definedName name="Cum_Int" localSheetId="10">#REF!</definedName>
    <definedName name="Cum_Int" localSheetId="11">#REF!</definedName>
    <definedName name="Cum_Int">#REF!</definedName>
    <definedName name="CUM_MTBF_GOAL" localSheetId="4">#REF!</definedName>
    <definedName name="CUM_MTBF_GOAL" localSheetId="3">#REF!</definedName>
    <definedName name="CUM_MTBF_GOAL" localSheetId="2">#REF!</definedName>
    <definedName name="CUM_MTBF_GOAL" localSheetId="5">#REF!</definedName>
    <definedName name="CUM_MTBF_GOAL" localSheetId="6">#REF!</definedName>
    <definedName name="CUM_MTBF_GOAL" localSheetId="7">#REF!</definedName>
    <definedName name="CUM_MTBF_GOAL" localSheetId="8">#REF!</definedName>
    <definedName name="CUM_MTBF_GOAL" localSheetId="9">#REF!</definedName>
    <definedName name="CUM_MTBF_GOAL" localSheetId="10">#REF!</definedName>
    <definedName name="CUM_MTBF_GOAL" localSheetId="11">#REF!</definedName>
    <definedName name="CUM_MTBF_GOAL">#REF!</definedName>
    <definedName name="CUM_PROG_YRS" localSheetId="4">#REF!</definedName>
    <definedName name="CUM_PROG_YRS" localSheetId="3">#REF!</definedName>
    <definedName name="CUM_PROG_YRS" localSheetId="2">#REF!</definedName>
    <definedName name="CUM_PROG_YRS" localSheetId="5">#REF!</definedName>
    <definedName name="CUM_PROG_YRS" localSheetId="6">#REF!</definedName>
    <definedName name="CUM_PROG_YRS" localSheetId="7">#REF!</definedName>
    <definedName name="CUM_PROG_YRS" localSheetId="8">#REF!</definedName>
    <definedName name="CUM_PROG_YRS" localSheetId="9">#REF!</definedName>
    <definedName name="CUM_PROG_YRS" localSheetId="10">#REF!</definedName>
    <definedName name="CUM_PROG_YRS" localSheetId="11">#REF!</definedName>
    <definedName name="CUM_PROG_YRS">#REF!</definedName>
    <definedName name="cumlative_benefits_percent" localSheetId="4">'[44]Commercial Benefits'!$I$10:$I$293</definedName>
    <definedName name="cumlative_benefits_percent" localSheetId="3">'[44]Commercial Benefits'!$I$10:$I$293</definedName>
    <definedName name="cumlative_benefits_percent" localSheetId="2">'[44]Commercial Benefits'!$I$10:$I$293</definedName>
    <definedName name="cumlative_benefits_percent" localSheetId="5">'[44]Commercial Benefits'!$I$10:$I$293</definedName>
    <definedName name="cumlative_benefits_percent" localSheetId="6">'[44]Commercial Benefits'!$I$10:$I$293</definedName>
    <definedName name="cumlative_benefits_percent" localSheetId="7">'[44]Commercial Benefits'!$I$10:$I$293</definedName>
    <definedName name="cumlative_benefits_percent" localSheetId="8">'[44]Commercial Benefits'!$I$10:$I$293</definedName>
    <definedName name="cumlative_benefits_percent" localSheetId="9">'[44]Commercial Benefits'!$I$10:$I$293</definedName>
    <definedName name="cumlative_benefits_percent" localSheetId="10">'[19]Commercial Benefits'!$I$10:$I$293</definedName>
    <definedName name="cumlative_benefits_percent">'[33]Commercial Benefits'!$I$10:$I$293</definedName>
    <definedName name="Curr_Flash" localSheetId="4">[61]FP!$D$30</definedName>
    <definedName name="Curr_Flash" localSheetId="3">[61]FP!$D$30</definedName>
    <definedName name="Curr_Flash" localSheetId="2">[61]FP!$D$30</definedName>
    <definedName name="Curr_Flash" localSheetId="5">[61]FP!$D$30</definedName>
    <definedName name="Curr_Flash" localSheetId="6">[61]FP!$D$30</definedName>
    <definedName name="Curr_Flash" localSheetId="7">[61]FP!$D$30</definedName>
    <definedName name="Curr_Flash" localSheetId="10">[30]FP!$D$30</definedName>
    <definedName name="Curr_Flash">[47]FP!$D$30</definedName>
    <definedName name="Curr_Half" localSheetId="4">'[61]Time Dimension Lookup'!$H$3</definedName>
    <definedName name="Curr_Half" localSheetId="3">'[61]Time Dimension Lookup'!$H$3</definedName>
    <definedName name="Curr_Half" localSheetId="2">'[61]Time Dimension Lookup'!$H$3</definedName>
    <definedName name="Curr_Half" localSheetId="5">'[61]Time Dimension Lookup'!$H$3</definedName>
    <definedName name="Curr_Half" localSheetId="6">'[61]Time Dimension Lookup'!$H$3</definedName>
    <definedName name="Curr_Half" localSheetId="7">'[61]Time Dimension Lookup'!$H$3</definedName>
    <definedName name="Curr_Half" localSheetId="10">'[30]Time Dimension Lookup'!$H$3</definedName>
    <definedName name="Curr_Half">'[47]Time Dimension Lookup'!$H$3</definedName>
    <definedName name="Curr_Qtr_a" localSheetId="4">'[61]Time Dimension Lookup'!$F$3</definedName>
    <definedName name="Curr_Qtr_a" localSheetId="3">'[61]Time Dimension Lookup'!$F$3</definedName>
    <definedName name="Curr_Qtr_a" localSheetId="2">'[61]Time Dimension Lookup'!$F$3</definedName>
    <definedName name="Curr_Qtr_a" localSheetId="5">'[61]Time Dimension Lookup'!$F$3</definedName>
    <definedName name="Curr_Qtr_a" localSheetId="6">'[61]Time Dimension Lookup'!$F$3</definedName>
    <definedName name="Curr_Qtr_a" localSheetId="7">'[61]Time Dimension Lookup'!$F$3</definedName>
    <definedName name="Curr_Qtr_a" localSheetId="10">'[30]Time Dimension Lookup'!$F$3</definedName>
    <definedName name="Curr_Qtr_a">'[47]Time Dimension Lookup'!$F$3</definedName>
    <definedName name="Curr_Qtr_b" localSheetId="4">'[61]Time Dimension Lookup'!$G$3</definedName>
    <definedName name="Curr_Qtr_b" localSheetId="3">'[61]Time Dimension Lookup'!$G$3</definedName>
    <definedName name="Curr_Qtr_b" localSheetId="2">'[61]Time Dimension Lookup'!$G$3</definedName>
    <definedName name="Curr_Qtr_b" localSheetId="5">'[61]Time Dimension Lookup'!$G$3</definedName>
    <definedName name="Curr_Qtr_b" localSheetId="6">'[61]Time Dimension Lookup'!$G$3</definedName>
    <definedName name="Curr_Qtr_b" localSheetId="7">'[61]Time Dimension Lookup'!$G$3</definedName>
    <definedName name="Curr_Qtr_b" localSheetId="10">'[30]Time Dimension Lookup'!$G$3</definedName>
    <definedName name="Curr_Qtr_b">'[47]Time Dimension Lookup'!$G$3</definedName>
    <definedName name="Curr_Yr" localSheetId="4">[61]FP!$D$28</definedName>
    <definedName name="Curr_Yr" localSheetId="3">[61]FP!$D$28</definedName>
    <definedName name="Curr_Yr" localSheetId="2">[61]FP!$D$28</definedName>
    <definedName name="Curr_Yr" localSheetId="5">[61]FP!$D$28</definedName>
    <definedName name="Curr_Yr" localSheetId="6">[61]FP!$D$28</definedName>
    <definedName name="Curr_Yr" localSheetId="7">[61]FP!$D$28</definedName>
    <definedName name="Curr_Yr" localSheetId="10">[30]FP!$D$28</definedName>
    <definedName name="Curr_Yr">[47]FP!$D$28</definedName>
    <definedName name="current" localSheetId="4">#REF!</definedName>
    <definedName name="current" localSheetId="3">#REF!</definedName>
    <definedName name="current" localSheetId="2">#REF!</definedName>
    <definedName name="current" localSheetId="5">#REF!</definedName>
    <definedName name="current" localSheetId="6">#REF!</definedName>
    <definedName name="current" localSheetId="7">#REF!</definedName>
    <definedName name="current" localSheetId="8">#REF!</definedName>
    <definedName name="current" localSheetId="9">#REF!</definedName>
    <definedName name="current" localSheetId="10">#REF!</definedName>
    <definedName name="current" localSheetId="11">#REF!</definedName>
    <definedName name="current">#REF!</definedName>
    <definedName name="CurrentMth" localSheetId="10">[28]Instructions!$E$97</definedName>
    <definedName name="CurrentMth">[48]Instructions!$E$97</definedName>
    <definedName name="custom" localSheetId="4">#REF!</definedName>
    <definedName name="custom" localSheetId="3">#REF!</definedName>
    <definedName name="custom" localSheetId="2">#REF!</definedName>
    <definedName name="custom" localSheetId="5">#REF!</definedName>
    <definedName name="custom" localSheetId="6">#REF!</definedName>
    <definedName name="custom" localSheetId="7">#REF!</definedName>
    <definedName name="custom" localSheetId="8">#REF!</definedName>
    <definedName name="custom" localSheetId="9">#REF!</definedName>
    <definedName name="custom" localSheetId="10">#REF!</definedName>
    <definedName name="custom" localSheetId="11">#REF!</definedName>
    <definedName name="custom">#REF!</definedName>
    <definedName name="cv" localSheetId="4">#REF!</definedName>
    <definedName name="cv" localSheetId="3">#REF!</definedName>
    <definedName name="cv" localSheetId="2">#REF!</definedName>
    <definedName name="cv" localSheetId="5">#REF!</definedName>
    <definedName name="cv" localSheetId="6">#REF!</definedName>
    <definedName name="cv" localSheetId="7">#REF!</definedName>
    <definedName name="cv" localSheetId="8">#REF!</definedName>
    <definedName name="cv" localSheetId="9">#REF!</definedName>
    <definedName name="cv" localSheetId="10">#REF!</definedName>
    <definedName name="cv" localSheetId="11">#REF!</definedName>
    <definedName name="cv">#REF!</definedName>
    <definedName name="CVB" localSheetId="4">#REF!</definedName>
    <definedName name="CVB" localSheetId="3">#REF!</definedName>
    <definedName name="CVB" localSheetId="2">#REF!</definedName>
    <definedName name="CVB" localSheetId="5">#REF!</definedName>
    <definedName name="CVB" localSheetId="6">#REF!</definedName>
    <definedName name="CVB" localSheetId="7">#REF!</definedName>
    <definedName name="CVB" localSheetId="8">#REF!</definedName>
    <definedName name="CVB" localSheetId="9">#REF!</definedName>
    <definedName name="CVB" localSheetId="10">#REF!</definedName>
    <definedName name="CVB" localSheetId="11">#REF!</definedName>
    <definedName name="CVB">#REF!</definedName>
    <definedName name="d" localSheetId="4">#REF!</definedName>
    <definedName name="d" localSheetId="3">#REF!</definedName>
    <definedName name="d" localSheetId="2">#REF!</definedName>
    <definedName name="d" localSheetId="5">#REF!</definedName>
    <definedName name="d" localSheetId="6">#REF!</definedName>
    <definedName name="d" localSheetId="7">#REF!</definedName>
    <definedName name="d" localSheetId="8">#REF!</definedName>
    <definedName name="d" localSheetId="9">#REF!</definedName>
    <definedName name="d" localSheetId="10">#REF!</definedName>
    <definedName name="d" localSheetId="11">#REF!</definedName>
    <definedName name="d">#REF!</definedName>
    <definedName name="D_SIZE">"Dsize"</definedName>
    <definedName name="da" localSheetId="4">[62]Spec!$B$30:$F$40</definedName>
    <definedName name="da" localSheetId="3">[62]Spec!$B$30:$F$40</definedName>
    <definedName name="da" localSheetId="2">[62]Spec!$B$30:$F$40</definedName>
    <definedName name="da" localSheetId="5">[62]Spec!$B$30:$F$40</definedName>
    <definedName name="da" localSheetId="6">[62]Spec!$B$30:$F$40</definedName>
    <definedName name="da" localSheetId="7">[62]Spec!$B$30:$F$40</definedName>
    <definedName name="da" localSheetId="8">[62]Spec!$B$30:$F$40</definedName>
    <definedName name="da" localSheetId="9">[62]Spec!$B$30:$F$40</definedName>
    <definedName name="da" localSheetId="10">[40]Spec!$B$30:$F$40</definedName>
    <definedName name="da">[49]Spec!$B$30:$F$40</definedName>
    <definedName name="daf" localSheetId="4" hidden="1">{#N/A,#N/A,TRUE,"Distribution";#N/A,#N/A,TRUE,"Fulfillment";#N/A,#N/A,TRUE,"Aged Backorders"}</definedName>
    <definedName name="daf" localSheetId="3" hidden="1">{#N/A,#N/A,TRUE,"Distribution";#N/A,#N/A,TRUE,"Fulfillment";#N/A,#N/A,TRUE,"Aged Backorders"}</definedName>
    <definedName name="daf" localSheetId="2" hidden="1">{#N/A,#N/A,TRUE,"Distribution";#N/A,#N/A,TRUE,"Fulfillment";#N/A,#N/A,TRUE,"Aged Backorders"}</definedName>
    <definedName name="daf" localSheetId="8" hidden="1">{#N/A,#N/A,TRUE,"Distribution";#N/A,#N/A,TRUE,"Fulfillment";#N/A,#N/A,TRUE,"Aged Backorders"}</definedName>
    <definedName name="daf" localSheetId="9" hidden="1">{#N/A,#N/A,TRUE,"Distribution";#N/A,#N/A,TRUE,"Fulfillment";#N/A,#N/A,TRUE,"Aged Backorders"}</definedName>
    <definedName name="daf" localSheetId="10" hidden="1">{#N/A,#N/A,TRUE,"Distribution";#N/A,#N/A,TRUE,"Fulfillment";#N/A,#N/A,TRUE,"Aged Backorders"}</definedName>
    <definedName name="daf" hidden="1">{#N/A,#N/A,TRUE,"Distribution";#N/A,#N/A,TRUE,"Fulfillment";#N/A,#N/A,TRUE,"Aged Backorders"}</definedName>
    <definedName name="dailyt" localSheetId="4">#REF!</definedName>
    <definedName name="dailyt" localSheetId="3">#REF!</definedName>
    <definedName name="dailyt" localSheetId="2">#REF!</definedName>
    <definedName name="dailyt" localSheetId="5">#REF!</definedName>
    <definedName name="dailyt" localSheetId="6">#REF!</definedName>
    <definedName name="dailyt" localSheetId="7">#REF!</definedName>
    <definedName name="dailyt" localSheetId="8">#REF!</definedName>
    <definedName name="dailyt" localSheetId="9">#REF!</definedName>
    <definedName name="dailyt" localSheetId="10">#REF!</definedName>
    <definedName name="dailyt" localSheetId="11">#REF!</definedName>
    <definedName name="dailyt">#REF!</definedName>
    <definedName name="dantejune" localSheetId="4">'[33]June Dante'!$A$1:$F$65536</definedName>
    <definedName name="dantejune" localSheetId="3">'[33]June Dante'!$A$1:$F$65536</definedName>
    <definedName name="dantejune" localSheetId="2">'[33]June Dante'!$A$1:$F$65536</definedName>
    <definedName name="dantejune" localSheetId="5">'[33]June Dante'!$A$1:$F$65536</definedName>
    <definedName name="dantejune" localSheetId="6">'[33]June Dante'!$A$1:$F$65536</definedName>
    <definedName name="dantejune" localSheetId="7">'[33]June Dante'!$A$1:$F$65536</definedName>
    <definedName name="dantejune" localSheetId="8">'[33]June Dante'!$A$1:$F$65536</definedName>
    <definedName name="dantejune" localSheetId="9">'[33]June Dante'!$A$1:$F$65536</definedName>
    <definedName name="dantejune" localSheetId="10">'[70]June Dante'!$A$1:$F$65536</definedName>
    <definedName name="dantejune">'[25]June Dante'!$A$1:$F$65536</definedName>
    <definedName name="DASGSG" localSheetId="4">#REF!</definedName>
    <definedName name="DASGSG" localSheetId="3">#REF!</definedName>
    <definedName name="DASGSG" localSheetId="2">#REF!</definedName>
    <definedName name="DASGSG" localSheetId="5">#REF!</definedName>
    <definedName name="DASGSG" localSheetId="6">#REF!</definedName>
    <definedName name="DASGSG" localSheetId="7">#REF!</definedName>
    <definedName name="DASGSG" localSheetId="8">#REF!</definedName>
    <definedName name="DASGSG" localSheetId="9">#REF!</definedName>
    <definedName name="DASGSG" localSheetId="10">#REF!</definedName>
    <definedName name="DASGSG" localSheetId="11">#REF!</definedName>
    <definedName name="DASGSG">#REF!</definedName>
    <definedName name="data" localSheetId="4">#REF!</definedName>
    <definedName name="data" localSheetId="3">#REF!</definedName>
    <definedName name="data" localSheetId="2">#REF!</definedName>
    <definedName name="data" localSheetId="5">#REF!</definedName>
    <definedName name="data" localSheetId="6">#REF!</definedName>
    <definedName name="data" localSheetId="7">#REF!</definedName>
    <definedName name="data" localSheetId="8">#REF!</definedName>
    <definedName name="data" localSheetId="9">#REF!</definedName>
    <definedName name="data" localSheetId="10">#REF!</definedName>
    <definedName name="data" localSheetId="11">#REF!</definedName>
    <definedName name="data">#REF!</definedName>
    <definedName name="data1" localSheetId="4">[63]Table!$A$1:$AK$24</definedName>
    <definedName name="data1" localSheetId="3">[63]Table!$A$1:$AK$24</definedName>
    <definedName name="data1" localSheetId="2">[63]Table!$A$1:$AK$24</definedName>
    <definedName name="data1" localSheetId="5">[63]Table!$A$1:$AK$24</definedName>
    <definedName name="data1" localSheetId="6">[63]Table!$A$1:$AK$24</definedName>
    <definedName name="data1" localSheetId="7">[63]Table!$A$1:$AK$24</definedName>
    <definedName name="data1" localSheetId="8">[63]Table!$A$1:$AK$24</definedName>
    <definedName name="data1" localSheetId="9">[63]Table!$A$1:$AK$24</definedName>
    <definedName name="data1" localSheetId="10">[41]Table!$A$1:$AK$24</definedName>
    <definedName name="data1">[50]Table!$A$1:$AK$24</definedName>
    <definedName name="Data2" localSheetId="4">#REF!</definedName>
    <definedName name="Data2" localSheetId="3">#REF!</definedName>
    <definedName name="Data2" localSheetId="2">#REF!</definedName>
    <definedName name="Data2" localSheetId="5">#REF!</definedName>
    <definedName name="Data2" localSheetId="6">#REF!</definedName>
    <definedName name="Data2" localSheetId="7">#REF!</definedName>
    <definedName name="Data2" localSheetId="8">#REF!</definedName>
    <definedName name="Data2" localSheetId="9">#REF!</definedName>
    <definedName name="Data2" localSheetId="10">#REF!</definedName>
    <definedName name="Data2" localSheetId="11">#REF!</definedName>
    <definedName name="Data2">#REF!</definedName>
    <definedName name="data56" localSheetId="10">[31]spp!$A$1:$L$65536</definedName>
    <definedName name="data56">[51]spp!$A$1:$L$65536</definedName>
    <definedName name="data58" localSheetId="4">#REF!</definedName>
    <definedName name="data58" localSheetId="3">#REF!</definedName>
    <definedName name="data58" localSheetId="2">#REF!</definedName>
    <definedName name="data58" localSheetId="5">#REF!</definedName>
    <definedName name="data58" localSheetId="6">#REF!</definedName>
    <definedName name="data58" localSheetId="7">#REF!</definedName>
    <definedName name="data58" localSheetId="8">#REF!</definedName>
    <definedName name="data58" localSheetId="9">#REF!</definedName>
    <definedName name="data58" localSheetId="10">#REF!</definedName>
    <definedName name="data58" localSheetId="11">#REF!</definedName>
    <definedName name="data58">#REF!</definedName>
    <definedName name="data8" localSheetId="4">#REF!</definedName>
    <definedName name="data8" localSheetId="3">#REF!</definedName>
    <definedName name="data8" localSheetId="2">#REF!</definedName>
    <definedName name="data8" localSheetId="5">#REF!</definedName>
    <definedName name="data8" localSheetId="6">#REF!</definedName>
    <definedName name="data8" localSheetId="7">#REF!</definedName>
    <definedName name="data8" localSheetId="8">#REF!</definedName>
    <definedName name="data8" localSheetId="9">#REF!</definedName>
    <definedName name="data8" localSheetId="10">#REF!</definedName>
    <definedName name="data8" localSheetId="11">#REF!</definedName>
    <definedName name="data8">#REF!</definedName>
    <definedName name="Database" localSheetId="4">[60]MCS!#REF!</definedName>
    <definedName name="Database" localSheetId="3">[60]MCS!#REF!</definedName>
    <definedName name="Database" localSheetId="2">[60]MCS!#REF!</definedName>
    <definedName name="Database" localSheetId="10">[73]NCAB!#REF!</definedName>
    <definedName name="Database">[52]NCAB!#REF!</definedName>
    <definedName name="DATASET" localSheetId="4">'[13]Cont Cost Var by Month (SII)'!$A$1:$AM$31</definedName>
    <definedName name="DATASET" localSheetId="3">'[13]Cont Cost Var by Month (SII)'!$A$1:$AM$31</definedName>
    <definedName name="DATASET" localSheetId="2">'[13]Cont Cost Var by Month (SII)'!$A$1:$AM$31</definedName>
    <definedName name="DATASET" localSheetId="5">'[13]Cont Cost Var by Month (SII)'!$A$1:$AM$31</definedName>
    <definedName name="DATASET" localSheetId="6">'[13]Cont Cost Var by Month (SII)'!$A$1:$AM$31</definedName>
    <definedName name="DATASET" localSheetId="7">'[13]Cont Cost Var by Month (SII)'!$A$1:$AM$31</definedName>
    <definedName name="DATASET" localSheetId="8">'[77]Cont Cost Var by Month (SII)'!$A$1:$AM$31</definedName>
    <definedName name="DATASET" localSheetId="9">'[77]Cont Cost Var by Month (SII)'!$A$1:$AM$31</definedName>
    <definedName name="DATASET" localSheetId="10">'[8]Cont Cost Var by Month (SII)'!$A$1:$AM$31</definedName>
    <definedName name="DATASET">'[10]Cont Cost Var by Month (SII)'!$A$1:$AM$31</definedName>
    <definedName name="Date">[76]產品基本信息!$B$9</definedName>
    <definedName name="Date_benefits_lookup" localSheetId="4">'[44]Commercial Benefits'!$C$10:$C$293</definedName>
    <definedName name="Date_benefits_lookup" localSheetId="3">'[44]Commercial Benefits'!$C$10:$C$293</definedName>
    <definedName name="Date_benefits_lookup" localSheetId="2">'[44]Commercial Benefits'!$C$10:$C$293</definedName>
    <definedName name="Date_benefits_lookup" localSheetId="5">'[44]Commercial Benefits'!$C$10:$C$293</definedName>
    <definedName name="Date_benefits_lookup" localSheetId="6">'[44]Commercial Benefits'!$C$10:$C$293</definedName>
    <definedName name="Date_benefits_lookup" localSheetId="7">'[44]Commercial Benefits'!$C$10:$C$293</definedName>
    <definedName name="Date_benefits_lookup" localSheetId="8">'[44]Commercial Benefits'!$C$10:$C$293</definedName>
    <definedName name="Date_benefits_lookup" localSheetId="9">'[44]Commercial Benefits'!$C$10:$C$293</definedName>
    <definedName name="Date_benefits_lookup" localSheetId="10">'[19]Commercial Benefits'!$C$10:$C$293</definedName>
    <definedName name="Date_benefits_lookup">'[33]Commercial Benefits'!$C$10:$C$293</definedName>
    <definedName name="Date_Last_Modified" localSheetId="4">[73]SUMMARY!$W$10</definedName>
    <definedName name="Date_Last_Modified" localSheetId="3">[73]SUMMARY!$W$10</definedName>
    <definedName name="Date_Last_Modified" localSheetId="2">[73]SUMMARY!$W$10</definedName>
    <definedName name="Date_Last_Modified" localSheetId="5">[73]SUMMARY!$W$10</definedName>
    <definedName name="Date_Last_Modified" localSheetId="6">[73]SUMMARY!$W$10</definedName>
    <definedName name="Date_Last_Modified" localSheetId="7">[73]SUMMARY!$W$10</definedName>
    <definedName name="Date_Last_Modified" localSheetId="8">[73]SUMMARY!$W$10</definedName>
    <definedName name="Date_Last_Modified" localSheetId="9">[73]SUMMARY!$W$10</definedName>
    <definedName name="Date_Last_Modified" localSheetId="10">[18]Summary!$W$10</definedName>
    <definedName name="Date_Last_Modified">[23]Summary!$W$10</definedName>
    <definedName name="Date_Last_Modified_10" localSheetId="4">[73]SUMMARY!$W$10</definedName>
    <definedName name="Date_Last_Modified_10" localSheetId="3">[73]SUMMARY!$W$10</definedName>
    <definedName name="Date_Last_Modified_10" localSheetId="2">[73]SUMMARY!$W$10</definedName>
    <definedName name="Date_Last_Modified_10" localSheetId="5">[73]SUMMARY!$W$10</definedName>
    <definedName name="Date_Last_Modified_10" localSheetId="6">[73]SUMMARY!$W$10</definedName>
    <definedName name="Date_Last_Modified_10" localSheetId="7">[73]SUMMARY!$W$10</definedName>
    <definedName name="Date_Last_Modified_10" localSheetId="8">[73]SUMMARY!$W$10</definedName>
    <definedName name="Date_Last_Modified_10" localSheetId="9">[73]SUMMARY!$W$10</definedName>
    <definedName name="Date_Last_Modified_10" localSheetId="10">[18]Summary!$W$10</definedName>
    <definedName name="Date_Last_Modified_10">[23]Summary!$W$10</definedName>
    <definedName name="Datum" localSheetId="4">#REF!</definedName>
    <definedName name="Datum" localSheetId="3">#REF!</definedName>
    <definedName name="Datum" localSheetId="2">#REF!</definedName>
    <definedName name="Datum" localSheetId="5">#REF!</definedName>
    <definedName name="Datum" localSheetId="6">#REF!</definedName>
    <definedName name="Datum" localSheetId="7">#REF!</definedName>
    <definedName name="Datum" localSheetId="8">#REF!</definedName>
    <definedName name="Datum" localSheetId="9">#REF!</definedName>
    <definedName name="Datum" localSheetId="10">#REF!</definedName>
    <definedName name="Datum" localSheetId="11">#REF!</definedName>
    <definedName name="Datum">#REF!</definedName>
    <definedName name="DAY">#N/A</definedName>
    <definedName name="dd" localSheetId="4">#REF!</definedName>
    <definedName name="dd" localSheetId="3">#REF!</definedName>
    <definedName name="dd" localSheetId="2">#REF!</definedName>
    <definedName name="DD" localSheetId="5">'[66]4 审核发现描述'!#REF!</definedName>
    <definedName name="DD" localSheetId="6">'[66]4 审核发现描述'!#REF!</definedName>
    <definedName name="DD" localSheetId="7">'[66]4 审核发现描述'!#REF!</definedName>
    <definedName name="DD" localSheetId="8">'[8]4 审核发现描述'!#REF!</definedName>
    <definedName name="DD" localSheetId="9">'[8]4 审核发现描述'!#REF!</definedName>
    <definedName name="DD" localSheetId="10">'[6]4 审核发现描述'!#REF!</definedName>
    <definedName name="DD">'[7]4 审核发现描述'!#REF!</definedName>
    <definedName name="DDDD" localSheetId="4">#REF!</definedName>
    <definedName name="DDDD" localSheetId="3">#REF!</definedName>
    <definedName name="DDDD" localSheetId="2">#REF!</definedName>
    <definedName name="DDDD" localSheetId="5">#REF!</definedName>
    <definedName name="DDDD" localSheetId="6">#REF!</definedName>
    <definedName name="DDDD" localSheetId="7">#REF!</definedName>
    <definedName name="DDDD" localSheetId="8">#REF!</definedName>
    <definedName name="DDDD" localSheetId="9">#REF!</definedName>
    <definedName name="DDDD" localSheetId="10">#REF!</definedName>
    <definedName name="DDDD" localSheetId="11">#REF!</definedName>
    <definedName name="DDDD">#REF!</definedName>
    <definedName name="DDDDDW1" localSheetId="4">#REF!</definedName>
    <definedName name="DDDDDW1" localSheetId="3">#REF!</definedName>
    <definedName name="DDDDDW1" localSheetId="2">#REF!</definedName>
    <definedName name="DDDDDW1" localSheetId="5">#REF!</definedName>
    <definedName name="DDDDDW1" localSheetId="6">#REF!</definedName>
    <definedName name="DDDDDW1" localSheetId="7">#REF!</definedName>
    <definedName name="DDDDDW1" localSheetId="8">#REF!</definedName>
    <definedName name="DDDDDW1" localSheetId="9">#REF!</definedName>
    <definedName name="DDDDDW1" localSheetId="10">#REF!</definedName>
    <definedName name="DDDDDW1" localSheetId="11">#REF!</definedName>
    <definedName name="DDDDDW1">#REF!</definedName>
    <definedName name="de" localSheetId="4">#REF!</definedName>
    <definedName name="de" localSheetId="3">#REF!</definedName>
    <definedName name="de" localSheetId="2">#REF!</definedName>
    <definedName name="de" localSheetId="5">#REF!</definedName>
    <definedName name="de" localSheetId="6">#REF!</definedName>
    <definedName name="de" localSheetId="7">#REF!</definedName>
    <definedName name="de" localSheetId="8">#REF!</definedName>
    <definedName name="de" localSheetId="9">#REF!</definedName>
    <definedName name="de" localSheetId="10">#REF!</definedName>
    <definedName name="de" localSheetId="11">#REF!</definedName>
    <definedName name="de">#REF!</definedName>
    <definedName name="DECAAS" localSheetId="4">#REF!</definedName>
    <definedName name="DECAAS" localSheetId="3">#REF!</definedName>
    <definedName name="DECAAS" localSheetId="2">#REF!</definedName>
    <definedName name="DECAAS" localSheetId="5">#REF!</definedName>
    <definedName name="DECAAS" localSheetId="6">#REF!</definedName>
    <definedName name="DECAAS" localSheetId="7">#REF!</definedName>
    <definedName name="DECAAS" localSheetId="8">#REF!</definedName>
    <definedName name="DECAAS" localSheetId="9">#REF!</definedName>
    <definedName name="DECAAS" localSheetId="10">#REF!</definedName>
    <definedName name="DECAAS" localSheetId="11">#REF!</definedName>
    <definedName name="DECAAS">#REF!</definedName>
    <definedName name="decbaan" localSheetId="10">'[32]costos fw 52'!$A$1:$D$65536</definedName>
    <definedName name="decbaan">'[53]costos fw 52'!$A$1:$D$65536</definedName>
    <definedName name="DECOMEXAS" localSheetId="4">#REF!</definedName>
    <definedName name="DECOMEXAS" localSheetId="3">#REF!</definedName>
    <definedName name="DECOMEXAS" localSheetId="2">#REF!</definedName>
    <definedName name="DECOMEXAS" localSheetId="5">#REF!</definedName>
    <definedName name="DECOMEXAS" localSheetId="6">#REF!</definedName>
    <definedName name="DECOMEXAS" localSheetId="7">#REF!</definedName>
    <definedName name="DECOMEXAS" localSheetId="8">#REF!</definedName>
    <definedName name="DECOMEXAS" localSheetId="9">#REF!</definedName>
    <definedName name="DECOMEXAS" localSheetId="10">#REF!</definedName>
    <definedName name="DECOMEXAS" localSheetId="11">#REF!</definedName>
    <definedName name="DECOMEXAS">#REF!</definedName>
    <definedName name="decprod" localSheetId="10">[44]produccion!$C$1:$G$65536</definedName>
    <definedName name="decprod">[54]produccion!$C$1:$G$65536</definedName>
    <definedName name="DECSAAS" localSheetId="4">#REF!</definedName>
    <definedName name="DECSAAS" localSheetId="3">#REF!</definedName>
    <definedName name="DECSAAS" localSheetId="2">#REF!</definedName>
    <definedName name="DECSAAS" localSheetId="5">#REF!</definedName>
    <definedName name="DECSAAS" localSheetId="6">#REF!</definedName>
    <definedName name="DECSAAS" localSheetId="7">#REF!</definedName>
    <definedName name="DECSAAS" localSheetId="8">#REF!</definedName>
    <definedName name="DECSAAS" localSheetId="9">#REF!</definedName>
    <definedName name="DECSAAS" localSheetId="10">#REF!</definedName>
    <definedName name="DECSAAS" localSheetId="11">#REF!</definedName>
    <definedName name="DECSAAS">#REF!</definedName>
    <definedName name="ded">#N/A</definedName>
    <definedName name="dedo" localSheetId="4" hidden="1">{#N/A,#N/A,TRUE,"Distribution";#N/A,#N/A,TRUE,"Fulfillment";#N/A,#N/A,TRUE,"Aged Backorders"}</definedName>
    <definedName name="dedo" localSheetId="3" hidden="1">{#N/A,#N/A,TRUE,"Distribution";#N/A,#N/A,TRUE,"Fulfillment";#N/A,#N/A,TRUE,"Aged Backorders"}</definedName>
    <definedName name="dedo" localSheetId="2" hidden="1">{#N/A,#N/A,TRUE,"Distribution";#N/A,#N/A,TRUE,"Fulfillment";#N/A,#N/A,TRUE,"Aged Backorders"}</definedName>
    <definedName name="dedo" localSheetId="8" hidden="1">{#N/A,#N/A,TRUE,"Distribution";#N/A,#N/A,TRUE,"Fulfillment";#N/A,#N/A,TRUE,"Aged Backorders"}</definedName>
    <definedName name="dedo" localSheetId="9" hidden="1">{#N/A,#N/A,TRUE,"Distribution";#N/A,#N/A,TRUE,"Fulfillment";#N/A,#N/A,TRUE,"Aged Backorders"}</definedName>
    <definedName name="dedo" localSheetId="10" hidden="1">{#N/A,#N/A,TRUE,"Distribution";#N/A,#N/A,TRUE,"Fulfillment";#N/A,#N/A,TRUE,"Aged Backorders"}</definedName>
    <definedName name="dedo" hidden="1">{#N/A,#N/A,TRUE,"Distribution";#N/A,#N/A,TRUE,"Fulfillment";#N/A,#N/A,TRUE,"Aged Backorders"}</definedName>
    <definedName name="DEH" localSheetId="4">#REF!</definedName>
    <definedName name="DEH" localSheetId="3">#REF!</definedName>
    <definedName name="DEH" localSheetId="2">#REF!</definedName>
    <definedName name="DEH" localSheetId="5">#REF!</definedName>
    <definedName name="DEH" localSheetId="6">#REF!</definedName>
    <definedName name="DEH" localSheetId="7">#REF!</definedName>
    <definedName name="DEH" localSheetId="8">#REF!</definedName>
    <definedName name="DEH" localSheetId="9">#REF!</definedName>
    <definedName name="DEH" localSheetId="10">#REF!</definedName>
    <definedName name="DEH" localSheetId="11">#REF!</definedName>
    <definedName name="DEH">#REF!</definedName>
    <definedName name="DEHUMS" localSheetId="4">#REF!</definedName>
    <definedName name="DEHUMS" localSheetId="3">#REF!</definedName>
    <definedName name="DEHUMS" localSheetId="2">#REF!</definedName>
    <definedName name="DEHUMS" localSheetId="5">#REF!</definedName>
    <definedName name="DEHUMS" localSheetId="6">#REF!</definedName>
    <definedName name="DEHUMS" localSheetId="7">#REF!</definedName>
    <definedName name="DEHUMS" localSheetId="8">#REF!</definedName>
    <definedName name="DEHUMS" localSheetId="9">#REF!</definedName>
    <definedName name="DEHUMS" localSheetId="10">#REF!</definedName>
    <definedName name="DEHUMS" localSheetId="11">#REF!</definedName>
    <definedName name="DEHUMS">#REF!</definedName>
    <definedName name="DEJACOAS" localSheetId="4">#REF!</definedName>
    <definedName name="DEJACOAS" localSheetId="3">#REF!</definedName>
    <definedName name="DEJACOAS" localSheetId="2">#REF!</definedName>
    <definedName name="DEJACOAS" localSheetId="5">#REF!</definedName>
    <definedName name="DEJACOAS" localSheetId="6">#REF!</definedName>
    <definedName name="DEJACOAS" localSheetId="7">#REF!</definedName>
    <definedName name="DEJACOAS" localSheetId="8">#REF!</definedName>
    <definedName name="DEJACOAS" localSheetId="9">#REF!</definedName>
    <definedName name="DEJACOAS" localSheetId="10">#REF!</definedName>
    <definedName name="DEJACOAS" localSheetId="11">#REF!</definedName>
    <definedName name="DEJACOAS">#REF!</definedName>
    <definedName name="DELALL" localSheetId="4">[16]!DELALL</definedName>
    <definedName name="DELALL" localSheetId="3">[16]!DELALL</definedName>
    <definedName name="DELALL" localSheetId="2">[16]!DELALL</definedName>
    <definedName name="DELALL" localSheetId="5">[16]!DELALL</definedName>
    <definedName name="DELALL" localSheetId="6">[16]!DELALL</definedName>
    <definedName name="DELALL" localSheetId="7">[16]!DELALL</definedName>
    <definedName name="DELALL" localSheetId="8">[16]!DELALL</definedName>
    <definedName name="DELALL" localSheetId="9">[16]!DELALL</definedName>
    <definedName name="DELALL" localSheetId="10">[67]!DELALL</definedName>
    <definedName name="DELALL">[12]!DELALL</definedName>
    <definedName name="DEP">"外1线"</definedName>
    <definedName name="DEP_NM">""</definedName>
    <definedName name="Depreciation_by_Yr" localSheetId="4">'[44]Depreciation Tables'!$C$77:$Z$78</definedName>
    <definedName name="Depreciation_by_Yr" localSheetId="3">'[44]Depreciation Tables'!$C$77:$Z$78</definedName>
    <definedName name="Depreciation_by_Yr" localSheetId="2">'[44]Depreciation Tables'!$C$77:$Z$78</definedName>
    <definedName name="Depreciation_by_Yr" localSheetId="5">'[44]Depreciation Tables'!$C$77:$Z$78</definedName>
    <definedName name="Depreciation_by_Yr" localSheetId="6">'[44]Depreciation Tables'!$C$77:$Z$78</definedName>
    <definedName name="Depreciation_by_Yr" localSheetId="7">'[44]Depreciation Tables'!$C$77:$Z$78</definedName>
    <definedName name="Depreciation_by_Yr" localSheetId="8">'[44]Depreciation Tables'!$C$77:$Z$78</definedName>
    <definedName name="Depreciation_by_Yr" localSheetId="9">'[44]Depreciation Tables'!$C$77:$Z$78</definedName>
    <definedName name="Depreciation_by_Yr" localSheetId="10">'[19]Depreciation Tables'!$C$77:$Z$78</definedName>
    <definedName name="Depreciation_by_Yr">'[33]Depreciation Tables'!$C$77:$Z$78</definedName>
    <definedName name="DESAAS" localSheetId="4">#REF!</definedName>
    <definedName name="DESAAS" localSheetId="3">#REF!</definedName>
    <definedName name="DESAAS" localSheetId="2">#REF!</definedName>
    <definedName name="DESAAS" localSheetId="5">#REF!</definedName>
    <definedName name="DESAAS" localSheetId="6">#REF!</definedName>
    <definedName name="DESAAS" localSheetId="7">#REF!</definedName>
    <definedName name="DESAAS" localSheetId="8">#REF!</definedName>
    <definedName name="DESAAS" localSheetId="9">#REF!</definedName>
    <definedName name="DESAAS" localSheetId="10">#REF!</definedName>
    <definedName name="DESAAS" localSheetId="11">#REF!</definedName>
    <definedName name="DESAAS">#REF!</definedName>
    <definedName name="df" localSheetId="4">#REF!</definedName>
    <definedName name="df" localSheetId="3">#REF!</definedName>
    <definedName name="df" localSheetId="2">#REF!</definedName>
    <definedName name="df" localSheetId="5">#REF!</definedName>
    <definedName name="df" localSheetId="6">#REF!</definedName>
    <definedName name="df" localSheetId="7">#REF!</definedName>
    <definedName name="df" localSheetId="8">#REF!</definedName>
    <definedName name="df" localSheetId="9">#REF!</definedName>
    <definedName name="df" localSheetId="10">#REF!</definedName>
    <definedName name="df" localSheetId="11">#REF!</definedName>
    <definedName name="df">#REF!</definedName>
    <definedName name="DFAHDFGKJH" localSheetId="4" hidden="1">{#N/A,#N/A,TRUE,"Distribution";#N/A,#N/A,TRUE,"Fulfillment";#N/A,#N/A,TRUE,"Aged Backorders"}</definedName>
    <definedName name="DFAHDFGKJH" localSheetId="3" hidden="1">{#N/A,#N/A,TRUE,"Distribution";#N/A,#N/A,TRUE,"Fulfillment";#N/A,#N/A,TRUE,"Aged Backorders"}</definedName>
    <definedName name="DFAHDFGKJH" localSheetId="2" hidden="1">{#N/A,#N/A,TRUE,"Distribution";#N/A,#N/A,TRUE,"Fulfillment";#N/A,#N/A,TRUE,"Aged Backorders"}</definedName>
    <definedName name="DFAHDFGKJH" localSheetId="8" hidden="1">{#N/A,#N/A,TRUE,"Distribution";#N/A,#N/A,TRUE,"Fulfillment";#N/A,#N/A,TRUE,"Aged Backorders"}</definedName>
    <definedName name="DFAHDFGKJH" localSheetId="9" hidden="1">{#N/A,#N/A,TRUE,"Distribution";#N/A,#N/A,TRUE,"Fulfillment";#N/A,#N/A,TRUE,"Aged Backorders"}</definedName>
    <definedName name="DFAHDFGKJH" localSheetId="10" hidden="1">{#N/A,#N/A,TRUE,"Distribution";#N/A,#N/A,TRUE,"Fulfillment";#N/A,#N/A,TRUE,"Aged Backorders"}</definedName>
    <definedName name="DFAHDFGKJH" hidden="1">{#N/A,#N/A,TRUE,"Distribution";#N/A,#N/A,TRUE,"Fulfillment";#N/A,#N/A,TRUE,"Aged Backorders"}</definedName>
    <definedName name="dfbjhdgfhj" localSheetId="4" hidden="1">{#N/A,#N/A,TRUE,"Distribution";#N/A,#N/A,TRUE,"Fulfillment";#N/A,#N/A,TRUE,"Aged Backorders"}</definedName>
    <definedName name="dfbjhdgfhj" localSheetId="3" hidden="1">{#N/A,#N/A,TRUE,"Distribution";#N/A,#N/A,TRUE,"Fulfillment";#N/A,#N/A,TRUE,"Aged Backorders"}</definedName>
    <definedName name="dfbjhdgfhj" localSheetId="2" hidden="1">{#N/A,#N/A,TRUE,"Distribution";#N/A,#N/A,TRUE,"Fulfillment";#N/A,#N/A,TRUE,"Aged Backorders"}</definedName>
    <definedName name="dfbjhdgfhj" localSheetId="8" hidden="1">{#N/A,#N/A,TRUE,"Distribution";#N/A,#N/A,TRUE,"Fulfillment";#N/A,#N/A,TRUE,"Aged Backorders"}</definedName>
    <definedName name="dfbjhdgfhj" localSheetId="9" hidden="1">{#N/A,#N/A,TRUE,"Distribution";#N/A,#N/A,TRUE,"Fulfillment";#N/A,#N/A,TRUE,"Aged Backorders"}</definedName>
    <definedName name="dfbjhdgfhj" localSheetId="10" hidden="1">{#N/A,#N/A,TRUE,"Distribution";#N/A,#N/A,TRUE,"Fulfillment";#N/A,#N/A,TRUE,"Aged Backorders"}</definedName>
    <definedName name="dfbjhdgfhj" hidden="1">{#N/A,#N/A,TRUE,"Distribution";#N/A,#N/A,TRUE,"Fulfillment";#N/A,#N/A,TRUE,"Aged Backorders"}</definedName>
    <definedName name="dfd" localSheetId="4" hidden="1">{#N/A,#N/A,FALSE,"Signature Page";#N/A,#N/A,FALSE,"Revision Summary";#N/A,#N/A,FALSE,"PROCESS FLOW";#N/A,#N/A,FALSE,"FMEA Worksheet"}</definedName>
    <definedName name="dfd" localSheetId="3" hidden="1">{#N/A,#N/A,FALSE,"Signature Page";#N/A,#N/A,FALSE,"Revision Summary";#N/A,#N/A,FALSE,"PROCESS FLOW";#N/A,#N/A,FALSE,"FMEA Worksheet"}</definedName>
    <definedName name="dfd" localSheetId="2" hidden="1">{#N/A,#N/A,FALSE,"Signature Page";#N/A,#N/A,FALSE,"Revision Summary";#N/A,#N/A,FALSE,"PROCESS FLOW";#N/A,#N/A,FALSE,"FMEA Worksheet"}</definedName>
    <definedName name="dfd" localSheetId="8" hidden="1">{#N/A,#N/A,FALSE,"Signature Page";#N/A,#N/A,FALSE,"Revision Summary";#N/A,#N/A,FALSE,"PROCESS FLOW";#N/A,#N/A,FALSE,"FMEA Worksheet"}</definedName>
    <definedName name="dfd" localSheetId="9" hidden="1">{#N/A,#N/A,FALSE,"Signature Page";#N/A,#N/A,FALSE,"Revision Summary";#N/A,#N/A,FALSE,"PROCESS FLOW";#N/A,#N/A,FALSE,"FMEA Worksheet"}</definedName>
    <definedName name="dfd" localSheetId="10" hidden="1">{#N/A,#N/A,FALSE,"Signature Page";#N/A,#N/A,FALSE,"Revision Summary";#N/A,#N/A,FALSE,"PROCESS FLOW";#N/A,#N/A,FALSE,"FMEA Worksheet"}</definedName>
    <definedName name="dfd" hidden="1">{#N/A,#N/A,FALSE,"Signature Page";#N/A,#N/A,FALSE,"Revision Summary";#N/A,#N/A,FALSE,"PROCESS FLOW";#N/A,#N/A,FALSE,"FMEA Worksheet"}</definedName>
    <definedName name="dfgg" localSheetId="4">[62]Spec!$B$53:$F$56</definedName>
    <definedName name="dfgg" localSheetId="3">[62]Spec!$B$53:$F$56</definedName>
    <definedName name="dfgg" localSheetId="2">[62]Spec!$B$53:$F$56</definedName>
    <definedName name="dfgg" localSheetId="5">[62]Spec!$B$53:$F$56</definedName>
    <definedName name="dfgg" localSheetId="6">[62]Spec!$B$53:$F$56</definedName>
    <definedName name="dfgg" localSheetId="7">[62]Spec!$B$53:$F$56</definedName>
    <definedName name="dfgg" localSheetId="8">[62]Spec!$B$53:$F$56</definedName>
    <definedName name="dfgg" localSheetId="9">[62]Spec!$B$53:$F$56</definedName>
    <definedName name="dfgg" localSheetId="10">[40]Spec!$B$53:$F$56</definedName>
    <definedName name="dfgg">[49]Spec!$B$53:$F$56</definedName>
    <definedName name="dfht" localSheetId="4" hidden="1">{#N/A,#N/A,TRUE,"Distribution";#N/A,#N/A,TRUE,"Fulfillment";#N/A,#N/A,TRUE,"Aged Backorders"}</definedName>
    <definedName name="dfht" localSheetId="3" hidden="1">{#N/A,#N/A,TRUE,"Distribution";#N/A,#N/A,TRUE,"Fulfillment";#N/A,#N/A,TRUE,"Aged Backorders"}</definedName>
    <definedName name="dfht" localSheetId="2" hidden="1">{#N/A,#N/A,TRUE,"Distribution";#N/A,#N/A,TRUE,"Fulfillment";#N/A,#N/A,TRUE,"Aged Backorders"}</definedName>
    <definedName name="dfht" localSheetId="8" hidden="1">{#N/A,#N/A,TRUE,"Distribution";#N/A,#N/A,TRUE,"Fulfillment";#N/A,#N/A,TRUE,"Aged Backorders"}</definedName>
    <definedName name="dfht" localSheetId="9" hidden="1">{#N/A,#N/A,TRUE,"Distribution";#N/A,#N/A,TRUE,"Fulfillment";#N/A,#N/A,TRUE,"Aged Backorders"}</definedName>
    <definedName name="dfht" localSheetId="10" hidden="1">{#N/A,#N/A,TRUE,"Distribution";#N/A,#N/A,TRUE,"Fulfillment";#N/A,#N/A,TRUE,"Aged Backorders"}</definedName>
    <definedName name="dfht" hidden="1">{#N/A,#N/A,TRUE,"Distribution";#N/A,#N/A,TRUE,"Fulfillment";#N/A,#N/A,TRUE,"Aged Backorders"}</definedName>
    <definedName name="dfhy" localSheetId="4" hidden="1">{#N/A,#N/A,TRUE,"Distribution";#N/A,#N/A,TRUE,"Fulfillment";#N/A,#N/A,TRUE,"Aged Backorders"}</definedName>
    <definedName name="dfhy" localSheetId="3" hidden="1">{#N/A,#N/A,TRUE,"Distribution";#N/A,#N/A,TRUE,"Fulfillment";#N/A,#N/A,TRUE,"Aged Backorders"}</definedName>
    <definedName name="dfhy" localSheetId="2" hidden="1">{#N/A,#N/A,TRUE,"Distribution";#N/A,#N/A,TRUE,"Fulfillment";#N/A,#N/A,TRUE,"Aged Backorders"}</definedName>
    <definedName name="dfhy" localSheetId="8" hidden="1">{#N/A,#N/A,TRUE,"Distribution";#N/A,#N/A,TRUE,"Fulfillment";#N/A,#N/A,TRUE,"Aged Backorders"}</definedName>
    <definedName name="dfhy" localSheetId="9" hidden="1">{#N/A,#N/A,TRUE,"Distribution";#N/A,#N/A,TRUE,"Fulfillment";#N/A,#N/A,TRUE,"Aged Backorders"}</definedName>
    <definedName name="dfhy" localSheetId="10" hidden="1">{#N/A,#N/A,TRUE,"Distribution";#N/A,#N/A,TRUE,"Fulfillment";#N/A,#N/A,TRUE,"Aged Backorders"}</definedName>
    <definedName name="dfhy" hidden="1">{#N/A,#N/A,TRUE,"Distribution";#N/A,#N/A,TRUE,"Fulfillment";#N/A,#N/A,TRUE,"Aged Backorders"}</definedName>
    <definedName name="DFJHLAJHF" localSheetId="4" hidden="1">{#N/A,#N/A,TRUE,"Distribution";#N/A,#N/A,TRUE,"Fulfillment";#N/A,#N/A,TRUE,"Aged Backorders"}</definedName>
    <definedName name="DFJHLAJHF" localSheetId="3" hidden="1">{#N/A,#N/A,TRUE,"Distribution";#N/A,#N/A,TRUE,"Fulfillment";#N/A,#N/A,TRUE,"Aged Backorders"}</definedName>
    <definedName name="DFJHLAJHF" localSheetId="2" hidden="1">{#N/A,#N/A,TRUE,"Distribution";#N/A,#N/A,TRUE,"Fulfillment";#N/A,#N/A,TRUE,"Aged Backorders"}</definedName>
    <definedName name="DFJHLAJHF" localSheetId="8" hidden="1">{#N/A,#N/A,TRUE,"Distribution";#N/A,#N/A,TRUE,"Fulfillment";#N/A,#N/A,TRUE,"Aged Backorders"}</definedName>
    <definedName name="DFJHLAJHF" localSheetId="9" hidden="1">{#N/A,#N/A,TRUE,"Distribution";#N/A,#N/A,TRUE,"Fulfillment";#N/A,#N/A,TRUE,"Aged Backorders"}</definedName>
    <definedName name="DFJHLAJHF" localSheetId="10" hidden="1">{#N/A,#N/A,TRUE,"Distribution";#N/A,#N/A,TRUE,"Fulfillment";#N/A,#N/A,TRUE,"Aged Backorders"}</definedName>
    <definedName name="DFJHLAJHF" hidden="1">{#N/A,#N/A,TRUE,"Distribution";#N/A,#N/A,TRUE,"Fulfillment";#N/A,#N/A,TRUE,"Aged Backorders"}</definedName>
    <definedName name="dfkjdnf" localSheetId="4" hidden="1">{#N/A,#N/A,TRUE,"Distribution";#N/A,#N/A,TRUE,"Fulfillment";#N/A,#N/A,TRUE,"Aged Backorders"}</definedName>
    <definedName name="dfkjdnf" localSheetId="3" hidden="1">{#N/A,#N/A,TRUE,"Distribution";#N/A,#N/A,TRUE,"Fulfillment";#N/A,#N/A,TRUE,"Aged Backorders"}</definedName>
    <definedName name="dfkjdnf" localSheetId="2" hidden="1">{#N/A,#N/A,TRUE,"Distribution";#N/A,#N/A,TRUE,"Fulfillment";#N/A,#N/A,TRUE,"Aged Backorders"}</definedName>
    <definedName name="dfkjdnf" localSheetId="8" hidden="1">{#N/A,#N/A,TRUE,"Distribution";#N/A,#N/A,TRUE,"Fulfillment";#N/A,#N/A,TRUE,"Aged Backorders"}</definedName>
    <definedName name="dfkjdnf" localSheetId="9" hidden="1">{#N/A,#N/A,TRUE,"Distribution";#N/A,#N/A,TRUE,"Fulfillment";#N/A,#N/A,TRUE,"Aged Backorders"}</definedName>
    <definedName name="dfkjdnf" localSheetId="10" hidden="1">{#N/A,#N/A,TRUE,"Distribution";#N/A,#N/A,TRUE,"Fulfillment";#N/A,#N/A,TRUE,"Aged Backorders"}</definedName>
    <definedName name="dfkjdnf" hidden="1">{#N/A,#N/A,TRUE,"Distribution";#N/A,#N/A,TRUE,"Fulfillment";#N/A,#N/A,TRUE,"Aged Backorders"}</definedName>
    <definedName name="DFKJHFDNGK" localSheetId="4" hidden="1">{#N/A,#N/A,TRUE,"Distribution";#N/A,#N/A,TRUE,"Fulfillment";#N/A,#N/A,TRUE,"Aged Backorders"}</definedName>
    <definedName name="DFKJHFDNGK" localSheetId="3" hidden="1">{#N/A,#N/A,TRUE,"Distribution";#N/A,#N/A,TRUE,"Fulfillment";#N/A,#N/A,TRUE,"Aged Backorders"}</definedName>
    <definedName name="DFKJHFDNGK" localSheetId="2" hidden="1">{#N/A,#N/A,TRUE,"Distribution";#N/A,#N/A,TRUE,"Fulfillment";#N/A,#N/A,TRUE,"Aged Backorders"}</definedName>
    <definedName name="DFKJHFDNGK" localSheetId="8" hidden="1">{#N/A,#N/A,TRUE,"Distribution";#N/A,#N/A,TRUE,"Fulfillment";#N/A,#N/A,TRUE,"Aged Backorders"}</definedName>
    <definedName name="DFKJHFDNGK" localSheetId="9" hidden="1">{#N/A,#N/A,TRUE,"Distribution";#N/A,#N/A,TRUE,"Fulfillment";#N/A,#N/A,TRUE,"Aged Backorders"}</definedName>
    <definedName name="DFKJHFDNGK" localSheetId="10" hidden="1">{#N/A,#N/A,TRUE,"Distribution";#N/A,#N/A,TRUE,"Fulfillment";#N/A,#N/A,TRUE,"Aged Backorders"}</definedName>
    <definedName name="DFKJHFDNGK" hidden="1">{#N/A,#N/A,TRUE,"Distribution";#N/A,#N/A,TRUE,"Fulfillment";#N/A,#N/A,TRUE,"Aged Backorders"}</definedName>
    <definedName name="dflksmd" localSheetId="4" hidden="1">{#N/A,#N/A,TRUE,"Distribution";#N/A,#N/A,TRUE,"Fulfillment";#N/A,#N/A,TRUE,"Aged Backorders"}</definedName>
    <definedName name="dflksmd" localSheetId="3" hidden="1">{#N/A,#N/A,TRUE,"Distribution";#N/A,#N/A,TRUE,"Fulfillment";#N/A,#N/A,TRUE,"Aged Backorders"}</definedName>
    <definedName name="dflksmd" localSheetId="2" hidden="1">{#N/A,#N/A,TRUE,"Distribution";#N/A,#N/A,TRUE,"Fulfillment";#N/A,#N/A,TRUE,"Aged Backorders"}</definedName>
    <definedName name="dflksmd" localSheetId="8" hidden="1">{#N/A,#N/A,TRUE,"Distribution";#N/A,#N/A,TRUE,"Fulfillment";#N/A,#N/A,TRUE,"Aged Backorders"}</definedName>
    <definedName name="dflksmd" localSheetId="9" hidden="1">{#N/A,#N/A,TRUE,"Distribution";#N/A,#N/A,TRUE,"Fulfillment";#N/A,#N/A,TRUE,"Aged Backorders"}</definedName>
    <definedName name="dflksmd" localSheetId="10" hidden="1">{#N/A,#N/A,TRUE,"Distribution";#N/A,#N/A,TRUE,"Fulfillment";#N/A,#N/A,TRUE,"Aged Backorders"}</definedName>
    <definedName name="dflksmd" hidden="1">{#N/A,#N/A,TRUE,"Distribution";#N/A,#N/A,TRUE,"Fulfillment";#N/A,#N/A,TRUE,"Aged Backorders"}</definedName>
    <definedName name="dfmnbasdrf" localSheetId="4" hidden="1">{#N/A,#N/A,TRUE,"Distribution";#N/A,#N/A,TRUE,"Fulfillment";#N/A,#N/A,TRUE,"Aged Backorders"}</definedName>
    <definedName name="dfmnbasdrf" localSheetId="3" hidden="1">{#N/A,#N/A,TRUE,"Distribution";#N/A,#N/A,TRUE,"Fulfillment";#N/A,#N/A,TRUE,"Aged Backorders"}</definedName>
    <definedName name="dfmnbasdrf" localSheetId="2" hidden="1">{#N/A,#N/A,TRUE,"Distribution";#N/A,#N/A,TRUE,"Fulfillment";#N/A,#N/A,TRUE,"Aged Backorders"}</definedName>
    <definedName name="dfmnbasdrf" localSheetId="8" hidden="1">{#N/A,#N/A,TRUE,"Distribution";#N/A,#N/A,TRUE,"Fulfillment";#N/A,#N/A,TRUE,"Aged Backorders"}</definedName>
    <definedName name="dfmnbasdrf" localSheetId="9" hidden="1">{#N/A,#N/A,TRUE,"Distribution";#N/A,#N/A,TRUE,"Fulfillment";#N/A,#N/A,TRUE,"Aged Backorders"}</definedName>
    <definedName name="dfmnbasdrf" localSheetId="10" hidden="1">{#N/A,#N/A,TRUE,"Distribution";#N/A,#N/A,TRUE,"Fulfillment";#N/A,#N/A,TRUE,"Aged Backorders"}</definedName>
    <definedName name="dfmnbasdrf" hidden="1">{#N/A,#N/A,TRUE,"Distribution";#N/A,#N/A,TRUE,"Fulfillment";#N/A,#N/A,TRUE,"Aged Backorders"}</definedName>
    <definedName name="DFSJHKJN" localSheetId="4" hidden="1">{#N/A,#N/A,TRUE,"Distribution";#N/A,#N/A,TRUE,"Fulfillment";#N/A,#N/A,TRUE,"Aged Backorders"}</definedName>
    <definedName name="DFSJHKJN" localSheetId="3" hidden="1">{#N/A,#N/A,TRUE,"Distribution";#N/A,#N/A,TRUE,"Fulfillment";#N/A,#N/A,TRUE,"Aged Backorders"}</definedName>
    <definedName name="DFSJHKJN" localSheetId="2" hidden="1">{#N/A,#N/A,TRUE,"Distribution";#N/A,#N/A,TRUE,"Fulfillment";#N/A,#N/A,TRUE,"Aged Backorders"}</definedName>
    <definedName name="DFSJHKJN" localSheetId="8" hidden="1">{#N/A,#N/A,TRUE,"Distribution";#N/A,#N/A,TRUE,"Fulfillment";#N/A,#N/A,TRUE,"Aged Backorders"}</definedName>
    <definedName name="DFSJHKJN" localSheetId="9" hidden="1">{#N/A,#N/A,TRUE,"Distribution";#N/A,#N/A,TRUE,"Fulfillment";#N/A,#N/A,TRUE,"Aged Backorders"}</definedName>
    <definedName name="DFSJHKJN" localSheetId="10" hidden="1">{#N/A,#N/A,TRUE,"Distribution";#N/A,#N/A,TRUE,"Fulfillment";#N/A,#N/A,TRUE,"Aged Backorders"}</definedName>
    <definedName name="DFSJHKJN" hidden="1">{#N/A,#N/A,TRUE,"Distribution";#N/A,#N/A,TRUE,"Fulfillment";#N/A,#N/A,TRUE,"Aged Backorders"}</definedName>
    <definedName name="dh" localSheetId="4" hidden="1">{#N/A,#N/A,TRUE,"Distribution";#N/A,#N/A,TRUE,"Fulfillment";#N/A,#N/A,TRUE,"Aged Backorders"}</definedName>
    <definedName name="dh" localSheetId="3" hidden="1">{#N/A,#N/A,TRUE,"Distribution";#N/A,#N/A,TRUE,"Fulfillment";#N/A,#N/A,TRUE,"Aged Backorders"}</definedName>
    <definedName name="dh" localSheetId="2" hidden="1">{#N/A,#N/A,TRUE,"Distribution";#N/A,#N/A,TRUE,"Fulfillment";#N/A,#N/A,TRUE,"Aged Backorders"}</definedName>
    <definedName name="dh" localSheetId="8" hidden="1">{#N/A,#N/A,TRUE,"Distribution";#N/A,#N/A,TRUE,"Fulfillment";#N/A,#N/A,TRUE,"Aged Backorders"}</definedName>
    <definedName name="dh" localSheetId="9" hidden="1">{#N/A,#N/A,TRUE,"Distribution";#N/A,#N/A,TRUE,"Fulfillment";#N/A,#N/A,TRUE,"Aged Backorders"}</definedName>
    <definedName name="dh" localSheetId="10" hidden="1">{#N/A,#N/A,TRUE,"Distribution";#N/A,#N/A,TRUE,"Fulfillment";#N/A,#N/A,TRUE,"Aged Backorders"}</definedName>
    <definedName name="dh" hidden="1">{#N/A,#N/A,TRUE,"Distribution";#N/A,#N/A,TRUE,"Fulfillment";#N/A,#N/A,TRUE,"Aged Backorders"}</definedName>
    <definedName name="dhy" localSheetId="4" hidden="1">{#N/A,#N/A,TRUE,"Distribution";#N/A,#N/A,TRUE,"Fulfillment";#N/A,#N/A,TRUE,"Aged Backorders"}</definedName>
    <definedName name="dhy" localSheetId="3" hidden="1">{#N/A,#N/A,TRUE,"Distribution";#N/A,#N/A,TRUE,"Fulfillment";#N/A,#N/A,TRUE,"Aged Backorders"}</definedName>
    <definedName name="dhy" localSheetId="2" hidden="1">{#N/A,#N/A,TRUE,"Distribution";#N/A,#N/A,TRUE,"Fulfillment";#N/A,#N/A,TRUE,"Aged Backorders"}</definedName>
    <definedName name="dhy" localSheetId="8" hidden="1">{#N/A,#N/A,TRUE,"Distribution";#N/A,#N/A,TRUE,"Fulfillment";#N/A,#N/A,TRUE,"Aged Backorders"}</definedName>
    <definedName name="dhy" localSheetId="9" hidden="1">{#N/A,#N/A,TRUE,"Distribution";#N/A,#N/A,TRUE,"Fulfillment";#N/A,#N/A,TRUE,"Aged Backorders"}</definedName>
    <definedName name="dhy" localSheetId="10" hidden="1">{#N/A,#N/A,TRUE,"Distribution";#N/A,#N/A,TRUE,"Fulfillment";#N/A,#N/A,TRUE,"Aged Backorders"}</definedName>
    <definedName name="dhy" hidden="1">{#N/A,#N/A,TRUE,"Distribution";#N/A,#N/A,TRUE,"Fulfillment";#N/A,#N/A,TRUE,"Aged Backorders"}</definedName>
    <definedName name="diamond" localSheetId="4">#REF!</definedName>
    <definedName name="diamond" localSheetId="3">#REF!</definedName>
    <definedName name="diamond" localSheetId="2">#REF!</definedName>
    <definedName name="diamond" localSheetId="5">#REF!</definedName>
    <definedName name="diamond" localSheetId="6">#REF!</definedName>
    <definedName name="diamond" localSheetId="7">#REF!</definedName>
    <definedName name="diamond" localSheetId="8">#REF!</definedName>
    <definedName name="diamond" localSheetId="9">#REF!</definedName>
    <definedName name="diamond" localSheetId="10">#REF!</definedName>
    <definedName name="diamond" localSheetId="11">#REF!</definedName>
    <definedName name="diamond">#REF!</definedName>
    <definedName name="DIF" localSheetId="10">[92]Original!$N$13</definedName>
    <definedName name="DIF">[46]Original!$N$13</definedName>
    <definedName name="Dim" localSheetId="10">[93]Index!$C$1:$P$8</definedName>
    <definedName name="Dim">[55]Index!$C$1:$P$8</definedName>
    <definedName name="dinana" localSheetId="4">#REF!</definedName>
    <definedName name="dinana" localSheetId="3">#REF!</definedName>
    <definedName name="dinana" localSheetId="2">#REF!</definedName>
    <definedName name="dinana" localSheetId="5">#REF!</definedName>
    <definedName name="dinana" localSheetId="6">#REF!</definedName>
    <definedName name="dinana" localSheetId="7">#REF!</definedName>
    <definedName name="dinana" localSheetId="8">#REF!</definedName>
    <definedName name="dinana" localSheetId="9">#REF!</definedName>
    <definedName name="dinana" localSheetId="10">#REF!</definedName>
    <definedName name="dinana" localSheetId="11">#REF!</definedName>
    <definedName name="dinana">#REF!</definedName>
    <definedName name="dispIntercept" localSheetId="4">[71]Optimize!$BD$64</definedName>
    <definedName name="dispIntercept" localSheetId="3">[71]Optimize!$BD$64</definedName>
    <definedName name="dispIntercept" localSheetId="2">[71]Optimize!$BD$64</definedName>
    <definedName name="dispIntercept" localSheetId="5">[71]Optimize!$BD$64</definedName>
    <definedName name="dispIntercept" localSheetId="6">[71]Optimize!$BD$64</definedName>
    <definedName name="dispIntercept" localSheetId="7">[71]Optimize!$BD$64</definedName>
    <definedName name="dispIntercept" localSheetId="8">[71]Optimize!$BD$64</definedName>
    <definedName name="dispIntercept" localSheetId="9">[71]Optimize!$BD$64</definedName>
    <definedName name="dispIntercept" localSheetId="10">[10]Optimize!$BD$64</definedName>
    <definedName name="dispIntercept">[18]Optimize!$BD$64</definedName>
    <definedName name="dispSlope" localSheetId="4">[71]Optimize!$BC$64</definedName>
    <definedName name="dispSlope" localSheetId="3">[71]Optimize!$BC$64</definedName>
    <definedName name="dispSlope" localSheetId="2">[71]Optimize!$BC$64</definedName>
    <definedName name="dispSlope" localSheetId="5">[71]Optimize!$BC$64</definedName>
    <definedName name="dispSlope" localSheetId="6">[71]Optimize!$BC$64</definedName>
    <definedName name="dispSlope" localSheetId="7">[71]Optimize!$BC$64</definedName>
    <definedName name="dispSlope" localSheetId="8">[71]Optimize!$BC$64</definedName>
    <definedName name="dispSlope" localSheetId="9">[71]Optimize!$BC$64</definedName>
    <definedName name="dispSlope" localSheetId="10">[10]Optimize!$BC$64</definedName>
    <definedName name="dispSlope">[18]Optimize!$BC$64</definedName>
    <definedName name="Divider" localSheetId="4">[37]Spec!$B$53:$F$56</definedName>
    <definedName name="Divider" localSheetId="3">[37]Spec!$B$53:$F$56</definedName>
    <definedName name="Divider" localSheetId="2">[37]Spec!$B$53:$F$56</definedName>
    <definedName name="Divider" localSheetId="5">[37]Spec!$B$53:$F$56</definedName>
    <definedName name="Divider" localSheetId="6">[37]Spec!$B$53:$F$56</definedName>
    <definedName name="Divider" localSheetId="7">[37]Spec!$B$53:$F$56</definedName>
    <definedName name="Divider" localSheetId="8">[37]Spec!$B$53:$F$56</definedName>
    <definedName name="Divider" localSheetId="9">[37]Spec!$B$53:$F$56</definedName>
    <definedName name="Divider" localSheetId="10">[22]Spec!$B$53:$F$56</definedName>
    <definedName name="Divider">[29]Spec!$B$53:$F$56</definedName>
    <definedName name="DJFHKh" localSheetId="4" hidden="1">{#N/A,#N/A,TRUE,"Distribution";#N/A,#N/A,TRUE,"Fulfillment";#N/A,#N/A,TRUE,"Aged Backorders"}</definedName>
    <definedName name="DJFHKh" localSheetId="3" hidden="1">{#N/A,#N/A,TRUE,"Distribution";#N/A,#N/A,TRUE,"Fulfillment";#N/A,#N/A,TRUE,"Aged Backorders"}</definedName>
    <definedName name="DJFHKh" localSheetId="2" hidden="1">{#N/A,#N/A,TRUE,"Distribution";#N/A,#N/A,TRUE,"Fulfillment";#N/A,#N/A,TRUE,"Aged Backorders"}</definedName>
    <definedName name="DJFHKh" localSheetId="8" hidden="1">{#N/A,#N/A,TRUE,"Distribution";#N/A,#N/A,TRUE,"Fulfillment";#N/A,#N/A,TRUE,"Aged Backorders"}</definedName>
    <definedName name="DJFHKh" localSheetId="9" hidden="1">{#N/A,#N/A,TRUE,"Distribution";#N/A,#N/A,TRUE,"Fulfillment";#N/A,#N/A,TRUE,"Aged Backorders"}</definedName>
    <definedName name="DJFHKh" localSheetId="10" hidden="1">{#N/A,#N/A,TRUE,"Distribution";#N/A,#N/A,TRUE,"Fulfillment";#N/A,#N/A,TRUE,"Aged Backorders"}</definedName>
    <definedName name="DJFHKh" hidden="1">{#N/A,#N/A,TRUE,"Distribution";#N/A,#N/A,TRUE,"Fulfillment";#N/A,#N/A,TRUE,"Aged Backorders"}</definedName>
    <definedName name="djhcfjksdh" localSheetId="4" hidden="1">{#N/A,#N/A,TRUE,"Distribution";#N/A,#N/A,TRUE,"Fulfillment";#N/A,#N/A,TRUE,"Aged Backorders"}</definedName>
    <definedName name="djhcfjksdh" localSheetId="3" hidden="1">{#N/A,#N/A,TRUE,"Distribution";#N/A,#N/A,TRUE,"Fulfillment";#N/A,#N/A,TRUE,"Aged Backorders"}</definedName>
    <definedName name="djhcfjksdh" localSheetId="2" hidden="1">{#N/A,#N/A,TRUE,"Distribution";#N/A,#N/A,TRUE,"Fulfillment";#N/A,#N/A,TRUE,"Aged Backorders"}</definedName>
    <definedName name="djhcfjksdh" localSheetId="8" hidden="1">{#N/A,#N/A,TRUE,"Distribution";#N/A,#N/A,TRUE,"Fulfillment";#N/A,#N/A,TRUE,"Aged Backorders"}</definedName>
    <definedName name="djhcfjksdh" localSheetId="9" hidden="1">{#N/A,#N/A,TRUE,"Distribution";#N/A,#N/A,TRUE,"Fulfillment";#N/A,#N/A,TRUE,"Aged Backorders"}</definedName>
    <definedName name="djhcfjksdh" localSheetId="10" hidden="1">{#N/A,#N/A,TRUE,"Distribution";#N/A,#N/A,TRUE,"Fulfillment";#N/A,#N/A,TRUE,"Aged Backorders"}</definedName>
    <definedName name="djhcfjksdh" hidden="1">{#N/A,#N/A,TRUE,"Distribution";#N/A,#N/A,TRUE,"Fulfillment";#N/A,#N/A,TRUE,"Aged Backorders"}</definedName>
    <definedName name="dkfjskdjf" localSheetId="4" hidden="1">{#N/A,#N/A,TRUE,"Distribution";#N/A,#N/A,TRUE,"Fulfillment";#N/A,#N/A,TRUE,"Aged Backorders"}</definedName>
    <definedName name="dkfjskdjf" localSheetId="3" hidden="1">{#N/A,#N/A,TRUE,"Distribution";#N/A,#N/A,TRUE,"Fulfillment";#N/A,#N/A,TRUE,"Aged Backorders"}</definedName>
    <definedName name="dkfjskdjf" localSheetId="2" hidden="1">{#N/A,#N/A,TRUE,"Distribution";#N/A,#N/A,TRUE,"Fulfillment";#N/A,#N/A,TRUE,"Aged Backorders"}</definedName>
    <definedName name="dkfjskdjf" localSheetId="8" hidden="1">{#N/A,#N/A,TRUE,"Distribution";#N/A,#N/A,TRUE,"Fulfillment";#N/A,#N/A,TRUE,"Aged Backorders"}</definedName>
    <definedName name="dkfjskdjf" localSheetId="9" hidden="1">{#N/A,#N/A,TRUE,"Distribution";#N/A,#N/A,TRUE,"Fulfillment";#N/A,#N/A,TRUE,"Aged Backorders"}</definedName>
    <definedName name="dkfjskdjf" localSheetId="10" hidden="1">{#N/A,#N/A,TRUE,"Distribution";#N/A,#N/A,TRUE,"Fulfillment";#N/A,#N/A,TRUE,"Aged Backorders"}</definedName>
    <definedName name="dkfjskdjf" hidden="1">{#N/A,#N/A,TRUE,"Distribution";#N/A,#N/A,TRUE,"Fulfillment";#N/A,#N/A,TRUE,"Aged Backorders"}</definedName>
    <definedName name="DNG" localSheetId="4">'[66]4 审核发现描述'!#REF!</definedName>
    <definedName name="DNG" localSheetId="3">'[66]4 审核发现描述'!#REF!</definedName>
    <definedName name="DNG" localSheetId="2">'[66]4 审核发现描述'!#REF!</definedName>
    <definedName name="DNG" localSheetId="5">'[66]4 审核发现描述'!#REF!</definedName>
    <definedName name="DNG" localSheetId="6">'[66]4 审核发现描述'!#REF!</definedName>
    <definedName name="DNG" localSheetId="7">'[66]4 审核发现描述'!#REF!</definedName>
    <definedName name="DNG" localSheetId="8">'[8]4 审核发现描述'!#REF!</definedName>
    <definedName name="DNG" localSheetId="9">'[8]4 审核发现描述'!#REF!</definedName>
    <definedName name="DNG" localSheetId="10">'[6]4 审核发现描述'!#REF!</definedName>
    <definedName name="DNG">'[7]4 审核发现描述'!#REF!</definedName>
    <definedName name="Doc.No.">[76]產品基本信息!$B$2</definedName>
    <definedName name="Document_array" localSheetId="8">{"Thuxm2.xls","Sheet1"}</definedName>
    <definedName name="Document_array" localSheetId="9">{"Thuxm2.xls","Sheet1"}</definedName>
    <definedName name="Document_array" localSheetId="10">{"Thuxm2.xls","Sheet1"}</definedName>
    <definedName name="Document_array">{"Thuxm2.xls","Sheet1"}</definedName>
    <definedName name="DP" localSheetId="4">#REF!</definedName>
    <definedName name="DP" localSheetId="3">#REF!</definedName>
    <definedName name="DP" localSheetId="2">#REF!</definedName>
    <definedName name="DP" localSheetId="5">#REF!</definedName>
    <definedName name="DP" localSheetId="6">#REF!</definedName>
    <definedName name="DP" localSheetId="7">#REF!</definedName>
    <definedName name="DP" localSheetId="8">#REF!</definedName>
    <definedName name="DP" localSheetId="9">#REF!</definedName>
    <definedName name="DP" localSheetId="10">#REF!</definedName>
    <definedName name="DP" localSheetId="11">#REF!</definedName>
    <definedName name="DP">#REF!</definedName>
    <definedName name="drawing_toolbar" localSheetId="10">[94]!drawing_toolbar</definedName>
    <definedName name="drawing_toolbar">[48]!drawing_toolbar</definedName>
    <definedName name="DRUCK_VS" localSheetId="4">#REF!</definedName>
    <definedName name="DRUCK_VS" localSheetId="3">#REF!</definedName>
    <definedName name="DRUCK_VS" localSheetId="2">#REF!</definedName>
    <definedName name="DRUCK_VS" localSheetId="5">#REF!</definedName>
    <definedName name="DRUCK_VS" localSheetId="6">#REF!</definedName>
    <definedName name="DRUCK_VS" localSheetId="7">#REF!</definedName>
    <definedName name="DRUCK_VS" localSheetId="8">#REF!</definedName>
    <definedName name="DRUCK_VS" localSheetId="9">#REF!</definedName>
    <definedName name="DRUCK_VS" localSheetId="10">#REF!</definedName>
    <definedName name="DRUCK_VS" localSheetId="11">#REF!</definedName>
    <definedName name="DRUCK_VS">#REF!</definedName>
    <definedName name="DruckeMitVorschau">#N/A</definedName>
    <definedName name="DRWISS" localSheetId="10">'[34]NEW003'!$I$1:$I$65536</definedName>
    <definedName name="DRWISS">'[56]NEW003'!$I$1:$I$65536</definedName>
    <definedName name="DRWRCV" localSheetId="10">'[34]NEW003'!$J$1:$J$65536</definedName>
    <definedName name="DRWRCV">'[56]NEW003'!$J$1:$J$65536</definedName>
    <definedName name="ds" localSheetId="4">#REF!</definedName>
    <definedName name="ds" localSheetId="3">#REF!</definedName>
    <definedName name="ds" localSheetId="2">#REF!</definedName>
    <definedName name="ds" localSheetId="5">#REF!</definedName>
    <definedName name="ds" localSheetId="6">#REF!</definedName>
    <definedName name="ds" localSheetId="7">#REF!</definedName>
    <definedName name="ds" localSheetId="8">#REF!</definedName>
    <definedName name="ds" localSheetId="9">#REF!</definedName>
    <definedName name="ds" localSheetId="10">#REF!</definedName>
    <definedName name="ds" localSheetId="11">#REF!</definedName>
    <definedName name="ds">#REF!</definedName>
    <definedName name="dsafdfdffdag" localSheetId="4">#REF!</definedName>
    <definedName name="dsafdfdffdag" localSheetId="3">#REF!</definedName>
    <definedName name="dsafdfdffdag" localSheetId="2">#REF!</definedName>
    <definedName name="dsafdfdffdag" localSheetId="5">#REF!</definedName>
    <definedName name="dsafdfdffdag" localSheetId="6">#REF!</definedName>
    <definedName name="dsafdfdffdag" localSheetId="7">#REF!</definedName>
    <definedName name="dsafdfdffdag" localSheetId="8">#REF!</definedName>
    <definedName name="dsafdfdffdag" localSheetId="9">#REF!</definedName>
    <definedName name="dsafdfdffdag" localSheetId="10">#REF!</definedName>
    <definedName name="dsafdfdffdag" localSheetId="11">#REF!</definedName>
    <definedName name="dsafdfdffdag">#REF!</definedName>
    <definedName name="DSFkjhefkjha" localSheetId="4" hidden="1">{#N/A,#N/A,TRUE,"Distribution";#N/A,#N/A,TRUE,"Fulfillment";#N/A,#N/A,TRUE,"Aged Backorders"}</definedName>
    <definedName name="DSFkjhefkjha" localSheetId="3" hidden="1">{#N/A,#N/A,TRUE,"Distribution";#N/A,#N/A,TRUE,"Fulfillment";#N/A,#N/A,TRUE,"Aged Backorders"}</definedName>
    <definedName name="DSFkjhefkjha" localSheetId="2" hidden="1">{#N/A,#N/A,TRUE,"Distribution";#N/A,#N/A,TRUE,"Fulfillment";#N/A,#N/A,TRUE,"Aged Backorders"}</definedName>
    <definedName name="DSFkjhefkjha" localSheetId="8" hidden="1">{#N/A,#N/A,TRUE,"Distribution";#N/A,#N/A,TRUE,"Fulfillment";#N/A,#N/A,TRUE,"Aged Backorders"}</definedName>
    <definedName name="DSFkjhefkjha" localSheetId="9" hidden="1">{#N/A,#N/A,TRUE,"Distribution";#N/A,#N/A,TRUE,"Fulfillment";#N/A,#N/A,TRUE,"Aged Backorders"}</definedName>
    <definedName name="DSFkjhefkjha" localSheetId="10" hidden="1">{#N/A,#N/A,TRUE,"Distribution";#N/A,#N/A,TRUE,"Fulfillment";#N/A,#N/A,TRUE,"Aged Backorders"}</definedName>
    <definedName name="DSFkjhefkjha" hidden="1">{#N/A,#N/A,TRUE,"Distribution";#N/A,#N/A,TRUE,"Fulfillment";#N/A,#N/A,TRUE,"Aged Backorders"}</definedName>
    <definedName name="dsgjgft" localSheetId="4">#REF!</definedName>
    <definedName name="dsgjgft" localSheetId="3">#REF!</definedName>
    <definedName name="dsgjgft" localSheetId="2">#REF!</definedName>
    <definedName name="dsgjgft" localSheetId="5">#REF!</definedName>
    <definedName name="dsgjgft" localSheetId="6">#REF!</definedName>
    <definedName name="dsgjgft" localSheetId="7">#REF!</definedName>
    <definedName name="dsgjgft" localSheetId="8">#REF!</definedName>
    <definedName name="dsgjgft" localSheetId="9">#REF!</definedName>
    <definedName name="dsgjgft" localSheetId="10">#REF!</definedName>
    <definedName name="dsgjgft" localSheetId="11">#REF!</definedName>
    <definedName name="dsgjgft">#REF!</definedName>
    <definedName name="dsry" localSheetId="4" hidden="1">{#N/A,#N/A,TRUE,"Distribution";#N/A,#N/A,TRUE,"Fulfillment";#N/A,#N/A,TRUE,"Aged Backorders"}</definedName>
    <definedName name="dsry" localSheetId="3" hidden="1">{#N/A,#N/A,TRUE,"Distribution";#N/A,#N/A,TRUE,"Fulfillment";#N/A,#N/A,TRUE,"Aged Backorders"}</definedName>
    <definedName name="dsry" localSheetId="2" hidden="1">{#N/A,#N/A,TRUE,"Distribution";#N/A,#N/A,TRUE,"Fulfillment";#N/A,#N/A,TRUE,"Aged Backorders"}</definedName>
    <definedName name="dsry" localSheetId="8" hidden="1">{#N/A,#N/A,TRUE,"Distribution";#N/A,#N/A,TRUE,"Fulfillment";#N/A,#N/A,TRUE,"Aged Backorders"}</definedName>
    <definedName name="dsry" localSheetId="9" hidden="1">{#N/A,#N/A,TRUE,"Distribution";#N/A,#N/A,TRUE,"Fulfillment";#N/A,#N/A,TRUE,"Aged Backorders"}</definedName>
    <definedName name="dsry" localSheetId="10" hidden="1">{#N/A,#N/A,TRUE,"Distribution";#N/A,#N/A,TRUE,"Fulfillment";#N/A,#N/A,TRUE,"Aged Backorders"}</definedName>
    <definedName name="dsry" hidden="1">{#N/A,#N/A,TRUE,"Distribution";#N/A,#N/A,TRUE,"Fulfillment";#N/A,#N/A,TRUE,"Aged Backorders"}</definedName>
    <definedName name="DSTD_Clear">#N/A</definedName>
    <definedName name="dsthy" localSheetId="4" hidden="1">{#N/A,#N/A,TRUE,"Distribution";#N/A,#N/A,TRUE,"Fulfillment";#N/A,#N/A,TRUE,"Aged Backorders"}</definedName>
    <definedName name="dsthy" localSheetId="3" hidden="1">{#N/A,#N/A,TRUE,"Distribution";#N/A,#N/A,TRUE,"Fulfillment";#N/A,#N/A,TRUE,"Aged Backorders"}</definedName>
    <definedName name="dsthy" localSheetId="2" hidden="1">{#N/A,#N/A,TRUE,"Distribution";#N/A,#N/A,TRUE,"Fulfillment";#N/A,#N/A,TRUE,"Aged Backorders"}</definedName>
    <definedName name="dsthy" localSheetId="8" hidden="1">{#N/A,#N/A,TRUE,"Distribution";#N/A,#N/A,TRUE,"Fulfillment";#N/A,#N/A,TRUE,"Aged Backorders"}</definedName>
    <definedName name="dsthy" localSheetId="9" hidden="1">{#N/A,#N/A,TRUE,"Distribution";#N/A,#N/A,TRUE,"Fulfillment";#N/A,#N/A,TRUE,"Aged Backorders"}</definedName>
    <definedName name="dsthy" localSheetId="10" hidden="1">{#N/A,#N/A,TRUE,"Distribution";#N/A,#N/A,TRUE,"Fulfillment";#N/A,#N/A,TRUE,"Aged Backorders"}</definedName>
    <definedName name="dsthy" hidden="1">{#N/A,#N/A,TRUE,"Distribution";#N/A,#N/A,TRUE,"Fulfillment";#N/A,#N/A,TRUE,"Aged Backorders"}</definedName>
    <definedName name="dthy" localSheetId="4" hidden="1">{#N/A,#N/A,TRUE,"Distribution";#N/A,#N/A,TRUE,"Fulfillment";#N/A,#N/A,TRUE,"Aged Backorders"}</definedName>
    <definedName name="dthy" localSheetId="3" hidden="1">{#N/A,#N/A,TRUE,"Distribution";#N/A,#N/A,TRUE,"Fulfillment";#N/A,#N/A,TRUE,"Aged Backorders"}</definedName>
    <definedName name="dthy" localSheetId="2" hidden="1">{#N/A,#N/A,TRUE,"Distribution";#N/A,#N/A,TRUE,"Fulfillment";#N/A,#N/A,TRUE,"Aged Backorders"}</definedName>
    <definedName name="dthy" localSheetId="8" hidden="1">{#N/A,#N/A,TRUE,"Distribution";#N/A,#N/A,TRUE,"Fulfillment";#N/A,#N/A,TRUE,"Aged Backorders"}</definedName>
    <definedName name="dthy" localSheetId="9" hidden="1">{#N/A,#N/A,TRUE,"Distribution";#N/A,#N/A,TRUE,"Fulfillment";#N/A,#N/A,TRUE,"Aged Backorders"}</definedName>
    <definedName name="dthy" localSheetId="10" hidden="1">{#N/A,#N/A,TRUE,"Distribution";#N/A,#N/A,TRUE,"Fulfillment";#N/A,#N/A,TRUE,"Aged Backorders"}</definedName>
    <definedName name="dthy" hidden="1">{#N/A,#N/A,TRUE,"Distribution";#N/A,#N/A,TRUE,"Fulfillment";#N/A,#N/A,TRUE,"Aged Backorders"}</definedName>
    <definedName name="du" localSheetId="4" hidden="1">{#N/A,#N/A,TRUE,"Distribution";#N/A,#N/A,TRUE,"Fulfillment";#N/A,#N/A,TRUE,"Aged Backorders"}</definedName>
    <definedName name="du" localSheetId="3" hidden="1">{#N/A,#N/A,TRUE,"Distribution";#N/A,#N/A,TRUE,"Fulfillment";#N/A,#N/A,TRUE,"Aged Backorders"}</definedName>
    <definedName name="du" localSheetId="2" hidden="1">{#N/A,#N/A,TRUE,"Distribution";#N/A,#N/A,TRUE,"Fulfillment";#N/A,#N/A,TRUE,"Aged Backorders"}</definedName>
    <definedName name="du" localSheetId="8" hidden="1">{#N/A,#N/A,TRUE,"Distribution";#N/A,#N/A,TRUE,"Fulfillment";#N/A,#N/A,TRUE,"Aged Backorders"}</definedName>
    <definedName name="du" localSheetId="9" hidden="1">{#N/A,#N/A,TRUE,"Distribution";#N/A,#N/A,TRUE,"Fulfillment";#N/A,#N/A,TRUE,"Aged Backorders"}</definedName>
    <definedName name="du" localSheetId="10" hidden="1">{#N/A,#N/A,TRUE,"Distribution";#N/A,#N/A,TRUE,"Fulfillment";#N/A,#N/A,TRUE,"Aged Backorders"}</definedName>
    <definedName name="du" hidden="1">{#N/A,#N/A,TRUE,"Distribution";#N/A,#N/A,TRUE,"Fulfillment";#N/A,#N/A,TRUE,"Aged Backorders"}</definedName>
    <definedName name="DUNS_Nr" localSheetId="10">[49]数据输入!#REF!</definedName>
    <definedName name="DUNS_Nr">[57]数据输入!#REF!</definedName>
    <definedName name="Duration" localSheetId="4">#REF!</definedName>
    <definedName name="Duration" localSheetId="3">#REF!</definedName>
    <definedName name="Duration" localSheetId="2">#REF!</definedName>
    <definedName name="Duration" localSheetId="5">#REF!</definedName>
    <definedName name="Duration" localSheetId="6">#REF!</definedName>
    <definedName name="Duration" localSheetId="7">#REF!</definedName>
    <definedName name="Duration" localSheetId="8">#REF!</definedName>
    <definedName name="Duration" localSheetId="9">#REF!</definedName>
    <definedName name="Duration" localSheetId="10">#REF!</definedName>
    <definedName name="Duration" localSheetId="11">#REF!</definedName>
    <definedName name="Duration">#REF!</definedName>
    <definedName name="duration2" localSheetId="4">#REF!</definedName>
    <definedName name="duration2" localSheetId="3">#REF!</definedName>
    <definedName name="duration2" localSheetId="2">#REF!</definedName>
    <definedName name="duration2" localSheetId="5">#REF!</definedName>
    <definedName name="duration2" localSheetId="6">#REF!</definedName>
    <definedName name="duration2" localSheetId="7">#REF!</definedName>
    <definedName name="duration2" localSheetId="8">#REF!</definedName>
    <definedName name="duration2" localSheetId="9">#REF!</definedName>
    <definedName name="duration2" localSheetId="10">#REF!</definedName>
    <definedName name="duration2" localSheetId="11">#REF!</definedName>
    <definedName name="duration2">#REF!</definedName>
    <definedName name="Durchführng">"AutoForm 5"</definedName>
    <definedName name="Durchführung">"AutoForm 5"</definedName>
    <definedName name="DWGRCV" localSheetId="4">#REF!</definedName>
    <definedName name="DWGRCV" localSheetId="3">#REF!</definedName>
    <definedName name="DWGRCV" localSheetId="2">#REF!</definedName>
    <definedName name="DWGRCV" localSheetId="5">#REF!</definedName>
    <definedName name="DWGRCV" localSheetId="6">#REF!</definedName>
    <definedName name="DWGRCV" localSheetId="7">#REF!</definedName>
    <definedName name="DWGRCV" localSheetId="8">#REF!</definedName>
    <definedName name="DWGRCV" localSheetId="9">#REF!</definedName>
    <definedName name="DWGRCV" localSheetId="10">#REF!</definedName>
    <definedName name="DWGRCV" localSheetId="11">#REF!</definedName>
    <definedName name="DWGRCV">#REF!</definedName>
    <definedName name="D재료" localSheetId="4">#REF!</definedName>
    <definedName name="D재료" localSheetId="3">#REF!</definedName>
    <definedName name="D재료" localSheetId="2">#REF!</definedName>
    <definedName name="D재료" localSheetId="5">#REF!</definedName>
    <definedName name="D재료" localSheetId="6">#REF!</definedName>
    <definedName name="D재료" localSheetId="7">#REF!</definedName>
    <definedName name="D재료" localSheetId="8">#REF!</definedName>
    <definedName name="D재료" localSheetId="9">#REF!</definedName>
    <definedName name="D재료" localSheetId="10">#REF!</definedName>
    <definedName name="D재료" localSheetId="11">#REF!</definedName>
    <definedName name="D재료">#REF!</definedName>
    <definedName name="E" localSheetId="4">#REF!</definedName>
    <definedName name="E" localSheetId="3">#REF!</definedName>
    <definedName name="E" localSheetId="2">#REF!</definedName>
    <definedName name="E" localSheetId="5">#REF!</definedName>
    <definedName name="E" localSheetId="6">#REF!</definedName>
    <definedName name="E" localSheetId="7">#REF!</definedName>
    <definedName name="E" localSheetId="8">#REF!</definedName>
    <definedName name="E" localSheetId="9">#REF!</definedName>
    <definedName name="E" localSheetId="10">#REF!</definedName>
    <definedName name="E" localSheetId="11">#REF!</definedName>
    <definedName name="E">#REF!</definedName>
    <definedName name="ECR比例" localSheetId="10">'[35]01_宏命令库'!$F$56</definedName>
    <definedName name="ECR比例">'[58]01_宏命令库'!$F$56</definedName>
    <definedName name="ED_DEP_NM">"外1线"</definedName>
    <definedName name="EDORES" localSheetId="4">#REF!</definedName>
    <definedName name="EDORES" localSheetId="3">#REF!</definedName>
    <definedName name="EDORES" localSheetId="2">#REF!</definedName>
    <definedName name="EDORES" localSheetId="5">#REF!</definedName>
    <definedName name="EDORES" localSheetId="6">#REF!</definedName>
    <definedName name="EDORES" localSheetId="7">#REF!</definedName>
    <definedName name="EDORES" localSheetId="8">#REF!</definedName>
    <definedName name="EDORES" localSheetId="9">#REF!</definedName>
    <definedName name="EDORES" localSheetId="10">#REF!</definedName>
    <definedName name="EDORES" localSheetId="11">#REF!</definedName>
    <definedName name="EDORES">#REF!</definedName>
    <definedName name="EDORES2" localSheetId="4">#REF!</definedName>
    <definedName name="EDORES2" localSheetId="3">#REF!</definedName>
    <definedName name="EDORES2" localSheetId="2">#REF!</definedName>
    <definedName name="EDORES2" localSheetId="5">#REF!</definedName>
    <definedName name="EDORES2" localSheetId="6">#REF!</definedName>
    <definedName name="EDORES2" localSheetId="7">#REF!</definedName>
    <definedName name="EDORES2" localSheetId="8">#REF!</definedName>
    <definedName name="EDORES2" localSheetId="9">#REF!</definedName>
    <definedName name="EDORES2" localSheetId="10">#REF!</definedName>
    <definedName name="EDORES2" localSheetId="11">#REF!</definedName>
    <definedName name="EDORES2">#REF!</definedName>
    <definedName name="ee">#N/A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ee">#N/A</definedName>
    <definedName name="EEF" localSheetId="4">#REF!</definedName>
    <definedName name="EEF" localSheetId="3">#REF!</definedName>
    <definedName name="EEF" localSheetId="2">#REF!</definedName>
    <definedName name="EEF" localSheetId="5">#REF!</definedName>
    <definedName name="EEF" localSheetId="6">#REF!</definedName>
    <definedName name="EEF" localSheetId="7">#REF!</definedName>
    <definedName name="EEF" localSheetId="8">#REF!</definedName>
    <definedName name="EEF" localSheetId="9">#REF!</definedName>
    <definedName name="EEF" localSheetId="10">#REF!</definedName>
    <definedName name="EEF" localSheetId="11">#REF!</definedName>
    <definedName name="EEF">#REF!</definedName>
    <definedName name="EFWEFQW" localSheetId="10">[50]数据输入!#REF!</definedName>
    <definedName name="EFWEFQW">[59]数据输入!#REF!</definedName>
    <definedName name="eieio" localSheetId="10">'[94]Q4 CURRENCY'!$B$47:$C$51</definedName>
    <definedName name="eieio">'[48]Q4 CURRENCY'!$B$47:$C$51</definedName>
    <definedName name="EightMonthsBack" localSheetId="4">#REF!</definedName>
    <definedName name="EightMonthsBack" localSheetId="3">#REF!</definedName>
    <definedName name="EightMonthsBack" localSheetId="2">#REF!</definedName>
    <definedName name="EightMonthsBack" localSheetId="5">#REF!</definedName>
    <definedName name="EightMonthsBack" localSheetId="6">#REF!</definedName>
    <definedName name="EightMonthsBack" localSheetId="7">#REF!</definedName>
    <definedName name="EightMonthsBack" localSheetId="8">#REF!</definedName>
    <definedName name="EightMonthsBack" localSheetId="9">#REF!</definedName>
    <definedName name="EightMonthsBack" localSheetId="10">#REF!</definedName>
    <definedName name="EightMonthsBack" localSheetId="11">#REF!</definedName>
    <definedName name="EightMonthsBack">#REF!</definedName>
    <definedName name="ElevenMonthsBack" localSheetId="4">#REF!</definedName>
    <definedName name="ElevenMonthsBack" localSheetId="3">#REF!</definedName>
    <definedName name="ElevenMonthsBack" localSheetId="2">#REF!</definedName>
    <definedName name="ElevenMonthsBack" localSheetId="5">#REF!</definedName>
    <definedName name="ElevenMonthsBack" localSheetId="6">#REF!</definedName>
    <definedName name="ElevenMonthsBack" localSheetId="7">#REF!</definedName>
    <definedName name="ElevenMonthsBack" localSheetId="8">#REF!</definedName>
    <definedName name="ElevenMonthsBack" localSheetId="9">#REF!</definedName>
    <definedName name="ElevenMonthsBack" localSheetId="10">#REF!</definedName>
    <definedName name="ElevenMonthsBack" localSheetId="11">#REF!</definedName>
    <definedName name="ElevenMonthsBack">#REF!</definedName>
    <definedName name="Elias0874" localSheetId="10">'[38]HTP 2001'!$F$1:$CY$65536</definedName>
    <definedName name="Elias0874">'[60]HTP 2001'!$F$1:$CY$65536</definedName>
    <definedName name="elm">[51]评价矩阵!$AS$29</definedName>
    <definedName name="EMEA" localSheetId="4">#REF!</definedName>
    <definedName name="EMEA" localSheetId="3">#REF!</definedName>
    <definedName name="EMEA" localSheetId="2">#REF!</definedName>
    <definedName name="EMEA" localSheetId="5">#REF!</definedName>
    <definedName name="EMEA" localSheetId="6">#REF!</definedName>
    <definedName name="EMEA" localSheetId="7">#REF!</definedName>
    <definedName name="EMEA" localSheetId="8">#REF!</definedName>
    <definedName name="EMEA" localSheetId="9">#REF!</definedName>
    <definedName name="EMEA" localSheetId="10">#REF!</definedName>
    <definedName name="EMEA" localSheetId="11">#REF!</definedName>
    <definedName name="EMEA">#REF!</definedName>
    <definedName name="EmeaCI" localSheetId="4">#REF!</definedName>
    <definedName name="EmeaCI" localSheetId="3">#REF!</definedName>
    <definedName name="EmeaCI" localSheetId="2">#REF!</definedName>
    <definedName name="EmeaCI" localSheetId="5">#REF!</definedName>
    <definedName name="EmeaCI" localSheetId="6">#REF!</definedName>
    <definedName name="EmeaCI" localSheetId="7">#REF!</definedName>
    <definedName name="EmeaCI" localSheetId="8">#REF!</definedName>
    <definedName name="EmeaCI" localSheetId="9">#REF!</definedName>
    <definedName name="EmeaCI" localSheetId="10">#REF!</definedName>
    <definedName name="EmeaCI" localSheetId="11">#REF!</definedName>
    <definedName name="EmeaCI">#REF!</definedName>
    <definedName name="EmeaCS" localSheetId="4">#REF!</definedName>
    <definedName name="EmeaCS" localSheetId="3">#REF!</definedName>
    <definedName name="EmeaCS" localSheetId="2">#REF!</definedName>
    <definedName name="EmeaCS" localSheetId="5">#REF!</definedName>
    <definedName name="EmeaCS" localSheetId="6">#REF!</definedName>
    <definedName name="EmeaCS" localSheetId="7">#REF!</definedName>
    <definedName name="EmeaCS" localSheetId="8">#REF!</definedName>
    <definedName name="EmeaCS" localSheetId="9">#REF!</definedName>
    <definedName name="EmeaCS" localSheetId="10">#REF!</definedName>
    <definedName name="EmeaCS" localSheetId="11">#REF!</definedName>
    <definedName name="EmeaCS">#REF!</definedName>
    <definedName name="EmeaGBUHq" localSheetId="4">#REF!</definedName>
    <definedName name="EmeaGBUHq" localSheetId="3">#REF!</definedName>
    <definedName name="EmeaGBUHq" localSheetId="2">#REF!</definedName>
    <definedName name="EmeaGBUHq" localSheetId="5">#REF!</definedName>
    <definedName name="EmeaGBUHq" localSheetId="6">#REF!</definedName>
    <definedName name="EmeaGBUHq" localSheetId="7">#REF!</definedName>
    <definedName name="EmeaGBUHq" localSheetId="8">#REF!</definedName>
    <definedName name="EmeaGBUHq" localSheetId="9">#REF!</definedName>
    <definedName name="EmeaGBUHq" localSheetId="10">#REF!</definedName>
    <definedName name="EmeaGBUHq" localSheetId="11">#REF!</definedName>
    <definedName name="EmeaGBUHq">#REF!</definedName>
    <definedName name="EmeaMS" localSheetId="4">#REF!</definedName>
    <definedName name="EmeaMS" localSheetId="3">#REF!</definedName>
    <definedName name="EmeaMS" localSheetId="2">#REF!</definedName>
    <definedName name="EmeaMS" localSheetId="5">#REF!</definedName>
    <definedName name="EmeaMS" localSheetId="6">#REF!</definedName>
    <definedName name="EmeaMS" localSheetId="7">#REF!</definedName>
    <definedName name="EmeaMS" localSheetId="8">#REF!</definedName>
    <definedName name="EmeaMS" localSheetId="9">#REF!</definedName>
    <definedName name="EmeaMS" localSheetId="10">#REF!</definedName>
    <definedName name="EmeaMS" localSheetId="11">#REF!</definedName>
    <definedName name="EmeaMS">#REF!</definedName>
    <definedName name="EmeaOSS" localSheetId="4">#REF!</definedName>
    <definedName name="EmeaOSS" localSheetId="3">#REF!</definedName>
    <definedName name="EmeaOSS" localSheetId="2">#REF!</definedName>
    <definedName name="EmeaOSS" localSheetId="5">#REF!</definedName>
    <definedName name="EmeaOSS" localSheetId="6">#REF!</definedName>
    <definedName name="EmeaOSS" localSheetId="7">#REF!</definedName>
    <definedName name="EmeaOSS" localSheetId="8">#REF!</definedName>
    <definedName name="EmeaOSS" localSheetId="9">#REF!</definedName>
    <definedName name="EmeaOSS" localSheetId="10">#REF!</definedName>
    <definedName name="EmeaOSS" localSheetId="11">#REF!</definedName>
    <definedName name="EmeaOSS">#REF!</definedName>
    <definedName name="End_Bal" localSheetId="4">#REF!</definedName>
    <definedName name="End_Bal" localSheetId="3">#REF!</definedName>
    <definedName name="End_Bal" localSheetId="2">#REF!</definedName>
    <definedName name="End_Bal" localSheetId="5">#REF!</definedName>
    <definedName name="End_Bal" localSheetId="6">#REF!</definedName>
    <definedName name="End_Bal" localSheetId="7">#REF!</definedName>
    <definedName name="End_Bal" localSheetId="8">#REF!</definedName>
    <definedName name="End_Bal" localSheetId="9">#REF!</definedName>
    <definedName name="End_Bal" localSheetId="10">#REF!</definedName>
    <definedName name="End_Bal" localSheetId="11">#REF!</definedName>
    <definedName name="End_Bal">#REF!</definedName>
    <definedName name="Ende">"AutoForm 3"</definedName>
    <definedName name="Energy_Goal" localSheetId="4">[71]Optimize!$AS$74</definedName>
    <definedName name="Energy_Goal" localSheetId="3">[71]Optimize!$AS$74</definedName>
    <definedName name="Energy_Goal" localSheetId="2">[71]Optimize!$AS$74</definedName>
    <definedName name="Energy_Goal" localSheetId="5">[71]Optimize!$AS$74</definedName>
    <definedName name="Energy_Goal" localSheetId="6">[71]Optimize!$AS$74</definedName>
    <definedName name="Energy_Goal" localSheetId="7">[71]Optimize!$AS$74</definedName>
    <definedName name="Energy_Goal" localSheetId="8">[71]Optimize!$AS$74</definedName>
    <definedName name="Energy_Goal" localSheetId="9">[71]Optimize!$AS$74</definedName>
    <definedName name="Energy_Goal" localSheetId="10">[10]Optimize!$AS$74</definedName>
    <definedName name="Energy_Goal">[18]Optimize!$AS$74</definedName>
    <definedName name="Energy_Standard" localSheetId="4">[71]Optimize!$AS$67</definedName>
    <definedName name="Energy_Standard" localSheetId="3">[71]Optimize!$AS$67</definedName>
    <definedName name="Energy_Standard" localSheetId="2">[71]Optimize!$AS$67</definedName>
    <definedName name="Energy_Standard" localSheetId="5">[71]Optimize!$AS$67</definedName>
    <definedName name="Energy_Standard" localSheetId="6">[71]Optimize!$AS$67</definedName>
    <definedName name="Energy_Standard" localSheetId="7">[71]Optimize!$AS$67</definedName>
    <definedName name="Energy_Standard" localSheetId="8">[71]Optimize!$AS$67</definedName>
    <definedName name="Energy_Standard" localSheetId="9">[71]Optimize!$AS$67</definedName>
    <definedName name="Energy_Standard" localSheetId="10">[10]Optimize!$AS$67</definedName>
    <definedName name="Energy_Standard">[18]Optimize!$AS$67</definedName>
    <definedName name="EnergyList" localSheetId="4">[71]Optimize!$AT$61:$AW$76</definedName>
    <definedName name="EnergyList" localSheetId="3">[71]Optimize!$AT$61:$AW$76</definedName>
    <definedName name="EnergyList" localSheetId="2">[71]Optimize!$AT$61:$AW$76</definedName>
    <definedName name="EnergyList" localSheetId="5">[71]Optimize!$AT$61:$AW$76</definedName>
    <definedName name="EnergyList" localSheetId="6">[71]Optimize!$AT$61:$AW$76</definedName>
    <definedName name="EnergyList" localSheetId="7">[71]Optimize!$AT$61:$AW$76</definedName>
    <definedName name="EnergyList" localSheetId="8">[71]Optimize!$AT$61:$AW$76</definedName>
    <definedName name="EnergyList" localSheetId="9">[71]Optimize!$AT$61:$AW$76</definedName>
    <definedName name="EnergyList" localSheetId="10">[10]Optimize!$AT$61:$AW$76</definedName>
    <definedName name="EnergyList">[18]Optimize!$AT$61:$AW$76</definedName>
    <definedName name="epg">[51]评价矩阵!$AS$41</definedName>
    <definedName name="epm">[51]评价矩阵!$AS$8</definedName>
    <definedName name="epp">[51]评价矩阵!$AS$14</definedName>
    <definedName name="epr">[51]评价矩阵!$AS$22</definedName>
    <definedName name="er" localSheetId="10">[38]Funnel!$B$32</definedName>
    <definedName name="er">[60]Funnel!$B$32</definedName>
    <definedName name="er_1">#N/A</definedName>
    <definedName name="ESGgroup" localSheetId="4">#REF!</definedName>
    <definedName name="ESGgroup" localSheetId="3">#REF!</definedName>
    <definedName name="ESGgroup" localSheetId="2">#REF!</definedName>
    <definedName name="ESGgroup" localSheetId="5">#REF!</definedName>
    <definedName name="ESGgroup" localSheetId="6">#REF!</definedName>
    <definedName name="ESGgroup" localSheetId="7">#REF!</definedName>
    <definedName name="ESGgroup" localSheetId="8">#REF!</definedName>
    <definedName name="ESGgroup" localSheetId="9">#REF!</definedName>
    <definedName name="ESGgroup" localSheetId="10">#REF!</definedName>
    <definedName name="ESGgroup" localSheetId="11">#REF!</definedName>
    <definedName name="ESGgroup">#REF!</definedName>
    <definedName name="ESGgroupEFR" localSheetId="4">#REF!</definedName>
    <definedName name="ESGgroupEFR" localSheetId="3">#REF!</definedName>
    <definedName name="ESGgroupEFR" localSheetId="2">#REF!</definedName>
    <definedName name="ESGgroupEFR" localSheetId="5">#REF!</definedName>
    <definedName name="ESGgroupEFR" localSheetId="6">#REF!</definedName>
    <definedName name="ESGgroupEFR" localSheetId="7">#REF!</definedName>
    <definedName name="ESGgroupEFR" localSheetId="8">#REF!</definedName>
    <definedName name="ESGgroupEFR" localSheetId="9">#REF!</definedName>
    <definedName name="ESGgroupEFR" localSheetId="10">#REF!</definedName>
    <definedName name="ESGgroupEFR" localSheetId="11">#REF!</definedName>
    <definedName name="ESGgroupEFR">#REF!</definedName>
    <definedName name="ESS.Amer" localSheetId="4">#REF!</definedName>
    <definedName name="ESS.Amer" localSheetId="3">#REF!</definedName>
    <definedName name="ESS.Amer" localSheetId="2">#REF!</definedName>
    <definedName name="ESS.Amer" localSheetId="5">#REF!</definedName>
    <definedName name="ESS.Amer" localSheetId="6">#REF!</definedName>
    <definedName name="ESS.Amer" localSheetId="7">#REF!</definedName>
    <definedName name="ESS.Amer" localSheetId="8">#REF!</definedName>
    <definedName name="ESS.Amer" localSheetId="9">#REF!</definedName>
    <definedName name="ESS.Amer" localSheetId="10">#REF!</definedName>
    <definedName name="ESS.Amer" localSheetId="11">#REF!</definedName>
    <definedName name="ESS.Amer">#REF!</definedName>
    <definedName name="ESS.AP" localSheetId="4">#REF!</definedName>
    <definedName name="ESS.AP" localSheetId="3">#REF!</definedName>
    <definedName name="ESS.AP" localSheetId="2">#REF!</definedName>
    <definedName name="ESS.AP" localSheetId="5">#REF!</definedName>
    <definedName name="ESS.AP" localSheetId="6">#REF!</definedName>
    <definedName name="ESS.AP" localSheetId="7">#REF!</definedName>
    <definedName name="ESS.AP" localSheetId="8">#REF!</definedName>
    <definedName name="ESS.AP" localSheetId="9">#REF!</definedName>
    <definedName name="ESS.AP" localSheetId="10">#REF!</definedName>
    <definedName name="ESS.AP" localSheetId="11">#REF!</definedName>
    <definedName name="ESS.AP">#REF!</definedName>
    <definedName name="ESS.EMEA" localSheetId="4">#REF!</definedName>
    <definedName name="ESS.EMEA" localSheetId="3">#REF!</definedName>
    <definedName name="ESS.EMEA" localSheetId="2">#REF!</definedName>
    <definedName name="ESS.EMEA" localSheetId="5">#REF!</definedName>
    <definedName name="ESS.EMEA" localSheetId="6">#REF!</definedName>
    <definedName name="ESS.EMEA" localSheetId="7">#REF!</definedName>
    <definedName name="ESS.EMEA" localSheetId="8">#REF!</definedName>
    <definedName name="ESS.EMEA" localSheetId="9">#REF!</definedName>
    <definedName name="ESS.EMEA" localSheetId="10">#REF!</definedName>
    <definedName name="ESS.EMEA" localSheetId="11">#REF!</definedName>
    <definedName name="ESS.EMEA">#REF!</definedName>
    <definedName name="ESS.GBU" localSheetId="4">#REF!</definedName>
    <definedName name="ESS.GBU" localSheetId="3">#REF!</definedName>
    <definedName name="ESS.GBU" localSheetId="2">#REF!</definedName>
    <definedName name="ESS.GBU" localSheetId="5">#REF!</definedName>
    <definedName name="ESS.GBU" localSheetId="6">#REF!</definedName>
    <definedName name="ESS.GBU" localSheetId="7">#REF!</definedName>
    <definedName name="ESS.GBU" localSheetId="8">#REF!</definedName>
    <definedName name="ESS.GBU" localSheetId="9">#REF!</definedName>
    <definedName name="ESS.GBU" localSheetId="10">#REF!</definedName>
    <definedName name="ESS.GBU" localSheetId="11">#REF!</definedName>
    <definedName name="ESS.GBU">#REF!</definedName>
    <definedName name="ESS.Reg" localSheetId="4">#REF!</definedName>
    <definedName name="ESS.Reg" localSheetId="3">#REF!</definedName>
    <definedName name="ESS.Reg" localSheetId="2">#REF!</definedName>
    <definedName name="ESS.Reg" localSheetId="5">#REF!</definedName>
    <definedName name="ESS.Reg" localSheetId="6">#REF!</definedName>
    <definedName name="ESS.Reg" localSheetId="7">#REF!</definedName>
    <definedName name="ESS.Reg" localSheetId="8">#REF!</definedName>
    <definedName name="ESS.Reg" localSheetId="9">#REF!</definedName>
    <definedName name="ESS.Reg" localSheetId="10">#REF!</definedName>
    <definedName name="ESS.Reg" localSheetId="11">#REF!</definedName>
    <definedName name="ESS.Reg">#REF!</definedName>
    <definedName name="ESSa" localSheetId="4">#REF!</definedName>
    <definedName name="ESSa" localSheetId="3">#REF!</definedName>
    <definedName name="ESSa" localSheetId="2">#REF!</definedName>
    <definedName name="ESSa" localSheetId="5">#REF!</definedName>
    <definedName name="ESSa" localSheetId="6">#REF!</definedName>
    <definedName name="ESSa" localSheetId="7">#REF!</definedName>
    <definedName name="ESSa" localSheetId="8">#REF!</definedName>
    <definedName name="ESSa" localSheetId="9">#REF!</definedName>
    <definedName name="ESSa" localSheetId="10">#REF!</definedName>
    <definedName name="ESSa" localSheetId="11">#REF!</definedName>
    <definedName name="ESSa">#REF!</definedName>
    <definedName name="EssAliasTable">"Default"</definedName>
    <definedName name="ESSame" localSheetId="4">#REF!</definedName>
    <definedName name="ESSame" localSheetId="3">#REF!</definedName>
    <definedName name="ESSame" localSheetId="2">#REF!</definedName>
    <definedName name="ESSame" localSheetId="5">#REF!</definedName>
    <definedName name="ESSame" localSheetId="6">#REF!</definedName>
    <definedName name="ESSame" localSheetId="7">#REF!</definedName>
    <definedName name="ESSame" localSheetId="8">#REF!</definedName>
    <definedName name="ESSame" localSheetId="9">#REF!</definedName>
    <definedName name="ESSame" localSheetId="10">#REF!</definedName>
    <definedName name="ESSame" localSheetId="11">#REF!</definedName>
    <definedName name="ESSame">#REF!</definedName>
    <definedName name="ESSe" localSheetId="4">#REF!</definedName>
    <definedName name="ESSe" localSheetId="3">#REF!</definedName>
    <definedName name="ESSe" localSheetId="2">#REF!</definedName>
    <definedName name="ESSe" localSheetId="5">#REF!</definedName>
    <definedName name="ESSe" localSheetId="6">#REF!</definedName>
    <definedName name="ESSe" localSheetId="7">#REF!</definedName>
    <definedName name="ESSe" localSheetId="8">#REF!</definedName>
    <definedName name="ESSe" localSheetId="9">#REF!</definedName>
    <definedName name="ESSe" localSheetId="10">#REF!</definedName>
    <definedName name="ESSe" localSheetId="11">#REF!</definedName>
    <definedName name="ESSe">#REF!</definedName>
    <definedName name="EssOptions">"110010000001000_0"</definedName>
    <definedName name="ESSw" localSheetId="4">#REF!</definedName>
    <definedName name="ESSw" localSheetId="3">#REF!</definedName>
    <definedName name="ESSw" localSheetId="2">#REF!</definedName>
    <definedName name="ESSw" localSheetId="5">#REF!</definedName>
    <definedName name="ESSw" localSheetId="6">#REF!</definedName>
    <definedName name="ESSw" localSheetId="7">#REF!</definedName>
    <definedName name="ESSw" localSheetId="8">#REF!</definedName>
    <definedName name="ESSw" localSheetId="9">#REF!</definedName>
    <definedName name="ESSw" localSheetId="10">#REF!</definedName>
    <definedName name="ESSw" localSheetId="11">#REF!</definedName>
    <definedName name="ESSw">#REF!</definedName>
    <definedName name="ESTIMATED_GROWTH_SLOPE" localSheetId="4">#REF!</definedName>
    <definedName name="ESTIMATED_GROWTH_SLOPE" localSheetId="3">#REF!</definedName>
    <definedName name="ESTIMATED_GROWTH_SLOPE" localSheetId="2">#REF!</definedName>
    <definedName name="ESTIMATED_GROWTH_SLOPE" localSheetId="5">#REF!</definedName>
    <definedName name="ESTIMATED_GROWTH_SLOPE" localSheetId="6">#REF!</definedName>
    <definedName name="ESTIMATED_GROWTH_SLOPE" localSheetId="7">#REF!</definedName>
    <definedName name="ESTIMATED_GROWTH_SLOPE" localSheetId="8">#REF!</definedName>
    <definedName name="ESTIMATED_GROWTH_SLOPE" localSheetId="9">#REF!</definedName>
    <definedName name="ESTIMATED_GROWTH_SLOPE" localSheetId="10">#REF!</definedName>
    <definedName name="ESTIMATED_GROWTH_SLOPE" localSheetId="11">#REF!</definedName>
    <definedName name="ESTIMATED_GROWTH_SLOPE">#REF!</definedName>
    <definedName name="EV" localSheetId="4">#REF!</definedName>
    <definedName name="EV" localSheetId="3">#REF!</definedName>
    <definedName name="EV" localSheetId="2">#REF!</definedName>
    <definedName name="EV" localSheetId="5">#REF!</definedName>
    <definedName name="EV" localSheetId="6">#REF!</definedName>
    <definedName name="EV" localSheetId="7">#REF!</definedName>
    <definedName name="EV" localSheetId="8">#REF!</definedName>
    <definedName name="EV" localSheetId="9">#REF!</definedName>
    <definedName name="EV" localSheetId="10">#REF!</definedName>
    <definedName name="EV" localSheetId="11">#REF!</definedName>
    <definedName name="EV">#REF!</definedName>
    <definedName name="ewq" localSheetId="4" hidden="1">{"'打点割り振り (2)'!$A$1:$G$35"}</definedName>
    <definedName name="ewq" localSheetId="3" hidden="1">{"'打点割り振り (2)'!$A$1:$G$35"}</definedName>
    <definedName name="ewq" localSheetId="2" hidden="1">{"'打点割り振り (2)'!$A$1:$G$35"}</definedName>
    <definedName name="ewq" localSheetId="8" hidden="1">{"'打点割り振り (2)'!$A$1:$G$35"}</definedName>
    <definedName name="ewq" localSheetId="9" hidden="1">{"'打点割り振り (2)'!$A$1:$G$35"}</definedName>
    <definedName name="ewq" localSheetId="10" hidden="1">{"'打点割り振り (2)'!$A$1:$G$35"}</definedName>
    <definedName name="ewq" hidden="1">{"'打点割り振り (2)'!$A$1:$G$35"}</definedName>
    <definedName name="Excel_BuiltIn__FilterDatabase_10" localSheetId="4">#REF!</definedName>
    <definedName name="Excel_BuiltIn__FilterDatabase_10" localSheetId="3">#REF!</definedName>
    <definedName name="Excel_BuiltIn__FilterDatabase_10" localSheetId="2">#REF!</definedName>
    <definedName name="Excel_BuiltIn__FilterDatabase_10" localSheetId="5">#REF!</definedName>
    <definedName name="Excel_BuiltIn__FilterDatabase_10" localSheetId="6">#REF!</definedName>
    <definedName name="Excel_BuiltIn__FilterDatabase_10" localSheetId="7">#REF!</definedName>
    <definedName name="Excel_BuiltIn__FilterDatabase_10" localSheetId="8">#REF!</definedName>
    <definedName name="Excel_BuiltIn__FilterDatabase_10" localSheetId="9">#REF!</definedName>
    <definedName name="Excel_BuiltIn__FilterDatabase_10" localSheetId="10">#REF!</definedName>
    <definedName name="Excel_BuiltIn__FilterDatabase_10" localSheetId="11">#REF!</definedName>
    <definedName name="Excel_BuiltIn__FilterDatabase_10">#REF!</definedName>
    <definedName name="Excel_BuiltIn__FilterDatabase_14" localSheetId="4">#REF!</definedName>
    <definedName name="Excel_BuiltIn__FilterDatabase_14" localSheetId="3">#REF!</definedName>
    <definedName name="Excel_BuiltIn__FilterDatabase_14" localSheetId="2">#REF!</definedName>
    <definedName name="Excel_BuiltIn__FilterDatabase_14" localSheetId="5">#REF!</definedName>
    <definedName name="Excel_BuiltIn__FilterDatabase_14" localSheetId="6">#REF!</definedName>
    <definedName name="Excel_BuiltIn__FilterDatabase_14" localSheetId="7">#REF!</definedName>
    <definedName name="Excel_BuiltIn__FilterDatabase_14" localSheetId="8">#REF!</definedName>
    <definedName name="Excel_BuiltIn__FilterDatabase_14" localSheetId="9">#REF!</definedName>
    <definedName name="Excel_BuiltIn__FilterDatabase_14" localSheetId="10">#REF!</definedName>
    <definedName name="Excel_BuiltIn__FilterDatabase_14" localSheetId="11">#REF!</definedName>
    <definedName name="Excel_BuiltIn__FilterDatabase_14">#REF!</definedName>
    <definedName name="Excel_BuiltIn_Print_Titles_7" localSheetId="4">#REF!</definedName>
    <definedName name="Excel_BuiltIn_Print_Titles_7" localSheetId="3">#REF!</definedName>
    <definedName name="Excel_BuiltIn_Print_Titles_7" localSheetId="2">#REF!</definedName>
    <definedName name="Excel_BuiltIn_Print_Titles_7" localSheetId="5">#REF!</definedName>
    <definedName name="Excel_BuiltIn_Print_Titles_7" localSheetId="6">#REF!</definedName>
    <definedName name="Excel_BuiltIn_Print_Titles_7" localSheetId="7">#REF!</definedName>
    <definedName name="Excel_BuiltIn_Print_Titles_7" localSheetId="8">#REF!</definedName>
    <definedName name="Excel_BuiltIn_Print_Titles_7" localSheetId="9">#REF!</definedName>
    <definedName name="Excel_BuiltIn_Print_Titles_7" localSheetId="10">#REF!</definedName>
    <definedName name="Excel_BuiltIn_Print_Titles_7" localSheetId="11">#REF!</definedName>
    <definedName name="Excel_BuiltIn_Print_Titles_7">#REF!</definedName>
    <definedName name="Excel_BuiltIn_Print_Titles_7_4" localSheetId="10">'[52]Safety _ P_A'!#REF!</definedName>
    <definedName name="Excel_BuiltIn_Print_Titles_7_4">'[61]Safety _ P_A'!#REF!</definedName>
    <definedName name="exportacion" localSheetId="10">[95]Original!#REF!</definedName>
    <definedName name="exportacion">[53]Original!#REF!</definedName>
    <definedName name="Extra_Pay" localSheetId="4">#REF!</definedName>
    <definedName name="Extra_Pay" localSheetId="3">#REF!</definedName>
    <definedName name="Extra_Pay" localSheetId="2">#REF!</definedName>
    <definedName name="Extra_Pay" localSheetId="5">#REF!</definedName>
    <definedName name="Extra_Pay" localSheetId="6">#REF!</definedName>
    <definedName name="Extra_Pay" localSheetId="7">#REF!</definedName>
    <definedName name="Extra_Pay" localSheetId="8">#REF!</definedName>
    <definedName name="Extra_Pay" localSheetId="9">#REF!</definedName>
    <definedName name="Extra_Pay" localSheetId="10">#REF!</definedName>
    <definedName name="Extra_Pay" localSheetId="11">#REF!</definedName>
    <definedName name="Extra_Pay">#REF!</definedName>
    <definedName name="_xlnm.Extract">#REF!</definedName>
    <definedName name="Extract_1" localSheetId="4">#REF!</definedName>
    <definedName name="Extract_1" localSheetId="3">#REF!</definedName>
    <definedName name="Extract_1" localSheetId="2">#REF!</definedName>
    <definedName name="Extract_1" localSheetId="5">#REF!</definedName>
    <definedName name="Extract_1" localSheetId="6">#REF!</definedName>
    <definedName name="Extract_1" localSheetId="7">#REF!</definedName>
    <definedName name="Extract_1" localSheetId="8">#REF!</definedName>
    <definedName name="Extract_1" localSheetId="9">#REF!</definedName>
    <definedName name="Extract_1" localSheetId="10">#REF!</definedName>
    <definedName name="Extract_1" localSheetId="11">#REF!</definedName>
    <definedName name="Extract_1">#REF!</definedName>
    <definedName name="Extract_2" localSheetId="4">#REF!</definedName>
    <definedName name="Extract_2" localSheetId="3">#REF!</definedName>
    <definedName name="Extract_2" localSheetId="2">#REF!</definedName>
    <definedName name="Extract_2" localSheetId="5">#REF!</definedName>
    <definedName name="Extract_2" localSheetId="6">#REF!</definedName>
    <definedName name="Extract_2" localSheetId="7">#REF!</definedName>
    <definedName name="Extract_2" localSheetId="8">#REF!</definedName>
    <definedName name="Extract_2" localSheetId="9">#REF!</definedName>
    <definedName name="Extract_2" localSheetId="10">#REF!</definedName>
    <definedName name="Extract_2" localSheetId="11">#REF!</definedName>
    <definedName name="Extract_2">#REF!</definedName>
    <definedName name="Extract_Business_Unit_Abbrev." localSheetId="4">#REF!</definedName>
    <definedName name="Extract_Business_Unit_Abbrev." localSheetId="3">#REF!</definedName>
    <definedName name="Extract_Business_Unit_Abbrev." localSheetId="2">#REF!</definedName>
    <definedName name="Extract_Business_Unit_Abbrev." localSheetId="5">#REF!</definedName>
    <definedName name="Extract_Business_Unit_Abbrev." localSheetId="6">#REF!</definedName>
    <definedName name="Extract_Business_Unit_Abbrev." localSheetId="7">#REF!</definedName>
    <definedName name="Extract_Business_Unit_Abbrev." localSheetId="8">#REF!</definedName>
    <definedName name="Extract_Business_Unit_Abbrev." localSheetId="9">#REF!</definedName>
    <definedName name="Extract_Business_Unit_Abbrev." localSheetId="10">#REF!</definedName>
    <definedName name="Extract_Business_Unit_Abbrev." localSheetId="11">#REF!</definedName>
    <definedName name="Extract_Business_Unit_Abbrev.">#REF!</definedName>
    <definedName name="Extract_Cons" localSheetId="4">#REF!</definedName>
    <definedName name="Extract_Cons" localSheetId="3">#REF!</definedName>
    <definedName name="Extract_Cons" localSheetId="2">#REF!</definedName>
    <definedName name="Extract_Cons" localSheetId="5">#REF!</definedName>
    <definedName name="Extract_Cons" localSheetId="6">#REF!</definedName>
    <definedName name="Extract_Cons" localSheetId="7">#REF!</definedName>
    <definedName name="Extract_Cons" localSheetId="8">#REF!</definedName>
    <definedName name="Extract_Cons" localSheetId="9">#REF!</definedName>
    <definedName name="Extract_Cons" localSheetId="10">#REF!</definedName>
    <definedName name="Extract_Cons" localSheetId="11">#REF!</definedName>
    <definedName name="Extract_Cons">#REF!</definedName>
    <definedName name="Extract_CPCG" localSheetId="4">#REF!</definedName>
    <definedName name="Extract_CPCG" localSheetId="3">#REF!</definedName>
    <definedName name="Extract_CPCG" localSheetId="2">#REF!</definedName>
    <definedName name="Extract_CPCG" localSheetId="5">#REF!</definedName>
    <definedName name="Extract_CPCG" localSheetId="6">#REF!</definedName>
    <definedName name="Extract_CPCG" localSheetId="7">#REF!</definedName>
    <definedName name="Extract_CPCG" localSheetId="8">#REF!</definedName>
    <definedName name="Extract_CPCG" localSheetId="9">#REF!</definedName>
    <definedName name="Extract_CPCG" localSheetId="10">#REF!</definedName>
    <definedName name="Extract_CPCG" localSheetId="11">#REF!</definedName>
    <definedName name="Extract_CPCG">#REF!</definedName>
    <definedName name="Extract_ESSG" localSheetId="4">#REF!</definedName>
    <definedName name="Extract_ESSG" localSheetId="3">#REF!</definedName>
    <definedName name="Extract_ESSG" localSheetId="2">#REF!</definedName>
    <definedName name="Extract_ESSG" localSheetId="5">#REF!</definedName>
    <definedName name="Extract_ESSG" localSheetId="6">#REF!</definedName>
    <definedName name="Extract_ESSG" localSheetId="7">#REF!</definedName>
    <definedName name="Extract_ESSG" localSheetId="8">#REF!</definedName>
    <definedName name="Extract_ESSG" localSheetId="9">#REF!</definedName>
    <definedName name="Extract_ESSG" localSheetId="10">#REF!</definedName>
    <definedName name="Extract_ESSG" localSheetId="11">#REF!</definedName>
    <definedName name="Extract_ESSG">#REF!</definedName>
    <definedName name="EXTRACT2" localSheetId="4">#REF!</definedName>
    <definedName name="EXTRACT2" localSheetId="3">#REF!</definedName>
    <definedName name="EXTRACT2" localSheetId="2">#REF!</definedName>
    <definedName name="EXTRACT2" localSheetId="5">#REF!</definedName>
    <definedName name="EXTRACT2" localSheetId="6">#REF!</definedName>
    <definedName name="EXTRACT2" localSheetId="7">#REF!</definedName>
    <definedName name="EXTRACT2" localSheetId="8">#REF!</definedName>
    <definedName name="EXTRACT2" localSheetId="9">#REF!</definedName>
    <definedName name="EXTRACT2" localSheetId="10">#REF!</definedName>
    <definedName name="EXTRACT2" localSheetId="11">#REF!</definedName>
    <definedName name="EXTRACT2">#REF!</definedName>
    <definedName name="extras" localSheetId="4">#REF!</definedName>
    <definedName name="extras" localSheetId="3">#REF!</definedName>
    <definedName name="extras" localSheetId="2">#REF!</definedName>
    <definedName name="extras" localSheetId="5">#REF!</definedName>
    <definedName name="extras" localSheetId="6">#REF!</definedName>
    <definedName name="extras" localSheetId="7">#REF!</definedName>
    <definedName name="extras" localSheetId="8">#REF!</definedName>
    <definedName name="extras" localSheetId="9">#REF!</definedName>
    <definedName name="extras" localSheetId="10">#REF!</definedName>
    <definedName name="extras" localSheetId="11">#REF!</definedName>
    <definedName name="extras">#REF!</definedName>
    <definedName name="f" localSheetId="10">[54]Spec!$B$53:$F$56</definedName>
    <definedName name="f">[62]Spec!$B$53:$F$56</definedName>
    <definedName name="factory" localSheetId="5">[53]工厂!$A$1:$B$862</definedName>
    <definedName name="factory" localSheetId="6">[53]工厂!$A$1:$B$862</definedName>
    <definedName name="factory" localSheetId="7">[53]工厂!$A$1:$B$862</definedName>
    <definedName name="factory" localSheetId="8">[53]工厂!$A$1:$B$862</definedName>
    <definedName name="factory" localSheetId="9">[53]工厂!$A$1:$B$862</definedName>
    <definedName name="factory" localSheetId="10">[74]工厂!$A$1:$B$862</definedName>
    <definedName name="factory">[41]工厂!$A$1:$B$862</definedName>
    <definedName name="faf" localSheetId="4">[62]Spec!$B$18:$F$22</definedName>
    <definedName name="faf" localSheetId="3">[62]Spec!$B$18:$F$22</definedName>
    <definedName name="faf" localSheetId="2">[62]Spec!$B$18:$F$22</definedName>
    <definedName name="faf" localSheetId="5">[62]Spec!$B$18:$F$22</definedName>
    <definedName name="faf" localSheetId="6">[62]Spec!$B$18:$F$22</definedName>
    <definedName name="faf" localSheetId="7">[62]Spec!$B$18:$F$22</definedName>
    <definedName name="faf" localSheetId="8">[62]Spec!$B$18:$F$22</definedName>
    <definedName name="faf" localSheetId="9">[62]Spec!$B$18:$F$22</definedName>
    <definedName name="faf" localSheetId="10">[40]Spec!$B$18:$F$22</definedName>
    <definedName name="faf">[49]Spec!$B$18:$F$22</definedName>
    <definedName name="FAFA" localSheetId="4">#REF!</definedName>
    <definedName name="FAFA" localSheetId="3">#REF!</definedName>
    <definedName name="FAFA" localSheetId="2">#REF!</definedName>
    <definedName name="FAFA" localSheetId="5">#REF!</definedName>
    <definedName name="FAFA" localSheetId="6">#REF!</definedName>
    <definedName name="FAFA" localSheetId="7">#REF!</definedName>
    <definedName name="FAFA" localSheetId="8">#REF!</definedName>
    <definedName name="FAFA" localSheetId="9">#REF!</definedName>
    <definedName name="FAFA" localSheetId="10">#REF!</definedName>
    <definedName name="FAFA" localSheetId="11">#REF!</definedName>
    <definedName name="FAFA">#REF!</definedName>
    <definedName name="FAFDA" localSheetId="10">[41]Spec!$B$53:$F$56</definedName>
    <definedName name="FAFDA">[63]Spec!$B$53:$F$56</definedName>
    <definedName name="FAS_TABLE_BODY">"6;1;51;6;"</definedName>
    <definedName name="FAS_TABLE_BODY_AUTOSIZE">"FALSE"</definedName>
    <definedName name="fb" localSheetId="4">#REF!</definedName>
    <definedName name="fb" localSheetId="3">#REF!</definedName>
    <definedName name="fb" localSheetId="2">#REF!</definedName>
    <definedName name="fb" localSheetId="5">#REF!</definedName>
    <definedName name="fb" localSheetId="6">#REF!</definedName>
    <definedName name="fb" localSheetId="7">#REF!</definedName>
    <definedName name="fb" localSheetId="8">#REF!</definedName>
    <definedName name="fb" localSheetId="9">#REF!</definedName>
    <definedName name="fb" localSheetId="10">#REF!</definedName>
    <definedName name="fb" localSheetId="11">#REF!</definedName>
    <definedName name="fb">#REF!</definedName>
    <definedName name="FCG" localSheetId="10">[95]FCG!$A$1:$BM$8</definedName>
    <definedName name="FCG">[53]FCG!$A$1:$BM$8</definedName>
    <definedName name="FD" localSheetId="4" hidden="1">{#N/A,#N/A,TRUE,"Distribution";#N/A,#N/A,TRUE,"Fulfillment";#N/A,#N/A,TRUE,"Aged Backorders"}</definedName>
    <definedName name="FD" localSheetId="3" hidden="1">{#N/A,#N/A,TRUE,"Distribution";#N/A,#N/A,TRUE,"Fulfillment";#N/A,#N/A,TRUE,"Aged Backorders"}</definedName>
    <definedName name="FD" localSheetId="2" hidden="1">{#N/A,#N/A,TRUE,"Distribution";#N/A,#N/A,TRUE,"Fulfillment";#N/A,#N/A,TRUE,"Aged Backorders"}</definedName>
    <definedName name="FD" localSheetId="8" hidden="1">{#N/A,#N/A,TRUE,"Distribution";#N/A,#N/A,TRUE,"Fulfillment";#N/A,#N/A,TRUE,"Aged Backorders"}</definedName>
    <definedName name="FD" localSheetId="9" hidden="1">{#N/A,#N/A,TRUE,"Distribution";#N/A,#N/A,TRUE,"Fulfillment";#N/A,#N/A,TRUE,"Aged Backorders"}</definedName>
    <definedName name="FD" localSheetId="10" hidden="1">{#N/A,#N/A,TRUE,"Distribution";#N/A,#N/A,TRUE,"Fulfillment";#N/A,#N/A,TRUE,"Aged Backorders"}</definedName>
    <definedName name="FD" hidden="1">{#N/A,#N/A,TRUE,"Distribution";#N/A,#N/A,TRUE,"Fulfillment";#N/A,#N/A,TRUE,"Aged Backorders"}</definedName>
    <definedName name="fdfdas" localSheetId="10">[54]Spec!$B$43:$F$45</definedName>
    <definedName name="fdfdas">[62]Spec!$B$43:$F$45</definedName>
    <definedName name="fdg" localSheetId="4">#REF!</definedName>
    <definedName name="fdg" localSheetId="3">#REF!</definedName>
    <definedName name="fdg" localSheetId="2">#REF!</definedName>
    <definedName name="fdg" localSheetId="5">#REF!</definedName>
    <definedName name="fdg" localSheetId="6">#REF!</definedName>
    <definedName name="fdg" localSheetId="7">#REF!</definedName>
    <definedName name="fdg" localSheetId="8">#REF!</definedName>
    <definedName name="fdg" localSheetId="9">#REF!</definedName>
    <definedName name="fdg" localSheetId="10">#REF!</definedName>
    <definedName name="fdg" localSheetId="11">#REF!</definedName>
    <definedName name="fdg">#REF!</definedName>
    <definedName name="FDHGJHAG" localSheetId="4" hidden="1">{#N/A,#N/A,TRUE,"Distribution";#N/A,#N/A,TRUE,"Fulfillment";#N/A,#N/A,TRUE,"Aged Backorders"}</definedName>
    <definedName name="FDHGJHAG" localSheetId="3" hidden="1">{#N/A,#N/A,TRUE,"Distribution";#N/A,#N/A,TRUE,"Fulfillment";#N/A,#N/A,TRUE,"Aged Backorders"}</definedName>
    <definedName name="FDHGJHAG" localSheetId="2" hidden="1">{#N/A,#N/A,TRUE,"Distribution";#N/A,#N/A,TRUE,"Fulfillment";#N/A,#N/A,TRUE,"Aged Backorders"}</definedName>
    <definedName name="FDHGJHAG" localSheetId="8" hidden="1">{#N/A,#N/A,TRUE,"Distribution";#N/A,#N/A,TRUE,"Fulfillment";#N/A,#N/A,TRUE,"Aged Backorders"}</definedName>
    <definedName name="FDHGJHAG" localSheetId="9" hidden="1">{#N/A,#N/A,TRUE,"Distribution";#N/A,#N/A,TRUE,"Fulfillment";#N/A,#N/A,TRUE,"Aged Backorders"}</definedName>
    <definedName name="FDHGJHAG" localSheetId="10" hidden="1">{#N/A,#N/A,TRUE,"Distribution";#N/A,#N/A,TRUE,"Fulfillment";#N/A,#N/A,TRUE,"Aged Backorders"}</definedName>
    <definedName name="FDHGJHAG" hidden="1">{#N/A,#N/A,TRUE,"Distribution";#N/A,#N/A,TRUE,"Fulfillment";#N/A,#N/A,TRUE,"Aged Backorders"}</definedName>
    <definedName name="fdr" localSheetId="4">#REF!</definedName>
    <definedName name="fdr" localSheetId="3">#REF!</definedName>
    <definedName name="fdr" localSheetId="2">#REF!</definedName>
    <definedName name="fdr" localSheetId="5">#REF!</definedName>
    <definedName name="fdr" localSheetId="6">#REF!</definedName>
    <definedName name="fdr" localSheetId="7">#REF!</definedName>
    <definedName name="fdr" localSheetId="8">#REF!</definedName>
    <definedName name="fdr" localSheetId="9">#REF!</definedName>
    <definedName name="fdr" localSheetId="10">#REF!</definedName>
    <definedName name="fdr" localSheetId="11">#REF!</definedName>
    <definedName name="fdr">#REF!</definedName>
    <definedName name="feae">#N/A</definedName>
    <definedName name="FEBCOST" localSheetId="4">'[13]Container Cost Assumptions'!$A:$IV</definedName>
    <definedName name="FEBCOST" localSheetId="3">'[13]Container Cost Assumptions'!$A:$IV</definedName>
    <definedName name="FEBCOST" localSheetId="2">'[13]Container Cost Assumptions'!$A:$IV</definedName>
    <definedName name="FEBCOST" localSheetId="5">'[13]Container Cost Assumptions'!$A:$IV</definedName>
    <definedName name="FEBCOST" localSheetId="6">'[13]Container Cost Assumptions'!$A:$IV</definedName>
    <definedName name="FEBCOST" localSheetId="7">'[13]Container Cost Assumptions'!$A:$IV</definedName>
    <definedName name="FEBCOST" localSheetId="8">'[77]Container Cost Assumptions'!$A:$IV</definedName>
    <definedName name="FEBCOST" localSheetId="9">'[77]Container Cost Assumptions'!$A:$IV</definedName>
    <definedName name="FEBCOST" localSheetId="10">'[8]Container Cost Assumptions'!$A:$IV</definedName>
    <definedName name="FEBCOST">'[10]Container Cost Assumptions'!$A:$IV</definedName>
    <definedName name="Fecha">[31]Sheet1!$C$1:$C$12</definedName>
    <definedName name="ff" localSheetId="4">#REF!</definedName>
    <definedName name="ff" localSheetId="3">#REF!</definedName>
    <definedName name="ff" localSheetId="2">#REF!</definedName>
    <definedName name="ff" localSheetId="5">#REF!</definedName>
    <definedName name="ff" localSheetId="6">#REF!</definedName>
    <definedName name="ff" localSheetId="7">#REF!</definedName>
    <definedName name="ff" localSheetId="8">#REF!</definedName>
    <definedName name="ff" localSheetId="9">#REF!</definedName>
    <definedName name="ff" localSheetId="10">#REF!</definedName>
    <definedName name="ff" localSheetId="11">#REF!</definedName>
    <definedName name="ff">#REF!</definedName>
    <definedName name="fff">#N/A</definedName>
    <definedName name="ffff" localSheetId="4" hidden="1">{#N/A,#N/A,TRUE,"Distribution";#N/A,#N/A,TRUE,"Fulfillment";#N/A,#N/A,TRUE,"Aged Backorders"}</definedName>
    <definedName name="ffff" localSheetId="3" hidden="1">{#N/A,#N/A,TRUE,"Distribution";#N/A,#N/A,TRUE,"Fulfillment";#N/A,#N/A,TRUE,"Aged Backorders"}</definedName>
    <definedName name="ffff" localSheetId="2" hidden="1">{#N/A,#N/A,TRUE,"Distribution";#N/A,#N/A,TRUE,"Fulfillment";#N/A,#N/A,TRUE,"Aged Backorders"}</definedName>
    <definedName name="ffff" localSheetId="8" hidden="1">{#N/A,#N/A,TRUE,"Distribution";#N/A,#N/A,TRUE,"Fulfillment";#N/A,#N/A,TRUE,"Aged Backorders"}</definedName>
    <definedName name="ffff" localSheetId="9" hidden="1">{#N/A,#N/A,TRUE,"Distribution";#N/A,#N/A,TRUE,"Fulfillment";#N/A,#N/A,TRUE,"Aged Backorders"}</definedName>
    <definedName name="ffff" localSheetId="10" hidden="1">{#N/A,#N/A,TRUE,"Distribution";#N/A,#N/A,TRUE,"Fulfillment";#N/A,#N/A,TRUE,"Aged Backorders"}</definedName>
    <definedName name="ffff" hidden="1">{#N/A,#N/A,TRUE,"Distribution";#N/A,#N/A,TRUE,"Fulfillment";#N/A,#N/A,TRUE,"Aged Backorders"}</definedName>
    <definedName name="FFST">"BRSUM FFST"</definedName>
    <definedName name="FG" localSheetId="4">#REF!</definedName>
    <definedName name="FG" localSheetId="3">#REF!</definedName>
    <definedName name="FG" localSheetId="2">#REF!</definedName>
    <definedName name="FG" localSheetId="5">#REF!</definedName>
    <definedName name="FG" localSheetId="6">#REF!</definedName>
    <definedName name="FG" localSheetId="7">#REF!</definedName>
    <definedName name="FG" localSheetId="8">#REF!</definedName>
    <definedName name="FG" localSheetId="9">#REF!</definedName>
    <definedName name="FG" localSheetId="10">#REF!</definedName>
    <definedName name="FG" localSheetId="11">#REF!</definedName>
    <definedName name="FG">#REF!</definedName>
    <definedName name="fghkERJHGF" localSheetId="4" hidden="1">{#N/A,#N/A,TRUE,"Distribution";#N/A,#N/A,TRUE,"Fulfillment";#N/A,#N/A,TRUE,"Aged Backorders"}</definedName>
    <definedName name="fghkERJHGF" localSheetId="3" hidden="1">{#N/A,#N/A,TRUE,"Distribution";#N/A,#N/A,TRUE,"Fulfillment";#N/A,#N/A,TRUE,"Aged Backorders"}</definedName>
    <definedName name="fghkERJHGF" localSheetId="2" hidden="1">{#N/A,#N/A,TRUE,"Distribution";#N/A,#N/A,TRUE,"Fulfillment";#N/A,#N/A,TRUE,"Aged Backorders"}</definedName>
    <definedName name="fghkERJHGF" localSheetId="8" hidden="1">{#N/A,#N/A,TRUE,"Distribution";#N/A,#N/A,TRUE,"Fulfillment";#N/A,#N/A,TRUE,"Aged Backorders"}</definedName>
    <definedName name="fghkERJHGF" localSheetId="9" hidden="1">{#N/A,#N/A,TRUE,"Distribution";#N/A,#N/A,TRUE,"Fulfillment";#N/A,#N/A,TRUE,"Aged Backorders"}</definedName>
    <definedName name="fghkERJHGF" localSheetId="10" hidden="1">{#N/A,#N/A,TRUE,"Distribution";#N/A,#N/A,TRUE,"Fulfillment";#N/A,#N/A,TRUE,"Aged Backorders"}</definedName>
    <definedName name="fghkERJHGF" hidden="1">{#N/A,#N/A,TRUE,"Distribution";#N/A,#N/A,TRUE,"Fulfillment";#N/A,#N/A,TRUE,"Aged Backorders"}</definedName>
    <definedName name="fgyjf" localSheetId="4" hidden="1">{#N/A,#N/A,TRUE,"Distribution";#N/A,#N/A,TRUE,"Fulfillment";#N/A,#N/A,TRUE,"Aged Backorders"}</definedName>
    <definedName name="fgyjf" localSheetId="3" hidden="1">{#N/A,#N/A,TRUE,"Distribution";#N/A,#N/A,TRUE,"Fulfillment";#N/A,#N/A,TRUE,"Aged Backorders"}</definedName>
    <definedName name="fgyjf" localSheetId="2" hidden="1">{#N/A,#N/A,TRUE,"Distribution";#N/A,#N/A,TRUE,"Fulfillment";#N/A,#N/A,TRUE,"Aged Backorders"}</definedName>
    <definedName name="fgyjf" localSheetId="8" hidden="1">{#N/A,#N/A,TRUE,"Distribution";#N/A,#N/A,TRUE,"Fulfillment";#N/A,#N/A,TRUE,"Aged Backorders"}</definedName>
    <definedName name="fgyjf" localSheetId="9" hidden="1">{#N/A,#N/A,TRUE,"Distribution";#N/A,#N/A,TRUE,"Fulfillment";#N/A,#N/A,TRUE,"Aged Backorders"}</definedName>
    <definedName name="fgyjf" localSheetId="10" hidden="1">{#N/A,#N/A,TRUE,"Distribution";#N/A,#N/A,TRUE,"Fulfillment";#N/A,#N/A,TRUE,"Aged Backorders"}</definedName>
    <definedName name="fgyjf" hidden="1">{#N/A,#N/A,TRUE,"Distribution";#N/A,#N/A,TRUE,"Fulfillment";#N/A,#N/A,TRUE,"Aged Backorders"}</definedName>
    <definedName name="FHKHA" localSheetId="4" hidden="1">{#N/A,#N/A,TRUE,"Distribution";#N/A,#N/A,TRUE,"Fulfillment";#N/A,#N/A,TRUE,"Aged Backorders"}</definedName>
    <definedName name="FHKHA" localSheetId="3" hidden="1">{#N/A,#N/A,TRUE,"Distribution";#N/A,#N/A,TRUE,"Fulfillment";#N/A,#N/A,TRUE,"Aged Backorders"}</definedName>
    <definedName name="FHKHA" localSheetId="2" hidden="1">{#N/A,#N/A,TRUE,"Distribution";#N/A,#N/A,TRUE,"Fulfillment";#N/A,#N/A,TRUE,"Aged Backorders"}</definedName>
    <definedName name="FHKHA" localSheetId="8" hidden="1">{#N/A,#N/A,TRUE,"Distribution";#N/A,#N/A,TRUE,"Fulfillment";#N/A,#N/A,TRUE,"Aged Backorders"}</definedName>
    <definedName name="FHKHA" localSheetId="9" hidden="1">{#N/A,#N/A,TRUE,"Distribution";#N/A,#N/A,TRUE,"Fulfillment";#N/A,#N/A,TRUE,"Aged Backorders"}</definedName>
    <definedName name="FHKHA" localSheetId="10" hidden="1">{#N/A,#N/A,TRUE,"Distribution";#N/A,#N/A,TRUE,"Fulfillment";#N/A,#N/A,TRUE,"Aged Backorders"}</definedName>
    <definedName name="FHKHA" hidden="1">{#N/A,#N/A,TRUE,"Distribution";#N/A,#N/A,TRUE,"Fulfillment";#N/A,#N/A,TRUE,"Aged Backorders"}</definedName>
    <definedName name="FILE" localSheetId="4">#REF!</definedName>
    <definedName name="FILE" localSheetId="3">#REF!</definedName>
    <definedName name="FILE" localSheetId="2">#REF!</definedName>
    <definedName name="FILE" localSheetId="5">#REF!</definedName>
    <definedName name="FILE" localSheetId="6">#REF!</definedName>
    <definedName name="FILE" localSheetId="7">#REF!</definedName>
    <definedName name="FILE" localSheetId="8">#REF!</definedName>
    <definedName name="FILE" localSheetId="9">#REF!</definedName>
    <definedName name="FILE" localSheetId="10">#REF!</definedName>
    <definedName name="FILE" localSheetId="11">#REF!</definedName>
    <definedName name="FILE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indingCategory" localSheetId="4">#REF!</definedName>
    <definedName name="FindingCategory" localSheetId="3">#REF!</definedName>
    <definedName name="FindingCategory" localSheetId="2">#REF!</definedName>
    <definedName name="FindingCategory" localSheetId="5">#REF!</definedName>
    <definedName name="FindingCategory" localSheetId="6">#REF!</definedName>
    <definedName name="FindingCategory" localSheetId="7">#REF!</definedName>
    <definedName name="FindingCategory" localSheetId="8">#REF!</definedName>
    <definedName name="FindingCategory" localSheetId="9">#REF!</definedName>
    <definedName name="FindingCategory" localSheetId="10">#REF!</definedName>
    <definedName name="FindingCategory" localSheetId="11">#REF!</definedName>
    <definedName name="FindingCategory">#REF!</definedName>
    <definedName name="FindingType" localSheetId="4">#REF!</definedName>
    <definedName name="FindingType" localSheetId="3">#REF!</definedName>
    <definedName name="FindingType" localSheetId="2">#REF!</definedName>
    <definedName name="FindingType" localSheetId="5">#REF!</definedName>
    <definedName name="FindingType" localSheetId="6">#REF!</definedName>
    <definedName name="FindingType" localSheetId="7">#REF!</definedName>
    <definedName name="FindingType" localSheetId="8">#REF!</definedName>
    <definedName name="FindingType" localSheetId="9">#REF!</definedName>
    <definedName name="FindingType" localSheetId="10">#REF!</definedName>
    <definedName name="FindingType" localSheetId="11">#REF!</definedName>
    <definedName name="FindingType">#REF!</definedName>
    <definedName name="first" localSheetId="4">'[41]Batch Comparison Template'!#REF!</definedName>
    <definedName name="first" localSheetId="3">'[41]Batch Comparison Template'!#REF!</definedName>
    <definedName name="first" localSheetId="2">'[41]Batch Comparison Template'!#REF!</definedName>
    <definedName name="first" localSheetId="5">'[41]Batch Comparison Template'!#REF!</definedName>
    <definedName name="first" localSheetId="6">'[41]Batch Comparison Template'!#REF!</definedName>
    <definedName name="first" localSheetId="7">'[41]Batch Comparison Template'!#REF!</definedName>
    <definedName name="first" localSheetId="10">'[87]Batch Comparison Template'!#REF!</definedName>
    <definedName name="first">'[31]Batch Comparison Template'!#REF!</definedName>
    <definedName name="FirstFixRow" localSheetId="4">#REF!</definedName>
    <definedName name="FirstFixRow" localSheetId="3">#REF!</definedName>
    <definedName name="FirstFixRow" localSheetId="2">#REF!</definedName>
    <definedName name="FirstFixRow" localSheetId="5">#REF!</definedName>
    <definedName name="FirstFixRow" localSheetId="6">#REF!</definedName>
    <definedName name="FirstFixRow" localSheetId="7">#REF!</definedName>
    <definedName name="FirstFixRow" localSheetId="8">#REF!</definedName>
    <definedName name="FirstFixRow" localSheetId="9">#REF!</definedName>
    <definedName name="FirstFixRow" localSheetId="10">#REF!</definedName>
    <definedName name="FirstFixRow" localSheetId="11">#REF!</definedName>
    <definedName name="FirstFixRow">#REF!</definedName>
    <definedName name="FirstSkipLast" localSheetId="4">#REF!</definedName>
    <definedName name="FirstSkipLast" localSheetId="3">#REF!</definedName>
    <definedName name="FirstSkipLast" localSheetId="2">#REF!</definedName>
    <definedName name="FirstSkipLast" localSheetId="5">#REF!</definedName>
    <definedName name="FirstSkipLast" localSheetId="6">#REF!</definedName>
    <definedName name="FirstSkipLast" localSheetId="7">#REF!</definedName>
    <definedName name="FirstSkipLast" localSheetId="8">#REF!</definedName>
    <definedName name="FirstSkipLast" localSheetId="9">#REF!</definedName>
    <definedName name="FirstSkipLast" localSheetId="10">#REF!</definedName>
    <definedName name="FirstSkipLast" localSheetId="11">#REF!</definedName>
    <definedName name="FirstSkipLast">#REF!</definedName>
    <definedName name="FirstSort" localSheetId="4">#REF!</definedName>
    <definedName name="FirstSort" localSheetId="3">#REF!</definedName>
    <definedName name="FirstSort" localSheetId="2">#REF!</definedName>
    <definedName name="FirstSort" localSheetId="5">#REF!</definedName>
    <definedName name="FirstSort" localSheetId="6">#REF!</definedName>
    <definedName name="FirstSort" localSheetId="7">#REF!</definedName>
    <definedName name="FirstSort" localSheetId="8">#REF!</definedName>
    <definedName name="FirstSort" localSheetId="9">#REF!</definedName>
    <definedName name="FirstSort" localSheetId="10">#REF!</definedName>
    <definedName name="FirstSort" localSheetId="11">#REF!</definedName>
    <definedName name="FirstSort">#REF!</definedName>
    <definedName name="FiveMonthsBack" localSheetId="4">#REF!</definedName>
    <definedName name="FiveMonthsBack" localSheetId="3">#REF!</definedName>
    <definedName name="FiveMonthsBack" localSheetId="2">#REF!</definedName>
    <definedName name="FiveMonthsBack" localSheetId="5">#REF!</definedName>
    <definedName name="FiveMonthsBack" localSheetId="6">#REF!</definedName>
    <definedName name="FiveMonthsBack" localSheetId="7">#REF!</definedName>
    <definedName name="FiveMonthsBack" localSheetId="8">#REF!</definedName>
    <definedName name="FiveMonthsBack" localSheetId="9">#REF!</definedName>
    <definedName name="FiveMonthsBack" localSheetId="10">#REF!</definedName>
    <definedName name="FiveMonthsBack" localSheetId="11">#REF!</definedName>
    <definedName name="FiveMonthsBack">#REF!</definedName>
    <definedName name="fiveseven" localSheetId="10">'[96]5+7 plan'!$A$1:$DL$65536</definedName>
    <definedName name="fiveseven">'[42]5+7 plan'!$A$1:$DL$65536</definedName>
    <definedName name="Fixes" localSheetId="4">#REF!</definedName>
    <definedName name="Fixes" localSheetId="3">#REF!</definedName>
    <definedName name="Fixes" localSheetId="2">#REF!</definedName>
    <definedName name="Fixes" localSheetId="5">#REF!</definedName>
    <definedName name="Fixes" localSheetId="6">#REF!</definedName>
    <definedName name="Fixes" localSheetId="7">#REF!</definedName>
    <definedName name="Fixes" localSheetId="8">#REF!</definedName>
    <definedName name="Fixes" localSheetId="9">#REF!</definedName>
    <definedName name="Fixes" localSheetId="10">#REF!</definedName>
    <definedName name="Fixes" localSheetId="11">#REF!</definedName>
    <definedName name="Fixes">#REF!</definedName>
    <definedName name="flash" localSheetId="4">#REF!</definedName>
    <definedName name="flash" localSheetId="3">#REF!</definedName>
    <definedName name="flash" localSheetId="2">#REF!</definedName>
    <definedName name="flash" localSheetId="5">#REF!</definedName>
    <definedName name="flash" localSheetId="6">#REF!</definedName>
    <definedName name="flash" localSheetId="7">#REF!</definedName>
    <definedName name="flash" localSheetId="8">#REF!</definedName>
    <definedName name="flash" localSheetId="9">#REF!</definedName>
    <definedName name="flash" localSheetId="10">#REF!</definedName>
    <definedName name="flash" localSheetId="11">#REF!</definedName>
    <definedName name="flash">#REF!</definedName>
    <definedName name="flash_col_match" localSheetId="4">#REF!</definedName>
    <definedName name="flash_col_match" localSheetId="3">#REF!</definedName>
    <definedName name="flash_col_match" localSheetId="2">#REF!</definedName>
    <definedName name="flash_col_match" localSheetId="5">#REF!</definedName>
    <definedName name="flash_col_match" localSheetId="6">#REF!</definedName>
    <definedName name="flash_col_match" localSheetId="7">#REF!</definedName>
    <definedName name="flash_col_match" localSheetId="8">#REF!</definedName>
    <definedName name="flash_col_match" localSheetId="9">#REF!</definedName>
    <definedName name="flash_col_match" localSheetId="10">#REF!</definedName>
    <definedName name="flash_col_match" localSheetId="11">#REF!</definedName>
    <definedName name="flash_col_match">#REF!</definedName>
    <definedName name="FLASH_pull" localSheetId="4">#REF!</definedName>
    <definedName name="FLASH_pull" localSheetId="3">#REF!</definedName>
    <definedName name="FLASH_pull" localSheetId="2">#REF!</definedName>
    <definedName name="FLASH_pull" localSheetId="5">#REF!</definedName>
    <definedName name="FLASH_pull" localSheetId="6">#REF!</definedName>
    <definedName name="FLASH_pull" localSheetId="7">#REF!</definedName>
    <definedName name="FLASH_pull" localSheetId="8">#REF!</definedName>
    <definedName name="FLASH_pull" localSheetId="9">#REF!</definedName>
    <definedName name="FLASH_pull" localSheetId="10">#REF!</definedName>
    <definedName name="FLASH_pull" localSheetId="11">#REF!</definedName>
    <definedName name="FLASH_pull">#REF!</definedName>
    <definedName name="Flash_Qtr" localSheetId="4">'[61]Time Dimension Lookup'!$I$3</definedName>
    <definedName name="Flash_Qtr" localSheetId="3">'[61]Time Dimension Lookup'!$I$3</definedName>
    <definedName name="Flash_Qtr" localSheetId="2">'[61]Time Dimension Lookup'!$I$3</definedName>
    <definedName name="Flash_Qtr" localSheetId="5">'[61]Time Dimension Lookup'!$I$3</definedName>
    <definedName name="Flash_Qtr" localSheetId="6">'[61]Time Dimension Lookup'!$I$3</definedName>
    <definedName name="Flash_Qtr" localSheetId="7">'[61]Time Dimension Lookup'!$I$3</definedName>
    <definedName name="Flash_Qtr" localSheetId="10">'[30]Time Dimension Lookup'!$I$3</definedName>
    <definedName name="Flash_Qtr">'[47]Time Dimension Lookup'!$I$3</definedName>
    <definedName name="flash_row_match" localSheetId="4">#REF!</definedName>
    <definedName name="flash_row_match" localSheetId="3">#REF!</definedName>
    <definedName name="flash_row_match" localSheetId="2">#REF!</definedName>
    <definedName name="flash_row_match" localSheetId="5">#REF!</definedName>
    <definedName name="flash_row_match" localSheetId="6">#REF!</definedName>
    <definedName name="flash_row_match" localSheetId="7">#REF!</definedName>
    <definedName name="flash_row_match" localSheetId="8">#REF!</definedName>
    <definedName name="flash_row_match" localSheetId="9">#REF!</definedName>
    <definedName name="flash_row_match" localSheetId="10">#REF!</definedName>
    <definedName name="flash_row_match" localSheetId="11">#REF!</definedName>
    <definedName name="flash_row_match">#REF!</definedName>
    <definedName name="floor_loads" localSheetId="4">'[44]Floor Loads'!$G$239:$R$239</definedName>
    <definedName name="floor_loads" localSheetId="3">'[44]Floor Loads'!$G$239:$R$239</definedName>
    <definedName name="floor_loads" localSheetId="2">'[44]Floor Loads'!$G$239:$R$239</definedName>
    <definedName name="floor_loads" localSheetId="5">'[44]Floor Loads'!$G$239:$R$239</definedName>
    <definedName name="floor_loads" localSheetId="6">'[44]Floor Loads'!$G$239:$R$239</definedName>
    <definedName name="floor_loads" localSheetId="7">'[44]Floor Loads'!$G$239:$R$239</definedName>
    <definedName name="floor_loads" localSheetId="8">'[44]Floor Loads'!$G$239:$R$239</definedName>
    <definedName name="floor_loads" localSheetId="9">'[44]Floor Loads'!$G$239:$R$239</definedName>
    <definedName name="floor_loads" localSheetId="10">'[19]Floor Loads'!$G$239:$R$239</definedName>
    <definedName name="floor_loads">'[33]Floor Loads'!$G$239:$R$239</definedName>
    <definedName name="FMS_Addresses" localSheetId="4">#REF!</definedName>
    <definedName name="FMS_Addresses" localSheetId="3">#REF!</definedName>
    <definedName name="FMS_Addresses" localSheetId="2">#REF!</definedName>
    <definedName name="FMS_Addresses" localSheetId="5">#REF!</definedName>
    <definedName name="FMS_Addresses" localSheetId="6">#REF!</definedName>
    <definedName name="FMS_Addresses" localSheetId="7">#REF!</definedName>
    <definedName name="FMS_Addresses" localSheetId="8">#REF!</definedName>
    <definedName name="FMS_Addresses" localSheetId="9">#REF!</definedName>
    <definedName name="FMS_Addresses" localSheetId="10">#REF!</definedName>
    <definedName name="FMS_Addresses" localSheetId="11">#REF!</definedName>
    <definedName name="FMS_Addresses">#REF!</definedName>
    <definedName name="fngnkdnfv" localSheetId="4" hidden="1">{#N/A,#N/A,TRUE,"Distribution";#N/A,#N/A,TRUE,"Fulfillment";#N/A,#N/A,TRUE,"Aged Backorders"}</definedName>
    <definedName name="fngnkdnfv" localSheetId="3" hidden="1">{#N/A,#N/A,TRUE,"Distribution";#N/A,#N/A,TRUE,"Fulfillment";#N/A,#N/A,TRUE,"Aged Backorders"}</definedName>
    <definedName name="fngnkdnfv" localSheetId="2" hidden="1">{#N/A,#N/A,TRUE,"Distribution";#N/A,#N/A,TRUE,"Fulfillment";#N/A,#N/A,TRUE,"Aged Backorders"}</definedName>
    <definedName name="fngnkdnfv" localSheetId="8" hidden="1">{#N/A,#N/A,TRUE,"Distribution";#N/A,#N/A,TRUE,"Fulfillment";#N/A,#N/A,TRUE,"Aged Backorders"}</definedName>
    <definedName name="fngnkdnfv" localSheetId="9" hidden="1">{#N/A,#N/A,TRUE,"Distribution";#N/A,#N/A,TRUE,"Fulfillment";#N/A,#N/A,TRUE,"Aged Backorders"}</definedName>
    <definedName name="fngnkdnfv" localSheetId="10" hidden="1">{#N/A,#N/A,TRUE,"Distribution";#N/A,#N/A,TRUE,"Fulfillment";#N/A,#N/A,TRUE,"Aged Backorders"}</definedName>
    <definedName name="fngnkdnfv" hidden="1">{#N/A,#N/A,TRUE,"Distribution";#N/A,#N/A,TRUE,"Fulfillment";#N/A,#N/A,TRUE,"Aged Backorders"}</definedName>
    <definedName name="fo" localSheetId="4" hidden="1">{#N/A,#N/A,FALSE,"Signature Page";#N/A,#N/A,FALSE,"Revision Summary";#N/A,#N/A,FALSE,"PROCESS FLOW";#N/A,#N/A,FALSE,"FMEA Worksheet"}</definedName>
    <definedName name="fo" localSheetId="3" hidden="1">{#N/A,#N/A,FALSE,"Signature Page";#N/A,#N/A,FALSE,"Revision Summary";#N/A,#N/A,FALSE,"PROCESS FLOW";#N/A,#N/A,FALSE,"FMEA Worksheet"}</definedName>
    <definedName name="fo" localSheetId="2" hidden="1">{#N/A,#N/A,FALSE,"Signature Page";#N/A,#N/A,FALSE,"Revision Summary";#N/A,#N/A,FALSE,"PROCESS FLOW";#N/A,#N/A,FALSE,"FMEA Worksheet"}</definedName>
    <definedName name="fo" localSheetId="8" hidden="1">{#N/A,#N/A,FALSE,"Signature Page";#N/A,#N/A,FALSE,"Revision Summary";#N/A,#N/A,FALSE,"PROCESS FLOW";#N/A,#N/A,FALSE,"FMEA Worksheet"}</definedName>
    <definedName name="fo" localSheetId="9" hidden="1">{#N/A,#N/A,FALSE,"Signature Page";#N/A,#N/A,FALSE,"Revision Summary";#N/A,#N/A,FALSE,"PROCESS FLOW";#N/A,#N/A,FALSE,"FMEA Worksheet"}</definedName>
    <definedName name="fo" localSheetId="10" hidden="1">{#N/A,#N/A,FALSE,"Signature Page";#N/A,#N/A,FALSE,"Revision Summary";#N/A,#N/A,FALSE,"PROCESS FLOW";#N/A,#N/A,FALSE,"FMEA Worksheet"}</definedName>
    <definedName name="fo" hidden="1">{#N/A,#N/A,FALSE,"Signature Page";#N/A,#N/A,FALSE,"Revision Summary";#N/A,#N/A,FALSE,"PROCESS FLOW";#N/A,#N/A,FALSE,"FMEA Worksheet"}</definedName>
    <definedName name="FOAM" localSheetId="4">#REF!</definedName>
    <definedName name="FOAM" localSheetId="3">#REF!</definedName>
    <definedName name="FOAM" localSheetId="2">#REF!</definedName>
    <definedName name="FOAM" localSheetId="5">#REF!</definedName>
    <definedName name="FOAM" localSheetId="6">#REF!</definedName>
    <definedName name="FOAM" localSheetId="7">#REF!</definedName>
    <definedName name="FOAM" localSheetId="8">#REF!</definedName>
    <definedName name="FOAM" localSheetId="9">#REF!</definedName>
    <definedName name="FOAM" localSheetId="10">#REF!</definedName>
    <definedName name="FOAM" localSheetId="11">#REF!</definedName>
    <definedName name="FOAM">#REF!</definedName>
    <definedName name="FoamCP" localSheetId="10">[97]Foams!$F$5:$F$13</definedName>
    <definedName name="FoamCP">[43]Foams!$F$5:$F$13</definedName>
    <definedName name="FoamTemp" localSheetId="10">[97]Foams!$A$5:$A$13</definedName>
    <definedName name="FoamTemp">[43]Foams!$A$5:$A$13</definedName>
    <definedName name="FOAMv4" localSheetId="10">[56]Foams!$A$1:$G$10</definedName>
    <definedName name="FOAMv4">[98]Foams!$A$1:$G$10</definedName>
    <definedName name="foco" localSheetId="4" hidden="1">{#N/A,#N/A,TRUE,"Distribution";#N/A,#N/A,TRUE,"Fulfillment";#N/A,#N/A,TRUE,"Aged Backorders"}</definedName>
    <definedName name="foco" localSheetId="3" hidden="1">{#N/A,#N/A,TRUE,"Distribution";#N/A,#N/A,TRUE,"Fulfillment";#N/A,#N/A,TRUE,"Aged Backorders"}</definedName>
    <definedName name="foco" localSheetId="2" hidden="1">{#N/A,#N/A,TRUE,"Distribution";#N/A,#N/A,TRUE,"Fulfillment";#N/A,#N/A,TRUE,"Aged Backorders"}</definedName>
    <definedName name="foco" localSheetId="8" hidden="1">{#N/A,#N/A,TRUE,"Distribution";#N/A,#N/A,TRUE,"Fulfillment";#N/A,#N/A,TRUE,"Aged Backorders"}</definedName>
    <definedName name="foco" localSheetId="9" hidden="1">{#N/A,#N/A,TRUE,"Distribution";#N/A,#N/A,TRUE,"Fulfillment";#N/A,#N/A,TRUE,"Aged Backorders"}</definedName>
    <definedName name="foco" localSheetId="10" hidden="1">{#N/A,#N/A,TRUE,"Distribution";#N/A,#N/A,TRUE,"Fulfillment";#N/A,#N/A,TRUE,"Aged Backorders"}</definedName>
    <definedName name="foco" hidden="1">{#N/A,#N/A,TRUE,"Distribution";#N/A,#N/A,TRUE,"Fulfillment";#N/A,#N/A,TRUE,"Aged Backorders"}</definedName>
    <definedName name="FORK" localSheetId="4">'[64]FA-LISTING'!#REF!</definedName>
    <definedName name="FORK" localSheetId="3">'[64]FA-LISTING'!#REF!</definedName>
    <definedName name="FORK" localSheetId="2">'[64]FA-LISTING'!#REF!</definedName>
    <definedName name="FORK" localSheetId="5">'[64]FA-LISTING'!#REF!</definedName>
    <definedName name="FORK" localSheetId="6">'[64]FA-LISTING'!#REF!</definedName>
    <definedName name="FORK" localSheetId="7">'[64]FA-LISTING'!#REF!</definedName>
    <definedName name="FORK" localSheetId="8">'[2]FA-LISTING'!#REF!</definedName>
    <definedName name="FORK" localSheetId="9">'[2]FA-LISTING'!#REF!</definedName>
    <definedName name="FORK" localSheetId="10">'[2]FA-LISTING'!#REF!</definedName>
    <definedName name="FORK">'[1]FA-LISTING'!#REF!</definedName>
    <definedName name="FourMonthsBack" localSheetId="4">#REF!</definedName>
    <definedName name="FourMonthsBack" localSheetId="3">#REF!</definedName>
    <definedName name="FourMonthsBack" localSheetId="2">#REF!</definedName>
    <definedName name="FourMonthsBack" localSheetId="5">#REF!</definedName>
    <definedName name="FourMonthsBack" localSheetId="6">#REF!</definedName>
    <definedName name="FourMonthsBack" localSheetId="7">#REF!</definedName>
    <definedName name="FourMonthsBack" localSheetId="8">#REF!</definedName>
    <definedName name="FourMonthsBack" localSheetId="9">#REF!</definedName>
    <definedName name="FourMonthsBack" localSheetId="10">#REF!</definedName>
    <definedName name="FourMonthsBack" localSheetId="11">#REF!</definedName>
    <definedName name="FourMonthsBack">#REF!</definedName>
    <definedName name="FPAUpdate" localSheetId="4">#REF!</definedName>
    <definedName name="FPAUpdate" localSheetId="3">#REF!</definedName>
    <definedName name="FPAUpdate" localSheetId="2">#REF!</definedName>
    <definedName name="FPAUpdate" localSheetId="5">#REF!</definedName>
    <definedName name="FPAUpdate" localSheetId="6">#REF!</definedName>
    <definedName name="FPAUpdate" localSheetId="7">#REF!</definedName>
    <definedName name="FPAUpdate" localSheetId="8">#REF!</definedName>
    <definedName name="FPAUpdate" localSheetId="9">#REF!</definedName>
    <definedName name="FPAUpdate" localSheetId="10">#REF!</definedName>
    <definedName name="FPAUpdate" localSheetId="11">#REF!</definedName>
    <definedName name="FPAUpdate">#REF!</definedName>
    <definedName name="fr" localSheetId="4">#REF!</definedName>
    <definedName name="fr" localSheetId="3">#REF!</definedName>
    <definedName name="fr" localSheetId="2">#REF!</definedName>
    <definedName name="fr" localSheetId="5">#REF!</definedName>
    <definedName name="fr" localSheetId="6">#REF!</definedName>
    <definedName name="fr" localSheetId="7">#REF!</definedName>
    <definedName name="fr" localSheetId="8">#REF!</definedName>
    <definedName name="fr" localSheetId="9">#REF!</definedName>
    <definedName name="fr" localSheetId="10">#REF!</definedName>
    <definedName name="fr" localSheetId="11">#REF!</definedName>
    <definedName name="fr">#REF!</definedName>
    <definedName name="fsf">#N/A</definedName>
    <definedName name="Full_PMM_rng" localSheetId="4">'[39]Full PMM'!$N$7:$FU$27,'[39]Full PMM'!$N$29:$FU$31,'[39]Full PMM'!$N$41:$FU$41,'[39]Full PMM'!$N$44:$FU$44,'[39]Full PMM'!$N$46:$FU$51,'[39]Full PMM'!$N$54:$FU$122,'[39]Full PMM'!$GA$54:$GK$122</definedName>
    <definedName name="Full_PMM_rng" localSheetId="3">'[39]Full PMM'!$N$7:$FU$27,'[39]Full PMM'!$N$29:$FU$31,'[39]Full PMM'!$N$41:$FU$41,'[39]Full PMM'!$N$44:$FU$44,'[39]Full PMM'!$N$46:$FU$51,'[39]Full PMM'!$N$54:$FU$122,'[39]Full PMM'!$GA$54:$GK$122</definedName>
    <definedName name="Full_PMM_rng" localSheetId="2">'[39]Full PMM'!$N$7:$FU$27,'[39]Full PMM'!$N$29:$FU$31,'[39]Full PMM'!$N$41:$FU$41,'[39]Full PMM'!$N$44:$FU$44,'[39]Full PMM'!$N$46:$FU$51,'[39]Full PMM'!$N$54:$FU$122,'[39]Full PMM'!$GA$54:$GK$122</definedName>
    <definedName name="Full_PMM_rng" localSheetId="5">'[39]Full PMM'!$N$7:$FU$27,'[39]Full PMM'!$N$29:$FU$31,'[39]Full PMM'!$N$41:$FU$41,'[39]Full PMM'!$N$44:$FU$44,'[39]Full PMM'!$N$46:$FU$51,'[39]Full PMM'!$N$54:$FU$122,'[39]Full PMM'!$GA$54:$GK$122</definedName>
    <definedName name="Full_PMM_rng" localSheetId="6">'[39]Full PMM'!$N$7:$FU$27,'[39]Full PMM'!$N$29:$FU$31,'[39]Full PMM'!$N$41:$FU$41,'[39]Full PMM'!$N$44:$FU$44,'[39]Full PMM'!$N$46:$FU$51,'[39]Full PMM'!$N$54:$FU$122,'[39]Full PMM'!$GA$54:$GK$122</definedName>
    <definedName name="Full_PMM_rng" localSheetId="7">'[39]Full PMM'!$N$7:$FU$27,'[39]Full PMM'!$N$29:$FU$31,'[39]Full PMM'!$N$41:$FU$41,'[39]Full PMM'!$N$44:$FU$44,'[39]Full PMM'!$N$46:$FU$51,'[39]Full PMM'!$N$54:$FU$122,'[39]Full PMM'!$GA$54:$GK$122</definedName>
    <definedName name="Full_PMM_rng" localSheetId="10">'[86]Full PMM'!$N$7:$FU$27,'[86]Full PMM'!$N$29:$FU$31,'[86]Full PMM'!$N$41:$FU$41,'[86]Full PMM'!$N$44:$FU$44,'[86]Full PMM'!$N$46:$FU$51,'[86]Full PMM'!$N$54:$FU$122,'[86]Full PMM'!$GA$54:$GK$122</definedName>
    <definedName name="Full_PMM_rng">'[30]Full PMM'!$N$7:$FU$27,'[30]Full PMM'!$N$29:$FU$31,'[30]Full PMM'!$N$41:$FU$41,'[30]Full PMM'!$N$44:$FU$44,'[30]Full PMM'!$N$46:$FU$51,'[30]Full PMM'!$N$54:$FU$122,'[30]Full PMM'!$GA$54:$GK$122</definedName>
    <definedName name="Full_Print" localSheetId="4">#REF!</definedName>
    <definedName name="Full_Print" localSheetId="3">#REF!</definedName>
    <definedName name="Full_Print" localSheetId="2">#REF!</definedName>
    <definedName name="Full_Print" localSheetId="5">#REF!</definedName>
    <definedName name="Full_Print" localSheetId="6">#REF!</definedName>
    <definedName name="Full_Print" localSheetId="7">#REF!</definedName>
    <definedName name="Full_Print" localSheetId="8">#REF!</definedName>
    <definedName name="Full_Print" localSheetId="9">#REF!</definedName>
    <definedName name="Full_Print" localSheetId="10">#REF!</definedName>
    <definedName name="Full_Print" localSheetId="11">#REF!</definedName>
    <definedName name="Full_Print">#REF!</definedName>
    <definedName name="Fully_Loaded" localSheetId="8">'[54]PL1'!$A$1:$H$55</definedName>
    <definedName name="Fully_Loaded" localSheetId="9">'[54]PL1'!$A$1:$H$55</definedName>
    <definedName name="Fully_Loaded" localSheetId="10">'[90]PL1'!$A$1:$H$55</definedName>
    <definedName name="Fully_Loaded">'[42]PL1'!$A$1:$H$55</definedName>
    <definedName name="FW_Issues" localSheetId="4">#REF!</definedName>
    <definedName name="FW_Issues" localSheetId="3">#REF!</definedName>
    <definedName name="FW_Issues" localSheetId="2">#REF!</definedName>
    <definedName name="FW_Issues" localSheetId="5">#REF!</definedName>
    <definedName name="FW_Issues" localSheetId="6">#REF!</definedName>
    <definedName name="FW_Issues" localSheetId="7">#REF!</definedName>
    <definedName name="FW_Issues" localSheetId="8">#REF!</definedName>
    <definedName name="FW_Issues" localSheetId="9">#REF!</definedName>
    <definedName name="FW_Issues" localSheetId="10">#REF!</definedName>
    <definedName name="FW_Issues" localSheetId="11">#REF!</definedName>
    <definedName name="FW_Issues">#REF!</definedName>
    <definedName name="fw27act" localSheetId="4">#REF!</definedName>
    <definedName name="fw27act" localSheetId="3">#REF!</definedName>
    <definedName name="fw27act" localSheetId="2">#REF!</definedName>
    <definedName name="fw27act" localSheetId="5">#REF!</definedName>
    <definedName name="fw27act" localSheetId="6">#REF!</definedName>
    <definedName name="fw27act" localSheetId="7">#REF!</definedName>
    <definedName name="fw27act" localSheetId="8">#REF!</definedName>
    <definedName name="fw27act" localSheetId="9">#REF!</definedName>
    <definedName name="fw27act" localSheetId="10">#REF!</definedName>
    <definedName name="fw27act" localSheetId="11">#REF!</definedName>
    <definedName name="fw27act">#REF!</definedName>
    <definedName name="fw27acttm" localSheetId="4">#REF!</definedName>
    <definedName name="fw27acttm" localSheetId="3">#REF!</definedName>
    <definedName name="fw27acttm" localSheetId="2">#REF!</definedName>
    <definedName name="fw27acttm" localSheetId="5">#REF!</definedName>
    <definedName name="fw27acttm" localSheetId="6">#REF!</definedName>
    <definedName name="fw27acttm" localSheetId="7">#REF!</definedName>
    <definedName name="fw27acttm" localSheetId="8">#REF!</definedName>
    <definedName name="fw27acttm" localSheetId="9">#REF!</definedName>
    <definedName name="fw27acttm" localSheetId="10">#REF!</definedName>
    <definedName name="fw27acttm" localSheetId="11">#REF!</definedName>
    <definedName name="fw27acttm">#REF!</definedName>
    <definedName name="fw27MCTO" localSheetId="4">#REF!</definedName>
    <definedName name="fw27MCTO" localSheetId="3">#REF!</definedName>
    <definedName name="fw27MCTO" localSheetId="2">#REF!</definedName>
    <definedName name="fw27MCTO" localSheetId="5">#REF!</definedName>
    <definedName name="fw27MCTO" localSheetId="6">#REF!</definedName>
    <definedName name="fw27MCTO" localSheetId="7">#REF!</definedName>
    <definedName name="fw27MCTO" localSheetId="8">#REF!</definedName>
    <definedName name="fw27MCTO" localSheetId="9">#REF!</definedName>
    <definedName name="fw27MCTO" localSheetId="10">#REF!</definedName>
    <definedName name="fw27MCTO" localSheetId="11">#REF!</definedName>
    <definedName name="fw27MCTO">#REF!</definedName>
    <definedName name="fw28act" localSheetId="4">#REF!</definedName>
    <definedName name="fw28act" localSheetId="3">#REF!</definedName>
    <definedName name="fw28act" localSheetId="2">#REF!</definedName>
    <definedName name="fw28act" localSheetId="5">#REF!</definedName>
    <definedName name="fw28act" localSheetId="6">#REF!</definedName>
    <definedName name="fw28act" localSheetId="7">#REF!</definedName>
    <definedName name="fw28act" localSheetId="8">#REF!</definedName>
    <definedName name="fw28act" localSheetId="9">#REF!</definedName>
    <definedName name="fw28act" localSheetId="10">#REF!</definedName>
    <definedName name="fw28act" localSheetId="11">#REF!</definedName>
    <definedName name="fw28act">#REF!</definedName>
    <definedName name="fw28acttm" localSheetId="4">#REF!</definedName>
    <definedName name="fw28acttm" localSheetId="3">#REF!</definedName>
    <definedName name="fw28acttm" localSheetId="2">#REF!</definedName>
    <definedName name="fw28acttm" localSheetId="5">#REF!</definedName>
    <definedName name="fw28acttm" localSheetId="6">#REF!</definedName>
    <definedName name="fw28acttm" localSheetId="7">#REF!</definedName>
    <definedName name="fw28acttm" localSheetId="8">#REF!</definedName>
    <definedName name="fw28acttm" localSheetId="9">#REF!</definedName>
    <definedName name="fw28acttm" localSheetId="10">#REF!</definedName>
    <definedName name="fw28acttm" localSheetId="11">#REF!</definedName>
    <definedName name="fw28acttm">#REF!</definedName>
    <definedName name="FW28MCTO" localSheetId="4">#REF!</definedName>
    <definedName name="FW28MCTO" localSheetId="3">#REF!</definedName>
    <definedName name="FW28MCTO" localSheetId="2">#REF!</definedName>
    <definedName name="FW28MCTO" localSheetId="5">#REF!</definedName>
    <definedName name="FW28MCTO" localSheetId="6">#REF!</definedName>
    <definedName name="FW28MCTO" localSheetId="7">#REF!</definedName>
    <definedName name="FW28MCTO" localSheetId="8">#REF!</definedName>
    <definedName name="FW28MCTO" localSheetId="9">#REF!</definedName>
    <definedName name="FW28MCTO" localSheetId="10">#REF!</definedName>
    <definedName name="FW28MCTO" localSheetId="11">#REF!</definedName>
    <definedName name="FW28MCTO">#REF!</definedName>
    <definedName name="fw29act" localSheetId="4">#REF!</definedName>
    <definedName name="fw29act" localSheetId="3">#REF!</definedName>
    <definedName name="fw29act" localSheetId="2">#REF!</definedName>
    <definedName name="fw29act" localSheetId="5">#REF!</definedName>
    <definedName name="fw29act" localSheetId="6">#REF!</definedName>
    <definedName name="fw29act" localSheetId="7">#REF!</definedName>
    <definedName name="fw29act" localSheetId="8">#REF!</definedName>
    <definedName name="fw29act" localSheetId="9">#REF!</definedName>
    <definedName name="fw29act" localSheetId="10">#REF!</definedName>
    <definedName name="fw29act" localSheetId="11">#REF!</definedName>
    <definedName name="fw29act">#REF!</definedName>
    <definedName name="fw29acttm" localSheetId="4">#REF!</definedName>
    <definedName name="fw29acttm" localSheetId="3">#REF!</definedName>
    <definedName name="fw29acttm" localSheetId="2">#REF!</definedName>
    <definedName name="fw29acttm" localSheetId="5">#REF!</definedName>
    <definedName name="fw29acttm" localSheetId="6">#REF!</definedName>
    <definedName name="fw29acttm" localSheetId="7">#REF!</definedName>
    <definedName name="fw29acttm" localSheetId="8">#REF!</definedName>
    <definedName name="fw29acttm" localSheetId="9">#REF!</definedName>
    <definedName name="fw29acttm" localSheetId="10">#REF!</definedName>
    <definedName name="fw29acttm" localSheetId="11">#REF!</definedName>
    <definedName name="fw29acttm">#REF!</definedName>
    <definedName name="FW29MCTO" localSheetId="4">#REF!</definedName>
    <definedName name="FW29MCTO" localSheetId="3">#REF!</definedName>
    <definedName name="FW29MCTO" localSheetId="2">#REF!</definedName>
    <definedName name="FW29MCTO" localSheetId="5">#REF!</definedName>
    <definedName name="FW29MCTO" localSheetId="6">#REF!</definedName>
    <definedName name="FW29MCTO" localSheetId="7">#REF!</definedName>
    <definedName name="FW29MCTO" localSheetId="8">#REF!</definedName>
    <definedName name="FW29MCTO" localSheetId="9">#REF!</definedName>
    <definedName name="FW29MCTO" localSheetId="10">#REF!</definedName>
    <definedName name="FW29MCTO" localSheetId="11">#REF!</definedName>
    <definedName name="FW29MCTO">#REF!</definedName>
    <definedName name="fw30act" localSheetId="4">#REF!</definedName>
    <definedName name="fw30act" localSheetId="3">#REF!</definedName>
    <definedName name="fw30act" localSheetId="2">#REF!</definedName>
    <definedName name="fw30act" localSheetId="5">#REF!</definedName>
    <definedName name="fw30act" localSheetId="6">#REF!</definedName>
    <definedName name="fw30act" localSheetId="7">#REF!</definedName>
    <definedName name="fw30act" localSheetId="8">#REF!</definedName>
    <definedName name="fw30act" localSheetId="9">#REF!</definedName>
    <definedName name="fw30act" localSheetId="10">#REF!</definedName>
    <definedName name="fw30act" localSheetId="11">#REF!</definedName>
    <definedName name="fw30act">#REF!</definedName>
    <definedName name="fw30acttm" localSheetId="4">#REF!</definedName>
    <definedName name="fw30acttm" localSheetId="3">#REF!</definedName>
    <definedName name="fw30acttm" localSheetId="2">#REF!</definedName>
    <definedName name="fw30acttm" localSheetId="5">#REF!</definedName>
    <definedName name="fw30acttm" localSheetId="6">#REF!</definedName>
    <definedName name="fw30acttm" localSheetId="7">#REF!</definedName>
    <definedName name="fw30acttm" localSheetId="8">#REF!</definedName>
    <definedName name="fw30acttm" localSheetId="9">#REF!</definedName>
    <definedName name="fw30acttm" localSheetId="10">#REF!</definedName>
    <definedName name="fw30acttm" localSheetId="11">#REF!</definedName>
    <definedName name="fw30acttm">#REF!</definedName>
    <definedName name="FW30MCTO" localSheetId="4">#REF!</definedName>
    <definedName name="FW30MCTO" localSheetId="3">#REF!</definedName>
    <definedName name="FW30MCTO" localSheetId="2">#REF!</definedName>
    <definedName name="FW30MCTO" localSheetId="5">#REF!</definedName>
    <definedName name="FW30MCTO" localSheetId="6">#REF!</definedName>
    <definedName name="FW30MCTO" localSheetId="7">#REF!</definedName>
    <definedName name="FW30MCTO" localSheetId="8">#REF!</definedName>
    <definedName name="FW30MCTO" localSheetId="9">#REF!</definedName>
    <definedName name="FW30MCTO" localSheetId="10">#REF!</definedName>
    <definedName name="FW30MCTO" localSheetId="11">#REF!</definedName>
    <definedName name="FW30MCTO">#REF!</definedName>
    <definedName name="fw31act" localSheetId="4">#REF!</definedName>
    <definedName name="fw31act" localSheetId="3">#REF!</definedName>
    <definedName name="fw31act" localSheetId="2">#REF!</definedName>
    <definedName name="fw31act" localSheetId="5">#REF!</definedName>
    <definedName name="fw31act" localSheetId="6">#REF!</definedName>
    <definedName name="fw31act" localSheetId="7">#REF!</definedName>
    <definedName name="fw31act" localSheetId="8">#REF!</definedName>
    <definedName name="fw31act" localSheetId="9">#REF!</definedName>
    <definedName name="fw31act" localSheetId="10">#REF!</definedName>
    <definedName name="fw31act" localSheetId="11">#REF!</definedName>
    <definedName name="fw31act">#REF!</definedName>
    <definedName name="fw31acttm" localSheetId="4">#REF!</definedName>
    <definedName name="fw31acttm" localSheetId="3">#REF!</definedName>
    <definedName name="fw31acttm" localSheetId="2">#REF!</definedName>
    <definedName name="fw31acttm" localSheetId="5">#REF!</definedName>
    <definedName name="fw31acttm" localSheetId="6">#REF!</definedName>
    <definedName name="fw31acttm" localSheetId="7">#REF!</definedName>
    <definedName name="fw31acttm" localSheetId="8">#REF!</definedName>
    <definedName name="fw31acttm" localSheetId="9">#REF!</definedName>
    <definedName name="fw31acttm" localSheetId="10">#REF!</definedName>
    <definedName name="fw31acttm" localSheetId="11">#REF!</definedName>
    <definedName name="fw31acttm">#REF!</definedName>
    <definedName name="FW31MCTO" localSheetId="4">#REF!</definedName>
    <definedName name="FW31MCTO" localSheetId="3">#REF!</definedName>
    <definedName name="FW31MCTO" localSheetId="2">#REF!</definedName>
    <definedName name="FW31MCTO" localSheetId="5">#REF!</definedName>
    <definedName name="FW31MCTO" localSheetId="6">#REF!</definedName>
    <definedName name="FW31MCTO" localSheetId="7">#REF!</definedName>
    <definedName name="FW31MCTO" localSheetId="8">#REF!</definedName>
    <definedName name="FW31MCTO" localSheetId="9">#REF!</definedName>
    <definedName name="FW31MCTO" localSheetId="10">#REF!</definedName>
    <definedName name="FW31MCTO" localSheetId="11">#REF!</definedName>
    <definedName name="FW31MCTO">#REF!</definedName>
    <definedName name="FWeek1" localSheetId="4">#REF!</definedName>
    <definedName name="FWeek1" localSheetId="3">#REF!</definedName>
    <definedName name="FWeek1" localSheetId="2">#REF!</definedName>
    <definedName name="FWeek1" localSheetId="5">#REF!</definedName>
    <definedName name="FWeek1" localSheetId="6">#REF!</definedName>
    <definedName name="FWeek1" localSheetId="7">#REF!</definedName>
    <definedName name="FWeek1" localSheetId="8">#REF!</definedName>
    <definedName name="FWeek1" localSheetId="9">#REF!</definedName>
    <definedName name="FWeek1" localSheetId="10">#REF!</definedName>
    <definedName name="FWeek1" localSheetId="11">#REF!</definedName>
    <definedName name="FWeek1">#REF!</definedName>
    <definedName name="Fweek2" localSheetId="4">#REF!</definedName>
    <definedName name="Fweek2" localSheetId="3">#REF!</definedName>
    <definedName name="Fweek2" localSheetId="2">#REF!</definedName>
    <definedName name="Fweek2" localSheetId="5">#REF!</definedName>
    <definedName name="Fweek2" localSheetId="6">#REF!</definedName>
    <definedName name="Fweek2" localSheetId="7">#REF!</definedName>
    <definedName name="Fweek2" localSheetId="8">#REF!</definedName>
    <definedName name="Fweek2" localSheetId="9">#REF!</definedName>
    <definedName name="Fweek2" localSheetId="10">#REF!</definedName>
    <definedName name="Fweek2" localSheetId="11">#REF!</definedName>
    <definedName name="Fweek2">#REF!</definedName>
    <definedName name="Fweek27" localSheetId="4">#REF!</definedName>
    <definedName name="Fweek27" localSheetId="3">#REF!</definedName>
    <definedName name="Fweek27" localSheetId="2">#REF!</definedName>
    <definedName name="Fweek27" localSheetId="5">#REF!</definedName>
    <definedName name="Fweek27" localSheetId="6">#REF!</definedName>
    <definedName name="Fweek27" localSheetId="7">#REF!</definedName>
    <definedName name="Fweek27" localSheetId="8">#REF!</definedName>
    <definedName name="Fweek27" localSheetId="9">#REF!</definedName>
    <definedName name="Fweek27" localSheetId="10">#REF!</definedName>
    <definedName name="Fweek27" localSheetId="11">#REF!</definedName>
    <definedName name="Fweek27">#REF!</definedName>
    <definedName name="Fweek3" localSheetId="4">#REF!</definedName>
    <definedName name="Fweek3" localSheetId="3">#REF!</definedName>
    <definedName name="Fweek3" localSheetId="2">#REF!</definedName>
    <definedName name="Fweek3" localSheetId="5">#REF!</definedName>
    <definedName name="Fweek3" localSheetId="6">#REF!</definedName>
    <definedName name="Fweek3" localSheetId="7">#REF!</definedName>
    <definedName name="Fweek3" localSheetId="8">#REF!</definedName>
    <definedName name="Fweek3" localSheetId="9">#REF!</definedName>
    <definedName name="Fweek3" localSheetId="10">#REF!</definedName>
    <definedName name="Fweek3" localSheetId="11">#REF!</definedName>
    <definedName name="Fweek3">#REF!</definedName>
    <definedName name="Fweek4" localSheetId="4">#REF!</definedName>
    <definedName name="Fweek4" localSheetId="3">#REF!</definedName>
    <definedName name="Fweek4" localSheetId="2">#REF!</definedName>
    <definedName name="Fweek4" localSheetId="5">#REF!</definedName>
    <definedName name="Fweek4" localSheetId="6">#REF!</definedName>
    <definedName name="Fweek4" localSheetId="7">#REF!</definedName>
    <definedName name="Fweek4" localSheetId="8">#REF!</definedName>
    <definedName name="Fweek4" localSheetId="9">#REF!</definedName>
    <definedName name="Fweek4" localSheetId="10">#REF!</definedName>
    <definedName name="Fweek4" localSheetId="11">#REF!</definedName>
    <definedName name="Fweek4">#REF!</definedName>
    <definedName name="Fweek5" localSheetId="4">#REF!</definedName>
    <definedName name="Fweek5" localSheetId="3">#REF!</definedName>
    <definedName name="Fweek5" localSheetId="2">#REF!</definedName>
    <definedName name="Fweek5" localSheetId="5">#REF!</definedName>
    <definedName name="Fweek5" localSheetId="6">#REF!</definedName>
    <definedName name="Fweek5" localSheetId="7">#REF!</definedName>
    <definedName name="Fweek5" localSheetId="8">#REF!</definedName>
    <definedName name="Fweek5" localSheetId="9">#REF!</definedName>
    <definedName name="Fweek5" localSheetId="10">#REF!</definedName>
    <definedName name="Fweek5" localSheetId="11">#REF!</definedName>
    <definedName name="Fweek5">#REF!</definedName>
    <definedName name="Fweek6" localSheetId="4">#REF!</definedName>
    <definedName name="Fweek6" localSheetId="3">#REF!</definedName>
    <definedName name="Fweek6" localSheetId="2">#REF!</definedName>
    <definedName name="Fweek6" localSheetId="5">#REF!</definedName>
    <definedName name="Fweek6" localSheetId="6">#REF!</definedName>
    <definedName name="Fweek6" localSheetId="7">#REF!</definedName>
    <definedName name="Fweek6" localSheetId="8">#REF!</definedName>
    <definedName name="Fweek6" localSheetId="9">#REF!</definedName>
    <definedName name="Fweek6" localSheetId="10">#REF!</definedName>
    <definedName name="Fweek6" localSheetId="11">#REF!</definedName>
    <definedName name="Fweek6">#REF!</definedName>
    <definedName name="FWeek7" localSheetId="4">#REF!</definedName>
    <definedName name="FWeek7" localSheetId="3">#REF!</definedName>
    <definedName name="FWeek7" localSheetId="2">#REF!</definedName>
    <definedName name="FWeek7" localSheetId="5">#REF!</definedName>
    <definedName name="FWeek7" localSheetId="6">#REF!</definedName>
    <definedName name="FWeek7" localSheetId="7">#REF!</definedName>
    <definedName name="FWeek7" localSheetId="8">#REF!</definedName>
    <definedName name="FWeek7" localSheetId="9">#REF!</definedName>
    <definedName name="FWeek7" localSheetId="10">#REF!</definedName>
    <definedName name="FWeek7" localSheetId="11">#REF!</definedName>
    <definedName name="FWeek7">#REF!</definedName>
    <definedName name="FXP" localSheetId="10">'[58]Grafvta00 (2)'!$U$48</definedName>
    <definedName name="FXP">'[32]Grafvta00 (2)'!$U$48</definedName>
    <definedName name="FXR" localSheetId="10">'[58]Grafvta00 (2)'!$U$49</definedName>
    <definedName name="FXR">'[32]Grafvta00 (2)'!$U$49</definedName>
    <definedName name="FY00ORD" localSheetId="4">#REF!</definedName>
    <definedName name="FY00ORD" localSheetId="3">#REF!</definedName>
    <definedName name="FY00ORD" localSheetId="2">#REF!</definedName>
    <definedName name="FY00ORD" localSheetId="5">#REF!</definedName>
    <definedName name="FY00ORD" localSheetId="6">#REF!</definedName>
    <definedName name="FY00ORD" localSheetId="7">#REF!</definedName>
    <definedName name="FY00ORD" localSheetId="8">#REF!</definedName>
    <definedName name="FY00ORD" localSheetId="9">#REF!</definedName>
    <definedName name="FY00ORD" localSheetId="10">#REF!</definedName>
    <definedName name="FY00ORD" localSheetId="11">#REF!</definedName>
    <definedName name="FY00ORD">#REF!</definedName>
    <definedName name="FY02_APCOS_Pull" localSheetId="4">#REF!</definedName>
    <definedName name="FY02_APCOS_Pull" localSheetId="3">#REF!</definedName>
    <definedName name="FY02_APCOS_Pull" localSheetId="2">#REF!</definedName>
    <definedName name="FY02_APCOS_Pull" localSheetId="5">#REF!</definedName>
    <definedName name="FY02_APCOS_Pull" localSheetId="6">#REF!</definedName>
    <definedName name="FY02_APCOS_Pull" localSheetId="7">#REF!</definedName>
    <definedName name="FY02_APCOS_Pull" localSheetId="8">#REF!</definedName>
    <definedName name="FY02_APCOS_Pull" localSheetId="9">#REF!</definedName>
    <definedName name="FY02_APCOS_Pull" localSheetId="10">#REF!</definedName>
    <definedName name="FY02_APCOS_Pull" localSheetId="11">#REF!</definedName>
    <definedName name="FY02_APCOS_Pull">#REF!</definedName>
    <definedName name="FY02_APHQCOS_Pull" localSheetId="4">#REF!</definedName>
    <definedName name="FY02_APHQCOS_Pull" localSheetId="3">#REF!</definedName>
    <definedName name="FY02_APHQCOS_Pull" localSheetId="2">#REF!</definedName>
    <definedName name="FY02_APHQCOS_Pull" localSheetId="5">#REF!</definedName>
    <definedName name="FY02_APHQCOS_Pull" localSheetId="6">#REF!</definedName>
    <definedName name="FY02_APHQCOS_Pull" localSheetId="7">#REF!</definedName>
    <definedName name="FY02_APHQCOS_Pull" localSheetId="8">#REF!</definedName>
    <definedName name="FY02_APHQCOS_Pull" localSheetId="9">#REF!</definedName>
    <definedName name="FY02_APHQCOS_Pull" localSheetId="10">#REF!</definedName>
    <definedName name="FY02_APHQCOS_Pull" localSheetId="11">#REF!</definedName>
    <definedName name="FY02_APHQCOS_Pull">#REF!</definedName>
    <definedName name="FY02_Order_Pull" localSheetId="4">#REF!</definedName>
    <definedName name="FY02_Order_Pull" localSheetId="3">#REF!</definedName>
    <definedName name="FY02_Order_Pull" localSheetId="2">#REF!</definedName>
    <definedName name="FY02_Order_Pull" localSheetId="5">#REF!</definedName>
    <definedName name="FY02_Order_Pull" localSheetId="6">#REF!</definedName>
    <definedName name="FY02_Order_Pull" localSheetId="7">#REF!</definedName>
    <definedName name="FY02_Order_Pull" localSheetId="8">#REF!</definedName>
    <definedName name="FY02_Order_Pull" localSheetId="9">#REF!</definedName>
    <definedName name="FY02_Order_Pull" localSheetId="10">#REF!</definedName>
    <definedName name="FY02_Order_Pull" localSheetId="11">#REF!</definedName>
    <definedName name="FY02_Order_Pull">#REF!</definedName>
    <definedName name="FY02_pull" localSheetId="4">#REF!</definedName>
    <definedName name="FY02_pull" localSheetId="3">#REF!</definedName>
    <definedName name="FY02_pull" localSheetId="2">#REF!</definedName>
    <definedName name="FY02_pull" localSheetId="5">#REF!</definedName>
    <definedName name="FY02_pull" localSheetId="6">#REF!</definedName>
    <definedName name="FY02_pull" localSheetId="7">#REF!</definedName>
    <definedName name="FY02_pull" localSheetId="8">#REF!</definedName>
    <definedName name="FY02_pull" localSheetId="9">#REF!</definedName>
    <definedName name="FY02_pull" localSheetId="10">#REF!</definedName>
    <definedName name="FY02_pull" localSheetId="11">#REF!</definedName>
    <definedName name="FY02_pull">#REF!</definedName>
    <definedName name="FY02_Subregion_Pull" localSheetId="4">#REF!</definedName>
    <definedName name="FY02_Subregion_Pull" localSheetId="3">#REF!</definedName>
    <definedName name="FY02_Subregion_Pull" localSheetId="2">#REF!</definedName>
    <definedName name="FY02_Subregion_Pull" localSheetId="5">#REF!</definedName>
    <definedName name="FY02_Subregion_Pull" localSheetId="6">#REF!</definedName>
    <definedName name="FY02_Subregion_Pull" localSheetId="7">#REF!</definedName>
    <definedName name="FY02_Subregion_Pull" localSheetId="8">#REF!</definedName>
    <definedName name="FY02_Subregion_Pull" localSheetId="9">#REF!</definedName>
    <definedName name="FY02_Subregion_Pull" localSheetId="10">#REF!</definedName>
    <definedName name="FY02_Subregion_Pull" localSheetId="11">#REF!</definedName>
    <definedName name="FY02_Subregion_Pull">#REF!</definedName>
    <definedName name="FY03_APCOS_Pull" localSheetId="4">#REF!</definedName>
    <definedName name="FY03_APCOS_Pull" localSheetId="3">#REF!</definedName>
    <definedName name="FY03_APCOS_Pull" localSheetId="2">#REF!</definedName>
    <definedName name="FY03_APCOS_Pull" localSheetId="5">#REF!</definedName>
    <definedName name="FY03_APCOS_Pull" localSheetId="6">#REF!</definedName>
    <definedName name="FY03_APCOS_Pull" localSheetId="7">#REF!</definedName>
    <definedName name="FY03_APCOS_Pull" localSheetId="8">#REF!</definedName>
    <definedName name="FY03_APCOS_Pull" localSheetId="9">#REF!</definedName>
    <definedName name="FY03_APCOS_Pull" localSheetId="10">#REF!</definedName>
    <definedName name="FY03_APCOS_Pull" localSheetId="11">#REF!</definedName>
    <definedName name="FY03_APCOS_Pull">#REF!</definedName>
    <definedName name="FY03_APHQCOS_Pull" localSheetId="4">#REF!</definedName>
    <definedName name="FY03_APHQCOS_Pull" localSheetId="3">#REF!</definedName>
    <definedName name="FY03_APHQCOS_Pull" localSheetId="2">#REF!</definedName>
    <definedName name="FY03_APHQCOS_Pull" localSheetId="5">#REF!</definedName>
    <definedName name="FY03_APHQCOS_Pull" localSheetId="6">#REF!</definedName>
    <definedName name="FY03_APHQCOS_Pull" localSheetId="7">#REF!</definedName>
    <definedName name="FY03_APHQCOS_Pull" localSheetId="8">#REF!</definedName>
    <definedName name="FY03_APHQCOS_Pull" localSheetId="9">#REF!</definedName>
    <definedName name="FY03_APHQCOS_Pull" localSheetId="10">#REF!</definedName>
    <definedName name="FY03_APHQCOS_Pull" localSheetId="11">#REF!</definedName>
    <definedName name="FY03_APHQCOS_Pull">#REF!</definedName>
    <definedName name="FY03_Forecast" localSheetId="4">#REF!</definedName>
    <definedName name="FY03_Forecast" localSheetId="3">#REF!</definedName>
    <definedName name="FY03_Forecast" localSheetId="2">#REF!</definedName>
    <definedName name="FY03_Forecast" localSheetId="5">#REF!</definedName>
    <definedName name="FY03_Forecast" localSheetId="6">#REF!</definedName>
    <definedName name="FY03_Forecast" localSheetId="7">#REF!</definedName>
    <definedName name="FY03_Forecast" localSheetId="8">#REF!</definedName>
    <definedName name="FY03_Forecast" localSheetId="9">#REF!</definedName>
    <definedName name="FY03_Forecast" localSheetId="10">#REF!</definedName>
    <definedName name="FY03_Forecast" localSheetId="11">#REF!</definedName>
    <definedName name="FY03_Forecast">#REF!</definedName>
    <definedName name="FY03_Metrics" localSheetId="4">#REF!</definedName>
    <definedName name="FY03_Metrics" localSheetId="3">#REF!</definedName>
    <definedName name="FY03_Metrics" localSheetId="2">#REF!</definedName>
    <definedName name="FY03_Metrics" localSheetId="5">#REF!</definedName>
    <definedName name="FY03_Metrics" localSheetId="6">#REF!</definedName>
    <definedName name="FY03_Metrics" localSheetId="7">#REF!</definedName>
    <definedName name="FY03_Metrics" localSheetId="8">#REF!</definedName>
    <definedName name="FY03_Metrics" localSheetId="9">#REF!</definedName>
    <definedName name="FY03_Metrics" localSheetId="10">#REF!</definedName>
    <definedName name="FY03_Metrics" localSheetId="11">#REF!</definedName>
    <definedName name="FY03_Metrics">#REF!</definedName>
    <definedName name="FY03_Pull" localSheetId="4">#REF!</definedName>
    <definedName name="FY03_Pull" localSheetId="3">#REF!</definedName>
    <definedName name="FY03_Pull" localSheetId="2">#REF!</definedName>
    <definedName name="FY03_Pull" localSheetId="5">#REF!</definedName>
    <definedName name="FY03_Pull" localSheetId="6">#REF!</definedName>
    <definedName name="FY03_Pull" localSheetId="7">#REF!</definedName>
    <definedName name="FY03_Pull" localSheetId="8">#REF!</definedName>
    <definedName name="FY03_Pull" localSheetId="9">#REF!</definedName>
    <definedName name="FY03_Pull" localSheetId="10">#REF!</definedName>
    <definedName name="FY03_Pull" localSheetId="11">#REF!</definedName>
    <definedName name="FY03_Pull">#REF!</definedName>
    <definedName name="FY03_Subregion_Pull" localSheetId="4">#REF!</definedName>
    <definedName name="FY03_Subregion_Pull" localSheetId="3">#REF!</definedName>
    <definedName name="FY03_Subregion_Pull" localSheetId="2">#REF!</definedName>
    <definedName name="FY03_Subregion_Pull" localSheetId="5">#REF!</definedName>
    <definedName name="FY03_Subregion_Pull" localSheetId="6">#REF!</definedName>
    <definedName name="FY03_Subregion_Pull" localSheetId="7">#REF!</definedName>
    <definedName name="FY03_Subregion_Pull" localSheetId="8">#REF!</definedName>
    <definedName name="FY03_Subregion_Pull" localSheetId="9">#REF!</definedName>
    <definedName name="FY03_Subregion_Pull" localSheetId="10">#REF!</definedName>
    <definedName name="FY03_Subregion_Pull" localSheetId="11">#REF!</definedName>
    <definedName name="FY03_Subregion_Pull">#REF!</definedName>
    <definedName name="FY03Plan" localSheetId="4">#REF!</definedName>
    <definedName name="FY03Plan" localSheetId="3">#REF!</definedName>
    <definedName name="FY03Plan" localSheetId="2">#REF!</definedName>
    <definedName name="FY03Plan" localSheetId="5">#REF!</definedName>
    <definedName name="FY03Plan" localSheetId="6">#REF!</definedName>
    <definedName name="FY03Plan" localSheetId="7">#REF!</definedName>
    <definedName name="FY03Plan" localSheetId="8">#REF!</definedName>
    <definedName name="FY03Plan" localSheetId="9">#REF!</definedName>
    <definedName name="FY03Plan" localSheetId="10">#REF!</definedName>
    <definedName name="FY03Plan" localSheetId="11">#REF!</definedName>
    <definedName name="FY03Plan">#REF!</definedName>
    <definedName name="G" localSheetId="4">#REF!</definedName>
    <definedName name="G" localSheetId="3">#REF!</definedName>
    <definedName name="G" localSheetId="2">#REF!</definedName>
    <definedName name="G" localSheetId="5">#REF!</definedName>
    <definedName name="G" localSheetId="6">#REF!</definedName>
    <definedName name="G" localSheetId="7">#REF!</definedName>
    <definedName name="G" localSheetId="8">#REF!</definedName>
    <definedName name="G" localSheetId="9">#REF!</definedName>
    <definedName name="G" localSheetId="10">#REF!</definedName>
    <definedName name="G" localSheetId="11">#REF!</definedName>
    <definedName name="G">#REF!</definedName>
    <definedName name="GADRG" localSheetId="4" hidden="1">{#N/A,#N/A,TRUE,"Distribution";#N/A,#N/A,TRUE,"Fulfillment";#N/A,#N/A,TRUE,"Aged Backorders"}</definedName>
    <definedName name="GADRG" localSheetId="3" hidden="1">{#N/A,#N/A,TRUE,"Distribution";#N/A,#N/A,TRUE,"Fulfillment";#N/A,#N/A,TRUE,"Aged Backorders"}</definedName>
    <definedName name="GADRG" localSheetId="2" hidden="1">{#N/A,#N/A,TRUE,"Distribution";#N/A,#N/A,TRUE,"Fulfillment";#N/A,#N/A,TRUE,"Aged Backorders"}</definedName>
    <definedName name="GADRG" localSheetId="8" hidden="1">{#N/A,#N/A,TRUE,"Distribution";#N/A,#N/A,TRUE,"Fulfillment";#N/A,#N/A,TRUE,"Aged Backorders"}</definedName>
    <definedName name="GADRG" localSheetId="9" hidden="1">{#N/A,#N/A,TRUE,"Distribution";#N/A,#N/A,TRUE,"Fulfillment";#N/A,#N/A,TRUE,"Aged Backorders"}</definedName>
    <definedName name="GADRG" localSheetId="10" hidden="1">{#N/A,#N/A,TRUE,"Distribution";#N/A,#N/A,TRUE,"Fulfillment";#N/A,#N/A,TRUE,"Aged Backorders"}</definedName>
    <definedName name="GADRG" hidden="1">{#N/A,#N/A,TRUE,"Distribution";#N/A,#N/A,TRUE,"Fulfillment";#N/A,#N/A,TRUE,"Aged Backorders"}</definedName>
    <definedName name="gato" localSheetId="4" hidden="1">{#N/A,#N/A,TRUE,"Distribution";#N/A,#N/A,TRUE,"Fulfillment";#N/A,#N/A,TRUE,"Aged Backorders"}</definedName>
    <definedName name="gato" localSheetId="3" hidden="1">{#N/A,#N/A,TRUE,"Distribution";#N/A,#N/A,TRUE,"Fulfillment";#N/A,#N/A,TRUE,"Aged Backorders"}</definedName>
    <definedName name="gato" localSheetId="2" hidden="1">{#N/A,#N/A,TRUE,"Distribution";#N/A,#N/A,TRUE,"Fulfillment";#N/A,#N/A,TRUE,"Aged Backorders"}</definedName>
    <definedName name="gato" localSheetId="8" hidden="1">{#N/A,#N/A,TRUE,"Distribution";#N/A,#N/A,TRUE,"Fulfillment";#N/A,#N/A,TRUE,"Aged Backorders"}</definedName>
    <definedName name="gato" localSheetId="9" hidden="1">{#N/A,#N/A,TRUE,"Distribution";#N/A,#N/A,TRUE,"Fulfillment";#N/A,#N/A,TRUE,"Aged Backorders"}</definedName>
    <definedName name="gato" localSheetId="10" hidden="1">{#N/A,#N/A,TRUE,"Distribution";#N/A,#N/A,TRUE,"Fulfillment";#N/A,#N/A,TRUE,"Aged Backorders"}</definedName>
    <definedName name="gato" hidden="1">{#N/A,#N/A,TRUE,"Distribution";#N/A,#N/A,TRUE,"Fulfillment";#N/A,#N/A,TRUE,"Aged Backorders"}</definedName>
    <definedName name="GBU" localSheetId="4">#REF!</definedName>
    <definedName name="GBU" localSheetId="3">#REF!</definedName>
    <definedName name="GBU" localSheetId="2">#REF!</definedName>
    <definedName name="GBU" localSheetId="5">#REF!</definedName>
    <definedName name="GBU" localSheetId="6">#REF!</definedName>
    <definedName name="GBU" localSheetId="7">#REF!</definedName>
    <definedName name="GBU" localSheetId="8">#REF!</definedName>
    <definedName name="GBU" localSheetId="9">#REF!</definedName>
    <definedName name="GBU" localSheetId="10">#REF!</definedName>
    <definedName name="GBU" localSheetId="11">#REF!</definedName>
    <definedName name="GBU">#REF!</definedName>
    <definedName name="GBUEFR" localSheetId="4">#REF!</definedName>
    <definedName name="GBUEFR" localSheetId="3">#REF!</definedName>
    <definedName name="GBUEFR" localSheetId="2">#REF!</definedName>
    <definedName name="GBUEFR" localSheetId="5">#REF!</definedName>
    <definedName name="GBUEFR" localSheetId="6">#REF!</definedName>
    <definedName name="GBUEFR" localSheetId="7">#REF!</definedName>
    <definedName name="GBUEFR" localSheetId="8">#REF!</definedName>
    <definedName name="GBUEFR" localSheetId="9">#REF!</definedName>
    <definedName name="GBUEFR" localSheetId="10">#REF!</definedName>
    <definedName name="GBUEFR" localSheetId="11">#REF!</definedName>
    <definedName name="GBUEFR">#REF!</definedName>
    <definedName name="gcosts2" localSheetId="10">'[57]Oct FW42 BaaN for G-Line'!$C$1:$AO$65536</definedName>
    <definedName name="gcosts2">'[44]Oct FW42 BaaN for G-Line'!$C$1:$AO$65536</definedName>
    <definedName name="gcosts3" localSheetId="10">'[45]Oct FW42 BaaN for G-Line'!$C$1:$S$65536</definedName>
    <definedName name="gcosts3">'[92]Oct FW42 BaaN for G-Line'!$C$1:$S$65536</definedName>
    <definedName name="gdsfs" localSheetId="4">#REF!</definedName>
    <definedName name="gdsfs" localSheetId="3">#REF!</definedName>
    <definedName name="gdsfs" localSheetId="2">#REF!</definedName>
    <definedName name="gdsfs" localSheetId="5">#REF!</definedName>
    <definedName name="gdsfs" localSheetId="6">#REF!</definedName>
    <definedName name="gdsfs" localSheetId="7">#REF!</definedName>
    <definedName name="gdsfs" localSheetId="8">#REF!</definedName>
    <definedName name="gdsfs" localSheetId="9">#REF!</definedName>
    <definedName name="gdsfs" localSheetId="10">#REF!</definedName>
    <definedName name="gdsfs" localSheetId="11">#REF!</definedName>
    <definedName name="gdsfs">#REF!</definedName>
    <definedName name="ge" localSheetId="10">'[99]GE 2001'!$F$1:$DH$65536</definedName>
    <definedName name="ge">'[60]GE 2001'!$F$1:$DH$65536</definedName>
    <definedName name="GEA_YR1_SW" localSheetId="4">#REF!</definedName>
    <definedName name="GEA_YR1_SW" localSheetId="3">#REF!</definedName>
    <definedName name="GEA_YR1_SW" localSheetId="2">#REF!</definedName>
    <definedName name="GEA_YR1_SW" localSheetId="5">#REF!</definedName>
    <definedName name="GEA_YR1_SW" localSheetId="6">#REF!</definedName>
    <definedName name="GEA_YR1_SW" localSheetId="7">#REF!</definedName>
    <definedName name="GEA_YR1_SW" localSheetId="8">#REF!</definedName>
    <definedName name="GEA_YR1_SW" localSheetId="9">#REF!</definedName>
    <definedName name="GEA_YR1_SW" localSheetId="10">#REF!</definedName>
    <definedName name="GEA_YR1_SW" localSheetId="11">#REF!</definedName>
    <definedName name="GEA_YR1_SW">#REF!</definedName>
    <definedName name="GEA_YR2_SW" localSheetId="4">#REF!</definedName>
    <definedName name="GEA_YR2_SW" localSheetId="3">#REF!</definedName>
    <definedName name="GEA_YR2_SW" localSheetId="2">#REF!</definedName>
    <definedName name="GEA_YR2_SW" localSheetId="5">#REF!</definedName>
    <definedName name="GEA_YR2_SW" localSheetId="6">#REF!</definedName>
    <definedName name="GEA_YR2_SW" localSheetId="7">#REF!</definedName>
    <definedName name="GEA_YR2_SW" localSheetId="8">#REF!</definedName>
    <definedName name="GEA_YR2_SW" localSheetId="9">#REF!</definedName>
    <definedName name="GEA_YR2_SW" localSheetId="10">#REF!</definedName>
    <definedName name="GEA_YR2_SW" localSheetId="11">#REF!</definedName>
    <definedName name="GEA_YR2_SW">#REF!</definedName>
    <definedName name="GEA_YR3_SW" localSheetId="4">#REF!</definedName>
    <definedName name="GEA_YR3_SW" localSheetId="3">#REF!</definedName>
    <definedName name="GEA_YR3_SW" localSheetId="2">#REF!</definedName>
    <definedName name="GEA_YR3_SW" localSheetId="5">#REF!</definedName>
    <definedName name="GEA_YR3_SW" localSheetId="6">#REF!</definedName>
    <definedName name="GEA_YR3_SW" localSheetId="7">#REF!</definedName>
    <definedName name="GEA_YR3_SW" localSheetId="8">#REF!</definedName>
    <definedName name="GEA_YR3_SW" localSheetId="9">#REF!</definedName>
    <definedName name="GEA_YR3_SW" localSheetId="10">#REF!</definedName>
    <definedName name="GEA_YR3_SW" localSheetId="11">#REF!</definedName>
    <definedName name="GEA_YR3_SW">#REF!</definedName>
    <definedName name="GEA_YR4_SW" localSheetId="4">#REF!</definedName>
    <definedName name="GEA_YR4_SW" localSheetId="3">#REF!</definedName>
    <definedName name="GEA_YR4_SW" localSheetId="2">#REF!</definedName>
    <definedName name="GEA_YR4_SW" localSheetId="5">#REF!</definedName>
    <definedName name="GEA_YR4_SW" localSheetId="6">#REF!</definedName>
    <definedName name="GEA_YR4_SW" localSheetId="7">#REF!</definedName>
    <definedName name="GEA_YR4_SW" localSheetId="8">#REF!</definedName>
    <definedName name="GEA_YR4_SW" localSheetId="9">#REF!</definedName>
    <definedName name="GEA_YR4_SW" localSheetId="10">#REF!</definedName>
    <definedName name="GEA_YR4_SW" localSheetId="11">#REF!</definedName>
    <definedName name="GEA_YR4_SW">#REF!</definedName>
    <definedName name="GEARG" localSheetId="4" hidden="1">{#N/A,#N/A,TRUE,"Distribution";#N/A,#N/A,TRUE,"Fulfillment";#N/A,#N/A,TRUE,"Aged Backorders"}</definedName>
    <definedName name="GEARG" localSheetId="3" hidden="1">{#N/A,#N/A,TRUE,"Distribution";#N/A,#N/A,TRUE,"Fulfillment";#N/A,#N/A,TRUE,"Aged Backorders"}</definedName>
    <definedName name="GEARG" localSheetId="2" hidden="1">{#N/A,#N/A,TRUE,"Distribution";#N/A,#N/A,TRUE,"Fulfillment";#N/A,#N/A,TRUE,"Aged Backorders"}</definedName>
    <definedName name="GEARG" localSheetId="8" hidden="1">{#N/A,#N/A,TRUE,"Distribution";#N/A,#N/A,TRUE,"Fulfillment";#N/A,#N/A,TRUE,"Aged Backorders"}</definedName>
    <definedName name="GEARG" localSheetId="9" hidden="1">{#N/A,#N/A,TRUE,"Distribution";#N/A,#N/A,TRUE,"Fulfillment";#N/A,#N/A,TRUE,"Aged Backorders"}</definedName>
    <definedName name="GEARG" localSheetId="10" hidden="1">{#N/A,#N/A,TRUE,"Distribution";#N/A,#N/A,TRUE,"Fulfillment";#N/A,#N/A,TRUE,"Aged Backorders"}</definedName>
    <definedName name="GEARG" hidden="1">{#N/A,#N/A,TRUE,"Distribution";#N/A,#N/A,TRUE,"Fulfillment";#N/A,#N/A,TRUE,"Aged Backorders"}</definedName>
    <definedName name="gelb">"Ellipse 245"</definedName>
    <definedName name="GF" localSheetId="4">#REF!</definedName>
    <definedName name="GF" localSheetId="3">#REF!</definedName>
    <definedName name="GF" localSheetId="2">#REF!</definedName>
    <definedName name="GF" localSheetId="5">#REF!</definedName>
    <definedName name="GF" localSheetId="6">#REF!</definedName>
    <definedName name="GF" localSheetId="7">#REF!</definedName>
    <definedName name="GF" localSheetId="8">#REF!</definedName>
    <definedName name="GF" localSheetId="9">#REF!</definedName>
    <definedName name="GF" localSheetId="10">#REF!</definedName>
    <definedName name="GF" localSheetId="11">#REF!</definedName>
    <definedName name="GF">#REF!</definedName>
    <definedName name="gfd" localSheetId="4" hidden="1">{#N/A,#N/A,TRUE,"Out-Month "}</definedName>
    <definedName name="gfd" localSheetId="3" hidden="1">{#N/A,#N/A,TRUE,"Out-Month "}</definedName>
    <definedName name="gfd" localSheetId="2" hidden="1">{#N/A,#N/A,TRUE,"Out-Month "}</definedName>
    <definedName name="gfd" localSheetId="8" hidden="1">{#N/A,#N/A,TRUE,"Out-Month "}</definedName>
    <definedName name="gfd" localSheetId="9" hidden="1">{#N/A,#N/A,TRUE,"Out-Month "}</definedName>
    <definedName name="gfd" localSheetId="10" hidden="1">{#N/A,#N/A,TRUE,"Out-Month "}</definedName>
    <definedName name="gfd" hidden="1">{#N/A,#N/A,TRUE,"Out-Month "}</definedName>
    <definedName name="GFEFR" localSheetId="4">#REF!</definedName>
    <definedName name="GFEFR" localSheetId="3">#REF!</definedName>
    <definedName name="GFEFR" localSheetId="2">#REF!</definedName>
    <definedName name="GFEFR" localSheetId="5">#REF!</definedName>
    <definedName name="GFEFR" localSheetId="6">#REF!</definedName>
    <definedName name="GFEFR" localSheetId="7">#REF!</definedName>
    <definedName name="GFEFR" localSheetId="8">#REF!</definedName>
    <definedName name="GFEFR" localSheetId="9">#REF!</definedName>
    <definedName name="GFEFR" localSheetId="10">#REF!</definedName>
    <definedName name="GFEFR" localSheetId="11">#REF!</definedName>
    <definedName name="GFEFR">#REF!</definedName>
    <definedName name="GFH" localSheetId="4" hidden="1">{#N/A,#N/A,TRUE,"Distribution";#N/A,#N/A,TRUE,"Fulfillment";#N/A,#N/A,TRUE,"Aged Backorders"}</definedName>
    <definedName name="GFH" localSheetId="3" hidden="1">{#N/A,#N/A,TRUE,"Distribution";#N/A,#N/A,TRUE,"Fulfillment";#N/A,#N/A,TRUE,"Aged Backorders"}</definedName>
    <definedName name="GFH" localSheetId="2" hidden="1">{#N/A,#N/A,TRUE,"Distribution";#N/A,#N/A,TRUE,"Fulfillment";#N/A,#N/A,TRUE,"Aged Backorders"}</definedName>
    <definedName name="GFH" localSheetId="8" hidden="1">{#N/A,#N/A,TRUE,"Distribution";#N/A,#N/A,TRUE,"Fulfillment";#N/A,#N/A,TRUE,"Aged Backorders"}</definedName>
    <definedName name="GFH" localSheetId="9" hidden="1">{#N/A,#N/A,TRUE,"Distribution";#N/A,#N/A,TRUE,"Fulfillment";#N/A,#N/A,TRUE,"Aged Backorders"}</definedName>
    <definedName name="GFH" localSheetId="10" hidden="1">{#N/A,#N/A,TRUE,"Distribution";#N/A,#N/A,TRUE,"Fulfillment";#N/A,#N/A,TRUE,"Aged Backorders"}</definedName>
    <definedName name="GFH" hidden="1">{#N/A,#N/A,TRUE,"Distribution";#N/A,#N/A,TRUE,"Fulfillment";#N/A,#N/A,TRUE,"Aged Backorders"}</definedName>
    <definedName name="gfshgdfkyg" localSheetId="4" hidden="1">{#N/A,#N/A,TRUE,"Distribution";#N/A,#N/A,TRUE,"Fulfillment";#N/A,#N/A,TRUE,"Aged Backorders"}</definedName>
    <definedName name="gfshgdfkyg" localSheetId="3" hidden="1">{#N/A,#N/A,TRUE,"Distribution";#N/A,#N/A,TRUE,"Fulfillment";#N/A,#N/A,TRUE,"Aged Backorders"}</definedName>
    <definedName name="gfshgdfkyg" localSheetId="2" hidden="1">{#N/A,#N/A,TRUE,"Distribution";#N/A,#N/A,TRUE,"Fulfillment";#N/A,#N/A,TRUE,"Aged Backorders"}</definedName>
    <definedName name="gfshgdfkyg" localSheetId="8" hidden="1">{#N/A,#N/A,TRUE,"Distribution";#N/A,#N/A,TRUE,"Fulfillment";#N/A,#N/A,TRUE,"Aged Backorders"}</definedName>
    <definedName name="gfshgdfkyg" localSheetId="9" hidden="1">{#N/A,#N/A,TRUE,"Distribution";#N/A,#N/A,TRUE,"Fulfillment";#N/A,#N/A,TRUE,"Aged Backorders"}</definedName>
    <definedName name="gfshgdfkyg" localSheetId="10" hidden="1">{#N/A,#N/A,TRUE,"Distribution";#N/A,#N/A,TRUE,"Fulfillment";#N/A,#N/A,TRUE,"Aged Backorders"}</definedName>
    <definedName name="gfshgdfkyg" hidden="1">{#N/A,#N/A,TRUE,"Distribution";#N/A,#N/A,TRUE,"Fulfillment";#N/A,#N/A,TRUE,"Aged Backorders"}</definedName>
    <definedName name="gfthrty" localSheetId="4" hidden="1">{#N/A,#N/A,TRUE,"Distribution";#N/A,#N/A,TRUE,"Fulfillment";#N/A,#N/A,TRUE,"Aged Backorders"}</definedName>
    <definedName name="gfthrty" localSheetId="3" hidden="1">{#N/A,#N/A,TRUE,"Distribution";#N/A,#N/A,TRUE,"Fulfillment";#N/A,#N/A,TRUE,"Aged Backorders"}</definedName>
    <definedName name="gfthrty" localSheetId="2" hidden="1">{#N/A,#N/A,TRUE,"Distribution";#N/A,#N/A,TRUE,"Fulfillment";#N/A,#N/A,TRUE,"Aged Backorders"}</definedName>
    <definedName name="gfthrty" localSheetId="8" hidden="1">{#N/A,#N/A,TRUE,"Distribution";#N/A,#N/A,TRUE,"Fulfillment";#N/A,#N/A,TRUE,"Aged Backorders"}</definedName>
    <definedName name="gfthrty" localSheetId="9" hidden="1">{#N/A,#N/A,TRUE,"Distribution";#N/A,#N/A,TRUE,"Fulfillment";#N/A,#N/A,TRUE,"Aged Backorders"}</definedName>
    <definedName name="gfthrty" localSheetId="10" hidden="1">{#N/A,#N/A,TRUE,"Distribution";#N/A,#N/A,TRUE,"Fulfillment";#N/A,#N/A,TRUE,"Aged Backorders"}</definedName>
    <definedName name="gfthrty" hidden="1">{#N/A,#N/A,TRUE,"Distribution";#N/A,#N/A,TRUE,"Fulfillment";#N/A,#N/A,TRUE,"Aged Backorders"}</definedName>
    <definedName name="ggggggg" localSheetId="4" hidden="1">{#N/A,#N/A,TRUE,"Distribution";#N/A,#N/A,TRUE,"Fulfillment";#N/A,#N/A,TRUE,"Aged Backorders"}</definedName>
    <definedName name="ggggggg" localSheetId="3" hidden="1">{#N/A,#N/A,TRUE,"Distribution";#N/A,#N/A,TRUE,"Fulfillment";#N/A,#N/A,TRUE,"Aged Backorders"}</definedName>
    <definedName name="ggggggg" localSheetId="2" hidden="1">{#N/A,#N/A,TRUE,"Distribution";#N/A,#N/A,TRUE,"Fulfillment";#N/A,#N/A,TRUE,"Aged Backorders"}</definedName>
    <definedName name="ggggggg" localSheetId="8" hidden="1">{#N/A,#N/A,TRUE,"Distribution";#N/A,#N/A,TRUE,"Fulfillment";#N/A,#N/A,TRUE,"Aged Backorders"}</definedName>
    <definedName name="ggggggg" localSheetId="9" hidden="1">{#N/A,#N/A,TRUE,"Distribution";#N/A,#N/A,TRUE,"Fulfillment";#N/A,#N/A,TRUE,"Aged Backorders"}</definedName>
    <definedName name="ggggggg" localSheetId="10" hidden="1">{#N/A,#N/A,TRUE,"Distribution";#N/A,#N/A,TRUE,"Fulfillment";#N/A,#N/A,TRUE,"Aged Backorders"}</definedName>
    <definedName name="ggggggg" hidden="1">{#N/A,#N/A,TRUE,"Distribution";#N/A,#N/A,TRUE,"Fulfillment";#N/A,#N/A,TRUE,"Aged Backorders"}</definedName>
    <definedName name="GM_imp" localSheetId="4">#REF!</definedName>
    <definedName name="GM_imp" localSheetId="3">#REF!</definedName>
    <definedName name="GM_imp" localSheetId="2">#REF!</definedName>
    <definedName name="GM_imp" localSheetId="5">#REF!</definedName>
    <definedName name="GM_imp" localSheetId="6">#REF!</definedName>
    <definedName name="GM_imp" localSheetId="7">#REF!</definedName>
    <definedName name="GM_imp" localSheetId="8">#REF!</definedName>
    <definedName name="GM_imp" localSheetId="9">#REF!</definedName>
    <definedName name="GM_imp" localSheetId="10">#REF!</definedName>
    <definedName name="GM_imp" localSheetId="11">#REF!</definedName>
    <definedName name="GM_imp">#REF!</definedName>
    <definedName name="go" localSheetId="4">'[64]FA-LISTING'!#REF!</definedName>
    <definedName name="go" localSheetId="3">'[64]FA-LISTING'!#REF!</definedName>
    <definedName name="go" localSheetId="2">'[64]FA-LISTING'!#REF!</definedName>
    <definedName name="go" localSheetId="5">'[64]FA-LISTING'!#REF!</definedName>
    <definedName name="go" localSheetId="6">'[64]FA-LISTING'!#REF!</definedName>
    <definedName name="go" localSheetId="7">'[64]FA-LISTING'!#REF!</definedName>
    <definedName name="go" localSheetId="8">'[2]FA-LISTING'!#REF!</definedName>
    <definedName name="go" localSheetId="9">'[2]FA-LISTING'!#REF!</definedName>
    <definedName name="go" localSheetId="10">'[2]FA-LISTING'!#REF!</definedName>
    <definedName name="go">'[1]FA-LISTING'!#REF!</definedName>
    <definedName name="Graph_benefits" localSheetId="4">'[44]Inc_DCRR by Q'!$C$25:$CT$25</definedName>
    <definedName name="Graph_benefits" localSheetId="3">'[44]Inc_DCRR by Q'!$C$25:$CT$25</definedName>
    <definedName name="Graph_benefits" localSheetId="2">'[44]Inc_DCRR by Q'!$C$25:$CT$25</definedName>
    <definedName name="Graph_benefits" localSheetId="5">'[44]Inc_DCRR by Q'!$C$25:$CT$25</definedName>
    <definedName name="Graph_benefits" localSheetId="6">'[44]Inc_DCRR by Q'!$C$25:$CT$25</definedName>
    <definedName name="Graph_benefits" localSheetId="7">'[44]Inc_DCRR by Q'!$C$25:$CT$25</definedName>
    <definedName name="Graph_benefits" localSheetId="8">'[44]Inc_DCRR by Q'!$C$25:$CT$25</definedName>
    <definedName name="Graph_benefits" localSheetId="9">'[44]Inc_DCRR by Q'!$C$25:$CT$25</definedName>
    <definedName name="Graph_benefits" localSheetId="10">'[19]Inc_DCRR by Q'!$C$25:$CT$25</definedName>
    <definedName name="Graph_benefits">'[33]Inc_DCRR by Q'!$C$25:$CT$25</definedName>
    <definedName name="Graph_Depreciation" localSheetId="4">'[44]Inc_DCRR by Q'!$C$36:$CT$36,'[44]Inc_DCRR by Q'!$C$34:$CT$34</definedName>
    <definedName name="Graph_Depreciation" localSheetId="3">'[44]Inc_DCRR by Q'!$C$36:$CT$36,'[44]Inc_DCRR by Q'!$C$34:$CT$34</definedName>
    <definedName name="Graph_Depreciation" localSheetId="2">'[44]Inc_DCRR by Q'!$C$36:$CT$36,'[44]Inc_DCRR by Q'!$C$34:$CT$34</definedName>
    <definedName name="Graph_Depreciation" localSheetId="5">'[44]Inc_DCRR by Q'!$C$36:$CT$36,'[44]Inc_DCRR by Q'!$C$34:$CT$34</definedName>
    <definedName name="Graph_Depreciation" localSheetId="6">'[44]Inc_DCRR by Q'!$C$36:$CT$36,'[44]Inc_DCRR by Q'!$C$34:$CT$34</definedName>
    <definedName name="Graph_Depreciation" localSheetId="7">'[44]Inc_DCRR by Q'!$C$36:$CT$36,'[44]Inc_DCRR by Q'!$C$34:$CT$34</definedName>
    <definedName name="Graph_Depreciation" localSheetId="8">'[44]Inc_DCRR by Q'!$C$36:$CT$36,'[44]Inc_DCRR by Q'!$C$34:$CT$34</definedName>
    <definedName name="Graph_Depreciation" localSheetId="9">'[44]Inc_DCRR by Q'!$C$36:$CT$36,'[44]Inc_DCRR by Q'!$C$34:$CT$34</definedName>
    <definedName name="Graph_Depreciation" localSheetId="10">'[19]Inc_DCRR by Q'!$C$36:$CT$36,'[19]Inc_DCRR by Q'!$C$34:$CT$34</definedName>
    <definedName name="Graph_Depreciation">'[33]Inc_DCRR by Q'!$C$36:$CT$36,'[33]Inc_DCRR by Q'!$C$34:$CT$34</definedName>
    <definedName name="Graph_expense" localSheetId="4">'[44]Inc_DCRR by Q'!$C$28:$CT$28</definedName>
    <definedName name="Graph_expense" localSheetId="3">'[44]Inc_DCRR by Q'!$C$28:$CT$28</definedName>
    <definedName name="Graph_expense" localSheetId="2">'[44]Inc_DCRR by Q'!$C$28:$CT$28</definedName>
    <definedName name="Graph_expense" localSheetId="5">'[44]Inc_DCRR by Q'!$C$28:$CT$28</definedName>
    <definedName name="Graph_expense" localSheetId="6">'[44]Inc_DCRR by Q'!$C$28:$CT$28</definedName>
    <definedName name="Graph_expense" localSheetId="7">'[44]Inc_DCRR by Q'!$C$28:$CT$28</definedName>
    <definedName name="Graph_expense" localSheetId="8">'[44]Inc_DCRR by Q'!$C$28:$CT$28</definedName>
    <definedName name="Graph_expense" localSheetId="9">'[44]Inc_DCRR by Q'!$C$28:$CT$28</definedName>
    <definedName name="Graph_expense" localSheetId="10">'[19]Inc_DCRR by Q'!$C$28:$CT$28</definedName>
    <definedName name="Graph_expense">'[33]Inc_DCRR by Q'!$C$28:$CT$28</definedName>
    <definedName name="Graph_floorLoads" localSheetId="4">'[44]Inc_DCRR by Q'!$C$24:$CT$24</definedName>
    <definedName name="Graph_floorLoads" localSheetId="3">'[44]Inc_DCRR by Q'!$C$24:$CT$24</definedName>
    <definedName name="Graph_floorLoads" localSheetId="2">'[44]Inc_DCRR by Q'!$C$24:$CT$24</definedName>
    <definedName name="Graph_floorLoads" localSheetId="5">'[44]Inc_DCRR by Q'!$C$24:$CT$24</definedName>
    <definedName name="Graph_floorLoads" localSheetId="6">'[44]Inc_DCRR by Q'!$C$24:$CT$24</definedName>
    <definedName name="Graph_floorLoads" localSheetId="7">'[44]Inc_DCRR by Q'!$C$24:$CT$24</definedName>
    <definedName name="Graph_floorLoads" localSheetId="8">'[44]Inc_DCRR by Q'!$C$24:$CT$24</definedName>
    <definedName name="Graph_floorLoads" localSheetId="9">'[44]Inc_DCRR by Q'!$C$24:$CT$24</definedName>
    <definedName name="Graph_floorLoads" localSheetId="10">'[19]Inc_DCRR by Q'!$C$24:$CT$24</definedName>
    <definedName name="Graph_floorLoads">'[33]Inc_DCRR by Q'!$C$24:$CT$24</definedName>
    <definedName name="Graph_Investement" localSheetId="4">'[44]Inc_DCRR by Q'!$C$49:$CT$49</definedName>
    <definedName name="Graph_Investement" localSheetId="3">'[44]Inc_DCRR by Q'!$C$49:$CT$49</definedName>
    <definedName name="Graph_Investement" localSheetId="2">'[44]Inc_DCRR by Q'!$C$49:$CT$49</definedName>
    <definedName name="Graph_Investement" localSheetId="5">'[44]Inc_DCRR by Q'!$C$49:$CT$49</definedName>
    <definedName name="Graph_Investement" localSheetId="6">'[44]Inc_DCRR by Q'!$C$49:$CT$49</definedName>
    <definedName name="Graph_Investement" localSheetId="7">'[44]Inc_DCRR by Q'!$C$49:$CT$49</definedName>
    <definedName name="Graph_Investement" localSheetId="8">'[44]Inc_DCRR by Q'!$C$49:$CT$49</definedName>
    <definedName name="Graph_Investement" localSheetId="9">'[44]Inc_DCRR by Q'!$C$49:$CT$49</definedName>
    <definedName name="Graph_Investement" localSheetId="10">'[19]Inc_DCRR by Q'!$C$49:$CT$49</definedName>
    <definedName name="Graph_Investement">'[33]Inc_DCRR by Q'!$C$49:$CT$49</definedName>
    <definedName name="Graph_Other_Income" localSheetId="4">'[44]Inc_DCRR by Q'!$C$41:$CT$41</definedName>
    <definedName name="Graph_Other_Income" localSheetId="3">'[44]Inc_DCRR by Q'!$C$41:$CT$41</definedName>
    <definedName name="Graph_Other_Income" localSheetId="2">'[44]Inc_DCRR by Q'!$C$41:$CT$41</definedName>
    <definedName name="Graph_Other_Income" localSheetId="5">'[44]Inc_DCRR by Q'!$C$41:$CT$41</definedName>
    <definedName name="Graph_Other_Income" localSheetId="6">'[44]Inc_DCRR by Q'!$C$41:$CT$41</definedName>
    <definedName name="Graph_Other_Income" localSheetId="7">'[44]Inc_DCRR by Q'!$C$41:$CT$41</definedName>
    <definedName name="Graph_Other_Income" localSheetId="8">'[44]Inc_DCRR by Q'!$C$41:$CT$41</definedName>
    <definedName name="Graph_Other_Income" localSheetId="9">'[44]Inc_DCRR by Q'!$C$41:$CT$41</definedName>
    <definedName name="Graph_Other_Income" localSheetId="10">'[19]Inc_DCRR by Q'!$C$41:$CT$41</definedName>
    <definedName name="Graph_Other_Income">'[33]Inc_DCRR by Q'!$C$41:$CT$41</definedName>
    <definedName name="Graph_startup" localSheetId="4">'[44]Inc_DCRR by Q'!$C$29:$CT$29</definedName>
    <definedName name="Graph_startup" localSheetId="3">'[44]Inc_DCRR by Q'!$C$29:$CT$29</definedName>
    <definedName name="Graph_startup" localSheetId="2">'[44]Inc_DCRR by Q'!$C$29:$CT$29</definedName>
    <definedName name="Graph_startup" localSheetId="5">'[44]Inc_DCRR by Q'!$C$29:$CT$29</definedName>
    <definedName name="Graph_startup" localSheetId="6">'[44]Inc_DCRR by Q'!$C$29:$CT$29</definedName>
    <definedName name="Graph_startup" localSheetId="7">'[44]Inc_DCRR by Q'!$C$29:$CT$29</definedName>
    <definedName name="Graph_startup" localSheetId="8">'[44]Inc_DCRR by Q'!$C$29:$CT$29</definedName>
    <definedName name="Graph_startup" localSheetId="9">'[44]Inc_DCRR by Q'!$C$29:$CT$29</definedName>
    <definedName name="Graph_startup" localSheetId="10">'[19]Inc_DCRR by Q'!$C$29:$CT$29</definedName>
    <definedName name="Graph_startup">'[33]Inc_DCRR by Q'!$C$29:$CT$29</definedName>
    <definedName name="Graph_tot_costs" localSheetId="4">'[44]Inc_DCRR by Q'!$C$37:$CT$37</definedName>
    <definedName name="Graph_tot_costs" localSheetId="3">'[44]Inc_DCRR by Q'!$C$37:$CT$37</definedName>
    <definedName name="Graph_tot_costs" localSheetId="2">'[44]Inc_DCRR by Q'!$C$37:$CT$37</definedName>
    <definedName name="Graph_tot_costs" localSheetId="5">'[44]Inc_DCRR by Q'!$C$37:$CT$37</definedName>
    <definedName name="Graph_tot_costs" localSheetId="6">'[44]Inc_DCRR by Q'!$C$37:$CT$37</definedName>
    <definedName name="Graph_tot_costs" localSheetId="7">'[44]Inc_DCRR by Q'!$C$37:$CT$37</definedName>
    <definedName name="Graph_tot_costs" localSheetId="8">'[44]Inc_DCRR by Q'!$C$37:$CT$37</definedName>
    <definedName name="Graph_tot_costs" localSheetId="9">'[44]Inc_DCRR by Q'!$C$37:$CT$37</definedName>
    <definedName name="Graph_tot_costs" localSheetId="10">'[19]Inc_DCRR by Q'!$C$37:$CT$37</definedName>
    <definedName name="Graph_tot_costs">'[33]Inc_DCRR by Q'!$C$37:$CT$37</definedName>
    <definedName name="Graph_Yr_Depreciation" localSheetId="4">'[44]Inc_DCRR by Yr'!$C$36:$Z$36,'[44]Inc_DCRR by Yr'!$C$34:$Z$34</definedName>
    <definedName name="Graph_Yr_Depreciation" localSheetId="3">'[44]Inc_DCRR by Yr'!$C$36:$Z$36,'[44]Inc_DCRR by Yr'!$C$34:$Z$34</definedName>
    <definedName name="Graph_Yr_Depreciation" localSheetId="2">'[44]Inc_DCRR by Yr'!$C$36:$Z$36,'[44]Inc_DCRR by Yr'!$C$34:$Z$34</definedName>
    <definedName name="Graph_Yr_Depreciation" localSheetId="5">'[44]Inc_DCRR by Yr'!$C$36:$Z$36,'[44]Inc_DCRR by Yr'!$C$34:$Z$34</definedName>
    <definedName name="Graph_Yr_Depreciation" localSheetId="6">'[44]Inc_DCRR by Yr'!$C$36:$Z$36,'[44]Inc_DCRR by Yr'!$C$34:$Z$34</definedName>
    <definedName name="Graph_Yr_Depreciation" localSheetId="7">'[44]Inc_DCRR by Yr'!$C$36:$Z$36,'[44]Inc_DCRR by Yr'!$C$34:$Z$34</definedName>
    <definedName name="Graph_Yr_Depreciation" localSheetId="8">'[44]Inc_DCRR by Yr'!$C$36:$Z$36,'[44]Inc_DCRR by Yr'!$C$34:$Z$34</definedName>
    <definedName name="Graph_Yr_Depreciation" localSheetId="9">'[44]Inc_DCRR by Yr'!$C$36:$Z$36,'[44]Inc_DCRR by Yr'!$C$34:$Z$34</definedName>
    <definedName name="Graph_Yr_Depreciation" localSheetId="10">'[19]Inc_DCRR by Yr'!$C$36:$Z$36,'[19]Inc_DCRR by Yr'!$C$34:$Z$34</definedName>
    <definedName name="Graph_Yr_Depreciation">'[33]Inc_DCRR by Yr'!$C$36:$Z$36,'[33]Inc_DCRR by Yr'!$C$34:$Z$34</definedName>
    <definedName name="Graph_YR_expense" localSheetId="4">'[44]Inc_DCRR by Yr'!$C$28:$Z$28</definedName>
    <definedName name="Graph_YR_expense" localSheetId="3">'[44]Inc_DCRR by Yr'!$C$28:$Z$28</definedName>
    <definedName name="Graph_YR_expense" localSheetId="2">'[44]Inc_DCRR by Yr'!$C$28:$Z$28</definedName>
    <definedName name="Graph_YR_expense" localSheetId="5">'[44]Inc_DCRR by Yr'!$C$28:$Z$28</definedName>
    <definedName name="Graph_YR_expense" localSheetId="6">'[44]Inc_DCRR by Yr'!$C$28:$Z$28</definedName>
    <definedName name="Graph_YR_expense" localSheetId="7">'[44]Inc_DCRR by Yr'!$C$28:$Z$28</definedName>
    <definedName name="Graph_YR_expense" localSheetId="8">'[44]Inc_DCRR by Yr'!$C$28:$Z$28</definedName>
    <definedName name="Graph_YR_expense" localSheetId="9">'[44]Inc_DCRR by Yr'!$C$28:$Z$28</definedName>
    <definedName name="Graph_YR_expense" localSheetId="10">'[19]Inc_DCRR by Yr'!$C$28:$Z$28</definedName>
    <definedName name="Graph_YR_expense">'[33]Inc_DCRR by Yr'!$C$28:$Z$28</definedName>
    <definedName name="Graph_YR_floorloads" localSheetId="4">'[44]Inc_DCRR by Yr'!$C$24:$Z$24</definedName>
    <definedName name="Graph_YR_floorloads" localSheetId="3">'[44]Inc_DCRR by Yr'!$C$24:$Z$24</definedName>
    <definedName name="Graph_YR_floorloads" localSheetId="2">'[44]Inc_DCRR by Yr'!$C$24:$Z$24</definedName>
    <definedName name="Graph_YR_floorloads" localSheetId="5">'[44]Inc_DCRR by Yr'!$C$24:$Z$24</definedName>
    <definedName name="Graph_YR_floorloads" localSheetId="6">'[44]Inc_DCRR by Yr'!$C$24:$Z$24</definedName>
    <definedName name="Graph_YR_floorloads" localSheetId="7">'[44]Inc_DCRR by Yr'!$C$24:$Z$24</definedName>
    <definedName name="Graph_YR_floorloads" localSheetId="8">'[44]Inc_DCRR by Yr'!$C$24:$Z$24</definedName>
    <definedName name="Graph_YR_floorloads" localSheetId="9">'[44]Inc_DCRR by Yr'!$C$24:$Z$24</definedName>
    <definedName name="Graph_YR_floorloads" localSheetId="10">'[19]Inc_DCRR by Yr'!$C$24:$Z$24</definedName>
    <definedName name="Graph_YR_floorloads">'[33]Inc_DCRR by Yr'!$C$24:$Z$24</definedName>
    <definedName name="Graph_YR_invest" localSheetId="4">'[44]Inc_DCRR by Yr'!$C$49:$Z$49</definedName>
    <definedName name="Graph_YR_invest" localSheetId="3">'[44]Inc_DCRR by Yr'!$C$49:$Z$49</definedName>
    <definedName name="Graph_YR_invest" localSheetId="2">'[44]Inc_DCRR by Yr'!$C$49:$Z$49</definedName>
    <definedName name="Graph_YR_invest" localSheetId="5">'[44]Inc_DCRR by Yr'!$C$49:$Z$49</definedName>
    <definedName name="Graph_YR_invest" localSheetId="6">'[44]Inc_DCRR by Yr'!$C$49:$Z$49</definedName>
    <definedName name="Graph_YR_invest" localSheetId="7">'[44]Inc_DCRR by Yr'!$C$49:$Z$49</definedName>
    <definedName name="Graph_YR_invest" localSheetId="8">'[44]Inc_DCRR by Yr'!$C$49:$Z$49</definedName>
    <definedName name="Graph_YR_invest" localSheetId="9">'[44]Inc_DCRR by Yr'!$C$49:$Z$49</definedName>
    <definedName name="Graph_YR_invest" localSheetId="10">'[19]Inc_DCRR by Yr'!$C$49:$Z$49</definedName>
    <definedName name="Graph_YR_invest">'[33]Inc_DCRR by Yr'!$C$49:$Z$49</definedName>
    <definedName name="Graph_Yr_Other_income" localSheetId="4">'[44]Inc_DCRR by Yr'!$C$41:$Z$41</definedName>
    <definedName name="Graph_Yr_Other_income" localSheetId="3">'[44]Inc_DCRR by Yr'!$C$41:$Z$41</definedName>
    <definedName name="Graph_Yr_Other_income" localSheetId="2">'[44]Inc_DCRR by Yr'!$C$41:$Z$41</definedName>
    <definedName name="Graph_Yr_Other_income" localSheetId="5">'[44]Inc_DCRR by Yr'!$C$41:$Z$41</definedName>
    <definedName name="Graph_Yr_Other_income" localSheetId="6">'[44]Inc_DCRR by Yr'!$C$41:$Z$41</definedName>
    <definedName name="Graph_Yr_Other_income" localSheetId="7">'[44]Inc_DCRR by Yr'!$C$41:$Z$41</definedName>
    <definedName name="Graph_Yr_Other_income" localSheetId="8">'[44]Inc_DCRR by Yr'!$C$41:$Z$41</definedName>
    <definedName name="Graph_Yr_Other_income" localSheetId="9">'[44]Inc_DCRR by Yr'!$C$41:$Z$41</definedName>
    <definedName name="Graph_Yr_Other_income" localSheetId="10">'[19]Inc_DCRR by Yr'!$C$41:$Z$41</definedName>
    <definedName name="Graph_Yr_Other_income">'[33]Inc_DCRR by Yr'!$C$41:$Z$41</definedName>
    <definedName name="Graph_YR_startup" localSheetId="4">'[44]Inc_DCRR by Yr'!$C$29:$Z$29</definedName>
    <definedName name="Graph_YR_startup" localSheetId="3">'[44]Inc_DCRR by Yr'!$C$29:$Z$29</definedName>
    <definedName name="Graph_YR_startup" localSheetId="2">'[44]Inc_DCRR by Yr'!$C$29:$Z$29</definedName>
    <definedName name="Graph_YR_startup" localSheetId="5">'[44]Inc_DCRR by Yr'!$C$29:$Z$29</definedName>
    <definedName name="Graph_YR_startup" localSheetId="6">'[44]Inc_DCRR by Yr'!$C$29:$Z$29</definedName>
    <definedName name="Graph_YR_startup" localSheetId="7">'[44]Inc_DCRR by Yr'!$C$29:$Z$29</definedName>
    <definedName name="Graph_YR_startup" localSheetId="8">'[44]Inc_DCRR by Yr'!$C$29:$Z$29</definedName>
    <definedName name="Graph_YR_startup" localSheetId="9">'[44]Inc_DCRR by Yr'!$C$29:$Z$29</definedName>
    <definedName name="Graph_YR_startup" localSheetId="10">'[19]Inc_DCRR by Yr'!$C$29:$Z$29</definedName>
    <definedName name="Graph_YR_startup">'[33]Inc_DCRR by Yr'!$C$29:$Z$29</definedName>
    <definedName name="Graph_Yr_Total_Bens" localSheetId="4">'[44]Inc_DCRR by Yr'!$C$25:$Z$25</definedName>
    <definedName name="Graph_Yr_Total_Bens" localSheetId="3">'[44]Inc_DCRR by Yr'!$C$25:$Z$25</definedName>
    <definedName name="Graph_Yr_Total_Bens" localSheetId="2">'[44]Inc_DCRR by Yr'!$C$25:$Z$25</definedName>
    <definedName name="Graph_Yr_Total_Bens" localSheetId="5">'[44]Inc_DCRR by Yr'!$C$25:$Z$25</definedName>
    <definedName name="Graph_Yr_Total_Bens" localSheetId="6">'[44]Inc_DCRR by Yr'!$C$25:$Z$25</definedName>
    <definedName name="Graph_Yr_Total_Bens" localSheetId="7">'[44]Inc_DCRR by Yr'!$C$25:$Z$25</definedName>
    <definedName name="Graph_Yr_Total_Bens" localSheetId="8">'[44]Inc_DCRR by Yr'!$C$25:$Z$25</definedName>
    <definedName name="Graph_Yr_Total_Bens" localSheetId="9">'[44]Inc_DCRR by Yr'!$C$25:$Z$25</definedName>
    <definedName name="Graph_Yr_Total_Bens" localSheetId="10">'[19]Inc_DCRR by Yr'!$C$25:$Z$25</definedName>
    <definedName name="Graph_Yr_Total_Bens">'[33]Inc_DCRR by Yr'!$C$25:$Z$25</definedName>
    <definedName name="Graph_YR_totalcosts" localSheetId="4">'[44]Inc_DCRR by Yr'!$C$37:$Z$37</definedName>
    <definedName name="Graph_YR_totalcosts" localSheetId="3">'[44]Inc_DCRR by Yr'!$C$37:$Z$37</definedName>
    <definedName name="Graph_YR_totalcosts" localSheetId="2">'[44]Inc_DCRR by Yr'!$C$37:$Z$37</definedName>
    <definedName name="Graph_YR_totalcosts" localSheetId="5">'[44]Inc_DCRR by Yr'!$C$37:$Z$37</definedName>
    <definedName name="Graph_YR_totalcosts" localSheetId="6">'[44]Inc_DCRR by Yr'!$C$37:$Z$37</definedName>
    <definedName name="Graph_YR_totalcosts" localSheetId="7">'[44]Inc_DCRR by Yr'!$C$37:$Z$37</definedName>
    <definedName name="Graph_YR_totalcosts" localSheetId="8">'[44]Inc_DCRR by Yr'!$C$37:$Z$37</definedName>
    <definedName name="Graph_YR_totalcosts" localSheetId="9">'[44]Inc_DCRR by Yr'!$C$37:$Z$37</definedName>
    <definedName name="Graph_YR_totalcosts" localSheetId="10">'[19]Inc_DCRR by Yr'!$C$37:$Z$37</definedName>
    <definedName name="Graph_YR_totalcosts">'[33]Inc_DCRR by Yr'!$C$37:$Z$37</definedName>
    <definedName name="grey">[61]!grey</definedName>
    <definedName name="Greys">[61]!grey</definedName>
    <definedName name="GRID" localSheetId="10">[97]Grid!$F$2:$N$16</definedName>
    <definedName name="GRID">[43]Grid!$F$2:$N$16</definedName>
    <definedName name="Gross_NSB" localSheetId="4">'[44]SKU Data Input'!$BI$240</definedName>
    <definedName name="Gross_NSB" localSheetId="3">'[44]SKU Data Input'!$BI$240</definedName>
    <definedName name="Gross_NSB" localSheetId="2">'[44]SKU Data Input'!$BI$240</definedName>
    <definedName name="Gross_NSB" localSheetId="5">'[44]SKU Data Input'!$BI$240</definedName>
    <definedName name="Gross_NSB" localSheetId="6">'[44]SKU Data Input'!$BI$240</definedName>
    <definedName name="Gross_NSB" localSheetId="7">'[44]SKU Data Input'!$BI$240</definedName>
    <definedName name="Gross_NSB" localSheetId="8">'[44]SKU Data Input'!$BI$240</definedName>
    <definedName name="Gross_NSB" localSheetId="9">'[44]SKU Data Input'!$BI$240</definedName>
    <definedName name="Gross_NSB" localSheetId="10">'[19]SKU Data Input'!$BI$240</definedName>
    <definedName name="Gross_NSB">'[33]SKU Data Input'!$BI$240</definedName>
    <definedName name="Gross_NSM" localSheetId="4">'[44]SKU Data Input'!$BJ$240</definedName>
    <definedName name="Gross_NSM" localSheetId="3">'[44]SKU Data Input'!$BJ$240</definedName>
    <definedName name="Gross_NSM" localSheetId="2">'[44]SKU Data Input'!$BJ$240</definedName>
    <definedName name="Gross_NSM" localSheetId="5">'[44]SKU Data Input'!$BJ$240</definedName>
    <definedName name="Gross_NSM" localSheetId="6">'[44]SKU Data Input'!$BJ$240</definedName>
    <definedName name="Gross_NSM" localSheetId="7">'[44]SKU Data Input'!$BJ$240</definedName>
    <definedName name="Gross_NSM" localSheetId="8">'[44]SKU Data Input'!$BJ$240</definedName>
    <definedName name="Gross_NSM" localSheetId="9">'[44]SKU Data Input'!$BJ$240</definedName>
    <definedName name="Gross_NSM" localSheetId="10">'[19]SKU Data Input'!$BJ$240</definedName>
    <definedName name="Gross_NSM">'[33]SKU Data Input'!$BJ$240</definedName>
    <definedName name="Gross_Volume" localSheetId="4">'[44]SKU Data Input'!$AE$240</definedName>
    <definedName name="Gross_Volume" localSheetId="3">'[44]SKU Data Input'!$AE$240</definedName>
    <definedName name="Gross_Volume" localSheetId="2">'[44]SKU Data Input'!$AE$240</definedName>
    <definedName name="Gross_Volume" localSheetId="5">'[44]SKU Data Input'!$AE$240</definedName>
    <definedName name="Gross_Volume" localSheetId="6">'[44]SKU Data Input'!$AE$240</definedName>
    <definedName name="Gross_Volume" localSheetId="7">'[44]SKU Data Input'!$AE$240</definedName>
    <definedName name="Gross_Volume" localSheetId="8">'[44]SKU Data Input'!$AE$240</definedName>
    <definedName name="Gross_Volume" localSheetId="9">'[44]SKU Data Input'!$AE$240</definedName>
    <definedName name="Gross_Volume" localSheetId="10">'[19]SKU Data Input'!$AE$240</definedName>
    <definedName name="Gross_Volume">'[33]SKU Data Input'!$AE$240</definedName>
    <definedName name="grün">"Ellipse 246"</definedName>
    <definedName name="GU01_LA" localSheetId="4">#REF!</definedName>
    <definedName name="GU01_LA" localSheetId="3">#REF!</definedName>
    <definedName name="GU01_LA" localSheetId="2">#REF!</definedName>
    <definedName name="GU01_LA" localSheetId="5">#REF!</definedName>
    <definedName name="GU01_LA" localSheetId="6">#REF!</definedName>
    <definedName name="GU01_LA" localSheetId="7">#REF!</definedName>
    <definedName name="GU01_LA" localSheetId="8">#REF!</definedName>
    <definedName name="GU01_LA" localSheetId="9">#REF!</definedName>
    <definedName name="GU01_LA" localSheetId="10">#REF!</definedName>
    <definedName name="GU01_LA" localSheetId="11">#REF!</definedName>
    <definedName name="GU01_LA">#REF!</definedName>
    <definedName name="gyuj" localSheetId="4" hidden="1">{#N/A,#N/A,TRUE,"Distribution";#N/A,#N/A,TRUE,"Fulfillment";#N/A,#N/A,TRUE,"Aged Backorders"}</definedName>
    <definedName name="gyuj" localSheetId="3" hidden="1">{#N/A,#N/A,TRUE,"Distribution";#N/A,#N/A,TRUE,"Fulfillment";#N/A,#N/A,TRUE,"Aged Backorders"}</definedName>
    <definedName name="gyuj" localSheetId="2" hidden="1">{#N/A,#N/A,TRUE,"Distribution";#N/A,#N/A,TRUE,"Fulfillment";#N/A,#N/A,TRUE,"Aged Backorders"}</definedName>
    <definedName name="gyuj" localSheetId="8" hidden="1">{#N/A,#N/A,TRUE,"Distribution";#N/A,#N/A,TRUE,"Fulfillment";#N/A,#N/A,TRUE,"Aged Backorders"}</definedName>
    <definedName name="gyuj" localSheetId="9" hidden="1">{#N/A,#N/A,TRUE,"Distribution";#N/A,#N/A,TRUE,"Fulfillment";#N/A,#N/A,TRUE,"Aged Backorders"}</definedName>
    <definedName name="gyuj" localSheetId="10" hidden="1">{#N/A,#N/A,TRUE,"Distribution";#N/A,#N/A,TRUE,"Fulfillment";#N/A,#N/A,TRUE,"Aged Backorders"}</definedName>
    <definedName name="gyuj" hidden="1">{#N/A,#N/A,TRUE,"Distribution";#N/A,#N/A,TRUE,"Fulfillment";#N/A,#N/A,TRUE,"Aged Backorders"}</definedName>
    <definedName name="h">10</definedName>
    <definedName name="H90_12" localSheetId="10">[56]Refrigerants!$G$14</definedName>
    <definedName name="H90_12">[98]Refrigerants!$G$14</definedName>
    <definedName name="H90_134" localSheetId="10">[56]Refrigerants!$P$14</definedName>
    <definedName name="H90_134">[98]Refrigerants!$P$14</definedName>
    <definedName name="HAP">[36]Sheet1!$AE$21:$AE$22</definedName>
    <definedName name="HDFKJHa" localSheetId="4" hidden="1">{#N/A,#N/A,TRUE,"Distribution";#N/A,#N/A,TRUE,"Fulfillment";#N/A,#N/A,TRUE,"Aged Backorders"}</definedName>
    <definedName name="HDFKJHa" localSheetId="3" hidden="1">{#N/A,#N/A,TRUE,"Distribution";#N/A,#N/A,TRUE,"Fulfillment";#N/A,#N/A,TRUE,"Aged Backorders"}</definedName>
    <definedName name="HDFKJHa" localSheetId="2" hidden="1">{#N/A,#N/A,TRUE,"Distribution";#N/A,#N/A,TRUE,"Fulfillment";#N/A,#N/A,TRUE,"Aged Backorders"}</definedName>
    <definedName name="HDFKJHa" localSheetId="8" hidden="1">{#N/A,#N/A,TRUE,"Distribution";#N/A,#N/A,TRUE,"Fulfillment";#N/A,#N/A,TRUE,"Aged Backorders"}</definedName>
    <definedName name="HDFKJHa" localSheetId="9" hidden="1">{#N/A,#N/A,TRUE,"Distribution";#N/A,#N/A,TRUE,"Fulfillment";#N/A,#N/A,TRUE,"Aged Backorders"}</definedName>
    <definedName name="HDFKJHa" localSheetId="10" hidden="1">{#N/A,#N/A,TRUE,"Distribution";#N/A,#N/A,TRUE,"Fulfillment";#N/A,#N/A,TRUE,"Aged Backorders"}</definedName>
    <definedName name="HDFKJHa" hidden="1">{#N/A,#N/A,TRUE,"Distribution";#N/A,#N/A,TRUE,"Fulfillment";#N/A,#N/A,TRUE,"Aged Backorders"}</definedName>
    <definedName name="hds" localSheetId="4" hidden="1">{#N/A,#N/A,FALSE,"Signature Page";#N/A,#N/A,FALSE,"Revision Summary";#N/A,#N/A,FALSE,"PROCESS FLOW";#N/A,#N/A,FALSE,"FMEA Worksheet"}</definedName>
    <definedName name="hds" localSheetId="3" hidden="1">{#N/A,#N/A,FALSE,"Signature Page";#N/A,#N/A,FALSE,"Revision Summary";#N/A,#N/A,FALSE,"PROCESS FLOW";#N/A,#N/A,FALSE,"FMEA Worksheet"}</definedName>
    <definedName name="hds" localSheetId="2" hidden="1">{#N/A,#N/A,FALSE,"Signature Page";#N/A,#N/A,FALSE,"Revision Summary";#N/A,#N/A,FALSE,"PROCESS FLOW";#N/A,#N/A,FALSE,"FMEA Worksheet"}</definedName>
    <definedName name="hds" localSheetId="8" hidden="1">{#N/A,#N/A,FALSE,"Signature Page";#N/A,#N/A,FALSE,"Revision Summary";#N/A,#N/A,FALSE,"PROCESS FLOW";#N/A,#N/A,FALSE,"FMEA Worksheet"}</definedName>
    <definedName name="hds" localSheetId="9" hidden="1">{#N/A,#N/A,FALSE,"Signature Page";#N/A,#N/A,FALSE,"Revision Summary";#N/A,#N/A,FALSE,"PROCESS FLOW";#N/A,#N/A,FALSE,"FMEA Worksheet"}</definedName>
    <definedName name="hds" localSheetId="10" hidden="1">{#N/A,#N/A,FALSE,"Signature Page";#N/A,#N/A,FALSE,"Revision Summary";#N/A,#N/A,FALSE,"PROCESS FLOW";#N/A,#N/A,FALSE,"FMEA Worksheet"}</definedName>
    <definedName name="hds" hidden="1">{#N/A,#N/A,FALSE,"Signature Page";#N/A,#N/A,FALSE,"Revision Summary";#N/A,#N/A,FALSE,"PROCESS FLOW";#N/A,#N/A,FALSE,"FMEA Worksheet"}</definedName>
    <definedName name="Heä_soá_laép_xaø_H">1.7</definedName>
    <definedName name="Header_Row" localSheetId="4">ROW(#REF!)</definedName>
    <definedName name="Header_Row" localSheetId="3">ROW(#REF!)</definedName>
    <definedName name="Header_Row" localSheetId="2">ROW(#REF!)</definedName>
    <definedName name="Header_Row" localSheetId="5">ROW(#REF!)</definedName>
    <definedName name="Header_Row" localSheetId="6">ROW(#REF!)</definedName>
    <definedName name="Header_Row" localSheetId="7">ROW(#REF!)</definedName>
    <definedName name="Header_Row" localSheetId="8">ROW(#REF!)</definedName>
    <definedName name="Header_Row" localSheetId="9">ROW(#REF!)</definedName>
    <definedName name="Header_Row" localSheetId="10">ROW(#REF!)</definedName>
    <definedName name="Header_Row" localSheetId="11">ROW(#REF!)</definedName>
    <definedName name="Header_Row">ROW(#REF!)</definedName>
    <definedName name="heading" localSheetId="4">#REF!</definedName>
    <definedName name="heading" localSheetId="3">#REF!</definedName>
    <definedName name="heading" localSheetId="2">#REF!</definedName>
    <definedName name="heading" localSheetId="5">#REF!</definedName>
    <definedName name="heading" localSheetId="6">#REF!</definedName>
    <definedName name="heading" localSheetId="7">#REF!</definedName>
    <definedName name="heading" localSheetId="8">#REF!</definedName>
    <definedName name="heading" localSheetId="9">#REF!</definedName>
    <definedName name="heading" localSheetId="10">#REF!</definedName>
    <definedName name="heading" localSheetId="11">#REF!</definedName>
    <definedName name="heading">#REF!</definedName>
    <definedName name="henhao" localSheetId="4" hidden="1">{#N/A,#N/A,TRUE,"Distribution";#N/A,#N/A,TRUE,"Fulfillment";#N/A,#N/A,TRUE,"Aged Backorders"}</definedName>
    <definedName name="henhao" localSheetId="3" hidden="1">{#N/A,#N/A,TRUE,"Distribution";#N/A,#N/A,TRUE,"Fulfillment";#N/A,#N/A,TRUE,"Aged Backorders"}</definedName>
    <definedName name="henhao" localSheetId="2" hidden="1">{#N/A,#N/A,TRUE,"Distribution";#N/A,#N/A,TRUE,"Fulfillment";#N/A,#N/A,TRUE,"Aged Backorders"}</definedName>
    <definedName name="henhao" localSheetId="8" hidden="1">{#N/A,#N/A,TRUE,"Distribution";#N/A,#N/A,TRUE,"Fulfillment";#N/A,#N/A,TRUE,"Aged Backorders"}</definedName>
    <definedName name="henhao" localSheetId="9" hidden="1">{#N/A,#N/A,TRUE,"Distribution";#N/A,#N/A,TRUE,"Fulfillment";#N/A,#N/A,TRUE,"Aged Backorders"}</definedName>
    <definedName name="henhao" localSheetId="10" hidden="1">{#N/A,#N/A,TRUE,"Distribution";#N/A,#N/A,TRUE,"Fulfillment";#N/A,#N/A,TRUE,"Aged Backorders"}</definedName>
    <definedName name="henhao" hidden="1">{#N/A,#N/A,TRUE,"Distribution";#N/A,#N/A,TRUE,"Fulfillment";#N/A,#N/A,TRUE,"Aged Backorders"}</definedName>
    <definedName name="hfghjgfarhgff" localSheetId="4" hidden="1">{#N/A,#N/A,TRUE,"Distribution";#N/A,#N/A,TRUE,"Fulfillment";#N/A,#N/A,TRUE,"Aged Backorders"}</definedName>
    <definedName name="hfghjgfarhgff" localSheetId="3" hidden="1">{#N/A,#N/A,TRUE,"Distribution";#N/A,#N/A,TRUE,"Fulfillment";#N/A,#N/A,TRUE,"Aged Backorders"}</definedName>
    <definedName name="hfghjgfarhgff" localSheetId="2" hidden="1">{#N/A,#N/A,TRUE,"Distribution";#N/A,#N/A,TRUE,"Fulfillment";#N/A,#N/A,TRUE,"Aged Backorders"}</definedName>
    <definedName name="hfghjgfarhgff" localSheetId="8" hidden="1">{#N/A,#N/A,TRUE,"Distribution";#N/A,#N/A,TRUE,"Fulfillment";#N/A,#N/A,TRUE,"Aged Backorders"}</definedName>
    <definedName name="hfghjgfarhgff" localSheetId="9" hidden="1">{#N/A,#N/A,TRUE,"Distribution";#N/A,#N/A,TRUE,"Fulfillment";#N/A,#N/A,TRUE,"Aged Backorders"}</definedName>
    <definedName name="hfghjgfarhgff" localSheetId="10" hidden="1">{#N/A,#N/A,TRUE,"Distribution";#N/A,#N/A,TRUE,"Fulfillment";#N/A,#N/A,TRUE,"Aged Backorders"}</definedName>
    <definedName name="hfghjgfarhgff" hidden="1">{#N/A,#N/A,TRUE,"Distribution";#N/A,#N/A,TRUE,"Fulfillment";#N/A,#N/A,TRUE,"Aged Backorders"}</definedName>
    <definedName name="HGDHD" localSheetId="4">#REF!</definedName>
    <definedName name="HGDHD" localSheetId="3">#REF!</definedName>
    <definedName name="HGDHD" localSheetId="2">#REF!</definedName>
    <definedName name="HGDHD" localSheetId="5">#REF!</definedName>
    <definedName name="HGDHD" localSheetId="6">#REF!</definedName>
    <definedName name="HGDHD" localSheetId="7">#REF!</definedName>
    <definedName name="HGDHD" localSheetId="8">#REF!</definedName>
    <definedName name="HGDHD" localSheetId="9">#REF!</definedName>
    <definedName name="HGDHD" localSheetId="10">#REF!</definedName>
    <definedName name="HGDHD" localSheetId="11">#REF!</definedName>
    <definedName name="HGDHD">#REF!</definedName>
    <definedName name="hgth" localSheetId="4" hidden="1">{#N/A,#N/A,TRUE,"Distribution";#N/A,#N/A,TRUE,"Fulfillment";#N/A,#N/A,TRUE,"Aged Backorders"}</definedName>
    <definedName name="hgth" localSheetId="3" hidden="1">{#N/A,#N/A,TRUE,"Distribution";#N/A,#N/A,TRUE,"Fulfillment";#N/A,#N/A,TRUE,"Aged Backorders"}</definedName>
    <definedName name="hgth" localSheetId="2" hidden="1">{#N/A,#N/A,TRUE,"Distribution";#N/A,#N/A,TRUE,"Fulfillment";#N/A,#N/A,TRUE,"Aged Backorders"}</definedName>
    <definedName name="hgth" localSheetId="8" hidden="1">{#N/A,#N/A,TRUE,"Distribution";#N/A,#N/A,TRUE,"Fulfillment";#N/A,#N/A,TRUE,"Aged Backorders"}</definedName>
    <definedName name="hgth" localSheetId="9" hidden="1">{#N/A,#N/A,TRUE,"Distribution";#N/A,#N/A,TRUE,"Fulfillment";#N/A,#N/A,TRUE,"Aged Backorders"}</definedName>
    <definedName name="hgth" localSheetId="10" hidden="1">{#N/A,#N/A,TRUE,"Distribution";#N/A,#N/A,TRUE,"Fulfillment";#N/A,#N/A,TRUE,"Aged Backorders"}</definedName>
    <definedName name="hgth" hidden="1">{#N/A,#N/A,TRUE,"Distribution";#N/A,#N/A,TRUE,"Fulfillment";#N/A,#N/A,TRUE,"Aged Backorders"}</definedName>
    <definedName name="hh" localSheetId="4">#REF!</definedName>
    <definedName name="hh" localSheetId="3">#REF!</definedName>
    <definedName name="hh" localSheetId="2">#REF!</definedName>
    <definedName name="hh" localSheetId="5">#REF!</definedName>
    <definedName name="hh" localSheetId="6">#REF!</definedName>
    <definedName name="hh" localSheetId="7">#REF!</definedName>
    <definedName name="hh" localSheetId="8">#REF!</definedName>
    <definedName name="hh" localSheetId="9">#REF!</definedName>
    <definedName name="hh" localSheetId="10">#REF!</definedName>
    <definedName name="hh" localSheetId="11">#REF!</definedName>
    <definedName name="hh">#REF!</definedName>
    <definedName name="HHH" localSheetId="10">[100]분리멀티형!$B$2:$AD$38</definedName>
    <definedName name="HHH">[94]분리멀티형!$B$2:$AD$38</definedName>
    <definedName name="hhhhhhhh" localSheetId="4" hidden="1">{#N/A,#N/A,TRUE,"Distribution";#N/A,#N/A,TRUE,"Fulfillment";#N/A,#N/A,TRUE,"Aged Backorders"}</definedName>
    <definedName name="hhhhhhhh" localSheetId="3" hidden="1">{#N/A,#N/A,TRUE,"Distribution";#N/A,#N/A,TRUE,"Fulfillment";#N/A,#N/A,TRUE,"Aged Backorders"}</definedName>
    <definedName name="hhhhhhhh" localSheetId="2" hidden="1">{#N/A,#N/A,TRUE,"Distribution";#N/A,#N/A,TRUE,"Fulfillment";#N/A,#N/A,TRUE,"Aged Backorders"}</definedName>
    <definedName name="hhhhhhhh" localSheetId="8" hidden="1">{#N/A,#N/A,TRUE,"Distribution";#N/A,#N/A,TRUE,"Fulfillment";#N/A,#N/A,TRUE,"Aged Backorders"}</definedName>
    <definedName name="hhhhhhhh" localSheetId="9" hidden="1">{#N/A,#N/A,TRUE,"Distribution";#N/A,#N/A,TRUE,"Fulfillment";#N/A,#N/A,TRUE,"Aged Backorders"}</definedName>
    <definedName name="hhhhhhhh" localSheetId="10" hidden="1">{#N/A,#N/A,TRUE,"Distribution";#N/A,#N/A,TRUE,"Fulfillment";#N/A,#N/A,TRUE,"Aged Backorders"}</definedName>
    <definedName name="hhhhhhhh" hidden="1">{#N/A,#N/A,TRUE,"Distribution";#N/A,#N/A,TRUE,"Fulfillment";#N/A,#N/A,TRUE,"Aged Backorders"}</definedName>
    <definedName name="hhhhhhyuyyyy" localSheetId="4" hidden="1">{#N/A,#N/A,TRUE,"Distribution";#N/A,#N/A,TRUE,"Fulfillment";#N/A,#N/A,TRUE,"Aged Backorders"}</definedName>
    <definedName name="hhhhhhyuyyyy" localSheetId="3" hidden="1">{#N/A,#N/A,TRUE,"Distribution";#N/A,#N/A,TRUE,"Fulfillment";#N/A,#N/A,TRUE,"Aged Backorders"}</definedName>
    <definedName name="hhhhhhyuyyyy" localSheetId="2" hidden="1">{#N/A,#N/A,TRUE,"Distribution";#N/A,#N/A,TRUE,"Fulfillment";#N/A,#N/A,TRUE,"Aged Backorders"}</definedName>
    <definedName name="hhhhhhyuyyyy" localSheetId="8" hidden="1">{#N/A,#N/A,TRUE,"Distribution";#N/A,#N/A,TRUE,"Fulfillment";#N/A,#N/A,TRUE,"Aged Backorders"}</definedName>
    <definedName name="hhhhhhyuyyyy" localSheetId="9" hidden="1">{#N/A,#N/A,TRUE,"Distribution";#N/A,#N/A,TRUE,"Fulfillment";#N/A,#N/A,TRUE,"Aged Backorders"}</definedName>
    <definedName name="hhhhhhyuyyyy" localSheetId="10" hidden="1">{#N/A,#N/A,TRUE,"Distribution";#N/A,#N/A,TRUE,"Fulfillment";#N/A,#N/A,TRUE,"Aged Backorders"}</definedName>
    <definedName name="hhhhhhyuyyyy" hidden="1">{#N/A,#N/A,TRUE,"Distribution";#N/A,#N/A,TRUE,"Fulfillment";#N/A,#N/A,TRUE,"Aged Backorders"}</definedName>
    <definedName name="hhhhjjfHFBJhjhfjhB" localSheetId="4" hidden="1">{#N/A,#N/A,TRUE,"Distribution";#N/A,#N/A,TRUE,"Fulfillment";#N/A,#N/A,TRUE,"Aged Backorders"}</definedName>
    <definedName name="hhhhjjfHFBJhjhfjhB" localSheetId="3" hidden="1">{#N/A,#N/A,TRUE,"Distribution";#N/A,#N/A,TRUE,"Fulfillment";#N/A,#N/A,TRUE,"Aged Backorders"}</definedName>
    <definedName name="hhhhjjfHFBJhjhfjhB" localSheetId="2" hidden="1">{#N/A,#N/A,TRUE,"Distribution";#N/A,#N/A,TRUE,"Fulfillment";#N/A,#N/A,TRUE,"Aged Backorders"}</definedName>
    <definedName name="hhhhjjfHFBJhjhfjhB" localSheetId="8" hidden="1">{#N/A,#N/A,TRUE,"Distribution";#N/A,#N/A,TRUE,"Fulfillment";#N/A,#N/A,TRUE,"Aged Backorders"}</definedName>
    <definedName name="hhhhjjfHFBJhjhfjhB" localSheetId="9" hidden="1">{#N/A,#N/A,TRUE,"Distribution";#N/A,#N/A,TRUE,"Fulfillment";#N/A,#N/A,TRUE,"Aged Backorders"}</definedName>
    <definedName name="hhhhjjfHFBJhjhfjhB" localSheetId="10" hidden="1">{#N/A,#N/A,TRUE,"Distribution";#N/A,#N/A,TRUE,"Fulfillment";#N/A,#N/A,TRUE,"Aged Backorders"}</definedName>
    <definedName name="hhhhjjfHFBJhjhfjhB" hidden="1">{#N/A,#N/A,TRUE,"Distribution";#N/A,#N/A,TRUE,"Fulfillment";#N/A,#N/A,TRUE,"Aged Backorders"}</definedName>
    <definedName name="hhj" localSheetId="4" hidden="1">{#N/A,#N/A,TRUE,"Out-Month "}</definedName>
    <definedName name="hhj" localSheetId="3" hidden="1">{#N/A,#N/A,TRUE,"Out-Month "}</definedName>
    <definedName name="hhj" localSheetId="2" hidden="1">{#N/A,#N/A,TRUE,"Out-Month "}</definedName>
    <definedName name="hhj" localSheetId="8" hidden="1">{#N/A,#N/A,TRUE,"Out-Month "}</definedName>
    <definedName name="hhj" localSheetId="9" hidden="1">{#N/A,#N/A,TRUE,"Out-Month "}</definedName>
    <definedName name="hhj" localSheetId="10" hidden="1">{#N/A,#N/A,TRUE,"Out-Month "}</definedName>
    <definedName name="hhj" hidden="1">{#N/A,#N/A,TRUE,"Out-Month "}</definedName>
    <definedName name="hhm" localSheetId="4">#REF!</definedName>
    <definedName name="hhm" localSheetId="3">#REF!</definedName>
    <definedName name="hhm" localSheetId="2">#REF!</definedName>
    <definedName name="hhm" localSheetId="5">#REF!</definedName>
    <definedName name="hhm" localSheetId="6">#REF!</definedName>
    <definedName name="hhm" localSheetId="7">#REF!</definedName>
    <definedName name="hhm" localSheetId="8">#REF!</definedName>
    <definedName name="hhm" localSheetId="9">#REF!</definedName>
    <definedName name="hhm" localSheetId="10">#REF!</definedName>
    <definedName name="hhm" localSheetId="11">#REF!</definedName>
    <definedName name="hhm">#REF!</definedName>
    <definedName name="hi" localSheetId="4">#REF!</definedName>
    <definedName name="hi" localSheetId="3">#REF!</definedName>
    <definedName name="hi" localSheetId="2">#REF!</definedName>
    <definedName name="hi" localSheetId="5">#REF!</definedName>
    <definedName name="hi" localSheetId="6">#REF!</definedName>
    <definedName name="hi" localSheetId="7">#REF!</definedName>
    <definedName name="hi" localSheetId="8">#REF!</definedName>
    <definedName name="hi" localSheetId="9">#REF!</definedName>
    <definedName name="hi" localSheetId="10">#REF!</definedName>
    <definedName name="hi" localSheetId="11">#REF!</definedName>
    <definedName name="hi">#REF!</definedName>
    <definedName name="HIGKG" localSheetId="4" hidden="1">{#N/A,#N/A,TRUE,"Distribution";#N/A,#N/A,TRUE,"Fulfillment";#N/A,#N/A,TRUE,"Aged Backorders"}</definedName>
    <definedName name="HIGKG" localSheetId="3" hidden="1">{#N/A,#N/A,TRUE,"Distribution";#N/A,#N/A,TRUE,"Fulfillment";#N/A,#N/A,TRUE,"Aged Backorders"}</definedName>
    <definedName name="HIGKG" localSheetId="2" hidden="1">{#N/A,#N/A,TRUE,"Distribution";#N/A,#N/A,TRUE,"Fulfillment";#N/A,#N/A,TRUE,"Aged Backorders"}</definedName>
    <definedName name="HIGKG" localSheetId="8" hidden="1">{#N/A,#N/A,TRUE,"Distribution";#N/A,#N/A,TRUE,"Fulfillment";#N/A,#N/A,TRUE,"Aged Backorders"}</definedName>
    <definedName name="HIGKG" localSheetId="9" hidden="1">{#N/A,#N/A,TRUE,"Distribution";#N/A,#N/A,TRUE,"Fulfillment";#N/A,#N/A,TRUE,"Aged Backorders"}</definedName>
    <definedName name="HIGKG" localSheetId="10" hidden="1">{#N/A,#N/A,TRUE,"Distribution";#N/A,#N/A,TRUE,"Fulfillment";#N/A,#N/A,TRUE,"Aged Backorders"}</definedName>
    <definedName name="HIGKG" hidden="1">{#N/A,#N/A,TRUE,"Distribution";#N/A,#N/A,TRUE,"Fulfillment";#N/A,#N/A,TRUE,"Aged Backorders"}</definedName>
    <definedName name="Hinh_thuc">"bangtra"</definedName>
    <definedName name="hj" localSheetId="4">#REF!</definedName>
    <definedName name="hj" localSheetId="3">#REF!</definedName>
    <definedName name="hj" localSheetId="2">#REF!</definedName>
    <definedName name="hj" localSheetId="5">#REF!</definedName>
    <definedName name="hj" localSheetId="6">#REF!</definedName>
    <definedName name="hj" localSheetId="7">#REF!</definedName>
    <definedName name="hj" localSheetId="8">#REF!</definedName>
    <definedName name="hj" localSheetId="9">#REF!</definedName>
    <definedName name="hj" localSheetId="10">#REF!</definedName>
    <definedName name="hj" localSheetId="11">#REF!</definedName>
    <definedName name="hj">#REF!</definedName>
    <definedName name="HJJKL" localSheetId="4">#REF!</definedName>
    <definedName name="HJJKL" localSheetId="3">#REF!</definedName>
    <definedName name="HJJKL" localSheetId="2">#REF!</definedName>
    <definedName name="HJJKL" localSheetId="5">#REF!</definedName>
    <definedName name="HJJKL" localSheetId="6">#REF!</definedName>
    <definedName name="HJJKL" localSheetId="7">#REF!</definedName>
    <definedName name="HJJKL" localSheetId="8">#REF!</definedName>
    <definedName name="HJJKL" localSheetId="9">#REF!</definedName>
    <definedName name="HJJKL" localSheetId="10">#REF!</definedName>
    <definedName name="HJJKL" localSheetId="11">#REF!</definedName>
    <definedName name="HJJKL">#REF!</definedName>
    <definedName name="ho" localSheetId="4">#REF!</definedName>
    <definedName name="ho" localSheetId="3">#REF!</definedName>
    <definedName name="ho" localSheetId="2">#REF!</definedName>
    <definedName name="ho" localSheetId="5">#REF!</definedName>
    <definedName name="ho" localSheetId="6">#REF!</definedName>
    <definedName name="ho" localSheetId="7">#REF!</definedName>
    <definedName name="ho" localSheetId="8">#REF!</definedName>
    <definedName name="ho" localSheetId="9">#REF!</definedName>
    <definedName name="ho" localSheetId="10">#REF!</definedName>
    <definedName name="ho" localSheetId="11">#REF!</definedName>
    <definedName name="ho">#REF!</definedName>
    <definedName name="höhe">10</definedName>
    <definedName name="hoja4" localSheetId="4" hidden="1">{#N/A,#N/A,TRUE,"Distribution";#N/A,#N/A,TRUE,"Fulfillment";#N/A,#N/A,TRUE,"Aged Backorders"}</definedName>
    <definedName name="hoja4" localSheetId="3" hidden="1">{#N/A,#N/A,TRUE,"Distribution";#N/A,#N/A,TRUE,"Fulfillment";#N/A,#N/A,TRUE,"Aged Backorders"}</definedName>
    <definedName name="hoja4" localSheetId="2" hidden="1">{#N/A,#N/A,TRUE,"Distribution";#N/A,#N/A,TRUE,"Fulfillment";#N/A,#N/A,TRUE,"Aged Backorders"}</definedName>
    <definedName name="hoja4" localSheetId="8" hidden="1">{#N/A,#N/A,TRUE,"Distribution";#N/A,#N/A,TRUE,"Fulfillment";#N/A,#N/A,TRUE,"Aged Backorders"}</definedName>
    <definedName name="hoja4" localSheetId="9" hidden="1">{#N/A,#N/A,TRUE,"Distribution";#N/A,#N/A,TRUE,"Fulfillment";#N/A,#N/A,TRUE,"Aged Backorders"}</definedName>
    <definedName name="hoja4" localSheetId="10" hidden="1">{#N/A,#N/A,TRUE,"Distribution";#N/A,#N/A,TRUE,"Fulfillment";#N/A,#N/A,TRUE,"Aged Backorders"}</definedName>
    <definedName name="hoja4" hidden="1">{#N/A,#N/A,TRUE,"Distribution";#N/A,#N/A,TRUE,"Fulfillment";#N/A,#N/A,TRUE,"Aged Backorders"}</definedName>
    <definedName name="HPCO" localSheetId="4">#REF!</definedName>
    <definedName name="HPCO" localSheetId="3">#REF!</definedName>
    <definedName name="HPCO" localSheetId="2">#REF!</definedName>
    <definedName name="HPCO" localSheetId="5">#REF!</definedName>
    <definedName name="HPCO" localSheetId="6">#REF!</definedName>
    <definedName name="HPCO" localSheetId="7">#REF!</definedName>
    <definedName name="HPCO" localSheetId="8">#REF!</definedName>
    <definedName name="HPCO" localSheetId="9">#REF!</definedName>
    <definedName name="HPCO" localSheetId="10">#REF!</definedName>
    <definedName name="HPCO" localSheetId="11">#REF!</definedName>
    <definedName name="HPCO">#REF!</definedName>
    <definedName name="HPS.Amer" localSheetId="4">#REF!</definedName>
    <definedName name="HPS.Amer" localSheetId="3">#REF!</definedName>
    <definedName name="HPS.Amer" localSheetId="2">#REF!</definedName>
    <definedName name="HPS.Amer" localSheetId="5">#REF!</definedName>
    <definedName name="HPS.Amer" localSheetId="6">#REF!</definedName>
    <definedName name="HPS.Amer" localSheetId="7">#REF!</definedName>
    <definedName name="HPS.Amer" localSheetId="8">#REF!</definedName>
    <definedName name="HPS.Amer" localSheetId="9">#REF!</definedName>
    <definedName name="HPS.Amer" localSheetId="10">#REF!</definedName>
    <definedName name="HPS.Amer" localSheetId="11">#REF!</definedName>
    <definedName name="HPS.Amer">#REF!</definedName>
    <definedName name="HPS.AP" localSheetId="4">#REF!</definedName>
    <definedName name="HPS.AP" localSheetId="3">#REF!</definedName>
    <definedName name="HPS.AP" localSheetId="2">#REF!</definedName>
    <definedName name="HPS.AP" localSheetId="5">#REF!</definedName>
    <definedName name="HPS.AP" localSheetId="6">#REF!</definedName>
    <definedName name="HPS.AP" localSheetId="7">#REF!</definedName>
    <definedName name="HPS.AP" localSheetId="8">#REF!</definedName>
    <definedName name="HPS.AP" localSheetId="9">#REF!</definedName>
    <definedName name="HPS.AP" localSheetId="10">#REF!</definedName>
    <definedName name="HPS.AP" localSheetId="11">#REF!</definedName>
    <definedName name="HPS.AP">#REF!</definedName>
    <definedName name="HPS.EMEA" localSheetId="4">#REF!</definedName>
    <definedName name="HPS.EMEA" localSheetId="3">#REF!</definedName>
    <definedName name="HPS.EMEA" localSheetId="2">#REF!</definedName>
    <definedName name="HPS.EMEA" localSheetId="5">#REF!</definedName>
    <definedName name="HPS.EMEA" localSheetId="6">#REF!</definedName>
    <definedName name="HPS.EMEA" localSheetId="7">#REF!</definedName>
    <definedName name="HPS.EMEA" localSheetId="8">#REF!</definedName>
    <definedName name="HPS.EMEA" localSheetId="9">#REF!</definedName>
    <definedName name="HPS.EMEA" localSheetId="10">#REF!</definedName>
    <definedName name="HPS.EMEA" localSheetId="11">#REF!</definedName>
    <definedName name="HPS.EMEA">#REF!</definedName>
    <definedName name="HPS.GBU" localSheetId="4">#REF!</definedName>
    <definedName name="HPS.GBU" localSheetId="3">#REF!</definedName>
    <definedName name="HPS.GBU" localSheetId="2">#REF!</definedName>
    <definedName name="HPS.GBU" localSheetId="5">#REF!</definedName>
    <definedName name="HPS.GBU" localSheetId="6">#REF!</definedName>
    <definedName name="HPS.GBU" localSheetId="7">#REF!</definedName>
    <definedName name="HPS.GBU" localSheetId="8">#REF!</definedName>
    <definedName name="HPS.GBU" localSheetId="9">#REF!</definedName>
    <definedName name="HPS.GBU" localSheetId="10">#REF!</definedName>
    <definedName name="HPS.GBU" localSheetId="11">#REF!</definedName>
    <definedName name="HPS.GBU">#REF!</definedName>
    <definedName name="HPS.Reg" localSheetId="4">#REF!</definedName>
    <definedName name="HPS.Reg" localSheetId="3">#REF!</definedName>
    <definedName name="HPS.Reg" localSheetId="2">#REF!</definedName>
    <definedName name="HPS.Reg" localSheetId="5">#REF!</definedName>
    <definedName name="HPS.Reg" localSheetId="6">#REF!</definedName>
    <definedName name="HPS.Reg" localSheetId="7">#REF!</definedName>
    <definedName name="HPS.Reg" localSheetId="8">#REF!</definedName>
    <definedName name="HPS.Reg" localSheetId="9">#REF!</definedName>
    <definedName name="HPS.Reg" localSheetId="10">#REF!</definedName>
    <definedName name="HPS.Reg" localSheetId="11">#REF!</definedName>
    <definedName name="HPS.Reg">#REF!</definedName>
    <definedName name="HPSa" localSheetId="4">#REF!</definedName>
    <definedName name="HPSa" localSheetId="3">#REF!</definedName>
    <definedName name="HPSa" localSheetId="2">#REF!</definedName>
    <definedName name="HPSa" localSheetId="5">#REF!</definedName>
    <definedName name="HPSa" localSheetId="6">#REF!</definedName>
    <definedName name="HPSa" localSheetId="7">#REF!</definedName>
    <definedName name="HPSa" localSheetId="8">#REF!</definedName>
    <definedName name="HPSa" localSheetId="9">#REF!</definedName>
    <definedName name="HPSa" localSheetId="10">#REF!</definedName>
    <definedName name="HPSa" localSheetId="11">#REF!</definedName>
    <definedName name="HPSa">#REF!</definedName>
    <definedName name="HPSame" localSheetId="4">#REF!</definedName>
    <definedName name="HPSame" localSheetId="3">#REF!</definedName>
    <definedName name="HPSame" localSheetId="2">#REF!</definedName>
    <definedName name="HPSame" localSheetId="5">#REF!</definedName>
    <definedName name="HPSame" localSheetId="6">#REF!</definedName>
    <definedName name="HPSame" localSheetId="7">#REF!</definedName>
    <definedName name="HPSame" localSheetId="8">#REF!</definedName>
    <definedName name="HPSame" localSheetId="9">#REF!</definedName>
    <definedName name="HPSame" localSheetId="10">#REF!</definedName>
    <definedName name="HPSame" localSheetId="11">#REF!</definedName>
    <definedName name="HPSame">#REF!</definedName>
    <definedName name="HPSe" localSheetId="4">#REF!</definedName>
    <definedName name="HPSe" localSheetId="3">#REF!</definedName>
    <definedName name="HPSe" localSheetId="2">#REF!</definedName>
    <definedName name="HPSe" localSheetId="5">#REF!</definedName>
    <definedName name="HPSe" localSheetId="6">#REF!</definedName>
    <definedName name="HPSe" localSheetId="7">#REF!</definedName>
    <definedName name="HPSe" localSheetId="8">#REF!</definedName>
    <definedName name="HPSe" localSheetId="9">#REF!</definedName>
    <definedName name="HPSe" localSheetId="10">#REF!</definedName>
    <definedName name="HPSe" localSheetId="11">#REF!</definedName>
    <definedName name="HPSe">#REF!</definedName>
    <definedName name="HPSw" localSheetId="4">#REF!</definedName>
    <definedName name="HPSw" localSheetId="3">#REF!</definedName>
    <definedName name="HPSw" localSheetId="2">#REF!</definedName>
    <definedName name="HPSw" localSheetId="5">#REF!</definedName>
    <definedName name="HPSw" localSheetId="6">#REF!</definedName>
    <definedName name="HPSw" localSheetId="7">#REF!</definedName>
    <definedName name="HPSw" localSheetId="8">#REF!</definedName>
    <definedName name="HPSw" localSheetId="9">#REF!</definedName>
    <definedName name="HPSw" localSheetId="10">#REF!</definedName>
    <definedName name="HPSw" localSheetId="11">#REF!</definedName>
    <definedName name="HPSw">#REF!</definedName>
    <definedName name="HPWW" localSheetId="4">#REF!</definedName>
    <definedName name="HPWW" localSheetId="3">#REF!</definedName>
    <definedName name="HPWW" localSheetId="2">#REF!</definedName>
    <definedName name="HPWW" localSheetId="5">#REF!</definedName>
    <definedName name="HPWW" localSheetId="6">#REF!</definedName>
    <definedName name="HPWW" localSheetId="7">#REF!</definedName>
    <definedName name="HPWW" localSheetId="8">#REF!</definedName>
    <definedName name="HPWW" localSheetId="9">#REF!</definedName>
    <definedName name="HPWW" localSheetId="10">#REF!</definedName>
    <definedName name="HPWW" localSheetId="11">#REF!</definedName>
    <definedName name="HPWW">#REF!</definedName>
    <definedName name="HSCT3">0.1</definedName>
    <definedName name="HTML_CodePage" hidden="1">932</definedName>
    <definedName name="HTML_Control" localSheetId="4" hidden="1">{"'打点割り振り (2)'!$A$1:$G$35"}</definedName>
    <definedName name="HTML_Control" localSheetId="3" hidden="1">{"'打点割り振り (2)'!$A$1:$G$35"}</definedName>
    <definedName name="HTML_Control" localSheetId="2" hidden="1">{"'打点割り振り (2)'!$A$1:$G$35"}</definedName>
    <definedName name="HTML_Control" localSheetId="8" hidden="1">{"'打点割り振り (2)'!$A$1:$G$35"}</definedName>
    <definedName name="HTML_Control" localSheetId="9" hidden="1">{"'打点割り振り (2)'!$A$1:$G$35"}</definedName>
    <definedName name="HTML_Control" localSheetId="10" hidden="1">{"'打点割り振り (2)'!$A$1:$G$35"}</definedName>
    <definedName name="HTML_Control" hidden="1">{"'打点割り振り (2)'!$A$1:$G$35"}</definedName>
    <definedName name="HTML_Description" hidden="1">""</definedName>
    <definedName name="HTML_Email" hidden="1">""</definedName>
    <definedName name="HTML_Header" hidden="1">"打点割り振り (2)"</definedName>
    <definedName name="HTML_LastUpdate" hidden="1">"99/02/22"</definedName>
    <definedName name="HTML_LineAfter" hidden="1">FALSE</definedName>
    <definedName name="HTML_LineBefore" hidden="1">FALSE</definedName>
    <definedName name="HTML_Name" hidden="1">"溶接技術課"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"RR-FRM"</definedName>
    <definedName name="htp" localSheetId="10">'[99]HTP 2001'!$F$1:$CY$65536</definedName>
    <definedName name="htp">'[60]HTP 2001'!$F$1:$CY$65536</definedName>
    <definedName name="I" localSheetId="4" hidden="1">{"'打点割り振り (2)'!$A$1:$G$35"}</definedName>
    <definedName name="I" localSheetId="3" hidden="1">{"'打点割り振り (2)'!$A$1:$G$35"}</definedName>
    <definedName name="I" localSheetId="2" hidden="1">{"'打点割り振り (2)'!$A$1:$G$35"}</definedName>
    <definedName name="I" localSheetId="8" hidden="1">{"'打点割り振り (2)'!$A$1:$G$35"}</definedName>
    <definedName name="I" localSheetId="9" hidden="1">{"'打点割り振り (2)'!$A$1:$G$35"}</definedName>
    <definedName name="I" localSheetId="10" hidden="1">{"'打点割り振り (2)'!$A$1:$G$35"}</definedName>
    <definedName name="I" hidden="1">{"'打点割り振り (2)'!$A$1:$G$35"}</definedName>
    <definedName name="IAT_에어컨" localSheetId="4">#REF!</definedName>
    <definedName name="IAT_에어컨" localSheetId="3">#REF!</definedName>
    <definedName name="IAT_에어컨" localSheetId="2">#REF!</definedName>
    <definedName name="IAT_에어컨" localSheetId="5">#REF!</definedName>
    <definedName name="IAT_에어컨" localSheetId="6">#REF!</definedName>
    <definedName name="IAT_에어컨" localSheetId="7">#REF!</definedName>
    <definedName name="IAT_에어컨" localSheetId="8">#REF!</definedName>
    <definedName name="IAT_에어컨" localSheetId="9">#REF!</definedName>
    <definedName name="IAT_에어컨" localSheetId="10">#REF!</definedName>
    <definedName name="IAT_에어컨" localSheetId="11">#REF!</definedName>
    <definedName name="IAT_에어컨">#REF!</definedName>
    <definedName name="IconsAreFixed">TRUE</definedName>
    <definedName name="IET" localSheetId="4">#REF!</definedName>
    <definedName name="IET" localSheetId="3">#REF!</definedName>
    <definedName name="IET" localSheetId="2">#REF!</definedName>
    <definedName name="IET" localSheetId="5">#REF!</definedName>
    <definedName name="IET" localSheetId="6">#REF!</definedName>
    <definedName name="IET" localSheetId="7">#REF!</definedName>
    <definedName name="IET" localSheetId="8">#REF!</definedName>
    <definedName name="IET" localSheetId="9">#REF!</definedName>
    <definedName name="IET" localSheetId="10">#REF!</definedName>
    <definedName name="IET" localSheetId="11">#REF!</definedName>
    <definedName name="IET">#REF!</definedName>
    <definedName name="ik" localSheetId="4">#REF!</definedName>
    <definedName name="ik" localSheetId="3">#REF!</definedName>
    <definedName name="ik" localSheetId="2">#REF!</definedName>
    <definedName name="ik" localSheetId="5">#REF!</definedName>
    <definedName name="ik" localSheetId="6">#REF!</definedName>
    <definedName name="ik" localSheetId="7">#REF!</definedName>
    <definedName name="ik" localSheetId="8">#REF!</definedName>
    <definedName name="ik" localSheetId="9">#REF!</definedName>
    <definedName name="ik" localSheetId="10">#REF!</definedName>
    <definedName name="ik" localSheetId="11">#REF!</definedName>
    <definedName name="ik">#REF!</definedName>
    <definedName name="Imp_Dur" localSheetId="4">#REF!</definedName>
    <definedName name="Imp_Dur" localSheetId="3">#REF!</definedName>
    <definedName name="Imp_Dur" localSheetId="2">#REF!</definedName>
    <definedName name="Imp_Dur" localSheetId="5">#REF!</definedName>
    <definedName name="Imp_Dur" localSheetId="6">#REF!</definedName>
    <definedName name="Imp_Dur" localSheetId="7">#REF!</definedName>
    <definedName name="Imp_Dur" localSheetId="8">#REF!</definedName>
    <definedName name="Imp_Dur" localSheetId="9">#REF!</definedName>
    <definedName name="Imp_Dur" localSheetId="10">#REF!</definedName>
    <definedName name="Imp_Dur" localSheetId="11">#REF!</definedName>
    <definedName name="Imp_Dur">#REF!</definedName>
    <definedName name="Implement" localSheetId="4">#REF!</definedName>
    <definedName name="Implement" localSheetId="3">#REF!</definedName>
    <definedName name="Implement" localSheetId="2">#REF!</definedName>
    <definedName name="Implement" localSheetId="5">#REF!</definedName>
    <definedName name="Implement" localSheetId="6">#REF!</definedName>
    <definedName name="Implement" localSheetId="7">#REF!</definedName>
    <definedName name="Implement" localSheetId="8">#REF!</definedName>
    <definedName name="Implement" localSheetId="9">#REF!</definedName>
    <definedName name="Implement" localSheetId="10">#REF!</definedName>
    <definedName name="Implement" localSheetId="11">#REF!</definedName>
    <definedName name="Implement">#REF!</definedName>
    <definedName name="Import">'[47]Sales Units (3)'!#REF!</definedName>
    <definedName name="incremental_NSB" localSheetId="4">'[44]SKU Data Input'!$BJ$243</definedName>
    <definedName name="incremental_NSB" localSheetId="3">'[44]SKU Data Input'!$BJ$243</definedName>
    <definedName name="incremental_NSB" localSheetId="2">'[44]SKU Data Input'!$BJ$243</definedName>
    <definedName name="incremental_NSB" localSheetId="5">'[44]SKU Data Input'!$BJ$243</definedName>
    <definedName name="incremental_NSB" localSheetId="6">'[44]SKU Data Input'!$BJ$243</definedName>
    <definedName name="incremental_NSB" localSheetId="7">'[44]SKU Data Input'!$BJ$243</definedName>
    <definedName name="incremental_NSB" localSheetId="8">'[44]SKU Data Input'!$BJ$243</definedName>
    <definedName name="incremental_NSB" localSheetId="9">'[44]SKU Data Input'!$BJ$243</definedName>
    <definedName name="incremental_NSB" localSheetId="10">'[19]SKU Data Input'!$BJ$243</definedName>
    <definedName name="incremental_NSB">'[33]SKU Data Input'!$BJ$243</definedName>
    <definedName name="incremental_NSM" localSheetId="4">'[44]SKU Data Input'!$BJ$244</definedName>
    <definedName name="incremental_NSM" localSheetId="3">'[44]SKU Data Input'!$BJ$244</definedName>
    <definedName name="incremental_NSM" localSheetId="2">'[44]SKU Data Input'!$BJ$244</definedName>
    <definedName name="incremental_NSM" localSheetId="5">'[44]SKU Data Input'!$BJ$244</definedName>
    <definedName name="incremental_NSM" localSheetId="6">'[44]SKU Data Input'!$BJ$244</definedName>
    <definedName name="incremental_NSM" localSheetId="7">'[44]SKU Data Input'!$BJ$244</definedName>
    <definedName name="incremental_NSM" localSheetId="8">'[44]SKU Data Input'!$BJ$244</definedName>
    <definedName name="incremental_NSM" localSheetId="9">'[44]SKU Data Input'!$BJ$244</definedName>
    <definedName name="incremental_NSM" localSheetId="10">'[19]SKU Data Input'!$BJ$244</definedName>
    <definedName name="incremental_NSM">'[33]SKU Data Input'!$BJ$244</definedName>
    <definedName name="Incremental_vol" localSheetId="4">'[44]SKU Data Input'!$AE$242</definedName>
    <definedName name="Incremental_vol" localSheetId="3">'[44]SKU Data Input'!$AE$242</definedName>
    <definedName name="Incremental_vol" localSheetId="2">'[44]SKU Data Input'!$AE$242</definedName>
    <definedName name="Incremental_vol" localSheetId="5">'[44]SKU Data Input'!$AE$242</definedName>
    <definedName name="Incremental_vol" localSheetId="6">'[44]SKU Data Input'!$AE$242</definedName>
    <definedName name="Incremental_vol" localSheetId="7">'[44]SKU Data Input'!$AE$242</definedName>
    <definedName name="Incremental_vol" localSheetId="8">'[44]SKU Data Input'!$AE$242</definedName>
    <definedName name="Incremental_vol" localSheetId="9">'[44]SKU Data Input'!$AE$242</definedName>
    <definedName name="Incremental_vol" localSheetId="10">'[19]SKU Data Input'!$AE$242</definedName>
    <definedName name="Incremental_vol">'[33]SKU Data Input'!$AE$242</definedName>
    <definedName name="Industries" localSheetId="4">[49]LOV!$A$17:$F$17</definedName>
    <definedName name="Industries" localSheetId="3">[49]LOV!$A$17:$F$17</definedName>
    <definedName name="Industries" localSheetId="2">[49]LOV!$A$17:$F$17</definedName>
    <definedName name="Industries" localSheetId="5">[49]LOV!$A$17:$F$17</definedName>
    <definedName name="Industries" localSheetId="6">[49]LOV!$A$17:$F$17</definedName>
    <definedName name="Industries" localSheetId="7">[49]LOV!$A$17:$F$17</definedName>
    <definedName name="Industries" localSheetId="8">[50]LOV!$A$17:$F$17</definedName>
    <definedName name="Industries" localSheetId="9">[50]LOV!$A$17:$F$17</definedName>
    <definedName name="Industries" localSheetId="10">[89]LOV!$A$17:$F$17</definedName>
    <definedName name="Industries">[38]LOV!$A$17:$F$17</definedName>
    <definedName name="IndustryList" localSheetId="4">[49]LOV!$A$16</definedName>
    <definedName name="IndustryList" localSheetId="3">[49]LOV!$A$16</definedName>
    <definedName name="IndustryList" localSheetId="2">[49]LOV!$A$16</definedName>
    <definedName name="IndustryList" localSheetId="5">[49]LOV!$A$16</definedName>
    <definedName name="IndustryList" localSheetId="6">[49]LOV!$A$16</definedName>
    <definedName name="IndustryList" localSheetId="7">[49]LOV!$A$16</definedName>
    <definedName name="IndustryList" localSheetId="8">[50]LOV!$A$16</definedName>
    <definedName name="IndustryList" localSheetId="9">[50]LOV!$A$16</definedName>
    <definedName name="IndustryList" localSheetId="10">[89]LOV!$A$16</definedName>
    <definedName name="IndustryList">[38]LOV!$A$16</definedName>
    <definedName name="INHERENT_FACTOR" localSheetId="4">#REF!</definedName>
    <definedName name="INHERENT_FACTOR" localSheetId="3">#REF!</definedName>
    <definedName name="INHERENT_FACTOR" localSheetId="2">#REF!</definedName>
    <definedName name="INHERENT_FACTOR" localSheetId="5">#REF!</definedName>
    <definedName name="INHERENT_FACTOR" localSheetId="6">#REF!</definedName>
    <definedName name="INHERENT_FACTOR" localSheetId="7">#REF!</definedName>
    <definedName name="INHERENT_FACTOR" localSheetId="8">#REF!</definedName>
    <definedName name="INHERENT_FACTOR" localSheetId="9">#REF!</definedName>
    <definedName name="INHERENT_FACTOR" localSheetId="10">#REF!</definedName>
    <definedName name="INHERENT_FACTOR" localSheetId="11">#REF!</definedName>
    <definedName name="INHERENT_FACTOR">#REF!</definedName>
    <definedName name="input" localSheetId="4">#REF!</definedName>
    <definedName name="input" localSheetId="3">#REF!</definedName>
    <definedName name="input" localSheetId="2">#REF!</definedName>
    <definedName name="input" localSheetId="5">#REF!</definedName>
    <definedName name="input" localSheetId="6">#REF!</definedName>
    <definedName name="input" localSheetId="7">#REF!</definedName>
    <definedName name="input" localSheetId="8">#REF!</definedName>
    <definedName name="input" localSheetId="9">#REF!</definedName>
    <definedName name="input" localSheetId="10">#REF!</definedName>
    <definedName name="input" localSheetId="11">#REF!</definedName>
    <definedName name="input">#REF!</definedName>
    <definedName name="INS" localSheetId="4">#REF!</definedName>
    <definedName name="INS" localSheetId="3">#REF!</definedName>
    <definedName name="INS" localSheetId="2">#REF!</definedName>
    <definedName name="INS" localSheetId="5">#REF!</definedName>
    <definedName name="INS" localSheetId="6">#REF!</definedName>
    <definedName name="INS" localSheetId="7">#REF!</definedName>
    <definedName name="INS" localSheetId="8">#REF!</definedName>
    <definedName name="INS" localSheetId="9">#REF!</definedName>
    <definedName name="INS" localSheetId="10">#REF!</definedName>
    <definedName name="INS" localSheetId="11">#REF!</definedName>
    <definedName name="INS">#REF!</definedName>
    <definedName name="INS_IE" localSheetId="4">#REF!</definedName>
    <definedName name="INS_IE" localSheetId="3">#REF!</definedName>
    <definedName name="INS_IE" localSheetId="2">#REF!</definedName>
    <definedName name="INS_IE" localSheetId="5">#REF!</definedName>
    <definedName name="INS_IE" localSheetId="6">#REF!</definedName>
    <definedName name="INS_IE" localSheetId="7">#REF!</definedName>
    <definedName name="INS_IE" localSheetId="8">#REF!</definedName>
    <definedName name="INS_IE" localSheetId="9">#REF!</definedName>
    <definedName name="INS_IE" localSheetId="10">#REF!</definedName>
    <definedName name="INS_IE" localSheetId="11">#REF!</definedName>
    <definedName name="INS_IE">#REF!</definedName>
    <definedName name="Int" localSheetId="4">#REF!</definedName>
    <definedName name="Int" localSheetId="3">#REF!</definedName>
    <definedName name="Int" localSheetId="2">#REF!</definedName>
    <definedName name="Int" localSheetId="5">#REF!</definedName>
    <definedName name="Int" localSheetId="6">#REF!</definedName>
    <definedName name="Int" localSheetId="7">#REF!</definedName>
    <definedName name="Int" localSheetId="8">#REF!</definedName>
    <definedName name="Int" localSheetId="9">#REF!</definedName>
    <definedName name="Int" localSheetId="10">#REF!</definedName>
    <definedName name="Int" localSheetId="11">#REF!</definedName>
    <definedName name="Int">#REF!</definedName>
    <definedName name="Interest_Rate" localSheetId="4">#REF!</definedName>
    <definedName name="Interest_Rate" localSheetId="3">#REF!</definedName>
    <definedName name="Interest_Rate" localSheetId="2">#REF!</definedName>
    <definedName name="Interest_Rate" localSheetId="5">#REF!</definedName>
    <definedName name="Interest_Rate" localSheetId="6">#REF!</definedName>
    <definedName name="Interest_Rate" localSheetId="7">#REF!</definedName>
    <definedName name="Interest_Rate" localSheetId="8">#REF!</definedName>
    <definedName name="Interest_Rate" localSheetId="9">#REF!</definedName>
    <definedName name="Interest_Rate" localSheetId="10">#REF!</definedName>
    <definedName name="Interest_Rate" localSheetId="11">#REF!</definedName>
    <definedName name="Interest_Rate">#REF!</definedName>
    <definedName name="ISS" localSheetId="4">#REF!</definedName>
    <definedName name="ISS" localSheetId="3">#REF!</definedName>
    <definedName name="ISS" localSheetId="2">#REF!</definedName>
    <definedName name="ISS" localSheetId="5">#REF!</definedName>
    <definedName name="ISS" localSheetId="6">#REF!</definedName>
    <definedName name="ISS" localSheetId="7">#REF!</definedName>
    <definedName name="ISS" localSheetId="8">#REF!</definedName>
    <definedName name="ISS" localSheetId="9">#REF!</definedName>
    <definedName name="ISS" localSheetId="10">#REF!</definedName>
    <definedName name="ISS" localSheetId="11">#REF!</definedName>
    <definedName name="ISS">#REF!</definedName>
    <definedName name="ISSa" localSheetId="4">[76]APJSum!$A$907</definedName>
    <definedName name="ISSa" localSheetId="3">[76]APJSum!$A$907</definedName>
    <definedName name="ISSa" localSheetId="2">[76]APJSum!$A$907</definedName>
    <definedName name="ISSa" localSheetId="5">[76]APJSum!$A$907</definedName>
    <definedName name="ISSa" localSheetId="6">[76]APJSum!$A$907</definedName>
    <definedName name="ISSa" localSheetId="7">[76]APJSum!$A$907</definedName>
    <definedName name="ISSa" localSheetId="10">[25]APJSum!$A$907</definedName>
    <definedName name="ISSa">[32]APJSum!$A$907</definedName>
    <definedName name="ISSame" localSheetId="4">[76]AmeSum!$A$907</definedName>
    <definedName name="ISSame" localSheetId="3">[76]AmeSum!$A$907</definedName>
    <definedName name="ISSame" localSheetId="2">[76]AmeSum!$A$907</definedName>
    <definedName name="ISSame" localSheetId="5">[76]AmeSum!$A$907</definedName>
    <definedName name="ISSame" localSheetId="6">[76]AmeSum!$A$907</definedName>
    <definedName name="ISSame" localSheetId="7">[76]AmeSum!$A$907</definedName>
    <definedName name="ISSame" localSheetId="10">[25]AmeSum!$A$907</definedName>
    <definedName name="ISSame">[32]AmeSum!$A$907</definedName>
    <definedName name="ISSD_APD" localSheetId="4">#REF!</definedName>
    <definedName name="ISSD_APD" localSheetId="3">#REF!</definedName>
    <definedName name="ISSD_APD" localSheetId="2">#REF!</definedName>
    <definedName name="ISSD_APD" localSheetId="5">#REF!</definedName>
    <definedName name="ISSD_APD" localSheetId="6">#REF!</definedName>
    <definedName name="ISSD_APD" localSheetId="7">#REF!</definedName>
    <definedName name="ISSD_APD" localSheetId="8">#REF!</definedName>
    <definedName name="ISSD_APD" localSheetId="9">#REF!</definedName>
    <definedName name="ISSD_APD" localSheetId="10">#REF!</definedName>
    <definedName name="ISSD_APD" localSheetId="11">#REF!</definedName>
    <definedName name="ISSD_APD">#REF!</definedName>
    <definedName name="ISSD_EMEA" localSheetId="4">#REF!</definedName>
    <definedName name="ISSD_EMEA" localSheetId="3">#REF!</definedName>
    <definedName name="ISSD_EMEA" localSheetId="2">#REF!</definedName>
    <definedName name="ISSD_EMEA" localSheetId="5">#REF!</definedName>
    <definedName name="ISSD_EMEA" localSheetId="6">#REF!</definedName>
    <definedName name="ISSD_EMEA" localSheetId="7">#REF!</definedName>
    <definedName name="ISSD_EMEA" localSheetId="8">#REF!</definedName>
    <definedName name="ISSD_EMEA" localSheetId="9">#REF!</definedName>
    <definedName name="ISSD_EMEA" localSheetId="10">#REF!</definedName>
    <definedName name="ISSD_EMEA" localSheetId="11">#REF!</definedName>
    <definedName name="ISSD_EMEA">#REF!</definedName>
    <definedName name="ISSD_GCD" localSheetId="4">#REF!</definedName>
    <definedName name="ISSD_GCD" localSheetId="3">#REF!</definedName>
    <definedName name="ISSD_GCD" localSheetId="2">#REF!</definedName>
    <definedName name="ISSD_GCD" localSheetId="5">#REF!</definedName>
    <definedName name="ISSD_GCD" localSheetId="6">#REF!</definedName>
    <definedName name="ISSD_GCD" localSheetId="7">#REF!</definedName>
    <definedName name="ISSD_GCD" localSheetId="8">#REF!</definedName>
    <definedName name="ISSD_GCD" localSheetId="9">#REF!</definedName>
    <definedName name="ISSD_GCD" localSheetId="10">#REF!</definedName>
    <definedName name="ISSD_GCD" localSheetId="11">#REF!</definedName>
    <definedName name="ISSD_GCD">#REF!</definedName>
    <definedName name="ISSD_JP" localSheetId="4">#REF!</definedName>
    <definedName name="ISSD_JP" localSheetId="3">#REF!</definedName>
    <definedName name="ISSD_JP" localSheetId="2">#REF!</definedName>
    <definedName name="ISSD_JP" localSheetId="5">#REF!</definedName>
    <definedName name="ISSD_JP" localSheetId="6">#REF!</definedName>
    <definedName name="ISSD_JP" localSheetId="7">#REF!</definedName>
    <definedName name="ISSD_JP" localSheetId="8">#REF!</definedName>
    <definedName name="ISSD_JP" localSheetId="9">#REF!</definedName>
    <definedName name="ISSD_JP" localSheetId="10">#REF!</definedName>
    <definedName name="ISSD_JP" localSheetId="11">#REF!</definedName>
    <definedName name="ISSD_JP">#REF!</definedName>
    <definedName name="ISSD_LA" localSheetId="4">#REF!</definedName>
    <definedName name="ISSD_LA" localSheetId="3">#REF!</definedName>
    <definedName name="ISSD_LA" localSheetId="2">#REF!</definedName>
    <definedName name="ISSD_LA" localSheetId="5">#REF!</definedName>
    <definedName name="ISSD_LA" localSheetId="6">#REF!</definedName>
    <definedName name="ISSD_LA" localSheetId="7">#REF!</definedName>
    <definedName name="ISSD_LA" localSheetId="8">#REF!</definedName>
    <definedName name="ISSD_LA" localSheetId="9">#REF!</definedName>
    <definedName name="ISSD_LA" localSheetId="10">#REF!</definedName>
    <definedName name="ISSD_LA" localSheetId="11">#REF!</definedName>
    <definedName name="ISSD_LA">#REF!</definedName>
    <definedName name="ISSD_NA" localSheetId="4">#REF!</definedName>
    <definedName name="ISSD_NA" localSheetId="3">#REF!</definedName>
    <definedName name="ISSD_NA" localSheetId="2">#REF!</definedName>
    <definedName name="ISSD_NA" localSheetId="5">#REF!</definedName>
    <definedName name="ISSD_NA" localSheetId="6">#REF!</definedName>
    <definedName name="ISSD_NA" localSheetId="7">#REF!</definedName>
    <definedName name="ISSD_NA" localSheetId="8">#REF!</definedName>
    <definedName name="ISSD_NA" localSheetId="9">#REF!</definedName>
    <definedName name="ISSD_NA" localSheetId="10">#REF!</definedName>
    <definedName name="ISSD_NA" localSheetId="11">#REF!</definedName>
    <definedName name="ISSD_NA">#REF!</definedName>
    <definedName name="ISSe" localSheetId="4">[76]EMEASum!$A$907</definedName>
    <definedName name="ISSe" localSheetId="3">[76]EMEASum!$A$907</definedName>
    <definedName name="ISSe" localSheetId="2">[76]EMEASum!$A$907</definedName>
    <definedName name="ISSe" localSheetId="5">[76]EMEASum!$A$907</definedName>
    <definedName name="ISSe" localSheetId="6">[76]EMEASum!$A$907</definedName>
    <definedName name="ISSe" localSheetId="7">[76]EMEASum!$A$907</definedName>
    <definedName name="ISSe" localSheetId="10">[25]EMEASum!$A$907</definedName>
    <definedName name="ISSe">[32]EMEASum!$A$907</definedName>
    <definedName name="ISSh" localSheetId="4">[76]HPCoSum!$A$907</definedName>
    <definedName name="ISSh" localSheetId="3">[76]HPCoSum!$A$907</definedName>
    <definedName name="ISSh" localSheetId="2">[76]HPCoSum!$A$907</definedName>
    <definedName name="ISSh" localSheetId="5">[76]HPCoSum!$A$907</definedName>
    <definedName name="ISSh" localSheetId="6">[76]HPCoSum!$A$907</definedName>
    <definedName name="ISSh" localSheetId="7">[76]HPCoSum!$A$907</definedName>
    <definedName name="ISSh" localSheetId="10">[25]HPCoSum!$A$907</definedName>
    <definedName name="ISSh">[32]HPCoSum!$A$907</definedName>
    <definedName name="ISSo" localSheetId="4">[76]OGSum!$A$907</definedName>
    <definedName name="ISSo" localSheetId="3">[76]OGSum!$A$907</definedName>
    <definedName name="ISSo" localSheetId="2">[76]OGSum!$A$907</definedName>
    <definedName name="ISSo" localSheetId="5">[76]OGSum!$A$907</definedName>
    <definedName name="ISSo" localSheetId="6">[76]OGSum!$A$907</definedName>
    <definedName name="ISSo" localSheetId="7">[76]OGSum!$A$907</definedName>
    <definedName name="ISSo" localSheetId="10">[25]OGSum!$A$907</definedName>
    <definedName name="ISSo">[32]OGSum!$A$907</definedName>
    <definedName name="Issue_Sheet" localSheetId="4">#REF!</definedName>
    <definedName name="Issue_Sheet" localSheetId="3">#REF!</definedName>
    <definedName name="Issue_Sheet" localSheetId="2">#REF!</definedName>
    <definedName name="Issue_Sheet" localSheetId="5">#REF!</definedName>
    <definedName name="Issue_Sheet" localSheetId="6">#REF!</definedName>
    <definedName name="Issue_Sheet" localSheetId="7">#REF!</definedName>
    <definedName name="Issue_Sheet" localSheetId="8">#REF!</definedName>
    <definedName name="Issue_Sheet" localSheetId="9">#REF!</definedName>
    <definedName name="Issue_Sheet" localSheetId="10">#REF!</definedName>
    <definedName name="Issue_Sheet" localSheetId="11">#REF!</definedName>
    <definedName name="Issue_Sheet">#REF!</definedName>
    <definedName name="Issue_Sheet_DB" localSheetId="4">#REF!</definedName>
    <definedName name="Issue_Sheet_DB" localSheetId="3">#REF!</definedName>
    <definedName name="Issue_Sheet_DB" localSheetId="2">#REF!</definedName>
    <definedName name="Issue_Sheet_DB" localSheetId="5">#REF!</definedName>
    <definedName name="Issue_Sheet_DB" localSheetId="6">#REF!</definedName>
    <definedName name="Issue_Sheet_DB" localSheetId="7">#REF!</definedName>
    <definedName name="Issue_Sheet_DB" localSheetId="8">#REF!</definedName>
    <definedName name="Issue_Sheet_DB" localSheetId="9">#REF!</definedName>
    <definedName name="Issue_Sheet_DB" localSheetId="10">#REF!</definedName>
    <definedName name="Issue_Sheet_DB" localSheetId="11">#REF!</definedName>
    <definedName name="Issue_Sheet_DB">#REF!</definedName>
    <definedName name="ISSUES" localSheetId="4">#REF!</definedName>
    <definedName name="ISSUES" localSheetId="3">#REF!</definedName>
    <definedName name="ISSUES" localSheetId="2">#REF!</definedName>
    <definedName name="ISSUES" localSheetId="5">#REF!</definedName>
    <definedName name="ISSUES" localSheetId="6">#REF!</definedName>
    <definedName name="ISSUES" localSheetId="7">#REF!</definedName>
    <definedName name="ISSUES" localSheetId="8">#REF!</definedName>
    <definedName name="ISSUES" localSheetId="9">#REF!</definedName>
    <definedName name="ISSUES" localSheetId="10">#REF!</definedName>
    <definedName name="ISSUES" localSheetId="11">#REF!</definedName>
    <definedName name="ISSUES">#REF!</definedName>
    <definedName name="ISSw" localSheetId="4">#REF!</definedName>
    <definedName name="ISSw" localSheetId="3">#REF!</definedName>
    <definedName name="ISSw" localSheetId="2">#REF!</definedName>
    <definedName name="ISSw" localSheetId="5">#REF!</definedName>
    <definedName name="ISSw" localSheetId="6">#REF!</definedName>
    <definedName name="ISSw" localSheetId="7">#REF!</definedName>
    <definedName name="ISSw" localSheetId="8">#REF!</definedName>
    <definedName name="ISSw" localSheetId="9">#REF!</definedName>
    <definedName name="ISSw" localSheetId="10">#REF!</definedName>
    <definedName name="ISSw" localSheetId="11">#REF!</definedName>
    <definedName name="ISSw">#REF!</definedName>
    <definedName name="Iteration" localSheetId="4">#REF!</definedName>
    <definedName name="Iteration" localSheetId="3">#REF!</definedName>
    <definedName name="Iteration" localSheetId="2">#REF!</definedName>
    <definedName name="Iteration" localSheetId="5">#REF!</definedName>
    <definedName name="Iteration" localSheetId="6">#REF!</definedName>
    <definedName name="Iteration" localSheetId="7">#REF!</definedName>
    <definedName name="Iteration" localSheetId="8">#REF!</definedName>
    <definedName name="Iteration" localSheetId="9">#REF!</definedName>
    <definedName name="Iteration" localSheetId="10">#REF!</definedName>
    <definedName name="Iteration" localSheetId="11">#REF!</definedName>
    <definedName name="Iteration">#REF!</definedName>
    <definedName name="J" localSheetId="4">#REF!</definedName>
    <definedName name="J" localSheetId="3">#REF!</definedName>
    <definedName name="J" localSheetId="2">#REF!</definedName>
    <definedName name="J" localSheetId="5">#REF!</definedName>
    <definedName name="J" localSheetId="6">#REF!</definedName>
    <definedName name="J" localSheetId="7">#REF!</definedName>
    <definedName name="J" localSheetId="8">#REF!</definedName>
    <definedName name="J" localSheetId="9">#REF!</definedName>
    <definedName name="J" localSheetId="10">#REF!</definedName>
    <definedName name="J" localSheetId="11">#REF!</definedName>
    <definedName name="J">#REF!</definedName>
    <definedName name="jancost" localSheetId="4">'[13]Container Cost Assumptions'!$A$9:$H$231</definedName>
    <definedName name="jancost" localSheetId="3">'[13]Container Cost Assumptions'!$A$9:$H$231</definedName>
    <definedName name="jancost" localSheetId="2">'[13]Container Cost Assumptions'!$A$9:$H$231</definedName>
    <definedName name="jancost" localSheetId="5">'[13]Container Cost Assumptions'!$A$9:$H$231</definedName>
    <definedName name="jancost" localSheetId="6">'[13]Container Cost Assumptions'!$A$9:$H$231</definedName>
    <definedName name="jancost" localSheetId="7">'[13]Container Cost Assumptions'!$A$9:$H$231</definedName>
    <definedName name="jancost" localSheetId="8">'[77]Container Cost Assumptions'!$A$9:$H$231</definedName>
    <definedName name="jancost" localSheetId="9">'[77]Container Cost Assumptions'!$A$9:$H$231</definedName>
    <definedName name="jancost" localSheetId="10">'[8]Container Cost Assumptions'!$A$9:$H$231</definedName>
    <definedName name="jancost">'[10]Container Cost Assumptions'!$A$9:$H$231</definedName>
    <definedName name="january" localSheetId="4">#REF!</definedName>
    <definedName name="january" localSheetId="3">#REF!</definedName>
    <definedName name="january" localSheetId="2">#REF!</definedName>
    <definedName name="january" localSheetId="5">#REF!</definedName>
    <definedName name="january" localSheetId="6">#REF!</definedName>
    <definedName name="january" localSheetId="7">#REF!</definedName>
    <definedName name="january" localSheetId="8">#REF!</definedName>
    <definedName name="january" localSheetId="9">#REF!</definedName>
    <definedName name="january" localSheetId="10">#REF!</definedName>
    <definedName name="january" localSheetId="11">#REF!</definedName>
    <definedName name="january">#REF!</definedName>
    <definedName name="JC" localSheetId="4" hidden="1">{#N/A,#N/A,FALSE,"Signature Page";#N/A,#N/A,FALSE,"Revision Summary";#N/A,#N/A,FALSE,"PROCESS FLOW";#N/A,#N/A,FALSE,"FMEA Worksheet"}</definedName>
    <definedName name="JC" localSheetId="3" hidden="1">{#N/A,#N/A,FALSE,"Signature Page";#N/A,#N/A,FALSE,"Revision Summary";#N/A,#N/A,FALSE,"PROCESS FLOW";#N/A,#N/A,FALSE,"FMEA Worksheet"}</definedName>
    <definedName name="JC" localSheetId="2" hidden="1">{#N/A,#N/A,FALSE,"Signature Page";#N/A,#N/A,FALSE,"Revision Summary";#N/A,#N/A,FALSE,"PROCESS FLOW";#N/A,#N/A,FALSE,"FMEA Worksheet"}</definedName>
    <definedName name="JC" localSheetId="8" hidden="1">{#N/A,#N/A,FALSE,"Signature Page";#N/A,#N/A,FALSE,"Revision Summary";#N/A,#N/A,FALSE,"PROCESS FLOW";#N/A,#N/A,FALSE,"FMEA Worksheet"}</definedName>
    <definedName name="JC" localSheetId="9" hidden="1">{#N/A,#N/A,FALSE,"Signature Page";#N/A,#N/A,FALSE,"Revision Summary";#N/A,#N/A,FALSE,"PROCESS FLOW";#N/A,#N/A,FALSE,"FMEA Worksheet"}</definedName>
    <definedName name="JC" localSheetId="10" hidden="1">{#N/A,#N/A,FALSE,"Signature Page";#N/A,#N/A,FALSE,"Revision Summary";#N/A,#N/A,FALSE,"PROCESS FLOW";#N/A,#N/A,FALSE,"FMEA Worksheet"}</definedName>
    <definedName name="JC" hidden="1">{#N/A,#N/A,FALSE,"Signature Page";#N/A,#N/A,FALSE,"Revision Summary";#N/A,#N/A,FALSE,"PROCESS FLOW";#N/A,#N/A,FALSE,"FMEA Worksheet"}</definedName>
    <definedName name="jdfhkjahfkh" localSheetId="4" hidden="1">{#N/A,#N/A,TRUE,"Distribution";#N/A,#N/A,TRUE,"Fulfillment";#N/A,#N/A,TRUE,"Aged Backorders"}</definedName>
    <definedName name="jdfhkjahfkh" localSheetId="3" hidden="1">{#N/A,#N/A,TRUE,"Distribution";#N/A,#N/A,TRUE,"Fulfillment";#N/A,#N/A,TRUE,"Aged Backorders"}</definedName>
    <definedName name="jdfhkjahfkh" localSheetId="2" hidden="1">{#N/A,#N/A,TRUE,"Distribution";#N/A,#N/A,TRUE,"Fulfillment";#N/A,#N/A,TRUE,"Aged Backorders"}</definedName>
    <definedName name="jdfhkjahfkh" localSheetId="8" hidden="1">{#N/A,#N/A,TRUE,"Distribution";#N/A,#N/A,TRUE,"Fulfillment";#N/A,#N/A,TRUE,"Aged Backorders"}</definedName>
    <definedName name="jdfhkjahfkh" localSheetId="9" hidden="1">{#N/A,#N/A,TRUE,"Distribution";#N/A,#N/A,TRUE,"Fulfillment";#N/A,#N/A,TRUE,"Aged Backorders"}</definedName>
    <definedName name="jdfhkjahfkh" localSheetId="10" hidden="1">{#N/A,#N/A,TRUE,"Distribution";#N/A,#N/A,TRUE,"Fulfillment";#N/A,#N/A,TRUE,"Aged Backorders"}</definedName>
    <definedName name="jdfhkjahfkh" hidden="1">{#N/A,#N/A,TRUE,"Distribution";#N/A,#N/A,TRUE,"Fulfillment";#N/A,#N/A,TRUE,"Aged Backorders"}</definedName>
    <definedName name="jdfjhjksd" localSheetId="4" hidden="1">{#N/A,#N/A,TRUE,"Distribution";#N/A,#N/A,TRUE,"Fulfillment";#N/A,#N/A,TRUE,"Aged Backorders"}</definedName>
    <definedName name="jdfjhjksd" localSheetId="3" hidden="1">{#N/A,#N/A,TRUE,"Distribution";#N/A,#N/A,TRUE,"Fulfillment";#N/A,#N/A,TRUE,"Aged Backorders"}</definedName>
    <definedName name="jdfjhjksd" localSheetId="2" hidden="1">{#N/A,#N/A,TRUE,"Distribution";#N/A,#N/A,TRUE,"Fulfillment";#N/A,#N/A,TRUE,"Aged Backorders"}</definedName>
    <definedName name="jdfjhjksd" localSheetId="8" hidden="1">{#N/A,#N/A,TRUE,"Distribution";#N/A,#N/A,TRUE,"Fulfillment";#N/A,#N/A,TRUE,"Aged Backorders"}</definedName>
    <definedName name="jdfjhjksd" localSheetId="9" hidden="1">{#N/A,#N/A,TRUE,"Distribution";#N/A,#N/A,TRUE,"Fulfillment";#N/A,#N/A,TRUE,"Aged Backorders"}</definedName>
    <definedName name="jdfjhjksd" localSheetId="10" hidden="1">{#N/A,#N/A,TRUE,"Distribution";#N/A,#N/A,TRUE,"Fulfillment";#N/A,#N/A,TRUE,"Aged Backorders"}</definedName>
    <definedName name="jdfjhjksd" hidden="1">{#N/A,#N/A,TRUE,"Distribution";#N/A,#N/A,TRUE,"Fulfillment";#N/A,#N/A,TRUE,"Aged Backorders"}</definedName>
    <definedName name="jf.augflsh" localSheetId="4" hidden="1">{"PG1",#N/A,FALSE,"AugFlashTemplate";"PG2",#N/A,FALSE,"AugFlashTemplate"}</definedName>
    <definedName name="jf.augflsh" localSheetId="3" hidden="1">{"PG1",#N/A,FALSE,"AugFlashTemplate";"PG2",#N/A,FALSE,"AugFlashTemplate"}</definedName>
    <definedName name="jf.augflsh" localSheetId="2" hidden="1">{"PG1",#N/A,FALSE,"AugFlashTemplate";"PG2",#N/A,FALSE,"AugFlashTemplate"}</definedName>
    <definedName name="jf.augflsh" localSheetId="8" hidden="1">{"PG1",#N/A,FALSE,"AugFlashTemplate";"PG2",#N/A,FALSE,"AugFlashTemplate"}</definedName>
    <definedName name="jf.augflsh" localSheetId="9" hidden="1">{"PG1",#N/A,FALSE,"AugFlashTemplate";"PG2",#N/A,FALSE,"AugFlashTemplate"}</definedName>
    <definedName name="jf.augflsh" localSheetId="10" hidden="1">{"PG1",#N/A,FALSE,"AugFlashTemplate";"PG2",#N/A,FALSE,"AugFlashTemplate"}</definedName>
    <definedName name="jf.augflsh" hidden="1">{"PG1",#N/A,FALSE,"AugFlashTemplate";"PG2",#N/A,FALSE,"AugFlashTemplate"}</definedName>
    <definedName name="jh" localSheetId="4">#REF!</definedName>
    <definedName name="jh" localSheetId="3">#REF!</definedName>
    <definedName name="jh" localSheetId="2">#REF!</definedName>
    <definedName name="jh" localSheetId="5">#REF!</definedName>
    <definedName name="jh" localSheetId="6">#REF!</definedName>
    <definedName name="jh" localSheetId="7">#REF!</definedName>
    <definedName name="jh" localSheetId="8">#REF!</definedName>
    <definedName name="jh" localSheetId="9">#REF!</definedName>
    <definedName name="jh" localSheetId="10">#REF!</definedName>
    <definedName name="jh" localSheetId="11">#REF!</definedName>
    <definedName name="jh">#REF!</definedName>
    <definedName name="JHDFHJH" localSheetId="4" hidden="1">{#N/A,#N/A,TRUE,"Distribution";#N/A,#N/A,TRUE,"Fulfillment";#N/A,#N/A,TRUE,"Aged Backorders"}</definedName>
    <definedName name="JHDFHJH" localSheetId="3" hidden="1">{#N/A,#N/A,TRUE,"Distribution";#N/A,#N/A,TRUE,"Fulfillment";#N/A,#N/A,TRUE,"Aged Backorders"}</definedName>
    <definedName name="JHDFHJH" localSheetId="2" hidden="1">{#N/A,#N/A,TRUE,"Distribution";#N/A,#N/A,TRUE,"Fulfillment";#N/A,#N/A,TRUE,"Aged Backorders"}</definedName>
    <definedName name="JHDFHJH" localSheetId="8" hidden="1">{#N/A,#N/A,TRUE,"Distribution";#N/A,#N/A,TRUE,"Fulfillment";#N/A,#N/A,TRUE,"Aged Backorders"}</definedName>
    <definedName name="JHDFHJH" localSheetId="9" hidden="1">{#N/A,#N/A,TRUE,"Distribution";#N/A,#N/A,TRUE,"Fulfillment";#N/A,#N/A,TRUE,"Aged Backorders"}</definedName>
    <definedName name="JHDFHJH" localSheetId="10" hidden="1">{#N/A,#N/A,TRUE,"Distribution";#N/A,#N/A,TRUE,"Fulfillment";#N/A,#N/A,TRUE,"Aged Backorders"}</definedName>
    <definedName name="JHDFHJH" hidden="1">{#N/A,#N/A,TRUE,"Distribution";#N/A,#N/A,TRUE,"Fulfillment";#N/A,#N/A,TRUE,"Aged Backorders"}</definedName>
    <definedName name="jhdfjhskdf" localSheetId="4" hidden="1">{#N/A,#N/A,TRUE,"Distribution";#N/A,#N/A,TRUE,"Fulfillment";#N/A,#N/A,TRUE,"Aged Backorders"}</definedName>
    <definedName name="jhdfjhskdf" localSheetId="3" hidden="1">{#N/A,#N/A,TRUE,"Distribution";#N/A,#N/A,TRUE,"Fulfillment";#N/A,#N/A,TRUE,"Aged Backorders"}</definedName>
    <definedName name="jhdfjhskdf" localSheetId="2" hidden="1">{#N/A,#N/A,TRUE,"Distribution";#N/A,#N/A,TRUE,"Fulfillment";#N/A,#N/A,TRUE,"Aged Backorders"}</definedName>
    <definedName name="jhdfjhskdf" localSheetId="8" hidden="1">{#N/A,#N/A,TRUE,"Distribution";#N/A,#N/A,TRUE,"Fulfillment";#N/A,#N/A,TRUE,"Aged Backorders"}</definedName>
    <definedName name="jhdfjhskdf" localSheetId="9" hidden="1">{#N/A,#N/A,TRUE,"Distribution";#N/A,#N/A,TRUE,"Fulfillment";#N/A,#N/A,TRUE,"Aged Backorders"}</definedName>
    <definedName name="jhdfjhskdf" localSheetId="10" hidden="1">{#N/A,#N/A,TRUE,"Distribution";#N/A,#N/A,TRUE,"Fulfillment";#N/A,#N/A,TRUE,"Aged Backorders"}</definedName>
    <definedName name="jhdfjhskdf" hidden="1">{#N/A,#N/A,TRUE,"Distribution";#N/A,#N/A,TRUE,"Fulfillment";#N/A,#N/A,TRUE,"Aged Backorders"}</definedName>
    <definedName name="jhhhh" localSheetId="4" hidden="1">{#N/A,#N/A,TRUE,"Distribution";#N/A,#N/A,TRUE,"Fulfillment";#N/A,#N/A,TRUE,"Aged Backorders"}</definedName>
    <definedName name="jhhhh" localSheetId="3" hidden="1">{#N/A,#N/A,TRUE,"Distribution";#N/A,#N/A,TRUE,"Fulfillment";#N/A,#N/A,TRUE,"Aged Backorders"}</definedName>
    <definedName name="jhhhh" localSheetId="2" hidden="1">{#N/A,#N/A,TRUE,"Distribution";#N/A,#N/A,TRUE,"Fulfillment";#N/A,#N/A,TRUE,"Aged Backorders"}</definedName>
    <definedName name="jhhhh" localSheetId="8" hidden="1">{#N/A,#N/A,TRUE,"Distribution";#N/A,#N/A,TRUE,"Fulfillment";#N/A,#N/A,TRUE,"Aged Backorders"}</definedName>
    <definedName name="jhhhh" localSheetId="9" hidden="1">{#N/A,#N/A,TRUE,"Distribution";#N/A,#N/A,TRUE,"Fulfillment";#N/A,#N/A,TRUE,"Aged Backorders"}</definedName>
    <definedName name="jhhhh" localSheetId="10" hidden="1">{#N/A,#N/A,TRUE,"Distribution";#N/A,#N/A,TRUE,"Fulfillment";#N/A,#N/A,TRUE,"Aged Backorders"}</definedName>
    <definedName name="jhhhh" hidden="1">{#N/A,#N/A,TRUE,"Distribution";#N/A,#N/A,TRUE,"Fulfillment";#N/A,#N/A,TRUE,"Aged Backorders"}</definedName>
    <definedName name="jhjhj" localSheetId="4">#REF!</definedName>
    <definedName name="jhjhj" localSheetId="3">#REF!</definedName>
    <definedName name="jhjhj" localSheetId="2">#REF!</definedName>
    <definedName name="jhjhj" localSheetId="5">#REF!</definedName>
    <definedName name="jhjhj" localSheetId="6">#REF!</definedName>
    <definedName name="jhjhj" localSheetId="7">#REF!</definedName>
    <definedName name="jhjhj" localSheetId="8">#REF!</definedName>
    <definedName name="jhjhj" localSheetId="9">#REF!</definedName>
    <definedName name="jhjhj" localSheetId="10">#REF!</definedName>
    <definedName name="jhjhj" localSheetId="11">#REF!</definedName>
    <definedName name="jhjhj">#REF!</definedName>
    <definedName name="JHKFJBJKN" localSheetId="4" hidden="1">{#N/A,#N/A,TRUE,"Distribution";#N/A,#N/A,TRUE,"Fulfillment";#N/A,#N/A,TRUE,"Aged Backorders"}</definedName>
    <definedName name="JHKFJBJKN" localSheetId="3" hidden="1">{#N/A,#N/A,TRUE,"Distribution";#N/A,#N/A,TRUE,"Fulfillment";#N/A,#N/A,TRUE,"Aged Backorders"}</definedName>
    <definedName name="JHKFJBJKN" localSheetId="2" hidden="1">{#N/A,#N/A,TRUE,"Distribution";#N/A,#N/A,TRUE,"Fulfillment";#N/A,#N/A,TRUE,"Aged Backorders"}</definedName>
    <definedName name="JHKFJBJKN" localSheetId="8" hidden="1">{#N/A,#N/A,TRUE,"Distribution";#N/A,#N/A,TRUE,"Fulfillment";#N/A,#N/A,TRUE,"Aged Backorders"}</definedName>
    <definedName name="JHKFJBJKN" localSheetId="9" hidden="1">{#N/A,#N/A,TRUE,"Distribution";#N/A,#N/A,TRUE,"Fulfillment";#N/A,#N/A,TRUE,"Aged Backorders"}</definedName>
    <definedName name="JHKFJBJKN" localSheetId="10" hidden="1">{#N/A,#N/A,TRUE,"Distribution";#N/A,#N/A,TRUE,"Fulfillment";#N/A,#N/A,TRUE,"Aged Backorders"}</definedName>
    <definedName name="JHKFJBJKN" hidden="1">{#N/A,#N/A,TRUE,"Distribution";#N/A,#N/A,TRUE,"Fulfillment";#N/A,#N/A,TRUE,"Aged Backorders"}</definedName>
    <definedName name="JHSDJFH" localSheetId="4" hidden="1">{#N/A,#N/A,TRUE,"Distribution";#N/A,#N/A,TRUE,"Fulfillment";#N/A,#N/A,TRUE,"Aged Backorders"}</definedName>
    <definedName name="JHSDJFH" localSheetId="3" hidden="1">{#N/A,#N/A,TRUE,"Distribution";#N/A,#N/A,TRUE,"Fulfillment";#N/A,#N/A,TRUE,"Aged Backorders"}</definedName>
    <definedName name="JHSDJFH" localSheetId="2" hidden="1">{#N/A,#N/A,TRUE,"Distribution";#N/A,#N/A,TRUE,"Fulfillment";#N/A,#N/A,TRUE,"Aged Backorders"}</definedName>
    <definedName name="JHSDJFH" localSheetId="8" hidden="1">{#N/A,#N/A,TRUE,"Distribution";#N/A,#N/A,TRUE,"Fulfillment";#N/A,#N/A,TRUE,"Aged Backorders"}</definedName>
    <definedName name="JHSDJFH" localSheetId="9" hidden="1">{#N/A,#N/A,TRUE,"Distribution";#N/A,#N/A,TRUE,"Fulfillment";#N/A,#N/A,TRUE,"Aged Backorders"}</definedName>
    <definedName name="JHSDJFH" localSheetId="10" hidden="1">{#N/A,#N/A,TRUE,"Distribution";#N/A,#N/A,TRUE,"Fulfillment";#N/A,#N/A,TRUE,"Aged Backorders"}</definedName>
    <definedName name="JHSDJFH" hidden="1">{#N/A,#N/A,TRUE,"Distribution";#N/A,#N/A,TRUE,"Fulfillment";#N/A,#N/A,TRUE,"Aged Backorders"}</definedName>
    <definedName name="ji" localSheetId="4">#REF!</definedName>
    <definedName name="ji" localSheetId="3">#REF!</definedName>
    <definedName name="ji" localSheetId="2">#REF!</definedName>
    <definedName name="ji" localSheetId="5">#REF!</definedName>
    <definedName name="ji" localSheetId="6">#REF!</definedName>
    <definedName name="ji" localSheetId="7">#REF!</definedName>
    <definedName name="ji" localSheetId="8">#REF!</definedName>
    <definedName name="ji" localSheetId="9">#REF!</definedName>
    <definedName name="ji" localSheetId="10">#REF!</definedName>
    <definedName name="ji" localSheetId="11">#REF!</definedName>
    <definedName name="ji">#REF!</definedName>
    <definedName name="JIBGBG" localSheetId="4">#REF!</definedName>
    <definedName name="JIBGBG" localSheetId="3">#REF!</definedName>
    <definedName name="JIBGBG" localSheetId="2">#REF!</definedName>
    <definedName name="JIBGBG" localSheetId="5">#REF!</definedName>
    <definedName name="JIBGBG" localSheetId="6">#REF!</definedName>
    <definedName name="JIBGBG" localSheetId="7">#REF!</definedName>
    <definedName name="JIBGBG" localSheetId="8">#REF!</definedName>
    <definedName name="JIBGBG" localSheetId="9">#REF!</definedName>
    <definedName name="JIBGBG" localSheetId="10">#REF!</definedName>
    <definedName name="JIBGBG" localSheetId="11">#REF!</definedName>
    <definedName name="JIBGBG">#REF!</definedName>
    <definedName name="jin" localSheetId="4">#REF!</definedName>
    <definedName name="jin" localSheetId="3">#REF!</definedName>
    <definedName name="jin" localSheetId="2">#REF!</definedName>
    <definedName name="jin" localSheetId="5">#REF!</definedName>
    <definedName name="jin" localSheetId="6">#REF!</definedName>
    <definedName name="jin" localSheetId="7">#REF!</definedName>
    <definedName name="jin" localSheetId="8">#REF!</definedName>
    <definedName name="jin" localSheetId="9">#REF!</definedName>
    <definedName name="jin" localSheetId="10">#REF!</definedName>
    <definedName name="jin" localSheetId="11">#REF!</definedName>
    <definedName name="jin">#REF!</definedName>
    <definedName name="jindu" localSheetId="4">#REF!</definedName>
    <definedName name="jindu" localSheetId="3">#REF!</definedName>
    <definedName name="jindu" localSheetId="2">#REF!</definedName>
    <definedName name="jindu" localSheetId="5">#REF!</definedName>
    <definedName name="jindu" localSheetId="6">#REF!</definedName>
    <definedName name="jindu" localSheetId="7">#REF!</definedName>
    <definedName name="jindu" localSheetId="8">#REF!</definedName>
    <definedName name="jindu" localSheetId="9">#REF!</definedName>
    <definedName name="jindu" localSheetId="10">#REF!</definedName>
    <definedName name="jindu" localSheetId="11">#REF!</definedName>
    <definedName name="jindu">#REF!</definedName>
    <definedName name="jingn" localSheetId="4">#REF!</definedName>
    <definedName name="jingn" localSheetId="3">#REF!</definedName>
    <definedName name="jingn" localSheetId="2">#REF!</definedName>
    <definedName name="jingn" localSheetId="5">#REF!</definedName>
    <definedName name="jingn" localSheetId="6">#REF!</definedName>
    <definedName name="jingn" localSheetId="7">#REF!</definedName>
    <definedName name="jingn" localSheetId="8">#REF!</definedName>
    <definedName name="jingn" localSheetId="9">#REF!</definedName>
    <definedName name="jingn" localSheetId="10">#REF!</definedName>
    <definedName name="jingn" localSheetId="11">#REF!</definedName>
    <definedName name="jingn">#REF!</definedName>
    <definedName name="jingyingti" localSheetId="5">[53]经营体!$A$1:$B$206</definedName>
    <definedName name="jingyingti" localSheetId="6">[53]经营体!$A$1:$B$206</definedName>
    <definedName name="jingyingti" localSheetId="7">[53]经营体!$A$1:$B$206</definedName>
    <definedName name="jingyingti" localSheetId="8">[53]经营体!$A$1:$B$206</definedName>
    <definedName name="jingyingti" localSheetId="9">[53]经营体!$A$1:$B$206</definedName>
    <definedName name="jingyingti" localSheetId="10">[74]经营体!$A$1:$B$206</definedName>
    <definedName name="jingyingti">[41]经营体!$A$1:$B$206</definedName>
    <definedName name="jjj">[49]분리멀티형!$B$2:$AD$38</definedName>
    <definedName name="jjjjddd" localSheetId="4" hidden="1">{#N/A,#N/A,TRUE,"Distribution";#N/A,#N/A,TRUE,"Fulfillment";#N/A,#N/A,TRUE,"Aged Backorders"}</definedName>
    <definedName name="jjjjddd" localSheetId="3" hidden="1">{#N/A,#N/A,TRUE,"Distribution";#N/A,#N/A,TRUE,"Fulfillment";#N/A,#N/A,TRUE,"Aged Backorders"}</definedName>
    <definedName name="jjjjddd" localSheetId="2" hidden="1">{#N/A,#N/A,TRUE,"Distribution";#N/A,#N/A,TRUE,"Fulfillment";#N/A,#N/A,TRUE,"Aged Backorders"}</definedName>
    <definedName name="jjjjddd" localSheetId="8" hidden="1">{#N/A,#N/A,TRUE,"Distribution";#N/A,#N/A,TRUE,"Fulfillment";#N/A,#N/A,TRUE,"Aged Backorders"}</definedName>
    <definedName name="jjjjddd" localSheetId="9" hidden="1">{#N/A,#N/A,TRUE,"Distribution";#N/A,#N/A,TRUE,"Fulfillment";#N/A,#N/A,TRUE,"Aged Backorders"}</definedName>
    <definedName name="jjjjddd" localSheetId="10" hidden="1">{#N/A,#N/A,TRUE,"Distribution";#N/A,#N/A,TRUE,"Fulfillment";#N/A,#N/A,TRUE,"Aged Backorders"}</definedName>
    <definedName name="jjjjddd" hidden="1">{#N/A,#N/A,TRUE,"Distribution";#N/A,#N/A,TRUE,"Fulfillment";#N/A,#N/A,TRUE,"Aged Backorders"}</definedName>
    <definedName name="jjjjj" localSheetId="4" hidden="1">{#N/A,#N/A,TRUE,"Distribution";#N/A,#N/A,TRUE,"Fulfillment";#N/A,#N/A,TRUE,"Aged Backorders"}</definedName>
    <definedName name="jjjjj" localSheetId="3" hidden="1">{#N/A,#N/A,TRUE,"Distribution";#N/A,#N/A,TRUE,"Fulfillment";#N/A,#N/A,TRUE,"Aged Backorders"}</definedName>
    <definedName name="jjjjj" localSheetId="2" hidden="1">{#N/A,#N/A,TRUE,"Distribution";#N/A,#N/A,TRUE,"Fulfillment";#N/A,#N/A,TRUE,"Aged Backorders"}</definedName>
    <definedName name="jjjjj" localSheetId="8" hidden="1">{#N/A,#N/A,TRUE,"Distribution";#N/A,#N/A,TRUE,"Fulfillment";#N/A,#N/A,TRUE,"Aged Backorders"}</definedName>
    <definedName name="jjjjj" localSheetId="9" hidden="1">{#N/A,#N/A,TRUE,"Distribution";#N/A,#N/A,TRUE,"Fulfillment";#N/A,#N/A,TRUE,"Aged Backorders"}</definedName>
    <definedName name="jjjjj" localSheetId="10" hidden="1">{#N/A,#N/A,TRUE,"Distribution";#N/A,#N/A,TRUE,"Fulfillment";#N/A,#N/A,TRUE,"Aged Backorders"}</definedName>
    <definedName name="jjjjj" hidden="1">{#N/A,#N/A,TRUE,"Distribution";#N/A,#N/A,TRUE,"Fulfillment";#N/A,#N/A,TRUE,"Aged Backorders"}</definedName>
    <definedName name="JMCHOI" localSheetId="4">#REF!</definedName>
    <definedName name="JMCHOI" localSheetId="3">#REF!</definedName>
    <definedName name="JMCHOI" localSheetId="2">#REF!</definedName>
    <definedName name="JMCHOI" localSheetId="5">#REF!</definedName>
    <definedName name="JMCHOI" localSheetId="6">#REF!</definedName>
    <definedName name="JMCHOI" localSheetId="7">#REF!</definedName>
    <definedName name="JMCHOI" localSheetId="8">#REF!</definedName>
    <definedName name="JMCHOI" localSheetId="9">#REF!</definedName>
    <definedName name="JMCHOI" localSheetId="10">#REF!</definedName>
    <definedName name="JMCHOI" localSheetId="11">#REF!</definedName>
    <definedName name="JMCHOI">#REF!</definedName>
    <definedName name="JpCI" localSheetId="4">#REF!</definedName>
    <definedName name="JpCI" localSheetId="3">#REF!</definedName>
    <definedName name="JpCI" localSheetId="2">#REF!</definedName>
    <definedName name="JpCI" localSheetId="5">#REF!</definedName>
    <definedName name="JpCI" localSheetId="6">#REF!</definedName>
    <definedName name="JpCI" localSheetId="7">#REF!</definedName>
    <definedName name="JpCI" localSheetId="8">#REF!</definedName>
    <definedName name="JpCI" localSheetId="9">#REF!</definedName>
    <definedName name="JpCI" localSheetId="10">#REF!</definedName>
    <definedName name="JpCI" localSheetId="11">#REF!</definedName>
    <definedName name="JpCI">#REF!</definedName>
    <definedName name="JpCS" localSheetId="4">#REF!</definedName>
    <definedName name="JpCS" localSheetId="3">#REF!</definedName>
    <definedName name="JpCS" localSheetId="2">#REF!</definedName>
    <definedName name="JpCS" localSheetId="5">#REF!</definedName>
    <definedName name="JpCS" localSheetId="6">#REF!</definedName>
    <definedName name="JpCS" localSheetId="7">#REF!</definedName>
    <definedName name="JpCS" localSheetId="8">#REF!</definedName>
    <definedName name="JpCS" localSheetId="9">#REF!</definedName>
    <definedName name="JpCS" localSheetId="10">#REF!</definedName>
    <definedName name="JpCS" localSheetId="11">#REF!</definedName>
    <definedName name="JpCS">#REF!</definedName>
    <definedName name="JpGBUHq" localSheetId="4">#REF!</definedName>
    <definedName name="JpGBUHq" localSheetId="3">#REF!</definedName>
    <definedName name="JpGBUHq" localSheetId="2">#REF!</definedName>
    <definedName name="JpGBUHq" localSheetId="5">#REF!</definedName>
    <definedName name="JpGBUHq" localSheetId="6">#REF!</definedName>
    <definedName name="JpGBUHq" localSheetId="7">#REF!</definedName>
    <definedName name="JpGBUHq" localSheetId="8">#REF!</definedName>
    <definedName name="JpGBUHq" localSheetId="9">#REF!</definedName>
    <definedName name="JpGBUHq" localSheetId="10">#REF!</definedName>
    <definedName name="JpGBUHq" localSheetId="11">#REF!</definedName>
    <definedName name="JpGBUHq">#REF!</definedName>
    <definedName name="JpMS" localSheetId="4">#REF!</definedName>
    <definedName name="JpMS" localSheetId="3">#REF!</definedName>
    <definedName name="JpMS" localSheetId="2">#REF!</definedName>
    <definedName name="JpMS" localSheetId="5">#REF!</definedName>
    <definedName name="JpMS" localSheetId="6">#REF!</definedName>
    <definedName name="JpMS" localSheetId="7">#REF!</definedName>
    <definedName name="JpMS" localSheetId="8">#REF!</definedName>
    <definedName name="JpMS" localSheetId="9">#REF!</definedName>
    <definedName name="JpMS" localSheetId="10">#REF!</definedName>
    <definedName name="JpMS" localSheetId="11">#REF!</definedName>
    <definedName name="JpMS">#REF!</definedName>
    <definedName name="JpOSS" localSheetId="4">#REF!</definedName>
    <definedName name="JpOSS" localSheetId="3">#REF!</definedName>
    <definedName name="JpOSS" localSheetId="2">#REF!</definedName>
    <definedName name="JpOSS" localSheetId="5">#REF!</definedName>
    <definedName name="JpOSS" localSheetId="6">#REF!</definedName>
    <definedName name="JpOSS" localSheetId="7">#REF!</definedName>
    <definedName name="JpOSS" localSheetId="8">#REF!</definedName>
    <definedName name="JpOSS" localSheetId="9">#REF!</definedName>
    <definedName name="JpOSS" localSheetId="10">#REF!</definedName>
    <definedName name="JpOSS" localSheetId="11">#REF!</definedName>
    <definedName name="JpOSS">#REF!</definedName>
    <definedName name="JPY">'[62]UPPER BLOCK'!#REF!</definedName>
    <definedName name="judge">[62]假设!#REF!</definedName>
    <definedName name="judge1">[62]假设!#REF!</definedName>
    <definedName name="judge2">[62]假设!#REF!</definedName>
    <definedName name="JULCOST" localSheetId="4">'[13]Container Cost Assumptions'!$A$1</definedName>
    <definedName name="JULCOST" localSheetId="3">'[13]Container Cost Assumptions'!$A$1</definedName>
    <definedName name="JULCOST" localSheetId="2">'[13]Container Cost Assumptions'!$A$1</definedName>
    <definedName name="JULCOST" localSheetId="5">'[13]Container Cost Assumptions'!$A$1</definedName>
    <definedName name="JULCOST" localSheetId="6">'[13]Container Cost Assumptions'!$A$1</definedName>
    <definedName name="JULCOST" localSheetId="7">'[13]Container Cost Assumptions'!$A$1</definedName>
    <definedName name="JULCOST" localSheetId="8">'[77]Container Cost Assumptions'!$A$1</definedName>
    <definedName name="JULCOST" localSheetId="9">'[77]Container Cost Assumptions'!$A$1</definedName>
    <definedName name="JULCOST" localSheetId="10">'[8]Container Cost Assumptions'!$A$1</definedName>
    <definedName name="JULCOST">'[10]Container Cost Assumptions'!$A$1</definedName>
    <definedName name="JULY" localSheetId="4">'[13]Container Cost Assumptions'!$A:$IV</definedName>
    <definedName name="JULY" localSheetId="3">'[13]Container Cost Assumptions'!$A:$IV</definedName>
    <definedName name="JULY" localSheetId="2">'[13]Container Cost Assumptions'!$A:$IV</definedName>
    <definedName name="JULY" localSheetId="5">'[13]Container Cost Assumptions'!$A:$IV</definedName>
    <definedName name="JULY" localSheetId="6">'[13]Container Cost Assumptions'!$A:$IV</definedName>
    <definedName name="JULY" localSheetId="7">'[13]Container Cost Assumptions'!$A:$IV</definedName>
    <definedName name="JULY" localSheetId="8">'[77]Container Cost Assumptions'!$A:$IV</definedName>
    <definedName name="JULY" localSheetId="9">'[77]Container Cost Assumptions'!$A:$IV</definedName>
    <definedName name="JULY" localSheetId="10">'[8]Container Cost Assumptions'!$A:$IV</definedName>
    <definedName name="JULY">'[10]Container Cost Assumptions'!$A:$IV</definedName>
    <definedName name="JULY_1">#N/A</definedName>
    <definedName name="JUN" localSheetId="4">'[13]Container Cost Assumptions'!$A:$IV</definedName>
    <definedName name="JUN" localSheetId="3">'[13]Container Cost Assumptions'!$A:$IV</definedName>
    <definedName name="JUN" localSheetId="2">'[13]Container Cost Assumptions'!$A:$IV</definedName>
    <definedName name="JUN" localSheetId="5">'[13]Container Cost Assumptions'!$A:$IV</definedName>
    <definedName name="JUN" localSheetId="6">'[13]Container Cost Assumptions'!$A:$IV</definedName>
    <definedName name="JUN" localSheetId="7">'[13]Container Cost Assumptions'!$A:$IV</definedName>
    <definedName name="JUN" localSheetId="8">'[77]Container Cost Assumptions'!$A:$IV</definedName>
    <definedName name="JUN" localSheetId="9">'[77]Container Cost Assumptions'!$A:$IV</definedName>
    <definedName name="JUN" localSheetId="10">'[8]Container Cost Assumptions'!$A:$IV</definedName>
    <definedName name="JUN">'[10]Container Cost Assumptions'!$A:$IV</definedName>
    <definedName name="juncost" localSheetId="4">'[13]Container Cost Assumptions'!$A$1:$H$366</definedName>
    <definedName name="juncost" localSheetId="3">'[13]Container Cost Assumptions'!$A$1:$H$366</definedName>
    <definedName name="juncost" localSheetId="2">'[13]Container Cost Assumptions'!$A$1:$H$366</definedName>
    <definedName name="juncost" localSheetId="5">'[13]Container Cost Assumptions'!$A$1:$H$366</definedName>
    <definedName name="juncost" localSheetId="6">'[13]Container Cost Assumptions'!$A$1:$H$366</definedName>
    <definedName name="juncost" localSheetId="7">'[13]Container Cost Assumptions'!$A$1:$H$366</definedName>
    <definedName name="juncost" localSheetId="8">'[77]Container Cost Assumptions'!$A$1:$H$366</definedName>
    <definedName name="juncost" localSheetId="9">'[77]Container Cost Assumptions'!$A$1:$H$366</definedName>
    <definedName name="juncost" localSheetId="10">'[8]Container Cost Assumptions'!$A$1:$H$366</definedName>
    <definedName name="juncost">'[10]Container Cost Assumptions'!$A$1:$H$366</definedName>
    <definedName name="june" localSheetId="4">[33]junio!$I$1:$EF$65536</definedName>
    <definedName name="june" localSheetId="3">[33]junio!$I$1:$EF$65536</definedName>
    <definedName name="june" localSheetId="2">[33]junio!$I$1:$EF$65536</definedName>
    <definedName name="june" localSheetId="5">[33]junio!$I$1:$EF$65536</definedName>
    <definedName name="june" localSheetId="6">[33]junio!$I$1:$EF$65536</definedName>
    <definedName name="june" localSheetId="7">[33]junio!$I$1:$EF$65536</definedName>
    <definedName name="june" localSheetId="8">[33]junio!$I$1:$EF$65536</definedName>
    <definedName name="june" localSheetId="9">[33]junio!$I$1:$EF$65536</definedName>
    <definedName name="june" localSheetId="10">[70]junio!$I$1:$EF$65536</definedName>
    <definedName name="june">[25]junio!$I$1:$EF$65536</definedName>
    <definedName name="junk1" localSheetId="4" hidden="1">{"PG1",#N/A,FALSE,"AugFlashTemplate";"PG2",#N/A,FALSE,"AugFlashTemplate"}</definedName>
    <definedName name="junk1" localSheetId="3" hidden="1">{"PG1",#N/A,FALSE,"AugFlashTemplate";"PG2",#N/A,FALSE,"AugFlashTemplate"}</definedName>
    <definedName name="junk1" localSheetId="2" hidden="1">{"PG1",#N/A,FALSE,"AugFlashTemplate";"PG2",#N/A,FALSE,"AugFlashTemplate"}</definedName>
    <definedName name="junk1" localSheetId="8" hidden="1">{"PG1",#N/A,FALSE,"AugFlashTemplate";"PG2",#N/A,FALSE,"AugFlashTemplate"}</definedName>
    <definedName name="junk1" localSheetId="9" hidden="1">{"PG1",#N/A,FALSE,"AugFlashTemplate";"PG2",#N/A,FALSE,"AugFlashTemplate"}</definedName>
    <definedName name="junk1" localSheetId="10" hidden="1">{"PG1",#N/A,FALSE,"AugFlashTemplate";"PG2",#N/A,FALSE,"AugFlashTemplate"}</definedName>
    <definedName name="junk1" hidden="1">{"PG1",#N/A,FALSE,"AugFlashTemplate";"PG2",#N/A,FALSE,"AugFlashTemplate"}</definedName>
    <definedName name="Junk10" localSheetId="4" hidden="1">{"PG1",#N/A,FALSE,"AugFlashTemplate";"PG2",#N/A,FALSE,"AugFlashTemplate"}</definedName>
    <definedName name="Junk10" localSheetId="3" hidden="1">{"PG1",#N/A,FALSE,"AugFlashTemplate";"PG2",#N/A,FALSE,"AugFlashTemplate"}</definedName>
    <definedName name="Junk10" localSheetId="2" hidden="1">{"PG1",#N/A,FALSE,"AugFlashTemplate";"PG2",#N/A,FALSE,"AugFlashTemplate"}</definedName>
    <definedName name="Junk10" localSheetId="8" hidden="1">{"PG1",#N/A,FALSE,"AugFlashTemplate";"PG2",#N/A,FALSE,"AugFlashTemplate"}</definedName>
    <definedName name="Junk10" localSheetId="9" hidden="1">{"PG1",#N/A,FALSE,"AugFlashTemplate";"PG2",#N/A,FALSE,"AugFlashTemplate"}</definedName>
    <definedName name="Junk10" localSheetId="10" hidden="1">{"PG1",#N/A,FALSE,"AugFlashTemplate";"PG2",#N/A,FALSE,"AugFlashTemplate"}</definedName>
    <definedName name="Junk10" hidden="1">{"PG1",#N/A,FALSE,"AugFlashTemplate";"PG2",#N/A,FALSE,"AugFlashTemplate"}</definedName>
    <definedName name="junk100" localSheetId="4" hidden="1">{"PG1",#N/A,FALSE,"AugFlashTemplate";"PG2",#N/A,FALSE,"AugFlashTemplate"}</definedName>
    <definedName name="junk100" localSheetId="3" hidden="1">{"PG1",#N/A,FALSE,"AugFlashTemplate";"PG2",#N/A,FALSE,"AugFlashTemplate"}</definedName>
    <definedName name="junk100" localSheetId="2" hidden="1">{"PG1",#N/A,FALSE,"AugFlashTemplate";"PG2",#N/A,FALSE,"AugFlashTemplate"}</definedName>
    <definedName name="junk100" localSheetId="8" hidden="1">{"PG1",#N/A,FALSE,"AugFlashTemplate";"PG2",#N/A,FALSE,"AugFlashTemplate"}</definedName>
    <definedName name="junk100" localSheetId="9" hidden="1">{"PG1",#N/A,FALSE,"AugFlashTemplate";"PG2",#N/A,FALSE,"AugFlashTemplate"}</definedName>
    <definedName name="junk100" localSheetId="10" hidden="1">{"PG1",#N/A,FALSE,"AugFlashTemplate";"PG2",#N/A,FALSE,"AugFlashTemplate"}</definedName>
    <definedName name="junk100" hidden="1">{"PG1",#N/A,FALSE,"AugFlashTemplate";"PG2",#N/A,FALSE,"AugFlashTemplate"}</definedName>
    <definedName name="junk2" localSheetId="4" hidden="1">{"PG1",#N/A,FALSE,"AugFlashTemplate";"PG2",#N/A,FALSE,"AugFlashTemplate"}</definedName>
    <definedName name="junk2" localSheetId="3" hidden="1">{"PG1",#N/A,FALSE,"AugFlashTemplate";"PG2",#N/A,FALSE,"AugFlashTemplate"}</definedName>
    <definedName name="junk2" localSheetId="2" hidden="1">{"PG1",#N/A,FALSE,"AugFlashTemplate";"PG2",#N/A,FALSE,"AugFlashTemplate"}</definedName>
    <definedName name="junk2" localSheetId="8" hidden="1">{"PG1",#N/A,FALSE,"AugFlashTemplate";"PG2",#N/A,FALSE,"AugFlashTemplate"}</definedName>
    <definedName name="junk2" localSheetId="9" hidden="1">{"PG1",#N/A,FALSE,"AugFlashTemplate";"PG2",#N/A,FALSE,"AugFlashTemplate"}</definedName>
    <definedName name="junk2" localSheetId="10" hidden="1">{"PG1",#N/A,FALSE,"AugFlashTemplate";"PG2",#N/A,FALSE,"AugFlashTemplate"}</definedName>
    <definedName name="junk2" hidden="1">{"PG1",#N/A,FALSE,"AugFlashTemplate";"PG2",#N/A,FALSE,"AugFlashTemplate"}</definedName>
    <definedName name="junk200" localSheetId="4" hidden="1">{"PG1",#N/A,FALSE,"AugFlashTemplate";"PG2",#N/A,FALSE,"AugFlashTemplate"}</definedName>
    <definedName name="junk200" localSheetId="3" hidden="1">{"PG1",#N/A,FALSE,"AugFlashTemplate";"PG2",#N/A,FALSE,"AugFlashTemplate"}</definedName>
    <definedName name="junk200" localSheetId="2" hidden="1">{"PG1",#N/A,FALSE,"AugFlashTemplate";"PG2",#N/A,FALSE,"AugFlashTemplate"}</definedName>
    <definedName name="junk200" localSheetId="8" hidden="1">{"PG1",#N/A,FALSE,"AugFlashTemplate";"PG2",#N/A,FALSE,"AugFlashTemplate"}</definedName>
    <definedName name="junk200" localSheetId="9" hidden="1">{"PG1",#N/A,FALSE,"AugFlashTemplate";"PG2",#N/A,FALSE,"AugFlashTemplate"}</definedName>
    <definedName name="junk200" localSheetId="10" hidden="1">{"PG1",#N/A,FALSE,"AugFlashTemplate";"PG2",#N/A,FALSE,"AugFlashTemplate"}</definedName>
    <definedName name="junk200" hidden="1">{"PG1",#N/A,FALSE,"AugFlashTemplate";"PG2",#N/A,FALSE,"AugFlashTemplate"}</definedName>
    <definedName name="junk300" localSheetId="4" hidden="1">{"PG1",#N/A,FALSE,"AugFlashTemplate";"PG2",#N/A,FALSE,"AugFlashTemplate"}</definedName>
    <definedName name="junk300" localSheetId="3" hidden="1">{"PG1",#N/A,FALSE,"AugFlashTemplate";"PG2",#N/A,FALSE,"AugFlashTemplate"}</definedName>
    <definedName name="junk300" localSheetId="2" hidden="1">{"PG1",#N/A,FALSE,"AugFlashTemplate";"PG2",#N/A,FALSE,"AugFlashTemplate"}</definedName>
    <definedName name="junk300" localSheetId="8" hidden="1">{"PG1",#N/A,FALSE,"AugFlashTemplate";"PG2",#N/A,FALSE,"AugFlashTemplate"}</definedName>
    <definedName name="junk300" localSheetId="9" hidden="1">{"PG1",#N/A,FALSE,"AugFlashTemplate";"PG2",#N/A,FALSE,"AugFlashTemplate"}</definedName>
    <definedName name="junk300" localSheetId="10" hidden="1">{"PG1",#N/A,FALSE,"AugFlashTemplate";"PG2",#N/A,FALSE,"AugFlashTemplate"}</definedName>
    <definedName name="junk300" hidden="1">{"PG1",#N/A,FALSE,"AugFlashTemplate";"PG2",#N/A,FALSE,"AugFlashTemplate"}</definedName>
    <definedName name="junk500" localSheetId="4" hidden="1">{"PG1",#N/A,FALSE,"AugFlashTemplate";"PG2",#N/A,FALSE,"AugFlashTemplate"}</definedName>
    <definedName name="junk500" localSheetId="3" hidden="1">{"PG1",#N/A,FALSE,"AugFlashTemplate";"PG2",#N/A,FALSE,"AugFlashTemplate"}</definedName>
    <definedName name="junk500" localSheetId="2" hidden="1">{"PG1",#N/A,FALSE,"AugFlashTemplate";"PG2",#N/A,FALSE,"AugFlashTemplate"}</definedName>
    <definedName name="junk500" localSheetId="8" hidden="1">{"PG1",#N/A,FALSE,"AugFlashTemplate";"PG2",#N/A,FALSE,"AugFlashTemplate"}</definedName>
    <definedName name="junk500" localSheetId="9" hidden="1">{"PG1",#N/A,FALSE,"AugFlashTemplate";"PG2",#N/A,FALSE,"AugFlashTemplate"}</definedName>
    <definedName name="junk500" localSheetId="10" hidden="1">{"PG1",#N/A,FALSE,"AugFlashTemplate";"PG2",#N/A,FALSE,"AugFlashTemplate"}</definedName>
    <definedName name="junk500" hidden="1">{"PG1",#N/A,FALSE,"AugFlashTemplate";"PG2",#N/A,FALSE,"AugFlashTemplate"}</definedName>
    <definedName name="K" localSheetId="4">'[65]#BEZUG'!#REF!</definedName>
    <definedName name="K" localSheetId="3">'[65]#BEZUG'!#REF!</definedName>
    <definedName name="K" localSheetId="2">'[65]#BEZUG'!#REF!</definedName>
    <definedName name="K" localSheetId="5">'[65]#BEZUG'!#REF!</definedName>
    <definedName name="K" localSheetId="6">'[65]#BEZUG'!#REF!</definedName>
    <definedName name="K" localSheetId="7">'[65]#BEZUG'!#REF!</definedName>
    <definedName name="K" localSheetId="8">'[65]#BEZUG'!#REF!</definedName>
    <definedName name="K" localSheetId="9">'[65]#BEZUG'!#REF!</definedName>
    <definedName name="K" localSheetId="10">'[78]#BEZUG'!#REF!</definedName>
    <definedName name="K">'[6]#BEZUG'!#REF!</definedName>
    <definedName name="k_3" localSheetId="4">#REF!</definedName>
    <definedName name="k_3" localSheetId="3">#REF!</definedName>
    <definedName name="k_3" localSheetId="2">#REF!</definedName>
    <definedName name="k_3" localSheetId="5">#REF!</definedName>
    <definedName name="k_3" localSheetId="6">#REF!</definedName>
    <definedName name="k_3" localSheetId="7">#REF!</definedName>
    <definedName name="k_3" localSheetId="8">#REF!</definedName>
    <definedName name="k_3" localSheetId="9">#REF!</definedName>
    <definedName name="k_3" localSheetId="10">#REF!</definedName>
    <definedName name="k_3" localSheetId="11">#REF!</definedName>
    <definedName name="k_3">#REF!</definedName>
    <definedName name="KDFJKJ" localSheetId="4" hidden="1">{#N/A,#N/A,TRUE,"Distribution";#N/A,#N/A,TRUE,"Fulfillment";#N/A,#N/A,TRUE,"Aged Backorders"}</definedName>
    <definedName name="KDFJKJ" localSheetId="3" hidden="1">{#N/A,#N/A,TRUE,"Distribution";#N/A,#N/A,TRUE,"Fulfillment";#N/A,#N/A,TRUE,"Aged Backorders"}</definedName>
    <definedName name="KDFJKJ" localSheetId="2" hidden="1">{#N/A,#N/A,TRUE,"Distribution";#N/A,#N/A,TRUE,"Fulfillment";#N/A,#N/A,TRUE,"Aged Backorders"}</definedName>
    <definedName name="KDFJKJ" localSheetId="8" hidden="1">{#N/A,#N/A,TRUE,"Distribution";#N/A,#N/A,TRUE,"Fulfillment";#N/A,#N/A,TRUE,"Aged Backorders"}</definedName>
    <definedName name="KDFJKJ" localSheetId="9" hidden="1">{#N/A,#N/A,TRUE,"Distribution";#N/A,#N/A,TRUE,"Fulfillment";#N/A,#N/A,TRUE,"Aged Backorders"}</definedName>
    <definedName name="KDFJKJ" localSheetId="10" hidden="1">{#N/A,#N/A,TRUE,"Distribution";#N/A,#N/A,TRUE,"Fulfillment";#N/A,#N/A,TRUE,"Aged Backorders"}</definedName>
    <definedName name="KDFJKJ" hidden="1">{#N/A,#N/A,TRUE,"Distribution";#N/A,#N/A,TRUE,"Fulfillment";#N/A,#N/A,TRUE,"Aged Backorders"}</definedName>
    <definedName name="KFoam" localSheetId="4">#REF!</definedName>
    <definedName name="KFoam" localSheetId="3">#REF!</definedName>
    <definedName name="KFoam" localSheetId="2">#REF!</definedName>
    <definedName name="KFoam" localSheetId="5">#REF!</definedName>
    <definedName name="KFoam" localSheetId="6">#REF!</definedName>
    <definedName name="KFoam" localSheetId="7">#REF!</definedName>
    <definedName name="KFoam" localSheetId="8">#REF!</definedName>
    <definedName name="KFoam" localSheetId="9">#REF!</definedName>
    <definedName name="KFoam" localSheetId="10">#REF!</definedName>
    <definedName name="KFoam" localSheetId="11">#REF!</definedName>
    <definedName name="KFoam">#REF!</definedName>
    <definedName name="KFRHGKJN" localSheetId="4" hidden="1">{#N/A,#N/A,TRUE,"Distribution";#N/A,#N/A,TRUE,"Fulfillment";#N/A,#N/A,TRUE,"Aged Backorders"}</definedName>
    <definedName name="KFRHGKJN" localSheetId="3" hidden="1">{#N/A,#N/A,TRUE,"Distribution";#N/A,#N/A,TRUE,"Fulfillment";#N/A,#N/A,TRUE,"Aged Backorders"}</definedName>
    <definedName name="KFRHGKJN" localSheetId="2" hidden="1">{#N/A,#N/A,TRUE,"Distribution";#N/A,#N/A,TRUE,"Fulfillment";#N/A,#N/A,TRUE,"Aged Backorders"}</definedName>
    <definedName name="KFRHGKJN" localSheetId="8" hidden="1">{#N/A,#N/A,TRUE,"Distribution";#N/A,#N/A,TRUE,"Fulfillment";#N/A,#N/A,TRUE,"Aged Backorders"}</definedName>
    <definedName name="KFRHGKJN" localSheetId="9" hidden="1">{#N/A,#N/A,TRUE,"Distribution";#N/A,#N/A,TRUE,"Fulfillment";#N/A,#N/A,TRUE,"Aged Backorders"}</definedName>
    <definedName name="KFRHGKJN" localSheetId="10" hidden="1">{#N/A,#N/A,TRUE,"Distribution";#N/A,#N/A,TRUE,"Fulfillment";#N/A,#N/A,TRUE,"Aged Backorders"}</definedName>
    <definedName name="KFRHGKJN" hidden="1">{#N/A,#N/A,TRUE,"Distribution";#N/A,#N/A,TRUE,"Fulfillment";#N/A,#N/A,TRUE,"Aged Backorders"}</definedName>
    <definedName name="khjiu" localSheetId="4" hidden="1">{#N/A,#N/A,TRUE,"Distribution";#N/A,#N/A,TRUE,"Fulfillment";#N/A,#N/A,TRUE,"Aged Backorders"}</definedName>
    <definedName name="khjiu" localSheetId="3" hidden="1">{#N/A,#N/A,TRUE,"Distribution";#N/A,#N/A,TRUE,"Fulfillment";#N/A,#N/A,TRUE,"Aged Backorders"}</definedName>
    <definedName name="khjiu" localSheetId="2" hidden="1">{#N/A,#N/A,TRUE,"Distribution";#N/A,#N/A,TRUE,"Fulfillment";#N/A,#N/A,TRUE,"Aged Backorders"}</definedName>
    <definedName name="khjiu" localSheetId="8" hidden="1">{#N/A,#N/A,TRUE,"Distribution";#N/A,#N/A,TRUE,"Fulfillment";#N/A,#N/A,TRUE,"Aged Backorders"}</definedName>
    <definedName name="khjiu" localSheetId="9" hidden="1">{#N/A,#N/A,TRUE,"Distribution";#N/A,#N/A,TRUE,"Fulfillment";#N/A,#N/A,TRUE,"Aged Backorders"}</definedName>
    <definedName name="khjiu" localSheetId="10" hidden="1">{#N/A,#N/A,TRUE,"Distribution";#N/A,#N/A,TRUE,"Fulfillment";#N/A,#N/A,TRUE,"Aged Backorders"}</definedName>
    <definedName name="khjiu" hidden="1">{#N/A,#N/A,TRUE,"Distribution";#N/A,#N/A,TRUE,"Fulfillment";#N/A,#N/A,TRUE,"Aged Backorders"}</definedName>
    <definedName name="ki" localSheetId="4">#REF!</definedName>
    <definedName name="ki" localSheetId="3">#REF!</definedName>
    <definedName name="ki" localSheetId="2">#REF!</definedName>
    <definedName name="ki" localSheetId="5">#REF!</definedName>
    <definedName name="ki" localSheetId="6">#REF!</definedName>
    <definedName name="ki" localSheetId="7">#REF!</definedName>
    <definedName name="ki" localSheetId="8">#REF!</definedName>
    <definedName name="ki" localSheetId="9">#REF!</definedName>
    <definedName name="ki" localSheetId="10">#REF!</definedName>
    <definedName name="ki" localSheetId="11">#REF!</definedName>
    <definedName name="ki">#REF!</definedName>
    <definedName name="kilo" localSheetId="4" hidden="1">{#N/A,#N/A,TRUE,"Distribution";#N/A,#N/A,TRUE,"Fulfillment";#N/A,#N/A,TRUE,"Aged Backorders"}</definedName>
    <definedName name="kilo" localSheetId="3" hidden="1">{#N/A,#N/A,TRUE,"Distribution";#N/A,#N/A,TRUE,"Fulfillment";#N/A,#N/A,TRUE,"Aged Backorders"}</definedName>
    <definedName name="kilo" localSheetId="2" hidden="1">{#N/A,#N/A,TRUE,"Distribution";#N/A,#N/A,TRUE,"Fulfillment";#N/A,#N/A,TRUE,"Aged Backorders"}</definedName>
    <definedName name="kilo" localSheetId="8" hidden="1">{#N/A,#N/A,TRUE,"Distribution";#N/A,#N/A,TRUE,"Fulfillment";#N/A,#N/A,TRUE,"Aged Backorders"}</definedName>
    <definedName name="kilo" localSheetId="9" hidden="1">{#N/A,#N/A,TRUE,"Distribution";#N/A,#N/A,TRUE,"Fulfillment";#N/A,#N/A,TRUE,"Aged Backorders"}</definedName>
    <definedName name="kilo" localSheetId="10" hidden="1">{#N/A,#N/A,TRUE,"Distribution";#N/A,#N/A,TRUE,"Fulfillment";#N/A,#N/A,TRUE,"Aged Backorders"}</definedName>
    <definedName name="kilo" hidden="1">{#N/A,#N/A,TRUE,"Distribution";#N/A,#N/A,TRUE,"Fulfillment";#N/A,#N/A,TRUE,"Aged Backorders"}</definedName>
    <definedName name="kjdfhkhasf" localSheetId="4" hidden="1">{#N/A,#N/A,TRUE,"Distribution";#N/A,#N/A,TRUE,"Fulfillment";#N/A,#N/A,TRUE,"Aged Backorders"}</definedName>
    <definedName name="kjdfhkhasf" localSheetId="3" hidden="1">{#N/A,#N/A,TRUE,"Distribution";#N/A,#N/A,TRUE,"Fulfillment";#N/A,#N/A,TRUE,"Aged Backorders"}</definedName>
    <definedName name="kjdfhkhasf" localSheetId="2" hidden="1">{#N/A,#N/A,TRUE,"Distribution";#N/A,#N/A,TRUE,"Fulfillment";#N/A,#N/A,TRUE,"Aged Backorders"}</definedName>
    <definedName name="kjdfhkhasf" localSheetId="8" hidden="1">{#N/A,#N/A,TRUE,"Distribution";#N/A,#N/A,TRUE,"Fulfillment";#N/A,#N/A,TRUE,"Aged Backorders"}</definedName>
    <definedName name="kjdfhkhasf" localSheetId="9" hidden="1">{#N/A,#N/A,TRUE,"Distribution";#N/A,#N/A,TRUE,"Fulfillment";#N/A,#N/A,TRUE,"Aged Backorders"}</definedName>
    <definedName name="kjdfhkhasf" localSheetId="10" hidden="1">{#N/A,#N/A,TRUE,"Distribution";#N/A,#N/A,TRUE,"Fulfillment";#N/A,#N/A,TRUE,"Aged Backorders"}</definedName>
    <definedName name="kjdfhkhasf" hidden="1">{#N/A,#N/A,TRUE,"Distribution";#N/A,#N/A,TRUE,"Fulfillment";#N/A,#N/A,TRUE,"Aged Backorders"}</definedName>
    <definedName name="KJFNLKMN" localSheetId="4" hidden="1">{#N/A,#N/A,TRUE,"Distribution";#N/A,#N/A,TRUE,"Fulfillment";#N/A,#N/A,TRUE,"Aged Backorders"}</definedName>
    <definedName name="KJFNLKMN" localSheetId="3" hidden="1">{#N/A,#N/A,TRUE,"Distribution";#N/A,#N/A,TRUE,"Fulfillment";#N/A,#N/A,TRUE,"Aged Backorders"}</definedName>
    <definedName name="KJFNLKMN" localSheetId="2" hidden="1">{#N/A,#N/A,TRUE,"Distribution";#N/A,#N/A,TRUE,"Fulfillment";#N/A,#N/A,TRUE,"Aged Backorders"}</definedName>
    <definedName name="KJFNLKMN" localSheetId="8" hidden="1">{#N/A,#N/A,TRUE,"Distribution";#N/A,#N/A,TRUE,"Fulfillment";#N/A,#N/A,TRUE,"Aged Backorders"}</definedName>
    <definedName name="KJFNLKMN" localSheetId="9" hidden="1">{#N/A,#N/A,TRUE,"Distribution";#N/A,#N/A,TRUE,"Fulfillment";#N/A,#N/A,TRUE,"Aged Backorders"}</definedName>
    <definedName name="KJFNLKMN" localSheetId="10" hidden="1">{#N/A,#N/A,TRUE,"Distribution";#N/A,#N/A,TRUE,"Fulfillment";#N/A,#N/A,TRUE,"Aged Backorders"}</definedName>
    <definedName name="KJFNLKMN" hidden="1">{#N/A,#N/A,TRUE,"Distribution";#N/A,#N/A,TRUE,"Fulfillment";#N/A,#N/A,TRUE,"Aged Backorders"}</definedName>
    <definedName name="KJHGJN" localSheetId="4" hidden="1">{#N/A,#N/A,TRUE,"Distribution";#N/A,#N/A,TRUE,"Fulfillment";#N/A,#N/A,TRUE,"Aged Backorders"}</definedName>
    <definedName name="KJHGJN" localSheetId="3" hidden="1">{#N/A,#N/A,TRUE,"Distribution";#N/A,#N/A,TRUE,"Fulfillment";#N/A,#N/A,TRUE,"Aged Backorders"}</definedName>
    <definedName name="KJHGJN" localSheetId="2" hidden="1">{#N/A,#N/A,TRUE,"Distribution";#N/A,#N/A,TRUE,"Fulfillment";#N/A,#N/A,TRUE,"Aged Backorders"}</definedName>
    <definedName name="KJHGJN" localSheetId="8" hidden="1">{#N/A,#N/A,TRUE,"Distribution";#N/A,#N/A,TRUE,"Fulfillment";#N/A,#N/A,TRUE,"Aged Backorders"}</definedName>
    <definedName name="KJHGJN" localSheetId="9" hidden="1">{#N/A,#N/A,TRUE,"Distribution";#N/A,#N/A,TRUE,"Fulfillment";#N/A,#N/A,TRUE,"Aged Backorders"}</definedName>
    <definedName name="KJHGJN" localSheetId="10" hidden="1">{#N/A,#N/A,TRUE,"Distribution";#N/A,#N/A,TRUE,"Fulfillment";#N/A,#N/A,TRUE,"Aged Backorders"}</definedName>
    <definedName name="KJHGJN" hidden="1">{#N/A,#N/A,TRUE,"Distribution";#N/A,#N/A,TRUE,"Fulfillment";#N/A,#N/A,TRUE,"Aged Backorders"}</definedName>
    <definedName name="kjkjkmn" localSheetId="4" hidden="1">{#N/A,#N/A,TRUE,"Distribution";#N/A,#N/A,TRUE,"Fulfillment";#N/A,#N/A,TRUE,"Aged Backorders"}</definedName>
    <definedName name="kjkjkmn" localSheetId="3" hidden="1">{#N/A,#N/A,TRUE,"Distribution";#N/A,#N/A,TRUE,"Fulfillment";#N/A,#N/A,TRUE,"Aged Backorders"}</definedName>
    <definedName name="kjkjkmn" localSheetId="2" hidden="1">{#N/A,#N/A,TRUE,"Distribution";#N/A,#N/A,TRUE,"Fulfillment";#N/A,#N/A,TRUE,"Aged Backorders"}</definedName>
    <definedName name="kjkjkmn" localSheetId="8" hidden="1">{#N/A,#N/A,TRUE,"Distribution";#N/A,#N/A,TRUE,"Fulfillment";#N/A,#N/A,TRUE,"Aged Backorders"}</definedName>
    <definedName name="kjkjkmn" localSheetId="9" hidden="1">{#N/A,#N/A,TRUE,"Distribution";#N/A,#N/A,TRUE,"Fulfillment";#N/A,#N/A,TRUE,"Aged Backorders"}</definedName>
    <definedName name="kjkjkmn" localSheetId="10" hidden="1">{#N/A,#N/A,TRUE,"Distribution";#N/A,#N/A,TRUE,"Fulfillment";#N/A,#N/A,TRUE,"Aged Backorders"}</definedName>
    <definedName name="kjkjkmn" hidden="1">{#N/A,#N/A,TRUE,"Distribution";#N/A,#N/A,TRUE,"Fulfillment";#N/A,#N/A,TRUE,"Aged Backorders"}</definedName>
    <definedName name="KK" localSheetId="4">'[65]#BEZUG'!#REF!</definedName>
    <definedName name="KK" localSheetId="3">'[65]#BEZUG'!#REF!</definedName>
    <definedName name="KK" localSheetId="2">'[65]#BEZUG'!#REF!</definedName>
    <definedName name="KK" localSheetId="5">'[65]#BEZUG'!#REF!</definedName>
    <definedName name="KK" localSheetId="6">'[65]#BEZUG'!#REF!</definedName>
    <definedName name="KK" localSheetId="7">'[65]#BEZUG'!#REF!</definedName>
    <definedName name="KK" localSheetId="8">'[65]#BEZUG'!#REF!</definedName>
    <definedName name="KK" localSheetId="9">'[65]#BEZUG'!#REF!</definedName>
    <definedName name="KK" localSheetId="10">'[78]#BEZUG'!#REF!</definedName>
    <definedName name="KK">'[6]#BEZUG'!#REF!</definedName>
    <definedName name="kkk">[50]분리멀티형!$B$2:$AD$32</definedName>
    <definedName name="KKKKK" localSheetId="4" hidden="1">{#N/A,#N/A,TRUE,"Distribution";#N/A,#N/A,TRUE,"Fulfillment";#N/A,#N/A,TRUE,"Aged Backorders"}</definedName>
    <definedName name="KKKKK" localSheetId="3" hidden="1">{#N/A,#N/A,TRUE,"Distribution";#N/A,#N/A,TRUE,"Fulfillment";#N/A,#N/A,TRUE,"Aged Backorders"}</definedName>
    <definedName name="KKKKK" localSheetId="2" hidden="1">{#N/A,#N/A,TRUE,"Distribution";#N/A,#N/A,TRUE,"Fulfillment";#N/A,#N/A,TRUE,"Aged Backorders"}</definedName>
    <definedName name="KKKKK" localSheetId="8" hidden="1">{#N/A,#N/A,TRUE,"Distribution";#N/A,#N/A,TRUE,"Fulfillment";#N/A,#N/A,TRUE,"Aged Backorders"}</definedName>
    <definedName name="KKKKK" localSheetId="9" hidden="1">{#N/A,#N/A,TRUE,"Distribution";#N/A,#N/A,TRUE,"Fulfillment";#N/A,#N/A,TRUE,"Aged Backorders"}</definedName>
    <definedName name="KKKKK" localSheetId="10" hidden="1">{#N/A,#N/A,TRUE,"Distribution";#N/A,#N/A,TRUE,"Fulfillment";#N/A,#N/A,TRUE,"Aged Backorders"}</definedName>
    <definedName name="KKKKK" hidden="1">{#N/A,#N/A,TRUE,"Distribution";#N/A,#N/A,TRUE,"Fulfillment";#N/A,#N/A,TRUE,"Aged Backorders"}</definedName>
    <definedName name="kl" localSheetId="4" hidden="1">{#N/A,#N/A,TRUE,"Distribution";#N/A,#N/A,TRUE,"Fulfillment";#N/A,#N/A,TRUE,"Aged Backorders"}</definedName>
    <definedName name="kl" localSheetId="3" hidden="1">{#N/A,#N/A,TRUE,"Distribution";#N/A,#N/A,TRUE,"Fulfillment";#N/A,#N/A,TRUE,"Aged Backorders"}</definedName>
    <definedName name="kl" localSheetId="2" hidden="1">{#N/A,#N/A,TRUE,"Distribution";#N/A,#N/A,TRUE,"Fulfillment";#N/A,#N/A,TRUE,"Aged Backorders"}</definedName>
    <definedName name="kl" localSheetId="8" hidden="1">{#N/A,#N/A,TRUE,"Distribution";#N/A,#N/A,TRUE,"Fulfillment";#N/A,#N/A,TRUE,"Aged Backorders"}</definedName>
    <definedName name="kl" localSheetId="9" hidden="1">{#N/A,#N/A,TRUE,"Distribution";#N/A,#N/A,TRUE,"Fulfillment";#N/A,#N/A,TRUE,"Aged Backorders"}</definedName>
    <definedName name="kl" localSheetId="10" hidden="1">{#N/A,#N/A,TRUE,"Distribution";#N/A,#N/A,TRUE,"Fulfillment";#N/A,#N/A,TRUE,"Aged Backorders"}</definedName>
    <definedName name="kl" hidden="1">{#N/A,#N/A,TRUE,"Distribution";#N/A,#N/A,TRUE,"Fulfillment";#N/A,#N/A,TRUE,"Aged Backorders"}</definedName>
    <definedName name="kline" localSheetId="10">'[63]k-line'!$B$1:$BN$65536</definedName>
    <definedName name="kline">'[38]k-line'!$B$1:$BN$65536</definedName>
    <definedName name="KVP" localSheetId="4">#REF!</definedName>
    <definedName name="KVP" localSheetId="3">#REF!</definedName>
    <definedName name="KVP" localSheetId="2">#REF!</definedName>
    <definedName name="KVP" localSheetId="5">#REF!</definedName>
    <definedName name="KVP" localSheetId="6">#REF!</definedName>
    <definedName name="KVP" localSheetId="7">#REF!</definedName>
    <definedName name="KVP" localSheetId="8">#REF!</definedName>
    <definedName name="KVP" localSheetId="9">#REF!</definedName>
    <definedName name="KVP" localSheetId="10">#REF!</definedName>
    <definedName name="KVP" localSheetId="11">#REF!</definedName>
    <definedName name="KVP">#REF!</definedName>
    <definedName name="KwhClean" localSheetId="4">#REF!</definedName>
    <definedName name="KwhClean" localSheetId="3">#REF!</definedName>
    <definedName name="KwhClean" localSheetId="2">#REF!</definedName>
    <definedName name="KwhClean" localSheetId="5">#REF!</definedName>
    <definedName name="KwhClean" localSheetId="6">#REF!</definedName>
    <definedName name="KwhClean" localSheetId="7">#REF!</definedName>
    <definedName name="KwhClean" localSheetId="8">#REF!</definedName>
    <definedName name="KwhClean" localSheetId="9">#REF!</definedName>
    <definedName name="KwhClean" localSheetId="10">#REF!</definedName>
    <definedName name="KwhClean" localSheetId="11">#REF!</definedName>
    <definedName name="KwhClean">#REF!</definedName>
    <definedName name="KwhList" localSheetId="4">#REF!</definedName>
    <definedName name="KwhList" localSheetId="3">#REF!</definedName>
    <definedName name="KwhList" localSheetId="2">#REF!</definedName>
    <definedName name="KwhList" localSheetId="5">#REF!</definedName>
    <definedName name="KwhList" localSheetId="6">#REF!</definedName>
    <definedName name="KwhList" localSheetId="7">#REF!</definedName>
    <definedName name="KwhList" localSheetId="8">#REF!</definedName>
    <definedName name="KwhList" localSheetId="9">#REF!</definedName>
    <definedName name="KwhList" localSheetId="10">#REF!</definedName>
    <definedName name="KwhList" localSheetId="11">#REF!</definedName>
    <definedName name="KwhList">#REF!</definedName>
    <definedName name="l">405</definedName>
    <definedName name="L04_" localSheetId="4">#REF!</definedName>
    <definedName name="L04_" localSheetId="3">#REF!</definedName>
    <definedName name="L04_" localSheetId="2">#REF!</definedName>
    <definedName name="L04_" localSheetId="5">#REF!</definedName>
    <definedName name="L04_" localSheetId="6">#REF!</definedName>
    <definedName name="L04_" localSheetId="7">#REF!</definedName>
    <definedName name="L04_" localSheetId="8">#REF!</definedName>
    <definedName name="L04_" localSheetId="9">#REF!</definedName>
    <definedName name="L04_" localSheetId="10">#REF!</definedName>
    <definedName name="L04_" localSheetId="11">#REF!</definedName>
    <definedName name="L04_">#REF!</definedName>
    <definedName name="L05_" localSheetId="4">#REF!</definedName>
    <definedName name="L05_" localSheetId="3">#REF!</definedName>
    <definedName name="L05_" localSheetId="2">#REF!</definedName>
    <definedName name="L05_" localSheetId="5">#REF!</definedName>
    <definedName name="L05_" localSheetId="6">#REF!</definedName>
    <definedName name="L05_" localSheetId="7">#REF!</definedName>
    <definedName name="L05_" localSheetId="8">#REF!</definedName>
    <definedName name="L05_" localSheetId="9">#REF!</definedName>
    <definedName name="L05_" localSheetId="10">#REF!</definedName>
    <definedName name="L05_" localSheetId="11">#REF!</definedName>
    <definedName name="L05_">#REF!</definedName>
    <definedName name="LABELS" localSheetId="4">#REF!</definedName>
    <definedName name="LABELS" localSheetId="3">#REF!</definedName>
    <definedName name="LABELS" localSheetId="2">#REF!</definedName>
    <definedName name="LABELS" localSheetId="5">#REF!</definedName>
    <definedName name="LABELS" localSheetId="6">#REF!</definedName>
    <definedName name="LABELS" localSheetId="7">#REF!</definedName>
    <definedName name="LABELS" localSheetId="8">#REF!</definedName>
    <definedName name="LABELS" localSheetId="9">#REF!</definedName>
    <definedName name="LABELS" localSheetId="10">#REF!</definedName>
    <definedName name="LABELS" localSheetId="11">#REF!</definedName>
    <definedName name="LABELS">#REF!</definedName>
    <definedName name="lala" localSheetId="4" hidden="1">{#N/A,#N/A,TRUE,"Distribution";#N/A,#N/A,TRUE,"Fulfillment";#N/A,#N/A,TRUE,"Aged Backorders"}</definedName>
    <definedName name="lala" localSheetId="3" hidden="1">{#N/A,#N/A,TRUE,"Distribution";#N/A,#N/A,TRUE,"Fulfillment";#N/A,#N/A,TRUE,"Aged Backorders"}</definedName>
    <definedName name="lala" localSheetId="2" hidden="1">{#N/A,#N/A,TRUE,"Distribution";#N/A,#N/A,TRUE,"Fulfillment";#N/A,#N/A,TRUE,"Aged Backorders"}</definedName>
    <definedName name="lala" localSheetId="8" hidden="1">{#N/A,#N/A,TRUE,"Distribution";#N/A,#N/A,TRUE,"Fulfillment";#N/A,#N/A,TRUE,"Aged Backorders"}</definedName>
    <definedName name="lala" localSheetId="9" hidden="1">{#N/A,#N/A,TRUE,"Distribution";#N/A,#N/A,TRUE,"Fulfillment";#N/A,#N/A,TRUE,"Aged Backorders"}</definedName>
    <definedName name="lala" localSheetId="10" hidden="1">{#N/A,#N/A,TRUE,"Distribution";#N/A,#N/A,TRUE,"Fulfillment";#N/A,#N/A,TRUE,"Aged Backorders"}</definedName>
    <definedName name="lala" hidden="1">{#N/A,#N/A,TRUE,"Distribution";#N/A,#N/A,TRUE,"Fulfillment";#N/A,#N/A,TRUE,"Aged Backorders"}</definedName>
    <definedName name="laloalo" localSheetId="4" hidden="1">{#N/A,#N/A,TRUE,"Distribution";#N/A,#N/A,TRUE,"Fulfillment";#N/A,#N/A,TRUE,"Aged Backorders"}</definedName>
    <definedName name="laloalo" localSheetId="3" hidden="1">{#N/A,#N/A,TRUE,"Distribution";#N/A,#N/A,TRUE,"Fulfillment";#N/A,#N/A,TRUE,"Aged Backorders"}</definedName>
    <definedName name="laloalo" localSheetId="2" hidden="1">{#N/A,#N/A,TRUE,"Distribution";#N/A,#N/A,TRUE,"Fulfillment";#N/A,#N/A,TRUE,"Aged Backorders"}</definedName>
    <definedName name="laloalo" localSheetId="8" hidden="1">{#N/A,#N/A,TRUE,"Distribution";#N/A,#N/A,TRUE,"Fulfillment";#N/A,#N/A,TRUE,"Aged Backorders"}</definedName>
    <definedName name="laloalo" localSheetId="9" hidden="1">{#N/A,#N/A,TRUE,"Distribution";#N/A,#N/A,TRUE,"Fulfillment";#N/A,#N/A,TRUE,"Aged Backorders"}</definedName>
    <definedName name="laloalo" localSheetId="10" hidden="1">{#N/A,#N/A,TRUE,"Distribution";#N/A,#N/A,TRUE,"Fulfillment";#N/A,#N/A,TRUE,"Aged Backorders"}</definedName>
    <definedName name="laloalo" hidden="1">{#N/A,#N/A,TRUE,"Distribution";#N/A,#N/A,TRUE,"Fulfillment";#N/A,#N/A,TRUE,"Aged Backorders"}</definedName>
    <definedName name="LANDIMP" localSheetId="4">'[64]FA-LISTING'!#REF!</definedName>
    <definedName name="LANDIMP" localSheetId="3">'[64]FA-LISTING'!#REF!</definedName>
    <definedName name="LANDIMP" localSheetId="2">'[64]FA-LISTING'!#REF!</definedName>
    <definedName name="LANDIMP" localSheetId="5">'[64]FA-LISTING'!#REF!</definedName>
    <definedName name="LANDIMP" localSheetId="6">'[64]FA-LISTING'!#REF!</definedName>
    <definedName name="LANDIMP" localSheetId="7">'[64]FA-LISTING'!#REF!</definedName>
    <definedName name="LANDIMP" localSheetId="8">'[2]FA-LISTING'!#REF!</definedName>
    <definedName name="LANDIMP" localSheetId="9">'[2]FA-LISTING'!#REF!</definedName>
    <definedName name="LANDIMP" localSheetId="10">'[2]FA-LISTING'!#REF!</definedName>
    <definedName name="LANDIMP">'[1]FA-LISTING'!#REF!</definedName>
    <definedName name="LANDREV" localSheetId="4">'[64]FA-LISTING'!#REF!</definedName>
    <definedName name="LANDREV" localSheetId="3">'[64]FA-LISTING'!#REF!</definedName>
    <definedName name="LANDREV" localSheetId="2">'[64]FA-LISTING'!#REF!</definedName>
    <definedName name="LANDREV" localSheetId="5">'[64]FA-LISTING'!#REF!</definedName>
    <definedName name="LANDREV" localSheetId="6">'[64]FA-LISTING'!#REF!</definedName>
    <definedName name="LANDREV" localSheetId="7">'[64]FA-LISTING'!#REF!</definedName>
    <definedName name="LANDREV" localSheetId="8">'[2]FA-LISTING'!#REF!</definedName>
    <definedName name="LANDREV" localSheetId="9">'[2]FA-LISTING'!#REF!</definedName>
    <definedName name="LANDREV" localSheetId="10">'[2]FA-LISTING'!#REF!</definedName>
    <definedName name="LANDREV">'[1]FA-LISTING'!#REF!</definedName>
    <definedName name="länge">405</definedName>
    <definedName name="Last_Row" localSheetId="4">IF(Values_Entered,'25年厨电费用指标到月测算汇总表'!Header_Row+Number_of_Payments,'25年厨电费用指标到月测算汇总表'!Header_Row)</definedName>
    <definedName name="Last_Row" localSheetId="3">IF(Values_Entered,'25年厨电费用指标到月测算汇总表  (2)'!Header_Row+Number_of_Payments,'25年厨电费用指标到月测算汇总表  (2)'!Header_Row)</definedName>
    <definedName name="Last_Row" localSheetId="2">IF(Values_Entered,'26年厨电费用指标到月测算汇总表 '!Header_Row+Number_of_Payments,'26年厨电费用指标到月测算汇总表 '!Header_Row)</definedName>
    <definedName name="Last_Row" localSheetId="0">IF(Values_Entered,Header_Row+Number_of_Payments,Header_Row)</definedName>
    <definedName name="Last_Row" localSheetId="5">IF(Values_Entered,'厨电1月 '!Header_Row+Number_of_Payments,'厨电1月 '!Header_Row)</definedName>
    <definedName name="Last_Row" localSheetId="6">IF(Values_Entered,'厨电2月 '!Header_Row+Number_of_Payments,'厨电2月 '!Header_Row)</definedName>
    <definedName name="Last_Row" localSheetId="7">IF(Values_Entered,厨电3月!Header_Row+Number_of_Payments,厨电3月!Header_Row)</definedName>
    <definedName name="Last_Row" localSheetId="8">IF(Values_Entered,厨电4月!Header_Row+Number_of_Payments,厨电4月!Header_Row)</definedName>
    <definedName name="Last_Row" localSheetId="9">IF(Values_Entered,'厨电5月 '!Header_Row+Number_of_Payments,'厨电5月 '!Header_Row)</definedName>
    <definedName name="Last_Row" localSheetId="10">IF(Values_Entered,厨电6月!Header_Row+Number_of_Payments,厨电6月!Header_Row)</definedName>
    <definedName name="Last_Row" localSheetId="11">IF(Values_Entered,'降费项目厨电 '!Header_Row+Number_of_Payments,'降费项目厨电 '!Header_Row)</definedName>
    <definedName name="Last_Row">IF(Values_Entered,Header_Row+Number_of_Payments,Header_Row)</definedName>
    <definedName name="LastFixRow" localSheetId="4">#REF!</definedName>
    <definedName name="LastFixRow" localSheetId="3">#REF!</definedName>
    <definedName name="LastFixRow" localSheetId="2">#REF!</definedName>
    <definedName name="LastFixRow" localSheetId="5">#REF!</definedName>
    <definedName name="LastFixRow" localSheetId="6">#REF!</definedName>
    <definedName name="LastFixRow" localSheetId="7">#REF!</definedName>
    <definedName name="LastFixRow" localSheetId="8">#REF!</definedName>
    <definedName name="LastFixRow" localSheetId="9">#REF!</definedName>
    <definedName name="LastFixRow" localSheetId="10">#REF!</definedName>
    <definedName name="LastFixRow" localSheetId="11">#REF!</definedName>
    <definedName name="LastFixRow">#REF!</definedName>
    <definedName name="LastOrder" localSheetId="4">#REF!</definedName>
    <definedName name="LastOrder" localSheetId="3">#REF!</definedName>
    <definedName name="LastOrder" localSheetId="2">#REF!</definedName>
    <definedName name="LastOrder" localSheetId="5">#REF!</definedName>
    <definedName name="LastOrder" localSheetId="6">#REF!</definedName>
    <definedName name="LastOrder" localSheetId="7">#REF!</definedName>
    <definedName name="LastOrder" localSheetId="8">#REF!</definedName>
    <definedName name="LastOrder" localSheetId="9">#REF!</definedName>
    <definedName name="LastOrder" localSheetId="10">#REF!</definedName>
    <definedName name="LastOrder" localSheetId="11">#REF!</definedName>
    <definedName name="LastOrder">#REF!</definedName>
    <definedName name="LastOrder2" localSheetId="4">#REF!</definedName>
    <definedName name="LastOrder2" localSheetId="3">#REF!</definedName>
    <definedName name="LastOrder2" localSheetId="2">#REF!</definedName>
    <definedName name="LastOrder2" localSheetId="5">#REF!</definedName>
    <definedName name="LastOrder2" localSheetId="6">#REF!</definedName>
    <definedName name="LastOrder2" localSheetId="7">#REF!</definedName>
    <definedName name="LastOrder2" localSheetId="8">#REF!</definedName>
    <definedName name="LastOrder2" localSheetId="9">#REF!</definedName>
    <definedName name="LastOrder2" localSheetId="10">#REF!</definedName>
    <definedName name="LastOrder2" localSheetId="11">#REF!</definedName>
    <definedName name="LastOrder2">#REF!</definedName>
    <definedName name="launch" localSheetId="4">#REF!</definedName>
    <definedName name="launch" localSheetId="3">#REF!</definedName>
    <definedName name="launch" localSheetId="2">#REF!</definedName>
    <definedName name="launch" localSheetId="5">#REF!</definedName>
    <definedName name="launch" localSheetId="6">#REF!</definedName>
    <definedName name="launch" localSheetId="7">#REF!</definedName>
    <definedName name="launch" localSheetId="8">#REF!</definedName>
    <definedName name="launch" localSheetId="9">#REF!</definedName>
    <definedName name="launch" localSheetId="10">#REF!</definedName>
    <definedName name="launch" localSheetId="11">#REF!</definedName>
    <definedName name="launch">#REF!</definedName>
    <definedName name="launchcosts" localSheetId="4">#REF!</definedName>
    <definedName name="launchcosts" localSheetId="3">#REF!</definedName>
    <definedName name="launchcosts" localSheetId="2">#REF!</definedName>
    <definedName name="launchcosts" localSheetId="5">#REF!</definedName>
    <definedName name="launchcosts" localSheetId="6">#REF!</definedName>
    <definedName name="launchcosts" localSheetId="7">#REF!</definedName>
    <definedName name="launchcosts" localSheetId="8">#REF!</definedName>
    <definedName name="launchcosts" localSheetId="9">#REF!</definedName>
    <definedName name="launchcosts" localSheetId="10">#REF!</definedName>
    <definedName name="launchcosts" localSheetId="11">#REF!</definedName>
    <definedName name="launchcosts">#REF!</definedName>
    <definedName name="launchstd" localSheetId="4">#REF!</definedName>
    <definedName name="launchstd" localSheetId="3">#REF!</definedName>
    <definedName name="launchstd" localSheetId="2">#REF!</definedName>
    <definedName name="launchstd" localSheetId="5">#REF!</definedName>
    <definedName name="launchstd" localSheetId="6">#REF!</definedName>
    <definedName name="launchstd" localSheetId="7">#REF!</definedName>
    <definedName name="launchstd" localSheetId="8">#REF!</definedName>
    <definedName name="launchstd" localSheetId="9">#REF!</definedName>
    <definedName name="launchstd" localSheetId="10">#REF!</definedName>
    <definedName name="launchstd" localSheetId="11">#REF!</definedName>
    <definedName name="launchstd">#REF!</definedName>
    <definedName name="launchtmnf" localSheetId="10">'[101]Launch Costs TMNF'!$B$1:$L$65536</definedName>
    <definedName name="launchtmnf">'[102]Launch Costs TMNF'!$B$1:$L$65536</definedName>
    <definedName name="launchvol" localSheetId="4">#REF!</definedName>
    <definedName name="launchvol" localSheetId="3">#REF!</definedName>
    <definedName name="launchvol" localSheetId="2">#REF!</definedName>
    <definedName name="launchvol" localSheetId="5">#REF!</definedName>
    <definedName name="launchvol" localSheetId="6">#REF!</definedName>
    <definedName name="launchvol" localSheetId="7">#REF!</definedName>
    <definedName name="launchvol" localSheetId="8">#REF!</definedName>
    <definedName name="launchvol" localSheetId="9">#REF!</definedName>
    <definedName name="launchvol" localSheetId="10">#REF!</definedName>
    <definedName name="launchvol" localSheetId="11">#REF!</definedName>
    <definedName name="launchvol">#REF!</definedName>
    <definedName name="laychua" localSheetId="8">{"Thuxm2.xls","Sheet1"}</definedName>
    <definedName name="laychua" localSheetId="9">{"Thuxm2.xls","Sheet1"}</definedName>
    <definedName name="laychua" localSheetId="10">{"Thuxm2.xls","Sheet1"}</definedName>
    <definedName name="laychua">{"Thuxm2.xls","Sheet1"}</definedName>
    <definedName name="Layer" localSheetId="4">[37]Spec!$B$25:$F$27</definedName>
    <definedName name="Layer" localSheetId="3">[37]Spec!$B$25:$F$27</definedName>
    <definedName name="Layer" localSheetId="2">[37]Spec!$B$25:$F$27</definedName>
    <definedName name="Layer" localSheetId="5">[37]Spec!$B$25:$F$27</definedName>
    <definedName name="Layer" localSheetId="6">[37]Spec!$B$25:$F$27</definedName>
    <definedName name="Layer" localSheetId="7">[37]Spec!$B$25:$F$27</definedName>
    <definedName name="Layer" localSheetId="8">[37]Spec!$B$25:$F$27</definedName>
    <definedName name="Layer" localSheetId="9">[37]Spec!$B$25:$F$27</definedName>
    <definedName name="Layer" localSheetId="10">[22]Spec!$B$25:$F$27</definedName>
    <definedName name="Layer">[29]Spec!$B$25:$F$27</definedName>
    <definedName name="LCL" localSheetId="4">#REF!</definedName>
    <definedName name="LCL" localSheetId="3">#REF!</definedName>
    <definedName name="LCL" localSheetId="2">#REF!</definedName>
    <definedName name="LCL" localSheetId="5">#REF!</definedName>
    <definedName name="LCL" localSheetId="6">#REF!</definedName>
    <definedName name="LCL" localSheetId="7">#REF!</definedName>
    <definedName name="LCL" localSheetId="8">#REF!</definedName>
    <definedName name="LCL" localSheetId="9">#REF!</definedName>
    <definedName name="LCL" localSheetId="10">#REF!</definedName>
    <definedName name="LCL" localSheetId="11">#REF!</definedName>
    <definedName name="LCL">#REF!</definedName>
    <definedName name="ldkkfj" localSheetId="4" hidden="1">{#N/A,#N/A,TRUE,"Distribution";#N/A,#N/A,TRUE,"Fulfillment";#N/A,#N/A,TRUE,"Aged Backorders"}</definedName>
    <definedName name="ldkkfj" localSheetId="3" hidden="1">{#N/A,#N/A,TRUE,"Distribution";#N/A,#N/A,TRUE,"Fulfillment";#N/A,#N/A,TRUE,"Aged Backorders"}</definedName>
    <definedName name="ldkkfj" localSheetId="2" hidden="1">{#N/A,#N/A,TRUE,"Distribution";#N/A,#N/A,TRUE,"Fulfillment";#N/A,#N/A,TRUE,"Aged Backorders"}</definedName>
    <definedName name="ldkkfj" localSheetId="8" hidden="1">{#N/A,#N/A,TRUE,"Distribution";#N/A,#N/A,TRUE,"Fulfillment";#N/A,#N/A,TRUE,"Aged Backorders"}</definedName>
    <definedName name="ldkkfj" localSheetId="9" hidden="1">{#N/A,#N/A,TRUE,"Distribution";#N/A,#N/A,TRUE,"Fulfillment";#N/A,#N/A,TRUE,"Aged Backorders"}</definedName>
    <definedName name="ldkkfj" localSheetId="10" hidden="1">{#N/A,#N/A,TRUE,"Distribution";#N/A,#N/A,TRUE,"Fulfillment";#N/A,#N/A,TRUE,"Aged Backorders"}</definedName>
    <definedName name="ldkkfj" hidden="1">{#N/A,#N/A,TRUE,"Distribution";#N/A,#N/A,TRUE,"Fulfillment";#N/A,#N/A,TRUE,"Aged Backorders"}</definedName>
    <definedName name="ldklkshekfh" localSheetId="4" hidden="1">{#N/A,#N/A,TRUE,"Distribution";#N/A,#N/A,TRUE,"Fulfillment";#N/A,#N/A,TRUE,"Aged Backorders"}</definedName>
    <definedName name="ldklkshekfh" localSheetId="3" hidden="1">{#N/A,#N/A,TRUE,"Distribution";#N/A,#N/A,TRUE,"Fulfillment";#N/A,#N/A,TRUE,"Aged Backorders"}</definedName>
    <definedName name="ldklkshekfh" localSheetId="2" hidden="1">{#N/A,#N/A,TRUE,"Distribution";#N/A,#N/A,TRUE,"Fulfillment";#N/A,#N/A,TRUE,"Aged Backorders"}</definedName>
    <definedName name="ldklkshekfh" localSheetId="8" hidden="1">{#N/A,#N/A,TRUE,"Distribution";#N/A,#N/A,TRUE,"Fulfillment";#N/A,#N/A,TRUE,"Aged Backorders"}</definedName>
    <definedName name="ldklkshekfh" localSheetId="9" hidden="1">{#N/A,#N/A,TRUE,"Distribution";#N/A,#N/A,TRUE,"Fulfillment";#N/A,#N/A,TRUE,"Aged Backorders"}</definedName>
    <definedName name="ldklkshekfh" localSheetId="10" hidden="1">{#N/A,#N/A,TRUE,"Distribution";#N/A,#N/A,TRUE,"Fulfillment";#N/A,#N/A,TRUE,"Aged Backorders"}</definedName>
    <definedName name="ldklkshekfh" hidden="1">{#N/A,#N/A,TRUE,"Distribution";#N/A,#N/A,TRUE,"Fulfillment";#N/A,#N/A,TRUE,"Aged Backorders"}</definedName>
    <definedName name="ldld" localSheetId="4" hidden="1">{#N/A,#N/A,TRUE,"Distribution";#N/A,#N/A,TRUE,"Fulfillment";#N/A,#N/A,TRUE,"Aged Backorders"}</definedName>
    <definedName name="ldld" localSheetId="3" hidden="1">{#N/A,#N/A,TRUE,"Distribution";#N/A,#N/A,TRUE,"Fulfillment";#N/A,#N/A,TRUE,"Aged Backorders"}</definedName>
    <definedName name="ldld" localSheetId="2" hidden="1">{#N/A,#N/A,TRUE,"Distribution";#N/A,#N/A,TRUE,"Fulfillment";#N/A,#N/A,TRUE,"Aged Backorders"}</definedName>
    <definedName name="ldld" localSheetId="8" hidden="1">{#N/A,#N/A,TRUE,"Distribution";#N/A,#N/A,TRUE,"Fulfillment";#N/A,#N/A,TRUE,"Aged Backorders"}</definedName>
    <definedName name="ldld" localSheetId="9" hidden="1">{#N/A,#N/A,TRUE,"Distribution";#N/A,#N/A,TRUE,"Fulfillment";#N/A,#N/A,TRUE,"Aged Backorders"}</definedName>
    <definedName name="ldld" localSheetId="10" hidden="1">{#N/A,#N/A,TRUE,"Distribution";#N/A,#N/A,TRUE,"Fulfillment";#N/A,#N/A,TRUE,"Aged Backorders"}</definedName>
    <definedName name="ldld" hidden="1">{#N/A,#N/A,TRUE,"Distribution";#N/A,#N/A,TRUE,"Fulfillment";#N/A,#N/A,TRUE,"Aged Backorders"}</definedName>
    <definedName name="lea" localSheetId="4" hidden="1">{#N/A,#N/A,TRUE,"Distribution";#N/A,#N/A,TRUE,"Fulfillment";#N/A,#N/A,TRUE,"Aged Backorders"}</definedName>
    <definedName name="lea" localSheetId="3" hidden="1">{#N/A,#N/A,TRUE,"Distribution";#N/A,#N/A,TRUE,"Fulfillment";#N/A,#N/A,TRUE,"Aged Backorders"}</definedName>
    <definedName name="lea" localSheetId="2" hidden="1">{#N/A,#N/A,TRUE,"Distribution";#N/A,#N/A,TRUE,"Fulfillment";#N/A,#N/A,TRUE,"Aged Backorders"}</definedName>
    <definedName name="lea" localSheetId="8" hidden="1">{#N/A,#N/A,TRUE,"Distribution";#N/A,#N/A,TRUE,"Fulfillment";#N/A,#N/A,TRUE,"Aged Backorders"}</definedName>
    <definedName name="lea" localSheetId="9" hidden="1">{#N/A,#N/A,TRUE,"Distribution";#N/A,#N/A,TRUE,"Fulfillment";#N/A,#N/A,TRUE,"Aged Backorders"}</definedName>
    <definedName name="lea" localSheetId="10" hidden="1">{#N/A,#N/A,TRUE,"Distribution";#N/A,#N/A,TRUE,"Fulfillment";#N/A,#N/A,TRUE,"Aged Backorders"}</definedName>
    <definedName name="lea" hidden="1">{#N/A,#N/A,TRUE,"Distribution";#N/A,#N/A,TRUE,"Fulfillment";#N/A,#N/A,TRUE,"Aged Backorders"}</definedName>
    <definedName name="leap2" localSheetId="4">[33]POs!$B$1:$I$65536</definedName>
    <definedName name="leap2" localSheetId="3">[33]POs!$B$1:$I$65536</definedName>
    <definedName name="leap2" localSheetId="2">[33]POs!$B$1:$I$65536</definedName>
    <definedName name="leap2" localSheetId="5">[33]POs!$B$1:$I$65536</definedName>
    <definedName name="leap2" localSheetId="6">[33]POs!$B$1:$I$65536</definedName>
    <definedName name="leap2" localSheetId="7">[33]POs!$B$1:$I$65536</definedName>
    <definedName name="leap2" localSheetId="8">[33]POs!$B$1:$I$65536</definedName>
    <definedName name="leap2" localSheetId="9">[33]POs!$B$1:$I$65536</definedName>
    <definedName name="leap2" localSheetId="10">[70]POs!$B$1:$I$65536</definedName>
    <definedName name="leap2">[25]POs!$B$1:$I$65536</definedName>
    <definedName name="Length_of_cashflows" localSheetId="4">'[44]Program Inputs'!$C$21</definedName>
    <definedName name="Length_of_cashflows" localSheetId="3">'[44]Program Inputs'!$C$21</definedName>
    <definedName name="Length_of_cashflows" localSheetId="2">'[44]Program Inputs'!$C$21</definedName>
    <definedName name="Length_of_cashflows" localSheetId="5">'[44]Program Inputs'!$C$21</definedName>
    <definedName name="Length_of_cashflows" localSheetId="6">'[44]Program Inputs'!$C$21</definedName>
    <definedName name="Length_of_cashflows" localSheetId="7">'[44]Program Inputs'!$C$21</definedName>
    <definedName name="Length_of_cashflows" localSheetId="8">'[44]Program Inputs'!$C$21</definedName>
    <definedName name="Length_of_cashflows" localSheetId="9">'[44]Program Inputs'!$C$21</definedName>
    <definedName name="Length_of_cashflows" localSheetId="10">'[19]Program Inputs'!$C$21</definedName>
    <definedName name="Length_of_cashflows">'[33]Program Inputs'!$C$21</definedName>
    <definedName name="lento" localSheetId="4" hidden="1">{#N/A,#N/A,TRUE,"Distribution";#N/A,#N/A,TRUE,"Fulfillment";#N/A,#N/A,TRUE,"Aged Backorders"}</definedName>
    <definedName name="lento" localSheetId="3" hidden="1">{#N/A,#N/A,TRUE,"Distribution";#N/A,#N/A,TRUE,"Fulfillment";#N/A,#N/A,TRUE,"Aged Backorders"}</definedName>
    <definedName name="lento" localSheetId="2" hidden="1">{#N/A,#N/A,TRUE,"Distribution";#N/A,#N/A,TRUE,"Fulfillment";#N/A,#N/A,TRUE,"Aged Backorders"}</definedName>
    <definedName name="lento" localSheetId="8" hidden="1">{#N/A,#N/A,TRUE,"Distribution";#N/A,#N/A,TRUE,"Fulfillment";#N/A,#N/A,TRUE,"Aged Backorders"}</definedName>
    <definedName name="lento" localSheetId="9" hidden="1">{#N/A,#N/A,TRUE,"Distribution";#N/A,#N/A,TRUE,"Fulfillment";#N/A,#N/A,TRUE,"Aged Backorders"}</definedName>
    <definedName name="lento" localSheetId="10" hidden="1">{#N/A,#N/A,TRUE,"Distribution";#N/A,#N/A,TRUE,"Fulfillment";#N/A,#N/A,TRUE,"Aged Backorders"}</definedName>
    <definedName name="lento" hidden="1">{#N/A,#N/A,TRUE,"Distribution";#N/A,#N/A,TRUE,"Fulfillment";#N/A,#N/A,TRUE,"Aged Backorders"}</definedName>
    <definedName name="lh" localSheetId="4">#REF!</definedName>
    <definedName name="lh" localSheetId="3">#REF!</definedName>
    <definedName name="lh" localSheetId="2">#REF!</definedName>
    <definedName name="lh" localSheetId="5">#REF!</definedName>
    <definedName name="lh" localSheetId="6">#REF!</definedName>
    <definedName name="lh" localSheetId="7">#REF!</definedName>
    <definedName name="lh" localSheetId="8">#REF!</definedName>
    <definedName name="lh" localSheetId="9">#REF!</definedName>
    <definedName name="lh" localSheetId="10">#REF!</definedName>
    <definedName name="lh" localSheetId="11">#REF!</definedName>
    <definedName name="lh">#REF!</definedName>
    <definedName name="Lief_PLZ" localSheetId="10">[49]数据输入!#REF!</definedName>
    <definedName name="Lief_PLZ">[57]数据输入!#REF!</definedName>
    <definedName name="Lief_Unterschr">[51]数据输入!$C$19</definedName>
    <definedName name="Lieferant">[51]数据输入!$C$13</definedName>
    <definedName name="line" localSheetId="4">#REF!</definedName>
    <definedName name="line" localSheetId="3">#REF!</definedName>
    <definedName name="line" localSheetId="2">#REF!</definedName>
    <definedName name="line" localSheetId="5">#REF!</definedName>
    <definedName name="line" localSheetId="6">#REF!</definedName>
    <definedName name="line" localSheetId="7">#REF!</definedName>
    <definedName name="line" localSheetId="8">#REF!</definedName>
    <definedName name="line" localSheetId="9">#REF!</definedName>
    <definedName name="line" localSheetId="10">#REF!</definedName>
    <definedName name="line" localSheetId="11">#REF!</definedName>
    <definedName name="line">#REF!</definedName>
    <definedName name="Linearity" localSheetId="4">#REF!</definedName>
    <definedName name="Linearity" localSheetId="3">#REF!</definedName>
    <definedName name="Linearity" localSheetId="2">#REF!</definedName>
    <definedName name="Linearity" localSheetId="5">#REF!</definedName>
    <definedName name="Linearity" localSheetId="6">#REF!</definedName>
    <definedName name="Linearity" localSheetId="7">#REF!</definedName>
    <definedName name="Linearity" localSheetId="8">#REF!</definedName>
    <definedName name="Linearity" localSheetId="9">#REF!</definedName>
    <definedName name="Linearity" localSheetId="10">#REF!</definedName>
    <definedName name="Linearity" localSheetId="11">#REF!</definedName>
    <definedName name="Linearity">#REF!</definedName>
    <definedName name="Link_Bridge" localSheetId="8">[54]Bridge!$A$10</definedName>
    <definedName name="Link_Bridge" localSheetId="9">[54]Bridge!$A$10</definedName>
    <definedName name="Link_Bridge" localSheetId="10">[90]Bridge!$A$10</definedName>
    <definedName name="Link_Bridge">[42]Bridge!$A$10</definedName>
    <definedName name="Link_Contents" localSheetId="8">'[54]Table of Contents'!$A$1</definedName>
    <definedName name="Link_Contents" localSheetId="9">'[54]Table of Contents'!$A$1</definedName>
    <definedName name="Link_Contents" localSheetId="10">'[90]Table of Contents'!$A$1</definedName>
    <definedName name="Link_Contents">'[42]Table of Contents'!$A$1</definedName>
    <definedName name="Link_COS1" localSheetId="8">[54]COS1!$A$1</definedName>
    <definedName name="Link_COS1" localSheetId="9">[54]COS1!$A$1</definedName>
    <definedName name="Link_COS1" localSheetId="10">[90]COS1!$A$1</definedName>
    <definedName name="Link_COS1">[42]COS1!$A$1</definedName>
    <definedName name="Link_COS2" localSheetId="8">[54]COS2!$A$1</definedName>
    <definedName name="Link_COS2" localSheetId="9">[54]COS2!$A$1</definedName>
    <definedName name="Link_COS2" localSheetId="10">[90]COS2!$A$1</definedName>
    <definedName name="Link_COS2">[42]COS2!$A$1</definedName>
    <definedName name="Link_COS3" localSheetId="8">[54]COS3!$A$1</definedName>
    <definedName name="Link_COS3" localSheetId="9">[54]COS3!$A$1</definedName>
    <definedName name="Link_COS3" localSheetId="10">[90]COS3!$A$1</definedName>
    <definedName name="Link_COS3">[42]COS3!$A$1</definedName>
    <definedName name="Link_COS4" localSheetId="8">[54]COS4!$A$1</definedName>
    <definedName name="Link_COS4" localSheetId="9">[54]COS4!$A$1</definedName>
    <definedName name="Link_COS4" localSheetId="10">[90]COS4!$A$1</definedName>
    <definedName name="Link_COS4">[42]COS4!$A$1</definedName>
    <definedName name="Link_FL1" localSheetId="8">'[54]PL1'!$C$56</definedName>
    <definedName name="Link_FL1" localSheetId="9">'[54]PL1'!$C$56</definedName>
    <definedName name="Link_FL1" localSheetId="10">'[90]PL1'!$C$56</definedName>
    <definedName name="Link_FL1">'[42]PL1'!$C$56</definedName>
    <definedName name="Link_FL2" localSheetId="8">'[54]PL2'!$C$56</definedName>
    <definedName name="Link_FL2" localSheetId="9">'[54]PL2'!$C$56</definedName>
    <definedName name="Link_FL2" localSheetId="10">'[90]PL2'!$C$56</definedName>
    <definedName name="Link_FL2">'[42]PL2'!$C$56</definedName>
    <definedName name="Link_FL3" localSheetId="8">'[54]PL3'!$C$56</definedName>
    <definedName name="Link_FL3" localSheetId="9">'[54]PL3'!$C$56</definedName>
    <definedName name="Link_FL3" localSheetId="10">'[90]PL3'!$C$56</definedName>
    <definedName name="Link_FL3">'[42]PL3'!$C$56</definedName>
    <definedName name="Link_FL4" localSheetId="8">'[54]PL4'!$C$56</definedName>
    <definedName name="Link_FL4" localSheetId="9">'[54]PL4'!$C$56</definedName>
    <definedName name="Link_FL4" localSheetId="10">'[90]PL4'!$C$56</definedName>
    <definedName name="Link_FL4">'[42]PL4'!$C$56</definedName>
    <definedName name="Link_GM" localSheetId="8">'[54]GM Trend'!$A$1</definedName>
    <definedName name="Link_GM" localSheetId="9">'[54]GM Trend'!$A$1</definedName>
    <definedName name="Link_GM" localSheetId="10">'[90]GM Trend'!$A$1</definedName>
    <definedName name="Link_GM">'[42]GM Trend'!$A$1</definedName>
    <definedName name="Link_GM_Percent" localSheetId="8">'[54]GM% Trend'!$A$1</definedName>
    <definedName name="Link_GM_Percent" localSheetId="9">'[54]GM% Trend'!$A$1</definedName>
    <definedName name="Link_GM_Percent" localSheetId="10">'[90]GM% Trend'!$A$1</definedName>
    <definedName name="Link_GM_Percent">'[42]GM% Trend'!$A$1</definedName>
    <definedName name="Link_Linearity" localSheetId="8">[54]Linearity!$A$15</definedName>
    <definedName name="Link_Linearity" localSheetId="9">[54]Linearity!$A$15</definedName>
    <definedName name="Link_Linearity" localSheetId="10">[90]Linearity!$A$15</definedName>
    <definedName name="Link_Linearity">[42]Linearity!$A$15</definedName>
    <definedName name="Link_Linearity_Graph" localSheetId="8">'[54]Linearity Chart'!$A$1</definedName>
    <definedName name="Link_Linearity_Graph" localSheetId="9">'[54]Linearity Chart'!$A$1</definedName>
    <definedName name="Link_Linearity_Graph" localSheetId="10">'[90]Linearity Chart'!$A$1</definedName>
    <definedName name="Link_Linearity_Graph">'[42]Linearity Chart'!$A$1</definedName>
    <definedName name="Link_NP" localSheetId="8">'[54]NP Trend'!$A$1</definedName>
    <definedName name="Link_NP" localSheetId="9">'[54]NP Trend'!$A$1</definedName>
    <definedName name="Link_NP" localSheetId="10">'[90]NP Trend'!$A$1</definedName>
    <definedName name="Link_NP">'[42]NP Trend'!$A$1</definedName>
    <definedName name="Link_Recon" localSheetId="8">[54]Recon!$A$16</definedName>
    <definedName name="Link_Recon" localSheetId="9">[54]Recon!$A$16</definedName>
    <definedName name="Link_Recon" localSheetId="10">[90]Recon!$A$16</definedName>
    <definedName name="Link_Recon">[42]Recon!$A$16</definedName>
    <definedName name="Link_Rev" localSheetId="8">'[54]Rev Trend'!$A$1</definedName>
    <definedName name="Link_Rev" localSheetId="9">'[54]Rev Trend'!$A$1</definedName>
    <definedName name="Link_Rev" localSheetId="10">'[90]Rev Trend'!$A$1</definedName>
    <definedName name="Link_Rev">'[42]Rev Trend'!$A$1</definedName>
    <definedName name="Link_Rev_GM1" localSheetId="8">'[54]Rev-GM Detail 1'!$A$1</definedName>
    <definedName name="Link_Rev_GM1" localSheetId="9">'[54]Rev-GM Detail 1'!$A$1</definedName>
    <definedName name="Link_Rev_GM1" localSheetId="10">'[90]Rev-GM Detail 1'!$A$1</definedName>
    <definedName name="Link_Rev_GM1">'[42]Rev-GM Detail 1'!$A$1</definedName>
    <definedName name="Link_Rev_GM2" localSheetId="8">'[54]Rev-GM Detail 2'!$A$1</definedName>
    <definedName name="Link_Rev_GM2" localSheetId="9">'[54]Rev-GM Detail 2'!$A$1</definedName>
    <definedName name="Link_Rev_GM2" localSheetId="10">'[90]Rev-GM Detail 2'!$A$1</definedName>
    <definedName name="Link_Rev_GM2">'[42]Rev-GM Detail 2'!$A$1</definedName>
    <definedName name="Link_Rev_Mix" localSheetId="8">'[54]Rev Mix Trend'!$A$1</definedName>
    <definedName name="Link_Rev_Mix" localSheetId="9">'[54]Rev Mix Trend'!$A$1</definedName>
    <definedName name="Link_Rev_Mix" localSheetId="10">'[90]Rev Mix Trend'!$A$1</definedName>
    <definedName name="Link_Rev_Mix">'[42]Rev Mix Trend'!$A$1</definedName>
    <definedName name="Link_Summary" localSheetId="8">[54]SUMMARY!$A$1</definedName>
    <definedName name="Link_Summary" localSheetId="9">[54]SUMMARY!$A$1</definedName>
    <definedName name="Link_Summary" localSheetId="10">[90]SUMMARY!$A$1</definedName>
    <definedName name="Link_Summary">[42]SUMMARY!$A$1</definedName>
    <definedName name="Link_Summary_Expd" localSheetId="8">'[54]SUMMARY (EXPD)'!$A$1</definedName>
    <definedName name="Link_Summary_Expd" localSheetId="9">'[54]SUMMARY (EXPD)'!$A$1</definedName>
    <definedName name="Link_Summary_Expd" localSheetId="10">'[90]SUMMARY (EXPD)'!$A$1</definedName>
    <definedName name="Link_Summary_Expd">'[42]SUMMARY (EXPD)'!$A$1</definedName>
    <definedName name="Link_Summary_Percent" localSheetId="8">'[54]SUMMARY (%)'!$A$1</definedName>
    <definedName name="Link_Summary_Percent" localSheetId="9">'[54]SUMMARY (%)'!$A$1</definedName>
    <definedName name="Link_Summary_Percent" localSheetId="10">'[90]SUMMARY (%)'!$A$1</definedName>
    <definedName name="Link_Summary_Percent">'[42]SUMMARY (%)'!$A$1</definedName>
    <definedName name="Link_Togo" localSheetId="8">'[54]QTD TO GO'!$A$1</definedName>
    <definedName name="Link_Togo" localSheetId="9">'[54]QTD TO GO'!$A$1</definedName>
    <definedName name="Link_Togo" localSheetId="10">'[90]QTD TO GO'!$A$1</definedName>
    <definedName name="Link_Togo">'[42]QTD TO GO'!$A$1</definedName>
    <definedName name="ListSub">RecoveredExternalLink40!Tableau1[#Data]</definedName>
    <definedName name="liz" localSheetId="4" hidden="1">{#N/A,#N/A,TRUE,"Distribution";#N/A,#N/A,TRUE,"Fulfillment";#N/A,#N/A,TRUE,"Aged Backorders"}</definedName>
    <definedName name="liz" localSheetId="3" hidden="1">{#N/A,#N/A,TRUE,"Distribution";#N/A,#N/A,TRUE,"Fulfillment";#N/A,#N/A,TRUE,"Aged Backorders"}</definedName>
    <definedName name="liz" localSheetId="2" hidden="1">{#N/A,#N/A,TRUE,"Distribution";#N/A,#N/A,TRUE,"Fulfillment";#N/A,#N/A,TRUE,"Aged Backorders"}</definedName>
    <definedName name="liz" localSheetId="8" hidden="1">{#N/A,#N/A,TRUE,"Distribution";#N/A,#N/A,TRUE,"Fulfillment";#N/A,#N/A,TRUE,"Aged Backorders"}</definedName>
    <definedName name="liz" localSheetId="9" hidden="1">{#N/A,#N/A,TRUE,"Distribution";#N/A,#N/A,TRUE,"Fulfillment";#N/A,#N/A,TRUE,"Aged Backorders"}</definedName>
    <definedName name="liz" localSheetId="10" hidden="1">{#N/A,#N/A,TRUE,"Distribution";#N/A,#N/A,TRUE,"Fulfillment";#N/A,#N/A,TRUE,"Aged Backorders"}</definedName>
    <definedName name="liz" hidden="1">{#N/A,#N/A,TRUE,"Distribution";#N/A,#N/A,TRUE,"Fulfillment";#N/A,#N/A,TRUE,"Aged Backorders"}</definedName>
    <definedName name="lizbeth" localSheetId="4" hidden="1">{#N/A,#N/A,TRUE,"Distribution";#N/A,#N/A,TRUE,"Fulfillment";#N/A,#N/A,TRUE,"Aged Backorders"}</definedName>
    <definedName name="lizbeth" localSheetId="3" hidden="1">{#N/A,#N/A,TRUE,"Distribution";#N/A,#N/A,TRUE,"Fulfillment";#N/A,#N/A,TRUE,"Aged Backorders"}</definedName>
    <definedName name="lizbeth" localSheetId="2" hidden="1">{#N/A,#N/A,TRUE,"Distribution";#N/A,#N/A,TRUE,"Fulfillment";#N/A,#N/A,TRUE,"Aged Backorders"}</definedName>
    <definedName name="lizbeth" localSheetId="8" hidden="1">{#N/A,#N/A,TRUE,"Distribution";#N/A,#N/A,TRUE,"Fulfillment";#N/A,#N/A,TRUE,"Aged Backorders"}</definedName>
    <definedName name="lizbeth" localSheetId="9" hidden="1">{#N/A,#N/A,TRUE,"Distribution";#N/A,#N/A,TRUE,"Fulfillment";#N/A,#N/A,TRUE,"Aged Backorders"}</definedName>
    <definedName name="lizbeth" localSheetId="10" hidden="1">{#N/A,#N/A,TRUE,"Distribution";#N/A,#N/A,TRUE,"Fulfillment";#N/A,#N/A,TRUE,"Aged Backorders"}</definedName>
    <definedName name="lizbeth" hidden="1">{#N/A,#N/A,TRUE,"Distribution";#N/A,#N/A,TRUE,"Fulfillment";#N/A,#N/A,TRUE,"Aged Backorders"}</definedName>
    <definedName name="lk" localSheetId="4">'[13]Container Cost Assumptions'!#REF!</definedName>
    <definedName name="lk" localSheetId="3">'[13]Container Cost Assumptions'!#REF!</definedName>
    <definedName name="lk" localSheetId="2">'[13]Container Cost Assumptions'!#REF!</definedName>
    <definedName name="lk" localSheetId="5">'[13]Container Cost Assumptions'!#REF!</definedName>
    <definedName name="lk" localSheetId="6">'[13]Container Cost Assumptions'!#REF!</definedName>
    <definedName name="lk" localSheetId="7">'[13]Container Cost Assumptions'!#REF!</definedName>
    <definedName name="lk" localSheetId="8">'[77]Container Cost Assumptions'!#REF!</definedName>
    <definedName name="lk" localSheetId="9">'[77]Container Cost Assumptions'!#REF!</definedName>
    <definedName name="lk" localSheetId="10">'[8]Container Cost Assumptions'!#REF!</definedName>
    <definedName name="lk">'[10]Container Cost Assumptions'!#REF!</definedName>
    <definedName name="lklk" localSheetId="4">#REF!</definedName>
    <definedName name="lklk" localSheetId="3">#REF!</definedName>
    <definedName name="lklk" localSheetId="2">#REF!</definedName>
    <definedName name="lklk" localSheetId="5">#REF!</definedName>
    <definedName name="lklk" localSheetId="6">#REF!</definedName>
    <definedName name="lklk" localSheetId="7">#REF!</definedName>
    <definedName name="lklk" localSheetId="8">#REF!</definedName>
    <definedName name="lklk" localSheetId="9">#REF!</definedName>
    <definedName name="lklk" localSheetId="10">#REF!</definedName>
    <definedName name="lklk" localSheetId="11">#REF!</definedName>
    <definedName name="lklk">#REF!</definedName>
    <definedName name="LKLKLKL" localSheetId="4">#REF!</definedName>
    <definedName name="LKLKLKL" localSheetId="3">#REF!</definedName>
    <definedName name="LKLKLKL" localSheetId="2">#REF!</definedName>
    <definedName name="LKLKLKL" localSheetId="5">#REF!</definedName>
    <definedName name="LKLKLKL" localSheetId="6">#REF!</definedName>
    <definedName name="LKLKLKL" localSheetId="7">#REF!</definedName>
    <definedName name="LKLKLKL" localSheetId="8">#REF!</definedName>
    <definedName name="LKLKLKL" localSheetId="9">#REF!</definedName>
    <definedName name="LKLKLKL" localSheetId="10">#REF!</definedName>
    <definedName name="LKLKLKL" localSheetId="11">#REF!</definedName>
    <definedName name="LKLKLKL">#REF!</definedName>
    <definedName name="LkupTbl" localSheetId="4">#REF!</definedName>
    <definedName name="LkupTbl" localSheetId="3">#REF!</definedName>
    <definedName name="LkupTbl" localSheetId="2">#REF!</definedName>
    <definedName name="LkupTbl" localSheetId="5">#REF!</definedName>
    <definedName name="LkupTbl" localSheetId="6">#REF!</definedName>
    <definedName name="LkupTbl" localSheetId="7">#REF!</definedName>
    <definedName name="LkupTbl" localSheetId="8">#REF!</definedName>
    <definedName name="LkupTbl" localSheetId="9">#REF!</definedName>
    <definedName name="LkupTbl" localSheetId="10">#REF!</definedName>
    <definedName name="LkupTbl" localSheetId="11">#REF!</definedName>
    <definedName name="LkupTbl">#REF!</definedName>
    <definedName name="LLKJJH" localSheetId="4" hidden="1">{#N/A,#N/A,TRUE,"Distribution";#N/A,#N/A,TRUE,"Fulfillment";#N/A,#N/A,TRUE,"Aged Backorders"}</definedName>
    <definedName name="LLKJJH" localSheetId="3" hidden="1">{#N/A,#N/A,TRUE,"Distribution";#N/A,#N/A,TRUE,"Fulfillment";#N/A,#N/A,TRUE,"Aged Backorders"}</definedName>
    <definedName name="LLKJJH" localSheetId="2" hidden="1">{#N/A,#N/A,TRUE,"Distribution";#N/A,#N/A,TRUE,"Fulfillment";#N/A,#N/A,TRUE,"Aged Backorders"}</definedName>
    <definedName name="LLKJJH" localSheetId="8" hidden="1">{#N/A,#N/A,TRUE,"Distribution";#N/A,#N/A,TRUE,"Fulfillment";#N/A,#N/A,TRUE,"Aged Backorders"}</definedName>
    <definedName name="LLKJJH" localSheetId="9" hidden="1">{#N/A,#N/A,TRUE,"Distribution";#N/A,#N/A,TRUE,"Fulfillment";#N/A,#N/A,TRUE,"Aged Backorders"}</definedName>
    <definedName name="LLKJJH" localSheetId="10" hidden="1">{#N/A,#N/A,TRUE,"Distribution";#N/A,#N/A,TRUE,"Fulfillment";#N/A,#N/A,TRUE,"Aged Backorders"}</definedName>
    <definedName name="LLKJJH" hidden="1">{#N/A,#N/A,TRUE,"Distribution";#N/A,#N/A,TRUE,"Fulfillment";#N/A,#N/A,TRUE,"Aged Backorders"}</definedName>
    <definedName name="lll" localSheetId="4">#REF!</definedName>
    <definedName name="lll" localSheetId="3">#REF!</definedName>
    <definedName name="lll" localSheetId="2">#REF!</definedName>
    <definedName name="lll" localSheetId="5">#REF!</definedName>
    <definedName name="lll" localSheetId="6">#REF!</definedName>
    <definedName name="lll" localSheetId="7">#REF!</definedName>
    <definedName name="lll" localSheetId="8">#REF!</definedName>
    <definedName name="lll" localSheetId="9">#REF!</definedName>
    <definedName name="lll" localSheetId="10">#REF!</definedName>
    <definedName name="lll" localSheetId="11">#REF!</definedName>
    <definedName name="lll">#REF!</definedName>
    <definedName name="lllk" localSheetId="4">#REF!</definedName>
    <definedName name="lllk" localSheetId="3">#REF!</definedName>
    <definedName name="lllk" localSheetId="2">#REF!</definedName>
    <definedName name="lllk" localSheetId="5">#REF!</definedName>
    <definedName name="lllk" localSheetId="6">#REF!</definedName>
    <definedName name="lllk" localSheetId="7">#REF!</definedName>
    <definedName name="lllk" localSheetId="8">#REF!</definedName>
    <definedName name="lllk" localSheetId="9">#REF!</definedName>
    <definedName name="lllk" localSheetId="10">#REF!</definedName>
    <definedName name="lllk" localSheetId="11">#REF!</definedName>
    <definedName name="lllk">#REF!</definedName>
    <definedName name="llllk" localSheetId="4">#REF!</definedName>
    <definedName name="llllk" localSheetId="3">#REF!</definedName>
    <definedName name="llllk" localSheetId="2">#REF!</definedName>
    <definedName name="llllk" localSheetId="5">#REF!</definedName>
    <definedName name="llllk" localSheetId="6">#REF!</definedName>
    <definedName name="llllk" localSheetId="7">#REF!</definedName>
    <definedName name="llllk" localSheetId="8">#REF!</definedName>
    <definedName name="llllk" localSheetId="9">#REF!</definedName>
    <definedName name="llllk" localSheetId="10">#REF!</definedName>
    <definedName name="llllk" localSheetId="11">#REF!</definedName>
    <definedName name="llllk">#REF!</definedName>
    <definedName name="Loan_Amount" localSheetId="4">#REF!</definedName>
    <definedName name="Loan_Amount" localSheetId="3">#REF!</definedName>
    <definedName name="Loan_Amount" localSheetId="2">#REF!</definedName>
    <definedName name="Loan_Amount" localSheetId="5">#REF!</definedName>
    <definedName name="Loan_Amount" localSheetId="6">#REF!</definedName>
    <definedName name="Loan_Amount" localSheetId="7">#REF!</definedName>
    <definedName name="Loan_Amount" localSheetId="8">#REF!</definedName>
    <definedName name="Loan_Amount" localSheetId="9">#REF!</definedName>
    <definedName name="Loan_Amount" localSheetId="10">#REF!</definedName>
    <definedName name="Loan_Amount" localSheetId="11">#REF!</definedName>
    <definedName name="Loan_Amount">#REF!</definedName>
    <definedName name="Loan_Start" localSheetId="4">#REF!</definedName>
    <definedName name="Loan_Start" localSheetId="3">#REF!</definedName>
    <definedName name="Loan_Start" localSheetId="2">#REF!</definedName>
    <definedName name="Loan_Start" localSheetId="5">#REF!</definedName>
    <definedName name="Loan_Start" localSheetId="6">#REF!</definedName>
    <definedName name="Loan_Start" localSheetId="7">#REF!</definedName>
    <definedName name="Loan_Start" localSheetId="8">#REF!</definedName>
    <definedName name="Loan_Start" localSheetId="9">#REF!</definedName>
    <definedName name="Loan_Start" localSheetId="10">#REF!</definedName>
    <definedName name="Loan_Start" localSheetId="11">#REF!</definedName>
    <definedName name="Loan_Start">#REF!</definedName>
    <definedName name="Loan_Years" localSheetId="4">#REF!</definedName>
    <definedName name="Loan_Years" localSheetId="3">#REF!</definedName>
    <definedName name="Loan_Years" localSheetId="2">#REF!</definedName>
    <definedName name="Loan_Years" localSheetId="5">#REF!</definedName>
    <definedName name="Loan_Years" localSheetId="6">#REF!</definedName>
    <definedName name="Loan_Years" localSheetId="7">#REF!</definedName>
    <definedName name="Loan_Years" localSheetId="8">#REF!</definedName>
    <definedName name="Loan_Years" localSheetId="9">#REF!</definedName>
    <definedName name="Loan_Years" localSheetId="10">#REF!</definedName>
    <definedName name="Loan_Years" localSheetId="11">#REF!</definedName>
    <definedName name="Loan_Years">#REF!</definedName>
    <definedName name="Locations" localSheetId="4">[46]EPR!$P$1:$P$5</definedName>
    <definedName name="Locations" localSheetId="3">[46]EPR!$P$1:$P$5</definedName>
    <definedName name="Locations" localSheetId="2">[46]EPR!$P$1:$P$5</definedName>
    <definedName name="Locations" localSheetId="5">[46]EPR!$P$1:$P$5</definedName>
    <definedName name="Locations" localSheetId="6">[46]EPR!$P$1:$P$5</definedName>
    <definedName name="Locations" localSheetId="7">[46]EPR!$P$1:$P$5</definedName>
    <definedName name="Locations" localSheetId="8">[46]EPR!$P$1:$P$5</definedName>
    <definedName name="Locations" localSheetId="9">[46]EPR!$P$1:$P$5</definedName>
    <definedName name="Locations" localSheetId="10">[88]EPR!$P$1:$P$5</definedName>
    <definedName name="Locations">[35]EPR!$P$1:$P$5</definedName>
    <definedName name="lodl" localSheetId="4" hidden="1">{#N/A,#N/A,TRUE,"Distribution";#N/A,#N/A,TRUE,"Fulfillment";#N/A,#N/A,TRUE,"Aged Backorders"}</definedName>
    <definedName name="lodl" localSheetId="3" hidden="1">{#N/A,#N/A,TRUE,"Distribution";#N/A,#N/A,TRUE,"Fulfillment";#N/A,#N/A,TRUE,"Aged Backorders"}</definedName>
    <definedName name="lodl" localSheetId="2" hidden="1">{#N/A,#N/A,TRUE,"Distribution";#N/A,#N/A,TRUE,"Fulfillment";#N/A,#N/A,TRUE,"Aged Backorders"}</definedName>
    <definedName name="lodl" localSheetId="8" hidden="1">{#N/A,#N/A,TRUE,"Distribution";#N/A,#N/A,TRUE,"Fulfillment";#N/A,#N/A,TRUE,"Aged Backorders"}</definedName>
    <definedName name="lodl" localSheetId="9" hidden="1">{#N/A,#N/A,TRUE,"Distribution";#N/A,#N/A,TRUE,"Fulfillment";#N/A,#N/A,TRUE,"Aged Backorders"}</definedName>
    <definedName name="lodl" localSheetId="10" hidden="1">{#N/A,#N/A,TRUE,"Distribution";#N/A,#N/A,TRUE,"Fulfillment";#N/A,#N/A,TRUE,"Aged Backorders"}</definedName>
    <definedName name="lodl" hidden="1">{#N/A,#N/A,TRUE,"Distribution";#N/A,#N/A,TRUE,"Fulfillment";#N/A,#N/A,TRUE,"Aged Backorders"}</definedName>
    <definedName name="lol" localSheetId="4" hidden="1">{#N/A,#N/A,TRUE,"Distribution";#N/A,#N/A,TRUE,"Fulfillment";#N/A,#N/A,TRUE,"Aged Backorders"}</definedName>
    <definedName name="lol" localSheetId="3" hidden="1">{#N/A,#N/A,TRUE,"Distribution";#N/A,#N/A,TRUE,"Fulfillment";#N/A,#N/A,TRUE,"Aged Backorders"}</definedName>
    <definedName name="lol" localSheetId="2" hidden="1">{#N/A,#N/A,TRUE,"Distribution";#N/A,#N/A,TRUE,"Fulfillment";#N/A,#N/A,TRUE,"Aged Backorders"}</definedName>
    <definedName name="lol" localSheetId="8" hidden="1">{#N/A,#N/A,TRUE,"Distribution";#N/A,#N/A,TRUE,"Fulfillment";#N/A,#N/A,TRUE,"Aged Backorders"}</definedName>
    <definedName name="lol" localSheetId="9" hidden="1">{#N/A,#N/A,TRUE,"Distribution";#N/A,#N/A,TRUE,"Fulfillment";#N/A,#N/A,TRUE,"Aged Backorders"}</definedName>
    <definedName name="lol" localSheetId="10" hidden="1">{#N/A,#N/A,TRUE,"Distribution";#N/A,#N/A,TRUE,"Fulfillment";#N/A,#N/A,TRUE,"Aged Backorders"}</definedName>
    <definedName name="lol" hidden="1">{#N/A,#N/A,TRUE,"Distribution";#N/A,#N/A,TRUE,"Fulfillment";#N/A,#N/A,TRUE,"Aged Backorders"}</definedName>
    <definedName name="Long_title" localSheetId="8">[54]FP!$E$14</definedName>
    <definedName name="Long_title" localSheetId="9">[54]FP!$E$14</definedName>
    <definedName name="Long_title" localSheetId="10">[90]FP!$E$14</definedName>
    <definedName name="Long_title">[42]FP!$E$14</definedName>
    <definedName name="LookList" localSheetId="4">#REF!</definedName>
    <definedName name="LookList" localSheetId="3">#REF!</definedName>
    <definedName name="LookList" localSheetId="2">#REF!</definedName>
    <definedName name="LookList" localSheetId="5">#REF!</definedName>
    <definedName name="LookList" localSheetId="6">#REF!</definedName>
    <definedName name="LookList" localSheetId="7">#REF!</definedName>
    <definedName name="LookList" localSheetId="8">#REF!</definedName>
    <definedName name="LookList" localSheetId="9">#REF!</definedName>
    <definedName name="LookList" localSheetId="10">#REF!</definedName>
    <definedName name="LookList" localSheetId="11">#REF!</definedName>
    <definedName name="LookList">#REF!</definedName>
    <definedName name="lower_spec" localSheetId="4">#REF!</definedName>
    <definedName name="lower_spec" localSheetId="3">#REF!</definedName>
    <definedName name="lower_spec" localSheetId="2">#REF!</definedName>
    <definedName name="lower_spec" localSheetId="5">#REF!</definedName>
    <definedName name="lower_spec" localSheetId="6">#REF!</definedName>
    <definedName name="lower_spec" localSheetId="7">#REF!</definedName>
    <definedName name="lower_spec" localSheetId="8">#REF!</definedName>
    <definedName name="lower_spec" localSheetId="9">#REF!</definedName>
    <definedName name="lower_spec" localSheetId="10">#REF!</definedName>
    <definedName name="lower_spec" localSheetId="11">#REF!</definedName>
    <definedName name="lower_spec">#REF!</definedName>
    <definedName name="lp" localSheetId="4">#REF!</definedName>
    <definedName name="lp" localSheetId="3">#REF!</definedName>
    <definedName name="lp" localSheetId="2">#REF!</definedName>
    <definedName name="lp" localSheetId="5">#REF!</definedName>
    <definedName name="lp" localSheetId="6">#REF!</definedName>
    <definedName name="lp" localSheetId="7">#REF!</definedName>
    <definedName name="lp" localSheetId="8">#REF!</definedName>
    <definedName name="lp" localSheetId="9">#REF!</definedName>
    <definedName name="lp" localSheetId="10">#REF!</definedName>
    <definedName name="lp" localSheetId="11">#REF!</definedName>
    <definedName name="lp">#REF!</definedName>
    <definedName name="M" localSheetId="4" hidden="1">{"'打点割り振り (2)'!$A$1:$G$35"}</definedName>
    <definedName name="M" localSheetId="3" hidden="1">{"'打点割り振り (2)'!$A$1:$G$35"}</definedName>
    <definedName name="M" localSheetId="2" hidden="1">{"'打点割り振り (2)'!$A$1:$G$35"}</definedName>
    <definedName name="M" localSheetId="8" hidden="1">{"'打点割り振り (2)'!$A$1:$G$35"}</definedName>
    <definedName name="M" localSheetId="9" hidden="1">{"'打点割り振り (2)'!$A$1:$G$35"}</definedName>
    <definedName name="M" localSheetId="10" hidden="1">{"'打点割り振り (2)'!$A$1:$G$35"}</definedName>
    <definedName name="M" hidden="1">{"'打点割り振り (2)'!$A$1:$G$35"}</definedName>
    <definedName name="M04_" localSheetId="4">#REF!</definedName>
    <definedName name="M04_" localSheetId="3">#REF!</definedName>
    <definedName name="M04_" localSheetId="2">#REF!</definedName>
    <definedName name="M04_" localSheetId="5">#REF!</definedName>
    <definedName name="M04_" localSheetId="6">#REF!</definedName>
    <definedName name="M04_" localSheetId="7">#REF!</definedName>
    <definedName name="M04_" localSheetId="8">#REF!</definedName>
    <definedName name="M04_" localSheetId="9">#REF!</definedName>
    <definedName name="M04_" localSheetId="10">#REF!</definedName>
    <definedName name="M04_" localSheetId="11">#REF!</definedName>
    <definedName name="M04_">#REF!</definedName>
    <definedName name="M05_" localSheetId="4">#REF!</definedName>
    <definedName name="M05_" localSheetId="3">#REF!</definedName>
    <definedName name="M05_" localSheetId="2">#REF!</definedName>
    <definedName name="M05_" localSheetId="5">#REF!</definedName>
    <definedName name="M05_" localSheetId="6">#REF!</definedName>
    <definedName name="M05_" localSheetId="7">#REF!</definedName>
    <definedName name="M05_" localSheetId="8">#REF!</definedName>
    <definedName name="M05_" localSheetId="9">#REF!</definedName>
    <definedName name="M05_" localSheetId="10">#REF!</definedName>
    <definedName name="M05_" localSheetId="11">#REF!</definedName>
    <definedName name="M05_">#REF!</definedName>
    <definedName name="mab" localSheetId="4" hidden="1">{#N/A,#N/A,TRUE,"Distribution";#N/A,#N/A,TRUE,"Fulfillment";#N/A,#N/A,TRUE,"Aged Backorders"}</definedName>
    <definedName name="mab" localSheetId="3" hidden="1">{#N/A,#N/A,TRUE,"Distribution";#N/A,#N/A,TRUE,"Fulfillment";#N/A,#N/A,TRUE,"Aged Backorders"}</definedName>
    <definedName name="mab" localSheetId="2" hidden="1">{#N/A,#N/A,TRUE,"Distribution";#N/A,#N/A,TRUE,"Fulfillment";#N/A,#N/A,TRUE,"Aged Backorders"}</definedName>
    <definedName name="mab" localSheetId="8" hidden="1">{#N/A,#N/A,TRUE,"Distribution";#N/A,#N/A,TRUE,"Fulfillment";#N/A,#N/A,TRUE,"Aged Backorders"}</definedName>
    <definedName name="mab" localSheetId="9" hidden="1">{#N/A,#N/A,TRUE,"Distribution";#N/A,#N/A,TRUE,"Fulfillment";#N/A,#N/A,TRUE,"Aged Backorders"}</definedName>
    <definedName name="mab" localSheetId="10" hidden="1">{#N/A,#N/A,TRUE,"Distribution";#N/A,#N/A,TRUE,"Fulfillment";#N/A,#N/A,TRUE,"Aged Backorders"}</definedName>
    <definedName name="mab" hidden="1">{#N/A,#N/A,TRUE,"Distribution";#N/A,#N/A,TRUE,"Fulfillment";#N/A,#N/A,TRUE,"Aged Backorders"}</definedName>
    <definedName name="Macros" localSheetId="4">#REF!</definedName>
    <definedName name="Macros" localSheetId="3">#REF!</definedName>
    <definedName name="Macros" localSheetId="2">#REF!</definedName>
    <definedName name="Macros" localSheetId="5">#REF!</definedName>
    <definedName name="Macros" localSheetId="6">#REF!</definedName>
    <definedName name="Macros" localSheetId="7">#REF!</definedName>
    <definedName name="Macros" localSheetId="8">#REF!</definedName>
    <definedName name="Macros" localSheetId="9">#REF!</definedName>
    <definedName name="Macros" localSheetId="10">#REF!</definedName>
    <definedName name="Macros" localSheetId="11">#REF!</definedName>
    <definedName name="Macros">#REF!</definedName>
    <definedName name="maindata" localSheetId="4">#REF!</definedName>
    <definedName name="maindata" localSheetId="3">#REF!</definedName>
    <definedName name="maindata" localSheetId="2">#REF!</definedName>
    <definedName name="maindata" localSheetId="5">#REF!</definedName>
    <definedName name="maindata" localSheetId="6">#REF!</definedName>
    <definedName name="maindata" localSheetId="7">#REF!</definedName>
    <definedName name="maindata" localSheetId="8">#REF!</definedName>
    <definedName name="maindata" localSheetId="9">#REF!</definedName>
    <definedName name="maindata" localSheetId="10">#REF!</definedName>
    <definedName name="maindata" localSheetId="11">#REF!</definedName>
    <definedName name="maindata">#REF!</definedName>
    <definedName name="MAKEDATE" localSheetId="4">#REF!</definedName>
    <definedName name="MAKEDATE" localSheetId="3">#REF!</definedName>
    <definedName name="MAKEDATE" localSheetId="2">#REF!</definedName>
    <definedName name="MAKEDATE" localSheetId="5">#REF!</definedName>
    <definedName name="MAKEDATE" localSheetId="6">#REF!</definedName>
    <definedName name="MAKEDATE" localSheetId="7">#REF!</definedName>
    <definedName name="MAKEDATE" localSheetId="8">#REF!</definedName>
    <definedName name="MAKEDATE" localSheetId="9">#REF!</definedName>
    <definedName name="MAKEDATE" localSheetId="10">#REF!</definedName>
    <definedName name="MAKEDATE" localSheetId="11">#REF!</definedName>
    <definedName name="MAKEDATE">#REF!</definedName>
    <definedName name="MAKEPRSN" localSheetId="4">#REF!</definedName>
    <definedName name="MAKEPRSN" localSheetId="3">#REF!</definedName>
    <definedName name="MAKEPRSN" localSheetId="2">#REF!</definedName>
    <definedName name="MAKEPRSN" localSheetId="5">#REF!</definedName>
    <definedName name="MAKEPRSN" localSheetId="6">#REF!</definedName>
    <definedName name="MAKEPRSN" localSheetId="7">#REF!</definedName>
    <definedName name="MAKEPRSN" localSheetId="8">#REF!</definedName>
    <definedName name="MAKEPRSN" localSheetId="9">#REF!</definedName>
    <definedName name="MAKEPRSN" localSheetId="10">#REF!</definedName>
    <definedName name="MAKEPRSN" localSheetId="11">#REF!</definedName>
    <definedName name="MAKEPRSN">#REF!</definedName>
    <definedName name="MAKER" localSheetId="4">#REF!</definedName>
    <definedName name="MAKER" localSheetId="3">#REF!</definedName>
    <definedName name="MAKER" localSheetId="2">#REF!</definedName>
    <definedName name="MAKER" localSheetId="5">#REF!</definedName>
    <definedName name="MAKER" localSheetId="6">#REF!</definedName>
    <definedName name="MAKER" localSheetId="7">#REF!</definedName>
    <definedName name="MAKER" localSheetId="8">#REF!</definedName>
    <definedName name="MAKER" localSheetId="9">#REF!</definedName>
    <definedName name="MAKER" localSheetId="10">#REF!</definedName>
    <definedName name="MAKER" localSheetId="11">#REF!</definedName>
    <definedName name="MAKER">#REF!</definedName>
    <definedName name="Manager_s" localSheetId="4">#REF!</definedName>
    <definedName name="Manager_s" localSheetId="3">#REF!</definedName>
    <definedName name="Manager_s" localSheetId="2">#REF!</definedName>
    <definedName name="Manager_s" localSheetId="5">#REF!</definedName>
    <definedName name="Manager_s" localSheetId="6">#REF!</definedName>
    <definedName name="Manager_s" localSheetId="7">#REF!</definedName>
    <definedName name="Manager_s" localSheetId="8">#REF!</definedName>
    <definedName name="Manager_s" localSheetId="9">#REF!</definedName>
    <definedName name="Manager_s" localSheetId="10">#REF!</definedName>
    <definedName name="Manager_s" localSheetId="11">#REF!</definedName>
    <definedName name="Manager_s">#REF!</definedName>
    <definedName name="mande" localSheetId="4" hidden="1">{#N/A,#N/A,TRUE,"Distribution";#N/A,#N/A,TRUE,"Fulfillment";#N/A,#N/A,TRUE,"Aged Backorders"}</definedName>
    <definedName name="mande" localSheetId="3" hidden="1">{#N/A,#N/A,TRUE,"Distribution";#N/A,#N/A,TRUE,"Fulfillment";#N/A,#N/A,TRUE,"Aged Backorders"}</definedName>
    <definedName name="mande" localSheetId="2" hidden="1">{#N/A,#N/A,TRUE,"Distribution";#N/A,#N/A,TRUE,"Fulfillment";#N/A,#N/A,TRUE,"Aged Backorders"}</definedName>
    <definedName name="mande" localSheetId="8" hidden="1">{#N/A,#N/A,TRUE,"Distribution";#N/A,#N/A,TRUE,"Fulfillment";#N/A,#N/A,TRUE,"Aged Backorders"}</definedName>
    <definedName name="mande" localSheetId="9" hidden="1">{#N/A,#N/A,TRUE,"Distribution";#N/A,#N/A,TRUE,"Fulfillment";#N/A,#N/A,TRUE,"Aged Backorders"}</definedName>
    <definedName name="mande" localSheetId="10" hidden="1">{#N/A,#N/A,TRUE,"Distribution";#N/A,#N/A,TRUE,"Fulfillment";#N/A,#N/A,TRUE,"Aged Backorders"}</definedName>
    <definedName name="mande" hidden="1">{#N/A,#N/A,TRUE,"Distribution";#N/A,#N/A,TRUE,"Fulfillment";#N/A,#N/A,TRUE,"Aged Backorders"}</definedName>
    <definedName name="marchcost" localSheetId="4">'[13]Container Cost Assumptions'!$A$9:$IV$235</definedName>
    <definedName name="marchcost" localSheetId="3">'[13]Container Cost Assumptions'!$A$9:$IV$235</definedName>
    <definedName name="marchcost" localSheetId="2">'[13]Container Cost Assumptions'!$A$9:$IV$235</definedName>
    <definedName name="marchcost" localSheetId="5">'[13]Container Cost Assumptions'!$A$9:$IV$235</definedName>
    <definedName name="marchcost" localSheetId="6">'[13]Container Cost Assumptions'!$A$9:$IV$235</definedName>
    <definedName name="marchcost" localSheetId="7">'[13]Container Cost Assumptions'!$A$9:$IV$235</definedName>
    <definedName name="marchcost" localSheetId="8">'[77]Container Cost Assumptions'!$A$9:$IV$235</definedName>
    <definedName name="marchcost" localSheetId="9">'[77]Container Cost Assumptions'!$A$9:$IV$235</definedName>
    <definedName name="marchcost" localSheetId="10">'[8]Container Cost Assumptions'!$A$9:$IV$235</definedName>
    <definedName name="marchcost">'[10]Container Cost Assumptions'!$A$9:$IV$235</definedName>
    <definedName name="MARCOST" localSheetId="4">'[13]Container Cost Assumptions'!$A:$IV</definedName>
    <definedName name="MARCOST" localSheetId="3">'[13]Container Cost Assumptions'!$A:$IV</definedName>
    <definedName name="MARCOST" localSheetId="2">'[13]Container Cost Assumptions'!$A:$IV</definedName>
    <definedName name="MARCOST" localSheetId="5">'[13]Container Cost Assumptions'!$A:$IV</definedName>
    <definedName name="MARCOST" localSheetId="6">'[13]Container Cost Assumptions'!$A:$IV</definedName>
    <definedName name="MARCOST" localSheetId="7">'[13]Container Cost Assumptions'!$A:$IV</definedName>
    <definedName name="MARCOST" localSheetId="8">'[77]Container Cost Assumptions'!$A:$IV</definedName>
    <definedName name="MARCOST" localSheetId="9">'[77]Container Cost Assumptions'!$A:$IV</definedName>
    <definedName name="MARCOST" localSheetId="10">'[8]Container Cost Assumptions'!$A:$IV</definedName>
    <definedName name="MARCOST">'[10]Container Cost Assumptions'!$A:$IV</definedName>
    <definedName name="MarketList" localSheetId="4">[49]LOV!$A$13</definedName>
    <definedName name="MarketList" localSheetId="3">[49]LOV!$A$13</definedName>
    <definedName name="MarketList" localSheetId="2">[49]LOV!$A$13</definedName>
    <definedName name="MarketList" localSheetId="5">[49]LOV!$A$13</definedName>
    <definedName name="MarketList" localSheetId="6">[49]LOV!$A$13</definedName>
    <definedName name="MarketList" localSheetId="7">[49]LOV!$A$13</definedName>
    <definedName name="MarketList" localSheetId="8">[50]LOV!$A$13</definedName>
    <definedName name="MarketList" localSheetId="9">[50]LOV!$A$13</definedName>
    <definedName name="MarketList" localSheetId="10">[89]LOV!$A$13</definedName>
    <definedName name="MarketList">[38]LOV!$A$13</definedName>
    <definedName name="Markets" localSheetId="4">[49]LOV!$A$14:$R$14</definedName>
    <definedName name="Markets" localSheetId="3">[49]LOV!$A$14:$R$14</definedName>
    <definedName name="Markets" localSheetId="2">[49]LOV!$A$14:$R$14</definedName>
    <definedName name="Markets" localSheetId="5">[49]LOV!$A$14:$R$14</definedName>
    <definedName name="Markets" localSheetId="6">[49]LOV!$A$14:$R$14</definedName>
    <definedName name="Markets" localSheetId="7">[49]LOV!$A$14:$R$14</definedName>
    <definedName name="Markets" localSheetId="8">[50]LOV!$A$14:$R$14</definedName>
    <definedName name="Markets" localSheetId="9">[50]LOV!$A$14:$R$14</definedName>
    <definedName name="Markets" localSheetId="10">[89]LOV!$A$14:$R$14</definedName>
    <definedName name="Markets">[38]LOV!$A$14:$R$14</definedName>
    <definedName name="markupleap">'[52]Leap PO Std.'!$A$25:$IV$317</definedName>
    <definedName name="markupquantum">'[52]Quantum PO Std'!$A$6:$IV$829</definedName>
    <definedName name="MASTER1" localSheetId="4">#REF!</definedName>
    <definedName name="MASTER1" localSheetId="3">#REF!</definedName>
    <definedName name="MASTER1" localSheetId="2">#REF!</definedName>
    <definedName name="MASTER1" localSheetId="5">#REF!</definedName>
    <definedName name="MASTER1" localSheetId="6">#REF!</definedName>
    <definedName name="MASTER1" localSheetId="7">#REF!</definedName>
    <definedName name="MASTER1" localSheetId="8">#REF!</definedName>
    <definedName name="MASTER1" localSheetId="9">#REF!</definedName>
    <definedName name="MASTER1" localSheetId="10">#REF!</definedName>
    <definedName name="MASTER1" localSheetId="11">#REF!</definedName>
    <definedName name="MASTER1">#REF!</definedName>
    <definedName name="MASTER2" localSheetId="4">#REF!</definedName>
    <definedName name="MASTER2" localSheetId="3">#REF!</definedName>
    <definedName name="MASTER2" localSheetId="2">#REF!</definedName>
    <definedName name="MASTER2" localSheetId="5">#REF!</definedName>
    <definedName name="MASTER2" localSheetId="6">#REF!</definedName>
    <definedName name="MASTER2" localSheetId="7">#REF!</definedName>
    <definedName name="MASTER2" localSheetId="8">#REF!</definedName>
    <definedName name="MASTER2" localSheetId="9">#REF!</definedName>
    <definedName name="MASTER2" localSheetId="10">#REF!</definedName>
    <definedName name="MASTER2" localSheetId="11">#REF!</definedName>
    <definedName name="MASTER2">#REF!</definedName>
    <definedName name="MASTER3" localSheetId="4">#REF!</definedName>
    <definedName name="MASTER3" localSheetId="3">#REF!</definedName>
    <definedName name="MASTER3" localSheetId="2">#REF!</definedName>
    <definedName name="MASTER3" localSheetId="5">#REF!</definedName>
    <definedName name="MASTER3" localSheetId="6">#REF!</definedName>
    <definedName name="MASTER3" localSheetId="7">#REF!</definedName>
    <definedName name="MASTER3" localSheetId="8">#REF!</definedName>
    <definedName name="MASTER3" localSheetId="9">#REF!</definedName>
    <definedName name="MASTER3" localSheetId="10">#REF!</definedName>
    <definedName name="MASTER3" localSheetId="11">#REF!</definedName>
    <definedName name="MASTER3">#REF!</definedName>
    <definedName name="MASTER4" localSheetId="4">#REF!</definedName>
    <definedName name="MASTER4" localSheetId="3">#REF!</definedName>
    <definedName name="MASTER4" localSheetId="2">#REF!</definedName>
    <definedName name="MASTER4" localSheetId="5">#REF!</definedName>
    <definedName name="MASTER4" localSheetId="6">#REF!</definedName>
    <definedName name="MASTER4" localSheetId="7">#REF!</definedName>
    <definedName name="MASTER4" localSheetId="8">#REF!</definedName>
    <definedName name="MASTER4" localSheetId="9">#REF!</definedName>
    <definedName name="MASTER4" localSheetId="10">#REF!</definedName>
    <definedName name="MASTER4" localSheetId="11">#REF!</definedName>
    <definedName name="MASTER4">#REF!</definedName>
    <definedName name="MASTER5" localSheetId="4">#REF!</definedName>
    <definedName name="MASTER5" localSheetId="3">#REF!</definedName>
    <definedName name="MASTER5" localSheetId="2">#REF!</definedName>
    <definedName name="MASTER5" localSheetId="5">#REF!</definedName>
    <definedName name="MASTER5" localSheetId="6">#REF!</definedName>
    <definedName name="MASTER5" localSheetId="7">#REF!</definedName>
    <definedName name="MASTER5" localSheetId="8">#REF!</definedName>
    <definedName name="MASTER5" localSheetId="9">#REF!</definedName>
    <definedName name="MASTER5" localSheetId="10">#REF!</definedName>
    <definedName name="MASTER5" localSheetId="11">#REF!</definedName>
    <definedName name="MASTER5">#REF!</definedName>
    <definedName name="MASTER6" localSheetId="4">#REF!</definedName>
    <definedName name="MASTER6" localSheetId="3">#REF!</definedName>
    <definedName name="MASTER6" localSheetId="2">#REF!</definedName>
    <definedName name="MASTER6" localSheetId="5">#REF!</definedName>
    <definedName name="MASTER6" localSheetId="6">#REF!</definedName>
    <definedName name="MASTER6" localSheetId="7">#REF!</definedName>
    <definedName name="MASTER6" localSheetId="8">#REF!</definedName>
    <definedName name="MASTER6" localSheetId="9">#REF!</definedName>
    <definedName name="MASTER6" localSheetId="10">#REF!</definedName>
    <definedName name="MASTER6" localSheetId="11">#REF!</definedName>
    <definedName name="MASTER6">#REF!</definedName>
    <definedName name="MASTER7" localSheetId="4">#REF!</definedName>
    <definedName name="MASTER7" localSheetId="3">#REF!</definedName>
    <definedName name="MASTER7" localSheetId="2">#REF!</definedName>
    <definedName name="MASTER7" localSheetId="5">#REF!</definedName>
    <definedName name="MASTER7" localSheetId="6">#REF!</definedName>
    <definedName name="MASTER7" localSheetId="7">#REF!</definedName>
    <definedName name="MASTER7" localSheetId="8">#REF!</definedName>
    <definedName name="MASTER7" localSheetId="9">#REF!</definedName>
    <definedName name="MASTER7" localSheetId="10">#REF!</definedName>
    <definedName name="MASTER7" localSheetId="11">#REF!</definedName>
    <definedName name="MASTER7">#REF!</definedName>
    <definedName name="may" localSheetId="4">[33]mayo!$I$1:$J$65536</definedName>
    <definedName name="may" localSheetId="3">[33]mayo!$I$1:$J$65536</definedName>
    <definedName name="may" localSheetId="2">[33]mayo!$I$1:$J$65536</definedName>
    <definedName name="may" localSheetId="5">[33]mayo!$I$1:$J$65536</definedName>
    <definedName name="may" localSheetId="6">[33]mayo!$I$1:$J$65536</definedName>
    <definedName name="may" localSheetId="7">[33]mayo!$I$1:$J$65536</definedName>
    <definedName name="may" localSheetId="8">[33]mayo!$I$1:$J$65536</definedName>
    <definedName name="may" localSheetId="9">[33]mayo!$I$1:$J$65536</definedName>
    <definedName name="may" localSheetId="10">[70]mayo!$I$1:$J$65536</definedName>
    <definedName name="may">[25]mayo!$I$1:$J$65536</definedName>
    <definedName name="maycost" localSheetId="4">'[13]Container Cost Assumptions'!$A$9:$H$232</definedName>
    <definedName name="maycost" localSheetId="3">'[13]Container Cost Assumptions'!$A$9:$H$232</definedName>
    <definedName name="maycost" localSheetId="2">'[13]Container Cost Assumptions'!$A$9:$H$232</definedName>
    <definedName name="maycost" localSheetId="5">'[13]Container Cost Assumptions'!$A$9:$H$232</definedName>
    <definedName name="maycost" localSheetId="6">'[13]Container Cost Assumptions'!$A$9:$H$232</definedName>
    <definedName name="maycost" localSheetId="7">'[13]Container Cost Assumptions'!$A$9:$H$232</definedName>
    <definedName name="maycost" localSheetId="8">'[77]Container Cost Assumptions'!$A$9:$H$232</definedName>
    <definedName name="maycost" localSheetId="9">'[77]Container Cost Assumptions'!$A$9:$H$232</definedName>
    <definedName name="maycost" localSheetId="10">'[8]Container Cost Assumptions'!$A$9:$H$232</definedName>
    <definedName name="maycost">'[10]Container Cost Assumptions'!$A$9:$H$232</definedName>
    <definedName name="maydante" localSheetId="4">'[33]May Dante'!$A$1:$E$65536</definedName>
    <definedName name="maydante" localSheetId="3">'[33]May Dante'!$A$1:$E$65536</definedName>
    <definedName name="maydante" localSheetId="2">'[33]May Dante'!$A$1:$E$65536</definedName>
    <definedName name="maydante" localSheetId="5">'[33]May Dante'!$A$1:$E$65536</definedName>
    <definedName name="maydante" localSheetId="6">'[33]May Dante'!$A$1:$E$65536</definedName>
    <definedName name="maydante" localSheetId="7">'[33]May Dante'!$A$1:$E$65536</definedName>
    <definedName name="maydante" localSheetId="8">'[33]May Dante'!$A$1:$E$65536</definedName>
    <definedName name="maydante" localSheetId="9">'[33]May Dante'!$A$1:$E$65536</definedName>
    <definedName name="maydante" localSheetId="10">'[70]May Dante'!$A$1:$E$65536</definedName>
    <definedName name="maydante">'[25]May Dante'!$A$1:$E$65536</definedName>
    <definedName name="MCDRWISS">'[95]MC3(main)'!$I$1:$I$65536</definedName>
    <definedName name="MCDRWRCV">'[95]MC3(main)'!$J$1:$J$65536</definedName>
    <definedName name="MCISIR">'[95]MC3(main)'!$R$1:$R$65536</definedName>
    <definedName name="MCITEM">'[95]MC1'!$A$1:$A$65536</definedName>
    <definedName name="MCMPLAN">'[95]MC3(main)'!$N$1:$N$65536</definedName>
    <definedName name="MCSAMPLAN">'[95]MC3(main)'!$P$1:$P$65536</definedName>
    <definedName name="MCSAMRCVD">'[95]MC3(main)'!$Q$1:$Q$65536</definedName>
    <definedName name="mdfnkjsndf" localSheetId="4" hidden="1">{#N/A,#N/A,TRUE,"Distribution";#N/A,#N/A,TRUE,"Fulfillment";#N/A,#N/A,TRUE,"Aged Backorders"}</definedName>
    <definedName name="mdfnkjsndf" localSheetId="3" hidden="1">{#N/A,#N/A,TRUE,"Distribution";#N/A,#N/A,TRUE,"Fulfillment";#N/A,#N/A,TRUE,"Aged Backorders"}</definedName>
    <definedName name="mdfnkjsndf" localSheetId="2" hidden="1">{#N/A,#N/A,TRUE,"Distribution";#N/A,#N/A,TRUE,"Fulfillment";#N/A,#N/A,TRUE,"Aged Backorders"}</definedName>
    <definedName name="mdfnkjsndf" localSheetId="8" hidden="1">{#N/A,#N/A,TRUE,"Distribution";#N/A,#N/A,TRUE,"Fulfillment";#N/A,#N/A,TRUE,"Aged Backorders"}</definedName>
    <definedName name="mdfnkjsndf" localSheetId="9" hidden="1">{#N/A,#N/A,TRUE,"Distribution";#N/A,#N/A,TRUE,"Fulfillment";#N/A,#N/A,TRUE,"Aged Backorders"}</definedName>
    <definedName name="mdfnkjsndf" localSheetId="10" hidden="1">{#N/A,#N/A,TRUE,"Distribution";#N/A,#N/A,TRUE,"Fulfillment";#N/A,#N/A,TRUE,"Aged Backorders"}</definedName>
    <definedName name="mdfnkjsndf" hidden="1">{#N/A,#N/A,TRUE,"Distribution";#N/A,#N/A,TRUE,"Fulfillment";#N/A,#N/A,TRUE,"Aged Backorders"}</definedName>
    <definedName name="mdfnsdnv" localSheetId="4" hidden="1">{#N/A,#N/A,TRUE,"Distribution";#N/A,#N/A,TRUE,"Fulfillment";#N/A,#N/A,TRUE,"Aged Backorders"}</definedName>
    <definedName name="mdfnsdnv" localSheetId="3" hidden="1">{#N/A,#N/A,TRUE,"Distribution";#N/A,#N/A,TRUE,"Fulfillment";#N/A,#N/A,TRUE,"Aged Backorders"}</definedName>
    <definedName name="mdfnsdnv" localSheetId="2" hidden="1">{#N/A,#N/A,TRUE,"Distribution";#N/A,#N/A,TRUE,"Fulfillment";#N/A,#N/A,TRUE,"Aged Backorders"}</definedName>
    <definedName name="mdfnsdnv" localSheetId="8" hidden="1">{#N/A,#N/A,TRUE,"Distribution";#N/A,#N/A,TRUE,"Fulfillment";#N/A,#N/A,TRUE,"Aged Backorders"}</definedName>
    <definedName name="mdfnsdnv" localSheetId="9" hidden="1">{#N/A,#N/A,TRUE,"Distribution";#N/A,#N/A,TRUE,"Fulfillment";#N/A,#N/A,TRUE,"Aged Backorders"}</definedName>
    <definedName name="mdfnsdnv" localSheetId="10" hidden="1">{#N/A,#N/A,TRUE,"Distribution";#N/A,#N/A,TRUE,"Fulfillment";#N/A,#N/A,TRUE,"Aged Backorders"}</definedName>
    <definedName name="mdfnsdnv" hidden="1">{#N/A,#N/A,TRUE,"Distribution";#N/A,#N/A,TRUE,"Fulfillment";#N/A,#N/A,TRUE,"Aged Backorders"}</definedName>
    <definedName name="MeasBatch_Current_17_Initial_Process_Study" localSheetId="4">#REF!</definedName>
    <definedName name="MeasBatch_Current_17_Initial_Process_Study" localSheetId="3">#REF!</definedName>
    <definedName name="MeasBatch_Current_17_Initial_Process_Study" localSheetId="2">#REF!</definedName>
    <definedName name="MeasBatch_Current_17_Initial_Process_Study" localSheetId="5">#REF!</definedName>
    <definedName name="MeasBatch_Current_17_Initial_Process_Study" localSheetId="6">#REF!</definedName>
    <definedName name="MeasBatch_Current_17_Initial_Process_Study" localSheetId="7">#REF!</definedName>
    <definedName name="MeasBatch_Current_17_Initial_Process_Study" localSheetId="8">#REF!</definedName>
    <definedName name="MeasBatch_Current_17_Initial_Process_Study" localSheetId="9">#REF!</definedName>
    <definedName name="MeasBatch_Current_17_Initial_Process_Study" localSheetId="10">#REF!</definedName>
    <definedName name="MeasBatch_Current_17_Initial_Process_Study" localSheetId="11">#REF!</definedName>
    <definedName name="MeasBatch_Current_17_Initial_Process_Study">#REF!</definedName>
    <definedName name="MeasBatch_Current_Batch_Measurements_0" localSheetId="4">#REF!</definedName>
    <definedName name="MeasBatch_Current_Batch_Measurements_0" localSheetId="3">#REF!</definedName>
    <definedName name="MeasBatch_Current_Batch_Measurements_0" localSheetId="2">#REF!</definedName>
    <definedName name="MeasBatch_Current_Batch_Measurements_0" localSheetId="5">#REF!</definedName>
    <definedName name="MeasBatch_Current_Batch_Measurements_0" localSheetId="6">#REF!</definedName>
    <definedName name="MeasBatch_Current_Batch_Measurements_0" localSheetId="7">#REF!</definedName>
    <definedName name="MeasBatch_Current_Batch_Measurements_0" localSheetId="8">#REF!</definedName>
    <definedName name="MeasBatch_Current_Batch_Measurements_0" localSheetId="9">#REF!</definedName>
    <definedName name="MeasBatch_Current_Batch_Measurements_0" localSheetId="10">#REF!</definedName>
    <definedName name="MeasBatch_Current_Batch_Measurements_0" localSheetId="11">#REF!</definedName>
    <definedName name="MeasBatch_Current_Batch_Measurements_0">#REF!</definedName>
    <definedName name="MeasBatch_Current_Cp_Cpk_DATA" localSheetId="4">#REF!</definedName>
    <definedName name="MeasBatch_Current_Cp_Cpk_DATA" localSheetId="3">#REF!</definedName>
    <definedName name="MeasBatch_Current_Cp_Cpk_DATA" localSheetId="2">#REF!</definedName>
    <definedName name="MeasBatch_Current_Cp_Cpk_DATA" localSheetId="5">#REF!</definedName>
    <definedName name="MeasBatch_Current_Cp_Cpk_DATA" localSheetId="6">#REF!</definedName>
    <definedName name="MeasBatch_Current_Cp_Cpk_DATA" localSheetId="7">#REF!</definedName>
    <definedName name="MeasBatch_Current_Cp_Cpk_DATA" localSheetId="8">#REF!</definedName>
    <definedName name="MeasBatch_Current_Cp_Cpk_DATA" localSheetId="9">#REF!</definedName>
    <definedName name="MeasBatch_Current_Cp_Cpk_DATA" localSheetId="10">#REF!</definedName>
    <definedName name="MeasBatch_Current_Cp_Cpk_DATA" localSheetId="11">#REF!</definedName>
    <definedName name="MeasBatch_Current_Cp_Cpk_DATA">#REF!</definedName>
    <definedName name="MeasBatch_Current_CP_DATA" localSheetId="4">#REF!</definedName>
    <definedName name="MeasBatch_Current_CP_DATA" localSheetId="3">#REF!</definedName>
    <definedName name="MeasBatch_Current_CP_DATA" localSheetId="2">#REF!</definedName>
    <definedName name="MeasBatch_Current_CP_DATA" localSheetId="5">#REF!</definedName>
    <definedName name="MeasBatch_Current_CP_DATA" localSheetId="6">#REF!</definedName>
    <definedName name="MeasBatch_Current_CP_DATA" localSheetId="7">#REF!</definedName>
    <definedName name="MeasBatch_Current_CP_DATA" localSheetId="8">#REF!</definedName>
    <definedName name="MeasBatch_Current_CP_DATA" localSheetId="9">#REF!</definedName>
    <definedName name="MeasBatch_Current_CP_DATA" localSheetId="10">#REF!</definedName>
    <definedName name="MeasBatch_Current_CP_DATA" localSheetId="11">#REF!</definedName>
    <definedName name="MeasBatch_Current_CP_DATA">#REF!</definedName>
    <definedName name="MeasBatch_CurrentData_17_Initial_Process_Study" localSheetId="4">#REF!</definedName>
    <definedName name="MeasBatch_CurrentData_17_Initial_Process_Study" localSheetId="3">#REF!</definedName>
    <definedName name="MeasBatch_CurrentData_17_Initial_Process_Study" localSheetId="2">#REF!</definedName>
    <definedName name="MeasBatch_CurrentData_17_Initial_Process_Study" localSheetId="5">#REF!</definedName>
    <definedName name="MeasBatch_CurrentData_17_Initial_Process_Study" localSheetId="6">#REF!</definedName>
    <definedName name="MeasBatch_CurrentData_17_Initial_Process_Study" localSheetId="7">#REF!</definedName>
    <definedName name="MeasBatch_CurrentData_17_Initial_Process_Study" localSheetId="8">#REF!</definedName>
    <definedName name="MeasBatch_CurrentData_17_Initial_Process_Study" localSheetId="9">#REF!</definedName>
    <definedName name="MeasBatch_CurrentData_17_Initial_Process_Study" localSheetId="10">#REF!</definedName>
    <definedName name="MeasBatch_CurrentData_17_Initial_Process_Study" localSheetId="11">#REF!</definedName>
    <definedName name="MeasBatch_CurrentData_17_Initial_Process_Study">#REF!</definedName>
    <definedName name="MeasBatch_CurrentData_Batch_Measurements_0" localSheetId="4">#REF!</definedName>
    <definedName name="MeasBatch_CurrentData_Batch_Measurements_0" localSheetId="3">#REF!</definedName>
    <definedName name="MeasBatch_CurrentData_Batch_Measurements_0" localSheetId="2">#REF!</definedName>
    <definedName name="MeasBatch_CurrentData_Batch_Measurements_0" localSheetId="5">#REF!</definedName>
    <definedName name="MeasBatch_CurrentData_Batch_Measurements_0" localSheetId="6">#REF!</definedName>
    <definedName name="MeasBatch_CurrentData_Batch_Measurements_0" localSheetId="7">#REF!</definedName>
    <definedName name="MeasBatch_CurrentData_Batch_Measurements_0" localSheetId="8">#REF!</definedName>
    <definedName name="MeasBatch_CurrentData_Batch_Measurements_0" localSheetId="9">#REF!</definedName>
    <definedName name="MeasBatch_CurrentData_Batch_Measurements_0" localSheetId="10">#REF!</definedName>
    <definedName name="MeasBatch_CurrentData_Batch_Measurements_0" localSheetId="11">#REF!</definedName>
    <definedName name="MeasBatch_CurrentData_Batch_Measurements_0">#REF!</definedName>
    <definedName name="MeasBatch_CurrentData_Cp_Cpk_DATA" localSheetId="4">#REF!</definedName>
    <definedName name="MeasBatch_CurrentData_Cp_Cpk_DATA" localSheetId="3">#REF!</definedName>
    <definedName name="MeasBatch_CurrentData_Cp_Cpk_DATA" localSheetId="2">#REF!</definedName>
    <definedName name="MeasBatch_CurrentData_Cp_Cpk_DATA" localSheetId="5">#REF!</definedName>
    <definedName name="MeasBatch_CurrentData_Cp_Cpk_DATA" localSheetId="6">#REF!</definedName>
    <definedName name="MeasBatch_CurrentData_Cp_Cpk_DATA" localSheetId="7">#REF!</definedName>
    <definedName name="MeasBatch_CurrentData_Cp_Cpk_DATA" localSheetId="8">#REF!</definedName>
    <definedName name="MeasBatch_CurrentData_Cp_Cpk_DATA" localSheetId="9">#REF!</definedName>
    <definedName name="MeasBatch_CurrentData_Cp_Cpk_DATA" localSheetId="10">#REF!</definedName>
    <definedName name="MeasBatch_CurrentData_Cp_Cpk_DATA" localSheetId="11">#REF!</definedName>
    <definedName name="MeasBatch_CurrentData_Cp_Cpk_DATA">#REF!</definedName>
    <definedName name="MeasBatch_CurrentData_CP_DATA" localSheetId="4">#REF!</definedName>
    <definedName name="MeasBatch_CurrentData_CP_DATA" localSheetId="3">#REF!</definedName>
    <definedName name="MeasBatch_CurrentData_CP_DATA" localSheetId="2">#REF!</definedName>
    <definedName name="MeasBatch_CurrentData_CP_DATA" localSheetId="5">#REF!</definedName>
    <definedName name="MeasBatch_CurrentData_CP_DATA" localSheetId="6">#REF!</definedName>
    <definedName name="MeasBatch_CurrentData_CP_DATA" localSheetId="7">#REF!</definedName>
    <definedName name="MeasBatch_CurrentData_CP_DATA" localSheetId="8">#REF!</definedName>
    <definedName name="MeasBatch_CurrentData_CP_DATA" localSheetId="9">#REF!</definedName>
    <definedName name="MeasBatch_CurrentData_CP_DATA" localSheetId="10">#REF!</definedName>
    <definedName name="MeasBatch_CurrentData_CP_DATA" localSheetId="11">#REF!</definedName>
    <definedName name="MeasBatch_CurrentData_CP_DATA">#REF!</definedName>
    <definedName name="MeasBatch_CurrentDimension_17_Initial_Process_Study" localSheetId="4">#REF!</definedName>
    <definedName name="MeasBatch_CurrentDimension_17_Initial_Process_Study" localSheetId="3">#REF!</definedName>
    <definedName name="MeasBatch_CurrentDimension_17_Initial_Process_Study" localSheetId="2">#REF!</definedName>
    <definedName name="MeasBatch_CurrentDimension_17_Initial_Process_Study" localSheetId="5">#REF!</definedName>
    <definedName name="MeasBatch_CurrentDimension_17_Initial_Process_Study" localSheetId="6">#REF!</definedName>
    <definedName name="MeasBatch_CurrentDimension_17_Initial_Process_Study" localSheetId="7">#REF!</definedName>
    <definedName name="MeasBatch_CurrentDimension_17_Initial_Process_Study" localSheetId="8">#REF!</definedName>
    <definedName name="MeasBatch_CurrentDimension_17_Initial_Process_Study" localSheetId="9">#REF!</definedName>
    <definedName name="MeasBatch_CurrentDimension_17_Initial_Process_Study" localSheetId="10">#REF!</definedName>
    <definedName name="MeasBatch_CurrentDimension_17_Initial_Process_Study" localSheetId="11">#REF!</definedName>
    <definedName name="MeasBatch_CurrentDimension_17_Initial_Process_Study">#REF!</definedName>
    <definedName name="MeasBatch_CurrentDimension_Batch_Measurements_0" localSheetId="4">#REF!</definedName>
    <definedName name="MeasBatch_CurrentDimension_Batch_Measurements_0" localSheetId="3">#REF!</definedName>
    <definedName name="MeasBatch_CurrentDimension_Batch_Measurements_0" localSheetId="2">#REF!</definedName>
    <definedName name="MeasBatch_CurrentDimension_Batch_Measurements_0" localSheetId="5">#REF!</definedName>
    <definedName name="MeasBatch_CurrentDimension_Batch_Measurements_0" localSheetId="6">#REF!</definedName>
    <definedName name="MeasBatch_CurrentDimension_Batch_Measurements_0" localSheetId="7">#REF!</definedName>
    <definedName name="MeasBatch_CurrentDimension_Batch_Measurements_0" localSheetId="8">#REF!</definedName>
    <definedName name="MeasBatch_CurrentDimension_Batch_Measurements_0" localSheetId="9">#REF!</definedName>
    <definedName name="MeasBatch_CurrentDimension_Batch_Measurements_0" localSheetId="10">#REF!</definedName>
    <definedName name="MeasBatch_CurrentDimension_Batch_Measurements_0" localSheetId="11">#REF!</definedName>
    <definedName name="MeasBatch_CurrentDimension_Batch_Measurements_0">#REF!</definedName>
    <definedName name="MeasBatch_CurrentDimension_Cp_Cpk_DATA" localSheetId="4">#REF!</definedName>
    <definedName name="MeasBatch_CurrentDimension_Cp_Cpk_DATA" localSheetId="3">#REF!</definedName>
    <definedName name="MeasBatch_CurrentDimension_Cp_Cpk_DATA" localSheetId="2">#REF!</definedName>
    <definedName name="MeasBatch_CurrentDimension_Cp_Cpk_DATA" localSheetId="5">#REF!</definedName>
    <definedName name="MeasBatch_CurrentDimension_Cp_Cpk_DATA" localSheetId="6">#REF!</definedName>
    <definedName name="MeasBatch_CurrentDimension_Cp_Cpk_DATA" localSheetId="7">#REF!</definedName>
    <definedName name="MeasBatch_CurrentDimension_Cp_Cpk_DATA" localSheetId="8">#REF!</definedName>
    <definedName name="MeasBatch_CurrentDimension_Cp_Cpk_DATA" localSheetId="9">#REF!</definedName>
    <definedName name="MeasBatch_CurrentDimension_Cp_Cpk_DATA" localSheetId="10">#REF!</definedName>
    <definedName name="MeasBatch_CurrentDimension_Cp_Cpk_DATA" localSheetId="11">#REF!</definedName>
    <definedName name="MeasBatch_CurrentDimension_Cp_Cpk_DATA">#REF!</definedName>
    <definedName name="MeasBatch_CurrentDimension_CP_DATA" localSheetId="4">#REF!</definedName>
    <definedName name="MeasBatch_CurrentDimension_CP_DATA" localSheetId="3">#REF!</definedName>
    <definedName name="MeasBatch_CurrentDimension_CP_DATA" localSheetId="2">#REF!</definedName>
    <definedName name="MeasBatch_CurrentDimension_CP_DATA" localSheetId="5">#REF!</definedName>
    <definedName name="MeasBatch_CurrentDimension_CP_DATA" localSheetId="6">#REF!</definedName>
    <definedName name="MeasBatch_CurrentDimension_CP_DATA" localSheetId="7">#REF!</definedName>
    <definedName name="MeasBatch_CurrentDimension_CP_DATA" localSheetId="8">#REF!</definedName>
    <definedName name="MeasBatch_CurrentDimension_CP_DATA" localSheetId="9">#REF!</definedName>
    <definedName name="MeasBatch_CurrentDimension_CP_DATA" localSheetId="10">#REF!</definedName>
    <definedName name="MeasBatch_CurrentDimension_CP_DATA" localSheetId="11">#REF!</definedName>
    <definedName name="MeasBatch_CurrentDimension_CP_DATA">#REF!</definedName>
    <definedName name="MeasBatch_Data" localSheetId="4">#REF!</definedName>
    <definedName name="MeasBatch_Data" localSheetId="3">#REF!</definedName>
    <definedName name="MeasBatch_Data" localSheetId="2">#REF!</definedName>
    <definedName name="MeasBatch_Data" localSheetId="5">#REF!</definedName>
    <definedName name="MeasBatch_Data" localSheetId="6">#REF!</definedName>
    <definedName name="MeasBatch_Data" localSheetId="7">#REF!</definedName>
    <definedName name="MeasBatch_Data" localSheetId="8">#REF!</definedName>
    <definedName name="MeasBatch_Data" localSheetId="9">#REF!</definedName>
    <definedName name="MeasBatch_Data" localSheetId="10">#REF!</definedName>
    <definedName name="MeasBatch_Data" localSheetId="11">#REF!</definedName>
    <definedName name="MeasBatch_Data">#REF!</definedName>
    <definedName name="MeasBatch_Data_Start" localSheetId="4">#REF!</definedName>
    <definedName name="MeasBatch_Data_Start" localSheetId="3">#REF!</definedName>
    <definedName name="MeasBatch_Data_Start" localSheetId="2">#REF!</definedName>
    <definedName name="MeasBatch_Data_Start" localSheetId="5">#REF!</definedName>
    <definedName name="MeasBatch_Data_Start" localSheetId="6">#REF!</definedName>
    <definedName name="MeasBatch_Data_Start" localSheetId="7">#REF!</definedName>
    <definedName name="MeasBatch_Data_Start" localSheetId="8">#REF!</definedName>
    <definedName name="MeasBatch_Data_Start" localSheetId="9">#REF!</definedName>
    <definedName name="MeasBatch_Data_Start" localSheetId="10">#REF!</definedName>
    <definedName name="MeasBatch_Data_Start" localSheetId="11">#REF!</definedName>
    <definedName name="MeasBatch_Data_Start">#REF!</definedName>
    <definedName name="MeasBatch_Dimension" localSheetId="4">#REF!</definedName>
    <definedName name="MeasBatch_Dimension" localSheetId="3">#REF!</definedName>
    <definedName name="MeasBatch_Dimension" localSheetId="2">#REF!</definedName>
    <definedName name="MeasBatch_Dimension" localSheetId="5">#REF!</definedName>
    <definedName name="MeasBatch_Dimension" localSheetId="6">#REF!</definedName>
    <definedName name="MeasBatch_Dimension" localSheetId="7">#REF!</definedName>
    <definedName name="MeasBatch_Dimension" localSheetId="8">#REF!</definedName>
    <definedName name="MeasBatch_Dimension" localSheetId="9">#REF!</definedName>
    <definedName name="MeasBatch_Dimension" localSheetId="10">#REF!</definedName>
    <definedName name="MeasBatch_Dimension" localSheetId="11">#REF!</definedName>
    <definedName name="MeasBatch_Dimension">#REF!</definedName>
    <definedName name="MeasBatch_Dimension_Start" localSheetId="4">#REF!</definedName>
    <definedName name="MeasBatch_Dimension_Start" localSheetId="3">#REF!</definedName>
    <definedName name="MeasBatch_Dimension_Start" localSheetId="2">#REF!</definedName>
    <definedName name="MeasBatch_Dimension_Start" localSheetId="5">#REF!</definedName>
    <definedName name="MeasBatch_Dimension_Start" localSheetId="6">#REF!</definedName>
    <definedName name="MeasBatch_Dimension_Start" localSheetId="7">#REF!</definedName>
    <definedName name="MeasBatch_Dimension_Start" localSheetId="8">#REF!</definedName>
    <definedName name="MeasBatch_Dimension_Start" localSheetId="9">#REF!</definedName>
    <definedName name="MeasBatch_Dimension_Start" localSheetId="10">#REF!</definedName>
    <definedName name="MeasBatch_Dimension_Start" localSheetId="11">#REF!</definedName>
    <definedName name="MeasBatch_Dimension_Start">#REF!</definedName>
    <definedName name="MeasBatch_Formats" localSheetId="4">#REF!</definedName>
    <definedName name="MeasBatch_Formats" localSheetId="3">#REF!</definedName>
    <definedName name="MeasBatch_Formats" localSheetId="2">#REF!</definedName>
    <definedName name="MeasBatch_Formats" localSheetId="5">#REF!</definedName>
    <definedName name="MeasBatch_Formats" localSheetId="6">#REF!</definedName>
    <definedName name="MeasBatch_Formats" localSheetId="7">#REF!</definedName>
    <definedName name="MeasBatch_Formats" localSheetId="8">#REF!</definedName>
    <definedName name="MeasBatch_Formats" localSheetId="9">#REF!</definedName>
    <definedName name="MeasBatch_Formats" localSheetId="10">#REF!</definedName>
    <definedName name="MeasBatch_Formats" localSheetId="11">#REF!</definedName>
    <definedName name="MeasBatch_Formats">#REF!</definedName>
    <definedName name="MeasBatch_Formulas" localSheetId="4">#REF!</definedName>
    <definedName name="MeasBatch_Formulas" localSheetId="3">#REF!</definedName>
    <definedName name="MeasBatch_Formulas" localSheetId="2">#REF!</definedName>
    <definedName name="MeasBatch_Formulas" localSheetId="5">#REF!</definedName>
    <definedName name="MeasBatch_Formulas" localSheetId="6">#REF!</definedName>
    <definedName name="MeasBatch_Formulas" localSheetId="7">#REF!</definedName>
    <definedName name="MeasBatch_Formulas" localSheetId="8">#REF!</definedName>
    <definedName name="MeasBatch_Formulas" localSheetId="9">#REF!</definedName>
    <definedName name="MeasBatch_Formulas" localSheetId="10">#REF!</definedName>
    <definedName name="MeasBatch_Formulas" localSheetId="11">#REF!</definedName>
    <definedName name="MeasBatch_Formulas">#REF!</definedName>
    <definedName name="MeasBatch_Header_Designer" localSheetId="4">#REF!</definedName>
    <definedName name="MeasBatch_Header_Designer" localSheetId="3">#REF!</definedName>
    <definedName name="MeasBatch_Header_Designer" localSheetId="2">#REF!</definedName>
    <definedName name="MeasBatch_Header_Designer" localSheetId="5">#REF!</definedName>
    <definedName name="MeasBatch_Header_Designer" localSheetId="6">#REF!</definedName>
    <definedName name="MeasBatch_Header_Designer" localSheetId="7">#REF!</definedName>
    <definedName name="MeasBatch_Header_Designer" localSheetId="8">#REF!</definedName>
    <definedName name="MeasBatch_Header_Designer" localSheetId="9">#REF!</definedName>
    <definedName name="MeasBatch_Header_Designer" localSheetId="10">#REF!</definedName>
    <definedName name="MeasBatch_Header_Designer" localSheetId="11">#REF!</definedName>
    <definedName name="MeasBatch_Header_Designer">#REF!</definedName>
    <definedName name="MeasBatch_Header_Measurer" localSheetId="4">#REF!</definedName>
    <definedName name="MeasBatch_Header_Measurer" localSheetId="3">#REF!</definedName>
    <definedName name="MeasBatch_Header_Measurer" localSheetId="2">#REF!</definedName>
    <definedName name="MeasBatch_Header_Measurer" localSheetId="5">#REF!</definedName>
    <definedName name="MeasBatch_Header_Measurer" localSheetId="6">#REF!</definedName>
    <definedName name="MeasBatch_Header_Measurer" localSheetId="7">#REF!</definedName>
    <definedName name="MeasBatch_Header_Measurer" localSheetId="8">#REF!</definedName>
    <definedName name="MeasBatch_Header_Measurer" localSheetId="9">#REF!</definedName>
    <definedName name="MeasBatch_Header_Measurer" localSheetId="10">#REF!</definedName>
    <definedName name="MeasBatch_Header_Measurer" localSheetId="11">#REF!</definedName>
    <definedName name="MeasBatch_Header_Measurer">#REF!</definedName>
    <definedName name="MeasBatch_Header_PartIssue" localSheetId="4">#REF!</definedName>
    <definedName name="MeasBatch_Header_PartIssue" localSheetId="3">#REF!</definedName>
    <definedName name="MeasBatch_Header_PartIssue" localSheetId="2">#REF!</definedName>
    <definedName name="MeasBatch_Header_PartIssue" localSheetId="5">#REF!</definedName>
    <definedName name="MeasBatch_Header_PartIssue" localSheetId="6">#REF!</definedName>
    <definedName name="MeasBatch_Header_PartIssue" localSheetId="7">#REF!</definedName>
    <definedName name="MeasBatch_Header_PartIssue" localSheetId="8">#REF!</definedName>
    <definedName name="MeasBatch_Header_PartIssue" localSheetId="9">#REF!</definedName>
    <definedName name="MeasBatch_Header_PartIssue" localSheetId="10">#REF!</definedName>
    <definedName name="MeasBatch_Header_PartIssue" localSheetId="11">#REF!</definedName>
    <definedName name="MeasBatch_Header_PartIssue">#REF!</definedName>
    <definedName name="MeasBatch_Header_PartName" localSheetId="4">#REF!</definedName>
    <definedName name="MeasBatch_Header_PartName" localSheetId="3">#REF!</definedName>
    <definedName name="MeasBatch_Header_PartName" localSheetId="2">#REF!</definedName>
    <definedName name="MeasBatch_Header_PartName" localSheetId="5">#REF!</definedName>
    <definedName name="MeasBatch_Header_PartName" localSheetId="6">#REF!</definedName>
    <definedName name="MeasBatch_Header_PartName" localSheetId="7">#REF!</definedName>
    <definedName name="MeasBatch_Header_PartName" localSheetId="8">#REF!</definedName>
    <definedName name="MeasBatch_Header_PartName" localSheetId="9">#REF!</definedName>
    <definedName name="MeasBatch_Header_PartName" localSheetId="10">#REF!</definedName>
    <definedName name="MeasBatch_Header_PartName" localSheetId="11">#REF!</definedName>
    <definedName name="MeasBatch_Header_PartName">#REF!</definedName>
    <definedName name="MeasBatch_Header_PartNumber" localSheetId="4">#REF!</definedName>
    <definedName name="MeasBatch_Header_PartNumber" localSheetId="3">#REF!</definedName>
    <definedName name="MeasBatch_Header_PartNumber" localSheetId="2">#REF!</definedName>
    <definedName name="MeasBatch_Header_PartNumber" localSheetId="5">#REF!</definedName>
    <definedName name="MeasBatch_Header_PartNumber" localSheetId="6">#REF!</definedName>
    <definedName name="MeasBatch_Header_PartNumber" localSheetId="7">#REF!</definedName>
    <definedName name="MeasBatch_Header_PartNumber" localSheetId="8">#REF!</definedName>
    <definedName name="MeasBatch_Header_PartNumber" localSheetId="9">#REF!</definedName>
    <definedName name="MeasBatch_Header_PartNumber" localSheetId="10">#REF!</definedName>
    <definedName name="MeasBatch_Header_PartNumber" localSheetId="11">#REF!</definedName>
    <definedName name="MeasBatch_Header_PartNumber">#REF!</definedName>
    <definedName name="MeasBatch_Header_Reason" localSheetId="4">#REF!</definedName>
    <definedName name="MeasBatch_Header_Reason" localSheetId="3">#REF!</definedName>
    <definedName name="MeasBatch_Header_Reason" localSheetId="2">#REF!</definedName>
    <definedName name="MeasBatch_Header_Reason" localSheetId="5">#REF!</definedName>
    <definedName name="MeasBatch_Header_Reason" localSheetId="6">#REF!</definedName>
    <definedName name="MeasBatch_Header_Reason" localSheetId="7">#REF!</definedName>
    <definedName name="MeasBatch_Header_Reason" localSheetId="8">#REF!</definedName>
    <definedName name="MeasBatch_Header_Reason" localSheetId="9">#REF!</definedName>
    <definedName name="MeasBatch_Header_Reason" localSheetId="10">#REF!</definedName>
    <definedName name="MeasBatch_Header_Reason" localSheetId="11">#REF!</definedName>
    <definedName name="MeasBatch_Header_Reason">#REF!</definedName>
    <definedName name="MeasBatch_Header_Requested" localSheetId="4">#REF!</definedName>
    <definedName name="MeasBatch_Header_Requested" localSheetId="3">#REF!</definedName>
    <definedName name="MeasBatch_Header_Requested" localSheetId="2">#REF!</definedName>
    <definedName name="MeasBatch_Header_Requested" localSheetId="5">#REF!</definedName>
    <definedName name="MeasBatch_Header_Requested" localSheetId="6">#REF!</definedName>
    <definedName name="MeasBatch_Header_Requested" localSheetId="7">#REF!</definedName>
    <definedName name="MeasBatch_Header_Requested" localSheetId="8">#REF!</definedName>
    <definedName name="MeasBatch_Header_Requested" localSheetId="9">#REF!</definedName>
    <definedName name="MeasBatch_Header_Requested" localSheetId="10">#REF!</definedName>
    <definedName name="MeasBatch_Header_Requested" localSheetId="11">#REF!</definedName>
    <definedName name="MeasBatch_Header_Requested">#REF!</definedName>
    <definedName name="MeasBatch_Header_SampleSize" localSheetId="4">#REF!</definedName>
    <definedName name="MeasBatch_Header_SampleSize" localSheetId="3">#REF!</definedName>
    <definedName name="MeasBatch_Header_SampleSize" localSheetId="2">#REF!</definedName>
    <definedName name="MeasBatch_Header_SampleSize" localSheetId="5">#REF!</definedName>
    <definedName name="MeasBatch_Header_SampleSize" localSheetId="6">#REF!</definedName>
    <definedName name="MeasBatch_Header_SampleSize" localSheetId="7">#REF!</definedName>
    <definedName name="MeasBatch_Header_SampleSize" localSheetId="8">#REF!</definedName>
    <definedName name="MeasBatch_Header_SampleSize" localSheetId="9">#REF!</definedName>
    <definedName name="MeasBatch_Header_SampleSize" localSheetId="10">#REF!</definedName>
    <definedName name="MeasBatch_Header_SampleSize" localSheetId="11">#REF!</definedName>
    <definedName name="MeasBatch_Header_SampleSize">#REF!</definedName>
    <definedName name="MeasBatch_Header_StudyEnd" localSheetId="4">#REF!</definedName>
    <definedName name="MeasBatch_Header_StudyEnd" localSheetId="3">#REF!</definedName>
    <definedName name="MeasBatch_Header_StudyEnd" localSheetId="2">#REF!</definedName>
    <definedName name="MeasBatch_Header_StudyEnd" localSheetId="5">#REF!</definedName>
    <definedName name="MeasBatch_Header_StudyEnd" localSheetId="6">#REF!</definedName>
    <definedName name="MeasBatch_Header_StudyEnd" localSheetId="7">#REF!</definedName>
    <definedName name="MeasBatch_Header_StudyEnd" localSheetId="8">#REF!</definedName>
    <definedName name="MeasBatch_Header_StudyEnd" localSheetId="9">#REF!</definedName>
    <definedName name="MeasBatch_Header_StudyEnd" localSheetId="10">#REF!</definedName>
    <definedName name="MeasBatch_Header_StudyEnd" localSheetId="11">#REF!</definedName>
    <definedName name="MeasBatch_Header_StudyEnd">#REF!</definedName>
    <definedName name="MeasBatch_Header_StudyStart" localSheetId="4">#REF!</definedName>
    <definedName name="MeasBatch_Header_StudyStart" localSheetId="3">#REF!</definedName>
    <definedName name="MeasBatch_Header_StudyStart" localSheetId="2">#REF!</definedName>
    <definedName name="MeasBatch_Header_StudyStart" localSheetId="5">#REF!</definedName>
    <definedName name="MeasBatch_Header_StudyStart" localSheetId="6">#REF!</definedName>
    <definedName name="MeasBatch_Header_StudyStart" localSheetId="7">#REF!</definedName>
    <definedName name="MeasBatch_Header_StudyStart" localSheetId="8">#REF!</definedName>
    <definedName name="MeasBatch_Header_StudyStart" localSheetId="9">#REF!</definedName>
    <definedName name="MeasBatch_Header_StudyStart" localSheetId="10">#REF!</definedName>
    <definedName name="MeasBatch_Header_StudyStart" localSheetId="11">#REF!</definedName>
    <definedName name="MeasBatch_Header_StudyStart">#REF!</definedName>
    <definedName name="MeasBatch_Header_Using" localSheetId="4">#REF!</definedName>
    <definedName name="MeasBatch_Header_Using" localSheetId="3">#REF!</definedName>
    <definedName name="MeasBatch_Header_Using" localSheetId="2">#REF!</definedName>
    <definedName name="MeasBatch_Header_Using" localSheetId="5">#REF!</definedName>
    <definedName name="MeasBatch_Header_Using" localSheetId="6">#REF!</definedName>
    <definedName name="MeasBatch_Header_Using" localSheetId="7">#REF!</definedName>
    <definedName name="MeasBatch_Header_Using" localSheetId="8">#REF!</definedName>
    <definedName name="MeasBatch_Header_Using" localSheetId="9">#REF!</definedName>
    <definedName name="MeasBatch_Header_Using" localSheetId="10">#REF!</definedName>
    <definedName name="MeasBatch_Header_Using" localSheetId="11">#REF!</definedName>
    <definedName name="MeasBatch_Header_Using">#REF!</definedName>
    <definedName name="MeasBatch_Header_USLs" localSheetId="4">#REF!</definedName>
    <definedName name="MeasBatch_Header_USLs" localSheetId="3">#REF!</definedName>
    <definedName name="MeasBatch_Header_USLs" localSheetId="2">#REF!</definedName>
    <definedName name="MeasBatch_Header_USLs" localSheetId="5">#REF!</definedName>
    <definedName name="MeasBatch_Header_USLs" localSheetId="6">#REF!</definedName>
    <definedName name="MeasBatch_Header_USLs" localSheetId="7">#REF!</definedName>
    <definedName name="MeasBatch_Header_USLs" localSheetId="8">#REF!</definedName>
    <definedName name="MeasBatch_Header_USLs" localSheetId="9">#REF!</definedName>
    <definedName name="MeasBatch_Header_USLs" localSheetId="10">#REF!</definedName>
    <definedName name="MeasBatch_Header_USLs" localSheetId="11">#REF!</definedName>
    <definedName name="MeasBatch_Header_USLs">#REF!</definedName>
    <definedName name="MeasBatch_RowInsert" localSheetId="4">#REF!</definedName>
    <definedName name="MeasBatch_RowInsert" localSheetId="3">#REF!</definedName>
    <definedName name="MeasBatch_RowInsert" localSheetId="2">#REF!</definedName>
    <definedName name="MeasBatch_RowInsert" localSheetId="5">#REF!</definedName>
    <definedName name="MeasBatch_RowInsert" localSheetId="6">#REF!</definedName>
    <definedName name="MeasBatch_RowInsert" localSheetId="7">#REF!</definedName>
    <definedName name="MeasBatch_RowInsert" localSheetId="8">#REF!</definedName>
    <definedName name="MeasBatch_RowInsert" localSheetId="9">#REF!</definedName>
    <definedName name="MeasBatch_RowInsert" localSheetId="10">#REF!</definedName>
    <definedName name="MeasBatch_RowInsert" localSheetId="11">#REF!</definedName>
    <definedName name="MeasBatch_RowInsert">#REF!</definedName>
    <definedName name="MeasIndv_Data" localSheetId="4">'[23]Meas Indv Template'!$E$23:$E$24</definedName>
    <definedName name="MeasIndv_Data" localSheetId="3">'[23]Meas Indv Template'!$E$23:$E$24</definedName>
    <definedName name="MeasIndv_Data" localSheetId="2">'[23]Meas Indv Template'!$E$23:$E$24</definedName>
    <definedName name="MeasIndv_Data" localSheetId="5">'[23]Meas Indv Template'!$E$23:$E$24</definedName>
    <definedName name="MeasIndv_Data" localSheetId="6">'[23]Meas Indv Template'!$E$23:$E$24</definedName>
    <definedName name="MeasIndv_Data" localSheetId="7">'[23]Meas Indv Template'!$E$23:$E$24</definedName>
    <definedName name="MeasIndv_Data" localSheetId="8">'[23]Meas Indv Template'!$E$23:$E$24</definedName>
    <definedName name="MeasIndv_Data" localSheetId="9">'[23]Meas Indv Template'!$E$23:$E$24</definedName>
    <definedName name="MeasIndv_Data" localSheetId="10">'[77]Meas Indv Template'!$E$23:$E$24</definedName>
    <definedName name="MeasIndv_Data">'[17]Meas Indv Template'!$E$23:$E$24</definedName>
    <definedName name="MeasIndv_Data_Start" localSheetId="4">'[23]Meas Indv Template'!$E$23</definedName>
    <definedName name="MeasIndv_Data_Start" localSheetId="3">'[23]Meas Indv Template'!$E$23</definedName>
    <definedName name="MeasIndv_Data_Start" localSheetId="2">'[23]Meas Indv Template'!$E$23</definedName>
    <definedName name="MeasIndv_Data_Start" localSheetId="5">'[23]Meas Indv Template'!$E$23</definedName>
    <definedName name="MeasIndv_Data_Start" localSheetId="6">'[23]Meas Indv Template'!$E$23</definedName>
    <definedName name="MeasIndv_Data_Start" localSheetId="7">'[23]Meas Indv Template'!$E$23</definedName>
    <definedName name="MeasIndv_Data_Start" localSheetId="8">'[23]Meas Indv Template'!$E$23</definedName>
    <definedName name="MeasIndv_Data_Start" localSheetId="9">'[23]Meas Indv Template'!$E$23</definedName>
    <definedName name="MeasIndv_Data_Start" localSheetId="10">'[77]Meas Indv Template'!$E$23</definedName>
    <definedName name="MeasIndv_Data_Start">'[17]Meas Indv Template'!$E$23</definedName>
    <definedName name="MeasIndv_Dimension" localSheetId="4">'[23]Meas Indv Template'!$E$13:$E$17</definedName>
    <definedName name="MeasIndv_Dimension" localSheetId="3">'[23]Meas Indv Template'!$E$13:$E$17</definedName>
    <definedName name="MeasIndv_Dimension" localSheetId="2">'[23]Meas Indv Template'!$E$13:$E$17</definedName>
    <definedName name="MeasIndv_Dimension" localSheetId="5">'[23]Meas Indv Template'!$E$13:$E$17</definedName>
    <definedName name="MeasIndv_Dimension" localSheetId="6">'[23]Meas Indv Template'!$E$13:$E$17</definedName>
    <definedName name="MeasIndv_Dimension" localSheetId="7">'[23]Meas Indv Template'!$E$13:$E$17</definedName>
    <definedName name="MeasIndv_Dimension" localSheetId="8">'[23]Meas Indv Template'!$E$13:$E$17</definedName>
    <definedName name="MeasIndv_Dimension" localSheetId="9">'[23]Meas Indv Template'!$E$13:$E$17</definedName>
    <definedName name="MeasIndv_Dimension" localSheetId="10">'[77]Meas Indv Template'!$E$13:$E$17</definedName>
    <definedName name="MeasIndv_Dimension">'[17]Meas Indv Template'!$E$13:$E$17</definedName>
    <definedName name="MeasIndv_Dimension_Start" localSheetId="4">'[23]Meas Indv Template'!$E$13</definedName>
    <definedName name="MeasIndv_Dimension_Start" localSheetId="3">'[23]Meas Indv Template'!$E$13</definedName>
    <definedName name="MeasIndv_Dimension_Start" localSheetId="2">'[23]Meas Indv Template'!$E$13</definedName>
    <definedName name="MeasIndv_Dimension_Start" localSheetId="5">'[23]Meas Indv Template'!$E$13</definedName>
    <definedName name="MeasIndv_Dimension_Start" localSheetId="6">'[23]Meas Indv Template'!$E$13</definedName>
    <definedName name="MeasIndv_Dimension_Start" localSheetId="7">'[23]Meas Indv Template'!$E$13</definedName>
    <definedName name="MeasIndv_Dimension_Start" localSheetId="8">'[23]Meas Indv Template'!$E$13</definedName>
    <definedName name="MeasIndv_Dimension_Start" localSheetId="9">'[23]Meas Indv Template'!$E$13</definedName>
    <definedName name="MeasIndv_Dimension_Start" localSheetId="10">'[77]Meas Indv Template'!$E$13</definedName>
    <definedName name="MeasIndv_Dimension_Start">'[17]Meas Indv Template'!$E$13</definedName>
    <definedName name="MeasIndv_Formats" localSheetId="4">'[23]Meas Indv Template'!$E$13:$E$32</definedName>
    <definedName name="MeasIndv_Formats" localSheetId="3">'[23]Meas Indv Template'!$E$13:$E$32</definedName>
    <definedName name="MeasIndv_Formats" localSheetId="2">'[23]Meas Indv Template'!$E$13:$E$32</definedName>
    <definedName name="MeasIndv_Formats" localSheetId="5">'[23]Meas Indv Template'!$E$13:$E$32</definedName>
    <definedName name="MeasIndv_Formats" localSheetId="6">'[23]Meas Indv Template'!$E$13:$E$32</definedName>
    <definedName name="MeasIndv_Formats" localSheetId="7">'[23]Meas Indv Template'!$E$13:$E$32</definedName>
    <definedName name="MeasIndv_Formats" localSheetId="8">'[23]Meas Indv Template'!$E$13:$E$32</definedName>
    <definedName name="MeasIndv_Formats" localSheetId="9">'[23]Meas Indv Template'!$E$13:$E$32</definedName>
    <definedName name="MeasIndv_Formats" localSheetId="10">'[77]Meas Indv Template'!$E$13:$E$32</definedName>
    <definedName name="MeasIndv_Formats">'[17]Meas Indv Template'!$E$13:$E$32</definedName>
    <definedName name="MeasIndv_Formulas" localSheetId="4">'[23]Meas Indv Template'!$E$26:$E$32</definedName>
    <definedName name="MeasIndv_Formulas" localSheetId="3">'[23]Meas Indv Template'!$E$26:$E$32</definedName>
    <definedName name="MeasIndv_Formulas" localSheetId="2">'[23]Meas Indv Template'!$E$26:$E$32</definedName>
    <definedName name="MeasIndv_Formulas" localSheetId="5">'[23]Meas Indv Template'!$E$26:$E$32</definedName>
    <definedName name="MeasIndv_Formulas" localSheetId="6">'[23]Meas Indv Template'!$E$26:$E$32</definedName>
    <definedName name="MeasIndv_Formulas" localSheetId="7">'[23]Meas Indv Template'!$E$26:$E$32</definedName>
    <definedName name="MeasIndv_Formulas" localSheetId="8">'[23]Meas Indv Template'!$E$26:$E$32</definedName>
    <definedName name="MeasIndv_Formulas" localSheetId="9">'[23]Meas Indv Template'!$E$26:$E$32</definedName>
    <definedName name="MeasIndv_Formulas" localSheetId="10">'[77]Meas Indv Template'!$E$26:$E$32</definedName>
    <definedName name="MeasIndv_Formulas">'[17]Meas Indv Template'!$E$26:$E$32</definedName>
    <definedName name="MeasIndv_Header_Designer" localSheetId="4">'[23]Meas Indv Template'!$C$9</definedName>
    <definedName name="MeasIndv_Header_Designer" localSheetId="3">'[23]Meas Indv Template'!$C$9</definedName>
    <definedName name="MeasIndv_Header_Designer" localSheetId="2">'[23]Meas Indv Template'!$C$9</definedName>
    <definedName name="MeasIndv_Header_Designer" localSheetId="5">'[23]Meas Indv Template'!$C$9</definedName>
    <definedName name="MeasIndv_Header_Designer" localSheetId="6">'[23]Meas Indv Template'!$C$9</definedName>
    <definedName name="MeasIndv_Header_Designer" localSheetId="7">'[23]Meas Indv Template'!$C$9</definedName>
    <definedName name="MeasIndv_Header_Designer" localSheetId="8">'[23]Meas Indv Template'!$C$9</definedName>
    <definedName name="MeasIndv_Header_Designer" localSheetId="9">'[23]Meas Indv Template'!$C$9</definedName>
    <definedName name="MeasIndv_Header_Designer" localSheetId="10">'[77]Meas Indv Template'!$C$9</definedName>
    <definedName name="MeasIndv_Header_Designer">'[17]Meas Indv Template'!$C$9</definedName>
    <definedName name="MeasIndv_Header_Measurer" localSheetId="4">'[23]Meas Indv Template'!$C$7</definedName>
    <definedName name="MeasIndv_Header_Measurer" localSheetId="3">'[23]Meas Indv Template'!$C$7</definedName>
    <definedName name="MeasIndv_Header_Measurer" localSheetId="2">'[23]Meas Indv Template'!$C$7</definedName>
    <definedName name="MeasIndv_Header_Measurer" localSheetId="5">'[23]Meas Indv Template'!$C$7</definedName>
    <definedName name="MeasIndv_Header_Measurer" localSheetId="6">'[23]Meas Indv Template'!$C$7</definedName>
    <definedName name="MeasIndv_Header_Measurer" localSheetId="7">'[23]Meas Indv Template'!$C$7</definedName>
    <definedName name="MeasIndv_Header_Measurer" localSheetId="8">'[23]Meas Indv Template'!$C$7</definedName>
    <definedName name="MeasIndv_Header_Measurer" localSheetId="9">'[23]Meas Indv Template'!$C$7</definedName>
    <definedName name="MeasIndv_Header_Measurer" localSheetId="10">'[77]Meas Indv Template'!$C$7</definedName>
    <definedName name="MeasIndv_Header_Measurer">'[17]Meas Indv Template'!$C$7</definedName>
    <definedName name="MeasIndv_Header_PartIssue" localSheetId="4">'[23]Meas Indv Template'!$F$5</definedName>
    <definedName name="MeasIndv_Header_PartIssue" localSheetId="3">'[23]Meas Indv Template'!$F$5</definedName>
    <definedName name="MeasIndv_Header_PartIssue" localSheetId="2">'[23]Meas Indv Template'!$F$5</definedName>
    <definedName name="MeasIndv_Header_PartIssue" localSheetId="5">'[23]Meas Indv Template'!$F$5</definedName>
    <definedName name="MeasIndv_Header_PartIssue" localSheetId="6">'[23]Meas Indv Template'!$F$5</definedName>
    <definedName name="MeasIndv_Header_PartIssue" localSheetId="7">'[23]Meas Indv Template'!$F$5</definedName>
    <definedName name="MeasIndv_Header_PartIssue" localSheetId="8">'[23]Meas Indv Template'!$F$5</definedName>
    <definedName name="MeasIndv_Header_PartIssue" localSheetId="9">'[23]Meas Indv Template'!$F$5</definedName>
    <definedName name="MeasIndv_Header_PartIssue" localSheetId="10">'[77]Meas Indv Template'!$F$5</definedName>
    <definedName name="MeasIndv_Header_PartIssue">'[17]Meas Indv Template'!$F$5</definedName>
    <definedName name="MeasIndv_Header_PartName" localSheetId="4">'[23]Meas Indv Template'!$E$4</definedName>
    <definedName name="MeasIndv_Header_PartName" localSheetId="3">'[23]Meas Indv Template'!$E$4</definedName>
    <definedName name="MeasIndv_Header_PartName" localSheetId="2">'[23]Meas Indv Template'!$E$4</definedName>
    <definedName name="MeasIndv_Header_PartName" localSheetId="5">'[23]Meas Indv Template'!$E$4</definedName>
    <definedName name="MeasIndv_Header_PartName" localSheetId="6">'[23]Meas Indv Template'!$E$4</definedName>
    <definedName name="MeasIndv_Header_PartName" localSheetId="7">'[23]Meas Indv Template'!$E$4</definedName>
    <definedName name="MeasIndv_Header_PartName" localSheetId="8">'[23]Meas Indv Template'!$E$4</definedName>
    <definedName name="MeasIndv_Header_PartName" localSheetId="9">'[23]Meas Indv Template'!$E$4</definedName>
    <definedName name="MeasIndv_Header_PartName" localSheetId="10">'[77]Meas Indv Template'!$E$4</definedName>
    <definedName name="MeasIndv_Header_PartName">'[17]Meas Indv Template'!$E$4</definedName>
    <definedName name="MeasIndv_Header_PartNumber" localSheetId="4">'[23]Meas Indv Template'!$C$5</definedName>
    <definedName name="MeasIndv_Header_PartNumber" localSheetId="3">'[23]Meas Indv Template'!$C$5</definedName>
    <definedName name="MeasIndv_Header_PartNumber" localSheetId="2">'[23]Meas Indv Template'!$C$5</definedName>
    <definedName name="MeasIndv_Header_PartNumber" localSheetId="5">'[23]Meas Indv Template'!$C$5</definedName>
    <definedName name="MeasIndv_Header_PartNumber" localSheetId="6">'[23]Meas Indv Template'!$C$5</definedName>
    <definedName name="MeasIndv_Header_PartNumber" localSheetId="7">'[23]Meas Indv Template'!$C$5</definedName>
    <definedName name="MeasIndv_Header_PartNumber" localSheetId="8">'[23]Meas Indv Template'!$C$5</definedName>
    <definedName name="MeasIndv_Header_PartNumber" localSheetId="9">'[23]Meas Indv Template'!$C$5</definedName>
    <definedName name="MeasIndv_Header_PartNumber" localSheetId="10">'[77]Meas Indv Template'!$C$5</definedName>
    <definedName name="MeasIndv_Header_PartNumber">'[17]Meas Indv Template'!$C$5</definedName>
    <definedName name="MeasIndv_Header_Reason" localSheetId="4">'[23]Meas Indv Template'!$C$10</definedName>
    <definedName name="MeasIndv_Header_Reason" localSheetId="3">'[23]Meas Indv Template'!$C$10</definedName>
    <definedName name="MeasIndv_Header_Reason" localSheetId="2">'[23]Meas Indv Template'!$C$10</definedName>
    <definedName name="MeasIndv_Header_Reason" localSheetId="5">'[23]Meas Indv Template'!$C$10</definedName>
    <definedName name="MeasIndv_Header_Reason" localSheetId="6">'[23]Meas Indv Template'!$C$10</definedName>
    <definedName name="MeasIndv_Header_Reason" localSheetId="7">'[23]Meas Indv Template'!$C$10</definedName>
    <definedName name="MeasIndv_Header_Reason" localSheetId="8">'[23]Meas Indv Template'!$C$10</definedName>
    <definedName name="MeasIndv_Header_Reason" localSheetId="9">'[23]Meas Indv Template'!$C$10</definedName>
    <definedName name="MeasIndv_Header_Reason" localSheetId="10">'[77]Meas Indv Template'!$C$10</definedName>
    <definedName name="MeasIndv_Header_Reason">'[17]Meas Indv Template'!$C$10</definedName>
    <definedName name="MeasIndv_Header_Requested" localSheetId="4">'[23]Meas Indv Template'!$C$6</definedName>
    <definedName name="MeasIndv_Header_Requested" localSheetId="3">'[23]Meas Indv Template'!$C$6</definedName>
    <definedName name="MeasIndv_Header_Requested" localSheetId="2">'[23]Meas Indv Template'!$C$6</definedName>
    <definedName name="MeasIndv_Header_Requested" localSheetId="5">'[23]Meas Indv Template'!$C$6</definedName>
    <definedName name="MeasIndv_Header_Requested" localSheetId="6">'[23]Meas Indv Template'!$C$6</definedName>
    <definedName name="MeasIndv_Header_Requested" localSheetId="7">'[23]Meas Indv Template'!$C$6</definedName>
    <definedName name="MeasIndv_Header_Requested" localSheetId="8">'[23]Meas Indv Template'!$C$6</definedName>
    <definedName name="MeasIndv_Header_Requested" localSheetId="9">'[23]Meas Indv Template'!$C$6</definedName>
    <definedName name="MeasIndv_Header_Requested" localSheetId="10">'[77]Meas Indv Template'!$C$6</definedName>
    <definedName name="MeasIndv_Header_Requested">'[17]Meas Indv Template'!$C$6</definedName>
    <definedName name="MeasIndv_Header_SampleSize" localSheetId="4">'[23]Meas Indv Template'!$I$7</definedName>
    <definedName name="MeasIndv_Header_SampleSize" localSheetId="3">'[23]Meas Indv Template'!$I$7</definedName>
    <definedName name="MeasIndv_Header_SampleSize" localSheetId="2">'[23]Meas Indv Template'!$I$7</definedName>
    <definedName name="MeasIndv_Header_SampleSize" localSheetId="5">'[23]Meas Indv Template'!$I$7</definedName>
    <definedName name="MeasIndv_Header_SampleSize" localSheetId="6">'[23]Meas Indv Template'!$I$7</definedName>
    <definedName name="MeasIndv_Header_SampleSize" localSheetId="7">'[23]Meas Indv Template'!$I$7</definedName>
    <definedName name="MeasIndv_Header_SampleSize" localSheetId="8">'[23]Meas Indv Template'!$I$7</definedName>
    <definedName name="MeasIndv_Header_SampleSize" localSheetId="9">'[23]Meas Indv Template'!$I$7</definedName>
    <definedName name="MeasIndv_Header_SampleSize" localSheetId="10">'[77]Meas Indv Template'!$I$7</definedName>
    <definedName name="MeasIndv_Header_SampleSize">'[17]Meas Indv Template'!$I$7</definedName>
    <definedName name="MeasIndv_Header_StudyEnd" localSheetId="4">'[23]Meas Indv Template'!$F$8</definedName>
    <definedName name="MeasIndv_Header_StudyEnd" localSheetId="3">'[23]Meas Indv Template'!$F$8</definedName>
    <definedName name="MeasIndv_Header_StudyEnd" localSheetId="2">'[23]Meas Indv Template'!$F$8</definedName>
    <definedName name="MeasIndv_Header_StudyEnd" localSheetId="5">'[23]Meas Indv Template'!$F$8</definedName>
    <definedName name="MeasIndv_Header_StudyEnd" localSheetId="6">'[23]Meas Indv Template'!$F$8</definedName>
    <definedName name="MeasIndv_Header_StudyEnd" localSheetId="7">'[23]Meas Indv Template'!$F$8</definedName>
    <definedName name="MeasIndv_Header_StudyEnd" localSheetId="8">'[23]Meas Indv Template'!$F$8</definedName>
    <definedName name="MeasIndv_Header_StudyEnd" localSheetId="9">'[23]Meas Indv Template'!$F$8</definedName>
    <definedName name="MeasIndv_Header_StudyEnd" localSheetId="10">'[77]Meas Indv Template'!$F$8</definedName>
    <definedName name="MeasIndv_Header_StudyEnd">'[17]Meas Indv Template'!$F$8</definedName>
    <definedName name="MeasIndv_Header_StudyStart" localSheetId="4">'[23]Meas Indv Template'!$C$8</definedName>
    <definedName name="MeasIndv_Header_StudyStart" localSheetId="3">'[23]Meas Indv Template'!$C$8</definedName>
    <definedName name="MeasIndv_Header_StudyStart" localSheetId="2">'[23]Meas Indv Template'!$C$8</definedName>
    <definedName name="MeasIndv_Header_StudyStart" localSheetId="5">'[23]Meas Indv Template'!$C$8</definedName>
    <definedName name="MeasIndv_Header_StudyStart" localSheetId="6">'[23]Meas Indv Template'!$C$8</definedName>
    <definedName name="MeasIndv_Header_StudyStart" localSheetId="7">'[23]Meas Indv Template'!$C$8</definedName>
    <definedName name="MeasIndv_Header_StudyStart" localSheetId="8">'[23]Meas Indv Template'!$C$8</definedName>
    <definedName name="MeasIndv_Header_StudyStart" localSheetId="9">'[23]Meas Indv Template'!$C$8</definedName>
    <definedName name="MeasIndv_Header_StudyStart" localSheetId="10">'[77]Meas Indv Template'!$C$8</definedName>
    <definedName name="MeasIndv_Header_StudyStart">'[17]Meas Indv Template'!$C$8</definedName>
    <definedName name="MeasIndv_Header_SubgroupSize" localSheetId="4">'[23]Meas Indv Template'!$I$5</definedName>
    <definedName name="MeasIndv_Header_SubgroupSize" localSheetId="3">'[23]Meas Indv Template'!$I$5</definedName>
    <definedName name="MeasIndv_Header_SubgroupSize" localSheetId="2">'[23]Meas Indv Template'!$I$5</definedName>
    <definedName name="MeasIndv_Header_SubgroupSize" localSheetId="5">'[23]Meas Indv Template'!$I$5</definedName>
    <definedName name="MeasIndv_Header_SubgroupSize" localSheetId="6">'[23]Meas Indv Template'!$I$5</definedName>
    <definedName name="MeasIndv_Header_SubgroupSize" localSheetId="7">'[23]Meas Indv Template'!$I$5</definedName>
    <definedName name="MeasIndv_Header_SubgroupSize" localSheetId="8">'[23]Meas Indv Template'!$I$5</definedName>
    <definedName name="MeasIndv_Header_SubgroupSize" localSheetId="9">'[23]Meas Indv Template'!$I$5</definedName>
    <definedName name="MeasIndv_Header_SubgroupSize" localSheetId="10">'[77]Meas Indv Template'!$I$5</definedName>
    <definedName name="MeasIndv_Header_SubgroupSize">'[17]Meas Indv Template'!$I$5</definedName>
    <definedName name="MeasIndv_Header_Using" localSheetId="4">'[23]Meas Indv Template'!$I$8</definedName>
    <definedName name="MeasIndv_Header_Using" localSheetId="3">'[23]Meas Indv Template'!$I$8</definedName>
    <definedName name="MeasIndv_Header_Using" localSheetId="2">'[23]Meas Indv Template'!$I$8</definedName>
    <definedName name="MeasIndv_Header_Using" localSheetId="5">'[23]Meas Indv Template'!$I$8</definedName>
    <definedName name="MeasIndv_Header_Using" localSheetId="6">'[23]Meas Indv Template'!$I$8</definedName>
    <definedName name="MeasIndv_Header_Using" localSheetId="7">'[23]Meas Indv Template'!$I$8</definedName>
    <definedName name="MeasIndv_Header_Using" localSheetId="8">'[23]Meas Indv Template'!$I$8</definedName>
    <definedName name="MeasIndv_Header_Using" localSheetId="9">'[23]Meas Indv Template'!$I$8</definedName>
    <definedName name="MeasIndv_Header_Using" localSheetId="10">'[77]Meas Indv Template'!$I$8</definedName>
    <definedName name="MeasIndv_Header_Using">'[17]Meas Indv Template'!$I$8</definedName>
    <definedName name="MeasIndv_Header_USLs" localSheetId="4">'[23]Meas Indv Template'!$E$16:$IV$16</definedName>
    <definedName name="MeasIndv_Header_USLs" localSheetId="3">'[23]Meas Indv Template'!$E$16:$IV$16</definedName>
    <definedName name="MeasIndv_Header_USLs" localSheetId="2">'[23]Meas Indv Template'!$E$16:$IV$16</definedName>
    <definedName name="MeasIndv_Header_USLs" localSheetId="5">'[23]Meas Indv Template'!$E$16:$IV$16</definedName>
    <definedName name="MeasIndv_Header_USLs" localSheetId="6">'[23]Meas Indv Template'!$E$16:$IV$16</definedName>
    <definedName name="MeasIndv_Header_USLs" localSheetId="7">'[23]Meas Indv Template'!$E$16:$IV$16</definedName>
    <definedName name="MeasIndv_Header_USLs" localSheetId="8">'[23]Meas Indv Template'!$E$16:$IV$16</definedName>
    <definedName name="MeasIndv_Header_USLs" localSheetId="9">'[23]Meas Indv Template'!$E$16:$IV$16</definedName>
    <definedName name="MeasIndv_Header_USLs" localSheetId="10">'[77]Meas Indv Template'!$E$16:$IV$16</definedName>
    <definedName name="MeasIndv_Header_USLs">'[17]Meas Indv Template'!$E$16:$IV$16</definedName>
    <definedName name="MeasIndv_RowInsert" localSheetId="4">'[23]Meas Indv Template'!$E$24</definedName>
    <definedName name="MeasIndv_RowInsert" localSheetId="3">'[23]Meas Indv Template'!$E$24</definedName>
    <definedName name="MeasIndv_RowInsert" localSheetId="2">'[23]Meas Indv Template'!$E$24</definedName>
    <definedName name="MeasIndv_RowInsert" localSheetId="5">'[23]Meas Indv Template'!$E$24</definedName>
    <definedName name="MeasIndv_RowInsert" localSheetId="6">'[23]Meas Indv Template'!$E$24</definedName>
    <definedName name="MeasIndv_RowInsert" localSheetId="7">'[23]Meas Indv Template'!$E$24</definedName>
    <definedName name="MeasIndv_RowInsert" localSheetId="8">'[23]Meas Indv Template'!$E$24</definedName>
    <definedName name="MeasIndv_RowInsert" localSheetId="9">'[23]Meas Indv Template'!$E$24</definedName>
    <definedName name="MeasIndv_RowInsert" localSheetId="10">'[77]Meas Indv Template'!$E$24</definedName>
    <definedName name="MeasIndv_RowInsert">'[17]Meas Indv Template'!$E$24</definedName>
    <definedName name="Meilenstein">"AutoForm 4"</definedName>
    <definedName name="MES" localSheetId="4">#REF!</definedName>
    <definedName name="MES" localSheetId="3">#REF!</definedName>
    <definedName name="MES" localSheetId="2">#REF!</definedName>
    <definedName name="MES" localSheetId="5">#REF!</definedName>
    <definedName name="MES" localSheetId="6">#REF!</definedName>
    <definedName name="MES" localSheetId="7">#REF!</definedName>
    <definedName name="MES" localSheetId="8">#REF!</definedName>
    <definedName name="MES" localSheetId="9">#REF!</definedName>
    <definedName name="MES" localSheetId="10">#REF!</definedName>
    <definedName name="MES" localSheetId="11">#REF!</definedName>
    <definedName name="MES">#REF!</definedName>
    <definedName name="Mion">[52]Summary!$G$28</definedName>
    <definedName name="MIQ" localSheetId="4">#REF!</definedName>
    <definedName name="MIQ" localSheetId="3">#REF!</definedName>
    <definedName name="MIQ" localSheetId="2">#REF!</definedName>
    <definedName name="MIQ" localSheetId="5">#REF!</definedName>
    <definedName name="MIQ" localSheetId="6">#REF!</definedName>
    <definedName name="MIQ" localSheetId="7">#REF!</definedName>
    <definedName name="MIQ" localSheetId="8">#REF!</definedName>
    <definedName name="MIQ" localSheetId="9">#REF!</definedName>
    <definedName name="MIQ" localSheetId="10">#REF!</definedName>
    <definedName name="MIQ" localSheetId="11">#REF!</definedName>
    <definedName name="MIQ">#REF!</definedName>
    <definedName name="mis" localSheetId="4" hidden="1">{#N/A,#N/A,TRUE,"Distribution";#N/A,#N/A,TRUE,"Fulfillment";#N/A,#N/A,TRUE,"Aged Backorders"}</definedName>
    <definedName name="mis" localSheetId="3" hidden="1">{#N/A,#N/A,TRUE,"Distribution";#N/A,#N/A,TRUE,"Fulfillment";#N/A,#N/A,TRUE,"Aged Backorders"}</definedName>
    <definedName name="mis" localSheetId="2" hidden="1">{#N/A,#N/A,TRUE,"Distribution";#N/A,#N/A,TRUE,"Fulfillment";#N/A,#N/A,TRUE,"Aged Backorders"}</definedName>
    <definedName name="mis" localSheetId="8" hidden="1">{#N/A,#N/A,TRUE,"Distribution";#N/A,#N/A,TRUE,"Fulfillment";#N/A,#N/A,TRUE,"Aged Backorders"}</definedName>
    <definedName name="mis" localSheetId="9" hidden="1">{#N/A,#N/A,TRUE,"Distribution";#N/A,#N/A,TRUE,"Fulfillment";#N/A,#N/A,TRUE,"Aged Backorders"}</definedName>
    <definedName name="mis" localSheetId="10" hidden="1">{#N/A,#N/A,TRUE,"Distribution";#N/A,#N/A,TRUE,"Fulfillment";#N/A,#N/A,TRUE,"Aged Backorders"}</definedName>
    <definedName name="mis" hidden="1">{#N/A,#N/A,TRUE,"Distribution";#N/A,#N/A,TRUE,"Fulfillment";#N/A,#N/A,TRUE,"Aged Backorders"}</definedName>
    <definedName name="Mission_Critical" localSheetId="4">#REF!</definedName>
    <definedName name="Mission_Critical" localSheetId="3">#REF!</definedName>
    <definedName name="Mission_Critical" localSheetId="2">#REF!</definedName>
    <definedName name="Mission_Critical" localSheetId="5">#REF!</definedName>
    <definedName name="Mission_Critical" localSheetId="6">#REF!</definedName>
    <definedName name="Mission_Critical" localSheetId="7">#REF!</definedName>
    <definedName name="Mission_Critical" localSheetId="8">#REF!</definedName>
    <definedName name="Mission_Critical" localSheetId="9">#REF!</definedName>
    <definedName name="Mission_Critical" localSheetId="10">#REF!</definedName>
    <definedName name="Mission_Critical" localSheetId="11">#REF!</definedName>
    <definedName name="Mission_Critical">#REF!</definedName>
    <definedName name="mjdfnjkbn" localSheetId="4" hidden="1">{#N/A,#N/A,TRUE,"Distribution";#N/A,#N/A,TRUE,"Fulfillment";#N/A,#N/A,TRUE,"Aged Backorders"}</definedName>
    <definedName name="mjdfnjkbn" localSheetId="3" hidden="1">{#N/A,#N/A,TRUE,"Distribution";#N/A,#N/A,TRUE,"Fulfillment";#N/A,#N/A,TRUE,"Aged Backorders"}</definedName>
    <definedName name="mjdfnjkbn" localSheetId="2" hidden="1">{#N/A,#N/A,TRUE,"Distribution";#N/A,#N/A,TRUE,"Fulfillment";#N/A,#N/A,TRUE,"Aged Backorders"}</definedName>
    <definedName name="mjdfnjkbn" localSheetId="8" hidden="1">{#N/A,#N/A,TRUE,"Distribution";#N/A,#N/A,TRUE,"Fulfillment";#N/A,#N/A,TRUE,"Aged Backorders"}</definedName>
    <definedName name="mjdfnjkbn" localSheetId="9" hidden="1">{#N/A,#N/A,TRUE,"Distribution";#N/A,#N/A,TRUE,"Fulfillment";#N/A,#N/A,TRUE,"Aged Backorders"}</definedName>
    <definedName name="mjdfnjkbn" localSheetId="10" hidden="1">{#N/A,#N/A,TRUE,"Distribution";#N/A,#N/A,TRUE,"Fulfillment";#N/A,#N/A,TRUE,"Aged Backorders"}</definedName>
    <definedName name="mjdfnjkbn" hidden="1">{#N/A,#N/A,TRUE,"Distribution";#N/A,#N/A,TRUE,"Fulfillment";#N/A,#N/A,TRUE,"Aged Backorders"}</definedName>
    <definedName name="MK" localSheetId="4">#REF!</definedName>
    <definedName name="MK" localSheetId="3">#REF!</definedName>
    <definedName name="MK" localSheetId="2">#REF!</definedName>
    <definedName name="MK" localSheetId="5">#REF!</definedName>
    <definedName name="MK" localSheetId="6">#REF!</definedName>
    <definedName name="MK" localSheetId="7">#REF!</definedName>
    <definedName name="MK" localSheetId="8">#REF!</definedName>
    <definedName name="MK" localSheetId="9">#REF!</definedName>
    <definedName name="MK" localSheetId="10">#REF!</definedName>
    <definedName name="MK" localSheetId="11">#REF!</definedName>
    <definedName name="MK">#REF!</definedName>
    <definedName name="ml" localSheetId="4">#REF!</definedName>
    <definedName name="ml" localSheetId="3">#REF!</definedName>
    <definedName name="ml" localSheetId="2">#REF!</definedName>
    <definedName name="ml" localSheetId="5">#REF!</definedName>
    <definedName name="ml" localSheetId="6">#REF!</definedName>
    <definedName name="ml" localSheetId="7">#REF!</definedName>
    <definedName name="ml" localSheetId="8">#REF!</definedName>
    <definedName name="ml" localSheetId="9">#REF!</definedName>
    <definedName name="ml" localSheetId="10">#REF!</definedName>
    <definedName name="ml" localSheetId="11">#REF!</definedName>
    <definedName name="ml">#REF!</definedName>
    <definedName name="MM" localSheetId="4">#REF!</definedName>
    <definedName name="MM" localSheetId="3">#REF!</definedName>
    <definedName name="MM" localSheetId="2">#REF!</definedName>
    <definedName name="MM" localSheetId="5">#REF!</definedName>
    <definedName name="MM" localSheetId="6">#REF!</definedName>
    <definedName name="MM" localSheetId="7">#REF!</definedName>
    <definedName name="MM" localSheetId="8">#REF!</definedName>
    <definedName name="MM" localSheetId="9">#REF!</definedName>
    <definedName name="MM" localSheetId="10">#REF!</definedName>
    <definedName name="MM" localSheetId="11">#REF!</definedName>
    <definedName name="MM">#REF!</definedName>
    <definedName name="MMMM" localSheetId="4">#REF!</definedName>
    <definedName name="MMMM" localSheetId="3">#REF!</definedName>
    <definedName name="MMMM" localSheetId="2">#REF!</definedName>
    <definedName name="MMMM" localSheetId="5">#REF!</definedName>
    <definedName name="MMMM" localSheetId="6">#REF!</definedName>
    <definedName name="MMMM" localSheetId="7">#REF!</definedName>
    <definedName name="MMMM" localSheetId="8">#REF!</definedName>
    <definedName name="MMMM" localSheetId="9">#REF!</definedName>
    <definedName name="MMMM" localSheetId="10">#REF!</definedName>
    <definedName name="MMMM" localSheetId="11">#REF!</definedName>
    <definedName name="MMMM">#REF!</definedName>
    <definedName name="mmmmm" localSheetId="4">#REF!</definedName>
    <definedName name="mmmmm" localSheetId="3">#REF!</definedName>
    <definedName name="mmmmm" localSheetId="2">#REF!</definedName>
    <definedName name="mmmmm" localSheetId="5">#REF!</definedName>
    <definedName name="mmmmm" localSheetId="6">#REF!</definedName>
    <definedName name="mmmmm" localSheetId="7">#REF!</definedName>
    <definedName name="mmmmm" localSheetId="8">#REF!</definedName>
    <definedName name="mmmmm" localSheetId="9">#REF!</definedName>
    <definedName name="mmmmm" localSheetId="10">#REF!</definedName>
    <definedName name="mmmmm" localSheetId="11">#REF!</definedName>
    <definedName name="mmmmm">#REF!</definedName>
    <definedName name="mmmmmmj" localSheetId="4">#REF!</definedName>
    <definedName name="mmmmmmj" localSheetId="3">#REF!</definedName>
    <definedName name="mmmmmmj" localSheetId="2">#REF!</definedName>
    <definedName name="mmmmmmj" localSheetId="5">#REF!</definedName>
    <definedName name="mmmmmmj" localSheetId="6">#REF!</definedName>
    <definedName name="mmmmmmj" localSheetId="7">#REF!</definedName>
    <definedName name="mmmmmmj" localSheetId="8">#REF!</definedName>
    <definedName name="mmmmmmj" localSheetId="9">#REF!</definedName>
    <definedName name="mmmmmmj" localSheetId="10">#REF!</definedName>
    <definedName name="mmmmmmj" localSheetId="11">#REF!</definedName>
    <definedName name="mmmmmmj">#REF!</definedName>
    <definedName name="MMMMMMMMM" localSheetId="4">#REF!</definedName>
    <definedName name="MMMMMMMMM" localSheetId="3">#REF!</definedName>
    <definedName name="MMMMMMMMM" localSheetId="2">#REF!</definedName>
    <definedName name="MMMMMMMMM" localSheetId="5">#REF!</definedName>
    <definedName name="MMMMMMMMM" localSheetId="6">#REF!</definedName>
    <definedName name="MMMMMMMMM" localSheetId="7">#REF!</definedName>
    <definedName name="MMMMMMMMM" localSheetId="8">#REF!</definedName>
    <definedName name="MMMMMMMMM" localSheetId="9">#REF!</definedName>
    <definedName name="MMMMMMMMM" localSheetId="10">#REF!</definedName>
    <definedName name="MMMMMMMMM" localSheetId="11">#REF!</definedName>
    <definedName name="MMMMMMMMM">#REF!</definedName>
    <definedName name="mmmmmmmmmm" localSheetId="4">#REF!</definedName>
    <definedName name="mmmmmmmmmm" localSheetId="3">#REF!</definedName>
    <definedName name="mmmmmmmmmm" localSheetId="2">#REF!</definedName>
    <definedName name="mmmmmmmmmm" localSheetId="5">#REF!</definedName>
    <definedName name="mmmmmmmmmm" localSheetId="6">#REF!</definedName>
    <definedName name="mmmmmmmmmm" localSheetId="7">#REF!</definedName>
    <definedName name="mmmmmmmmmm" localSheetId="8">#REF!</definedName>
    <definedName name="mmmmmmmmmm" localSheetId="9">#REF!</definedName>
    <definedName name="mmmmmmmmmm" localSheetId="10">#REF!</definedName>
    <definedName name="mmmmmmmmmm" localSheetId="11">#REF!</definedName>
    <definedName name="mmmmmmmmmm">#REF!</definedName>
    <definedName name="MMVVVVVVV" localSheetId="4">#REF!</definedName>
    <definedName name="MMVVVVVVV" localSheetId="3">#REF!</definedName>
    <definedName name="MMVVVVVVV" localSheetId="2">#REF!</definedName>
    <definedName name="MMVVVVVVV" localSheetId="5">#REF!</definedName>
    <definedName name="MMVVVVVVV" localSheetId="6">#REF!</definedName>
    <definedName name="MMVVVVVVV" localSheetId="7">#REF!</definedName>
    <definedName name="MMVVVVVVV" localSheetId="8">#REF!</definedName>
    <definedName name="MMVVVVVVV" localSheetId="9">#REF!</definedName>
    <definedName name="MMVVVVVVV" localSheetId="10">#REF!</definedName>
    <definedName name="MMVVVVVVV" localSheetId="11">#REF!</definedName>
    <definedName name="MMVVVVVVV">#REF!</definedName>
    <definedName name="MO_NO">"MO85110026"</definedName>
    <definedName name="mod" localSheetId="4">#REF!</definedName>
    <definedName name="mod" localSheetId="3">#REF!</definedName>
    <definedName name="mod" localSheetId="2">#REF!</definedName>
    <definedName name="mod" localSheetId="5">#REF!</definedName>
    <definedName name="mod" localSheetId="6">#REF!</definedName>
    <definedName name="mod" localSheetId="7">#REF!</definedName>
    <definedName name="mod" localSheetId="8">#REF!</definedName>
    <definedName name="mod" localSheetId="9">#REF!</definedName>
    <definedName name="mod" localSheetId="10">#REF!</definedName>
    <definedName name="mod" localSheetId="11">#REF!</definedName>
    <definedName name="mod">#REF!</definedName>
    <definedName name="ModelList" localSheetId="4">#REF!</definedName>
    <definedName name="ModelList" localSheetId="3">#REF!</definedName>
    <definedName name="ModelList" localSheetId="2">#REF!</definedName>
    <definedName name="ModelList" localSheetId="5">#REF!</definedName>
    <definedName name="ModelList" localSheetId="6">#REF!</definedName>
    <definedName name="ModelList" localSheetId="7">#REF!</definedName>
    <definedName name="ModelList" localSheetId="8">#REF!</definedName>
    <definedName name="ModelList" localSheetId="9">#REF!</definedName>
    <definedName name="ModelList" localSheetId="10">#REF!</definedName>
    <definedName name="ModelList" localSheetId="11">#REF!</definedName>
    <definedName name="ModelList">#REF!</definedName>
    <definedName name="models" localSheetId="4">#REF!</definedName>
    <definedName name="models" localSheetId="3">#REF!</definedName>
    <definedName name="models" localSheetId="2">#REF!</definedName>
    <definedName name="models" localSheetId="5">#REF!</definedName>
    <definedName name="models" localSheetId="6">#REF!</definedName>
    <definedName name="models" localSheetId="7">#REF!</definedName>
    <definedName name="models" localSheetId="8">#REF!</definedName>
    <definedName name="models" localSheetId="9">#REF!</definedName>
    <definedName name="models" localSheetId="10">#REF!</definedName>
    <definedName name="models" localSheetId="11">#REF!</definedName>
    <definedName name="models">#REF!</definedName>
    <definedName name="ModelYear" localSheetId="4">'[46]VSAMS Summary'!$F$18</definedName>
    <definedName name="ModelYear" localSheetId="3">'[46]VSAMS Summary'!$F$18</definedName>
    <definedName name="ModelYear" localSheetId="2">'[46]VSAMS Summary'!$F$18</definedName>
    <definedName name="ModelYear" localSheetId="5">'[46]VSAMS Summary'!$F$18</definedName>
    <definedName name="ModelYear" localSheetId="6">'[46]VSAMS Summary'!$F$18</definedName>
    <definedName name="ModelYear" localSheetId="7">'[46]VSAMS Summary'!$F$18</definedName>
    <definedName name="ModelYear" localSheetId="8">'[46]VSAMS Summary'!$F$18</definedName>
    <definedName name="ModelYear" localSheetId="9">'[46]VSAMS Summary'!$F$18</definedName>
    <definedName name="ModelYear" localSheetId="10">'[88]VSAMS Summary'!$F$18</definedName>
    <definedName name="ModelYear">'[35]VSAMS Summary'!$F$18</definedName>
    <definedName name="Month">[103]MENU!$AX$1:$AX$12</definedName>
    <definedName name="MonthInPriorQuarter" localSheetId="4">#REF!</definedName>
    <definedName name="MonthInPriorQuarter" localSheetId="3">#REF!</definedName>
    <definedName name="MonthInPriorQuarter" localSheetId="2">#REF!</definedName>
    <definedName name="MonthInPriorQuarter" localSheetId="5">#REF!</definedName>
    <definedName name="MonthInPriorQuarter" localSheetId="6">#REF!</definedName>
    <definedName name="MonthInPriorQuarter" localSheetId="7">#REF!</definedName>
    <definedName name="MonthInPriorQuarter" localSheetId="8">#REF!</definedName>
    <definedName name="MonthInPriorQuarter" localSheetId="9">#REF!</definedName>
    <definedName name="MonthInPriorQuarter" localSheetId="10">#REF!</definedName>
    <definedName name="MonthInPriorQuarter" localSheetId="11">#REF!</definedName>
    <definedName name="MonthInPriorQuarter">#REF!</definedName>
    <definedName name="monthlist" localSheetId="4">#REF!</definedName>
    <definedName name="monthlist" localSheetId="3">#REF!</definedName>
    <definedName name="monthlist" localSheetId="2">#REF!</definedName>
    <definedName name="monthlist" localSheetId="5">#REF!</definedName>
    <definedName name="monthlist" localSheetId="6">#REF!</definedName>
    <definedName name="monthlist" localSheetId="7">#REF!</definedName>
    <definedName name="monthlist" localSheetId="8">#REF!</definedName>
    <definedName name="monthlist" localSheetId="9">#REF!</definedName>
    <definedName name="monthlist" localSheetId="10">#REF!</definedName>
    <definedName name="monthlist" localSheetId="11">#REF!</definedName>
    <definedName name="monthlist">#REF!</definedName>
    <definedName name="monthplan" localSheetId="4">#REF!</definedName>
    <definedName name="monthplan" localSheetId="3">#REF!</definedName>
    <definedName name="monthplan" localSheetId="2">#REF!</definedName>
    <definedName name="monthplan" localSheetId="5">#REF!</definedName>
    <definedName name="monthplan" localSheetId="6">#REF!</definedName>
    <definedName name="monthplan" localSheetId="7">#REF!</definedName>
    <definedName name="monthplan" localSheetId="8">#REF!</definedName>
    <definedName name="monthplan" localSheetId="9">#REF!</definedName>
    <definedName name="monthplan" localSheetId="10">#REF!</definedName>
    <definedName name="monthplan" localSheetId="11">#REF!</definedName>
    <definedName name="monthplan">#REF!</definedName>
    <definedName name="months" localSheetId="4">'[44]Fixed calculations'!$A$2:$B$13</definedName>
    <definedName name="months" localSheetId="3">'[44]Fixed calculations'!$A$2:$B$13</definedName>
    <definedName name="months" localSheetId="2">'[44]Fixed calculations'!$A$2:$B$13</definedName>
    <definedName name="months" localSheetId="5">'[44]Fixed calculations'!$A$2:$B$13</definedName>
    <definedName name="months" localSheetId="6">'[44]Fixed calculations'!$A$2:$B$13</definedName>
    <definedName name="months" localSheetId="7">'[44]Fixed calculations'!$A$2:$B$13</definedName>
    <definedName name="months" localSheetId="8">'[44]Fixed calculations'!$A$2:$B$13</definedName>
    <definedName name="months" localSheetId="9">'[44]Fixed calculations'!$A$2:$B$13</definedName>
    <definedName name="months" localSheetId="10">'[19]Fixed calculations'!$A$2:$B$13</definedName>
    <definedName name="months">'[33]Fixed calculations'!$A$2:$B$13</definedName>
    <definedName name="months_2" localSheetId="4">'[44]Fixed calculations'!$A$15:$B$158</definedName>
    <definedName name="months_2" localSheetId="3">'[44]Fixed calculations'!$A$15:$B$158</definedName>
    <definedName name="months_2" localSheetId="2">'[44]Fixed calculations'!$A$15:$B$158</definedName>
    <definedName name="months_2" localSheetId="5">'[44]Fixed calculations'!$A$15:$B$158</definedName>
    <definedName name="months_2" localSheetId="6">'[44]Fixed calculations'!$A$15:$B$158</definedName>
    <definedName name="months_2" localSheetId="7">'[44]Fixed calculations'!$A$15:$B$158</definedName>
    <definedName name="months_2" localSheetId="8">'[44]Fixed calculations'!$A$15:$B$158</definedName>
    <definedName name="months_2" localSheetId="9">'[44]Fixed calculations'!$A$15:$B$158</definedName>
    <definedName name="months_2" localSheetId="10">'[19]Fixed calculations'!$A$15:$B$158</definedName>
    <definedName name="months_2">'[33]Fixed calculations'!$A$15:$B$158</definedName>
    <definedName name="MPLAN" localSheetId="10">'[34]NEW003'!$N$1:$N$65536</definedName>
    <definedName name="MPLAN">'[56]NEW003'!$N$1:$N$65536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" localSheetId="4">#REF!</definedName>
    <definedName name="MS" localSheetId="3">#REF!</definedName>
    <definedName name="MS" localSheetId="2">#REF!</definedName>
    <definedName name="MS" localSheetId="5">#REF!</definedName>
    <definedName name="MS" localSheetId="6">#REF!</definedName>
    <definedName name="MS" localSheetId="7">#REF!</definedName>
    <definedName name="MS" localSheetId="8">#REF!</definedName>
    <definedName name="MS" localSheetId="9">#REF!</definedName>
    <definedName name="MS" localSheetId="10">#REF!</definedName>
    <definedName name="MS" localSheetId="11">#REF!</definedName>
    <definedName name="MS">#REF!</definedName>
    <definedName name="MS_Business_Continuity_and_Recovery_Service" localSheetId="4">[49]LOV!#REF!</definedName>
    <definedName name="MS_Business_Continuity_and_Recovery_Service" localSheetId="3">[49]LOV!#REF!</definedName>
    <definedName name="MS_Business_Continuity_and_Recovery_Service" localSheetId="2">[49]LOV!#REF!</definedName>
    <definedName name="MS_Business_Continuity_and_Recovery_Service" localSheetId="5">[49]LOV!#REF!</definedName>
    <definedName name="MS_Business_Continuity_and_Recovery_Service" localSheetId="6">[49]LOV!#REF!</definedName>
    <definedName name="MS_Business_Continuity_and_Recovery_Service" localSheetId="7">[49]LOV!#REF!</definedName>
    <definedName name="MS_Business_Continuity_and_Recovery_Service" localSheetId="8">[50]LOV!#REF!</definedName>
    <definedName name="MS_Business_Continuity_and_Recovery_Service" localSheetId="9">[50]LOV!#REF!</definedName>
    <definedName name="MS_Business_Continuity_and_Recovery_Service" localSheetId="10">[89]LOV!#REF!</definedName>
    <definedName name="MS_Business_Continuity_and_Recovery_Service">[38]LOV!#REF!</definedName>
    <definedName name="MS_Software_Publishing" localSheetId="4">[49]LOV!#REF!</definedName>
    <definedName name="MS_Software_Publishing" localSheetId="3">[49]LOV!#REF!</definedName>
    <definedName name="MS_Software_Publishing" localSheetId="2">[49]LOV!#REF!</definedName>
    <definedName name="MS_Software_Publishing" localSheetId="5">[49]LOV!#REF!</definedName>
    <definedName name="MS_Software_Publishing" localSheetId="6">[49]LOV!#REF!</definedName>
    <definedName name="MS_Software_Publishing" localSheetId="7">[49]LOV!#REF!</definedName>
    <definedName name="MS_Software_Publishing" localSheetId="8">[50]LOV!#REF!</definedName>
    <definedName name="MS_Software_Publishing" localSheetId="9">[50]LOV!#REF!</definedName>
    <definedName name="MS_Software_Publishing" localSheetId="10">[89]LOV!#REF!</definedName>
    <definedName name="MS_Software_Publishing">[38]LOV!#REF!</definedName>
    <definedName name="MSa" localSheetId="4">[76]APJSum!$A$507</definedName>
    <definedName name="MSa" localSheetId="3">[76]APJSum!$A$507</definedName>
    <definedName name="MSa" localSheetId="2">[76]APJSum!$A$507</definedName>
    <definedName name="MSa" localSheetId="5">[76]APJSum!$A$507</definedName>
    <definedName name="MSa" localSheetId="6">[76]APJSum!$A$507</definedName>
    <definedName name="MSa" localSheetId="7">[76]APJSum!$A$507</definedName>
    <definedName name="MSa" localSheetId="10">[25]APJSum!$A$507</definedName>
    <definedName name="MSa">[32]APJSum!$A$507</definedName>
    <definedName name="MSame" localSheetId="4">[76]AmeSum!$A$507</definedName>
    <definedName name="MSame" localSheetId="3">[76]AmeSum!$A$507</definedName>
    <definedName name="MSame" localSheetId="2">[76]AmeSum!$A$507</definedName>
    <definedName name="MSame" localSheetId="5">[76]AmeSum!$A$507</definedName>
    <definedName name="MSame" localSheetId="6">[76]AmeSum!$A$507</definedName>
    <definedName name="MSame" localSheetId="7">[76]AmeSum!$A$507</definedName>
    <definedName name="MSame" localSheetId="10">[25]AmeSum!$A$507</definedName>
    <definedName name="MSame">[32]AmeSum!$A$507</definedName>
    <definedName name="MSAP" localSheetId="10">[21]AmeSum!#REF!</definedName>
    <definedName name="MSAP">[34]AmeSum!#REF!</definedName>
    <definedName name="msaspi" localSheetId="4">#REF!</definedName>
    <definedName name="msaspi" localSheetId="3">#REF!</definedName>
    <definedName name="msaspi" localSheetId="2">#REF!</definedName>
    <definedName name="msaspi" localSheetId="5">#REF!</definedName>
    <definedName name="msaspi" localSheetId="6">#REF!</definedName>
    <definedName name="msaspi" localSheetId="7">#REF!</definedName>
    <definedName name="msaspi" localSheetId="8">#REF!</definedName>
    <definedName name="msaspi" localSheetId="9">#REF!</definedName>
    <definedName name="msaspi" localSheetId="10">#REF!</definedName>
    <definedName name="msaspi" localSheetId="11">#REF!</definedName>
    <definedName name="msaspi">#REF!</definedName>
    <definedName name="MSe" localSheetId="4">[76]EMEASum!$A$507</definedName>
    <definedName name="MSe" localSheetId="3">[76]EMEASum!$A$507</definedName>
    <definedName name="MSe" localSheetId="2">[76]EMEASum!$A$507</definedName>
    <definedName name="MSe" localSheetId="5">[76]EMEASum!$A$507</definedName>
    <definedName name="MSe" localSheetId="6">[76]EMEASum!$A$507</definedName>
    <definedName name="MSe" localSheetId="7">[76]EMEASum!$A$507</definedName>
    <definedName name="MSe" localSheetId="10">[25]EMEASum!$A$507</definedName>
    <definedName name="MSe">[32]EMEASum!$A$507</definedName>
    <definedName name="MSEMEA" localSheetId="10">[21]AmeSum!#REF!</definedName>
    <definedName name="MSEMEA">[34]AmeSum!#REF!</definedName>
    <definedName name="MSh" localSheetId="4">[76]HPCoSum!$A$507</definedName>
    <definedName name="MSh" localSheetId="3">[76]HPCoSum!$A$507</definedName>
    <definedName name="MSh" localSheetId="2">[76]HPCoSum!$A$507</definedName>
    <definedName name="MSh" localSheetId="5">[76]HPCoSum!$A$507</definedName>
    <definedName name="MSh" localSheetId="6">[76]HPCoSum!$A$507</definedName>
    <definedName name="MSh" localSheetId="7">[76]HPCoSum!$A$507</definedName>
    <definedName name="MSh" localSheetId="10">[25]HPCoSum!$A$507</definedName>
    <definedName name="MSh">[32]HPCoSum!$A$507</definedName>
    <definedName name="MSHPCo" localSheetId="10">[21]AmeSum!#REF!</definedName>
    <definedName name="MSHPCo">[34]AmeSum!#REF!</definedName>
    <definedName name="MSJP" localSheetId="10">[21]AmeSum!#REF!</definedName>
    <definedName name="MSJP">[34]AmeSum!#REF!</definedName>
    <definedName name="MSo" localSheetId="4">[76]OGSum!$A$507</definedName>
    <definedName name="MSo" localSheetId="3">[76]OGSum!$A$507</definedName>
    <definedName name="MSo" localSheetId="2">[76]OGSum!$A$507</definedName>
    <definedName name="MSo" localSheetId="5">[76]OGSum!$A$507</definedName>
    <definedName name="MSo" localSheetId="6">[76]OGSum!$A$507</definedName>
    <definedName name="MSo" localSheetId="7">[76]OGSum!$A$507</definedName>
    <definedName name="MSo" localSheetId="10">[25]OGSum!$A$507</definedName>
    <definedName name="MSo">[32]OGSum!$A$507</definedName>
    <definedName name="MSOG" localSheetId="10">[21]AmeSum!#REF!</definedName>
    <definedName name="MSOG">[34]AmeSum!#REF!</definedName>
    <definedName name="msrestat" localSheetId="4">#REF!</definedName>
    <definedName name="msrestat" localSheetId="3">#REF!</definedName>
    <definedName name="msrestat" localSheetId="2">#REF!</definedName>
    <definedName name="msrestat" localSheetId="5">#REF!</definedName>
    <definedName name="msrestat" localSheetId="6">#REF!</definedName>
    <definedName name="msrestat" localSheetId="7">#REF!</definedName>
    <definedName name="msrestat" localSheetId="8">#REF!</definedName>
    <definedName name="msrestat" localSheetId="9">#REF!</definedName>
    <definedName name="msrestat" localSheetId="10">#REF!</definedName>
    <definedName name="msrestat" localSheetId="11">#REF!</definedName>
    <definedName name="msrestat">#REF!</definedName>
    <definedName name="MSw" localSheetId="4">#REF!</definedName>
    <definedName name="MSw" localSheetId="3">#REF!</definedName>
    <definedName name="MSw" localSheetId="2">#REF!</definedName>
    <definedName name="MSw" localSheetId="5">#REF!</definedName>
    <definedName name="MSw" localSheetId="6">#REF!</definedName>
    <definedName name="MSw" localSheetId="7">#REF!</definedName>
    <definedName name="MSw" localSheetId="8">#REF!</definedName>
    <definedName name="MSw" localSheetId="9">#REF!</definedName>
    <definedName name="MSw" localSheetId="10">#REF!</definedName>
    <definedName name="MSw" localSheetId="11">#REF!</definedName>
    <definedName name="MSw">#REF!</definedName>
    <definedName name="MTBF_GOAL" localSheetId="4">#REF!</definedName>
    <definedName name="MTBF_GOAL" localSheetId="3">#REF!</definedName>
    <definedName name="MTBF_GOAL" localSheetId="2">#REF!</definedName>
    <definedName name="MTBF_GOAL" localSheetId="5">#REF!</definedName>
    <definedName name="MTBF_GOAL" localSheetId="6">#REF!</definedName>
    <definedName name="MTBF_GOAL" localSheetId="7">#REF!</definedName>
    <definedName name="MTBF_GOAL" localSheetId="8">#REF!</definedName>
    <definedName name="MTBF_GOAL" localSheetId="9">#REF!</definedName>
    <definedName name="MTBF_GOAL" localSheetId="10">#REF!</definedName>
    <definedName name="MTBF_GOAL" localSheetId="11">#REF!</definedName>
    <definedName name="MTBF_GOAL">#REF!</definedName>
    <definedName name="mulu" localSheetId="4">#REF!</definedName>
    <definedName name="mulu" localSheetId="3">#REF!</definedName>
    <definedName name="mulu" localSheetId="2">#REF!</definedName>
    <definedName name="mulu" localSheetId="5">#REF!</definedName>
    <definedName name="mulu" localSheetId="6">#REF!</definedName>
    <definedName name="mulu" localSheetId="7">#REF!</definedName>
    <definedName name="mulu" localSheetId="8">#REF!</definedName>
    <definedName name="mulu" localSheetId="9">#REF!</definedName>
    <definedName name="mulu" localSheetId="10">#REF!</definedName>
    <definedName name="mulu" localSheetId="11">#REF!</definedName>
    <definedName name="mulu">#REF!</definedName>
    <definedName name="MV" localSheetId="4">'[64]FA-LISTING'!#REF!</definedName>
    <definedName name="MV" localSheetId="3">'[64]FA-LISTING'!#REF!</definedName>
    <definedName name="MV" localSheetId="2">'[64]FA-LISTING'!#REF!</definedName>
    <definedName name="MV" localSheetId="5">'[64]FA-LISTING'!#REF!</definedName>
    <definedName name="MV" localSheetId="6">'[64]FA-LISTING'!#REF!</definedName>
    <definedName name="MV" localSheetId="7">'[64]FA-LISTING'!#REF!</definedName>
    <definedName name="MV" localSheetId="8">'[2]FA-LISTING'!#REF!</definedName>
    <definedName name="MV" localSheetId="9">'[2]FA-LISTING'!#REF!</definedName>
    <definedName name="MV" localSheetId="10">'[2]FA-LISTING'!#REF!</definedName>
    <definedName name="MV">'[1]FA-LISTING'!#REF!</definedName>
    <definedName name="n" localSheetId="4">#REF!</definedName>
    <definedName name="n" localSheetId="3">#REF!</definedName>
    <definedName name="n" localSheetId="2">#REF!</definedName>
    <definedName name="n" localSheetId="5">#REF!</definedName>
    <definedName name="n" localSheetId="6">#REF!</definedName>
    <definedName name="n" localSheetId="7">#REF!</definedName>
    <definedName name="n" localSheetId="8">#REF!</definedName>
    <definedName name="n" localSheetId="9">#REF!</definedName>
    <definedName name="n" localSheetId="10">#REF!</definedName>
    <definedName name="n" localSheetId="11">#REF!</definedName>
    <definedName name="n">#REF!</definedName>
    <definedName name="name">[62]假设!#REF!</definedName>
    <definedName name="name2">[62]假设!#REF!</definedName>
    <definedName name="nbvbn" localSheetId="4" hidden="1">{#N/A,#N/A,TRUE,"Distribution";#N/A,#N/A,TRUE,"Fulfillment";#N/A,#N/A,TRUE,"Aged Backorders"}</definedName>
    <definedName name="nbvbn" localSheetId="3" hidden="1">{#N/A,#N/A,TRUE,"Distribution";#N/A,#N/A,TRUE,"Fulfillment";#N/A,#N/A,TRUE,"Aged Backorders"}</definedName>
    <definedName name="nbvbn" localSheetId="2" hidden="1">{#N/A,#N/A,TRUE,"Distribution";#N/A,#N/A,TRUE,"Fulfillment";#N/A,#N/A,TRUE,"Aged Backorders"}</definedName>
    <definedName name="nbvbn" localSheetId="8" hidden="1">{#N/A,#N/A,TRUE,"Distribution";#N/A,#N/A,TRUE,"Fulfillment";#N/A,#N/A,TRUE,"Aged Backorders"}</definedName>
    <definedName name="nbvbn" localSheetId="9" hidden="1">{#N/A,#N/A,TRUE,"Distribution";#N/A,#N/A,TRUE,"Fulfillment";#N/A,#N/A,TRUE,"Aged Backorders"}</definedName>
    <definedName name="nbvbn" localSheetId="10" hidden="1">{#N/A,#N/A,TRUE,"Distribution";#N/A,#N/A,TRUE,"Fulfillment";#N/A,#N/A,TRUE,"Aged Backorders"}</definedName>
    <definedName name="nbvbn" hidden="1">{#N/A,#N/A,TRUE,"Distribution";#N/A,#N/A,TRUE,"Fulfillment";#N/A,#N/A,TRUE,"Aged Backorders"}</definedName>
    <definedName name="NED" localSheetId="4">#REF!</definedName>
    <definedName name="NED" localSheetId="3">#REF!</definedName>
    <definedName name="NED" localSheetId="2">#REF!</definedName>
    <definedName name="NED" localSheetId="5">#REF!</definedName>
    <definedName name="NED" localSheetId="6">#REF!</definedName>
    <definedName name="NED" localSheetId="7">#REF!</definedName>
    <definedName name="NED" localSheetId="8">#REF!</definedName>
    <definedName name="NED" localSheetId="9">#REF!</definedName>
    <definedName name="NED" localSheetId="10">#REF!</definedName>
    <definedName name="NED" localSheetId="11">#REF!</definedName>
    <definedName name="NED">#REF!</definedName>
    <definedName name="NetBySku" localSheetId="4">#REF!</definedName>
    <definedName name="NetBySku" localSheetId="3">#REF!</definedName>
    <definedName name="NetBySku" localSheetId="2">#REF!</definedName>
    <definedName name="NetBySku" localSheetId="5">#REF!</definedName>
    <definedName name="NetBySku" localSheetId="6">#REF!</definedName>
    <definedName name="NetBySku" localSheetId="7">#REF!</definedName>
    <definedName name="NetBySku" localSheetId="8">#REF!</definedName>
    <definedName name="NetBySku" localSheetId="9">#REF!</definedName>
    <definedName name="NetBySku" localSheetId="10">#REF!</definedName>
    <definedName name="NetBySku" localSheetId="11">#REF!</definedName>
    <definedName name="NetBySku">#REF!</definedName>
    <definedName name="new" localSheetId="4">#REF!</definedName>
    <definedName name="new" localSheetId="3">#REF!</definedName>
    <definedName name="new" localSheetId="2">#REF!</definedName>
    <definedName name="new" localSheetId="5">#REF!</definedName>
    <definedName name="new" localSheetId="6">#REF!</definedName>
    <definedName name="new" localSheetId="7">#REF!</definedName>
    <definedName name="new" localSheetId="8">#REF!</definedName>
    <definedName name="new" localSheetId="9">#REF!</definedName>
    <definedName name="new" localSheetId="10">#REF!</definedName>
    <definedName name="new" localSheetId="11">#REF!</definedName>
    <definedName name="new">#REF!</definedName>
    <definedName name="NewBrk1">[104]SPals!#REF!</definedName>
    <definedName name="NewBrk2">[104]SPals!#REF!</definedName>
    <definedName name="NewBrk3">[104]SPals!#REF!</definedName>
    <definedName name="NewBrk4">[104]SPals!#REF!</definedName>
    <definedName name="NewBrk5">[104]SPals!#REF!</definedName>
    <definedName name="NewRt1">[104]SPals!#REF!</definedName>
    <definedName name="NewRt2">[104]SPals!#REF!</definedName>
    <definedName name="NewRt3">[104]SPals!#REF!</definedName>
    <definedName name="NewRt4">[104]SPals!#REF!</definedName>
    <definedName name="NewRt5">[104]SPals!#REF!</definedName>
    <definedName name="NewSched" localSheetId="4">#REF!</definedName>
    <definedName name="NewSched" localSheetId="3">#REF!</definedName>
    <definedName name="NewSched" localSheetId="2">#REF!</definedName>
    <definedName name="NewSched" localSheetId="5">#REF!</definedName>
    <definedName name="NewSched" localSheetId="6">#REF!</definedName>
    <definedName name="NewSched" localSheetId="7">#REF!</definedName>
    <definedName name="NewSched" localSheetId="8">#REF!</definedName>
    <definedName name="NewSched" localSheetId="9">#REF!</definedName>
    <definedName name="NewSched" localSheetId="10">#REF!</definedName>
    <definedName name="NewSched" localSheetId="11">#REF!</definedName>
    <definedName name="NewSched">#REF!</definedName>
    <definedName name="Next_DP_Date" localSheetId="4">[73]SUMMARY!$W$13</definedName>
    <definedName name="Next_DP_Date" localSheetId="3">[73]SUMMARY!$W$13</definedName>
    <definedName name="Next_DP_Date" localSheetId="2">[73]SUMMARY!$W$13</definedName>
    <definedName name="Next_DP_Date" localSheetId="5">[73]SUMMARY!$W$13</definedName>
    <definedName name="Next_DP_Date" localSheetId="6">[73]SUMMARY!$W$13</definedName>
    <definedName name="Next_DP_Date" localSheetId="7">[73]SUMMARY!$W$13</definedName>
    <definedName name="Next_DP_Date" localSheetId="8">[73]SUMMARY!$W$13</definedName>
    <definedName name="Next_DP_Date" localSheetId="9">[73]SUMMARY!$W$13</definedName>
    <definedName name="Next_DP_Date" localSheetId="10">[18]Summary!$W$13</definedName>
    <definedName name="Next_DP_Date">[23]Summary!$W$13</definedName>
    <definedName name="Next_DP_Date_10" localSheetId="4">[73]SUMMARY!$W$13</definedName>
    <definedName name="Next_DP_Date_10" localSheetId="3">[73]SUMMARY!$W$13</definedName>
    <definedName name="Next_DP_Date_10" localSheetId="2">[73]SUMMARY!$W$13</definedName>
    <definedName name="Next_DP_Date_10" localSheetId="5">[73]SUMMARY!$W$13</definedName>
    <definedName name="Next_DP_Date_10" localSheetId="6">[73]SUMMARY!$W$13</definedName>
    <definedName name="Next_DP_Date_10" localSheetId="7">[73]SUMMARY!$W$13</definedName>
    <definedName name="Next_DP_Date_10" localSheetId="8">[73]SUMMARY!$W$13</definedName>
    <definedName name="Next_DP_Date_10" localSheetId="9">[73]SUMMARY!$W$13</definedName>
    <definedName name="Next_DP_Date_10" localSheetId="10">[18]Summary!$W$13</definedName>
    <definedName name="Next_DP_Date_10">[23]Summary!$W$13</definedName>
    <definedName name="Next_DP_Point" localSheetId="4">[73]SUMMARY!$AE$14</definedName>
    <definedName name="Next_DP_Point" localSheetId="3">[73]SUMMARY!$AE$14</definedName>
    <definedName name="Next_DP_Point" localSheetId="2">[73]SUMMARY!$AE$14</definedName>
    <definedName name="Next_DP_Point" localSheetId="5">[73]SUMMARY!$AE$14</definedName>
    <definedName name="Next_DP_Point" localSheetId="6">[73]SUMMARY!$AE$14</definedName>
    <definedName name="Next_DP_Point" localSheetId="7">[73]SUMMARY!$AE$14</definedName>
    <definedName name="Next_DP_Point" localSheetId="8">[73]SUMMARY!$AE$14</definedName>
    <definedName name="Next_DP_Point" localSheetId="9">[73]SUMMARY!$AE$14</definedName>
    <definedName name="Next_DP_Point" localSheetId="10">[18]Summary!$AE$14</definedName>
    <definedName name="Next_DP_Point">[23]Summary!$AE$14</definedName>
    <definedName name="Next_DP_Point_10" localSheetId="4">[73]SUMMARY!$AE$14</definedName>
    <definedName name="Next_DP_Point_10" localSheetId="3">[73]SUMMARY!$AE$14</definedName>
    <definedName name="Next_DP_Point_10" localSheetId="2">[73]SUMMARY!$AE$14</definedName>
    <definedName name="Next_DP_Point_10" localSheetId="5">[73]SUMMARY!$AE$14</definedName>
    <definedName name="Next_DP_Point_10" localSheetId="6">[73]SUMMARY!$AE$14</definedName>
    <definedName name="Next_DP_Point_10" localSheetId="7">[73]SUMMARY!$AE$14</definedName>
    <definedName name="Next_DP_Point_10" localSheetId="8">[73]SUMMARY!$AE$14</definedName>
    <definedName name="Next_DP_Point_10" localSheetId="9">[73]SUMMARY!$AE$14</definedName>
    <definedName name="Next_DP_Point_10" localSheetId="10">[18]Summary!$AE$14</definedName>
    <definedName name="Next_DP_Point_10">[23]Summary!$AE$14</definedName>
    <definedName name="NineMonthsBack" localSheetId="4">#REF!</definedName>
    <definedName name="NineMonthsBack" localSheetId="3">#REF!</definedName>
    <definedName name="NineMonthsBack" localSheetId="2">#REF!</definedName>
    <definedName name="NineMonthsBack" localSheetId="5">#REF!</definedName>
    <definedName name="NineMonthsBack" localSheetId="6">#REF!</definedName>
    <definedName name="NineMonthsBack" localSheetId="7">#REF!</definedName>
    <definedName name="NineMonthsBack" localSheetId="8">#REF!</definedName>
    <definedName name="NineMonthsBack" localSheetId="9">#REF!</definedName>
    <definedName name="NineMonthsBack" localSheetId="10">#REF!</definedName>
    <definedName name="NineMonthsBack" localSheetId="11">#REF!</definedName>
    <definedName name="NineMonthsBack">#REF!</definedName>
    <definedName name="nj" localSheetId="4">#REF!</definedName>
    <definedName name="nj" localSheetId="3">#REF!</definedName>
    <definedName name="nj" localSheetId="2">#REF!</definedName>
    <definedName name="nj" localSheetId="5">#REF!</definedName>
    <definedName name="nj" localSheetId="6">#REF!</definedName>
    <definedName name="nj" localSheetId="7">#REF!</definedName>
    <definedName name="nj" localSheetId="8">#REF!</definedName>
    <definedName name="nj" localSheetId="9">#REF!</definedName>
    <definedName name="nj" localSheetId="10">#REF!</definedName>
    <definedName name="nj" localSheetId="11">#REF!</definedName>
    <definedName name="nj">#REF!</definedName>
    <definedName name="ñlnbhjgfdsjgsdj" localSheetId="4" hidden="1">{#N/A,#N/A,TRUE,"Distribution";#N/A,#N/A,TRUE,"Fulfillment";#N/A,#N/A,TRUE,"Aged Backorders"}</definedName>
    <definedName name="ñlnbhjgfdsjgsdj" localSheetId="3" hidden="1">{#N/A,#N/A,TRUE,"Distribution";#N/A,#N/A,TRUE,"Fulfillment";#N/A,#N/A,TRUE,"Aged Backorders"}</definedName>
    <definedName name="ñlnbhjgfdsjgsdj" localSheetId="2" hidden="1">{#N/A,#N/A,TRUE,"Distribution";#N/A,#N/A,TRUE,"Fulfillment";#N/A,#N/A,TRUE,"Aged Backorders"}</definedName>
    <definedName name="ñlnbhjgfdsjgsdj" localSheetId="8" hidden="1">{#N/A,#N/A,TRUE,"Distribution";#N/A,#N/A,TRUE,"Fulfillment";#N/A,#N/A,TRUE,"Aged Backorders"}</definedName>
    <definedName name="ñlnbhjgfdsjgsdj" localSheetId="9" hidden="1">{#N/A,#N/A,TRUE,"Distribution";#N/A,#N/A,TRUE,"Fulfillment";#N/A,#N/A,TRUE,"Aged Backorders"}</definedName>
    <definedName name="ñlnbhjgfdsjgsdj" localSheetId="10" hidden="1">{#N/A,#N/A,TRUE,"Distribution";#N/A,#N/A,TRUE,"Fulfillment";#N/A,#N/A,TRUE,"Aged Backorders"}</definedName>
    <definedName name="ñlnbhjgfdsjgsdj" hidden="1">{#N/A,#N/A,TRUE,"Distribution";#N/A,#N/A,TRUE,"Fulfillment";#N/A,#N/A,TRUE,"Aged Backorders"}</definedName>
    <definedName name="nmkl" localSheetId="4">#REF!</definedName>
    <definedName name="nmkl" localSheetId="3">#REF!</definedName>
    <definedName name="nmkl" localSheetId="2">#REF!</definedName>
    <definedName name="nmkl" localSheetId="5">#REF!</definedName>
    <definedName name="nmkl" localSheetId="6">#REF!</definedName>
    <definedName name="nmkl" localSheetId="7">#REF!</definedName>
    <definedName name="nmkl" localSheetId="8">#REF!</definedName>
    <definedName name="nmkl" localSheetId="9">#REF!</definedName>
    <definedName name="nmkl" localSheetId="10">#REF!</definedName>
    <definedName name="nmkl" localSheetId="11">#REF!</definedName>
    <definedName name="nmkl">#REF!</definedName>
    <definedName name="NN" localSheetId="4">#REF!</definedName>
    <definedName name="NN" localSheetId="3">#REF!</definedName>
    <definedName name="NN" localSheetId="2">#REF!</definedName>
    <definedName name="NN" localSheetId="5">#REF!</definedName>
    <definedName name="NN" localSheetId="6">#REF!</definedName>
    <definedName name="NN" localSheetId="7">#REF!</definedName>
    <definedName name="NN" localSheetId="8">#REF!</definedName>
    <definedName name="NN" localSheetId="9">#REF!</definedName>
    <definedName name="NN" localSheetId="10">#REF!</definedName>
    <definedName name="NN" localSheetId="11">#REF!</definedName>
    <definedName name="NN">#REF!</definedName>
    <definedName name="NNN" localSheetId="4">#REF!</definedName>
    <definedName name="NNN" localSheetId="3">#REF!</definedName>
    <definedName name="NNN" localSheetId="2">#REF!</definedName>
    <definedName name="NNN" localSheetId="5">#REF!</definedName>
    <definedName name="NNN" localSheetId="6">#REF!</definedName>
    <definedName name="NNN" localSheetId="7">#REF!</definedName>
    <definedName name="NNN" localSheetId="8">#REF!</definedName>
    <definedName name="NNN" localSheetId="9">#REF!</definedName>
    <definedName name="NNN" localSheetId="10">#REF!</definedName>
    <definedName name="NNN" localSheetId="11">#REF!</definedName>
    <definedName name="NNN">#REF!</definedName>
    <definedName name="ñññ" localSheetId="4" hidden="1">{#N/A,#N/A,TRUE,"Distribution";#N/A,#N/A,TRUE,"Fulfillment";#N/A,#N/A,TRUE,"Aged Backorders"}</definedName>
    <definedName name="ñññ" localSheetId="3" hidden="1">{#N/A,#N/A,TRUE,"Distribution";#N/A,#N/A,TRUE,"Fulfillment";#N/A,#N/A,TRUE,"Aged Backorders"}</definedName>
    <definedName name="ñññ" localSheetId="2" hidden="1">{#N/A,#N/A,TRUE,"Distribution";#N/A,#N/A,TRUE,"Fulfillment";#N/A,#N/A,TRUE,"Aged Backorders"}</definedName>
    <definedName name="ñññ" localSheetId="8" hidden="1">{#N/A,#N/A,TRUE,"Distribution";#N/A,#N/A,TRUE,"Fulfillment";#N/A,#N/A,TRUE,"Aged Backorders"}</definedName>
    <definedName name="ñññ" localSheetId="9" hidden="1">{#N/A,#N/A,TRUE,"Distribution";#N/A,#N/A,TRUE,"Fulfillment";#N/A,#N/A,TRUE,"Aged Backorders"}</definedName>
    <definedName name="ñññ" localSheetId="10" hidden="1">{#N/A,#N/A,TRUE,"Distribution";#N/A,#N/A,TRUE,"Fulfillment";#N/A,#N/A,TRUE,"Aged Backorders"}</definedName>
    <definedName name="ñññ" hidden="1">{#N/A,#N/A,TRUE,"Distribution";#N/A,#N/A,TRUE,"Fulfillment";#N/A,#N/A,TRUE,"Aged Backorders"}</definedName>
    <definedName name="nnnnn" localSheetId="4">#REF!</definedName>
    <definedName name="nnnnn" localSheetId="3">#REF!</definedName>
    <definedName name="nnnnn" localSheetId="2">#REF!</definedName>
    <definedName name="nnnnn" localSheetId="5">#REF!</definedName>
    <definedName name="nnnnn" localSheetId="6">#REF!</definedName>
    <definedName name="nnnnn" localSheetId="7">#REF!</definedName>
    <definedName name="nnnnn" localSheetId="8">#REF!</definedName>
    <definedName name="nnnnn" localSheetId="9">#REF!</definedName>
    <definedName name="nnnnn" localSheetId="10">#REF!</definedName>
    <definedName name="nnnnn" localSheetId="11">#REF!</definedName>
    <definedName name="nnnnn">#REF!</definedName>
    <definedName name="No._of_bars" localSheetId="4">#REF!</definedName>
    <definedName name="No._of_bars" localSheetId="3">#REF!</definedName>
    <definedName name="No._of_bars" localSheetId="2">#REF!</definedName>
    <definedName name="No._of_bars" localSheetId="5">#REF!</definedName>
    <definedName name="No._of_bars" localSheetId="6">#REF!</definedName>
    <definedName name="No._of_bars" localSheetId="7">#REF!</definedName>
    <definedName name="No._of_bars" localSheetId="8">#REF!</definedName>
    <definedName name="No._of_bars" localSheetId="9">#REF!</definedName>
    <definedName name="No._of_bars" localSheetId="10">#REF!</definedName>
    <definedName name="No._of_bars" localSheetId="11">#REF!</definedName>
    <definedName name="No._of_bars">#REF!</definedName>
    <definedName name="NomeTabella">"Dummy"</definedName>
    <definedName name="nondispInter" localSheetId="4">[71]Optimize!$BD$63</definedName>
    <definedName name="nondispInter" localSheetId="3">[71]Optimize!$BD$63</definedName>
    <definedName name="nondispInter" localSheetId="2">[71]Optimize!$BD$63</definedName>
    <definedName name="nondispInter" localSheetId="5">[71]Optimize!$BD$63</definedName>
    <definedName name="nondispInter" localSheetId="6">[71]Optimize!$BD$63</definedName>
    <definedName name="nondispInter" localSheetId="7">[71]Optimize!$BD$63</definedName>
    <definedName name="nondispInter" localSheetId="8">[71]Optimize!$BD$63</definedName>
    <definedName name="nondispInter" localSheetId="9">[71]Optimize!$BD$63</definedName>
    <definedName name="nondispInter" localSheetId="10">[10]Optimize!$BD$63</definedName>
    <definedName name="nondispInter">[18]Optimize!$BD$63</definedName>
    <definedName name="nondispSlope" localSheetId="4">[71]Optimize!$BC$63</definedName>
    <definedName name="nondispSlope" localSheetId="3">[71]Optimize!$BC$63</definedName>
    <definedName name="nondispSlope" localSheetId="2">[71]Optimize!$BC$63</definedName>
    <definedName name="nondispSlope" localSheetId="5">[71]Optimize!$BC$63</definedName>
    <definedName name="nondispSlope" localSheetId="6">[71]Optimize!$BC$63</definedName>
    <definedName name="nondispSlope" localSheetId="7">[71]Optimize!$BC$63</definedName>
    <definedName name="nondispSlope" localSheetId="8">[71]Optimize!$BC$63</definedName>
    <definedName name="nondispSlope" localSheetId="9">[71]Optimize!$BC$63</definedName>
    <definedName name="nondispSlope" localSheetId="10">[10]Optimize!$BC$63</definedName>
    <definedName name="nondispSlope">[18]Optimize!$BC$63</definedName>
    <definedName name="NOO" localSheetId="4">#REF!</definedName>
    <definedName name="NOO" localSheetId="3">#REF!</definedName>
    <definedName name="NOO" localSheetId="2">#REF!</definedName>
    <definedName name="NOO" localSheetId="5">#REF!</definedName>
    <definedName name="NOO" localSheetId="6">#REF!</definedName>
    <definedName name="NOO" localSheetId="7">#REF!</definedName>
    <definedName name="NOO" localSheetId="8">#REF!</definedName>
    <definedName name="NOO" localSheetId="9">#REF!</definedName>
    <definedName name="NOO" localSheetId="10">#REF!</definedName>
    <definedName name="NOO" localSheetId="11">#REF!</definedName>
    <definedName name="NOO">#REF!</definedName>
    <definedName name="NOS" localSheetId="4">#REF!</definedName>
    <definedName name="NOS" localSheetId="3">#REF!</definedName>
    <definedName name="NOS" localSheetId="2">#REF!</definedName>
    <definedName name="NOS" localSheetId="5">#REF!</definedName>
    <definedName name="NOS" localSheetId="6">#REF!</definedName>
    <definedName name="NOS" localSheetId="7">#REF!</definedName>
    <definedName name="NOS" localSheetId="8">#REF!</definedName>
    <definedName name="NOS" localSheetId="9">#REF!</definedName>
    <definedName name="NOS" localSheetId="10">#REF!</definedName>
    <definedName name="NOS" localSheetId="11">#REF!</definedName>
    <definedName name="NOS">#REF!</definedName>
    <definedName name="NOT" localSheetId="4">#REF!</definedName>
    <definedName name="NOT" localSheetId="3">#REF!</definedName>
    <definedName name="NOT" localSheetId="2">#REF!</definedName>
    <definedName name="NOT" localSheetId="5">#REF!</definedName>
    <definedName name="NOT" localSheetId="6">#REF!</definedName>
    <definedName name="NOT" localSheetId="7">#REF!</definedName>
    <definedName name="NOT" localSheetId="8">#REF!</definedName>
    <definedName name="NOT" localSheetId="9">#REF!</definedName>
    <definedName name="NOT" localSheetId="10">#REF!</definedName>
    <definedName name="NOT" localSheetId="11">#REF!</definedName>
    <definedName name="NOT">#REF!</definedName>
    <definedName name="NOV" localSheetId="4">'[13]Container Cost Assumptions'!$A:$IV</definedName>
    <definedName name="NOV" localSheetId="3">'[13]Container Cost Assumptions'!$A:$IV</definedName>
    <definedName name="NOV" localSheetId="2">'[13]Container Cost Assumptions'!$A:$IV</definedName>
    <definedName name="NOV" localSheetId="5">'[13]Container Cost Assumptions'!$A:$IV</definedName>
    <definedName name="NOV" localSheetId="6">'[13]Container Cost Assumptions'!$A:$IV</definedName>
    <definedName name="NOV" localSheetId="7">'[13]Container Cost Assumptions'!$A:$IV</definedName>
    <definedName name="NOV" localSheetId="8">'[77]Container Cost Assumptions'!$A:$IV</definedName>
    <definedName name="NOV" localSheetId="9">'[77]Container Cost Assumptions'!$A:$IV</definedName>
    <definedName name="NOV" localSheetId="10">'[8]Container Cost Assumptions'!$A:$IV</definedName>
    <definedName name="NOV">'[10]Container Cost Assumptions'!$A:$IV</definedName>
    <definedName name="Nov." localSheetId="4" hidden="1">{"PG1",#N/A,FALSE,"AugFlashTemplate";"PG2",#N/A,FALSE,"AugFlashTemplate"}</definedName>
    <definedName name="Nov." localSheetId="3" hidden="1">{"PG1",#N/A,FALSE,"AugFlashTemplate";"PG2",#N/A,FALSE,"AugFlashTemplate"}</definedName>
    <definedName name="Nov." localSheetId="2" hidden="1">{"PG1",#N/A,FALSE,"AugFlashTemplate";"PG2",#N/A,FALSE,"AugFlashTemplate"}</definedName>
    <definedName name="Nov." localSheetId="8" hidden="1">{"PG1",#N/A,FALSE,"AugFlashTemplate";"PG2",#N/A,FALSE,"AugFlashTemplate"}</definedName>
    <definedName name="Nov." localSheetId="9" hidden="1">{"PG1",#N/A,FALSE,"AugFlashTemplate";"PG2",#N/A,FALSE,"AugFlashTemplate"}</definedName>
    <definedName name="Nov." localSheetId="10" hidden="1">{"PG1",#N/A,FALSE,"AugFlashTemplate";"PG2",#N/A,FALSE,"AugFlashTemplate"}</definedName>
    <definedName name="Nov." hidden="1">{"PG1",#N/A,FALSE,"AugFlashTemplate";"PG2",#N/A,FALSE,"AugFlashTemplate"}</definedName>
    <definedName name="novprod" localSheetId="10">'[44]produccion Nov'!$E$1:$AD$65536</definedName>
    <definedName name="novprod">'[54]produccion Nov'!$E$1:$AD$65536</definedName>
    <definedName name="novship" localSheetId="4">#REF!</definedName>
    <definedName name="novship" localSheetId="3">#REF!</definedName>
    <definedName name="novship" localSheetId="2">#REF!</definedName>
    <definedName name="novship" localSheetId="5">#REF!</definedName>
    <definedName name="novship" localSheetId="6">#REF!</definedName>
    <definedName name="novship" localSheetId="7">#REF!</definedName>
    <definedName name="novship" localSheetId="8">#REF!</definedName>
    <definedName name="novship" localSheetId="9">#REF!</definedName>
    <definedName name="novship" localSheetId="10">#REF!</definedName>
    <definedName name="novship" localSheetId="11">#REF!</definedName>
    <definedName name="novship">#REF!</definedName>
    <definedName name="NP" localSheetId="4">#REF!</definedName>
    <definedName name="NP" localSheetId="3">#REF!</definedName>
    <definedName name="NP" localSheetId="2">#REF!</definedName>
    <definedName name="NP" localSheetId="5">#REF!</definedName>
    <definedName name="NP" localSheetId="6">#REF!</definedName>
    <definedName name="NP" localSheetId="7">#REF!</definedName>
    <definedName name="NP" localSheetId="8">#REF!</definedName>
    <definedName name="NP" localSheetId="9">#REF!</definedName>
    <definedName name="NP" localSheetId="10">#REF!</definedName>
    <definedName name="NP" localSheetId="11">#REF!</definedName>
    <definedName name="NP">#REF!</definedName>
    <definedName name="NPI_class" localSheetId="4">'[44]Program Inputs'!$C$8</definedName>
    <definedName name="NPI_class" localSheetId="3">'[44]Program Inputs'!$C$8</definedName>
    <definedName name="NPI_class" localSheetId="2">'[44]Program Inputs'!$C$8</definedName>
    <definedName name="NPI_class" localSheetId="5">'[44]Program Inputs'!$C$8</definedName>
    <definedName name="NPI_class" localSheetId="6">'[44]Program Inputs'!$C$8</definedName>
    <definedName name="NPI_class" localSheetId="7">'[44]Program Inputs'!$C$8</definedName>
    <definedName name="NPI_class" localSheetId="8">'[44]Program Inputs'!$C$8</definedName>
    <definedName name="NPI_class" localSheetId="9">'[44]Program Inputs'!$C$8</definedName>
    <definedName name="NPI_class" localSheetId="10">'[19]Program Inputs'!$C$8</definedName>
    <definedName name="NPI_class">'[33]Program Inputs'!$C$8</definedName>
    <definedName name="NPV_incremental" localSheetId="4">'[44]Inc_DCRR by Yr'!$B$60</definedName>
    <definedName name="NPV_incremental" localSheetId="3">'[44]Inc_DCRR by Yr'!$B$60</definedName>
    <definedName name="NPV_incremental" localSheetId="2">'[44]Inc_DCRR by Yr'!$B$60</definedName>
    <definedName name="NPV_incremental" localSheetId="5">'[44]Inc_DCRR by Yr'!$B$60</definedName>
    <definedName name="NPV_incremental" localSheetId="6">'[44]Inc_DCRR by Yr'!$B$60</definedName>
    <definedName name="NPV_incremental" localSheetId="7">'[44]Inc_DCRR by Yr'!$B$60</definedName>
    <definedName name="NPV_incremental" localSheetId="8">'[44]Inc_DCRR by Yr'!$B$60</definedName>
    <definedName name="NPV_incremental" localSheetId="9">'[44]Inc_DCRR by Yr'!$B$60</definedName>
    <definedName name="NPV_incremental" localSheetId="10">'[19]Inc_DCRR by Yr'!$B$60</definedName>
    <definedName name="NPV_incremental">'[33]Inc_DCRR by Yr'!$B$60</definedName>
    <definedName name="NRO" localSheetId="4">#REF!</definedName>
    <definedName name="NRO" localSheetId="3">#REF!</definedName>
    <definedName name="NRO" localSheetId="2">#REF!</definedName>
    <definedName name="NRO" localSheetId="5">#REF!</definedName>
    <definedName name="NRO" localSheetId="6">#REF!</definedName>
    <definedName name="NRO" localSheetId="7">#REF!</definedName>
    <definedName name="NRO" localSheetId="8">#REF!</definedName>
    <definedName name="NRO" localSheetId="9">#REF!</definedName>
    <definedName name="NRO" localSheetId="10">#REF!</definedName>
    <definedName name="NRO" localSheetId="11">#REF!</definedName>
    <definedName name="NRO">#REF!</definedName>
    <definedName name="NSSa" localSheetId="4">[76]APJSum!$A$1107</definedName>
    <definedName name="NSSa" localSheetId="3">[76]APJSum!$A$1107</definedName>
    <definedName name="NSSa" localSheetId="2">[76]APJSum!$A$1107</definedName>
    <definedName name="NSSa" localSheetId="5">[76]APJSum!$A$1107</definedName>
    <definedName name="NSSa" localSheetId="6">[76]APJSum!$A$1107</definedName>
    <definedName name="NSSa" localSheetId="7">[76]APJSum!$A$1107</definedName>
    <definedName name="NSSa" localSheetId="10">[25]APJSum!$A$1107</definedName>
    <definedName name="NSSa">[32]APJSum!$A$1107</definedName>
    <definedName name="NSSame" localSheetId="4">[76]AmeSum!$A$1107</definedName>
    <definedName name="NSSame" localSheetId="3">[76]AmeSum!$A$1107</definedName>
    <definedName name="NSSame" localSheetId="2">[76]AmeSum!$A$1107</definedName>
    <definedName name="NSSame" localSheetId="5">[76]AmeSum!$A$1107</definedName>
    <definedName name="NSSame" localSheetId="6">[76]AmeSum!$A$1107</definedName>
    <definedName name="NSSame" localSheetId="7">[76]AmeSum!$A$1107</definedName>
    <definedName name="NSSame" localSheetId="10">[25]AmeSum!$A$1107</definedName>
    <definedName name="NSSame">[32]AmeSum!$A$1107</definedName>
    <definedName name="NSSe" localSheetId="4">[76]EMEASum!$A$1107</definedName>
    <definedName name="NSSe" localSheetId="3">[76]EMEASum!$A$1107</definedName>
    <definedName name="NSSe" localSheetId="2">[76]EMEASum!$A$1107</definedName>
    <definedName name="NSSe" localSheetId="5">[76]EMEASum!$A$1107</definedName>
    <definedName name="NSSe" localSheetId="6">[76]EMEASum!$A$1107</definedName>
    <definedName name="NSSe" localSheetId="7">[76]EMEASum!$A$1107</definedName>
    <definedName name="NSSe" localSheetId="10">[25]EMEASum!$A$1107</definedName>
    <definedName name="NSSe">[32]EMEASum!$A$1107</definedName>
    <definedName name="NSSh" localSheetId="4">[76]HPCoSum!$A$1107</definedName>
    <definedName name="NSSh" localSheetId="3">[76]HPCoSum!$A$1107</definedName>
    <definedName name="NSSh" localSheetId="2">[76]HPCoSum!$A$1107</definedName>
    <definedName name="NSSh" localSheetId="5">[76]HPCoSum!$A$1107</definedName>
    <definedName name="NSSh" localSheetId="6">[76]HPCoSum!$A$1107</definedName>
    <definedName name="NSSh" localSheetId="7">[76]HPCoSum!$A$1107</definedName>
    <definedName name="NSSh" localSheetId="10">[25]HPCoSum!$A$1107</definedName>
    <definedName name="NSSh">[32]HPCoSum!$A$1107</definedName>
    <definedName name="NSSo" localSheetId="4">[76]OGSum!$A$1107</definedName>
    <definedName name="NSSo" localSheetId="3">[76]OGSum!$A$1107</definedName>
    <definedName name="NSSo" localSheetId="2">[76]OGSum!$A$1107</definedName>
    <definedName name="NSSo" localSheetId="5">[76]OGSum!$A$1107</definedName>
    <definedName name="NSSo" localSheetId="6">[76]OGSum!$A$1107</definedName>
    <definedName name="NSSo" localSheetId="7">[76]OGSum!$A$1107</definedName>
    <definedName name="NSSo" localSheetId="10">[25]OGSum!$A$1107</definedName>
    <definedName name="NSSo">[32]OGSum!$A$1107</definedName>
    <definedName name="NSSw" localSheetId="4">#REF!</definedName>
    <definedName name="NSSw" localSheetId="3">#REF!</definedName>
    <definedName name="NSSw" localSheetId="2">#REF!</definedName>
    <definedName name="NSSw" localSheetId="5">#REF!</definedName>
    <definedName name="NSSw" localSheetId="6">#REF!</definedName>
    <definedName name="NSSw" localSheetId="7">#REF!</definedName>
    <definedName name="NSSw" localSheetId="8">#REF!</definedName>
    <definedName name="NSSw" localSheetId="9">#REF!</definedName>
    <definedName name="NSSw" localSheetId="10">#REF!</definedName>
    <definedName name="NSSw" localSheetId="11">#REF!</definedName>
    <definedName name="NSSw">#REF!</definedName>
    <definedName name="Num_Pmt_Per_Year" localSheetId="4">#REF!</definedName>
    <definedName name="Num_Pmt_Per_Year" localSheetId="3">#REF!</definedName>
    <definedName name="Num_Pmt_Per_Year" localSheetId="2">#REF!</definedName>
    <definedName name="Num_Pmt_Per_Year" localSheetId="5">#REF!</definedName>
    <definedName name="Num_Pmt_Per_Year" localSheetId="6">#REF!</definedName>
    <definedName name="Num_Pmt_Per_Year" localSheetId="7">#REF!</definedName>
    <definedName name="Num_Pmt_Per_Year" localSheetId="8">#REF!</definedName>
    <definedName name="Num_Pmt_Per_Year" localSheetId="9">#REF!</definedName>
    <definedName name="Num_Pmt_Per_Year" localSheetId="10">#REF!</definedName>
    <definedName name="Num_Pmt_Per_Year" localSheetId="11">#REF!</definedName>
    <definedName name="Num_Pmt_Per_Year">#REF!</definedName>
    <definedName name="number" localSheetId="10">'[101]April Antonio'!$B$1:$HE$65536</definedName>
    <definedName name="number">'[102]April Antonio'!$B$1:$HE$65536</definedName>
    <definedName name="Number_of_Operators" localSheetId="4">#REF!</definedName>
    <definedName name="Number_of_Operators" localSheetId="3">#REF!</definedName>
    <definedName name="Number_of_Operators" localSheetId="2">#REF!</definedName>
    <definedName name="Number_of_Operators" localSheetId="5">#REF!</definedName>
    <definedName name="Number_of_Operators" localSheetId="6">#REF!</definedName>
    <definedName name="Number_of_Operators" localSheetId="7">#REF!</definedName>
    <definedName name="Number_of_Operators" localSheetId="8">#REF!</definedName>
    <definedName name="Number_of_Operators" localSheetId="9">#REF!</definedName>
    <definedName name="Number_of_Operators" localSheetId="10">#REF!</definedName>
    <definedName name="Number_of_Operators" localSheetId="11">#REF!</definedName>
    <definedName name="Number_of_Operators">#REF!</definedName>
    <definedName name="Number_of_Parts" localSheetId="4">#REF!</definedName>
    <definedName name="Number_of_Parts" localSheetId="3">#REF!</definedName>
    <definedName name="Number_of_Parts" localSheetId="2">#REF!</definedName>
    <definedName name="Number_of_Parts" localSheetId="5">#REF!</definedName>
    <definedName name="Number_of_Parts" localSheetId="6">#REF!</definedName>
    <definedName name="Number_of_Parts" localSheetId="7">#REF!</definedName>
    <definedName name="Number_of_Parts" localSheetId="8">#REF!</definedName>
    <definedName name="Number_of_Parts" localSheetId="9">#REF!</definedName>
    <definedName name="Number_of_Parts" localSheetId="10">#REF!</definedName>
    <definedName name="Number_of_Parts" localSheetId="11">#REF!</definedName>
    <definedName name="Number_of_Parts">#REF!</definedName>
    <definedName name="Number_of_Payments" localSheetId="4">MATCH(0.01,'25年厨电费用指标到月测算汇总表'!End_Bal,-1)+1</definedName>
    <definedName name="Number_of_Payments" localSheetId="3">MATCH(0.01,'25年厨电费用指标到月测算汇总表  (2)'!End_Bal,-1)+1</definedName>
    <definedName name="Number_of_Payments" localSheetId="2">MATCH(0.01,'26年厨电费用指标到月测算汇总表 '!End_Bal,-1)+1</definedName>
    <definedName name="Number_of_Payments" localSheetId="0">MATCH(0.01,End_Bal,-1)+1</definedName>
    <definedName name="Number_of_Payments" localSheetId="5">MATCH(0.01,'厨电1月 '!End_Bal,-1)+1</definedName>
    <definedName name="Number_of_Payments" localSheetId="6">MATCH(0.01,'厨电2月 '!End_Bal,-1)+1</definedName>
    <definedName name="Number_of_Payments" localSheetId="7">MATCH(0.01,厨电3月!End_Bal,-1)+1</definedName>
    <definedName name="Number_of_Payments" localSheetId="8">MATCH(0.01,厨电4月!End_Bal,-1)+1</definedName>
    <definedName name="Number_of_Payments" localSheetId="9">MATCH(0.01,'厨电5月 '!End_Bal,-1)+1</definedName>
    <definedName name="Number_of_Payments" localSheetId="10">MATCH(0.01,厨电6月!End_Bal,-1)+1</definedName>
    <definedName name="Number_of_Payments" localSheetId="11">MATCH(0.01,'降费项目厨电 '!End_Bal,-1)+1</definedName>
    <definedName name="Number_of_Payments">MATCH(0.01,End_Bal,-1)+1</definedName>
    <definedName name="Number_of_Trials" localSheetId="4">#REF!</definedName>
    <definedName name="Number_of_Trials" localSheetId="3">#REF!</definedName>
    <definedName name="Number_of_Trials" localSheetId="2">#REF!</definedName>
    <definedName name="Number_of_Trials" localSheetId="5">#REF!</definedName>
    <definedName name="Number_of_Trials" localSheetId="6">#REF!</definedName>
    <definedName name="Number_of_Trials" localSheetId="7">#REF!</definedName>
    <definedName name="Number_of_Trials" localSheetId="8">#REF!</definedName>
    <definedName name="Number_of_Trials" localSheetId="9">#REF!</definedName>
    <definedName name="Number_of_Trials" localSheetId="10">#REF!</definedName>
    <definedName name="Number_of_Trials" localSheetId="11">#REF!</definedName>
    <definedName name="Number_of_Trials">#REF!</definedName>
    <definedName name="nvkjnd" localSheetId="4" hidden="1">{#N/A,#N/A,TRUE,"Distribution";#N/A,#N/A,TRUE,"Fulfillment";#N/A,#N/A,TRUE,"Aged Backorders"}</definedName>
    <definedName name="nvkjnd" localSheetId="3" hidden="1">{#N/A,#N/A,TRUE,"Distribution";#N/A,#N/A,TRUE,"Fulfillment";#N/A,#N/A,TRUE,"Aged Backorders"}</definedName>
    <definedName name="nvkjnd" localSheetId="2" hidden="1">{#N/A,#N/A,TRUE,"Distribution";#N/A,#N/A,TRUE,"Fulfillment";#N/A,#N/A,TRUE,"Aged Backorders"}</definedName>
    <definedName name="nvkjnd" localSheetId="8" hidden="1">{#N/A,#N/A,TRUE,"Distribution";#N/A,#N/A,TRUE,"Fulfillment";#N/A,#N/A,TRUE,"Aged Backorders"}</definedName>
    <definedName name="nvkjnd" localSheetId="9" hidden="1">{#N/A,#N/A,TRUE,"Distribution";#N/A,#N/A,TRUE,"Fulfillment";#N/A,#N/A,TRUE,"Aged Backorders"}</definedName>
    <definedName name="nvkjnd" localSheetId="10" hidden="1">{#N/A,#N/A,TRUE,"Distribution";#N/A,#N/A,TRUE,"Fulfillment";#N/A,#N/A,TRUE,"Aged Backorders"}</definedName>
    <definedName name="nvkjnd" hidden="1">{#N/A,#N/A,TRUE,"Distribution";#N/A,#N/A,TRUE,"Fulfillment";#N/A,#N/A,TRUE,"Aged Backorders"}</definedName>
    <definedName name="O" localSheetId="4">#REF!</definedName>
    <definedName name="O" localSheetId="3">#REF!</definedName>
    <definedName name="O" localSheetId="2">#REF!</definedName>
    <definedName name="O" localSheetId="5">#REF!</definedName>
    <definedName name="O" localSheetId="6">#REF!</definedName>
    <definedName name="O" localSheetId="7">#REF!</definedName>
    <definedName name="O" localSheetId="8">#REF!</definedName>
    <definedName name="O" localSheetId="9">#REF!</definedName>
    <definedName name="O" localSheetId="10">#REF!</definedName>
    <definedName name="O" localSheetId="11">#REF!</definedName>
    <definedName name="O">#REF!</definedName>
    <definedName name="oct" localSheetId="10">'[44]Oct Production'!$C$1:$EQ$65536</definedName>
    <definedName name="oct">'[54]Oct Production'!$C$1:$EQ$65536</definedName>
    <definedName name="octbaan" localSheetId="10">'[44]Oct FW42 BaaN'!$A$1:$M$65536</definedName>
    <definedName name="octbaan">'[54]Oct FW42 BaaN'!$A$1:$M$65536</definedName>
    <definedName name="octmar" localSheetId="4">'[33]Oct-Mzo'!$F$1:$G$65536</definedName>
    <definedName name="octmar" localSheetId="3">'[33]Oct-Mzo'!$F$1:$G$65536</definedName>
    <definedName name="octmar" localSheetId="2">'[33]Oct-Mzo'!$F$1:$G$65536</definedName>
    <definedName name="octmar" localSheetId="5">'[33]Oct-Mzo'!$F$1:$G$65536</definedName>
    <definedName name="octmar" localSheetId="6">'[33]Oct-Mzo'!$F$1:$G$65536</definedName>
    <definedName name="octmar" localSheetId="7">'[33]Oct-Mzo'!$F$1:$G$65536</definedName>
    <definedName name="octmar" localSheetId="8">'[33]Oct-Mzo'!$F$1:$G$65536</definedName>
    <definedName name="octmar" localSheetId="9">'[33]Oct-Mzo'!$F$1:$G$65536</definedName>
    <definedName name="octmar" localSheetId="10">'[70]Oct-Mzo'!$F$1:$G$65536</definedName>
    <definedName name="octmar">'[25]Oct-Mzo'!$F$1:$G$65536</definedName>
    <definedName name="OE" localSheetId="4">'[64]FA-LISTING'!#REF!</definedName>
    <definedName name="OE" localSheetId="3">'[64]FA-LISTING'!#REF!</definedName>
    <definedName name="OE" localSheetId="2">'[64]FA-LISTING'!#REF!</definedName>
    <definedName name="OE" localSheetId="5">'[64]FA-LISTING'!#REF!</definedName>
    <definedName name="OE" localSheetId="6">'[64]FA-LISTING'!#REF!</definedName>
    <definedName name="OE" localSheetId="7">'[64]FA-LISTING'!#REF!</definedName>
    <definedName name="OE" localSheetId="8">'[2]FA-LISTING'!#REF!</definedName>
    <definedName name="OE" localSheetId="9">'[2]FA-LISTING'!#REF!</definedName>
    <definedName name="OE" localSheetId="10">'[2]FA-LISTING'!#REF!</definedName>
    <definedName name="OE">'[1]FA-LISTING'!#REF!</definedName>
    <definedName name="OESS" localSheetId="4">#REF!</definedName>
    <definedName name="OESS" localSheetId="3">#REF!</definedName>
    <definedName name="OESS" localSheetId="2">#REF!</definedName>
    <definedName name="OESS" localSheetId="5">#REF!</definedName>
    <definedName name="OESS" localSheetId="6">#REF!</definedName>
    <definedName name="OESS" localSheetId="7">#REF!</definedName>
    <definedName name="OESS" localSheetId="8">#REF!</definedName>
    <definedName name="OESS" localSheetId="9">#REF!</definedName>
    <definedName name="OESS" localSheetId="10">#REF!</definedName>
    <definedName name="OESS" localSheetId="11">#REF!</definedName>
    <definedName name="OESS">#REF!</definedName>
    <definedName name="OESSa" localSheetId="4">[76]APJSum!$A$1207</definedName>
    <definedName name="OESSa" localSheetId="3">[76]APJSum!$A$1207</definedName>
    <definedName name="OESSa" localSheetId="2">[76]APJSum!$A$1207</definedName>
    <definedName name="OESSa" localSheetId="5">[76]APJSum!$A$1207</definedName>
    <definedName name="OESSa" localSheetId="6">[76]APJSum!$A$1207</definedName>
    <definedName name="OESSa" localSheetId="7">[76]APJSum!$A$1207</definedName>
    <definedName name="OESSa" localSheetId="10">[25]APJSum!$A$1207</definedName>
    <definedName name="OESSa">[32]APJSum!$A$1207</definedName>
    <definedName name="OESSame" localSheetId="4">[76]AmeSum!$A$1207</definedName>
    <definedName name="OESSame" localSheetId="3">[76]AmeSum!$A$1207</definedName>
    <definedName name="OESSame" localSheetId="2">[76]AmeSum!$A$1207</definedName>
    <definedName name="OESSame" localSheetId="5">[76]AmeSum!$A$1207</definedName>
    <definedName name="OESSame" localSheetId="6">[76]AmeSum!$A$1207</definedName>
    <definedName name="OESSame" localSheetId="7">[76]AmeSum!$A$1207</definedName>
    <definedName name="OESSame" localSheetId="10">[25]AmeSum!$A$1207</definedName>
    <definedName name="OESSame">[32]AmeSum!$A$1207</definedName>
    <definedName name="OESSe" localSheetId="4">[76]EMEASum!$A$1207</definedName>
    <definedName name="OESSe" localSheetId="3">[76]EMEASum!$A$1207</definedName>
    <definedName name="OESSe" localSheetId="2">[76]EMEASum!$A$1207</definedName>
    <definedName name="OESSe" localSheetId="5">[76]EMEASum!$A$1207</definedName>
    <definedName name="OESSe" localSheetId="6">[76]EMEASum!$A$1207</definedName>
    <definedName name="OESSe" localSheetId="7">[76]EMEASum!$A$1207</definedName>
    <definedName name="OESSe" localSheetId="10">[25]EMEASum!$A$1207</definedName>
    <definedName name="OESSe">[32]EMEASum!$A$1207</definedName>
    <definedName name="OESSh" localSheetId="4">[76]HPCoSum!$A$1207</definedName>
    <definedName name="OESSh" localSheetId="3">[76]HPCoSum!$A$1207</definedName>
    <definedName name="OESSh" localSheetId="2">[76]HPCoSum!$A$1207</definedName>
    <definedName name="OESSh" localSheetId="5">[76]HPCoSum!$A$1207</definedName>
    <definedName name="OESSh" localSheetId="6">[76]HPCoSum!$A$1207</definedName>
    <definedName name="OESSh" localSheetId="7">[76]HPCoSum!$A$1207</definedName>
    <definedName name="OESSh" localSheetId="10">[25]HPCoSum!$A$1207</definedName>
    <definedName name="OESSh">[32]HPCoSum!$A$1207</definedName>
    <definedName name="OESSo" localSheetId="4">[76]OGSum!$A$1207</definedName>
    <definedName name="OESSo" localSheetId="3">[76]OGSum!$A$1207</definedName>
    <definedName name="OESSo" localSheetId="2">[76]OGSum!$A$1207</definedName>
    <definedName name="OESSo" localSheetId="5">[76]OGSum!$A$1207</definedName>
    <definedName name="OESSo" localSheetId="6">[76]OGSum!$A$1207</definedName>
    <definedName name="OESSo" localSheetId="7">[76]OGSum!$A$1207</definedName>
    <definedName name="OESSo" localSheetId="10">[25]OGSum!$A$1207</definedName>
    <definedName name="OESSo">[32]OGSum!$A$1207</definedName>
    <definedName name="OESSw" localSheetId="4">#REF!</definedName>
    <definedName name="OESSw" localSheetId="3">#REF!</definedName>
    <definedName name="OESSw" localSheetId="2">#REF!</definedName>
    <definedName name="OESSw" localSheetId="5">#REF!</definedName>
    <definedName name="OESSw" localSheetId="6">#REF!</definedName>
    <definedName name="OESSw" localSheetId="7">#REF!</definedName>
    <definedName name="OESSw" localSheetId="8">#REF!</definedName>
    <definedName name="OESSw" localSheetId="9">#REF!</definedName>
    <definedName name="OESSw" localSheetId="10">#REF!</definedName>
    <definedName name="OESSw" localSheetId="11">#REF!</definedName>
    <definedName name="OESSw">#REF!</definedName>
    <definedName name="OG" localSheetId="4">#REF!</definedName>
    <definedName name="OG" localSheetId="3">#REF!</definedName>
    <definedName name="OG" localSheetId="2">#REF!</definedName>
    <definedName name="OG" localSheetId="5">#REF!</definedName>
    <definedName name="OG" localSheetId="6">#REF!</definedName>
    <definedName name="OG" localSheetId="7">#REF!</definedName>
    <definedName name="OG" localSheetId="8">#REF!</definedName>
    <definedName name="OG" localSheetId="9">#REF!</definedName>
    <definedName name="OG" localSheetId="10">#REF!</definedName>
    <definedName name="OG" localSheetId="11">#REF!</definedName>
    <definedName name="OG">#REF!</definedName>
    <definedName name="OgCI" localSheetId="4">#REF!</definedName>
    <definedName name="OgCI" localSheetId="3">#REF!</definedName>
    <definedName name="OgCI" localSheetId="2">#REF!</definedName>
    <definedName name="OgCI" localSheetId="5">#REF!</definedName>
    <definedName name="OgCI" localSheetId="6">#REF!</definedName>
    <definedName name="OgCI" localSheetId="7">#REF!</definedName>
    <definedName name="OgCI" localSheetId="8">#REF!</definedName>
    <definedName name="OgCI" localSheetId="9">#REF!</definedName>
    <definedName name="OgCI" localSheetId="10">#REF!</definedName>
    <definedName name="OgCI" localSheetId="11">#REF!</definedName>
    <definedName name="OgCI">#REF!</definedName>
    <definedName name="OgCS" localSheetId="4">#REF!</definedName>
    <definedName name="OgCS" localSheetId="3">#REF!</definedName>
    <definedName name="OgCS" localSheetId="2">#REF!</definedName>
    <definedName name="OgCS" localSheetId="5">#REF!</definedName>
    <definedName name="OgCS" localSheetId="6">#REF!</definedName>
    <definedName name="OgCS" localSheetId="7">#REF!</definedName>
    <definedName name="OgCS" localSheetId="8">#REF!</definedName>
    <definedName name="OgCS" localSheetId="9">#REF!</definedName>
    <definedName name="OgCS" localSheetId="10">#REF!</definedName>
    <definedName name="OgCS" localSheetId="11">#REF!</definedName>
    <definedName name="OgCS">#REF!</definedName>
    <definedName name="OgGBUHq" localSheetId="4">#REF!</definedName>
    <definedName name="OgGBUHq" localSheetId="3">#REF!</definedName>
    <definedName name="OgGBUHq" localSheetId="2">#REF!</definedName>
    <definedName name="OgGBUHq" localSheetId="5">#REF!</definedName>
    <definedName name="OgGBUHq" localSheetId="6">#REF!</definedName>
    <definedName name="OgGBUHq" localSheetId="7">#REF!</definedName>
    <definedName name="OgGBUHq" localSheetId="8">#REF!</definedName>
    <definedName name="OgGBUHq" localSheetId="9">#REF!</definedName>
    <definedName name="OgGBUHq" localSheetId="10">#REF!</definedName>
    <definedName name="OgGBUHq" localSheetId="11">#REF!</definedName>
    <definedName name="OgGBUHq">#REF!</definedName>
    <definedName name="OgMS" localSheetId="4">#REF!</definedName>
    <definedName name="OgMS" localSheetId="3">#REF!</definedName>
    <definedName name="OgMS" localSheetId="2">#REF!</definedName>
    <definedName name="OgMS" localSheetId="5">#REF!</definedName>
    <definedName name="OgMS" localSheetId="6">#REF!</definedName>
    <definedName name="OgMS" localSheetId="7">#REF!</definedName>
    <definedName name="OgMS" localSheetId="8">#REF!</definedName>
    <definedName name="OgMS" localSheetId="9">#REF!</definedName>
    <definedName name="OgMS" localSheetId="10">#REF!</definedName>
    <definedName name="OgMS" localSheetId="11">#REF!</definedName>
    <definedName name="OgMS">#REF!</definedName>
    <definedName name="OgOSS" localSheetId="4">#REF!</definedName>
    <definedName name="OgOSS" localSheetId="3">#REF!</definedName>
    <definedName name="OgOSS" localSheetId="2">#REF!</definedName>
    <definedName name="OgOSS" localSheetId="5">#REF!</definedName>
    <definedName name="OgOSS" localSheetId="6">#REF!</definedName>
    <definedName name="OgOSS" localSheetId="7">#REF!</definedName>
    <definedName name="OgOSS" localSheetId="8">#REF!</definedName>
    <definedName name="OgOSS" localSheetId="9">#REF!</definedName>
    <definedName name="OgOSS" localSheetId="10">#REF!</definedName>
    <definedName name="OgOSS" localSheetId="11">#REF!</definedName>
    <definedName name="OgOSS">#REF!</definedName>
    <definedName name="OH" localSheetId="4">#REF!</definedName>
    <definedName name="OH" localSheetId="3">#REF!</definedName>
    <definedName name="OH" localSheetId="2">#REF!</definedName>
    <definedName name="OH" localSheetId="5">#REF!</definedName>
    <definedName name="OH" localSheetId="6">#REF!</definedName>
    <definedName name="OH" localSheetId="7">#REF!</definedName>
    <definedName name="OH" localSheetId="8">#REF!</definedName>
    <definedName name="OH" localSheetId="9">#REF!</definedName>
    <definedName name="OH" localSheetId="10">#REF!</definedName>
    <definedName name="OH" localSheetId="11">#REF!</definedName>
    <definedName name="OH">#REF!</definedName>
    <definedName name="Ohm" localSheetId="4">'[66]4 审核发现描述'!#REF!</definedName>
    <definedName name="Ohm" localSheetId="3">'[66]4 审核发现描述'!#REF!</definedName>
    <definedName name="Ohm" localSheetId="2">'[66]4 审核发现描述'!#REF!</definedName>
    <definedName name="Ohm" localSheetId="5">'[66]4 审核发现描述'!#REF!</definedName>
    <definedName name="Ohm" localSheetId="6">'[66]4 审核发现描述'!#REF!</definedName>
    <definedName name="Ohm" localSheetId="7">'[66]4 审核发现描述'!#REF!</definedName>
    <definedName name="Ohm" localSheetId="8">'[8]4 审核发现描述'!#REF!</definedName>
    <definedName name="Ohm" localSheetId="9">'[8]4 审核发现描述'!#REF!</definedName>
    <definedName name="Ohm" localSheetId="10">'[6]4 审核发现描述'!#REF!</definedName>
    <definedName name="Ohm">'[7]4 审核发现描述'!#REF!</definedName>
    <definedName name="OK" localSheetId="4">#REF!</definedName>
    <definedName name="OK" localSheetId="3">#REF!</definedName>
    <definedName name="OK" localSheetId="2">#REF!</definedName>
    <definedName name="OK" localSheetId="5">#REF!</definedName>
    <definedName name="OK" localSheetId="6">#REF!</definedName>
    <definedName name="OK" localSheetId="7">#REF!</definedName>
    <definedName name="OK" localSheetId="8">#REF!</definedName>
    <definedName name="OK" localSheetId="9">#REF!</definedName>
    <definedName name="OK" localSheetId="10">#REF!</definedName>
    <definedName name="OK" localSheetId="11">#REF!</definedName>
    <definedName name="OK">#REF!</definedName>
    <definedName name="old.augflsh" localSheetId="4" hidden="1">{"PG1",#N/A,FALSE,"AugFlashTemplate";"PG2",#N/A,FALSE,"AugFlashTemplate"}</definedName>
    <definedName name="old.augflsh" localSheetId="3" hidden="1">{"PG1",#N/A,FALSE,"AugFlashTemplate";"PG2",#N/A,FALSE,"AugFlashTemplate"}</definedName>
    <definedName name="old.augflsh" localSheetId="2" hidden="1">{"PG1",#N/A,FALSE,"AugFlashTemplate";"PG2",#N/A,FALSE,"AugFlashTemplate"}</definedName>
    <definedName name="old.augflsh" localSheetId="8" hidden="1">{"PG1",#N/A,FALSE,"AugFlashTemplate";"PG2",#N/A,FALSE,"AugFlashTemplate"}</definedName>
    <definedName name="old.augflsh" localSheetId="9" hidden="1">{"PG1",#N/A,FALSE,"AugFlashTemplate";"PG2",#N/A,FALSE,"AugFlashTemplate"}</definedName>
    <definedName name="old.augflsh" localSheetId="10" hidden="1">{"PG1",#N/A,FALSE,"AugFlashTemplate";"PG2",#N/A,FALSE,"AugFlashTemplate"}</definedName>
    <definedName name="old.augflsh" hidden="1">{"PG1",#N/A,FALSE,"AugFlashTemplate";"PG2",#N/A,FALSE,"AugFlashTemplate"}</definedName>
    <definedName name="ooo" localSheetId="4">#REF!</definedName>
    <definedName name="ooo" localSheetId="3">#REF!</definedName>
    <definedName name="ooo" localSheetId="2">#REF!</definedName>
    <definedName name="ooo" localSheetId="5">#REF!</definedName>
    <definedName name="ooo" localSheetId="6">#REF!</definedName>
    <definedName name="ooo" localSheetId="7">#REF!</definedName>
    <definedName name="ooo" localSheetId="8">#REF!</definedName>
    <definedName name="ooo" localSheetId="9">#REF!</definedName>
    <definedName name="ooo" localSheetId="10">#REF!</definedName>
    <definedName name="ooo" localSheetId="11">#REF!</definedName>
    <definedName name="ooo">#REF!</definedName>
    <definedName name="OpenPhases" localSheetId="4">[49]LOV!$D$7:$G$7</definedName>
    <definedName name="OpenPhases" localSheetId="3">[49]LOV!$D$7:$G$7</definedName>
    <definedName name="OpenPhases" localSheetId="2">[49]LOV!$D$7:$G$7</definedName>
    <definedName name="OpenPhases" localSheetId="5">[49]LOV!$D$7:$G$7</definedName>
    <definedName name="OpenPhases" localSheetId="6">[49]LOV!$D$7:$G$7</definedName>
    <definedName name="OpenPhases" localSheetId="7">[49]LOV!$D$7:$G$7</definedName>
    <definedName name="OpenPhases" localSheetId="8">[50]LOV!$D$7:$G$7</definedName>
    <definedName name="OpenPhases" localSheetId="9">[50]LOV!$D$7:$G$7</definedName>
    <definedName name="OpenPhases" localSheetId="10">[89]LOV!$D$7:$G$7</definedName>
    <definedName name="OpenPhases">[38]LOV!$D$7:$G$7</definedName>
    <definedName name="OperatorA" localSheetId="4">#REF!</definedName>
    <definedName name="OperatorA" localSheetId="3">#REF!</definedName>
    <definedName name="OperatorA" localSheetId="2">#REF!</definedName>
    <definedName name="OperatorA" localSheetId="5">#REF!</definedName>
    <definedName name="OperatorA" localSheetId="6">#REF!</definedName>
    <definedName name="OperatorA" localSheetId="7">#REF!</definedName>
    <definedName name="OperatorA" localSheetId="8">#REF!</definedName>
    <definedName name="OperatorA" localSheetId="9">#REF!</definedName>
    <definedName name="OperatorA" localSheetId="10">#REF!</definedName>
    <definedName name="OperatorA" localSheetId="11">#REF!</definedName>
    <definedName name="OperatorA">#REF!</definedName>
    <definedName name="OperatorB" localSheetId="4">#REF!</definedName>
    <definedName name="OperatorB" localSheetId="3">#REF!</definedName>
    <definedName name="OperatorB" localSheetId="2">#REF!</definedName>
    <definedName name="OperatorB" localSheetId="5">#REF!</definedName>
    <definedName name="OperatorB" localSheetId="6">#REF!</definedName>
    <definedName name="OperatorB" localSheetId="7">#REF!</definedName>
    <definedName name="OperatorB" localSheetId="8">#REF!</definedName>
    <definedName name="OperatorB" localSheetId="9">#REF!</definedName>
    <definedName name="OperatorB" localSheetId="10">#REF!</definedName>
    <definedName name="OperatorB" localSheetId="11">#REF!</definedName>
    <definedName name="OperatorB">#REF!</definedName>
    <definedName name="OperatorC" localSheetId="4">#REF!</definedName>
    <definedName name="OperatorC" localSheetId="3">#REF!</definedName>
    <definedName name="OperatorC" localSheetId="2">#REF!</definedName>
    <definedName name="OperatorC" localSheetId="5">#REF!</definedName>
    <definedName name="OperatorC" localSheetId="6">#REF!</definedName>
    <definedName name="OperatorC" localSheetId="7">#REF!</definedName>
    <definedName name="OperatorC" localSheetId="8">#REF!</definedName>
    <definedName name="OperatorC" localSheetId="9">#REF!</definedName>
    <definedName name="OperatorC" localSheetId="10">#REF!</definedName>
    <definedName name="OperatorC" localSheetId="11">#REF!</definedName>
    <definedName name="OperatorC">#REF!</definedName>
    <definedName name="OPEX" localSheetId="4">#REF!</definedName>
    <definedName name="OPEX" localSheetId="3">#REF!</definedName>
    <definedName name="OPEX" localSheetId="2">#REF!</definedName>
    <definedName name="OPEX" localSheetId="5">#REF!</definedName>
    <definedName name="OPEX" localSheetId="6">#REF!</definedName>
    <definedName name="OPEX" localSheetId="7">#REF!</definedName>
    <definedName name="OPEX" localSheetId="8">#REF!</definedName>
    <definedName name="OPEX" localSheetId="9">#REF!</definedName>
    <definedName name="OPEX" localSheetId="10">#REF!</definedName>
    <definedName name="OPEX" localSheetId="11">#REF!</definedName>
    <definedName name="OPEX">#REF!</definedName>
    <definedName name="oph" localSheetId="4">#REF!</definedName>
    <definedName name="oph" localSheetId="3">#REF!</definedName>
    <definedName name="oph" localSheetId="2">#REF!</definedName>
    <definedName name="oph" localSheetId="5">#REF!</definedName>
    <definedName name="oph" localSheetId="6">#REF!</definedName>
    <definedName name="oph" localSheetId="7">#REF!</definedName>
    <definedName name="oph" localSheetId="8">#REF!</definedName>
    <definedName name="oph" localSheetId="9">#REF!</definedName>
    <definedName name="oph" localSheetId="10">#REF!</definedName>
    <definedName name="oph" localSheetId="11">#REF!</definedName>
    <definedName name="oph">#REF!</definedName>
    <definedName name="OptSortArea" localSheetId="4">#REF!</definedName>
    <definedName name="OptSortArea" localSheetId="3">#REF!</definedName>
    <definedName name="OptSortArea" localSheetId="2">#REF!</definedName>
    <definedName name="OptSortArea" localSheetId="5">#REF!</definedName>
    <definedName name="OptSortArea" localSheetId="6">#REF!</definedName>
    <definedName name="OptSortArea" localSheetId="7">#REF!</definedName>
    <definedName name="OptSortArea" localSheetId="8">#REF!</definedName>
    <definedName name="OptSortArea" localSheetId="9">#REF!</definedName>
    <definedName name="OptSortArea" localSheetId="10">#REF!</definedName>
    <definedName name="OptSortArea" localSheetId="11">#REF!</definedName>
    <definedName name="OptSortArea">#REF!</definedName>
    <definedName name="OSA_Contract_PERCENT" localSheetId="4">[44]OSA!$T$1:$T$65536</definedName>
    <definedName name="OSA_Contract_PERCENT" localSheetId="3">[44]OSA!$T$1:$T$65536</definedName>
    <definedName name="OSA_Contract_PERCENT" localSheetId="2">[44]OSA!$T$1:$T$65536</definedName>
    <definedName name="OSA_Contract_PERCENT" localSheetId="5">[44]OSA!$T$1:$T$65536</definedName>
    <definedName name="OSA_Contract_PERCENT" localSheetId="6">[44]OSA!$T$1:$T$65536</definedName>
    <definedName name="OSA_Contract_PERCENT" localSheetId="7">[44]OSA!$T$1:$T$65536</definedName>
    <definedName name="OSA_Contract_PERCENT" localSheetId="8">[44]OSA!$T$1:$T$65536</definedName>
    <definedName name="OSA_Contract_PERCENT" localSheetId="9">[44]OSA!$T$1:$T$65536</definedName>
    <definedName name="OSA_Contract_PERCENT" localSheetId="10">[19]OSA!$T$1:$T$65536</definedName>
    <definedName name="OSA_Contract_PERCENT">[33]OSA!$T$1:$T$65536</definedName>
    <definedName name="OSA_GSB_per_unit" localSheetId="4">[44]OSA!$G$1:$G$65536</definedName>
    <definedName name="OSA_GSB_per_unit" localSheetId="3">[44]OSA!$G$1:$G$65536</definedName>
    <definedName name="OSA_GSB_per_unit" localSheetId="2">[44]OSA!$G$1:$G$65536</definedName>
    <definedName name="OSA_GSB_per_unit" localSheetId="5">[44]OSA!$G$1:$G$65536</definedName>
    <definedName name="OSA_GSB_per_unit" localSheetId="6">[44]OSA!$G$1:$G$65536</definedName>
    <definedName name="OSA_GSB_per_unit" localSheetId="7">[44]OSA!$G$1:$G$65536</definedName>
    <definedName name="OSA_GSB_per_unit" localSheetId="8">[44]OSA!$G$1:$G$65536</definedName>
    <definedName name="OSA_GSB_per_unit" localSheetId="9">[44]OSA!$G$1:$G$65536</definedName>
    <definedName name="OSA_GSB_per_unit" localSheetId="10">[19]OSA!$G$1:$G$65536</definedName>
    <definedName name="OSA_GSB_per_unit">[33]OSA!$G$1:$G$65536</definedName>
    <definedName name="OSA_NSB_per_unit" localSheetId="4">[44]OSA!$H$1:$H$65536</definedName>
    <definedName name="OSA_NSB_per_unit" localSheetId="3">[44]OSA!$H$1:$H$65536</definedName>
    <definedName name="OSA_NSB_per_unit" localSheetId="2">[44]OSA!$H$1:$H$65536</definedName>
    <definedName name="OSA_NSB_per_unit" localSheetId="5">[44]OSA!$H$1:$H$65536</definedName>
    <definedName name="OSA_NSB_per_unit" localSheetId="6">[44]OSA!$H$1:$H$65536</definedName>
    <definedName name="OSA_NSB_per_unit" localSheetId="7">[44]OSA!$H$1:$H$65536</definedName>
    <definedName name="OSA_NSB_per_unit" localSheetId="8">[44]OSA!$H$1:$H$65536</definedName>
    <definedName name="OSA_NSB_per_unit" localSheetId="9">[44]OSA!$H$1:$H$65536</definedName>
    <definedName name="OSA_NSB_per_unit" localSheetId="10">[19]OSA!$H$1:$H$65536</definedName>
    <definedName name="OSA_NSB_per_unit">[33]OSA!$H$1:$H$65536</definedName>
    <definedName name="OSA_SKUs" localSheetId="4">[44]OSA!$A$1:$A$65536</definedName>
    <definedName name="OSA_SKUs" localSheetId="3">[44]OSA!$A$1:$A$65536</definedName>
    <definedName name="OSA_SKUs" localSheetId="2">[44]OSA!$A$1:$A$65536</definedName>
    <definedName name="OSA_SKUs" localSheetId="5">[44]OSA!$A$1:$A$65536</definedName>
    <definedName name="OSA_SKUs" localSheetId="6">[44]OSA!$A$1:$A$65536</definedName>
    <definedName name="OSA_SKUs" localSheetId="7">[44]OSA!$A$1:$A$65536</definedName>
    <definedName name="OSA_SKUs" localSheetId="8">[44]OSA!$A$1:$A$65536</definedName>
    <definedName name="OSA_SKUs" localSheetId="9">[44]OSA!$A$1:$A$65536</definedName>
    <definedName name="OSA_SKUs" localSheetId="10">[19]OSA!$A$1:$A$65536</definedName>
    <definedName name="OSA_SKUs">[33]OSA!$A$1:$A$65536</definedName>
    <definedName name="OSA_Volume" localSheetId="4">[44]OSA!$B$1:$B$65536</definedName>
    <definedName name="OSA_Volume" localSheetId="3">[44]OSA!$B$1:$B$65536</definedName>
    <definedName name="OSA_Volume" localSheetId="2">[44]OSA!$B$1:$B$65536</definedName>
    <definedName name="OSA_Volume" localSheetId="5">[44]OSA!$B$1:$B$65536</definedName>
    <definedName name="OSA_Volume" localSheetId="6">[44]OSA!$B$1:$B$65536</definedName>
    <definedName name="OSA_Volume" localSheetId="7">[44]OSA!$B$1:$B$65536</definedName>
    <definedName name="OSA_Volume" localSheetId="8">[44]OSA!$B$1:$B$65536</definedName>
    <definedName name="OSA_Volume" localSheetId="9">[44]OSA!$B$1:$B$65536</definedName>
    <definedName name="OSA_Volume" localSheetId="10">[19]OSA!$B$1:$B$65536</definedName>
    <definedName name="OSA_Volume">[33]OSA!$B$1:$B$65536</definedName>
    <definedName name="OSS" localSheetId="4">#REF!</definedName>
    <definedName name="OSS" localSheetId="3">#REF!</definedName>
    <definedName name="OSS" localSheetId="2">#REF!</definedName>
    <definedName name="OSS" localSheetId="5">#REF!</definedName>
    <definedName name="OSS" localSheetId="6">#REF!</definedName>
    <definedName name="OSS" localSheetId="7">#REF!</definedName>
    <definedName name="OSS" localSheetId="8">#REF!</definedName>
    <definedName name="OSS" localSheetId="9">#REF!</definedName>
    <definedName name="OSS" localSheetId="10">#REF!</definedName>
    <definedName name="OSS" localSheetId="11">#REF!</definedName>
    <definedName name="OSS">#REF!</definedName>
    <definedName name="OSSa" localSheetId="4">[76]APJSum!$A$807</definedName>
    <definedName name="OSSa" localSheetId="3">[76]APJSum!$A$807</definedName>
    <definedName name="OSSa" localSheetId="2">[76]APJSum!$A$807</definedName>
    <definedName name="OSSa" localSheetId="5">[76]APJSum!$A$807</definedName>
    <definedName name="OSSa" localSheetId="6">[76]APJSum!$A$807</definedName>
    <definedName name="OSSa" localSheetId="7">[76]APJSum!$A$807</definedName>
    <definedName name="OSSa" localSheetId="10">[25]APJSum!$A$807</definedName>
    <definedName name="OSSa">[32]APJSum!$A$807</definedName>
    <definedName name="OSSame" localSheetId="4">[76]AmeSum!$A$807</definedName>
    <definedName name="OSSame" localSheetId="3">[76]AmeSum!$A$807</definedName>
    <definedName name="OSSame" localSheetId="2">[76]AmeSum!$A$807</definedName>
    <definedName name="OSSame" localSheetId="5">[76]AmeSum!$A$807</definedName>
    <definedName name="OSSame" localSheetId="6">[76]AmeSum!$A$807</definedName>
    <definedName name="OSSame" localSheetId="7">[76]AmeSum!$A$807</definedName>
    <definedName name="OSSame" localSheetId="10">[25]AmeSum!$A$807</definedName>
    <definedName name="OSSame">[32]AmeSum!$A$807</definedName>
    <definedName name="OSSAP" localSheetId="10">[21]AmeSum!#REF!</definedName>
    <definedName name="OSSAP">[34]AmeSum!#REF!</definedName>
    <definedName name="OSSe" localSheetId="4">[76]EMEASum!$A$807</definedName>
    <definedName name="OSSe" localSheetId="3">[76]EMEASum!$A$807</definedName>
    <definedName name="OSSe" localSheetId="2">[76]EMEASum!$A$807</definedName>
    <definedName name="OSSe" localSheetId="5">[76]EMEASum!$A$807</definedName>
    <definedName name="OSSe" localSheetId="6">[76]EMEASum!$A$807</definedName>
    <definedName name="OSSe" localSheetId="7">[76]EMEASum!$A$807</definedName>
    <definedName name="OSSe" localSheetId="10">[25]EMEASum!$A$807</definedName>
    <definedName name="OSSe">[32]EMEASum!$A$807</definedName>
    <definedName name="OSSEMEA" localSheetId="10">[21]AmeSum!#REF!</definedName>
    <definedName name="OSSEMEA">[34]AmeSum!#REF!</definedName>
    <definedName name="OSSh" localSheetId="4">[76]HPCoSum!$A$807</definedName>
    <definedName name="OSSh" localSheetId="3">[76]HPCoSum!$A$807</definedName>
    <definedName name="OSSh" localSheetId="2">[76]HPCoSum!$A$807</definedName>
    <definedName name="OSSh" localSheetId="5">[76]HPCoSum!$A$807</definedName>
    <definedName name="OSSh" localSheetId="6">[76]HPCoSum!$A$807</definedName>
    <definedName name="OSSh" localSheetId="7">[76]HPCoSum!$A$807</definedName>
    <definedName name="OSSh" localSheetId="10">[25]HPCoSum!$A$807</definedName>
    <definedName name="OSSh">[32]HPCoSum!$A$807</definedName>
    <definedName name="OSSHPCo" localSheetId="4">[76]AmeSum!#REF!</definedName>
    <definedName name="OSSHPCo" localSheetId="3">[76]AmeSum!#REF!</definedName>
    <definedName name="OSSHPCo" localSheetId="2">[76]AmeSum!#REF!</definedName>
    <definedName name="OSSHPCo" localSheetId="5">[76]AmeSum!#REF!</definedName>
    <definedName name="OSSHPCo" localSheetId="6">[76]AmeSum!#REF!</definedName>
    <definedName name="OSSHPCo" localSheetId="7">[76]AmeSum!#REF!</definedName>
    <definedName name="OSSHPCo" localSheetId="10">[25]AmeSum!#REF!</definedName>
    <definedName name="OSSHPCo">[32]AmeSum!#REF!</definedName>
    <definedName name="OSSJP" localSheetId="10">[21]AmeSum!#REF!</definedName>
    <definedName name="OSSJP">[34]AmeSum!#REF!</definedName>
    <definedName name="OSSo" localSheetId="4">[76]OGSum!$A$807</definedName>
    <definedName name="OSSo" localSheetId="3">[76]OGSum!$A$807</definedName>
    <definedName name="OSSo" localSheetId="2">[76]OGSum!$A$807</definedName>
    <definedName name="OSSo" localSheetId="5">[76]OGSum!$A$807</definedName>
    <definedName name="OSSo" localSheetId="6">[76]OGSum!$A$807</definedName>
    <definedName name="OSSo" localSheetId="7">[76]OGSum!$A$807</definedName>
    <definedName name="OSSo" localSheetId="10">[25]OGSum!$A$807</definedName>
    <definedName name="OSSo">[32]OGSum!$A$807</definedName>
    <definedName name="OSSOG" localSheetId="10">[21]AmeSum!#REF!</definedName>
    <definedName name="OSSOG">[34]AmeSum!#REF!</definedName>
    <definedName name="OSSw" localSheetId="4">#REF!</definedName>
    <definedName name="OSSw" localSheetId="3">#REF!</definedName>
    <definedName name="OSSw" localSheetId="2">#REF!</definedName>
    <definedName name="OSSw" localSheetId="5">#REF!</definedName>
    <definedName name="OSSw" localSheetId="6">#REF!</definedName>
    <definedName name="OSSw" localSheetId="7">#REF!</definedName>
    <definedName name="OSSw" localSheetId="8">#REF!</definedName>
    <definedName name="OSSw" localSheetId="9">#REF!</definedName>
    <definedName name="OSSw" localSheetId="10">#REF!</definedName>
    <definedName name="OSSw" localSheetId="11">#REF!</definedName>
    <definedName name="OSSw">#REF!</definedName>
    <definedName name="OtherGeo" localSheetId="4">#REF!</definedName>
    <definedName name="OtherGeo" localSheetId="3">#REF!</definedName>
    <definedName name="OtherGeo" localSheetId="2">#REF!</definedName>
    <definedName name="OtherGeo" localSheetId="5">#REF!</definedName>
    <definedName name="OtherGeo" localSheetId="6">#REF!</definedName>
    <definedName name="OtherGeo" localSheetId="7">#REF!</definedName>
    <definedName name="OtherGeo" localSheetId="8">#REF!</definedName>
    <definedName name="OtherGeo" localSheetId="9">#REF!</definedName>
    <definedName name="OtherGeo" localSheetId="10">#REF!</definedName>
    <definedName name="OtherGeo" localSheetId="11">#REF!</definedName>
    <definedName name="OtherGeo">#REF!</definedName>
    <definedName name="Owners">[54]Sheet1!$A$2:$A$16</definedName>
    <definedName name="P" localSheetId="4">#REF!</definedName>
    <definedName name="P" localSheetId="3">#REF!</definedName>
    <definedName name="P" localSheetId="2">#REF!</definedName>
    <definedName name="P" localSheetId="5">#REF!</definedName>
    <definedName name="P" localSheetId="6">#REF!</definedName>
    <definedName name="P" localSheetId="7">#REF!</definedName>
    <definedName name="P" localSheetId="8">#REF!</definedName>
    <definedName name="P" localSheetId="9">#REF!</definedName>
    <definedName name="P" localSheetId="10">#REF!</definedName>
    <definedName name="P" localSheetId="11">#REF!</definedName>
    <definedName name="P">#REF!</definedName>
    <definedName name="P_Attributi">25</definedName>
    <definedName name="P_Dimensione">"Account"</definedName>
    <definedName name="P_M" localSheetId="4">'[64]FA-LISTING'!#REF!</definedName>
    <definedName name="P_M" localSheetId="3">'[64]FA-LISTING'!#REF!</definedName>
    <definedName name="P_M" localSheetId="2">'[64]FA-LISTING'!#REF!</definedName>
    <definedName name="P_M" localSheetId="5">'[64]FA-LISTING'!#REF!</definedName>
    <definedName name="P_M" localSheetId="6">'[64]FA-LISTING'!#REF!</definedName>
    <definedName name="P_M" localSheetId="7">'[64]FA-LISTING'!#REF!</definedName>
    <definedName name="P_M" localSheetId="8">'[2]FA-LISTING'!#REF!</definedName>
    <definedName name="P_M" localSheetId="9">'[2]FA-LISTING'!#REF!</definedName>
    <definedName name="P_M" localSheetId="10">'[2]FA-LISTING'!#REF!</definedName>
    <definedName name="P_M">'[1]FA-LISTING'!#REF!</definedName>
    <definedName name="PA_AL_01" localSheetId="4">'[73]Top Lvl  Logic'!$I$9</definedName>
    <definedName name="PA_AL_01" localSheetId="3">'[73]Top Lvl  Logic'!$I$9</definedName>
    <definedName name="PA_AL_01" localSheetId="2">'[73]Top Lvl  Logic'!$I$9</definedName>
    <definedName name="PA_AL_01" localSheetId="5">'[73]Top Lvl  Logic'!$I$9</definedName>
    <definedName name="PA_AL_01" localSheetId="6">'[73]Top Lvl  Logic'!$I$9</definedName>
    <definedName name="PA_AL_01" localSheetId="7">'[73]Top Lvl  Logic'!$I$9</definedName>
    <definedName name="PA_AL_01" localSheetId="8">'[73]Top Lvl  Logic'!$I$9</definedName>
    <definedName name="PA_AL_01" localSheetId="9">'[73]Top Lvl  Logic'!$I$9</definedName>
    <definedName name="PA_AL_01" localSheetId="10">'[18]Top Lvl  Logic'!$I$9</definedName>
    <definedName name="PA_AL_01">'[23]Top Lvl  Logic'!$I$9</definedName>
    <definedName name="PA_AL_01_10" localSheetId="4">'[73]Top Lvl  Logic'!$I$9</definedName>
    <definedName name="PA_AL_01_10" localSheetId="3">'[73]Top Lvl  Logic'!$I$9</definedName>
    <definedName name="PA_AL_01_10" localSheetId="2">'[73]Top Lvl  Logic'!$I$9</definedName>
    <definedName name="PA_AL_01_10" localSheetId="5">'[73]Top Lvl  Logic'!$I$9</definedName>
    <definedName name="PA_AL_01_10" localSheetId="6">'[73]Top Lvl  Logic'!$I$9</definedName>
    <definedName name="PA_AL_01_10" localSheetId="7">'[73]Top Lvl  Logic'!$I$9</definedName>
    <definedName name="PA_AL_01_10" localSheetId="8">'[73]Top Lvl  Logic'!$I$9</definedName>
    <definedName name="PA_AL_01_10" localSheetId="9">'[73]Top Lvl  Logic'!$I$9</definedName>
    <definedName name="PA_AL_01_10" localSheetId="10">'[18]Top Lvl  Logic'!$I$9</definedName>
    <definedName name="PA_AL_01_10">'[23]Top Lvl  Logic'!$I$9</definedName>
    <definedName name="PA_AL_12" localSheetId="4">'[73]Top Lvl  Logic'!$J$9</definedName>
    <definedName name="PA_AL_12" localSheetId="3">'[73]Top Lvl  Logic'!$J$9</definedName>
    <definedName name="PA_AL_12" localSheetId="2">'[73]Top Lvl  Logic'!$J$9</definedName>
    <definedName name="PA_AL_12" localSheetId="5">'[73]Top Lvl  Logic'!$J$9</definedName>
    <definedName name="PA_AL_12" localSheetId="6">'[73]Top Lvl  Logic'!$J$9</definedName>
    <definedName name="PA_AL_12" localSheetId="7">'[73]Top Lvl  Logic'!$J$9</definedName>
    <definedName name="PA_AL_12" localSheetId="8">'[73]Top Lvl  Logic'!$J$9</definedName>
    <definedName name="PA_AL_12" localSheetId="9">'[73]Top Lvl  Logic'!$J$9</definedName>
    <definedName name="PA_AL_12" localSheetId="10">'[18]Top Lvl  Logic'!$J$9</definedName>
    <definedName name="PA_AL_12">'[23]Top Lvl  Logic'!$J$9</definedName>
    <definedName name="PA_AL_12_10" localSheetId="4">'[73]Top Lvl  Logic'!$J$9</definedName>
    <definedName name="PA_AL_12_10" localSheetId="3">'[73]Top Lvl  Logic'!$J$9</definedName>
    <definedName name="PA_AL_12_10" localSheetId="2">'[73]Top Lvl  Logic'!$J$9</definedName>
    <definedName name="PA_AL_12_10" localSheetId="5">'[73]Top Lvl  Logic'!$J$9</definedName>
    <definedName name="PA_AL_12_10" localSheetId="6">'[73]Top Lvl  Logic'!$J$9</definedName>
    <definedName name="PA_AL_12_10" localSheetId="7">'[73]Top Lvl  Logic'!$J$9</definedName>
    <definedName name="PA_AL_12_10" localSheetId="8">'[73]Top Lvl  Logic'!$J$9</definedName>
    <definedName name="PA_AL_12_10" localSheetId="9">'[73]Top Lvl  Logic'!$J$9</definedName>
    <definedName name="PA_AL_12_10" localSheetId="10">'[18]Top Lvl  Logic'!$J$9</definedName>
    <definedName name="PA_AL_12_10">'[23]Top Lvl  Logic'!$J$9</definedName>
    <definedName name="PA_AL_23" localSheetId="4">'[73]Top Lvl  Logic'!$K$9</definedName>
    <definedName name="PA_AL_23" localSheetId="3">'[73]Top Lvl  Logic'!$K$9</definedName>
    <definedName name="PA_AL_23" localSheetId="2">'[73]Top Lvl  Logic'!$K$9</definedName>
    <definedName name="PA_AL_23" localSheetId="5">'[73]Top Lvl  Logic'!$K$9</definedName>
    <definedName name="PA_AL_23" localSheetId="6">'[73]Top Lvl  Logic'!$K$9</definedName>
    <definedName name="PA_AL_23" localSheetId="7">'[73]Top Lvl  Logic'!$K$9</definedName>
    <definedName name="PA_AL_23" localSheetId="8">'[73]Top Lvl  Logic'!$K$9</definedName>
    <definedName name="PA_AL_23" localSheetId="9">'[73]Top Lvl  Logic'!$K$9</definedName>
    <definedName name="PA_AL_23" localSheetId="10">'[18]Top Lvl  Logic'!$K$9</definedName>
    <definedName name="PA_AL_23">'[23]Top Lvl  Logic'!$K$9</definedName>
    <definedName name="PA_AL_23_10" localSheetId="4">'[73]Top Lvl  Logic'!$K$9</definedName>
    <definedName name="PA_AL_23_10" localSheetId="3">'[73]Top Lvl  Logic'!$K$9</definedName>
    <definedName name="PA_AL_23_10" localSheetId="2">'[73]Top Lvl  Logic'!$K$9</definedName>
    <definedName name="PA_AL_23_10" localSheetId="5">'[73]Top Lvl  Logic'!$K$9</definedName>
    <definedName name="PA_AL_23_10" localSheetId="6">'[73]Top Lvl  Logic'!$K$9</definedName>
    <definedName name="PA_AL_23_10" localSheetId="7">'[73]Top Lvl  Logic'!$K$9</definedName>
    <definedName name="PA_AL_23_10" localSheetId="8">'[73]Top Lvl  Logic'!$K$9</definedName>
    <definedName name="PA_AL_23_10" localSheetId="9">'[73]Top Lvl  Logic'!$K$9</definedName>
    <definedName name="PA_AL_23_10" localSheetId="10">'[18]Top Lvl  Logic'!$K$9</definedName>
    <definedName name="PA_AL_23_10">'[23]Top Lvl  Logic'!$K$9</definedName>
    <definedName name="PA_AL_34" localSheetId="4">'[73]Top Lvl  Logic'!$L$9</definedName>
    <definedName name="PA_AL_34" localSheetId="3">'[73]Top Lvl  Logic'!$L$9</definedName>
    <definedName name="PA_AL_34" localSheetId="2">'[73]Top Lvl  Logic'!$L$9</definedName>
    <definedName name="PA_AL_34" localSheetId="5">'[73]Top Lvl  Logic'!$L$9</definedName>
    <definedName name="PA_AL_34" localSheetId="6">'[73]Top Lvl  Logic'!$L$9</definedName>
    <definedName name="PA_AL_34" localSheetId="7">'[73]Top Lvl  Logic'!$L$9</definedName>
    <definedName name="PA_AL_34" localSheetId="8">'[73]Top Lvl  Logic'!$L$9</definedName>
    <definedName name="PA_AL_34" localSheetId="9">'[73]Top Lvl  Logic'!$L$9</definedName>
    <definedName name="PA_AL_34" localSheetId="10">'[18]Top Lvl  Logic'!$L$9</definedName>
    <definedName name="PA_AL_34">'[23]Top Lvl  Logic'!$L$9</definedName>
    <definedName name="PA_AL_34_10" localSheetId="4">'[73]Top Lvl  Logic'!$L$9</definedName>
    <definedName name="PA_AL_34_10" localSheetId="3">'[73]Top Lvl  Logic'!$L$9</definedName>
    <definedName name="PA_AL_34_10" localSheetId="2">'[73]Top Lvl  Logic'!$L$9</definedName>
    <definedName name="PA_AL_34_10" localSheetId="5">'[73]Top Lvl  Logic'!$L$9</definedName>
    <definedName name="PA_AL_34_10" localSheetId="6">'[73]Top Lvl  Logic'!$L$9</definedName>
    <definedName name="PA_AL_34_10" localSheetId="7">'[73]Top Lvl  Logic'!$L$9</definedName>
    <definedName name="PA_AL_34_10" localSheetId="8">'[73]Top Lvl  Logic'!$L$9</definedName>
    <definedName name="PA_AL_34_10" localSheetId="9">'[73]Top Lvl  Logic'!$L$9</definedName>
    <definedName name="PA_AL_34_10" localSheetId="10">'[18]Top Lvl  Logic'!$L$9</definedName>
    <definedName name="PA_AL_34_10">'[23]Top Lvl  Logic'!$L$9</definedName>
    <definedName name="PA_AL_45" localSheetId="4">'[73]Top Lvl  Logic'!$M$9</definedName>
    <definedName name="PA_AL_45" localSheetId="3">'[73]Top Lvl  Logic'!$M$9</definedName>
    <definedName name="PA_AL_45" localSheetId="2">'[73]Top Lvl  Logic'!$M$9</definedName>
    <definedName name="PA_AL_45" localSheetId="5">'[73]Top Lvl  Logic'!$M$9</definedName>
    <definedName name="PA_AL_45" localSheetId="6">'[73]Top Lvl  Logic'!$M$9</definedName>
    <definedName name="PA_AL_45" localSheetId="7">'[73]Top Lvl  Logic'!$M$9</definedName>
    <definedName name="PA_AL_45" localSheetId="8">'[73]Top Lvl  Logic'!$M$9</definedName>
    <definedName name="PA_AL_45" localSheetId="9">'[73]Top Lvl  Logic'!$M$9</definedName>
    <definedName name="PA_AL_45" localSheetId="10">'[18]Top Lvl  Logic'!$M$9</definedName>
    <definedName name="PA_AL_45">'[23]Top Lvl  Logic'!$M$9</definedName>
    <definedName name="PA_AL_45_10" localSheetId="4">'[73]Top Lvl  Logic'!$M$9</definedName>
    <definedName name="PA_AL_45_10" localSheetId="3">'[73]Top Lvl  Logic'!$M$9</definedName>
    <definedName name="PA_AL_45_10" localSheetId="2">'[73]Top Lvl  Logic'!$M$9</definedName>
    <definedName name="PA_AL_45_10" localSheetId="5">'[73]Top Lvl  Logic'!$M$9</definedName>
    <definedName name="PA_AL_45_10" localSheetId="6">'[73]Top Lvl  Logic'!$M$9</definedName>
    <definedName name="PA_AL_45_10" localSheetId="7">'[73]Top Lvl  Logic'!$M$9</definedName>
    <definedName name="PA_AL_45_10" localSheetId="8">'[73]Top Lvl  Logic'!$M$9</definedName>
    <definedName name="PA_AL_45_10" localSheetId="9">'[73]Top Lvl  Logic'!$M$9</definedName>
    <definedName name="PA_AL_45_10" localSheetId="10">'[18]Top Lvl  Logic'!$M$9</definedName>
    <definedName name="PA_AL_45_10">'[23]Top Lvl  Logic'!$M$9</definedName>
    <definedName name="PA_AL_56" localSheetId="4">'[73]Top Lvl  Logic'!$N$9</definedName>
    <definedName name="PA_AL_56" localSheetId="3">'[73]Top Lvl  Logic'!$N$9</definedName>
    <definedName name="PA_AL_56" localSheetId="2">'[73]Top Lvl  Logic'!$N$9</definedName>
    <definedName name="PA_AL_56" localSheetId="5">'[73]Top Lvl  Logic'!$N$9</definedName>
    <definedName name="PA_AL_56" localSheetId="6">'[73]Top Lvl  Logic'!$N$9</definedName>
    <definedName name="PA_AL_56" localSheetId="7">'[73]Top Lvl  Logic'!$N$9</definedName>
    <definedName name="PA_AL_56" localSheetId="8">'[73]Top Lvl  Logic'!$N$9</definedName>
    <definedName name="PA_AL_56" localSheetId="9">'[73]Top Lvl  Logic'!$N$9</definedName>
    <definedName name="PA_AL_56" localSheetId="10">'[18]Top Lvl  Logic'!$N$9</definedName>
    <definedName name="PA_AL_56">'[23]Top Lvl  Logic'!$N$9</definedName>
    <definedName name="PA_AL_56_10" localSheetId="4">'[73]Top Lvl  Logic'!$N$9</definedName>
    <definedName name="PA_AL_56_10" localSheetId="3">'[73]Top Lvl  Logic'!$N$9</definedName>
    <definedName name="PA_AL_56_10" localSheetId="2">'[73]Top Lvl  Logic'!$N$9</definedName>
    <definedName name="PA_AL_56_10" localSheetId="5">'[73]Top Lvl  Logic'!$N$9</definedName>
    <definedName name="PA_AL_56_10" localSheetId="6">'[73]Top Lvl  Logic'!$N$9</definedName>
    <definedName name="PA_AL_56_10" localSheetId="7">'[73]Top Lvl  Logic'!$N$9</definedName>
    <definedName name="PA_AL_56_10" localSheetId="8">'[73]Top Lvl  Logic'!$N$9</definedName>
    <definedName name="PA_AL_56_10" localSheetId="9">'[73]Top Lvl  Logic'!$N$9</definedName>
    <definedName name="PA_AL_56_10" localSheetId="10">'[18]Top Lvl  Logic'!$N$9</definedName>
    <definedName name="PA_AL_56_10">'[23]Top Lvl  Logic'!$N$9</definedName>
    <definedName name="PA_AL_G6" localSheetId="4">'[73]Top Lvl  Logic'!$O$9</definedName>
    <definedName name="PA_AL_G6" localSheetId="3">'[73]Top Lvl  Logic'!$O$9</definedName>
    <definedName name="PA_AL_G6" localSheetId="2">'[73]Top Lvl  Logic'!$O$9</definedName>
    <definedName name="PA_AL_G6" localSheetId="5">'[73]Top Lvl  Logic'!$O$9</definedName>
    <definedName name="PA_AL_G6" localSheetId="6">'[73]Top Lvl  Logic'!$O$9</definedName>
    <definedName name="PA_AL_G6" localSheetId="7">'[73]Top Lvl  Logic'!$O$9</definedName>
    <definedName name="PA_AL_G6" localSheetId="8">'[73]Top Lvl  Logic'!$O$9</definedName>
    <definedName name="PA_AL_G6" localSheetId="9">'[73]Top Lvl  Logic'!$O$9</definedName>
    <definedName name="PA_AL_G6" localSheetId="10">'[18]Top Lvl  Logic'!$O$9</definedName>
    <definedName name="PA_AL_G6">'[23]Top Lvl  Logic'!$O$9</definedName>
    <definedName name="PA_AL_G6_10" localSheetId="4">'[73]Top Lvl  Logic'!$O$9</definedName>
    <definedName name="PA_AL_G6_10" localSheetId="3">'[73]Top Lvl  Logic'!$O$9</definedName>
    <definedName name="PA_AL_G6_10" localSheetId="2">'[73]Top Lvl  Logic'!$O$9</definedName>
    <definedName name="PA_AL_G6_10" localSheetId="5">'[73]Top Lvl  Logic'!$O$9</definedName>
    <definedName name="PA_AL_G6_10" localSheetId="6">'[73]Top Lvl  Logic'!$O$9</definedName>
    <definedName name="PA_AL_G6_10" localSheetId="7">'[73]Top Lvl  Logic'!$O$9</definedName>
    <definedName name="PA_AL_G6_10" localSheetId="8">'[73]Top Lvl  Logic'!$O$9</definedName>
    <definedName name="PA_AL_G6_10" localSheetId="9">'[73]Top Lvl  Logic'!$O$9</definedName>
    <definedName name="PA_AL_G6_10" localSheetId="10">'[18]Top Lvl  Logic'!$O$9</definedName>
    <definedName name="PA_AL_G6_10">'[23]Top Lvl  Logic'!$O$9</definedName>
    <definedName name="PA_AL_L0" localSheetId="4">'[73]Top Lvl  Logic'!$H$9</definedName>
    <definedName name="PA_AL_L0" localSheetId="3">'[73]Top Lvl  Logic'!$H$9</definedName>
    <definedName name="PA_AL_L0" localSheetId="2">'[73]Top Lvl  Logic'!$H$9</definedName>
    <definedName name="PA_AL_L0" localSheetId="5">'[73]Top Lvl  Logic'!$H$9</definedName>
    <definedName name="PA_AL_L0" localSheetId="6">'[73]Top Lvl  Logic'!$H$9</definedName>
    <definedName name="PA_AL_L0" localSheetId="7">'[73]Top Lvl  Logic'!$H$9</definedName>
    <definedName name="PA_AL_L0" localSheetId="8">'[73]Top Lvl  Logic'!$H$9</definedName>
    <definedName name="PA_AL_L0" localSheetId="9">'[73]Top Lvl  Logic'!$H$9</definedName>
    <definedName name="PA_AL_L0" localSheetId="10">'[18]Top Lvl  Logic'!$H$9</definedName>
    <definedName name="PA_AL_L0">'[23]Top Lvl  Logic'!$H$9</definedName>
    <definedName name="PA_AL_L0_10" localSheetId="4">'[73]Top Lvl  Logic'!$H$9</definedName>
    <definedName name="PA_AL_L0_10" localSheetId="3">'[73]Top Lvl  Logic'!$H$9</definedName>
    <definedName name="PA_AL_L0_10" localSheetId="2">'[73]Top Lvl  Logic'!$H$9</definedName>
    <definedName name="PA_AL_L0_10" localSheetId="5">'[73]Top Lvl  Logic'!$H$9</definedName>
    <definedName name="PA_AL_L0_10" localSheetId="6">'[73]Top Lvl  Logic'!$H$9</definedName>
    <definedName name="PA_AL_L0_10" localSheetId="7">'[73]Top Lvl  Logic'!$H$9</definedName>
    <definedName name="PA_AL_L0_10" localSheetId="8">'[73]Top Lvl  Logic'!$H$9</definedName>
    <definedName name="PA_AL_L0_10" localSheetId="9">'[73]Top Lvl  Logic'!$H$9</definedName>
    <definedName name="PA_AL_L0_10" localSheetId="10">'[18]Top Lvl  Logic'!$H$9</definedName>
    <definedName name="PA_AL_L0_10">'[23]Top Lvl  Logic'!$H$9</definedName>
    <definedName name="PA_AL_NA" localSheetId="4">'[73]Top Lvl  Logic'!$G$9</definedName>
    <definedName name="PA_AL_NA" localSheetId="3">'[73]Top Lvl  Logic'!$G$9</definedName>
    <definedName name="PA_AL_NA" localSheetId="2">'[73]Top Lvl  Logic'!$G$9</definedName>
    <definedName name="PA_AL_NA" localSheetId="5">'[73]Top Lvl  Logic'!$G$9</definedName>
    <definedName name="PA_AL_NA" localSheetId="6">'[73]Top Lvl  Logic'!$G$9</definedName>
    <definedName name="PA_AL_NA" localSheetId="7">'[73]Top Lvl  Logic'!$G$9</definedName>
    <definedName name="PA_AL_NA" localSheetId="8">'[73]Top Lvl  Logic'!$G$9</definedName>
    <definedName name="PA_AL_NA" localSheetId="9">'[73]Top Lvl  Logic'!$G$9</definedName>
    <definedName name="PA_AL_NA" localSheetId="10">'[18]Top Lvl  Logic'!$G$9</definedName>
    <definedName name="PA_AL_NA">'[23]Top Lvl  Logic'!$G$9</definedName>
    <definedName name="PA_AL_NA_10" localSheetId="4">'[73]Top Lvl  Logic'!$G$9</definedName>
    <definedName name="PA_AL_NA_10" localSheetId="3">'[73]Top Lvl  Logic'!$G$9</definedName>
    <definedName name="PA_AL_NA_10" localSheetId="2">'[73]Top Lvl  Logic'!$G$9</definedName>
    <definedName name="PA_AL_NA_10" localSheetId="5">'[73]Top Lvl  Logic'!$G$9</definedName>
    <definedName name="PA_AL_NA_10" localSheetId="6">'[73]Top Lvl  Logic'!$G$9</definedName>
    <definedName name="PA_AL_NA_10" localSheetId="7">'[73]Top Lvl  Logic'!$G$9</definedName>
    <definedName name="PA_AL_NA_10" localSheetId="8">'[73]Top Lvl  Logic'!$G$9</definedName>
    <definedName name="PA_AL_NA_10" localSheetId="9">'[73]Top Lvl  Logic'!$G$9</definedName>
    <definedName name="PA_AL_NA_10" localSheetId="10">'[18]Top Lvl  Logic'!$G$9</definedName>
    <definedName name="PA_AL_NA_10">'[23]Top Lvl  Logic'!$G$9</definedName>
    <definedName name="PA_ALL" localSheetId="4">'[73]Top Lvl  Logic'!$D$8</definedName>
    <definedName name="PA_ALL" localSheetId="3">'[73]Top Lvl  Logic'!$D$8</definedName>
    <definedName name="PA_ALL" localSheetId="2">'[73]Top Lvl  Logic'!$D$8</definedName>
    <definedName name="PA_ALL" localSheetId="5">'[73]Top Lvl  Logic'!$D$8</definedName>
    <definedName name="PA_ALL" localSheetId="6">'[73]Top Lvl  Logic'!$D$8</definedName>
    <definedName name="PA_ALL" localSheetId="7">'[73]Top Lvl  Logic'!$D$8</definedName>
    <definedName name="PA_ALL" localSheetId="8">'[73]Top Lvl  Logic'!$D$8</definedName>
    <definedName name="PA_ALL" localSheetId="9">'[73]Top Lvl  Logic'!$D$8</definedName>
    <definedName name="PA_ALL" localSheetId="10">'[18]Top Lvl  Logic'!$D$8</definedName>
    <definedName name="PA_ALL">'[23]Top Lvl  Logic'!$D$8</definedName>
    <definedName name="PA_ALL_10" localSheetId="4">'[73]Top Lvl  Logic'!$D$8</definedName>
    <definedName name="PA_ALL_10" localSheetId="3">'[73]Top Lvl  Logic'!$D$8</definedName>
    <definedName name="PA_ALL_10" localSheetId="2">'[73]Top Lvl  Logic'!$D$8</definedName>
    <definedName name="PA_ALL_10" localSheetId="5">'[73]Top Lvl  Logic'!$D$8</definedName>
    <definedName name="PA_ALL_10" localSheetId="6">'[73]Top Lvl  Logic'!$D$8</definedName>
    <definedName name="PA_ALL_10" localSheetId="7">'[73]Top Lvl  Logic'!$D$8</definedName>
    <definedName name="PA_ALL_10" localSheetId="8">'[73]Top Lvl  Logic'!$D$8</definedName>
    <definedName name="PA_ALL_10" localSheetId="9">'[73]Top Lvl  Logic'!$D$8</definedName>
    <definedName name="PA_ALL_10" localSheetId="10">'[18]Top Lvl  Logic'!$D$8</definedName>
    <definedName name="PA_ALL_10">'[23]Top Lvl  Logic'!$D$8</definedName>
    <definedName name="PA_CO_01" localSheetId="4">'[73]Top Lvl  Logic'!$I$13</definedName>
    <definedName name="PA_CO_01" localSheetId="3">'[73]Top Lvl  Logic'!$I$13</definedName>
    <definedName name="PA_CO_01" localSheetId="2">'[73]Top Lvl  Logic'!$I$13</definedName>
    <definedName name="PA_CO_01" localSheetId="5">'[73]Top Lvl  Logic'!$I$13</definedName>
    <definedName name="PA_CO_01" localSheetId="6">'[73]Top Lvl  Logic'!$I$13</definedName>
    <definedName name="PA_CO_01" localSheetId="7">'[73]Top Lvl  Logic'!$I$13</definedName>
    <definedName name="PA_CO_01" localSheetId="8">'[73]Top Lvl  Logic'!$I$13</definedName>
    <definedName name="PA_CO_01" localSheetId="9">'[73]Top Lvl  Logic'!$I$13</definedName>
    <definedName name="PA_CO_01" localSheetId="10">'[18]Top Lvl  Logic'!$I$13</definedName>
    <definedName name="PA_CO_01">'[23]Top Lvl  Logic'!$I$13</definedName>
    <definedName name="PA_CO_01_10" localSheetId="4">'[73]Top Lvl  Logic'!$I$13</definedName>
    <definedName name="PA_CO_01_10" localSheetId="3">'[73]Top Lvl  Logic'!$I$13</definedName>
    <definedName name="PA_CO_01_10" localSheetId="2">'[73]Top Lvl  Logic'!$I$13</definedName>
    <definedName name="PA_CO_01_10" localSheetId="5">'[73]Top Lvl  Logic'!$I$13</definedName>
    <definedName name="PA_CO_01_10" localSheetId="6">'[73]Top Lvl  Logic'!$I$13</definedName>
    <definedName name="PA_CO_01_10" localSheetId="7">'[73]Top Lvl  Logic'!$I$13</definedName>
    <definedName name="PA_CO_01_10" localSheetId="8">'[73]Top Lvl  Logic'!$I$13</definedName>
    <definedName name="PA_CO_01_10" localSheetId="9">'[73]Top Lvl  Logic'!$I$13</definedName>
    <definedName name="PA_CO_01_10" localSheetId="10">'[18]Top Lvl  Logic'!$I$13</definedName>
    <definedName name="PA_CO_01_10">'[23]Top Lvl  Logic'!$I$13</definedName>
    <definedName name="PA_CO_12" localSheetId="4">'[73]Top Lvl  Logic'!$J$13</definedName>
    <definedName name="PA_CO_12" localSheetId="3">'[73]Top Lvl  Logic'!$J$13</definedName>
    <definedName name="PA_CO_12" localSheetId="2">'[73]Top Lvl  Logic'!$J$13</definedName>
    <definedName name="PA_CO_12" localSheetId="5">'[73]Top Lvl  Logic'!$J$13</definedName>
    <definedName name="PA_CO_12" localSheetId="6">'[73]Top Lvl  Logic'!$J$13</definedName>
    <definedName name="PA_CO_12" localSheetId="7">'[73]Top Lvl  Logic'!$J$13</definedName>
    <definedName name="PA_CO_12" localSheetId="8">'[73]Top Lvl  Logic'!$J$13</definedName>
    <definedName name="PA_CO_12" localSheetId="9">'[73]Top Lvl  Logic'!$J$13</definedName>
    <definedName name="PA_CO_12" localSheetId="10">'[18]Top Lvl  Logic'!$J$13</definedName>
    <definedName name="PA_CO_12">'[23]Top Lvl  Logic'!$J$13</definedName>
    <definedName name="PA_CO_12_10" localSheetId="4">'[73]Top Lvl  Logic'!$J$13</definedName>
    <definedName name="PA_CO_12_10" localSheetId="3">'[73]Top Lvl  Logic'!$J$13</definedName>
    <definedName name="PA_CO_12_10" localSheetId="2">'[73]Top Lvl  Logic'!$J$13</definedName>
    <definedName name="PA_CO_12_10" localSheetId="5">'[73]Top Lvl  Logic'!$J$13</definedName>
    <definedName name="PA_CO_12_10" localSheetId="6">'[73]Top Lvl  Logic'!$J$13</definedName>
    <definedName name="PA_CO_12_10" localSheetId="7">'[73]Top Lvl  Logic'!$J$13</definedName>
    <definedName name="PA_CO_12_10" localSheetId="8">'[73]Top Lvl  Logic'!$J$13</definedName>
    <definedName name="PA_CO_12_10" localSheetId="9">'[73]Top Lvl  Logic'!$J$13</definedName>
    <definedName name="PA_CO_12_10" localSheetId="10">'[18]Top Lvl  Logic'!$J$13</definedName>
    <definedName name="PA_CO_12_10">'[23]Top Lvl  Logic'!$J$13</definedName>
    <definedName name="PA_CO_23" localSheetId="4">'[73]Top Lvl  Logic'!$K$13</definedName>
    <definedName name="PA_CO_23" localSheetId="3">'[73]Top Lvl  Logic'!$K$13</definedName>
    <definedName name="PA_CO_23" localSheetId="2">'[73]Top Lvl  Logic'!$K$13</definedName>
    <definedName name="PA_CO_23" localSheetId="5">'[73]Top Lvl  Logic'!$K$13</definedName>
    <definedName name="PA_CO_23" localSheetId="6">'[73]Top Lvl  Logic'!$K$13</definedName>
    <definedName name="PA_CO_23" localSheetId="7">'[73]Top Lvl  Logic'!$K$13</definedName>
    <definedName name="PA_CO_23" localSheetId="8">'[73]Top Lvl  Logic'!$K$13</definedName>
    <definedName name="PA_CO_23" localSheetId="9">'[73]Top Lvl  Logic'!$K$13</definedName>
    <definedName name="PA_CO_23" localSheetId="10">'[18]Top Lvl  Logic'!$K$13</definedName>
    <definedName name="PA_CO_23">'[23]Top Lvl  Logic'!$K$13</definedName>
    <definedName name="PA_CO_23_10" localSheetId="4">'[73]Top Lvl  Logic'!$K$13</definedName>
    <definedName name="PA_CO_23_10" localSheetId="3">'[73]Top Lvl  Logic'!$K$13</definedName>
    <definedName name="PA_CO_23_10" localSheetId="2">'[73]Top Lvl  Logic'!$K$13</definedName>
    <definedName name="PA_CO_23_10" localSheetId="5">'[73]Top Lvl  Logic'!$K$13</definedName>
    <definedName name="PA_CO_23_10" localSheetId="6">'[73]Top Lvl  Logic'!$K$13</definedName>
    <definedName name="PA_CO_23_10" localSheetId="7">'[73]Top Lvl  Logic'!$K$13</definedName>
    <definedName name="PA_CO_23_10" localSheetId="8">'[73]Top Lvl  Logic'!$K$13</definedName>
    <definedName name="PA_CO_23_10" localSheetId="9">'[73]Top Lvl  Logic'!$K$13</definedName>
    <definedName name="PA_CO_23_10" localSheetId="10">'[18]Top Lvl  Logic'!$K$13</definedName>
    <definedName name="PA_CO_23_10">'[23]Top Lvl  Logic'!$K$13</definedName>
    <definedName name="PA_CO_34" localSheetId="4">'[73]Top Lvl  Logic'!$L$13</definedName>
    <definedName name="PA_CO_34" localSheetId="3">'[73]Top Lvl  Logic'!$L$13</definedName>
    <definedName name="PA_CO_34" localSheetId="2">'[73]Top Lvl  Logic'!$L$13</definedName>
    <definedName name="PA_CO_34" localSheetId="5">'[73]Top Lvl  Logic'!$L$13</definedName>
    <definedName name="PA_CO_34" localSheetId="6">'[73]Top Lvl  Logic'!$L$13</definedName>
    <definedName name="PA_CO_34" localSheetId="7">'[73]Top Lvl  Logic'!$L$13</definedName>
    <definedName name="PA_CO_34" localSheetId="8">'[73]Top Lvl  Logic'!$L$13</definedName>
    <definedName name="PA_CO_34" localSheetId="9">'[73]Top Lvl  Logic'!$L$13</definedName>
    <definedName name="PA_CO_34" localSheetId="10">'[18]Top Lvl  Logic'!$L$13</definedName>
    <definedName name="PA_CO_34">'[23]Top Lvl  Logic'!$L$13</definedName>
    <definedName name="PA_CO_34_10" localSheetId="4">'[73]Top Lvl  Logic'!$L$13</definedName>
    <definedName name="PA_CO_34_10" localSheetId="3">'[73]Top Lvl  Logic'!$L$13</definedName>
    <definedName name="PA_CO_34_10" localSheetId="2">'[73]Top Lvl  Logic'!$L$13</definedName>
    <definedName name="PA_CO_34_10" localSheetId="5">'[73]Top Lvl  Logic'!$L$13</definedName>
    <definedName name="PA_CO_34_10" localSheetId="6">'[73]Top Lvl  Logic'!$L$13</definedName>
    <definedName name="PA_CO_34_10" localSheetId="7">'[73]Top Lvl  Logic'!$L$13</definedName>
    <definedName name="PA_CO_34_10" localSheetId="8">'[73]Top Lvl  Logic'!$L$13</definedName>
    <definedName name="PA_CO_34_10" localSheetId="9">'[73]Top Lvl  Logic'!$L$13</definedName>
    <definedName name="PA_CO_34_10" localSheetId="10">'[18]Top Lvl  Logic'!$L$13</definedName>
    <definedName name="PA_CO_34_10">'[23]Top Lvl  Logic'!$L$13</definedName>
    <definedName name="PA_CO_45" localSheetId="4">'[73]Top Lvl  Logic'!$M$13</definedName>
    <definedName name="PA_CO_45" localSheetId="3">'[73]Top Lvl  Logic'!$M$13</definedName>
    <definedName name="PA_CO_45" localSheetId="2">'[73]Top Lvl  Logic'!$M$13</definedName>
    <definedName name="PA_CO_45" localSheetId="5">'[73]Top Lvl  Logic'!$M$13</definedName>
    <definedName name="PA_CO_45" localSheetId="6">'[73]Top Lvl  Logic'!$M$13</definedName>
    <definedName name="PA_CO_45" localSheetId="7">'[73]Top Lvl  Logic'!$M$13</definedName>
    <definedName name="PA_CO_45" localSheetId="8">'[73]Top Lvl  Logic'!$M$13</definedName>
    <definedName name="PA_CO_45" localSheetId="9">'[73]Top Lvl  Logic'!$M$13</definedName>
    <definedName name="PA_CO_45" localSheetId="10">'[18]Top Lvl  Logic'!$M$13</definedName>
    <definedName name="PA_CO_45">'[23]Top Lvl  Logic'!$M$13</definedName>
    <definedName name="PA_CO_45_10" localSheetId="4">'[73]Top Lvl  Logic'!$M$13</definedName>
    <definedName name="PA_CO_45_10" localSheetId="3">'[73]Top Lvl  Logic'!$M$13</definedName>
    <definedName name="PA_CO_45_10" localSheetId="2">'[73]Top Lvl  Logic'!$M$13</definedName>
    <definedName name="PA_CO_45_10" localSheetId="5">'[73]Top Lvl  Logic'!$M$13</definedName>
    <definedName name="PA_CO_45_10" localSheetId="6">'[73]Top Lvl  Logic'!$M$13</definedName>
    <definedName name="PA_CO_45_10" localSheetId="7">'[73]Top Lvl  Logic'!$M$13</definedName>
    <definedName name="PA_CO_45_10" localSheetId="8">'[73]Top Lvl  Logic'!$M$13</definedName>
    <definedName name="PA_CO_45_10" localSheetId="9">'[73]Top Lvl  Logic'!$M$13</definedName>
    <definedName name="PA_CO_45_10" localSheetId="10">'[18]Top Lvl  Logic'!$M$13</definedName>
    <definedName name="PA_CO_45_10">'[23]Top Lvl  Logic'!$M$13</definedName>
    <definedName name="PA_CO_56" localSheetId="4">'[73]Top Lvl  Logic'!$N$13</definedName>
    <definedName name="PA_CO_56" localSheetId="3">'[73]Top Lvl  Logic'!$N$13</definedName>
    <definedName name="PA_CO_56" localSheetId="2">'[73]Top Lvl  Logic'!$N$13</definedName>
    <definedName name="PA_CO_56" localSheetId="5">'[73]Top Lvl  Logic'!$N$13</definedName>
    <definedName name="PA_CO_56" localSheetId="6">'[73]Top Lvl  Logic'!$N$13</definedName>
    <definedName name="PA_CO_56" localSheetId="7">'[73]Top Lvl  Logic'!$N$13</definedName>
    <definedName name="PA_CO_56" localSheetId="8">'[73]Top Lvl  Logic'!$N$13</definedName>
    <definedName name="PA_CO_56" localSheetId="9">'[73]Top Lvl  Logic'!$N$13</definedName>
    <definedName name="PA_CO_56" localSheetId="10">'[18]Top Lvl  Logic'!$N$13</definedName>
    <definedName name="PA_CO_56">'[23]Top Lvl  Logic'!$N$13</definedName>
    <definedName name="PA_CO_56_10" localSheetId="4">'[73]Top Lvl  Logic'!$N$13</definedName>
    <definedName name="PA_CO_56_10" localSheetId="3">'[73]Top Lvl  Logic'!$N$13</definedName>
    <definedName name="PA_CO_56_10" localSheetId="2">'[73]Top Lvl  Logic'!$N$13</definedName>
    <definedName name="PA_CO_56_10" localSheetId="5">'[73]Top Lvl  Logic'!$N$13</definedName>
    <definedName name="PA_CO_56_10" localSheetId="6">'[73]Top Lvl  Logic'!$N$13</definedName>
    <definedName name="PA_CO_56_10" localSheetId="7">'[73]Top Lvl  Logic'!$N$13</definedName>
    <definedName name="PA_CO_56_10" localSheetId="8">'[73]Top Lvl  Logic'!$N$13</definedName>
    <definedName name="PA_CO_56_10" localSheetId="9">'[73]Top Lvl  Logic'!$N$13</definedName>
    <definedName name="PA_CO_56_10" localSheetId="10">'[18]Top Lvl  Logic'!$N$13</definedName>
    <definedName name="PA_CO_56_10">'[23]Top Lvl  Logic'!$N$13</definedName>
    <definedName name="PA_CO_G6" localSheetId="4">'[73]Top Lvl  Logic'!$O$13</definedName>
    <definedName name="PA_CO_G6" localSheetId="3">'[73]Top Lvl  Logic'!$O$13</definedName>
    <definedName name="PA_CO_G6" localSheetId="2">'[73]Top Lvl  Logic'!$O$13</definedName>
    <definedName name="PA_CO_G6" localSheetId="5">'[73]Top Lvl  Logic'!$O$13</definedName>
    <definedName name="PA_CO_G6" localSheetId="6">'[73]Top Lvl  Logic'!$O$13</definedName>
    <definedName name="PA_CO_G6" localSheetId="7">'[73]Top Lvl  Logic'!$O$13</definedName>
    <definedName name="PA_CO_G6" localSheetId="8">'[73]Top Lvl  Logic'!$O$13</definedName>
    <definedName name="PA_CO_G6" localSheetId="9">'[73]Top Lvl  Logic'!$O$13</definedName>
    <definedName name="PA_CO_G6" localSheetId="10">'[18]Top Lvl  Logic'!$O$13</definedName>
    <definedName name="PA_CO_G6">'[23]Top Lvl  Logic'!$O$13</definedName>
    <definedName name="PA_CO_G6_10" localSheetId="4">'[73]Top Lvl  Logic'!$O$13</definedName>
    <definedName name="PA_CO_G6_10" localSheetId="3">'[73]Top Lvl  Logic'!$O$13</definedName>
    <definedName name="PA_CO_G6_10" localSheetId="2">'[73]Top Lvl  Logic'!$O$13</definedName>
    <definedName name="PA_CO_G6_10" localSheetId="5">'[73]Top Lvl  Logic'!$O$13</definedName>
    <definedName name="PA_CO_G6_10" localSheetId="6">'[73]Top Lvl  Logic'!$O$13</definedName>
    <definedName name="PA_CO_G6_10" localSheetId="7">'[73]Top Lvl  Logic'!$O$13</definedName>
    <definedName name="PA_CO_G6_10" localSheetId="8">'[73]Top Lvl  Logic'!$O$13</definedName>
    <definedName name="PA_CO_G6_10" localSheetId="9">'[73]Top Lvl  Logic'!$O$13</definedName>
    <definedName name="PA_CO_G6_10" localSheetId="10">'[18]Top Lvl  Logic'!$O$13</definedName>
    <definedName name="PA_CO_G6_10">'[23]Top Lvl  Logic'!$O$13</definedName>
    <definedName name="PA_CO_L0" localSheetId="4">'[73]Top Lvl  Logic'!$H$13</definedName>
    <definedName name="PA_CO_L0" localSheetId="3">'[73]Top Lvl  Logic'!$H$13</definedName>
    <definedName name="PA_CO_L0" localSheetId="2">'[73]Top Lvl  Logic'!$H$13</definedName>
    <definedName name="PA_CO_L0" localSheetId="5">'[73]Top Lvl  Logic'!$H$13</definedName>
    <definedName name="PA_CO_L0" localSheetId="6">'[73]Top Lvl  Logic'!$H$13</definedName>
    <definedName name="PA_CO_L0" localSheetId="7">'[73]Top Lvl  Logic'!$H$13</definedName>
    <definedName name="PA_CO_L0" localSheetId="8">'[73]Top Lvl  Logic'!$H$13</definedName>
    <definedName name="PA_CO_L0" localSheetId="9">'[73]Top Lvl  Logic'!$H$13</definedName>
    <definedName name="PA_CO_L0" localSheetId="10">'[18]Top Lvl  Logic'!$H$13</definedName>
    <definedName name="PA_CO_L0">'[23]Top Lvl  Logic'!$H$13</definedName>
    <definedName name="PA_CO_L0_10" localSheetId="4">'[73]Top Lvl  Logic'!$H$13</definedName>
    <definedName name="PA_CO_L0_10" localSheetId="3">'[73]Top Lvl  Logic'!$H$13</definedName>
    <definedName name="PA_CO_L0_10" localSheetId="2">'[73]Top Lvl  Logic'!$H$13</definedName>
    <definedName name="PA_CO_L0_10" localSheetId="5">'[73]Top Lvl  Logic'!$H$13</definedName>
    <definedName name="PA_CO_L0_10" localSheetId="6">'[73]Top Lvl  Logic'!$H$13</definedName>
    <definedName name="PA_CO_L0_10" localSheetId="7">'[73]Top Lvl  Logic'!$H$13</definedName>
    <definedName name="PA_CO_L0_10" localSheetId="8">'[73]Top Lvl  Logic'!$H$13</definedName>
    <definedName name="PA_CO_L0_10" localSheetId="9">'[73]Top Lvl  Logic'!$H$13</definedName>
    <definedName name="PA_CO_L0_10" localSheetId="10">'[18]Top Lvl  Logic'!$H$13</definedName>
    <definedName name="PA_CO_L0_10">'[23]Top Lvl  Logic'!$H$13</definedName>
    <definedName name="PA_CO_NA" localSheetId="4">'[73]Top Lvl  Logic'!$G$13</definedName>
    <definedName name="PA_CO_NA" localSheetId="3">'[73]Top Lvl  Logic'!$G$13</definedName>
    <definedName name="PA_CO_NA" localSheetId="2">'[73]Top Lvl  Logic'!$G$13</definedName>
    <definedName name="PA_CO_NA" localSheetId="5">'[73]Top Lvl  Logic'!$G$13</definedName>
    <definedName name="PA_CO_NA" localSheetId="6">'[73]Top Lvl  Logic'!$G$13</definedName>
    <definedName name="PA_CO_NA" localSheetId="7">'[73]Top Lvl  Logic'!$G$13</definedName>
    <definedName name="PA_CO_NA" localSheetId="8">'[73]Top Lvl  Logic'!$G$13</definedName>
    <definedName name="PA_CO_NA" localSheetId="9">'[73]Top Lvl  Logic'!$G$13</definedName>
    <definedName name="PA_CO_NA" localSheetId="10">'[18]Top Lvl  Logic'!$G$13</definedName>
    <definedName name="PA_CO_NA">'[23]Top Lvl  Logic'!$G$13</definedName>
    <definedName name="PA_CO_NA_10" localSheetId="4">'[73]Top Lvl  Logic'!$G$13</definedName>
    <definedName name="PA_CO_NA_10" localSheetId="3">'[73]Top Lvl  Logic'!$G$13</definedName>
    <definedName name="PA_CO_NA_10" localSheetId="2">'[73]Top Lvl  Logic'!$G$13</definedName>
    <definedName name="PA_CO_NA_10" localSheetId="5">'[73]Top Lvl  Logic'!$G$13</definedName>
    <definedName name="PA_CO_NA_10" localSheetId="6">'[73]Top Lvl  Logic'!$G$13</definedName>
    <definedName name="PA_CO_NA_10" localSheetId="7">'[73]Top Lvl  Logic'!$G$13</definedName>
    <definedName name="PA_CO_NA_10" localSheetId="8">'[73]Top Lvl  Logic'!$G$13</definedName>
    <definedName name="PA_CO_NA_10" localSheetId="9">'[73]Top Lvl  Logic'!$G$13</definedName>
    <definedName name="PA_CO_NA_10" localSheetId="10">'[18]Top Lvl  Logic'!$G$13</definedName>
    <definedName name="PA_CO_NA_10">'[23]Top Lvl  Logic'!$G$13</definedName>
    <definedName name="PA_CON" localSheetId="4">'[73]Top Lvl  Logic'!$D$12</definedName>
    <definedName name="PA_CON" localSheetId="3">'[73]Top Lvl  Logic'!$D$12</definedName>
    <definedName name="PA_CON" localSheetId="2">'[73]Top Lvl  Logic'!$D$12</definedName>
    <definedName name="PA_CON" localSheetId="5">'[73]Top Lvl  Logic'!$D$12</definedName>
    <definedName name="PA_CON" localSheetId="6">'[73]Top Lvl  Logic'!$D$12</definedName>
    <definedName name="PA_CON" localSheetId="7">'[73]Top Lvl  Logic'!$D$12</definedName>
    <definedName name="PA_CON" localSheetId="8">'[73]Top Lvl  Logic'!$D$12</definedName>
    <definedName name="PA_CON" localSheetId="9">'[73]Top Lvl  Logic'!$D$12</definedName>
    <definedName name="PA_CON" localSheetId="10">'[18]Top Lvl  Logic'!$D$12</definedName>
    <definedName name="PA_CON">'[23]Top Lvl  Logic'!$D$12</definedName>
    <definedName name="PA_CON_10" localSheetId="4">'[73]Top Lvl  Logic'!$D$12</definedName>
    <definedName name="PA_CON_10" localSheetId="3">'[73]Top Lvl  Logic'!$D$12</definedName>
    <definedName name="PA_CON_10" localSheetId="2">'[73]Top Lvl  Logic'!$D$12</definedName>
    <definedName name="PA_CON_10" localSheetId="5">'[73]Top Lvl  Logic'!$D$12</definedName>
    <definedName name="PA_CON_10" localSheetId="6">'[73]Top Lvl  Logic'!$D$12</definedName>
    <definedName name="PA_CON_10" localSheetId="7">'[73]Top Lvl  Logic'!$D$12</definedName>
    <definedName name="PA_CON_10" localSheetId="8">'[73]Top Lvl  Logic'!$D$12</definedName>
    <definedName name="PA_CON_10" localSheetId="9">'[73]Top Lvl  Logic'!$D$12</definedName>
    <definedName name="PA_CON_10" localSheetId="10">'[18]Top Lvl  Logic'!$D$12</definedName>
    <definedName name="PA_CON_10">'[23]Top Lvl  Logic'!$D$12</definedName>
    <definedName name="PA_ID_01" localSheetId="4">'[73]Top Lvl  Logic'!$I$8</definedName>
    <definedName name="PA_ID_01" localSheetId="3">'[73]Top Lvl  Logic'!$I$8</definedName>
    <definedName name="PA_ID_01" localSheetId="2">'[73]Top Lvl  Logic'!$I$8</definedName>
    <definedName name="PA_ID_01" localSheetId="5">'[73]Top Lvl  Logic'!$I$8</definedName>
    <definedName name="PA_ID_01" localSheetId="6">'[73]Top Lvl  Logic'!$I$8</definedName>
    <definedName name="PA_ID_01" localSheetId="7">'[73]Top Lvl  Logic'!$I$8</definedName>
    <definedName name="PA_ID_01" localSheetId="8">'[73]Top Lvl  Logic'!$I$8</definedName>
    <definedName name="PA_ID_01" localSheetId="9">'[73]Top Lvl  Logic'!$I$8</definedName>
    <definedName name="PA_ID_01" localSheetId="10">'[18]Top Lvl  Logic'!$I$8</definedName>
    <definedName name="PA_ID_01">'[23]Top Lvl  Logic'!$I$8</definedName>
    <definedName name="PA_ID_01_10" localSheetId="4">'[73]Top Lvl  Logic'!$I$8</definedName>
    <definedName name="PA_ID_01_10" localSheetId="3">'[73]Top Lvl  Logic'!$I$8</definedName>
    <definedName name="PA_ID_01_10" localSheetId="2">'[73]Top Lvl  Logic'!$I$8</definedName>
    <definedName name="PA_ID_01_10" localSheetId="5">'[73]Top Lvl  Logic'!$I$8</definedName>
    <definedName name="PA_ID_01_10" localSheetId="6">'[73]Top Lvl  Logic'!$I$8</definedName>
    <definedName name="PA_ID_01_10" localSheetId="7">'[73]Top Lvl  Logic'!$I$8</definedName>
    <definedName name="PA_ID_01_10" localSheetId="8">'[73]Top Lvl  Logic'!$I$8</definedName>
    <definedName name="PA_ID_01_10" localSheetId="9">'[73]Top Lvl  Logic'!$I$8</definedName>
    <definedName name="PA_ID_01_10" localSheetId="10">'[18]Top Lvl  Logic'!$I$8</definedName>
    <definedName name="PA_ID_01_10">'[23]Top Lvl  Logic'!$I$8</definedName>
    <definedName name="PA_ID_12" localSheetId="4">'[73]Top Lvl  Logic'!$J$8</definedName>
    <definedName name="PA_ID_12" localSheetId="3">'[73]Top Lvl  Logic'!$J$8</definedName>
    <definedName name="PA_ID_12" localSheetId="2">'[73]Top Lvl  Logic'!$J$8</definedName>
    <definedName name="PA_ID_12" localSheetId="5">'[73]Top Lvl  Logic'!$J$8</definedName>
    <definedName name="PA_ID_12" localSheetId="6">'[73]Top Lvl  Logic'!$J$8</definedName>
    <definedName name="PA_ID_12" localSheetId="7">'[73]Top Lvl  Logic'!$J$8</definedName>
    <definedName name="PA_ID_12" localSheetId="8">'[73]Top Lvl  Logic'!$J$8</definedName>
    <definedName name="PA_ID_12" localSheetId="9">'[73]Top Lvl  Logic'!$J$8</definedName>
    <definedName name="PA_ID_12" localSheetId="10">'[18]Top Lvl  Logic'!$J$8</definedName>
    <definedName name="PA_ID_12">'[23]Top Lvl  Logic'!$J$8</definedName>
    <definedName name="PA_ID_12_10" localSheetId="4">'[73]Top Lvl  Logic'!$J$8</definedName>
    <definedName name="PA_ID_12_10" localSheetId="3">'[73]Top Lvl  Logic'!$J$8</definedName>
    <definedName name="PA_ID_12_10" localSheetId="2">'[73]Top Lvl  Logic'!$J$8</definedName>
    <definedName name="PA_ID_12_10" localSheetId="5">'[73]Top Lvl  Logic'!$J$8</definedName>
    <definedName name="PA_ID_12_10" localSheetId="6">'[73]Top Lvl  Logic'!$J$8</definedName>
    <definedName name="PA_ID_12_10" localSheetId="7">'[73]Top Lvl  Logic'!$J$8</definedName>
    <definedName name="PA_ID_12_10" localSheetId="8">'[73]Top Lvl  Logic'!$J$8</definedName>
    <definedName name="PA_ID_12_10" localSheetId="9">'[73]Top Lvl  Logic'!$J$8</definedName>
    <definedName name="PA_ID_12_10" localSheetId="10">'[18]Top Lvl  Logic'!$J$8</definedName>
    <definedName name="PA_ID_12_10">'[23]Top Lvl  Logic'!$J$8</definedName>
    <definedName name="PA_ID_23" localSheetId="4">'[73]Top Lvl  Logic'!$K$8</definedName>
    <definedName name="PA_ID_23" localSheetId="3">'[73]Top Lvl  Logic'!$K$8</definedName>
    <definedName name="PA_ID_23" localSheetId="2">'[73]Top Lvl  Logic'!$K$8</definedName>
    <definedName name="PA_ID_23" localSheetId="5">'[73]Top Lvl  Logic'!$K$8</definedName>
    <definedName name="PA_ID_23" localSheetId="6">'[73]Top Lvl  Logic'!$K$8</definedName>
    <definedName name="PA_ID_23" localSheetId="7">'[73]Top Lvl  Logic'!$K$8</definedName>
    <definedName name="PA_ID_23" localSheetId="8">'[73]Top Lvl  Logic'!$K$8</definedName>
    <definedName name="PA_ID_23" localSheetId="9">'[73]Top Lvl  Logic'!$K$8</definedName>
    <definedName name="PA_ID_23" localSheetId="10">'[18]Top Lvl  Logic'!$K$8</definedName>
    <definedName name="PA_ID_23">'[23]Top Lvl  Logic'!$K$8</definedName>
    <definedName name="PA_ID_23_10" localSheetId="4">'[73]Top Lvl  Logic'!$K$8</definedName>
    <definedName name="PA_ID_23_10" localSheetId="3">'[73]Top Lvl  Logic'!$K$8</definedName>
    <definedName name="PA_ID_23_10" localSheetId="2">'[73]Top Lvl  Logic'!$K$8</definedName>
    <definedName name="PA_ID_23_10" localSheetId="5">'[73]Top Lvl  Logic'!$K$8</definedName>
    <definedName name="PA_ID_23_10" localSheetId="6">'[73]Top Lvl  Logic'!$K$8</definedName>
    <definedName name="PA_ID_23_10" localSheetId="7">'[73]Top Lvl  Logic'!$K$8</definedName>
    <definedName name="PA_ID_23_10" localSheetId="8">'[73]Top Lvl  Logic'!$K$8</definedName>
    <definedName name="PA_ID_23_10" localSheetId="9">'[73]Top Lvl  Logic'!$K$8</definedName>
    <definedName name="PA_ID_23_10" localSheetId="10">'[18]Top Lvl  Logic'!$K$8</definedName>
    <definedName name="PA_ID_23_10">'[23]Top Lvl  Logic'!$K$8</definedName>
    <definedName name="PA_ID_34" localSheetId="4">'[73]Top Lvl  Logic'!$L$8</definedName>
    <definedName name="PA_ID_34" localSheetId="3">'[73]Top Lvl  Logic'!$L$8</definedName>
    <definedName name="PA_ID_34" localSheetId="2">'[73]Top Lvl  Logic'!$L$8</definedName>
    <definedName name="PA_ID_34" localSheetId="5">'[73]Top Lvl  Logic'!$L$8</definedName>
    <definedName name="PA_ID_34" localSheetId="6">'[73]Top Lvl  Logic'!$L$8</definedName>
    <definedName name="PA_ID_34" localSheetId="7">'[73]Top Lvl  Logic'!$L$8</definedName>
    <definedName name="PA_ID_34" localSheetId="8">'[73]Top Lvl  Logic'!$L$8</definedName>
    <definedName name="PA_ID_34" localSheetId="9">'[73]Top Lvl  Logic'!$L$8</definedName>
    <definedName name="PA_ID_34" localSheetId="10">'[18]Top Lvl  Logic'!$L$8</definedName>
    <definedName name="PA_ID_34">'[23]Top Lvl  Logic'!$L$8</definedName>
    <definedName name="PA_ID_34_10" localSheetId="4">'[73]Top Lvl  Logic'!$L$8</definedName>
    <definedName name="PA_ID_34_10" localSheetId="3">'[73]Top Lvl  Logic'!$L$8</definedName>
    <definedName name="PA_ID_34_10" localSheetId="2">'[73]Top Lvl  Logic'!$L$8</definedName>
    <definedName name="PA_ID_34_10" localSheetId="5">'[73]Top Lvl  Logic'!$L$8</definedName>
    <definedName name="PA_ID_34_10" localSheetId="6">'[73]Top Lvl  Logic'!$L$8</definedName>
    <definedName name="PA_ID_34_10" localSheetId="7">'[73]Top Lvl  Logic'!$L$8</definedName>
    <definedName name="PA_ID_34_10" localSheetId="8">'[73]Top Lvl  Logic'!$L$8</definedName>
    <definedName name="PA_ID_34_10" localSheetId="9">'[73]Top Lvl  Logic'!$L$8</definedName>
    <definedName name="PA_ID_34_10" localSheetId="10">'[18]Top Lvl  Logic'!$L$8</definedName>
    <definedName name="PA_ID_34_10">'[23]Top Lvl  Logic'!$L$8</definedName>
    <definedName name="PA_ID_45" localSheetId="4">'[73]Top Lvl  Logic'!$M$8</definedName>
    <definedName name="PA_ID_45" localSheetId="3">'[73]Top Lvl  Logic'!$M$8</definedName>
    <definedName name="PA_ID_45" localSheetId="2">'[73]Top Lvl  Logic'!$M$8</definedName>
    <definedName name="PA_ID_45" localSheetId="5">'[73]Top Lvl  Logic'!$M$8</definedName>
    <definedName name="PA_ID_45" localSheetId="6">'[73]Top Lvl  Logic'!$M$8</definedName>
    <definedName name="PA_ID_45" localSheetId="7">'[73]Top Lvl  Logic'!$M$8</definedName>
    <definedName name="PA_ID_45" localSheetId="8">'[73]Top Lvl  Logic'!$M$8</definedName>
    <definedName name="PA_ID_45" localSheetId="9">'[73]Top Lvl  Logic'!$M$8</definedName>
    <definedName name="PA_ID_45" localSheetId="10">'[18]Top Lvl  Logic'!$M$8</definedName>
    <definedName name="PA_ID_45">'[23]Top Lvl  Logic'!$M$8</definedName>
    <definedName name="PA_ID_45_10" localSheetId="4">'[73]Top Lvl  Logic'!$M$8</definedName>
    <definedName name="PA_ID_45_10" localSheetId="3">'[73]Top Lvl  Logic'!$M$8</definedName>
    <definedName name="PA_ID_45_10" localSheetId="2">'[73]Top Lvl  Logic'!$M$8</definedName>
    <definedName name="PA_ID_45_10" localSheetId="5">'[73]Top Lvl  Logic'!$M$8</definedName>
    <definedName name="PA_ID_45_10" localSheetId="6">'[73]Top Lvl  Logic'!$M$8</definedName>
    <definedName name="PA_ID_45_10" localSheetId="7">'[73]Top Lvl  Logic'!$M$8</definedName>
    <definedName name="PA_ID_45_10" localSheetId="8">'[73]Top Lvl  Logic'!$M$8</definedName>
    <definedName name="PA_ID_45_10" localSheetId="9">'[73]Top Lvl  Logic'!$M$8</definedName>
    <definedName name="PA_ID_45_10" localSheetId="10">'[18]Top Lvl  Logic'!$M$8</definedName>
    <definedName name="PA_ID_45_10">'[23]Top Lvl  Logic'!$M$8</definedName>
    <definedName name="PA_ID_56" localSheetId="4">'[73]Top Lvl  Logic'!$N$8</definedName>
    <definedName name="PA_ID_56" localSheetId="3">'[73]Top Lvl  Logic'!$N$8</definedName>
    <definedName name="PA_ID_56" localSheetId="2">'[73]Top Lvl  Logic'!$N$8</definedName>
    <definedName name="PA_ID_56" localSheetId="5">'[73]Top Lvl  Logic'!$N$8</definedName>
    <definedName name="PA_ID_56" localSheetId="6">'[73]Top Lvl  Logic'!$N$8</definedName>
    <definedName name="PA_ID_56" localSheetId="7">'[73]Top Lvl  Logic'!$N$8</definedName>
    <definedName name="PA_ID_56" localSheetId="8">'[73]Top Lvl  Logic'!$N$8</definedName>
    <definedName name="PA_ID_56" localSheetId="9">'[73]Top Lvl  Logic'!$N$8</definedName>
    <definedName name="PA_ID_56" localSheetId="10">'[18]Top Lvl  Logic'!$N$8</definedName>
    <definedName name="PA_ID_56">'[23]Top Lvl  Logic'!$N$8</definedName>
    <definedName name="PA_ID_56_10" localSheetId="4">'[73]Top Lvl  Logic'!$N$8</definedName>
    <definedName name="PA_ID_56_10" localSheetId="3">'[73]Top Lvl  Logic'!$N$8</definedName>
    <definedName name="PA_ID_56_10" localSheetId="2">'[73]Top Lvl  Logic'!$N$8</definedName>
    <definedName name="PA_ID_56_10" localSheetId="5">'[73]Top Lvl  Logic'!$N$8</definedName>
    <definedName name="PA_ID_56_10" localSheetId="6">'[73]Top Lvl  Logic'!$N$8</definedName>
    <definedName name="PA_ID_56_10" localSheetId="7">'[73]Top Lvl  Logic'!$N$8</definedName>
    <definedName name="PA_ID_56_10" localSheetId="8">'[73]Top Lvl  Logic'!$N$8</definedName>
    <definedName name="PA_ID_56_10" localSheetId="9">'[73]Top Lvl  Logic'!$N$8</definedName>
    <definedName name="PA_ID_56_10" localSheetId="10">'[18]Top Lvl  Logic'!$N$8</definedName>
    <definedName name="PA_ID_56_10">'[23]Top Lvl  Logic'!$N$8</definedName>
    <definedName name="PA_ID_G6" localSheetId="4">'[73]Top Lvl  Logic'!$O$8</definedName>
    <definedName name="PA_ID_G6" localSheetId="3">'[73]Top Lvl  Logic'!$O$8</definedName>
    <definedName name="PA_ID_G6" localSheetId="2">'[73]Top Lvl  Logic'!$O$8</definedName>
    <definedName name="PA_ID_G6" localSheetId="5">'[73]Top Lvl  Logic'!$O$8</definedName>
    <definedName name="PA_ID_G6" localSheetId="6">'[73]Top Lvl  Logic'!$O$8</definedName>
    <definedName name="PA_ID_G6" localSheetId="7">'[73]Top Lvl  Logic'!$O$8</definedName>
    <definedName name="PA_ID_G6" localSheetId="8">'[73]Top Lvl  Logic'!$O$8</definedName>
    <definedName name="PA_ID_G6" localSheetId="9">'[73]Top Lvl  Logic'!$O$8</definedName>
    <definedName name="PA_ID_G6" localSheetId="10">'[18]Top Lvl  Logic'!$O$8</definedName>
    <definedName name="PA_ID_G6">'[23]Top Lvl  Logic'!$O$8</definedName>
    <definedName name="PA_ID_G6_10" localSheetId="4">'[73]Top Lvl  Logic'!$O$8</definedName>
    <definedName name="PA_ID_G6_10" localSheetId="3">'[73]Top Lvl  Logic'!$O$8</definedName>
    <definedName name="PA_ID_G6_10" localSheetId="2">'[73]Top Lvl  Logic'!$O$8</definedName>
    <definedName name="PA_ID_G6_10" localSheetId="5">'[73]Top Lvl  Logic'!$O$8</definedName>
    <definedName name="PA_ID_G6_10" localSheetId="6">'[73]Top Lvl  Logic'!$O$8</definedName>
    <definedName name="PA_ID_G6_10" localSheetId="7">'[73]Top Lvl  Logic'!$O$8</definedName>
    <definedName name="PA_ID_G6_10" localSheetId="8">'[73]Top Lvl  Logic'!$O$8</definedName>
    <definedName name="PA_ID_G6_10" localSheetId="9">'[73]Top Lvl  Logic'!$O$8</definedName>
    <definedName name="PA_ID_G6_10" localSheetId="10">'[18]Top Lvl  Logic'!$O$8</definedName>
    <definedName name="PA_ID_G6_10">'[23]Top Lvl  Logic'!$O$8</definedName>
    <definedName name="PA_ID_L0" localSheetId="4">'[73]Top Lvl  Logic'!$H$8</definedName>
    <definedName name="PA_ID_L0" localSheetId="3">'[73]Top Lvl  Logic'!$H$8</definedName>
    <definedName name="PA_ID_L0" localSheetId="2">'[73]Top Lvl  Logic'!$H$8</definedName>
    <definedName name="PA_ID_L0" localSheetId="5">'[73]Top Lvl  Logic'!$H$8</definedName>
    <definedName name="PA_ID_L0" localSheetId="6">'[73]Top Lvl  Logic'!$H$8</definedName>
    <definedName name="PA_ID_L0" localSheetId="7">'[73]Top Lvl  Logic'!$H$8</definedName>
    <definedName name="PA_ID_L0" localSheetId="8">'[73]Top Lvl  Logic'!$H$8</definedName>
    <definedName name="PA_ID_L0" localSheetId="9">'[73]Top Lvl  Logic'!$H$8</definedName>
    <definedName name="PA_ID_L0" localSheetId="10">'[18]Top Lvl  Logic'!$H$8</definedName>
    <definedName name="PA_ID_L0">'[23]Top Lvl  Logic'!$H$8</definedName>
    <definedName name="PA_ID_L0_10" localSheetId="4">'[73]Top Lvl  Logic'!$H$8</definedName>
    <definedName name="PA_ID_L0_10" localSheetId="3">'[73]Top Lvl  Logic'!$H$8</definedName>
    <definedName name="PA_ID_L0_10" localSheetId="2">'[73]Top Lvl  Logic'!$H$8</definedName>
    <definedName name="PA_ID_L0_10" localSheetId="5">'[73]Top Lvl  Logic'!$H$8</definedName>
    <definedName name="PA_ID_L0_10" localSheetId="6">'[73]Top Lvl  Logic'!$H$8</definedName>
    <definedName name="PA_ID_L0_10" localSheetId="7">'[73]Top Lvl  Logic'!$H$8</definedName>
    <definedName name="PA_ID_L0_10" localSheetId="8">'[73]Top Lvl  Logic'!$H$8</definedName>
    <definedName name="PA_ID_L0_10" localSheetId="9">'[73]Top Lvl  Logic'!$H$8</definedName>
    <definedName name="PA_ID_L0_10" localSheetId="10">'[18]Top Lvl  Logic'!$H$8</definedName>
    <definedName name="PA_ID_L0_10">'[23]Top Lvl  Logic'!$H$8</definedName>
    <definedName name="PA_ID_NA" localSheetId="4">'[73]Top Lvl  Logic'!$G$8</definedName>
    <definedName name="PA_ID_NA" localSheetId="3">'[73]Top Lvl  Logic'!$G$8</definedName>
    <definedName name="PA_ID_NA" localSheetId="2">'[73]Top Lvl  Logic'!$G$8</definedName>
    <definedName name="PA_ID_NA" localSheetId="5">'[73]Top Lvl  Logic'!$G$8</definedName>
    <definedName name="PA_ID_NA" localSheetId="6">'[73]Top Lvl  Logic'!$G$8</definedName>
    <definedName name="PA_ID_NA" localSheetId="7">'[73]Top Lvl  Logic'!$G$8</definedName>
    <definedName name="PA_ID_NA" localSheetId="8">'[73]Top Lvl  Logic'!$G$8</definedName>
    <definedName name="PA_ID_NA" localSheetId="9">'[73]Top Lvl  Logic'!$G$8</definedName>
    <definedName name="PA_ID_NA" localSheetId="10">'[18]Top Lvl  Logic'!$G$8</definedName>
    <definedName name="PA_ID_NA">'[23]Top Lvl  Logic'!$G$8</definedName>
    <definedName name="PA_ID_NA_10" localSheetId="4">'[73]Top Lvl  Logic'!$G$8</definedName>
    <definedName name="PA_ID_NA_10" localSheetId="3">'[73]Top Lvl  Logic'!$G$8</definedName>
    <definedName name="PA_ID_NA_10" localSheetId="2">'[73]Top Lvl  Logic'!$G$8</definedName>
    <definedName name="PA_ID_NA_10" localSheetId="5">'[73]Top Lvl  Logic'!$G$8</definedName>
    <definedName name="PA_ID_NA_10" localSheetId="6">'[73]Top Lvl  Logic'!$G$8</definedName>
    <definedName name="PA_ID_NA_10" localSheetId="7">'[73]Top Lvl  Logic'!$G$8</definedName>
    <definedName name="PA_ID_NA_10" localSheetId="8">'[73]Top Lvl  Logic'!$G$8</definedName>
    <definedName name="PA_ID_NA_10" localSheetId="9">'[73]Top Lvl  Logic'!$G$8</definedName>
    <definedName name="PA_ID_NA_10" localSheetId="10">'[18]Top Lvl  Logic'!$G$8</definedName>
    <definedName name="PA_ID_NA_10">'[23]Top Lvl  Logic'!$G$8</definedName>
    <definedName name="PA_IDE" localSheetId="4">'[73]Top Lvl  Logic'!$D$7</definedName>
    <definedName name="PA_IDE" localSheetId="3">'[73]Top Lvl  Logic'!$D$7</definedName>
    <definedName name="PA_IDE" localSheetId="2">'[73]Top Lvl  Logic'!$D$7</definedName>
    <definedName name="PA_IDE" localSheetId="5">'[73]Top Lvl  Logic'!$D$7</definedName>
    <definedName name="PA_IDE" localSheetId="6">'[73]Top Lvl  Logic'!$D$7</definedName>
    <definedName name="PA_IDE" localSheetId="7">'[73]Top Lvl  Logic'!$D$7</definedName>
    <definedName name="PA_IDE" localSheetId="8">'[73]Top Lvl  Logic'!$D$7</definedName>
    <definedName name="PA_IDE" localSheetId="9">'[73]Top Lvl  Logic'!$D$7</definedName>
    <definedName name="PA_IDE" localSheetId="10">'[18]Top Lvl  Logic'!$D$7</definedName>
    <definedName name="PA_IDE">'[23]Top Lvl  Logic'!$D$7</definedName>
    <definedName name="PA_IDE_10" localSheetId="4">'[73]Top Lvl  Logic'!$D$7</definedName>
    <definedName name="PA_IDE_10" localSheetId="3">'[73]Top Lvl  Logic'!$D$7</definedName>
    <definedName name="PA_IDE_10" localSheetId="2">'[73]Top Lvl  Logic'!$D$7</definedName>
    <definedName name="PA_IDE_10" localSheetId="5">'[73]Top Lvl  Logic'!$D$7</definedName>
    <definedName name="PA_IDE_10" localSheetId="6">'[73]Top Lvl  Logic'!$D$7</definedName>
    <definedName name="PA_IDE_10" localSheetId="7">'[73]Top Lvl  Logic'!$D$7</definedName>
    <definedName name="PA_IDE_10" localSheetId="8">'[73]Top Lvl  Logic'!$D$7</definedName>
    <definedName name="PA_IDE_10" localSheetId="9">'[73]Top Lvl  Logic'!$D$7</definedName>
    <definedName name="PA_IDE_10" localSheetId="10">'[18]Top Lvl  Logic'!$D$7</definedName>
    <definedName name="PA_IDE_10">'[23]Top Lvl  Logic'!$D$7</definedName>
    <definedName name="PA_ME_01" localSheetId="4">'[73]Top Lvl  Logic'!$I$11</definedName>
    <definedName name="PA_ME_01" localSheetId="3">'[73]Top Lvl  Logic'!$I$11</definedName>
    <definedName name="PA_ME_01" localSheetId="2">'[73]Top Lvl  Logic'!$I$11</definedName>
    <definedName name="PA_ME_01" localSheetId="5">'[73]Top Lvl  Logic'!$I$11</definedName>
    <definedName name="PA_ME_01" localSheetId="6">'[73]Top Lvl  Logic'!$I$11</definedName>
    <definedName name="PA_ME_01" localSheetId="7">'[73]Top Lvl  Logic'!$I$11</definedName>
    <definedName name="PA_ME_01" localSheetId="8">'[73]Top Lvl  Logic'!$I$11</definedName>
    <definedName name="PA_ME_01" localSheetId="9">'[73]Top Lvl  Logic'!$I$11</definedName>
    <definedName name="PA_ME_01" localSheetId="10">'[18]Top Lvl  Logic'!$I$11</definedName>
    <definedName name="PA_ME_01">'[23]Top Lvl  Logic'!$I$11</definedName>
    <definedName name="PA_ME_01_10" localSheetId="4">'[73]Top Lvl  Logic'!$I$11</definedName>
    <definedName name="PA_ME_01_10" localSheetId="3">'[73]Top Lvl  Logic'!$I$11</definedName>
    <definedName name="PA_ME_01_10" localSheetId="2">'[73]Top Lvl  Logic'!$I$11</definedName>
    <definedName name="PA_ME_01_10" localSheetId="5">'[73]Top Lvl  Logic'!$I$11</definedName>
    <definedName name="PA_ME_01_10" localSheetId="6">'[73]Top Lvl  Logic'!$I$11</definedName>
    <definedName name="PA_ME_01_10" localSheetId="7">'[73]Top Lvl  Logic'!$I$11</definedName>
    <definedName name="PA_ME_01_10" localSheetId="8">'[73]Top Lvl  Logic'!$I$11</definedName>
    <definedName name="PA_ME_01_10" localSheetId="9">'[73]Top Lvl  Logic'!$I$11</definedName>
    <definedName name="PA_ME_01_10" localSheetId="10">'[18]Top Lvl  Logic'!$I$11</definedName>
    <definedName name="PA_ME_01_10">'[23]Top Lvl  Logic'!$I$11</definedName>
    <definedName name="PA_ME_12" localSheetId="4">'[73]Top Lvl  Logic'!$J$11</definedName>
    <definedName name="PA_ME_12" localSheetId="3">'[73]Top Lvl  Logic'!$J$11</definedName>
    <definedName name="PA_ME_12" localSheetId="2">'[73]Top Lvl  Logic'!$J$11</definedName>
    <definedName name="PA_ME_12" localSheetId="5">'[73]Top Lvl  Logic'!$J$11</definedName>
    <definedName name="PA_ME_12" localSheetId="6">'[73]Top Lvl  Logic'!$J$11</definedName>
    <definedName name="PA_ME_12" localSheetId="7">'[73]Top Lvl  Logic'!$J$11</definedName>
    <definedName name="PA_ME_12" localSheetId="8">'[73]Top Lvl  Logic'!$J$11</definedName>
    <definedName name="PA_ME_12" localSheetId="9">'[73]Top Lvl  Logic'!$J$11</definedName>
    <definedName name="PA_ME_12" localSheetId="10">'[18]Top Lvl  Logic'!$J$11</definedName>
    <definedName name="PA_ME_12">'[23]Top Lvl  Logic'!$J$11</definedName>
    <definedName name="PA_ME_12_10" localSheetId="4">'[73]Top Lvl  Logic'!$J$11</definedName>
    <definedName name="PA_ME_12_10" localSheetId="3">'[73]Top Lvl  Logic'!$J$11</definedName>
    <definedName name="PA_ME_12_10" localSheetId="2">'[73]Top Lvl  Logic'!$J$11</definedName>
    <definedName name="PA_ME_12_10" localSheetId="5">'[73]Top Lvl  Logic'!$J$11</definedName>
    <definedName name="PA_ME_12_10" localSheetId="6">'[73]Top Lvl  Logic'!$J$11</definedName>
    <definedName name="PA_ME_12_10" localSheetId="7">'[73]Top Lvl  Logic'!$J$11</definedName>
    <definedName name="PA_ME_12_10" localSheetId="8">'[73]Top Lvl  Logic'!$J$11</definedName>
    <definedName name="PA_ME_12_10" localSheetId="9">'[73]Top Lvl  Logic'!$J$11</definedName>
    <definedName name="PA_ME_12_10" localSheetId="10">'[18]Top Lvl  Logic'!$J$11</definedName>
    <definedName name="PA_ME_12_10">'[23]Top Lvl  Logic'!$J$11</definedName>
    <definedName name="PA_ME_23" localSheetId="4">'[73]Top Lvl  Logic'!$K$11</definedName>
    <definedName name="PA_ME_23" localSheetId="3">'[73]Top Lvl  Logic'!$K$11</definedName>
    <definedName name="PA_ME_23" localSheetId="2">'[73]Top Lvl  Logic'!$K$11</definedName>
    <definedName name="PA_ME_23" localSheetId="5">'[73]Top Lvl  Logic'!$K$11</definedName>
    <definedName name="PA_ME_23" localSheetId="6">'[73]Top Lvl  Logic'!$K$11</definedName>
    <definedName name="PA_ME_23" localSheetId="7">'[73]Top Lvl  Logic'!$K$11</definedName>
    <definedName name="PA_ME_23" localSheetId="8">'[73]Top Lvl  Logic'!$K$11</definedName>
    <definedName name="PA_ME_23" localSheetId="9">'[73]Top Lvl  Logic'!$K$11</definedName>
    <definedName name="PA_ME_23" localSheetId="10">'[18]Top Lvl  Logic'!$K$11</definedName>
    <definedName name="PA_ME_23">'[23]Top Lvl  Logic'!$K$11</definedName>
    <definedName name="PA_ME_23_10" localSheetId="4">'[73]Top Lvl  Logic'!$K$11</definedName>
    <definedName name="PA_ME_23_10" localSheetId="3">'[73]Top Lvl  Logic'!$K$11</definedName>
    <definedName name="PA_ME_23_10" localSheetId="2">'[73]Top Lvl  Logic'!$K$11</definedName>
    <definedName name="PA_ME_23_10" localSheetId="5">'[73]Top Lvl  Logic'!$K$11</definedName>
    <definedName name="PA_ME_23_10" localSheetId="6">'[73]Top Lvl  Logic'!$K$11</definedName>
    <definedName name="PA_ME_23_10" localSheetId="7">'[73]Top Lvl  Logic'!$K$11</definedName>
    <definedName name="PA_ME_23_10" localSheetId="8">'[73]Top Lvl  Logic'!$K$11</definedName>
    <definedName name="PA_ME_23_10" localSheetId="9">'[73]Top Lvl  Logic'!$K$11</definedName>
    <definedName name="PA_ME_23_10" localSheetId="10">'[18]Top Lvl  Logic'!$K$11</definedName>
    <definedName name="PA_ME_23_10">'[23]Top Lvl  Logic'!$K$11</definedName>
    <definedName name="PA_ME_34" localSheetId="4">'[73]Top Lvl  Logic'!$L$11</definedName>
    <definedName name="PA_ME_34" localSheetId="3">'[73]Top Lvl  Logic'!$L$11</definedName>
    <definedName name="PA_ME_34" localSheetId="2">'[73]Top Lvl  Logic'!$L$11</definedName>
    <definedName name="PA_ME_34" localSheetId="5">'[73]Top Lvl  Logic'!$L$11</definedName>
    <definedName name="PA_ME_34" localSheetId="6">'[73]Top Lvl  Logic'!$L$11</definedName>
    <definedName name="PA_ME_34" localSheetId="7">'[73]Top Lvl  Logic'!$L$11</definedName>
    <definedName name="PA_ME_34" localSheetId="8">'[73]Top Lvl  Logic'!$L$11</definedName>
    <definedName name="PA_ME_34" localSheetId="9">'[73]Top Lvl  Logic'!$L$11</definedName>
    <definedName name="PA_ME_34" localSheetId="10">'[18]Top Lvl  Logic'!$L$11</definedName>
    <definedName name="PA_ME_34">'[23]Top Lvl  Logic'!$L$11</definedName>
    <definedName name="PA_ME_34_10" localSheetId="4">'[73]Top Lvl  Logic'!$L$11</definedName>
    <definedName name="PA_ME_34_10" localSheetId="3">'[73]Top Lvl  Logic'!$L$11</definedName>
    <definedName name="PA_ME_34_10" localSheetId="2">'[73]Top Lvl  Logic'!$L$11</definedName>
    <definedName name="PA_ME_34_10" localSheetId="5">'[73]Top Lvl  Logic'!$L$11</definedName>
    <definedName name="PA_ME_34_10" localSheetId="6">'[73]Top Lvl  Logic'!$L$11</definedName>
    <definedName name="PA_ME_34_10" localSheetId="7">'[73]Top Lvl  Logic'!$L$11</definedName>
    <definedName name="PA_ME_34_10" localSheetId="8">'[73]Top Lvl  Logic'!$L$11</definedName>
    <definedName name="PA_ME_34_10" localSheetId="9">'[73]Top Lvl  Logic'!$L$11</definedName>
    <definedName name="PA_ME_34_10" localSheetId="10">'[18]Top Lvl  Logic'!$L$11</definedName>
    <definedName name="PA_ME_34_10">'[23]Top Lvl  Logic'!$L$11</definedName>
    <definedName name="PA_ME_45" localSheetId="4">'[73]Top Lvl  Logic'!$M$11</definedName>
    <definedName name="PA_ME_45" localSheetId="3">'[73]Top Lvl  Logic'!$M$11</definedName>
    <definedName name="PA_ME_45" localSheetId="2">'[73]Top Lvl  Logic'!$M$11</definedName>
    <definedName name="PA_ME_45" localSheetId="5">'[73]Top Lvl  Logic'!$M$11</definedName>
    <definedName name="PA_ME_45" localSheetId="6">'[73]Top Lvl  Logic'!$M$11</definedName>
    <definedName name="PA_ME_45" localSheetId="7">'[73]Top Lvl  Logic'!$M$11</definedName>
    <definedName name="PA_ME_45" localSheetId="8">'[73]Top Lvl  Logic'!$M$11</definedName>
    <definedName name="PA_ME_45" localSheetId="9">'[73]Top Lvl  Logic'!$M$11</definedName>
    <definedName name="PA_ME_45" localSheetId="10">'[18]Top Lvl  Logic'!$M$11</definedName>
    <definedName name="PA_ME_45">'[23]Top Lvl  Logic'!$M$11</definedName>
    <definedName name="PA_ME_45_10" localSheetId="4">'[73]Top Lvl  Logic'!$M$11</definedName>
    <definedName name="PA_ME_45_10" localSheetId="3">'[73]Top Lvl  Logic'!$M$11</definedName>
    <definedName name="PA_ME_45_10" localSheetId="2">'[73]Top Lvl  Logic'!$M$11</definedName>
    <definedName name="PA_ME_45_10" localSheetId="5">'[73]Top Lvl  Logic'!$M$11</definedName>
    <definedName name="PA_ME_45_10" localSheetId="6">'[73]Top Lvl  Logic'!$M$11</definedName>
    <definedName name="PA_ME_45_10" localSheetId="7">'[73]Top Lvl  Logic'!$M$11</definedName>
    <definedName name="PA_ME_45_10" localSheetId="8">'[73]Top Lvl  Logic'!$M$11</definedName>
    <definedName name="PA_ME_45_10" localSheetId="9">'[73]Top Lvl  Logic'!$M$11</definedName>
    <definedName name="PA_ME_45_10" localSheetId="10">'[18]Top Lvl  Logic'!$M$11</definedName>
    <definedName name="PA_ME_45_10">'[23]Top Lvl  Logic'!$M$11</definedName>
    <definedName name="PA_ME_56" localSheetId="4">'[73]Top Lvl  Logic'!$N$11</definedName>
    <definedName name="PA_ME_56" localSheetId="3">'[73]Top Lvl  Logic'!$N$11</definedName>
    <definedName name="PA_ME_56" localSheetId="2">'[73]Top Lvl  Logic'!$N$11</definedName>
    <definedName name="PA_ME_56" localSheetId="5">'[73]Top Lvl  Logic'!$N$11</definedName>
    <definedName name="PA_ME_56" localSheetId="6">'[73]Top Lvl  Logic'!$N$11</definedName>
    <definedName name="PA_ME_56" localSheetId="7">'[73]Top Lvl  Logic'!$N$11</definedName>
    <definedName name="PA_ME_56" localSheetId="8">'[73]Top Lvl  Logic'!$N$11</definedName>
    <definedName name="PA_ME_56" localSheetId="9">'[73]Top Lvl  Logic'!$N$11</definedName>
    <definedName name="PA_ME_56" localSheetId="10">'[18]Top Lvl  Logic'!$N$11</definedName>
    <definedName name="PA_ME_56">'[23]Top Lvl  Logic'!$N$11</definedName>
    <definedName name="PA_ME_56_10" localSheetId="4">'[73]Top Lvl  Logic'!$N$11</definedName>
    <definedName name="PA_ME_56_10" localSheetId="3">'[73]Top Lvl  Logic'!$N$11</definedName>
    <definedName name="PA_ME_56_10" localSheetId="2">'[73]Top Lvl  Logic'!$N$11</definedName>
    <definedName name="PA_ME_56_10" localSheetId="5">'[73]Top Lvl  Logic'!$N$11</definedName>
    <definedName name="PA_ME_56_10" localSheetId="6">'[73]Top Lvl  Logic'!$N$11</definedName>
    <definedName name="PA_ME_56_10" localSheetId="7">'[73]Top Lvl  Logic'!$N$11</definedName>
    <definedName name="PA_ME_56_10" localSheetId="8">'[73]Top Lvl  Logic'!$N$11</definedName>
    <definedName name="PA_ME_56_10" localSheetId="9">'[73]Top Lvl  Logic'!$N$11</definedName>
    <definedName name="PA_ME_56_10" localSheetId="10">'[18]Top Lvl  Logic'!$N$11</definedName>
    <definedName name="PA_ME_56_10">'[23]Top Lvl  Logic'!$N$11</definedName>
    <definedName name="PA_ME_G6" localSheetId="4">'[73]Top Lvl  Logic'!$O$11</definedName>
    <definedName name="PA_ME_G6" localSheetId="3">'[73]Top Lvl  Logic'!$O$11</definedName>
    <definedName name="PA_ME_G6" localSheetId="2">'[73]Top Lvl  Logic'!$O$11</definedName>
    <definedName name="PA_ME_G6" localSheetId="5">'[73]Top Lvl  Logic'!$O$11</definedName>
    <definedName name="PA_ME_G6" localSheetId="6">'[73]Top Lvl  Logic'!$O$11</definedName>
    <definedName name="PA_ME_G6" localSheetId="7">'[73]Top Lvl  Logic'!$O$11</definedName>
    <definedName name="PA_ME_G6" localSheetId="8">'[73]Top Lvl  Logic'!$O$11</definedName>
    <definedName name="PA_ME_G6" localSheetId="9">'[73]Top Lvl  Logic'!$O$11</definedName>
    <definedName name="PA_ME_G6" localSheetId="10">'[18]Top Lvl  Logic'!$O$11</definedName>
    <definedName name="PA_ME_G6">'[23]Top Lvl  Logic'!$O$11</definedName>
    <definedName name="PA_ME_G6_10" localSheetId="4">'[73]Top Lvl  Logic'!$O$11</definedName>
    <definedName name="PA_ME_G6_10" localSheetId="3">'[73]Top Lvl  Logic'!$O$11</definedName>
    <definedName name="PA_ME_G6_10" localSheetId="2">'[73]Top Lvl  Logic'!$O$11</definedName>
    <definedName name="PA_ME_G6_10" localSheetId="5">'[73]Top Lvl  Logic'!$O$11</definedName>
    <definedName name="PA_ME_G6_10" localSheetId="6">'[73]Top Lvl  Logic'!$O$11</definedName>
    <definedName name="PA_ME_G6_10" localSheetId="7">'[73]Top Lvl  Logic'!$O$11</definedName>
    <definedName name="PA_ME_G6_10" localSheetId="8">'[73]Top Lvl  Logic'!$O$11</definedName>
    <definedName name="PA_ME_G6_10" localSheetId="9">'[73]Top Lvl  Logic'!$O$11</definedName>
    <definedName name="PA_ME_G6_10" localSheetId="10">'[18]Top Lvl  Logic'!$O$11</definedName>
    <definedName name="PA_ME_G6_10">'[23]Top Lvl  Logic'!$O$11</definedName>
    <definedName name="PA_ME_L0" localSheetId="4">'[73]Top Lvl  Logic'!$H$11</definedName>
    <definedName name="PA_ME_L0" localSheetId="3">'[73]Top Lvl  Logic'!$H$11</definedName>
    <definedName name="PA_ME_L0" localSheetId="2">'[73]Top Lvl  Logic'!$H$11</definedName>
    <definedName name="PA_ME_L0" localSheetId="5">'[73]Top Lvl  Logic'!$H$11</definedName>
    <definedName name="PA_ME_L0" localSheetId="6">'[73]Top Lvl  Logic'!$H$11</definedName>
    <definedName name="PA_ME_L0" localSheetId="7">'[73]Top Lvl  Logic'!$H$11</definedName>
    <definedName name="PA_ME_L0" localSheetId="8">'[73]Top Lvl  Logic'!$H$11</definedName>
    <definedName name="PA_ME_L0" localSheetId="9">'[73]Top Lvl  Logic'!$H$11</definedName>
    <definedName name="PA_ME_L0" localSheetId="10">'[18]Top Lvl  Logic'!$H$11</definedName>
    <definedName name="PA_ME_L0">'[23]Top Lvl  Logic'!$H$11</definedName>
    <definedName name="PA_ME_L0_10" localSheetId="4">'[73]Top Lvl  Logic'!$H$11</definedName>
    <definedName name="PA_ME_L0_10" localSheetId="3">'[73]Top Lvl  Logic'!$H$11</definedName>
    <definedName name="PA_ME_L0_10" localSheetId="2">'[73]Top Lvl  Logic'!$H$11</definedName>
    <definedName name="PA_ME_L0_10" localSheetId="5">'[73]Top Lvl  Logic'!$H$11</definedName>
    <definedName name="PA_ME_L0_10" localSheetId="6">'[73]Top Lvl  Logic'!$H$11</definedName>
    <definedName name="PA_ME_L0_10" localSheetId="7">'[73]Top Lvl  Logic'!$H$11</definedName>
    <definedName name="PA_ME_L0_10" localSheetId="8">'[73]Top Lvl  Logic'!$H$11</definedName>
    <definedName name="PA_ME_L0_10" localSheetId="9">'[73]Top Lvl  Logic'!$H$11</definedName>
    <definedName name="PA_ME_L0_10" localSheetId="10">'[18]Top Lvl  Logic'!$H$11</definedName>
    <definedName name="PA_ME_L0_10">'[23]Top Lvl  Logic'!$H$11</definedName>
    <definedName name="PA_ME_NA" localSheetId="4">'[73]Top Lvl  Logic'!$G$11</definedName>
    <definedName name="PA_ME_NA" localSheetId="3">'[73]Top Lvl  Logic'!$G$11</definedName>
    <definedName name="PA_ME_NA" localSheetId="2">'[73]Top Lvl  Logic'!$G$11</definedName>
    <definedName name="PA_ME_NA" localSheetId="5">'[73]Top Lvl  Logic'!$G$11</definedName>
    <definedName name="PA_ME_NA" localSheetId="6">'[73]Top Lvl  Logic'!$G$11</definedName>
    <definedName name="PA_ME_NA" localSheetId="7">'[73]Top Lvl  Logic'!$G$11</definedName>
    <definedName name="PA_ME_NA" localSheetId="8">'[73]Top Lvl  Logic'!$G$11</definedName>
    <definedName name="PA_ME_NA" localSheetId="9">'[73]Top Lvl  Logic'!$G$11</definedName>
    <definedName name="PA_ME_NA" localSheetId="10">'[18]Top Lvl  Logic'!$G$11</definedName>
    <definedName name="PA_ME_NA">'[23]Top Lvl  Logic'!$G$11</definedName>
    <definedName name="PA_ME_NA_10" localSheetId="4">'[73]Top Lvl  Logic'!$G$11</definedName>
    <definedName name="PA_ME_NA_10" localSheetId="3">'[73]Top Lvl  Logic'!$G$11</definedName>
    <definedName name="PA_ME_NA_10" localSheetId="2">'[73]Top Lvl  Logic'!$G$11</definedName>
    <definedName name="PA_ME_NA_10" localSheetId="5">'[73]Top Lvl  Logic'!$G$11</definedName>
    <definedName name="PA_ME_NA_10" localSheetId="6">'[73]Top Lvl  Logic'!$G$11</definedName>
    <definedName name="PA_ME_NA_10" localSheetId="7">'[73]Top Lvl  Logic'!$G$11</definedName>
    <definedName name="PA_ME_NA_10" localSheetId="8">'[73]Top Lvl  Logic'!$G$11</definedName>
    <definedName name="PA_ME_NA_10" localSheetId="9">'[73]Top Lvl  Logic'!$G$11</definedName>
    <definedName name="PA_ME_NA_10" localSheetId="10">'[18]Top Lvl  Logic'!$G$11</definedName>
    <definedName name="PA_ME_NA_10">'[23]Top Lvl  Logic'!$G$11</definedName>
    <definedName name="PA_MEA" localSheetId="4">'[73]Top Lvl  Logic'!$D$10</definedName>
    <definedName name="PA_MEA" localSheetId="3">'[73]Top Lvl  Logic'!$D$10</definedName>
    <definedName name="PA_MEA" localSheetId="2">'[73]Top Lvl  Logic'!$D$10</definedName>
    <definedName name="PA_MEA" localSheetId="5">'[73]Top Lvl  Logic'!$D$10</definedName>
    <definedName name="PA_MEA" localSheetId="6">'[73]Top Lvl  Logic'!$D$10</definedName>
    <definedName name="PA_MEA" localSheetId="7">'[73]Top Lvl  Logic'!$D$10</definedName>
    <definedName name="PA_MEA" localSheetId="8">'[73]Top Lvl  Logic'!$D$10</definedName>
    <definedName name="PA_MEA" localSheetId="9">'[73]Top Lvl  Logic'!$D$10</definedName>
    <definedName name="PA_MEA" localSheetId="10">'[18]Top Lvl  Logic'!$D$10</definedName>
    <definedName name="PA_MEA">'[23]Top Lvl  Logic'!$D$10</definedName>
    <definedName name="PA_MEA_10" localSheetId="4">'[73]Top Lvl  Logic'!$D$10</definedName>
    <definedName name="PA_MEA_10" localSheetId="3">'[73]Top Lvl  Logic'!$D$10</definedName>
    <definedName name="PA_MEA_10" localSheetId="2">'[73]Top Lvl  Logic'!$D$10</definedName>
    <definedName name="PA_MEA_10" localSheetId="5">'[73]Top Lvl  Logic'!$D$10</definedName>
    <definedName name="PA_MEA_10" localSheetId="6">'[73]Top Lvl  Logic'!$D$10</definedName>
    <definedName name="PA_MEA_10" localSheetId="7">'[73]Top Lvl  Logic'!$D$10</definedName>
    <definedName name="PA_MEA_10" localSheetId="8">'[73]Top Lvl  Logic'!$D$10</definedName>
    <definedName name="PA_MEA_10" localSheetId="9">'[73]Top Lvl  Logic'!$D$10</definedName>
    <definedName name="PA_MEA_10" localSheetId="10">'[18]Top Lvl  Logic'!$D$10</definedName>
    <definedName name="PA_MEA_10">'[23]Top Lvl  Logic'!$D$10</definedName>
    <definedName name="PA_PR_01" localSheetId="4">'[73]Top Lvl  Logic'!$I$10</definedName>
    <definedName name="PA_PR_01" localSheetId="3">'[73]Top Lvl  Logic'!$I$10</definedName>
    <definedName name="PA_PR_01" localSheetId="2">'[73]Top Lvl  Logic'!$I$10</definedName>
    <definedName name="PA_PR_01" localSheetId="5">'[73]Top Lvl  Logic'!$I$10</definedName>
    <definedName name="PA_PR_01" localSheetId="6">'[73]Top Lvl  Logic'!$I$10</definedName>
    <definedName name="PA_PR_01" localSheetId="7">'[73]Top Lvl  Logic'!$I$10</definedName>
    <definedName name="PA_PR_01" localSheetId="8">'[73]Top Lvl  Logic'!$I$10</definedName>
    <definedName name="PA_PR_01" localSheetId="9">'[73]Top Lvl  Logic'!$I$10</definedName>
    <definedName name="PA_PR_01" localSheetId="10">'[18]Top Lvl  Logic'!$I$10</definedName>
    <definedName name="PA_PR_01">'[23]Top Lvl  Logic'!$I$10</definedName>
    <definedName name="PA_PR_01_10" localSheetId="4">'[73]Top Lvl  Logic'!$I$10</definedName>
    <definedName name="PA_PR_01_10" localSheetId="3">'[73]Top Lvl  Logic'!$I$10</definedName>
    <definedName name="PA_PR_01_10" localSheetId="2">'[73]Top Lvl  Logic'!$I$10</definedName>
    <definedName name="PA_PR_01_10" localSheetId="5">'[73]Top Lvl  Logic'!$I$10</definedName>
    <definedName name="PA_PR_01_10" localSheetId="6">'[73]Top Lvl  Logic'!$I$10</definedName>
    <definedName name="PA_PR_01_10" localSheetId="7">'[73]Top Lvl  Logic'!$I$10</definedName>
    <definedName name="PA_PR_01_10" localSheetId="8">'[73]Top Lvl  Logic'!$I$10</definedName>
    <definedName name="PA_PR_01_10" localSheetId="9">'[73]Top Lvl  Logic'!$I$10</definedName>
    <definedName name="PA_PR_01_10" localSheetId="10">'[18]Top Lvl  Logic'!$I$10</definedName>
    <definedName name="PA_PR_01_10">'[23]Top Lvl  Logic'!$I$10</definedName>
    <definedName name="PA_PR_12" localSheetId="4">'[73]Top Lvl  Logic'!$J$10</definedName>
    <definedName name="PA_PR_12" localSheetId="3">'[73]Top Lvl  Logic'!$J$10</definedName>
    <definedName name="PA_PR_12" localSheetId="2">'[73]Top Lvl  Logic'!$J$10</definedName>
    <definedName name="PA_PR_12" localSheetId="5">'[73]Top Lvl  Logic'!$J$10</definedName>
    <definedName name="PA_PR_12" localSheetId="6">'[73]Top Lvl  Logic'!$J$10</definedName>
    <definedName name="PA_PR_12" localSheetId="7">'[73]Top Lvl  Logic'!$J$10</definedName>
    <definedName name="PA_PR_12" localSheetId="8">'[73]Top Lvl  Logic'!$J$10</definedName>
    <definedName name="PA_PR_12" localSheetId="9">'[73]Top Lvl  Logic'!$J$10</definedName>
    <definedName name="PA_PR_12" localSheetId="10">'[18]Top Lvl  Logic'!$J$10</definedName>
    <definedName name="PA_PR_12">'[23]Top Lvl  Logic'!$J$10</definedName>
    <definedName name="PA_PR_12_10" localSheetId="4">'[73]Top Lvl  Logic'!$J$10</definedName>
    <definedName name="PA_PR_12_10" localSheetId="3">'[73]Top Lvl  Logic'!$J$10</definedName>
    <definedName name="PA_PR_12_10" localSheetId="2">'[73]Top Lvl  Logic'!$J$10</definedName>
    <definedName name="PA_PR_12_10" localSheetId="5">'[73]Top Lvl  Logic'!$J$10</definedName>
    <definedName name="PA_PR_12_10" localSheetId="6">'[73]Top Lvl  Logic'!$J$10</definedName>
    <definedName name="PA_PR_12_10" localSheetId="7">'[73]Top Lvl  Logic'!$J$10</definedName>
    <definedName name="PA_PR_12_10" localSheetId="8">'[73]Top Lvl  Logic'!$J$10</definedName>
    <definedName name="PA_PR_12_10" localSheetId="9">'[73]Top Lvl  Logic'!$J$10</definedName>
    <definedName name="PA_PR_12_10" localSheetId="10">'[18]Top Lvl  Logic'!$J$10</definedName>
    <definedName name="PA_PR_12_10">'[23]Top Lvl  Logic'!$J$10</definedName>
    <definedName name="PA_PR_23" localSheetId="4">'[73]Top Lvl  Logic'!$K$10</definedName>
    <definedName name="PA_PR_23" localSheetId="3">'[73]Top Lvl  Logic'!$K$10</definedName>
    <definedName name="PA_PR_23" localSheetId="2">'[73]Top Lvl  Logic'!$K$10</definedName>
    <definedName name="PA_PR_23" localSheetId="5">'[73]Top Lvl  Logic'!$K$10</definedName>
    <definedName name="PA_PR_23" localSheetId="6">'[73]Top Lvl  Logic'!$K$10</definedName>
    <definedName name="PA_PR_23" localSheetId="7">'[73]Top Lvl  Logic'!$K$10</definedName>
    <definedName name="PA_PR_23" localSheetId="8">'[73]Top Lvl  Logic'!$K$10</definedName>
    <definedName name="PA_PR_23" localSheetId="9">'[73]Top Lvl  Logic'!$K$10</definedName>
    <definedName name="PA_PR_23" localSheetId="10">'[18]Top Lvl  Logic'!$K$10</definedName>
    <definedName name="PA_PR_23">'[23]Top Lvl  Logic'!$K$10</definedName>
    <definedName name="PA_PR_23_10" localSheetId="4">'[73]Top Lvl  Logic'!$K$10</definedName>
    <definedName name="PA_PR_23_10" localSheetId="3">'[73]Top Lvl  Logic'!$K$10</definedName>
    <definedName name="PA_PR_23_10" localSheetId="2">'[73]Top Lvl  Logic'!$K$10</definedName>
    <definedName name="PA_PR_23_10" localSheetId="5">'[73]Top Lvl  Logic'!$K$10</definedName>
    <definedName name="PA_PR_23_10" localSheetId="6">'[73]Top Lvl  Logic'!$K$10</definedName>
    <definedName name="PA_PR_23_10" localSheetId="7">'[73]Top Lvl  Logic'!$K$10</definedName>
    <definedName name="PA_PR_23_10" localSheetId="8">'[73]Top Lvl  Logic'!$K$10</definedName>
    <definedName name="PA_PR_23_10" localSheetId="9">'[73]Top Lvl  Logic'!$K$10</definedName>
    <definedName name="PA_PR_23_10" localSheetId="10">'[18]Top Lvl  Logic'!$K$10</definedName>
    <definedName name="PA_PR_23_10">'[23]Top Lvl  Logic'!$K$10</definedName>
    <definedName name="PA_PR_34" localSheetId="4">'[73]Top Lvl  Logic'!$L$10</definedName>
    <definedName name="PA_PR_34" localSheetId="3">'[73]Top Lvl  Logic'!$L$10</definedName>
    <definedName name="PA_PR_34" localSheetId="2">'[73]Top Lvl  Logic'!$L$10</definedName>
    <definedName name="PA_PR_34" localSheetId="5">'[73]Top Lvl  Logic'!$L$10</definedName>
    <definedName name="PA_PR_34" localSheetId="6">'[73]Top Lvl  Logic'!$L$10</definedName>
    <definedName name="PA_PR_34" localSheetId="7">'[73]Top Lvl  Logic'!$L$10</definedName>
    <definedName name="PA_PR_34" localSheetId="8">'[73]Top Lvl  Logic'!$L$10</definedName>
    <definedName name="PA_PR_34" localSheetId="9">'[73]Top Lvl  Logic'!$L$10</definedName>
    <definedName name="PA_PR_34" localSheetId="10">'[18]Top Lvl  Logic'!$L$10</definedName>
    <definedName name="PA_PR_34">'[23]Top Lvl  Logic'!$L$10</definedName>
    <definedName name="PA_PR_34_10" localSheetId="4">'[73]Top Lvl  Logic'!$L$10</definedName>
    <definedName name="PA_PR_34_10" localSheetId="3">'[73]Top Lvl  Logic'!$L$10</definedName>
    <definedName name="PA_PR_34_10" localSheetId="2">'[73]Top Lvl  Logic'!$L$10</definedName>
    <definedName name="PA_PR_34_10" localSheetId="5">'[73]Top Lvl  Logic'!$L$10</definedName>
    <definedName name="PA_PR_34_10" localSheetId="6">'[73]Top Lvl  Logic'!$L$10</definedName>
    <definedName name="PA_PR_34_10" localSheetId="7">'[73]Top Lvl  Logic'!$L$10</definedName>
    <definedName name="PA_PR_34_10" localSheetId="8">'[73]Top Lvl  Logic'!$L$10</definedName>
    <definedName name="PA_PR_34_10" localSheetId="9">'[73]Top Lvl  Logic'!$L$10</definedName>
    <definedName name="PA_PR_34_10" localSheetId="10">'[18]Top Lvl  Logic'!$L$10</definedName>
    <definedName name="PA_PR_34_10">'[23]Top Lvl  Logic'!$L$10</definedName>
    <definedName name="PA_PR_45" localSheetId="4">'[73]Top Lvl  Logic'!$M$10</definedName>
    <definedName name="PA_PR_45" localSheetId="3">'[73]Top Lvl  Logic'!$M$10</definedName>
    <definedName name="PA_PR_45" localSheetId="2">'[73]Top Lvl  Logic'!$M$10</definedName>
    <definedName name="PA_PR_45" localSheetId="5">'[73]Top Lvl  Logic'!$M$10</definedName>
    <definedName name="PA_PR_45" localSheetId="6">'[73]Top Lvl  Logic'!$M$10</definedName>
    <definedName name="PA_PR_45" localSheetId="7">'[73]Top Lvl  Logic'!$M$10</definedName>
    <definedName name="PA_PR_45" localSheetId="8">'[73]Top Lvl  Logic'!$M$10</definedName>
    <definedName name="PA_PR_45" localSheetId="9">'[73]Top Lvl  Logic'!$M$10</definedName>
    <definedName name="PA_PR_45" localSheetId="10">'[18]Top Lvl  Logic'!$M$10</definedName>
    <definedName name="PA_PR_45">'[23]Top Lvl  Logic'!$M$10</definedName>
    <definedName name="PA_PR_45_10" localSheetId="4">'[73]Top Lvl  Logic'!$M$10</definedName>
    <definedName name="PA_PR_45_10" localSheetId="3">'[73]Top Lvl  Logic'!$M$10</definedName>
    <definedName name="PA_PR_45_10" localSheetId="2">'[73]Top Lvl  Logic'!$M$10</definedName>
    <definedName name="PA_PR_45_10" localSheetId="5">'[73]Top Lvl  Logic'!$M$10</definedName>
    <definedName name="PA_PR_45_10" localSheetId="6">'[73]Top Lvl  Logic'!$M$10</definedName>
    <definedName name="PA_PR_45_10" localSheetId="7">'[73]Top Lvl  Logic'!$M$10</definedName>
    <definedName name="PA_PR_45_10" localSheetId="8">'[73]Top Lvl  Logic'!$M$10</definedName>
    <definedName name="PA_PR_45_10" localSheetId="9">'[73]Top Lvl  Logic'!$M$10</definedName>
    <definedName name="PA_PR_45_10" localSheetId="10">'[18]Top Lvl  Logic'!$M$10</definedName>
    <definedName name="PA_PR_45_10">'[23]Top Lvl  Logic'!$M$10</definedName>
    <definedName name="PA_PR_56" localSheetId="4">'[73]Top Lvl  Logic'!$N$10</definedName>
    <definedName name="PA_PR_56" localSheetId="3">'[73]Top Lvl  Logic'!$N$10</definedName>
    <definedName name="PA_PR_56" localSheetId="2">'[73]Top Lvl  Logic'!$N$10</definedName>
    <definedName name="PA_PR_56" localSheetId="5">'[73]Top Lvl  Logic'!$N$10</definedName>
    <definedName name="PA_PR_56" localSheetId="6">'[73]Top Lvl  Logic'!$N$10</definedName>
    <definedName name="PA_PR_56" localSheetId="7">'[73]Top Lvl  Logic'!$N$10</definedName>
    <definedName name="PA_PR_56" localSheetId="8">'[73]Top Lvl  Logic'!$N$10</definedName>
    <definedName name="PA_PR_56" localSheetId="9">'[73]Top Lvl  Logic'!$N$10</definedName>
    <definedName name="PA_PR_56" localSheetId="10">'[18]Top Lvl  Logic'!$N$10</definedName>
    <definedName name="PA_PR_56">'[23]Top Lvl  Logic'!$N$10</definedName>
    <definedName name="PA_PR_56_10" localSheetId="4">'[73]Top Lvl  Logic'!$N$10</definedName>
    <definedName name="PA_PR_56_10" localSheetId="3">'[73]Top Lvl  Logic'!$N$10</definedName>
    <definedName name="PA_PR_56_10" localSheetId="2">'[73]Top Lvl  Logic'!$N$10</definedName>
    <definedName name="PA_PR_56_10" localSheetId="5">'[73]Top Lvl  Logic'!$N$10</definedName>
    <definedName name="PA_PR_56_10" localSheetId="6">'[73]Top Lvl  Logic'!$N$10</definedName>
    <definedName name="PA_PR_56_10" localSheetId="7">'[73]Top Lvl  Logic'!$N$10</definedName>
    <definedName name="PA_PR_56_10" localSheetId="8">'[73]Top Lvl  Logic'!$N$10</definedName>
    <definedName name="PA_PR_56_10" localSheetId="9">'[73]Top Lvl  Logic'!$N$10</definedName>
    <definedName name="PA_PR_56_10" localSheetId="10">'[18]Top Lvl  Logic'!$N$10</definedName>
    <definedName name="PA_PR_56_10">'[23]Top Lvl  Logic'!$N$10</definedName>
    <definedName name="PA_PR_G6" localSheetId="4">'[73]Top Lvl  Logic'!$O$10</definedName>
    <definedName name="PA_PR_G6" localSheetId="3">'[73]Top Lvl  Logic'!$O$10</definedName>
    <definedName name="PA_PR_G6" localSheetId="2">'[73]Top Lvl  Logic'!$O$10</definedName>
    <definedName name="PA_PR_G6" localSheetId="5">'[73]Top Lvl  Logic'!$O$10</definedName>
    <definedName name="PA_PR_G6" localSheetId="6">'[73]Top Lvl  Logic'!$O$10</definedName>
    <definedName name="PA_PR_G6" localSheetId="7">'[73]Top Lvl  Logic'!$O$10</definedName>
    <definedName name="PA_PR_G6" localSheetId="8">'[73]Top Lvl  Logic'!$O$10</definedName>
    <definedName name="PA_PR_G6" localSheetId="9">'[73]Top Lvl  Logic'!$O$10</definedName>
    <definedName name="PA_PR_G6" localSheetId="10">'[18]Top Lvl  Logic'!$O$10</definedName>
    <definedName name="PA_PR_G6">'[23]Top Lvl  Logic'!$O$10</definedName>
    <definedName name="PA_PR_G6_10" localSheetId="4">'[73]Top Lvl  Logic'!$O$10</definedName>
    <definedName name="PA_PR_G6_10" localSheetId="3">'[73]Top Lvl  Logic'!$O$10</definedName>
    <definedName name="PA_PR_G6_10" localSheetId="2">'[73]Top Lvl  Logic'!$O$10</definedName>
    <definedName name="PA_PR_G6_10" localSheetId="5">'[73]Top Lvl  Logic'!$O$10</definedName>
    <definedName name="PA_PR_G6_10" localSheetId="6">'[73]Top Lvl  Logic'!$O$10</definedName>
    <definedName name="PA_PR_G6_10" localSheetId="7">'[73]Top Lvl  Logic'!$O$10</definedName>
    <definedName name="PA_PR_G6_10" localSheetId="8">'[73]Top Lvl  Logic'!$O$10</definedName>
    <definedName name="PA_PR_G6_10" localSheetId="9">'[73]Top Lvl  Logic'!$O$10</definedName>
    <definedName name="PA_PR_G6_10" localSheetId="10">'[18]Top Lvl  Logic'!$O$10</definedName>
    <definedName name="PA_PR_G6_10">'[23]Top Lvl  Logic'!$O$10</definedName>
    <definedName name="PA_PR_L0" localSheetId="4">'[73]Top Lvl  Logic'!$H$10</definedName>
    <definedName name="PA_PR_L0" localSheetId="3">'[73]Top Lvl  Logic'!$H$10</definedName>
    <definedName name="PA_PR_L0" localSheetId="2">'[73]Top Lvl  Logic'!$H$10</definedName>
    <definedName name="PA_PR_L0" localSheetId="5">'[73]Top Lvl  Logic'!$H$10</definedName>
    <definedName name="PA_PR_L0" localSheetId="6">'[73]Top Lvl  Logic'!$H$10</definedName>
    <definedName name="PA_PR_L0" localSheetId="7">'[73]Top Lvl  Logic'!$H$10</definedName>
    <definedName name="PA_PR_L0" localSheetId="8">'[73]Top Lvl  Logic'!$H$10</definedName>
    <definedName name="PA_PR_L0" localSheetId="9">'[73]Top Lvl  Logic'!$H$10</definedName>
    <definedName name="PA_PR_L0" localSheetId="10">'[18]Top Lvl  Logic'!$H$10</definedName>
    <definedName name="PA_PR_L0">'[23]Top Lvl  Logic'!$H$10</definedName>
    <definedName name="PA_PR_L0_10" localSheetId="4">'[73]Top Lvl  Logic'!$H$10</definedName>
    <definedName name="PA_PR_L0_10" localSheetId="3">'[73]Top Lvl  Logic'!$H$10</definedName>
    <definedName name="PA_PR_L0_10" localSheetId="2">'[73]Top Lvl  Logic'!$H$10</definedName>
    <definedName name="PA_PR_L0_10" localSheetId="5">'[73]Top Lvl  Logic'!$H$10</definedName>
    <definedName name="PA_PR_L0_10" localSheetId="6">'[73]Top Lvl  Logic'!$H$10</definedName>
    <definedName name="PA_PR_L0_10" localSheetId="7">'[73]Top Lvl  Logic'!$H$10</definedName>
    <definedName name="PA_PR_L0_10" localSheetId="8">'[73]Top Lvl  Logic'!$H$10</definedName>
    <definedName name="PA_PR_L0_10" localSheetId="9">'[73]Top Lvl  Logic'!$H$10</definedName>
    <definedName name="PA_PR_L0_10" localSheetId="10">'[18]Top Lvl  Logic'!$H$10</definedName>
    <definedName name="PA_PR_L0_10">'[23]Top Lvl  Logic'!$H$10</definedName>
    <definedName name="PA_PR_NA" localSheetId="4">'[73]Top Lvl  Logic'!$G$10</definedName>
    <definedName name="PA_PR_NA" localSheetId="3">'[73]Top Lvl  Logic'!$G$10</definedName>
    <definedName name="PA_PR_NA" localSheetId="2">'[73]Top Lvl  Logic'!$G$10</definedName>
    <definedName name="PA_PR_NA" localSheetId="5">'[73]Top Lvl  Logic'!$G$10</definedName>
    <definedName name="PA_PR_NA" localSheetId="6">'[73]Top Lvl  Logic'!$G$10</definedName>
    <definedName name="PA_PR_NA" localSheetId="7">'[73]Top Lvl  Logic'!$G$10</definedName>
    <definedName name="PA_PR_NA" localSheetId="8">'[73]Top Lvl  Logic'!$G$10</definedName>
    <definedName name="PA_PR_NA" localSheetId="9">'[73]Top Lvl  Logic'!$G$10</definedName>
    <definedName name="PA_PR_NA" localSheetId="10">'[18]Top Lvl  Logic'!$G$10</definedName>
    <definedName name="PA_PR_NA">'[23]Top Lvl  Logic'!$G$10</definedName>
    <definedName name="PA_PR_NA_10" localSheetId="4">'[73]Top Lvl  Logic'!$G$10</definedName>
    <definedName name="PA_PR_NA_10" localSheetId="3">'[73]Top Lvl  Logic'!$G$10</definedName>
    <definedName name="PA_PR_NA_10" localSheetId="2">'[73]Top Lvl  Logic'!$G$10</definedName>
    <definedName name="PA_PR_NA_10" localSheetId="5">'[73]Top Lvl  Logic'!$G$10</definedName>
    <definedName name="PA_PR_NA_10" localSheetId="6">'[73]Top Lvl  Logic'!$G$10</definedName>
    <definedName name="PA_PR_NA_10" localSheetId="7">'[73]Top Lvl  Logic'!$G$10</definedName>
    <definedName name="PA_PR_NA_10" localSheetId="8">'[73]Top Lvl  Logic'!$G$10</definedName>
    <definedName name="PA_PR_NA_10" localSheetId="9">'[73]Top Lvl  Logic'!$G$10</definedName>
    <definedName name="PA_PR_NA_10" localSheetId="10">'[18]Top Lvl  Logic'!$G$10</definedName>
    <definedName name="PA_PR_NA_10">'[23]Top Lvl  Logic'!$G$10</definedName>
    <definedName name="PA_PRE" localSheetId="4">'[73]Top Lvl  Logic'!$D$9</definedName>
    <definedName name="PA_PRE" localSheetId="3">'[73]Top Lvl  Logic'!$D$9</definedName>
    <definedName name="PA_PRE" localSheetId="2">'[73]Top Lvl  Logic'!$D$9</definedName>
    <definedName name="PA_PRE" localSheetId="5">'[73]Top Lvl  Logic'!$D$9</definedName>
    <definedName name="PA_PRE" localSheetId="6">'[73]Top Lvl  Logic'!$D$9</definedName>
    <definedName name="PA_PRE" localSheetId="7">'[73]Top Lvl  Logic'!$D$9</definedName>
    <definedName name="PA_PRE" localSheetId="8">'[73]Top Lvl  Logic'!$D$9</definedName>
    <definedName name="PA_PRE" localSheetId="9">'[73]Top Lvl  Logic'!$D$9</definedName>
    <definedName name="PA_PRE" localSheetId="10">'[18]Top Lvl  Logic'!$D$9</definedName>
    <definedName name="PA_PRE">'[23]Top Lvl  Logic'!$D$9</definedName>
    <definedName name="PA_PRE_10" localSheetId="4">'[73]Top Lvl  Logic'!$D$9</definedName>
    <definedName name="PA_PRE_10" localSheetId="3">'[73]Top Lvl  Logic'!$D$9</definedName>
    <definedName name="PA_PRE_10" localSheetId="2">'[73]Top Lvl  Logic'!$D$9</definedName>
    <definedName name="PA_PRE_10" localSheetId="5">'[73]Top Lvl  Logic'!$D$9</definedName>
    <definedName name="PA_PRE_10" localSheetId="6">'[73]Top Lvl  Logic'!$D$9</definedName>
    <definedName name="PA_PRE_10" localSheetId="7">'[73]Top Lvl  Logic'!$D$9</definedName>
    <definedName name="PA_PRE_10" localSheetId="8">'[73]Top Lvl  Logic'!$D$9</definedName>
    <definedName name="PA_PRE_10" localSheetId="9">'[73]Top Lvl  Logic'!$D$9</definedName>
    <definedName name="PA_PRE_10" localSheetId="10">'[18]Top Lvl  Logic'!$D$9</definedName>
    <definedName name="PA_PRE_10">'[23]Top Lvl  Logic'!$D$9</definedName>
    <definedName name="PA_VA_01" localSheetId="4">'[73]Top Lvl  Logic'!$I$12</definedName>
    <definedName name="PA_VA_01" localSheetId="3">'[73]Top Lvl  Logic'!$I$12</definedName>
    <definedName name="PA_VA_01" localSheetId="2">'[73]Top Lvl  Logic'!$I$12</definedName>
    <definedName name="PA_VA_01" localSheetId="5">'[73]Top Lvl  Logic'!$I$12</definedName>
    <definedName name="PA_VA_01" localSheetId="6">'[73]Top Lvl  Logic'!$I$12</definedName>
    <definedName name="PA_VA_01" localSheetId="7">'[73]Top Lvl  Logic'!$I$12</definedName>
    <definedName name="PA_VA_01" localSheetId="8">'[73]Top Lvl  Logic'!$I$12</definedName>
    <definedName name="PA_VA_01" localSheetId="9">'[73]Top Lvl  Logic'!$I$12</definedName>
    <definedName name="PA_VA_01" localSheetId="10">'[18]Top Lvl  Logic'!$I$12</definedName>
    <definedName name="PA_VA_01">'[23]Top Lvl  Logic'!$I$12</definedName>
    <definedName name="PA_VA_01_10" localSheetId="4">'[73]Top Lvl  Logic'!$I$12</definedName>
    <definedName name="PA_VA_01_10" localSheetId="3">'[73]Top Lvl  Logic'!$I$12</definedName>
    <definedName name="PA_VA_01_10" localSheetId="2">'[73]Top Lvl  Logic'!$I$12</definedName>
    <definedName name="PA_VA_01_10" localSheetId="5">'[73]Top Lvl  Logic'!$I$12</definedName>
    <definedName name="PA_VA_01_10" localSheetId="6">'[73]Top Lvl  Logic'!$I$12</definedName>
    <definedName name="PA_VA_01_10" localSheetId="7">'[73]Top Lvl  Logic'!$I$12</definedName>
    <definedName name="PA_VA_01_10" localSheetId="8">'[73]Top Lvl  Logic'!$I$12</definedName>
    <definedName name="PA_VA_01_10" localSheetId="9">'[73]Top Lvl  Logic'!$I$12</definedName>
    <definedName name="PA_VA_01_10" localSheetId="10">'[18]Top Lvl  Logic'!$I$12</definedName>
    <definedName name="PA_VA_01_10">'[23]Top Lvl  Logic'!$I$12</definedName>
    <definedName name="PA_VA_12" localSheetId="4">'[73]Top Lvl  Logic'!$J$12</definedName>
    <definedName name="PA_VA_12" localSheetId="3">'[73]Top Lvl  Logic'!$J$12</definedName>
    <definedName name="PA_VA_12" localSheetId="2">'[73]Top Lvl  Logic'!$J$12</definedName>
    <definedName name="PA_VA_12" localSheetId="5">'[73]Top Lvl  Logic'!$J$12</definedName>
    <definedName name="PA_VA_12" localSheetId="6">'[73]Top Lvl  Logic'!$J$12</definedName>
    <definedName name="PA_VA_12" localSheetId="7">'[73]Top Lvl  Logic'!$J$12</definedName>
    <definedName name="PA_VA_12" localSheetId="8">'[73]Top Lvl  Logic'!$J$12</definedName>
    <definedName name="PA_VA_12" localSheetId="9">'[73]Top Lvl  Logic'!$J$12</definedName>
    <definedName name="PA_VA_12" localSheetId="10">'[18]Top Lvl  Logic'!$J$12</definedName>
    <definedName name="PA_VA_12">'[23]Top Lvl  Logic'!$J$12</definedName>
    <definedName name="PA_VA_12_10" localSheetId="4">'[73]Top Lvl  Logic'!$J$12</definedName>
    <definedName name="PA_VA_12_10" localSheetId="3">'[73]Top Lvl  Logic'!$J$12</definedName>
    <definedName name="PA_VA_12_10" localSheetId="2">'[73]Top Lvl  Logic'!$J$12</definedName>
    <definedName name="PA_VA_12_10" localSheetId="5">'[73]Top Lvl  Logic'!$J$12</definedName>
    <definedName name="PA_VA_12_10" localSheetId="6">'[73]Top Lvl  Logic'!$J$12</definedName>
    <definedName name="PA_VA_12_10" localSheetId="7">'[73]Top Lvl  Logic'!$J$12</definedName>
    <definedName name="PA_VA_12_10" localSheetId="8">'[73]Top Lvl  Logic'!$J$12</definedName>
    <definedName name="PA_VA_12_10" localSheetId="9">'[73]Top Lvl  Logic'!$J$12</definedName>
    <definedName name="PA_VA_12_10" localSheetId="10">'[18]Top Lvl  Logic'!$J$12</definedName>
    <definedName name="PA_VA_12_10">'[23]Top Lvl  Logic'!$J$12</definedName>
    <definedName name="PA_VA_23" localSheetId="4">'[73]Top Lvl  Logic'!$K$12</definedName>
    <definedName name="PA_VA_23" localSheetId="3">'[73]Top Lvl  Logic'!$K$12</definedName>
    <definedName name="PA_VA_23" localSheetId="2">'[73]Top Lvl  Logic'!$K$12</definedName>
    <definedName name="PA_VA_23" localSheetId="5">'[73]Top Lvl  Logic'!$K$12</definedName>
    <definedName name="PA_VA_23" localSheetId="6">'[73]Top Lvl  Logic'!$K$12</definedName>
    <definedName name="PA_VA_23" localSheetId="7">'[73]Top Lvl  Logic'!$K$12</definedName>
    <definedName name="PA_VA_23" localSheetId="8">'[73]Top Lvl  Logic'!$K$12</definedName>
    <definedName name="PA_VA_23" localSheetId="9">'[73]Top Lvl  Logic'!$K$12</definedName>
    <definedName name="PA_VA_23" localSheetId="10">'[18]Top Lvl  Logic'!$K$12</definedName>
    <definedName name="PA_VA_23">'[23]Top Lvl  Logic'!$K$12</definedName>
    <definedName name="PA_VA_23_10" localSheetId="4">'[73]Top Lvl  Logic'!$K$12</definedName>
    <definedName name="PA_VA_23_10" localSheetId="3">'[73]Top Lvl  Logic'!$K$12</definedName>
    <definedName name="PA_VA_23_10" localSheetId="2">'[73]Top Lvl  Logic'!$K$12</definedName>
    <definedName name="PA_VA_23_10" localSheetId="5">'[73]Top Lvl  Logic'!$K$12</definedName>
    <definedName name="PA_VA_23_10" localSheetId="6">'[73]Top Lvl  Logic'!$K$12</definedName>
    <definedName name="PA_VA_23_10" localSheetId="7">'[73]Top Lvl  Logic'!$K$12</definedName>
    <definedName name="PA_VA_23_10" localSheetId="8">'[73]Top Lvl  Logic'!$K$12</definedName>
    <definedName name="PA_VA_23_10" localSheetId="9">'[73]Top Lvl  Logic'!$K$12</definedName>
    <definedName name="PA_VA_23_10" localSheetId="10">'[18]Top Lvl  Logic'!$K$12</definedName>
    <definedName name="PA_VA_23_10">'[23]Top Lvl  Logic'!$K$12</definedName>
    <definedName name="PA_VA_34" localSheetId="4">'[73]Top Lvl  Logic'!$L$12</definedName>
    <definedName name="PA_VA_34" localSheetId="3">'[73]Top Lvl  Logic'!$L$12</definedName>
    <definedName name="PA_VA_34" localSheetId="2">'[73]Top Lvl  Logic'!$L$12</definedName>
    <definedName name="PA_VA_34" localSheetId="5">'[73]Top Lvl  Logic'!$L$12</definedName>
    <definedName name="PA_VA_34" localSheetId="6">'[73]Top Lvl  Logic'!$L$12</definedName>
    <definedName name="PA_VA_34" localSheetId="7">'[73]Top Lvl  Logic'!$L$12</definedName>
    <definedName name="PA_VA_34" localSheetId="8">'[73]Top Lvl  Logic'!$L$12</definedName>
    <definedName name="PA_VA_34" localSheetId="9">'[73]Top Lvl  Logic'!$L$12</definedName>
    <definedName name="PA_VA_34" localSheetId="10">'[18]Top Lvl  Logic'!$L$12</definedName>
    <definedName name="PA_VA_34">'[23]Top Lvl  Logic'!$L$12</definedName>
    <definedName name="PA_VA_34_10" localSheetId="4">'[73]Top Lvl  Logic'!$L$12</definedName>
    <definedName name="PA_VA_34_10" localSheetId="3">'[73]Top Lvl  Logic'!$L$12</definedName>
    <definedName name="PA_VA_34_10" localSheetId="2">'[73]Top Lvl  Logic'!$L$12</definedName>
    <definedName name="PA_VA_34_10" localSheetId="5">'[73]Top Lvl  Logic'!$L$12</definedName>
    <definedName name="PA_VA_34_10" localSheetId="6">'[73]Top Lvl  Logic'!$L$12</definedName>
    <definedName name="PA_VA_34_10" localSheetId="7">'[73]Top Lvl  Logic'!$L$12</definedName>
    <definedName name="PA_VA_34_10" localSheetId="8">'[73]Top Lvl  Logic'!$L$12</definedName>
    <definedName name="PA_VA_34_10" localSheetId="9">'[73]Top Lvl  Logic'!$L$12</definedName>
    <definedName name="PA_VA_34_10" localSheetId="10">'[18]Top Lvl  Logic'!$L$12</definedName>
    <definedName name="PA_VA_34_10">'[23]Top Lvl  Logic'!$L$12</definedName>
    <definedName name="PA_VA_45" localSheetId="4">'[73]Top Lvl  Logic'!$M$12</definedName>
    <definedName name="PA_VA_45" localSheetId="3">'[73]Top Lvl  Logic'!$M$12</definedName>
    <definedName name="PA_VA_45" localSheetId="2">'[73]Top Lvl  Logic'!$M$12</definedName>
    <definedName name="PA_VA_45" localSheetId="5">'[73]Top Lvl  Logic'!$M$12</definedName>
    <definedName name="PA_VA_45" localSheetId="6">'[73]Top Lvl  Logic'!$M$12</definedName>
    <definedName name="PA_VA_45" localSheetId="7">'[73]Top Lvl  Logic'!$M$12</definedName>
    <definedName name="PA_VA_45" localSheetId="8">'[73]Top Lvl  Logic'!$M$12</definedName>
    <definedName name="PA_VA_45" localSheetId="9">'[73]Top Lvl  Logic'!$M$12</definedName>
    <definedName name="PA_VA_45" localSheetId="10">'[18]Top Lvl  Logic'!$M$12</definedName>
    <definedName name="PA_VA_45">'[23]Top Lvl  Logic'!$M$12</definedName>
    <definedName name="PA_VA_45_10" localSheetId="4">'[73]Top Lvl  Logic'!$M$12</definedName>
    <definedName name="PA_VA_45_10" localSheetId="3">'[73]Top Lvl  Logic'!$M$12</definedName>
    <definedName name="PA_VA_45_10" localSheetId="2">'[73]Top Lvl  Logic'!$M$12</definedName>
    <definedName name="PA_VA_45_10" localSheetId="5">'[73]Top Lvl  Logic'!$M$12</definedName>
    <definedName name="PA_VA_45_10" localSheetId="6">'[73]Top Lvl  Logic'!$M$12</definedName>
    <definedName name="PA_VA_45_10" localSheetId="7">'[73]Top Lvl  Logic'!$M$12</definedName>
    <definedName name="PA_VA_45_10" localSheetId="8">'[73]Top Lvl  Logic'!$M$12</definedName>
    <definedName name="PA_VA_45_10" localSheetId="9">'[73]Top Lvl  Logic'!$M$12</definedName>
    <definedName name="PA_VA_45_10" localSheetId="10">'[18]Top Lvl  Logic'!$M$12</definedName>
    <definedName name="PA_VA_45_10">'[23]Top Lvl  Logic'!$M$12</definedName>
    <definedName name="PA_VA_56" localSheetId="4">'[73]Top Lvl  Logic'!$N$12</definedName>
    <definedName name="PA_VA_56" localSheetId="3">'[73]Top Lvl  Logic'!$N$12</definedName>
    <definedName name="PA_VA_56" localSheetId="2">'[73]Top Lvl  Logic'!$N$12</definedName>
    <definedName name="PA_VA_56" localSheetId="5">'[73]Top Lvl  Logic'!$N$12</definedName>
    <definedName name="PA_VA_56" localSheetId="6">'[73]Top Lvl  Logic'!$N$12</definedName>
    <definedName name="PA_VA_56" localSheetId="7">'[73]Top Lvl  Logic'!$N$12</definedName>
    <definedName name="PA_VA_56" localSheetId="8">'[73]Top Lvl  Logic'!$N$12</definedName>
    <definedName name="PA_VA_56" localSheetId="9">'[73]Top Lvl  Logic'!$N$12</definedName>
    <definedName name="PA_VA_56" localSheetId="10">'[18]Top Lvl  Logic'!$N$12</definedName>
    <definedName name="PA_VA_56">'[23]Top Lvl  Logic'!$N$12</definedName>
    <definedName name="PA_VA_56_10" localSheetId="4">'[73]Top Lvl  Logic'!$N$12</definedName>
    <definedName name="PA_VA_56_10" localSheetId="3">'[73]Top Lvl  Logic'!$N$12</definedName>
    <definedName name="PA_VA_56_10" localSheetId="2">'[73]Top Lvl  Logic'!$N$12</definedName>
    <definedName name="PA_VA_56_10" localSheetId="5">'[73]Top Lvl  Logic'!$N$12</definedName>
    <definedName name="PA_VA_56_10" localSheetId="6">'[73]Top Lvl  Logic'!$N$12</definedName>
    <definedName name="PA_VA_56_10" localSheetId="7">'[73]Top Lvl  Logic'!$N$12</definedName>
    <definedName name="PA_VA_56_10" localSheetId="8">'[73]Top Lvl  Logic'!$N$12</definedName>
    <definedName name="PA_VA_56_10" localSheetId="9">'[73]Top Lvl  Logic'!$N$12</definedName>
    <definedName name="PA_VA_56_10" localSheetId="10">'[18]Top Lvl  Logic'!$N$12</definedName>
    <definedName name="PA_VA_56_10">'[23]Top Lvl  Logic'!$N$12</definedName>
    <definedName name="PA_VA_G6" localSheetId="4">'[73]Top Lvl  Logic'!$O$12</definedName>
    <definedName name="PA_VA_G6" localSheetId="3">'[73]Top Lvl  Logic'!$O$12</definedName>
    <definedName name="PA_VA_G6" localSheetId="2">'[73]Top Lvl  Logic'!$O$12</definedName>
    <definedName name="PA_VA_G6" localSheetId="5">'[73]Top Lvl  Logic'!$O$12</definedName>
    <definedName name="PA_VA_G6" localSheetId="6">'[73]Top Lvl  Logic'!$O$12</definedName>
    <definedName name="PA_VA_G6" localSheetId="7">'[73]Top Lvl  Logic'!$O$12</definedName>
    <definedName name="PA_VA_G6" localSheetId="8">'[73]Top Lvl  Logic'!$O$12</definedName>
    <definedName name="PA_VA_G6" localSheetId="9">'[73]Top Lvl  Logic'!$O$12</definedName>
    <definedName name="PA_VA_G6" localSheetId="10">'[18]Top Lvl  Logic'!$O$12</definedName>
    <definedName name="PA_VA_G6">'[23]Top Lvl  Logic'!$O$12</definedName>
    <definedName name="PA_VA_G6_10" localSheetId="4">'[73]Top Lvl  Logic'!$O$12</definedName>
    <definedName name="PA_VA_G6_10" localSheetId="3">'[73]Top Lvl  Logic'!$O$12</definedName>
    <definedName name="PA_VA_G6_10" localSheetId="2">'[73]Top Lvl  Logic'!$O$12</definedName>
    <definedName name="PA_VA_G6_10" localSheetId="5">'[73]Top Lvl  Logic'!$O$12</definedName>
    <definedName name="PA_VA_G6_10" localSheetId="6">'[73]Top Lvl  Logic'!$O$12</definedName>
    <definedName name="PA_VA_G6_10" localSheetId="7">'[73]Top Lvl  Logic'!$O$12</definedName>
    <definedName name="PA_VA_G6_10" localSheetId="8">'[73]Top Lvl  Logic'!$O$12</definedName>
    <definedName name="PA_VA_G6_10" localSheetId="9">'[73]Top Lvl  Logic'!$O$12</definedName>
    <definedName name="PA_VA_G6_10" localSheetId="10">'[18]Top Lvl  Logic'!$O$12</definedName>
    <definedName name="PA_VA_G6_10">'[23]Top Lvl  Logic'!$O$12</definedName>
    <definedName name="PA_VA_L0" localSheetId="4">'[73]Top Lvl  Logic'!$H$12</definedName>
    <definedName name="PA_VA_L0" localSheetId="3">'[73]Top Lvl  Logic'!$H$12</definedName>
    <definedName name="PA_VA_L0" localSheetId="2">'[73]Top Lvl  Logic'!$H$12</definedName>
    <definedName name="PA_VA_L0" localSheetId="5">'[73]Top Lvl  Logic'!$H$12</definedName>
    <definedName name="PA_VA_L0" localSheetId="6">'[73]Top Lvl  Logic'!$H$12</definedName>
    <definedName name="PA_VA_L0" localSheetId="7">'[73]Top Lvl  Logic'!$H$12</definedName>
    <definedName name="PA_VA_L0" localSheetId="8">'[73]Top Lvl  Logic'!$H$12</definedName>
    <definedName name="PA_VA_L0" localSheetId="9">'[73]Top Lvl  Logic'!$H$12</definedName>
    <definedName name="PA_VA_L0" localSheetId="10">'[18]Top Lvl  Logic'!$H$12</definedName>
    <definedName name="PA_VA_L0">'[23]Top Lvl  Logic'!$H$12</definedName>
    <definedName name="PA_VA_L0_10" localSheetId="4">'[73]Top Lvl  Logic'!$H$12</definedName>
    <definedName name="PA_VA_L0_10" localSheetId="3">'[73]Top Lvl  Logic'!$H$12</definedName>
    <definedName name="PA_VA_L0_10" localSheetId="2">'[73]Top Lvl  Logic'!$H$12</definedName>
    <definedName name="PA_VA_L0_10" localSheetId="5">'[73]Top Lvl  Logic'!$H$12</definedName>
    <definedName name="PA_VA_L0_10" localSheetId="6">'[73]Top Lvl  Logic'!$H$12</definedName>
    <definedName name="PA_VA_L0_10" localSheetId="7">'[73]Top Lvl  Logic'!$H$12</definedName>
    <definedName name="PA_VA_L0_10" localSheetId="8">'[73]Top Lvl  Logic'!$H$12</definedName>
    <definedName name="PA_VA_L0_10" localSheetId="9">'[73]Top Lvl  Logic'!$H$12</definedName>
    <definedName name="PA_VA_L0_10" localSheetId="10">'[18]Top Lvl  Logic'!$H$12</definedName>
    <definedName name="PA_VA_L0_10">'[23]Top Lvl  Logic'!$H$12</definedName>
    <definedName name="PA_VA_NA" localSheetId="4">'[73]Top Lvl  Logic'!$G$12</definedName>
    <definedName name="PA_VA_NA" localSheetId="3">'[73]Top Lvl  Logic'!$G$12</definedName>
    <definedName name="PA_VA_NA" localSheetId="2">'[73]Top Lvl  Logic'!$G$12</definedName>
    <definedName name="PA_VA_NA" localSheetId="5">'[73]Top Lvl  Logic'!$G$12</definedName>
    <definedName name="PA_VA_NA" localSheetId="6">'[73]Top Lvl  Logic'!$G$12</definedName>
    <definedName name="PA_VA_NA" localSheetId="7">'[73]Top Lvl  Logic'!$G$12</definedName>
    <definedName name="PA_VA_NA" localSheetId="8">'[73]Top Lvl  Logic'!$G$12</definedName>
    <definedName name="PA_VA_NA" localSheetId="9">'[73]Top Lvl  Logic'!$G$12</definedName>
    <definedName name="PA_VA_NA" localSheetId="10">'[18]Top Lvl  Logic'!$G$12</definedName>
    <definedName name="PA_VA_NA">'[23]Top Lvl  Logic'!$G$12</definedName>
    <definedName name="PA_VA_NA_10" localSheetId="4">'[73]Top Lvl  Logic'!$G$12</definedName>
    <definedName name="PA_VA_NA_10" localSheetId="3">'[73]Top Lvl  Logic'!$G$12</definedName>
    <definedName name="PA_VA_NA_10" localSheetId="2">'[73]Top Lvl  Logic'!$G$12</definedName>
    <definedName name="PA_VA_NA_10" localSheetId="5">'[73]Top Lvl  Logic'!$G$12</definedName>
    <definedName name="PA_VA_NA_10" localSheetId="6">'[73]Top Lvl  Logic'!$G$12</definedName>
    <definedName name="PA_VA_NA_10" localSheetId="7">'[73]Top Lvl  Logic'!$G$12</definedName>
    <definedName name="PA_VA_NA_10" localSheetId="8">'[73]Top Lvl  Logic'!$G$12</definedName>
    <definedName name="PA_VA_NA_10" localSheetId="9">'[73]Top Lvl  Logic'!$G$12</definedName>
    <definedName name="PA_VA_NA_10" localSheetId="10">'[18]Top Lvl  Logic'!$G$12</definedName>
    <definedName name="PA_VA_NA_10">'[23]Top Lvl  Logic'!$G$12</definedName>
    <definedName name="PA_VAL" localSheetId="4">'[73]Top Lvl  Logic'!$D$11</definedName>
    <definedName name="PA_VAL" localSheetId="3">'[73]Top Lvl  Logic'!$D$11</definedName>
    <definedName name="PA_VAL" localSheetId="2">'[73]Top Lvl  Logic'!$D$11</definedName>
    <definedName name="PA_VAL" localSheetId="5">'[73]Top Lvl  Logic'!$D$11</definedName>
    <definedName name="PA_VAL" localSheetId="6">'[73]Top Lvl  Logic'!$D$11</definedName>
    <definedName name="PA_VAL" localSheetId="7">'[73]Top Lvl  Logic'!$D$11</definedName>
    <definedName name="PA_VAL" localSheetId="8">'[73]Top Lvl  Logic'!$D$11</definedName>
    <definedName name="PA_VAL" localSheetId="9">'[73]Top Lvl  Logic'!$D$11</definedName>
    <definedName name="PA_VAL" localSheetId="10">'[18]Top Lvl  Logic'!$D$11</definedName>
    <definedName name="PA_VAL">'[23]Top Lvl  Logic'!$D$11</definedName>
    <definedName name="PA_VAL_10" localSheetId="4">'[73]Top Lvl  Logic'!$D$11</definedName>
    <definedName name="PA_VAL_10" localSheetId="3">'[73]Top Lvl  Logic'!$D$11</definedName>
    <definedName name="PA_VAL_10" localSheetId="2">'[73]Top Lvl  Logic'!$D$11</definedName>
    <definedName name="PA_VAL_10" localSheetId="5">'[73]Top Lvl  Logic'!$D$11</definedName>
    <definedName name="PA_VAL_10" localSheetId="6">'[73]Top Lvl  Logic'!$D$11</definedName>
    <definedName name="PA_VAL_10" localSheetId="7">'[73]Top Lvl  Logic'!$D$11</definedName>
    <definedName name="PA_VAL_10" localSheetId="8">'[73]Top Lvl  Logic'!$D$11</definedName>
    <definedName name="PA_VAL_10" localSheetId="9">'[73]Top Lvl  Logic'!$D$11</definedName>
    <definedName name="PA_VAL_10" localSheetId="10">'[18]Top Lvl  Logic'!$D$11</definedName>
    <definedName name="PA_VAL_10">'[23]Top Lvl  Logic'!$D$11</definedName>
    <definedName name="PACK" localSheetId="4">#REF!</definedName>
    <definedName name="PACK" localSheetId="3">#REF!</definedName>
    <definedName name="PACK" localSheetId="2">#REF!</definedName>
    <definedName name="PACK" localSheetId="5">#REF!</definedName>
    <definedName name="PACK" localSheetId="6">#REF!</definedName>
    <definedName name="PACK" localSheetId="7">#REF!</definedName>
    <definedName name="PACK" localSheetId="8">#REF!</definedName>
    <definedName name="PACK" localSheetId="9">#REF!</definedName>
    <definedName name="PACK" localSheetId="10">#REF!</definedName>
    <definedName name="PACK" localSheetId="11">#REF!</definedName>
    <definedName name="PACK">#REF!</definedName>
    <definedName name="paco" localSheetId="4" hidden="1">{#N/A,#N/A,TRUE,"Distribution";#N/A,#N/A,TRUE,"Fulfillment";#N/A,#N/A,TRUE,"Aged Backorders"}</definedName>
    <definedName name="paco" localSheetId="3" hidden="1">{#N/A,#N/A,TRUE,"Distribution";#N/A,#N/A,TRUE,"Fulfillment";#N/A,#N/A,TRUE,"Aged Backorders"}</definedName>
    <definedName name="paco" localSheetId="2" hidden="1">{#N/A,#N/A,TRUE,"Distribution";#N/A,#N/A,TRUE,"Fulfillment";#N/A,#N/A,TRUE,"Aged Backorders"}</definedName>
    <definedName name="paco" localSheetId="8" hidden="1">{#N/A,#N/A,TRUE,"Distribution";#N/A,#N/A,TRUE,"Fulfillment";#N/A,#N/A,TRUE,"Aged Backorders"}</definedName>
    <definedName name="paco" localSheetId="9" hidden="1">{#N/A,#N/A,TRUE,"Distribution";#N/A,#N/A,TRUE,"Fulfillment";#N/A,#N/A,TRUE,"Aged Backorders"}</definedName>
    <definedName name="paco" localSheetId="10" hidden="1">{#N/A,#N/A,TRUE,"Distribution";#N/A,#N/A,TRUE,"Fulfillment";#N/A,#N/A,TRUE,"Aged Backorders"}</definedName>
    <definedName name="paco" hidden="1">{#N/A,#N/A,TRUE,"Distribution";#N/A,#N/A,TRUE,"Fulfillment";#N/A,#N/A,TRUE,"Aged Backorders"}</definedName>
    <definedName name="PAGE1" localSheetId="4">#REF!</definedName>
    <definedName name="PAGE1" localSheetId="3">#REF!</definedName>
    <definedName name="PAGE1" localSheetId="2">#REF!</definedName>
    <definedName name="PAGE1" localSheetId="5">#REF!</definedName>
    <definedName name="PAGE1" localSheetId="6">#REF!</definedName>
    <definedName name="PAGE1" localSheetId="7">#REF!</definedName>
    <definedName name="PAGE1" localSheetId="8">#REF!</definedName>
    <definedName name="PAGE1" localSheetId="9">#REF!</definedName>
    <definedName name="PAGE1" localSheetId="10">#REF!</definedName>
    <definedName name="PAGE1" localSheetId="11">#REF!</definedName>
    <definedName name="PAGE1">#REF!</definedName>
    <definedName name="pajaro" localSheetId="4" hidden="1">{#N/A,#N/A,TRUE,"Distribution";#N/A,#N/A,TRUE,"Fulfillment";#N/A,#N/A,TRUE,"Aged Backorders"}</definedName>
    <definedName name="pajaro" localSheetId="3" hidden="1">{#N/A,#N/A,TRUE,"Distribution";#N/A,#N/A,TRUE,"Fulfillment";#N/A,#N/A,TRUE,"Aged Backorders"}</definedName>
    <definedName name="pajaro" localSheetId="2" hidden="1">{#N/A,#N/A,TRUE,"Distribution";#N/A,#N/A,TRUE,"Fulfillment";#N/A,#N/A,TRUE,"Aged Backorders"}</definedName>
    <definedName name="pajaro" localSheetId="8" hidden="1">{#N/A,#N/A,TRUE,"Distribution";#N/A,#N/A,TRUE,"Fulfillment";#N/A,#N/A,TRUE,"Aged Backorders"}</definedName>
    <definedName name="pajaro" localSheetId="9" hidden="1">{#N/A,#N/A,TRUE,"Distribution";#N/A,#N/A,TRUE,"Fulfillment";#N/A,#N/A,TRUE,"Aged Backorders"}</definedName>
    <definedName name="pajaro" localSheetId="10" hidden="1">{#N/A,#N/A,TRUE,"Distribution";#N/A,#N/A,TRUE,"Fulfillment";#N/A,#N/A,TRUE,"Aged Backorders"}</definedName>
    <definedName name="pajaro" hidden="1">{#N/A,#N/A,TRUE,"Distribution";#N/A,#N/A,TRUE,"Fulfillment";#N/A,#N/A,TRUE,"Aged Backorders"}</definedName>
    <definedName name="PART" localSheetId="10">'[93]10. Thermal Limiter Test'!$A$4:$A$50</definedName>
    <definedName name="PART">'[55]10. Thermal Limiter Test'!$A$4:$A$50</definedName>
    <definedName name="PartionS" localSheetId="4">#REF!</definedName>
    <definedName name="PartionS" localSheetId="3">#REF!</definedName>
    <definedName name="PartionS" localSheetId="2">#REF!</definedName>
    <definedName name="PartionS" localSheetId="5">#REF!</definedName>
    <definedName name="PartionS" localSheetId="6">#REF!</definedName>
    <definedName name="PartionS" localSheetId="7">#REF!</definedName>
    <definedName name="PartionS" localSheetId="8">#REF!</definedName>
    <definedName name="PartionS" localSheetId="9">#REF!</definedName>
    <definedName name="PartionS" localSheetId="10">#REF!</definedName>
    <definedName name="PartionS" localSheetId="11">#REF!</definedName>
    <definedName name="PartionS">#REF!</definedName>
    <definedName name="PartitionL" localSheetId="4">[37]Spec!$B$48:$F$50</definedName>
    <definedName name="PartitionL" localSheetId="3">[37]Spec!$B$48:$F$50</definedName>
    <definedName name="PartitionL" localSheetId="2">[37]Spec!$B$48:$F$50</definedName>
    <definedName name="PartitionL" localSheetId="5">[37]Spec!$B$48:$F$50</definedName>
    <definedName name="PartitionL" localSheetId="6">[37]Spec!$B$48:$F$50</definedName>
    <definedName name="PartitionL" localSheetId="7">[37]Spec!$B$48:$F$50</definedName>
    <definedName name="PartitionL" localSheetId="8">[37]Spec!$B$48:$F$50</definedName>
    <definedName name="PartitionL" localSheetId="9">[37]Spec!$B$48:$F$50</definedName>
    <definedName name="PartitionL" localSheetId="10">[22]Spec!$B$48:$F$50</definedName>
    <definedName name="PartitionL">[29]Spec!$B$48:$F$50</definedName>
    <definedName name="PartitionS" localSheetId="4">[37]Spec!$B$43:$F$45</definedName>
    <definedName name="PartitionS" localSheetId="3">[37]Spec!$B$43:$F$45</definedName>
    <definedName name="PartitionS" localSheetId="2">[37]Spec!$B$43:$F$45</definedName>
    <definedName name="PartitionS" localSheetId="5">[37]Spec!$B$43:$F$45</definedName>
    <definedName name="PartitionS" localSheetId="6">[37]Spec!$B$43:$F$45</definedName>
    <definedName name="PartitionS" localSheetId="7">[37]Spec!$B$43:$F$45</definedName>
    <definedName name="PartitionS" localSheetId="8">[37]Spec!$B$43:$F$45</definedName>
    <definedName name="PartitionS" localSheetId="9">[37]Spec!$B$43:$F$45</definedName>
    <definedName name="PartitionS" localSheetId="10">[22]Spec!$B$43:$F$45</definedName>
    <definedName name="PartitionS">[29]Spec!$B$43:$F$45</definedName>
    <definedName name="PartName" localSheetId="10">'[49]LRR Summary'!$F$12</definedName>
    <definedName name="PartName">'[57]LRR Summary'!$F$12</definedName>
    <definedName name="PartNumber" localSheetId="10">'[49]LRR Summary'!$F$14</definedName>
    <definedName name="PartNumber">'[57]LRR Summary'!$F$14</definedName>
    <definedName name="Parts_DPU" localSheetId="4">[73]SUMMARY!$C$6</definedName>
    <definedName name="Parts_DPU" localSheetId="3">[73]SUMMARY!$C$6</definedName>
    <definedName name="Parts_DPU" localSheetId="2">[73]SUMMARY!$C$6</definedName>
    <definedName name="Parts_DPU" localSheetId="5">[73]SUMMARY!$C$6</definedName>
    <definedName name="Parts_DPU" localSheetId="6">[73]SUMMARY!$C$6</definedName>
    <definedName name="Parts_DPU" localSheetId="7">[73]SUMMARY!$C$6</definedName>
    <definedName name="Parts_DPU" localSheetId="8">[73]SUMMARY!$C$6</definedName>
    <definedName name="Parts_DPU" localSheetId="9">[73]SUMMARY!$C$6</definedName>
    <definedName name="Parts_DPU" localSheetId="10">[18]Summary!$C$6</definedName>
    <definedName name="Parts_DPU">[23]Summary!$C$6</definedName>
    <definedName name="Parts_DPU_10" localSheetId="4">[73]SUMMARY!$C$6</definedName>
    <definedName name="Parts_DPU_10" localSheetId="3">[73]SUMMARY!$C$6</definedName>
    <definedName name="Parts_DPU_10" localSheetId="2">[73]SUMMARY!$C$6</definedName>
    <definedName name="Parts_DPU_10" localSheetId="5">[73]SUMMARY!$C$6</definedName>
    <definedName name="Parts_DPU_10" localSheetId="6">[73]SUMMARY!$C$6</definedName>
    <definedName name="Parts_DPU_10" localSheetId="7">[73]SUMMARY!$C$6</definedName>
    <definedName name="Parts_DPU_10" localSheetId="8">[73]SUMMARY!$C$6</definedName>
    <definedName name="Parts_DPU_10" localSheetId="9">[73]SUMMARY!$C$6</definedName>
    <definedName name="Parts_DPU_10" localSheetId="10">[18]Summary!$C$6</definedName>
    <definedName name="Parts_DPU_10">[23]Summary!$C$6</definedName>
    <definedName name="Parts_M" localSheetId="4">[73]SUMMARY!$F$6</definedName>
    <definedName name="Parts_M" localSheetId="3">[73]SUMMARY!$F$6</definedName>
    <definedName name="Parts_M" localSheetId="2">[73]SUMMARY!$F$6</definedName>
    <definedName name="Parts_M" localSheetId="5">[73]SUMMARY!$F$6</definedName>
    <definedName name="Parts_M" localSheetId="6">[73]SUMMARY!$F$6</definedName>
    <definedName name="Parts_M" localSheetId="7">[73]SUMMARY!$F$6</definedName>
    <definedName name="Parts_M" localSheetId="8">[73]SUMMARY!$F$6</definedName>
    <definedName name="Parts_M" localSheetId="9">[73]SUMMARY!$F$6</definedName>
    <definedName name="Parts_M" localSheetId="10">[18]Summary!$F$6</definedName>
    <definedName name="Parts_M">[23]Summary!$F$6</definedName>
    <definedName name="Parts_M_10" localSheetId="4">[73]SUMMARY!$F$6</definedName>
    <definedName name="Parts_M_10" localSheetId="3">[73]SUMMARY!$F$6</definedName>
    <definedName name="Parts_M_10" localSheetId="2">[73]SUMMARY!$F$6</definedName>
    <definedName name="Parts_M_10" localSheetId="5">[73]SUMMARY!$F$6</definedName>
    <definedName name="Parts_M_10" localSheetId="6">[73]SUMMARY!$F$6</definedName>
    <definedName name="Parts_M_10" localSheetId="7">[73]SUMMARY!$F$6</definedName>
    <definedName name="Parts_M_10" localSheetId="8">[73]SUMMARY!$F$6</definedName>
    <definedName name="Parts_M_10" localSheetId="9">[73]SUMMARY!$F$6</definedName>
    <definedName name="Parts_M_10" localSheetId="10">[18]Summary!$F$6</definedName>
    <definedName name="Parts_M_10">[23]Summary!$F$6</definedName>
    <definedName name="Parts_M_Opp" localSheetId="4">[73]SUMMARY!$H$6</definedName>
    <definedName name="Parts_M_Opp" localSheetId="3">[73]SUMMARY!$H$6</definedName>
    <definedName name="Parts_M_Opp" localSheetId="2">[73]SUMMARY!$H$6</definedName>
    <definedName name="Parts_M_Opp" localSheetId="5">[73]SUMMARY!$H$6</definedName>
    <definedName name="Parts_M_Opp" localSheetId="6">[73]SUMMARY!$H$6</definedName>
    <definedName name="Parts_M_Opp" localSheetId="7">[73]SUMMARY!$H$6</definedName>
    <definedName name="Parts_M_Opp" localSheetId="8">[73]SUMMARY!$H$6</definedName>
    <definedName name="Parts_M_Opp" localSheetId="9">[73]SUMMARY!$H$6</definedName>
    <definedName name="Parts_M_Opp" localSheetId="10">[18]Summary!$H$6</definedName>
    <definedName name="Parts_M_Opp">[23]Summary!$H$6</definedName>
    <definedName name="Parts_M_Opp_10" localSheetId="4">[73]SUMMARY!$H$6</definedName>
    <definedName name="Parts_M_Opp_10" localSheetId="3">[73]SUMMARY!$H$6</definedName>
    <definedName name="Parts_M_Opp_10" localSheetId="2">[73]SUMMARY!$H$6</definedName>
    <definedName name="Parts_M_Opp_10" localSheetId="5">[73]SUMMARY!$H$6</definedName>
    <definedName name="Parts_M_Opp_10" localSheetId="6">[73]SUMMARY!$H$6</definedName>
    <definedName name="Parts_M_Opp_10" localSheetId="7">[73]SUMMARY!$H$6</definedName>
    <definedName name="Parts_M_Opp_10" localSheetId="8">[73]SUMMARY!$H$6</definedName>
    <definedName name="Parts_M_Opp_10" localSheetId="9">[73]SUMMARY!$H$6</definedName>
    <definedName name="Parts_M_Opp_10" localSheetId="10">[18]Summary!$H$6</definedName>
    <definedName name="Parts_M_Opp_10">[23]Summary!$H$6</definedName>
    <definedName name="Parts_Name" localSheetId="4">[73]Parts!$B$5</definedName>
    <definedName name="Parts_Name" localSheetId="3">[73]Parts!$B$5</definedName>
    <definedName name="Parts_Name" localSheetId="2">[73]Parts!$B$5</definedName>
    <definedName name="Parts_Name" localSheetId="5">[73]Parts!$B$5</definedName>
    <definedName name="Parts_Name" localSheetId="6">[73]Parts!$B$5</definedName>
    <definedName name="Parts_Name" localSheetId="7">[73]Parts!$B$5</definedName>
    <definedName name="Parts_Name" localSheetId="8">[73]Parts!$B$5</definedName>
    <definedName name="Parts_Name" localSheetId="9">[73]Parts!$B$5</definedName>
    <definedName name="Parts_Name" localSheetId="10">[18]Parts!$B$5</definedName>
    <definedName name="Parts_Name">[23]Parts!$B$5</definedName>
    <definedName name="Parts_Name_10" localSheetId="4">[73]Parts!$B$5</definedName>
    <definedName name="Parts_Name_10" localSheetId="3">[73]Parts!$B$5</definedName>
    <definedName name="Parts_Name_10" localSheetId="2">[73]Parts!$B$5</definedName>
    <definedName name="Parts_Name_10" localSheetId="5">[73]Parts!$B$5</definedName>
    <definedName name="Parts_Name_10" localSheetId="6">[73]Parts!$B$5</definedName>
    <definedName name="Parts_Name_10" localSheetId="7">[73]Parts!$B$5</definedName>
    <definedName name="Parts_Name_10" localSheetId="8">[73]Parts!$B$5</definedName>
    <definedName name="Parts_Name_10" localSheetId="9">[73]Parts!$B$5</definedName>
    <definedName name="Parts_Name_10" localSheetId="10">[18]Parts!$B$5</definedName>
    <definedName name="Parts_Name_10">[23]Parts!$B$5</definedName>
    <definedName name="Parts_Opp" localSheetId="4">[73]SUMMARY!$D$6</definedName>
    <definedName name="Parts_Opp" localSheetId="3">[73]SUMMARY!$D$6</definedName>
    <definedName name="Parts_Opp" localSheetId="2">[73]SUMMARY!$D$6</definedName>
    <definedName name="Parts_Opp" localSheetId="5">[73]SUMMARY!$D$6</definedName>
    <definedName name="Parts_Opp" localSheetId="6">[73]SUMMARY!$D$6</definedName>
    <definedName name="Parts_Opp" localSheetId="7">[73]SUMMARY!$D$6</definedName>
    <definedName name="Parts_Opp" localSheetId="8">[73]SUMMARY!$D$6</definedName>
    <definedName name="Parts_Opp" localSheetId="9">[73]SUMMARY!$D$6</definedName>
    <definedName name="Parts_Opp" localSheetId="10">[18]Summary!$D$6</definedName>
    <definedName name="Parts_Opp">[23]Summary!$D$6</definedName>
    <definedName name="Parts_Opp_10" localSheetId="4">[73]SUMMARY!$D$6</definedName>
    <definedName name="Parts_Opp_10" localSheetId="3">[73]SUMMARY!$D$6</definedName>
    <definedName name="Parts_Opp_10" localSheetId="2">[73]SUMMARY!$D$6</definedName>
    <definedName name="Parts_Opp_10" localSheetId="5">[73]SUMMARY!$D$6</definedName>
    <definedName name="Parts_Opp_10" localSheetId="6">[73]SUMMARY!$D$6</definedName>
    <definedName name="Parts_Opp_10" localSheetId="7">[73]SUMMARY!$D$6</definedName>
    <definedName name="Parts_Opp_10" localSheetId="8">[73]SUMMARY!$D$6</definedName>
    <definedName name="Parts_Opp_10" localSheetId="9">[73]SUMMARY!$D$6</definedName>
    <definedName name="Parts_Opp_10" localSheetId="10">[18]Summary!$D$6</definedName>
    <definedName name="Parts_Opp_10">[23]Summary!$D$6</definedName>
    <definedName name="Parts_Total_M" localSheetId="4">[73]SUMMARY!$G$6</definedName>
    <definedName name="Parts_Total_M" localSheetId="3">[73]SUMMARY!$G$6</definedName>
    <definedName name="Parts_Total_M" localSheetId="2">[73]SUMMARY!$G$6</definedName>
    <definedName name="Parts_Total_M" localSheetId="5">[73]SUMMARY!$G$6</definedName>
    <definedName name="Parts_Total_M" localSheetId="6">[73]SUMMARY!$G$6</definedName>
    <definedName name="Parts_Total_M" localSheetId="7">[73]SUMMARY!$G$6</definedName>
    <definedName name="Parts_Total_M" localSheetId="8">[73]SUMMARY!$G$6</definedName>
    <definedName name="Parts_Total_M" localSheetId="9">[73]SUMMARY!$G$6</definedName>
    <definedName name="Parts_Total_M" localSheetId="10">[18]Summary!$G$6</definedName>
    <definedName name="Parts_Total_M">[23]Summary!$G$6</definedName>
    <definedName name="Parts_Total_M_10" localSheetId="4">[73]SUMMARY!$G$6</definedName>
    <definedName name="Parts_Total_M_10" localSheetId="3">[73]SUMMARY!$G$6</definedName>
    <definedName name="Parts_Total_M_10" localSheetId="2">[73]SUMMARY!$G$6</definedName>
    <definedName name="Parts_Total_M_10" localSheetId="5">[73]SUMMARY!$G$6</definedName>
    <definedName name="Parts_Total_M_10" localSheetId="6">[73]SUMMARY!$G$6</definedName>
    <definedName name="Parts_Total_M_10" localSheetId="7">[73]SUMMARY!$G$6</definedName>
    <definedName name="Parts_Total_M_10" localSheetId="8">[73]SUMMARY!$G$6</definedName>
    <definedName name="Parts_Total_M_10" localSheetId="9">[73]SUMMARY!$G$6</definedName>
    <definedName name="Parts_Total_M_10" localSheetId="10">[18]Summary!$G$6</definedName>
    <definedName name="Parts_Total_M_10">[23]Summary!$G$6</definedName>
    <definedName name="Parts_Zst" localSheetId="4">[73]SUMMARY!$E$6</definedName>
    <definedName name="Parts_Zst" localSheetId="3">[73]SUMMARY!$E$6</definedName>
    <definedName name="Parts_Zst" localSheetId="2">[73]SUMMARY!$E$6</definedName>
    <definedName name="Parts_Zst" localSheetId="5">[73]SUMMARY!$E$6</definedName>
    <definedName name="Parts_Zst" localSheetId="6">[73]SUMMARY!$E$6</definedName>
    <definedName name="Parts_Zst" localSheetId="7">[73]SUMMARY!$E$6</definedName>
    <definedName name="Parts_Zst" localSheetId="8">[73]SUMMARY!$E$6</definedName>
    <definedName name="Parts_Zst" localSheetId="9">[73]SUMMARY!$E$6</definedName>
    <definedName name="Parts_Zst" localSheetId="10">[18]Summary!$E$6</definedName>
    <definedName name="Parts_Zst">[23]Summary!$E$6</definedName>
    <definedName name="Parts_Zst_10" localSheetId="4">[73]SUMMARY!$E$6</definedName>
    <definedName name="Parts_Zst_10" localSheetId="3">[73]SUMMARY!$E$6</definedName>
    <definedName name="Parts_Zst_10" localSheetId="2">[73]SUMMARY!$E$6</definedName>
    <definedName name="Parts_Zst_10" localSheetId="5">[73]SUMMARY!$E$6</definedName>
    <definedName name="Parts_Zst_10" localSheetId="6">[73]SUMMARY!$E$6</definedName>
    <definedName name="Parts_Zst_10" localSheetId="7">[73]SUMMARY!$E$6</definedName>
    <definedName name="Parts_Zst_10" localSheetId="8">[73]SUMMARY!$E$6</definedName>
    <definedName name="Parts_Zst_10" localSheetId="9">[73]SUMMARY!$E$6</definedName>
    <definedName name="Parts_Zst_10" localSheetId="10">[18]Summary!$E$6</definedName>
    <definedName name="Parts_Zst_10">[23]Summary!$E$6</definedName>
    <definedName name="pasti" localSheetId="4" hidden="1">{#N/A,#N/A,TRUE,"Distribution";#N/A,#N/A,TRUE,"Fulfillment";#N/A,#N/A,TRUE,"Aged Backorders"}</definedName>
    <definedName name="pasti" localSheetId="3" hidden="1">{#N/A,#N/A,TRUE,"Distribution";#N/A,#N/A,TRUE,"Fulfillment";#N/A,#N/A,TRUE,"Aged Backorders"}</definedName>
    <definedName name="pasti" localSheetId="2" hidden="1">{#N/A,#N/A,TRUE,"Distribution";#N/A,#N/A,TRUE,"Fulfillment";#N/A,#N/A,TRUE,"Aged Backorders"}</definedName>
    <definedName name="pasti" localSheetId="8" hidden="1">{#N/A,#N/A,TRUE,"Distribution";#N/A,#N/A,TRUE,"Fulfillment";#N/A,#N/A,TRUE,"Aged Backorders"}</definedName>
    <definedName name="pasti" localSheetId="9" hidden="1">{#N/A,#N/A,TRUE,"Distribution";#N/A,#N/A,TRUE,"Fulfillment";#N/A,#N/A,TRUE,"Aged Backorders"}</definedName>
    <definedName name="pasti" localSheetId="10" hidden="1">{#N/A,#N/A,TRUE,"Distribution";#N/A,#N/A,TRUE,"Fulfillment";#N/A,#N/A,TRUE,"Aged Backorders"}</definedName>
    <definedName name="pasti" hidden="1">{#N/A,#N/A,TRUE,"Distribution";#N/A,#N/A,TRUE,"Fulfillment";#N/A,#N/A,TRUE,"Aged Backorders"}</definedName>
    <definedName name="Pay_Date" localSheetId="4">#REF!</definedName>
    <definedName name="Pay_Date" localSheetId="3">#REF!</definedName>
    <definedName name="Pay_Date" localSheetId="2">#REF!</definedName>
    <definedName name="Pay_Date" localSheetId="5">#REF!</definedName>
    <definedName name="Pay_Date" localSheetId="6">#REF!</definedName>
    <definedName name="Pay_Date" localSheetId="7">#REF!</definedName>
    <definedName name="Pay_Date" localSheetId="8">#REF!</definedName>
    <definedName name="Pay_Date" localSheetId="9">#REF!</definedName>
    <definedName name="Pay_Date" localSheetId="10">#REF!</definedName>
    <definedName name="Pay_Date" localSheetId="11">#REF!</definedName>
    <definedName name="Pay_Date">#REF!</definedName>
    <definedName name="Pay_Num" localSheetId="4">#REF!</definedName>
    <definedName name="Pay_Num" localSheetId="3">#REF!</definedName>
    <definedName name="Pay_Num" localSheetId="2">#REF!</definedName>
    <definedName name="Pay_Num" localSheetId="5">#REF!</definedName>
    <definedName name="Pay_Num" localSheetId="6">#REF!</definedName>
    <definedName name="Pay_Num" localSheetId="7">#REF!</definedName>
    <definedName name="Pay_Num" localSheetId="8">#REF!</definedName>
    <definedName name="Pay_Num" localSheetId="9">#REF!</definedName>
    <definedName name="Pay_Num" localSheetId="10">#REF!</definedName>
    <definedName name="Pay_Num" localSheetId="11">#REF!</definedName>
    <definedName name="Pay_Num">#REF!</definedName>
    <definedName name="Payment_Date" localSheetId="4">DATE(YEAR('25年厨电费用指标到月测算汇总表'!Loan_Start),MONTH('25年厨电费用指标到月测算汇总表'!Loan_Start)+Payment_Number,DAY('25年厨电费用指标到月测算汇总表'!Loan_Start))</definedName>
    <definedName name="Payment_Date" localSheetId="3">DATE(YEAR('25年厨电费用指标到月测算汇总表  (2)'!Loan_Start),MONTH('25年厨电费用指标到月测算汇总表  (2)'!Loan_Start)+Payment_Number,DAY('25年厨电费用指标到月测算汇总表  (2)'!Loan_Start))</definedName>
    <definedName name="Payment_Date" localSheetId="2">DATE(YEAR('26年厨电费用指标到月测算汇总表 '!Loan_Start),MONTH('26年厨电费用指标到月测算汇总表 '!Loan_Start)+Payment_Number,DAY('26年厨电费用指标到月测算汇总表 '!Loan_Start))</definedName>
    <definedName name="Payment_Date" localSheetId="0">DATE(YEAR(Loan_Start),MONTH(Loan_Start)+Payment_Number,DAY(Loan_Start))</definedName>
    <definedName name="Payment_Date" localSheetId="5">DATE(YEAR('厨电1月 '!Loan_Start),MONTH('厨电1月 '!Loan_Start)+Payment_Number,DAY('厨电1月 '!Loan_Start))</definedName>
    <definedName name="Payment_Date" localSheetId="6">DATE(YEAR('厨电2月 '!Loan_Start),MONTH('厨电2月 '!Loan_Start)+Payment_Number,DAY('厨电2月 '!Loan_Start))</definedName>
    <definedName name="Payment_Date" localSheetId="7">DATE(YEAR(厨电3月!Loan_Start),MONTH(厨电3月!Loan_Start)+Payment_Number,DAY(厨电3月!Loan_Start))</definedName>
    <definedName name="Payment_Date" localSheetId="8">DATE(YEAR(厨电4月!Loan_Start),MONTH(厨电4月!Loan_Start)+Payment_Number,DAY(厨电4月!Loan_Start))</definedName>
    <definedName name="Payment_Date" localSheetId="9">DATE(YEAR('厨电5月 '!Loan_Start),MONTH('厨电5月 '!Loan_Start)+Payment_Number,DAY('厨电5月 '!Loan_Start))</definedName>
    <definedName name="Payment_Date" localSheetId="10">DATE(YEAR(厨电6月!Loan_Start),MONTH(厨电6月!Loan_Start)+Payment_Number,DAY(厨电6月!Loan_Start))</definedName>
    <definedName name="Payment_Date" localSheetId="11">DATE(YEAR('降费项目厨电 '!Loan_Start),MONTH('降费项目厨电 '!Loan_Start)+Payment_Number,DAY('降费项目厨电 '!Loan_Start))</definedName>
    <definedName name="Payment_Date">DATE(YEAR(Loan_Start),MONTH(Loan_Start)+Payment_Number,DAY(Loan_Start))</definedName>
    <definedName name="PE_AL_01" localSheetId="4">'[73]Top Lvl  Logic'!$I$37</definedName>
    <definedName name="PE_AL_01" localSheetId="3">'[73]Top Lvl  Logic'!$I$37</definedName>
    <definedName name="PE_AL_01" localSheetId="2">'[73]Top Lvl  Logic'!$I$37</definedName>
    <definedName name="PE_AL_01" localSheetId="5">'[73]Top Lvl  Logic'!$I$37</definedName>
    <definedName name="PE_AL_01" localSheetId="6">'[73]Top Lvl  Logic'!$I$37</definedName>
    <definedName name="PE_AL_01" localSheetId="7">'[73]Top Lvl  Logic'!$I$37</definedName>
    <definedName name="PE_AL_01" localSheetId="8">'[73]Top Lvl  Logic'!$I$37</definedName>
    <definedName name="PE_AL_01" localSheetId="9">'[73]Top Lvl  Logic'!$I$37</definedName>
    <definedName name="PE_AL_01" localSheetId="10">'[18]Top Lvl  Logic'!$I$37</definedName>
    <definedName name="PE_AL_01">'[23]Top Lvl  Logic'!$I$37</definedName>
    <definedName name="PE_AL_01_10" localSheetId="4">'[73]Top Lvl  Logic'!$I$37</definedName>
    <definedName name="PE_AL_01_10" localSheetId="3">'[73]Top Lvl  Logic'!$I$37</definedName>
    <definedName name="PE_AL_01_10" localSheetId="2">'[73]Top Lvl  Logic'!$I$37</definedName>
    <definedName name="PE_AL_01_10" localSheetId="5">'[73]Top Lvl  Logic'!$I$37</definedName>
    <definedName name="PE_AL_01_10" localSheetId="6">'[73]Top Lvl  Logic'!$I$37</definedName>
    <definedName name="PE_AL_01_10" localSheetId="7">'[73]Top Lvl  Logic'!$I$37</definedName>
    <definedName name="PE_AL_01_10" localSheetId="8">'[73]Top Lvl  Logic'!$I$37</definedName>
    <definedName name="PE_AL_01_10" localSheetId="9">'[73]Top Lvl  Logic'!$I$37</definedName>
    <definedName name="PE_AL_01_10" localSheetId="10">'[18]Top Lvl  Logic'!$I$37</definedName>
    <definedName name="PE_AL_01_10">'[23]Top Lvl  Logic'!$I$37</definedName>
    <definedName name="PE_AL_12" localSheetId="4">'[73]Top Lvl  Logic'!$J$37</definedName>
    <definedName name="PE_AL_12" localSheetId="3">'[73]Top Lvl  Logic'!$J$37</definedName>
    <definedName name="PE_AL_12" localSheetId="2">'[73]Top Lvl  Logic'!$J$37</definedName>
    <definedName name="PE_AL_12" localSheetId="5">'[73]Top Lvl  Logic'!$J$37</definedName>
    <definedName name="PE_AL_12" localSheetId="6">'[73]Top Lvl  Logic'!$J$37</definedName>
    <definedName name="PE_AL_12" localSheetId="7">'[73]Top Lvl  Logic'!$J$37</definedName>
    <definedName name="PE_AL_12" localSheetId="8">'[73]Top Lvl  Logic'!$J$37</definedName>
    <definedName name="PE_AL_12" localSheetId="9">'[73]Top Lvl  Logic'!$J$37</definedName>
    <definedName name="PE_AL_12" localSheetId="10">'[18]Top Lvl  Logic'!$J$37</definedName>
    <definedName name="PE_AL_12">'[23]Top Lvl  Logic'!$J$37</definedName>
    <definedName name="PE_AL_12_10" localSheetId="4">'[73]Top Lvl  Logic'!$J$37</definedName>
    <definedName name="PE_AL_12_10" localSheetId="3">'[73]Top Lvl  Logic'!$J$37</definedName>
    <definedName name="PE_AL_12_10" localSheetId="2">'[73]Top Lvl  Logic'!$J$37</definedName>
    <definedName name="PE_AL_12_10" localSheetId="5">'[73]Top Lvl  Logic'!$J$37</definedName>
    <definedName name="PE_AL_12_10" localSheetId="6">'[73]Top Lvl  Logic'!$J$37</definedName>
    <definedName name="PE_AL_12_10" localSheetId="7">'[73]Top Lvl  Logic'!$J$37</definedName>
    <definedName name="PE_AL_12_10" localSheetId="8">'[73]Top Lvl  Logic'!$J$37</definedName>
    <definedName name="PE_AL_12_10" localSheetId="9">'[73]Top Lvl  Logic'!$J$37</definedName>
    <definedName name="PE_AL_12_10" localSheetId="10">'[18]Top Lvl  Logic'!$J$37</definedName>
    <definedName name="PE_AL_12_10">'[23]Top Lvl  Logic'!$J$37</definedName>
    <definedName name="PE_AL_23" localSheetId="4">'[73]Top Lvl  Logic'!$K$37</definedName>
    <definedName name="PE_AL_23" localSheetId="3">'[73]Top Lvl  Logic'!$K$37</definedName>
    <definedName name="PE_AL_23" localSheetId="2">'[73]Top Lvl  Logic'!$K$37</definedName>
    <definedName name="PE_AL_23" localSheetId="5">'[73]Top Lvl  Logic'!$K$37</definedName>
    <definedName name="PE_AL_23" localSheetId="6">'[73]Top Lvl  Logic'!$K$37</definedName>
    <definedName name="PE_AL_23" localSheetId="7">'[73]Top Lvl  Logic'!$K$37</definedName>
    <definedName name="PE_AL_23" localSheetId="8">'[73]Top Lvl  Logic'!$K$37</definedName>
    <definedName name="PE_AL_23" localSheetId="9">'[73]Top Lvl  Logic'!$K$37</definedName>
    <definedName name="PE_AL_23" localSheetId="10">'[18]Top Lvl  Logic'!$K$37</definedName>
    <definedName name="PE_AL_23">'[23]Top Lvl  Logic'!$K$37</definedName>
    <definedName name="PE_AL_23_10" localSheetId="4">'[73]Top Lvl  Logic'!$K$37</definedName>
    <definedName name="PE_AL_23_10" localSheetId="3">'[73]Top Lvl  Logic'!$K$37</definedName>
    <definedName name="PE_AL_23_10" localSheetId="2">'[73]Top Lvl  Logic'!$K$37</definedName>
    <definedName name="PE_AL_23_10" localSheetId="5">'[73]Top Lvl  Logic'!$K$37</definedName>
    <definedName name="PE_AL_23_10" localSheetId="6">'[73]Top Lvl  Logic'!$K$37</definedName>
    <definedName name="PE_AL_23_10" localSheetId="7">'[73]Top Lvl  Logic'!$K$37</definedName>
    <definedName name="PE_AL_23_10" localSheetId="8">'[73]Top Lvl  Logic'!$K$37</definedName>
    <definedName name="PE_AL_23_10" localSheetId="9">'[73]Top Lvl  Logic'!$K$37</definedName>
    <definedName name="PE_AL_23_10" localSheetId="10">'[18]Top Lvl  Logic'!$K$37</definedName>
    <definedName name="PE_AL_23_10">'[23]Top Lvl  Logic'!$K$37</definedName>
    <definedName name="PE_AL_34" localSheetId="4">'[73]Top Lvl  Logic'!$L$37</definedName>
    <definedName name="PE_AL_34" localSheetId="3">'[73]Top Lvl  Logic'!$L$37</definedName>
    <definedName name="PE_AL_34" localSheetId="2">'[73]Top Lvl  Logic'!$L$37</definedName>
    <definedName name="PE_AL_34" localSheetId="5">'[73]Top Lvl  Logic'!$L$37</definedName>
    <definedName name="PE_AL_34" localSheetId="6">'[73]Top Lvl  Logic'!$L$37</definedName>
    <definedName name="PE_AL_34" localSheetId="7">'[73]Top Lvl  Logic'!$L$37</definedName>
    <definedName name="PE_AL_34" localSheetId="8">'[73]Top Lvl  Logic'!$L$37</definedName>
    <definedName name="PE_AL_34" localSheetId="9">'[73]Top Lvl  Logic'!$L$37</definedName>
    <definedName name="PE_AL_34" localSheetId="10">'[18]Top Lvl  Logic'!$L$37</definedName>
    <definedName name="PE_AL_34">'[23]Top Lvl  Logic'!$L$37</definedName>
    <definedName name="PE_AL_34_10" localSheetId="4">'[73]Top Lvl  Logic'!$L$37</definedName>
    <definedName name="PE_AL_34_10" localSheetId="3">'[73]Top Lvl  Logic'!$L$37</definedName>
    <definedName name="PE_AL_34_10" localSheetId="2">'[73]Top Lvl  Logic'!$L$37</definedName>
    <definedName name="PE_AL_34_10" localSheetId="5">'[73]Top Lvl  Logic'!$L$37</definedName>
    <definedName name="PE_AL_34_10" localSheetId="6">'[73]Top Lvl  Logic'!$L$37</definedName>
    <definedName name="PE_AL_34_10" localSheetId="7">'[73]Top Lvl  Logic'!$L$37</definedName>
    <definedName name="PE_AL_34_10" localSheetId="8">'[73]Top Lvl  Logic'!$L$37</definedName>
    <definedName name="PE_AL_34_10" localSheetId="9">'[73]Top Lvl  Logic'!$L$37</definedName>
    <definedName name="PE_AL_34_10" localSheetId="10">'[18]Top Lvl  Logic'!$L$37</definedName>
    <definedName name="PE_AL_34_10">'[23]Top Lvl  Logic'!$L$37</definedName>
    <definedName name="PE_AL_45" localSheetId="4">'[73]Top Lvl  Logic'!$M$37</definedName>
    <definedName name="PE_AL_45" localSheetId="3">'[73]Top Lvl  Logic'!$M$37</definedName>
    <definedName name="PE_AL_45" localSheetId="2">'[73]Top Lvl  Logic'!$M$37</definedName>
    <definedName name="PE_AL_45" localSheetId="5">'[73]Top Lvl  Logic'!$M$37</definedName>
    <definedName name="PE_AL_45" localSheetId="6">'[73]Top Lvl  Logic'!$M$37</definedName>
    <definedName name="PE_AL_45" localSheetId="7">'[73]Top Lvl  Logic'!$M$37</definedName>
    <definedName name="PE_AL_45" localSheetId="8">'[73]Top Lvl  Logic'!$M$37</definedName>
    <definedName name="PE_AL_45" localSheetId="9">'[73]Top Lvl  Logic'!$M$37</definedName>
    <definedName name="PE_AL_45" localSheetId="10">'[18]Top Lvl  Logic'!$M$37</definedName>
    <definedName name="PE_AL_45">'[23]Top Lvl  Logic'!$M$37</definedName>
    <definedName name="PE_AL_45_10" localSheetId="4">'[73]Top Lvl  Logic'!$M$37</definedName>
    <definedName name="PE_AL_45_10" localSheetId="3">'[73]Top Lvl  Logic'!$M$37</definedName>
    <definedName name="PE_AL_45_10" localSheetId="2">'[73]Top Lvl  Logic'!$M$37</definedName>
    <definedName name="PE_AL_45_10" localSheetId="5">'[73]Top Lvl  Logic'!$M$37</definedName>
    <definedName name="PE_AL_45_10" localSheetId="6">'[73]Top Lvl  Logic'!$M$37</definedName>
    <definedName name="PE_AL_45_10" localSheetId="7">'[73]Top Lvl  Logic'!$M$37</definedName>
    <definedName name="PE_AL_45_10" localSheetId="8">'[73]Top Lvl  Logic'!$M$37</definedName>
    <definedName name="PE_AL_45_10" localSheetId="9">'[73]Top Lvl  Logic'!$M$37</definedName>
    <definedName name="PE_AL_45_10" localSheetId="10">'[18]Top Lvl  Logic'!$M$37</definedName>
    <definedName name="PE_AL_45_10">'[23]Top Lvl  Logic'!$M$37</definedName>
    <definedName name="PE_AL_56" localSheetId="4">'[73]Top Lvl  Logic'!$N$37</definedName>
    <definedName name="PE_AL_56" localSheetId="3">'[73]Top Lvl  Logic'!$N$37</definedName>
    <definedName name="PE_AL_56" localSheetId="2">'[73]Top Lvl  Logic'!$N$37</definedName>
    <definedName name="PE_AL_56" localSheetId="5">'[73]Top Lvl  Logic'!$N$37</definedName>
    <definedName name="PE_AL_56" localSheetId="6">'[73]Top Lvl  Logic'!$N$37</definedName>
    <definedName name="PE_AL_56" localSheetId="7">'[73]Top Lvl  Logic'!$N$37</definedName>
    <definedName name="PE_AL_56" localSheetId="8">'[73]Top Lvl  Logic'!$N$37</definedName>
    <definedName name="PE_AL_56" localSheetId="9">'[73]Top Lvl  Logic'!$N$37</definedName>
    <definedName name="PE_AL_56" localSheetId="10">'[18]Top Lvl  Logic'!$N$37</definedName>
    <definedName name="PE_AL_56">'[23]Top Lvl  Logic'!$N$37</definedName>
    <definedName name="PE_AL_56_10" localSheetId="4">'[73]Top Lvl  Logic'!$N$37</definedName>
    <definedName name="PE_AL_56_10" localSheetId="3">'[73]Top Lvl  Logic'!$N$37</definedName>
    <definedName name="PE_AL_56_10" localSheetId="2">'[73]Top Lvl  Logic'!$N$37</definedName>
    <definedName name="PE_AL_56_10" localSheetId="5">'[73]Top Lvl  Logic'!$N$37</definedName>
    <definedName name="PE_AL_56_10" localSheetId="6">'[73]Top Lvl  Logic'!$N$37</definedName>
    <definedName name="PE_AL_56_10" localSheetId="7">'[73]Top Lvl  Logic'!$N$37</definedName>
    <definedName name="PE_AL_56_10" localSheetId="8">'[73]Top Lvl  Logic'!$N$37</definedName>
    <definedName name="PE_AL_56_10" localSheetId="9">'[73]Top Lvl  Logic'!$N$37</definedName>
    <definedName name="PE_AL_56_10" localSheetId="10">'[18]Top Lvl  Logic'!$N$37</definedName>
    <definedName name="PE_AL_56_10">'[23]Top Lvl  Logic'!$N$37</definedName>
    <definedName name="PE_AL_G6" localSheetId="4">'[73]Top Lvl  Logic'!$O$37</definedName>
    <definedName name="PE_AL_G6" localSheetId="3">'[73]Top Lvl  Logic'!$O$37</definedName>
    <definedName name="PE_AL_G6" localSheetId="2">'[73]Top Lvl  Logic'!$O$37</definedName>
    <definedName name="PE_AL_G6" localSheetId="5">'[73]Top Lvl  Logic'!$O$37</definedName>
    <definedName name="PE_AL_G6" localSheetId="6">'[73]Top Lvl  Logic'!$O$37</definedName>
    <definedName name="PE_AL_G6" localSheetId="7">'[73]Top Lvl  Logic'!$O$37</definedName>
    <definedName name="PE_AL_G6" localSheetId="8">'[73]Top Lvl  Logic'!$O$37</definedName>
    <definedName name="PE_AL_G6" localSheetId="9">'[73]Top Lvl  Logic'!$O$37</definedName>
    <definedName name="PE_AL_G6" localSheetId="10">'[18]Top Lvl  Logic'!$O$37</definedName>
    <definedName name="PE_AL_G6">'[23]Top Lvl  Logic'!$O$37</definedName>
    <definedName name="PE_AL_G6_10" localSheetId="4">'[73]Top Lvl  Logic'!$O$37</definedName>
    <definedName name="PE_AL_G6_10" localSheetId="3">'[73]Top Lvl  Logic'!$O$37</definedName>
    <definedName name="PE_AL_G6_10" localSheetId="2">'[73]Top Lvl  Logic'!$O$37</definedName>
    <definedName name="PE_AL_G6_10" localSheetId="5">'[73]Top Lvl  Logic'!$O$37</definedName>
    <definedName name="PE_AL_G6_10" localSheetId="6">'[73]Top Lvl  Logic'!$O$37</definedName>
    <definedName name="PE_AL_G6_10" localSheetId="7">'[73]Top Lvl  Logic'!$O$37</definedName>
    <definedName name="PE_AL_G6_10" localSheetId="8">'[73]Top Lvl  Logic'!$O$37</definedName>
    <definedName name="PE_AL_G6_10" localSheetId="9">'[73]Top Lvl  Logic'!$O$37</definedName>
    <definedName name="PE_AL_G6_10" localSheetId="10">'[18]Top Lvl  Logic'!$O$37</definedName>
    <definedName name="PE_AL_G6_10">'[23]Top Lvl  Logic'!$O$37</definedName>
    <definedName name="PE_AL_L0" localSheetId="4">'[73]Top Lvl  Logic'!$H$37</definedName>
    <definedName name="PE_AL_L0" localSheetId="3">'[73]Top Lvl  Logic'!$H$37</definedName>
    <definedName name="PE_AL_L0" localSheetId="2">'[73]Top Lvl  Logic'!$H$37</definedName>
    <definedName name="PE_AL_L0" localSheetId="5">'[73]Top Lvl  Logic'!$H$37</definedName>
    <definedName name="PE_AL_L0" localSheetId="6">'[73]Top Lvl  Logic'!$H$37</definedName>
    <definedName name="PE_AL_L0" localSheetId="7">'[73]Top Lvl  Logic'!$H$37</definedName>
    <definedName name="PE_AL_L0" localSheetId="8">'[73]Top Lvl  Logic'!$H$37</definedName>
    <definedName name="PE_AL_L0" localSheetId="9">'[73]Top Lvl  Logic'!$H$37</definedName>
    <definedName name="PE_AL_L0" localSheetId="10">'[18]Top Lvl  Logic'!$H$37</definedName>
    <definedName name="PE_AL_L0">'[23]Top Lvl  Logic'!$H$37</definedName>
    <definedName name="PE_AL_L0_10" localSheetId="4">'[73]Top Lvl  Logic'!$H$37</definedName>
    <definedName name="PE_AL_L0_10" localSheetId="3">'[73]Top Lvl  Logic'!$H$37</definedName>
    <definedName name="PE_AL_L0_10" localSheetId="2">'[73]Top Lvl  Logic'!$H$37</definedName>
    <definedName name="PE_AL_L0_10" localSheetId="5">'[73]Top Lvl  Logic'!$H$37</definedName>
    <definedName name="PE_AL_L0_10" localSheetId="6">'[73]Top Lvl  Logic'!$H$37</definedName>
    <definedName name="PE_AL_L0_10" localSheetId="7">'[73]Top Lvl  Logic'!$H$37</definedName>
    <definedName name="PE_AL_L0_10" localSheetId="8">'[73]Top Lvl  Logic'!$H$37</definedName>
    <definedName name="PE_AL_L0_10" localSheetId="9">'[73]Top Lvl  Logic'!$H$37</definedName>
    <definedName name="PE_AL_L0_10" localSheetId="10">'[18]Top Lvl  Logic'!$H$37</definedName>
    <definedName name="PE_AL_L0_10">'[23]Top Lvl  Logic'!$H$37</definedName>
    <definedName name="PE_AL_NA" localSheetId="4">'[73]Top Lvl  Logic'!$G$37</definedName>
    <definedName name="PE_AL_NA" localSheetId="3">'[73]Top Lvl  Logic'!$G$37</definedName>
    <definedName name="PE_AL_NA" localSheetId="2">'[73]Top Lvl  Logic'!$G$37</definedName>
    <definedName name="PE_AL_NA" localSheetId="5">'[73]Top Lvl  Logic'!$G$37</definedName>
    <definedName name="PE_AL_NA" localSheetId="6">'[73]Top Lvl  Logic'!$G$37</definedName>
    <definedName name="PE_AL_NA" localSheetId="7">'[73]Top Lvl  Logic'!$G$37</definedName>
    <definedName name="PE_AL_NA" localSheetId="8">'[73]Top Lvl  Logic'!$G$37</definedName>
    <definedName name="PE_AL_NA" localSheetId="9">'[73]Top Lvl  Logic'!$G$37</definedName>
    <definedName name="PE_AL_NA" localSheetId="10">'[18]Top Lvl  Logic'!$G$37</definedName>
    <definedName name="PE_AL_NA">'[23]Top Lvl  Logic'!$G$37</definedName>
    <definedName name="PE_AL_NA_10" localSheetId="4">'[73]Top Lvl  Logic'!$G$37</definedName>
    <definedName name="PE_AL_NA_10" localSheetId="3">'[73]Top Lvl  Logic'!$G$37</definedName>
    <definedName name="PE_AL_NA_10" localSheetId="2">'[73]Top Lvl  Logic'!$G$37</definedName>
    <definedName name="PE_AL_NA_10" localSheetId="5">'[73]Top Lvl  Logic'!$G$37</definedName>
    <definedName name="PE_AL_NA_10" localSheetId="6">'[73]Top Lvl  Logic'!$G$37</definedName>
    <definedName name="PE_AL_NA_10" localSheetId="7">'[73]Top Lvl  Logic'!$G$37</definedName>
    <definedName name="PE_AL_NA_10" localSheetId="8">'[73]Top Lvl  Logic'!$G$37</definedName>
    <definedName name="PE_AL_NA_10" localSheetId="9">'[73]Top Lvl  Logic'!$G$37</definedName>
    <definedName name="PE_AL_NA_10" localSheetId="10">'[18]Top Lvl  Logic'!$G$37</definedName>
    <definedName name="PE_AL_NA_10">'[23]Top Lvl  Logic'!$G$37</definedName>
    <definedName name="PE_ALL" localSheetId="4">'[73]Top Lvl  Logic'!$D$36</definedName>
    <definedName name="PE_ALL" localSheetId="3">'[73]Top Lvl  Logic'!$D$36</definedName>
    <definedName name="PE_ALL" localSheetId="2">'[73]Top Lvl  Logic'!$D$36</definedName>
    <definedName name="PE_ALL" localSheetId="5">'[73]Top Lvl  Logic'!$D$36</definedName>
    <definedName name="PE_ALL" localSheetId="6">'[73]Top Lvl  Logic'!$D$36</definedName>
    <definedName name="PE_ALL" localSheetId="7">'[73]Top Lvl  Logic'!$D$36</definedName>
    <definedName name="PE_ALL" localSheetId="8">'[73]Top Lvl  Logic'!$D$36</definedName>
    <definedName name="PE_ALL" localSheetId="9">'[73]Top Lvl  Logic'!$D$36</definedName>
    <definedName name="PE_ALL" localSheetId="10">'[18]Top Lvl  Logic'!$D$36</definedName>
    <definedName name="PE_ALL">'[23]Top Lvl  Logic'!$D$36</definedName>
    <definedName name="PE_ALL_10" localSheetId="4">'[73]Top Lvl  Logic'!$D$36</definedName>
    <definedName name="PE_ALL_10" localSheetId="3">'[73]Top Lvl  Logic'!$D$36</definedName>
    <definedName name="PE_ALL_10" localSheetId="2">'[73]Top Lvl  Logic'!$D$36</definedName>
    <definedName name="PE_ALL_10" localSheetId="5">'[73]Top Lvl  Logic'!$D$36</definedName>
    <definedName name="PE_ALL_10" localSheetId="6">'[73]Top Lvl  Logic'!$D$36</definedName>
    <definedName name="PE_ALL_10" localSheetId="7">'[73]Top Lvl  Logic'!$D$36</definedName>
    <definedName name="PE_ALL_10" localSheetId="8">'[73]Top Lvl  Logic'!$D$36</definedName>
    <definedName name="PE_ALL_10" localSheetId="9">'[73]Top Lvl  Logic'!$D$36</definedName>
    <definedName name="PE_ALL_10" localSheetId="10">'[18]Top Lvl  Logic'!$D$36</definedName>
    <definedName name="PE_ALL_10">'[23]Top Lvl  Logic'!$D$36</definedName>
    <definedName name="PE_CO_01" localSheetId="4">'[73]Top Lvl  Logic'!$I$41</definedName>
    <definedName name="PE_CO_01" localSheetId="3">'[73]Top Lvl  Logic'!$I$41</definedName>
    <definedName name="PE_CO_01" localSheetId="2">'[73]Top Lvl  Logic'!$I$41</definedName>
    <definedName name="PE_CO_01" localSheetId="5">'[73]Top Lvl  Logic'!$I$41</definedName>
    <definedName name="PE_CO_01" localSheetId="6">'[73]Top Lvl  Logic'!$I$41</definedName>
    <definedName name="PE_CO_01" localSheetId="7">'[73]Top Lvl  Logic'!$I$41</definedName>
    <definedName name="PE_CO_01" localSheetId="8">'[73]Top Lvl  Logic'!$I$41</definedName>
    <definedName name="PE_CO_01" localSheetId="9">'[73]Top Lvl  Logic'!$I$41</definedName>
    <definedName name="PE_CO_01" localSheetId="10">'[18]Top Lvl  Logic'!$I$41</definedName>
    <definedName name="PE_CO_01">'[23]Top Lvl  Logic'!$I$41</definedName>
    <definedName name="PE_CO_01_10" localSheetId="4">'[73]Top Lvl  Logic'!$I$41</definedName>
    <definedName name="PE_CO_01_10" localSheetId="3">'[73]Top Lvl  Logic'!$I$41</definedName>
    <definedName name="PE_CO_01_10" localSheetId="2">'[73]Top Lvl  Logic'!$I$41</definedName>
    <definedName name="PE_CO_01_10" localSheetId="5">'[73]Top Lvl  Logic'!$I$41</definedName>
    <definedName name="PE_CO_01_10" localSheetId="6">'[73]Top Lvl  Logic'!$I$41</definedName>
    <definedName name="PE_CO_01_10" localSheetId="7">'[73]Top Lvl  Logic'!$I$41</definedName>
    <definedName name="PE_CO_01_10" localSheetId="8">'[73]Top Lvl  Logic'!$I$41</definedName>
    <definedName name="PE_CO_01_10" localSheetId="9">'[73]Top Lvl  Logic'!$I$41</definedName>
    <definedName name="PE_CO_01_10" localSheetId="10">'[18]Top Lvl  Logic'!$I$41</definedName>
    <definedName name="PE_CO_01_10">'[23]Top Lvl  Logic'!$I$41</definedName>
    <definedName name="PE_CO_12" localSheetId="4">'[73]Top Lvl  Logic'!$J$41</definedName>
    <definedName name="PE_CO_12" localSheetId="3">'[73]Top Lvl  Logic'!$J$41</definedName>
    <definedName name="PE_CO_12" localSheetId="2">'[73]Top Lvl  Logic'!$J$41</definedName>
    <definedName name="PE_CO_12" localSheetId="5">'[73]Top Lvl  Logic'!$J$41</definedName>
    <definedName name="PE_CO_12" localSheetId="6">'[73]Top Lvl  Logic'!$J$41</definedName>
    <definedName name="PE_CO_12" localSheetId="7">'[73]Top Lvl  Logic'!$J$41</definedName>
    <definedName name="PE_CO_12" localSheetId="8">'[73]Top Lvl  Logic'!$J$41</definedName>
    <definedName name="PE_CO_12" localSheetId="9">'[73]Top Lvl  Logic'!$J$41</definedName>
    <definedName name="PE_CO_12" localSheetId="10">'[18]Top Lvl  Logic'!$J$41</definedName>
    <definedName name="PE_CO_12">'[23]Top Lvl  Logic'!$J$41</definedName>
    <definedName name="PE_CO_12_10" localSheetId="4">'[73]Top Lvl  Logic'!$J$41</definedName>
    <definedName name="PE_CO_12_10" localSheetId="3">'[73]Top Lvl  Logic'!$J$41</definedName>
    <definedName name="PE_CO_12_10" localSheetId="2">'[73]Top Lvl  Logic'!$J$41</definedName>
    <definedName name="PE_CO_12_10" localSheetId="5">'[73]Top Lvl  Logic'!$J$41</definedName>
    <definedName name="PE_CO_12_10" localSheetId="6">'[73]Top Lvl  Logic'!$J$41</definedName>
    <definedName name="PE_CO_12_10" localSheetId="7">'[73]Top Lvl  Logic'!$J$41</definedName>
    <definedName name="PE_CO_12_10" localSheetId="8">'[73]Top Lvl  Logic'!$J$41</definedName>
    <definedName name="PE_CO_12_10" localSheetId="9">'[73]Top Lvl  Logic'!$J$41</definedName>
    <definedName name="PE_CO_12_10" localSheetId="10">'[18]Top Lvl  Logic'!$J$41</definedName>
    <definedName name="PE_CO_12_10">'[23]Top Lvl  Logic'!$J$41</definedName>
    <definedName name="PE_CO_23" localSheetId="4">'[73]Top Lvl  Logic'!$K$41</definedName>
    <definedName name="PE_CO_23" localSheetId="3">'[73]Top Lvl  Logic'!$K$41</definedName>
    <definedName name="PE_CO_23" localSheetId="2">'[73]Top Lvl  Logic'!$K$41</definedName>
    <definedName name="PE_CO_23" localSheetId="5">'[73]Top Lvl  Logic'!$K$41</definedName>
    <definedName name="PE_CO_23" localSheetId="6">'[73]Top Lvl  Logic'!$K$41</definedName>
    <definedName name="PE_CO_23" localSheetId="7">'[73]Top Lvl  Logic'!$K$41</definedName>
    <definedName name="PE_CO_23" localSheetId="8">'[73]Top Lvl  Logic'!$K$41</definedName>
    <definedName name="PE_CO_23" localSheetId="9">'[73]Top Lvl  Logic'!$K$41</definedName>
    <definedName name="PE_CO_23" localSheetId="10">'[18]Top Lvl  Logic'!$K$41</definedName>
    <definedName name="PE_CO_23">'[23]Top Lvl  Logic'!$K$41</definedName>
    <definedName name="PE_CO_23_10" localSheetId="4">'[73]Top Lvl  Logic'!$K$41</definedName>
    <definedName name="PE_CO_23_10" localSheetId="3">'[73]Top Lvl  Logic'!$K$41</definedName>
    <definedName name="PE_CO_23_10" localSheetId="2">'[73]Top Lvl  Logic'!$K$41</definedName>
    <definedName name="PE_CO_23_10" localSheetId="5">'[73]Top Lvl  Logic'!$K$41</definedName>
    <definedName name="PE_CO_23_10" localSheetId="6">'[73]Top Lvl  Logic'!$K$41</definedName>
    <definedName name="PE_CO_23_10" localSheetId="7">'[73]Top Lvl  Logic'!$K$41</definedName>
    <definedName name="PE_CO_23_10" localSheetId="8">'[73]Top Lvl  Logic'!$K$41</definedName>
    <definedName name="PE_CO_23_10" localSheetId="9">'[73]Top Lvl  Logic'!$K$41</definedName>
    <definedName name="PE_CO_23_10" localSheetId="10">'[18]Top Lvl  Logic'!$K$41</definedName>
    <definedName name="PE_CO_23_10">'[23]Top Lvl  Logic'!$K$41</definedName>
    <definedName name="PE_CO_34" localSheetId="4">'[73]Top Lvl  Logic'!$L$41</definedName>
    <definedName name="PE_CO_34" localSheetId="3">'[73]Top Lvl  Logic'!$L$41</definedName>
    <definedName name="PE_CO_34" localSheetId="2">'[73]Top Lvl  Logic'!$L$41</definedName>
    <definedName name="PE_CO_34" localSheetId="5">'[73]Top Lvl  Logic'!$L$41</definedName>
    <definedName name="PE_CO_34" localSheetId="6">'[73]Top Lvl  Logic'!$L$41</definedName>
    <definedName name="PE_CO_34" localSheetId="7">'[73]Top Lvl  Logic'!$L$41</definedName>
    <definedName name="PE_CO_34" localSheetId="8">'[73]Top Lvl  Logic'!$L$41</definedName>
    <definedName name="PE_CO_34" localSheetId="9">'[73]Top Lvl  Logic'!$L$41</definedName>
    <definedName name="PE_CO_34" localSheetId="10">'[18]Top Lvl  Logic'!$L$41</definedName>
    <definedName name="PE_CO_34">'[23]Top Lvl  Logic'!$L$41</definedName>
    <definedName name="PE_CO_34_10" localSheetId="4">'[73]Top Lvl  Logic'!$L$41</definedName>
    <definedName name="PE_CO_34_10" localSheetId="3">'[73]Top Lvl  Logic'!$L$41</definedName>
    <definedName name="PE_CO_34_10" localSheetId="2">'[73]Top Lvl  Logic'!$L$41</definedName>
    <definedName name="PE_CO_34_10" localSheetId="5">'[73]Top Lvl  Logic'!$L$41</definedName>
    <definedName name="PE_CO_34_10" localSheetId="6">'[73]Top Lvl  Logic'!$L$41</definedName>
    <definedName name="PE_CO_34_10" localSheetId="7">'[73]Top Lvl  Logic'!$L$41</definedName>
    <definedName name="PE_CO_34_10" localSheetId="8">'[73]Top Lvl  Logic'!$L$41</definedName>
    <definedName name="PE_CO_34_10" localSheetId="9">'[73]Top Lvl  Logic'!$L$41</definedName>
    <definedName name="PE_CO_34_10" localSheetId="10">'[18]Top Lvl  Logic'!$L$41</definedName>
    <definedName name="PE_CO_34_10">'[23]Top Lvl  Logic'!$L$41</definedName>
    <definedName name="PE_CO_45" localSheetId="4">'[73]Top Lvl  Logic'!$M$41</definedName>
    <definedName name="PE_CO_45" localSheetId="3">'[73]Top Lvl  Logic'!$M$41</definedName>
    <definedName name="PE_CO_45" localSheetId="2">'[73]Top Lvl  Logic'!$M$41</definedName>
    <definedName name="PE_CO_45" localSheetId="5">'[73]Top Lvl  Logic'!$M$41</definedName>
    <definedName name="PE_CO_45" localSheetId="6">'[73]Top Lvl  Logic'!$M$41</definedName>
    <definedName name="PE_CO_45" localSheetId="7">'[73]Top Lvl  Logic'!$M$41</definedName>
    <definedName name="PE_CO_45" localSheetId="8">'[73]Top Lvl  Logic'!$M$41</definedName>
    <definedName name="PE_CO_45" localSheetId="9">'[73]Top Lvl  Logic'!$M$41</definedName>
    <definedName name="PE_CO_45" localSheetId="10">'[18]Top Lvl  Logic'!$M$41</definedName>
    <definedName name="PE_CO_45">'[23]Top Lvl  Logic'!$M$41</definedName>
    <definedName name="PE_CO_45_10" localSheetId="4">'[73]Top Lvl  Logic'!$M$41</definedName>
    <definedName name="PE_CO_45_10" localSheetId="3">'[73]Top Lvl  Logic'!$M$41</definedName>
    <definedName name="PE_CO_45_10" localSheetId="2">'[73]Top Lvl  Logic'!$M$41</definedName>
    <definedName name="PE_CO_45_10" localSheetId="5">'[73]Top Lvl  Logic'!$M$41</definedName>
    <definedName name="PE_CO_45_10" localSheetId="6">'[73]Top Lvl  Logic'!$M$41</definedName>
    <definedName name="PE_CO_45_10" localSheetId="7">'[73]Top Lvl  Logic'!$M$41</definedName>
    <definedName name="PE_CO_45_10" localSheetId="8">'[73]Top Lvl  Logic'!$M$41</definedName>
    <definedName name="PE_CO_45_10" localSheetId="9">'[73]Top Lvl  Logic'!$M$41</definedName>
    <definedName name="PE_CO_45_10" localSheetId="10">'[18]Top Lvl  Logic'!$M$41</definedName>
    <definedName name="PE_CO_45_10">'[23]Top Lvl  Logic'!$M$41</definedName>
    <definedName name="PE_CO_56" localSheetId="4">'[73]Top Lvl  Logic'!$N$41</definedName>
    <definedName name="PE_CO_56" localSheetId="3">'[73]Top Lvl  Logic'!$N$41</definedName>
    <definedName name="PE_CO_56" localSheetId="2">'[73]Top Lvl  Logic'!$N$41</definedName>
    <definedName name="PE_CO_56" localSheetId="5">'[73]Top Lvl  Logic'!$N$41</definedName>
    <definedName name="PE_CO_56" localSheetId="6">'[73]Top Lvl  Logic'!$N$41</definedName>
    <definedName name="PE_CO_56" localSheetId="7">'[73]Top Lvl  Logic'!$N$41</definedName>
    <definedName name="PE_CO_56" localSheetId="8">'[73]Top Lvl  Logic'!$N$41</definedName>
    <definedName name="PE_CO_56" localSheetId="9">'[73]Top Lvl  Logic'!$N$41</definedName>
    <definedName name="PE_CO_56" localSheetId="10">'[18]Top Lvl  Logic'!$N$41</definedName>
    <definedName name="PE_CO_56">'[23]Top Lvl  Logic'!$N$41</definedName>
    <definedName name="PE_CO_56_10" localSheetId="4">'[73]Top Lvl  Logic'!$N$41</definedName>
    <definedName name="PE_CO_56_10" localSheetId="3">'[73]Top Lvl  Logic'!$N$41</definedName>
    <definedName name="PE_CO_56_10" localSheetId="2">'[73]Top Lvl  Logic'!$N$41</definedName>
    <definedName name="PE_CO_56_10" localSheetId="5">'[73]Top Lvl  Logic'!$N$41</definedName>
    <definedName name="PE_CO_56_10" localSheetId="6">'[73]Top Lvl  Logic'!$N$41</definedName>
    <definedName name="PE_CO_56_10" localSheetId="7">'[73]Top Lvl  Logic'!$N$41</definedName>
    <definedName name="PE_CO_56_10" localSheetId="8">'[73]Top Lvl  Logic'!$N$41</definedName>
    <definedName name="PE_CO_56_10" localSheetId="9">'[73]Top Lvl  Logic'!$N$41</definedName>
    <definedName name="PE_CO_56_10" localSheetId="10">'[18]Top Lvl  Logic'!$N$41</definedName>
    <definedName name="PE_CO_56_10">'[23]Top Lvl  Logic'!$N$41</definedName>
    <definedName name="PE_CO_G6" localSheetId="4">'[73]Top Lvl  Logic'!$O$41</definedName>
    <definedName name="PE_CO_G6" localSheetId="3">'[73]Top Lvl  Logic'!$O$41</definedName>
    <definedName name="PE_CO_G6" localSheetId="2">'[73]Top Lvl  Logic'!$O$41</definedName>
    <definedName name="PE_CO_G6" localSheetId="5">'[73]Top Lvl  Logic'!$O$41</definedName>
    <definedName name="PE_CO_G6" localSheetId="6">'[73]Top Lvl  Logic'!$O$41</definedName>
    <definedName name="PE_CO_G6" localSheetId="7">'[73]Top Lvl  Logic'!$O$41</definedName>
    <definedName name="PE_CO_G6" localSheetId="8">'[73]Top Lvl  Logic'!$O$41</definedName>
    <definedName name="PE_CO_G6" localSheetId="9">'[73]Top Lvl  Logic'!$O$41</definedName>
    <definedName name="PE_CO_G6" localSheetId="10">'[18]Top Lvl  Logic'!$O$41</definedName>
    <definedName name="PE_CO_G6">'[23]Top Lvl  Logic'!$O$41</definedName>
    <definedName name="PE_CO_G6_10" localSheetId="4">'[73]Top Lvl  Logic'!$O$41</definedName>
    <definedName name="PE_CO_G6_10" localSheetId="3">'[73]Top Lvl  Logic'!$O$41</definedName>
    <definedName name="PE_CO_G6_10" localSheetId="2">'[73]Top Lvl  Logic'!$O$41</definedName>
    <definedName name="PE_CO_G6_10" localSheetId="5">'[73]Top Lvl  Logic'!$O$41</definedName>
    <definedName name="PE_CO_G6_10" localSheetId="6">'[73]Top Lvl  Logic'!$O$41</definedName>
    <definedName name="PE_CO_G6_10" localSheetId="7">'[73]Top Lvl  Logic'!$O$41</definedName>
    <definedName name="PE_CO_G6_10" localSheetId="8">'[73]Top Lvl  Logic'!$O$41</definedName>
    <definedName name="PE_CO_G6_10" localSheetId="9">'[73]Top Lvl  Logic'!$O$41</definedName>
    <definedName name="PE_CO_G6_10" localSheetId="10">'[18]Top Lvl  Logic'!$O$41</definedName>
    <definedName name="PE_CO_G6_10">'[23]Top Lvl  Logic'!$O$41</definedName>
    <definedName name="PE_CO_L0" localSheetId="4">'[73]Top Lvl  Logic'!$H$41</definedName>
    <definedName name="PE_CO_L0" localSheetId="3">'[73]Top Lvl  Logic'!$H$41</definedName>
    <definedName name="PE_CO_L0" localSheetId="2">'[73]Top Lvl  Logic'!$H$41</definedName>
    <definedName name="PE_CO_L0" localSheetId="5">'[73]Top Lvl  Logic'!$H$41</definedName>
    <definedName name="PE_CO_L0" localSheetId="6">'[73]Top Lvl  Logic'!$H$41</definedName>
    <definedName name="PE_CO_L0" localSheetId="7">'[73]Top Lvl  Logic'!$H$41</definedName>
    <definedName name="PE_CO_L0" localSheetId="8">'[73]Top Lvl  Logic'!$H$41</definedName>
    <definedName name="PE_CO_L0" localSheetId="9">'[73]Top Lvl  Logic'!$H$41</definedName>
    <definedName name="PE_CO_L0" localSheetId="10">'[18]Top Lvl  Logic'!$H$41</definedName>
    <definedName name="PE_CO_L0">'[23]Top Lvl  Logic'!$H$41</definedName>
    <definedName name="PE_CO_L0_10" localSheetId="4">'[73]Top Lvl  Logic'!$H$41</definedName>
    <definedName name="PE_CO_L0_10" localSheetId="3">'[73]Top Lvl  Logic'!$H$41</definedName>
    <definedName name="PE_CO_L0_10" localSheetId="2">'[73]Top Lvl  Logic'!$H$41</definedName>
    <definedName name="PE_CO_L0_10" localSheetId="5">'[73]Top Lvl  Logic'!$H$41</definedName>
    <definedName name="PE_CO_L0_10" localSheetId="6">'[73]Top Lvl  Logic'!$H$41</definedName>
    <definedName name="PE_CO_L0_10" localSheetId="7">'[73]Top Lvl  Logic'!$H$41</definedName>
    <definedName name="PE_CO_L0_10" localSheetId="8">'[73]Top Lvl  Logic'!$H$41</definedName>
    <definedName name="PE_CO_L0_10" localSheetId="9">'[73]Top Lvl  Logic'!$H$41</definedName>
    <definedName name="PE_CO_L0_10" localSheetId="10">'[18]Top Lvl  Logic'!$H$41</definedName>
    <definedName name="PE_CO_L0_10">'[23]Top Lvl  Logic'!$H$41</definedName>
    <definedName name="PE_CO_NA" localSheetId="4">'[73]Top Lvl  Logic'!$G$41</definedName>
    <definedName name="PE_CO_NA" localSheetId="3">'[73]Top Lvl  Logic'!$G$41</definedName>
    <definedName name="PE_CO_NA" localSheetId="2">'[73]Top Lvl  Logic'!$G$41</definedName>
    <definedName name="PE_CO_NA" localSheetId="5">'[73]Top Lvl  Logic'!$G$41</definedName>
    <definedName name="PE_CO_NA" localSheetId="6">'[73]Top Lvl  Logic'!$G$41</definedName>
    <definedName name="PE_CO_NA" localSheetId="7">'[73]Top Lvl  Logic'!$G$41</definedName>
    <definedName name="PE_CO_NA" localSheetId="8">'[73]Top Lvl  Logic'!$G$41</definedName>
    <definedName name="PE_CO_NA" localSheetId="9">'[73]Top Lvl  Logic'!$G$41</definedName>
    <definedName name="PE_CO_NA" localSheetId="10">'[18]Top Lvl  Logic'!$G$41</definedName>
    <definedName name="PE_CO_NA">'[23]Top Lvl  Logic'!$G$41</definedName>
    <definedName name="PE_CO_NA_10" localSheetId="4">'[73]Top Lvl  Logic'!$G$41</definedName>
    <definedName name="PE_CO_NA_10" localSheetId="3">'[73]Top Lvl  Logic'!$G$41</definedName>
    <definedName name="PE_CO_NA_10" localSheetId="2">'[73]Top Lvl  Logic'!$G$41</definedName>
    <definedName name="PE_CO_NA_10" localSheetId="5">'[73]Top Lvl  Logic'!$G$41</definedName>
    <definedName name="PE_CO_NA_10" localSheetId="6">'[73]Top Lvl  Logic'!$G$41</definedName>
    <definedName name="PE_CO_NA_10" localSheetId="7">'[73]Top Lvl  Logic'!$G$41</definedName>
    <definedName name="PE_CO_NA_10" localSheetId="8">'[73]Top Lvl  Logic'!$G$41</definedName>
    <definedName name="PE_CO_NA_10" localSheetId="9">'[73]Top Lvl  Logic'!$G$41</definedName>
    <definedName name="PE_CO_NA_10" localSheetId="10">'[18]Top Lvl  Logic'!$G$41</definedName>
    <definedName name="PE_CO_NA_10">'[23]Top Lvl  Logic'!$G$41</definedName>
    <definedName name="PE_CON" localSheetId="4">'[73]Top Lvl  Logic'!$D$40</definedName>
    <definedName name="PE_CON" localSheetId="3">'[73]Top Lvl  Logic'!$D$40</definedName>
    <definedName name="PE_CON" localSheetId="2">'[73]Top Lvl  Logic'!$D$40</definedName>
    <definedName name="PE_CON" localSheetId="5">'[73]Top Lvl  Logic'!$D$40</definedName>
    <definedName name="PE_CON" localSheetId="6">'[73]Top Lvl  Logic'!$D$40</definedName>
    <definedName name="PE_CON" localSheetId="7">'[73]Top Lvl  Logic'!$D$40</definedName>
    <definedName name="PE_CON" localSheetId="8">'[73]Top Lvl  Logic'!$D$40</definedName>
    <definedName name="PE_CON" localSheetId="9">'[73]Top Lvl  Logic'!$D$40</definedName>
    <definedName name="PE_CON" localSheetId="10">'[18]Top Lvl  Logic'!$D$40</definedName>
    <definedName name="PE_CON">'[23]Top Lvl  Logic'!$D$40</definedName>
    <definedName name="PE_CON_10" localSheetId="4">'[73]Top Lvl  Logic'!$D$40</definedName>
    <definedName name="PE_CON_10" localSheetId="3">'[73]Top Lvl  Logic'!$D$40</definedName>
    <definedName name="PE_CON_10" localSheetId="2">'[73]Top Lvl  Logic'!$D$40</definedName>
    <definedName name="PE_CON_10" localSheetId="5">'[73]Top Lvl  Logic'!$D$40</definedName>
    <definedName name="PE_CON_10" localSheetId="6">'[73]Top Lvl  Logic'!$D$40</definedName>
    <definedName name="PE_CON_10" localSheetId="7">'[73]Top Lvl  Logic'!$D$40</definedName>
    <definedName name="PE_CON_10" localSheetId="8">'[73]Top Lvl  Logic'!$D$40</definedName>
    <definedName name="PE_CON_10" localSheetId="9">'[73]Top Lvl  Logic'!$D$40</definedName>
    <definedName name="PE_CON_10" localSheetId="10">'[18]Top Lvl  Logic'!$D$40</definedName>
    <definedName name="PE_CON_10">'[23]Top Lvl  Logic'!$D$40</definedName>
    <definedName name="PE_ID_01" localSheetId="4">'[73]Top Lvl  Logic'!$I$36</definedName>
    <definedName name="PE_ID_01" localSheetId="3">'[73]Top Lvl  Logic'!$I$36</definedName>
    <definedName name="PE_ID_01" localSheetId="2">'[73]Top Lvl  Logic'!$I$36</definedName>
    <definedName name="PE_ID_01" localSheetId="5">'[73]Top Lvl  Logic'!$I$36</definedName>
    <definedName name="PE_ID_01" localSheetId="6">'[73]Top Lvl  Logic'!$I$36</definedName>
    <definedName name="PE_ID_01" localSheetId="7">'[73]Top Lvl  Logic'!$I$36</definedName>
    <definedName name="PE_ID_01" localSheetId="8">'[73]Top Lvl  Logic'!$I$36</definedName>
    <definedName name="PE_ID_01" localSheetId="9">'[73]Top Lvl  Logic'!$I$36</definedName>
    <definedName name="PE_ID_01" localSheetId="10">'[18]Top Lvl  Logic'!$I$36</definedName>
    <definedName name="PE_ID_01">'[23]Top Lvl  Logic'!$I$36</definedName>
    <definedName name="PE_ID_01_10" localSheetId="4">'[73]Top Lvl  Logic'!$I$36</definedName>
    <definedName name="PE_ID_01_10" localSheetId="3">'[73]Top Lvl  Logic'!$I$36</definedName>
    <definedName name="PE_ID_01_10" localSheetId="2">'[73]Top Lvl  Logic'!$I$36</definedName>
    <definedName name="PE_ID_01_10" localSheetId="5">'[73]Top Lvl  Logic'!$I$36</definedName>
    <definedName name="PE_ID_01_10" localSheetId="6">'[73]Top Lvl  Logic'!$I$36</definedName>
    <definedName name="PE_ID_01_10" localSheetId="7">'[73]Top Lvl  Logic'!$I$36</definedName>
    <definedName name="PE_ID_01_10" localSheetId="8">'[73]Top Lvl  Logic'!$I$36</definedName>
    <definedName name="PE_ID_01_10" localSheetId="9">'[73]Top Lvl  Logic'!$I$36</definedName>
    <definedName name="PE_ID_01_10" localSheetId="10">'[18]Top Lvl  Logic'!$I$36</definedName>
    <definedName name="PE_ID_01_10">'[23]Top Lvl  Logic'!$I$36</definedName>
    <definedName name="PE_ID_12" localSheetId="4">'[73]Top Lvl  Logic'!$J$36</definedName>
    <definedName name="PE_ID_12" localSheetId="3">'[73]Top Lvl  Logic'!$J$36</definedName>
    <definedName name="PE_ID_12" localSheetId="2">'[73]Top Lvl  Logic'!$J$36</definedName>
    <definedName name="PE_ID_12" localSheetId="5">'[73]Top Lvl  Logic'!$J$36</definedName>
    <definedName name="PE_ID_12" localSheetId="6">'[73]Top Lvl  Logic'!$J$36</definedName>
    <definedName name="PE_ID_12" localSheetId="7">'[73]Top Lvl  Logic'!$J$36</definedName>
    <definedName name="PE_ID_12" localSheetId="8">'[73]Top Lvl  Logic'!$J$36</definedName>
    <definedName name="PE_ID_12" localSheetId="9">'[73]Top Lvl  Logic'!$J$36</definedName>
    <definedName name="PE_ID_12" localSheetId="10">'[18]Top Lvl  Logic'!$J$36</definedName>
    <definedName name="PE_ID_12">'[23]Top Lvl  Logic'!$J$36</definedName>
    <definedName name="PE_ID_12_10" localSheetId="4">'[73]Top Lvl  Logic'!$J$36</definedName>
    <definedName name="PE_ID_12_10" localSheetId="3">'[73]Top Lvl  Logic'!$J$36</definedName>
    <definedName name="PE_ID_12_10" localSheetId="2">'[73]Top Lvl  Logic'!$J$36</definedName>
    <definedName name="PE_ID_12_10" localSheetId="5">'[73]Top Lvl  Logic'!$J$36</definedName>
    <definedName name="PE_ID_12_10" localSheetId="6">'[73]Top Lvl  Logic'!$J$36</definedName>
    <definedName name="PE_ID_12_10" localSheetId="7">'[73]Top Lvl  Logic'!$J$36</definedName>
    <definedName name="PE_ID_12_10" localSheetId="8">'[73]Top Lvl  Logic'!$J$36</definedName>
    <definedName name="PE_ID_12_10" localSheetId="9">'[73]Top Lvl  Logic'!$J$36</definedName>
    <definedName name="PE_ID_12_10" localSheetId="10">'[18]Top Lvl  Logic'!$J$36</definedName>
    <definedName name="PE_ID_12_10">'[23]Top Lvl  Logic'!$J$36</definedName>
    <definedName name="PE_ID_23" localSheetId="4">'[73]Top Lvl  Logic'!$K$36</definedName>
    <definedName name="PE_ID_23" localSheetId="3">'[73]Top Lvl  Logic'!$K$36</definedName>
    <definedName name="PE_ID_23" localSheetId="2">'[73]Top Lvl  Logic'!$K$36</definedName>
    <definedName name="PE_ID_23" localSheetId="5">'[73]Top Lvl  Logic'!$K$36</definedName>
    <definedName name="PE_ID_23" localSheetId="6">'[73]Top Lvl  Logic'!$K$36</definedName>
    <definedName name="PE_ID_23" localSheetId="7">'[73]Top Lvl  Logic'!$K$36</definedName>
    <definedName name="PE_ID_23" localSheetId="8">'[73]Top Lvl  Logic'!$K$36</definedName>
    <definedName name="PE_ID_23" localSheetId="9">'[73]Top Lvl  Logic'!$K$36</definedName>
    <definedName name="PE_ID_23" localSheetId="10">'[18]Top Lvl  Logic'!$K$36</definedName>
    <definedName name="PE_ID_23">'[23]Top Lvl  Logic'!$K$36</definedName>
    <definedName name="PE_ID_23_10" localSheetId="4">'[73]Top Lvl  Logic'!$K$36</definedName>
    <definedName name="PE_ID_23_10" localSheetId="3">'[73]Top Lvl  Logic'!$K$36</definedName>
    <definedName name="PE_ID_23_10" localSheetId="2">'[73]Top Lvl  Logic'!$K$36</definedName>
    <definedName name="PE_ID_23_10" localSheetId="5">'[73]Top Lvl  Logic'!$K$36</definedName>
    <definedName name="PE_ID_23_10" localSheetId="6">'[73]Top Lvl  Logic'!$K$36</definedName>
    <definedName name="PE_ID_23_10" localSheetId="7">'[73]Top Lvl  Logic'!$K$36</definedName>
    <definedName name="PE_ID_23_10" localSheetId="8">'[73]Top Lvl  Logic'!$K$36</definedName>
    <definedName name="PE_ID_23_10" localSheetId="9">'[73]Top Lvl  Logic'!$K$36</definedName>
    <definedName name="PE_ID_23_10" localSheetId="10">'[18]Top Lvl  Logic'!$K$36</definedName>
    <definedName name="PE_ID_23_10">'[23]Top Lvl  Logic'!$K$36</definedName>
    <definedName name="PE_ID_34" localSheetId="4">'[73]Top Lvl  Logic'!$L$36</definedName>
    <definedName name="PE_ID_34" localSheetId="3">'[73]Top Lvl  Logic'!$L$36</definedName>
    <definedName name="PE_ID_34" localSheetId="2">'[73]Top Lvl  Logic'!$L$36</definedName>
    <definedName name="PE_ID_34" localSheetId="5">'[73]Top Lvl  Logic'!$L$36</definedName>
    <definedName name="PE_ID_34" localSheetId="6">'[73]Top Lvl  Logic'!$L$36</definedName>
    <definedName name="PE_ID_34" localSheetId="7">'[73]Top Lvl  Logic'!$L$36</definedName>
    <definedName name="PE_ID_34" localSheetId="8">'[73]Top Lvl  Logic'!$L$36</definedName>
    <definedName name="PE_ID_34" localSheetId="9">'[73]Top Lvl  Logic'!$L$36</definedName>
    <definedName name="PE_ID_34" localSheetId="10">'[18]Top Lvl  Logic'!$L$36</definedName>
    <definedName name="PE_ID_34">'[23]Top Lvl  Logic'!$L$36</definedName>
    <definedName name="PE_ID_34_10" localSheetId="4">'[73]Top Lvl  Logic'!$L$36</definedName>
    <definedName name="PE_ID_34_10" localSheetId="3">'[73]Top Lvl  Logic'!$L$36</definedName>
    <definedName name="PE_ID_34_10" localSheetId="2">'[73]Top Lvl  Logic'!$L$36</definedName>
    <definedName name="PE_ID_34_10" localSheetId="5">'[73]Top Lvl  Logic'!$L$36</definedName>
    <definedName name="PE_ID_34_10" localSheetId="6">'[73]Top Lvl  Logic'!$L$36</definedName>
    <definedName name="PE_ID_34_10" localSheetId="7">'[73]Top Lvl  Logic'!$L$36</definedName>
    <definedName name="PE_ID_34_10" localSheetId="8">'[73]Top Lvl  Logic'!$L$36</definedName>
    <definedName name="PE_ID_34_10" localSheetId="9">'[73]Top Lvl  Logic'!$L$36</definedName>
    <definedName name="PE_ID_34_10" localSheetId="10">'[18]Top Lvl  Logic'!$L$36</definedName>
    <definedName name="PE_ID_34_10">'[23]Top Lvl  Logic'!$L$36</definedName>
    <definedName name="PE_ID_45" localSheetId="4">'[73]Top Lvl  Logic'!$M$36</definedName>
    <definedName name="PE_ID_45" localSheetId="3">'[73]Top Lvl  Logic'!$M$36</definedName>
    <definedName name="PE_ID_45" localSheetId="2">'[73]Top Lvl  Logic'!$M$36</definedName>
    <definedName name="PE_ID_45" localSheetId="5">'[73]Top Lvl  Logic'!$M$36</definedName>
    <definedName name="PE_ID_45" localSheetId="6">'[73]Top Lvl  Logic'!$M$36</definedName>
    <definedName name="PE_ID_45" localSheetId="7">'[73]Top Lvl  Logic'!$M$36</definedName>
    <definedName name="PE_ID_45" localSheetId="8">'[73]Top Lvl  Logic'!$M$36</definedName>
    <definedName name="PE_ID_45" localSheetId="9">'[73]Top Lvl  Logic'!$M$36</definedName>
    <definedName name="PE_ID_45" localSheetId="10">'[18]Top Lvl  Logic'!$M$36</definedName>
    <definedName name="PE_ID_45">'[23]Top Lvl  Logic'!$M$36</definedName>
    <definedName name="PE_ID_45_10" localSheetId="4">'[73]Top Lvl  Logic'!$M$36</definedName>
    <definedName name="PE_ID_45_10" localSheetId="3">'[73]Top Lvl  Logic'!$M$36</definedName>
    <definedName name="PE_ID_45_10" localSheetId="2">'[73]Top Lvl  Logic'!$M$36</definedName>
    <definedName name="PE_ID_45_10" localSheetId="5">'[73]Top Lvl  Logic'!$M$36</definedName>
    <definedName name="PE_ID_45_10" localSheetId="6">'[73]Top Lvl  Logic'!$M$36</definedName>
    <definedName name="PE_ID_45_10" localSheetId="7">'[73]Top Lvl  Logic'!$M$36</definedName>
    <definedName name="PE_ID_45_10" localSheetId="8">'[73]Top Lvl  Logic'!$M$36</definedName>
    <definedName name="PE_ID_45_10" localSheetId="9">'[73]Top Lvl  Logic'!$M$36</definedName>
    <definedName name="PE_ID_45_10" localSheetId="10">'[18]Top Lvl  Logic'!$M$36</definedName>
    <definedName name="PE_ID_45_10">'[23]Top Lvl  Logic'!$M$36</definedName>
    <definedName name="PE_ID_56" localSheetId="4">'[73]Top Lvl  Logic'!$N$36</definedName>
    <definedName name="PE_ID_56" localSheetId="3">'[73]Top Lvl  Logic'!$N$36</definedName>
    <definedName name="PE_ID_56" localSheetId="2">'[73]Top Lvl  Logic'!$N$36</definedName>
    <definedName name="PE_ID_56" localSheetId="5">'[73]Top Lvl  Logic'!$N$36</definedName>
    <definedName name="PE_ID_56" localSheetId="6">'[73]Top Lvl  Logic'!$N$36</definedName>
    <definedName name="PE_ID_56" localSheetId="7">'[73]Top Lvl  Logic'!$N$36</definedName>
    <definedName name="PE_ID_56" localSheetId="8">'[73]Top Lvl  Logic'!$N$36</definedName>
    <definedName name="PE_ID_56" localSheetId="9">'[73]Top Lvl  Logic'!$N$36</definedName>
    <definedName name="PE_ID_56" localSheetId="10">'[18]Top Lvl  Logic'!$N$36</definedName>
    <definedName name="PE_ID_56">'[23]Top Lvl  Logic'!$N$36</definedName>
    <definedName name="PE_ID_56_10" localSheetId="4">'[73]Top Lvl  Logic'!$N$36</definedName>
    <definedName name="PE_ID_56_10" localSheetId="3">'[73]Top Lvl  Logic'!$N$36</definedName>
    <definedName name="PE_ID_56_10" localSheetId="2">'[73]Top Lvl  Logic'!$N$36</definedName>
    <definedName name="PE_ID_56_10" localSheetId="5">'[73]Top Lvl  Logic'!$N$36</definedName>
    <definedName name="PE_ID_56_10" localSheetId="6">'[73]Top Lvl  Logic'!$N$36</definedName>
    <definedName name="PE_ID_56_10" localSheetId="7">'[73]Top Lvl  Logic'!$N$36</definedName>
    <definedName name="PE_ID_56_10" localSheetId="8">'[73]Top Lvl  Logic'!$N$36</definedName>
    <definedName name="PE_ID_56_10" localSheetId="9">'[73]Top Lvl  Logic'!$N$36</definedName>
    <definedName name="PE_ID_56_10" localSheetId="10">'[18]Top Lvl  Logic'!$N$36</definedName>
    <definedName name="PE_ID_56_10">'[23]Top Lvl  Logic'!$N$36</definedName>
    <definedName name="PE_ID_G6" localSheetId="4">'[73]Top Lvl  Logic'!$O$36</definedName>
    <definedName name="PE_ID_G6" localSheetId="3">'[73]Top Lvl  Logic'!$O$36</definedName>
    <definedName name="PE_ID_G6" localSheetId="2">'[73]Top Lvl  Logic'!$O$36</definedName>
    <definedName name="PE_ID_G6" localSheetId="5">'[73]Top Lvl  Logic'!$O$36</definedName>
    <definedName name="PE_ID_G6" localSheetId="6">'[73]Top Lvl  Logic'!$O$36</definedName>
    <definedName name="PE_ID_G6" localSheetId="7">'[73]Top Lvl  Logic'!$O$36</definedName>
    <definedName name="PE_ID_G6" localSheetId="8">'[73]Top Lvl  Logic'!$O$36</definedName>
    <definedName name="PE_ID_G6" localSheetId="9">'[73]Top Lvl  Logic'!$O$36</definedName>
    <definedName name="PE_ID_G6" localSheetId="10">'[18]Top Lvl  Logic'!$O$36</definedName>
    <definedName name="PE_ID_G6">'[23]Top Lvl  Logic'!$O$36</definedName>
    <definedName name="PE_ID_G6_10" localSheetId="4">'[73]Top Lvl  Logic'!$O$36</definedName>
    <definedName name="PE_ID_G6_10" localSheetId="3">'[73]Top Lvl  Logic'!$O$36</definedName>
    <definedName name="PE_ID_G6_10" localSheetId="2">'[73]Top Lvl  Logic'!$O$36</definedName>
    <definedName name="PE_ID_G6_10" localSheetId="5">'[73]Top Lvl  Logic'!$O$36</definedName>
    <definedName name="PE_ID_G6_10" localSheetId="6">'[73]Top Lvl  Logic'!$O$36</definedName>
    <definedName name="PE_ID_G6_10" localSheetId="7">'[73]Top Lvl  Logic'!$O$36</definedName>
    <definedName name="PE_ID_G6_10" localSheetId="8">'[73]Top Lvl  Logic'!$O$36</definedName>
    <definedName name="PE_ID_G6_10" localSheetId="9">'[73]Top Lvl  Logic'!$O$36</definedName>
    <definedName name="PE_ID_G6_10" localSheetId="10">'[18]Top Lvl  Logic'!$O$36</definedName>
    <definedName name="PE_ID_G6_10">'[23]Top Lvl  Logic'!$O$36</definedName>
    <definedName name="PE_ID_L0" localSheetId="4">'[73]Top Lvl  Logic'!$H$36</definedName>
    <definedName name="PE_ID_L0" localSheetId="3">'[73]Top Lvl  Logic'!$H$36</definedName>
    <definedName name="PE_ID_L0" localSheetId="2">'[73]Top Lvl  Logic'!$H$36</definedName>
    <definedName name="PE_ID_L0" localSheetId="5">'[73]Top Lvl  Logic'!$H$36</definedName>
    <definedName name="PE_ID_L0" localSheetId="6">'[73]Top Lvl  Logic'!$H$36</definedName>
    <definedName name="PE_ID_L0" localSheetId="7">'[73]Top Lvl  Logic'!$H$36</definedName>
    <definedName name="PE_ID_L0" localSheetId="8">'[73]Top Lvl  Logic'!$H$36</definedName>
    <definedName name="PE_ID_L0" localSheetId="9">'[73]Top Lvl  Logic'!$H$36</definedName>
    <definedName name="PE_ID_L0" localSheetId="10">'[18]Top Lvl  Logic'!$H$36</definedName>
    <definedName name="PE_ID_L0">'[23]Top Lvl  Logic'!$H$36</definedName>
    <definedName name="PE_ID_L0_10" localSheetId="4">'[73]Top Lvl  Logic'!$H$36</definedName>
    <definedName name="PE_ID_L0_10" localSheetId="3">'[73]Top Lvl  Logic'!$H$36</definedName>
    <definedName name="PE_ID_L0_10" localSheetId="2">'[73]Top Lvl  Logic'!$H$36</definedName>
    <definedName name="PE_ID_L0_10" localSheetId="5">'[73]Top Lvl  Logic'!$H$36</definedName>
    <definedName name="PE_ID_L0_10" localSheetId="6">'[73]Top Lvl  Logic'!$H$36</definedName>
    <definedName name="PE_ID_L0_10" localSheetId="7">'[73]Top Lvl  Logic'!$H$36</definedName>
    <definedName name="PE_ID_L0_10" localSheetId="8">'[73]Top Lvl  Logic'!$H$36</definedName>
    <definedName name="PE_ID_L0_10" localSheetId="9">'[73]Top Lvl  Logic'!$H$36</definedName>
    <definedName name="PE_ID_L0_10" localSheetId="10">'[18]Top Lvl  Logic'!$H$36</definedName>
    <definedName name="PE_ID_L0_10">'[23]Top Lvl  Logic'!$H$36</definedName>
    <definedName name="PE_ID_NA" localSheetId="4">'[73]Top Lvl  Logic'!$G$36</definedName>
    <definedName name="PE_ID_NA" localSheetId="3">'[73]Top Lvl  Logic'!$G$36</definedName>
    <definedName name="PE_ID_NA" localSheetId="2">'[73]Top Lvl  Logic'!$G$36</definedName>
    <definedName name="PE_ID_NA" localSheetId="5">'[73]Top Lvl  Logic'!$G$36</definedName>
    <definedName name="PE_ID_NA" localSheetId="6">'[73]Top Lvl  Logic'!$G$36</definedName>
    <definedName name="PE_ID_NA" localSheetId="7">'[73]Top Lvl  Logic'!$G$36</definedName>
    <definedName name="PE_ID_NA" localSheetId="8">'[73]Top Lvl  Logic'!$G$36</definedName>
    <definedName name="PE_ID_NA" localSheetId="9">'[73]Top Lvl  Logic'!$G$36</definedName>
    <definedName name="PE_ID_NA" localSheetId="10">'[18]Top Lvl  Logic'!$G$36</definedName>
    <definedName name="PE_ID_NA">'[23]Top Lvl  Logic'!$G$36</definedName>
    <definedName name="PE_ID_NA_10" localSheetId="4">'[73]Top Lvl  Logic'!$G$36</definedName>
    <definedName name="PE_ID_NA_10" localSheetId="3">'[73]Top Lvl  Logic'!$G$36</definedName>
    <definedName name="PE_ID_NA_10" localSheetId="2">'[73]Top Lvl  Logic'!$G$36</definedName>
    <definedName name="PE_ID_NA_10" localSheetId="5">'[73]Top Lvl  Logic'!$G$36</definedName>
    <definedName name="PE_ID_NA_10" localSheetId="6">'[73]Top Lvl  Logic'!$G$36</definedName>
    <definedName name="PE_ID_NA_10" localSheetId="7">'[73]Top Lvl  Logic'!$G$36</definedName>
    <definedName name="PE_ID_NA_10" localSheetId="8">'[73]Top Lvl  Logic'!$G$36</definedName>
    <definedName name="PE_ID_NA_10" localSheetId="9">'[73]Top Lvl  Logic'!$G$36</definedName>
    <definedName name="PE_ID_NA_10" localSheetId="10">'[18]Top Lvl  Logic'!$G$36</definedName>
    <definedName name="PE_ID_NA_10">'[23]Top Lvl  Logic'!$G$36</definedName>
    <definedName name="PE_IDE" localSheetId="4">'[73]Top Lvl  Logic'!$D$35</definedName>
    <definedName name="PE_IDE" localSheetId="3">'[73]Top Lvl  Logic'!$D$35</definedName>
    <definedName name="PE_IDE" localSheetId="2">'[73]Top Lvl  Logic'!$D$35</definedName>
    <definedName name="PE_IDE" localSheetId="5">'[73]Top Lvl  Logic'!$D$35</definedName>
    <definedName name="PE_IDE" localSheetId="6">'[73]Top Lvl  Logic'!$D$35</definedName>
    <definedName name="PE_IDE" localSheetId="7">'[73]Top Lvl  Logic'!$D$35</definedName>
    <definedName name="PE_IDE" localSheetId="8">'[73]Top Lvl  Logic'!$D$35</definedName>
    <definedName name="PE_IDE" localSheetId="9">'[73]Top Lvl  Logic'!$D$35</definedName>
    <definedName name="PE_IDE" localSheetId="10">'[18]Top Lvl  Logic'!$D$35</definedName>
    <definedName name="PE_IDE">'[23]Top Lvl  Logic'!$D$35</definedName>
    <definedName name="PE_IDE_10" localSheetId="4">'[73]Top Lvl  Logic'!$D$35</definedName>
    <definedName name="PE_IDE_10" localSheetId="3">'[73]Top Lvl  Logic'!$D$35</definedName>
    <definedName name="PE_IDE_10" localSheetId="2">'[73]Top Lvl  Logic'!$D$35</definedName>
    <definedName name="PE_IDE_10" localSheetId="5">'[73]Top Lvl  Logic'!$D$35</definedName>
    <definedName name="PE_IDE_10" localSheetId="6">'[73]Top Lvl  Logic'!$D$35</definedName>
    <definedName name="PE_IDE_10" localSheetId="7">'[73]Top Lvl  Logic'!$D$35</definedName>
    <definedName name="PE_IDE_10" localSheetId="8">'[73]Top Lvl  Logic'!$D$35</definedName>
    <definedName name="PE_IDE_10" localSheetId="9">'[73]Top Lvl  Logic'!$D$35</definedName>
    <definedName name="PE_IDE_10" localSheetId="10">'[18]Top Lvl  Logic'!$D$35</definedName>
    <definedName name="PE_IDE_10">'[23]Top Lvl  Logic'!$D$35</definedName>
    <definedName name="PE_ME_01" localSheetId="4">'[73]Top Lvl  Logic'!$I$39</definedName>
    <definedName name="PE_ME_01" localSheetId="3">'[73]Top Lvl  Logic'!$I$39</definedName>
    <definedName name="PE_ME_01" localSheetId="2">'[73]Top Lvl  Logic'!$I$39</definedName>
    <definedName name="PE_ME_01" localSheetId="5">'[73]Top Lvl  Logic'!$I$39</definedName>
    <definedName name="PE_ME_01" localSheetId="6">'[73]Top Lvl  Logic'!$I$39</definedName>
    <definedName name="PE_ME_01" localSheetId="7">'[73]Top Lvl  Logic'!$I$39</definedName>
    <definedName name="PE_ME_01" localSheetId="8">'[73]Top Lvl  Logic'!$I$39</definedName>
    <definedName name="PE_ME_01" localSheetId="9">'[73]Top Lvl  Logic'!$I$39</definedName>
    <definedName name="PE_ME_01" localSheetId="10">'[18]Top Lvl  Logic'!$I$39</definedName>
    <definedName name="PE_ME_01">'[23]Top Lvl  Logic'!$I$39</definedName>
    <definedName name="PE_ME_01_10" localSheetId="4">'[73]Top Lvl  Logic'!$I$39</definedName>
    <definedName name="PE_ME_01_10" localSheetId="3">'[73]Top Lvl  Logic'!$I$39</definedName>
    <definedName name="PE_ME_01_10" localSheetId="2">'[73]Top Lvl  Logic'!$I$39</definedName>
    <definedName name="PE_ME_01_10" localSheetId="5">'[73]Top Lvl  Logic'!$I$39</definedName>
    <definedName name="PE_ME_01_10" localSheetId="6">'[73]Top Lvl  Logic'!$I$39</definedName>
    <definedName name="PE_ME_01_10" localSheetId="7">'[73]Top Lvl  Logic'!$I$39</definedName>
    <definedName name="PE_ME_01_10" localSheetId="8">'[73]Top Lvl  Logic'!$I$39</definedName>
    <definedName name="PE_ME_01_10" localSheetId="9">'[73]Top Lvl  Logic'!$I$39</definedName>
    <definedName name="PE_ME_01_10" localSheetId="10">'[18]Top Lvl  Logic'!$I$39</definedName>
    <definedName name="PE_ME_01_10">'[23]Top Lvl  Logic'!$I$39</definedName>
    <definedName name="PE_ME_12" localSheetId="4">'[73]Top Lvl  Logic'!$J$39</definedName>
    <definedName name="PE_ME_12" localSheetId="3">'[73]Top Lvl  Logic'!$J$39</definedName>
    <definedName name="PE_ME_12" localSheetId="2">'[73]Top Lvl  Logic'!$J$39</definedName>
    <definedName name="PE_ME_12" localSheetId="5">'[73]Top Lvl  Logic'!$J$39</definedName>
    <definedName name="PE_ME_12" localSheetId="6">'[73]Top Lvl  Logic'!$J$39</definedName>
    <definedName name="PE_ME_12" localSheetId="7">'[73]Top Lvl  Logic'!$J$39</definedName>
    <definedName name="PE_ME_12" localSheetId="8">'[73]Top Lvl  Logic'!$J$39</definedName>
    <definedName name="PE_ME_12" localSheetId="9">'[73]Top Lvl  Logic'!$J$39</definedName>
    <definedName name="PE_ME_12" localSheetId="10">'[18]Top Lvl  Logic'!$J$39</definedName>
    <definedName name="PE_ME_12">'[23]Top Lvl  Logic'!$J$39</definedName>
    <definedName name="PE_ME_12_10" localSheetId="4">'[73]Top Lvl  Logic'!$J$39</definedName>
    <definedName name="PE_ME_12_10" localSheetId="3">'[73]Top Lvl  Logic'!$J$39</definedName>
    <definedName name="PE_ME_12_10" localSheetId="2">'[73]Top Lvl  Logic'!$J$39</definedName>
    <definedName name="PE_ME_12_10" localSheetId="5">'[73]Top Lvl  Logic'!$J$39</definedName>
    <definedName name="PE_ME_12_10" localSheetId="6">'[73]Top Lvl  Logic'!$J$39</definedName>
    <definedName name="PE_ME_12_10" localSheetId="7">'[73]Top Lvl  Logic'!$J$39</definedName>
    <definedName name="PE_ME_12_10" localSheetId="8">'[73]Top Lvl  Logic'!$J$39</definedName>
    <definedName name="PE_ME_12_10" localSheetId="9">'[73]Top Lvl  Logic'!$J$39</definedName>
    <definedName name="PE_ME_12_10" localSheetId="10">'[18]Top Lvl  Logic'!$J$39</definedName>
    <definedName name="PE_ME_12_10">'[23]Top Lvl  Logic'!$J$39</definedName>
    <definedName name="PE_ME_23" localSheetId="4">'[73]Top Lvl  Logic'!$K$39</definedName>
    <definedName name="PE_ME_23" localSheetId="3">'[73]Top Lvl  Logic'!$K$39</definedName>
    <definedName name="PE_ME_23" localSheetId="2">'[73]Top Lvl  Logic'!$K$39</definedName>
    <definedName name="PE_ME_23" localSheetId="5">'[73]Top Lvl  Logic'!$K$39</definedName>
    <definedName name="PE_ME_23" localSheetId="6">'[73]Top Lvl  Logic'!$K$39</definedName>
    <definedName name="PE_ME_23" localSheetId="7">'[73]Top Lvl  Logic'!$K$39</definedName>
    <definedName name="PE_ME_23" localSheetId="8">'[73]Top Lvl  Logic'!$K$39</definedName>
    <definedName name="PE_ME_23" localSheetId="9">'[73]Top Lvl  Logic'!$K$39</definedName>
    <definedName name="PE_ME_23" localSheetId="10">'[18]Top Lvl  Logic'!$K$39</definedName>
    <definedName name="PE_ME_23">'[23]Top Lvl  Logic'!$K$39</definedName>
    <definedName name="PE_ME_23_10" localSheetId="4">'[73]Top Lvl  Logic'!$K$39</definedName>
    <definedName name="PE_ME_23_10" localSheetId="3">'[73]Top Lvl  Logic'!$K$39</definedName>
    <definedName name="PE_ME_23_10" localSheetId="2">'[73]Top Lvl  Logic'!$K$39</definedName>
    <definedName name="PE_ME_23_10" localSheetId="5">'[73]Top Lvl  Logic'!$K$39</definedName>
    <definedName name="PE_ME_23_10" localSheetId="6">'[73]Top Lvl  Logic'!$K$39</definedName>
    <definedName name="PE_ME_23_10" localSheetId="7">'[73]Top Lvl  Logic'!$K$39</definedName>
    <definedName name="PE_ME_23_10" localSheetId="8">'[73]Top Lvl  Logic'!$K$39</definedName>
    <definedName name="PE_ME_23_10" localSheetId="9">'[73]Top Lvl  Logic'!$K$39</definedName>
    <definedName name="PE_ME_23_10" localSheetId="10">'[18]Top Lvl  Logic'!$K$39</definedName>
    <definedName name="PE_ME_23_10">'[23]Top Lvl  Logic'!$K$39</definedName>
    <definedName name="PE_ME_34" localSheetId="4">'[73]Top Lvl  Logic'!$L$39</definedName>
    <definedName name="PE_ME_34" localSheetId="3">'[73]Top Lvl  Logic'!$L$39</definedName>
    <definedName name="PE_ME_34" localSheetId="2">'[73]Top Lvl  Logic'!$L$39</definedName>
    <definedName name="PE_ME_34" localSheetId="5">'[73]Top Lvl  Logic'!$L$39</definedName>
    <definedName name="PE_ME_34" localSheetId="6">'[73]Top Lvl  Logic'!$L$39</definedName>
    <definedName name="PE_ME_34" localSheetId="7">'[73]Top Lvl  Logic'!$L$39</definedName>
    <definedName name="PE_ME_34" localSheetId="8">'[73]Top Lvl  Logic'!$L$39</definedName>
    <definedName name="PE_ME_34" localSheetId="9">'[73]Top Lvl  Logic'!$L$39</definedName>
    <definedName name="PE_ME_34" localSheetId="10">'[18]Top Lvl  Logic'!$L$39</definedName>
    <definedName name="PE_ME_34">'[23]Top Lvl  Logic'!$L$39</definedName>
    <definedName name="PE_ME_34_10" localSheetId="4">'[73]Top Lvl  Logic'!$L$39</definedName>
    <definedName name="PE_ME_34_10" localSheetId="3">'[73]Top Lvl  Logic'!$L$39</definedName>
    <definedName name="PE_ME_34_10" localSheetId="2">'[73]Top Lvl  Logic'!$L$39</definedName>
    <definedName name="PE_ME_34_10" localSheetId="5">'[73]Top Lvl  Logic'!$L$39</definedName>
    <definedName name="PE_ME_34_10" localSheetId="6">'[73]Top Lvl  Logic'!$L$39</definedName>
    <definedName name="PE_ME_34_10" localSheetId="7">'[73]Top Lvl  Logic'!$L$39</definedName>
    <definedName name="PE_ME_34_10" localSheetId="8">'[73]Top Lvl  Logic'!$L$39</definedName>
    <definedName name="PE_ME_34_10" localSheetId="9">'[73]Top Lvl  Logic'!$L$39</definedName>
    <definedName name="PE_ME_34_10" localSheetId="10">'[18]Top Lvl  Logic'!$L$39</definedName>
    <definedName name="PE_ME_34_10">'[23]Top Lvl  Logic'!$L$39</definedName>
    <definedName name="PE_ME_45" localSheetId="4">'[73]Top Lvl  Logic'!$M$39</definedName>
    <definedName name="PE_ME_45" localSheetId="3">'[73]Top Lvl  Logic'!$M$39</definedName>
    <definedName name="PE_ME_45" localSheetId="2">'[73]Top Lvl  Logic'!$M$39</definedName>
    <definedName name="PE_ME_45" localSheetId="5">'[73]Top Lvl  Logic'!$M$39</definedName>
    <definedName name="PE_ME_45" localSheetId="6">'[73]Top Lvl  Logic'!$M$39</definedName>
    <definedName name="PE_ME_45" localSheetId="7">'[73]Top Lvl  Logic'!$M$39</definedName>
    <definedName name="PE_ME_45" localSheetId="8">'[73]Top Lvl  Logic'!$M$39</definedName>
    <definedName name="PE_ME_45" localSheetId="9">'[73]Top Lvl  Logic'!$M$39</definedName>
    <definedName name="PE_ME_45" localSheetId="10">'[18]Top Lvl  Logic'!$M$39</definedName>
    <definedName name="PE_ME_45">'[23]Top Lvl  Logic'!$M$39</definedName>
    <definedName name="PE_ME_45_10" localSheetId="4">'[73]Top Lvl  Logic'!$M$39</definedName>
    <definedName name="PE_ME_45_10" localSheetId="3">'[73]Top Lvl  Logic'!$M$39</definedName>
    <definedName name="PE_ME_45_10" localSheetId="2">'[73]Top Lvl  Logic'!$M$39</definedName>
    <definedName name="PE_ME_45_10" localSheetId="5">'[73]Top Lvl  Logic'!$M$39</definedName>
    <definedName name="PE_ME_45_10" localSheetId="6">'[73]Top Lvl  Logic'!$M$39</definedName>
    <definedName name="PE_ME_45_10" localSheetId="7">'[73]Top Lvl  Logic'!$M$39</definedName>
    <definedName name="PE_ME_45_10" localSheetId="8">'[73]Top Lvl  Logic'!$M$39</definedName>
    <definedName name="PE_ME_45_10" localSheetId="9">'[73]Top Lvl  Logic'!$M$39</definedName>
    <definedName name="PE_ME_45_10" localSheetId="10">'[18]Top Lvl  Logic'!$M$39</definedName>
    <definedName name="PE_ME_45_10">'[23]Top Lvl  Logic'!$M$39</definedName>
    <definedName name="PE_ME_56" localSheetId="4">'[73]Top Lvl  Logic'!$N$39</definedName>
    <definedName name="PE_ME_56" localSheetId="3">'[73]Top Lvl  Logic'!$N$39</definedName>
    <definedName name="PE_ME_56" localSheetId="2">'[73]Top Lvl  Logic'!$N$39</definedName>
    <definedName name="PE_ME_56" localSheetId="5">'[73]Top Lvl  Logic'!$N$39</definedName>
    <definedName name="PE_ME_56" localSheetId="6">'[73]Top Lvl  Logic'!$N$39</definedName>
    <definedName name="PE_ME_56" localSheetId="7">'[73]Top Lvl  Logic'!$N$39</definedName>
    <definedName name="PE_ME_56" localSheetId="8">'[73]Top Lvl  Logic'!$N$39</definedName>
    <definedName name="PE_ME_56" localSheetId="9">'[73]Top Lvl  Logic'!$N$39</definedName>
    <definedName name="PE_ME_56" localSheetId="10">'[18]Top Lvl  Logic'!$N$39</definedName>
    <definedName name="PE_ME_56">'[23]Top Lvl  Logic'!$N$39</definedName>
    <definedName name="PE_ME_56_10" localSheetId="4">'[73]Top Lvl  Logic'!$N$39</definedName>
    <definedName name="PE_ME_56_10" localSheetId="3">'[73]Top Lvl  Logic'!$N$39</definedName>
    <definedName name="PE_ME_56_10" localSheetId="2">'[73]Top Lvl  Logic'!$N$39</definedName>
    <definedName name="PE_ME_56_10" localSheetId="5">'[73]Top Lvl  Logic'!$N$39</definedName>
    <definedName name="PE_ME_56_10" localSheetId="6">'[73]Top Lvl  Logic'!$N$39</definedName>
    <definedName name="PE_ME_56_10" localSheetId="7">'[73]Top Lvl  Logic'!$N$39</definedName>
    <definedName name="PE_ME_56_10" localSheetId="8">'[73]Top Lvl  Logic'!$N$39</definedName>
    <definedName name="PE_ME_56_10" localSheetId="9">'[73]Top Lvl  Logic'!$N$39</definedName>
    <definedName name="PE_ME_56_10" localSheetId="10">'[18]Top Lvl  Logic'!$N$39</definedName>
    <definedName name="PE_ME_56_10">'[23]Top Lvl  Logic'!$N$39</definedName>
    <definedName name="PE_ME_G6" localSheetId="4">'[73]Top Lvl  Logic'!$O$39</definedName>
    <definedName name="PE_ME_G6" localSheetId="3">'[73]Top Lvl  Logic'!$O$39</definedName>
    <definedName name="PE_ME_G6" localSheetId="2">'[73]Top Lvl  Logic'!$O$39</definedName>
    <definedName name="PE_ME_G6" localSheetId="5">'[73]Top Lvl  Logic'!$O$39</definedName>
    <definedName name="PE_ME_G6" localSheetId="6">'[73]Top Lvl  Logic'!$O$39</definedName>
    <definedName name="PE_ME_G6" localSheetId="7">'[73]Top Lvl  Logic'!$O$39</definedName>
    <definedName name="PE_ME_G6" localSheetId="8">'[73]Top Lvl  Logic'!$O$39</definedName>
    <definedName name="PE_ME_G6" localSheetId="9">'[73]Top Lvl  Logic'!$O$39</definedName>
    <definedName name="PE_ME_G6" localSheetId="10">'[18]Top Lvl  Logic'!$O$39</definedName>
    <definedName name="PE_ME_G6">'[23]Top Lvl  Logic'!$O$39</definedName>
    <definedName name="PE_ME_G6_10" localSheetId="4">'[73]Top Lvl  Logic'!$O$39</definedName>
    <definedName name="PE_ME_G6_10" localSheetId="3">'[73]Top Lvl  Logic'!$O$39</definedName>
    <definedName name="PE_ME_G6_10" localSheetId="2">'[73]Top Lvl  Logic'!$O$39</definedName>
    <definedName name="PE_ME_G6_10" localSheetId="5">'[73]Top Lvl  Logic'!$O$39</definedName>
    <definedName name="PE_ME_G6_10" localSheetId="6">'[73]Top Lvl  Logic'!$O$39</definedName>
    <definedName name="PE_ME_G6_10" localSheetId="7">'[73]Top Lvl  Logic'!$O$39</definedName>
    <definedName name="PE_ME_G6_10" localSheetId="8">'[73]Top Lvl  Logic'!$O$39</definedName>
    <definedName name="PE_ME_G6_10" localSheetId="9">'[73]Top Lvl  Logic'!$O$39</definedName>
    <definedName name="PE_ME_G6_10" localSheetId="10">'[18]Top Lvl  Logic'!$O$39</definedName>
    <definedName name="PE_ME_G6_10">'[23]Top Lvl  Logic'!$O$39</definedName>
    <definedName name="PE_ME_L0" localSheetId="4">'[73]Top Lvl  Logic'!$H$39</definedName>
    <definedName name="PE_ME_L0" localSheetId="3">'[73]Top Lvl  Logic'!$H$39</definedName>
    <definedName name="PE_ME_L0" localSheetId="2">'[73]Top Lvl  Logic'!$H$39</definedName>
    <definedName name="PE_ME_L0" localSheetId="5">'[73]Top Lvl  Logic'!$H$39</definedName>
    <definedName name="PE_ME_L0" localSheetId="6">'[73]Top Lvl  Logic'!$H$39</definedName>
    <definedName name="PE_ME_L0" localSheetId="7">'[73]Top Lvl  Logic'!$H$39</definedName>
    <definedName name="PE_ME_L0" localSheetId="8">'[73]Top Lvl  Logic'!$H$39</definedName>
    <definedName name="PE_ME_L0" localSheetId="9">'[73]Top Lvl  Logic'!$H$39</definedName>
    <definedName name="PE_ME_L0" localSheetId="10">'[18]Top Lvl  Logic'!$H$39</definedName>
    <definedName name="PE_ME_L0">'[23]Top Lvl  Logic'!$H$39</definedName>
    <definedName name="PE_ME_L0_10" localSheetId="4">'[73]Top Lvl  Logic'!$H$39</definedName>
    <definedName name="PE_ME_L0_10" localSheetId="3">'[73]Top Lvl  Logic'!$H$39</definedName>
    <definedName name="PE_ME_L0_10" localSheetId="2">'[73]Top Lvl  Logic'!$H$39</definedName>
    <definedName name="PE_ME_L0_10" localSheetId="5">'[73]Top Lvl  Logic'!$H$39</definedName>
    <definedName name="PE_ME_L0_10" localSheetId="6">'[73]Top Lvl  Logic'!$H$39</definedName>
    <definedName name="PE_ME_L0_10" localSheetId="7">'[73]Top Lvl  Logic'!$H$39</definedName>
    <definedName name="PE_ME_L0_10" localSheetId="8">'[73]Top Lvl  Logic'!$H$39</definedName>
    <definedName name="PE_ME_L0_10" localSheetId="9">'[73]Top Lvl  Logic'!$H$39</definedName>
    <definedName name="PE_ME_L0_10" localSheetId="10">'[18]Top Lvl  Logic'!$H$39</definedName>
    <definedName name="PE_ME_L0_10">'[23]Top Lvl  Logic'!$H$39</definedName>
    <definedName name="PE_ME_NA" localSheetId="4">'[73]Top Lvl  Logic'!$G$39</definedName>
    <definedName name="PE_ME_NA" localSheetId="3">'[73]Top Lvl  Logic'!$G$39</definedName>
    <definedName name="PE_ME_NA" localSheetId="2">'[73]Top Lvl  Logic'!$G$39</definedName>
    <definedName name="PE_ME_NA" localSheetId="5">'[73]Top Lvl  Logic'!$G$39</definedName>
    <definedName name="PE_ME_NA" localSheetId="6">'[73]Top Lvl  Logic'!$G$39</definedName>
    <definedName name="PE_ME_NA" localSheetId="7">'[73]Top Lvl  Logic'!$G$39</definedName>
    <definedName name="PE_ME_NA" localSheetId="8">'[73]Top Lvl  Logic'!$G$39</definedName>
    <definedName name="PE_ME_NA" localSheetId="9">'[73]Top Lvl  Logic'!$G$39</definedName>
    <definedName name="PE_ME_NA" localSheetId="10">'[18]Top Lvl  Logic'!$G$39</definedName>
    <definedName name="PE_ME_NA">'[23]Top Lvl  Logic'!$G$39</definedName>
    <definedName name="PE_ME_NA_10" localSheetId="4">'[73]Top Lvl  Logic'!$G$39</definedName>
    <definedName name="PE_ME_NA_10" localSheetId="3">'[73]Top Lvl  Logic'!$G$39</definedName>
    <definedName name="PE_ME_NA_10" localSheetId="2">'[73]Top Lvl  Logic'!$G$39</definedName>
    <definedName name="PE_ME_NA_10" localSheetId="5">'[73]Top Lvl  Logic'!$G$39</definedName>
    <definedName name="PE_ME_NA_10" localSheetId="6">'[73]Top Lvl  Logic'!$G$39</definedName>
    <definedName name="PE_ME_NA_10" localSheetId="7">'[73]Top Lvl  Logic'!$G$39</definedName>
    <definedName name="PE_ME_NA_10" localSheetId="8">'[73]Top Lvl  Logic'!$G$39</definedName>
    <definedName name="PE_ME_NA_10" localSheetId="9">'[73]Top Lvl  Logic'!$G$39</definedName>
    <definedName name="PE_ME_NA_10" localSheetId="10">'[18]Top Lvl  Logic'!$G$39</definedName>
    <definedName name="PE_ME_NA_10">'[23]Top Lvl  Logic'!$G$39</definedName>
    <definedName name="PE_MEA" localSheetId="4">'[73]Top Lvl  Logic'!$D$38</definedName>
    <definedName name="PE_MEA" localSheetId="3">'[73]Top Lvl  Logic'!$D$38</definedName>
    <definedName name="PE_MEA" localSheetId="2">'[73]Top Lvl  Logic'!$D$38</definedName>
    <definedName name="PE_MEA" localSheetId="5">'[73]Top Lvl  Logic'!$D$38</definedName>
    <definedName name="PE_MEA" localSheetId="6">'[73]Top Lvl  Logic'!$D$38</definedName>
    <definedName name="PE_MEA" localSheetId="7">'[73]Top Lvl  Logic'!$D$38</definedName>
    <definedName name="PE_MEA" localSheetId="8">'[73]Top Lvl  Logic'!$D$38</definedName>
    <definedName name="PE_MEA" localSheetId="9">'[73]Top Lvl  Logic'!$D$38</definedName>
    <definedName name="PE_MEA" localSheetId="10">'[18]Top Lvl  Logic'!$D$38</definedName>
    <definedName name="PE_MEA">'[23]Top Lvl  Logic'!$D$38</definedName>
    <definedName name="PE_MEA_10" localSheetId="4">'[73]Top Lvl  Logic'!$D$38</definedName>
    <definedName name="PE_MEA_10" localSheetId="3">'[73]Top Lvl  Logic'!$D$38</definedName>
    <definedName name="PE_MEA_10" localSheetId="2">'[73]Top Lvl  Logic'!$D$38</definedName>
    <definedName name="PE_MEA_10" localSheetId="5">'[73]Top Lvl  Logic'!$D$38</definedName>
    <definedName name="PE_MEA_10" localSheetId="6">'[73]Top Lvl  Logic'!$D$38</definedName>
    <definedName name="PE_MEA_10" localSheetId="7">'[73]Top Lvl  Logic'!$D$38</definedName>
    <definedName name="PE_MEA_10" localSheetId="8">'[73]Top Lvl  Logic'!$D$38</definedName>
    <definedName name="PE_MEA_10" localSheetId="9">'[73]Top Lvl  Logic'!$D$38</definedName>
    <definedName name="PE_MEA_10" localSheetId="10">'[18]Top Lvl  Logic'!$D$38</definedName>
    <definedName name="PE_MEA_10">'[23]Top Lvl  Logic'!$D$38</definedName>
    <definedName name="PE_PR_01" localSheetId="4">'[73]Top Lvl  Logic'!$I$38</definedName>
    <definedName name="PE_PR_01" localSheetId="3">'[73]Top Lvl  Logic'!$I$38</definedName>
    <definedName name="PE_PR_01" localSheetId="2">'[73]Top Lvl  Logic'!$I$38</definedName>
    <definedName name="PE_PR_01" localSheetId="5">'[73]Top Lvl  Logic'!$I$38</definedName>
    <definedName name="PE_PR_01" localSheetId="6">'[73]Top Lvl  Logic'!$I$38</definedName>
    <definedName name="PE_PR_01" localSheetId="7">'[73]Top Lvl  Logic'!$I$38</definedName>
    <definedName name="PE_PR_01" localSheetId="8">'[73]Top Lvl  Logic'!$I$38</definedName>
    <definedName name="PE_PR_01" localSheetId="9">'[73]Top Lvl  Logic'!$I$38</definedName>
    <definedName name="PE_PR_01" localSheetId="10">'[18]Top Lvl  Logic'!$I$38</definedName>
    <definedName name="PE_PR_01">'[23]Top Lvl  Logic'!$I$38</definedName>
    <definedName name="PE_PR_01_10" localSheetId="4">'[73]Top Lvl  Logic'!$I$38</definedName>
    <definedName name="PE_PR_01_10" localSheetId="3">'[73]Top Lvl  Logic'!$I$38</definedName>
    <definedName name="PE_PR_01_10" localSheetId="2">'[73]Top Lvl  Logic'!$I$38</definedName>
    <definedName name="PE_PR_01_10" localSheetId="5">'[73]Top Lvl  Logic'!$I$38</definedName>
    <definedName name="PE_PR_01_10" localSheetId="6">'[73]Top Lvl  Logic'!$I$38</definedName>
    <definedName name="PE_PR_01_10" localSheetId="7">'[73]Top Lvl  Logic'!$I$38</definedName>
    <definedName name="PE_PR_01_10" localSheetId="8">'[73]Top Lvl  Logic'!$I$38</definedName>
    <definedName name="PE_PR_01_10" localSheetId="9">'[73]Top Lvl  Logic'!$I$38</definedName>
    <definedName name="PE_PR_01_10" localSheetId="10">'[18]Top Lvl  Logic'!$I$38</definedName>
    <definedName name="PE_PR_01_10">'[23]Top Lvl  Logic'!$I$38</definedName>
    <definedName name="PE_PR_12" localSheetId="4">'[73]Top Lvl  Logic'!$J$38</definedName>
    <definedName name="PE_PR_12" localSheetId="3">'[73]Top Lvl  Logic'!$J$38</definedName>
    <definedName name="PE_PR_12" localSheetId="2">'[73]Top Lvl  Logic'!$J$38</definedName>
    <definedName name="PE_PR_12" localSheetId="5">'[73]Top Lvl  Logic'!$J$38</definedName>
    <definedName name="PE_PR_12" localSheetId="6">'[73]Top Lvl  Logic'!$J$38</definedName>
    <definedName name="PE_PR_12" localSheetId="7">'[73]Top Lvl  Logic'!$J$38</definedName>
    <definedName name="PE_PR_12" localSheetId="8">'[73]Top Lvl  Logic'!$J$38</definedName>
    <definedName name="PE_PR_12" localSheetId="9">'[73]Top Lvl  Logic'!$J$38</definedName>
    <definedName name="PE_PR_12" localSheetId="10">'[18]Top Lvl  Logic'!$J$38</definedName>
    <definedName name="PE_PR_12">'[23]Top Lvl  Logic'!$J$38</definedName>
    <definedName name="PE_PR_12_10" localSheetId="4">'[73]Top Lvl  Logic'!$J$38</definedName>
    <definedName name="PE_PR_12_10" localSheetId="3">'[73]Top Lvl  Logic'!$J$38</definedName>
    <definedName name="PE_PR_12_10" localSheetId="2">'[73]Top Lvl  Logic'!$J$38</definedName>
    <definedName name="PE_PR_12_10" localSheetId="5">'[73]Top Lvl  Logic'!$J$38</definedName>
    <definedName name="PE_PR_12_10" localSheetId="6">'[73]Top Lvl  Logic'!$J$38</definedName>
    <definedName name="PE_PR_12_10" localSheetId="7">'[73]Top Lvl  Logic'!$J$38</definedName>
    <definedName name="PE_PR_12_10" localSheetId="8">'[73]Top Lvl  Logic'!$J$38</definedName>
    <definedName name="PE_PR_12_10" localSheetId="9">'[73]Top Lvl  Logic'!$J$38</definedName>
    <definedName name="PE_PR_12_10" localSheetId="10">'[18]Top Lvl  Logic'!$J$38</definedName>
    <definedName name="PE_PR_12_10">'[23]Top Lvl  Logic'!$J$38</definedName>
    <definedName name="PE_PR_23" localSheetId="4">'[73]Top Lvl  Logic'!$K$38</definedName>
    <definedName name="PE_PR_23" localSheetId="3">'[73]Top Lvl  Logic'!$K$38</definedName>
    <definedName name="PE_PR_23" localSheetId="2">'[73]Top Lvl  Logic'!$K$38</definedName>
    <definedName name="PE_PR_23" localSheetId="5">'[73]Top Lvl  Logic'!$K$38</definedName>
    <definedName name="PE_PR_23" localSheetId="6">'[73]Top Lvl  Logic'!$K$38</definedName>
    <definedName name="PE_PR_23" localSheetId="7">'[73]Top Lvl  Logic'!$K$38</definedName>
    <definedName name="PE_PR_23" localSheetId="8">'[73]Top Lvl  Logic'!$K$38</definedName>
    <definedName name="PE_PR_23" localSheetId="9">'[73]Top Lvl  Logic'!$K$38</definedName>
    <definedName name="PE_PR_23" localSheetId="10">'[18]Top Lvl  Logic'!$K$38</definedName>
    <definedName name="PE_PR_23">'[23]Top Lvl  Logic'!$K$38</definedName>
    <definedName name="PE_PR_23_10" localSheetId="4">'[73]Top Lvl  Logic'!$K$38</definedName>
    <definedName name="PE_PR_23_10" localSheetId="3">'[73]Top Lvl  Logic'!$K$38</definedName>
    <definedName name="PE_PR_23_10" localSheetId="2">'[73]Top Lvl  Logic'!$K$38</definedName>
    <definedName name="PE_PR_23_10" localSheetId="5">'[73]Top Lvl  Logic'!$K$38</definedName>
    <definedName name="PE_PR_23_10" localSheetId="6">'[73]Top Lvl  Logic'!$K$38</definedName>
    <definedName name="PE_PR_23_10" localSheetId="7">'[73]Top Lvl  Logic'!$K$38</definedName>
    <definedName name="PE_PR_23_10" localSheetId="8">'[73]Top Lvl  Logic'!$K$38</definedName>
    <definedName name="PE_PR_23_10" localSheetId="9">'[73]Top Lvl  Logic'!$K$38</definedName>
    <definedName name="PE_PR_23_10" localSheetId="10">'[18]Top Lvl  Logic'!$K$38</definedName>
    <definedName name="PE_PR_23_10">'[23]Top Lvl  Logic'!$K$38</definedName>
    <definedName name="PE_PR_34" localSheetId="4">'[73]Top Lvl  Logic'!$L$38</definedName>
    <definedName name="PE_PR_34" localSheetId="3">'[73]Top Lvl  Logic'!$L$38</definedName>
    <definedName name="PE_PR_34" localSheetId="2">'[73]Top Lvl  Logic'!$L$38</definedName>
    <definedName name="PE_PR_34" localSheetId="5">'[73]Top Lvl  Logic'!$L$38</definedName>
    <definedName name="PE_PR_34" localSheetId="6">'[73]Top Lvl  Logic'!$L$38</definedName>
    <definedName name="PE_PR_34" localSheetId="7">'[73]Top Lvl  Logic'!$L$38</definedName>
    <definedName name="PE_PR_34" localSheetId="8">'[73]Top Lvl  Logic'!$L$38</definedName>
    <definedName name="PE_PR_34" localSheetId="9">'[73]Top Lvl  Logic'!$L$38</definedName>
    <definedName name="PE_PR_34" localSheetId="10">'[18]Top Lvl  Logic'!$L$38</definedName>
    <definedName name="PE_PR_34">'[23]Top Lvl  Logic'!$L$38</definedName>
    <definedName name="PE_PR_34_10" localSheetId="4">'[73]Top Lvl  Logic'!$L$38</definedName>
    <definedName name="PE_PR_34_10" localSheetId="3">'[73]Top Lvl  Logic'!$L$38</definedName>
    <definedName name="PE_PR_34_10" localSheetId="2">'[73]Top Lvl  Logic'!$L$38</definedName>
    <definedName name="PE_PR_34_10" localSheetId="5">'[73]Top Lvl  Logic'!$L$38</definedName>
    <definedName name="PE_PR_34_10" localSheetId="6">'[73]Top Lvl  Logic'!$L$38</definedName>
    <definedName name="PE_PR_34_10" localSheetId="7">'[73]Top Lvl  Logic'!$L$38</definedName>
    <definedName name="PE_PR_34_10" localSheetId="8">'[73]Top Lvl  Logic'!$L$38</definedName>
    <definedName name="PE_PR_34_10" localSheetId="9">'[73]Top Lvl  Logic'!$L$38</definedName>
    <definedName name="PE_PR_34_10" localSheetId="10">'[18]Top Lvl  Logic'!$L$38</definedName>
    <definedName name="PE_PR_34_10">'[23]Top Lvl  Logic'!$L$38</definedName>
    <definedName name="PE_PR_45" localSheetId="4">'[73]Top Lvl  Logic'!$M$38</definedName>
    <definedName name="PE_PR_45" localSheetId="3">'[73]Top Lvl  Logic'!$M$38</definedName>
    <definedName name="PE_PR_45" localSheetId="2">'[73]Top Lvl  Logic'!$M$38</definedName>
    <definedName name="PE_PR_45" localSheetId="5">'[73]Top Lvl  Logic'!$M$38</definedName>
    <definedName name="PE_PR_45" localSheetId="6">'[73]Top Lvl  Logic'!$M$38</definedName>
    <definedName name="PE_PR_45" localSheetId="7">'[73]Top Lvl  Logic'!$M$38</definedName>
    <definedName name="PE_PR_45" localSheetId="8">'[73]Top Lvl  Logic'!$M$38</definedName>
    <definedName name="PE_PR_45" localSheetId="9">'[73]Top Lvl  Logic'!$M$38</definedName>
    <definedName name="PE_PR_45" localSheetId="10">'[18]Top Lvl  Logic'!$M$38</definedName>
    <definedName name="PE_PR_45">'[23]Top Lvl  Logic'!$M$38</definedName>
    <definedName name="PE_PR_45_10" localSheetId="4">'[73]Top Lvl  Logic'!$M$38</definedName>
    <definedName name="PE_PR_45_10" localSheetId="3">'[73]Top Lvl  Logic'!$M$38</definedName>
    <definedName name="PE_PR_45_10" localSheetId="2">'[73]Top Lvl  Logic'!$M$38</definedName>
    <definedName name="PE_PR_45_10" localSheetId="5">'[73]Top Lvl  Logic'!$M$38</definedName>
    <definedName name="PE_PR_45_10" localSheetId="6">'[73]Top Lvl  Logic'!$M$38</definedName>
    <definedName name="PE_PR_45_10" localSheetId="7">'[73]Top Lvl  Logic'!$M$38</definedName>
    <definedName name="PE_PR_45_10" localSheetId="8">'[73]Top Lvl  Logic'!$M$38</definedName>
    <definedName name="PE_PR_45_10" localSheetId="9">'[73]Top Lvl  Logic'!$M$38</definedName>
    <definedName name="PE_PR_45_10" localSheetId="10">'[18]Top Lvl  Logic'!$M$38</definedName>
    <definedName name="PE_PR_45_10">'[23]Top Lvl  Logic'!$M$38</definedName>
    <definedName name="PE_PR_56" localSheetId="4">'[73]Top Lvl  Logic'!$N$38</definedName>
    <definedName name="PE_PR_56" localSheetId="3">'[73]Top Lvl  Logic'!$N$38</definedName>
    <definedName name="PE_PR_56" localSheetId="2">'[73]Top Lvl  Logic'!$N$38</definedName>
    <definedName name="PE_PR_56" localSheetId="5">'[73]Top Lvl  Logic'!$N$38</definedName>
    <definedName name="PE_PR_56" localSheetId="6">'[73]Top Lvl  Logic'!$N$38</definedName>
    <definedName name="PE_PR_56" localSheetId="7">'[73]Top Lvl  Logic'!$N$38</definedName>
    <definedName name="PE_PR_56" localSheetId="8">'[73]Top Lvl  Logic'!$N$38</definedName>
    <definedName name="PE_PR_56" localSheetId="9">'[73]Top Lvl  Logic'!$N$38</definedName>
    <definedName name="PE_PR_56" localSheetId="10">'[18]Top Lvl  Logic'!$N$38</definedName>
    <definedName name="PE_PR_56">'[23]Top Lvl  Logic'!$N$38</definedName>
    <definedName name="PE_PR_56_10" localSheetId="4">'[73]Top Lvl  Logic'!$N$38</definedName>
    <definedName name="PE_PR_56_10" localSheetId="3">'[73]Top Lvl  Logic'!$N$38</definedName>
    <definedName name="PE_PR_56_10" localSheetId="2">'[73]Top Lvl  Logic'!$N$38</definedName>
    <definedName name="PE_PR_56_10" localSheetId="5">'[73]Top Lvl  Logic'!$N$38</definedName>
    <definedName name="PE_PR_56_10" localSheetId="6">'[73]Top Lvl  Logic'!$N$38</definedName>
    <definedName name="PE_PR_56_10" localSheetId="7">'[73]Top Lvl  Logic'!$N$38</definedName>
    <definedName name="PE_PR_56_10" localSheetId="8">'[73]Top Lvl  Logic'!$N$38</definedName>
    <definedName name="PE_PR_56_10" localSheetId="9">'[73]Top Lvl  Logic'!$N$38</definedName>
    <definedName name="PE_PR_56_10" localSheetId="10">'[18]Top Lvl  Logic'!$N$38</definedName>
    <definedName name="PE_PR_56_10">'[23]Top Lvl  Logic'!$N$38</definedName>
    <definedName name="PE_PR_G6" localSheetId="4">'[73]Top Lvl  Logic'!$O$38</definedName>
    <definedName name="PE_PR_G6" localSheetId="3">'[73]Top Lvl  Logic'!$O$38</definedName>
    <definedName name="PE_PR_G6" localSheetId="2">'[73]Top Lvl  Logic'!$O$38</definedName>
    <definedName name="PE_PR_G6" localSheetId="5">'[73]Top Lvl  Logic'!$O$38</definedName>
    <definedName name="PE_PR_G6" localSheetId="6">'[73]Top Lvl  Logic'!$O$38</definedName>
    <definedName name="PE_PR_G6" localSheetId="7">'[73]Top Lvl  Logic'!$O$38</definedName>
    <definedName name="PE_PR_G6" localSheetId="8">'[73]Top Lvl  Logic'!$O$38</definedName>
    <definedName name="PE_PR_G6" localSheetId="9">'[73]Top Lvl  Logic'!$O$38</definedName>
    <definedName name="PE_PR_G6" localSheetId="10">'[18]Top Lvl  Logic'!$O$38</definedName>
    <definedName name="PE_PR_G6">'[23]Top Lvl  Logic'!$O$38</definedName>
    <definedName name="PE_PR_G6_10" localSheetId="4">'[73]Top Lvl  Logic'!$O$38</definedName>
    <definedName name="PE_PR_G6_10" localSheetId="3">'[73]Top Lvl  Logic'!$O$38</definedName>
    <definedName name="PE_PR_G6_10" localSheetId="2">'[73]Top Lvl  Logic'!$O$38</definedName>
    <definedName name="PE_PR_G6_10" localSheetId="5">'[73]Top Lvl  Logic'!$O$38</definedName>
    <definedName name="PE_PR_G6_10" localSheetId="6">'[73]Top Lvl  Logic'!$O$38</definedName>
    <definedName name="PE_PR_G6_10" localSheetId="7">'[73]Top Lvl  Logic'!$O$38</definedName>
    <definedName name="PE_PR_G6_10" localSheetId="8">'[73]Top Lvl  Logic'!$O$38</definedName>
    <definedName name="PE_PR_G6_10" localSheetId="9">'[73]Top Lvl  Logic'!$O$38</definedName>
    <definedName name="PE_PR_G6_10" localSheetId="10">'[18]Top Lvl  Logic'!$O$38</definedName>
    <definedName name="PE_PR_G6_10">'[23]Top Lvl  Logic'!$O$38</definedName>
    <definedName name="PE_PR_L0" localSheetId="4">'[73]Top Lvl  Logic'!$H$38</definedName>
    <definedName name="PE_PR_L0" localSheetId="3">'[73]Top Lvl  Logic'!$H$38</definedName>
    <definedName name="PE_PR_L0" localSheetId="2">'[73]Top Lvl  Logic'!$H$38</definedName>
    <definedName name="PE_PR_L0" localSheetId="5">'[73]Top Lvl  Logic'!$H$38</definedName>
    <definedName name="PE_PR_L0" localSheetId="6">'[73]Top Lvl  Logic'!$H$38</definedName>
    <definedName name="PE_PR_L0" localSheetId="7">'[73]Top Lvl  Logic'!$H$38</definedName>
    <definedName name="PE_PR_L0" localSheetId="8">'[73]Top Lvl  Logic'!$H$38</definedName>
    <definedName name="PE_PR_L0" localSheetId="9">'[73]Top Lvl  Logic'!$H$38</definedName>
    <definedName name="PE_PR_L0" localSheetId="10">'[18]Top Lvl  Logic'!$H$38</definedName>
    <definedName name="PE_PR_L0">'[23]Top Lvl  Logic'!$H$38</definedName>
    <definedName name="PE_PR_L0_10" localSheetId="4">'[73]Top Lvl  Logic'!$H$38</definedName>
    <definedName name="PE_PR_L0_10" localSheetId="3">'[73]Top Lvl  Logic'!$H$38</definedName>
    <definedName name="PE_PR_L0_10" localSheetId="2">'[73]Top Lvl  Logic'!$H$38</definedName>
    <definedName name="PE_PR_L0_10" localSheetId="5">'[73]Top Lvl  Logic'!$H$38</definedName>
    <definedName name="PE_PR_L0_10" localSheetId="6">'[73]Top Lvl  Logic'!$H$38</definedName>
    <definedName name="PE_PR_L0_10" localSheetId="7">'[73]Top Lvl  Logic'!$H$38</definedName>
    <definedName name="PE_PR_L0_10" localSheetId="8">'[73]Top Lvl  Logic'!$H$38</definedName>
    <definedName name="PE_PR_L0_10" localSheetId="9">'[73]Top Lvl  Logic'!$H$38</definedName>
    <definedName name="PE_PR_L0_10" localSheetId="10">'[18]Top Lvl  Logic'!$H$38</definedName>
    <definedName name="PE_PR_L0_10">'[23]Top Lvl  Logic'!$H$38</definedName>
    <definedName name="PE_PR_NA" localSheetId="4">'[73]Top Lvl  Logic'!$G$38</definedName>
    <definedName name="PE_PR_NA" localSheetId="3">'[73]Top Lvl  Logic'!$G$38</definedName>
    <definedName name="PE_PR_NA" localSheetId="2">'[73]Top Lvl  Logic'!$G$38</definedName>
    <definedName name="PE_PR_NA" localSheetId="5">'[73]Top Lvl  Logic'!$G$38</definedName>
    <definedName name="PE_PR_NA" localSheetId="6">'[73]Top Lvl  Logic'!$G$38</definedName>
    <definedName name="PE_PR_NA" localSheetId="7">'[73]Top Lvl  Logic'!$G$38</definedName>
    <definedName name="PE_PR_NA" localSheetId="8">'[73]Top Lvl  Logic'!$G$38</definedName>
    <definedName name="PE_PR_NA" localSheetId="9">'[73]Top Lvl  Logic'!$G$38</definedName>
    <definedName name="PE_PR_NA" localSheetId="10">'[18]Top Lvl  Logic'!$G$38</definedName>
    <definedName name="PE_PR_NA">'[23]Top Lvl  Logic'!$G$38</definedName>
    <definedName name="PE_PR_NA_10" localSheetId="4">'[73]Top Lvl  Logic'!$G$38</definedName>
    <definedName name="PE_PR_NA_10" localSheetId="3">'[73]Top Lvl  Logic'!$G$38</definedName>
    <definedName name="PE_PR_NA_10" localSheetId="2">'[73]Top Lvl  Logic'!$G$38</definedName>
    <definedName name="PE_PR_NA_10" localSheetId="5">'[73]Top Lvl  Logic'!$G$38</definedName>
    <definedName name="PE_PR_NA_10" localSheetId="6">'[73]Top Lvl  Logic'!$G$38</definedName>
    <definedName name="PE_PR_NA_10" localSheetId="7">'[73]Top Lvl  Logic'!$G$38</definedName>
    <definedName name="PE_PR_NA_10" localSheetId="8">'[73]Top Lvl  Logic'!$G$38</definedName>
    <definedName name="PE_PR_NA_10" localSheetId="9">'[73]Top Lvl  Logic'!$G$38</definedName>
    <definedName name="PE_PR_NA_10" localSheetId="10">'[18]Top Lvl  Logic'!$G$38</definedName>
    <definedName name="PE_PR_NA_10">'[23]Top Lvl  Logic'!$G$38</definedName>
    <definedName name="PE_PRE" localSheetId="4">'[73]Top Lvl  Logic'!$D$37</definedName>
    <definedName name="PE_PRE" localSheetId="3">'[73]Top Lvl  Logic'!$D$37</definedName>
    <definedName name="PE_PRE" localSheetId="2">'[73]Top Lvl  Logic'!$D$37</definedName>
    <definedName name="PE_PRE" localSheetId="5">'[73]Top Lvl  Logic'!$D$37</definedName>
    <definedName name="PE_PRE" localSheetId="6">'[73]Top Lvl  Logic'!$D$37</definedName>
    <definedName name="PE_PRE" localSheetId="7">'[73]Top Lvl  Logic'!$D$37</definedName>
    <definedName name="PE_PRE" localSheetId="8">'[73]Top Lvl  Logic'!$D$37</definedName>
    <definedName name="PE_PRE" localSheetId="9">'[73]Top Lvl  Logic'!$D$37</definedName>
    <definedName name="PE_PRE" localSheetId="10">'[18]Top Lvl  Logic'!$D$37</definedName>
    <definedName name="PE_PRE">'[23]Top Lvl  Logic'!$D$37</definedName>
    <definedName name="PE_PRE_10" localSheetId="4">'[73]Top Lvl  Logic'!$D$37</definedName>
    <definedName name="PE_PRE_10" localSheetId="3">'[73]Top Lvl  Logic'!$D$37</definedName>
    <definedName name="PE_PRE_10" localSheetId="2">'[73]Top Lvl  Logic'!$D$37</definedName>
    <definedName name="PE_PRE_10" localSheetId="5">'[73]Top Lvl  Logic'!$D$37</definedName>
    <definedName name="PE_PRE_10" localSheetId="6">'[73]Top Lvl  Logic'!$D$37</definedName>
    <definedName name="PE_PRE_10" localSheetId="7">'[73]Top Lvl  Logic'!$D$37</definedName>
    <definedName name="PE_PRE_10" localSheetId="8">'[73]Top Lvl  Logic'!$D$37</definedName>
    <definedName name="PE_PRE_10" localSheetId="9">'[73]Top Lvl  Logic'!$D$37</definedName>
    <definedName name="PE_PRE_10" localSheetId="10">'[18]Top Lvl  Logic'!$D$37</definedName>
    <definedName name="PE_PRE_10">'[23]Top Lvl  Logic'!$D$37</definedName>
    <definedName name="PE_VA_01" localSheetId="4">'[73]Top Lvl  Logic'!$I$40</definedName>
    <definedName name="PE_VA_01" localSheetId="3">'[73]Top Lvl  Logic'!$I$40</definedName>
    <definedName name="PE_VA_01" localSheetId="2">'[73]Top Lvl  Logic'!$I$40</definedName>
    <definedName name="PE_VA_01" localSheetId="5">'[73]Top Lvl  Logic'!$I$40</definedName>
    <definedName name="PE_VA_01" localSheetId="6">'[73]Top Lvl  Logic'!$I$40</definedName>
    <definedName name="PE_VA_01" localSheetId="7">'[73]Top Lvl  Logic'!$I$40</definedName>
    <definedName name="PE_VA_01" localSheetId="8">'[73]Top Lvl  Logic'!$I$40</definedName>
    <definedName name="PE_VA_01" localSheetId="9">'[73]Top Lvl  Logic'!$I$40</definedName>
    <definedName name="PE_VA_01" localSheetId="10">'[18]Top Lvl  Logic'!$I$40</definedName>
    <definedName name="PE_VA_01">'[23]Top Lvl  Logic'!$I$40</definedName>
    <definedName name="PE_VA_01_10" localSheetId="4">'[73]Top Lvl  Logic'!$I$40</definedName>
    <definedName name="PE_VA_01_10" localSheetId="3">'[73]Top Lvl  Logic'!$I$40</definedName>
    <definedName name="PE_VA_01_10" localSheetId="2">'[73]Top Lvl  Logic'!$I$40</definedName>
    <definedName name="PE_VA_01_10" localSheetId="5">'[73]Top Lvl  Logic'!$I$40</definedName>
    <definedName name="PE_VA_01_10" localSheetId="6">'[73]Top Lvl  Logic'!$I$40</definedName>
    <definedName name="PE_VA_01_10" localSheetId="7">'[73]Top Lvl  Logic'!$I$40</definedName>
    <definedName name="PE_VA_01_10" localSheetId="8">'[73]Top Lvl  Logic'!$I$40</definedName>
    <definedName name="PE_VA_01_10" localSheetId="9">'[73]Top Lvl  Logic'!$I$40</definedName>
    <definedName name="PE_VA_01_10" localSheetId="10">'[18]Top Lvl  Logic'!$I$40</definedName>
    <definedName name="PE_VA_01_10">'[23]Top Lvl  Logic'!$I$40</definedName>
    <definedName name="PE_VA_12" localSheetId="4">'[73]Top Lvl  Logic'!$J$40</definedName>
    <definedName name="PE_VA_12" localSheetId="3">'[73]Top Lvl  Logic'!$J$40</definedName>
    <definedName name="PE_VA_12" localSheetId="2">'[73]Top Lvl  Logic'!$J$40</definedName>
    <definedName name="PE_VA_12" localSheetId="5">'[73]Top Lvl  Logic'!$J$40</definedName>
    <definedName name="PE_VA_12" localSheetId="6">'[73]Top Lvl  Logic'!$J$40</definedName>
    <definedName name="PE_VA_12" localSheetId="7">'[73]Top Lvl  Logic'!$J$40</definedName>
    <definedName name="PE_VA_12" localSheetId="8">'[73]Top Lvl  Logic'!$J$40</definedName>
    <definedName name="PE_VA_12" localSheetId="9">'[73]Top Lvl  Logic'!$J$40</definedName>
    <definedName name="PE_VA_12" localSheetId="10">'[18]Top Lvl  Logic'!$J$40</definedName>
    <definedName name="PE_VA_12">'[23]Top Lvl  Logic'!$J$40</definedName>
    <definedName name="PE_VA_12_10" localSheetId="4">'[73]Top Lvl  Logic'!$J$40</definedName>
    <definedName name="PE_VA_12_10" localSheetId="3">'[73]Top Lvl  Logic'!$J$40</definedName>
    <definedName name="PE_VA_12_10" localSheetId="2">'[73]Top Lvl  Logic'!$J$40</definedName>
    <definedName name="PE_VA_12_10" localSheetId="5">'[73]Top Lvl  Logic'!$J$40</definedName>
    <definedName name="PE_VA_12_10" localSheetId="6">'[73]Top Lvl  Logic'!$J$40</definedName>
    <definedName name="PE_VA_12_10" localSheetId="7">'[73]Top Lvl  Logic'!$J$40</definedName>
    <definedName name="PE_VA_12_10" localSheetId="8">'[73]Top Lvl  Logic'!$J$40</definedName>
    <definedName name="PE_VA_12_10" localSheetId="9">'[73]Top Lvl  Logic'!$J$40</definedName>
    <definedName name="PE_VA_12_10" localSheetId="10">'[18]Top Lvl  Logic'!$J$40</definedName>
    <definedName name="PE_VA_12_10">'[23]Top Lvl  Logic'!$J$40</definedName>
    <definedName name="PE_VA_23" localSheetId="4">'[73]Top Lvl  Logic'!$K$40</definedName>
    <definedName name="PE_VA_23" localSheetId="3">'[73]Top Lvl  Logic'!$K$40</definedName>
    <definedName name="PE_VA_23" localSheetId="2">'[73]Top Lvl  Logic'!$K$40</definedName>
    <definedName name="PE_VA_23" localSheetId="5">'[73]Top Lvl  Logic'!$K$40</definedName>
    <definedName name="PE_VA_23" localSheetId="6">'[73]Top Lvl  Logic'!$K$40</definedName>
    <definedName name="PE_VA_23" localSheetId="7">'[73]Top Lvl  Logic'!$K$40</definedName>
    <definedName name="PE_VA_23" localSheetId="8">'[73]Top Lvl  Logic'!$K$40</definedName>
    <definedName name="PE_VA_23" localSheetId="9">'[73]Top Lvl  Logic'!$K$40</definedName>
    <definedName name="PE_VA_23" localSheetId="10">'[18]Top Lvl  Logic'!$K$40</definedName>
    <definedName name="PE_VA_23">'[23]Top Lvl  Logic'!$K$40</definedName>
    <definedName name="PE_VA_23_10" localSheetId="4">'[73]Top Lvl  Logic'!$K$40</definedName>
    <definedName name="PE_VA_23_10" localSheetId="3">'[73]Top Lvl  Logic'!$K$40</definedName>
    <definedName name="PE_VA_23_10" localSheetId="2">'[73]Top Lvl  Logic'!$K$40</definedName>
    <definedName name="PE_VA_23_10" localSheetId="5">'[73]Top Lvl  Logic'!$K$40</definedName>
    <definedName name="PE_VA_23_10" localSheetId="6">'[73]Top Lvl  Logic'!$K$40</definedName>
    <definedName name="PE_VA_23_10" localSheetId="7">'[73]Top Lvl  Logic'!$K$40</definedName>
    <definedName name="PE_VA_23_10" localSheetId="8">'[73]Top Lvl  Logic'!$K$40</definedName>
    <definedName name="PE_VA_23_10" localSheetId="9">'[73]Top Lvl  Logic'!$K$40</definedName>
    <definedName name="PE_VA_23_10" localSheetId="10">'[18]Top Lvl  Logic'!$K$40</definedName>
    <definedName name="PE_VA_23_10">'[23]Top Lvl  Logic'!$K$40</definedName>
    <definedName name="PE_VA_34" localSheetId="4">'[73]Top Lvl  Logic'!$L$40</definedName>
    <definedName name="PE_VA_34" localSheetId="3">'[73]Top Lvl  Logic'!$L$40</definedName>
    <definedName name="PE_VA_34" localSheetId="2">'[73]Top Lvl  Logic'!$L$40</definedName>
    <definedName name="PE_VA_34" localSheetId="5">'[73]Top Lvl  Logic'!$L$40</definedName>
    <definedName name="PE_VA_34" localSheetId="6">'[73]Top Lvl  Logic'!$L$40</definedName>
    <definedName name="PE_VA_34" localSheetId="7">'[73]Top Lvl  Logic'!$L$40</definedName>
    <definedName name="PE_VA_34" localSheetId="8">'[73]Top Lvl  Logic'!$L$40</definedName>
    <definedName name="PE_VA_34" localSheetId="9">'[73]Top Lvl  Logic'!$L$40</definedName>
    <definedName name="PE_VA_34" localSheetId="10">'[18]Top Lvl  Logic'!$L$40</definedName>
    <definedName name="PE_VA_34">'[23]Top Lvl  Logic'!$L$40</definedName>
    <definedName name="PE_VA_34_10" localSheetId="4">'[73]Top Lvl  Logic'!$L$40</definedName>
    <definedName name="PE_VA_34_10" localSheetId="3">'[73]Top Lvl  Logic'!$L$40</definedName>
    <definedName name="PE_VA_34_10" localSheetId="2">'[73]Top Lvl  Logic'!$L$40</definedName>
    <definedName name="PE_VA_34_10" localSheetId="5">'[73]Top Lvl  Logic'!$L$40</definedName>
    <definedName name="PE_VA_34_10" localSheetId="6">'[73]Top Lvl  Logic'!$L$40</definedName>
    <definedName name="PE_VA_34_10" localSheetId="7">'[73]Top Lvl  Logic'!$L$40</definedName>
    <definedName name="PE_VA_34_10" localSheetId="8">'[73]Top Lvl  Logic'!$L$40</definedName>
    <definedName name="PE_VA_34_10" localSheetId="9">'[73]Top Lvl  Logic'!$L$40</definedName>
    <definedName name="PE_VA_34_10" localSheetId="10">'[18]Top Lvl  Logic'!$L$40</definedName>
    <definedName name="PE_VA_34_10">'[23]Top Lvl  Logic'!$L$40</definedName>
    <definedName name="PE_VA_45" localSheetId="4">'[73]Top Lvl  Logic'!$M$40</definedName>
    <definedName name="PE_VA_45" localSheetId="3">'[73]Top Lvl  Logic'!$M$40</definedName>
    <definedName name="PE_VA_45" localSheetId="2">'[73]Top Lvl  Logic'!$M$40</definedName>
    <definedName name="PE_VA_45" localSheetId="5">'[73]Top Lvl  Logic'!$M$40</definedName>
    <definedName name="PE_VA_45" localSheetId="6">'[73]Top Lvl  Logic'!$M$40</definedName>
    <definedName name="PE_VA_45" localSheetId="7">'[73]Top Lvl  Logic'!$M$40</definedName>
    <definedName name="PE_VA_45" localSheetId="8">'[73]Top Lvl  Logic'!$M$40</definedName>
    <definedName name="PE_VA_45" localSheetId="9">'[73]Top Lvl  Logic'!$M$40</definedName>
    <definedName name="PE_VA_45" localSheetId="10">'[18]Top Lvl  Logic'!$M$40</definedName>
    <definedName name="PE_VA_45">'[23]Top Lvl  Logic'!$M$40</definedName>
    <definedName name="PE_VA_45_10" localSheetId="4">'[73]Top Lvl  Logic'!$M$40</definedName>
    <definedName name="PE_VA_45_10" localSheetId="3">'[73]Top Lvl  Logic'!$M$40</definedName>
    <definedName name="PE_VA_45_10" localSheetId="2">'[73]Top Lvl  Logic'!$M$40</definedName>
    <definedName name="PE_VA_45_10" localSheetId="5">'[73]Top Lvl  Logic'!$M$40</definedName>
    <definedName name="PE_VA_45_10" localSheetId="6">'[73]Top Lvl  Logic'!$M$40</definedName>
    <definedName name="PE_VA_45_10" localSheetId="7">'[73]Top Lvl  Logic'!$M$40</definedName>
    <definedName name="PE_VA_45_10" localSheetId="8">'[73]Top Lvl  Logic'!$M$40</definedName>
    <definedName name="PE_VA_45_10" localSheetId="9">'[73]Top Lvl  Logic'!$M$40</definedName>
    <definedName name="PE_VA_45_10" localSheetId="10">'[18]Top Lvl  Logic'!$M$40</definedName>
    <definedName name="PE_VA_45_10">'[23]Top Lvl  Logic'!$M$40</definedName>
    <definedName name="PE_VA_56" localSheetId="4">'[73]Top Lvl  Logic'!$N$40</definedName>
    <definedName name="PE_VA_56" localSheetId="3">'[73]Top Lvl  Logic'!$N$40</definedName>
    <definedName name="PE_VA_56" localSheetId="2">'[73]Top Lvl  Logic'!$N$40</definedName>
    <definedName name="PE_VA_56" localSheetId="5">'[73]Top Lvl  Logic'!$N$40</definedName>
    <definedName name="PE_VA_56" localSheetId="6">'[73]Top Lvl  Logic'!$N$40</definedName>
    <definedName name="PE_VA_56" localSheetId="7">'[73]Top Lvl  Logic'!$N$40</definedName>
    <definedName name="PE_VA_56" localSheetId="8">'[73]Top Lvl  Logic'!$N$40</definedName>
    <definedName name="PE_VA_56" localSheetId="9">'[73]Top Lvl  Logic'!$N$40</definedName>
    <definedName name="PE_VA_56" localSheetId="10">'[18]Top Lvl  Logic'!$N$40</definedName>
    <definedName name="PE_VA_56">'[23]Top Lvl  Logic'!$N$40</definedName>
    <definedName name="PE_VA_56_10" localSheetId="4">'[73]Top Lvl  Logic'!$N$40</definedName>
    <definedName name="PE_VA_56_10" localSheetId="3">'[73]Top Lvl  Logic'!$N$40</definedName>
    <definedName name="PE_VA_56_10" localSheetId="2">'[73]Top Lvl  Logic'!$N$40</definedName>
    <definedName name="PE_VA_56_10" localSheetId="5">'[73]Top Lvl  Logic'!$N$40</definedName>
    <definedName name="PE_VA_56_10" localSheetId="6">'[73]Top Lvl  Logic'!$N$40</definedName>
    <definedName name="PE_VA_56_10" localSheetId="7">'[73]Top Lvl  Logic'!$N$40</definedName>
    <definedName name="PE_VA_56_10" localSheetId="8">'[73]Top Lvl  Logic'!$N$40</definedName>
    <definedName name="PE_VA_56_10" localSheetId="9">'[73]Top Lvl  Logic'!$N$40</definedName>
    <definedName name="PE_VA_56_10" localSheetId="10">'[18]Top Lvl  Logic'!$N$40</definedName>
    <definedName name="PE_VA_56_10">'[23]Top Lvl  Logic'!$N$40</definedName>
    <definedName name="PE_VA_G6" localSheetId="4">'[73]Top Lvl  Logic'!$O$40</definedName>
    <definedName name="PE_VA_G6" localSheetId="3">'[73]Top Lvl  Logic'!$O$40</definedName>
    <definedName name="PE_VA_G6" localSheetId="2">'[73]Top Lvl  Logic'!$O$40</definedName>
    <definedName name="PE_VA_G6" localSheetId="5">'[73]Top Lvl  Logic'!$O$40</definedName>
    <definedName name="PE_VA_G6" localSheetId="6">'[73]Top Lvl  Logic'!$O$40</definedName>
    <definedName name="PE_VA_G6" localSheetId="7">'[73]Top Lvl  Logic'!$O$40</definedName>
    <definedName name="PE_VA_G6" localSheetId="8">'[73]Top Lvl  Logic'!$O$40</definedName>
    <definedName name="PE_VA_G6" localSheetId="9">'[73]Top Lvl  Logic'!$O$40</definedName>
    <definedName name="PE_VA_G6" localSheetId="10">'[18]Top Lvl  Logic'!$O$40</definedName>
    <definedName name="PE_VA_G6">'[23]Top Lvl  Logic'!$O$40</definedName>
    <definedName name="PE_VA_G6_10" localSheetId="4">'[73]Top Lvl  Logic'!$O$40</definedName>
    <definedName name="PE_VA_G6_10" localSheetId="3">'[73]Top Lvl  Logic'!$O$40</definedName>
    <definedName name="PE_VA_G6_10" localSheetId="2">'[73]Top Lvl  Logic'!$O$40</definedName>
    <definedName name="PE_VA_G6_10" localSheetId="5">'[73]Top Lvl  Logic'!$O$40</definedName>
    <definedName name="PE_VA_G6_10" localSheetId="6">'[73]Top Lvl  Logic'!$O$40</definedName>
    <definedName name="PE_VA_G6_10" localSheetId="7">'[73]Top Lvl  Logic'!$O$40</definedName>
    <definedName name="PE_VA_G6_10" localSheetId="8">'[73]Top Lvl  Logic'!$O$40</definedName>
    <definedName name="PE_VA_G6_10" localSheetId="9">'[73]Top Lvl  Logic'!$O$40</definedName>
    <definedName name="PE_VA_G6_10" localSheetId="10">'[18]Top Lvl  Logic'!$O$40</definedName>
    <definedName name="PE_VA_G6_10">'[23]Top Lvl  Logic'!$O$40</definedName>
    <definedName name="PE_VA_L0" localSheetId="4">'[73]Top Lvl  Logic'!$H$40</definedName>
    <definedName name="PE_VA_L0" localSheetId="3">'[73]Top Lvl  Logic'!$H$40</definedName>
    <definedName name="PE_VA_L0" localSheetId="2">'[73]Top Lvl  Logic'!$H$40</definedName>
    <definedName name="PE_VA_L0" localSheetId="5">'[73]Top Lvl  Logic'!$H$40</definedName>
    <definedName name="PE_VA_L0" localSheetId="6">'[73]Top Lvl  Logic'!$H$40</definedName>
    <definedName name="PE_VA_L0" localSheetId="7">'[73]Top Lvl  Logic'!$H$40</definedName>
    <definedName name="PE_VA_L0" localSheetId="8">'[73]Top Lvl  Logic'!$H$40</definedName>
    <definedName name="PE_VA_L0" localSheetId="9">'[73]Top Lvl  Logic'!$H$40</definedName>
    <definedName name="PE_VA_L0" localSheetId="10">'[18]Top Lvl  Logic'!$H$40</definedName>
    <definedName name="PE_VA_L0">'[23]Top Lvl  Logic'!$H$40</definedName>
    <definedName name="PE_VA_L0_10" localSheetId="4">'[73]Top Lvl  Logic'!$H$40</definedName>
    <definedName name="PE_VA_L0_10" localSheetId="3">'[73]Top Lvl  Logic'!$H$40</definedName>
    <definedName name="PE_VA_L0_10" localSheetId="2">'[73]Top Lvl  Logic'!$H$40</definedName>
    <definedName name="PE_VA_L0_10" localSheetId="5">'[73]Top Lvl  Logic'!$H$40</definedName>
    <definedName name="PE_VA_L0_10" localSheetId="6">'[73]Top Lvl  Logic'!$H$40</definedName>
    <definedName name="PE_VA_L0_10" localSheetId="7">'[73]Top Lvl  Logic'!$H$40</definedName>
    <definedName name="PE_VA_L0_10" localSheetId="8">'[73]Top Lvl  Logic'!$H$40</definedName>
    <definedName name="PE_VA_L0_10" localSheetId="9">'[73]Top Lvl  Logic'!$H$40</definedName>
    <definedName name="PE_VA_L0_10" localSheetId="10">'[18]Top Lvl  Logic'!$H$40</definedName>
    <definedName name="PE_VA_L0_10">'[23]Top Lvl  Logic'!$H$40</definedName>
    <definedName name="PE_VA_NA" localSheetId="4">'[73]Top Lvl  Logic'!$G$40</definedName>
    <definedName name="PE_VA_NA" localSheetId="3">'[73]Top Lvl  Logic'!$G$40</definedName>
    <definedName name="PE_VA_NA" localSheetId="2">'[73]Top Lvl  Logic'!$G$40</definedName>
    <definedName name="PE_VA_NA" localSheetId="5">'[73]Top Lvl  Logic'!$G$40</definedName>
    <definedName name="PE_VA_NA" localSheetId="6">'[73]Top Lvl  Logic'!$G$40</definedName>
    <definedName name="PE_VA_NA" localSheetId="7">'[73]Top Lvl  Logic'!$G$40</definedName>
    <definedName name="PE_VA_NA" localSheetId="8">'[73]Top Lvl  Logic'!$G$40</definedName>
    <definedName name="PE_VA_NA" localSheetId="9">'[73]Top Lvl  Logic'!$G$40</definedName>
    <definedName name="PE_VA_NA" localSheetId="10">'[18]Top Lvl  Logic'!$G$40</definedName>
    <definedName name="PE_VA_NA">'[23]Top Lvl  Logic'!$G$40</definedName>
    <definedName name="PE_VA_NA_10" localSheetId="4">'[73]Top Lvl  Logic'!$G$40</definedName>
    <definedName name="PE_VA_NA_10" localSheetId="3">'[73]Top Lvl  Logic'!$G$40</definedName>
    <definedName name="PE_VA_NA_10" localSheetId="2">'[73]Top Lvl  Logic'!$G$40</definedName>
    <definedName name="PE_VA_NA_10" localSheetId="5">'[73]Top Lvl  Logic'!$G$40</definedName>
    <definedName name="PE_VA_NA_10" localSheetId="6">'[73]Top Lvl  Logic'!$G$40</definedName>
    <definedName name="PE_VA_NA_10" localSheetId="7">'[73]Top Lvl  Logic'!$G$40</definedName>
    <definedName name="PE_VA_NA_10" localSheetId="8">'[73]Top Lvl  Logic'!$G$40</definedName>
    <definedName name="PE_VA_NA_10" localSheetId="9">'[73]Top Lvl  Logic'!$G$40</definedName>
    <definedName name="PE_VA_NA_10" localSheetId="10">'[18]Top Lvl  Logic'!$G$40</definedName>
    <definedName name="PE_VA_NA_10">'[23]Top Lvl  Logic'!$G$40</definedName>
    <definedName name="PE_VAL" localSheetId="4">'[73]Top Lvl  Logic'!$D$39</definedName>
    <definedName name="PE_VAL" localSheetId="3">'[73]Top Lvl  Logic'!$D$39</definedName>
    <definedName name="PE_VAL" localSheetId="2">'[73]Top Lvl  Logic'!$D$39</definedName>
    <definedName name="PE_VAL" localSheetId="5">'[73]Top Lvl  Logic'!$D$39</definedName>
    <definedName name="PE_VAL" localSheetId="6">'[73]Top Lvl  Logic'!$D$39</definedName>
    <definedName name="PE_VAL" localSheetId="7">'[73]Top Lvl  Logic'!$D$39</definedName>
    <definedName name="PE_VAL" localSheetId="8">'[73]Top Lvl  Logic'!$D$39</definedName>
    <definedName name="PE_VAL" localSheetId="9">'[73]Top Lvl  Logic'!$D$39</definedName>
    <definedName name="PE_VAL" localSheetId="10">'[18]Top Lvl  Logic'!$D$39</definedName>
    <definedName name="PE_VAL">'[23]Top Lvl  Logic'!$D$39</definedName>
    <definedName name="PE_VAL_10" localSheetId="4">'[73]Top Lvl  Logic'!$D$39</definedName>
    <definedName name="PE_VAL_10" localSheetId="3">'[73]Top Lvl  Logic'!$D$39</definedName>
    <definedName name="PE_VAL_10" localSheetId="2">'[73]Top Lvl  Logic'!$D$39</definedName>
    <definedName name="PE_VAL_10" localSheetId="5">'[73]Top Lvl  Logic'!$D$39</definedName>
    <definedName name="PE_VAL_10" localSheetId="6">'[73]Top Lvl  Logic'!$D$39</definedName>
    <definedName name="PE_VAL_10" localSheetId="7">'[73]Top Lvl  Logic'!$D$39</definedName>
    <definedName name="PE_VAL_10" localSheetId="8">'[73]Top Lvl  Logic'!$D$39</definedName>
    <definedName name="PE_VAL_10" localSheetId="9">'[73]Top Lvl  Logic'!$D$39</definedName>
    <definedName name="PE_VAL_10" localSheetId="10">'[18]Top Lvl  Logic'!$D$39</definedName>
    <definedName name="PE_VAL_10">'[23]Top Lvl  Logic'!$D$39</definedName>
    <definedName name="pentagon" localSheetId="4">#REF!</definedName>
    <definedName name="pentagon" localSheetId="3">#REF!</definedName>
    <definedName name="pentagon" localSheetId="2">#REF!</definedName>
    <definedName name="pentagon" localSheetId="5">#REF!</definedName>
    <definedName name="pentagon" localSheetId="6">#REF!</definedName>
    <definedName name="pentagon" localSheetId="7">#REF!</definedName>
    <definedName name="pentagon" localSheetId="8">#REF!</definedName>
    <definedName name="pentagon" localSheetId="9">#REF!</definedName>
    <definedName name="pentagon" localSheetId="10">#REF!</definedName>
    <definedName name="pentagon" localSheetId="11">#REF!</definedName>
    <definedName name="pentagon">#REF!</definedName>
    <definedName name="percentage" localSheetId="4">[51]SUM14ZC1!#REF!</definedName>
    <definedName name="percentage" localSheetId="3">[51]SUM14ZC1!#REF!</definedName>
    <definedName name="percentage" localSheetId="2">[51]SUM14ZC1!#REF!</definedName>
    <definedName name="percentage" localSheetId="5">[51]SUM14ZC1!#REF!</definedName>
    <definedName name="percentage" localSheetId="6">[51]SUM14ZC1!#REF!</definedName>
    <definedName name="percentage" localSheetId="7">[51]SUM14ZC1!#REF!</definedName>
    <definedName name="percentage" localSheetId="8">[51]SUM14ZC1!#REF!</definedName>
    <definedName name="percentage" localSheetId="9">[51]SUM14ZC1!#REF!</definedName>
    <definedName name="percentage" localSheetId="10">[72]SUM14ZC1!#REF!</definedName>
    <definedName name="percentage">[39]SUM14ZC1!#REF!</definedName>
    <definedName name="Perf_DPU" localSheetId="4">[73]SUMMARY!$C$8</definedName>
    <definedName name="Perf_DPU" localSheetId="3">[73]SUMMARY!$C$8</definedName>
    <definedName name="Perf_DPU" localSheetId="2">[73]SUMMARY!$C$8</definedName>
    <definedName name="Perf_DPU" localSheetId="5">[73]SUMMARY!$C$8</definedName>
    <definedName name="Perf_DPU" localSheetId="6">[73]SUMMARY!$C$8</definedName>
    <definedName name="Perf_DPU" localSheetId="7">[73]SUMMARY!$C$8</definedName>
    <definedName name="Perf_DPU" localSheetId="8">[73]SUMMARY!$C$8</definedName>
    <definedName name="Perf_DPU" localSheetId="9">[73]SUMMARY!$C$8</definedName>
    <definedName name="Perf_DPU" localSheetId="10">[18]Summary!$C$8</definedName>
    <definedName name="Perf_DPU">[23]Summary!$C$8</definedName>
    <definedName name="Perf_DPU_10" localSheetId="4">[73]SUMMARY!$C$8</definedName>
    <definedName name="Perf_DPU_10" localSheetId="3">[73]SUMMARY!$C$8</definedName>
    <definedName name="Perf_DPU_10" localSheetId="2">[73]SUMMARY!$C$8</definedName>
    <definedName name="Perf_DPU_10" localSheetId="5">[73]SUMMARY!$C$8</definedName>
    <definedName name="Perf_DPU_10" localSheetId="6">[73]SUMMARY!$C$8</definedName>
    <definedName name="Perf_DPU_10" localSheetId="7">[73]SUMMARY!$C$8</definedName>
    <definedName name="Perf_DPU_10" localSheetId="8">[73]SUMMARY!$C$8</definedName>
    <definedName name="Perf_DPU_10" localSheetId="9">[73]SUMMARY!$C$8</definedName>
    <definedName name="Perf_DPU_10" localSheetId="10">[18]Summary!$C$8</definedName>
    <definedName name="Perf_DPU_10">[23]Summary!$C$8</definedName>
    <definedName name="Perf_M" localSheetId="4">[73]SUMMARY!$F$8</definedName>
    <definedName name="Perf_M" localSheetId="3">[73]SUMMARY!$F$8</definedName>
    <definedName name="Perf_M" localSheetId="2">[73]SUMMARY!$F$8</definedName>
    <definedName name="Perf_M" localSheetId="5">[73]SUMMARY!$F$8</definedName>
    <definedName name="Perf_M" localSheetId="6">[73]SUMMARY!$F$8</definedName>
    <definedName name="Perf_M" localSheetId="7">[73]SUMMARY!$F$8</definedName>
    <definedName name="Perf_M" localSheetId="8">[73]SUMMARY!$F$8</definedName>
    <definedName name="Perf_M" localSheetId="9">[73]SUMMARY!$F$8</definedName>
    <definedName name="Perf_M" localSheetId="10">[18]Summary!$F$8</definedName>
    <definedName name="Perf_M">[23]Summary!$F$8</definedName>
    <definedName name="Perf_M_10" localSheetId="4">[73]SUMMARY!$F$8</definedName>
    <definedName name="Perf_M_10" localSheetId="3">[73]SUMMARY!$F$8</definedName>
    <definedName name="Perf_M_10" localSheetId="2">[73]SUMMARY!$F$8</definedName>
    <definedName name="Perf_M_10" localSheetId="5">[73]SUMMARY!$F$8</definedName>
    <definedName name="Perf_M_10" localSheetId="6">[73]SUMMARY!$F$8</definedName>
    <definedName name="Perf_M_10" localSheetId="7">[73]SUMMARY!$F$8</definedName>
    <definedName name="Perf_M_10" localSheetId="8">[73]SUMMARY!$F$8</definedName>
    <definedName name="Perf_M_10" localSheetId="9">[73]SUMMARY!$F$8</definedName>
    <definedName name="Perf_M_10" localSheetId="10">[18]Summary!$F$8</definedName>
    <definedName name="Perf_M_10">[23]Summary!$F$8</definedName>
    <definedName name="Perf_M_Opp" localSheetId="4">[73]SUMMARY!$H$8</definedName>
    <definedName name="Perf_M_Opp" localSheetId="3">[73]SUMMARY!$H$8</definedName>
    <definedName name="Perf_M_Opp" localSheetId="2">[73]SUMMARY!$H$8</definedName>
    <definedName name="Perf_M_Opp" localSheetId="5">[73]SUMMARY!$H$8</definedName>
    <definedName name="Perf_M_Opp" localSheetId="6">[73]SUMMARY!$H$8</definedName>
    <definedName name="Perf_M_Opp" localSheetId="7">[73]SUMMARY!$H$8</definedName>
    <definedName name="Perf_M_Opp" localSheetId="8">[73]SUMMARY!$H$8</definedName>
    <definedName name="Perf_M_Opp" localSheetId="9">[73]SUMMARY!$H$8</definedName>
    <definedName name="Perf_M_Opp" localSheetId="10">[18]Summary!$H$8</definedName>
    <definedName name="Perf_M_Opp">[23]Summary!$H$8</definedName>
    <definedName name="Perf_M_Opp_10" localSheetId="4">[73]SUMMARY!$H$8</definedName>
    <definedName name="Perf_M_Opp_10" localSheetId="3">[73]SUMMARY!$H$8</definedName>
    <definedName name="Perf_M_Opp_10" localSheetId="2">[73]SUMMARY!$H$8</definedName>
    <definedName name="Perf_M_Opp_10" localSheetId="5">[73]SUMMARY!$H$8</definedName>
    <definedName name="Perf_M_Opp_10" localSheetId="6">[73]SUMMARY!$H$8</definedName>
    <definedName name="Perf_M_Opp_10" localSheetId="7">[73]SUMMARY!$H$8</definedName>
    <definedName name="Perf_M_Opp_10" localSheetId="8">[73]SUMMARY!$H$8</definedName>
    <definedName name="Perf_M_Opp_10" localSheetId="9">[73]SUMMARY!$H$8</definedName>
    <definedName name="Perf_M_Opp_10" localSheetId="10">[18]Summary!$H$8</definedName>
    <definedName name="Perf_M_Opp_10">[23]Summary!$H$8</definedName>
    <definedName name="Perf_Opp" localSheetId="4">[73]SUMMARY!$D$8</definedName>
    <definedName name="Perf_Opp" localSheetId="3">[73]SUMMARY!$D$8</definedName>
    <definedName name="Perf_Opp" localSheetId="2">[73]SUMMARY!$D$8</definedName>
    <definedName name="Perf_Opp" localSheetId="5">[73]SUMMARY!$D$8</definedName>
    <definedName name="Perf_Opp" localSheetId="6">[73]SUMMARY!$D$8</definedName>
    <definedName name="Perf_Opp" localSheetId="7">[73]SUMMARY!$D$8</definedName>
    <definedName name="Perf_Opp" localSheetId="8">[73]SUMMARY!$D$8</definedName>
    <definedName name="Perf_Opp" localSheetId="9">[73]SUMMARY!$D$8</definedName>
    <definedName name="Perf_Opp" localSheetId="10">[18]Summary!$D$8</definedName>
    <definedName name="Perf_Opp">[23]Summary!$D$8</definedName>
    <definedName name="Perf_Opp_10" localSheetId="4">[73]SUMMARY!$D$8</definedName>
    <definedName name="Perf_Opp_10" localSheetId="3">[73]SUMMARY!$D$8</definedName>
    <definedName name="Perf_Opp_10" localSheetId="2">[73]SUMMARY!$D$8</definedName>
    <definedName name="Perf_Opp_10" localSheetId="5">[73]SUMMARY!$D$8</definedName>
    <definedName name="Perf_Opp_10" localSheetId="6">[73]SUMMARY!$D$8</definedName>
    <definedName name="Perf_Opp_10" localSheetId="7">[73]SUMMARY!$D$8</definedName>
    <definedName name="Perf_Opp_10" localSheetId="8">[73]SUMMARY!$D$8</definedName>
    <definedName name="Perf_Opp_10" localSheetId="9">[73]SUMMARY!$D$8</definedName>
    <definedName name="Perf_Opp_10" localSheetId="10">[18]Summary!$D$8</definedName>
    <definedName name="Perf_Opp_10">[23]Summary!$D$8</definedName>
    <definedName name="Perf_Total_M" localSheetId="4">[73]SUMMARY!$G$8</definedName>
    <definedName name="Perf_Total_M" localSheetId="3">[73]SUMMARY!$G$8</definedName>
    <definedName name="Perf_Total_M" localSheetId="2">[73]SUMMARY!$G$8</definedName>
    <definedName name="Perf_Total_M" localSheetId="5">[73]SUMMARY!$G$8</definedName>
    <definedName name="Perf_Total_M" localSheetId="6">[73]SUMMARY!$G$8</definedName>
    <definedName name="Perf_Total_M" localSheetId="7">[73]SUMMARY!$G$8</definedName>
    <definedName name="Perf_Total_M" localSheetId="8">[73]SUMMARY!$G$8</definedName>
    <definedName name="Perf_Total_M" localSheetId="9">[73]SUMMARY!$G$8</definedName>
    <definedName name="Perf_Total_M" localSheetId="10">[18]Summary!$G$8</definedName>
    <definedName name="Perf_Total_M">[23]Summary!$G$8</definedName>
    <definedName name="Perf_Total_M_10" localSheetId="4">[73]SUMMARY!$G$8</definedName>
    <definedName name="Perf_Total_M_10" localSheetId="3">[73]SUMMARY!$G$8</definedName>
    <definedName name="Perf_Total_M_10" localSheetId="2">[73]SUMMARY!$G$8</definedName>
    <definedName name="Perf_Total_M_10" localSheetId="5">[73]SUMMARY!$G$8</definedName>
    <definedName name="Perf_Total_M_10" localSheetId="6">[73]SUMMARY!$G$8</definedName>
    <definedName name="Perf_Total_M_10" localSheetId="7">[73]SUMMARY!$G$8</definedName>
    <definedName name="Perf_Total_M_10" localSheetId="8">[73]SUMMARY!$G$8</definedName>
    <definedName name="Perf_Total_M_10" localSheetId="9">[73]SUMMARY!$G$8</definedName>
    <definedName name="Perf_Total_M_10" localSheetId="10">[18]Summary!$G$8</definedName>
    <definedName name="Perf_Total_M_10">[23]Summary!$G$8</definedName>
    <definedName name="Perf_Zst" localSheetId="4">[73]SUMMARY!$E$8</definedName>
    <definedName name="Perf_Zst" localSheetId="3">[73]SUMMARY!$E$8</definedName>
    <definedName name="Perf_Zst" localSheetId="2">[73]SUMMARY!$E$8</definedName>
    <definedName name="Perf_Zst" localSheetId="5">[73]SUMMARY!$E$8</definedName>
    <definedName name="Perf_Zst" localSheetId="6">[73]SUMMARY!$E$8</definedName>
    <definedName name="Perf_Zst" localSheetId="7">[73]SUMMARY!$E$8</definedName>
    <definedName name="Perf_Zst" localSheetId="8">[73]SUMMARY!$E$8</definedName>
    <definedName name="Perf_Zst" localSheetId="9">[73]SUMMARY!$E$8</definedName>
    <definedName name="Perf_Zst" localSheetId="10">[18]Summary!$E$8</definedName>
    <definedName name="Perf_Zst">[23]Summary!$E$8</definedName>
    <definedName name="Perf_Zst_10" localSheetId="4">[73]SUMMARY!$E$8</definedName>
    <definedName name="Perf_Zst_10" localSheetId="3">[73]SUMMARY!$E$8</definedName>
    <definedName name="Perf_Zst_10" localSheetId="2">[73]SUMMARY!$E$8</definedName>
    <definedName name="Perf_Zst_10" localSheetId="5">[73]SUMMARY!$E$8</definedName>
    <definedName name="Perf_Zst_10" localSheetId="6">[73]SUMMARY!$E$8</definedName>
    <definedName name="Perf_Zst_10" localSheetId="7">[73]SUMMARY!$E$8</definedName>
    <definedName name="Perf_Zst_10" localSheetId="8">[73]SUMMARY!$E$8</definedName>
    <definedName name="Perf_Zst_10" localSheetId="9">[73]SUMMARY!$E$8</definedName>
    <definedName name="Perf_Zst_10" localSheetId="10">[18]Summary!$E$8</definedName>
    <definedName name="Perf_Zst_10">[23]Summary!$E$8</definedName>
    <definedName name="Performance_Name" localSheetId="4">#REF!</definedName>
    <definedName name="Performance_Name" localSheetId="3">#REF!</definedName>
    <definedName name="Performance_Name" localSheetId="2">#REF!</definedName>
    <definedName name="Performance_Name" localSheetId="5">#REF!</definedName>
    <definedName name="Performance_Name" localSheetId="6">#REF!</definedName>
    <definedName name="Performance_Name" localSheetId="7">#REF!</definedName>
    <definedName name="Performance_Name" localSheetId="8">#REF!</definedName>
    <definedName name="Performance_Name" localSheetId="9">#REF!</definedName>
    <definedName name="Performance_Name" localSheetId="10">#REF!</definedName>
    <definedName name="Performance_Name" localSheetId="11">#REF!</definedName>
    <definedName name="Performance_Name">#REF!</definedName>
    <definedName name="perro" localSheetId="4" hidden="1">{#N/A,#N/A,TRUE,"Distribution";#N/A,#N/A,TRUE,"Fulfillment";#N/A,#N/A,TRUE,"Aged Backorders"}</definedName>
    <definedName name="perro" localSheetId="3" hidden="1">{#N/A,#N/A,TRUE,"Distribution";#N/A,#N/A,TRUE,"Fulfillment";#N/A,#N/A,TRUE,"Aged Backorders"}</definedName>
    <definedName name="perro" localSheetId="2" hidden="1">{#N/A,#N/A,TRUE,"Distribution";#N/A,#N/A,TRUE,"Fulfillment";#N/A,#N/A,TRUE,"Aged Backorders"}</definedName>
    <definedName name="perro" localSheetId="8" hidden="1">{#N/A,#N/A,TRUE,"Distribution";#N/A,#N/A,TRUE,"Fulfillment";#N/A,#N/A,TRUE,"Aged Backorders"}</definedName>
    <definedName name="perro" localSheetId="9" hidden="1">{#N/A,#N/A,TRUE,"Distribution";#N/A,#N/A,TRUE,"Fulfillment";#N/A,#N/A,TRUE,"Aged Backorders"}</definedName>
    <definedName name="perro" localSheetId="10" hidden="1">{#N/A,#N/A,TRUE,"Distribution";#N/A,#N/A,TRUE,"Fulfillment";#N/A,#N/A,TRUE,"Aged Backorders"}</definedName>
    <definedName name="perro" hidden="1">{#N/A,#N/A,TRUE,"Distribution";#N/A,#N/A,TRUE,"Fulfillment";#N/A,#N/A,TRUE,"Aged Backorders"}</definedName>
    <definedName name="pescado" localSheetId="4" hidden="1">{#N/A,#N/A,TRUE,"Distribution";#N/A,#N/A,TRUE,"Fulfillment";#N/A,#N/A,TRUE,"Aged Backorders"}</definedName>
    <definedName name="pescado" localSheetId="3" hidden="1">{#N/A,#N/A,TRUE,"Distribution";#N/A,#N/A,TRUE,"Fulfillment";#N/A,#N/A,TRUE,"Aged Backorders"}</definedName>
    <definedName name="pescado" localSheetId="2" hidden="1">{#N/A,#N/A,TRUE,"Distribution";#N/A,#N/A,TRUE,"Fulfillment";#N/A,#N/A,TRUE,"Aged Backorders"}</definedName>
    <definedName name="pescado" localSheetId="8" hidden="1">{#N/A,#N/A,TRUE,"Distribution";#N/A,#N/A,TRUE,"Fulfillment";#N/A,#N/A,TRUE,"Aged Backorders"}</definedName>
    <definedName name="pescado" localSheetId="9" hidden="1">{#N/A,#N/A,TRUE,"Distribution";#N/A,#N/A,TRUE,"Fulfillment";#N/A,#N/A,TRUE,"Aged Backorders"}</definedName>
    <definedName name="pescado" localSheetId="10" hidden="1">{#N/A,#N/A,TRUE,"Distribution";#N/A,#N/A,TRUE,"Fulfillment";#N/A,#N/A,TRUE,"Aged Backorders"}</definedName>
    <definedName name="pescado" hidden="1">{#N/A,#N/A,TRUE,"Distribution";#N/A,#N/A,TRUE,"Fulfillment";#N/A,#N/A,TRUE,"Aged Backorders"}</definedName>
    <definedName name="PFS_No" localSheetId="4">'[44]Program Inputs'!$C$6</definedName>
    <definedName name="PFS_No" localSheetId="3">'[44]Program Inputs'!$C$6</definedName>
    <definedName name="PFS_No" localSheetId="2">'[44]Program Inputs'!$C$6</definedName>
    <definedName name="PFS_No" localSheetId="5">'[44]Program Inputs'!$C$6</definedName>
    <definedName name="PFS_No" localSheetId="6">'[44]Program Inputs'!$C$6</definedName>
    <definedName name="PFS_No" localSheetId="7">'[44]Program Inputs'!$C$6</definedName>
    <definedName name="PFS_No" localSheetId="8">'[44]Program Inputs'!$C$6</definedName>
    <definedName name="PFS_No" localSheetId="9">'[44]Program Inputs'!$C$6</definedName>
    <definedName name="PFS_No" localSheetId="10">'[19]Program Inputs'!$C$6</definedName>
    <definedName name="PFS_No">'[33]Program Inputs'!$C$6</definedName>
    <definedName name="PhaseList" localSheetId="4">[49]LOV!$A$6</definedName>
    <definedName name="PhaseList" localSheetId="3">[49]LOV!$A$6</definedName>
    <definedName name="PhaseList" localSheetId="2">[49]LOV!$A$6</definedName>
    <definedName name="PhaseList" localSheetId="5">[49]LOV!$A$6</definedName>
    <definedName name="PhaseList" localSheetId="6">[49]LOV!$A$6</definedName>
    <definedName name="PhaseList" localSheetId="7">[49]LOV!$A$6</definedName>
    <definedName name="PhaseList" localSheetId="8">[50]LOV!$A$6</definedName>
    <definedName name="PhaseList" localSheetId="9">[50]LOV!$A$6</definedName>
    <definedName name="PhaseList" localSheetId="10">[89]LOV!$A$6</definedName>
    <definedName name="PhaseList">[38]LOV!$A$6</definedName>
    <definedName name="Phases" localSheetId="4">[49]LOV!$A$7:$H$7</definedName>
    <definedName name="Phases" localSheetId="3">[49]LOV!$A$7:$H$7</definedName>
    <definedName name="Phases" localSheetId="2">[49]LOV!$A$7:$H$7</definedName>
    <definedName name="Phases" localSheetId="5">[49]LOV!$A$7:$H$7</definedName>
    <definedName name="Phases" localSheetId="6">[49]LOV!$A$7:$H$7</definedName>
    <definedName name="Phases" localSheetId="7">[49]LOV!$A$7:$H$7</definedName>
    <definedName name="Phases" localSheetId="8">[50]LOV!$A$7:$H$7</definedName>
    <definedName name="Phases" localSheetId="9">[50]LOV!$A$7:$H$7</definedName>
    <definedName name="Phases" localSheetId="10">[89]LOV!$A$7:$H$7</definedName>
    <definedName name="Phases">[38]LOV!$A$7:$H$7</definedName>
    <definedName name="PJC" localSheetId="4">#REF!</definedName>
    <definedName name="PJC" localSheetId="3">#REF!</definedName>
    <definedName name="PJC" localSheetId="2">#REF!</definedName>
    <definedName name="PJC" localSheetId="5">#REF!</definedName>
    <definedName name="PJC" localSheetId="6">#REF!</definedName>
    <definedName name="PJC" localSheetId="7">#REF!</definedName>
    <definedName name="PJC" localSheetId="8">#REF!</definedName>
    <definedName name="PJC" localSheetId="9">#REF!</definedName>
    <definedName name="PJC" localSheetId="10">#REF!</definedName>
    <definedName name="PJC" localSheetId="11">#REF!</definedName>
    <definedName name="PJC">#REF!</definedName>
    <definedName name="pkkdmhbdcj" localSheetId="4" hidden="1">{#N/A,#N/A,TRUE,"Distribution";#N/A,#N/A,TRUE,"Fulfillment";#N/A,#N/A,TRUE,"Aged Backorders"}</definedName>
    <definedName name="pkkdmhbdcj" localSheetId="3" hidden="1">{#N/A,#N/A,TRUE,"Distribution";#N/A,#N/A,TRUE,"Fulfillment";#N/A,#N/A,TRUE,"Aged Backorders"}</definedName>
    <definedName name="pkkdmhbdcj" localSheetId="2" hidden="1">{#N/A,#N/A,TRUE,"Distribution";#N/A,#N/A,TRUE,"Fulfillment";#N/A,#N/A,TRUE,"Aged Backorders"}</definedName>
    <definedName name="pkkdmhbdcj" localSheetId="8" hidden="1">{#N/A,#N/A,TRUE,"Distribution";#N/A,#N/A,TRUE,"Fulfillment";#N/A,#N/A,TRUE,"Aged Backorders"}</definedName>
    <definedName name="pkkdmhbdcj" localSheetId="9" hidden="1">{#N/A,#N/A,TRUE,"Distribution";#N/A,#N/A,TRUE,"Fulfillment";#N/A,#N/A,TRUE,"Aged Backorders"}</definedName>
    <definedName name="pkkdmhbdcj" localSheetId="10" hidden="1">{#N/A,#N/A,TRUE,"Distribution";#N/A,#N/A,TRUE,"Fulfillment";#N/A,#N/A,TRUE,"Aged Backorders"}</definedName>
    <definedName name="pkkdmhbdcj" hidden="1">{#N/A,#N/A,TRUE,"Distribution";#N/A,#N/A,TRUE,"Fulfillment";#N/A,#N/A,TRUE,"Aged Backorders"}</definedName>
    <definedName name="PL" localSheetId="4">#REF!</definedName>
    <definedName name="PL" localSheetId="3">#REF!</definedName>
    <definedName name="PL" localSheetId="2">#REF!</definedName>
    <definedName name="PL" localSheetId="5">#REF!</definedName>
    <definedName name="PL" localSheetId="6">#REF!</definedName>
    <definedName name="PL" localSheetId="7">#REF!</definedName>
    <definedName name="PL" localSheetId="8">#REF!</definedName>
    <definedName name="PL" localSheetId="9">#REF!</definedName>
    <definedName name="PL" localSheetId="10">#REF!</definedName>
    <definedName name="PL" localSheetId="11">#REF!</definedName>
    <definedName name="PL">#REF!</definedName>
    <definedName name="PL_Avg_NSB" localSheetId="4">'[44]Program Inputs'!$C$24</definedName>
    <definedName name="PL_Avg_NSB" localSheetId="3">'[44]Program Inputs'!$C$24</definedName>
    <definedName name="PL_Avg_NSB" localSheetId="2">'[44]Program Inputs'!$C$24</definedName>
    <definedName name="PL_Avg_NSB" localSheetId="5">'[44]Program Inputs'!$C$24</definedName>
    <definedName name="PL_Avg_NSB" localSheetId="6">'[44]Program Inputs'!$C$24</definedName>
    <definedName name="PL_Avg_NSB" localSheetId="7">'[44]Program Inputs'!$C$24</definedName>
    <definedName name="PL_Avg_NSB" localSheetId="8">'[44]Program Inputs'!$C$24</definedName>
    <definedName name="PL_Avg_NSB" localSheetId="9">'[44]Program Inputs'!$C$24</definedName>
    <definedName name="PL_Avg_NSB" localSheetId="10">'[19]Program Inputs'!$C$24</definedName>
    <definedName name="PL_Avg_NSB">'[33]Program Inputs'!$C$24</definedName>
    <definedName name="PL_Avg_NSM" localSheetId="4">'[44]Program Inputs'!$C$25</definedName>
    <definedName name="PL_Avg_NSM" localSheetId="3">'[44]Program Inputs'!$C$25</definedName>
    <definedName name="PL_Avg_NSM" localSheetId="2">'[44]Program Inputs'!$C$25</definedName>
    <definedName name="PL_Avg_NSM" localSheetId="5">'[44]Program Inputs'!$C$25</definedName>
    <definedName name="PL_Avg_NSM" localSheetId="6">'[44]Program Inputs'!$C$25</definedName>
    <definedName name="PL_Avg_NSM" localSheetId="7">'[44]Program Inputs'!$C$25</definedName>
    <definedName name="PL_Avg_NSM" localSheetId="8">'[44]Program Inputs'!$C$25</definedName>
    <definedName name="PL_Avg_NSM" localSheetId="9">'[44]Program Inputs'!$C$25</definedName>
    <definedName name="PL_Avg_NSM" localSheetId="10">'[19]Program Inputs'!$C$25</definedName>
    <definedName name="PL_Avg_NSM">'[33]Program Inputs'!$C$25</definedName>
    <definedName name="PLAll" localSheetId="4">#REF!</definedName>
    <definedName name="PLAll" localSheetId="3">#REF!</definedName>
    <definedName name="PLAll" localSheetId="2">#REF!</definedName>
    <definedName name="PLAll" localSheetId="5">#REF!</definedName>
    <definedName name="PLAll" localSheetId="6">#REF!</definedName>
    <definedName name="PLAll" localSheetId="7">#REF!</definedName>
    <definedName name="PLAll" localSheetId="8">#REF!</definedName>
    <definedName name="PLAll" localSheetId="9">#REF!</definedName>
    <definedName name="PLAll" localSheetId="10">#REF!</definedName>
    <definedName name="PLAll" localSheetId="11">#REF!</definedName>
    <definedName name="PLAll">#REF!</definedName>
    <definedName name="PLALL1">[105]PLALL!$A$1:$BM$137</definedName>
    <definedName name="PLALL2">[96]PLALL2!$A$1:$BH$37</definedName>
    <definedName name="PLALL3">[106]PLALL!$A$1:$BM$141</definedName>
    <definedName name="Planer" localSheetId="4">#REF!</definedName>
    <definedName name="Planer" localSheetId="3">#REF!</definedName>
    <definedName name="Planer" localSheetId="2">#REF!</definedName>
    <definedName name="Planer" localSheetId="5">#REF!</definedName>
    <definedName name="Planer" localSheetId="6">#REF!</definedName>
    <definedName name="Planer" localSheetId="7">#REF!</definedName>
    <definedName name="Planer" localSheetId="8">#REF!</definedName>
    <definedName name="Planer" localSheetId="9">#REF!</definedName>
    <definedName name="Planer" localSheetId="10">#REF!</definedName>
    <definedName name="Planer" localSheetId="11">#REF!</definedName>
    <definedName name="Planer">#REF!</definedName>
    <definedName name="Planet_Ame">[97]Planet_Ame!$A$1:$AO$128</definedName>
    <definedName name="Planet_Ame_Q2" localSheetId="4">#REF!</definedName>
    <definedName name="Planet_Ame_Q2" localSheetId="3">#REF!</definedName>
    <definedName name="Planet_Ame_Q2" localSheetId="2">#REF!</definedName>
    <definedName name="Planet_Ame_Q2" localSheetId="5">#REF!</definedName>
    <definedName name="Planet_Ame_Q2" localSheetId="6">#REF!</definedName>
    <definedName name="Planet_Ame_Q2" localSheetId="7">#REF!</definedName>
    <definedName name="Planet_Ame_Q2" localSheetId="8">#REF!</definedName>
    <definedName name="Planet_Ame_Q2" localSheetId="9">#REF!</definedName>
    <definedName name="Planet_Ame_Q2" localSheetId="10">#REF!</definedName>
    <definedName name="Planet_Ame_Q2" localSheetId="11">#REF!</definedName>
    <definedName name="Planet_Ame_Q2">#REF!</definedName>
    <definedName name="Planet_AP">[97]Planet_AP!$A$1:$AO$128</definedName>
    <definedName name="Planet_AP_H1" localSheetId="4">#REF!</definedName>
    <definedName name="Planet_AP_H1" localSheetId="3">#REF!</definedName>
    <definedName name="Planet_AP_H1" localSheetId="2">#REF!</definedName>
    <definedName name="Planet_AP_H1" localSheetId="5">#REF!</definedName>
    <definedName name="Planet_AP_H1" localSheetId="6">#REF!</definedName>
    <definedName name="Planet_AP_H1" localSheetId="7">#REF!</definedName>
    <definedName name="Planet_AP_H1" localSheetId="8">#REF!</definedName>
    <definedName name="Planet_AP_H1" localSheetId="9">#REF!</definedName>
    <definedName name="Planet_AP_H1" localSheetId="10">#REF!</definedName>
    <definedName name="Planet_AP_H1" localSheetId="11">#REF!</definedName>
    <definedName name="Planet_AP_H1">#REF!</definedName>
    <definedName name="Planet_AP_H2" localSheetId="4">#REF!</definedName>
    <definedName name="Planet_AP_H2" localSheetId="3">#REF!</definedName>
    <definedName name="Planet_AP_H2" localSheetId="2">#REF!</definedName>
    <definedName name="Planet_AP_H2" localSheetId="5">#REF!</definedName>
    <definedName name="Planet_AP_H2" localSheetId="6">#REF!</definedName>
    <definedName name="Planet_AP_H2" localSheetId="7">#REF!</definedName>
    <definedName name="Planet_AP_H2" localSheetId="8">#REF!</definedName>
    <definedName name="Planet_AP_H2" localSheetId="9">#REF!</definedName>
    <definedName name="Planet_AP_H2" localSheetId="10">#REF!</definedName>
    <definedName name="Planet_AP_H2" localSheetId="11">#REF!</definedName>
    <definedName name="Planet_AP_H2">#REF!</definedName>
    <definedName name="Planet_AP_Q2" localSheetId="4">#REF!</definedName>
    <definedName name="Planet_AP_Q2" localSheetId="3">#REF!</definedName>
    <definedName name="Planet_AP_Q2" localSheetId="2">#REF!</definedName>
    <definedName name="Planet_AP_Q2" localSheetId="5">#REF!</definedName>
    <definedName name="Planet_AP_Q2" localSheetId="6">#REF!</definedName>
    <definedName name="Planet_AP_Q2" localSheetId="7">#REF!</definedName>
    <definedName name="Planet_AP_Q2" localSheetId="8">#REF!</definedName>
    <definedName name="Planet_AP_Q2" localSheetId="9">#REF!</definedName>
    <definedName name="Planet_AP_Q2" localSheetId="10">#REF!</definedName>
    <definedName name="Planet_AP_Q2" localSheetId="11">#REF!</definedName>
    <definedName name="Planet_AP_Q2">#REF!</definedName>
    <definedName name="Planet_AP_Q3" localSheetId="4">#REF!</definedName>
    <definedName name="Planet_AP_Q3" localSheetId="3">#REF!</definedName>
    <definedName name="Planet_AP_Q3" localSheetId="2">#REF!</definedName>
    <definedName name="Planet_AP_Q3" localSheetId="5">#REF!</definedName>
    <definedName name="Planet_AP_Q3" localSheetId="6">#REF!</definedName>
    <definedName name="Planet_AP_Q3" localSheetId="7">#REF!</definedName>
    <definedName name="Planet_AP_Q3" localSheetId="8">#REF!</definedName>
    <definedName name="Planet_AP_Q3" localSheetId="9">#REF!</definedName>
    <definedName name="Planet_AP_Q3" localSheetId="10">#REF!</definedName>
    <definedName name="Planet_AP_Q3" localSheetId="11">#REF!</definedName>
    <definedName name="Planet_AP_Q3">#REF!</definedName>
    <definedName name="Planet_AP_Q4" localSheetId="4">#REF!</definedName>
    <definedName name="Planet_AP_Q4" localSheetId="3">#REF!</definedName>
    <definedName name="Planet_AP_Q4" localSheetId="2">#REF!</definedName>
    <definedName name="Planet_AP_Q4" localSheetId="5">#REF!</definedName>
    <definedName name="Planet_AP_Q4" localSheetId="6">#REF!</definedName>
    <definedName name="Planet_AP_Q4" localSheetId="7">#REF!</definedName>
    <definedName name="Planet_AP_Q4" localSheetId="8">#REF!</definedName>
    <definedName name="Planet_AP_Q4" localSheetId="9">#REF!</definedName>
    <definedName name="Planet_AP_Q4" localSheetId="10">#REF!</definedName>
    <definedName name="Planet_AP_Q4" localSheetId="11">#REF!</definedName>
    <definedName name="Planet_AP_Q4">#REF!</definedName>
    <definedName name="Planet_CI" localSheetId="4">#REF!</definedName>
    <definedName name="Planet_CI" localSheetId="3">#REF!</definedName>
    <definedName name="Planet_CI" localSheetId="2">#REF!</definedName>
    <definedName name="Planet_CI" localSheetId="5">#REF!</definedName>
    <definedName name="Planet_CI" localSheetId="6">#REF!</definedName>
    <definedName name="Planet_CI" localSheetId="7">#REF!</definedName>
    <definedName name="Planet_CI" localSheetId="8">#REF!</definedName>
    <definedName name="Planet_CI" localSheetId="9">#REF!</definedName>
    <definedName name="Planet_CI" localSheetId="10">#REF!</definedName>
    <definedName name="Planet_CI" localSheetId="11">#REF!</definedName>
    <definedName name="Planet_CI">#REF!</definedName>
    <definedName name="Planet_CI_Q2" localSheetId="4">#REF!</definedName>
    <definedName name="Planet_CI_Q2" localSheetId="3">#REF!</definedName>
    <definedName name="Planet_CI_Q2" localSheetId="2">#REF!</definedName>
    <definedName name="Planet_CI_Q2" localSheetId="5">#REF!</definedName>
    <definedName name="Planet_CI_Q2" localSheetId="6">#REF!</definedName>
    <definedName name="Planet_CI_Q2" localSheetId="7">#REF!</definedName>
    <definedName name="Planet_CI_Q2" localSheetId="8">#REF!</definedName>
    <definedName name="Planet_CI_Q2" localSheetId="9">#REF!</definedName>
    <definedName name="Planet_CI_Q2" localSheetId="10">#REF!</definedName>
    <definedName name="Planet_CI_Q2" localSheetId="11">#REF!</definedName>
    <definedName name="Planet_CI_Q2">#REF!</definedName>
    <definedName name="Planet_CI_Q3" localSheetId="4">#REF!</definedName>
    <definedName name="Planet_CI_Q3" localSheetId="3">#REF!</definedName>
    <definedName name="Planet_CI_Q3" localSheetId="2">#REF!</definedName>
    <definedName name="Planet_CI_Q3" localSheetId="5">#REF!</definedName>
    <definedName name="Planet_CI_Q3" localSheetId="6">#REF!</definedName>
    <definedName name="Planet_CI_Q3" localSheetId="7">#REF!</definedName>
    <definedName name="Planet_CI_Q3" localSheetId="8">#REF!</definedName>
    <definedName name="Planet_CI_Q3" localSheetId="9">#REF!</definedName>
    <definedName name="Planet_CI_Q3" localSheetId="10">#REF!</definedName>
    <definedName name="Planet_CI_Q3" localSheetId="11">#REF!</definedName>
    <definedName name="Planet_CI_Q3">#REF!</definedName>
    <definedName name="Planet_CI_Q4" localSheetId="4">#REF!</definedName>
    <definedName name="Planet_CI_Q4" localSheetId="3">#REF!</definedName>
    <definedName name="Planet_CI_Q4" localSheetId="2">#REF!</definedName>
    <definedName name="Planet_CI_Q4" localSheetId="5">#REF!</definedName>
    <definedName name="Planet_CI_Q4" localSheetId="6">#REF!</definedName>
    <definedName name="Planet_CI_Q4" localSheetId="7">#REF!</definedName>
    <definedName name="Planet_CI_Q4" localSheetId="8">#REF!</definedName>
    <definedName name="Planet_CI_Q4" localSheetId="9">#REF!</definedName>
    <definedName name="Planet_CI_Q4" localSheetId="10">#REF!</definedName>
    <definedName name="Planet_CI_Q4" localSheetId="11">#REF!</definedName>
    <definedName name="Planet_CI_Q4">#REF!</definedName>
    <definedName name="Planet_CS" localSheetId="4">#REF!</definedName>
    <definedName name="Planet_CS" localSheetId="3">#REF!</definedName>
    <definedName name="Planet_CS" localSheetId="2">#REF!</definedName>
    <definedName name="Planet_CS" localSheetId="5">#REF!</definedName>
    <definedName name="Planet_CS" localSheetId="6">#REF!</definedName>
    <definedName name="Planet_CS" localSheetId="7">#REF!</definedName>
    <definedName name="Planet_CS" localSheetId="8">#REF!</definedName>
    <definedName name="Planet_CS" localSheetId="9">#REF!</definedName>
    <definedName name="Planet_CS" localSheetId="10">#REF!</definedName>
    <definedName name="Planet_CS" localSheetId="11">#REF!</definedName>
    <definedName name="Planet_CS">#REF!</definedName>
    <definedName name="Planet_CS_Q2" localSheetId="4">#REF!</definedName>
    <definedName name="Planet_CS_Q2" localSheetId="3">#REF!</definedName>
    <definedName name="Planet_CS_Q2" localSheetId="2">#REF!</definedName>
    <definedName name="Planet_CS_Q2" localSheetId="5">#REF!</definedName>
    <definedName name="Planet_CS_Q2" localSheetId="6">#REF!</definedName>
    <definedName name="Planet_CS_Q2" localSheetId="7">#REF!</definedName>
    <definedName name="Planet_CS_Q2" localSheetId="8">#REF!</definedName>
    <definedName name="Planet_CS_Q2" localSheetId="9">#REF!</definedName>
    <definedName name="Planet_CS_Q2" localSheetId="10">#REF!</definedName>
    <definedName name="Planet_CS_Q2" localSheetId="11">#REF!</definedName>
    <definedName name="Planet_CS_Q2">#REF!</definedName>
    <definedName name="Planet_CS_Q3" localSheetId="4">#REF!</definedName>
    <definedName name="Planet_CS_Q3" localSheetId="3">#REF!</definedName>
    <definedName name="Planet_CS_Q3" localSheetId="2">#REF!</definedName>
    <definedName name="Planet_CS_Q3" localSheetId="5">#REF!</definedName>
    <definedName name="Planet_CS_Q3" localSheetId="6">#REF!</definedName>
    <definedName name="Planet_CS_Q3" localSheetId="7">#REF!</definedName>
    <definedName name="Planet_CS_Q3" localSheetId="8">#REF!</definedName>
    <definedName name="Planet_CS_Q3" localSheetId="9">#REF!</definedName>
    <definedName name="Planet_CS_Q3" localSheetId="10">#REF!</definedName>
    <definedName name="Planet_CS_Q3" localSheetId="11">#REF!</definedName>
    <definedName name="Planet_CS_Q3">#REF!</definedName>
    <definedName name="Planet_CS_Q4" localSheetId="4">#REF!</definedName>
    <definedName name="Planet_CS_Q4" localSheetId="3">#REF!</definedName>
    <definedName name="Planet_CS_Q4" localSheetId="2">#REF!</definedName>
    <definedName name="Planet_CS_Q4" localSheetId="5">#REF!</definedName>
    <definedName name="Planet_CS_Q4" localSheetId="6">#REF!</definedName>
    <definedName name="Planet_CS_Q4" localSheetId="7">#REF!</definedName>
    <definedName name="Planet_CS_Q4" localSheetId="8">#REF!</definedName>
    <definedName name="Planet_CS_Q4" localSheetId="9">#REF!</definedName>
    <definedName name="Planet_CS_Q4" localSheetId="10">#REF!</definedName>
    <definedName name="Planet_CS_Q4" localSheetId="11">#REF!</definedName>
    <definedName name="Planet_CS_Q4">#REF!</definedName>
    <definedName name="Planet_EMEA">[97]Planet_EMEA!$A$1:$AO$128</definedName>
    <definedName name="Planet_EMEA_Q2" localSheetId="4">#REF!</definedName>
    <definedName name="Planet_EMEA_Q2" localSheetId="3">#REF!</definedName>
    <definedName name="Planet_EMEA_Q2" localSheetId="2">#REF!</definedName>
    <definedName name="Planet_EMEA_Q2" localSheetId="5">#REF!</definedName>
    <definedName name="Planet_EMEA_Q2" localSheetId="6">#REF!</definedName>
    <definedName name="Planet_EMEA_Q2" localSheetId="7">#REF!</definedName>
    <definedName name="Planet_EMEA_Q2" localSheetId="8">#REF!</definedName>
    <definedName name="Planet_EMEA_Q2" localSheetId="9">#REF!</definedName>
    <definedName name="Planet_EMEA_Q2" localSheetId="10">#REF!</definedName>
    <definedName name="Planet_EMEA_Q2" localSheetId="11">#REF!</definedName>
    <definedName name="Planet_EMEA_Q2">#REF!</definedName>
    <definedName name="Planet_EMEA_Q3" localSheetId="4">#REF!</definedName>
    <definedName name="Planet_EMEA_Q3" localSheetId="3">#REF!</definedName>
    <definedName name="Planet_EMEA_Q3" localSheetId="2">#REF!</definedName>
    <definedName name="Planet_EMEA_Q3" localSheetId="5">#REF!</definedName>
    <definedName name="Planet_EMEA_Q3" localSheetId="6">#REF!</definedName>
    <definedName name="Planet_EMEA_Q3" localSheetId="7">#REF!</definedName>
    <definedName name="Planet_EMEA_Q3" localSheetId="8">#REF!</definedName>
    <definedName name="Planet_EMEA_Q3" localSheetId="9">#REF!</definedName>
    <definedName name="Planet_EMEA_Q3" localSheetId="10">#REF!</definedName>
    <definedName name="Planet_EMEA_Q3" localSheetId="11">#REF!</definedName>
    <definedName name="Planet_EMEA_Q3">#REF!</definedName>
    <definedName name="Planet_EMEA_Q4" localSheetId="4">#REF!</definedName>
    <definedName name="Planet_EMEA_Q4" localSheetId="3">#REF!</definedName>
    <definedName name="Planet_EMEA_Q4" localSheetId="2">#REF!</definedName>
    <definedName name="Planet_EMEA_Q4" localSheetId="5">#REF!</definedName>
    <definedName name="Planet_EMEA_Q4" localSheetId="6">#REF!</definedName>
    <definedName name="Planet_EMEA_Q4" localSheetId="7">#REF!</definedName>
    <definedName name="Planet_EMEA_Q4" localSheetId="8">#REF!</definedName>
    <definedName name="Planet_EMEA_Q4" localSheetId="9">#REF!</definedName>
    <definedName name="Planet_EMEA_Q4" localSheetId="10">#REF!</definedName>
    <definedName name="Planet_EMEA_Q4" localSheetId="11">#REF!</definedName>
    <definedName name="Planet_EMEA_Q4">#REF!</definedName>
    <definedName name="Planet_JP" localSheetId="4">#REF!</definedName>
    <definedName name="Planet_JP" localSheetId="3">#REF!</definedName>
    <definedName name="Planet_JP" localSheetId="2">#REF!</definedName>
    <definedName name="Planet_JP" localSheetId="5">#REF!</definedName>
    <definedName name="Planet_JP" localSheetId="6">#REF!</definedName>
    <definedName name="Planet_JP" localSheetId="7">#REF!</definedName>
    <definedName name="Planet_JP" localSheetId="8">#REF!</definedName>
    <definedName name="Planet_JP" localSheetId="9">#REF!</definedName>
    <definedName name="Planet_JP" localSheetId="10">#REF!</definedName>
    <definedName name="Planet_JP" localSheetId="11">#REF!</definedName>
    <definedName name="Planet_JP">#REF!</definedName>
    <definedName name="Planet_JP_Q2" localSheetId="4">#REF!</definedName>
    <definedName name="Planet_JP_Q2" localSheetId="3">#REF!</definedName>
    <definedName name="Planet_JP_Q2" localSheetId="2">#REF!</definedName>
    <definedName name="Planet_JP_Q2" localSheetId="5">#REF!</definedName>
    <definedName name="Planet_JP_Q2" localSheetId="6">#REF!</definedName>
    <definedName name="Planet_JP_Q2" localSheetId="7">#REF!</definedName>
    <definedName name="Planet_JP_Q2" localSheetId="8">#REF!</definedName>
    <definedName name="Planet_JP_Q2" localSheetId="9">#REF!</definedName>
    <definedName name="Planet_JP_Q2" localSheetId="10">#REF!</definedName>
    <definedName name="Planet_JP_Q2" localSheetId="11">#REF!</definedName>
    <definedName name="Planet_JP_Q2">#REF!</definedName>
    <definedName name="Planet_JP_Q3" localSheetId="4">#REF!</definedName>
    <definedName name="Planet_JP_Q3" localSheetId="3">#REF!</definedName>
    <definedName name="Planet_JP_Q3" localSheetId="2">#REF!</definedName>
    <definedName name="Planet_JP_Q3" localSheetId="5">#REF!</definedName>
    <definedName name="Planet_JP_Q3" localSheetId="6">#REF!</definedName>
    <definedName name="Planet_JP_Q3" localSheetId="7">#REF!</definedName>
    <definedName name="Planet_JP_Q3" localSheetId="8">#REF!</definedName>
    <definedName name="Planet_JP_Q3" localSheetId="9">#REF!</definedName>
    <definedName name="Planet_JP_Q3" localSheetId="10">#REF!</definedName>
    <definedName name="Planet_JP_Q3" localSheetId="11">#REF!</definedName>
    <definedName name="Planet_JP_Q3">#REF!</definedName>
    <definedName name="Planet_JP_Q4" localSheetId="4">#REF!</definedName>
    <definedName name="Planet_JP_Q4" localSheetId="3">#REF!</definedName>
    <definedName name="Planet_JP_Q4" localSheetId="2">#REF!</definedName>
    <definedName name="Planet_JP_Q4" localSheetId="5">#REF!</definedName>
    <definedName name="Planet_JP_Q4" localSheetId="6">#REF!</definedName>
    <definedName name="Planet_JP_Q4" localSheetId="7">#REF!</definedName>
    <definedName name="Planet_JP_Q4" localSheetId="8">#REF!</definedName>
    <definedName name="Planet_JP_Q4" localSheetId="9">#REF!</definedName>
    <definedName name="Planet_JP_Q4" localSheetId="10">#REF!</definedName>
    <definedName name="Planet_JP_Q4" localSheetId="11">#REF!</definedName>
    <definedName name="Planet_JP_Q4">#REF!</definedName>
    <definedName name="Planet_MS" localSheetId="4">#REF!</definedName>
    <definedName name="Planet_MS" localSheetId="3">#REF!</definedName>
    <definedName name="Planet_MS" localSheetId="2">#REF!</definedName>
    <definedName name="Planet_MS" localSheetId="5">#REF!</definedName>
    <definedName name="Planet_MS" localSheetId="6">#REF!</definedName>
    <definedName name="Planet_MS" localSheetId="7">#REF!</definedName>
    <definedName name="Planet_MS" localSheetId="8">#REF!</definedName>
    <definedName name="Planet_MS" localSheetId="9">#REF!</definedName>
    <definedName name="Planet_MS" localSheetId="10">#REF!</definedName>
    <definedName name="Planet_MS" localSheetId="11">#REF!</definedName>
    <definedName name="Planet_MS">#REF!</definedName>
    <definedName name="Planet_MS_Q2" localSheetId="4">#REF!</definedName>
    <definedName name="Planet_MS_Q2" localSheetId="3">#REF!</definedName>
    <definedName name="Planet_MS_Q2" localSheetId="2">#REF!</definedName>
    <definedName name="Planet_MS_Q2" localSheetId="5">#REF!</definedName>
    <definedName name="Planet_MS_Q2" localSheetId="6">#REF!</definedName>
    <definedName name="Planet_MS_Q2" localSheetId="7">#REF!</definedName>
    <definedName name="Planet_MS_Q2" localSheetId="8">#REF!</definedName>
    <definedName name="Planet_MS_Q2" localSheetId="9">#REF!</definedName>
    <definedName name="Planet_MS_Q2" localSheetId="10">#REF!</definedName>
    <definedName name="Planet_MS_Q2" localSheetId="11">#REF!</definedName>
    <definedName name="Planet_MS_Q2">#REF!</definedName>
    <definedName name="Planet_MS_Q3" localSheetId="4">#REF!</definedName>
    <definedName name="Planet_MS_Q3" localSheetId="3">#REF!</definedName>
    <definedName name="Planet_MS_Q3" localSheetId="2">#REF!</definedName>
    <definedName name="Planet_MS_Q3" localSheetId="5">#REF!</definedName>
    <definedName name="Planet_MS_Q3" localSheetId="6">#REF!</definedName>
    <definedName name="Planet_MS_Q3" localSheetId="7">#REF!</definedName>
    <definedName name="Planet_MS_Q3" localSheetId="8">#REF!</definedName>
    <definedName name="Planet_MS_Q3" localSheetId="9">#REF!</definedName>
    <definedName name="Planet_MS_Q3" localSheetId="10">#REF!</definedName>
    <definedName name="Planet_MS_Q3" localSheetId="11">#REF!</definedName>
    <definedName name="Planet_MS_Q3">#REF!</definedName>
    <definedName name="Planet_MS_Q4" localSheetId="4">#REF!</definedName>
    <definedName name="Planet_MS_Q4" localSheetId="3">#REF!</definedName>
    <definedName name="Planet_MS_Q4" localSheetId="2">#REF!</definedName>
    <definedName name="Planet_MS_Q4" localSheetId="5">#REF!</definedName>
    <definedName name="Planet_MS_Q4" localSheetId="6">#REF!</definedName>
    <definedName name="Planet_MS_Q4" localSheetId="7">#REF!</definedName>
    <definedName name="Planet_MS_Q4" localSheetId="8">#REF!</definedName>
    <definedName name="Planet_MS_Q4" localSheetId="9">#REF!</definedName>
    <definedName name="Planet_MS_Q4" localSheetId="10">#REF!</definedName>
    <definedName name="Planet_MS_Q4" localSheetId="11">#REF!</definedName>
    <definedName name="Planet_MS_Q4">#REF!</definedName>
    <definedName name="Planet_OG">[97]Planet_OG!$A$1:$AO$128</definedName>
    <definedName name="Planet_OG_Q2" localSheetId="4">#REF!</definedName>
    <definedName name="Planet_OG_Q2" localSheetId="3">#REF!</definedName>
    <definedName name="Planet_OG_Q2" localSheetId="2">#REF!</definedName>
    <definedName name="Planet_OG_Q2" localSheetId="5">#REF!</definedName>
    <definedName name="Planet_OG_Q2" localSheetId="6">#REF!</definedName>
    <definedName name="Planet_OG_Q2" localSheetId="7">#REF!</definedName>
    <definedName name="Planet_OG_Q2" localSheetId="8">#REF!</definedName>
    <definedName name="Planet_OG_Q2" localSheetId="9">#REF!</definedName>
    <definedName name="Planet_OG_Q2" localSheetId="10">#REF!</definedName>
    <definedName name="Planet_OG_Q2" localSheetId="11">#REF!</definedName>
    <definedName name="Planet_OG_Q2">#REF!</definedName>
    <definedName name="Planet_OG_Q3" localSheetId="4">#REF!</definedName>
    <definedName name="Planet_OG_Q3" localSheetId="3">#REF!</definedName>
    <definedName name="Planet_OG_Q3" localSheetId="2">#REF!</definedName>
    <definedName name="Planet_OG_Q3" localSheetId="5">#REF!</definedName>
    <definedName name="Planet_OG_Q3" localSheetId="6">#REF!</definedName>
    <definedName name="Planet_OG_Q3" localSheetId="7">#REF!</definedName>
    <definedName name="Planet_OG_Q3" localSheetId="8">#REF!</definedName>
    <definedName name="Planet_OG_Q3" localSheetId="9">#REF!</definedName>
    <definedName name="Planet_OG_Q3" localSheetId="10">#REF!</definedName>
    <definedName name="Planet_OG_Q3" localSheetId="11">#REF!</definedName>
    <definedName name="Planet_OG_Q3">#REF!</definedName>
    <definedName name="Planet_OG_Q4" localSheetId="4">#REF!</definedName>
    <definedName name="Planet_OG_Q4" localSheetId="3">#REF!</definedName>
    <definedName name="Planet_OG_Q4" localSheetId="2">#REF!</definedName>
    <definedName name="Planet_OG_Q4" localSheetId="5">#REF!</definedName>
    <definedName name="Planet_OG_Q4" localSheetId="6">#REF!</definedName>
    <definedName name="Planet_OG_Q4" localSheetId="7">#REF!</definedName>
    <definedName name="Planet_OG_Q4" localSheetId="8">#REF!</definedName>
    <definedName name="Planet_OG_Q4" localSheetId="9">#REF!</definedName>
    <definedName name="Planet_OG_Q4" localSheetId="10">#REF!</definedName>
    <definedName name="Planet_OG_Q4" localSheetId="11">#REF!</definedName>
    <definedName name="Planet_OG_Q4">#REF!</definedName>
    <definedName name="Planet_WW">[97]Planet_WW!$A$1:$AO$128</definedName>
    <definedName name="Planet_WW_Q2" localSheetId="4">#REF!</definedName>
    <definedName name="Planet_WW_Q2" localSheetId="3">#REF!</definedName>
    <definedName name="Planet_WW_Q2" localSheetId="2">#REF!</definedName>
    <definedName name="Planet_WW_Q2" localSheetId="5">#REF!</definedName>
    <definedName name="Planet_WW_Q2" localSheetId="6">#REF!</definedName>
    <definedName name="Planet_WW_Q2" localSheetId="7">#REF!</definedName>
    <definedName name="Planet_WW_Q2" localSheetId="8">#REF!</definedName>
    <definedName name="Planet_WW_Q2" localSheetId="9">#REF!</definedName>
    <definedName name="Planet_WW_Q2" localSheetId="10">#REF!</definedName>
    <definedName name="Planet_WW_Q2" localSheetId="11">#REF!</definedName>
    <definedName name="Planet_WW_Q2">#REF!</definedName>
    <definedName name="Planet_WW_Q3" localSheetId="4">#REF!</definedName>
    <definedName name="Planet_WW_Q3" localSheetId="3">#REF!</definedName>
    <definedName name="Planet_WW_Q3" localSheetId="2">#REF!</definedName>
    <definedName name="Planet_WW_Q3" localSheetId="5">#REF!</definedName>
    <definedName name="Planet_WW_Q3" localSheetId="6">#REF!</definedName>
    <definedName name="Planet_WW_Q3" localSheetId="7">#REF!</definedName>
    <definedName name="Planet_WW_Q3" localSheetId="8">#REF!</definedName>
    <definedName name="Planet_WW_Q3" localSheetId="9">#REF!</definedName>
    <definedName name="Planet_WW_Q3" localSheetId="10">#REF!</definedName>
    <definedName name="Planet_WW_Q3" localSheetId="11">#REF!</definedName>
    <definedName name="Planet_WW_Q3">#REF!</definedName>
    <definedName name="Planet_WW_Q4" localSheetId="4">#REF!</definedName>
    <definedName name="Planet_WW_Q4" localSheetId="3">#REF!</definedName>
    <definedName name="Planet_WW_Q4" localSheetId="2">#REF!</definedName>
    <definedName name="Planet_WW_Q4" localSheetId="5">#REF!</definedName>
    <definedName name="Planet_WW_Q4" localSheetId="6">#REF!</definedName>
    <definedName name="Planet_WW_Q4" localSheetId="7">#REF!</definedName>
    <definedName name="Planet_WW_Q4" localSheetId="8">#REF!</definedName>
    <definedName name="Planet_WW_Q4" localSheetId="9">#REF!</definedName>
    <definedName name="Planet_WW_Q4" localSheetId="10">#REF!</definedName>
    <definedName name="Planet_WW_Q4" localSheetId="11">#REF!</definedName>
    <definedName name="Planet_WW_Q4">#REF!</definedName>
    <definedName name="PLANRCV" localSheetId="4">#REF!</definedName>
    <definedName name="PLANRCV" localSheetId="3">#REF!</definedName>
    <definedName name="PLANRCV" localSheetId="2">#REF!</definedName>
    <definedName name="PLANRCV" localSheetId="5">#REF!</definedName>
    <definedName name="PLANRCV" localSheetId="6">#REF!</definedName>
    <definedName name="PLANRCV" localSheetId="7">#REF!</definedName>
    <definedName name="PLANRCV" localSheetId="8">#REF!</definedName>
    <definedName name="PLANRCV" localSheetId="9">#REF!</definedName>
    <definedName name="PLANRCV" localSheetId="10">#REF!</definedName>
    <definedName name="PLANRCV" localSheetId="11">#REF!</definedName>
    <definedName name="PLANRCV">#REF!</definedName>
    <definedName name="Plant1" localSheetId="4">[48]Instructions!$D$13</definedName>
    <definedName name="Plant1" localSheetId="3">[48]Instructions!$D$13</definedName>
    <definedName name="Plant1" localSheetId="2">[48]Instructions!$D$13</definedName>
    <definedName name="Plant1" localSheetId="5">[48]Instructions!$D$13</definedName>
    <definedName name="Plant1" localSheetId="6">[48]Instructions!$D$13</definedName>
    <definedName name="Plant1" localSheetId="7">[48]Instructions!$D$13</definedName>
    <definedName name="Plant1" localSheetId="8">[48]Instructions!$D$13</definedName>
    <definedName name="Plant1" localSheetId="9">[48]Instructions!$D$13</definedName>
    <definedName name="Plant1" localSheetId="10">[28]Instructions!$D$13</definedName>
    <definedName name="Plant1">[37]Instructions!$D$13</definedName>
    <definedName name="Plant2" localSheetId="4">[48]Instructions!$D$14</definedName>
    <definedName name="Plant2" localSheetId="3">[48]Instructions!$D$14</definedName>
    <definedName name="Plant2" localSheetId="2">[48]Instructions!$D$14</definedName>
    <definedName name="Plant2" localSheetId="5">[48]Instructions!$D$14</definedName>
    <definedName name="Plant2" localSheetId="6">[48]Instructions!$D$14</definedName>
    <definedName name="Plant2" localSheetId="7">[48]Instructions!$D$14</definedName>
    <definedName name="Plant2" localSheetId="8">[48]Instructions!$D$14</definedName>
    <definedName name="Plant2" localSheetId="9">[48]Instructions!$D$14</definedName>
    <definedName name="Plant2" localSheetId="10">[28]Instructions!$D$14</definedName>
    <definedName name="Plant2">[37]Instructions!$D$14</definedName>
    <definedName name="Plant3" localSheetId="4">[48]Instructions!$D$15</definedName>
    <definedName name="Plant3" localSheetId="3">[48]Instructions!$D$15</definedName>
    <definedName name="Plant3" localSheetId="2">[48]Instructions!$D$15</definedName>
    <definedName name="Plant3" localSheetId="5">[48]Instructions!$D$15</definedName>
    <definedName name="Plant3" localSheetId="6">[48]Instructions!$D$15</definedName>
    <definedName name="Plant3" localSheetId="7">[48]Instructions!$D$15</definedName>
    <definedName name="Plant3" localSheetId="8">[48]Instructions!$D$15</definedName>
    <definedName name="Plant3" localSheetId="9">[48]Instructions!$D$15</definedName>
    <definedName name="Plant3" localSheetId="10">[28]Instructions!$D$15</definedName>
    <definedName name="Plant3">[37]Instructions!$D$15</definedName>
    <definedName name="PLBCO" localSheetId="4">#REF!</definedName>
    <definedName name="PLBCO" localSheetId="3">#REF!</definedName>
    <definedName name="PLBCO" localSheetId="2">#REF!</definedName>
    <definedName name="PLBCO" localSheetId="5">#REF!</definedName>
    <definedName name="PLBCO" localSheetId="6">#REF!</definedName>
    <definedName name="PLBCO" localSheetId="7">#REF!</definedName>
    <definedName name="PLBCO" localSheetId="8">#REF!</definedName>
    <definedName name="PLBCO" localSheetId="9">#REF!</definedName>
    <definedName name="PLBCO" localSheetId="10">#REF!</definedName>
    <definedName name="PLBCO" localSheetId="11">#REF!</definedName>
    <definedName name="PLBCO">#REF!</definedName>
    <definedName name="plete" localSheetId="4" hidden="1">{#N/A,#N/A,TRUE,"Distribution";#N/A,#N/A,TRUE,"Fulfillment";#N/A,#N/A,TRUE,"Aged Backorders"}</definedName>
    <definedName name="plete" localSheetId="3" hidden="1">{#N/A,#N/A,TRUE,"Distribution";#N/A,#N/A,TRUE,"Fulfillment";#N/A,#N/A,TRUE,"Aged Backorders"}</definedName>
    <definedName name="plete" localSheetId="2" hidden="1">{#N/A,#N/A,TRUE,"Distribution";#N/A,#N/A,TRUE,"Fulfillment";#N/A,#N/A,TRUE,"Aged Backorders"}</definedName>
    <definedName name="plete" localSheetId="8" hidden="1">{#N/A,#N/A,TRUE,"Distribution";#N/A,#N/A,TRUE,"Fulfillment";#N/A,#N/A,TRUE,"Aged Backorders"}</definedName>
    <definedName name="plete" localSheetId="9" hidden="1">{#N/A,#N/A,TRUE,"Distribution";#N/A,#N/A,TRUE,"Fulfillment";#N/A,#N/A,TRUE,"Aged Backorders"}</definedName>
    <definedName name="plete" localSheetId="10" hidden="1">{#N/A,#N/A,TRUE,"Distribution";#N/A,#N/A,TRUE,"Fulfillment";#N/A,#N/A,TRUE,"Aged Backorders"}</definedName>
    <definedName name="plete" hidden="1">{#N/A,#N/A,TRUE,"Distribution";#N/A,#N/A,TRUE,"Fulfillment";#N/A,#N/A,TRUE,"Aged Backorders"}</definedName>
    <definedName name="PLSS_DB" localSheetId="4">#REF!</definedName>
    <definedName name="PLSS_DB" localSheetId="3">#REF!</definedName>
    <definedName name="PLSS_DB" localSheetId="2">#REF!</definedName>
    <definedName name="PLSS_DB" localSheetId="5">#REF!</definedName>
    <definedName name="PLSS_DB" localSheetId="6">#REF!</definedName>
    <definedName name="PLSS_DB" localSheetId="7">#REF!</definedName>
    <definedName name="PLSS_DB" localSheetId="8">#REF!</definedName>
    <definedName name="PLSS_DB" localSheetId="9">#REF!</definedName>
    <definedName name="PLSS_DB" localSheetId="10">#REF!</definedName>
    <definedName name="PLSS_DB" localSheetId="11">#REF!</definedName>
    <definedName name="PLSS_DB">#REF!</definedName>
    <definedName name="podec3" localSheetId="10">'[44]Quantum Stds 12-3-01'!$A$6:$IV$216</definedName>
    <definedName name="podec3">'[54]Quantum Stds 12-3-01'!$A$6:$IV$216</definedName>
    <definedName name="pofile3">'[55]PO File 2002'!$B$1:$AJ$65536</definedName>
    <definedName name="pofinal">'[55]PO File 2002 Final'!$B$1:$GO$65536</definedName>
    <definedName name="POL" localSheetId="4">#REF!</definedName>
    <definedName name="POL" localSheetId="3">#REF!</definedName>
    <definedName name="POL" localSheetId="2">#REF!</definedName>
    <definedName name="POL" localSheetId="5">#REF!</definedName>
    <definedName name="POL" localSheetId="6">#REF!</definedName>
    <definedName name="POL" localSheetId="7">#REF!</definedName>
    <definedName name="POL" localSheetId="8">#REF!</definedName>
    <definedName name="POL" localSheetId="9">#REF!</definedName>
    <definedName name="POL" localSheetId="10">#REF!</definedName>
    <definedName name="POL" localSheetId="11">#REF!</definedName>
    <definedName name="POL">#REF!</definedName>
    <definedName name="pole" localSheetId="10">[27]abbr!$I$2:$I$10</definedName>
    <definedName name="pole">[36]abbr!$I$2:$I$10</definedName>
    <definedName name="polistmark2" localSheetId="10">'[45]po list'!$B$1:$M$65536</definedName>
    <definedName name="polistmark2">'[92]po list'!$B$1:$M$65536</definedName>
    <definedName name="poprice">'[52]master PO'!$A$1:$CP$65536</definedName>
    <definedName name="poprice3" localSheetId="10">'[44]Quantum Stds prev'!$A$6:$IV$528</definedName>
    <definedName name="poprice3">'[54]Quantum Stds prev'!$A$6:$IV$528</definedName>
    <definedName name="POWER" localSheetId="4">#REF!</definedName>
    <definedName name="POWER" localSheetId="3">#REF!</definedName>
    <definedName name="POWER" localSheetId="2">#REF!</definedName>
    <definedName name="POWER" localSheetId="5">#REF!</definedName>
    <definedName name="POWER" localSheetId="6">#REF!</definedName>
    <definedName name="POWER" localSheetId="7">#REF!</definedName>
    <definedName name="POWER" localSheetId="8">#REF!</definedName>
    <definedName name="POWER" localSheetId="9">#REF!</definedName>
    <definedName name="POWER" localSheetId="10">#REF!</definedName>
    <definedName name="POWER" localSheetId="11">#REF!</definedName>
    <definedName name="POWER">#REF!</definedName>
    <definedName name="PPD" localSheetId="4">#REF!</definedName>
    <definedName name="PPD" localSheetId="3">#REF!</definedName>
    <definedName name="PPD" localSheetId="2">#REF!</definedName>
    <definedName name="PPD" localSheetId="5">#REF!</definedName>
    <definedName name="PPD" localSheetId="6">#REF!</definedName>
    <definedName name="PPD" localSheetId="7">#REF!</definedName>
    <definedName name="PPD" localSheetId="8">#REF!</definedName>
    <definedName name="PPD" localSheetId="9">#REF!</definedName>
    <definedName name="PPD" localSheetId="10">#REF!</definedName>
    <definedName name="PPD" localSheetId="11">#REF!</definedName>
    <definedName name="PPD">#REF!</definedName>
    <definedName name="PQ">[56]Original!#REF!</definedName>
    <definedName name="PR_AL_01" localSheetId="4">'[73]Top Lvl  Logic'!$I$23</definedName>
    <definedName name="PR_AL_01" localSheetId="3">'[73]Top Lvl  Logic'!$I$23</definedName>
    <definedName name="PR_AL_01" localSheetId="2">'[73]Top Lvl  Logic'!$I$23</definedName>
    <definedName name="PR_AL_01" localSheetId="5">'[73]Top Lvl  Logic'!$I$23</definedName>
    <definedName name="PR_AL_01" localSheetId="6">'[73]Top Lvl  Logic'!$I$23</definedName>
    <definedName name="PR_AL_01" localSheetId="7">'[73]Top Lvl  Logic'!$I$23</definedName>
    <definedName name="PR_AL_01" localSheetId="8">'[73]Top Lvl  Logic'!$I$23</definedName>
    <definedName name="PR_AL_01" localSheetId="9">'[73]Top Lvl  Logic'!$I$23</definedName>
    <definedName name="PR_AL_01" localSheetId="10">'[18]Top Lvl  Logic'!$I$23</definedName>
    <definedName name="PR_AL_01">'[23]Top Lvl  Logic'!$I$23</definedName>
    <definedName name="PR_AL_01_10" localSheetId="4">'[73]Top Lvl  Logic'!$I$23</definedName>
    <definedName name="PR_AL_01_10" localSheetId="3">'[73]Top Lvl  Logic'!$I$23</definedName>
    <definedName name="PR_AL_01_10" localSheetId="2">'[73]Top Lvl  Logic'!$I$23</definedName>
    <definedName name="PR_AL_01_10" localSheetId="5">'[73]Top Lvl  Logic'!$I$23</definedName>
    <definedName name="PR_AL_01_10" localSheetId="6">'[73]Top Lvl  Logic'!$I$23</definedName>
    <definedName name="PR_AL_01_10" localSheetId="7">'[73]Top Lvl  Logic'!$I$23</definedName>
    <definedName name="PR_AL_01_10" localSheetId="8">'[73]Top Lvl  Logic'!$I$23</definedName>
    <definedName name="PR_AL_01_10" localSheetId="9">'[73]Top Lvl  Logic'!$I$23</definedName>
    <definedName name="PR_AL_01_10" localSheetId="10">'[18]Top Lvl  Logic'!$I$23</definedName>
    <definedName name="PR_AL_01_10">'[23]Top Lvl  Logic'!$I$23</definedName>
    <definedName name="PR_AL_12" localSheetId="4">'[73]Top Lvl  Logic'!$J$23</definedName>
    <definedName name="PR_AL_12" localSheetId="3">'[73]Top Lvl  Logic'!$J$23</definedName>
    <definedName name="PR_AL_12" localSheetId="2">'[73]Top Lvl  Logic'!$J$23</definedName>
    <definedName name="PR_AL_12" localSheetId="5">'[73]Top Lvl  Logic'!$J$23</definedName>
    <definedName name="PR_AL_12" localSheetId="6">'[73]Top Lvl  Logic'!$J$23</definedName>
    <definedName name="PR_AL_12" localSheetId="7">'[73]Top Lvl  Logic'!$J$23</definedName>
    <definedName name="PR_AL_12" localSheetId="8">'[73]Top Lvl  Logic'!$J$23</definedName>
    <definedName name="PR_AL_12" localSheetId="9">'[73]Top Lvl  Logic'!$J$23</definedName>
    <definedName name="PR_AL_12" localSheetId="10">'[18]Top Lvl  Logic'!$J$23</definedName>
    <definedName name="PR_AL_12">'[23]Top Lvl  Logic'!$J$23</definedName>
    <definedName name="PR_AL_12_10" localSheetId="4">'[73]Top Lvl  Logic'!$J$23</definedName>
    <definedName name="PR_AL_12_10" localSheetId="3">'[73]Top Lvl  Logic'!$J$23</definedName>
    <definedName name="PR_AL_12_10" localSheetId="2">'[73]Top Lvl  Logic'!$J$23</definedName>
    <definedName name="PR_AL_12_10" localSheetId="5">'[73]Top Lvl  Logic'!$J$23</definedName>
    <definedName name="PR_AL_12_10" localSheetId="6">'[73]Top Lvl  Logic'!$J$23</definedName>
    <definedName name="PR_AL_12_10" localSheetId="7">'[73]Top Lvl  Logic'!$J$23</definedName>
    <definedName name="PR_AL_12_10" localSheetId="8">'[73]Top Lvl  Logic'!$J$23</definedName>
    <definedName name="PR_AL_12_10" localSheetId="9">'[73]Top Lvl  Logic'!$J$23</definedName>
    <definedName name="PR_AL_12_10" localSheetId="10">'[18]Top Lvl  Logic'!$J$23</definedName>
    <definedName name="PR_AL_12_10">'[23]Top Lvl  Logic'!$J$23</definedName>
    <definedName name="PR_AL_23" localSheetId="4">'[73]Top Lvl  Logic'!$K$23</definedName>
    <definedName name="PR_AL_23" localSheetId="3">'[73]Top Lvl  Logic'!$K$23</definedName>
    <definedName name="PR_AL_23" localSheetId="2">'[73]Top Lvl  Logic'!$K$23</definedName>
    <definedName name="PR_AL_23" localSheetId="5">'[73]Top Lvl  Logic'!$K$23</definedName>
    <definedName name="PR_AL_23" localSheetId="6">'[73]Top Lvl  Logic'!$K$23</definedName>
    <definedName name="PR_AL_23" localSheetId="7">'[73]Top Lvl  Logic'!$K$23</definedName>
    <definedName name="PR_AL_23" localSheetId="8">'[73]Top Lvl  Logic'!$K$23</definedName>
    <definedName name="PR_AL_23" localSheetId="9">'[73]Top Lvl  Logic'!$K$23</definedName>
    <definedName name="PR_AL_23" localSheetId="10">'[18]Top Lvl  Logic'!$K$23</definedName>
    <definedName name="PR_AL_23">'[23]Top Lvl  Logic'!$K$23</definedName>
    <definedName name="PR_AL_23_10" localSheetId="4">'[73]Top Lvl  Logic'!$K$23</definedName>
    <definedName name="PR_AL_23_10" localSheetId="3">'[73]Top Lvl  Logic'!$K$23</definedName>
    <definedName name="PR_AL_23_10" localSheetId="2">'[73]Top Lvl  Logic'!$K$23</definedName>
    <definedName name="PR_AL_23_10" localSheetId="5">'[73]Top Lvl  Logic'!$K$23</definedName>
    <definedName name="PR_AL_23_10" localSheetId="6">'[73]Top Lvl  Logic'!$K$23</definedName>
    <definedName name="PR_AL_23_10" localSheetId="7">'[73]Top Lvl  Logic'!$K$23</definedName>
    <definedName name="PR_AL_23_10" localSheetId="8">'[73]Top Lvl  Logic'!$K$23</definedName>
    <definedName name="PR_AL_23_10" localSheetId="9">'[73]Top Lvl  Logic'!$K$23</definedName>
    <definedName name="PR_AL_23_10" localSheetId="10">'[18]Top Lvl  Logic'!$K$23</definedName>
    <definedName name="PR_AL_23_10">'[23]Top Lvl  Logic'!$K$23</definedName>
    <definedName name="PR_AL_34" localSheetId="4">'[73]Top Lvl  Logic'!$L$23</definedName>
    <definedName name="PR_AL_34" localSheetId="3">'[73]Top Lvl  Logic'!$L$23</definedName>
    <definedName name="PR_AL_34" localSheetId="2">'[73]Top Lvl  Logic'!$L$23</definedName>
    <definedName name="PR_AL_34" localSheetId="5">'[73]Top Lvl  Logic'!$L$23</definedName>
    <definedName name="PR_AL_34" localSheetId="6">'[73]Top Lvl  Logic'!$L$23</definedName>
    <definedName name="PR_AL_34" localSheetId="7">'[73]Top Lvl  Logic'!$L$23</definedName>
    <definedName name="PR_AL_34" localSheetId="8">'[73]Top Lvl  Logic'!$L$23</definedName>
    <definedName name="PR_AL_34" localSheetId="9">'[73]Top Lvl  Logic'!$L$23</definedName>
    <definedName name="PR_AL_34" localSheetId="10">'[18]Top Lvl  Logic'!$L$23</definedName>
    <definedName name="PR_AL_34">'[23]Top Lvl  Logic'!$L$23</definedName>
    <definedName name="PR_AL_34_10" localSheetId="4">'[73]Top Lvl  Logic'!$L$23</definedName>
    <definedName name="PR_AL_34_10" localSheetId="3">'[73]Top Lvl  Logic'!$L$23</definedName>
    <definedName name="PR_AL_34_10" localSheetId="2">'[73]Top Lvl  Logic'!$L$23</definedName>
    <definedName name="PR_AL_34_10" localSheetId="5">'[73]Top Lvl  Logic'!$L$23</definedName>
    <definedName name="PR_AL_34_10" localSheetId="6">'[73]Top Lvl  Logic'!$L$23</definedName>
    <definedName name="PR_AL_34_10" localSheetId="7">'[73]Top Lvl  Logic'!$L$23</definedName>
    <definedName name="PR_AL_34_10" localSheetId="8">'[73]Top Lvl  Logic'!$L$23</definedName>
    <definedName name="PR_AL_34_10" localSheetId="9">'[73]Top Lvl  Logic'!$L$23</definedName>
    <definedName name="PR_AL_34_10" localSheetId="10">'[18]Top Lvl  Logic'!$L$23</definedName>
    <definedName name="PR_AL_34_10">'[23]Top Lvl  Logic'!$L$23</definedName>
    <definedName name="PR_AL_45" localSheetId="4">'[73]Top Lvl  Logic'!$M$23</definedName>
    <definedName name="PR_AL_45" localSheetId="3">'[73]Top Lvl  Logic'!$M$23</definedName>
    <definedName name="PR_AL_45" localSheetId="2">'[73]Top Lvl  Logic'!$M$23</definedName>
    <definedName name="PR_AL_45" localSheetId="5">'[73]Top Lvl  Logic'!$M$23</definedName>
    <definedName name="PR_AL_45" localSheetId="6">'[73]Top Lvl  Logic'!$M$23</definedName>
    <definedName name="PR_AL_45" localSheetId="7">'[73]Top Lvl  Logic'!$M$23</definedName>
    <definedName name="PR_AL_45" localSheetId="8">'[73]Top Lvl  Logic'!$M$23</definedName>
    <definedName name="PR_AL_45" localSheetId="9">'[73]Top Lvl  Logic'!$M$23</definedName>
    <definedName name="PR_AL_45" localSheetId="10">'[18]Top Lvl  Logic'!$M$23</definedName>
    <definedName name="PR_AL_45">'[23]Top Lvl  Logic'!$M$23</definedName>
    <definedName name="PR_AL_45_10" localSheetId="4">'[73]Top Lvl  Logic'!$M$23</definedName>
    <definedName name="PR_AL_45_10" localSheetId="3">'[73]Top Lvl  Logic'!$M$23</definedName>
    <definedName name="PR_AL_45_10" localSheetId="2">'[73]Top Lvl  Logic'!$M$23</definedName>
    <definedName name="PR_AL_45_10" localSheetId="5">'[73]Top Lvl  Logic'!$M$23</definedName>
    <definedName name="PR_AL_45_10" localSheetId="6">'[73]Top Lvl  Logic'!$M$23</definedName>
    <definedName name="PR_AL_45_10" localSheetId="7">'[73]Top Lvl  Logic'!$M$23</definedName>
    <definedName name="PR_AL_45_10" localSheetId="8">'[73]Top Lvl  Logic'!$M$23</definedName>
    <definedName name="PR_AL_45_10" localSheetId="9">'[73]Top Lvl  Logic'!$M$23</definedName>
    <definedName name="PR_AL_45_10" localSheetId="10">'[18]Top Lvl  Logic'!$M$23</definedName>
    <definedName name="PR_AL_45_10">'[23]Top Lvl  Logic'!$M$23</definedName>
    <definedName name="PR_AL_56" localSheetId="4">'[73]Top Lvl  Logic'!$N$23</definedName>
    <definedName name="PR_AL_56" localSheetId="3">'[73]Top Lvl  Logic'!$N$23</definedName>
    <definedName name="PR_AL_56" localSheetId="2">'[73]Top Lvl  Logic'!$N$23</definedName>
    <definedName name="PR_AL_56" localSheetId="5">'[73]Top Lvl  Logic'!$N$23</definedName>
    <definedName name="PR_AL_56" localSheetId="6">'[73]Top Lvl  Logic'!$N$23</definedName>
    <definedName name="PR_AL_56" localSheetId="7">'[73]Top Lvl  Logic'!$N$23</definedName>
    <definedName name="PR_AL_56" localSheetId="8">'[73]Top Lvl  Logic'!$N$23</definedName>
    <definedName name="PR_AL_56" localSheetId="9">'[73]Top Lvl  Logic'!$N$23</definedName>
    <definedName name="PR_AL_56" localSheetId="10">'[18]Top Lvl  Logic'!$N$23</definedName>
    <definedName name="PR_AL_56">'[23]Top Lvl  Logic'!$N$23</definedName>
    <definedName name="PR_AL_56_10" localSheetId="4">'[73]Top Lvl  Logic'!$N$23</definedName>
    <definedName name="PR_AL_56_10" localSheetId="3">'[73]Top Lvl  Logic'!$N$23</definedName>
    <definedName name="PR_AL_56_10" localSheetId="2">'[73]Top Lvl  Logic'!$N$23</definedName>
    <definedName name="PR_AL_56_10" localSheetId="5">'[73]Top Lvl  Logic'!$N$23</definedName>
    <definedName name="PR_AL_56_10" localSheetId="6">'[73]Top Lvl  Logic'!$N$23</definedName>
    <definedName name="PR_AL_56_10" localSheetId="7">'[73]Top Lvl  Logic'!$N$23</definedName>
    <definedName name="PR_AL_56_10" localSheetId="8">'[73]Top Lvl  Logic'!$N$23</definedName>
    <definedName name="PR_AL_56_10" localSheetId="9">'[73]Top Lvl  Logic'!$N$23</definedName>
    <definedName name="PR_AL_56_10" localSheetId="10">'[18]Top Lvl  Logic'!$N$23</definedName>
    <definedName name="PR_AL_56_10">'[23]Top Lvl  Logic'!$N$23</definedName>
    <definedName name="PR_AL_G6" localSheetId="4">'[73]Top Lvl  Logic'!$O$23</definedName>
    <definedName name="PR_AL_G6" localSheetId="3">'[73]Top Lvl  Logic'!$O$23</definedName>
    <definedName name="PR_AL_G6" localSheetId="2">'[73]Top Lvl  Logic'!$O$23</definedName>
    <definedName name="PR_AL_G6" localSheetId="5">'[73]Top Lvl  Logic'!$O$23</definedName>
    <definedName name="PR_AL_G6" localSheetId="6">'[73]Top Lvl  Logic'!$O$23</definedName>
    <definedName name="PR_AL_G6" localSheetId="7">'[73]Top Lvl  Logic'!$O$23</definedName>
    <definedName name="PR_AL_G6" localSheetId="8">'[73]Top Lvl  Logic'!$O$23</definedName>
    <definedName name="PR_AL_G6" localSheetId="9">'[73]Top Lvl  Logic'!$O$23</definedName>
    <definedName name="PR_AL_G6" localSheetId="10">'[18]Top Lvl  Logic'!$O$23</definedName>
    <definedName name="PR_AL_G6">'[23]Top Lvl  Logic'!$O$23</definedName>
    <definedName name="PR_AL_G6_10" localSheetId="4">'[73]Top Lvl  Logic'!$O$23</definedName>
    <definedName name="PR_AL_G6_10" localSheetId="3">'[73]Top Lvl  Logic'!$O$23</definedName>
    <definedName name="PR_AL_G6_10" localSheetId="2">'[73]Top Lvl  Logic'!$O$23</definedName>
    <definedName name="PR_AL_G6_10" localSheetId="5">'[73]Top Lvl  Logic'!$O$23</definedName>
    <definedName name="PR_AL_G6_10" localSheetId="6">'[73]Top Lvl  Logic'!$O$23</definedName>
    <definedName name="PR_AL_G6_10" localSheetId="7">'[73]Top Lvl  Logic'!$O$23</definedName>
    <definedName name="PR_AL_G6_10" localSheetId="8">'[73]Top Lvl  Logic'!$O$23</definedName>
    <definedName name="PR_AL_G6_10" localSheetId="9">'[73]Top Lvl  Logic'!$O$23</definedName>
    <definedName name="PR_AL_G6_10" localSheetId="10">'[18]Top Lvl  Logic'!$O$23</definedName>
    <definedName name="PR_AL_G6_10">'[23]Top Lvl  Logic'!$O$23</definedName>
    <definedName name="PR_AL_L0" localSheetId="4">'[73]Top Lvl  Logic'!$H$23</definedName>
    <definedName name="PR_AL_L0" localSheetId="3">'[73]Top Lvl  Logic'!$H$23</definedName>
    <definedName name="PR_AL_L0" localSheetId="2">'[73]Top Lvl  Logic'!$H$23</definedName>
    <definedName name="PR_AL_L0" localSheetId="5">'[73]Top Lvl  Logic'!$H$23</definedName>
    <definedName name="PR_AL_L0" localSheetId="6">'[73]Top Lvl  Logic'!$H$23</definedName>
    <definedName name="PR_AL_L0" localSheetId="7">'[73]Top Lvl  Logic'!$H$23</definedName>
    <definedName name="PR_AL_L0" localSheetId="8">'[73]Top Lvl  Logic'!$H$23</definedName>
    <definedName name="PR_AL_L0" localSheetId="9">'[73]Top Lvl  Logic'!$H$23</definedName>
    <definedName name="PR_AL_L0" localSheetId="10">'[18]Top Lvl  Logic'!$H$23</definedName>
    <definedName name="PR_AL_L0">'[23]Top Lvl  Logic'!$H$23</definedName>
    <definedName name="PR_AL_L0_10" localSheetId="4">'[73]Top Lvl  Logic'!$H$23</definedName>
    <definedName name="PR_AL_L0_10" localSheetId="3">'[73]Top Lvl  Logic'!$H$23</definedName>
    <definedName name="PR_AL_L0_10" localSheetId="2">'[73]Top Lvl  Logic'!$H$23</definedName>
    <definedName name="PR_AL_L0_10" localSheetId="5">'[73]Top Lvl  Logic'!$H$23</definedName>
    <definedName name="PR_AL_L0_10" localSheetId="6">'[73]Top Lvl  Logic'!$H$23</definedName>
    <definedName name="PR_AL_L0_10" localSheetId="7">'[73]Top Lvl  Logic'!$H$23</definedName>
    <definedName name="PR_AL_L0_10" localSheetId="8">'[73]Top Lvl  Logic'!$H$23</definedName>
    <definedName name="PR_AL_L0_10" localSheetId="9">'[73]Top Lvl  Logic'!$H$23</definedName>
    <definedName name="PR_AL_L0_10" localSheetId="10">'[18]Top Lvl  Logic'!$H$23</definedName>
    <definedName name="PR_AL_L0_10">'[23]Top Lvl  Logic'!$H$23</definedName>
    <definedName name="PR_AL_NA" localSheetId="4">'[73]Top Lvl  Logic'!$G$23</definedName>
    <definedName name="PR_AL_NA" localSheetId="3">'[73]Top Lvl  Logic'!$G$23</definedName>
    <definedName name="PR_AL_NA" localSheetId="2">'[73]Top Lvl  Logic'!$G$23</definedName>
    <definedName name="PR_AL_NA" localSheetId="5">'[73]Top Lvl  Logic'!$G$23</definedName>
    <definedName name="PR_AL_NA" localSheetId="6">'[73]Top Lvl  Logic'!$G$23</definedName>
    <definedName name="PR_AL_NA" localSheetId="7">'[73]Top Lvl  Logic'!$G$23</definedName>
    <definedName name="PR_AL_NA" localSheetId="8">'[73]Top Lvl  Logic'!$G$23</definedName>
    <definedName name="PR_AL_NA" localSheetId="9">'[73]Top Lvl  Logic'!$G$23</definedName>
    <definedName name="PR_AL_NA" localSheetId="10">'[18]Top Lvl  Logic'!$G$23</definedName>
    <definedName name="PR_AL_NA">'[23]Top Lvl  Logic'!$G$23</definedName>
    <definedName name="PR_AL_NA_10" localSheetId="4">'[73]Top Lvl  Logic'!$G$23</definedName>
    <definedName name="PR_AL_NA_10" localSheetId="3">'[73]Top Lvl  Logic'!$G$23</definedName>
    <definedName name="PR_AL_NA_10" localSheetId="2">'[73]Top Lvl  Logic'!$G$23</definedName>
    <definedName name="PR_AL_NA_10" localSheetId="5">'[73]Top Lvl  Logic'!$G$23</definedName>
    <definedName name="PR_AL_NA_10" localSheetId="6">'[73]Top Lvl  Logic'!$G$23</definedName>
    <definedName name="PR_AL_NA_10" localSheetId="7">'[73]Top Lvl  Logic'!$G$23</definedName>
    <definedName name="PR_AL_NA_10" localSheetId="8">'[73]Top Lvl  Logic'!$G$23</definedName>
    <definedName name="PR_AL_NA_10" localSheetId="9">'[73]Top Lvl  Logic'!$G$23</definedName>
    <definedName name="PR_AL_NA_10" localSheetId="10">'[18]Top Lvl  Logic'!$G$23</definedName>
    <definedName name="PR_AL_NA_10">'[23]Top Lvl  Logic'!$G$23</definedName>
    <definedName name="PR_ALL" localSheetId="4">'[73]Top Lvl  Logic'!$D$22</definedName>
    <definedName name="PR_ALL" localSheetId="3">'[73]Top Lvl  Logic'!$D$22</definedName>
    <definedName name="PR_ALL" localSheetId="2">'[73]Top Lvl  Logic'!$D$22</definedName>
    <definedName name="PR_ALL" localSheetId="5">'[73]Top Lvl  Logic'!$D$22</definedName>
    <definedName name="PR_ALL" localSheetId="6">'[73]Top Lvl  Logic'!$D$22</definedName>
    <definedName name="PR_ALL" localSheetId="7">'[73]Top Lvl  Logic'!$D$22</definedName>
    <definedName name="PR_ALL" localSheetId="8">'[73]Top Lvl  Logic'!$D$22</definedName>
    <definedName name="PR_ALL" localSheetId="9">'[73]Top Lvl  Logic'!$D$22</definedName>
    <definedName name="PR_ALL" localSheetId="10">'[18]Top Lvl  Logic'!$D$22</definedName>
    <definedName name="PR_ALL">'[23]Top Lvl  Logic'!$D$22</definedName>
    <definedName name="PR_ALL_10" localSheetId="4">'[73]Top Lvl  Logic'!$D$22</definedName>
    <definedName name="PR_ALL_10" localSheetId="3">'[73]Top Lvl  Logic'!$D$22</definedName>
    <definedName name="PR_ALL_10" localSheetId="2">'[73]Top Lvl  Logic'!$D$22</definedName>
    <definedName name="PR_ALL_10" localSheetId="5">'[73]Top Lvl  Logic'!$D$22</definedName>
    <definedName name="PR_ALL_10" localSheetId="6">'[73]Top Lvl  Logic'!$D$22</definedName>
    <definedName name="PR_ALL_10" localSheetId="7">'[73]Top Lvl  Logic'!$D$22</definedName>
    <definedName name="PR_ALL_10" localSheetId="8">'[73]Top Lvl  Logic'!$D$22</definedName>
    <definedName name="PR_ALL_10" localSheetId="9">'[73]Top Lvl  Logic'!$D$22</definedName>
    <definedName name="PR_ALL_10" localSheetId="10">'[18]Top Lvl  Logic'!$D$22</definedName>
    <definedName name="PR_ALL_10">'[23]Top Lvl  Logic'!$D$22</definedName>
    <definedName name="PR_CO_01" localSheetId="4">'[73]Top Lvl  Logic'!$I$27</definedName>
    <definedName name="PR_CO_01" localSheetId="3">'[73]Top Lvl  Logic'!$I$27</definedName>
    <definedName name="PR_CO_01" localSheetId="2">'[73]Top Lvl  Logic'!$I$27</definedName>
    <definedName name="PR_CO_01" localSheetId="5">'[73]Top Lvl  Logic'!$I$27</definedName>
    <definedName name="PR_CO_01" localSheetId="6">'[73]Top Lvl  Logic'!$I$27</definedName>
    <definedName name="PR_CO_01" localSheetId="7">'[73]Top Lvl  Logic'!$I$27</definedName>
    <definedName name="PR_CO_01" localSheetId="8">'[73]Top Lvl  Logic'!$I$27</definedName>
    <definedName name="PR_CO_01" localSheetId="9">'[73]Top Lvl  Logic'!$I$27</definedName>
    <definedName name="PR_CO_01" localSheetId="10">'[18]Top Lvl  Logic'!$I$27</definedName>
    <definedName name="PR_CO_01">'[23]Top Lvl  Logic'!$I$27</definedName>
    <definedName name="PR_CO_01_10" localSheetId="4">'[73]Top Lvl  Logic'!$I$27</definedName>
    <definedName name="PR_CO_01_10" localSheetId="3">'[73]Top Lvl  Logic'!$I$27</definedName>
    <definedName name="PR_CO_01_10" localSheetId="2">'[73]Top Lvl  Logic'!$I$27</definedName>
    <definedName name="PR_CO_01_10" localSheetId="5">'[73]Top Lvl  Logic'!$I$27</definedName>
    <definedName name="PR_CO_01_10" localSheetId="6">'[73]Top Lvl  Logic'!$I$27</definedName>
    <definedName name="PR_CO_01_10" localSheetId="7">'[73]Top Lvl  Logic'!$I$27</definedName>
    <definedName name="PR_CO_01_10" localSheetId="8">'[73]Top Lvl  Logic'!$I$27</definedName>
    <definedName name="PR_CO_01_10" localSheetId="9">'[73]Top Lvl  Logic'!$I$27</definedName>
    <definedName name="PR_CO_01_10" localSheetId="10">'[18]Top Lvl  Logic'!$I$27</definedName>
    <definedName name="PR_CO_01_10">'[23]Top Lvl  Logic'!$I$27</definedName>
    <definedName name="PR_CO_12" localSheetId="4">'[73]Top Lvl  Logic'!$J$27</definedName>
    <definedName name="PR_CO_12" localSheetId="3">'[73]Top Lvl  Logic'!$J$27</definedName>
    <definedName name="PR_CO_12" localSheetId="2">'[73]Top Lvl  Logic'!$J$27</definedName>
    <definedName name="PR_CO_12" localSheetId="5">'[73]Top Lvl  Logic'!$J$27</definedName>
    <definedName name="PR_CO_12" localSheetId="6">'[73]Top Lvl  Logic'!$J$27</definedName>
    <definedName name="PR_CO_12" localSheetId="7">'[73]Top Lvl  Logic'!$J$27</definedName>
    <definedName name="PR_CO_12" localSheetId="8">'[73]Top Lvl  Logic'!$J$27</definedName>
    <definedName name="PR_CO_12" localSheetId="9">'[73]Top Lvl  Logic'!$J$27</definedName>
    <definedName name="PR_CO_12" localSheetId="10">'[18]Top Lvl  Logic'!$J$27</definedName>
    <definedName name="PR_CO_12">'[23]Top Lvl  Logic'!$J$27</definedName>
    <definedName name="PR_CO_12_10" localSheetId="4">'[73]Top Lvl  Logic'!$J$27</definedName>
    <definedName name="PR_CO_12_10" localSheetId="3">'[73]Top Lvl  Logic'!$J$27</definedName>
    <definedName name="PR_CO_12_10" localSheetId="2">'[73]Top Lvl  Logic'!$J$27</definedName>
    <definedName name="PR_CO_12_10" localSheetId="5">'[73]Top Lvl  Logic'!$J$27</definedName>
    <definedName name="PR_CO_12_10" localSheetId="6">'[73]Top Lvl  Logic'!$J$27</definedName>
    <definedName name="PR_CO_12_10" localSheetId="7">'[73]Top Lvl  Logic'!$J$27</definedName>
    <definedName name="PR_CO_12_10" localSheetId="8">'[73]Top Lvl  Logic'!$J$27</definedName>
    <definedName name="PR_CO_12_10" localSheetId="9">'[73]Top Lvl  Logic'!$J$27</definedName>
    <definedName name="PR_CO_12_10" localSheetId="10">'[18]Top Lvl  Logic'!$J$27</definedName>
    <definedName name="PR_CO_12_10">'[23]Top Lvl  Logic'!$J$27</definedName>
    <definedName name="PR_CO_23" localSheetId="4">'[73]Top Lvl  Logic'!$K$27</definedName>
    <definedName name="PR_CO_23" localSheetId="3">'[73]Top Lvl  Logic'!$K$27</definedName>
    <definedName name="PR_CO_23" localSheetId="2">'[73]Top Lvl  Logic'!$K$27</definedName>
    <definedName name="PR_CO_23" localSheetId="5">'[73]Top Lvl  Logic'!$K$27</definedName>
    <definedName name="PR_CO_23" localSheetId="6">'[73]Top Lvl  Logic'!$K$27</definedName>
    <definedName name="PR_CO_23" localSheetId="7">'[73]Top Lvl  Logic'!$K$27</definedName>
    <definedName name="PR_CO_23" localSheetId="8">'[73]Top Lvl  Logic'!$K$27</definedName>
    <definedName name="PR_CO_23" localSheetId="9">'[73]Top Lvl  Logic'!$K$27</definedName>
    <definedName name="PR_CO_23" localSheetId="10">'[18]Top Lvl  Logic'!$K$27</definedName>
    <definedName name="PR_CO_23">'[23]Top Lvl  Logic'!$K$27</definedName>
    <definedName name="PR_CO_23_10" localSheetId="4">'[73]Top Lvl  Logic'!$K$27</definedName>
    <definedName name="PR_CO_23_10" localSheetId="3">'[73]Top Lvl  Logic'!$K$27</definedName>
    <definedName name="PR_CO_23_10" localSheetId="2">'[73]Top Lvl  Logic'!$K$27</definedName>
    <definedName name="PR_CO_23_10" localSheetId="5">'[73]Top Lvl  Logic'!$K$27</definedName>
    <definedName name="PR_CO_23_10" localSheetId="6">'[73]Top Lvl  Logic'!$K$27</definedName>
    <definedName name="PR_CO_23_10" localSheetId="7">'[73]Top Lvl  Logic'!$K$27</definedName>
    <definedName name="PR_CO_23_10" localSheetId="8">'[73]Top Lvl  Logic'!$K$27</definedName>
    <definedName name="PR_CO_23_10" localSheetId="9">'[73]Top Lvl  Logic'!$K$27</definedName>
    <definedName name="PR_CO_23_10" localSheetId="10">'[18]Top Lvl  Logic'!$K$27</definedName>
    <definedName name="PR_CO_23_10">'[23]Top Lvl  Logic'!$K$27</definedName>
    <definedName name="PR_CO_34" localSheetId="4">'[73]Top Lvl  Logic'!$L$27</definedName>
    <definedName name="PR_CO_34" localSheetId="3">'[73]Top Lvl  Logic'!$L$27</definedName>
    <definedName name="PR_CO_34" localSheetId="2">'[73]Top Lvl  Logic'!$L$27</definedName>
    <definedName name="PR_CO_34" localSheetId="5">'[73]Top Lvl  Logic'!$L$27</definedName>
    <definedName name="PR_CO_34" localSheetId="6">'[73]Top Lvl  Logic'!$L$27</definedName>
    <definedName name="PR_CO_34" localSheetId="7">'[73]Top Lvl  Logic'!$L$27</definedName>
    <definedName name="PR_CO_34" localSheetId="8">'[73]Top Lvl  Logic'!$L$27</definedName>
    <definedName name="PR_CO_34" localSheetId="9">'[73]Top Lvl  Logic'!$L$27</definedName>
    <definedName name="PR_CO_34" localSheetId="10">'[18]Top Lvl  Logic'!$L$27</definedName>
    <definedName name="PR_CO_34">'[23]Top Lvl  Logic'!$L$27</definedName>
    <definedName name="PR_CO_34_10" localSheetId="4">'[73]Top Lvl  Logic'!$L$27</definedName>
    <definedName name="PR_CO_34_10" localSheetId="3">'[73]Top Lvl  Logic'!$L$27</definedName>
    <definedName name="PR_CO_34_10" localSheetId="2">'[73]Top Lvl  Logic'!$L$27</definedName>
    <definedName name="PR_CO_34_10" localSheetId="5">'[73]Top Lvl  Logic'!$L$27</definedName>
    <definedName name="PR_CO_34_10" localSheetId="6">'[73]Top Lvl  Logic'!$L$27</definedName>
    <definedName name="PR_CO_34_10" localSheetId="7">'[73]Top Lvl  Logic'!$L$27</definedName>
    <definedName name="PR_CO_34_10" localSheetId="8">'[73]Top Lvl  Logic'!$L$27</definedName>
    <definedName name="PR_CO_34_10" localSheetId="9">'[73]Top Lvl  Logic'!$L$27</definedName>
    <definedName name="PR_CO_34_10" localSheetId="10">'[18]Top Lvl  Logic'!$L$27</definedName>
    <definedName name="PR_CO_34_10">'[23]Top Lvl  Logic'!$L$27</definedName>
    <definedName name="PR_CO_45" localSheetId="4">'[73]Top Lvl  Logic'!$M$27</definedName>
    <definedName name="PR_CO_45" localSheetId="3">'[73]Top Lvl  Logic'!$M$27</definedName>
    <definedName name="PR_CO_45" localSheetId="2">'[73]Top Lvl  Logic'!$M$27</definedName>
    <definedName name="PR_CO_45" localSheetId="5">'[73]Top Lvl  Logic'!$M$27</definedName>
    <definedName name="PR_CO_45" localSheetId="6">'[73]Top Lvl  Logic'!$M$27</definedName>
    <definedName name="PR_CO_45" localSheetId="7">'[73]Top Lvl  Logic'!$M$27</definedName>
    <definedName name="PR_CO_45" localSheetId="8">'[73]Top Lvl  Logic'!$M$27</definedName>
    <definedName name="PR_CO_45" localSheetId="9">'[73]Top Lvl  Logic'!$M$27</definedName>
    <definedName name="PR_CO_45" localSheetId="10">'[18]Top Lvl  Logic'!$M$27</definedName>
    <definedName name="PR_CO_45">'[23]Top Lvl  Logic'!$M$27</definedName>
    <definedName name="PR_CO_45_10" localSheetId="4">'[73]Top Lvl  Logic'!$M$27</definedName>
    <definedName name="PR_CO_45_10" localSheetId="3">'[73]Top Lvl  Logic'!$M$27</definedName>
    <definedName name="PR_CO_45_10" localSheetId="2">'[73]Top Lvl  Logic'!$M$27</definedName>
    <definedName name="PR_CO_45_10" localSheetId="5">'[73]Top Lvl  Logic'!$M$27</definedName>
    <definedName name="PR_CO_45_10" localSheetId="6">'[73]Top Lvl  Logic'!$M$27</definedName>
    <definedName name="PR_CO_45_10" localSheetId="7">'[73]Top Lvl  Logic'!$M$27</definedName>
    <definedName name="PR_CO_45_10" localSheetId="8">'[73]Top Lvl  Logic'!$M$27</definedName>
    <definedName name="PR_CO_45_10" localSheetId="9">'[73]Top Lvl  Logic'!$M$27</definedName>
    <definedName name="PR_CO_45_10" localSheetId="10">'[18]Top Lvl  Logic'!$M$27</definedName>
    <definedName name="PR_CO_45_10">'[23]Top Lvl  Logic'!$M$27</definedName>
    <definedName name="PR_CO_56" localSheetId="4">'[73]Top Lvl  Logic'!$N$27</definedName>
    <definedName name="PR_CO_56" localSheetId="3">'[73]Top Lvl  Logic'!$N$27</definedName>
    <definedName name="PR_CO_56" localSheetId="2">'[73]Top Lvl  Logic'!$N$27</definedName>
    <definedName name="PR_CO_56" localSheetId="5">'[73]Top Lvl  Logic'!$N$27</definedName>
    <definedName name="PR_CO_56" localSheetId="6">'[73]Top Lvl  Logic'!$N$27</definedName>
    <definedName name="PR_CO_56" localSheetId="7">'[73]Top Lvl  Logic'!$N$27</definedName>
    <definedName name="PR_CO_56" localSheetId="8">'[73]Top Lvl  Logic'!$N$27</definedName>
    <definedName name="PR_CO_56" localSheetId="9">'[73]Top Lvl  Logic'!$N$27</definedName>
    <definedName name="PR_CO_56" localSheetId="10">'[18]Top Lvl  Logic'!$N$27</definedName>
    <definedName name="PR_CO_56">'[23]Top Lvl  Logic'!$N$27</definedName>
    <definedName name="PR_CO_56_10" localSheetId="4">'[73]Top Lvl  Logic'!$N$27</definedName>
    <definedName name="PR_CO_56_10" localSheetId="3">'[73]Top Lvl  Logic'!$N$27</definedName>
    <definedName name="PR_CO_56_10" localSheetId="2">'[73]Top Lvl  Logic'!$N$27</definedName>
    <definedName name="PR_CO_56_10" localSheetId="5">'[73]Top Lvl  Logic'!$N$27</definedName>
    <definedName name="PR_CO_56_10" localSheetId="6">'[73]Top Lvl  Logic'!$N$27</definedName>
    <definedName name="PR_CO_56_10" localSheetId="7">'[73]Top Lvl  Logic'!$N$27</definedName>
    <definedName name="PR_CO_56_10" localSheetId="8">'[73]Top Lvl  Logic'!$N$27</definedName>
    <definedName name="PR_CO_56_10" localSheetId="9">'[73]Top Lvl  Logic'!$N$27</definedName>
    <definedName name="PR_CO_56_10" localSheetId="10">'[18]Top Lvl  Logic'!$N$27</definedName>
    <definedName name="PR_CO_56_10">'[23]Top Lvl  Logic'!$N$27</definedName>
    <definedName name="PR_CO_G6" localSheetId="4">'[73]Top Lvl  Logic'!$O$27</definedName>
    <definedName name="PR_CO_G6" localSheetId="3">'[73]Top Lvl  Logic'!$O$27</definedName>
    <definedName name="PR_CO_G6" localSheetId="2">'[73]Top Lvl  Logic'!$O$27</definedName>
    <definedName name="PR_CO_G6" localSheetId="5">'[73]Top Lvl  Logic'!$O$27</definedName>
    <definedName name="PR_CO_G6" localSheetId="6">'[73]Top Lvl  Logic'!$O$27</definedName>
    <definedName name="PR_CO_G6" localSheetId="7">'[73]Top Lvl  Logic'!$O$27</definedName>
    <definedName name="PR_CO_G6" localSheetId="8">'[73]Top Lvl  Logic'!$O$27</definedName>
    <definedName name="PR_CO_G6" localSheetId="9">'[73]Top Lvl  Logic'!$O$27</definedName>
    <definedName name="PR_CO_G6" localSheetId="10">'[18]Top Lvl  Logic'!$O$27</definedName>
    <definedName name="PR_CO_G6">'[23]Top Lvl  Logic'!$O$27</definedName>
    <definedName name="PR_CO_G6_10" localSheetId="4">'[73]Top Lvl  Logic'!$O$27</definedName>
    <definedName name="PR_CO_G6_10" localSheetId="3">'[73]Top Lvl  Logic'!$O$27</definedName>
    <definedName name="PR_CO_G6_10" localSheetId="2">'[73]Top Lvl  Logic'!$O$27</definedName>
    <definedName name="PR_CO_G6_10" localSheetId="5">'[73]Top Lvl  Logic'!$O$27</definedName>
    <definedName name="PR_CO_G6_10" localSheetId="6">'[73]Top Lvl  Logic'!$O$27</definedName>
    <definedName name="PR_CO_G6_10" localSheetId="7">'[73]Top Lvl  Logic'!$O$27</definedName>
    <definedName name="PR_CO_G6_10" localSheetId="8">'[73]Top Lvl  Logic'!$O$27</definedName>
    <definedName name="PR_CO_G6_10" localSheetId="9">'[73]Top Lvl  Logic'!$O$27</definedName>
    <definedName name="PR_CO_G6_10" localSheetId="10">'[18]Top Lvl  Logic'!$O$27</definedName>
    <definedName name="PR_CO_G6_10">'[23]Top Lvl  Logic'!$O$27</definedName>
    <definedName name="PR_CO_L0" localSheetId="4">'[73]Top Lvl  Logic'!$H$27</definedName>
    <definedName name="PR_CO_L0" localSheetId="3">'[73]Top Lvl  Logic'!$H$27</definedName>
    <definedName name="PR_CO_L0" localSheetId="2">'[73]Top Lvl  Logic'!$H$27</definedName>
    <definedName name="PR_CO_L0" localSheetId="5">'[73]Top Lvl  Logic'!$H$27</definedName>
    <definedName name="PR_CO_L0" localSheetId="6">'[73]Top Lvl  Logic'!$H$27</definedName>
    <definedName name="PR_CO_L0" localSheetId="7">'[73]Top Lvl  Logic'!$H$27</definedName>
    <definedName name="PR_CO_L0" localSheetId="8">'[73]Top Lvl  Logic'!$H$27</definedName>
    <definedName name="PR_CO_L0" localSheetId="9">'[73]Top Lvl  Logic'!$H$27</definedName>
    <definedName name="PR_CO_L0" localSheetId="10">'[18]Top Lvl  Logic'!$H$27</definedName>
    <definedName name="PR_CO_L0">'[23]Top Lvl  Logic'!$H$27</definedName>
    <definedName name="PR_CO_L0_10" localSheetId="4">'[73]Top Lvl  Logic'!$H$27</definedName>
    <definedName name="PR_CO_L0_10" localSheetId="3">'[73]Top Lvl  Logic'!$H$27</definedName>
    <definedName name="PR_CO_L0_10" localSheetId="2">'[73]Top Lvl  Logic'!$H$27</definedName>
    <definedName name="PR_CO_L0_10" localSheetId="5">'[73]Top Lvl  Logic'!$H$27</definedName>
    <definedName name="PR_CO_L0_10" localSheetId="6">'[73]Top Lvl  Logic'!$H$27</definedName>
    <definedName name="PR_CO_L0_10" localSheetId="7">'[73]Top Lvl  Logic'!$H$27</definedName>
    <definedName name="PR_CO_L0_10" localSheetId="8">'[73]Top Lvl  Logic'!$H$27</definedName>
    <definedName name="PR_CO_L0_10" localSheetId="9">'[73]Top Lvl  Logic'!$H$27</definedName>
    <definedName name="PR_CO_L0_10" localSheetId="10">'[18]Top Lvl  Logic'!$H$27</definedName>
    <definedName name="PR_CO_L0_10">'[23]Top Lvl  Logic'!$H$27</definedName>
    <definedName name="PR_CO_NA" localSheetId="4">'[73]Top Lvl  Logic'!$G$27</definedName>
    <definedName name="PR_CO_NA" localSheetId="3">'[73]Top Lvl  Logic'!$G$27</definedName>
    <definedName name="PR_CO_NA" localSheetId="2">'[73]Top Lvl  Logic'!$G$27</definedName>
    <definedName name="PR_CO_NA" localSheetId="5">'[73]Top Lvl  Logic'!$G$27</definedName>
    <definedName name="PR_CO_NA" localSheetId="6">'[73]Top Lvl  Logic'!$G$27</definedName>
    <definedName name="PR_CO_NA" localSheetId="7">'[73]Top Lvl  Logic'!$G$27</definedName>
    <definedName name="PR_CO_NA" localSheetId="8">'[73]Top Lvl  Logic'!$G$27</definedName>
    <definedName name="PR_CO_NA" localSheetId="9">'[73]Top Lvl  Logic'!$G$27</definedName>
    <definedName name="PR_CO_NA" localSheetId="10">'[18]Top Lvl  Logic'!$G$27</definedName>
    <definedName name="PR_CO_NA">'[23]Top Lvl  Logic'!$G$27</definedName>
    <definedName name="PR_CO_NA_10" localSheetId="4">'[73]Top Lvl  Logic'!$G$27</definedName>
    <definedName name="PR_CO_NA_10" localSheetId="3">'[73]Top Lvl  Logic'!$G$27</definedName>
    <definedName name="PR_CO_NA_10" localSheetId="2">'[73]Top Lvl  Logic'!$G$27</definedName>
    <definedName name="PR_CO_NA_10" localSheetId="5">'[73]Top Lvl  Logic'!$G$27</definedName>
    <definedName name="PR_CO_NA_10" localSheetId="6">'[73]Top Lvl  Logic'!$G$27</definedName>
    <definedName name="PR_CO_NA_10" localSheetId="7">'[73]Top Lvl  Logic'!$G$27</definedName>
    <definedName name="PR_CO_NA_10" localSheetId="8">'[73]Top Lvl  Logic'!$G$27</definedName>
    <definedName name="PR_CO_NA_10" localSheetId="9">'[73]Top Lvl  Logic'!$G$27</definedName>
    <definedName name="PR_CO_NA_10" localSheetId="10">'[18]Top Lvl  Logic'!$G$27</definedName>
    <definedName name="PR_CO_NA_10">'[23]Top Lvl  Logic'!$G$27</definedName>
    <definedName name="PR_CON" localSheetId="4">'[73]Top Lvl  Logic'!$D$26</definedName>
    <definedName name="PR_CON" localSheetId="3">'[73]Top Lvl  Logic'!$D$26</definedName>
    <definedName name="PR_CON" localSheetId="2">'[73]Top Lvl  Logic'!$D$26</definedName>
    <definedName name="PR_CON" localSheetId="5">'[73]Top Lvl  Logic'!$D$26</definedName>
    <definedName name="PR_CON" localSheetId="6">'[73]Top Lvl  Logic'!$D$26</definedName>
    <definedName name="PR_CON" localSheetId="7">'[73]Top Lvl  Logic'!$D$26</definedName>
    <definedName name="PR_CON" localSheetId="8">'[73]Top Lvl  Logic'!$D$26</definedName>
    <definedName name="PR_CON" localSheetId="9">'[73]Top Lvl  Logic'!$D$26</definedName>
    <definedName name="PR_CON" localSheetId="10">'[18]Top Lvl  Logic'!$D$26</definedName>
    <definedName name="PR_CON">'[23]Top Lvl  Logic'!$D$26</definedName>
    <definedName name="PR_CON_10" localSheetId="4">'[73]Top Lvl  Logic'!$D$26</definedName>
    <definedName name="PR_CON_10" localSheetId="3">'[73]Top Lvl  Logic'!$D$26</definedName>
    <definedName name="PR_CON_10" localSheetId="2">'[73]Top Lvl  Logic'!$D$26</definedName>
    <definedName name="PR_CON_10" localSheetId="5">'[73]Top Lvl  Logic'!$D$26</definedName>
    <definedName name="PR_CON_10" localSheetId="6">'[73]Top Lvl  Logic'!$D$26</definedName>
    <definedName name="PR_CON_10" localSheetId="7">'[73]Top Lvl  Logic'!$D$26</definedName>
    <definedName name="PR_CON_10" localSheetId="8">'[73]Top Lvl  Logic'!$D$26</definedName>
    <definedName name="PR_CON_10" localSheetId="9">'[73]Top Lvl  Logic'!$D$26</definedName>
    <definedName name="PR_CON_10" localSheetId="10">'[18]Top Lvl  Logic'!$D$26</definedName>
    <definedName name="PR_CON_10">'[23]Top Lvl  Logic'!$D$26</definedName>
    <definedName name="PR_ID_01" localSheetId="4">'[73]Top Lvl  Logic'!$I$22</definedName>
    <definedName name="PR_ID_01" localSheetId="3">'[73]Top Lvl  Logic'!$I$22</definedName>
    <definedName name="PR_ID_01" localSheetId="2">'[73]Top Lvl  Logic'!$I$22</definedName>
    <definedName name="PR_ID_01" localSheetId="5">'[73]Top Lvl  Logic'!$I$22</definedName>
    <definedName name="PR_ID_01" localSheetId="6">'[73]Top Lvl  Logic'!$I$22</definedName>
    <definedName name="PR_ID_01" localSheetId="7">'[73]Top Lvl  Logic'!$I$22</definedName>
    <definedName name="PR_ID_01" localSheetId="8">'[73]Top Lvl  Logic'!$I$22</definedName>
    <definedName name="PR_ID_01" localSheetId="9">'[73]Top Lvl  Logic'!$I$22</definedName>
    <definedName name="PR_ID_01" localSheetId="10">'[18]Top Lvl  Logic'!$I$22</definedName>
    <definedName name="PR_ID_01">'[23]Top Lvl  Logic'!$I$22</definedName>
    <definedName name="PR_ID_01_10" localSheetId="4">'[73]Top Lvl  Logic'!$I$22</definedName>
    <definedName name="PR_ID_01_10" localSheetId="3">'[73]Top Lvl  Logic'!$I$22</definedName>
    <definedName name="PR_ID_01_10" localSheetId="2">'[73]Top Lvl  Logic'!$I$22</definedName>
    <definedName name="PR_ID_01_10" localSheetId="5">'[73]Top Lvl  Logic'!$I$22</definedName>
    <definedName name="PR_ID_01_10" localSheetId="6">'[73]Top Lvl  Logic'!$I$22</definedName>
    <definedName name="PR_ID_01_10" localSheetId="7">'[73]Top Lvl  Logic'!$I$22</definedName>
    <definedName name="PR_ID_01_10" localSheetId="8">'[73]Top Lvl  Logic'!$I$22</definedName>
    <definedName name="PR_ID_01_10" localSheetId="9">'[73]Top Lvl  Logic'!$I$22</definedName>
    <definedName name="PR_ID_01_10" localSheetId="10">'[18]Top Lvl  Logic'!$I$22</definedName>
    <definedName name="PR_ID_01_10">'[23]Top Lvl  Logic'!$I$22</definedName>
    <definedName name="PR_ID_12" localSheetId="4">'[73]Top Lvl  Logic'!$J$22</definedName>
    <definedName name="PR_ID_12" localSheetId="3">'[73]Top Lvl  Logic'!$J$22</definedName>
    <definedName name="PR_ID_12" localSheetId="2">'[73]Top Lvl  Logic'!$J$22</definedName>
    <definedName name="PR_ID_12" localSheetId="5">'[73]Top Lvl  Logic'!$J$22</definedName>
    <definedName name="PR_ID_12" localSheetId="6">'[73]Top Lvl  Logic'!$J$22</definedName>
    <definedName name="PR_ID_12" localSheetId="7">'[73]Top Lvl  Logic'!$J$22</definedName>
    <definedName name="PR_ID_12" localSheetId="8">'[73]Top Lvl  Logic'!$J$22</definedName>
    <definedName name="PR_ID_12" localSheetId="9">'[73]Top Lvl  Logic'!$J$22</definedName>
    <definedName name="PR_ID_12" localSheetId="10">'[18]Top Lvl  Logic'!$J$22</definedName>
    <definedName name="PR_ID_12">'[23]Top Lvl  Logic'!$J$22</definedName>
    <definedName name="PR_ID_12_10" localSheetId="4">'[73]Top Lvl  Logic'!$J$22</definedName>
    <definedName name="PR_ID_12_10" localSheetId="3">'[73]Top Lvl  Logic'!$J$22</definedName>
    <definedName name="PR_ID_12_10" localSheetId="2">'[73]Top Lvl  Logic'!$J$22</definedName>
    <definedName name="PR_ID_12_10" localSheetId="5">'[73]Top Lvl  Logic'!$J$22</definedName>
    <definedName name="PR_ID_12_10" localSheetId="6">'[73]Top Lvl  Logic'!$J$22</definedName>
    <definedName name="PR_ID_12_10" localSheetId="7">'[73]Top Lvl  Logic'!$J$22</definedName>
    <definedName name="PR_ID_12_10" localSheetId="8">'[73]Top Lvl  Logic'!$J$22</definedName>
    <definedName name="PR_ID_12_10" localSheetId="9">'[73]Top Lvl  Logic'!$J$22</definedName>
    <definedName name="PR_ID_12_10" localSheetId="10">'[18]Top Lvl  Logic'!$J$22</definedName>
    <definedName name="PR_ID_12_10">'[23]Top Lvl  Logic'!$J$22</definedName>
    <definedName name="PR_ID_23" localSheetId="4">'[73]Top Lvl  Logic'!$K$22</definedName>
    <definedName name="PR_ID_23" localSheetId="3">'[73]Top Lvl  Logic'!$K$22</definedName>
    <definedName name="PR_ID_23" localSheetId="2">'[73]Top Lvl  Logic'!$K$22</definedName>
    <definedName name="PR_ID_23" localSheetId="5">'[73]Top Lvl  Logic'!$K$22</definedName>
    <definedName name="PR_ID_23" localSheetId="6">'[73]Top Lvl  Logic'!$K$22</definedName>
    <definedName name="PR_ID_23" localSheetId="7">'[73]Top Lvl  Logic'!$K$22</definedName>
    <definedName name="PR_ID_23" localSheetId="8">'[73]Top Lvl  Logic'!$K$22</definedName>
    <definedName name="PR_ID_23" localSheetId="9">'[73]Top Lvl  Logic'!$K$22</definedName>
    <definedName name="PR_ID_23" localSheetId="10">'[18]Top Lvl  Logic'!$K$22</definedName>
    <definedName name="PR_ID_23">'[23]Top Lvl  Logic'!$K$22</definedName>
    <definedName name="PR_ID_23_10" localSheetId="4">'[73]Top Lvl  Logic'!$K$22</definedName>
    <definedName name="PR_ID_23_10" localSheetId="3">'[73]Top Lvl  Logic'!$K$22</definedName>
    <definedName name="PR_ID_23_10" localSheetId="2">'[73]Top Lvl  Logic'!$K$22</definedName>
    <definedName name="PR_ID_23_10" localSheetId="5">'[73]Top Lvl  Logic'!$K$22</definedName>
    <definedName name="PR_ID_23_10" localSheetId="6">'[73]Top Lvl  Logic'!$K$22</definedName>
    <definedName name="PR_ID_23_10" localSheetId="7">'[73]Top Lvl  Logic'!$K$22</definedName>
    <definedName name="PR_ID_23_10" localSheetId="8">'[73]Top Lvl  Logic'!$K$22</definedName>
    <definedName name="PR_ID_23_10" localSheetId="9">'[73]Top Lvl  Logic'!$K$22</definedName>
    <definedName name="PR_ID_23_10" localSheetId="10">'[18]Top Lvl  Logic'!$K$22</definedName>
    <definedName name="PR_ID_23_10">'[23]Top Lvl  Logic'!$K$22</definedName>
    <definedName name="PR_ID_34" localSheetId="4">'[73]Top Lvl  Logic'!$L$22</definedName>
    <definedName name="PR_ID_34" localSheetId="3">'[73]Top Lvl  Logic'!$L$22</definedName>
    <definedName name="PR_ID_34" localSheetId="2">'[73]Top Lvl  Logic'!$L$22</definedName>
    <definedName name="PR_ID_34" localSheetId="5">'[73]Top Lvl  Logic'!$L$22</definedName>
    <definedName name="PR_ID_34" localSheetId="6">'[73]Top Lvl  Logic'!$L$22</definedName>
    <definedName name="PR_ID_34" localSheetId="7">'[73]Top Lvl  Logic'!$L$22</definedName>
    <definedName name="PR_ID_34" localSheetId="8">'[73]Top Lvl  Logic'!$L$22</definedName>
    <definedName name="PR_ID_34" localSheetId="9">'[73]Top Lvl  Logic'!$L$22</definedName>
    <definedName name="PR_ID_34" localSheetId="10">'[18]Top Lvl  Logic'!$L$22</definedName>
    <definedName name="PR_ID_34">'[23]Top Lvl  Logic'!$L$22</definedName>
    <definedName name="PR_ID_34_10" localSheetId="4">'[73]Top Lvl  Logic'!$L$22</definedName>
    <definedName name="PR_ID_34_10" localSheetId="3">'[73]Top Lvl  Logic'!$L$22</definedName>
    <definedName name="PR_ID_34_10" localSheetId="2">'[73]Top Lvl  Logic'!$L$22</definedName>
    <definedName name="PR_ID_34_10" localSheetId="5">'[73]Top Lvl  Logic'!$L$22</definedName>
    <definedName name="PR_ID_34_10" localSheetId="6">'[73]Top Lvl  Logic'!$L$22</definedName>
    <definedName name="PR_ID_34_10" localSheetId="7">'[73]Top Lvl  Logic'!$L$22</definedName>
    <definedName name="PR_ID_34_10" localSheetId="8">'[73]Top Lvl  Logic'!$L$22</definedName>
    <definedName name="PR_ID_34_10" localSheetId="9">'[73]Top Lvl  Logic'!$L$22</definedName>
    <definedName name="PR_ID_34_10" localSheetId="10">'[18]Top Lvl  Logic'!$L$22</definedName>
    <definedName name="PR_ID_34_10">'[23]Top Lvl  Logic'!$L$22</definedName>
    <definedName name="PR_ID_45" localSheetId="4">'[73]Top Lvl  Logic'!$M$22</definedName>
    <definedName name="PR_ID_45" localSheetId="3">'[73]Top Lvl  Logic'!$M$22</definedName>
    <definedName name="PR_ID_45" localSheetId="2">'[73]Top Lvl  Logic'!$M$22</definedName>
    <definedName name="PR_ID_45" localSheetId="5">'[73]Top Lvl  Logic'!$M$22</definedName>
    <definedName name="PR_ID_45" localSheetId="6">'[73]Top Lvl  Logic'!$M$22</definedName>
    <definedName name="PR_ID_45" localSheetId="7">'[73]Top Lvl  Logic'!$M$22</definedName>
    <definedName name="PR_ID_45" localSheetId="8">'[73]Top Lvl  Logic'!$M$22</definedName>
    <definedName name="PR_ID_45" localSheetId="9">'[73]Top Lvl  Logic'!$M$22</definedName>
    <definedName name="PR_ID_45" localSheetId="10">'[18]Top Lvl  Logic'!$M$22</definedName>
    <definedName name="PR_ID_45">'[23]Top Lvl  Logic'!$M$22</definedName>
    <definedName name="PR_ID_45_10" localSheetId="4">'[73]Top Lvl  Logic'!$M$22</definedName>
    <definedName name="PR_ID_45_10" localSheetId="3">'[73]Top Lvl  Logic'!$M$22</definedName>
    <definedName name="PR_ID_45_10" localSheetId="2">'[73]Top Lvl  Logic'!$M$22</definedName>
    <definedName name="PR_ID_45_10" localSheetId="5">'[73]Top Lvl  Logic'!$M$22</definedName>
    <definedName name="PR_ID_45_10" localSheetId="6">'[73]Top Lvl  Logic'!$M$22</definedName>
    <definedName name="PR_ID_45_10" localSheetId="7">'[73]Top Lvl  Logic'!$M$22</definedName>
    <definedName name="PR_ID_45_10" localSheetId="8">'[73]Top Lvl  Logic'!$M$22</definedName>
    <definedName name="PR_ID_45_10" localSheetId="9">'[73]Top Lvl  Logic'!$M$22</definedName>
    <definedName name="PR_ID_45_10" localSheetId="10">'[18]Top Lvl  Logic'!$M$22</definedName>
    <definedName name="PR_ID_45_10">'[23]Top Lvl  Logic'!$M$22</definedName>
    <definedName name="PR_ID_56" localSheetId="4">'[73]Top Lvl  Logic'!$N$22</definedName>
    <definedName name="PR_ID_56" localSheetId="3">'[73]Top Lvl  Logic'!$N$22</definedName>
    <definedName name="PR_ID_56" localSheetId="2">'[73]Top Lvl  Logic'!$N$22</definedName>
    <definedName name="PR_ID_56" localSheetId="5">'[73]Top Lvl  Logic'!$N$22</definedName>
    <definedName name="PR_ID_56" localSheetId="6">'[73]Top Lvl  Logic'!$N$22</definedName>
    <definedName name="PR_ID_56" localSheetId="7">'[73]Top Lvl  Logic'!$N$22</definedName>
    <definedName name="PR_ID_56" localSheetId="8">'[73]Top Lvl  Logic'!$N$22</definedName>
    <definedName name="PR_ID_56" localSheetId="9">'[73]Top Lvl  Logic'!$N$22</definedName>
    <definedName name="PR_ID_56" localSheetId="10">'[18]Top Lvl  Logic'!$N$22</definedName>
    <definedName name="PR_ID_56">'[23]Top Lvl  Logic'!$N$22</definedName>
    <definedName name="PR_ID_56_10" localSheetId="4">'[73]Top Lvl  Logic'!$N$22</definedName>
    <definedName name="PR_ID_56_10" localSheetId="3">'[73]Top Lvl  Logic'!$N$22</definedName>
    <definedName name="PR_ID_56_10" localSheetId="2">'[73]Top Lvl  Logic'!$N$22</definedName>
    <definedName name="PR_ID_56_10" localSheetId="5">'[73]Top Lvl  Logic'!$N$22</definedName>
    <definedName name="PR_ID_56_10" localSheetId="6">'[73]Top Lvl  Logic'!$N$22</definedName>
    <definedName name="PR_ID_56_10" localSheetId="7">'[73]Top Lvl  Logic'!$N$22</definedName>
    <definedName name="PR_ID_56_10" localSheetId="8">'[73]Top Lvl  Logic'!$N$22</definedName>
    <definedName name="PR_ID_56_10" localSheetId="9">'[73]Top Lvl  Logic'!$N$22</definedName>
    <definedName name="PR_ID_56_10" localSheetId="10">'[18]Top Lvl  Logic'!$N$22</definedName>
    <definedName name="PR_ID_56_10">'[23]Top Lvl  Logic'!$N$22</definedName>
    <definedName name="PR_ID_G6" localSheetId="4">'[73]Top Lvl  Logic'!$O$22</definedName>
    <definedName name="PR_ID_G6" localSheetId="3">'[73]Top Lvl  Logic'!$O$22</definedName>
    <definedName name="PR_ID_G6" localSheetId="2">'[73]Top Lvl  Logic'!$O$22</definedName>
    <definedName name="PR_ID_G6" localSheetId="5">'[73]Top Lvl  Logic'!$O$22</definedName>
    <definedName name="PR_ID_G6" localSheetId="6">'[73]Top Lvl  Logic'!$O$22</definedName>
    <definedName name="PR_ID_G6" localSheetId="7">'[73]Top Lvl  Logic'!$O$22</definedName>
    <definedName name="PR_ID_G6" localSheetId="8">'[73]Top Lvl  Logic'!$O$22</definedName>
    <definedName name="PR_ID_G6" localSheetId="9">'[73]Top Lvl  Logic'!$O$22</definedName>
    <definedName name="PR_ID_G6" localSheetId="10">'[18]Top Lvl  Logic'!$O$22</definedName>
    <definedName name="PR_ID_G6">'[23]Top Lvl  Logic'!$O$22</definedName>
    <definedName name="PR_ID_G6_10" localSheetId="4">'[73]Top Lvl  Logic'!$O$22</definedName>
    <definedName name="PR_ID_G6_10" localSheetId="3">'[73]Top Lvl  Logic'!$O$22</definedName>
    <definedName name="PR_ID_G6_10" localSheetId="2">'[73]Top Lvl  Logic'!$O$22</definedName>
    <definedName name="PR_ID_G6_10" localSheetId="5">'[73]Top Lvl  Logic'!$O$22</definedName>
    <definedName name="PR_ID_G6_10" localSheetId="6">'[73]Top Lvl  Logic'!$O$22</definedName>
    <definedName name="PR_ID_G6_10" localSheetId="7">'[73]Top Lvl  Logic'!$O$22</definedName>
    <definedName name="PR_ID_G6_10" localSheetId="8">'[73]Top Lvl  Logic'!$O$22</definedName>
    <definedName name="PR_ID_G6_10" localSheetId="9">'[73]Top Lvl  Logic'!$O$22</definedName>
    <definedName name="PR_ID_G6_10" localSheetId="10">'[18]Top Lvl  Logic'!$O$22</definedName>
    <definedName name="PR_ID_G6_10">'[23]Top Lvl  Logic'!$O$22</definedName>
    <definedName name="PR_ID_L0" localSheetId="4">'[73]Top Lvl  Logic'!$H$22</definedName>
    <definedName name="PR_ID_L0" localSheetId="3">'[73]Top Lvl  Logic'!$H$22</definedName>
    <definedName name="PR_ID_L0" localSheetId="2">'[73]Top Lvl  Logic'!$H$22</definedName>
    <definedName name="PR_ID_L0" localSheetId="5">'[73]Top Lvl  Logic'!$H$22</definedName>
    <definedName name="PR_ID_L0" localSheetId="6">'[73]Top Lvl  Logic'!$H$22</definedName>
    <definedName name="PR_ID_L0" localSheetId="7">'[73]Top Lvl  Logic'!$H$22</definedName>
    <definedName name="PR_ID_L0" localSheetId="8">'[73]Top Lvl  Logic'!$H$22</definedName>
    <definedName name="PR_ID_L0" localSheetId="9">'[73]Top Lvl  Logic'!$H$22</definedName>
    <definedName name="PR_ID_L0" localSheetId="10">'[18]Top Lvl  Logic'!$H$22</definedName>
    <definedName name="PR_ID_L0">'[23]Top Lvl  Logic'!$H$22</definedName>
    <definedName name="PR_ID_L0_10" localSheetId="4">'[73]Top Lvl  Logic'!$H$22</definedName>
    <definedName name="PR_ID_L0_10" localSheetId="3">'[73]Top Lvl  Logic'!$H$22</definedName>
    <definedName name="PR_ID_L0_10" localSheetId="2">'[73]Top Lvl  Logic'!$H$22</definedName>
    <definedName name="PR_ID_L0_10" localSheetId="5">'[73]Top Lvl  Logic'!$H$22</definedName>
    <definedName name="PR_ID_L0_10" localSheetId="6">'[73]Top Lvl  Logic'!$H$22</definedName>
    <definedName name="PR_ID_L0_10" localSheetId="7">'[73]Top Lvl  Logic'!$H$22</definedName>
    <definedName name="PR_ID_L0_10" localSheetId="8">'[73]Top Lvl  Logic'!$H$22</definedName>
    <definedName name="PR_ID_L0_10" localSheetId="9">'[73]Top Lvl  Logic'!$H$22</definedName>
    <definedName name="PR_ID_L0_10" localSheetId="10">'[18]Top Lvl  Logic'!$H$22</definedName>
    <definedName name="PR_ID_L0_10">'[23]Top Lvl  Logic'!$H$22</definedName>
    <definedName name="PR_ID_NA" localSheetId="4">'[73]Top Lvl  Logic'!$G$22</definedName>
    <definedName name="PR_ID_NA" localSheetId="3">'[73]Top Lvl  Logic'!$G$22</definedName>
    <definedName name="PR_ID_NA" localSheetId="2">'[73]Top Lvl  Logic'!$G$22</definedName>
    <definedName name="PR_ID_NA" localSheetId="5">'[73]Top Lvl  Logic'!$G$22</definedName>
    <definedName name="PR_ID_NA" localSheetId="6">'[73]Top Lvl  Logic'!$G$22</definedName>
    <definedName name="PR_ID_NA" localSheetId="7">'[73]Top Lvl  Logic'!$G$22</definedName>
    <definedName name="PR_ID_NA" localSheetId="8">'[73]Top Lvl  Logic'!$G$22</definedName>
    <definedName name="PR_ID_NA" localSheetId="9">'[73]Top Lvl  Logic'!$G$22</definedName>
    <definedName name="PR_ID_NA" localSheetId="10">'[18]Top Lvl  Logic'!$G$22</definedName>
    <definedName name="PR_ID_NA">'[23]Top Lvl  Logic'!$G$22</definedName>
    <definedName name="PR_ID_NA_10" localSheetId="4">'[73]Top Lvl  Logic'!$G$22</definedName>
    <definedName name="PR_ID_NA_10" localSheetId="3">'[73]Top Lvl  Logic'!$G$22</definedName>
    <definedName name="PR_ID_NA_10" localSheetId="2">'[73]Top Lvl  Logic'!$G$22</definedName>
    <definedName name="PR_ID_NA_10" localSheetId="5">'[73]Top Lvl  Logic'!$G$22</definedName>
    <definedName name="PR_ID_NA_10" localSheetId="6">'[73]Top Lvl  Logic'!$G$22</definedName>
    <definedName name="PR_ID_NA_10" localSheetId="7">'[73]Top Lvl  Logic'!$G$22</definedName>
    <definedName name="PR_ID_NA_10" localSheetId="8">'[73]Top Lvl  Logic'!$G$22</definedName>
    <definedName name="PR_ID_NA_10" localSheetId="9">'[73]Top Lvl  Logic'!$G$22</definedName>
    <definedName name="PR_ID_NA_10" localSheetId="10">'[18]Top Lvl  Logic'!$G$22</definedName>
    <definedName name="PR_ID_NA_10">'[23]Top Lvl  Logic'!$G$22</definedName>
    <definedName name="PR_IDE" localSheetId="4">'[73]Top Lvl  Logic'!$D$21</definedName>
    <definedName name="PR_IDE" localSheetId="3">'[73]Top Lvl  Logic'!$D$21</definedName>
    <definedName name="PR_IDE" localSheetId="2">'[73]Top Lvl  Logic'!$D$21</definedName>
    <definedName name="PR_IDE" localSheetId="5">'[73]Top Lvl  Logic'!$D$21</definedName>
    <definedName name="PR_IDE" localSheetId="6">'[73]Top Lvl  Logic'!$D$21</definedName>
    <definedName name="PR_IDE" localSheetId="7">'[73]Top Lvl  Logic'!$D$21</definedName>
    <definedName name="PR_IDE" localSheetId="8">'[73]Top Lvl  Logic'!$D$21</definedName>
    <definedName name="PR_IDE" localSheetId="9">'[73]Top Lvl  Logic'!$D$21</definedName>
    <definedName name="PR_IDE" localSheetId="10">'[18]Top Lvl  Logic'!$D$21</definedName>
    <definedName name="PR_IDE">'[23]Top Lvl  Logic'!$D$21</definedName>
    <definedName name="PR_IDE_10" localSheetId="4">'[73]Top Lvl  Logic'!$D$21</definedName>
    <definedName name="PR_IDE_10" localSheetId="3">'[73]Top Lvl  Logic'!$D$21</definedName>
    <definedName name="PR_IDE_10" localSheetId="2">'[73]Top Lvl  Logic'!$D$21</definedName>
    <definedName name="PR_IDE_10" localSheetId="5">'[73]Top Lvl  Logic'!$D$21</definedName>
    <definedName name="PR_IDE_10" localSheetId="6">'[73]Top Lvl  Logic'!$D$21</definedName>
    <definedName name="PR_IDE_10" localSheetId="7">'[73]Top Lvl  Logic'!$D$21</definedName>
    <definedName name="PR_IDE_10" localSheetId="8">'[73]Top Lvl  Logic'!$D$21</definedName>
    <definedName name="PR_IDE_10" localSheetId="9">'[73]Top Lvl  Logic'!$D$21</definedName>
    <definedName name="PR_IDE_10" localSheetId="10">'[18]Top Lvl  Logic'!$D$21</definedName>
    <definedName name="PR_IDE_10">'[23]Top Lvl  Logic'!$D$21</definedName>
    <definedName name="PR_ME_01" localSheetId="4">'[73]Top Lvl  Logic'!$I$25</definedName>
    <definedName name="PR_ME_01" localSheetId="3">'[73]Top Lvl  Logic'!$I$25</definedName>
    <definedName name="PR_ME_01" localSheetId="2">'[73]Top Lvl  Logic'!$I$25</definedName>
    <definedName name="PR_ME_01" localSheetId="5">'[73]Top Lvl  Logic'!$I$25</definedName>
    <definedName name="PR_ME_01" localSheetId="6">'[73]Top Lvl  Logic'!$I$25</definedName>
    <definedName name="PR_ME_01" localSheetId="7">'[73]Top Lvl  Logic'!$I$25</definedName>
    <definedName name="PR_ME_01" localSheetId="8">'[73]Top Lvl  Logic'!$I$25</definedName>
    <definedName name="PR_ME_01" localSheetId="9">'[73]Top Lvl  Logic'!$I$25</definedName>
    <definedName name="PR_ME_01" localSheetId="10">'[18]Top Lvl  Logic'!$I$25</definedName>
    <definedName name="PR_ME_01">'[23]Top Lvl  Logic'!$I$25</definedName>
    <definedName name="PR_ME_01_10" localSheetId="4">'[73]Top Lvl  Logic'!$I$25</definedName>
    <definedName name="PR_ME_01_10" localSheetId="3">'[73]Top Lvl  Logic'!$I$25</definedName>
    <definedName name="PR_ME_01_10" localSheetId="2">'[73]Top Lvl  Logic'!$I$25</definedName>
    <definedName name="PR_ME_01_10" localSheetId="5">'[73]Top Lvl  Logic'!$I$25</definedName>
    <definedName name="PR_ME_01_10" localSheetId="6">'[73]Top Lvl  Logic'!$I$25</definedName>
    <definedName name="PR_ME_01_10" localSheetId="7">'[73]Top Lvl  Logic'!$I$25</definedName>
    <definedName name="PR_ME_01_10" localSheetId="8">'[73]Top Lvl  Logic'!$I$25</definedName>
    <definedName name="PR_ME_01_10" localSheetId="9">'[73]Top Lvl  Logic'!$I$25</definedName>
    <definedName name="PR_ME_01_10" localSheetId="10">'[18]Top Lvl  Logic'!$I$25</definedName>
    <definedName name="PR_ME_01_10">'[23]Top Lvl  Logic'!$I$25</definedName>
    <definedName name="PR_ME_12" localSheetId="4">'[73]Top Lvl  Logic'!$J$25</definedName>
    <definedName name="PR_ME_12" localSheetId="3">'[73]Top Lvl  Logic'!$J$25</definedName>
    <definedName name="PR_ME_12" localSheetId="2">'[73]Top Lvl  Logic'!$J$25</definedName>
    <definedName name="PR_ME_12" localSheetId="5">'[73]Top Lvl  Logic'!$J$25</definedName>
    <definedName name="PR_ME_12" localSheetId="6">'[73]Top Lvl  Logic'!$J$25</definedName>
    <definedName name="PR_ME_12" localSheetId="7">'[73]Top Lvl  Logic'!$J$25</definedName>
    <definedName name="PR_ME_12" localSheetId="8">'[73]Top Lvl  Logic'!$J$25</definedName>
    <definedName name="PR_ME_12" localSheetId="9">'[73]Top Lvl  Logic'!$J$25</definedName>
    <definedName name="PR_ME_12" localSheetId="10">'[18]Top Lvl  Logic'!$J$25</definedName>
    <definedName name="PR_ME_12">'[23]Top Lvl  Logic'!$J$25</definedName>
    <definedName name="PR_ME_12_10" localSheetId="4">'[73]Top Lvl  Logic'!$J$25</definedName>
    <definedName name="PR_ME_12_10" localSheetId="3">'[73]Top Lvl  Logic'!$J$25</definedName>
    <definedName name="PR_ME_12_10" localSheetId="2">'[73]Top Lvl  Logic'!$J$25</definedName>
    <definedName name="PR_ME_12_10" localSheetId="5">'[73]Top Lvl  Logic'!$J$25</definedName>
    <definedName name="PR_ME_12_10" localSheetId="6">'[73]Top Lvl  Logic'!$J$25</definedName>
    <definedName name="PR_ME_12_10" localSheetId="7">'[73]Top Lvl  Logic'!$J$25</definedName>
    <definedName name="PR_ME_12_10" localSheetId="8">'[73]Top Lvl  Logic'!$J$25</definedName>
    <definedName name="PR_ME_12_10" localSheetId="9">'[73]Top Lvl  Logic'!$J$25</definedName>
    <definedName name="PR_ME_12_10" localSheetId="10">'[18]Top Lvl  Logic'!$J$25</definedName>
    <definedName name="PR_ME_12_10">'[23]Top Lvl  Logic'!$J$25</definedName>
    <definedName name="PR_ME_23" localSheetId="4">'[73]Top Lvl  Logic'!$K$25</definedName>
    <definedName name="PR_ME_23" localSheetId="3">'[73]Top Lvl  Logic'!$K$25</definedName>
    <definedName name="PR_ME_23" localSheetId="2">'[73]Top Lvl  Logic'!$K$25</definedName>
    <definedName name="PR_ME_23" localSheetId="5">'[73]Top Lvl  Logic'!$K$25</definedName>
    <definedName name="PR_ME_23" localSheetId="6">'[73]Top Lvl  Logic'!$K$25</definedName>
    <definedName name="PR_ME_23" localSheetId="7">'[73]Top Lvl  Logic'!$K$25</definedName>
    <definedName name="PR_ME_23" localSheetId="8">'[73]Top Lvl  Logic'!$K$25</definedName>
    <definedName name="PR_ME_23" localSheetId="9">'[73]Top Lvl  Logic'!$K$25</definedName>
    <definedName name="PR_ME_23" localSheetId="10">'[18]Top Lvl  Logic'!$K$25</definedName>
    <definedName name="PR_ME_23">'[23]Top Lvl  Logic'!$K$25</definedName>
    <definedName name="PR_ME_23_10" localSheetId="4">'[73]Top Lvl  Logic'!$K$25</definedName>
    <definedName name="PR_ME_23_10" localSheetId="3">'[73]Top Lvl  Logic'!$K$25</definedName>
    <definedName name="PR_ME_23_10" localSheetId="2">'[73]Top Lvl  Logic'!$K$25</definedName>
    <definedName name="PR_ME_23_10" localSheetId="5">'[73]Top Lvl  Logic'!$K$25</definedName>
    <definedName name="PR_ME_23_10" localSheetId="6">'[73]Top Lvl  Logic'!$K$25</definedName>
    <definedName name="PR_ME_23_10" localSheetId="7">'[73]Top Lvl  Logic'!$K$25</definedName>
    <definedName name="PR_ME_23_10" localSheetId="8">'[73]Top Lvl  Logic'!$K$25</definedName>
    <definedName name="PR_ME_23_10" localSheetId="9">'[73]Top Lvl  Logic'!$K$25</definedName>
    <definedName name="PR_ME_23_10" localSheetId="10">'[18]Top Lvl  Logic'!$K$25</definedName>
    <definedName name="PR_ME_23_10">'[23]Top Lvl  Logic'!$K$25</definedName>
    <definedName name="PR_ME_34" localSheetId="4">'[73]Top Lvl  Logic'!$L$25</definedName>
    <definedName name="PR_ME_34" localSheetId="3">'[73]Top Lvl  Logic'!$L$25</definedName>
    <definedName name="PR_ME_34" localSheetId="2">'[73]Top Lvl  Logic'!$L$25</definedName>
    <definedName name="PR_ME_34" localSheetId="5">'[73]Top Lvl  Logic'!$L$25</definedName>
    <definedName name="PR_ME_34" localSheetId="6">'[73]Top Lvl  Logic'!$L$25</definedName>
    <definedName name="PR_ME_34" localSheetId="7">'[73]Top Lvl  Logic'!$L$25</definedName>
    <definedName name="PR_ME_34" localSheetId="8">'[73]Top Lvl  Logic'!$L$25</definedName>
    <definedName name="PR_ME_34" localSheetId="9">'[73]Top Lvl  Logic'!$L$25</definedName>
    <definedName name="PR_ME_34" localSheetId="10">'[18]Top Lvl  Logic'!$L$25</definedName>
    <definedName name="PR_ME_34">'[23]Top Lvl  Logic'!$L$25</definedName>
    <definedName name="PR_ME_34_10" localSheetId="4">'[73]Top Lvl  Logic'!$L$25</definedName>
    <definedName name="PR_ME_34_10" localSheetId="3">'[73]Top Lvl  Logic'!$L$25</definedName>
    <definedName name="PR_ME_34_10" localSheetId="2">'[73]Top Lvl  Logic'!$L$25</definedName>
    <definedName name="PR_ME_34_10" localSheetId="5">'[73]Top Lvl  Logic'!$L$25</definedName>
    <definedName name="PR_ME_34_10" localSheetId="6">'[73]Top Lvl  Logic'!$L$25</definedName>
    <definedName name="PR_ME_34_10" localSheetId="7">'[73]Top Lvl  Logic'!$L$25</definedName>
    <definedName name="PR_ME_34_10" localSheetId="8">'[73]Top Lvl  Logic'!$L$25</definedName>
    <definedName name="PR_ME_34_10" localSheetId="9">'[73]Top Lvl  Logic'!$L$25</definedName>
    <definedName name="PR_ME_34_10" localSheetId="10">'[18]Top Lvl  Logic'!$L$25</definedName>
    <definedName name="PR_ME_34_10">'[23]Top Lvl  Logic'!$L$25</definedName>
    <definedName name="PR_ME_45" localSheetId="4">'[73]Top Lvl  Logic'!$M$25</definedName>
    <definedName name="PR_ME_45" localSheetId="3">'[73]Top Lvl  Logic'!$M$25</definedName>
    <definedName name="PR_ME_45" localSheetId="2">'[73]Top Lvl  Logic'!$M$25</definedName>
    <definedName name="PR_ME_45" localSheetId="5">'[73]Top Lvl  Logic'!$M$25</definedName>
    <definedName name="PR_ME_45" localSheetId="6">'[73]Top Lvl  Logic'!$M$25</definedName>
    <definedName name="PR_ME_45" localSheetId="7">'[73]Top Lvl  Logic'!$M$25</definedName>
    <definedName name="PR_ME_45" localSheetId="8">'[73]Top Lvl  Logic'!$M$25</definedName>
    <definedName name="PR_ME_45" localSheetId="9">'[73]Top Lvl  Logic'!$M$25</definedName>
    <definedName name="PR_ME_45" localSheetId="10">'[18]Top Lvl  Logic'!$M$25</definedName>
    <definedName name="PR_ME_45">'[23]Top Lvl  Logic'!$M$25</definedName>
    <definedName name="PR_ME_45_10" localSheetId="4">'[73]Top Lvl  Logic'!$M$25</definedName>
    <definedName name="PR_ME_45_10" localSheetId="3">'[73]Top Lvl  Logic'!$M$25</definedName>
    <definedName name="PR_ME_45_10" localSheetId="2">'[73]Top Lvl  Logic'!$M$25</definedName>
    <definedName name="PR_ME_45_10" localSheetId="5">'[73]Top Lvl  Logic'!$M$25</definedName>
    <definedName name="PR_ME_45_10" localSheetId="6">'[73]Top Lvl  Logic'!$M$25</definedName>
    <definedName name="PR_ME_45_10" localSheetId="7">'[73]Top Lvl  Logic'!$M$25</definedName>
    <definedName name="PR_ME_45_10" localSheetId="8">'[73]Top Lvl  Logic'!$M$25</definedName>
    <definedName name="PR_ME_45_10" localSheetId="9">'[73]Top Lvl  Logic'!$M$25</definedName>
    <definedName name="PR_ME_45_10" localSheetId="10">'[18]Top Lvl  Logic'!$M$25</definedName>
    <definedName name="PR_ME_45_10">'[23]Top Lvl  Logic'!$M$25</definedName>
    <definedName name="PR_ME_56" localSheetId="4">'[73]Top Lvl  Logic'!$N$25</definedName>
    <definedName name="PR_ME_56" localSheetId="3">'[73]Top Lvl  Logic'!$N$25</definedName>
    <definedName name="PR_ME_56" localSheetId="2">'[73]Top Lvl  Logic'!$N$25</definedName>
    <definedName name="PR_ME_56" localSheetId="5">'[73]Top Lvl  Logic'!$N$25</definedName>
    <definedName name="PR_ME_56" localSheetId="6">'[73]Top Lvl  Logic'!$N$25</definedName>
    <definedName name="PR_ME_56" localSheetId="7">'[73]Top Lvl  Logic'!$N$25</definedName>
    <definedName name="PR_ME_56" localSheetId="8">'[73]Top Lvl  Logic'!$N$25</definedName>
    <definedName name="PR_ME_56" localSheetId="9">'[73]Top Lvl  Logic'!$N$25</definedName>
    <definedName name="PR_ME_56" localSheetId="10">'[18]Top Lvl  Logic'!$N$25</definedName>
    <definedName name="PR_ME_56">'[23]Top Lvl  Logic'!$N$25</definedName>
    <definedName name="PR_ME_56_10" localSheetId="4">'[73]Top Lvl  Logic'!$N$25</definedName>
    <definedName name="PR_ME_56_10" localSheetId="3">'[73]Top Lvl  Logic'!$N$25</definedName>
    <definedName name="PR_ME_56_10" localSheetId="2">'[73]Top Lvl  Logic'!$N$25</definedName>
    <definedName name="PR_ME_56_10" localSheetId="5">'[73]Top Lvl  Logic'!$N$25</definedName>
    <definedName name="PR_ME_56_10" localSheetId="6">'[73]Top Lvl  Logic'!$N$25</definedName>
    <definedName name="PR_ME_56_10" localSheetId="7">'[73]Top Lvl  Logic'!$N$25</definedName>
    <definedName name="PR_ME_56_10" localSheetId="8">'[73]Top Lvl  Logic'!$N$25</definedName>
    <definedName name="PR_ME_56_10" localSheetId="9">'[73]Top Lvl  Logic'!$N$25</definedName>
    <definedName name="PR_ME_56_10" localSheetId="10">'[18]Top Lvl  Logic'!$N$25</definedName>
    <definedName name="PR_ME_56_10">'[23]Top Lvl  Logic'!$N$25</definedName>
    <definedName name="PR_ME_G6" localSheetId="4">'[73]Top Lvl  Logic'!$O$25</definedName>
    <definedName name="PR_ME_G6" localSheetId="3">'[73]Top Lvl  Logic'!$O$25</definedName>
    <definedName name="PR_ME_G6" localSheetId="2">'[73]Top Lvl  Logic'!$O$25</definedName>
    <definedName name="PR_ME_G6" localSheetId="5">'[73]Top Lvl  Logic'!$O$25</definedName>
    <definedName name="PR_ME_G6" localSheetId="6">'[73]Top Lvl  Logic'!$O$25</definedName>
    <definedName name="PR_ME_G6" localSheetId="7">'[73]Top Lvl  Logic'!$O$25</definedName>
    <definedName name="PR_ME_G6" localSheetId="8">'[73]Top Lvl  Logic'!$O$25</definedName>
    <definedName name="PR_ME_G6" localSheetId="9">'[73]Top Lvl  Logic'!$O$25</definedName>
    <definedName name="PR_ME_G6" localSheetId="10">'[18]Top Lvl  Logic'!$O$25</definedName>
    <definedName name="PR_ME_G6">'[23]Top Lvl  Logic'!$O$25</definedName>
    <definedName name="PR_ME_G6_10" localSheetId="4">'[73]Top Lvl  Logic'!$O$25</definedName>
    <definedName name="PR_ME_G6_10" localSheetId="3">'[73]Top Lvl  Logic'!$O$25</definedName>
    <definedName name="PR_ME_G6_10" localSheetId="2">'[73]Top Lvl  Logic'!$O$25</definedName>
    <definedName name="PR_ME_G6_10" localSheetId="5">'[73]Top Lvl  Logic'!$O$25</definedName>
    <definedName name="PR_ME_G6_10" localSheetId="6">'[73]Top Lvl  Logic'!$O$25</definedName>
    <definedName name="PR_ME_G6_10" localSheetId="7">'[73]Top Lvl  Logic'!$O$25</definedName>
    <definedName name="PR_ME_G6_10" localSheetId="8">'[73]Top Lvl  Logic'!$O$25</definedName>
    <definedName name="PR_ME_G6_10" localSheetId="9">'[73]Top Lvl  Logic'!$O$25</definedName>
    <definedName name="PR_ME_G6_10" localSheetId="10">'[18]Top Lvl  Logic'!$O$25</definedName>
    <definedName name="PR_ME_G6_10">'[23]Top Lvl  Logic'!$O$25</definedName>
    <definedName name="PR_ME_L0" localSheetId="4">'[73]Top Lvl  Logic'!$H$25</definedName>
    <definedName name="PR_ME_L0" localSheetId="3">'[73]Top Lvl  Logic'!$H$25</definedName>
    <definedName name="PR_ME_L0" localSheetId="2">'[73]Top Lvl  Logic'!$H$25</definedName>
    <definedName name="PR_ME_L0" localSheetId="5">'[73]Top Lvl  Logic'!$H$25</definedName>
    <definedName name="PR_ME_L0" localSheetId="6">'[73]Top Lvl  Logic'!$H$25</definedName>
    <definedName name="PR_ME_L0" localSheetId="7">'[73]Top Lvl  Logic'!$H$25</definedName>
    <definedName name="PR_ME_L0" localSheetId="8">'[73]Top Lvl  Logic'!$H$25</definedName>
    <definedName name="PR_ME_L0" localSheetId="9">'[73]Top Lvl  Logic'!$H$25</definedName>
    <definedName name="PR_ME_L0" localSheetId="10">'[18]Top Lvl  Logic'!$H$25</definedName>
    <definedName name="PR_ME_L0">'[23]Top Lvl  Logic'!$H$25</definedName>
    <definedName name="PR_ME_L0_10" localSheetId="4">'[73]Top Lvl  Logic'!$H$25</definedName>
    <definedName name="PR_ME_L0_10" localSheetId="3">'[73]Top Lvl  Logic'!$H$25</definedName>
    <definedName name="PR_ME_L0_10" localSheetId="2">'[73]Top Lvl  Logic'!$H$25</definedName>
    <definedName name="PR_ME_L0_10" localSheetId="5">'[73]Top Lvl  Logic'!$H$25</definedName>
    <definedName name="PR_ME_L0_10" localSheetId="6">'[73]Top Lvl  Logic'!$H$25</definedName>
    <definedName name="PR_ME_L0_10" localSheetId="7">'[73]Top Lvl  Logic'!$H$25</definedName>
    <definedName name="PR_ME_L0_10" localSheetId="8">'[73]Top Lvl  Logic'!$H$25</definedName>
    <definedName name="PR_ME_L0_10" localSheetId="9">'[73]Top Lvl  Logic'!$H$25</definedName>
    <definedName name="PR_ME_L0_10" localSheetId="10">'[18]Top Lvl  Logic'!$H$25</definedName>
    <definedName name="PR_ME_L0_10">'[23]Top Lvl  Logic'!$H$25</definedName>
    <definedName name="PR_ME_NA" localSheetId="4">'[73]Top Lvl  Logic'!$G$25</definedName>
    <definedName name="PR_ME_NA" localSheetId="3">'[73]Top Lvl  Logic'!$G$25</definedName>
    <definedName name="PR_ME_NA" localSheetId="2">'[73]Top Lvl  Logic'!$G$25</definedName>
    <definedName name="PR_ME_NA" localSheetId="5">'[73]Top Lvl  Logic'!$G$25</definedName>
    <definedName name="PR_ME_NA" localSheetId="6">'[73]Top Lvl  Logic'!$G$25</definedName>
    <definedName name="PR_ME_NA" localSheetId="7">'[73]Top Lvl  Logic'!$G$25</definedName>
    <definedName name="PR_ME_NA" localSheetId="8">'[73]Top Lvl  Logic'!$G$25</definedName>
    <definedName name="PR_ME_NA" localSheetId="9">'[73]Top Lvl  Logic'!$G$25</definedName>
    <definedName name="PR_ME_NA" localSheetId="10">'[18]Top Lvl  Logic'!$G$25</definedName>
    <definedName name="PR_ME_NA">'[23]Top Lvl  Logic'!$G$25</definedName>
    <definedName name="PR_ME_NA_10" localSheetId="4">'[73]Top Lvl  Logic'!$G$25</definedName>
    <definedName name="PR_ME_NA_10" localSheetId="3">'[73]Top Lvl  Logic'!$G$25</definedName>
    <definedName name="PR_ME_NA_10" localSheetId="2">'[73]Top Lvl  Logic'!$G$25</definedName>
    <definedName name="PR_ME_NA_10" localSheetId="5">'[73]Top Lvl  Logic'!$G$25</definedName>
    <definedName name="PR_ME_NA_10" localSheetId="6">'[73]Top Lvl  Logic'!$G$25</definedName>
    <definedName name="PR_ME_NA_10" localSheetId="7">'[73]Top Lvl  Logic'!$G$25</definedName>
    <definedName name="PR_ME_NA_10" localSheetId="8">'[73]Top Lvl  Logic'!$G$25</definedName>
    <definedName name="PR_ME_NA_10" localSheetId="9">'[73]Top Lvl  Logic'!$G$25</definedName>
    <definedName name="PR_ME_NA_10" localSheetId="10">'[18]Top Lvl  Logic'!$G$25</definedName>
    <definedName name="PR_ME_NA_10">'[23]Top Lvl  Logic'!$G$25</definedName>
    <definedName name="PR_MEA" localSheetId="4">'[73]Top Lvl  Logic'!$D$24</definedName>
    <definedName name="PR_MEA" localSheetId="3">'[73]Top Lvl  Logic'!$D$24</definedName>
    <definedName name="PR_MEA" localSheetId="2">'[73]Top Lvl  Logic'!$D$24</definedName>
    <definedName name="PR_MEA" localSheetId="5">'[73]Top Lvl  Logic'!$D$24</definedName>
    <definedName name="PR_MEA" localSheetId="6">'[73]Top Lvl  Logic'!$D$24</definedName>
    <definedName name="PR_MEA" localSheetId="7">'[73]Top Lvl  Logic'!$D$24</definedName>
    <definedName name="PR_MEA" localSheetId="8">'[73]Top Lvl  Logic'!$D$24</definedName>
    <definedName name="PR_MEA" localSheetId="9">'[73]Top Lvl  Logic'!$D$24</definedName>
    <definedName name="PR_MEA" localSheetId="10">'[18]Top Lvl  Logic'!$D$24</definedName>
    <definedName name="PR_MEA">'[23]Top Lvl  Logic'!$D$24</definedName>
    <definedName name="PR_MEA_10" localSheetId="4">'[73]Top Lvl  Logic'!$D$24</definedName>
    <definedName name="PR_MEA_10" localSheetId="3">'[73]Top Lvl  Logic'!$D$24</definedName>
    <definedName name="PR_MEA_10" localSheetId="2">'[73]Top Lvl  Logic'!$D$24</definedName>
    <definedName name="PR_MEA_10" localSheetId="5">'[73]Top Lvl  Logic'!$D$24</definedName>
    <definedName name="PR_MEA_10" localSheetId="6">'[73]Top Lvl  Logic'!$D$24</definedName>
    <definedName name="PR_MEA_10" localSheetId="7">'[73]Top Lvl  Logic'!$D$24</definedName>
    <definedName name="PR_MEA_10" localSheetId="8">'[73]Top Lvl  Logic'!$D$24</definedName>
    <definedName name="PR_MEA_10" localSheetId="9">'[73]Top Lvl  Logic'!$D$24</definedName>
    <definedName name="PR_MEA_10" localSheetId="10">'[18]Top Lvl  Logic'!$D$24</definedName>
    <definedName name="PR_MEA_10">'[23]Top Lvl  Logic'!$D$24</definedName>
    <definedName name="PR_PR_01" localSheetId="4">'[73]Top Lvl  Logic'!$I$24</definedName>
    <definedName name="PR_PR_01" localSheetId="3">'[73]Top Lvl  Logic'!$I$24</definedName>
    <definedName name="PR_PR_01" localSheetId="2">'[73]Top Lvl  Logic'!$I$24</definedName>
    <definedName name="PR_PR_01" localSheetId="5">'[73]Top Lvl  Logic'!$I$24</definedName>
    <definedName name="PR_PR_01" localSheetId="6">'[73]Top Lvl  Logic'!$I$24</definedName>
    <definedName name="PR_PR_01" localSheetId="7">'[73]Top Lvl  Logic'!$I$24</definedName>
    <definedName name="PR_PR_01" localSheetId="8">'[73]Top Lvl  Logic'!$I$24</definedName>
    <definedName name="PR_PR_01" localSheetId="9">'[73]Top Lvl  Logic'!$I$24</definedName>
    <definedName name="PR_PR_01" localSheetId="10">'[18]Top Lvl  Logic'!$I$24</definedName>
    <definedName name="PR_PR_01">'[23]Top Lvl  Logic'!$I$24</definedName>
    <definedName name="PR_PR_01_10" localSheetId="4">'[73]Top Lvl  Logic'!$I$24</definedName>
    <definedName name="PR_PR_01_10" localSheetId="3">'[73]Top Lvl  Logic'!$I$24</definedName>
    <definedName name="PR_PR_01_10" localSheetId="2">'[73]Top Lvl  Logic'!$I$24</definedName>
    <definedName name="PR_PR_01_10" localSheetId="5">'[73]Top Lvl  Logic'!$I$24</definedName>
    <definedName name="PR_PR_01_10" localSheetId="6">'[73]Top Lvl  Logic'!$I$24</definedName>
    <definedName name="PR_PR_01_10" localSheetId="7">'[73]Top Lvl  Logic'!$I$24</definedName>
    <definedName name="PR_PR_01_10" localSheetId="8">'[73]Top Lvl  Logic'!$I$24</definedName>
    <definedName name="PR_PR_01_10" localSheetId="9">'[73]Top Lvl  Logic'!$I$24</definedName>
    <definedName name="PR_PR_01_10" localSheetId="10">'[18]Top Lvl  Logic'!$I$24</definedName>
    <definedName name="PR_PR_01_10">'[23]Top Lvl  Logic'!$I$24</definedName>
    <definedName name="PR_PR_12" localSheetId="4">'[73]Top Lvl  Logic'!$J$24</definedName>
    <definedName name="PR_PR_12" localSheetId="3">'[73]Top Lvl  Logic'!$J$24</definedName>
    <definedName name="PR_PR_12" localSheetId="2">'[73]Top Lvl  Logic'!$J$24</definedName>
    <definedName name="PR_PR_12" localSheetId="5">'[73]Top Lvl  Logic'!$J$24</definedName>
    <definedName name="PR_PR_12" localSheetId="6">'[73]Top Lvl  Logic'!$J$24</definedName>
    <definedName name="PR_PR_12" localSheetId="7">'[73]Top Lvl  Logic'!$J$24</definedName>
    <definedName name="PR_PR_12" localSheetId="8">'[73]Top Lvl  Logic'!$J$24</definedName>
    <definedName name="PR_PR_12" localSheetId="9">'[73]Top Lvl  Logic'!$J$24</definedName>
    <definedName name="PR_PR_12" localSheetId="10">'[18]Top Lvl  Logic'!$J$24</definedName>
    <definedName name="PR_PR_12">'[23]Top Lvl  Logic'!$J$24</definedName>
    <definedName name="PR_PR_12_10" localSheetId="4">'[73]Top Lvl  Logic'!$J$24</definedName>
    <definedName name="PR_PR_12_10" localSheetId="3">'[73]Top Lvl  Logic'!$J$24</definedName>
    <definedName name="PR_PR_12_10" localSheetId="2">'[73]Top Lvl  Logic'!$J$24</definedName>
    <definedName name="PR_PR_12_10" localSheetId="5">'[73]Top Lvl  Logic'!$J$24</definedName>
    <definedName name="PR_PR_12_10" localSheetId="6">'[73]Top Lvl  Logic'!$J$24</definedName>
    <definedName name="PR_PR_12_10" localSheetId="7">'[73]Top Lvl  Logic'!$J$24</definedName>
    <definedName name="PR_PR_12_10" localSheetId="8">'[73]Top Lvl  Logic'!$J$24</definedName>
    <definedName name="PR_PR_12_10" localSheetId="9">'[73]Top Lvl  Logic'!$J$24</definedName>
    <definedName name="PR_PR_12_10" localSheetId="10">'[18]Top Lvl  Logic'!$J$24</definedName>
    <definedName name="PR_PR_12_10">'[23]Top Lvl  Logic'!$J$24</definedName>
    <definedName name="PR_PR_23" localSheetId="4">'[73]Top Lvl  Logic'!$K$24</definedName>
    <definedName name="PR_PR_23" localSheetId="3">'[73]Top Lvl  Logic'!$K$24</definedName>
    <definedName name="PR_PR_23" localSheetId="2">'[73]Top Lvl  Logic'!$K$24</definedName>
    <definedName name="PR_PR_23" localSheetId="5">'[73]Top Lvl  Logic'!$K$24</definedName>
    <definedName name="PR_PR_23" localSheetId="6">'[73]Top Lvl  Logic'!$K$24</definedName>
    <definedName name="PR_PR_23" localSheetId="7">'[73]Top Lvl  Logic'!$K$24</definedName>
    <definedName name="PR_PR_23" localSheetId="8">'[73]Top Lvl  Logic'!$K$24</definedName>
    <definedName name="PR_PR_23" localSheetId="9">'[73]Top Lvl  Logic'!$K$24</definedName>
    <definedName name="PR_PR_23" localSheetId="10">'[18]Top Lvl  Logic'!$K$24</definedName>
    <definedName name="PR_PR_23">'[23]Top Lvl  Logic'!$K$24</definedName>
    <definedName name="PR_PR_23_10" localSheetId="4">'[73]Top Lvl  Logic'!$K$24</definedName>
    <definedName name="PR_PR_23_10" localSheetId="3">'[73]Top Lvl  Logic'!$K$24</definedName>
    <definedName name="PR_PR_23_10" localSheetId="2">'[73]Top Lvl  Logic'!$K$24</definedName>
    <definedName name="PR_PR_23_10" localSheetId="5">'[73]Top Lvl  Logic'!$K$24</definedName>
    <definedName name="PR_PR_23_10" localSheetId="6">'[73]Top Lvl  Logic'!$K$24</definedName>
    <definedName name="PR_PR_23_10" localSheetId="7">'[73]Top Lvl  Logic'!$K$24</definedName>
    <definedName name="PR_PR_23_10" localSheetId="8">'[73]Top Lvl  Logic'!$K$24</definedName>
    <definedName name="PR_PR_23_10" localSheetId="9">'[73]Top Lvl  Logic'!$K$24</definedName>
    <definedName name="PR_PR_23_10" localSheetId="10">'[18]Top Lvl  Logic'!$K$24</definedName>
    <definedName name="PR_PR_23_10">'[23]Top Lvl  Logic'!$K$24</definedName>
    <definedName name="PR_PR_34" localSheetId="4">'[73]Top Lvl  Logic'!$L$24</definedName>
    <definedName name="PR_PR_34" localSheetId="3">'[73]Top Lvl  Logic'!$L$24</definedName>
    <definedName name="PR_PR_34" localSheetId="2">'[73]Top Lvl  Logic'!$L$24</definedName>
    <definedName name="PR_PR_34" localSheetId="5">'[73]Top Lvl  Logic'!$L$24</definedName>
    <definedName name="PR_PR_34" localSheetId="6">'[73]Top Lvl  Logic'!$L$24</definedName>
    <definedName name="PR_PR_34" localSheetId="7">'[73]Top Lvl  Logic'!$L$24</definedName>
    <definedName name="PR_PR_34" localSheetId="8">'[73]Top Lvl  Logic'!$L$24</definedName>
    <definedName name="PR_PR_34" localSheetId="9">'[73]Top Lvl  Logic'!$L$24</definedName>
    <definedName name="PR_PR_34" localSheetId="10">'[18]Top Lvl  Logic'!$L$24</definedName>
    <definedName name="PR_PR_34">'[23]Top Lvl  Logic'!$L$24</definedName>
    <definedName name="PR_PR_34_10" localSheetId="4">'[73]Top Lvl  Logic'!$L$24</definedName>
    <definedName name="PR_PR_34_10" localSheetId="3">'[73]Top Lvl  Logic'!$L$24</definedName>
    <definedName name="PR_PR_34_10" localSheetId="2">'[73]Top Lvl  Logic'!$L$24</definedName>
    <definedName name="PR_PR_34_10" localSheetId="5">'[73]Top Lvl  Logic'!$L$24</definedName>
    <definedName name="PR_PR_34_10" localSheetId="6">'[73]Top Lvl  Logic'!$L$24</definedName>
    <definedName name="PR_PR_34_10" localSheetId="7">'[73]Top Lvl  Logic'!$L$24</definedName>
    <definedName name="PR_PR_34_10" localSheetId="8">'[73]Top Lvl  Logic'!$L$24</definedName>
    <definedName name="PR_PR_34_10" localSheetId="9">'[73]Top Lvl  Logic'!$L$24</definedName>
    <definedName name="PR_PR_34_10" localSheetId="10">'[18]Top Lvl  Logic'!$L$24</definedName>
    <definedName name="PR_PR_34_10">'[23]Top Lvl  Logic'!$L$24</definedName>
    <definedName name="PR_PR_45" localSheetId="4">'[73]Top Lvl  Logic'!$M$24</definedName>
    <definedName name="PR_PR_45" localSheetId="3">'[73]Top Lvl  Logic'!$M$24</definedName>
    <definedName name="PR_PR_45" localSheetId="2">'[73]Top Lvl  Logic'!$M$24</definedName>
    <definedName name="PR_PR_45" localSheetId="5">'[73]Top Lvl  Logic'!$M$24</definedName>
    <definedName name="PR_PR_45" localSheetId="6">'[73]Top Lvl  Logic'!$M$24</definedName>
    <definedName name="PR_PR_45" localSheetId="7">'[73]Top Lvl  Logic'!$M$24</definedName>
    <definedName name="PR_PR_45" localSheetId="8">'[73]Top Lvl  Logic'!$M$24</definedName>
    <definedName name="PR_PR_45" localSheetId="9">'[73]Top Lvl  Logic'!$M$24</definedName>
    <definedName name="PR_PR_45" localSheetId="10">'[18]Top Lvl  Logic'!$M$24</definedName>
    <definedName name="PR_PR_45">'[23]Top Lvl  Logic'!$M$24</definedName>
    <definedName name="PR_PR_45_10" localSheetId="4">'[73]Top Lvl  Logic'!$M$24</definedName>
    <definedName name="PR_PR_45_10" localSheetId="3">'[73]Top Lvl  Logic'!$M$24</definedName>
    <definedName name="PR_PR_45_10" localSheetId="2">'[73]Top Lvl  Logic'!$M$24</definedName>
    <definedName name="PR_PR_45_10" localSheetId="5">'[73]Top Lvl  Logic'!$M$24</definedName>
    <definedName name="PR_PR_45_10" localSheetId="6">'[73]Top Lvl  Logic'!$M$24</definedName>
    <definedName name="PR_PR_45_10" localSheetId="7">'[73]Top Lvl  Logic'!$M$24</definedName>
    <definedName name="PR_PR_45_10" localSheetId="8">'[73]Top Lvl  Logic'!$M$24</definedName>
    <definedName name="PR_PR_45_10" localSheetId="9">'[73]Top Lvl  Logic'!$M$24</definedName>
    <definedName name="PR_PR_45_10" localSheetId="10">'[18]Top Lvl  Logic'!$M$24</definedName>
    <definedName name="PR_PR_45_10">'[23]Top Lvl  Logic'!$M$24</definedName>
    <definedName name="PR_PR_56" localSheetId="4">'[73]Top Lvl  Logic'!$N$24</definedName>
    <definedName name="PR_PR_56" localSheetId="3">'[73]Top Lvl  Logic'!$N$24</definedName>
    <definedName name="PR_PR_56" localSheetId="2">'[73]Top Lvl  Logic'!$N$24</definedName>
    <definedName name="PR_PR_56" localSheetId="5">'[73]Top Lvl  Logic'!$N$24</definedName>
    <definedName name="PR_PR_56" localSheetId="6">'[73]Top Lvl  Logic'!$N$24</definedName>
    <definedName name="PR_PR_56" localSheetId="7">'[73]Top Lvl  Logic'!$N$24</definedName>
    <definedName name="PR_PR_56" localSheetId="8">'[73]Top Lvl  Logic'!$N$24</definedName>
    <definedName name="PR_PR_56" localSheetId="9">'[73]Top Lvl  Logic'!$N$24</definedName>
    <definedName name="PR_PR_56" localSheetId="10">'[18]Top Lvl  Logic'!$N$24</definedName>
    <definedName name="PR_PR_56">'[23]Top Lvl  Logic'!$N$24</definedName>
    <definedName name="PR_PR_56_10" localSheetId="4">'[73]Top Lvl  Logic'!$N$24</definedName>
    <definedName name="PR_PR_56_10" localSheetId="3">'[73]Top Lvl  Logic'!$N$24</definedName>
    <definedName name="PR_PR_56_10" localSheetId="2">'[73]Top Lvl  Logic'!$N$24</definedName>
    <definedName name="PR_PR_56_10" localSheetId="5">'[73]Top Lvl  Logic'!$N$24</definedName>
    <definedName name="PR_PR_56_10" localSheetId="6">'[73]Top Lvl  Logic'!$N$24</definedName>
    <definedName name="PR_PR_56_10" localSheetId="7">'[73]Top Lvl  Logic'!$N$24</definedName>
    <definedName name="PR_PR_56_10" localSheetId="8">'[73]Top Lvl  Logic'!$N$24</definedName>
    <definedName name="PR_PR_56_10" localSheetId="9">'[73]Top Lvl  Logic'!$N$24</definedName>
    <definedName name="PR_PR_56_10" localSheetId="10">'[18]Top Lvl  Logic'!$N$24</definedName>
    <definedName name="PR_PR_56_10">'[23]Top Lvl  Logic'!$N$24</definedName>
    <definedName name="PR_PR_G6" localSheetId="4">'[73]Top Lvl  Logic'!$O$24</definedName>
    <definedName name="PR_PR_G6" localSheetId="3">'[73]Top Lvl  Logic'!$O$24</definedName>
    <definedName name="PR_PR_G6" localSheetId="2">'[73]Top Lvl  Logic'!$O$24</definedName>
    <definedName name="PR_PR_G6" localSheetId="5">'[73]Top Lvl  Logic'!$O$24</definedName>
    <definedName name="PR_PR_G6" localSheetId="6">'[73]Top Lvl  Logic'!$O$24</definedName>
    <definedName name="PR_PR_G6" localSheetId="7">'[73]Top Lvl  Logic'!$O$24</definedName>
    <definedName name="PR_PR_G6" localSheetId="8">'[73]Top Lvl  Logic'!$O$24</definedName>
    <definedName name="PR_PR_G6" localSheetId="9">'[73]Top Lvl  Logic'!$O$24</definedName>
    <definedName name="PR_PR_G6" localSheetId="10">'[18]Top Lvl  Logic'!$O$24</definedName>
    <definedName name="PR_PR_G6">'[23]Top Lvl  Logic'!$O$24</definedName>
    <definedName name="PR_PR_G6_10" localSheetId="4">'[73]Top Lvl  Logic'!$O$24</definedName>
    <definedName name="PR_PR_G6_10" localSheetId="3">'[73]Top Lvl  Logic'!$O$24</definedName>
    <definedName name="PR_PR_G6_10" localSheetId="2">'[73]Top Lvl  Logic'!$O$24</definedName>
    <definedName name="PR_PR_G6_10" localSheetId="5">'[73]Top Lvl  Logic'!$O$24</definedName>
    <definedName name="PR_PR_G6_10" localSheetId="6">'[73]Top Lvl  Logic'!$O$24</definedName>
    <definedName name="PR_PR_G6_10" localSheetId="7">'[73]Top Lvl  Logic'!$O$24</definedName>
    <definedName name="PR_PR_G6_10" localSheetId="8">'[73]Top Lvl  Logic'!$O$24</definedName>
    <definedName name="PR_PR_G6_10" localSheetId="9">'[73]Top Lvl  Logic'!$O$24</definedName>
    <definedName name="PR_PR_G6_10" localSheetId="10">'[18]Top Lvl  Logic'!$O$24</definedName>
    <definedName name="PR_PR_G6_10">'[23]Top Lvl  Logic'!$O$24</definedName>
    <definedName name="PR_PR_L0" localSheetId="4">'[73]Top Lvl  Logic'!$H$24</definedName>
    <definedName name="PR_PR_L0" localSheetId="3">'[73]Top Lvl  Logic'!$H$24</definedName>
    <definedName name="PR_PR_L0" localSheetId="2">'[73]Top Lvl  Logic'!$H$24</definedName>
    <definedName name="PR_PR_L0" localSheetId="5">'[73]Top Lvl  Logic'!$H$24</definedName>
    <definedName name="PR_PR_L0" localSheetId="6">'[73]Top Lvl  Logic'!$H$24</definedName>
    <definedName name="PR_PR_L0" localSheetId="7">'[73]Top Lvl  Logic'!$H$24</definedName>
    <definedName name="PR_PR_L0" localSheetId="8">'[73]Top Lvl  Logic'!$H$24</definedName>
    <definedName name="PR_PR_L0" localSheetId="9">'[73]Top Lvl  Logic'!$H$24</definedName>
    <definedName name="PR_PR_L0" localSheetId="10">'[18]Top Lvl  Logic'!$H$24</definedName>
    <definedName name="PR_PR_L0">'[23]Top Lvl  Logic'!$H$24</definedName>
    <definedName name="PR_PR_L0_10" localSheetId="4">'[73]Top Lvl  Logic'!$H$24</definedName>
    <definedName name="PR_PR_L0_10" localSheetId="3">'[73]Top Lvl  Logic'!$H$24</definedName>
    <definedName name="PR_PR_L0_10" localSheetId="2">'[73]Top Lvl  Logic'!$H$24</definedName>
    <definedName name="PR_PR_L0_10" localSheetId="5">'[73]Top Lvl  Logic'!$H$24</definedName>
    <definedName name="PR_PR_L0_10" localSheetId="6">'[73]Top Lvl  Logic'!$H$24</definedName>
    <definedName name="PR_PR_L0_10" localSheetId="7">'[73]Top Lvl  Logic'!$H$24</definedName>
    <definedName name="PR_PR_L0_10" localSheetId="8">'[73]Top Lvl  Logic'!$H$24</definedName>
    <definedName name="PR_PR_L0_10" localSheetId="9">'[73]Top Lvl  Logic'!$H$24</definedName>
    <definedName name="PR_PR_L0_10" localSheetId="10">'[18]Top Lvl  Logic'!$H$24</definedName>
    <definedName name="PR_PR_L0_10">'[23]Top Lvl  Logic'!$H$24</definedName>
    <definedName name="PR_PR_NA" localSheetId="4">'[73]Top Lvl  Logic'!$G$24</definedName>
    <definedName name="PR_PR_NA" localSheetId="3">'[73]Top Lvl  Logic'!$G$24</definedName>
    <definedName name="PR_PR_NA" localSheetId="2">'[73]Top Lvl  Logic'!$G$24</definedName>
    <definedName name="PR_PR_NA" localSheetId="5">'[73]Top Lvl  Logic'!$G$24</definedName>
    <definedName name="PR_PR_NA" localSheetId="6">'[73]Top Lvl  Logic'!$G$24</definedName>
    <definedName name="PR_PR_NA" localSheetId="7">'[73]Top Lvl  Logic'!$G$24</definedName>
    <definedName name="PR_PR_NA" localSheetId="8">'[73]Top Lvl  Logic'!$G$24</definedName>
    <definedName name="PR_PR_NA" localSheetId="9">'[73]Top Lvl  Logic'!$G$24</definedName>
    <definedName name="PR_PR_NA" localSheetId="10">'[18]Top Lvl  Logic'!$G$24</definedName>
    <definedName name="PR_PR_NA">'[23]Top Lvl  Logic'!$G$24</definedName>
    <definedName name="PR_PR_NA_10" localSheetId="4">'[73]Top Lvl  Logic'!$G$24</definedName>
    <definedName name="PR_PR_NA_10" localSheetId="3">'[73]Top Lvl  Logic'!$G$24</definedName>
    <definedName name="PR_PR_NA_10" localSheetId="2">'[73]Top Lvl  Logic'!$G$24</definedName>
    <definedName name="PR_PR_NA_10" localSheetId="5">'[73]Top Lvl  Logic'!$G$24</definedName>
    <definedName name="PR_PR_NA_10" localSheetId="6">'[73]Top Lvl  Logic'!$G$24</definedName>
    <definedName name="PR_PR_NA_10" localSheetId="7">'[73]Top Lvl  Logic'!$G$24</definedName>
    <definedName name="PR_PR_NA_10" localSheetId="8">'[73]Top Lvl  Logic'!$G$24</definedName>
    <definedName name="PR_PR_NA_10" localSheetId="9">'[73]Top Lvl  Logic'!$G$24</definedName>
    <definedName name="PR_PR_NA_10" localSheetId="10">'[18]Top Lvl  Logic'!$G$24</definedName>
    <definedName name="PR_PR_NA_10">'[23]Top Lvl  Logic'!$G$24</definedName>
    <definedName name="PR_PRE" localSheetId="4">'[73]Top Lvl  Logic'!$D$23</definedName>
    <definedName name="PR_PRE" localSheetId="3">'[73]Top Lvl  Logic'!$D$23</definedName>
    <definedName name="PR_PRE" localSheetId="2">'[73]Top Lvl  Logic'!$D$23</definedName>
    <definedName name="PR_PRE" localSheetId="5">'[73]Top Lvl  Logic'!$D$23</definedName>
    <definedName name="PR_PRE" localSheetId="6">'[73]Top Lvl  Logic'!$D$23</definedName>
    <definedName name="PR_PRE" localSheetId="7">'[73]Top Lvl  Logic'!$D$23</definedName>
    <definedName name="PR_PRE" localSheetId="8">'[73]Top Lvl  Logic'!$D$23</definedName>
    <definedName name="PR_PRE" localSheetId="9">'[73]Top Lvl  Logic'!$D$23</definedName>
    <definedName name="PR_PRE" localSheetId="10">'[18]Top Lvl  Logic'!$D$23</definedName>
    <definedName name="PR_PRE">'[23]Top Lvl  Logic'!$D$23</definedName>
    <definedName name="PR_PRE_10" localSheetId="4">'[73]Top Lvl  Logic'!$D$23</definedName>
    <definedName name="PR_PRE_10" localSheetId="3">'[73]Top Lvl  Logic'!$D$23</definedName>
    <definedName name="PR_PRE_10" localSheetId="2">'[73]Top Lvl  Logic'!$D$23</definedName>
    <definedName name="PR_PRE_10" localSheetId="5">'[73]Top Lvl  Logic'!$D$23</definedName>
    <definedName name="PR_PRE_10" localSheetId="6">'[73]Top Lvl  Logic'!$D$23</definedName>
    <definedName name="PR_PRE_10" localSheetId="7">'[73]Top Lvl  Logic'!$D$23</definedName>
    <definedName name="PR_PRE_10" localSheetId="8">'[73]Top Lvl  Logic'!$D$23</definedName>
    <definedName name="PR_PRE_10" localSheetId="9">'[73]Top Lvl  Logic'!$D$23</definedName>
    <definedName name="PR_PRE_10" localSheetId="10">'[18]Top Lvl  Logic'!$D$23</definedName>
    <definedName name="PR_PRE_10">'[23]Top Lvl  Logic'!$D$23</definedName>
    <definedName name="PR_VA_01" localSheetId="4">'[73]Top Lvl  Logic'!$I$26</definedName>
    <definedName name="PR_VA_01" localSheetId="3">'[73]Top Lvl  Logic'!$I$26</definedName>
    <definedName name="PR_VA_01" localSheetId="2">'[73]Top Lvl  Logic'!$I$26</definedName>
    <definedName name="PR_VA_01" localSheetId="5">'[73]Top Lvl  Logic'!$I$26</definedName>
    <definedName name="PR_VA_01" localSheetId="6">'[73]Top Lvl  Logic'!$I$26</definedName>
    <definedName name="PR_VA_01" localSheetId="7">'[73]Top Lvl  Logic'!$I$26</definedName>
    <definedName name="PR_VA_01" localSheetId="8">'[73]Top Lvl  Logic'!$I$26</definedName>
    <definedName name="PR_VA_01" localSheetId="9">'[73]Top Lvl  Logic'!$I$26</definedName>
    <definedName name="PR_VA_01" localSheetId="10">'[18]Top Lvl  Logic'!$I$26</definedName>
    <definedName name="PR_VA_01">'[23]Top Lvl  Logic'!$I$26</definedName>
    <definedName name="PR_VA_01_10" localSheetId="4">'[73]Top Lvl  Logic'!$I$26</definedName>
    <definedName name="PR_VA_01_10" localSheetId="3">'[73]Top Lvl  Logic'!$I$26</definedName>
    <definedName name="PR_VA_01_10" localSheetId="2">'[73]Top Lvl  Logic'!$I$26</definedName>
    <definedName name="PR_VA_01_10" localSheetId="5">'[73]Top Lvl  Logic'!$I$26</definedName>
    <definedName name="PR_VA_01_10" localSheetId="6">'[73]Top Lvl  Logic'!$I$26</definedName>
    <definedName name="PR_VA_01_10" localSheetId="7">'[73]Top Lvl  Logic'!$I$26</definedName>
    <definedName name="PR_VA_01_10" localSheetId="8">'[73]Top Lvl  Logic'!$I$26</definedName>
    <definedName name="PR_VA_01_10" localSheetId="9">'[73]Top Lvl  Logic'!$I$26</definedName>
    <definedName name="PR_VA_01_10" localSheetId="10">'[18]Top Lvl  Logic'!$I$26</definedName>
    <definedName name="PR_VA_01_10">'[23]Top Lvl  Logic'!$I$26</definedName>
    <definedName name="PR_VA_12" localSheetId="4">'[73]Top Lvl  Logic'!$J$26</definedName>
    <definedName name="PR_VA_12" localSheetId="3">'[73]Top Lvl  Logic'!$J$26</definedName>
    <definedName name="PR_VA_12" localSheetId="2">'[73]Top Lvl  Logic'!$J$26</definedName>
    <definedName name="PR_VA_12" localSheetId="5">'[73]Top Lvl  Logic'!$J$26</definedName>
    <definedName name="PR_VA_12" localSheetId="6">'[73]Top Lvl  Logic'!$J$26</definedName>
    <definedName name="PR_VA_12" localSheetId="7">'[73]Top Lvl  Logic'!$J$26</definedName>
    <definedName name="PR_VA_12" localSheetId="8">'[73]Top Lvl  Logic'!$J$26</definedName>
    <definedName name="PR_VA_12" localSheetId="9">'[73]Top Lvl  Logic'!$J$26</definedName>
    <definedName name="PR_VA_12" localSheetId="10">'[18]Top Lvl  Logic'!$J$26</definedName>
    <definedName name="PR_VA_12">'[23]Top Lvl  Logic'!$J$26</definedName>
    <definedName name="PR_VA_12_10" localSheetId="4">'[73]Top Lvl  Logic'!$J$26</definedName>
    <definedName name="PR_VA_12_10" localSheetId="3">'[73]Top Lvl  Logic'!$J$26</definedName>
    <definedName name="PR_VA_12_10" localSheetId="2">'[73]Top Lvl  Logic'!$J$26</definedName>
    <definedName name="PR_VA_12_10" localSheetId="5">'[73]Top Lvl  Logic'!$J$26</definedName>
    <definedName name="PR_VA_12_10" localSheetId="6">'[73]Top Lvl  Logic'!$J$26</definedName>
    <definedName name="PR_VA_12_10" localSheetId="7">'[73]Top Lvl  Logic'!$J$26</definedName>
    <definedName name="PR_VA_12_10" localSheetId="8">'[73]Top Lvl  Logic'!$J$26</definedName>
    <definedName name="PR_VA_12_10" localSheetId="9">'[73]Top Lvl  Logic'!$J$26</definedName>
    <definedName name="PR_VA_12_10" localSheetId="10">'[18]Top Lvl  Logic'!$J$26</definedName>
    <definedName name="PR_VA_12_10">'[23]Top Lvl  Logic'!$J$26</definedName>
    <definedName name="PR_VA_23" localSheetId="4">'[73]Top Lvl  Logic'!$K$26</definedName>
    <definedName name="PR_VA_23" localSheetId="3">'[73]Top Lvl  Logic'!$K$26</definedName>
    <definedName name="PR_VA_23" localSheetId="2">'[73]Top Lvl  Logic'!$K$26</definedName>
    <definedName name="PR_VA_23" localSheetId="5">'[73]Top Lvl  Logic'!$K$26</definedName>
    <definedName name="PR_VA_23" localSheetId="6">'[73]Top Lvl  Logic'!$K$26</definedName>
    <definedName name="PR_VA_23" localSheetId="7">'[73]Top Lvl  Logic'!$K$26</definedName>
    <definedName name="PR_VA_23" localSheetId="8">'[73]Top Lvl  Logic'!$K$26</definedName>
    <definedName name="PR_VA_23" localSheetId="9">'[73]Top Lvl  Logic'!$K$26</definedName>
    <definedName name="PR_VA_23" localSheetId="10">'[18]Top Lvl  Logic'!$K$26</definedName>
    <definedName name="PR_VA_23">'[23]Top Lvl  Logic'!$K$26</definedName>
    <definedName name="PR_VA_23_10" localSheetId="4">'[73]Top Lvl  Logic'!$K$26</definedName>
    <definedName name="PR_VA_23_10" localSheetId="3">'[73]Top Lvl  Logic'!$K$26</definedName>
    <definedName name="PR_VA_23_10" localSheetId="2">'[73]Top Lvl  Logic'!$K$26</definedName>
    <definedName name="PR_VA_23_10" localSheetId="5">'[73]Top Lvl  Logic'!$K$26</definedName>
    <definedName name="PR_VA_23_10" localSheetId="6">'[73]Top Lvl  Logic'!$K$26</definedName>
    <definedName name="PR_VA_23_10" localSheetId="7">'[73]Top Lvl  Logic'!$K$26</definedName>
    <definedName name="PR_VA_23_10" localSheetId="8">'[73]Top Lvl  Logic'!$K$26</definedName>
    <definedName name="PR_VA_23_10" localSheetId="9">'[73]Top Lvl  Logic'!$K$26</definedName>
    <definedName name="PR_VA_23_10" localSheetId="10">'[18]Top Lvl  Logic'!$K$26</definedName>
    <definedName name="PR_VA_23_10">'[23]Top Lvl  Logic'!$K$26</definedName>
    <definedName name="PR_VA_34" localSheetId="4">'[73]Top Lvl  Logic'!$L$26</definedName>
    <definedName name="PR_VA_34" localSheetId="3">'[73]Top Lvl  Logic'!$L$26</definedName>
    <definedName name="PR_VA_34" localSheetId="2">'[73]Top Lvl  Logic'!$L$26</definedName>
    <definedName name="PR_VA_34" localSheetId="5">'[73]Top Lvl  Logic'!$L$26</definedName>
    <definedName name="PR_VA_34" localSheetId="6">'[73]Top Lvl  Logic'!$L$26</definedName>
    <definedName name="PR_VA_34" localSheetId="7">'[73]Top Lvl  Logic'!$L$26</definedName>
    <definedName name="PR_VA_34" localSheetId="8">'[73]Top Lvl  Logic'!$L$26</definedName>
    <definedName name="PR_VA_34" localSheetId="9">'[73]Top Lvl  Logic'!$L$26</definedName>
    <definedName name="PR_VA_34" localSheetId="10">'[18]Top Lvl  Logic'!$L$26</definedName>
    <definedName name="PR_VA_34">'[23]Top Lvl  Logic'!$L$26</definedName>
    <definedName name="PR_VA_34_10" localSheetId="4">'[73]Top Lvl  Logic'!$L$26</definedName>
    <definedName name="PR_VA_34_10" localSheetId="3">'[73]Top Lvl  Logic'!$L$26</definedName>
    <definedName name="PR_VA_34_10" localSheetId="2">'[73]Top Lvl  Logic'!$L$26</definedName>
    <definedName name="PR_VA_34_10" localSheetId="5">'[73]Top Lvl  Logic'!$L$26</definedName>
    <definedName name="PR_VA_34_10" localSheetId="6">'[73]Top Lvl  Logic'!$L$26</definedName>
    <definedName name="PR_VA_34_10" localSheetId="7">'[73]Top Lvl  Logic'!$L$26</definedName>
    <definedName name="PR_VA_34_10" localSheetId="8">'[73]Top Lvl  Logic'!$L$26</definedName>
    <definedName name="PR_VA_34_10" localSheetId="9">'[73]Top Lvl  Logic'!$L$26</definedName>
    <definedName name="PR_VA_34_10" localSheetId="10">'[18]Top Lvl  Logic'!$L$26</definedName>
    <definedName name="PR_VA_34_10">'[23]Top Lvl  Logic'!$L$26</definedName>
    <definedName name="PR_VA_45" localSheetId="4">'[73]Top Lvl  Logic'!$M$26</definedName>
    <definedName name="PR_VA_45" localSheetId="3">'[73]Top Lvl  Logic'!$M$26</definedName>
    <definedName name="PR_VA_45" localSheetId="2">'[73]Top Lvl  Logic'!$M$26</definedName>
    <definedName name="PR_VA_45" localSheetId="5">'[73]Top Lvl  Logic'!$M$26</definedName>
    <definedName name="PR_VA_45" localSheetId="6">'[73]Top Lvl  Logic'!$M$26</definedName>
    <definedName name="PR_VA_45" localSheetId="7">'[73]Top Lvl  Logic'!$M$26</definedName>
    <definedName name="PR_VA_45" localSheetId="8">'[73]Top Lvl  Logic'!$M$26</definedName>
    <definedName name="PR_VA_45" localSheetId="9">'[73]Top Lvl  Logic'!$M$26</definedName>
    <definedName name="PR_VA_45" localSheetId="10">'[18]Top Lvl  Logic'!$M$26</definedName>
    <definedName name="PR_VA_45">'[23]Top Lvl  Logic'!$M$26</definedName>
    <definedName name="PR_VA_45_10" localSheetId="4">'[73]Top Lvl  Logic'!$M$26</definedName>
    <definedName name="PR_VA_45_10" localSheetId="3">'[73]Top Lvl  Logic'!$M$26</definedName>
    <definedName name="PR_VA_45_10" localSheetId="2">'[73]Top Lvl  Logic'!$M$26</definedName>
    <definedName name="PR_VA_45_10" localSheetId="5">'[73]Top Lvl  Logic'!$M$26</definedName>
    <definedName name="PR_VA_45_10" localSheetId="6">'[73]Top Lvl  Logic'!$M$26</definedName>
    <definedName name="PR_VA_45_10" localSheetId="7">'[73]Top Lvl  Logic'!$M$26</definedName>
    <definedName name="PR_VA_45_10" localSheetId="8">'[73]Top Lvl  Logic'!$M$26</definedName>
    <definedName name="PR_VA_45_10" localSheetId="9">'[73]Top Lvl  Logic'!$M$26</definedName>
    <definedName name="PR_VA_45_10" localSheetId="10">'[18]Top Lvl  Logic'!$M$26</definedName>
    <definedName name="PR_VA_45_10">'[23]Top Lvl  Logic'!$M$26</definedName>
    <definedName name="PR_VA_56" localSheetId="4">'[73]Top Lvl  Logic'!$N$26</definedName>
    <definedName name="PR_VA_56" localSheetId="3">'[73]Top Lvl  Logic'!$N$26</definedName>
    <definedName name="PR_VA_56" localSheetId="2">'[73]Top Lvl  Logic'!$N$26</definedName>
    <definedName name="PR_VA_56" localSheetId="5">'[73]Top Lvl  Logic'!$N$26</definedName>
    <definedName name="PR_VA_56" localSheetId="6">'[73]Top Lvl  Logic'!$N$26</definedName>
    <definedName name="PR_VA_56" localSheetId="7">'[73]Top Lvl  Logic'!$N$26</definedName>
    <definedName name="PR_VA_56" localSheetId="8">'[73]Top Lvl  Logic'!$N$26</definedName>
    <definedName name="PR_VA_56" localSheetId="9">'[73]Top Lvl  Logic'!$N$26</definedName>
    <definedName name="PR_VA_56" localSheetId="10">'[18]Top Lvl  Logic'!$N$26</definedName>
    <definedName name="PR_VA_56">'[23]Top Lvl  Logic'!$N$26</definedName>
    <definedName name="PR_VA_56_10" localSheetId="4">'[73]Top Lvl  Logic'!$N$26</definedName>
    <definedName name="PR_VA_56_10" localSheetId="3">'[73]Top Lvl  Logic'!$N$26</definedName>
    <definedName name="PR_VA_56_10" localSheetId="2">'[73]Top Lvl  Logic'!$N$26</definedName>
    <definedName name="PR_VA_56_10" localSheetId="5">'[73]Top Lvl  Logic'!$N$26</definedName>
    <definedName name="PR_VA_56_10" localSheetId="6">'[73]Top Lvl  Logic'!$N$26</definedName>
    <definedName name="PR_VA_56_10" localSheetId="7">'[73]Top Lvl  Logic'!$N$26</definedName>
    <definedName name="PR_VA_56_10" localSheetId="8">'[73]Top Lvl  Logic'!$N$26</definedName>
    <definedName name="PR_VA_56_10" localSheetId="9">'[73]Top Lvl  Logic'!$N$26</definedName>
    <definedName name="PR_VA_56_10" localSheetId="10">'[18]Top Lvl  Logic'!$N$26</definedName>
    <definedName name="PR_VA_56_10">'[23]Top Lvl  Logic'!$N$26</definedName>
    <definedName name="PR_VA_G6" localSheetId="4">'[73]Top Lvl  Logic'!$O$26</definedName>
    <definedName name="PR_VA_G6" localSheetId="3">'[73]Top Lvl  Logic'!$O$26</definedName>
    <definedName name="PR_VA_G6" localSheetId="2">'[73]Top Lvl  Logic'!$O$26</definedName>
    <definedName name="PR_VA_G6" localSheetId="5">'[73]Top Lvl  Logic'!$O$26</definedName>
    <definedName name="PR_VA_G6" localSheetId="6">'[73]Top Lvl  Logic'!$O$26</definedName>
    <definedName name="PR_VA_G6" localSheetId="7">'[73]Top Lvl  Logic'!$O$26</definedName>
    <definedName name="PR_VA_G6" localSheetId="8">'[73]Top Lvl  Logic'!$O$26</definedName>
    <definedName name="PR_VA_G6" localSheetId="9">'[73]Top Lvl  Logic'!$O$26</definedName>
    <definedName name="PR_VA_G6" localSheetId="10">'[18]Top Lvl  Logic'!$O$26</definedName>
    <definedName name="PR_VA_G6">'[23]Top Lvl  Logic'!$O$26</definedName>
    <definedName name="PR_VA_G6_10" localSheetId="4">'[73]Top Lvl  Logic'!$O$26</definedName>
    <definedName name="PR_VA_G6_10" localSheetId="3">'[73]Top Lvl  Logic'!$O$26</definedName>
    <definedName name="PR_VA_G6_10" localSheetId="2">'[73]Top Lvl  Logic'!$O$26</definedName>
    <definedName name="PR_VA_G6_10" localSheetId="5">'[73]Top Lvl  Logic'!$O$26</definedName>
    <definedName name="PR_VA_G6_10" localSheetId="6">'[73]Top Lvl  Logic'!$O$26</definedName>
    <definedName name="PR_VA_G6_10" localSheetId="7">'[73]Top Lvl  Logic'!$O$26</definedName>
    <definedName name="PR_VA_G6_10" localSheetId="8">'[73]Top Lvl  Logic'!$O$26</definedName>
    <definedName name="PR_VA_G6_10" localSheetId="9">'[73]Top Lvl  Logic'!$O$26</definedName>
    <definedName name="PR_VA_G6_10" localSheetId="10">'[18]Top Lvl  Logic'!$O$26</definedName>
    <definedName name="PR_VA_G6_10">'[23]Top Lvl  Logic'!$O$26</definedName>
    <definedName name="PR_VA_L0" localSheetId="4">'[73]Top Lvl  Logic'!$H$26</definedName>
    <definedName name="PR_VA_L0" localSheetId="3">'[73]Top Lvl  Logic'!$H$26</definedName>
    <definedName name="PR_VA_L0" localSheetId="2">'[73]Top Lvl  Logic'!$H$26</definedName>
    <definedName name="PR_VA_L0" localSheetId="5">'[73]Top Lvl  Logic'!$H$26</definedName>
    <definedName name="PR_VA_L0" localSheetId="6">'[73]Top Lvl  Logic'!$H$26</definedName>
    <definedName name="PR_VA_L0" localSheetId="7">'[73]Top Lvl  Logic'!$H$26</definedName>
    <definedName name="PR_VA_L0" localSheetId="8">'[73]Top Lvl  Logic'!$H$26</definedName>
    <definedName name="PR_VA_L0" localSheetId="9">'[73]Top Lvl  Logic'!$H$26</definedName>
    <definedName name="PR_VA_L0" localSheetId="10">'[18]Top Lvl  Logic'!$H$26</definedName>
    <definedName name="PR_VA_L0">'[23]Top Lvl  Logic'!$H$26</definedName>
    <definedName name="PR_VA_L0_10" localSheetId="4">'[73]Top Lvl  Logic'!$H$26</definedName>
    <definedName name="PR_VA_L0_10" localSheetId="3">'[73]Top Lvl  Logic'!$H$26</definedName>
    <definedName name="PR_VA_L0_10" localSheetId="2">'[73]Top Lvl  Logic'!$H$26</definedName>
    <definedName name="PR_VA_L0_10" localSheetId="5">'[73]Top Lvl  Logic'!$H$26</definedName>
    <definedName name="PR_VA_L0_10" localSheetId="6">'[73]Top Lvl  Logic'!$H$26</definedName>
    <definedName name="PR_VA_L0_10" localSheetId="7">'[73]Top Lvl  Logic'!$H$26</definedName>
    <definedName name="PR_VA_L0_10" localSheetId="8">'[73]Top Lvl  Logic'!$H$26</definedName>
    <definedName name="PR_VA_L0_10" localSheetId="9">'[73]Top Lvl  Logic'!$H$26</definedName>
    <definedName name="PR_VA_L0_10" localSheetId="10">'[18]Top Lvl  Logic'!$H$26</definedName>
    <definedName name="PR_VA_L0_10">'[23]Top Lvl  Logic'!$H$26</definedName>
    <definedName name="PR_VA_NA" localSheetId="4">'[73]Top Lvl  Logic'!$G$26</definedName>
    <definedName name="PR_VA_NA" localSheetId="3">'[73]Top Lvl  Logic'!$G$26</definedName>
    <definedName name="PR_VA_NA" localSheetId="2">'[73]Top Lvl  Logic'!$G$26</definedName>
    <definedName name="PR_VA_NA" localSheetId="5">'[73]Top Lvl  Logic'!$G$26</definedName>
    <definedName name="PR_VA_NA" localSheetId="6">'[73]Top Lvl  Logic'!$G$26</definedName>
    <definedName name="PR_VA_NA" localSheetId="7">'[73]Top Lvl  Logic'!$G$26</definedName>
    <definedName name="PR_VA_NA" localSheetId="8">'[73]Top Lvl  Logic'!$G$26</definedName>
    <definedName name="PR_VA_NA" localSheetId="9">'[73]Top Lvl  Logic'!$G$26</definedName>
    <definedName name="PR_VA_NA" localSheetId="10">'[18]Top Lvl  Logic'!$G$26</definedName>
    <definedName name="PR_VA_NA">'[23]Top Lvl  Logic'!$G$26</definedName>
    <definedName name="PR_VA_NA_10" localSheetId="4">'[73]Top Lvl  Logic'!$G$26</definedName>
    <definedName name="PR_VA_NA_10" localSheetId="3">'[73]Top Lvl  Logic'!$G$26</definedName>
    <definedName name="PR_VA_NA_10" localSheetId="2">'[73]Top Lvl  Logic'!$G$26</definedName>
    <definedName name="PR_VA_NA_10" localSheetId="5">'[73]Top Lvl  Logic'!$G$26</definedName>
    <definedName name="PR_VA_NA_10" localSheetId="6">'[73]Top Lvl  Logic'!$G$26</definedName>
    <definedName name="PR_VA_NA_10" localSheetId="7">'[73]Top Lvl  Logic'!$G$26</definedName>
    <definedName name="PR_VA_NA_10" localSheetId="8">'[73]Top Lvl  Logic'!$G$26</definedName>
    <definedName name="PR_VA_NA_10" localSheetId="9">'[73]Top Lvl  Logic'!$G$26</definedName>
    <definedName name="PR_VA_NA_10" localSheetId="10">'[18]Top Lvl  Logic'!$G$26</definedName>
    <definedName name="PR_VA_NA_10">'[23]Top Lvl  Logic'!$G$26</definedName>
    <definedName name="PR_VAL" localSheetId="4">'[73]Top Lvl  Logic'!$D$25</definedName>
    <definedName name="PR_VAL" localSheetId="3">'[73]Top Lvl  Logic'!$D$25</definedName>
    <definedName name="PR_VAL" localSheetId="2">'[73]Top Lvl  Logic'!$D$25</definedName>
    <definedName name="PR_VAL" localSheetId="5">'[73]Top Lvl  Logic'!$D$25</definedName>
    <definedName name="PR_VAL" localSheetId="6">'[73]Top Lvl  Logic'!$D$25</definedName>
    <definedName name="PR_VAL" localSheetId="7">'[73]Top Lvl  Logic'!$D$25</definedName>
    <definedName name="PR_VAL" localSheetId="8">'[73]Top Lvl  Logic'!$D$25</definedName>
    <definedName name="PR_VAL" localSheetId="9">'[73]Top Lvl  Logic'!$D$25</definedName>
    <definedName name="PR_VAL" localSheetId="10">'[18]Top Lvl  Logic'!$D$25</definedName>
    <definedName name="PR_VAL">'[23]Top Lvl  Logic'!$D$25</definedName>
    <definedName name="PR_VAL_10" localSheetId="4">'[73]Top Lvl  Logic'!$D$25</definedName>
    <definedName name="PR_VAL_10" localSheetId="3">'[73]Top Lvl  Logic'!$D$25</definedName>
    <definedName name="PR_VAL_10" localSheetId="2">'[73]Top Lvl  Logic'!$D$25</definedName>
    <definedName name="PR_VAL_10" localSheetId="5">'[73]Top Lvl  Logic'!$D$25</definedName>
    <definedName name="PR_VAL_10" localSheetId="6">'[73]Top Lvl  Logic'!$D$25</definedName>
    <definedName name="PR_VAL_10" localSheetId="7">'[73]Top Lvl  Logic'!$D$25</definedName>
    <definedName name="PR_VAL_10" localSheetId="8">'[73]Top Lvl  Logic'!$D$25</definedName>
    <definedName name="PR_VAL_10" localSheetId="9">'[73]Top Lvl  Logic'!$D$25</definedName>
    <definedName name="PR_VAL_10" localSheetId="10">'[18]Top Lvl  Logic'!$D$25</definedName>
    <definedName name="PR_VAL_10">'[23]Top Lvl  Logic'!$D$25</definedName>
    <definedName name="PracticeList" localSheetId="4">[49]LOV!$A$25</definedName>
    <definedName name="PracticeList" localSheetId="3">[49]LOV!$A$25</definedName>
    <definedName name="PracticeList" localSheetId="2">[49]LOV!$A$25</definedName>
    <definedName name="PracticeList" localSheetId="5">[49]LOV!$A$25</definedName>
    <definedName name="PracticeList" localSheetId="6">[49]LOV!$A$25</definedName>
    <definedName name="PracticeList" localSheetId="7">[49]LOV!$A$25</definedName>
    <definedName name="PracticeList" localSheetId="8">[50]LOV!$A$25</definedName>
    <definedName name="PracticeList" localSheetId="9">[50]LOV!$A$25</definedName>
    <definedName name="PracticeList" localSheetId="10">[89]LOV!$A$25</definedName>
    <definedName name="PracticeList">[38]LOV!$A$25</definedName>
    <definedName name="Practices" localSheetId="4">[49]LOV!$A$26:$I$26</definedName>
    <definedName name="Practices" localSheetId="3">[49]LOV!$A$26:$I$26</definedName>
    <definedName name="Practices" localSheetId="2">[49]LOV!$A$26:$I$26</definedName>
    <definedName name="Practices" localSheetId="5">[49]LOV!$A$26:$I$26</definedName>
    <definedName name="Practices" localSheetId="6">[49]LOV!$A$26:$I$26</definedName>
    <definedName name="Practices" localSheetId="7">[49]LOV!$A$26:$I$26</definedName>
    <definedName name="Practices" localSheetId="8">[50]LOV!$A$26:$I$26</definedName>
    <definedName name="Practices" localSheetId="9">[50]LOV!$A$26:$I$26</definedName>
    <definedName name="Practices" localSheetId="10">[89]LOV!$A$26:$I$26</definedName>
    <definedName name="Practices">[38]LOV!$A$26:$I$26</definedName>
    <definedName name="PRD_CHG">""</definedName>
    <definedName name="PRD_NM_C">"底盘组件"</definedName>
    <definedName name="PRD_NO">"RYF111A002B"</definedName>
    <definedName name="PRD_NOMBC">"QT10050"</definedName>
    <definedName name="PredictClean" localSheetId="4">#REF!</definedName>
    <definedName name="PredictClean" localSheetId="3">#REF!</definedName>
    <definedName name="PredictClean" localSheetId="2">#REF!</definedName>
    <definedName name="PredictClean" localSheetId="5">#REF!</definedName>
    <definedName name="PredictClean" localSheetId="6">#REF!</definedName>
    <definedName name="PredictClean" localSheetId="7">#REF!</definedName>
    <definedName name="PredictClean" localSheetId="8">#REF!</definedName>
    <definedName name="PredictClean" localSheetId="9">#REF!</definedName>
    <definedName name="PredictClean" localSheetId="10">#REF!</definedName>
    <definedName name="PredictClean" localSheetId="11">#REF!</definedName>
    <definedName name="PredictClean">#REF!</definedName>
    <definedName name="PredictionRow" localSheetId="4">#REF!</definedName>
    <definedName name="PredictionRow" localSheetId="3">#REF!</definedName>
    <definedName name="PredictionRow" localSheetId="2">#REF!</definedName>
    <definedName name="PredictionRow" localSheetId="5">#REF!</definedName>
    <definedName name="PredictionRow" localSheetId="6">#REF!</definedName>
    <definedName name="PredictionRow" localSheetId="7">#REF!</definedName>
    <definedName name="PredictionRow" localSheetId="8">#REF!</definedName>
    <definedName name="PredictionRow" localSheetId="9">#REF!</definedName>
    <definedName name="PredictionRow" localSheetId="10">#REF!</definedName>
    <definedName name="PredictionRow" localSheetId="11">#REF!</definedName>
    <definedName name="PredictionRow">#REF!</definedName>
    <definedName name="Prepared">[76]產品基本信息!$B$5</definedName>
    <definedName name="pricedesignother" localSheetId="4">'[13]Cont Cost Var by Month (SII)'!$AS$3:$AT$54</definedName>
    <definedName name="pricedesignother" localSheetId="3">'[13]Cont Cost Var by Month (SII)'!$AS$3:$AT$54</definedName>
    <definedName name="pricedesignother" localSheetId="2">'[13]Cont Cost Var by Month (SII)'!$AS$3:$AT$54</definedName>
    <definedName name="pricedesignother" localSheetId="5">'[13]Cont Cost Var by Month (SII)'!$AS$3:$AT$54</definedName>
    <definedName name="pricedesignother" localSheetId="6">'[13]Cont Cost Var by Month (SII)'!$AS$3:$AT$54</definedName>
    <definedName name="pricedesignother" localSheetId="7">'[13]Cont Cost Var by Month (SII)'!$AS$3:$AT$54</definedName>
    <definedName name="pricedesignother" localSheetId="8">'[77]Cont Cost Var by Month (SII)'!$AS$3:$AT$54</definedName>
    <definedName name="pricedesignother" localSheetId="9">'[77]Cont Cost Var by Month (SII)'!$AS$3:$AT$54</definedName>
    <definedName name="pricedesignother" localSheetId="10">'[8]Cont Cost Var by Month (SII)'!$AS$3:$AT$54</definedName>
    <definedName name="pricedesignother">'[10]Cont Cost Var by Month (SII)'!$AS$3:$AT$54</definedName>
    <definedName name="Princ" localSheetId="4">#REF!</definedName>
    <definedName name="Princ" localSheetId="3">#REF!</definedName>
    <definedName name="Princ" localSheetId="2">#REF!</definedName>
    <definedName name="Princ" localSheetId="5">#REF!</definedName>
    <definedName name="Princ" localSheetId="6">#REF!</definedName>
    <definedName name="Princ" localSheetId="7">#REF!</definedName>
    <definedName name="Princ" localSheetId="8">#REF!</definedName>
    <definedName name="Princ" localSheetId="9">#REF!</definedName>
    <definedName name="Princ" localSheetId="10">#REF!</definedName>
    <definedName name="Princ" localSheetId="11">#REF!</definedName>
    <definedName name="Princ">#REF!</definedName>
    <definedName name="Print_Area_MI" localSheetId="4">#REF!</definedName>
    <definedName name="Print_Area_MI" localSheetId="3">#REF!</definedName>
    <definedName name="Print_Area_MI" localSheetId="2">#REF!</definedName>
    <definedName name="Print_Area_MI" localSheetId="5">#REF!</definedName>
    <definedName name="Print_Area_MI" localSheetId="6">#REF!</definedName>
    <definedName name="Print_Area_MI" localSheetId="7">#REF!</definedName>
    <definedName name="Print_Area_MI" localSheetId="8">#REF!</definedName>
    <definedName name="Print_Area_MI" localSheetId="9">#REF!</definedName>
    <definedName name="Print_Area_MI" localSheetId="10">#REF!</definedName>
    <definedName name="Print_Area_MI" localSheetId="11">#REF!</definedName>
    <definedName name="Print_Area_MI">#REF!</definedName>
    <definedName name="Print_Area_MIs" localSheetId="4">#REF!</definedName>
    <definedName name="Print_Area_MIs" localSheetId="3">#REF!</definedName>
    <definedName name="Print_Area_MIs" localSheetId="2">#REF!</definedName>
    <definedName name="Print_Area_MIs" localSheetId="5">#REF!</definedName>
    <definedName name="Print_Area_MIs" localSheetId="6">#REF!</definedName>
    <definedName name="Print_Area_MIs" localSheetId="7">#REF!</definedName>
    <definedName name="Print_Area_MIs" localSheetId="8">#REF!</definedName>
    <definedName name="Print_Area_MIs" localSheetId="9">#REF!</definedName>
    <definedName name="Print_Area_MIs" localSheetId="10">#REF!</definedName>
    <definedName name="Print_Area_MIs" localSheetId="11">#REF!</definedName>
    <definedName name="Print_Area_MIs">#REF!</definedName>
    <definedName name="Print_Area_Reset" localSheetId="4">OFFSET('25年厨电费用指标到月测算汇总表'!Full_Print,0,0,'25年厨电费用指标到月测算汇总表'!Last_Row)</definedName>
    <definedName name="Print_Area_Reset" localSheetId="3">OFFSET('25年厨电费用指标到月测算汇总表  (2)'!Full_Print,0,0,'25年厨电费用指标到月测算汇总表  (2)'!Last_Row)</definedName>
    <definedName name="Print_Area_Reset" localSheetId="2">OFFSET('26年厨电费用指标到月测算汇总表 '!Full_Print,0,0,'26年厨电费用指标到月测算汇总表 '!Last_Row)</definedName>
    <definedName name="Print_Area_Reset" localSheetId="0">OFFSET(Full_Print,0,0,'DW  2026'!Last_Row)</definedName>
    <definedName name="Print_Area_Reset" localSheetId="5">OFFSET('厨电1月 '!Full_Print,0,0,'厨电1月 '!Last_Row)</definedName>
    <definedName name="Print_Area_Reset" localSheetId="6">OFFSET('厨电2月 '!Full_Print,0,0,'厨电2月 '!Last_Row)</definedName>
    <definedName name="Print_Area_Reset" localSheetId="7">OFFSET(厨电3月!Full_Print,0,0,厨电3月!Last_Row)</definedName>
    <definedName name="Print_Area_Reset" localSheetId="8">OFFSET(厨电4月!Full_Print,0,0,厨电4月!Last_Row)</definedName>
    <definedName name="Print_Area_Reset" localSheetId="9">OFFSET('厨电5月 '!Full_Print,0,0,'厨电5月 '!Last_Row)</definedName>
    <definedName name="Print_Area_Reset" localSheetId="10">OFFSET(厨电6月!Full_Print,0,0,厨电6月!Last_Row)</definedName>
    <definedName name="Print_Area_Reset" localSheetId="11">OFFSET('降费项目厨电 '!Full_Print,0,0,'降费项目厨电 '!Last_Row)</definedName>
    <definedName name="Print_Area_Reset">OFFSET(Full_Print,0,0,Last_Row)</definedName>
    <definedName name="Print_Aus" localSheetId="4">#REF!</definedName>
    <definedName name="Print_Aus" localSheetId="3">#REF!</definedName>
    <definedName name="Print_Aus" localSheetId="2">#REF!</definedName>
    <definedName name="Print_Aus" localSheetId="5">#REF!</definedName>
    <definedName name="Print_Aus" localSheetId="6">#REF!</definedName>
    <definedName name="Print_Aus" localSheetId="7">#REF!</definedName>
    <definedName name="Print_Aus" localSheetId="8">#REF!</definedName>
    <definedName name="Print_Aus" localSheetId="9">#REF!</definedName>
    <definedName name="Print_Aus" localSheetId="10">#REF!</definedName>
    <definedName name="Print_Aus" localSheetId="11">#REF!</definedName>
    <definedName name="Print_Aus">#REF!</definedName>
    <definedName name="Print_EC" localSheetId="4">#REF!</definedName>
    <definedName name="Print_EC" localSheetId="3">#REF!</definedName>
    <definedName name="Print_EC" localSheetId="2">#REF!</definedName>
    <definedName name="Print_EC" localSheetId="5">#REF!</definedName>
    <definedName name="Print_EC" localSheetId="6">#REF!</definedName>
    <definedName name="Print_EC" localSheetId="7">#REF!</definedName>
    <definedName name="Print_EC" localSheetId="8">#REF!</definedName>
    <definedName name="Print_EC" localSheetId="9">#REF!</definedName>
    <definedName name="Print_EC" localSheetId="10">#REF!</definedName>
    <definedName name="Print_EC" localSheetId="11">#REF!</definedName>
    <definedName name="Print_EC">#REF!</definedName>
    <definedName name="Print_Inventory_Package" localSheetId="4">[13]!Print_Inventory_Package</definedName>
    <definedName name="Print_Inventory_Package" localSheetId="3">[13]!Print_Inventory_Package</definedName>
    <definedName name="Print_Inventory_Package" localSheetId="2">[13]!Print_Inventory_Package</definedName>
    <definedName name="Print_Inventory_Package" localSheetId="5">[13]!Print_Inventory_Package</definedName>
    <definedName name="Print_Inventory_Package" localSheetId="6">[13]!Print_Inventory_Package</definedName>
    <definedName name="Print_Inventory_Package" localSheetId="7">[13]!Print_Inventory_Package</definedName>
    <definedName name="Print_Inventory_Package" localSheetId="8">[77]!Print_Inventory_Package</definedName>
    <definedName name="Print_Inventory_Package" localSheetId="9">[77]!Print_Inventory_Package</definedName>
    <definedName name="Print_Inventory_Package" localSheetId="10">[8]!Print_Inventory_Package</definedName>
    <definedName name="Print_Inventory_Package">[10]!Print_Inventory_Package</definedName>
    <definedName name="Print_Tables" localSheetId="4">#REF!,#REF!,#REF!,#REF!,#REF!,#REF!</definedName>
    <definedName name="Print_Tables" localSheetId="3">#REF!,#REF!,#REF!,#REF!,#REF!,#REF!</definedName>
    <definedName name="Print_Tables" localSheetId="2">#REF!,#REF!,#REF!,#REF!,#REF!,#REF!</definedName>
    <definedName name="Print_Tables" localSheetId="5">#REF!,#REF!,#REF!,#REF!,#REF!,#REF!</definedName>
    <definedName name="Print_Tables" localSheetId="6">#REF!,#REF!,#REF!,#REF!,#REF!,#REF!</definedName>
    <definedName name="Print_Tables" localSheetId="7">#REF!,#REF!,#REF!,#REF!,#REF!,#REF!</definedName>
    <definedName name="Print_Tables" localSheetId="8">#REF!,#REF!,#REF!,#REF!,#REF!,#REF!</definedName>
    <definedName name="Print_Tables" localSheetId="9">#REF!,#REF!,#REF!,#REF!,#REF!,#REF!</definedName>
    <definedName name="Print_Tables" localSheetId="10">#REF!,#REF!,#REF!,#REF!,#REF!,#REF!</definedName>
    <definedName name="Print_Tables" localSheetId="11">#REF!,#REF!,#REF!,#REF!,#REF!,#REF!</definedName>
    <definedName name="Print_Tables">#REF!,#REF!,#REF!,#REF!,#REF!,#REF!</definedName>
    <definedName name="Print_Titles_MI" localSheetId="4">#REF!</definedName>
    <definedName name="Print_Titles_MI" localSheetId="3">#REF!</definedName>
    <definedName name="Print_Titles_MI" localSheetId="2">#REF!</definedName>
    <definedName name="Print_Titles_MI" localSheetId="5">#REF!</definedName>
    <definedName name="Print_Titles_MI" localSheetId="6">#REF!</definedName>
    <definedName name="Print_Titles_MI" localSheetId="7">#REF!</definedName>
    <definedName name="Print_Titles_MI" localSheetId="8">#REF!</definedName>
    <definedName name="Print_Titles_MI" localSheetId="9">#REF!</definedName>
    <definedName name="Print_Titles_MI" localSheetId="10">#REF!</definedName>
    <definedName name="Print_Titles_MI" localSheetId="11">#REF!</definedName>
    <definedName name="Print_Titles_MI">#REF!</definedName>
    <definedName name="prior" localSheetId="4">'[26]FY00 Restated'!$A$2:$P$48</definedName>
    <definedName name="prior" localSheetId="3">'[26]FY00 Restated'!$A$2:$P$48</definedName>
    <definedName name="prior" localSheetId="2">'[26]FY00 Restated'!$A$2:$P$48</definedName>
    <definedName name="prior" localSheetId="5">'[26]FY00 Restated'!$A$2:$P$48</definedName>
    <definedName name="prior" localSheetId="6">'[26]FY00 Restated'!$A$2:$P$48</definedName>
    <definedName name="prior" localSheetId="7">'[26]FY00 Restated'!$A$2:$P$48</definedName>
    <definedName name="prior" localSheetId="8">'[25]FY00 Restated'!$A$2:$P$48</definedName>
    <definedName name="prior" localSheetId="9">'[25]FY00 Restated'!$A$2:$P$48</definedName>
    <definedName name="prior" localSheetId="10">'[14]FY00 Restated'!$A$2:$P$48</definedName>
    <definedName name="prior">'[19]FY00 Restated'!$A$2:$P$48</definedName>
    <definedName name="Prior_Flash" localSheetId="4">[61]FP!$D$31</definedName>
    <definedName name="Prior_Flash" localSheetId="3">[61]FP!$D$31</definedName>
    <definedName name="Prior_Flash" localSheetId="2">[61]FP!$D$31</definedName>
    <definedName name="Prior_Flash" localSheetId="5">[61]FP!$D$31</definedName>
    <definedName name="Prior_Flash" localSheetId="6">[61]FP!$D$31</definedName>
    <definedName name="Prior_Flash" localSheetId="7">[61]FP!$D$31</definedName>
    <definedName name="Prior_Flash" localSheetId="10">[30]FP!$D$31</definedName>
    <definedName name="Prior_Flash">[47]FP!$D$31</definedName>
    <definedName name="Prior_Half" localSheetId="4">'[61]Time Dimension Lookup'!$E$3</definedName>
    <definedName name="Prior_Half" localSheetId="3">'[61]Time Dimension Lookup'!$E$3</definedName>
    <definedName name="Prior_Half" localSheetId="2">'[61]Time Dimension Lookup'!$E$3</definedName>
    <definedName name="Prior_Half" localSheetId="5">'[61]Time Dimension Lookup'!$E$3</definedName>
    <definedName name="Prior_Half" localSheetId="6">'[61]Time Dimension Lookup'!$E$3</definedName>
    <definedName name="Prior_Half" localSheetId="7">'[61]Time Dimension Lookup'!$E$3</definedName>
    <definedName name="Prior_Half" localSheetId="10">'[30]Time Dimension Lookup'!$E$3</definedName>
    <definedName name="Prior_Half">'[47]Time Dimension Lookup'!$E$3</definedName>
    <definedName name="Prior_Qtr_a" localSheetId="4">'[61]Time Dimension Lookup'!$C$3</definedName>
    <definedName name="Prior_Qtr_a" localSheetId="3">'[61]Time Dimension Lookup'!$C$3</definedName>
    <definedName name="Prior_Qtr_a" localSheetId="2">'[61]Time Dimension Lookup'!$C$3</definedName>
    <definedName name="Prior_Qtr_a" localSheetId="5">'[61]Time Dimension Lookup'!$C$3</definedName>
    <definedName name="Prior_Qtr_a" localSheetId="6">'[61]Time Dimension Lookup'!$C$3</definedName>
    <definedName name="Prior_Qtr_a" localSheetId="7">'[61]Time Dimension Lookup'!$C$3</definedName>
    <definedName name="Prior_Qtr_a" localSheetId="10">'[30]Time Dimension Lookup'!$C$3</definedName>
    <definedName name="Prior_Qtr_a">'[47]Time Dimension Lookup'!$C$3</definedName>
    <definedName name="Prior_Qtr_b" localSheetId="4">'[61]Time Dimension Lookup'!$D$3</definedName>
    <definedName name="Prior_Qtr_b" localSheetId="3">'[61]Time Dimension Lookup'!$D$3</definedName>
    <definedName name="Prior_Qtr_b" localSheetId="2">'[61]Time Dimension Lookup'!$D$3</definedName>
    <definedName name="Prior_Qtr_b" localSheetId="5">'[61]Time Dimension Lookup'!$D$3</definedName>
    <definedName name="Prior_Qtr_b" localSheetId="6">'[61]Time Dimension Lookup'!$D$3</definedName>
    <definedName name="Prior_Qtr_b" localSheetId="7">'[61]Time Dimension Lookup'!$D$3</definedName>
    <definedName name="Prior_Qtr_b" localSheetId="10">'[30]Time Dimension Lookup'!$D$3</definedName>
    <definedName name="Prior_Qtr_b">'[47]Time Dimension Lookup'!$D$3</definedName>
    <definedName name="PriorMonth" localSheetId="4">#REF!</definedName>
    <definedName name="PriorMonth" localSheetId="3">#REF!</definedName>
    <definedName name="PriorMonth" localSheetId="2">#REF!</definedName>
    <definedName name="PriorMonth" localSheetId="5">#REF!</definedName>
    <definedName name="PriorMonth" localSheetId="6">#REF!</definedName>
    <definedName name="PriorMonth" localSheetId="7">#REF!</definedName>
    <definedName name="PriorMonth" localSheetId="8">#REF!</definedName>
    <definedName name="PriorMonth" localSheetId="9">#REF!</definedName>
    <definedName name="PriorMonth" localSheetId="10">#REF!</definedName>
    <definedName name="PriorMonth" localSheetId="11">#REF!</definedName>
    <definedName name="PriorMonth">#REF!</definedName>
    <definedName name="PriorQuarter" localSheetId="4">#REF!</definedName>
    <definedName name="PriorQuarter" localSheetId="3">#REF!</definedName>
    <definedName name="PriorQuarter" localSheetId="2">#REF!</definedName>
    <definedName name="PriorQuarter" localSheetId="5">#REF!</definedName>
    <definedName name="PriorQuarter" localSheetId="6">#REF!</definedName>
    <definedName name="PriorQuarter" localSheetId="7">#REF!</definedName>
    <definedName name="PriorQuarter" localSheetId="8">#REF!</definedName>
    <definedName name="PriorQuarter" localSheetId="9">#REF!</definedName>
    <definedName name="PriorQuarter" localSheetId="10">#REF!</definedName>
    <definedName name="PriorQuarter" localSheetId="11">#REF!</definedName>
    <definedName name="PriorQuarter">#REF!</definedName>
    <definedName name="Pro.Model">[76]產品基本信息!$B$4</definedName>
    <definedName name="Probabilities" localSheetId="4">[49]LOV!$A$4:$F$4</definedName>
    <definedName name="Probabilities" localSheetId="3">[49]LOV!$A$4:$F$4</definedName>
    <definedName name="Probabilities" localSheetId="2">[49]LOV!$A$4:$F$4</definedName>
    <definedName name="Probabilities" localSheetId="5">[49]LOV!$A$4:$F$4</definedName>
    <definedName name="Probabilities" localSheetId="6">[49]LOV!$A$4:$F$4</definedName>
    <definedName name="Probabilities" localSheetId="7">[49]LOV!$A$4:$F$4</definedName>
    <definedName name="Probabilities" localSheetId="8">[50]LOV!$A$4:$F$4</definedName>
    <definedName name="Probabilities" localSheetId="9">[50]LOV!$A$4:$F$4</definedName>
    <definedName name="Probabilities" localSheetId="10">[89]LOV!$A$4:$F$4</definedName>
    <definedName name="Probabilities">[38]LOV!$A$4:$F$4</definedName>
    <definedName name="ProbList" localSheetId="4">[49]LOV!$A$3</definedName>
    <definedName name="ProbList" localSheetId="3">[49]LOV!$A$3</definedName>
    <definedName name="ProbList" localSheetId="2">[49]LOV!$A$3</definedName>
    <definedName name="ProbList" localSheetId="5">[49]LOV!$A$3</definedName>
    <definedName name="ProbList" localSheetId="6">[49]LOV!$A$3</definedName>
    <definedName name="ProbList" localSheetId="7">[49]LOV!$A$3</definedName>
    <definedName name="ProbList" localSheetId="8">[50]LOV!$A$3</definedName>
    <definedName name="ProbList" localSheetId="9">[50]LOV!$A$3</definedName>
    <definedName name="ProbList" localSheetId="10">[89]LOV!$A$3</definedName>
    <definedName name="ProbList">[38]LOV!$A$3</definedName>
    <definedName name="Proc_DPU" localSheetId="4">[73]SUMMARY!$C$7</definedName>
    <definedName name="Proc_DPU" localSheetId="3">[73]SUMMARY!$C$7</definedName>
    <definedName name="Proc_DPU" localSheetId="2">[73]SUMMARY!$C$7</definedName>
    <definedName name="Proc_DPU" localSheetId="5">[73]SUMMARY!$C$7</definedName>
    <definedName name="Proc_DPU" localSheetId="6">[73]SUMMARY!$C$7</definedName>
    <definedName name="Proc_DPU" localSheetId="7">[73]SUMMARY!$C$7</definedName>
    <definedName name="Proc_DPU" localSheetId="8">[73]SUMMARY!$C$7</definedName>
    <definedName name="Proc_DPU" localSheetId="9">[73]SUMMARY!$C$7</definedName>
    <definedName name="Proc_DPU" localSheetId="10">[18]Summary!$C$7</definedName>
    <definedName name="Proc_DPU">[23]Summary!$C$7</definedName>
    <definedName name="Proc_DPU_10" localSheetId="4">[73]SUMMARY!$C$7</definedName>
    <definedName name="Proc_DPU_10" localSheetId="3">[73]SUMMARY!$C$7</definedName>
    <definedName name="Proc_DPU_10" localSheetId="2">[73]SUMMARY!$C$7</definedName>
    <definedName name="Proc_DPU_10" localSheetId="5">[73]SUMMARY!$C$7</definedName>
    <definedName name="Proc_DPU_10" localSheetId="6">[73]SUMMARY!$C$7</definedName>
    <definedName name="Proc_DPU_10" localSheetId="7">[73]SUMMARY!$C$7</definedName>
    <definedName name="Proc_DPU_10" localSheetId="8">[73]SUMMARY!$C$7</definedName>
    <definedName name="Proc_DPU_10" localSheetId="9">[73]SUMMARY!$C$7</definedName>
    <definedName name="Proc_DPU_10" localSheetId="10">[18]Summary!$C$7</definedName>
    <definedName name="Proc_DPU_10">[23]Summary!$C$7</definedName>
    <definedName name="Proc_M" localSheetId="4">[73]SUMMARY!$F$7</definedName>
    <definedName name="Proc_M" localSheetId="3">[73]SUMMARY!$F$7</definedName>
    <definedName name="Proc_M" localSheetId="2">[73]SUMMARY!$F$7</definedName>
    <definedName name="Proc_M" localSheetId="5">[73]SUMMARY!$F$7</definedName>
    <definedName name="Proc_M" localSheetId="6">[73]SUMMARY!$F$7</definedName>
    <definedName name="Proc_M" localSheetId="7">[73]SUMMARY!$F$7</definedName>
    <definedName name="Proc_M" localSheetId="8">[73]SUMMARY!$F$7</definedName>
    <definedName name="Proc_M" localSheetId="9">[73]SUMMARY!$F$7</definedName>
    <definedName name="Proc_M" localSheetId="10">[18]Summary!$F$7</definedName>
    <definedName name="Proc_M">[23]Summary!$F$7</definedName>
    <definedName name="Proc_M_10" localSheetId="4">[73]SUMMARY!$F$7</definedName>
    <definedName name="Proc_M_10" localSheetId="3">[73]SUMMARY!$F$7</definedName>
    <definedName name="Proc_M_10" localSheetId="2">[73]SUMMARY!$F$7</definedName>
    <definedName name="Proc_M_10" localSheetId="5">[73]SUMMARY!$F$7</definedName>
    <definedName name="Proc_M_10" localSheetId="6">[73]SUMMARY!$F$7</definedName>
    <definedName name="Proc_M_10" localSheetId="7">[73]SUMMARY!$F$7</definedName>
    <definedName name="Proc_M_10" localSheetId="8">[73]SUMMARY!$F$7</definedName>
    <definedName name="Proc_M_10" localSheetId="9">[73]SUMMARY!$F$7</definedName>
    <definedName name="Proc_M_10" localSheetId="10">[18]Summary!$F$7</definedName>
    <definedName name="Proc_M_10">[23]Summary!$F$7</definedName>
    <definedName name="Proc_M_Opp" localSheetId="4">[73]SUMMARY!$H$7</definedName>
    <definedName name="Proc_M_Opp" localSheetId="3">[73]SUMMARY!$H$7</definedName>
    <definedName name="Proc_M_Opp" localSheetId="2">[73]SUMMARY!$H$7</definedName>
    <definedName name="Proc_M_Opp" localSheetId="5">[73]SUMMARY!$H$7</definedName>
    <definedName name="Proc_M_Opp" localSheetId="6">[73]SUMMARY!$H$7</definedName>
    <definedName name="Proc_M_Opp" localSheetId="7">[73]SUMMARY!$H$7</definedName>
    <definedName name="Proc_M_Opp" localSheetId="8">[73]SUMMARY!$H$7</definedName>
    <definedName name="Proc_M_Opp" localSheetId="9">[73]SUMMARY!$H$7</definedName>
    <definedName name="Proc_M_Opp" localSheetId="10">[18]Summary!$H$7</definedName>
    <definedName name="Proc_M_Opp">[23]Summary!$H$7</definedName>
    <definedName name="Proc_M_Opp_10" localSheetId="4">[73]SUMMARY!$H$7</definedName>
    <definedName name="Proc_M_Opp_10" localSheetId="3">[73]SUMMARY!$H$7</definedName>
    <definedName name="Proc_M_Opp_10" localSheetId="2">[73]SUMMARY!$H$7</definedName>
    <definedName name="Proc_M_Opp_10" localSheetId="5">[73]SUMMARY!$H$7</definedName>
    <definedName name="Proc_M_Opp_10" localSheetId="6">[73]SUMMARY!$H$7</definedName>
    <definedName name="Proc_M_Opp_10" localSheetId="7">[73]SUMMARY!$H$7</definedName>
    <definedName name="Proc_M_Opp_10" localSheetId="8">[73]SUMMARY!$H$7</definedName>
    <definedName name="Proc_M_Opp_10" localSheetId="9">[73]SUMMARY!$H$7</definedName>
    <definedName name="Proc_M_Opp_10" localSheetId="10">[18]Summary!$H$7</definedName>
    <definedName name="Proc_M_Opp_10">[23]Summary!$H$7</definedName>
    <definedName name="Proc_Opp" localSheetId="4">[73]SUMMARY!$D$7</definedName>
    <definedName name="Proc_Opp" localSheetId="3">[73]SUMMARY!$D$7</definedName>
    <definedName name="Proc_Opp" localSheetId="2">[73]SUMMARY!$D$7</definedName>
    <definedName name="Proc_Opp" localSheetId="5">[73]SUMMARY!$D$7</definedName>
    <definedName name="Proc_Opp" localSheetId="6">[73]SUMMARY!$D$7</definedName>
    <definedName name="Proc_Opp" localSheetId="7">[73]SUMMARY!$D$7</definedName>
    <definedName name="Proc_Opp" localSheetId="8">[73]SUMMARY!$D$7</definedName>
    <definedName name="Proc_Opp" localSheetId="9">[73]SUMMARY!$D$7</definedName>
    <definedName name="Proc_Opp" localSheetId="10">[18]Summary!$D$7</definedName>
    <definedName name="Proc_Opp">[23]Summary!$D$7</definedName>
    <definedName name="Proc_Opp_10" localSheetId="4">[73]SUMMARY!$D$7</definedName>
    <definedName name="Proc_Opp_10" localSheetId="3">[73]SUMMARY!$D$7</definedName>
    <definedName name="Proc_Opp_10" localSheetId="2">[73]SUMMARY!$D$7</definedName>
    <definedName name="Proc_Opp_10" localSheetId="5">[73]SUMMARY!$D$7</definedName>
    <definedName name="Proc_Opp_10" localSheetId="6">[73]SUMMARY!$D$7</definedName>
    <definedName name="Proc_Opp_10" localSheetId="7">[73]SUMMARY!$D$7</definedName>
    <definedName name="Proc_Opp_10" localSheetId="8">[73]SUMMARY!$D$7</definedName>
    <definedName name="Proc_Opp_10" localSheetId="9">[73]SUMMARY!$D$7</definedName>
    <definedName name="Proc_Opp_10" localSheetId="10">[18]Summary!$D$7</definedName>
    <definedName name="Proc_Opp_10">[23]Summary!$D$7</definedName>
    <definedName name="Proc_Total_M" localSheetId="4">[73]SUMMARY!$G$7</definedName>
    <definedName name="Proc_Total_M" localSheetId="3">[73]SUMMARY!$G$7</definedName>
    <definedName name="Proc_Total_M" localSheetId="2">[73]SUMMARY!$G$7</definedName>
    <definedName name="Proc_Total_M" localSheetId="5">[73]SUMMARY!$G$7</definedName>
    <definedName name="Proc_Total_M" localSheetId="6">[73]SUMMARY!$G$7</definedName>
    <definedName name="Proc_Total_M" localSheetId="7">[73]SUMMARY!$G$7</definedName>
    <definedName name="Proc_Total_M" localSheetId="8">[73]SUMMARY!$G$7</definedName>
    <definedName name="Proc_Total_M" localSheetId="9">[73]SUMMARY!$G$7</definedName>
    <definedName name="Proc_Total_M" localSheetId="10">[18]Summary!$G$7</definedName>
    <definedName name="Proc_Total_M">[23]Summary!$G$7</definedName>
    <definedName name="Proc_Total_M_10" localSheetId="4">[73]SUMMARY!$G$7</definedName>
    <definedName name="Proc_Total_M_10" localSheetId="3">[73]SUMMARY!$G$7</definedName>
    <definedName name="Proc_Total_M_10" localSheetId="2">[73]SUMMARY!$G$7</definedName>
    <definedName name="Proc_Total_M_10" localSheetId="5">[73]SUMMARY!$G$7</definedName>
    <definedName name="Proc_Total_M_10" localSheetId="6">[73]SUMMARY!$G$7</definedName>
    <definedName name="Proc_Total_M_10" localSheetId="7">[73]SUMMARY!$G$7</definedName>
    <definedName name="Proc_Total_M_10" localSheetId="8">[73]SUMMARY!$G$7</definedName>
    <definedName name="Proc_Total_M_10" localSheetId="9">[73]SUMMARY!$G$7</definedName>
    <definedName name="Proc_Total_M_10" localSheetId="10">[18]Summary!$G$7</definedName>
    <definedName name="Proc_Total_M_10">[23]Summary!$G$7</definedName>
    <definedName name="Proc_Zst" localSheetId="4">[73]SUMMARY!$E$7</definedName>
    <definedName name="Proc_Zst" localSheetId="3">[73]SUMMARY!$E$7</definedName>
    <definedName name="Proc_Zst" localSheetId="2">[73]SUMMARY!$E$7</definedName>
    <definedName name="Proc_Zst" localSheetId="5">[73]SUMMARY!$E$7</definedName>
    <definedName name="Proc_Zst" localSheetId="6">[73]SUMMARY!$E$7</definedName>
    <definedName name="Proc_Zst" localSheetId="7">[73]SUMMARY!$E$7</definedName>
    <definedName name="Proc_Zst" localSheetId="8">[73]SUMMARY!$E$7</definedName>
    <definedName name="Proc_Zst" localSheetId="9">[73]SUMMARY!$E$7</definedName>
    <definedName name="Proc_Zst" localSheetId="10">[18]Summary!$E$7</definedName>
    <definedName name="Proc_Zst">[23]Summary!$E$7</definedName>
    <definedName name="Proc_Zst_10" localSheetId="4">[73]SUMMARY!$E$7</definedName>
    <definedName name="Proc_Zst_10" localSheetId="3">[73]SUMMARY!$E$7</definedName>
    <definedName name="Proc_Zst_10" localSheetId="2">[73]SUMMARY!$E$7</definedName>
    <definedName name="Proc_Zst_10" localSheetId="5">[73]SUMMARY!$E$7</definedName>
    <definedName name="Proc_Zst_10" localSheetId="6">[73]SUMMARY!$E$7</definedName>
    <definedName name="Proc_Zst_10" localSheetId="7">[73]SUMMARY!$E$7</definedName>
    <definedName name="Proc_Zst_10" localSheetId="8">[73]SUMMARY!$E$7</definedName>
    <definedName name="Proc_Zst_10" localSheetId="9">[73]SUMMARY!$E$7</definedName>
    <definedName name="Proc_Zst_10" localSheetId="10">[18]Summary!$E$7</definedName>
    <definedName name="Proc_Zst_10">[23]Summary!$E$7</definedName>
    <definedName name="Process_Name" localSheetId="4">[73]Process!$B$5</definedName>
    <definedName name="Process_Name" localSheetId="3">[73]Process!$B$5</definedName>
    <definedName name="Process_Name" localSheetId="2">[73]Process!$B$5</definedName>
    <definedName name="Process_Name" localSheetId="5">[73]Process!$B$5</definedName>
    <definedName name="Process_Name" localSheetId="6">[73]Process!$B$5</definedName>
    <definedName name="Process_Name" localSheetId="7">[73]Process!$B$5</definedName>
    <definedName name="Process_Name" localSheetId="8">[73]Process!$B$5</definedName>
    <definedName name="Process_Name" localSheetId="9">[73]Process!$B$5</definedName>
    <definedName name="Process_Name" localSheetId="10">[18]Process!$B$5</definedName>
    <definedName name="Process_Name">[23]Process!$B$5</definedName>
    <definedName name="Process_Name_10" localSheetId="4">[73]Process!$B$5</definedName>
    <definedName name="Process_Name_10" localSheetId="3">[73]Process!$B$5</definedName>
    <definedName name="Process_Name_10" localSheetId="2">[73]Process!$B$5</definedName>
    <definedName name="Process_Name_10" localSheetId="5">[73]Process!$B$5</definedName>
    <definedName name="Process_Name_10" localSheetId="6">[73]Process!$B$5</definedName>
    <definedName name="Process_Name_10" localSheetId="7">[73]Process!$B$5</definedName>
    <definedName name="Process_Name_10" localSheetId="8">[73]Process!$B$5</definedName>
    <definedName name="Process_Name_10" localSheetId="9">[73]Process!$B$5</definedName>
    <definedName name="Process_Name_10" localSheetId="10">[18]Process!$B$5</definedName>
    <definedName name="Process_Name_10">[23]Process!$B$5</definedName>
    <definedName name="Process_Variation" localSheetId="4">#REF!</definedName>
    <definedName name="Process_Variation" localSheetId="3">#REF!</definedName>
    <definedName name="Process_Variation" localSheetId="2">#REF!</definedName>
    <definedName name="Process_Variation" localSheetId="5">#REF!</definedName>
    <definedName name="Process_Variation" localSheetId="6">#REF!</definedName>
    <definedName name="Process_Variation" localSheetId="7">#REF!</definedName>
    <definedName name="Process_Variation" localSheetId="8">#REF!</definedName>
    <definedName name="Process_Variation" localSheetId="9">#REF!</definedName>
    <definedName name="Process_Variation" localSheetId="10">#REF!</definedName>
    <definedName name="Process_Variation" localSheetId="11">#REF!</definedName>
    <definedName name="Process_Variation">#REF!</definedName>
    <definedName name="prod" localSheetId="4">'[13]QMI Monthly Summary Reports_FW0'!$A$1:$B$51</definedName>
    <definedName name="prod" localSheetId="3">'[13]QMI Monthly Summary Reports_FW0'!$A$1:$B$51</definedName>
    <definedName name="prod" localSheetId="2">'[13]QMI Monthly Summary Reports_FW0'!$A$1:$B$51</definedName>
    <definedName name="prod" localSheetId="5">'[13]QMI Monthly Summary Reports_FW0'!$A$1:$B$51</definedName>
    <definedName name="prod" localSheetId="6">'[13]QMI Monthly Summary Reports_FW0'!$A$1:$B$51</definedName>
    <definedName name="prod" localSheetId="7">'[13]QMI Monthly Summary Reports_FW0'!$A$1:$B$51</definedName>
    <definedName name="prod" localSheetId="8">'[77]QMI Monthly Summary Reports_FW0'!$A$1:$B$51</definedName>
    <definedName name="prod" localSheetId="9">'[77]QMI Monthly Summary Reports_FW0'!$A$1:$B$51</definedName>
    <definedName name="prod" localSheetId="10">'[8]QMI Monthly Summary Reports_FW0'!$A$1:$B$51</definedName>
    <definedName name="prod">'[10]QMI Monthly Summary Reports_FW0'!$A$1:$B$51</definedName>
    <definedName name="Product_line" localSheetId="4">'[44]Program Inputs'!$C$7</definedName>
    <definedName name="Product_line" localSheetId="3">'[44]Program Inputs'!$C$7</definedName>
    <definedName name="Product_line" localSheetId="2">'[44]Program Inputs'!$C$7</definedName>
    <definedName name="Product_line" localSheetId="5">'[44]Program Inputs'!$C$7</definedName>
    <definedName name="Product_line" localSheetId="6">'[44]Program Inputs'!$C$7</definedName>
    <definedName name="Product_line" localSheetId="7">'[44]Program Inputs'!$C$7</definedName>
    <definedName name="Product_line" localSheetId="8">'[44]Program Inputs'!$C$7</definedName>
    <definedName name="Product_line" localSheetId="9">'[44]Program Inputs'!$C$7</definedName>
    <definedName name="Product_line" localSheetId="10">'[19]Program Inputs'!$C$7</definedName>
    <definedName name="Product_line">'[33]Program Inputs'!$C$7</definedName>
    <definedName name="Product_lines" localSheetId="4">'[44]Fixed calculations'!$M$2:$M$40</definedName>
    <definedName name="Product_lines" localSheetId="3">'[44]Fixed calculations'!$M$2:$M$40</definedName>
    <definedName name="Product_lines" localSheetId="2">'[44]Fixed calculations'!$M$2:$M$40</definedName>
    <definedName name="Product_lines" localSheetId="5">'[44]Fixed calculations'!$M$2:$M$40</definedName>
    <definedName name="Product_lines" localSheetId="6">'[44]Fixed calculations'!$M$2:$M$40</definedName>
    <definedName name="Product_lines" localSheetId="7">'[44]Fixed calculations'!$M$2:$M$40</definedName>
    <definedName name="Product_lines" localSheetId="8">'[44]Fixed calculations'!$M$2:$M$40</definedName>
    <definedName name="Product_lines" localSheetId="9">'[44]Fixed calculations'!$M$2:$M$40</definedName>
    <definedName name="Product_lines" localSheetId="10">'[19]Fixed calculations'!$M$2:$M$40</definedName>
    <definedName name="Product_lines">'[33]Fixed calculations'!$M$2:$M$40</definedName>
    <definedName name="profile1" localSheetId="4">#REF!</definedName>
    <definedName name="profile1" localSheetId="3">#REF!</definedName>
    <definedName name="profile1" localSheetId="2">#REF!</definedName>
    <definedName name="profile1" localSheetId="5">#REF!</definedName>
    <definedName name="profile1" localSheetId="6">#REF!</definedName>
    <definedName name="profile1" localSheetId="7">#REF!</definedName>
    <definedName name="profile1" localSheetId="8">#REF!</definedName>
    <definedName name="profile1" localSheetId="9">#REF!</definedName>
    <definedName name="profile1" localSheetId="10">#REF!</definedName>
    <definedName name="profile1" localSheetId="11">#REF!</definedName>
    <definedName name="profile1">#REF!</definedName>
    <definedName name="profile2" localSheetId="4">#REF!</definedName>
    <definedName name="profile2" localSheetId="3">#REF!</definedName>
    <definedName name="profile2" localSheetId="2">#REF!</definedName>
    <definedName name="profile2" localSheetId="5">#REF!</definedName>
    <definedName name="profile2" localSheetId="6">#REF!</definedName>
    <definedName name="profile2" localSheetId="7">#REF!</definedName>
    <definedName name="profile2" localSheetId="8">#REF!</definedName>
    <definedName name="profile2" localSheetId="9">#REF!</definedName>
    <definedName name="profile2" localSheetId="10">#REF!</definedName>
    <definedName name="profile2" localSheetId="11">#REF!</definedName>
    <definedName name="profile2">#REF!</definedName>
    <definedName name="profile3" localSheetId="4">#REF!</definedName>
    <definedName name="profile3" localSheetId="3">#REF!</definedName>
    <definedName name="profile3" localSheetId="2">#REF!</definedName>
    <definedName name="profile3" localSheetId="5">#REF!</definedName>
    <definedName name="profile3" localSheetId="6">#REF!</definedName>
    <definedName name="profile3" localSheetId="7">#REF!</definedName>
    <definedName name="profile3" localSheetId="8">#REF!</definedName>
    <definedName name="profile3" localSheetId="9">#REF!</definedName>
    <definedName name="profile3" localSheetId="10">#REF!</definedName>
    <definedName name="profile3" localSheetId="11">#REF!</definedName>
    <definedName name="profile3">#REF!</definedName>
    <definedName name="Program" localSheetId="4">'[46]VSAMS Summary'!$F$16</definedName>
    <definedName name="Program" localSheetId="3">'[46]VSAMS Summary'!$F$16</definedName>
    <definedName name="Program" localSheetId="2">'[46]VSAMS Summary'!$F$16</definedName>
    <definedName name="Program" localSheetId="5">'[46]VSAMS Summary'!$F$16</definedName>
    <definedName name="Program" localSheetId="6">'[46]VSAMS Summary'!$F$16</definedName>
    <definedName name="Program" localSheetId="7">'[46]VSAMS Summary'!$F$16</definedName>
    <definedName name="Program" localSheetId="8">'[46]VSAMS Summary'!$F$16</definedName>
    <definedName name="Program" localSheetId="9">'[46]VSAMS Summary'!$F$16</definedName>
    <definedName name="Program" localSheetId="10">'[88]VSAMS Summary'!$F$16</definedName>
    <definedName name="Program">'[35]VSAMS Summary'!$F$16</definedName>
    <definedName name="Program_name" localSheetId="4">'[44]Program Inputs'!$C$5</definedName>
    <definedName name="Program_name" localSheetId="3">'[44]Program Inputs'!$C$5</definedName>
    <definedName name="Program_name" localSheetId="2">'[44]Program Inputs'!$C$5</definedName>
    <definedName name="Program_name" localSheetId="5">'[44]Program Inputs'!$C$5</definedName>
    <definedName name="Program_name" localSheetId="6">'[44]Program Inputs'!$C$5</definedName>
    <definedName name="Program_name" localSheetId="7">'[44]Program Inputs'!$C$5</definedName>
    <definedName name="Program_name" localSheetId="8">'[44]Program Inputs'!$C$5</definedName>
    <definedName name="Program_name" localSheetId="9">'[44]Program Inputs'!$C$5</definedName>
    <definedName name="Program_name" localSheetId="10">'[19]Program Inputs'!$C$5</definedName>
    <definedName name="Program_name">'[33]Program Inputs'!$C$5</definedName>
    <definedName name="Program_types" localSheetId="4">'[44]Fixed calculations'!$J$2:$K$40</definedName>
    <definedName name="Program_types" localSheetId="3">'[44]Fixed calculations'!$J$2:$K$40</definedName>
    <definedName name="Program_types" localSheetId="2">'[44]Fixed calculations'!$J$2:$K$40</definedName>
    <definedName name="Program_types" localSheetId="5">'[44]Fixed calculations'!$J$2:$K$40</definedName>
    <definedName name="Program_types" localSheetId="6">'[44]Fixed calculations'!$J$2:$K$40</definedName>
    <definedName name="Program_types" localSheetId="7">'[44]Fixed calculations'!$J$2:$K$40</definedName>
    <definedName name="Program_types" localSheetId="8">'[44]Fixed calculations'!$J$2:$K$40</definedName>
    <definedName name="Program_types" localSheetId="9">'[44]Fixed calculations'!$J$2:$K$40</definedName>
    <definedName name="Program_types" localSheetId="10">'[19]Fixed calculations'!$J$2:$K$40</definedName>
    <definedName name="Program_types">'[33]Fixed calculations'!$J$2:$K$40</definedName>
    <definedName name="Programs" localSheetId="4">'[44]Fixed calculations'!$J$2:$J$15</definedName>
    <definedName name="Programs" localSheetId="3">'[44]Fixed calculations'!$J$2:$J$15</definedName>
    <definedName name="Programs" localSheetId="2">'[44]Fixed calculations'!$J$2:$J$15</definedName>
    <definedName name="Programs" localSheetId="5">'[44]Fixed calculations'!$J$2:$J$15</definedName>
    <definedName name="Programs" localSheetId="6">'[44]Fixed calculations'!$J$2:$J$15</definedName>
    <definedName name="Programs" localSheetId="7">'[44]Fixed calculations'!$J$2:$J$15</definedName>
    <definedName name="Programs" localSheetId="8">'[44]Fixed calculations'!$J$2:$J$15</definedName>
    <definedName name="Programs" localSheetId="9">'[44]Fixed calculations'!$J$2:$J$15</definedName>
    <definedName name="Programs" localSheetId="10">'[19]Fixed calculations'!$J$2:$J$15</definedName>
    <definedName name="Programs">'[33]Fixed calculations'!$J$2:$J$15</definedName>
    <definedName name="project" localSheetId="4">[51]SUM14ZC1!#REF!</definedName>
    <definedName name="project" localSheetId="3">[51]SUM14ZC1!#REF!</definedName>
    <definedName name="project" localSheetId="2">[51]SUM14ZC1!#REF!</definedName>
    <definedName name="project" localSheetId="5">[51]SUM14ZC1!#REF!</definedName>
    <definedName name="project" localSheetId="6">[51]SUM14ZC1!#REF!</definedName>
    <definedName name="project" localSheetId="7">[51]SUM14ZC1!#REF!</definedName>
    <definedName name="project" localSheetId="8">[51]SUM14ZC1!#REF!</definedName>
    <definedName name="project" localSheetId="9">[51]SUM14ZC1!#REF!</definedName>
    <definedName name="project" localSheetId="10">[72]SUM14ZC1!#REF!</definedName>
    <definedName name="project">[39]SUM14ZC1!#REF!</definedName>
    <definedName name="project_list" localSheetId="4">[51]SUM14ZC1!#REF!</definedName>
    <definedName name="project_list" localSheetId="3">[51]SUM14ZC1!#REF!</definedName>
    <definedName name="project_list" localSheetId="2">[51]SUM14ZC1!#REF!</definedName>
    <definedName name="project_list" localSheetId="5">[51]SUM14ZC1!#REF!</definedName>
    <definedName name="project_list" localSheetId="6">[51]SUM14ZC1!#REF!</definedName>
    <definedName name="project_list" localSheetId="7">[51]SUM14ZC1!#REF!</definedName>
    <definedName name="project_list" localSheetId="8">[51]SUM14ZC1!#REF!</definedName>
    <definedName name="project_list" localSheetId="9">[51]SUM14ZC1!#REF!</definedName>
    <definedName name="project_list" localSheetId="10">[72]SUM14ZC1!#REF!</definedName>
    <definedName name="project_list">[39]SUM14ZC1!#REF!</definedName>
    <definedName name="project_list1">[58]SUM14ZC1!#REF!</definedName>
    <definedName name="Projekt" localSheetId="4">#REF!</definedName>
    <definedName name="Projekt" localSheetId="3">#REF!</definedName>
    <definedName name="Projekt" localSheetId="2">#REF!</definedName>
    <definedName name="Projekt" localSheetId="5">#REF!</definedName>
    <definedName name="Projekt" localSheetId="6">#REF!</definedName>
    <definedName name="Projekt" localSheetId="7">#REF!</definedName>
    <definedName name="Projekt" localSheetId="8">#REF!</definedName>
    <definedName name="Projekt" localSheetId="9">#REF!</definedName>
    <definedName name="Projekt" localSheetId="10">#REF!</definedName>
    <definedName name="Projekt" localSheetId="11">#REF!</definedName>
    <definedName name="Projekt">#REF!</definedName>
    <definedName name="PrSchr1">[51]数据输入!$C$30</definedName>
    <definedName name="PrSchr10" localSheetId="10">[49]数据输入!#REF!</definedName>
    <definedName name="PrSchr10">[57]数据输入!#REF!</definedName>
    <definedName name="PrSchr2" localSheetId="10">[49]数据输入!#REF!</definedName>
    <definedName name="PrSchr2">[57]数据输入!#REF!</definedName>
    <definedName name="PrSchr3" localSheetId="10">[49]数据输入!#REF!</definedName>
    <definedName name="PrSchr3">[57]数据输入!#REF!</definedName>
    <definedName name="PrSchr4" localSheetId="10">[49]数据输入!#REF!</definedName>
    <definedName name="PrSchr4">[57]数据输入!#REF!</definedName>
    <definedName name="PrSchr5">[51]数据输入!$C$31</definedName>
    <definedName name="PrSchr7" localSheetId="10">[49]数据输入!#REF!</definedName>
    <definedName name="PrSchr7">[57]数据输入!#REF!</definedName>
    <definedName name="PrSchr8" localSheetId="10">[49]数据输入!#REF!</definedName>
    <definedName name="PrSchr8">[57]数据输入!#REF!</definedName>
    <definedName name="PrSchr9" localSheetId="10">[49]数据输入!#REF!</definedName>
    <definedName name="PrSchr9">[57]数据输入!#REF!</definedName>
    <definedName name="PrSchrNr2" localSheetId="10">[49]数据输入!#REF!</definedName>
    <definedName name="PrSchrNr2">[57]数据输入!#REF!</definedName>
    <definedName name="PrSchrNr3" localSheetId="10">[49]数据输入!#REF!</definedName>
    <definedName name="PrSchrNr3">[57]数据输入!#REF!</definedName>
    <definedName name="PrSchrNr4" localSheetId="10">[49]数据输入!#REF!</definedName>
    <definedName name="PrSchrNr4">[57]数据输入!#REF!</definedName>
    <definedName name="PRSCHRNR5" localSheetId="10">[49]数据输入!#REF!</definedName>
    <definedName name="PRSCHRNR5">[57]数据输入!#REF!</definedName>
    <definedName name="PrSchrNr6" localSheetId="10">[49]数据输入!#REF!</definedName>
    <definedName name="PrSchrNr6">[57]数据输入!#REF!</definedName>
    <definedName name="PrSchrNr7" localSheetId="10">[49]数据输入!#REF!</definedName>
    <definedName name="PrSchrNr7">[57]数据输入!#REF!</definedName>
    <definedName name="PrSchrNr8" localSheetId="10">[49]数据输入!#REF!</definedName>
    <definedName name="PrSchrNr8">[57]数据输入!#REF!</definedName>
    <definedName name="PrSchrNr9" localSheetId="10">[49]数据输入!#REF!</definedName>
    <definedName name="PrSchrNr9">[57]数据输入!#REF!</definedName>
    <definedName name="PtichDTL">#N/A</definedName>
    <definedName name="pull" localSheetId="4">#REF!</definedName>
    <definedName name="pull" localSheetId="3">#REF!</definedName>
    <definedName name="pull" localSheetId="2">#REF!</definedName>
    <definedName name="pull" localSheetId="5">#REF!</definedName>
    <definedName name="pull" localSheetId="6">#REF!</definedName>
    <definedName name="pull" localSheetId="7">#REF!</definedName>
    <definedName name="pull" localSheetId="8">#REF!</definedName>
    <definedName name="pull" localSheetId="9">#REF!</definedName>
    <definedName name="pull" localSheetId="10">#REF!</definedName>
    <definedName name="pull" localSheetId="11">#REF!</definedName>
    <definedName name="pull">#REF!</definedName>
    <definedName name="PurpleClean" localSheetId="4">#REF!</definedName>
    <definedName name="PurpleClean" localSheetId="3">#REF!</definedName>
    <definedName name="PurpleClean" localSheetId="2">#REF!</definedName>
    <definedName name="PurpleClean" localSheetId="5">#REF!</definedName>
    <definedName name="PurpleClean" localSheetId="6">#REF!</definedName>
    <definedName name="PurpleClean" localSheetId="7">#REF!</definedName>
    <definedName name="PurpleClean" localSheetId="8">#REF!</definedName>
    <definedName name="PurpleClean" localSheetId="9">#REF!</definedName>
    <definedName name="PurpleClean" localSheetId="10">#REF!</definedName>
    <definedName name="PurpleClean" localSheetId="11">#REF!</definedName>
    <definedName name="PurpleClean">#REF!</definedName>
    <definedName name="PV" localSheetId="4">#REF!</definedName>
    <definedName name="PV" localSheetId="3">#REF!</definedName>
    <definedName name="PV" localSheetId="2">#REF!</definedName>
    <definedName name="PV" localSheetId="5">#REF!</definedName>
    <definedName name="PV" localSheetId="6">#REF!</definedName>
    <definedName name="PV" localSheetId="7">#REF!</definedName>
    <definedName name="PV" localSheetId="8">#REF!</definedName>
    <definedName name="PV" localSheetId="9">#REF!</definedName>
    <definedName name="PV" localSheetId="10">#REF!</definedName>
    <definedName name="PV" localSheetId="11">#REF!</definedName>
    <definedName name="PV">#REF!</definedName>
    <definedName name="q" localSheetId="4">#REF!</definedName>
    <definedName name="q" localSheetId="3">#REF!</definedName>
    <definedName name="q" localSheetId="2">#REF!</definedName>
    <definedName name="q" localSheetId="5">#REF!</definedName>
    <definedName name="q" localSheetId="6">#REF!</definedName>
    <definedName name="q" localSheetId="7">#REF!</definedName>
    <definedName name="q" localSheetId="8">#REF!</definedName>
    <definedName name="q" localSheetId="9">#REF!</definedName>
    <definedName name="q" localSheetId="10">#REF!</definedName>
    <definedName name="q" localSheetId="11">#REF!</definedName>
    <definedName name="q">#REF!</definedName>
    <definedName name="Q1_Rev_GM" localSheetId="4">#REF!</definedName>
    <definedName name="Q1_Rev_GM" localSheetId="3">#REF!</definedName>
    <definedName name="Q1_Rev_GM" localSheetId="2">#REF!</definedName>
    <definedName name="Q1_Rev_GM" localSheetId="5">#REF!</definedName>
    <definedName name="Q1_Rev_GM" localSheetId="6">#REF!</definedName>
    <definedName name="Q1_Rev_GM" localSheetId="7">#REF!</definedName>
    <definedName name="Q1_Rev_GM" localSheetId="8">#REF!</definedName>
    <definedName name="Q1_Rev_GM" localSheetId="9">#REF!</definedName>
    <definedName name="Q1_Rev_GM" localSheetId="10">#REF!</definedName>
    <definedName name="Q1_Rev_GM" localSheetId="11">#REF!</definedName>
    <definedName name="Q1_Rev_GM">#REF!</definedName>
    <definedName name="Q2_Rev_GM" localSheetId="4">#REF!</definedName>
    <definedName name="Q2_Rev_GM" localSheetId="3">#REF!</definedName>
    <definedName name="Q2_Rev_GM" localSheetId="2">#REF!</definedName>
    <definedName name="Q2_Rev_GM" localSheetId="5">#REF!</definedName>
    <definedName name="Q2_Rev_GM" localSheetId="6">#REF!</definedName>
    <definedName name="Q2_Rev_GM" localSheetId="7">#REF!</definedName>
    <definedName name="Q2_Rev_GM" localSheetId="8">#REF!</definedName>
    <definedName name="Q2_Rev_GM" localSheetId="9">#REF!</definedName>
    <definedName name="Q2_Rev_GM" localSheetId="10">#REF!</definedName>
    <definedName name="Q2_Rev_GM" localSheetId="11">#REF!</definedName>
    <definedName name="Q2_Rev_GM">#REF!</definedName>
    <definedName name="Q3BEGIN" localSheetId="4">#REF!</definedName>
    <definedName name="Q3BEGIN" localSheetId="3">#REF!</definedName>
    <definedName name="Q3BEGIN" localSheetId="2">#REF!</definedName>
    <definedName name="Q3BEGIN" localSheetId="5">#REF!</definedName>
    <definedName name="Q3BEGIN" localSheetId="6">#REF!</definedName>
    <definedName name="Q3BEGIN" localSheetId="7">#REF!</definedName>
    <definedName name="Q3BEGIN" localSheetId="8">#REF!</definedName>
    <definedName name="Q3BEGIN" localSheetId="9">#REF!</definedName>
    <definedName name="Q3BEGIN" localSheetId="10">#REF!</definedName>
    <definedName name="Q3BEGIN" localSheetId="11">#REF!</definedName>
    <definedName name="Q3BEGIN">#REF!</definedName>
    <definedName name="Q3R" localSheetId="4">#REF!</definedName>
    <definedName name="Q3R" localSheetId="3">#REF!</definedName>
    <definedName name="Q3R" localSheetId="2">#REF!</definedName>
    <definedName name="Q3R" localSheetId="5">#REF!</definedName>
    <definedName name="Q3R" localSheetId="6">#REF!</definedName>
    <definedName name="Q3R" localSheetId="7">#REF!</definedName>
    <definedName name="Q3R" localSheetId="8">#REF!</definedName>
    <definedName name="Q3R" localSheetId="9">#REF!</definedName>
    <definedName name="Q3R" localSheetId="10">#REF!</definedName>
    <definedName name="Q3R" localSheetId="11">#REF!</definedName>
    <definedName name="Q3R">#REF!</definedName>
    <definedName name="Q4BEG" localSheetId="4">#REF!</definedName>
    <definedName name="Q4BEG" localSheetId="3">#REF!</definedName>
    <definedName name="Q4BEG" localSheetId="2">#REF!</definedName>
    <definedName name="Q4BEG" localSheetId="5">#REF!</definedName>
    <definedName name="Q4BEG" localSheetId="6">#REF!</definedName>
    <definedName name="Q4BEG" localSheetId="7">#REF!</definedName>
    <definedName name="Q4BEG" localSheetId="8">#REF!</definedName>
    <definedName name="Q4BEG" localSheetId="9">#REF!</definedName>
    <definedName name="Q4BEG" localSheetId="10">#REF!</definedName>
    <definedName name="Q4BEG" localSheetId="11">#REF!</definedName>
    <definedName name="Q4BEG">#REF!</definedName>
    <definedName name="Q4R" localSheetId="4">#REF!</definedName>
    <definedName name="Q4R" localSheetId="3">#REF!</definedName>
    <definedName name="Q4R" localSheetId="2">#REF!</definedName>
    <definedName name="Q4R" localSheetId="5">#REF!</definedName>
    <definedName name="Q4R" localSheetId="6">#REF!</definedName>
    <definedName name="Q4R" localSheetId="7">#REF!</definedName>
    <definedName name="Q4R" localSheetId="8">#REF!</definedName>
    <definedName name="Q4R" localSheetId="9">#REF!</definedName>
    <definedName name="Q4R" localSheetId="10">#REF!</definedName>
    <definedName name="Q4R" localSheetId="11">#REF!</definedName>
    <definedName name="Q4R">#REF!</definedName>
    <definedName name="QC" localSheetId="4">#REF!</definedName>
    <definedName name="QC" localSheetId="3">#REF!</definedName>
    <definedName name="QC" localSheetId="2">#REF!</definedName>
    <definedName name="QC" localSheetId="5">#REF!</definedName>
    <definedName name="QC" localSheetId="6">#REF!</definedName>
    <definedName name="QC" localSheetId="7">#REF!</definedName>
    <definedName name="QC" localSheetId="8">#REF!</definedName>
    <definedName name="QC" localSheetId="9">#REF!</definedName>
    <definedName name="QC" localSheetId="10">#REF!</definedName>
    <definedName name="QC" localSheetId="11">#REF!</definedName>
    <definedName name="QC">#REF!</definedName>
    <definedName name="qq" localSheetId="4">#REF!</definedName>
    <definedName name="qq" localSheetId="3">#REF!</definedName>
    <definedName name="qq" localSheetId="2">#REF!</definedName>
    <definedName name="qq" localSheetId="5">#REF!</definedName>
    <definedName name="qq" localSheetId="6">#REF!</definedName>
    <definedName name="qq" localSheetId="7">#REF!</definedName>
    <definedName name="qq" localSheetId="8">#REF!</definedName>
    <definedName name="qq" localSheetId="9">#REF!</definedName>
    <definedName name="qq" localSheetId="10">#REF!</definedName>
    <definedName name="qq" localSheetId="11">#REF!</definedName>
    <definedName name="qq">#REF!</definedName>
    <definedName name="qqq" localSheetId="4">#REF!</definedName>
    <definedName name="qqq" localSheetId="3">#REF!</definedName>
    <definedName name="qqq" localSheetId="2">#REF!</definedName>
    <definedName name="qqq" localSheetId="5">#REF!</definedName>
    <definedName name="qqq" localSheetId="6">#REF!</definedName>
    <definedName name="qqq" localSheetId="7">#REF!</definedName>
    <definedName name="qqq" localSheetId="8">#REF!</definedName>
    <definedName name="qqq" localSheetId="9">#REF!</definedName>
    <definedName name="qqq" localSheetId="10">#REF!</definedName>
    <definedName name="qqq" localSheetId="11">#REF!</definedName>
    <definedName name="qqq">#REF!</definedName>
    <definedName name="QQQQQ" localSheetId="4">#REF!</definedName>
    <definedName name="QQQQQ" localSheetId="3">#REF!</definedName>
    <definedName name="QQQQQ" localSheetId="2">#REF!</definedName>
    <definedName name="QQQQQ" localSheetId="5">#REF!</definedName>
    <definedName name="QQQQQ" localSheetId="6">#REF!</definedName>
    <definedName name="QQQQQ" localSheetId="7">#REF!</definedName>
    <definedName name="QQQQQ" localSheetId="8">#REF!</definedName>
    <definedName name="QQQQQ" localSheetId="9">#REF!</definedName>
    <definedName name="QQQQQ" localSheetId="10">#REF!</definedName>
    <definedName name="QQQQQ" localSheetId="11">#REF!</definedName>
    <definedName name="QQQQQ">#REF!</definedName>
    <definedName name="QSD" localSheetId="4">#REF!</definedName>
    <definedName name="QSD" localSheetId="3">#REF!</definedName>
    <definedName name="QSD" localSheetId="2">#REF!</definedName>
    <definedName name="QSD" localSheetId="5">#REF!</definedName>
    <definedName name="QSD" localSheetId="6">#REF!</definedName>
    <definedName name="QSD" localSheetId="7">#REF!</definedName>
    <definedName name="QSD" localSheetId="8">#REF!</definedName>
    <definedName name="QSD" localSheetId="9">#REF!</definedName>
    <definedName name="QSD" localSheetId="10">#REF!</definedName>
    <definedName name="QSD" localSheetId="11">#REF!</definedName>
    <definedName name="QSD">#REF!</definedName>
    <definedName name="qtd" localSheetId="4">#REF!</definedName>
    <definedName name="qtd" localSheetId="3">#REF!</definedName>
    <definedName name="qtd" localSheetId="2">#REF!</definedName>
    <definedName name="qtd" localSheetId="5">#REF!</definedName>
    <definedName name="qtd" localSheetId="6">#REF!</definedName>
    <definedName name="qtd" localSheetId="7">#REF!</definedName>
    <definedName name="qtd" localSheetId="8">#REF!</definedName>
    <definedName name="qtd" localSheetId="9">#REF!</definedName>
    <definedName name="qtd" localSheetId="10">#REF!</definedName>
    <definedName name="qtd" localSheetId="11">#REF!</definedName>
    <definedName name="qtd">#REF!</definedName>
    <definedName name="qtd_col_match" localSheetId="4">#REF!</definedName>
    <definedName name="qtd_col_match" localSheetId="3">#REF!</definedName>
    <definedName name="qtd_col_match" localSheetId="2">#REF!</definedName>
    <definedName name="qtd_col_match" localSheetId="5">#REF!</definedName>
    <definedName name="qtd_col_match" localSheetId="6">#REF!</definedName>
    <definedName name="qtd_col_match" localSheetId="7">#REF!</definedName>
    <definedName name="qtd_col_match" localSheetId="8">#REF!</definedName>
    <definedName name="qtd_col_match" localSheetId="9">#REF!</definedName>
    <definedName name="qtd_col_match" localSheetId="10">#REF!</definedName>
    <definedName name="qtd_col_match" localSheetId="11">#REF!</definedName>
    <definedName name="qtd_col_match">#REF!</definedName>
    <definedName name="qtd_row_match" localSheetId="4">#REF!</definedName>
    <definedName name="qtd_row_match" localSheetId="3">#REF!</definedName>
    <definedName name="qtd_row_match" localSheetId="2">#REF!</definedName>
    <definedName name="qtd_row_match" localSheetId="5">#REF!</definedName>
    <definedName name="qtd_row_match" localSheetId="6">#REF!</definedName>
    <definedName name="qtd_row_match" localSheetId="7">#REF!</definedName>
    <definedName name="qtd_row_match" localSheetId="8">#REF!</definedName>
    <definedName name="qtd_row_match" localSheetId="9">#REF!</definedName>
    <definedName name="qtd_row_match" localSheetId="10">#REF!</definedName>
    <definedName name="qtd_row_match" localSheetId="11">#REF!</definedName>
    <definedName name="qtd_row_match">#REF!</definedName>
    <definedName name="QTRPercent" localSheetId="8">[54]FP!$E$50</definedName>
    <definedName name="QTRPercent" localSheetId="9">[54]FP!$E$50</definedName>
    <definedName name="QTRPercent" localSheetId="10">[90]FP!$E$50</definedName>
    <definedName name="QTRPercent">[42]FP!$E$50</definedName>
    <definedName name="QTY_RSV">150</definedName>
    <definedName name="QTYB_RTN">1.2</definedName>
    <definedName name="QTYMBC">150</definedName>
    <definedName name="Quantities" localSheetId="4">[71]Optimize!$BF$16:$BI$54</definedName>
    <definedName name="Quantities" localSheetId="3">[71]Optimize!$BF$16:$BI$54</definedName>
    <definedName name="Quantities" localSheetId="2">[71]Optimize!$BF$16:$BI$54</definedName>
    <definedName name="Quantities" localSheetId="5">[71]Optimize!$BF$16:$BI$54</definedName>
    <definedName name="Quantities" localSheetId="6">[71]Optimize!$BF$16:$BI$54</definedName>
    <definedName name="Quantities" localSheetId="7">[71]Optimize!$BF$16:$BI$54</definedName>
    <definedName name="Quantities" localSheetId="8">[71]Optimize!$BF$16:$BI$54</definedName>
    <definedName name="Quantities" localSheetId="9">[71]Optimize!$BF$16:$BI$54</definedName>
    <definedName name="Quantities" localSheetId="10">[10]Optimize!$BF$16:$BI$54</definedName>
    <definedName name="Quantities">[18]Optimize!$BF$16:$BI$54</definedName>
    <definedName name="quarter_number" localSheetId="4">'[44]Fixed calculations'!$G$2:$H$13</definedName>
    <definedName name="quarter_number" localSheetId="3">'[44]Fixed calculations'!$G$2:$H$13</definedName>
    <definedName name="quarter_number" localSheetId="2">'[44]Fixed calculations'!$G$2:$H$13</definedName>
    <definedName name="quarter_number" localSheetId="5">'[44]Fixed calculations'!$G$2:$H$13</definedName>
    <definedName name="quarter_number" localSheetId="6">'[44]Fixed calculations'!$G$2:$H$13</definedName>
    <definedName name="quarter_number" localSheetId="7">'[44]Fixed calculations'!$G$2:$H$13</definedName>
    <definedName name="quarter_number" localSheetId="8">'[44]Fixed calculations'!$G$2:$H$13</definedName>
    <definedName name="quarter_number" localSheetId="9">'[44]Fixed calculations'!$G$2:$H$13</definedName>
    <definedName name="quarter_number" localSheetId="10">'[19]Fixed calculations'!$G$2:$H$13</definedName>
    <definedName name="quarter_number">'[33]Fixed calculations'!$G$2:$H$13</definedName>
    <definedName name="quarters_months" localSheetId="4">'[44]Fixed calculations'!$D$2:$E$5</definedName>
    <definedName name="quarters_months" localSheetId="3">'[44]Fixed calculations'!$D$2:$E$5</definedName>
    <definedName name="quarters_months" localSheetId="2">'[44]Fixed calculations'!$D$2:$E$5</definedName>
    <definedName name="quarters_months" localSheetId="5">'[44]Fixed calculations'!$D$2:$E$5</definedName>
    <definedName name="quarters_months" localSheetId="6">'[44]Fixed calculations'!$D$2:$E$5</definedName>
    <definedName name="quarters_months" localSheetId="7">'[44]Fixed calculations'!$D$2:$E$5</definedName>
    <definedName name="quarters_months" localSheetId="8">'[44]Fixed calculations'!$D$2:$E$5</definedName>
    <definedName name="quarters_months" localSheetId="9">'[44]Fixed calculations'!$D$2:$E$5</definedName>
    <definedName name="quarters_months" localSheetId="10">'[19]Fixed calculations'!$D$2:$E$5</definedName>
    <definedName name="quarters_months">'[33]Fixed calculations'!$D$2:$E$5</definedName>
    <definedName name="queso" localSheetId="4" hidden="1">{#N/A,#N/A,TRUE,"Distribution";#N/A,#N/A,TRUE,"Fulfillment";#N/A,#N/A,TRUE,"Aged Backorders"}</definedName>
    <definedName name="queso" localSheetId="3" hidden="1">{#N/A,#N/A,TRUE,"Distribution";#N/A,#N/A,TRUE,"Fulfillment";#N/A,#N/A,TRUE,"Aged Backorders"}</definedName>
    <definedName name="queso" localSheetId="2" hidden="1">{#N/A,#N/A,TRUE,"Distribution";#N/A,#N/A,TRUE,"Fulfillment";#N/A,#N/A,TRUE,"Aged Backorders"}</definedName>
    <definedName name="queso" localSheetId="8" hidden="1">{#N/A,#N/A,TRUE,"Distribution";#N/A,#N/A,TRUE,"Fulfillment";#N/A,#N/A,TRUE,"Aged Backorders"}</definedName>
    <definedName name="queso" localSheetId="9" hidden="1">{#N/A,#N/A,TRUE,"Distribution";#N/A,#N/A,TRUE,"Fulfillment";#N/A,#N/A,TRUE,"Aged Backorders"}</definedName>
    <definedName name="queso" localSheetId="10" hidden="1">{#N/A,#N/A,TRUE,"Distribution";#N/A,#N/A,TRUE,"Fulfillment";#N/A,#N/A,TRUE,"Aged Backorders"}</definedName>
    <definedName name="queso" hidden="1">{#N/A,#N/A,TRUE,"Distribution";#N/A,#N/A,TRUE,"Fulfillment";#N/A,#N/A,TRUE,"Aged Backorders"}</definedName>
    <definedName name="QUOTE" localSheetId="4">#REF!</definedName>
    <definedName name="QUOTE" localSheetId="3">#REF!</definedName>
    <definedName name="QUOTE" localSheetId="2">#REF!</definedName>
    <definedName name="QUOTE" localSheetId="5">#REF!</definedName>
    <definedName name="QUOTE" localSheetId="6">#REF!</definedName>
    <definedName name="QUOTE" localSheetId="7">#REF!</definedName>
    <definedName name="QUOTE" localSheetId="8">#REF!</definedName>
    <definedName name="QUOTE" localSheetId="9">#REF!</definedName>
    <definedName name="QUOTE" localSheetId="10">#REF!</definedName>
    <definedName name="QUOTE" localSheetId="11">#REF!</definedName>
    <definedName name="QUOTE">#REF!</definedName>
    <definedName name="QW" localSheetId="4">#REF!</definedName>
    <definedName name="QW" localSheetId="3">#REF!</definedName>
    <definedName name="QW" localSheetId="2">#REF!</definedName>
    <definedName name="QW" localSheetId="5">#REF!</definedName>
    <definedName name="QW" localSheetId="6">#REF!</definedName>
    <definedName name="QW" localSheetId="7">#REF!</definedName>
    <definedName name="QW" localSheetId="8">#REF!</definedName>
    <definedName name="QW" localSheetId="9">#REF!</definedName>
    <definedName name="QW" localSheetId="10">#REF!</definedName>
    <definedName name="QW" localSheetId="11">#REF!</definedName>
    <definedName name="QW">#REF!</definedName>
    <definedName name="QWall1" localSheetId="4">#REF!</definedName>
    <definedName name="QWall1" localSheetId="3">#REF!</definedName>
    <definedName name="QWall1" localSheetId="2">#REF!</definedName>
    <definedName name="QWall1" localSheetId="5">#REF!</definedName>
    <definedName name="QWall1" localSheetId="6">#REF!</definedName>
    <definedName name="QWall1" localSheetId="7">#REF!</definedName>
    <definedName name="QWall1" localSheetId="8">#REF!</definedName>
    <definedName name="QWall1" localSheetId="9">#REF!</definedName>
    <definedName name="QWall1" localSheetId="10">#REF!</definedName>
    <definedName name="QWall1" localSheetId="11">#REF!</definedName>
    <definedName name="QWall1">#REF!</definedName>
    <definedName name="Qwall2" localSheetId="4">#REF!</definedName>
    <definedName name="Qwall2" localSheetId="3">#REF!</definedName>
    <definedName name="Qwall2" localSheetId="2">#REF!</definedName>
    <definedName name="Qwall2" localSheetId="5">#REF!</definedName>
    <definedName name="Qwall2" localSheetId="6">#REF!</definedName>
    <definedName name="Qwall2" localSheetId="7">#REF!</definedName>
    <definedName name="Qwall2" localSheetId="8">#REF!</definedName>
    <definedName name="Qwall2" localSheetId="9">#REF!</definedName>
    <definedName name="Qwall2" localSheetId="10">#REF!</definedName>
    <definedName name="Qwall2" localSheetId="11">#REF!</definedName>
    <definedName name="Qwall2">#REF!</definedName>
    <definedName name="QWERTDFSFDS" localSheetId="10">[49]数据输入!#REF!</definedName>
    <definedName name="QWERTDFSFDS">[57]数据输入!#REF!</definedName>
    <definedName name="qwewrgfdhgfkhjljkl" localSheetId="4">#REF!</definedName>
    <definedName name="qwewrgfdhgfkhjljkl" localSheetId="3">#REF!</definedName>
    <definedName name="qwewrgfdhgfkhjljkl" localSheetId="2">#REF!</definedName>
    <definedName name="qwewrgfdhgfkhjljkl" localSheetId="5">#REF!</definedName>
    <definedName name="qwewrgfdhgfkhjljkl" localSheetId="6">#REF!</definedName>
    <definedName name="qwewrgfdhgfkhjljkl" localSheetId="7">#REF!</definedName>
    <definedName name="qwewrgfdhgfkhjljkl" localSheetId="8">#REF!</definedName>
    <definedName name="qwewrgfdhgfkhjljkl" localSheetId="9">#REF!</definedName>
    <definedName name="qwewrgfdhgfkhjljkl" localSheetId="10">#REF!</definedName>
    <definedName name="qwewrgfdhgfkhjljkl" localSheetId="11">#REF!</definedName>
    <definedName name="qwewrgfdhgfkhjljkl">#REF!</definedName>
    <definedName name="R_2" localSheetId="4">#REF!</definedName>
    <definedName name="R_2" localSheetId="3">#REF!</definedName>
    <definedName name="R_2" localSheetId="2">#REF!</definedName>
    <definedName name="R_2" localSheetId="5">#REF!</definedName>
    <definedName name="R_2" localSheetId="6">#REF!</definedName>
    <definedName name="R_2" localSheetId="7">#REF!</definedName>
    <definedName name="R_2" localSheetId="8">#REF!</definedName>
    <definedName name="R_2" localSheetId="9">#REF!</definedName>
    <definedName name="R_2" localSheetId="10">#REF!</definedName>
    <definedName name="R_2" localSheetId="11">#REF!</definedName>
    <definedName name="R_2">#REF!</definedName>
    <definedName name="R_bar" localSheetId="4">#REF!</definedName>
    <definedName name="R_bar" localSheetId="3">#REF!</definedName>
    <definedName name="R_bar" localSheetId="2">#REF!</definedName>
    <definedName name="R_bar" localSheetId="5">#REF!</definedName>
    <definedName name="R_bar" localSheetId="6">#REF!</definedName>
    <definedName name="R_bar" localSheetId="7">#REF!</definedName>
    <definedName name="R_bar" localSheetId="8">#REF!</definedName>
    <definedName name="R_bar" localSheetId="9">#REF!</definedName>
    <definedName name="R_bar" localSheetId="10">#REF!</definedName>
    <definedName name="R_bar" localSheetId="11">#REF!</definedName>
    <definedName name="R_bar">#REF!</definedName>
    <definedName name="R_R" localSheetId="4">#REF!</definedName>
    <definedName name="R_R" localSheetId="3">#REF!</definedName>
    <definedName name="R_R" localSheetId="2">#REF!</definedName>
    <definedName name="R_R" localSheetId="5">#REF!</definedName>
    <definedName name="R_R" localSheetId="6">#REF!</definedName>
    <definedName name="R_R" localSheetId="7">#REF!</definedName>
    <definedName name="R_R" localSheetId="8">#REF!</definedName>
    <definedName name="R_R" localSheetId="9">#REF!</definedName>
    <definedName name="R_R" localSheetId="10">#REF!</definedName>
    <definedName name="R_R" localSheetId="11">#REF!</definedName>
    <definedName name="R_R">#REF!</definedName>
    <definedName name="RAC" localSheetId="4">#REF!</definedName>
    <definedName name="RAC" localSheetId="3">#REF!</definedName>
    <definedName name="RAC" localSheetId="2">#REF!</definedName>
    <definedName name="RAC" localSheetId="5">#REF!</definedName>
    <definedName name="RAC" localSheetId="6">#REF!</definedName>
    <definedName name="RAC" localSheetId="7">#REF!</definedName>
    <definedName name="RAC" localSheetId="8">#REF!</definedName>
    <definedName name="RAC" localSheetId="9">#REF!</definedName>
    <definedName name="RAC" localSheetId="10">#REF!</definedName>
    <definedName name="RAC" localSheetId="11">#REF!</definedName>
    <definedName name="RAC">#REF!</definedName>
    <definedName name="rail" localSheetId="4">#REF!</definedName>
    <definedName name="rail" localSheetId="3">#REF!</definedName>
    <definedName name="rail" localSheetId="2">#REF!</definedName>
    <definedName name="rail" localSheetId="5">#REF!</definedName>
    <definedName name="rail" localSheetId="6">#REF!</definedName>
    <definedName name="rail" localSheetId="7">#REF!</definedName>
    <definedName name="rail" localSheetId="8">#REF!</definedName>
    <definedName name="rail" localSheetId="9">#REF!</definedName>
    <definedName name="rail" localSheetId="10">#REF!</definedName>
    <definedName name="rail" localSheetId="11">#REF!</definedName>
    <definedName name="rail">#REF!</definedName>
    <definedName name="Range">[57]Histogram!$B$7</definedName>
    <definedName name="rate">14000</definedName>
    <definedName name="RbarA" localSheetId="4">#REF!</definedName>
    <definedName name="RbarA" localSheetId="3">#REF!</definedName>
    <definedName name="RbarA" localSheetId="2">#REF!</definedName>
    <definedName name="RbarA" localSheetId="5">#REF!</definedName>
    <definedName name="RbarA" localSheetId="6">#REF!</definedName>
    <definedName name="RbarA" localSheetId="7">#REF!</definedName>
    <definedName name="RbarA" localSheetId="8">#REF!</definedName>
    <definedName name="RbarA" localSheetId="9">#REF!</definedName>
    <definedName name="RbarA" localSheetId="10">#REF!</definedName>
    <definedName name="RbarA" localSheetId="11">#REF!</definedName>
    <definedName name="RbarA">#REF!</definedName>
    <definedName name="RbarB" localSheetId="4">#REF!</definedName>
    <definedName name="RbarB" localSheetId="3">#REF!</definedName>
    <definedName name="RbarB" localSheetId="2">#REF!</definedName>
    <definedName name="RbarB" localSheetId="5">#REF!</definedName>
    <definedName name="RbarB" localSheetId="6">#REF!</definedName>
    <definedName name="RbarB" localSheetId="7">#REF!</definedName>
    <definedName name="RbarB" localSheetId="8">#REF!</definedName>
    <definedName name="RbarB" localSheetId="9">#REF!</definedName>
    <definedName name="RbarB" localSheetId="10">#REF!</definedName>
    <definedName name="RbarB" localSheetId="11">#REF!</definedName>
    <definedName name="RbarB">#REF!</definedName>
    <definedName name="Rbarbar" localSheetId="4">#REF!</definedName>
    <definedName name="Rbarbar" localSheetId="3">#REF!</definedName>
    <definedName name="Rbarbar" localSheetId="2">#REF!</definedName>
    <definedName name="Rbarbar" localSheetId="5">#REF!</definedName>
    <definedName name="Rbarbar" localSheetId="6">#REF!</definedName>
    <definedName name="Rbarbar" localSheetId="7">#REF!</definedName>
    <definedName name="Rbarbar" localSheetId="8">#REF!</definedName>
    <definedName name="Rbarbar" localSheetId="9">#REF!</definedName>
    <definedName name="Rbarbar" localSheetId="10">#REF!</definedName>
    <definedName name="Rbarbar" localSheetId="11">#REF!</definedName>
    <definedName name="Rbarbar">#REF!</definedName>
    <definedName name="RbarC" localSheetId="4">#REF!</definedName>
    <definedName name="RbarC" localSheetId="3">#REF!</definedName>
    <definedName name="RbarC" localSheetId="2">#REF!</definedName>
    <definedName name="RbarC" localSheetId="5">#REF!</definedName>
    <definedName name="RbarC" localSheetId="6">#REF!</definedName>
    <definedName name="RbarC" localSheetId="7">#REF!</definedName>
    <definedName name="RbarC" localSheetId="8">#REF!</definedName>
    <definedName name="RbarC" localSheetId="9">#REF!</definedName>
    <definedName name="RbarC" localSheetId="10">#REF!</definedName>
    <definedName name="RbarC" localSheetId="11">#REF!</definedName>
    <definedName name="RbarC">#REF!</definedName>
    <definedName name="Rbars" localSheetId="4">#REF!</definedName>
    <definedName name="Rbars" localSheetId="3">#REF!</definedName>
    <definedName name="Rbars" localSheetId="2">#REF!</definedName>
    <definedName name="Rbars" localSheetId="5">#REF!</definedName>
    <definedName name="Rbars" localSheetId="6">#REF!</definedName>
    <definedName name="Rbars" localSheetId="7">#REF!</definedName>
    <definedName name="Rbars" localSheetId="8">#REF!</definedName>
    <definedName name="Rbars" localSheetId="9">#REF!</definedName>
    <definedName name="Rbars" localSheetId="10">#REF!</definedName>
    <definedName name="Rbars" localSheetId="11">#REF!</definedName>
    <definedName name="Rbars">#REF!</definedName>
    <definedName name="re" localSheetId="4" hidden="1">{"'打点割り振り (2)'!$A$1:$G$35"}</definedName>
    <definedName name="re" localSheetId="3" hidden="1">{"'打点割り振り (2)'!$A$1:$G$35"}</definedName>
    <definedName name="re" localSheetId="2" hidden="1">{"'打点割り振り (2)'!$A$1:$G$35"}</definedName>
    <definedName name="re" localSheetId="8" hidden="1">{"'打点割り振り (2)'!$A$1:$G$35"}</definedName>
    <definedName name="re" localSheetId="9" hidden="1">{"'打点割り振り (2)'!$A$1:$G$35"}</definedName>
    <definedName name="re" localSheetId="10" hidden="1">{"'打点割り振り (2)'!$A$1:$G$35"}</definedName>
    <definedName name="re" hidden="1">{"'打点割り振り (2)'!$A$1:$G$35"}</definedName>
    <definedName name="REASON" localSheetId="4">#REF!</definedName>
    <definedName name="REASON" localSheetId="3">#REF!</definedName>
    <definedName name="REASON" localSheetId="2">#REF!</definedName>
    <definedName name="REASON" localSheetId="5">#REF!</definedName>
    <definedName name="REASON" localSheetId="6">#REF!</definedName>
    <definedName name="REASON" localSheetId="7">#REF!</definedName>
    <definedName name="REASON" localSheetId="8">#REF!</definedName>
    <definedName name="REASON" localSheetId="9">#REF!</definedName>
    <definedName name="REASON" localSheetId="10">#REF!</definedName>
    <definedName name="REASON" localSheetId="11">#REF!</definedName>
    <definedName name="REASON">#REF!</definedName>
    <definedName name="Recon" localSheetId="8">[54]Recon!$A$1:$D$15</definedName>
    <definedName name="Recon" localSheetId="9">[54]Recon!$A$1:$D$15</definedName>
    <definedName name="Recon" localSheetId="10">[90]Recon!$A$1:$D$15</definedName>
    <definedName name="Recon">[42]Recon!$A$1:$D$15</definedName>
    <definedName name="Recorder" localSheetId="4">#REF!</definedName>
    <definedName name="Recorder" localSheetId="3">#REF!</definedName>
    <definedName name="Recorder" localSheetId="2">#REF!</definedName>
    <definedName name="Recorder">#N/A</definedName>
    <definedName name="RECOUT">#N/A</definedName>
    <definedName name="RefList" localSheetId="4">#REF!</definedName>
    <definedName name="RefList" localSheetId="3">#REF!</definedName>
    <definedName name="RefList" localSheetId="2">#REF!</definedName>
    <definedName name="RefList" localSheetId="5">#REF!</definedName>
    <definedName name="RefList" localSheetId="6">#REF!</definedName>
    <definedName name="RefList" localSheetId="7">#REF!</definedName>
    <definedName name="RefList" localSheetId="8">#REF!</definedName>
    <definedName name="RefList" localSheetId="9">#REF!</definedName>
    <definedName name="RefList" localSheetId="10">#REF!</definedName>
    <definedName name="RefList" localSheetId="11">#REF!</definedName>
    <definedName name="RefList">#REF!</definedName>
    <definedName name="refno" localSheetId="4">#REF!</definedName>
    <definedName name="refno" localSheetId="3">#REF!</definedName>
    <definedName name="refno" localSheetId="2">#REF!</definedName>
    <definedName name="refno" localSheetId="5">#REF!</definedName>
    <definedName name="refno" localSheetId="6">#REF!</definedName>
    <definedName name="refno" localSheetId="7">#REF!</definedName>
    <definedName name="refno" localSheetId="8">#REF!</definedName>
    <definedName name="refno" localSheetId="9">#REF!</definedName>
    <definedName name="refno" localSheetId="10">#REF!</definedName>
    <definedName name="refno" localSheetId="11">#REF!</definedName>
    <definedName name="refno">#REF!</definedName>
    <definedName name="RegEFROct" localSheetId="4">#REF!</definedName>
    <definedName name="RegEFROct" localSheetId="3">#REF!</definedName>
    <definedName name="RegEFROct" localSheetId="2">#REF!</definedName>
    <definedName name="RegEFROct" localSheetId="5">#REF!</definedName>
    <definedName name="RegEFROct" localSheetId="6">#REF!</definedName>
    <definedName name="RegEFROct" localSheetId="7">#REF!</definedName>
    <definedName name="RegEFROct" localSheetId="8">#REF!</definedName>
    <definedName name="RegEFROct" localSheetId="9">#REF!</definedName>
    <definedName name="RegEFROct" localSheetId="10">#REF!</definedName>
    <definedName name="RegEFROct" localSheetId="11">#REF!</definedName>
    <definedName name="RegEFROct">#REF!</definedName>
    <definedName name="RegEFRSept" localSheetId="4">#REF!</definedName>
    <definedName name="RegEFRSept" localSheetId="3">#REF!</definedName>
    <definedName name="RegEFRSept" localSheetId="2">#REF!</definedName>
    <definedName name="RegEFRSept" localSheetId="5">#REF!</definedName>
    <definedName name="RegEFRSept" localSheetId="6">#REF!</definedName>
    <definedName name="RegEFRSept" localSheetId="7">#REF!</definedName>
    <definedName name="RegEFRSept" localSheetId="8">#REF!</definedName>
    <definedName name="RegEFRSept" localSheetId="9">#REF!</definedName>
    <definedName name="RegEFRSept" localSheetId="10">#REF!</definedName>
    <definedName name="RegEFRSept" localSheetId="11">#REF!</definedName>
    <definedName name="RegEFRSept">#REF!</definedName>
    <definedName name="RegRev" localSheetId="4">#REF!</definedName>
    <definedName name="RegRev" localSheetId="3">#REF!</definedName>
    <definedName name="RegRev" localSheetId="2">#REF!</definedName>
    <definedName name="RegRev" localSheetId="5">#REF!</definedName>
    <definedName name="RegRev" localSheetId="6">#REF!</definedName>
    <definedName name="RegRev" localSheetId="7">#REF!</definedName>
    <definedName name="RegRev" localSheetId="8">#REF!</definedName>
    <definedName name="RegRev" localSheetId="9">#REF!</definedName>
    <definedName name="RegRev" localSheetId="10">#REF!</definedName>
    <definedName name="RegRev" localSheetId="11">#REF!</definedName>
    <definedName name="RegRev">#REF!</definedName>
    <definedName name="REMARK_H">""</definedName>
    <definedName name="RepData" localSheetId="4">#REF!</definedName>
    <definedName name="RepData" localSheetId="3">#REF!</definedName>
    <definedName name="RepData" localSheetId="2">#REF!</definedName>
    <definedName name="RepData" localSheetId="5">#REF!</definedName>
    <definedName name="RepData" localSheetId="6">#REF!</definedName>
    <definedName name="RepData" localSheetId="7">#REF!</definedName>
    <definedName name="RepData" localSheetId="8">#REF!</definedName>
    <definedName name="RepData" localSheetId="9">#REF!</definedName>
    <definedName name="RepData" localSheetId="10">#REF!</definedName>
    <definedName name="RepData" localSheetId="11">#REF!</definedName>
    <definedName name="RepData">#REF!</definedName>
    <definedName name="req" localSheetId="4">#REF!</definedName>
    <definedName name="req" localSheetId="3">#REF!</definedName>
    <definedName name="req" localSheetId="2">#REF!</definedName>
    <definedName name="req" localSheetId="5">#REF!</definedName>
    <definedName name="req" localSheetId="6">#REF!</definedName>
    <definedName name="req" localSheetId="7">#REF!</definedName>
    <definedName name="req" localSheetId="8">#REF!</definedName>
    <definedName name="req" localSheetId="9">#REF!</definedName>
    <definedName name="req" localSheetId="10">#REF!</definedName>
    <definedName name="req" localSheetId="11">#REF!</definedName>
    <definedName name="req">#REF!</definedName>
    <definedName name="REQUIRED_GROWTH_SLOPE" localSheetId="4">#REF!</definedName>
    <definedName name="REQUIRED_GROWTH_SLOPE" localSheetId="3">#REF!</definedName>
    <definedName name="REQUIRED_GROWTH_SLOPE" localSheetId="2">#REF!</definedName>
    <definedName name="REQUIRED_GROWTH_SLOPE" localSheetId="5">#REF!</definedName>
    <definedName name="REQUIRED_GROWTH_SLOPE" localSheetId="6">#REF!</definedName>
    <definedName name="REQUIRED_GROWTH_SLOPE" localSheetId="7">#REF!</definedName>
    <definedName name="REQUIRED_GROWTH_SLOPE" localSheetId="8">#REF!</definedName>
    <definedName name="REQUIRED_GROWTH_SLOPE" localSheetId="9">#REF!</definedName>
    <definedName name="REQUIRED_GROWTH_SLOPE" localSheetId="10">#REF!</definedName>
    <definedName name="REQUIRED_GROWTH_SLOPE" localSheetId="11">#REF!</definedName>
    <definedName name="REQUIRED_GROWTH_SLOPE">#REF!</definedName>
    <definedName name="REQWR" localSheetId="10">[41]Spec!$B$25:$F$27</definedName>
    <definedName name="REQWR">[63]Spec!$B$25:$F$27</definedName>
    <definedName name="RETRIEVAL" localSheetId="4">#REF!</definedName>
    <definedName name="RETRIEVAL" localSheetId="3">#REF!</definedName>
    <definedName name="RETRIEVAL" localSheetId="2">#REF!</definedName>
    <definedName name="RETRIEVAL" localSheetId="5">#REF!</definedName>
    <definedName name="RETRIEVAL" localSheetId="6">#REF!</definedName>
    <definedName name="RETRIEVAL" localSheetId="7">#REF!</definedName>
    <definedName name="RETRIEVAL" localSheetId="8">#REF!</definedName>
    <definedName name="RETRIEVAL" localSheetId="9">#REF!</definedName>
    <definedName name="RETRIEVAL" localSheetId="10">#REF!</definedName>
    <definedName name="RETRIEVAL" localSheetId="11">#REF!</definedName>
    <definedName name="RETRIEVAL">#REF!</definedName>
    <definedName name="RETRIEVE_REST">[56]Restate!$E$10</definedName>
    <definedName name="ReviewDate" localSheetId="4">'[46]VSAMS Summary'!$F$20</definedName>
    <definedName name="ReviewDate" localSheetId="3">'[46]VSAMS Summary'!$F$20</definedName>
    <definedName name="ReviewDate" localSheetId="2">'[46]VSAMS Summary'!$F$20</definedName>
    <definedName name="ReviewDate" localSheetId="5">'[46]VSAMS Summary'!$F$20</definedName>
    <definedName name="ReviewDate" localSheetId="6">'[46]VSAMS Summary'!$F$20</definedName>
    <definedName name="ReviewDate" localSheetId="7">'[46]VSAMS Summary'!$F$20</definedName>
    <definedName name="ReviewDate" localSheetId="8">'[46]VSAMS Summary'!$F$20</definedName>
    <definedName name="ReviewDate" localSheetId="9">'[46]VSAMS Summary'!$F$20</definedName>
    <definedName name="ReviewDate" localSheetId="10">'[88]VSAMS Summary'!$F$20</definedName>
    <definedName name="ReviewDate">'[35]VSAMS Summary'!$F$20</definedName>
    <definedName name="Reviewers">[54]Sheet1!$D$2:$D$16</definedName>
    <definedName name="rew">[45]Spec!$B$53:$F$56</definedName>
    <definedName name="RL" localSheetId="4">#REF!</definedName>
    <definedName name="RL" localSheetId="3">#REF!</definedName>
    <definedName name="RL" localSheetId="2">#REF!</definedName>
    <definedName name="RL" localSheetId="5">#REF!</definedName>
    <definedName name="RL" localSheetId="6">#REF!</definedName>
    <definedName name="RL" localSheetId="7">#REF!</definedName>
    <definedName name="RL" localSheetId="8">#REF!</definedName>
    <definedName name="RL" localSheetId="9">#REF!</definedName>
    <definedName name="RL" localSheetId="10">#REF!</definedName>
    <definedName name="RL" localSheetId="11">#REF!</definedName>
    <definedName name="RL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"*110000000000000"</definedName>
    <definedName name="RMCOptions_1">"*010000000000000"</definedName>
    <definedName name="rmcPeriod">9701</definedName>
    <definedName name="ROR_Incremental" localSheetId="4">'[44]Inc_DCRR by Yr'!$B$61</definedName>
    <definedName name="ROR_Incremental" localSheetId="3">'[44]Inc_DCRR by Yr'!$B$61</definedName>
    <definedName name="ROR_Incremental" localSheetId="2">'[44]Inc_DCRR by Yr'!$B$61</definedName>
    <definedName name="ROR_Incremental" localSheetId="5">'[44]Inc_DCRR by Yr'!$B$61</definedName>
    <definedName name="ROR_Incremental" localSheetId="6">'[44]Inc_DCRR by Yr'!$B$61</definedName>
    <definedName name="ROR_Incremental" localSheetId="7">'[44]Inc_DCRR by Yr'!$B$61</definedName>
    <definedName name="ROR_Incremental" localSheetId="8">'[44]Inc_DCRR by Yr'!$B$61</definedName>
    <definedName name="ROR_Incremental" localSheetId="9">'[44]Inc_DCRR by Yr'!$B$61</definedName>
    <definedName name="ROR_Incremental" localSheetId="10">'[19]Inc_DCRR by Yr'!$B$61</definedName>
    <definedName name="ROR_Incremental">'[33]Inc_DCRR by Yr'!$B$61</definedName>
    <definedName name="rot">"Ellipse 244"</definedName>
    <definedName name="rowIndex1" localSheetId="4">#REF!</definedName>
    <definedName name="rowIndex1" localSheetId="3">#REF!</definedName>
    <definedName name="rowIndex1" localSheetId="2">#REF!</definedName>
    <definedName name="rowIndex1" localSheetId="5">#REF!</definedName>
    <definedName name="rowIndex1" localSheetId="6">#REF!</definedName>
    <definedName name="rowIndex1" localSheetId="7">#REF!</definedName>
    <definedName name="rowIndex1" localSheetId="8">#REF!</definedName>
    <definedName name="rowIndex1" localSheetId="9">#REF!</definedName>
    <definedName name="rowIndex1" localSheetId="10">#REF!</definedName>
    <definedName name="rowIndex1" localSheetId="11">#REF!</definedName>
    <definedName name="rowIndex1">#REF!</definedName>
    <definedName name="rowIndex2" localSheetId="4">#REF!</definedName>
    <definedName name="rowIndex2" localSheetId="3">#REF!</definedName>
    <definedName name="rowIndex2" localSheetId="2">#REF!</definedName>
    <definedName name="rowIndex2" localSheetId="5">#REF!</definedName>
    <definedName name="rowIndex2" localSheetId="6">#REF!</definedName>
    <definedName name="rowIndex2" localSheetId="7">#REF!</definedName>
    <definedName name="rowIndex2" localSheetId="8">#REF!</definedName>
    <definedName name="rowIndex2" localSheetId="9">#REF!</definedName>
    <definedName name="rowIndex2" localSheetId="10">#REF!</definedName>
    <definedName name="rowIndex2" localSheetId="11">#REF!</definedName>
    <definedName name="rowIndex2">#REF!</definedName>
    <definedName name="rowIndex3" localSheetId="4">#REF!</definedName>
    <definedName name="rowIndex3" localSheetId="3">#REF!</definedName>
    <definedName name="rowIndex3" localSheetId="2">#REF!</definedName>
    <definedName name="rowIndex3" localSheetId="5">#REF!</definedName>
    <definedName name="rowIndex3" localSheetId="6">#REF!</definedName>
    <definedName name="rowIndex3" localSheetId="7">#REF!</definedName>
    <definedName name="rowIndex3" localSheetId="8">#REF!</definedName>
    <definedName name="rowIndex3" localSheetId="9">#REF!</definedName>
    <definedName name="rowIndex3" localSheetId="10">#REF!</definedName>
    <definedName name="rowIndex3" localSheetId="11">#REF!</definedName>
    <definedName name="rowIndex3">#REF!</definedName>
    <definedName name="Rp" localSheetId="4">#REF!</definedName>
    <definedName name="Rp" localSheetId="3">#REF!</definedName>
    <definedName name="Rp" localSheetId="2">#REF!</definedName>
    <definedName name="Rp" localSheetId="5">#REF!</definedName>
    <definedName name="Rp" localSheetId="6">#REF!</definedName>
    <definedName name="Rp" localSheetId="7">#REF!</definedName>
    <definedName name="Rp" localSheetId="8">#REF!</definedName>
    <definedName name="Rp" localSheetId="9">#REF!</definedName>
    <definedName name="Rp" localSheetId="10">#REF!</definedName>
    <definedName name="Rp" localSheetId="11">#REF!</definedName>
    <definedName name="Rp">#REF!</definedName>
    <definedName name="RR" localSheetId="4">#REF!</definedName>
    <definedName name="RR" localSheetId="3">#REF!</definedName>
    <definedName name="RR" localSheetId="2">#REF!</definedName>
    <definedName name="RR" localSheetId="5">#REF!</definedName>
    <definedName name="RR" localSheetId="6">#REF!</definedName>
    <definedName name="RR" localSheetId="7">#REF!</definedName>
    <definedName name="RR" localSheetId="8">#REF!</definedName>
    <definedName name="RR" localSheetId="9">#REF!</definedName>
    <definedName name="RR" localSheetId="10">#REF!</definedName>
    <definedName name="RR" localSheetId="11">#REF!</definedName>
    <definedName name="RR">#REF!</definedName>
    <definedName name="RRR" localSheetId="4">#REF!</definedName>
    <definedName name="RRR" localSheetId="3">#REF!</definedName>
    <definedName name="RRR" localSheetId="2">#REF!</definedName>
    <definedName name="RRR" localSheetId="5">#REF!</definedName>
    <definedName name="RRR" localSheetId="6">#REF!</definedName>
    <definedName name="RRR" localSheetId="7">#REF!</definedName>
    <definedName name="RRR" localSheetId="8">#REF!</definedName>
    <definedName name="RRR" localSheetId="9">#REF!</definedName>
    <definedName name="RRR" localSheetId="10">#REF!</definedName>
    <definedName name="RRR" localSheetId="11">#REF!</definedName>
    <definedName name="RRR">#REF!</definedName>
    <definedName name="rtwr5tyr" localSheetId="4" hidden="1">{#N/A,#N/A,TRUE,"Distribution";#N/A,#N/A,TRUE,"Fulfillment";#N/A,#N/A,TRUE,"Aged Backorders"}</definedName>
    <definedName name="rtwr5tyr" localSheetId="3" hidden="1">{#N/A,#N/A,TRUE,"Distribution";#N/A,#N/A,TRUE,"Fulfillment";#N/A,#N/A,TRUE,"Aged Backorders"}</definedName>
    <definedName name="rtwr5tyr" localSheetId="2" hidden="1">{#N/A,#N/A,TRUE,"Distribution";#N/A,#N/A,TRUE,"Fulfillment";#N/A,#N/A,TRUE,"Aged Backorders"}</definedName>
    <definedName name="rtwr5tyr" localSheetId="8" hidden="1">{#N/A,#N/A,TRUE,"Distribution";#N/A,#N/A,TRUE,"Fulfillment";#N/A,#N/A,TRUE,"Aged Backorders"}</definedName>
    <definedName name="rtwr5tyr" localSheetId="9" hidden="1">{#N/A,#N/A,TRUE,"Distribution";#N/A,#N/A,TRUE,"Fulfillment";#N/A,#N/A,TRUE,"Aged Backorders"}</definedName>
    <definedName name="rtwr5tyr" localSheetId="10" hidden="1">{#N/A,#N/A,TRUE,"Distribution";#N/A,#N/A,TRUE,"Fulfillment";#N/A,#N/A,TRUE,"Aged Backorders"}</definedName>
    <definedName name="rtwr5tyr" hidden="1">{#N/A,#N/A,TRUE,"Distribution";#N/A,#N/A,TRUE,"Fulfillment";#N/A,#N/A,TRUE,"Aged Backorders"}</definedName>
    <definedName name="rty" localSheetId="4">#REF!</definedName>
    <definedName name="rty" localSheetId="3">#REF!</definedName>
    <definedName name="rty" localSheetId="2">#REF!</definedName>
    <definedName name="rty" localSheetId="5">#REF!</definedName>
    <definedName name="rty" localSheetId="6">#REF!</definedName>
    <definedName name="rty" localSheetId="7">#REF!</definedName>
    <definedName name="rty" localSheetId="8">#REF!</definedName>
    <definedName name="rty" localSheetId="9">#REF!</definedName>
    <definedName name="rty" localSheetId="10">#REF!</definedName>
    <definedName name="rty" localSheetId="11">#REF!</definedName>
    <definedName name="rty">#REF!</definedName>
    <definedName name="S" localSheetId="4">#REF!</definedName>
    <definedName name="S" localSheetId="3">#REF!</definedName>
    <definedName name="S" localSheetId="2">#REF!</definedName>
    <definedName name="S" localSheetId="5">#REF!</definedName>
    <definedName name="S" localSheetId="6">#REF!</definedName>
    <definedName name="S" localSheetId="7">#REF!</definedName>
    <definedName name="S" localSheetId="8">#REF!</definedName>
    <definedName name="S" localSheetId="9">#REF!</definedName>
    <definedName name="S" localSheetId="10">#REF!</definedName>
    <definedName name="S" localSheetId="11">#REF!</definedName>
    <definedName name="S">#REF!</definedName>
    <definedName name="s_1" localSheetId="8">{"Folie 3",#N/A,FALSE,"Jahresumsätze";"Folie 4",#N/A,FALSE,"Jahresumsätze";"Folie 5",#N/A,FALSE,"Jahresumsätze";"Folie 6",#N/A,FALSE,"Jahresumsätze";"Folie 7",#N/A,FALSE,"Jahresumsätze";"Folie 8",#N/A,FALSE,"Jahresumsätze"}</definedName>
    <definedName name="s_1" localSheetId="9">{"Folie 3",#N/A,FALSE,"Jahresumsätze";"Folie 4",#N/A,FALSE,"Jahresumsätze";"Folie 5",#N/A,FALSE,"Jahresumsätze";"Folie 6",#N/A,FALSE,"Jahresumsätze";"Folie 7",#N/A,FALSE,"Jahresumsätze";"Folie 8",#N/A,FALSE,"Jahresumsätze"}</definedName>
    <definedName name="s_1" localSheetId="10">{"Folie 3",#N/A,FALSE,"Jahresumsätze";"Folie 4",#N/A,FALSE,"Jahresumsätze";"Folie 5",#N/A,FALSE,"Jahresumsätze";"Folie 6",#N/A,FALSE,"Jahresumsätze";"Folie 7",#N/A,FALSE,"Jahresumsätze";"Folie 8",#N/A,FALSE,"Jahresumsätze"}</definedName>
    <definedName name="s_1">{"Folie 3",#N/A,FALSE,"Jahresumsätze";"Folie 4",#N/A,FALSE,"Jahresumsätze";"Folie 5",#N/A,FALSE,"Jahresumsätze";"Folie 6",#N/A,FALSE,"Jahresumsätze";"Folie 7",#N/A,FALSE,"Jahresumsätze";"Folie 8",#N/A,FALSE,"Jahresumsätze"}</definedName>
    <definedName name="S05_" localSheetId="4">#REF!</definedName>
    <definedName name="S05_" localSheetId="3">#REF!</definedName>
    <definedName name="S05_" localSheetId="2">#REF!</definedName>
    <definedName name="S05_" localSheetId="5">#REF!</definedName>
    <definedName name="S05_" localSheetId="6">#REF!</definedName>
    <definedName name="S05_" localSheetId="7">#REF!</definedName>
    <definedName name="S05_" localSheetId="8">#REF!</definedName>
    <definedName name="S05_" localSheetId="9">#REF!</definedName>
    <definedName name="S05_" localSheetId="10">#REF!</definedName>
    <definedName name="S05_" localSheetId="11">#REF!</definedName>
    <definedName name="S05_">#REF!</definedName>
    <definedName name="sad" localSheetId="4">#REF!</definedName>
    <definedName name="sad" localSheetId="3">#REF!</definedName>
    <definedName name="sad" localSheetId="2">#REF!</definedName>
    <definedName name="sad" localSheetId="5">#REF!</definedName>
    <definedName name="sad" localSheetId="6">#REF!</definedName>
    <definedName name="sad" localSheetId="7">#REF!</definedName>
    <definedName name="sad" localSheetId="8">#REF!</definedName>
    <definedName name="sad" localSheetId="9">#REF!</definedName>
    <definedName name="sad" localSheetId="10">#REF!</definedName>
    <definedName name="sad" localSheetId="11">#REF!</definedName>
    <definedName name="sad">#REF!</definedName>
    <definedName name="SAGRTY" localSheetId="4" hidden="1">{#N/A,#N/A,TRUE,"Distribution";#N/A,#N/A,TRUE,"Fulfillment";#N/A,#N/A,TRUE,"Aged Backorders"}</definedName>
    <definedName name="SAGRTY" localSheetId="3" hidden="1">{#N/A,#N/A,TRUE,"Distribution";#N/A,#N/A,TRUE,"Fulfillment";#N/A,#N/A,TRUE,"Aged Backorders"}</definedName>
    <definedName name="SAGRTY" localSheetId="2" hidden="1">{#N/A,#N/A,TRUE,"Distribution";#N/A,#N/A,TRUE,"Fulfillment";#N/A,#N/A,TRUE,"Aged Backorders"}</definedName>
    <definedName name="SAGRTY" localSheetId="8" hidden="1">{#N/A,#N/A,TRUE,"Distribution";#N/A,#N/A,TRUE,"Fulfillment";#N/A,#N/A,TRUE,"Aged Backorders"}</definedName>
    <definedName name="SAGRTY" localSheetId="9" hidden="1">{#N/A,#N/A,TRUE,"Distribution";#N/A,#N/A,TRUE,"Fulfillment";#N/A,#N/A,TRUE,"Aged Backorders"}</definedName>
    <definedName name="SAGRTY" localSheetId="10" hidden="1">{#N/A,#N/A,TRUE,"Distribution";#N/A,#N/A,TRUE,"Fulfillment";#N/A,#N/A,TRUE,"Aged Backorders"}</definedName>
    <definedName name="SAGRTY" hidden="1">{#N/A,#N/A,TRUE,"Distribution";#N/A,#N/A,TRUE,"Fulfillment";#N/A,#N/A,TRUE,"Aged Backorders"}</definedName>
    <definedName name="SAMACT" localSheetId="4">#REF!</definedName>
    <definedName name="SAMACT" localSheetId="3">#REF!</definedName>
    <definedName name="SAMACT" localSheetId="2">#REF!</definedName>
    <definedName name="SAMACT" localSheetId="5">#REF!</definedName>
    <definedName name="SAMACT" localSheetId="6">#REF!</definedName>
    <definedName name="SAMACT" localSheetId="7">#REF!</definedName>
    <definedName name="SAMACT" localSheetId="8">#REF!</definedName>
    <definedName name="SAMACT" localSheetId="9">#REF!</definedName>
    <definedName name="SAMACT" localSheetId="10">#REF!</definedName>
    <definedName name="SAMACT" localSheetId="11">#REF!</definedName>
    <definedName name="SAMACT">#REF!</definedName>
    <definedName name="SAMPLAN" localSheetId="10">'[34]NEW003'!$P$1:$P$65536</definedName>
    <definedName name="SAMPLAN">'[56]NEW003'!$P$1:$P$65536</definedName>
    <definedName name="sample1" localSheetId="4">#REF!</definedName>
    <definedName name="sample1" localSheetId="3">#REF!</definedName>
    <definedName name="sample1" localSheetId="2">#REF!</definedName>
    <definedName name="sample1" localSheetId="5">#REF!</definedName>
    <definedName name="sample1" localSheetId="6">#REF!</definedName>
    <definedName name="sample1" localSheetId="7">#REF!</definedName>
    <definedName name="sample1" localSheetId="8">#REF!</definedName>
    <definedName name="sample1" localSheetId="9">#REF!</definedName>
    <definedName name="sample1" localSheetId="10">#REF!</definedName>
    <definedName name="sample1" localSheetId="11">#REF!</definedName>
    <definedName name="sample1">#REF!</definedName>
    <definedName name="Sample10" localSheetId="4">#REF!</definedName>
    <definedName name="Sample10" localSheetId="3">#REF!</definedName>
    <definedName name="Sample10" localSheetId="2">#REF!</definedName>
    <definedName name="Sample10" localSheetId="5">#REF!</definedName>
    <definedName name="Sample10" localSheetId="6">#REF!</definedName>
    <definedName name="Sample10" localSheetId="7">#REF!</definedName>
    <definedName name="Sample10" localSheetId="8">#REF!</definedName>
    <definedName name="Sample10" localSheetId="9">#REF!</definedName>
    <definedName name="Sample10" localSheetId="10">#REF!</definedName>
    <definedName name="Sample10" localSheetId="11">#REF!</definedName>
    <definedName name="Sample10">#REF!</definedName>
    <definedName name="Sample2" localSheetId="4">#REF!</definedName>
    <definedName name="Sample2" localSheetId="3">#REF!</definedName>
    <definedName name="Sample2" localSheetId="2">#REF!</definedName>
    <definedName name="Sample2" localSheetId="5">#REF!</definedName>
    <definedName name="Sample2" localSheetId="6">#REF!</definedName>
    <definedName name="Sample2" localSheetId="7">#REF!</definedName>
    <definedName name="Sample2" localSheetId="8">#REF!</definedName>
    <definedName name="Sample2" localSheetId="9">#REF!</definedName>
    <definedName name="Sample2" localSheetId="10">#REF!</definedName>
    <definedName name="Sample2" localSheetId="11">#REF!</definedName>
    <definedName name="Sample2">#REF!</definedName>
    <definedName name="sample26" localSheetId="4">#REF!</definedName>
    <definedName name="sample26" localSheetId="3">#REF!</definedName>
    <definedName name="sample26" localSheetId="2">#REF!</definedName>
    <definedName name="sample26" localSheetId="5">#REF!</definedName>
    <definedName name="sample26" localSheetId="6">#REF!</definedName>
    <definedName name="sample26" localSheetId="7">#REF!</definedName>
    <definedName name="sample26" localSheetId="8">#REF!</definedName>
    <definedName name="sample26" localSheetId="9">#REF!</definedName>
    <definedName name="sample26" localSheetId="10">#REF!</definedName>
    <definedName name="sample26" localSheetId="11">#REF!</definedName>
    <definedName name="sample26">#REF!</definedName>
    <definedName name="Sample3" localSheetId="4">#REF!</definedName>
    <definedName name="Sample3" localSheetId="3">#REF!</definedName>
    <definedName name="Sample3" localSheetId="2">#REF!</definedName>
    <definedName name="Sample3" localSheetId="5">#REF!</definedName>
    <definedName name="Sample3" localSheetId="6">#REF!</definedName>
    <definedName name="Sample3" localSheetId="7">#REF!</definedName>
    <definedName name="Sample3" localSheetId="8">#REF!</definedName>
    <definedName name="Sample3" localSheetId="9">#REF!</definedName>
    <definedName name="Sample3" localSheetId="10">#REF!</definedName>
    <definedName name="Sample3" localSheetId="11">#REF!</definedName>
    <definedName name="Sample3">#REF!</definedName>
    <definedName name="Sample4" localSheetId="4">#REF!</definedName>
    <definedName name="Sample4" localSheetId="3">#REF!</definedName>
    <definedName name="Sample4" localSheetId="2">#REF!</definedName>
    <definedName name="Sample4" localSheetId="5">#REF!</definedName>
    <definedName name="Sample4" localSheetId="6">#REF!</definedName>
    <definedName name="Sample4" localSheetId="7">#REF!</definedName>
    <definedName name="Sample4" localSheetId="8">#REF!</definedName>
    <definedName name="Sample4" localSheetId="9">#REF!</definedName>
    <definedName name="Sample4" localSheetId="10">#REF!</definedName>
    <definedName name="Sample4" localSheetId="11">#REF!</definedName>
    <definedName name="Sample4">#REF!</definedName>
    <definedName name="Sample5" localSheetId="4">#REF!</definedName>
    <definedName name="Sample5" localSheetId="3">#REF!</definedName>
    <definedName name="Sample5" localSheetId="2">#REF!</definedName>
    <definedName name="Sample5" localSheetId="5">#REF!</definedName>
    <definedName name="Sample5" localSheetId="6">#REF!</definedName>
    <definedName name="Sample5" localSheetId="7">#REF!</definedName>
    <definedName name="Sample5" localSheetId="8">#REF!</definedName>
    <definedName name="Sample5" localSheetId="9">#REF!</definedName>
    <definedName name="Sample5" localSheetId="10">#REF!</definedName>
    <definedName name="Sample5" localSheetId="11">#REF!</definedName>
    <definedName name="Sample5">#REF!</definedName>
    <definedName name="Sample6" localSheetId="4">#REF!</definedName>
    <definedName name="Sample6" localSheetId="3">#REF!</definedName>
    <definedName name="Sample6" localSheetId="2">#REF!</definedName>
    <definedName name="Sample6" localSheetId="5">#REF!</definedName>
    <definedName name="Sample6" localSheetId="6">#REF!</definedName>
    <definedName name="Sample6" localSheetId="7">#REF!</definedName>
    <definedName name="Sample6" localSheetId="8">#REF!</definedName>
    <definedName name="Sample6" localSheetId="9">#REF!</definedName>
    <definedName name="Sample6" localSheetId="10">#REF!</definedName>
    <definedName name="Sample6" localSheetId="11">#REF!</definedName>
    <definedName name="Sample6">#REF!</definedName>
    <definedName name="Sample7" localSheetId="4">#REF!</definedName>
    <definedName name="Sample7" localSheetId="3">#REF!</definedName>
    <definedName name="Sample7" localSheetId="2">#REF!</definedName>
    <definedName name="Sample7" localSheetId="5">#REF!</definedName>
    <definedName name="Sample7" localSheetId="6">#REF!</definedName>
    <definedName name="Sample7" localSheetId="7">#REF!</definedName>
    <definedName name="Sample7" localSheetId="8">#REF!</definedName>
    <definedName name="Sample7" localSheetId="9">#REF!</definedName>
    <definedName name="Sample7" localSheetId="10">#REF!</definedName>
    <definedName name="Sample7" localSheetId="11">#REF!</definedName>
    <definedName name="Sample7">#REF!</definedName>
    <definedName name="Sample8" localSheetId="4">#REF!</definedName>
    <definedName name="Sample8" localSheetId="3">#REF!</definedName>
    <definedName name="Sample8" localSheetId="2">#REF!</definedName>
    <definedName name="Sample8" localSheetId="5">#REF!</definedName>
    <definedName name="Sample8" localSheetId="6">#REF!</definedName>
    <definedName name="Sample8" localSheetId="7">#REF!</definedName>
    <definedName name="Sample8" localSheetId="8">#REF!</definedName>
    <definedName name="Sample8" localSheetId="9">#REF!</definedName>
    <definedName name="Sample8" localSheetId="10">#REF!</definedName>
    <definedName name="Sample8" localSheetId="11">#REF!</definedName>
    <definedName name="Sample8">#REF!</definedName>
    <definedName name="Sample9" localSheetId="4">#REF!</definedName>
    <definedName name="Sample9" localSheetId="3">#REF!</definedName>
    <definedName name="Sample9" localSheetId="2">#REF!</definedName>
    <definedName name="Sample9" localSheetId="5">#REF!</definedName>
    <definedName name="Sample9" localSheetId="6">#REF!</definedName>
    <definedName name="Sample9" localSheetId="7">#REF!</definedName>
    <definedName name="Sample9" localSheetId="8">#REF!</definedName>
    <definedName name="Sample9" localSheetId="9">#REF!</definedName>
    <definedName name="Sample9" localSheetId="10">#REF!</definedName>
    <definedName name="Sample9" localSheetId="11">#REF!</definedName>
    <definedName name="Sample9">#REF!</definedName>
    <definedName name="SAP__Company_Code__Char_4" localSheetId="4">#REF!</definedName>
    <definedName name="SAP__Company_Code__Char_4" localSheetId="3">#REF!</definedName>
    <definedName name="SAP__Company_Code__Char_4" localSheetId="2">#REF!</definedName>
    <definedName name="SAP__Company_Code__Char_4" localSheetId="5">#REF!</definedName>
    <definedName name="SAP__Company_Code__Char_4" localSheetId="6">#REF!</definedName>
    <definedName name="SAP__Company_Code__Char_4" localSheetId="7">#REF!</definedName>
    <definedName name="SAP__Company_Code__Char_4" localSheetId="8">#REF!</definedName>
    <definedName name="SAP__Company_Code__Char_4" localSheetId="9">#REF!</definedName>
    <definedName name="SAP__Company_Code__Char_4" localSheetId="10">#REF!</definedName>
    <definedName name="SAP__Company_Code__Char_4" localSheetId="11">#REF!</definedName>
    <definedName name="SAP__Company_Code__Char_4">#REF!</definedName>
    <definedName name="SAPBEXrevision" hidden="1">2</definedName>
    <definedName name="SAPBEXsysID" hidden="1">"BWP"</definedName>
    <definedName name="SAPBEXwbID" hidden="1">"3UI2QXGJXX7RQVSLMH71UA3V7"</definedName>
    <definedName name="SATLIQ12" localSheetId="10">[56]Refrigerants!$F$14:$G$34</definedName>
    <definedName name="SATLIQ12">[98]Refrigerants!$F$14:$G$34</definedName>
    <definedName name="SATLIQ134" localSheetId="10">[56]Refrigerants!$O$14:$P$34</definedName>
    <definedName name="SATLIQ134">[98]Refrigerants!$O$14:$P$34</definedName>
    <definedName name="SATVAP12" localSheetId="10">[56]Refrigerants!$B$14:$D$34</definedName>
    <definedName name="SATVAP12">[98]Refrigerants!$B$14:$D$34</definedName>
    <definedName name="SATVAP134" localSheetId="10">[56]Refrigerants!$K$14:$M$34</definedName>
    <definedName name="SATVAP134">[98]Refrigerants!$K$14:$M$34</definedName>
    <definedName name="sav" localSheetId="4">#REF!</definedName>
    <definedName name="sav" localSheetId="3">#REF!</definedName>
    <definedName name="sav" localSheetId="2">#REF!</definedName>
    <definedName name="sav" localSheetId="5">#REF!</definedName>
    <definedName name="sav" localSheetId="6">#REF!</definedName>
    <definedName name="sav" localSheetId="7">#REF!</definedName>
    <definedName name="sav" localSheetId="8">#REF!</definedName>
    <definedName name="sav" localSheetId="9">#REF!</definedName>
    <definedName name="sav" localSheetId="10">#REF!</definedName>
    <definedName name="sav" localSheetId="11">#REF!</definedName>
    <definedName name="sav">#REF!</definedName>
    <definedName name="SC" localSheetId="4">[46]Glossary!$B$32</definedName>
    <definedName name="SC" localSheetId="3">[46]Glossary!$B$32</definedName>
    <definedName name="SC" localSheetId="2">[46]Glossary!$B$32</definedName>
    <definedName name="SC" localSheetId="5">[46]Glossary!$B$32</definedName>
    <definedName name="SC" localSheetId="6">[46]Glossary!$B$32</definedName>
    <definedName name="SC" localSheetId="7">[46]Glossary!$B$32</definedName>
    <definedName name="SC" localSheetId="8">[46]Glossary!$B$32</definedName>
    <definedName name="SC" localSheetId="9">[46]Glossary!$B$32</definedName>
    <definedName name="SC" localSheetId="10">[88]Glossary!$B$32</definedName>
    <definedName name="SC">[35]Glossary!$B$32</definedName>
    <definedName name="SCCODE">#N/A</definedName>
    <definedName name="SCENARIO">[103]MENU!$AU$1:$AU$5</definedName>
    <definedName name="SCHD" localSheetId="4">#REF!</definedName>
    <definedName name="SCHD" localSheetId="3">#REF!</definedName>
    <definedName name="SCHD" localSheetId="2">#REF!</definedName>
    <definedName name="SCHD" localSheetId="5">#REF!</definedName>
    <definedName name="SCHD" localSheetId="6">#REF!</definedName>
    <definedName name="SCHD" localSheetId="7">#REF!</definedName>
    <definedName name="SCHD" localSheetId="8">#REF!</definedName>
    <definedName name="SCHD" localSheetId="9">#REF!</definedName>
    <definedName name="SCHD" localSheetId="10">#REF!</definedName>
    <definedName name="SCHD" localSheetId="11">#REF!</definedName>
    <definedName name="SCHD">#REF!</definedName>
    <definedName name="Sched_Pay" localSheetId="4">#REF!</definedName>
    <definedName name="Sched_Pay" localSheetId="3">#REF!</definedName>
    <definedName name="Sched_Pay" localSheetId="2">#REF!</definedName>
    <definedName name="Sched_Pay" localSheetId="5">#REF!</definedName>
    <definedName name="Sched_Pay" localSheetId="6">#REF!</definedName>
    <definedName name="Sched_Pay" localSheetId="7">#REF!</definedName>
    <definedName name="Sched_Pay" localSheetId="8">#REF!</definedName>
    <definedName name="Sched_Pay" localSheetId="9">#REF!</definedName>
    <definedName name="Sched_Pay" localSheetId="10">#REF!</definedName>
    <definedName name="Sched_Pay" localSheetId="11">#REF!</definedName>
    <definedName name="Sched_Pay">#REF!</definedName>
    <definedName name="schedule" localSheetId="4" hidden="1">{#N/A,#N/A,TRUE,"Distribution";#N/A,#N/A,TRUE,"Fulfillment";#N/A,#N/A,TRUE,"Aged Backorders"}</definedName>
    <definedName name="schedule" localSheetId="3" hidden="1">{#N/A,#N/A,TRUE,"Distribution";#N/A,#N/A,TRUE,"Fulfillment";#N/A,#N/A,TRUE,"Aged Backorders"}</definedName>
    <definedName name="schedule" localSheetId="2" hidden="1">{#N/A,#N/A,TRUE,"Distribution";#N/A,#N/A,TRUE,"Fulfillment";#N/A,#N/A,TRUE,"Aged Backorders"}</definedName>
    <definedName name="schedule" localSheetId="8" hidden="1">{#N/A,#N/A,TRUE,"Distribution";#N/A,#N/A,TRUE,"Fulfillment";#N/A,#N/A,TRUE,"Aged Backorders"}</definedName>
    <definedName name="schedule" localSheetId="9" hidden="1">{#N/A,#N/A,TRUE,"Distribution";#N/A,#N/A,TRUE,"Fulfillment";#N/A,#N/A,TRUE,"Aged Backorders"}</definedName>
    <definedName name="schedule" localSheetId="10" hidden="1">{#N/A,#N/A,TRUE,"Distribution";#N/A,#N/A,TRUE,"Fulfillment";#N/A,#N/A,TRUE,"Aged Backorders"}</definedName>
    <definedName name="schedule" hidden="1">{#N/A,#N/A,TRUE,"Distribution";#N/A,#N/A,TRUE,"Fulfillment";#N/A,#N/A,TRUE,"Aged Backorders"}</definedName>
    <definedName name="Scheduled_Extra_Payments" localSheetId="4">#REF!</definedName>
    <definedName name="Scheduled_Extra_Payments" localSheetId="3">#REF!</definedName>
    <definedName name="Scheduled_Extra_Payments" localSheetId="2">#REF!</definedName>
    <definedName name="Scheduled_Extra_Payments" localSheetId="5">#REF!</definedName>
    <definedName name="Scheduled_Extra_Payments" localSheetId="6">#REF!</definedName>
    <definedName name="Scheduled_Extra_Payments" localSheetId="7">#REF!</definedName>
    <definedName name="Scheduled_Extra_Payments" localSheetId="8">#REF!</definedName>
    <definedName name="Scheduled_Extra_Payments" localSheetId="9">#REF!</definedName>
    <definedName name="Scheduled_Extra_Payments" localSheetId="10">#REF!</definedName>
    <definedName name="Scheduled_Extra_Payments" localSheetId="11">#REF!</definedName>
    <definedName name="Scheduled_Extra_Payments">#REF!</definedName>
    <definedName name="Scheduled_Interest_Rate" localSheetId="4">#REF!</definedName>
    <definedName name="Scheduled_Interest_Rate" localSheetId="3">#REF!</definedName>
    <definedName name="Scheduled_Interest_Rate" localSheetId="2">#REF!</definedName>
    <definedName name="Scheduled_Interest_Rate" localSheetId="5">#REF!</definedName>
    <definedName name="Scheduled_Interest_Rate" localSheetId="6">#REF!</definedName>
    <definedName name="Scheduled_Interest_Rate" localSheetId="7">#REF!</definedName>
    <definedName name="Scheduled_Interest_Rate" localSheetId="8">#REF!</definedName>
    <definedName name="Scheduled_Interest_Rate" localSheetId="9">#REF!</definedName>
    <definedName name="Scheduled_Interest_Rate" localSheetId="10">#REF!</definedName>
    <definedName name="Scheduled_Interest_Rate" localSheetId="11">#REF!</definedName>
    <definedName name="Scheduled_Interest_Rate">#REF!</definedName>
    <definedName name="Scheduled_Monthly_Payment" localSheetId="4">#REF!</definedName>
    <definedName name="Scheduled_Monthly_Payment" localSheetId="3">#REF!</definedName>
    <definedName name="Scheduled_Monthly_Payment" localSheetId="2">#REF!</definedName>
    <definedName name="Scheduled_Monthly_Payment" localSheetId="5">#REF!</definedName>
    <definedName name="Scheduled_Monthly_Payment" localSheetId="6">#REF!</definedName>
    <definedName name="Scheduled_Monthly_Payment" localSheetId="7">#REF!</definedName>
    <definedName name="Scheduled_Monthly_Payment" localSheetId="8">#REF!</definedName>
    <definedName name="Scheduled_Monthly_Payment" localSheetId="9">#REF!</definedName>
    <definedName name="Scheduled_Monthly_Payment" localSheetId="10">#REF!</definedName>
    <definedName name="Scheduled_Monthly_Payment" localSheetId="11">#REF!</definedName>
    <definedName name="Scheduled_Monthly_Payment">#REF!</definedName>
    <definedName name="scrapdata" localSheetId="4">#REF!</definedName>
    <definedName name="scrapdata" localSheetId="3">#REF!</definedName>
    <definedName name="scrapdata" localSheetId="2">#REF!</definedName>
    <definedName name="scrapdata" localSheetId="5">#REF!</definedName>
    <definedName name="scrapdata" localSheetId="6">#REF!</definedName>
    <definedName name="scrapdata" localSheetId="7">#REF!</definedName>
    <definedName name="scrapdata" localSheetId="8">#REF!</definedName>
    <definedName name="scrapdata" localSheetId="9">#REF!</definedName>
    <definedName name="scrapdata" localSheetId="10">#REF!</definedName>
    <definedName name="scrapdata" localSheetId="11">#REF!</definedName>
    <definedName name="scrapdata">#REF!</definedName>
    <definedName name="scrapdata2" localSheetId="4">#REF!</definedName>
    <definedName name="scrapdata2" localSheetId="3">#REF!</definedName>
    <definedName name="scrapdata2" localSheetId="2">#REF!</definedName>
    <definedName name="scrapdata2" localSheetId="5">#REF!</definedName>
    <definedName name="scrapdata2" localSheetId="6">#REF!</definedName>
    <definedName name="scrapdata2" localSheetId="7">#REF!</definedName>
    <definedName name="scrapdata2" localSheetId="8">#REF!</definedName>
    <definedName name="scrapdata2" localSheetId="9">#REF!</definedName>
    <definedName name="scrapdata2" localSheetId="10">#REF!</definedName>
    <definedName name="scrapdata2" localSheetId="11">#REF!</definedName>
    <definedName name="scrapdata2">#REF!</definedName>
    <definedName name="SD" localSheetId="4">#REF!</definedName>
    <definedName name="SD" localSheetId="3">#REF!</definedName>
    <definedName name="SD" localSheetId="2">#REF!</definedName>
    <definedName name="SD" localSheetId="5">#REF!</definedName>
    <definedName name="SD" localSheetId="6">#REF!</definedName>
    <definedName name="SD" localSheetId="7">#REF!</definedName>
    <definedName name="SD" localSheetId="8">#REF!</definedName>
    <definedName name="SD" localSheetId="9">#REF!</definedName>
    <definedName name="SD" localSheetId="10">#REF!</definedName>
    <definedName name="SD" localSheetId="11">#REF!</definedName>
    <definedName name="SD">#REF!</definedName>
    <definedName name="sdfa" localSheetId="4" hidden="1">{#N/A,#N/A,TRUE,"Distribution";#N/A,#N/A,TRUE,"Fulfillment";#N/A,#N/A,TRUE,"Aged Backorders"}</definedName>
    <definedName name="sdfa" localSheetId="3" hidden="1">{#N/A,#N/A,TRUE,"Distribution";#N/A,#N/A,TRUE,"Fulfillment";#N/A,#N/A,TRUE,"Aged Backorders"}</definedName>
    <definedName name="sdfa" localSheetId="2" hidden="1">{#N/A,#N/A,TRUE,"Distribution";#N/A,#N/A,TRUE,"Fulfillment";#N/A,#N/A,TRUE,"Aged Backorders"}</definedName>
    <definedName name="sdfa" localSheetId="8" hidden="1">{#N/A,#N/A,TRUE,"Distribution";#N/A,#N/A,TRUE,"Fulfillment";#N/A,#N/A,TRUE,"Aged Backorders"}</definedName>
    <definedName name="sdfa" localSheetId="9" hidden="1">{#N/A,#N/A,TRUE,"Distribution";#N/A,#N/A,TRUE,"Fulfillment";#N/A,#N/A,TRUE,"Aged Backorders"}</definedName>
    <definedName name="sdfa" localSheetId="10" hidden="1">{#N/A,#N/A,TRUE,"Distribution";#N/A,#N/A,TRUE,"Fulfillment";#N/A,#N/A,TRUE,"Aged Backorders"}</definedName>
    <definedName name="sdfa" hidden="1">{#N/A,#N/A,TRUE,"Distribution";#N/A,#N/A,TRUE,"Fulfillment";#N/A,#N/A,TRUE,"Aged Backorders"}</definedName>
    <definedName name="sdfe">#N/A</definedName>
    <definedName name="sdfsdfd">[99]ＴＦ関連Ｐｒｊ日程表!#REF!</definedName>
    <definedName name="SDG" localSheetId="4">#REF!</definedName>
    <definedName name="SDG" localSheetId="3">#REF!</definedName>
    <definedName name="SDG" localSheetId="2">#REF!</definedName>
    <definedName name="SDG" localSheetId="5">#REF!</definedName>
    <definedName name="SDG" localSheetId="6">#REF!</definedName>
    <definedName name="SDG" localSheetId="7">#REF!</definedName>
    <definedName name="SDG" localSheetId="8">#REF!</definedName>
    <definedName name="SDG" localSheetId="9">#REF!</definedName>
    <definedName name="SDG" localSheetId="10">#REF!</definedName>
    <definedName name="SDG" localSheetId="11">#REF!</definedName>
    <definedName name="SDG">#REF!</definedName>
    <definedName name="SectorList" localSheetId="4">#REF!</definedName>
    <definedName name="SectorList" localSheetId="3">#REF!</definedName>
    <definedName name="SectorList" localSheetId="2">#REF!</definedName>
    <definedName name="SectorList" localSheetId="5">#REF!</definedName>
    <definedName name="SectorList" localSheetId="6">#REF!</definedName>
    <definedName name="SectorList" localSheetId="7">#REF!</definedName>
    <definedName name="SectorList" localSheetId="8">#REF!</definedName>
    <definedName name="SectorList" localSheetId="9">#REF!</definedName>
    <definedName name="SectorList" localSheetId="10">#REF!</definedName>
    <definedName name="SectorList" localSheetId="11">#REF!</definedName>
    <definedName name="SectorList">#REF!</definedName>
    <definedName name="Seite" localSheetId="10">[49]行动计划!#REF!</definedName>
    <definedName name="Seite">[57]行动计划!#REF!</definedName>
    <definedName name="SELECT" localSheetId="4">#REF!</definedName>
    <definedName name="SELECT" localSheetId="3">#REF!</definedName>
    <definedName name="SELECT" localSheetId="2">#REF!</definedName>
    <definedName name="SELECT" localSheetId="5">#REF!</definedName>
    <definedName name="SELECT" localSheetId="6">#REF!</definedName>
    <definedName name="SELECT" localSheetId="7">#REF!</definedName>
    <definedName name="SELECT" localSheetId="8">#REF!</definedName>
    <definedName name="SELECT" localSheetId="9">#REF!</definedName>
    <definedName name="SELECT" localSheetId="10">#REF!</definedName>
    <definedName name="SELECT" localSheetId="11">#REF!</definedName>
    <definedName name="SELECT">#REF!</definedName>
    <definedName name="Select_Summary_A1" localSheetId="4">[71]Optimize!$AC$66</definedName>
    <definedName name="Select_Summary_A1" localSheetId="3">[71]Optimize!$AC$66</definedName>
    <definedName name="Select_Summary_A1" localSheetId="2">[71]Optimize!$AC$66</definedName>
    <definedName name="Select_Summary_A1" localSheetId="5">[71]Optimize!$AC$66</definedName>
    <definedName name="Select_Summary_A1" localSheetId="6">[71]Optimize!$AC$66</definedName>
    <definedName name="Select_Summary_A1" localSheetId="7">[71]Optimize!$AC$66</definedName>
    <definedName name="Select_Summary_A1" localSheetId="8">[71]Optimize!$AC$66</definedName>
    <definedName name="Select_Summary_A1" localSheetId="9">[71]Optimize!$AC$66</definedName>
    <definedName name="Select_Summary_A1" localSheetId="10">[10]Optimize!$AC$66</definedName>
    <definedName name="Select_Summary_A1">[18]Optimize!$AC$66</definedName>
    <definedName name="SelectClean" localSheetId="4">#REF!</definedName>
    <definedName name="SelectClean" localSheetId="3">#REF!</definedName>
    <definedName name="SelectClean" localSheetId="2">#REF!</definedName>
    <definedName name="SelectClean" localSheetId="5">#REF!</definedName>
    <definedName name="SelectClean" localSheetId="6">#REF!</definedName>
    <definedName name="SelectClean" localSheetId="7">#REF!</definedName>
    <definedName name="SelectClean" localSheetId="8">#REF!</definedName>
    <definedName name="SelectClean" localSheetId="9">#REF!</definedName>
    <definedName name="SelectClean" localSheetId="10">#REF!</definedName>
    <definedName name="SelectClean" localSheetId="11">#REF!</definedName>
    <definedName name="SelectClean">#REF!</definedName>
    <definedName name="SEMBUT" localSheetId="4">#REF!</definedName>
    <definedName name="SEMBUT" localSheetId="3">#REF!</definedName>
    <definedName name="SEMBUT" localSheetId="2">#REF!</definedName>
    <definedName name="SEMBUT" localSheetId="5">#REF!</definedName>
    <definedName name="SEMBUT" localSheetId="6">#REF!</definedName>
    <definedName name="SEMBUT" localSheetId="7">#REF!</definedName>
    <definedName name="SEMBUT" localSheetId="8">#REF!</definedName>
    <definedName name="SEMBUT" localSheetId="9">#REF!</definedName>
    <definedName name="SEMBUT" localSheetId="10">#REF!</definedName>
    <definedName name="SEMBUT" localSheetId="11">#REF!</definedName>
    <definedName name="SEMBUT">#REF!</definedName>
    <definedName name="sepcosts" localSheetId="4">'[75]Sep BaaN'!$B$1:$L$65536</definedName>
    <definedName name="sepcosts" localSheetId="3">'[75]Sep BaaN'!$B$1:$L$65536</definedName>
    <definedName name="sepcosts" localSheetId="2">'[75]Sep BaaN'!$B$1:$L$65536</definedName>
    <definedName name="sepcosts" localSheetId="5">'[75]Sep BaaN'!$B$1:$L$65536</definedName>
    <definedName name="sepcosts" localSheetId="6">'[75]Sep BaaN'!$B$1:$L$65536</definedName>
    <definedName name="sepcosts" localSheetId="7">'[75]Sep BaaN'!$B$1:$L$65536</definedName>
    <definedName name="sepcosts" localSheetId="8">'[75]Sep BaaN'!$B$1:$L$65536</definedName>
    <definedName name="sepcosts" localSheetId="9">'[75]Sep BaaN'!$B$1:$L$65536</definedName>
    <definedName name="sepcosts" localSheetId="10">'[85]Sep BaaN'!$B$1:$L$65536</definedName>
    <definedName name="sepcosts">'[28]Sep BaaN'!$B$1:$L$65536</definedName>
    <definedName name="sequential" localSheetId="4">'[35]Comet Sequential'!$A:$IV</definedName>
    <definedName name="sequential" localSheetId="3">'[35]Comet Sequential'!$A:$IV</definedName>
    <definedName name="sequential" localSheetId="2">'[35]Comet Sequential'!$A:$IV</definedName>
    <definedName name="sequential" localSheetId="5">'[35]Comet Sequential'!$A:$IV</definedName>
    <definedName name="sequential" localSheetId="6">'[35]Comet Sequential'!$A:$IV</definedName>
    <definedName name="sequential" localSheetId="7">'[35]Comet Sequential'!$A:$IV</definedName>
    <definedName name="sequential" localSheetId="8">'[35]Comet Sequential'!$A:$IV</definedName>
    <definedName name="sequential" localSheetId="9">'[35]Comet Sequential'!$A:$IV</definedName>
    <definedName name="sequential" localSheetId="10">'[15]Comet Sequential'!$A:$IV</definedName>
    <definedName name="sequential">'[27]Comet Sequential'!$A:$IV</definedName>
    <definedName name="sequential_col_match" localSheetId="4">'[35]Comet Sequential'!$A$2:$IV$2</definedName>
    <definedName name="sequential_col_match" localSheetId="3">'[35]Comet Sequential'!$A$2:$IV$2</definedName>
    <definedName name="sequential_col_match" localSheetId="2">'[35]Comet Sequential'!$A$2:$IV$2</definedName>
    <definedName name="sequential_col_match" localSheetId="5">'[35]Comet Sequential'!$A$2:$IV$2</definedName>
    <definedName name="sequential_col_match" localSheetId="6">'[35]Comet Sequential'!$A$2:$IV$2</definedName>
    <definedName name="sequential_col_match" localSheetId="7">'[35]Comet Sequential'!$A$2:$IV$2</definedName>
    <definedName name="sequential_col_match" localSheetId="8">'[35]Comet Sequential'!$A$2:$IV$2</definedName>
    <definedName name="sequential_col_match" localSheetId="9">'[35]Comet Sequential'!$A$2:$IV$2</definedName>
    <definedName name="sequential_col_match" localSheetId="10">'[15]Comet Sequential'!$A$2:$IV$2</definedName>
    <definedName name="sequential_col_match">'[27]Comet Sequential'!$A$2:$IV$2</definedName>
    <definedName name="sequential_row_match" localSheetId="4">'[35]Comet Sequential'!$A$1:$A$65536</definedName>
    <definedName name="sequential_row_match" localSheetId="3">'[35]Comet Sequential'!$A$1:$A$65536</definedName>
    <definedName name="sequential_row_match" localSheetId="2">'[35]Comet Sequential'!$A$1:$A$65536</definedName>
    <definedName name="sequential_row_match" localSheetId="5">'[35]Comet Sequential'!$A$1:$A$65536</definedName>
    <definedName name="sequential_row_match" localSheetId="6">'[35]Comet Sequential'!$A$1:$A$65536</definedName>
    <definedName name="sequential_row_match" localSheetId="7">'[35]Comet Sequential'!$A$1:$A$65536</definedName>
    <definedName name="sequential_row_match" localSheetId="8">'[35]Comet Sequential'!$A$1:$A$65536</definedName>
    <definedName name="sequential_row_match" localSheetId="9">'[35]Comet Sequential'!$A$1:$A$65536</definedName>
    <definedName name="sequential_row_match" localSheetId="10">'[15]Comet Sequential'!$A$1:$A$65536</definedName>
    <definedName name="sequential_row_match">'[27]Comet Sequential'!$A$1:$A$65536</definedName>
    <definedName name="SevenMonthsBack" localSheetId="4">#REF!</definedName>
    <definedName name="SevenMonthsBack" localSheetId="3">#REF!</definedName>
    <definedName name="SevenMonthsBack" localSheetId="2">#REF!</definedName>
    <definedName name="SevenMonthsBack" localSheetId="5">#REF!</definedName>
    <definedName name="SevenMonthsBack" localSheetId="6">#REF!</definedName>
    <definedName name="SevenMonthsBack" localSheetId="7">#REF!</definedName>
    <definedName name="SevenMonthsBack" localSheetId="8">#REF!</definedName>
    <definedName name="SevenMonthsBack" localSheetId="9">#REF!</definedName>
    <definedName name="SevenMonthsBack" localSheetId="10">#REF!</definedName>
    <definedName name="SevenMonthsBack" localSheetId="11">#REF!</definedName>
    <definedName name="SevenMonthsBack">#REF!</definedName>
    <definedName name="SEVERITY_FACTOR" localSheetId="4">#REF!</definedName>
    <definedName name="SEVERITY_FACTOR" localSheetId="3">#REF!</definedName>
    <definedName name="SEVERITY_FACTOR" localSheetId="2">#REF!</definedName>
    <definedName name="SEVERITY_FACTOR" localSheetId="5">#REF!</definedName>
    <definedName name="SEVERITY_FACTOR" localSheetId="6">#REF!</definedName>
    <definedName name="SEVERITY_FACTOR" localSheetId="7">#REF!</definedName>
    <definedName name="SEVERITY_FACTOR" localSheetId="8">#REF!</definedName>
    <definedName name="SEVERITY_FACTOR" localSheetId="9">#REF!</definedName>
    <definedName name="SEVERITY_FACTOR" localSheetId="10">#REF!</definedName>
    <definedName name="SEVERITY_FACTOR" localSheetId="11">#REF!</definedName>
    <definedName name="SEVERITY_FACTOR">#REF!</definedName>
    <definedName name="sewre" localSheetId="4">#REF!</definedName>
    <definedName name="sewre" localSheetId="3">#REF!</definedName>
    <definedName name="sewre" localSheetId="2">#REF!</definedName>
    <definedName name="sewre" localSheetId="5">#REF!</definedName>
    <definedName name="sewre" localSheetId="6">#REF!</definedName>
    <definedName name="sewre" localSheetId="7">#REF!</definedName>
    <definedName name="sewre" localSheetId="8">#REF!</definedName>
    <definedName name="sewre" localSheetId="9">#REF!</definedName>
    <definedName name="sewre" localSheetId="10">#REF!</definedName>
    <definedName name="sewre" localSheetId="11">#REF!</definedName>
    <definedName name="sewre">#REF!</definedName>
    <definedName name="SFALL" localSheetId="4">'[27]Pull All SFs'!#REF!</definedName>
    <definedName name="SFALL" localSheetId="3">'[27]Pull All SFs'!#REF!</definedName>
    <definedName name="SFALL" localSheetId="2">'[27]Pull All SFs'!#REF!</definedName>
    <definedName name="SFALL" localSheetId="5">'[27]Pull All SFs'!#REF!</definedName>
    <definedName name="SFALL" localSheetId="6">'[27]Pull All SFs'!#REF!</definedName>
    <definedName name="SFALL" localSheetId="7">'[27]Pull All SFs'!#REF!</definedName>
    <definedName name="SFALL" localSheetId="8">'[28]Pull All SFs'!#REF!</definedName>
    <definedName name="SFALL" localSheetId="9">'[28]Pull All SFs'!#REF!</definedName>
    <definedName name="SFALL" localSheetId="10">'[16]Pull All SFs'!#REF!</definedName>
    <definedName name="SFALL">'[20]Pull All SFs'!#REF!</definedName>
    <definedName name="SFALLTEMP" localSheetId="4">#REF!</definedName>
    <definedName name="SFALLTEMP" localSheetId="3">#REF!</definedName>
    <definedName name="SFALLTEMP" localSheetId="2">#REF!</definedName>
    <definedName name="SFALLTEMP" localSheetId="5">#REF!</definedName>
    <definedName name="SFALLTEMP" localSheetId="6">#REF!</definedName>
    <definedName name="SFALLTEMP" localSheetId="7">#REF!</definedName>
    <definedName name="SFALLTEMP" localSheetId="8">#REF!</definedName>
    <definedName name="SFALLTEMP" localSheetId="9">#REF!</definedName>
    <definedName name="SFALLTEMP" localSheetId="10">#REF!</definedName>
    <definedName name="SFALLTEMP" localSheetId="11">#REF!</definedName>
    <definedName name="SFALLTEMP">#REF!</definedName>
    <definedName name="SFGH" localSheetId="4" hidden="1">{#N/A,#N/A,TRUE,"Distribution";#N/A,#N/A,TRUE,"Fulfillment";#N/A,#N/A,TRUE,"Aged Backorders"}</definedName>
    <definedName name="SFGH" localSheetId="3" hidden="1">{#N/A,#N/A,TRUE,"Distribution";#N/A,#N/A,TRUE,"Fulfillment";#N/A,#N/A,TRUE,"Aged Backorders"}</definedName>
    <definedName name="SFGH" localSheetId="2" hidden="1">{#N/A,#N/A,TRUE,"Distribution";#N/A,#N/A,TRUE,"Fulfillment";#N/A,#N/A,TRUE,"Aged Backorders"}</definedName>
    <definedName name="SFGH" localSheetId="8" hidden="1">{#N/A,#N/A,TRUE,"Distribution";#N/A,#N/A,TRUE,"Fulfillment";#N/A,#N/A,TRUE,"Aged Backorders"}</definedName>
    <definedName name="SFGH" localSheetId="9" hidden="1">{#N/A,#N/A,TRUE,"Distribution";#N/A,#N/A,TRUE,"Fulfillment";#N/A,#N/A,TRUE,"Aged Backorders"}</definedName>
    <definedName name="SFGH" localSheetId="10" hidden="1">{#N/A,#N/A,TRUE,"Distribution";#N/A,#N/A,TRUE,"Fulfillment";#N/A,#N/A,TRUE,"Aged Backorders"}</definedName>
    <definedName name="SFGH" hidden="1">{#N/A,#N/A,TRUE,"Distribution";#N/A,#N/A,TRUE,"Fulfillment";#N/A,#N/A,TRUE,"Aged Backorders"}</definedName>
    <definedName name="SFGHFTH" localSheetId="4" hidden="1">{#N/A,#N/A,TRUE,"Distribution";#N/A,#N/A,TRUE,"Fulfillment";#N/A,#N/A,TRUE,"Aged Backorders"}</definedName>
    <definedName name="SFGHFTH" localSheetId="3" hidden="1">{#N/A,#N/A,TRUE,"Distribution";#N/A,#N/A,TRUE,"Fulfillment";#N/A,#N/A,TRUE,"Aged Backorders"}</definedName>
    <definedName name="SFGHFTH" localSheetId="2" hidden="1">{#N/A,#N/A,TRUE,"Distribution";#N/A,#N/A,TRUE,"Fulfillment";#N/A,#N/A,TRUE,"Aged Backorders"}</definedName>
    <definedName name="SFGHFTH" localSheetId="8" hidden="1">{#N/A,#N/A,TRUE,"Distribution";#N/A,#N/A,TRUE,"Fulfillment";#N/A,#N/A,TRUE,"Aged Backorders"}</definedName>
    <definedName name="SFGHFTH" localSheetId="9" hidden="1">{#N/A,#N/A,TRUE,"Distribution";#N/A,#N/A,TRUE,"Fulfillment";#N/A,#N/A,TRUE,"Aged Backorders"}</definedName>
    <definedName name="SFGHFTH" localSheetId="10" hidden="1">{#N/A,#N/A,TRUE,"Distribution";#N/A,#N/A,TRUE,"Fulfillment";#N/A,#N/A,TRUE,"Aged Backorders"}</definedName>
    <definedName name="SFGHFTH" hidden="1">{#N/A,#N/A,TRUE,"Distribution";#N/A,#N/A,TRUE,"Fulfillment";#N/A,#N/A,TRUE,"Aged Backorders"}</definedName>
    <definedName name="sfhtyyty" localSheetId="4" hidden="1">{#N/A,#N/A,TRUE,"Distribution";#N/A,#N/A,TRUE,"Fulfillment";#N/A,#N/A,TRUE,"Aged Backorders"}</definedName>
    <definedName name="sfhtyyty" localSheetId="3" hidden="1">{#N/A,#N/A,TRUE,"Distribution";#N/A,#N/A,TRUE,"Fulfillment";#N/A,#N/A,TRUE,"Aged Backorders"}</definedName>
    <definedName name="sfhtyyty" localSheetId="2" hidden="1">{#N/A,#N/A,TRUE,"Distribution";#N/A,#N/A,TRUE,"Fulfillment";#N/A,#N/A,TRUE,"Aged Backorders"}</definedName>
    <definedName name="sfhtyyty" localSheetId="8" hidden="1">{#N/A,#N/A,TRUE,"Distribution";#N/A,#N/A,TRUE,"Fulfillment";#N/A,#N/A,TRUE,"Aged Backorders"}</definedName>
    <definedName name="sfhtyyty" localSheetId="9" hidden="1">{#N/A,#N/A,TRUE,"Distribution";#N/A,#N/A,TRUE,"Fulfillment";#N/A,#N/A,TRUE,"Aged Backorders"}</definedName>
    <definedName name="sfhtyyty" localSheetId="10" hidden="1">{#N/A,#N/A,TRUE,"Distribution";#N/A,#N/A,TRUE,"Fulfillment";#N/A,#N/A,TRUE,"Aged Backorders"}</definedName>
    <definedName name="sfhtyyty" hidden="1">{#N/A,#N/A,TRUE,"Distribution";#N/A,#N/A,TRUE,"Fulfillment";#N/A,#N/A,TRUE,"Aged Backorders"}</definedName>
    <definedName name="sfsdfe" localSheetId="4">[37]Spec!$B$53:$F$56</definedName>
    <definedName name="sfsdfe" localSheetId="3">[37]Spec!$B$53:$F$56</definedName>
    <definedName name="sfsdfe" localSheetId="2">[37]Spec!$B$53:$F$56</definedName>
    <definedName name="sfsdfe" localSheetId="5">[37]Spec!$B$53:$F$56</definedName>
    <definedName name="sfsdfe" localSheetId="6">[37]Spec!$B$53:$F$56</definedName>
    <definedName name="sfsdfe" localSheetId="7">[37]Spec!$B$53:$F$56</definedName>
    <definedName name="sfsdfe" localSheetId="8">[37]Spec!$B$53:$F$56</definedName>
    <definedName name="sfsdfe" localSheetId="9">[37]Spec!$B$53:$F$56</definedName>
    <definedName name="sfsdfe" localSheetId="10">[22]Spec!$B$53:$F$56</definedName>
    <definedName name="sfsdfe">[29]Spec!$B$53:$F$56</definedName>
    <definedName name="sfsf" localSheetId="4">#REF!</definedName>
    <definedName name="sfsf" localSheetId="3">#REF!</definedName>
    <definedName name="sfsf" localSheetId="2">#REF!</definedName>
    <definedName name="sfsf" localSheetId="5">#REF!</definedName>
    <definedName name="sfsf" localSheetId="6">#REF!</definedName>
    <definedName name="sfsf" localSheetId="7">#REF!</definedName>
    <definedName name="sfsf" localSheetId="8">#REF!</definedName>
    <definedName name="sfsf" localSheetId="9">#REF!</definedName>
    <definedName name="sfsf" localSheetId="10">#REF!</definedName>
    <definedName name="sfsf" localSheetId="11">#REF!</definedName>
    <definedName name="sfsf">#REF!</definedName>
    <definedName name="SFX" localSheetId="4">#REF!</definedName>
    <definedName name="SFX" localSheetId="3">#REF!</definedName>
    <definedName name="SFX" localSheetId="2">#REF!</definedName>
    <definedName name="SFX" localSheetId="5">#REF!</definedName>
    <definedName name="SFX" localSheetId="6">#REF!</definedName>
    <definedName name="SFX" localSheetId="7">#REF!</definedName>
    <definedName name="SFX" localSheetId="8">#REF!</definedName>
    <definedName name="SFX" localSheetId="9">#REF!</definedName>
    <definedName name="SFX" localSheetId="10">#REF!</definedName>
    <definedName name="SFX" localSheetId="11">#REF!</definedName>
    <definedName name="SFX">#REF!</definedName>
    <definedName name="SGBU" localSheetId="4">#REF!</definedName>
    <definedName name="SGBU" localSheetId="3">#REF!</definedName>
    <definedName name="SGBU" localSheetId="2">#REF!</definedName>
    <definedName name="SGBU" localSheetId="5">#REF!</definedName>
    <definedName name="SGBU" localSheetId="6">#REF!</definedName>
    <definedName name="SGBU" localSheetId="7">#REF!</definedName>
    <definedName name="SGBU" localSheetId="8">#REF!</definedName>
    <definedName name="SGBU" localSheetId="9">#REF!</definedName>
    <definedName name="SGBU" localSheetId="10">#REF!</definedName>
    <definedName name="SGBU" localSheetId="11">#REF!</definedName>
    <definedName name="SGBU">#REF!</definedName>
    <definedName name="SGBU.Amer" localSheetId="4">#REF!</definedName>
    <definedName name="SGBU.Amer" localSheetId="3">#REF!</definedName>
    <definedName name="SGBU.Amer" localSheetId="2">#REF!</definedName>
    <definedName name="SGBU.Amer" localSheetId="5">#REF!</definedName>
    <definedName name="SGBU.Amer" localSheetId="6">#REF!</definedName>
    <definedName name="SGBU.Amer" localSheetId="7">#REF!</definedName>
    <definedName name="SGBU.Amer" localSheetId="8">#REF!</definedName>
    <definedName name="SGBU.Amer" localSheetId="9">#REF!</definedName>
    <definedName name="SGBU.Amer" localSheetId="10">#REF!</definedName>
    <definedName name="SGBU.Amer" localSheetId="11">#REF!</definedName>
    <definedName name="SGBU.Amer">#REF!</definedName>
    <definedName name="SGBU.AP" localSheetId="4">#REF!</definedName>
    <definedName name="SGBU.AP" localSheetId="3">#REF!</definedName>
    <definedName name="SGBU.AP" localSheetId="2">#REF!</definedName>
    <definedName name="SGBU.AP" localSheetId="5">#REF!</definedName>
    <definedName name="SGBU.AP" localSheetId="6">#REF!</definedName>
    <definedName name="SGBU.AP" localSheetId="7">#REF!</definedName>
    <definedName name="SGBU.AP" localSheetId="8">#REF!</definedName>
    <definedName name="SGBU.AP" localSheetId="9">#REF!</definedName>
    <definedName name="SGBU.AP" localSheetId="10">#REF!</definedName>
    <definedName name="SGBU.AP" localSheetId="11">#REF!</definedName>
    <definedName name="SGBU.AP">#REF!</definedName>
    <definedName name="SGBU.EMEA" localSheetId="4">#REF!</definedName>
    <definedName name="SGBU.EMEA" localSheetId="3">#REF!</definedName>
    <definedName name="SGBU.EMEA" localSheetId="2">#REF!</definedName>
    <definedName name="SGBU.EMEA" localSheetId="5">#REF!</definedName>
    <definedName name="SGBU.EMEA" localSheetId="6">#REF!</definedName>
    <definedName name="SGBU.EMEA" localSheetId="7">#REF!</definedName>
    <definedName name="SGBU.EMEA" localSheetId="8">#REF!</definedName>
    <definedName name="SGBU.EMEA" localSheetId="9">#REF!</definedName>
    <definedName name="SGBU.EMEA" localSheetId="10">#REF!</definedName>
    <definedName name="SGBU.EMEA" localSheetId="11">#REF!</definedName>
    <definedName name="SGBU.EMEA">#REF!</definedName>
    <definedName name="SGHR5YFG" localSheetId="4" hidden="1">{#N/A,#N/A,TRUE,"Distribution";#N/A,#N/A,TRUE,"Fulfillment";#N/A,#N/A,TRUE,"Aged Backorders"}</definedName>
    <definedName name="SGHR5YFG" localSheetId="3" hidden="1">{#N/A,#N/A,TRUE,"Distribution";#N/A,#N/A,TRUE,"Fulfillment";#N/A,#N/A,TRUE,"Aged Backorders"}</definedName>
    <definedName name="SGHR5YFG" localSheetId="2" hidden="1">{#N/A,#N/A,TRUE,"Distribution";#N/A,#N/A,TRUE,"Fulfillment";#N/A,#N/A,TRUE,"Aged Backorders"}</definedName>
    <definedName name="SGHR5YFG" localSheetId="8" hidden="1">{#N/A,#N/A,TRUE,"Distribution";#N/A,#N/A,TRUE,"Fulfillment";#N/A,#N/A,TRUE,"Aged Backorders"}</definedName>
    <definedName name="SGHR5YFG" localSheetId="9" hidden="1">{#N/A,#N/A,TRUE,"Distribution";#N/A,#N/A,TRUE,"Fulfillment";#N/A,#N/A,TRUE,"Aged Backorders"}</definedName>
    <definedName name="SGHR5YFG" localSheetId="10" hidden="1">{#N/A,#N/A,TRUE,"Distribution";#N/A,#N/A,TRUE,"Fulfillment";#N/A,#N/A,TRUE,"Aged Backorders"}</definedName>
    <definedName name="SGHR5YFG" hidden="1">{#N/A,#N/A,TRUE,"Distribution";#N/A,#N/A,TRUE,"Fulfillment";#N/A,#N/A,TRUE,"Aged Backorders"}</definedName>
    <definedName name="SHFRTH" localSheetId="4" hidden="1">{#N/A,#N/A,TRUE,"Distribution";#N/A,#N/A,TRUE,"Fulfillment";#N/A,#N/A,TRUE,"Aged Backorders"}</definedName>
    <definedName name="SHFRTH" localSheetId="3" hidden="1">{#N/A,#N/A,TRUE,"Distribution";#N/A,#N/A,TRUE,"Fulfillment";#N/A,#N/A,TRUE,"Aged Backorders"}</definedName>
    <definedName name="SHFRTH" localSheetId="2" hidden="1">{#N/A,#N/A,TRUE,"Distribution";#N/A,#N/A,TRUE,"Fulfillment";#N/A,#N/A,TRUE,"Aged Backorders"}</definedName>
    <definedName name="SHFRTH" localSheetId="8" hidden="1">{#N/A,#N/A,TRUE,"Distribution";#N/A,#N/A,TRUE,"Fulfillment";#N/A,#N/A,TRUE,"Aged Backorders"}</definedName>
    <definedName name="SHFRTH" localSheetId="9" hidden="1">{#N/A,#N/A,TRUE,"Distribution";#N/A,#N/A,TRUE,"Fulfillment";#N/A,#N/A,TRUE,"Aged Backorders"}</definedName>
    <definedName name="SHFRTH" localSheetId="10" hidden="1">{#N/A,#N/A,TRUE,"Distribution";#N/A,#N/A,TRUE,"Fulfillment";#N/A,#N/A,TRUE,"Aged Backorders"}</definedName>
    <definedName name="SHFRTH" hidden="1">{#N/A,#N/A,TRUE,"Distribution";#N/A,#N/A,TRUE,"Fulfillment";#N/A,#N/A,TRUE,"Aged Backorders"}</definedName>
    <definedName name="ShowZeroValues">"TRUE"</definedName>
    <definedName name="SII_Var_by_Lane_per_container" localSheetId="4">[13]Sheet2!$B$5:$P$18</definedName>
    <definedName name="SII_Var_by_Lane_per_container" localSheetId="3">[13]Sheet2!$B$5:$P$18</definedName>
    <definedName name="SII_Var_by_Lane_per_container" localSheetId="2">[13]Sheet2!$B$5:$P$18</definedName>
    <definedName name="SII_Var_by_Lane_per_container" localSheetId="5">[13]Sheet2!$B$5:$P$18</definedName>
    <definedName name="SII_Var_by_Lane_per_container" localSheetId="6">[13]Sheet2!$B$5:$P$18</definedName>
    <definedName name="SII_Var_by_Lane_per_container" localSheetId="7">[13]Sheet2!$B$5:$P$18</definedName>
    <definedName name="SII_Var_by_Lane_per_container" localSheetId="8">[77]Sheet2!$B$5:$P$18</definedName>
    <definedName name="SII_Var_by_Lane_per_container" localSheetId="9">[77]Sheet2!$B$5:$P$18</definedName>
    <definedName name="SII_Var_by_Lane_per_container" localSheetId="10">[8]Sheet2!$B$5:$P$18</definedName>
    <definedName name="SII_Var_by_Lane_per_container">[10]Sheet2!$B$5:$P$18</definedName>
    <definedName name="sim" localSheetId="4" hidden="1">{#N/A,#N/A,TRUE,"Distribution";#N/A,#N/A,TRUE,"Fulfillment";#N/A,#N/A,TRUE,"Aged Backorders"}</definedName>
    <definedName name="sim" localSheetId="3" hidden="1">{#N/A,#N/A,TRUE,"Distribution";#N/A,#N/A,TRUE,"Fulfillment";#N/A,#N/A,TRUE,"Aged Backorders"}</definedName>
    <definedName name="sim" localSheetId="2" hidden="1">{#N/A,#N/A,TRUE,"Distribution";#N/A,#N/A,TRUE,"Fulfillment";#N/A,#N/A,TRUE,"Aged Backorders"}</definedName>
    <definedName name="sim" localSheetId="8" hidden="1">{#N/A,#N/A,TRUE,"Distribution";#N/A,#N/A,TRUE,"Fulfillment";#N/A,#N/A,TRUE,"Aged Backorders"}</definedName>
    <definedName name="sim" localSheetId="9" hidden="1">{#N/A,#N/A,TRUE,"Distribution";#N/A,#N/A,TRUE,"Fulfillment";#N/A,#N/A,TRUE,"Aged Backorders"}</definedName>
    <definedName name="sim" localSheetId="10" hidden="1">{#N/A,#N/A,TRUE,"Distribution";#N/A,#N/A,TRUE,"Fulfillment";#N/A,#N/A,TRUE,"Aged Backorders"}</definedName>
    <definedName name="sim" hidden="1">{#N/A,#N/A,TRUE,"Distribution";#N/A,#N/A,TRUE,"Fulfillment";#N/A,#N/A,TRUE,"Aged Backorders"}</definedName>
    <definedName name="SixMonthsBack" localSheetId="4">#REF!</definedName>
    <definedName name="SixMonthsBack" localSheetId="3">#REF!</definedName>
    <definedName name="SixMonthsBack" localSheetId="2">#REF!</definedName>
    <definedName name="SixMonthsBack" localSheetId="5">#REF!</definedName>
    <definedName name="SixMonthsBack" localSheetId="6">#REF!</definedName>
    <definedName name="SixMonthsBack" localSheetId="7">#REF!</definedName>
    <definedName name="SixMonthsBack" localSheetId="8">#REF!</definedName>
    <definedName name="SixMonthsBack" localSheetId="9">#REF!</definedName>
    <definedName name="SixMonthsBack" localSheetId="10">#REF!</definedName>
    <definedName name="SixMonthsBack" localSheetId="11">#REF!</definedName>
    <definedName name="SixMonthsBack">#REF!</definedName>
    <definedName name="SJHAN" localSheetId="4">#REF!</definedName>
    <definedName name="SJHAN" localSheetId="3">#REF!</definedName>
    <definedName name="SJHAN" localSheetId="2">#REF!</definedName>
    <definedName name="SJHAN" localSheetId="5">#REF!</definedName>
    <definedName name="SJHAN" localSheetId="6">#REF!</definedName>
    <definedName name="SJHAN" localSheetId="7">#REF!</definedName>
    <definedName name="SJHAN" localSheetId="8">#REF!</definedName>
    <definedName name="SJHAN" localSheetId="9">#REF!</definedName>
    <definedName name="SJHAN" localSheetId="10">#REF!</definedName>
    <definedName name="SJHAN" localSheetId="11">#REF!</definedName>
    <definedName name="SJHAN">#REF!</definedName>
    <definedName name="SKU_duplicates" localSheetId="4">'[44]SKU Data Input'!$BN$7:$BN$238</definedName>
    <definedName name="SKU_duplicates" localSheetId="3">'[44]SKU Data Input'!$BN$7:$BN$238</definedName>
    <definedName name="SKU_duplicates" localSheetId="2">'[44]SKU Data Input'!$BN$7:$BN$238</definedName>
    <definedName name="SKU_duplicates" localSheetId="5">'[44]SKU Data Input'!$BN$7:$BN$238</definedName>
    <definedName name="SKU_duplicates" localSheetId="6">'[44]SKU Data Input'!$BN$7:$BN$238</definedName>
    <definedName name="SKU_duplicates" localSheetId="7">'[44]SKU Data Input'!$BN$7:$BN$238</definedName>
    <definedName name="SKU_duplicates" localSheetId="8">'[44]SKU Data Input'!$BN$7:$BN$238</definedName>
    <definedName name="SKU_duplicates" localSheetId="9">'[44]SKU Data Input'!$BN$7:$BN$238</definedName>
    <definedName name="SKU_duplicates" localSheetId="10">'[19]SKU Data Input'!$BN$7:$BN$238</definedName>
    <definedName name="SKU_duplicates">'[33]SKU Data Input'!$BN$7:$BN$238</definedName>
    <definedName name="SLIDE" localSheetId="4">#REF!</definedName>
    <definedName name="SLIDE" localSheetId="3">#REF!</definedName>
    <definedName name="SLIDE" localSheetId="2">#REF!</definedName>
    <definedName name="SLIDE" localSheetId="5">#REF!</definedName>
    <definedName name="SLIDE" localSheetId="6">#REF!</definedName>
    <definedName name="SLIDE" localSheetId="7">#REF!</definedName>
    <definedName name="SLIDE" localSheetId="8">#REF!</definedName>
    <definedName name="SLIDE" localSheetId="9">#REF!</definedName>
    <definedName name="SLIDE" localSheetId="10">#REF!</definedName>
    <definedName name="SLIDE" localSheetId="11">#REF!</definedName>
    <definedName name="SLIDE">#REF!</definedName>
    <definedName name="SLIDERS" localSheetId="4">#REF!</definedName>
    <definedName name="SLIDERS" localSheetId="3">#REF!</definedName>
    <definedName name="SLIDERS" localSheetId="2">#REF!</definedName>
    <definedName name="SLIDERS" localSheetId="5">#REF!</definedName>
    <definedName name="SLIDERS" localSheetId="6">#REF!</definedName>
    <definedName name="SLIDERS" localSheetId="7">#REF!</definedName>
    <definedName name="SLIDERS" localSheetId="8">#REF!</definedName>
    <definedName name="SLIDERS" localSheetId="9">#REF!</definedName>
    <definedName name="SLIDERS" localSheetId="10">#REF!</definedName>
    <definedName name="SLIDERS" localSheetId="11">#REF!</definedName>
    <definedName name="SLIDERS">#REF!</definedName>
    <definedName name="Sname">'[59]Kautex 4WD St.IV P&amp;D:Sachs FL WHL'!$E$4</definedName>
    <definedName name="SO_NOMRP">""</definedName>
    <definedName name="SOP" localSheetId="4">[46]Glossary!$B$33</definedName>
    <definedName name="SOP" localSheetId="3">[46]Glossary!$B$33</definedName>
    <definedName name="SOP" localSheetId="2">[46]Glossary!$B$33</definedName>
    <definedName name="SOP" localSheetId="5">[46]Glossary!$B$33</definedName>
    <definedName name="SOP" localSheetId="6">[46]Glossary!$B$33</definedName>
    <definedName name="SOP" localSheetId="7">[46]Glossary!$B$33</definedName>
    <definedName name="SOP" localSheetId="8">[46]Glossary!$B$33</definedName>
    <definedName name="SOP" localSheetId="9">[46]Glossary!$B$33</definedName>
    <definedName name="SOP" localSheetId="10">[88]Glossary!$B$33</definedName>
    <definedName name="SOP">[35]Glossary!$B$33</definedName>
    <definedName name="Sort" localSheetId="4">#REF!</definedName>
    <definedName name="Sort" localSheetId="3">#REF!</definedName>
    <definedName name="Sort" localSheetId="2">#REF!</definedName>
    <definedName name="Sort" localSheetId="5">#REF!</definedName>
    <definedName name="Sort" localSheetId="6">#REF!</definedName>
    <definedName name="Sort" localSheetId="7">#REF!</definedName>
    <definedName name="Sort" localSheetId="8">#REF!</definedName>
    <definedName name="Sort" localSheetId="9">#REF!</definedName>
    <definedName name="Sort" localSheetId="10">#REF!</definedName>
    <definedName name="Sort" localSheetId="11">#REF!</definedName>
    <definedName name="Sort">#REF!</definedName>
    <definedName name="SORT1" localSheetId="4">[16]!SORT1</definedName>
    <definedName name="SORT1" localSheetId="3">[16]!SORT1</definedName>
    <definedName name="SORT1" localSheetId="2">[16]!SORT1</definedName>
    <definedName name="SORT1" localSheetId="5">[16]!SORT1</definedName>
    <definedName name="SORT1" localSheetId="6">[16]!SORT1</definedName>
    <definedName name="SORT1" localSheetId="7">[16]!SORT1</definedName>
    <definedName name="SORT1" localSheetId="8">[16]!SORT1</definedName>
    <definedName name="SORT1" localSheetId="9">[16]!SORT1</definedName>
    <definedName name="SORT1" localSheetId="10">[67]!SORT1</definedName>
    <definedName name="SORT1">[12]!SORT1</definedName>
    <definedName name="SORT2" localSheetId="4">[16]!SORT2</definedName>
    <definedName name="SORT2" localSheetId="3">[16]!SORT2</definedName>
    <definedName name="SORT2" localSheetId="2">[16]!SORT2</definedName>
    <definedName name="SORT2" localSheetId="5">[16]!SORT2</definedName>
    <definedName name="SORT2" localSheetId="6">[16]!SORT2</definedName>
    <definedName name="SORT2" localSheetId="7">[16]!SORT2</definedName>
    <definedName name="SORT2" localSheetId="8">[16]!SORT2</definedName>
    <definedName name="SORT2" localSheetId="9">[16]!SORT2</definedName>
    <definedName name="SORT2" localSheetId="10">[67]!SORT2</definedName>
    <definedName name="SORT2">[12]!SORT2</definedName>
    <definedName name="SORTALL" localSheetId="4">[16]!SORTALL</definedName>
    <definedName name="SORTALL" localSheetId="3">[16]!SORTALL</definedName>
    <definedName name="SORTALL" localSheetId="2">[16]!SORTALL</definedName>
    <definedName name="SORTALL" localSheetId="5">[16]!SORTALL</definedName>
    <definedName name="SORTALL" localSheetId="6">[16]!SORTALL</definedName>
    <definedName name="SORTALL" localSheetId="7">[16]!SORTALL</definedName>
    <definedName name="SORTALL" localSheetId="8">[16]!SORTALL</definedName>
    <definedName name="SORTALL" localSheetId="9">[16]!SORTALL</definedName>
    <definedName name="SORTALL" localSheetId="10">[67]!SORTALL</definedName>
    <definedName name="SORTALL">[12]!SORTALL</definedName>
    <definedName name="Spectra_Production_Reliability_Data_Database_List" localSheetId="4">#REF!</definedName>
    <definedName name="Spectra_Production_Reliability_Data_Database_List" localSheetId="3">#REF!</definedName>
    <definedName name="Spectra_Production_Reliability_Data_Database_List" localSheetId="2">#REF!</definedName>
    <definedName name="Spectra_Production_Reliability_Data_Database_List" localSheetId="5">#REF!</definedName>
    <definedName name="Spectra_Production_Reliability_Data_Database_List" localSheetId="6">#REF!</definedName>
    <definedName name="Spectra_Production_Reliability_Data_Database_List" localSheetId="7">#REF!</definedName>
    <definedName name="Spectra_Production_Reliability_Data_Database_List" localSheetId="8">#REF!</definedName>
    <definedName name="Spectra_Production_Reliability_Data_Database_List" localSheetId="9">#REF!</definedName>
    <definedName name="Spectra_Production_Reliability_Data_Database_List" localSheetId="10">#REF!</definedName>
    <definedName name="Spectra_Production_Reliability_Data_Database_List" localSheetId="11">#REF!</definedName>
    <definedName name="Spectra_Production_Reliability_Data_Database_List">#REF!</definedName>
    <definedName name="Spectra_Production_Reliability_Data_ISSUES_List" localSheetId="4">#REF!</definedName>
    <definedName name="Spectra_Production_Reliability_Data_ISSUES_List" localSheetId="3">#REF!</definedName>
    <definedName name="Spectra_Production_Reliability_Data_ISSUES_List" localSheetId="2">#REF!</definedName>
    <definedName name="Spectra_Production_Reliability_Data_ISSUES_List" localSheetId="5">#REF!</definedName>
    <definedName name="Spectra_Production_Reliability_Data_ISSUES_List" localSheetId="6">#REF!</definedName>
    <definedName name="Spectra_Production_Reliability_Data_ISSUES_List" localSheetId="7">#REF!</definedName>
    <definedName name="Spectra_Production_Reliability_Data_ISSUES_List" localSheetId="8">#REF!</definedName>
    <definedName name="Spectra_Production_Reliability_Data_ISSUES_List" localSheetId="9">#REF!</definedName>
    <definedName name="Spectra_Production_Reliability_Data_ISSUES_List" localSheetId="10">#REF!</definedName>
    <definedName name="Spectra_Production_Reliability_Data_ISSUES_List" localSheetId="11">#REF!</definedName>
    <definedName name="Spectra_Production_Reliability_Data_ISSUES_List">#REF!</definedName>
    <definedName name="Spectra_Production_Reliability_Data_Sheet1_List" localSheetId="4">#REF!</definedName>
    <definedName name="Spectra_Production_Reliability_Data_Sheet1_List" localSheetId="3">#REF!</definedName>
    <definedName name="Spectra_Production_Reliability_Data_Sheet1_List" localSheetId="2">#REF!</definedName>
    <definedName name="Spectra_Production_Reliability_Data_Sheet1_List" localSheetId="5">#REF!</definedName>
    <definedName name="Spectra_Production_Reliability_Data_Sheet1_List" localSheetId="6">#REF!</definedName>
    <definedName name="Spectra_Production_Reliability_Data_Sheet1_List" localSheetId="7">#REF!</definedName>
    <definedName name="Spectra_Production_Reliability_Data_Sheet1_List" localSheetId="8">#REF!</definedName>
    <definedName name="Spectra_Production_Reliability_Data_Sheet1_List" localSheetId="9">#REF!</definedName>
    <definedName name="Spectra_Production_Reliability_Data_Sheet1_List" localSheetId="10">#REF!</definedName>
    <definedName name="Spectra_Production_Reliability_Data_Sheet1_List" localSheetId="11">#REF!</definedName>
    <definedName name="Spectra_Production_Reliability_Data_Sheet1_List">#REF!</definedName>
    <definedName name="Spectra_Production_Reliability_Data_USAGE_List" localSheetId="4">#REF!</definedName>
    <definedName name="Spectra_Production_Reliability_Data_USAGE_List" localSheetId="3">#REF!</definedName>
    <definedName name="Spectra_Production_Reliability_Data_USAGE_List" localSheetId="2">#REF!</definedName>
    <definedName name="Spectra_Production_Reliability_Data_USAGE_List" localSheetId="5">#REF!</definedName>
    <definedName name="Spectra_Production_Reliability_Data_USAGE_List" localSheetId="6">#REF!</definedName>
    <definedName name="Spectra_Production_Reliability_Data_USAGE_List" localSheetId="7">#REF!</definedName>
    <definedName name="Spectra_Production_Reliability_Data_USAGE_List" localSheetId="8">#REF!</definedName>
    <definedName name="Spectra_Production_Reliability_Data_USAGE_List" localSheetId="9">#REF!</definedName>
    <definedName name="Spectra_Production_Reliability_Data_USAGE_List" localSheetId="10">#REF!</definedName>
    <definedName name="Spectra_Production_Reliability_Data_USAGE_List" localSheetId="11">#REF!</definedName>
    <definedName name="Spectra_Production_Reliability_Data_USAGE_List">#REF!</definedName>
    <definedName name="SPEND_TOTAL" localSheetId="4">#REF!</definedName>
    <definedName name="SPEND_TOTAL" localSheetId="3">#REF!</definedName>
    <definedName name="SPEND_TOTAL" localSheetId="2">#REF!</definedName>
    <definedName name="SPEND_TOTAL" localSheetId="5">#REF!</definedName>
    <definedName name="SPEND_TOTAL" localSheetId="6">#REF!</definedName>
    <definedName name="SPEND_TOTAL" localSheetId="7">#REF!</definedName>
    <definedName name="SPEND_TOTAL" localSheetId="8">#REF!</definedName>
    <definedName name="SPEND_TOTAL" localSheetId="9">#REF!</definedName>
    <definedName name="SPEND_TOTAL" localSheetId="10">#REF!</definedName>
    <definedName name="SPEND_TOTAL" localSheetId="11">#REF!</definedName>
    <definedName name="SPEND_TOTAL">#REF!</definedName>
    <definedName name="SPENT_TOTAL" localSheetId="4">#REF!</definedName>
    <definedName name="SPENT_TOTAL" localSheetId="3">#REF!</definedName>
    <definedName name="SPENT_TOTAL" localSheetId="2">#REF!</definedName>
    <definedName name="SPENT_TOTAL" localSheetId="5">#REF!</definedName>
    <definedName name="SPENT_TOTAL" localSheetId="6">#REF!</definedName>
    <definedName name="SPENT_TOTAL" localSheetId="7">#REF!</definedName>
    <definedName name="SPENT_TOTAL" localSheetId="8">#REF!</definedName>
    <definedName name="SPENT_TOTAL" localSheetId="9">#REF!</definedName>
    <definedName name="SPENT_TOTAL" localSheetId="10">#REF!</definedName>
    <definedName name="SPENT_TOTAL" localSheetId="11">#REF!</definedName>
    <definedName name="SPENT_TOTAL">#REF!</definedName>
    <definedName name="SPL" localSheetId="4">#REF!</definedName>
    <definedName name="SPL" localSheetId="3">#REF!</definedName>
    <definedName name="SPL" localSheetId="2">#REF!</definedName>
    <definedName name="SPL" localSheetId="5">#REF!</definedName>
    <definedName name="SPL" localSheetId="6">#REF!</definedName>
    <definedName name="SPL" localSheetId="7">#REF!</definedName>
    <definedName name="SPL" localSheetId="8">#REF!</definedName>
    <definedName name="SPL" localSheetId="9">#REF!</definedName>
    <definedName name="SPL" localSheetId="10">#REF!</definedName>
    <definedName name="SPL" localSheetId="11">#REF!</definedName>
    <definedName name="SPL">#REF!</definedName>
    <definedName name="SPR" localSheetId="4">[46]Glossary!$B$34</definedName>
    <definedName name="SPR" localSheetId="3">[46]Glossary!$B$34</definedName>
    <definedName name="SPR" localSheetId="2">[46]Glossary!$B$34</definedName>
    <definedName name="SPR" localSheetId="5">[46]Glossary!$B$34</definedName>
    <definedName name="SPR" localSheetId="6">[46]Glossary!$B$34</definedName>
    <definedName name="SPR" localSheetId="7">[46]Glossary!$B$34</definedName>
    <definedName name="SPR" localSheetId="8">[46]Glossary!$B$34</definedName>
    <definedName name="SPR" localSheetId="9">[46]Glossary!$B$34</definedName>
    <definedName name="SPR" localSheetId="10">[88]Glossary!$B$34</definedName>
    <definedName name="SPR">[35]Glossary!$B$34</definedName>
    <definedName name="square" localSheetId="4">#REF!</definedName>
    <definedName name="square" localSheetId="3">#REF!</definedName>
    <definedName name="square" localSheetId="2">#REF!</definedName>
    <definedName name="square" localSheetId="5">#REF!</definedName>
    <definedName name="square" localSheetId="6">#REF!</definedName>
    <definedName name="square" localSheetId="7">#REF!</definedName>
    <definedName name="square" localSheetId="8">#REF!</definedName>
    <definedName name="square" localSheetId="9">#REF!</definedName>
    <definedName name="square" localSheetId="10">#REF!</definedName>
    <definedName name="square" localSheetId="11">#REF!</definedName>
    <definedName name="square">#REF!</definedName>
    <definedName name="SRC" localSheetId="4">#REF!</definedName>
    <definedName name="SRC" localSheetId="3">#REF!</definedName>
    <definedName name="SRC" localSheetId="2">#REF!</definedName>
    <definedName name="SRC" localSheetId="5">#REF!</definedName>
    <definedName name="SRC" localSheetId="6">#REF!</definedName>
    <definedName name="SRC" localSheetId="7">#REF!</definedName>
    <definedName name="SRC" localSheetId="8">#REF!</definedName>
    <definedName name="SRC" localSheetId="9">#REF!</definedName>
    <definedName name="SRC" localSheetId="10">#REF!</definedName>
    <definedName name="SRC" localSheetId="11">#REF!</definedName>
    <definedName name="SRC">#REF!</definedName>
    <definedName name="SRCV" localSheetId="4">#REF!</definedName>
    <definedName name="SRCV" localSheetId="3">#REF!</definedName>
    <definedName name="SRCV" localSheetId="2">#REF!</definedName>
    <definedName name="SRCV" localSheetId="5">#REF!</definedName>
    <definedName name="SRCV" localSheetId="6">#REF!</definedName>
    <definedName name="SRCV" localSheetId="7">#REF!</definedName>
    <definedName name="SRCV" localSheetId="8">#REF!</definedName>
    <definedName name="SRCV" localSheetId="9">#REF!</definedName>
    <definedName name="SRCV" localSheetId="10">#REF!</definedName>
    <definedName name="SRCV" localSheetId="11">#REF!</definedName>
    <definedName name="SRCV">#REF!</definedName>
    <definedName name="SRL" localSheetId="4">#REF!</definedName>
    <definedName name="SRL" localSheetId="3">#REF!</definedName>
    <definedName name="SRL" localSheetId="2">#REF!</definedName>
    <definedName name="SRL" localSheetId="5">#REF!</definedName>
    <definedName name="SRL" localSheetId="6">#REF!</definedName>
    <definedName name="SRL" localSheetId="7">#REF!</definedName>
    <definedName name="SRL" localSheetId="8">#REF!</definedName>
    <definedName name="SRL" localSheetId="9">#REF!</definedName>
    <definedName name="SRL" localSheetId="10">#REF!</definedName>
    <definedName name="SRL" localSheetId="11">#REF!</definedName>
    <definedName name="SRL">#REF!</definedName>
    <definedName name="ss" localSheetId="4">#REF!</definedName>
    <definedName name="ss" localSheetId="3">#REF!</definedName>
    <definedName name="ss" localSheetId="2">#REF!</definedName>
    <definedName name="ss" localSheetId="5">#REF!</definedName>
    <definedName name="ss" localSheetId="6">#REF!</definedName>
    <definedName name="ss" localSheetId="7">#REF!</definedName>
    <definedName name="ss" localSheetId="8">#REF!</definedName>
    <definedName name="ss" localSheetId="9">#REF!</definedName>
    <definedName name="ss" localSheetId="10">#REF!</definedName>
    <definedName name="ss" localSheetId="11">#REF!</definedName>
    <definedName name="ss">#REF!</definedName>
    <definedName name="SSe" localSheetId="4">#REF!</definedName>
    <definedName name="SSe" localSheetId="3">#REF!</definedName>
    <definedName name="SSe" localSheetId="2">#REF!</definedName>
    <definedName name="SSe" localSheetId="5">#REF!</definedName>
    <definedName name="SSe" localSheetId="6">#REF!</definedName>
    <definedName name="SSe" localSheetId="7">#REF!</definedName>
    <definedName name="SSe" localSheetId="8">#REF!</definedName>
    <definedName name="SSe" localSheetId="9">#REF!</definedName>
    <definedName name="SSe" localSheetId="10">#REF!</definedName>
    <definedName name="SSe" localSheetId="11">#REF!</definedName>
    <definedName name="SSe">#REF!</definedName>
    <definedName name="SSo" localSheetId="4">#REF!</definedName>
    <definedName name="SSo" localSheetId="3">#REF!</definedName>
    <definedName name="SSo" localSheetId="2">#REF!</definedName>
    <definedName name="SSo" localSheetId="5">#REF!</definedName>
    <definedName name="SSo" localSheetId="6">#REF!</definedName>
    <definedName name="SSo" localSheetId="7">#REF!</definedName>
    <definedName name="SSo" localSheetId="8">#REF!</definedName>
    <definedName name="SSo" localSheetId="9">#REF!</definedName>
    <definedName name="SSo" localSheetId="10">#REF!</definedName>
    <definedName name="SSo" localSheetId="11">#REF!</definedName>
    <definedName name="SSo">#REF!</definedName>
    <definedName name="SSop" localSheetId="4">#REF!</definedName>
    <definedName name="SSop" localSheetId="3">#REF!</definedName>
    <definedName name="SSop" localSheetId="2">#REF!</definedName>
    <definedName name="SSop" localSheetId="5">#REF!</definedName>
    <definedName name="SSop" localSheetId="6">#REF!</definedName>
    <definedName name="SSop" localSheetId="7">#REF!</definedName>
    <definedName name="SSop" localSheetId="8">#REF!</definedName>
    <definedName name="SSop" localSheetId="9">#REF!</definedName>
    <definedName name="SSop" localSheetId="10">#REF!</definedName>
    <definedName name="SSop" localSheetId="11">#REF!</definedName>
    <definedName name="SSop">#REF!</definedName>
    <definedName name="SSp" localSheetId="4">#REF!</definedName>
    <definedName name="SSp" localSheetId="3">#REF!</definedName>
    <definedName name="SSp" localSheetId="2">#REF!</definedName>
    <definedName name="SSp" localSheetId="5">#REF!</definedName>
    <definedName name="SSp" localSheetId="6">#REF!</definedName>
    <definedName name="SSp" localSheetId="7">#REF!</definedName>
    <definedName name="SSp" localSheetId="8">#REF!</definedName>
    <definedName name="SSp" localSheetId="9">#REF!</definedName>
    <definedName name="SSp" localSheetId="10">#REF!</definedName>
    <definedName name="SSp" localSheetId="11">#REF!</definedName>
    <definedName name="SSp">#REF!</definedName>
    <definedName name="sss">#N/A</definedName>
    <definedName name="ssss" localSheetId="4" hidden="1">{#N/A,#N/A,TRUE,"Distribution";#N/A,#N/A,TRUE,"Fulfillment";#N/A,#N/A,TRUE,"Aged Backorders"}</definedName>
    <definedName name="ssss" localSheetId="3" hidden="1">{#N/A,#N/A,TRUE,"Distribution";#N/A,#N/A,TRUE,"Fulfillment";#N/A,#N/A,TRUE,"Aged Backorders"}</definedName>
    <definedName name="ssss" localSheetId="2" hidden="1">{#N/A,#N/A,TRUE,"Distribution";#N/A,#N/A,TRUE,"Fulfillment";#N/A,#N/A,TRUE,"Aged Backorders"}</definedName>
    <definedName name="ssss" localSheetId="8" hidden="1">{#N/A,#N/A,TRUE,"Distribution";#N/A,#N/A,TRUE,"Fulfillment";#N/A,#N/A,TRUE,"Aged Backorders"}</definedName>
    <definedName name="ssss" localSheetId="9" hidden="1">{#N/A,#N/A,TRUE,"Distribution";#N/A,#N/A,TRUE,"Fulfillment";#N/A,#N/A,TRUE,"Aged Backorders"}</definedName>
    <definedName name="ssss" localSheetId="10" hidden="1">{#N/A,#N/A,TRUE,"Distribution";#N/A,#N/A,TRUE,"Fulfillment";#N/A,#N/A,TRUE,"Aged Backorders"}</definedName>
    <definedName name="ssss" hidden="1">{#N/A,#N/A,TRUE,"Distribution";#N/A,#N/A,TRUE,"Fulfillment";#N/A,#N/A,TRUE,"Aged Backorders"}</definedName>
    <definedName name="ST" localSheetId="4">#REF!</definedName>
    <definedName name="ST" localSheetId="3">#REF!</definedName>
    <definedName name="ST" localSheetId="2">#REF!</definedName>
    <definedName name="ST" localSheetId="5">#REF!</definedName>
    <definedName name="ST" localSheetId="6">#REF!</definedName>
    <definedName name="ST" localSheetId="7">#REF!</definedName>
    <definedName name="ST" localSheetId="8">#REF!</definedName>
    <definedName name="ST" localSheetId="9">#REF!</definedName>
    <definedName name="ST" localSheetId="10">#REF!</definedName>
    <definedName name="ST" localSheetId="11">#REF!</definedName>
    <definedName name="ST">#REF!</definedName>
    <definedName name="ST_POS" localSheetId="4">#REF!</definedName>
    <definedName name="ST_POS" localSheetId="3">#REF!</definedName>
    <definedName name="ST_POS" localSheetId="2">#REF!</definedName>
    <definedName name="ST_POS" localSheetId="5">#REF!</definedName>
    <definedName name="ST_POS" localSheetId="6">#REF!</definedName>
    <definedName name="ST_POS" localSheetId="7">#REF!</definedName>
    <definedName name="ST_POS" localSheetId="8">#REF!</definedName>
    <definedName name="ST_POS" localSheetId="9">#REF!</definedName>
    <definedName name="ST_POS" localSheetId="10">#REF!</definedName>
    <definedName name="ST_POS" localSheetId="11">#REF!</definedName>
    <definedName name="ST_POS">#REF!</definedName>
    <definedName name="Stand" localSheetId="4">#REF!</definedName>
    <definedName name="Stand" localSheetId="3">#REF!</definedName>
    <definedName name="Stand" localSheetId="2">#REF!</definedName>
    <definedName name="Stand" localSheetId="5">#REF!</definedName>
    <definedName name="Stand" localSheetId="6">#REF!</definedName>
    <definedName name="Stand" localSheetId="7">#REF!</definedName>
    <definedName name="Stand" localSheetId="8">#REF!</definedName>
    <definedName name="Stand" localSheetId="9">#REF!</definedName>
    <definedName name="Stand" localSheetId="10">#REF!</definedName>
    <definedName name="Stand" localSheetId="11">#REF!</definedName>
    <definedName name="Stand">#REF!</definedName>
    <definedName name="Start">"AutoForm 2"</definedName>
    <definedName name="START_DD_H">"2008-05-13"</definedName>
    <definedName name="StartDate" localSheetId="4">[49]LOV!$A$1</definedName>
    <definedName name="StartDate" localSheetId="3">[49]LOV!$A$1</definedName>
    <definedName name="StartDate" localSheetId="2">[49]LOV!$A$1</definedName>
    <definedName name="StartDate" localSheetId="5">[49]LOV!$A$1</definedName>
    <definedName name="StartDate" localSheetId="6">[49]LOV!$A$1</definedName>
    <definedName name="StartDate" localSheetId="7">[49]LOV!$A$1</definedName>
    <definedName name="StartDate" localSheetId="8">[50]LOV!$A$1</definedName>
    <definedName name="StartDate" localSheetId="9">[50]LOV!$A$1</definedName>
    <definedName name="StartDate" localSheetId="10">[89]LOV!$A$1</definedName>
    <definedName name="StartDate">[38]LOV!$A$1</definedName>
    <definedName name="startup" localSheetId="4">#REF!</definedName>
    <definedName name="startup" localSheetId="3">#REF!</definedName>
    <definedName name="startup" localSheetId="2">#REF!</definedName>
    <definedName name="startup" localSheetId="5">#REF!</definedName>
    <definedName name="startup" localSheetId="6">#REF!</definedName>
    <definedName name="startup" localSheetId="7">#REF!</definedName>
    <definedName name="startup" localSheetId="8">#REF!</definedName>
    <definedName name="startup" localSheetId="9">#REF!</definedName>
    <definedName name="startup" localSheetId="10">#REF!</definedName>
    <definedName name="startup" localSheetId="11">#REF!</definedName>
    <definedName name="startup">#REF!</definedName>
    <definedName name="StatsGraphs_Cp" localSheetId="4">#REF!</definedName>
    <definedName name="StatsGraphs_Cp" localSheetId="3">#REF!</definedName>
    <definedName name="StatsGraphs_Cp" localSheetId="2">#REF!</definedName>
    <definedName name="StatsGraphs_Cp" localSheetId="5">#REF!</definedName>
    <definedName name="StatsGraphs_Cp" localSheetId="6">#REF!</definedName>
    <definedName name="StatsGraphs_Cp" localSheetId="7">#REF!</definedName>
    <definedName name="StatsGraphs_Cp" localSheetId="8">#REF!</definedName>
    <definedName name="StatsGraphs_Cp" localSheetId="9">#REF!</definedName>
    <definedName name="StatsGraphs_Cp" localSheetId="10">#REF!</definedName>
    <definedName name="StatsGraphs_Cp" localSheetId="11">#REF!</definedName>
    <definedName name="StatsGraphs_Cp">#REF!</definedName>
    <definedName name="StatsGraphs_Data" localSheetId="4">#REF!</definedName>
    <definedName name="StatsGraphs_Data" localSheetId="3">#REF!</definedName>
    <definedName name="StatsGraphs_Data" localSheetId="2">#REF!</definedName>
    <definedName name="StatsGraphs_Data" localSheetId="5">#REF!</definedName>
    <definedName name="StatsGraphs_Data" localSheetId="6">#REF!</definedName>
    <definedName name="StatsGraphs_Data" localSheetId="7">#REF!</definedName>
    <definedName name="StatsGraphs_Data" localSheetId="8">#REF!</definedName>
    <definedName name="StatsGraphs_Data" localSheetId="9">#REF!</definedName>
    <definedName name="StatsGraphs_Data" localSheetId="10">#REF!</definedName>
    <definedName name="StatsGraphs_Data" localSheetId="11">#REF!</definedName>
    <definedName name="StatsGraphs_Data">#REF!</definedName>
    <definedName name="StatsGraphs_DataSource" localSheetId="4">#REF!</definedName>
    <definedName name="StatsGraphs_DataSource" localSheetId="3">#REF!</definedName>
    <definedName name="StatsGraphs_DataSource" localSheetId="2">#REF!</definedName>
    <definedName name="StatsGraphs_DataSource" localSheetId="5">#REF!</definedName>
    <definedName name="StatsGraphs_DataSource" localSheetId="6">#REF!</definedName>
    <definedName name="StatsGraphs_DataSource" localSheetId="7">#REF!</definedName>
    <definedName name="StatsGraphs_DataSource" localSheetId="8">#REF!</definedName>
    <definedName name="StatsGraphs_DataSource" localSheetId="9">#REF!</definedName>
    <definedName name="StatsGraphs_DataSource" localSheetId="10">#REF!</definedName>
    <definedName name="StatsGraphs_DataSource" localSheetId="11">#REF!</definedName>
    <definedName name="StatsGraphs_DataSource">#REF!</definedName>
    <definedName name="StatsGraphs_Dimension" localSheetId="4">#REF!</definedName>
    <definedName name="StatsGraphs_Dimension" localSheetId="3">#REF!</definedName>
    <definedName name="StatsGraphs_Dimension" localSheetId="2">#REF!</definedName>
    <definedName name="StatsGraphs_Dimension" localSheetId="5">#REF!</definedName>
    <definedName name="StatsGraphs_Dimension" localSheetId="6">#REF!</definedName>
    <definedName name="StatsGraphs_Dimension" localSheetId="7">#REF!</definedName>
    <definedName name="StatsGraphs_Dimension" localSheetId="8">#REF!</definedName>
    <definedName name="StatsGraphs_Dimension" localSheetId="9">#REF!</definedName>
    <definedName name="StatsGraphs_Dimension" localSheetId="10">#REF!</definedName>
    <definedName name="StatsGraphs_Dimension" localSheetId="11">#REF!</definedName>
    <definedName name="StatsGraphs_Dimension">#REF!</definedName>
    <definedName name="StatsGraphs_Dimension_LShift" localSheetId="4">'[41]Stats Graph Template'!$L$9</definedName>
    <definedName name="StatsGraphs_Dimension_LShift" localSheetId="3">'[41]Stats Graph Template'!$L$9</definedName>
    <definedName name="StatsGraphs_Dimension_LShift" localSheetId="2">'[41]Stats Graph Template'!$L$9</definedName>
    <definedName name="StatsGraphs_Dimension_LShift" localSheetId="5">'[41]Stats Graph Template'!$L$9</definedName>
    <definedName name="StatsGraphs_Dimension_LShift" localSheetId="6">'[41]Stats Graph Template'!$L$9</definedName>
    <definedName name="StatsGraphs_Dimension_LShift" localSheetId="7">'[41]Stats Graph Template'!$L$9</definedName>
    <definedName name="StatsGraphs_Dimension_LShift" localSheetId="10">'[87]Stats Graph Template'!$L$9</definedName>
    <definedName name="StatsGraphs_Dimension_LShift">'[31]Stats Graph Template'!$L$9</definedName>
    <definedName name="StatsGraphs_Dimension_LSL" localSheetId="4">'[41]Stats Graph Template'!$L$7</definedName>
    <definedName name="StatsGraphs_Dimension_LSL" localSheetId="3">'[41]Stats Graph Template'!$L$7</definedName>
    <definedName name="StatsGraphs_Dimension_LSL" localSheetId="2">'[41]Stats Graph Template'!$L$7</definedName>
    <definedName name="StatsGraphs_Dimension_LSL" localSheetId="5">'[41]Stats Graph Template'!$L$7</definedName>
    <definedName name="StatsGraphs_Dimension_LSL" localSheetId="6">'[41]Stats Graph Template'!$L$7</definedName>
    <definedName name="StatsGraphs_Dimension_LSL" localSheetId="7">'[41]Stats Graph Template'!$L$7</definedName>
    <definedName name="StatsGraphs_Dimension_LSL" localSheetId="10">'[87]Stats Graph Template'!$L$7</definedName>
    <definedName name="StatsGraphs_Dimension_LSL">'[31]Stats Graph Template'!$L$7</definedName>
    <definedName name="StatsGraphs_Dimension_Max" localSheetId="4">#REF!</definedName>
    <definedName name="StatsGraphs_Dimension_Max" localSheetId="3">#REF!</definedName>
    <definedName name="StatsGraphs_Dimension_Max" localSheetId="2">#REF!</definedName>
    <definedName name="StatsGraphs_Dimension_Max" localSheetId="5">#REF!</definedName>
    <definedName name="StatsGraphs_Dimension_Max" localSheetId="6">#REF!</definedName>
    <definedName name="StatsGraphs_Dimension_Max" localSheetId="7">#REF!</definedName>
    <definedName name="StatsGraphs_Dimension_Max" localSheetId="8">#REF!</definedName>
    <definedName name="StatsGraphs_Dimension_Max" localSheetId="9">#REF!</definedName>
    <definedName name="StatsGraphs_Dimension_Max" localSheetId="10">#REF!</definedName>
    <definedName name="StatsGraphs_Dimension_Max" localSheetId="11">#REF!</definedName>
    <definedName name="StatsGraphs_Dimension_Max">#REF!</definedName>
    <definedName name="StatsGraphs_Dimension_Mean" localSheetId="4">#REF!</definedName>
    <definedName name="StatsGraphs_Dimension_Mean" localSheetId="3">#REF!</definedName>
    <definedName name="StatsGraphs_Dimension_Mean" localSheetId="2">#REF!</definedName>
    <definedName name="StatsGraphs_Dimension_Mean" localSheetId="5">#REF!</definedName>
    <definedName name="StatsGraphs_Dimension_Mean" localSheetId="6">#REF!</definedName>
    <definedName name="StatsGraphs_Dimension_Mean" localSheetId="7">#REF!</definedName>
    <definedName name="StatsGraphs_Dimension_Mean" localSheetId="8">#REF!</definedName>
    <definedName name="StatsGraphs_Dimension_Mean" localSheetId="9">#REF!</definedName>
    <definedName name="StatsGraphs_Dimension_Mean" localSheetId="10">#REF!</definedName>
    <definedName name="StatsGraphs_Dimension_Mean" localSheetId="11">#REF!</definedName>
    <definedName name="StatsGraphs_Dimension_Mean">#REF!</definedName>
    <definedName name="StatsGraphs_Dimension_Min" localSheetId="4">#REF!</definedName>
    <definedName name="StatsGraphs_Dimension_Min" localSheetId="3">#REF!</definedName>
    <definedName name="StatsGraphs_Dimension_Min" localSheetId="2">#REF!</definedName>
    <definedName name="StatsGraphs_Dimension_Min" localSheetId="5">#REF!</definedName>
    <definedName name="StatsGraphs_Dimension_Min" localSheetId="6">#REF!</definedName>
    <definedName name="StatsGraphs_Dimension_Min" localSheetId="7">#REF!</definedName>
    <definedName name="StatsGraphs_Dimension_Min" localSheetId="8">#REF!</definedName>
    <definedName name="StatsGraphs_Dimension_Min" localSheetId="9">#REF!</definedName>
    <definedName name="StatsGraphs_Dimension_Min" localSheetId="10">#REF!</definedName>
    <definedName name="StatsGraphs_Dimension_Min" localSheetId="11">#REF!</definedName>
    <definedName name="StatsGraphs_Dimension_Min">#REF!</definedName>
    <definedName name="StatsGraphs_Dimension_Nom" localSheetId="4">'[41]Stats Graph Template'!$L$5</definedName>
    <definedName name="StatsGraphs_Dimension_Nom" localSheetId="3">'[41]Stats Graph Template'!$L$5</definedName>
    <definedName name="StatsGraphs_Dimension_Nom" localSheetId="2">'[41]Stats Graph Template'!$L$5</definedName>
    <definedName name="StatsGraphs_Dimension_Nom" localSheetId="5">'[41]Stats Graph Template'!$L$5</definedName>
    <definedName name="StatsGraphs_Dimension_Nom" localSheetId="6">'[41]Stats Graph Template'!$L$5</definedName>
    <definedName name="StatsGraphs_Dimension_Nom" localSheetId="7">'[41]Stats Graph Template'!$L$5</definedName>
    <definedName name="StatsGraphs_Dimension_Nom" localSheetId="10">'[87]Stats Graph Template'!$L$5</definedName>
    <definedName name="StatsGraphs_Dimension_Nom">'[31]Stats Graph Template'!$L$5</definedName>
    <definedName name="StatsGraphs_Dimension_NoSamples" localSheetId="4">#REF!</definedName>
    <definedName name="StatsGraphs_Dimension_NoSamples" localSheetId="3">#REF!</definedName>
    <definedName name="StatsGraphs_Dimension_NoSamples" localSheetId="2">#REF!</definedName>
    <definedName name="StatsGraphs_Dimension_NoSamples" localSheetId="5">#REF!</definedName>
    <definedName name="StatsGraphs_Dimension_NoSamples" localSheetId="6">#REF!</definedName>
    <definedName name="StatsGraphs_Dimension_NoSamples" localSheetId="7">#REF!</definedName>
    <definedName name="StatsGraphs_Dimension_NoSamples" localSheetId="8">#REF!</definedName>
    <definedName name="StatsGraphs_Dimension_NoSamples" localSheetId="9">#REF!</definedName>
    <definedName name="StatsGraphs_Dimension_NoSamples" localSheetId="10">#REF!</definedName>
    <definedName name="StatsGraphs_Dimension_NoSamples" localSheetId="11">#REF!</definedName>
    <definedName name="StatsGraphs_Dimension_NoSamples">#REF!</definedName>
    <definedName name="StatsGraphs_Dimension_SD" localSheetId="4">#REF!</definedName>
    <definedName name="StatsGraphs_Dimension_SD" localSheetId="3">#REF!</definedName>
    <definedName name="StatsGraphs_Dimension_SD" localSheetId="2">#REF!</definedName>
    <definedName name="StatsGraphs_Dimension_SD" localSheetId="5">#REF!</definedName>
    <definedName name="StatsGraphs_Dimension_SD" localSheetId="6">#REF!</definedName>
    <definedName name="StatsGraphs_Dimension_SD" localSheetId="7">#REF!</definedName>
    <definedName name="StatsGraphs_Dimension_SD" localSheetId="8">#REF!</definedName>
    <definedName name="StatsGraphs_Dimension_SD" localSheetId="9">#REF!</definedName>
    <definedName name="StatsGraphs_Dimension_SD" localSheetId="10">#REF!</definedName>
    <definedName name="StatsGraphs_Dimension_SD" localSheetId="11">#REF!</definedName>
    <definedName name="StatsGraphs_Dimension_SD">#REF!</definedName>
    <definedName name="StatsGraphs_Dimension_UShift" localSheetId="4">'[41]Stats Graph Template'!$L$8</definedName>
    <definedName name="StatsGraphs_Dimension_UShift" localSheetId="3">'[41]Stats Graph Template'!$L$8</definedName>
    <definedName name="StatsGraphs_Dimension_UShift" localSheetId="2">'[41]Stats Graph Template'!$L$8</definedName>
    <definedName name="StatsGraphs_Dimension_UShift" localSheetId="5">'[41]Stats Graph Template'!$L$8</definedName>
    <definedName name="StatsGraphs_Dimension_UShift" localSheetId="6">'[41]Stats Graph Template'!$L$8</definedName>
    <definedName name="StatsGraphs_Dimension_UShift" localSheetId="7">'[41]Stats Graph Template'!$L$8</definedName>
    <definedName name="StatsGraphs_Dimension_UShift" localSheetId="10">'[87]Stats Graph Template'!$L$8</definedName>
    <definedName name="StatsGraphs_Dimension_UShift">'[31]Stats Graph Template'!$L$8</definedName>
    <definedName name="StatsGraphs_Dimension_USL" localSheetId="4">'[41]Stats Graph Template'!$L$6</definedName>
    <definedName name="StatsGraphs_Dimension_USL" localSheetId="3">'[41]Stats Graph Template'!$L$6</definedName>
    <definedName name="StatsGraphs_Dimension_USL" localSheetId="2">'[41]Stats Graph Template'!$L$6</definedName>
    <definedName name="StatsGraphs_Dimension_USL" localSheetId="5">'[41]Stats Graph Template'!$L$6</definedName>
    <definedName name="StatsGraphs_Dimension_USL" localSheetId="6">'[41]Stats Graph Template'!$L$6</definedName>
    <definedName name="StatsGraphs_Dimension_USL" localSheetId="7">'[41]Stats Graph Template'!$L$6</definedName>
    <definedName name="StatsGraphs_Dimension_USL" localSheetId="10">'[87]Stats Graph Template'!$L$6</definedName>
    <definedName name="StatsGraphs_Dimension_USL">'[31]Stats Graph Template'!$L$6</definedName>
    <definedName name="StatsGraphs_Header_Designer" localSheetId="4">#REF!</definedName>
    <definedName name="StatsGraphs_Header_Designer" localSheetId="3">#REF!</definedName>
    <definedName name="StatsGraphs_Header_Designer" localSheetId="2">#REF!</definedName>
    <definedName name="StatsGraphs_Header_Designer" localSheetId="5">#REF!</definedName>
    <definedName name="StatsGraphs_Header_Designer" localSheetId="6">#REF!</definedName>
    <definedName name="StatsGraphs_Header_Designer" localSheetId="7">#REF!</definedName>
    <definedName name="StatsGraphs_Header_Designer" localSheetId="8">#REF!</definedName>
    <definedName name="StatsGraphs_Header_Designer" localSheetId="9">#REF!</definedName>
    <definedName name="StatsGraphs_Header_Designer" localSheetId="10">#REF!</definedName>
    <definedName name="StatsGraphs_Header_Designer" localSheetId="11">#REF!</definedName>
    <definedName name="StatsGraphs_Header_Designer">#REF!</definedName>
    <definedName name="StatsGraphs_Header_Measurer" localSheetId="4">#REF!</definedName>
    <definedName name="StatsGraphs_Header_Measurer" localSheetId="3">#REF!</definedName>
    <definedName name="StatsGraphs_Header_Measurer" localSheetId="2">#REF!</definedName>
    <definedName name="StatsGraphs_Header_Measurer" localSheetId="5">#REF!</definedName>
    <definedName name="StatsGraphs_Header_Measurer" localSheetId="6">#REF!</definedName>
    <definedName name="StatsGraphs_Header_Measurer" localSheetId="7">#REF!</definedName>
    <definedName name="StatsGraphs_Header_Measurer" localSheetId="8">#REF!</definedName>
    <definedName name="StatsGraphs_Header_Measurer" localSheetId="9">#REF!</definedName>
    <definedName name="StatsGraphs_Header_Measurer" localSheetId="10">#REF!</definedName>
    <definedName name="StatsGraphs_Header_Measurer" localSheetId="11">#REF!</definedName>
    <definedName name="StatsGraphs_Header_Measurer">#REF!</definedName>
    <definedName name="StatsGraphs_Header_PartIssue" localSheetId="4">#REF!</definedName>
    <definedName name="StatsGraphs_Header_PartIssue" localSheetId="3">#REF!</definedName>
    <definedName name="StatsGraphs_Header_PartIssue" localSheetId="2">#REF!</definedName>
    <definedName name="StatsGraphs_Header_PartIssue" localSheetId="5">#REF!</definedName>
    <definedName name="StatsGraphs_Header_PartIssue" localSheetId="6">#REF!</definedName>
    <definedName name="StatsGraphs_Header_PartIssue" localSheetId="7">#REF!</definedName>
    <definedName name="StatsGraphs_Header_PartIssue" localSheetId="8">#REF!</definedName>
    <definedName name="StatsGraphs_Header_PartIssue" localSheetId="9">#REF!</definedName>
    <definedName name="StatsGraphs_Header_PartIssue" localSheetId="10">#REF!</definedName>
    <definedName name="StatsGraphs_Header_PartIssue" localSheetId="11">#REF!</definedName>
    <definedName name="StatsGraphs_Header_PartIssue">#REF!</definedName>
    <definedName name="StatsGraphs_Header_PartName" localSheetId="4">#REF!</definedName>
    <definedName name="StatsGraphs_Header_PartName" localSheetId="3">#REF!</definedName>
    <definedName name="StatsGraphs_Header_PartName" localSheetId="2">#REF!</definedName>
    <definedName name="StatsGraphs_Header_PartName" localSheetId="5">#REF!</definedName>
    <definedName name="StatsGraphs_Header_PartName" localSheetId="6">#REF!</definedName>
    <definedName name="StatsGraphs_Header_PartName" localSheetId="7">#REF!</definedName>
    <definedName name="StatsGraphs_Header_PartName" localSheetId="8">#REF!</definedName>
    <definedName name="StatsGraphs_Header_PartName" localSheetId="9">#REF!</definedName>
    <definedName name="StatsGraphs_Header_PartName" localSheetId="10">#REF!</definedName>
    <definedName name="StatsGraphs_Header_PartName" localSheetId="11">#REF!</definedName>
    <definedName name="StatsGraphs_Header_PartName">#REF!</definedName>
    <definedName name="StatsGraphs_Header_PartNumber" localSheetId="4">#REF!</definedName>
    <definedName name="StatsGraphs_Header_PartNumber" localSheetId="3">#REF!</definedName>
    <definedName name="StatsGraphs_Header_PartNumber" localSheetId="2">#REF!</definedName>
    <definedName name="StatsGraphs_Header_PartNumber" localSheetId="5">#REF!</definedName>
    <definedName name="StatsGraphs_Header_PartNumber" localSheetId="6">#REF!</definedName>
    <definedName name="StatsGraphs_Header_PartNumber" localSheetId="7">#REF!</definedName>
    <definedName name="StatsGraphs_Header_PartNumber" localSheetId="8">#REF!</definedName>
    <definedName name="StatsGraphs_Header_PartNumber" localSheetId="9">#REF!</definedName>
    <definedName name="StatsGraphs_Header_PartNumber" localSheetId="10">#REF!</definedName>
    <definedName name="StatsGraphs_Header_PartNumber" localSheetId="11">#REF!</definedName>
    <definedName name="StatsGraphs_Header_PartNumber">#REF!</definedName>
    <definedName name="StatsGraphs_Header_Reason" localSheetId="4">#REF!</definedName>
    <definedName name="StatsGraphs_Header_Reason" localSheetId="3">#REF!</definedName>
    <definedName name="StatsGraphs_Header_Reason" localSheetId="2">#REF!</definedName>
    <definedName name="StatsGraphs_Header_Reason" localSheetId="5">#REF!</definedName>
    <definedName name="StatsGraphs_Header_Reason" localSheetId="6">#REF!</definedName>
    <definedName name="StatsGraphs_Header_Reason" localSheetId="7">#REF!</definedName>
    <definedName name="StatsGraphs_Header_Reason" localSheetId="8">#REF!</definedName>
    <definedName name="StatsGraphs_Header_Reason" localSheetId="9">#REF!</definedName>
    <definedName name="StatsGraphs_Header_Reason" localSheetId="10">#REF!</definedName>
    <definedName name="StatsGraphs_Header_Reason" localSheetId="11">#REF!</definedName>
    <definedName name="StatsGraphs_Header_Reason">#REF!</definedName>
    <definedName name="StatsGraphs_Header_Requested" localSheetId="4">#REF!</definedName>
    <definedName name="StatsGraphs_Header_Requested" localSheetId="3">#REF!</definedName>
    <definedName name="StatsGraphs_Header_Requested" localSheetId="2">#REF!</definedName>
    <definedName name="StatsGraphs_Header_Requested" localSheetId="5">#REF!</definedName>
    <definedName name="StatsGraphs_Header_Requested" localSheetId="6">#REF!</definedName>
    <definedName name="StatsGraphs_Header_Requested" localSheetId="7">#REF!</definedName>
    <definedName name="StatsGraphs_Header_Requested" localSheetId="8">#REF!</definedName>
    <definedName name="StatsGraphs_Header_Requested" localSheetId="9">#REF!</definedName>
    <definedName name="StatsGraphs_Header_Requested" localSheetId="10">#REF!</definedName>
    <definedName name="StatsGraphs_Header_Requested" localSheetId="11">#REF!</definedName>
    <definedName name="StatsGraphs_Header_Requested">#REF!</definedName>
    <definedName name="StatsGraphs_Header_SampleSize" localSheetId="4">#REF!</definedName>
    <definedName name="StatsGraphs_Header_SampleSize" localSheetId="3">#REF!</definedName>
    <definedName name="StatsGraphs_Header_SampleSize" localSheetId="2">#REF!</definedName>
    <definedName name="StatsGraphs_Header_SampleSize" localSheetId="5">#REF!</definedName>
    <definedName name="StatsGraphs_Header_SampleSize" localSheetId="6">#REF!</definedName>
    <definedName name="StatsGraphs_Header_SampleSize" localSheetId="7">#REF!</definedName>
    <definedName name="StatsGraphs_Header_SampleSize" localSheetId="8">#REF!</definedName>
    <definedName name="StatsGraphs_Header_SampleSize" localSheetId="9">#REF!</definedName>
    <definedName name="StatsGraphs_Header_SampleSize" localSheetId="10">#REF!</definedName>
    <definedName name="StatsGraphs_Header_SampleSize" localSheetId="11">#REF!</definedName>
    <definedName name="StatsGraphs_Header_SampleSize">#REF!</definedName>
    <definedName name="StatsGraphs_Header_StudyEnd" localSheetId="4">#REF!</definedName>
    <definedName name="StatsGraphs_Header_StudyEnd" localSheetId="3">#REF!</definedName>
    <definedName name="StatsGraphs_Header_StudyEnd" localSheetId="2">#REF!</definedName>
    <definedName name="StatsGraphs_Header_StudyEnd" localSheetId="5">#REF!</definedName>
    <definedName name="StatsGraphs_Header_StudyEnd" localSheetId="6">#REF!</definedName>
    <definedName name="StatsGraphs_Header_StudyEnd" localSheetId="7">#REF!</definedName>
    <definedName name="StatsGraphs_Header_StudyEnd" localSheetId="8">#REF!</definedName>
    <definedName name="StatsGraphs_Header_StudyEnd" localSheetId="9">#REF!</definedName>
    <definedName name="StatsGraphs_Header_StudyEnd" localSheetId="10">#REF!</definedName>
    <definedName name="StatsGraphs_Header_StudyEnd" localSheetId="11">#REF!</definedName>
    <definedName name="StatsGraphs_Header_StudyEnd">#REF!</definedName>
    <definedName name="StatsGraphs_Header_StudyStart" localSheetId="4">#REF!</definedName>
    <definedName name="StatsGraphs_Header_StudyStart" localSheetId="3">#REF!</definedName>
    <definedName name="StatsGraphs_Header_StudyStart" localSheetId="2">#REF!</definedName>
    <definedName name="StatsGraphs_Header_StudyStart" localSheetId="5">#REF!</definedName>
    <definedName name="StatsGraphs_Header_StudyStart" localSheetId="6">#REF!</definedName>
    <definedName name="StatsGraphs_Header_StudyStart" localSheetId="7">#REF!</definedName>
    <definedName name="StatsGraphs_Header_StudyStart" localSheetId="8">#REF!</definedName>
    <definedName name="StatsGraphs_Header_StudyStart" localSheetId="9">#REF!</definedName>
    <definedName name="StatsGraphs_Header_StudyStart" localSheetId="10">#REF!</definedName>
    <definedName name="StatsGraphs_Header_StudyStart" localSheetId="11">#REF!</definedName>
    <definedName name="StatsGraphs_Header_StudyStart">#REF!</definedName>
    <definedName name="StatsGraphs_Header_Using" localSheetId="4">#REF!</definedName>
    <definedName name="StatsGraphs_Header_Using" localSheetId="3">#REF!</definedName>
    <definedName name="StatsGraphs_Header_Using" localSheetId="2">#REF!</definedName>
    <definedName name="StatsGraphs_Header_Using" localSheetId="5">#REF!</definedName>
    <definedName name="StatsGraphs_Header_Using" localSheetId="6">#REF!</definedName>
    <definedName name="StatsGraphs_Header_Using" localSheetId="7">#REF!</definedName>
    <definedName name="StatsGraphs_Header_Using" localSheetId="8">#REF!</definedName>
    <definedName name="StatsGraphs_Header_Using" localSheetId="9">#REF!</definedName>
    <definedName name="StatsGraphs_Header_Using" localSheetId="10">#REF!</definedName>
    <definedName name="StatsGraphs_Header_Using" localSheetId="11">#REF!</definedName>
    <definedName name="StatsGraphs_Header_Using">#REF!</definedName>
    <definedName name="StatsGraphs_Hist_Bins" localSheetId="4">#REF!</definedName>
    <definedName name="StatsGraphs_Hist_Bins" localSheetId="3">#REF!</definedName>
    <definedName name="StatsGraphs_Hist_Bins" localSheetId="2">#REF!</definedName>
    <definedName name="StatsGraphs_Hist_Bins" localSheetId="5">#REF!</definedName>
    <definedName name="StatsGraphs_Hist_Bins" localSheetId="6">#REF!</definedName>
    <definedName name="StatsGraphs_Hist_Bins" localSheetId="7">#REF!</definedName>
    <definedName name="StatsGraphs_Hist_Bins" localSheetId="8">#REF!</definedName>
    <definedName name="StatsGraphs_Hist_Bins" localSheetId="9">#REF!</definedName>
    <definedName name="StatsGraphs_Hist_Bins" localSheetId="10">#REF!</definedName>
    <definedName name="StatsGraphs_Hist_Bins" localSheetId="11">#REF!</definedName>
    <definedName name="StatsGraphs_Hist_Bins">#REF!</definedName>
    <definedName name="StatsGraphs_Hist_BinStart" localSheetId="4">#REF!</definedName>
    <definedName name="StatsGraphs_Hist_BinStart" localSheetId="3">#REF!</definedName>
    <definedName name="StatsGraphs_Hist_BinStart" localSheetId="2">#REF!</definedName>
    <definedName name="StatsGraphs_Hist_BinStart" localSheetId="5">#REF!</definedName>
    <definedName name="StatsGraphs_Hist_BinStart" localSheetId="6">#REF!</definedName>
    <definedName name="StatsGraphs_Hist_BinStart" localSheetId="7">#REF!</definedName>
    <definedName name="StatsGraphs_Hist_BinStart" localSheetId="8">#REF!</definedName>
    <definedName name="StatsGraphs_Hist_BinStart" localSheetId="9">#REF!</definedName>
    <definedName name="StatsGraphs_Hist_BinStart" localSheetId="10">#REF!</definedName>
    <definedName name="StatsGraphs_Hist_BinStart" localSheetId="11">#REF!</definedName>
    <definedName name="StatsGraphs_Hist_BinStart">#REF!</definedName>
    <definedName name="StatsGraphs_Hist_Data" localSheetId="4">#REF!</definedName>
    <definedName name="StatsGraphs_Hist_Data" localSheetId="3">#REF!</definedName>
    <definedName name="StatsGraphs_Hist_Data" localSheetId="2">#REF!</definedName>
    <definedName name="StatsGraphs_Hist_Data" localSheetId="5">#REF!</definedName>
    <definedName name="StatsGraphs_Hist_Data" localSheetId="6">#REF!</definedName>
    <definedName name="StatsGraphs_Hist_Data" localSheetId="7">#REF!</definedName>
    <definedName name="StatsGraphs_Hist_Data" localSheetId="8">#REF!</definedName>
    <definedName name="StatsGraphs_Hist_Data" localSheetId="9">#REF!</definedName>
    <definedName name="StatsGraphs_Hist_Data" localSheetId="10">#REF!</definedName>
    <definedName name="StatsGraphs_Hist_Data" localSheetId="11">#REF!</definedName>
    <definedName name="StatsGraphs_Hist_Data">#REF!</definedName>
    <definedName name="StatsGraphs_Hist_Interval" localSheetId="4">#REF!</definedName>
    <definedName name="StatsGraphs_Hist_Interval" localSheetId="3">#REF!</definedName>
    <definedName name="StatsGraphs_Hist_Interval" localSheetId="2">#REF!</definedName>
    <definedName name="StatsGraphs_Hist_Interval" localSheetId="5">#REF!</definedName>
    <definedName name="StatsGraphs_Hist_Interval" localSheetId="6">#REF!</definedName>
    <definedName name="StatsGraphs_Hist_Interval" localSheetId="7">#REF!</definedName>
    <definedName name="StatsGraphs_Hist_Interval" localSheetId="8">#REF!</definedName>
    <definedName name="StatsGraphs_Hist_Interval" localSheetId="9">#REF!</definedName>
    <definedName name="StatsGraphs_Hist_Interval" localSheetId="10">#REF!</definedName>
    <definedName name="StatsGraphs_Hist_Interval" localSheetId="11">#REF!</definedName>
    <definedName name="StatsGraphs_Hist_Interval">#REF!</definedName>
    <definedName name="StatsGraphs_Hist_Labels" localSheetId="4">#REF!</definedName>
    <definedName name="StatsGraphs_Hist_Labels" localSheetId="3">#REF!</definedName>
    <definedName name="StatsGraphs_Hist_Labels" localSheetId="2">#REF!</definedName>
    <definedName name="StatsGraphs_Hist_Labels" localSheetId="5">#REF!</definedName>
    <definedName name="StatsGraphs_Hist_Labels" localSheetId="6">#REF!</definedName>
    <definedName name="StatsGraphs_Hist_Labels" localSheetId="7">#REF!</definedName>
    <definedName name="StatsGraphs_Hist_Labels" localSheetId="8">#REF!</definedName>
    <definedName name="StatsGraphs_Hist_Labels" localSheetId="9">#REF!</definedName>
    <definedName name="StatsGraphs_Hist_Labels" localSheetId="10">#REF!</definedName>
    <definedName name="StatsGraphs_Hist_Labels" localSheetId="11">#REF!</definedName>
    <definedName name="StatsGraphs_Hist_Labels">#REF!</definedName>
    <definedName name="StatsGraphs_Hist_NoBins" localSheetId="4">#REF!</definedName>
    <definedName name="StatsGraphs_Hist_NoBins" localSheetId="3">#REF!</definedName>
    <definedName name="StatsGraphs_Hist_NoBins" localSheetId="2">#REF!</definedName>
    <definedName name="StatsGraphs_Hist_NoBins" localSheetId="5">#REF!</definedName>
    <definedName name="StatsGraphs_Hist_NoBins" localSheetId="6">#REF!</definedName>
    <definedName name="StatsGraphs_Hist_NoBins" localSheetId="7">#REF!</definedName>
    <definedName name="StatsGraphs_Hist_NoBins" localSheetId="8">#REF!</definedName>
    <definedName name="StatsGraphs_Hist_NoBins" localSheetId="9">#REF!</definedName>
    <definedName name="StatsGraphs_Hist_NoBins" localSheetId="10">#REF!</definedName>
    <definedName name="StatsGraphs_Hist_NoBins" localSheetId="11">#REF!</definedName>
    <definedName name="StatsGraphs_Hist_NoBins">#REF!</definedName>
    <definedName name="StatsGraphs_Hist_Nom" localSheetId="4">#REF!</definedName>
    <definedName name="StatsGraphs_Hist_Nom" localSheetId="3">#REF!</definedName>
    <definedName name="StatsGraphs_Hist_Nom" localSheetId="2">#REF!</definedName>
    <definedName name="StatsGraphs_Hist_Nom" localSheetId="5">#REF!</definedName>
    <definedName name="StatsGraphs_Hist_Nom" localSheetId="6">#REF!</definedName>
    <definedName name="StatsGraphs_Hist_Nom" localSheetId="7">#REF!</definedName>
    <definedName name="StatsGraphs_Hist_Nom" localSheetId="8">#REF!</definedName>
    <definedName name="StatsGraphs_Hist_Nom" localSheetId="9">#REF!</definedName>
    <definedName name="StatsGraphs_Hist_Nom" localSheetId="10">#REF!</definedName>
    <definedName name="StatsGraphs_Hist_Nom" localSheetId="11">#REF!</definedName>
    <definedName name="StatsGraphs_Hist_Nom">#REF!</definedName>
    <definedName name="StatsGraphs_Hist_Normal" localSheetId="4">#REF!</definedName>
    <definedName name="StatsGraphs_Hist_Normal" localSheetId="3">#REF!</definedName>
    <definedName name="StatsGraphs_Hist_Normal" localSheetId="2">#REF!</definedName>
    <definedName name="StatsGraphs_Hist_Normal" localSheetId="5">#REF!</definedName>
    <definedName name="StatsGraphs_Hist_Normal" localSheetId="6">#REF!</definedName>
    <definedName name="StatsGraphs_Hist_Normal" localSheetId="7">#REF!</definedName>
    <definedName name="StatsGraphs_Hist_Normal" localSheetId="8">#REF!</definedName>
    <definedName name="StatsGraphs_Hist_Normal" localSheetId="9">#REF!</definedName>
    <definedName name="StatsGraphs_Hist_Normal" localSheetId="10">#REF!</definedName>
    <definedName name="StatsGraphs_Hist_Normal" localSheetId="11">#REF!</definedName>
    <definedName name="StatsGraphs_Hist_Normal">#REF!</definedName>
    <definedName name="StatsGraphs_Hist_Shifts" localSheetId="4">#REF!</definedName>
    <definedName name="StatsGraphs_Hist_Shifts" localSheetId="3">#REF!</definedName>
    <definedName name="StatsGraphs_Hist_Shifts" localSheetId="2">#REF!</definedName>
    <definedName name="StatsGraphs_Hist_Shifts" localSheetId="5">#REF!</definedName>
    <definedName name="StatsGraphs_Hist_Shifts" localSheetId="6">#REF!</definedName>
    <definedName name="StatsGraphs_Hist_Shifts" localSheetId="7">#REF!</definedName>
    <definedName name="StatsGraphs_Hist_Shifts" localSheetId="8">#REF!</definedName>
    <definedName name="StatsGraphs_Hist_Shifts" localSheetId="9">#REF!</definedName>
    <definedName name="StatsGraphs_Hist_Shifts" localSheetId="10">#REF!</definedName>
    <definedName name="StatsGraphs_Hist_Shifts" localSheetId="11">#REF!</definedName>
    <definedName name="StatsGraphs_Hist_Shifts">#REF!</definedName>
    <definedName name="StatsGraphs_Hist_Specs" localSheetId="4">#REF!</definedName>
    <definedName name="StatsGraphs_Hist_Specs" localSheetId="3">#REF!</definedName>
    <definedName name="StatsGraphs_Hist_Specs" localSheetId="2">#REF!</definedName>
    <definedName name="StatsGraphs_Hist_Specs" localSheetId="5">#REF!</definedName>
    <definedName name="StatsGraphs_Hist_Specs" localSheetId="6">#REF!</definedName>
    <definedName name="StatsGraphs_Hist_Specs" localSheetId="7">#REF!</definedName>
    <definedName name="StatsGraphs_Hist_Specs" localSheetId="8">#REF!</definedName>
    <definedName name="StatsGraphs_Hist_Specs" localSheetId="9">#REF!</definedName>
    <definedName name="StatsGraphs_Hist_Specs" localSheetId="10">#REF!</definedName>
    <definedName name="StatsGraphs_Hist_Specs" localSheetId="11">#REF!</definedName>
    <definedName name="StatsGraphs_Hist_Specs">#REF!</definedName>
    <definedName name="StatsGraphs_Hist_TotalNoBins" localSheetId="4">#REF!</definedName>
    <definedName name="StatsGraphs_Hist_TotalNoBins" localSheetId="3">#REF!</definedName>
    <definedName name="StatsGraphs_Hist_TotalNoBins" localSheetId="2">#REF!</definedName>
    <definedName name="StatsGraphs_Hist_TotalNoBins" localSheetId="5">#REF!</definedName>
    <definedName name="StatsGraphs_Hist_TotalNoBins" localSheetId="6">#REF!</definedName>
    <definedName name="StatsGraphs_Hist_TotalNoBins" localSheetId="7">#REF!</definedName>
    <definedName name="StatsGraphs_Hist_TotalNoBins" localSheetId="8">#REF!</definedName>
    <definedName name="StatsGraphs_Hist_TotalNoBins" localSheetId="9">#REF!</definedName>
    <definedName name="StatsGraphs_Hist_TotalNoBins" localSheetId="10">#REF!</definedName>
    <definedName name="StatsGraphs_Hist_TotalNoBins" localSheetId="11">#REF!</definedName>
    <definedName name="StatsGraphs_Hist_TotalNoBins">#REF!</definedName>
    <definedName name="StatsGraphs_Hist_xMax" localSheetId="4">'[41]Stats Graph Template'!$Z$7</definedName>
    <definedName name="StatsGraphs_Hist_xMax" localSheetId="3">'[41]Stats Graph Template'!$Z$7</definedName>
    <definedName name="StatsGraphs_Hist_xMax" localSheetId="2">'[41]Stats Graph Template'!$Z$7</definedName>
    <definedName name="StatsGraphs_Hist_xMax" localSheetId="5">'[41]Stats Graph Template'!$Z$7</definedName>
    <definedName name="StatsGraphs_Hist_xMax" localSheetId="6">'[41]Stats Graph Template'!$Z$7</definedName>
    <definedName name="StatsGraphs_Hist_xMax" localSheetId="7">'[41]Stats Graph Template'!$Z$7</definedName>
    <definedName name="StatsGraphs_Hist_xMax" localSheetId="10">'[87]Stats Graph Template'!$Z$7</definedName>
    <definedName name="StatsGraphs_Hist_xMax">'[31]Stats Graph Template'!$Z$7</definedName>
    <definedName name="StatsGraphs_Hist_xMin" localSheetId="4">'[41]Stats Graph Template'!$Z$8</definedName>
    <definedName name="StatsGraphs_Hist_xMin" localSheetId="3">'[41]Stats Graph Template'!$Z$8</definedName>
    <definedName name="StatsGraphs_Hist_xMin" localSheetId="2">'[41]Stats Graph Template'!$Z$8</definedName>
    <definedName name="StatsGraphs_Hist_xMin" localSheetId="5">'[41]Stats Graph Template'!$Z$8</definedName>
    <definedName name="StatsGraphs_Hist_xMin" localSheetId="6">'[41]Stats Graph Template'!$Z$8</definedName>
    <definedName name="StatsGraphs_Hist_xMin" localSheetId="7">'[41]Stats Graph Template'!$Z$8</definedName>
    <definedName name="StatsGraphs_Hist_xMin" localSheetId="10">'[87]Stats Graph Template'!$Z$8</definedName>
    <definedName name="StatsGraphs_Hist_xMin">'[31]Stats Graph Template'!$Z$8</definedName>
    <definedName name="StatsGraphs_NormDist_Formula" localSheetId="4">'[41]Stats Graph Template'!$Z$6</definedName>
    <definedName name="StatsGraphs_NormDist_Formula" localSheetId="3">'[41]Stats Graph Template'!$Z$6</definedName>
    <definedName name="StatsGraphs_NormDist_Formula" localSheetId="2">'[41]Stats Graph Template'!$Z$6</definedName>
    <definedName name="StatsGraphs_NormDist_Formula" localSheetId="5">'[41]Stats Graph Template'!$Z$6</definedName>
    <definedName name="StatsGraphs_NormDist_Formula" localSheetId="6">'[41]Stats Graph Template'!$Z$6</definedName>
    <definedName name="StatsGraphs_NormDist_Formula" localSheetId="7">'[41]Stats Graph Template'!$Z$6</definedName>
    <definedName name="StatsGraphs_NormDist_Formula" localSheetId="10">'[87]Stats Graph Template'!$Z$6</definedName>
    <definedName name="StatsGraphs_NormDist_Formula">'[31]Stats Graph Template'!$Z$6</definedName>
    <definedName name="StatsGraphs_NormDist_LSL">#N/A</definedName>
    <definedName name="StatsGraphs_NormDist_Nominal">#N/A</definedName>
    <definedName name="StatsGraphs_NormDist_ShiftLL">#N/A</definedName>
    <definedName name="StatsGraphs_NormDist_ShiftUL">#N/A</definedName>
    <definedName name="StatsGraphs_NormDist_USL">#N/A</definedName>
    <definedName name="StatsGraphs_NormDist_Y">#N/A</definedName>
    <definedName name="StatsGraphs_NormDist_yMax" localSheetId="4">'[41]Stats Graph Template'!$Z$9</definedName>
    <definedName name="StatsGraphs_NormDist_yMax" localSheetId="3">'[41]Stats Graph Template'!$Z$9</definedName>
    <definedName name="StatsGraphs_NormDist_yMax" localSheetId="2">'[41]Stats Graph Template'!$Z$9</definedName>
    <definedName name="StatsGraphs_NormDist_yMax" localSheetId="5">'[41]Stats Graph Template'!$Z$9</definedName>
    <definedName name="StatsGraphs_NormDist_yMax" localSheetId="6">'[41]Stats Graph Template'!$Z$9</definedName>
    <definedName name="StatsGraphs_NormDist_yMax" localSheetId="7">'[41]Stats Graph Template'!$Z$9</definedName>
    <definedName name="StatsGraphs_NormDist_yMax" localSheetId="10">'[87]Stats Graph Template'!$Z$9</definedName>
    <definedName name="StatsGraphs_NormDist_yMax">'[31]Stats Graph Template'!$Z$9</definedName>
    <definedName name="Status">'[107]EPR &amp; LRR'!#REF!</definedName>
    <definedName name="STBODY" localSheetId="4">#REF!</definedName>
    <definedName name="STBODY" localSheetId="3">#REF!</definedName>
    <definedName name="STBODY" localSheetId="2">#REF!</definedName>
    <definedName name="STBODY" localSheetId="5">#REF!</definedName>
    <definedName name="STBODY" localSheetId="6">#REF!</definedName>
    <definedName name="STBODY" localSheetId="7">#REF!</definedName>
    <definedName name="STBODY" localSheetId="8">#REF!</definedName>
    <definedName name="STBODY" localSheetId="9">#REF!</definedName>
    <definedName name="STBODY" localSheetId="10">#REF!</definedName>
    <definedName name="STBODY" localSheetId="11">#REF!</definedName>
    <definedName name="STBODY">#REF!</definedName>
    <definedName name="STDEST" localSheetId="4">#REF!</definedName>
    <definedName name="STDEST" localSheetId="3">#REF!</definedName>
    <definedName name="STDEST" localSheetId="2">#REF!</definedName>
    <definedName name="STDEST" localSheetId="5">#REF!</definedName>
    <definedName name="STDEST" localSheetId="6">#REF!</definedName>
    <definedName name="STDEST" localSheetId="7">#REF!</definedName>
    <definedName name="STDEST" localSheetId="8">#REF!</definedName>
    <definedName name="STDEST" localSheetId="9">#REF!</definedName>
    <definedName name="STDEST" localSheetId="10">#REF!</definedName>
    <definedName name="STDEST" localSheetId="11">#REF!</definedName>
    <definedName name="STDEST">#REF!</definedName>
    <definedName name="STDRIV" localSheetId="4">#REF!</definedName>
    <definedName name="STDRIV" localSheetId="3">#REF!</definedName>
    <definedName name="STDRIV" localSheetId="2">#REF!</definedName>
    <definedName name="STDRIV" localSheetId="5">#REF!</definedName>
    <definedName name="STDRIV" localSheetId="6">#REF!</definedName>
    <definedName name="STDRIV" localSheetId="7">#REF!</definedName>
    <definedName name="STDRIV" localSheetId="8">#REF!</definedName>
    <definedName name="STDRIV" localSheetId="9">#REF!</definedName>
    <definedName name="STDRIV" localSheetId="10">#REF!</definedName>
    <definedName name="STDRIV" localSheetId="11">#REF!</definedName>
    <definedName name="STDRIV">#REF!</definedName>
    <definedName name="stds2002" localSheetId="4">#REF!</definedName>
    <definedName name="stds2002" localSheetId="3">#REF!</definedName>
    <definedName name="stds2002" localSheetId="2">#REF!</definedName>
    <definedName name="stds2002" localSheetId="5">#REF!</definedName>
    <definedName name="stds2002" localSheetId="6">#REF!</definedName>
    <definedName name="stds2002" localSheetId="7">#REF!</definedName>
    <definedName name="stds2002" localSheetId="8">#REF!</definedName>
    <definedName name="stds2002" localSheetId="9">#REF!</definedName>
    <definedName name="stds2002" localSheetId="10">#REF!</definedName>
    <definedName name="stds2002" localSheetId="11">#REF!</definedName>
    <definedName name="stds2002">#REF!</definedName>
    <definedName name="stds2002b" localSheetId="4">#REF!</definedName>
    <definedName name="stds2002b" localSheetId="3">#REF!</definedName>
    <definedName name="stds2002b" localSheetId="2">#REF!</definedName>
    <definedName name="stds2002b" localSheetId="5">#REF!</definedName>
    <definedName name="stds2002b" localSheetId="6">#REF!</definedName>
    <definedName name="stds2002b" localSheetId="7">#REF!</definedName>
    <definedName name="stds2002b" localSheetId="8">#REF!</definedName>
    <definedName name="stds2002b" localSheetId="9">#REF!</definedName>
    <definedName name="stds2002b" localSheetId="10">#REF!</definedName>
    <definedName name="stds2002b" localSheetId="11">#REF!</definedName>
    <definedName name="stds2002b">#REF!</definedName>
    <definedName name="stds2002c" localSheetId="4">#REF!</definedName>
    <definedName name="stds2002c" localSheetId="3">#REF!</definedName>
    <definedName name="stds2002c" localSheetId="2">#REF!</definedName>
    <definedName name="stds2002c" localSheetId="5">#REF!</definedName>
    <definedName name="stds2002c" localSheetId="6">#REF!</definedName>
    <definedName name="stds2002c" localSheetId="7">#REF!</definedName>
    <definedName name="stds2002c" localSheetId="8">#REF!</definedName>
    <definedName name="stds2002c" localSheetId="9">#REF!</definedName>
    <definedName name="stds2002c" localSheetId="10">#REF!</definedName>
    <definedName name="stds2002c" localSheetId="11">#REF!</definedName>
    <definedName name="stds2002c">#REF!</definedName>
    <definedName name="stdsfinal2002" localSheetId="4">#REF!</definedName>
    <definedName name="stdsfinal2002" localSheetId="3">#REF!</definedName>
    <definedName name="stdsfinal2002" localSheetId="2">#REF!</definedName>
    <definedName name="stdsfinal2002" localSheetId="5">#REF!</definedName>
    <definedName name="stdsfinal2002" localSheetId="6">#REF!</definedName>
    <definedName name="stdsfinal2002" localSheetId="7">#REF!</definedName>
    <definedName name="stdsfinal2002" localSheetId="8">#REF!</definedName>
    <definedName name="stdsfinal2002" localSheetId="9">#REF!</definedName>
    <definedName name="stdsfinal2002" localSheetId="10">#REF!</definedName>
    <definedName name="stdsfinal2002" localSheetId="11">#REF!</definedName>
    <definedName name="stdsfinal2002">#REF!</definedName>
    <definedName name="steady" localSheetId="4">#REF!</definedName>
    <definedName name="steady" localSheetId="3">#REF!</definedName>
    <definedName name="steady" localSheetId="2">#REF!</definedName>
    <definedName name="steady" localSheetId="5">#REF!</definedName>
    <definedName name="steady" localSheetId="6">#REF!</definedName>
    <definedName name="steady" localSheetId="7">#REF!</definedName>
    <definedName name="steady" localSheetId="8">#REF!</definedName>
    <definedName name="steady" localSheetId="9">#REF!</definedName>
    <definedName name="steady" localSheetId="10">#REF!</definedName>
    <definedName name="steady" localSheetId="11">#REF!</definedName>
    <definedName name="steady">#REF!</definedName>
    <definedName name="STENGN" localSheetId="4">#REF!</definedName>
    <definedName name="STENGN" localSheetId="3">#REF!</definedName>
    <definedName name="STENGN" localSheetId="2">#REF!</definedName>
    <definedName name="STENGN" localSheetId="5">#REF!</definedName>
    <definedName name="STENGN" localSheetId="6">#REF!</definedName>
    <definedName name="STENGN" localSheetId="7">#REF!</definedName>
    <definedName name="STENGN" localSheetId="8">#REF!</definedName>
    <definedName name="STENGN" localSheetId="9">#REF!</definedName>
    <definedName name="STENGN" localSheetId="10">#REF!</definedName>
    <definedName name="STENGN" localSheetId="11">#REF!</definedName>
    <definedName name="STENGN">#REF!</definedName>
    <definedName name="STHYRWTY" localSheetId="4" hidden="1">{#N/A,#N/A,TRUE,"Distribution";#N/A,#N/A,TRUE,"Fulfillment";#N/A,#N/A,TRUE,"Aged Backorders"}</definedName>
    <definedName name="STHYRWTY" localSheetId="3" hidden="1">{#N/A,#N/A,TRUE,"Distribution";#N/A,#N/A,TRUE,"Fulfillment";#N/A,#N/A,TRUE,"Aged Backorders"}</definedName>
    <definedName name="STHYRWTY" localSheetId="2" hidden="1">{#N/A,#N/A,TRUE,"Distribution";#N/A,#N/A,TRUE,"Fulfillment";#N/A,#N/A,TRUE,"Aged Backorders"}</definedName>
    <definedName name="STHYRWTY" localSheetId="8" hidden="1">{#N/A,#N/A,TRUE,"Distribution";#N/A,#N/A,TRUE,"Fulfillment";#N/A,#N/A,TRUE,"Aged Backorders"}</definedName>
    <definedName name="STHYRWTY" localSheetId="9" hidden="1">{#N/A,#N/A,TRUE,"Distribution";#N/A,#N/A,TRUE,"Fulfillment";#N/A,#N/A,TRUE,"Aged Backorders"}</definedName>
    <definedName name="STHYRWTY" localSheetId="10" hidden="1">{#N/A,#N/A,TRUE,"Distribution";#N/A,#N/A,TRUE,"Fulfillment";#N/A,#N/A,TRUE,"Aged Backorders"}</definedName>
    <definedName name="STHYRWTY" hidden="1">{#N/A,#N/A,TRUE,"Distribution";#N/A,#N/A,TRUE,"Fulfillment";#N/A,#N/A,TRUE,"Aged Backorders"}</definedName>
    <definedName name="STMISS" localSheetId="4">#REF!</definedName>
    <definedName name="STMISS" localSheetId="3">#REF!</definedName>
    <definedName name="STMISS" localSheetId="2">#REF!</definedName>
    <definedName name="STMISS" localSheetId="5">#REF!</definedName>
    <definedName name="STMISS" localSheetId="6">#REF!</definedName>
    <definedName name="STMISS" localSheetId="7">#REF!</definedName>
    <definedName name="STMISS" localSheetId="8">#REF!</definedName>
    <definedName name="STMISS" localSheetId="9">#REF!</definedName>
    <definedName name="STMISS" localSheetId="10">#REF!</definedName>
    <definedName name="STMISS" localSheetId="11">#REF!</definedName>
    <definedName name="STMISS">#REF!</definedName>
    <definedName name="STMMMM" localSheetId="4">#REF!</definedName>
    <definedName name="STMMMM" localSheetId="3">#REF!</definedName>
    <definedName name="STMMMM" localSheetId="2">#REF!</definedName>
    <definedName name="STMMMM" localSheetId="5">#REF!</definedName>
    <definedName name="STMMMM" localSheetId="6">#REF!</definedName>
    <definedName name="STMMMM" localSheetId="7">#REF!</definedName>
    <definedName name="STMMMM" localSheetId="8">#REF!</definedName>
    <definedName name="STMMMM" localSheetId="9">#REF!</definedName>
    <definedName name="STMMMM" localSheetId="10">#REF!</definedName>
    <definedName name="STMMMM" localSheetId="11">#REF!</definedName>
    <definedName name="STMMMM">#REF!</definedName>
    <definedName name="STMPDT" localSheetId="4">#REF!</definedName>
    <definedName name="STMPDT" localSheetId="3">#REF!</definedName>
    <definedName name="STMPDT" localSheetId="2">#REF!</definedName>
    <definedName name="STMPDT" localSheetId="5">#REF!</definedName>
    <definedName name="STMPDT" localSheetId="6">#REF!</definedName>
    <definedName name="STMPDT" localSheetId="7">#REF!</definedName>
    <definedName name="STMPDT" localSheetId="8">#REF!</definedName>
    <definedName name="STMPDT" localSheetId="9">#REF!</definedName>
    <definedName name="STMPDT" localSheetId="10">#REF!</definedName>
    <definedName name="STMPDT" localSheetId="11">#REF!</definedName>
    <definedName name="STMPDT">#REF!</definedName>
    <definedName name="stopsign" localSheetId="4">#REF!</definedName>
    <definedName name="stopsign" localSheetId="3">#REF!</definedName>
    <definedName name="stopsign" localSheetId="2">#REF!</definedName>
    <definedName name="stopsign" localSheetId="5">#REF!</definedName>
    <definedName name="stopsign" localSheetId="6">#REF!</definedName>
    <definedName name="stopsign" localSheetId="7">#REF!</definedName>
    <definedName name="stopsign" localSheetId="8">#REF!</definedName>
    <definedName name="stopsign" localSheetId="9">#REF!</definedName>
    <definedName name="stopsign" localSheetId="10">#REF!</definedName>
    <definedName name="stopsign" localSheetId="11">#REF!</definedName>
    <definedName name="stopsign">#REF!</definedName>
    <definedName name="STPACK" localSheetId="4">#REF!</definedName>
    <definedName name="STPACK" localSheetId="3">#REF!</definedName>
    <definedName name="STPACK" localSheetId="2">#REF!</definedName>
    <definedName name="STPACK" localSheetId="5">#REF!</definedName>
    <definedName name="STPACK" localSheetId="6">#REF!</definedName>
    <definedName name="STPACK" localSheetId="7">#REF!</definedName>
    <definedName name="STPACK" localSheetId="8">#REF!</definedName>
    <definedName name="STPACK" localSheetId="9">#REF!</definedName>
    <definedName name="STPACK" localSheetId="10">#REF!</definedName>
    <definedName name="STPACK" localSheetId="11">#REF!</definedName>
    <definedName name="STPACK">#REF!</definedName>
    <definedName name="STPROJ" localSheetId="4">#REF!</definedName>
    <definedName name="STPROJ" localSheetId="3">#REF!</definedName>
    <definedName name="STPROJ" localSheetId="2">#REF!</definedName>
    <definedName name="STPROJ" localSheetId="5">#REF!</definedName>
    <definedName name="STPROJ" localSheetId="6">#REF!</definedName>
    <definedName name="STPROJ" localSheetId="7">#REF!</definedName>
    <definedName name="STPROJ" localSheetId="8">#REF!</definedName>
    <definedName name="STPROJ" localSheetId="9">#REF!</definedName>
    <definedName name="STPROJ" localSheetId="10">#REF!</definedName>
    <definedName name="STPROJ" localSheetId="11">#REF!</definedName>
    <definedName name="STPROJ">#REF!</definedName>
    <definedName name="strhy" localSheetId="4" hidden="1">{#N/A,#N/A,TRUE,"Distribution";#N/A,#N/A,TRUE,"Fulfillment";#N/A,#N/A,TRUE,"Aged Backorders"}</definedName>
    <definedName name="strhy" localSheetId="3" hidden="1">{#N/A,#N/A,TRUE,"Distribution";#N/A,#N/A,TRUE,"Fulfillment";#N/A,#N/A,TRUE,"Aged Backorders"}</definedName>
    <definedName name="strhy" localSheetId="2" hidden="1">{#N/A,#N/A,TRUE,"Distribution";#N/A,#N/A,TRUE,"Fulfillment";#N/A,#N/A,TRUE,"Aged Backorders"}</definedName>
    <definedName name="strhy" localSheetId="8" hidden="1">{#N/A,#N/A,TRUE,"Distribution";#N/A,#N/A,TRUE,"Fulfillment";#N/A,#N/A,TRUE,"Aged Backorders"}</definedName>
    <definedName name="strhy" localSheetId="9" hidden="1">{#N/A,#N/A,TRUE,"Distribution";#N/A,#N/A,TRUE,"Fulfillment";#N/A,#N/A,TRUE,"Aged Backorders"}</definedName>
    <definedName name="strhy" localSheetId="10" hidden="1">{#N/A,#N/A,TRUE,"Distribution";#N/A,#N/A,TRUE,"Fulfillment";#N/A,#N/A,TRUE,"Aged Backorders"}</definedName>
    <definedName name="strhy" hidden="1">{#N/A,#N/A,TRUE,"Distribution";#N/A,#N/A,TRUE,"Fulfillment";#N/A,#N/A,TRUE,"Aged Backorders"}</definedName>
    <definedName name="STSTAT" localSheetId="4">#REF!</definedName>
    <definedName name="STSTAT" localSheetId="3">#REF!</definedName>
    <definedName name="STSTAT" localSheetId="2">#REF!</definedName>
    <definedName name="STSTAT" localSheetId="5">#REF!</definedName>
    <definedName name="STSTAT" localSheetId="6">#REF!</definedName>
    <definedName name="STSTAT" localSheetId="7">#REF!</definedName>
    <definedName name="STSTAT" localSheetId="8">#REF!</definedName>
    <definedName name="STSTAT" localSheetId="9">#REF!</definedName>
    <definedName name="STSTAT" localSheetId="10">#REF!</definedName>
    <definedName name="STSTAT" localSheetId="11">#REF!</definedName>
    <definedName name="STSTAT">#REF!</definedName>
    <definedName name="STSTER" localSheetId="4">#REF!</definedName>
    <definedName name="STSTER" localSheetId="3">#REF!</definedName>
    <definedName name="STSTER" localSheetId="2">#REF!</definedName>
    <definedName name="STSTER" localSheetId="5">#REF!</definedName>
    <definedName name="STSTER" localSheetId="6">#REF!</definedName>
    <definedName name="STSTER" localSheetId="7">#REF!</definedName>
    <definedName name="STSTER" localSheetId="8">#REF!</definedName>
    <definedName name="STSTER" localSheetId="9">#REF!</definedName>
    <definedName name="STSTER" localSheetId="10">#REF!</definedName>
    <definedName name="STSTER" localSheetId="11">#REF!</definedName>
    <definedName name="STSTER">#REF!</definedName>
    <definedName name="Stueckzahl" localSheetId="4">#REF!</definedName>
    <definedName name="Stueckzahl" localSheetId="3">#REF!</definedName>
    <definedName name="Stueckzahl" localSheetId="2">#REF!</definedName>
    <definedName name="Stueckzahl" localSheetId="5">#REF!</definedName>
    <definedName name="Stueckzahl" localSheetId="6">#REF!</definedName>
    <definedName name="Stueckzahl" localSheetId="7">#REF!</definedName>
    <definedName name="Stueckzahl" localSheetId="8">#REF!</definedName>
    <definedName name="Stueckzahl" localSheetId="9">#REF!</definedName>
    <definedName name="Stueckzahl" localSheetId="10">#REF!</definedName>
    <definedName name="Stueckzahl" localSheetId="11">#REF!</definedName>
    <definedName name="Stueckzahl">#REF!</definedName>
    <definedName name="STYYYY" localSheetId="4">#REF!</definedName>
    <definedName name="STYYYY" localSheetId="3">#REF!</definedName>
    <definedName name="STYYYY" localSheetId="2">#REF!</definedName>
    <definedName name="STYYYY" localSheetId="5">#REF!</definedName>
    <definedName name="STYYYY" localSheetId="6">#REF!</definedName>
    <definedName name="STYYYY" localSheetId="7">#REF!</definedName>
    <definedName name="STYYYY" localSheetId="8">#REF!</definedName>
    <definedName name="STYYYY" localSheetId="9">#REF!</definedName>
    <definedName name="STYYYY" localSheetId="10">#REF!</definedName>
    <definedName name="STYYYY" localSheetId="11">#REF!</definedName>
    <definedName name="STYYYY">#REF!</definedName>
    <definedName name="SUM__Xi" localSheetId="4">#REF!</definedName>
    <definedName name="SUM__Xi" localSheetId="3">#REF!</definedName>
    <definedName name="SUM__Xi" localSheetId="2">#REF!</definedName>
    <definedName name="SUM__Xi" localSheetId="5">#REF!</definedName>
    <definedName name="SUM__Xi" localSheetId="6">#REF!</definedName>
    <definedName name="SUM__Xi" localSheetId="7">#REF!</definedName>
    <definedName name="SUM__Xi" localSheetId="8">#REF!</definedName>
    <definedName name="SUM__Xi" localSheetId="9">#REF!</definedName>
    <definedName name="SUM__Xi" localSheetId="10">#REF!</definedName>
    <definedName name="SUM__Xi" localSheetId="11">#REF!</definedName>
    <definedName name="SUM__Xi">#REF!</definedName>
    <definedName name="SUM__Xi__2" localSheetId="4">#REF!</definedName>
    <definedName name="SUM__Xi__2" localSheetId="3">#REF!</definedName>
    <definedName name="SUM__Xi__2" localSheetId="2">#REF!</definedName>
    <definedName name="SUM__Xi__2" localSheetId="5">#REF!</definedName>
    <definedName name="SUM__Xi__2" localSheetId="6">#REF!</definedName>
    <definedName name="SUM__Xi__2" localSheetId="7">#REF!</definedName>
    <definedName name="SUM__Xi__2" localSheetId="8">#REF!</definedName>
    <definedName name="SUM__Xi__2" localSheetId="9">#REF!</definedName>
    <definedName name="SUM__Xi__2" localSheetId="10">#REF!</definedName>
    <definedName name="SUM__Xi__2" localSheetId="11">#REF!</definedName>
    <definedName name="SUM__Xi__2">#REF!</definedName>
    <definedName name="SUM__Xi__n" localSheetId="4">#REF!</definedName>
    <definedName name="SUM__Xi__n" localSheetId="3">#REF!</definedName>
    <definedName name="SUM__Xi__n" localSheetId="2">#REF!</definedName>
    <definedName name="SUM__Xi__n" localSheetId="5">#REF!</definedName>
    <definedName name="SUM__Xi__n" localSheetId="6">#REF!</definedName>
    <definedName name="SUM__Xi__n" localSheetId="7">#REF!</definedName>
    <definedName name="SUM__Xi__n" localSheetId="8">#REF!</definedName>
    <definedName name="SUM__Xi__n" localSheetId="9">#REF!</definedName>
    <definedName name="SUM__Xi__n" localSheetId="10">#REF!</definedName>
    <definedName name="SUM__Xi__n" localSheetId="11">#REF!</definedName>
    <definedName name="SUM__Xi__n">#REF!</definedName>
    <definedName name="SUM__XY" localSheetId="4">#REF!</definedName>
    <definedName name="SUM__XY" localSheetId="3">#REF!</definedName>
    <definedName name="SUM__XY" localSheetId="2">#REF!</definedName>
    <definedName name="SUM__XY" localSheetId="5">#REF!</definedName>
    <definedName name="SUM__XY" localSheetId="6">#REF!</definedName>
    <definedName name="SUM__XY" localSheetId="7">#REF!</definedName>
    <definedName name="SUM__XY" localSheetId="8">#REF!</definedName>
    <definedName name="SUM__XY" localSheetId="9">#REF!</definedName>
    <definedName name="SUM__XY" localSheetId="10">#REF!</definedName>
    <definedName name="SUM__XY" localSheetId="11">#REF!</definedName>
    <definedName name="SUM__XY">#REF!</definedName>
    <definedName name="SUM__Yi" localSheetId="4">#REF!</definedName>
    <definedName name="SUM__Yi" localSheetId="3">#REF!</definedName>
    <definedName name="SUM__Yi" localSheetId="2">#REF!</definedName>
    <definedName name="SUM__Yi" localSheetId="5">#REF!</definedName>
    <definedName name="SUM__Yi" localSheetId="6">#REF!</definedName>
    <definedName name="SUM__Yi" localSheetId="7">#REF!</definedName>
    <definedName name="SUM__Yi" localSheetId="8">#REF!</definedName>
    <definedName name="SUM__Yi" localSheetId="9">#REF!</definedName>
    <definedName name="SUM__Yi" localSheetId="10">#REF!</definedName>
    <definedName name="SUM__Yi" localSheetId="11">#REF!</definedName>
    <definedName name="SUM__Yi">#REF!</definedName>
    <definedName name="SUM__Yi__2" localSheetId="4">#REF!</definedName>
    <definedName name="SUM__Yi__2" localSheetId="3">#REF!</definedName>
    <definedName name="SUM__Yi__2" localSheetId="2">#REF!</definedName>
    <definedName name="SUM__Yi__2" localSheetId="5">#REF!</definedName>
    <definedName name="SUM__Yi__2" localSheetId="6">#REF!</definedName>
    <definedName name="SUM__Yi__2" localSheetId="7">#REF!</definedName>
    <definedName name="SUM__Yi__2" localSheetId="8">#REF!</definedName>
    <definedName name="SUM__Yi__2" localSheetId="9">#REF!</definedName>
    <definedName name="SUM__Yi__2" localSheetId="10">#REF!</definedName>
    <definedName name="SUM__Yi__2" localSheetId="11">#REF!</definedName>
    <definedName name="SUM__Yi__2">#REF!</definedName>
    <definedName name="SUM__Yi__n" localSheetId="4">#REF!</definedName>
    <definedName name="SUM__Yi__n" localSheetId="3">#REF!</definedName>
    <definedName name="SUM__Yi__n" localSheetId="2">#REF!</definedName>
    <definedName name="SUM__Yi__n" localSheetId="5">#REF!</definedName>
    <definedName name="SUM__Yi__n" localSheetId="6">#REF!</definedName>
    <definedName name="SUM__Yi__n" localSheetId="7">#REF!</definedName>
    <definedName name="SUM__Yi__n" localSheetId="8">#REF!</definedName>
    <definedName name="SUM__Yi__n" localSheetId="9">#REF!</definedName>
    <definedName name="SUM__Yi__n" localSheetId="10">#REF!</definedName>
    <definedName name="SUM__Yi__n" localSheetId="11">#REF!</definedName>
    <definedName name="SUM__Yi__n">#REF!</definedName>
    <definedName name="SUM_Xi2" localSheetId="4">#REF!</definedName>
    <definedName name="SUM_Xi2" localSheetId="3">#REF!</definedName>
    <definedName name="SUM_Xi2" localSheetId="2">#REF!</definedName>
    <definedName name="SUM_Xi2" localSheetId="5">#REF!</definedName>
    <definedName name="SUM_Xi2" localSheetId="6">#REF!</definedName>
    <definedName name="SUM_Xi2" localSheetId="7">#REF!</definedName>
    <definedName name="SUM_Xi2" localSheetId="8">#REF!</definedName>
    <definedName name="SUM_Xi2" localSheetId="9">#REF!</definedName>
    <definedName name="SUM_Xi2" localSheetId="10">#REF!</definedName>
    <definedName name="SUM_Xi2" localSheetId="11">#REF!</definedName>
    <definedName name="SUM_Xi2">#REF!</definedName>
    <definedName name="SUM_Yi2" localSheetId="4">#REF!</definedName>
    <definedName name="SUM_Yi2" localSheetId="3">#REF!</definedName>
    <definedName name="SUM_Yi2" localSheetId="2">#REF!</definedName>
    <definedName name="SUM_Yi2" localSheetId="5">#REF!</definedName>
    <definedName name="SUM_Yi2" localSheetId="6">#REF!</definedName>
    <definedName name="SUM_Yi2" localSheetId="7">#REF!</definedName>
    <definedName name="SUM_Yi2" localSheetId="8">#REF!</definedName>
    <definedName name="SUM_Yi2" localSheetId="9">#REF!</definedName>
    <definedName name="SUM_Yi2" localSheetId="10">#REF!</definedName>
    <definedName name="SUM_Yi2" localSheetId="11">#REF!</definedName>
    <definedName name="SUM_Yi2">#REF!</definedName>
    <definedName name="Summary_Data">'[108]Summary Data'!$A$4:$B$8,'[108]Summary Data'!$A$10:$I$85</definedName>
    <definedName name="SuppCode" localSheetId="10">'[49]LRR Summary'!$F$10</definedName>
    <definedName name="SuppCode">'[57]LRR Summary'!$F$10</definedName>
    <definedName name="SUPPLIER" localSheetId="4">#REF!</definedName>
    <definedName name="SUPPLIER" localSheetId="3">#REF!</definedName>
    <definedName name="SUPPLIER" localSheetId="2">#REF!</definedName>
    <definedName name="SUPPLIER" localSheetId="5">#REF!</definedName>
    <definedName name="SUPPLIER" localSheetId="6">#REF!</definedName>
    <definedName name="SUPPLIER" localSheetId="7">#REF!</definedName>
    <definedName name="SUPPLIER" localSheetId="8">#REF!</definedName>
    <definedName name="SUPPLIER" localSheetId="9">#REF!</definedName>
    <definedName name="SUPPLIER" localSheetId="10">#REF!</definedName>
    <definedName name="SUPPLIER" localSheetId="11">#REF!</definedName>
    <definedName name="SUPPLIER">#REF!</definedName>
    <definedName name="SuppLocation" localSheetId="4">'[46]VSAMS Summary'!$F$8</definedName>
    <definedName name="SuppLocation" localSheetId="3">'[46]VSAMS Summary'!$F$8</definedName>
    <definedName name="SuppLocation" localSheetId="2">'[46]VSAMS Summary'!$F$8</definedName>
    <definedName name="SuppLocation" localSheetId="5">'[46]VSAMS Summary'!$F$8</definedName>
    <definedName name="SuppLocation" localSheetId="6">'[46]VSAMS Summary'!$F$8</definedName>
    <definedName name="SuppLocation" localSheetId="7">'[46]VSAMS Summary'!$F$8</definedName>
    <definedName name="SuppLocation" localSheetId="8">'[46]VSAMS Summary'!$F$8</definedName>
    <definedName name="SuppLocation" localSheetId="9">'[46]VSAMS Summary'!$F$8</definedName>
    <definedName name="SuppLocation" localSheetId="10">'[88]VSAMS Summary'!$F$8</definedName>
    <definedName name="SuppLocation">'[35]VSAMS Summary'!$F$8</definedName>
    <definedName name="SuppName" localSheetId="10">'[49]LRR Summary'!$F$6</definedName>
    <definedName name="SuppName">'[57]LRR Summary'!$F$6</definedName>
    <definedName name="SUPVAP12" localSheetId="10">[56]Refrigerants!$B$39:$H$59</definedName>
    <definedName name="SUPVAP12">[98]Refrigerants!$B$39:$H$59</definedName>
    <definedName name="SUPVAP134" localSheetId="10">[56]Refrigerants!$K$39:$Q$59</definedName>
    <definedName name="SUPVAP134">[98]Refrigerants!$K$39:$Q$59</definedName>
    <definedName name="SWa" localSheetId="4">[76]APJSum!$A$307</definedName>
    <definedName name="SWa" localSheetId="3">[76]APJSum!$A$307</definedName>
    <definedName name="SWa" localSheetId="2">[76]APJSum!$A$307</definedName>
    <definedName name="SWa" localSheetId="5">[76]APJSum!$A$307</definedName>
    <definedName name="SWa" localSheetId="6">[76]APJSum!$A$307</definedName>
    <definedName name="SWa" localSheetId="7">[76]APJSum!$A$307</definedName>
    <definedName name="SWa" localSheetId="10">[25]APJSum!$A$307</definedName>
    <definedName name="SWa">[32]APJSum!$A$307</definedName>
    <definedName name="SWame" localSheetId="4">[76]AmeSum!$A$307</definedName>
    <definedName name="SWame" localSheetId="3">[76]AmeSum!$A$307</definedName>
    <definedName name="SWame" localSheetId="2">[76]AmeSum!$A$307</definedName>
    <definedName name="SWame" localSheetId="5">[76]AmeSum!$A$307</definedName>
    <definedName name="SWame" localSheetId="6">[76]AmeSum!$A$307</definedName>
    <definedName name="SWame" localSheetId="7">[76]AmeSum!$A$307</definedName>
    <definedName name="SWame" localSheetId="10">[25]AmeSum!$A$307</definedName>
    <definedName name="SWame">[32]AmeSum!$A$307</definedName>
    <definedName name="SWD" localSheetId="4">#REF!</definedName>
    <definedName name="SWD" localSheetId="3">#REF!</definedName>
    <definedName name="SWD" localSheetId="2">#REF!</definedName>
    <definedName name="SWD" localSheetId="5">#REF!</definedName>
    <definedName name="SWD" localSheetId="6">#REF!</definedName>
    <definedName name="SWD" localSheetId="7">#REF!</definedName>
    <definedName name="SWD" localSheetId="8">#REF!</definedName>
    <definedName name="SWD" localSheetId="9">#REF!</definedName>
    <definedName name="SWD" localSheetId="10">#REF!</definedName>
    <definedName name="SWD" localSheetId="11">#REF!</definedName>
    <definedName name="SWD">#REF!</definedName>
    <definedName name="SWe" localSheetId="4">[76]EMEASum!$A$307</definedName>
    <definedName name="SWe" localSheetId="3">[76]EMEASum!$A$307</definedName>
    <definedName name="SWe" localSheetId="2">[76]EMEASum!$A$307</definedName>
    <definedName name="SWe" localSheetId="5">[76]EMEASum!$A$307</definedName>
    <definedName name="SWe" localSheetId="6">[76]EMEASum!$A$307</definedName>
    <definedName name="SWe" localSheetId="7">[76]EMEASum!$A$307</definedName>
    <definedName name="SWe" localSheetId="10">[25]EMEASum!$A$307</definedName>
    <definedName name="SWe">[32]EMEASum!$A$307</definedName>
    <definedName name="SWh" localSheetId="4">[76]HPCoSum!$A$307</definedName>
    <definedName name="SWh" localSheetId="3">[76]HPCoSum!$A$307</definedName>
    <definedName name="SWh" localSheetId="2">[76]HPCoSum!$A$307</definedName>
    <definedName name="SWh" localSheetId="5">[76]HPCoSum!$A$307</definedName>
    <definedName name="SWh" localSheetId="6">[76]HPCoSum!$A$307</definedName>
    <definedName name="SWh" localSheetId="7">[76]HPCoSum!$A$307</definedName>
    <definedName name="SWh" localSheetId="10">[25]HPCoSum!$A$307</definedName>
    <definedName name="SWh">[32]HPCoSum!$A$307</definedName>
    <definedName name="SWo" localSheetId="4">[76]OGSum!$A$307</definedName>
    <definedName name="SWo" localSheetId="3">[76]OGSum!$A$307</definedName>
    <definedName name="SWo" localSheetId="2">[76]OGSum!$A$307</definedName>
    <definedName name="SWo" localSheetId="5">[76]OGSum!$A$307</definedName>
    <definedName name="SWo" localSheetId="6">[76]OGSum!$A$307</definedName>
    <definedName name="SWo" localSheetId="7">[76]OGSum!$A$307</definedName>
    <definedName name="SWo" localSheetId="10">[25]OGSum!$A$307</definedName>
    <definedName name="SWo">[32]OGSum!$A$307</definedName>
    <definedName name="SWQ" localSheetId="4">#REF!</definedName>
    <definedName name="SWQ" localSheetId="3">#REF!</definedName>
    <definedName name="SWQ" localSheetId="2">#REF!</definedName>
    <definedName name="SWQ" localSheetId="5">#REF!</definedName>
    <definedName name="SWQ" localSheetId="6">#REF!</definedName>
    <definedName name="SWQ" localSheetId="7">#REF!</definedName>
    <definedName name="SWQ" localSheetId="8">#REF!</definedName>
    <definedName name="SWQ" localSheetId="9">#REF!</definedName>
    <definedName name="SWQ" localSheetId="10">#REF!</definedName>
    <definedName name="SWQ" localSheetId="11">#REF!</definedName>
    <definedName name="SWQ">#REF!</definedName>
    <definedName name="SWw" localSheetId="4">#REF!</definedName>
    <definedName name="SWw" localSheetId="3">#REF!</definedName>
    <definedName name="SWw" localSheetId="2">#REF!</definedName>
    <definedName name="SWw" localSheetId="5">#REF!</definedName>
    <definedName name="SWw" localSheetId="6">#REF!</definedName>
    <definedName name="SWw" localSheetId="7">#REF!</definedName>
    <definedName name="SWw" localSheetId="8">#REF!</definedName>
    <definedName name="SWw" localSheetId="9">#REF!</definedName>
    <definedName name="SWw" localSheetId="10">#REF!</definedName>
    <definedName name="SWw" localSheetId="11">#REF!</definedName>
    <definedName name="SWw">#REF!</definedName>
    <definedName name="T">[58]SUM14ZC1!#REF!</definedName>
    <definedName name="T_12_SV" localSheetId="10">[56]Refrigerants!$B$14:$B$34</definedName>
    <definedName name="T_12_SV">[98]Refrigerants!$B$14:$B$34</definedName>
    <definedName name="T_134_SV" localSheetId="10">[56]Refrigerants!$K$14:$K$34</definedName>
    <definedName name="T_134_SV">[98]Refrigerants!$K$14:$K$34</definedName>
    <definedName name="Table" localSheetId="4">'[13]Container Cost Assumptions'!$A$2:$M$25</definedName>
    <definedName name="Table" localSheetId="3">'[13]Container Cost Assumptions'!$A$2:$M$25</definedName>
    <definedName name="Table" localSheetId="2">'[13]Container Cost Assumptions'!$A$2:$M$25</definedName>
    <definedName name="Table" localSheetId="5">'[13]Container Cost Assumptions'!$A$2:$M$25</definedName>
    <definedName name="Table" localSheetId="6">'[13]Container Cost Assumptions'!$A$2:$M$25</definedName>
    <definedName name="Table" localSheetId="7">'[13]Container Cost Assumptions'!$A$2:$M$25</definedName>
    <definedName name="Table" localSheetId="8">'[77]Container Cost Assumptions'!$A$2:$M$25</definedName>
    <definedName name="Table" localSheetId="9">'[77]Container Cost Assumptions'!$A$2:$M$25</definedName>
    <definedName name="Table" localSheetId="10">'[8]Container Cost Assumptions'!$A$2:$M$25</definedName>
    <definedName name="Table">'[10]Container Cost Assumptions'!$A$2:$M$25</definedName>
    <definedName name="Table_04" localSheetId="4">[13]Sheet1!$AV$3:$AX$32</definedName>
    <definedName name="Table_04" localSheetId="3">[13]Sheet1!$AV$3:$AX$32</definedName>
    <definedName name="Table_04" localSheetId="2">[13]Sheet1!$AV$3:$AX$32</definedName>
    <definedName name="Table_04" localSheetId="5">[13]Sheet1!$AV$3:$AX$32</definedName>
    <definedName name="Table_04" localSheetId="6">[13]Sheet1!$AV$3:$AX$32</definedName>
    <definedName name="Table_04" localSheetId="7">[13]Sheet1!$AV$3:$AX$32</definedName>
    <definedName name="Table_04" localSheetId="8">[77]Sheet1!$AV$3:$AX$32</definedName>
    <definedName name="Table_04" localSheetId="9">[77]Sheet1!$AV$3:$AX$32</definedName>
    <definedName name="Table_04" localSheetId="10">[8]Sheet1!$AV$3:$AX$32</definedName>
    <definedName name="Table_04">[10]Sheet1!$AV$3:$AX$32</definedName>
    <definedName name="TableName">"Dummy"</definedName>
    <definedName name="tablke" localSheetId="4" hidden="1">{#N/A,#N/A,TRUE,"Distribution";#N/A,#N/A,TRUE,"Fulfillment";#N/A,#N/A,TRUE,"Aged Backorders"}</definedName>
    <definedName name="tablke" localSheetId="3" hidden="1">{#N/A,#N/A,TRUE,"Distribution";#N/A,#N/A,TRUE,"Fulfillment";#N/A,#N/A,TRUE,"Aged Backorders"}</definedName>
    <definedName name="tablke" localSheetId="2" hidden="1">{#N/A,#N/A,TRUE,"Distribution";#N/A,#N/A,TRUE,"Fulfillment";#N/A,#N/A,TRUE,"Aged Backorders"}</definedName>
    <definedName name="tablke" localSheetId="8" hidden="1">{#N/A,#N/A,TRUE,"Distribution";#N/A,#N/A,TRUE,"Fulfillment";#N/A,#N/A,TRUE,"Aged Backorders"}</definedName>
    <definedName name="tablke" localSheetId="9" hidden="1">{#N/A,#N/A,TRUE,"Distribution";#N/A,#N/A,TRUE,"Fulfillment";#N/A,#N/A,TRUE,"Aged Backorders"}</definedName>
    <definedName name="tablke" localSheetId="10" hidden="1">{#N/A,#N/A,TRUE,"Distribution";#N/A,#N/A,TRUE,"Fulfillment";#N/A,#N/A,TRUE,"Aged Backorders"}</definedName>
    <definedName name="tablke" hidden="1">{#N/A,#N/A,TRUE,"Distribution";#N/A,#N/A,TRUE,"Fulfillment";#N/A,#N/A,TRUE,"Aged Backorders"}</definedName>
    <definedName name="tai" localSheetId="4">[37]Spec!$B$18:$F$22</definedName>
    <definedName name="tai" localSheetId="3">[37]Spec!$B$18:$F$22</definedName>
    <definedName name="tai" localSheetId="2">[37]Spec!$B$18:$F$22</definedName>
    <definedName name="tai" localSheetId="5">[37]Spec!$B$18:$F$22</definedName>
    <definedName name="tai" localSheetId="6">[37]Spec!$B$18:$F$22</definedName>
    <definedName name="tai" localSheetId="7">[37]Spec!$B$18:$F$22</definedName>
    <definedName name="tai" localSheetId="8">[37]Spec!$B$18:$F$22</definedName>
    <definedName name="tai" localSheetId="9">[37]Spec!$B$18:$F$22</definedName>
    <definedName name="tai" localSheetId="10">[22]Spec!$B$18:$F$22</definedName>
    <definedName name="tai">[29]Spec!$B$18:$F$22</definedName>
    <definedName name="taktzeit" localSheetId="4">#REF!</definedName>
    <definedName name="taktzeit" localSheetId="3">#REF!</definedName>
    <definedName name="taktzeit" localSheetId="2">#REF!</definedName>
    <definedName name="taktzeit" localSheetId="5">#REF!</definedName>
    <definedName name="taktzeit" localSheetId="6">#REF!</definedName>
    <definedName name="taktzeit" localSheetId="7">#REF!</definedName>
    <definedName name="taktzeit" localSheetId="8">#REF!</definedName>
    <definedName name="taktzeit" localSheetId="9">#REF!</definedName>
    <definedName name="taktzeit" localSheetId="10">#REF!</definedName>
    <definedName name="taktzeit" localSheetId="11">#REF!</definedName>
    <definedName name="taktzeit">#REF!</definedName>
    <definedName name="TAM">#N/A</definedName>
    <definedName name="Tamb" localSheetId="4">#REF!</definedName>
    <definedName name="Tamb" localSheetId="3">#REF!</definedName>
    <definedName name="Tamb" localSheetId="2">#REF!</definedName>
    <definedName name="Tamb" localSheetId="5">#REF!</definedName>
    <definedName name="Tamb" localSheetId="6">#REF!</definedName>
    <definedName name="Tamb" localSheetId="7">#REF!</definedName>
    <definedName name="Tamb" localSheetId="8">#REF!</definedName>
    <definedName name="Tamb" localSheetId="9">#REF!</definedName>
    <definedName name="Tamb" localSheetId="10">#REF!</definedName>
    <definedName name="Tamb" localSheetId="11">#REF!</definedName>
    <definedName name="Tamb">#REF!</definedName>
    <definedName name="Target_MTBF_Inherent" localSheetId="4">#REF!</definedName>
    <definedName name="Target_MTBF_Inherent" localSheetId="3">#REF!</definedName>
    <definedName name="Target_MTBF_Inherent" localSheetId="2">#REF!</definedName>
    <definedName name="Target_MTBF_Inherent" localSheetId="5">#REF!</definedName>
    <definedName name="Target_MTBF_Inherent" localSheetId="6">#REF!</definedName>
    <definedName name="Target_MTBF_Inherent" localSheetId="7">#REF!</definedName>
    <definedName name="Target_MTBF_Inherent" localSheetId="8">#REF!</definedName>
    <definedName name="Target_MTBF_Inherent" localSheetId="9">#REF!</definedName>
    <definedName name="Target_MTBF_Inherent" localSheetId="10">#REF!</definedName>
    <definedName name="Target_MTBF_Inherent" localSheetId="11">#REF!</definedName>
    <definedName name="Target_MTBF_Inherent">#REF!</definedName>
    <definedName name="targets" localSheetId="4">'[26]FY01 Quota'!$A$2:$P$41</definedName>
    <definedName name="targets" localSheetId="3">'[26]FY01 Quota'!$A$2:$P$41</definedName>
    <definedName name="targets" localSheetId="2">'[26]FY01 Quota'!$A$2:$P$41</definedName>
    <definedName name="targets" localSheetId="5">'[26]FY01 Quota'!$A$2:$P$41</definedName>
    <definedName name="targets" localSheetId="6">'[26]FY01 Quota'!$A$2:$P$41</definedName>
    <definedName name="targets" localSheetId="7">'[26]FY01 Quota'!$A$2:$P$41</definedName>
    <definedName name="targets" localSheetId="8">'[25]FY01 Quota'!$A$2:$P$41</definedName>
    <definedName name="targets" localSheetId="9">'[25]FY01 Quota'!$A$2:$P$41</definedName>
    <definedName name="targets" localSheetId="10">'[14]FY01 Quota'!$A$2:$P$41</definedName>
    <definedName name="targets">'[19]FY01 Quota'!$A$2:$P$41</definedName>
    <definedName name="TaxTV">10%</definedName>
    <definedName name="TaxXL">5%</definedName>
    <definedName name="Tbl_Location_Sel" localSheetId="4">[69]tables!$D$8</definedName>
    <definedName name="Tbl_Location_Sel" localSheetId="3">[69]tables!$D$8</definedName>
    <definedName name="Tbl_Location_Sel" localSheetId="2">[69]tables!$D$8</definedName>
    <definedName name="Tbl_Location_Sel" localSheetId="5">[69]tables!$D$8</definedName>
    <definedName name="Tbl_Location_Sel" localSheetId="6">[69]tables!$D$8</definedName>
    <definedName name="Tbl_Location_Sel" localSheetId="7">[69]tables!$D$8</definedName>
    <definedName name="Tbl_Location_Sel" localSheetId="8">[14]tables!$D$8</definedName>
    <definedName name="Tbl_Location_Sel" localSheetId="9">[14]tables!$D$8</definedName>
    <definedName name="Tbl_Location_Sel" localSheetId="10">[7]Tables!$D$8</definedName>
    <definedName name="Tbl_Location_Sel">[11]tables!$D$8</definedName>
    <definedName name="TBX22Aham" localSheetId="4">[71]Optimize!$AT$70</definedName>
    <definedName name="TBX22Aham" localSheetId="3">[71]Optimize!$AT$70</definedName>
    <definedName name="TBX22Aham" localSheetId="2">[71]Optimize!$AT$70</definedName>
    <definedName name="TBX22Aham" localSheetId="5">[71]Optimize!$AT$70</definedName>
    <definedName name="TBX22Aham" localSheetId="6">[71]Optimize!$AT$70</definedName>
    <definedName name="TBX22Aham" localSheetId="7">[71]Optimize!$AT$70</definedName>
    <definedName name="TBX22Aham" localSheetId="8">[71]Optimize!$AT$70</definedName>
    <definedName name="TBX22Aham" localSheetId="9">[71]Optimize!$AT$70</definedName>
    <definedName name="TBX22Aham" localSheetId="10">[10]Optimize!$AT$70</definedName>
    <definedName name="TBX22Aham">[18]Optimize!$AT$70</definedName>
    <definedName name="TBX22Cost" localSheetId="4">[71]Optimize!$AI$16:$AI$54</definedName>
    <definedName name="TBX22Cost" localSheetId="3">[71]Optimize!$AI$16:$AI$54</definedName>
    <definedName name="TBX22Cost" localSheetId="2">[71]Optimize!$AI$16:$AI$54</definedName>
    <definedName name="TBX22Cost" localSheetId="5">[71]Optimize!$AI$16:$AI$54</definedName>
    <definedName name="TBX22Cost" localSheetId="6">[71]Optimize!$AI$16:$AI$54</definedName>
    <definedName name="TBX22Cost" localSheetId="7">[71]Optimize!$AI$16:$AI$54</definedName>
    <definedName name="TBX22Cost" localSheetId="8">[71]Optimize!$AI$16:$AI$54</definedName>
    <definedName name="TBX22Cost" localSheetId="9">[71]Optimize!$AI$16:$AI$54</definedName>
    <definedName name="TBX22Cost" localSheetId="10">[10]Optimize!$AI$16:$AI$54</definedName>
    <definedName name="TBX22Cost">[18]Optimize!$AI$16:$AI$54</definedName>
    <definedName name="TBX22Fix" localSheetId="4">[71]Optimize!$AT$16:$AT$54</definedName>
    <definedName name="TBX22Fix" localSheetId="3">[71]Optimize!$AT$16:$AT$54</definedName>
    <definedName name="TBX22Fix" localSheetId="2">[71]Optimize!$AT$16:$AT$54</definedName>
    <definedName name="TBX22Fix" localSheetId="5">[71]Optimize!$AT$16:$AT$54</definedName>
    <definedName name="TBX22Fix" localSheetId="6">[71]Optimize!$AT$16:$AT$54</definedName>
    <definedName name="TBX22Fix" localSheetId="7">[71]Optimize!$AT$16:$AT$54</definedName>
    <definedName name="TBX22Fix" localSheetId="8">[71]Optimize!$AT$16:$AT$54</definedName>
    <definedName name="TBX22Fix" localSheetId="9">[71]Optimize!$AT$16:$AT$54</definedName>
    <definedName name="TBX22Fix" localSheetId="10">[10]Optimize!$AT$16:$AT$54</definedName>
    <definedName name="TBX22Fix">[18]Optimize!$AT$16:$AT$54</definedName>
    <definedName name="TBX22Goal" localSheetId="4">[71]Optimize!$AT$74</definedName>
    <definedName name="TBX22Goal" localSheetId="3">[71]Optimize!$AT$74</definedName>
    <definedName name="TBX22Goal" localSheetId="2">[71]Optimize!$AT$74</definedName>
    <definedName name="TBX22Goal" localSheetId="5">[71]Optimize!$AT$74</definedName>
    <definedName name="TBX22Goal" localSheetId="6">[71]Optimize!$AT$74</definedName>
    <definedName name="TBX22Goal" localSheetId="7">[71]Optimize!$AT$74</definedName>
    <definedName name="TBX22Goal" localSheetId="8">[71]Optimize!$AT$74</definedName>
    <definedName name="TBX22Goal" localSheetId="9">[71]Optimize!$AT$74</definedName>
    <definedName name="TBX22Goal" localSheetId="10">[10]Optimize!$AT$74</definedName>
    <definedName name="TBX22Goal">[18]Optimize!$AT$74</definedName>
    <definedName name="TBX22Kwh" localSheetId="4">[71]Optimize!$AN$16:$AN$54</definedName>
    <definedName name="TBX22Kwh" localSheetId="3">[71]Optimize!$AN$16:$AN$54</definedName>
    <definedName name="TBX22Kwh" localSheetId="2">[71]Optimize!$AN$16:$AN$54</definedName>
    <definedName name="TBX22Kwh" localSheetId="5">[71]Optimize!$AN$16:$AN$54</definedName>
    <definedName name="TBX22Kwh" localSheetId="6">[71]Optimize!$AN$16:$AN$54</definedName>
    <definedName name="TBX22Kwh" localSheetId="7">[71]Optimize!$AN$16:$AN$54</definedName>
    <definedName name="TBX22Kwh" localSheetId="8">[71]Optimize!$AN$16:$AN$54</definedName>
    <definedName name="TBX22Kwh" localSheetId="9">[71]Optimize!$AN$16:$AN$54</definedName>
    <definedName name="TBX22Kwh" localSheetId="10">[10]Optimize!$AN$16:$AN$54</definedName>
    <definedName name="TBX22Kwh">[18]Optimize!$AN$16:$AN$54</definedName>
    <definedName name="TBX22RAham" localSheetId="4">[71]Optimize!$AU$70</definedName>
    <definedName name="TBX22RAham" localSheetId="3">[71]Optimize!$AU$70</definedName>
    <definedName name="TBX22RAham" localSheetId="2">[71]Optimize!$AU$70</definedName>
    <definedName name="TBX22RAham" localSheetId="5">[71]Optimize!$AU$70</definedName>
    <definedName name="TBX22RAham" localSheetId="6">[71]Optimize!$AU$70</definedName>
    <definedName name="TBX22RAham" localSheetId="7">[71]Optimize!$AU$70</definedName>
    <definedName name="TBX22RAham" localSheetId="8">[71]Optimize!$AU$70</definedName>
    <definedName name="TBX22RAham" localSheetId="9">[71]Optimize!$AU$70</definedName>
    <definedName name="TBX22RAham" localSheetId="10">[10]Optimize!$AU$70</definedName>
    <definedName name="TBX22RAham">[18]Optimize!$AU$70</definedName>
    <definedName name="TBX22RCost" localSheetId="4">[71]Optimize!$AJ$16:$AJ$54</definedName>
    <definedName name="TBX22RCost" localSheetId="3">[71]Optimize!$AJ$16:$AJ$54</definedName>
    <definedName name="TBX22RCost" localSheetId="2">[71]Optimize!$AJ$16:$AJ$54</definedName>
    <definedName name="TBX22RCost" localSheetId="5">[71]Optimize!$AJ$16:$AJ$54</definedName>
    <definedName name="TBX22RCost" localSheetId="6">[71]Optimize!$AJ$16:$AJ$54</definedName>
    <definedName name="TBX22RCost" localSheetId="7">[71]Optimize!$AJ$16:$AJ$54</definedName>
    <definedName name="TBX22RCost" localSheetId="8">[71]Optimize!$AJ$16:$AJ$54</definedName>
    <definedName name="TBX22RCost" localSheetId="9">[71]Optimize!$AJ$16:$AJ$54</definedName>
    <definedName name="TBX22RCost" localSheetId="10">[10]Optimize!$AJ$16:$AJ$54</definedName>
    <definedName name="TBX22RCost">[18]Optimize!$AJ$16:$AJ$54</definedName>
    <definedName name="TBX22RFix" localSheetId="4">[71]Optimize!$AU$16:$AU$54</definedName>
    <definedName name="TBX22RFix" localSheetId="3">[71]Optimize!$AU$16:$AU$54</definedName>
    <definedName name="TBX22RFix" localSheetId="2">[71]Optimize!$AU$16:$AU$54</definedName>
    <definedName name="TBX22RFix" localSheetId="5">[71]Optimize!$AU$16:$AU$54</definedName>
    <definedName name="TBX22RFix" localSheetId="6">[71]Optimize!$AU$16:$AU$54</definedName>
    <definedName name="TBX22RFix" localSheetId="7">[71]Optimize!$AU$16:$AU$54</definedName>
    <definedName name="TBX22RFix" localSheetId="8">[71]Optimize!$AU$16:$AU$54</definedName>
    <definedName name="TBX22RFix" localSheetId="9">[71]Optimize!$AU$16:$AU$54</definedName>
    <definedName name="TBX22RFix" localSheetId="10">[10]Optimize!$AU$16:$AU$54</definedName>
    <definedName name="TBX22RFix">[18]Optimize!$AU$16:$AU$54</definedName>
    <definedName name="TBX22RGoal" localSheetId="4">[71]Optimize!$AU$74</definedName>
    <definedName name="TBX22RGoal" localSheetId="3">[71]Optimize!$AU$74</definedName>
    <definedName name="TBX22RGoal" localSheetId="2">[71]Optimize!$AU$74</definedName>
    <definedName name="TBX22RGoal" localSheetId="5">[71]Optimize!$AU$74</definedName>
    <definedName name="TBX22RGoal" localSheetId="6">[71]Optimize!$AU$74</definedName>
    <definedName name="TBX22RGoal" localSheetId="7">[71]Optimize!$AU$74</definedName>
    <definedName name="TBX22RGoal" localSheetId="8">[71]Optimize!$AU$74</definedName>
    <definedName name="TBX22RGoal" localSheetId="9">[71]Optimize!$AU$74</definedName>
    <definedName name="TBX22RGoal" localSheetId="10">[10]Optimize!$AU$74</definedName>
    <definedName name="TBX22RGoal">[18]Optimize!$AU$74</definedName>
    <definedName name="TBX22RKwh" localSheetId="4">[71]Optimize!$AO$16:$AO$54</definedName>
    <definedName name="TBX22RKwh" localSheetId="3">[71]Optimize!$AO$16:$AO$54</definedName>
    <definedName name="TBX22RKwh" localSheetId="2">[71]Optimize!$AO$16:$AO$54</definedName>
    <definedName name="TBX22RKwh" localSheetId="5">[71]Optimize!$AO$16:$AO$54</definedName>
    <definedName name="TBX22RKwh" localSheetId="6">[71]Optimize!$AO$16:$AO$54</definedName>
    <definedName name="TBX22RKwh" localSheetId="7">[71]Optimize!$AO$16:$AO$54</definedName>
    <definedName name="TBX22RKwh" localSheetId="8">[71]Optimize!$AO$16:$AO$54</definedName>
    <definedName name="TBX22RKwh" localSheetId="9">[71]Optimize!$AO$16:$AO$54</definedName>
    <definedName name="TBX22RKwh" localSheetId="10">[10]Optimize!$AO$16:$AO$54</definedName>
    <definedName name="TBX22RKwh">[18]Optimize!$AO$16:$AO$54</definedName>
    <definedName name="TBX22RSelection" localSheetId="4">[71]Optimize!$AD$16:$AD$54</definedName>
    <definedName name="TBX22RSelection" localSheetId="3">[71]Optimize!$AD$16:$AD$54</definedName>
    <definedName name="TBX22RSelection" localSheetId="2">[71]Optimize!$AD$16:$AD$54</definedName>
    <definedName name="TBX22RSelection" localSheetId="5">[71]Optimize!$AD$16:$AD$54</definedName>
    <definedName name="TBX22RSelection" localSheetId="6">[71]Optimize!$AD$16:$AD$54</definedName>
    <definedName name="TBX22RSelection" localSheetId="7">[71]Optimize!$AD$16:$AD$54</definedName>
    <definedName name="TBX22RSelection" localSheetId="8">[71]Optimize!$AD$16:$AD$54</definedName>
    <definedName name="TBX22RSelection" localSheetId="9">[71]Optimize!$AD$16:$AD$54</definedName>
    <definedName name="TBX22RSelection" localSheetId="10">[10]Optimize!$AD$16:$AD$54</definedName>
    <definedName name="TBX22RSelection">[18]Optimize!$AD$16:$AD$54</definedName>
    <definedName name="TBX22RStand" localSheetId="4">[71]Optimize!$AU$67</definedName>
    <definedName name="TBX22RStand" localSheetId="3">[71]Optimize!$AU$67</definedName>
    <definedName name="TBX22RStand" localSheetId="2">[71]Optimize!$AU$67</definedName>
    <definedName name="TBX22RStand" localSheetId="5">[71]Optimize!$AU$67</definedName>
    <definedName name="TBX22RStand" localSheetId="6">[71]Optimize!$AU$67</definedName>
    <definedName name="TBX22RStand" localSheetId="7">[71]Optimize!$AU$67</definedName>
    <definedName name="TBX22RStand" localSheetId="8">[71]Optimize!$AU$67</definedName>
    <definedName name="TBX22RStand" localSheetId="9">[71]Optimize!$AU$67</definedName>
    <definedName name="TBX22RStand" localSheetId="10">[10]Optimize!$AU$67</definedName>
    <definedName name="TBX22RStand">[18]Optimize!$AU$67</definedName>
    <definedName name="TBX22RVolume" localSheetId="4">[71]Optimize!$AD$58</definedName>
    <definedName name="TBX22RVolume" localSheetId="3">[71]Optimize!$AD$58</definedName>
    <definedName name="TBX22RVolume" localSheetId="2">[71]Optimize!$AD$58</definedName>
    <definedName name="TBX22RVolume" localSheetId="5">[71]Optimize!$AD$58</definedName>
    <definedName name="TBX22RVolume" localSheetId="6">[71]Optimize!$AD$58</definedName>
    <definedName name="TBX22RVolume" localSheetId="7">[71]Optimize!$AD$58</definedName>
    <definedName name="TBX22RVolume" localSheetId="8">[71]Optimize!$AD$58</definedName>
    <definedName name="TBX22RVolume" localSheetId="9">[71]Optimize!$AD$58</definedName>
    <definedName name="TBX22RVolume" localSheetId="10">[10]Optimize!$AD$58</definedName>
    <definedName name="TBX22RVolume">[18]Optimize!$AD$58</definedName>
    <definedName name="TBX22Selection" localSheetId="4">[71]Optimize!$AC$16:$AC$54</definedName>
    <definedName name="TBX22Selection" localSheetId="3">[71]Optimize!$AC$16:$AC$54</definedName>
    <definedName name="TBX22Selection" localSheetId="2">[71]Optimize!$AC$16:$AC$54</definedName>
    <definedName name="TBX22Selection" localSheetId="5">[71]Optimize!$AC$16:$AC$54</definedName>
    <definedName name="TBX22Selection" localSheetId="6">[71]Optimize!$AC$16:$AC$54</definedName>
    <definedName name="TBX22Selection" localSheetId="7">[71]Optimize!$AC$16:$AC$54</definedName>
    <definedName name="TBX22Selection" localSheetId="8">[71]Optimize!$AC$16:$AC$54</definedName>
    <definedName name="TBX22Selection" localSheetId="9">[71]Optimize!$AC$16:$AC$54</definedName>
    <definedName name="TBX22Selection" localSheetId="10">[10]Optimize!$AC$16:$AC$54</definedName>
    <definedName name="TBX22Selection">[18]Optimize!$AC$16:$AC$54</definedName>
    <definedName name="TBX22Stand" localSheetId="4">[71]Optimize!$AT$67</definedName>
    <definedName name="TBX22Stand" localSheetId="3">[71]Optimize!$AT$67</definedName>
    <definedName name="TBX22Stand" localSheetId="2">[71]Optimize!$AT$67</definedName>
    <definedName name="TBX22Stand" localSheetId="5">[71]Optimize!$AT$67</definedName>
    <definedName name="TBX22Stand" localSheetId="6">[71]Optimize!$AT$67</definedName>
    <definedName name="TBX22Stand" localSheetId="7">[71]Optimize!$AT$67</definedName>
    <definedName name="TBX22Stand" localSheetId="8">[71]Optimize!$AT$67</definedName>
    <definedName name="TBX22Stand" localSheetId="9">[71]Optimize!$AT$67</definedName>
    <definedName name="TBX22Stand" localSheetId="10">[10]Optimize!$AT$67</definedName>
    <definedName name="TBX22Stand">[18]Optimize!$AT$67</definedName>
    <definedName name="TBX22Volume" localSheetId="4">[71]Optimize!$AC$58</definedName>
    <definedName name="TBX22Volume" localSheetId="3">[71]Optimize!$AC$58</definedName>
    <definedName name="TBX22Volume" localSheetId="2">[71]Optimize!$AC$58</definedName>
    <definedName name="TBX22Volume" localSheetId="5">[71]Optimize!$AC$58</definedName>
    <definedName name="TBX22Volume" localSheetId="6">[71]Optimize!$AC$58</definedName>
    <definedName name="TBX22Volume" localSheetId="7">[71]Optimize!$AC$58</definedName>
    <definedName name="TBX22Volume" localSheetId="8">[71]Optimize!$AC$58</definedName>
    <definedName name="TBX22Volume" localSheetId="9">[71]Optimize!$AC$58</definedName>
    <definedName name="TBX22Volume" localSheetId="10">[10]Optimize!$AC$58</definedName>
    <definedName name="TBX22Volume">[18]Optimize!$AC$58</definedName>
    <definedName name="TBX25Aham" localSheetId="4">[71]Optimize!$AV$70</definedName>
    <definedName name="TBX25Aham" localSheetId="3">[71]Optimize!$AV$70</definedName>
    <definedName name="TBX25Aham" localSheetId="2">[71]Optimize!$AV$70</definedName>
    <definedName name="TBX25Aham" localSheetId="5">[71]Optimize!$AV$70</definedName>
    <definedName name="TBX25Aham" localSheetId="6">[71]Optimize!$AV$70</definedName>
    <definedName name="TBX25Aham" localSheetId="7">[71]Optimize!$AV$70</definedName>
    <definedName name="TBX25Aham" localSheetId="8">[71]Optimize!$AV$70</definedName>
    <definedName name="TBX25Aham" localSheetId="9">[71]Optimize!$AV$70</definedName>
    <definedName name="TBX25Aham" localSheetId="10">[10]Optimize!$AV$70</definedName>
    <definedName name="TBX25Aham">[18]Optimize!$AV$70</definedName>
    <definedName name="TBX25Cost" localSheetId="4">[71]Optimize!$AK$16:$AK$54</definedName>
    <definedName name="TBX25Cost" localSheetId="3">[71]Optimize!$AK$16:$AK$54</definedName>
    <definedName name="TBX25Cost" localSheetId="2">[71]Optimize!$AK$16:$AK$54</definedName>
    <definedName name="TBX25Cost" localSheetId="5">[71]Optimize!$AK$16:$AK$54</definedName>
    <definedName name="TBX25Cost" localSheetId="6">[71]Optimize!$AK$16:$AK$54</definedName>
    <definedName name="TBX25Cost" localSheetId="7">[71]Optimize!$AK$16:$AK$54</definedName>
    <definedName name="TBX25Cost" localSheetId="8">[71]Optimize!$AK$16:$AK$54</definedName>
    <definedName name="TBX25Cost" localSheetId="9">[71]Optimize!$AK$16:$AK$54</definedName>
    <definedName name="TBX25Cost" localSheetId="10">[10]Optimize!$AK$16:$AK$54</definedName>
    <definedName name="TBX25Cost">[18]Optimize!$AK$16:$AK$54</definedName>
    <definedName name="TBX25Fix" localSheetId="4">[71]Optimize!$AV$16:$AV$54</definedName>
    <definedName name="TBX25Fix" localSheetId="3">[71]Optimize!$AV$16:$AV$54</definedName>
    <definedName name="TBX25Fix" localSheetId="2">[71]Optimize!$AV$16:$AV$54</definedName>
    <definedName name="TBX25Fix" localSheetId="5">[71]Optimize!$AV$16:$AV$54</definedName>
    <definedName name="TBX25Fix" localSheetId="6">[71]Optimize!$AV$16:$AV$54</definedName>
    <definedName name="TBX25Fix" localSheetId="7">[71]Optimize!$AV$16:$AV$54</definedName>
    <definedName name="TBX25Fix" localSheetId="8">[71]Optimize!$AV$16:$AV$54</definedName>
    <definedName name="TBX25Fix" localSheetId="9">[71]Optimize!$AV$16:$AV$54</definedName>
    <definedName name="TBX25Fix" localSheetId="10">[10]Optimize!$AV$16:$AV$54</definedName>
    <definedName name="TBX25Fix">[18]Optimize!$AV$16:$AV$54</definedName>
    <definedName name="TBX25Goal" localSheetId="4">[71]Optimize!$AV$74</definedName>
    <definedName name="TBX25Goal" localSheetId="3">[71]Optimize!$AV$74</definedName>
    <definedName name="TBX25Goal" localSheetId="2">[71]Optimize!$AV$74</definedName>
    <definedName name="TBX25Goal" localSheetId="5">[71]Optimize!$AV$74</definedName>
    <definedName name="TBX25Goal" localSheetId="6">[71]Optimize!$AV$74</definedName>
    <definedName name="TBX25Goal" localSheetId="7">[71]Optimize!$AV$74</definedName>
    <definedName name="TBX25Goal" localSheetId="8">[71]Optimize!$AV$74</definedName>
    <definedName name="TBX25Goal" localSheetId="9">[71]Optimize!$AV$74</definedName>
    <definedName name="TBX25Goal" localSheetId="10">[10]Optimize!$AV$74</definedName>
    <definedName name="TBX25Goal">[18]Optimize!$AV$74</definedName>
    <definedName name="TBX25Kwh" localSheetId="4">[71]Optimize!$AP$16:$AP$54</definedName>
    <definedName name="TBX25Kwh" localSheetId="3">[71]Optimize!$AP$16:$AP$54</definedName>
    <definedName name="TBX25Kwh" localSheetId="2">[71]Optimize!$AP$16:$AP$54</definedName>
    <definedName name="TBX25Kwh" localSheetId="5">[71]Optimize!$AP$16:$AP$54</definedName>
    <definedName name="TBX25Kwh" localSheetId="6">[71]Optimize!$AP$16:$AP$54</definedName>
    <definedName name="TBX25Kwh" localSheetId="7">[71]Optimize!$AP$16:$AP$54</definedName>
    <definedName name="TBX25Kwh" localSheetId="8">[71]Optimize!$AP$16:$AP$54</definedName>
    <definedName name="TBX25Kwh" localSheetId="9">[71]Optimize!$AP$16:$AP$54</definedName>
    <definedName name="TBX25Kwh" localSheetId="10">[10]Optimize!$AP$16:$AP$54</definedName>
    <definedName name="TBX25Kwh">[18]Optimize!$AP$16:$AP$54</definedName>
    <definedName name="TBX25RAham" localSheetId="4">[71]Optimize!$AW$70</definedName>
    <definedName name="TBX25RAham" localSheetId="3">[71]Optimize!$AW$70</definedName>
    <definedName name="TBX25RAham" localSheetId="2">[71]Optimize!$AW$70</definedName>
    <definedName name="TBX25RAham" localSheetId="5">[71]Optimize!$AW$70</definedName>
    <definedName name="TBX25RAham" localSheetId="6">[71]Optimize!$AW$70</definedName>
    <definedName name="TBX25RAham" localSheetId="7">[71]Optimize!$AW$70</definedName>
    <definedName name="TBX25RAham" localSheetId="8">[71]Optimize!$AW$70</definedName>
    <definedName name="TBX25RAham" localSheetId="9">[71]Optimize!$AW$70</definedName>
    <definedName name="TBX25RAham" localSheetId="10">[10]Optimize!$AW$70</definedName>
    <definedName name="TBX25RAham">[18]Optimize!$AW$70</definedName>
    <definedName name="TBX25RCost" localSheetId="4">[71]Optimize!$AL$16:$AL$54</definedName>
    <definedName name="TBX25RCost" localSheetId="3">[71]Optimize!$AL$16:$AL$54</definedName>
    <definedName name="TBX25RCost" localSheetId="2">[71]Optimize!$AL$16:$AL$54</definedName>
    <definedName name="TBX25RCost" localSheetId="5">[71]Optimize!$AL$16:$AL$54</definedName>
    <definedName name="TBX25RCost" localSheetId="6">[71]Optimize!$AL$16:$AL$54</definedName>
    <definedName name="TBX25RCost" localSheetId="7">[71]Optimize!$AL$16:$AL$54</definedName>
    <definedName name="TBX25RCost" localSheetId="8">[71]Optimize!$AL$16:$AL$54</definedName>
    <definedName name="TBX25RCost" localSheetId="9">[71]Optimize!$AL$16:$AL$54</definedName>
    <definedName name="TBX25RCost" localSheetId="10">[10]Optimize!$AL$16:$AL$54</definedName>
    <definedName name="TBX25RCost">[18]Optimize!$AL$16:$AL$54</definedName>
    <definedName name="TBX25RFix" localSheetId="4">[71]Optimize!$AW$16:$AW$54</definedName>
    <definedName name="TBX25RFix" localSheetId="3">[71]Optimize!$AW$16:$AW$54</definedName>
    <definedName name="TBX25RFix" localSheetId="2">[71]Optimize!$AW$16:$AW$54</definedName>
    <definedName name="TBX25RFix" localSheetId="5">[71]Optimize!$AW$16:$AW$54</definedName>
    <definedName name="TBX25RFix" localSheetId="6">[71]Optimize!$AW$16:$AW$54</definedName>
    <definedName name="TBX25RFix" localSheetId="7">[71]Optimize!$AW$16:$AW$54</definedName>
    <definedName name="TBX25RFix" localSheetId="8">[71]Optimize!$AW$16:$AW$54</definedName>
    <definedName name="TBX25RFix" localSheetId="9">[71]Optimize!$AW$16:$AW$54</definedName>
    <definedName name="TBX25RFix" localSheetId="10">[10]Optimize!$AW$16:$AW$54</definedName>
    <definedName name="TBX25RFix">[18]Optimize!$AW$16:$AW$54</definedName>
    <definedName name="TBX25RGoal" localSheetId="4">[71]Optimize!$AW$74</definedName>
    <definedName name="TBX25RGoal" localSheetId="3">[71]Optimize!$AW$74</definedName>
    <definedName name="TBX25RGoal" localSheetId="2">[71]Optimize!$AW$74</definedName>
    <definedName name="TBX25RGoal" localSheetId="5">[71]Optimize!$AW$74</definedName>
    <definedName name="TBX25RGoal" localSheetId="6">[71]Optimize!$AW$74</definedName>
    <definedName name="TBX25RGoal" localSheetId="7">[71]Optimize!$AW$74</definedName>
    <definedName name="TBX25RGoal" localSheetId="8">[71]Optimize!$AW$74</definedName>
    <definedName name="TBX25RGoal" localSheetId="9">[71]Optimize!$AW$74</definedName>
    <definedName name="TBX25RGoal" localSheetId="10">[10]Optimize!$AW$74</definedName>
    <definedName name="TBX25RGoal">[18]Optimize!$AW$74</definedName>
    <definedName name="TBX25RKwh" localSheetId="4">[71]Optimize!$AQ$16:$AQ$54</definedName>
    <definedName name="TBX25RKwh" localSheetId="3">[71]Optimize!$AQ$16:$AQ$54</definedName>
    <definedName name="TBX25RKwh" localSheetId="2">[71]Optimize!$AQ$16:$AQ$54</definedName>
    <definedName name="TBX25RKwh" localSheetId="5">[71]Optimize!$AQ$16:$AQ$54</definedName>
    <definedName name="TBX25RKwh" localSheetId="6">[71]Optimize!$AQ$16:$AQ$54</definedName>
    <definedName name="TBX25RKwh" localSheetId="7">[71]Optimize!$AQ$16:$AQ$54</definedName>
    <definedName name="TBX25RKwh" localSheetId="8">[71]Optimize!$AQ$16:$AQ$54</definedName>
    <definedName name="TBX25RKwh" localSheetId="9">[71]Optimize!$AQ$16:$AQ$54</definedName>
    <definedName name="TBX25RKwh" localSheetId="10">[10]Optimize!$AQ$16:$AQ$54</definedName>
    <definedName name="TBX25RKwh">[18]Optimize!$AQ$16:$AQ$54</definedName>
    <definedName name="TBX25RSelection" localSheetId="4">[71]Optimize!$AF$16:$AF$54</definedName>
    <definedName name="TBX25RSelection" localSheetId="3">[71]Optimize!$AF$16:$AF$54</definedName>
    <definedName name="TBX25RSelection" localSheetId="2">[71]Optimize!$AF$16:$AF$54</definedName>
    <definedName name="TBX25RSelection" localSheetId="5">[71]Optimize!$AF$16:$AF$54</definedName>
    <definedName name="TBX25RSelection" localSheetId="6">[71]Optimize!$AF$16:$AF$54</definedName>
    <definedName name="TBX25RSelection" localSheetId="7">[71]Optimize!$AF$16:$AF$54</definedName>
    <definedName name="TBX25RSelection" localSheetId="8">[71]Optimize!$AF$16:$AF$54</definedName>
    <definedName name="TBX25RSelection" localSheetId="9">[71]Optimize!$AF$16:$AF$54</definedName>
    <definedName name="TBX25RSelection" localSheetId="10">[10]Optimize!$AF$16:$AF$54</definedName>
    <definedName name="TBX25RSelection">[18]Optimize!$AF$16:$AF$54</definedName>
    <definedName name="TBX25RStand" localSheetId="4">[71]Optimize!$AW$67</definedName>
    <definedName name="TBX25RStand" localSheetId="3">[71]Optimize!$AW$67</definedName>
    <definedName name="TBX25RStand" localSheetId="2">[71]Optimize!$AW$67</definedName>
    <definedName name="TBX25RStand" localSheetId="5">[71]Optimize!$AW$67</definedName>
    <definedName name="TBX25RStand" localSheetId="6">[71]Optimize!$AW$67</definedName>
    <definedName name="TBX25RStand" localSheetId="7">[71]Optimize!$AW$67</definedName>
    <definedName name="TBX25RStand" localSheetId="8">[71]Optimize!$AW$67</definedName>
    <definedName name="TBX25RStand" localSheetId="9">[71]Optimize!$AW$67</definedName>
    <definedName name="TBX25RStand" localSheetId="10">[10]Optimize!$AW$67</definedName>
    <definedName name="TBX25RStand">[18]Optimize!$AW$67</definedName>
    <definedName name="TBX25RVolume" localSheetId="4">[71]Optimize!$AF$58</definedName>
    <definedName name="TBX25RVolume" localSheetId="3">[71]Optimize!$AF$58</definedName>
    <definedName name="TBX25RVolume" localSheetId="2">[71]Optimize!$AF$58</definedName>
    <definedName name="TBX25RVolume" localSheetId="5">[71]Optimize!$AF$58</definedName>
    <definedName name="TBX25RVolume" localSheetId="6">[71]Optimize!$AF$58</definedName>
    <definedName name="TBX25RVolume" localSheetId="7">[71]Optimize!$AF$58</definedName>
    <definedName name="TBX25RVolume" localSheetId="8">[71]Optimize!$AF$58</definedName>
    <definedName name="TBX25RVolume" localSheetId="9">[71]Optimize!$AF$58</definedName>
    <definedName name="TBX25RVolume" localSheetId="10">[10]Optimize!$AF$58</definedName>
    <definedName name="TBX25RVolume">[18]Optimize!$AF$58</definedName>
    <definedName name="TBX25Selection" localSheetId="4">[71]Optimize!$AE$16:$AE$54</definedName>
    <definedName name="TBX25Selection" localSheetId="3">[71]Optimize!$AE$16:$AE$54</definedName>
    <definedName name="TBX25Selection" localSheetId="2">[71]Optimize!$AE$16:$AE$54</definedName>
    <definedName name="TBX25Selection" localSheetId="5">[71]Optimize!$AE$16:$AE$54</definedName>
    <definedName name="TBX25Selection" localSheetId="6">[71]Optimize!$AE$16:$AE$54</definedName>
    <definedName name="TBX25Selection" localSheetId="7">[71]Optimize!$AE$16:$AE$54</definedName>
    <definedName name="TBX25Selection" localSheetId="8">[71]Optimize!$AE$16:$AE$54</definedName>
    <definedName name="TBX25Selection" localSheetId="9">[71]Optimize!$AE$16:$AE$54</definedName>
    <definedName name="TBX25Selection" localSheetId="10">[10]Optimize!$AE$16:$AE$54</definedName>
    <definedName name="TBX25Selection">[18]Optimize!$AE$16:$AE$54</definedName>
    <definedName name="TBX25Stand" localSheetId="4">[71]Optimize!$AV$67</definedName>
    <definedName name="TBX25Stand" localSheetId="3">[71]Optimize!$AV$67</definedName>
    <definedName name="TBX25Stand" localSheetId="2">[71]Optimize!$AV$67</definedName>
    <definedName name="TBX25Stand" localSheetId="5">[71]Optimize!$AV$67</definedName>
    <definedName name="TBX25Stand" localSheetId="6">[71]Optimize!$AV$67</definedName>
    <definedName name="TBX25Stand" localSheetId="7">[71]Optimize!$AV$67</definedName>
    <definedName name="TBX25Stand" localSheetId="8">[71]Optimize!$AV$67</definedName>
    <definedName name="TBX25Stand" localSheetId="9">[71]Optimize!$AV$67</definedName>
    <definedName name="TBX25Stand" localSheetId="10">[10]Optimize!$AV$67</definedName>
    <definedName name="TBX25Stand">[18]Optimize!$AV$67</definedName>
    <definedName name="TBX25Volume" localSheetId="4">[71]Optimize!$AE$58</definedName>
    <definedName name="TBX25Volume" localSheetId="3">[71]Optimize!$AE$58</definedName>
    <definedName name="TBX25Volume" localSheetId="2">[71]Optimize!$AE$58</definedName>
    <definedName name="TBX25Volume" localSheetId="5">[71]Optimize!$AE$58</definedName>
    <definedName name="TBX25Volume" localSheetId="6">[71]Optimize!$AE$58</definedName>
    <definedName name="TBX25Volume" localSheetId="7">[71]Optimize!$AE$58</definedName>
    <definedName name="TBX25Volume" localSheetId="8">[71]Optimize!$AE$58</definedName>
    <definedName name="TBX25Volume" localSheetId="9">[71]Optimize!$AE$58</definedName>
    <definedName name="TBX25Volume" localSheetId="10">[10]Optimize!$AE$58</definedName>
    <definedName name="TBX25Volume">[18]Optimize!$AE$58</definedName>
    <definedName name="TCP" localSheetId="4">#REF!</definedName>
    <definedName name="TCP" localSheetId="3">#REF!</definedName>
    <definedName name="TCP" localSheetId="2">#REF!</definedName>
    <definedName name="TCP" localSheetId="5">#REF!</definedName>
    <definedName name="TCP" localSheetId="6">#REF!</definedName>
    <definedName name="TCP" localSheetId="7">#REF!</definedName>
    <definedName name="TCP" localSheetId="8">#REF!</definedName>
    <definedName name="TCP" localSheetId="9">#REF!</definedName>
    <definedName name="TCP" localSheetId="10">#REF!</definedName>
    <definedName name="TCP" localSheetId="11">#REF!</definedName>
    <definedName name="TCP">#REF!</definedName>
    <definedName name="TCR" localSheetId="4">#REF!</definedName>
    <definedName name="TCR" localSheetId="3">#REF!</definedName>
    <definedName name="TCR" localSheetId="2">#REF!</definedName>
    <definedName name="TCR" localSheetId="5">#REF!</definedName>
    <definedName name="TCR" localSheetId="6">#REF!</definedName>
    <definedName name="TCR" localSheetId="7">#REF!</definedName>
    <definedName name="TCR" localSheetId="8">#REF!</definedName>
    <definedName name="TCR" localSheetId="9">#REF!</definedName>
    <definedName name="TCR" localSheetId="10">#REF!</definedName>
    <definedName name="TCR" localSheetId="11">#REF!</definedName>
    <definedName name="TCR">#REF!</definedName>
    <definedName name="TCW" localSheetId="4">#REF!</definedName>
    <definedName name="TCW" localSheetId="3">#REF!</definedName>
    <definedName name="TCW" localSheetId="2">#REF!</definedName>
    <definedName name="TCW" localSheetId="5">#REF!</definedName>
    <definedName name="TCW" localSheetId="6">#REF!</definedName>
    <definedName name="TCW" localSheetId="7">#REF!</definedName>
    <definedName name="TCW" localSheetId="8">#REF!</definedName>
    <definedName name="TCW" localSheetId="9">#REF!</definedName>
    <definedName name="TCW" localSheetId="10">#REF!</definedName>
    <definedName name="TCW" localSheetId="11">#REF!</definedName>
    <definedName name="TCW">#REF!</definedName>
    <definedName name="team" localSheetId="10">[27]abbr!$A$2:$A$40</definedName>
    <definedName name="team">[36]abbr!$A$2:$A$40</definedName>
    <definedName name="TechnVerf" localSheetId="4">#REF!</definedName>
    <definedName name="TechnVerf" localSheetId="3">#REF!</definedName>
    <definedName name="TechnVerf" localSheetId="2">#REF!</definedName>
    <definedName name="TechnVerf" localSheetId="5">#REF!</definedName>
    <definedName name="TechnVerf" localSheetId="6">#REF!</definedName>
    <definedName name="TechnVerf" localSheetId="7">#REF!</definedName>
    <definedName name="TechnVerf" localSheetId="8">#REF!</definedName>
    <definedName name="TechnVerf" localSheetId="9">#REF!</definedName>
    <definedName name="TechnVerf" localSheetId="10">#REF!</definedName>
    <definedName name="TechnVerf" localSheetId="11">#REF!</definedName>
    <definedName name="TechnVerf">#REF!</definedName>
    <definedName name="Telefon" localSheetId="4">#REF!</definedName>
    <definedName name="Telefon" localSheetId="3">#REF!</definedName>
    <definedName name="Telefon" localSheetId="2">#REF!</definedName>
    <definedName name="Telefon" localSheetId="5">#REF!</definedName>
    <definedName name="Telefon" localSheetId="6">#REF!</definedName>
    <definedName name="Telefon" localSheetId="7">#REF!</definedName>
    <definedName name="Telefon" localSheetId="8">#REF!</definedName>
    <definedName name="Telefon" localSheetId="9">#REF!</definedName>
    <definedName name="Telefon" localSheetId="10">#REF!</definedName>
    <definedName name="Telefon" localSheetId="11">#REF!</definedName>
    <definedName name="Telefon">#REF!</definedName>
    <definedName name="temp" localSheetId="4">#REF!</definedName>
    <definedName name="temp" localSheetId="3">#REF!</definedName>
    <definedName name="temp" localSheetId="2">#REF!</definedName>
    <definedName name="temp" localSheetId="5">#REF!</definedName>
    <definedName name="temp" localSheetId="6">#REF!</definedName>
    <definedName name="temp" localSheetId="7">#REF!</definedName>
    <definedName name="temp" localSheetId="8">#REF!</definedName>
    <definedName name="temp" localSheetId="9">#REF!</definedName>
    <definedName name="temp" localSheetId="10">#REF!</definedName>
    <definedName name="temp" localSheetId="11">#REF!</definedName>
    <definedName name="temp">#REF!</definedName>
    <definedName name="temp33">'[109]Quantum Stds 12-4-01'!#REF!</definedName>
    <definedName name="temp35">'[109]Quantum Stds 12-4-01'!#REF!</definedName>
    <definedName name="temp4" localSheetId="4">#REF!</definedName>
    <definedName name="temp4" localSheetId="3">#REF!</definedName>
    <definedName name="temp4" localSheetId="2">#REF!</definedName>
    <definedName name="temp4" localSheetId="5">#REF!</definedName>
    <definedName name="temp4" localSheetId="6">#REF!</definedName>
    <definedName name="temp4" localSheetId="7">#REF!</definedName>
    <definedName name="temp4" localSheetId="8">#REF!</definedName>
    <definedName name="temp4" localSheetId="9">#REF!</definedName>
    <definedName name="temp4" localSheetId="10">#REF!</definedName>
    <definedName name="temp4" localSheetId="11">#REF!</definedName>
    <definedName name="temp4">#REF!</definedName>
    <definedName name="temp44" localSheetId="4">#REF!</definedName>
    <definedName name="temp44" localSheetId="3">#REF!</definedName>
    <definedName name="temp44" localSheetId="2">#REF!</definedName>
    <definedName name="temp44" localSheetId="5">#REF!</definedName>
    <definedName name="temp44" localSheetId="6">#REF!</definedName>
    <definedName name="temp44" localSheetId="7">#REF!</definedName>
    <definedName name="temp44" localSheetId="8">#REF!</definedName>
    <definedName name="temp44" localSheetId="9">#REF!</definedName>
    <definedName name="temp44" localSheetId="10">#REF!</definedName>
    <definedName name="temp44" localSheetId="11">#REF!</definedName>
    <definedName name="temp44">#REF!</definedName>
    <definedName name="temp66" localSheetId="4">#REF!</definedName>
    <definedName name="temp66" localSheetId="3">#REF!</definedName>
    <definedName name="temp66" localSheetId="2">#REF!</definedName>
    <definedName name="temp66" localSheetId="5">#REF!</definedName>
    <definedName name="temp66" localSheetId="6">#REF!</definedName>
    <definedName name="temp66" localSheetId="7">#REF!</definedName>
    <definedName name="temp66" localSheetId="8">#REF!</definedName>
    <definedName name="temp66" localSheetId="9">#REF!</definedName>
    <definedName name="temp66" localSheetId="10">#REF!</definedName>
    <definedName name="temp66" localSheetId="11">#REF!</definedName>
    <definedName name="temp66">#REF!</definedName>
    <definedName name="temp67" localSheetId="4">#REF!</definedName>
    <definedName name="temp67" localSheetId="3">#REF!</definedName>
    <definedName name="temp67" localSheetId="2">#REF!</definedName>
    <definedName name="temp67" localSheetId="5">#REF!</definedName>
    <definedName name="temp67" localSheetId="6">#REF!</definedName>
    <definedName name="temp67" localSheetId="7">#REF!</definedName>
    <definedName name="temp67" localSheetId="8">#REF!</definedName>
    <definedName name="temp67" localSheetId="9">#REF!</definedName>
    <definedName name="temp67" localSheetId="10">#REF!</definedName>
    <definedName name="temp67" localSheetId="11">#REF!</definedName>
    <definedName name="temp67">#REF!</definedName>
    <definedName name="TenMonthsBack" localSheetId="4">#REF!</definedName>
    <definedName name="TenMonthsBack" localSheetId="3">#REF!</definedName>
    <definedName name="TenMonthsBack" localSheetId="2">#REF!</definedName>
    <definedName name="TenMonthsBack" localSheetId="5">#REF!</definedName>
    <definedName name="TenMonthsBack" localSheetId="6">#REF!</definedName>
    <definedName name="TenMonthsBack" localSheetId="7">#REF!</definedName>
    <definedName name="TenMonthsBack" localSheetId="8">#REF!</definedName>
    <definedName name="TenMonthsBack" localSheetId="9">#REF!</definedName>
    <definedName name="TenMonthsBack" localSheetId="10">#REF!</definedName>
    <definedName name="TenMonthsBack" localSheetId="11">#REF!</definedName>
    <definedName name="TenMonthsBack">#REF!</definedName>
    <definedName name="TEST0">'[109]Raw materials'!#REF!</definedName>
    <definedName name="TEST1" localSheetId="4">#REF!</definedName>
    <definedName name="TEST1" localSheetId="3">#REF!</definedName>
    <definedName name="TEST1" localSheetId="2">#REF!</definedName>
    <definedName name="TEST1" localSheetId="5">#REF!</definedName>
    <definedName name="TEST1" localSheetId="6">#REF!</definedName>
    <definedName name="TEST1" localSheetId="7">#REF!</definedName>
    <definedName name="TEST1" localSheetId="8">#REF!</definedName>
    <definedName name="TEST1" localSheetId="9">#REF!</definedName>
    <definedName name="TEST1" localSheetId="10">#REF!</definedName>
    <definedName name="TEST1" localSheetId="11">#REF!</definedName>
    <definedName name="TEST1">#REF!</definedName>
    <definedName name="TESTHKEY" localSheetId="4">#REF!</definedName>
    <definedName name="TESTHKEY" localSheetId="3">#REF!</definedName>
    <definedName name="TESTHKEY" localSheetId="2">#REF!</definedName>
    <definedName name="TESTHKEY" localSheetId="5">#REF!</definedName>
    <definedName name="TESTHKEY" localSheetId="6">#REF!</definedName>
    <definedName name="TESTHKEY" localSheetId="7">#REF!</definedName>
    <definedName name="TESTHKEY" localSheetId="8">#REF!</definedName>
    <definedName name="TESTHKEY" localSheetId="9">#REF!</definedName>
    <definedName name="TESTHKEY" localSheetId="10">#REF!</definedName>
    <definedName name="TESTHKEY" localSheetId="11">#REF!</definedName>
    <definedName name="TESTHKEY">#REF!</definedName>
    <definedName name="TESTKEYS" localSheetId="4">#REF!</definedName>
    <definedName name="TESTKEYS" localSheetId="3">#REF!</definedName>
    <definedName name="TESTKEYS" localSheetId="2">#REF!</definedName>
    <definedName name="TESTKEYS" localSheetId="5">#REF!</definedName>
    <definedName name="TESTKEYS" localSheetId="6">#REF!</definedName>
    <definedName name="TESTKEYS" localSheetId="7">#REF!</definedName>
    <definedName name="TESTKEYS" localSheetId="8">#REF!</definedName>
    <definedName name="TESTKEYS" localSheetId="9">#REF!</definedName>
    <definedName name="TESTKEYS" localSheetId="10">#REF!</definedName>
    <definedName name="TESTKEYS" localSheetId="11">#REF!</definedName>
    <definedName name="TESTKEYS">#REF!</definedName>
    <definedName name="TESTVKEY" localSheetId="4">#REF!</definedName>
    <definedName name="TESTVKEY" localSheetId="3">#REF!</definedName>
    <definedName name="TESTVKEY" localSheetId="2">#REF!</definedName>
    <definedName name="TESTVKEY" localSheetId="5">#REF!</definedName>
    <definedName name="TESTVKEY" localSheetId="6">#REF!</definedName>
    <definedName name="TESTVKEY" localSheetId="7">#REF!</definedName>
    <definedName name="TESTVKEY" localSheetId="8">#REF!</definedName>
    <definedName name="TESTVKEY" localSheetId="9">#REF!</definedName>
    <definedName name="TESTVKEY" localSheetId="10">#REF!</definedName>
    <definedName name="TESTVKEY" localSheetId="11">#REF!</definedName>
    <definedName name="TESTVKEY">#REF!</definedName>
    <definedName name="TFHFSTH" localSheetId="4" hidden="1">{#N/A,#N/A,TRUE,"Distribution";#N/A,#N/A,TRUE,"Fulfillment";#N/A,#N/A,TRUE,"Aged Backorders"}</definedName>
    <definedName name="TFHFSTH" localSheetId="3" hidden="1">{#N/A,#N/A,TRUE,"Distribution";#N/A,#N/A,TRUE,"Fulfillment";#N/A,#N/A,TRUE,"Aged Backorders"}</definedName>
    <definedName name="TFHFSTH" localSheetId="2" hidden="1">{#N/A,#N/A,TRUE,"Distribution";#N/A,#N/A,TRUE,"Fulfillment";#N/A,#N/A,TRUE,"Aged Backorders"}</definedName>
    <definedName name="TFHFSTH" localSheetId="8" hidden="1">{#N/A,#N/A,TRUE,"Distribution";#N/A,#N/A,TRUE,"Fulfillment";#N/A,#N/A,TRUE,"Aged Backorders"}</definedName>
    <definedName name="TFHFSTH" localSheetId="9" hidden="1">{#N/A,#N/A,TRUE,"Distribution";#N/A,#N/A,TRUE,"Fulfillment";#N/A,#N/A,TRUE,"Aged Backorders"}</definedName>
    <definedName name="TFHFSTH" localSheetId="10" hidden="1">{#N/A,#N/A,TRUE,"Distribution";#N/A,#N/A,TRUE,"Fulfillment";#N/A,#N/A,TRUE,"Aged Backorders"}</definedName>
    <definedName name="TFHFSTH" hidden="1">{#N/A,#N/A,TRUE,"Distribution";#N/A,#N/A,TRUE,"Fulfillment";#N/A,#N/A,TRUE,"Aged Backorders"}</definedName>
    <definedName name="tFoam" localSheetId="4">#REF!</definedName>
    <definedName name="tFoam" localSheetId="3">#REF!</definedName>
    <definedName name="tFoam" localSheetId="2">#REF!</definedName>
    <definedName name="tFoam" localSheetId="5">#REF!</definedName>
    <definedName name="tFoam" localSheetId="6">#REF!</definedName>
    <definedName name="tFoam" localSheetId="7">#REF!</definedName>
    <definedName name="tFoam" localSheetId="8">#REF!</definedName>
    <definedName name="tFoam" localSheetId="9">#REF!</definedName>
    <definedName name="tFoam" localSheetId="10">#REF!</definedName>
    <definedName name="tFoam" localSheetId="11">#REF!</definedName>
    <definedName name="tFoam">#REF!</definedName>
    <definedName name="TFX20AAham" localSheetId="4">#REF!</definedName>
    <definedName name="TFX20AAham" localSheetId="3">#REF!</definedName>
    <definedName name="TFX20AAham" localSheetId="2">#REF!</definedName>
    <definedName name="TFX20AAham" localSheetId="5">#REF!</definedName>
    <definedName name="TFX20AAham" localSheetId="6">#REF!</definedName>
    <definedName name="TFX20AAham" localSheetId="7">#REF!</definedName>
    <definedName name="TFX20AAham" localSheetId="8">#REF!</definedName>
    <definedName name="TFX20AAham" localSheetId="9">#REF!</definedName>
    <definedName name="TFX20AAham" localSheetId="10">#REF!</definedName>
    <definedName name="TFX20AAham" localSheetId="11">#REF!</definedName>
    <definedName name="TFX20AAham">#REF!</definedName>
    <definedName name="TFX20ACost" localSheetId="4">#REF!</definedName>
    <definedName name="TFX20ACost" localSheetId="3">#REF!</definedName>
    <definedName name="TFX20ACost" localSheetId="2">#REF!</definedName>
    <definedName name="TFX20ACost" localSheetId="5">#REF!</definedName>
    <definedName name="TFX20ACost" localSheetId="6">#REF!</definedName>
    <definedName name="TFX20ACost" localSheetId="7">#REF!</definedName>
    <definedName name="TFX20ACost" localSheetId="8">#REF!</definedName>
    <definedName name="TFX20ACost" localSheetId="9">#REF!</definedName>
    <definedName name="TFX20ACost" localSheetId="10">#REF!</definedName>
    <definedName name="TFX20ACost" localSheetId="11">#REF!</definedName>
    <definedName name="TFX20ACost">#REF!</definedName>
    <definedName name="TFX20AFix" localSheetId="4">#REF!</definedName>
    <definedName name="TFX20AFix" localSheetId="3">#REF!</definedName>
    <definedName name="TFX20AFix" localSheetId="2">#REF!</definedName>
    <definedName name="TFX20AFix" localSheetId="5">#REF!</definedName>
    <definedName name="TFX20AFix" localSheetId="6">#REF!</definedName>
    <definedName name="TFX20AFix" localSheetId="7">#REF!</definedName>
    <definedName name="TFX20AFix" localSheetId="8">#REF!</definedName>
    <definedName name="TFX20AFix" localSheetId="9">#REF!</definedName>
    <definedName name="TFX20AFix" localSheetId="10">#REF!</definedName>
    <definedName name="TFX20AFix" localSheetId="11">#REF!</definedName>
    <definedName name="TFX20AFix">#REF!</definedName>
    <definedName name="TFX20AGoal" localSheetId="4">#REF!</definedName>
    <definedName name="TFX20AGoal" localSheetId="3">#REF!</definedName>
    <definedName name="TFX20AGoal" localSheetId="2">#REF!</definedName>
    <definedName name="TFX20AGoal" localSheetId="5">#REF!</definedName>
    <definedName name="TFX20AGoal" localSheetId="6">#REF!</definedName>
    <definedName name="TFX20AGoal" localSheetId="7">#REF!</definedName>
    <definedName name="TFX20AGoal" localSheetId="8">#REF!</definedName>
    <definedName name="TFX20AGoal" localSheetId="9">#REF!</definedName>
    <definedName name="TFX20AGoal" localSheetId="10">#REF!</definedName>
    <definedName name="TFX20AGoal" localSheetId="11">#REF!</definedName>
    <definedName name="TFX20AGoal">#REF!</definedName>
    <definedName name="TFX20AKwh" localSheetId="4">#REF!</definedName>
    <definedName name="TFX20AKwh" localSheetId="3">#REF!</definedName>
    <definedName name="TFX20AKwh" localSheetId="2">#REF!</definedName>
    <definedName name="TFX20AKwh" localSheetId="5">#REF!</definedName>
    <definedName name="TFX20AKwh" localSheetId="6">#REF!</definedName>
    <definedName name="TFX20AKwh" localSheetId="7">#REF!</definedName>
    <definedName name="TFX20AKwh" localSheetId="8">#REF!</definedName>
    <definedName name="TFX20AKwh" localSheetId="9">#REF!</definedName>
    <definedName name="TFX20AKwh" localSheetId="10">#REF!</definedName>
    <definedName name="TFX20AKwh" localSheetId="11">#REF!</definedName>
    <definedName name="TFX20AKwh">#REF!</definedName>
    <definedName name="TFX20ASelection" localSheetId="4">#REF!</definedName>
    <definedName name="TFX20ASelection" localSheetId="3">#REF!</definedName>
    <definedName name="TFX20ASelection" localSheetId="2">#REF!</definedName>
    <definedName name="TFX20ASelection" localSheetId="5">#REF!</definedName>
    <definedName name="TFX20ASelection" localSheetId="6">#REF!</definedName>
    <definedName name="TFX20ASelection" localSheetId="7">#REF!</definedName>
    <definedName name="TFX20ASelection" localSheetId="8">#REF!</definedName>
    <definedName name="TFX20ASelection" localSheetId="9">#REF!</definedName>
    <definedName name="TFX20ASelection" localSheetId="10">#REF!</definedName>
    <definedName name="TFX20ASelection" localSheetId="11">#REF!</definedName>
    <definedName name="TFX20ASelection">#REF!</definedName>
    <definedName name="TFX20AStand" localSheetId="4">#REF!</definedName>
    <definedName name="TFX20AStand" localSheetId="3">#REF!</definedName>
    <definedName name="TFX20AStand" localSheetId="2">#REF!</definedName>
    <definedName name="TFX20AStand" localSheetId="5">#REF!</definedName>
    <definedName name="TFX20AStand" localSheetId="6">#REF!</definedName>
    <definedName name="TFX20AStand" localSheetId="7">#REF!</definedName>
    <definedName name="TFX20AStand" localSheetId="8">#REF!</definedName>
    <definedName name="TFX20AStand" localSheetId="9">#REF!</definedName>
    <definedName name="TFX20AStand" localSheetId="10">#REF!</definedName>
    <definedName name="TFX20AStand" localSheetId="11">#REF!</definedName>
    <definedName name="TFX20AStand">#REF!</definedName>
    <definedName name="TFX20AVolume" localSheetId="4">#REF!</definedName>
    <definedName name="TFX20AVolume" localSheetId="3">#REF!</definedName>
    <definedName name="TFX20AVolume" localSheetId="2">#REF!</definedName>
    <definedName name="TFX20AVolume" localSheetId="5">#REF!</definedName>
    <definedName name="TFX20AVolume" localSheetId="6">#REF!</definedName>
    <definedName name="TFX20AVolume" localSheetId="7">#REF!</definedName>
    <definedName name="TFX20AVolume" localSheetId="8">#REF!</definedName>
    <definedName name="TFX20AVolume" localSheetId="9">#REF!</definedName>
    <definedName name="TFX20AVolume" localSheetId="10">#REF!</definedName>
    <definedName name="TFX20AVolume" localSheetId="11">#REF!</definedName>
    <definedName name="TFX20AVolume">#REF!</definedName>
    <definedName name="TFX20RAham" localSheetId="4">#REF!</definedName>
    <definedName name="TFX20RAham" localSheetId="3">#REF!</definedName>
    <definedName name="TFX20RAham" localSheetId="2">#REF!</definedName>
    <definedName name="TFX20RAham" localSheetId="5">#REF!</definedName>
    <definedName name="TFX20RAham" localSheetId="6">#REF!</definedName>
    <definedName name="TFX20RAham" localSheetId="7">#REF!</definedName>
    <definedName name="TFX20RAham" localSheetId="8">#REF!</definedName>
    <definedName name="TFX20RAham" localSheetId="9">#REF!</definedName>
    <definedName name="TFX20RAham" localSheetId="10">#REF!</definedName>
    <definedName name="TFX20RAham" localSheetId="11">#REF!</definedName>
    <definedName name="TFX20RAham">#REF!</definedName>
    <definedName name="TFX20RCost" localSheetId="4">#REF!</definedName>
    <definedName name="TFX20RCost" localSheetId="3">#REF!</definedName>
    <definedName name="TFX20RCost" localSheetId="2">#REF!</definedName>
    <definedName name="TFX20RCost" localSheetId="5">#REF!</definedName>
    <definedName name="TFX20RCost" localSheetId="6">#REF!</definedName>
    <definedName name="TFX20RCost" localSheetId="7">#REF!</definedName>
    <definedName name="TFX20RCost" localSheetId="8">#REF!</definedName>
    <definedName name="TFX20RCost" localSheetId="9">#REF!</definedName>
    <definedName name="TFX20RCost" localSheetId="10">#REF!</definedName>
    <definedName name="TFX20RCost" localSheetId="11">#REF!</definedName>
    <definedName name="TFX20RCost">#REF!</definedName>
    <definedName name="TFX20RFix" localSheetId="4">#REF!</definedName>
    <definedName name="TFX20RFix" localSheetId="3">#REF!</definedName>
    <definedName name="TFX20RFix" localSheetId="2">#REF!</definedName>
    <definedName name="TFX20RFix" localSheetId="5">#REF!</definedName>
    <definedName name="TFX20RFix" localSheetId="6">#REF!</definedName>
    <definedName name="TFX20RFix" localSheetId="7">#REF!</definedName>
    <definedName name="TFX20RFix" localSheetId="8">#REF!</definedName>
    <definedName name="TFX20RFix" localSheetId="9">#REF!</definedName>
    <definedName name="TFX20RFix" localSheetId="10">#REF!</definedName>
    <definedName name="TFX20RFix" localSheetId="11">#REF!</definedName>
    <definedName name="TFX20RFix">#REF!</definedName>
    <definedName name="TFX20RGoal" localSheetId="4">#REF!</definedName>
    <definedName name="TFX20RGoal" localSheetId="3">#REF!</definedName>
    <definedName name="TFX20RGoal" localSheetId="2">#REF!</definedName>
    <definedName name="TFX20RGoal" localSheetId="5">#REF!</definedName>
    <definedName name="TFX20RGoal" localSheetId="6">#REF!</definedName>
    <definedName name="TFX20RGoal" localSheetId="7">#REF!</definedName>
    <definedName name="TFX20RGoal" localSheetId="8">#REF!</definedName>
    <definedName name="TFX20RGoal" localSheetId="9">#REF!</definedName>
    <definedName name="TFX20RGoal" localSheetId="10">#REF!</definedName>
    <definedName name="TFX20RGoal" localSheetId="11">#REF!</definedName>
    <definedName name="TFX20RGoal">#REF!</definedName>
    <definedName name="TFX20RKwh" localSheetId="4">#REF!</definedName>
    <definedName name="TFX20RKwh" localSheetId="3">#REF!</definedName>
    <definedName name="TFX20RKwh" localSheetId="2">#REF!</definedName>
    <definedName name="TFX20RKwh" localSheetId="5">#REF!</definedName>
    <definedName name="TFX20RKwh" localSheetId="6">#REF!</definedName>
    <definedName name="TFX20RKwh" localSheetId="7">#REF!</definedName>
    <definedName name="TFX20RKwh" localSheetId="8">#REF!</definedName>
    <definedName name="TFX20RKwh" localSheetId="9">#REF!</definedName>
    <definedName name="TFX20RKwh" localSheetId="10">#REF!</definedName>
    <definedName name="TFX20RKwh" localSheetId="11">#REF!</definedName>
    <definedName name="TFX20RKwh">#REF!</definedName>
    <definedName name="TFX20RSelection" localSheetId="4">#REF!</definedName>
    <definedName name="TFX20RSelection" localSheetId="3">#REF!</definedName>
    <definedName name="TFX20RSelection" localSheetId="2">#REF!</definedName>
    <definedName name="TFX20RSelection" localSheetId="5">#REF!</definedName>
    <definedName name="TFX20RSelection" localSheetId="6">#REF!</definedName>
    <definedName name="TFX20RSelection" localSheetId="7">#REF!</definedName>
    <definedName name="TFX20RSelection" localSheetId="8">#REF!</definedName>
    <definedName name="TFX20RSelection" localSheetId="9">#REF!</definedName>
    <definedName name="TFX20RSelection" localSheetId="10">#REF!</definedName>
    <definedName name="TFX20RSelection" localSheetId="11">#REF!</definedName>
    <definedName name="TFX20RSelection">#REF!</definedName>
    <definedName name="TFX20RStand" localSheetId="4">#REF!</definedName>
    <definedName name="TFX20RStand" localSheetId="3">#REF!</definedName>
    <definedName name="TFX20RStand" localSheetId="2">#REF!</definedName>
    <definedName name="TFX20RStand" localSheetId="5">#REF!</definedName>
    <definedName name="TFX20RStand" localSheetId="6">#REF!</definedName>
    <definedName name="TFX20RStand" localSheetId="7">#REF!</definedName>
    <definedName name="TFX20RStand" localSheetId="8">#REF!</definedName>
    <definedName name="TFX20RStand" localSheetId="9">#REF!</definedName>
    <definedName name="TFX20RStand" localSheetId="10">#REF!</definedName>
    <definedName name="TFX20RStand" localSheetId="11">#REF!</definedName>
    <definedName name="TFX20RStand">#REF!</definedName>
    <definedName name="TFX20RVolume" localSheetId="4">#REF!</definedName>
    <definedName name="TFX20RVolume" localSheetId="3">#REF!</definedName>
    <definedName name="TFX20RVolume" localSheetId="2">#REF!</definedName>
    <definedName name="TFX20RVolume" localSheetId="5">#REF!</definedName>
    <definedName name="TFX20RVolume" localSheetId="6">#REF!</definedName>
    <definedName name="TFX20RVolume" localSheetId="7">#REF!</definedName>
    <definedName name="TFX20RVolume" localSheetId="8">#REF!</definedName>
    <definedName name="TFX20RVolume" localSheetId="9">#REF!</definedName>
    <definedName name="TFX20RVolume" localSheetId="10">#REF!</definedName>
    <definedName name="TFX20RVolume" localSheetId="11">#REF!</definedName>
    <definedName name="TFX20RVolume">#REF!</definedName>
    <definedName name="TFX22AAham" localSheetId="4">#REF!</definedName>
    <definedName name="TFX22AAham" localSheetId="3">#REF!</definedName>
    <definedName name="TFX22AAham" localSheetId="2">#REF!</definedName>
    <definedName name="TFX22AAham" localSheetId="5">#REF!</definedName>
    <definedName name="TFX22AAham" localSheetId="6">#REF!</definedName>
    <definedName name="TFX22AAham" localSheetId="7">#REF!</definedName>
    <definedName name="TFX22AAham" localSheetId="8">#REF!</definedName>
    <definedName name="TFX22AAham" localSheetId="9">#REF!</definedName>
    <definedName name="TFX22AAham" localSheetId="10">#REF!</definedName>
    <definedName name="TFX22AAham" localSheetId="11">#REF!</definedName>
    <definedName name="TFX22AAham">#REF!</definedName>
    <definedName name="TFX22ACost" localSheetId="4">#REF!</definedName>
    <definedName name="TFX22ACost" localSheetId="3">#REF!</definedName>
    <definedName name="TFX22ACost" localSheetId="2">#REF!</definedName>
    <definedName name="TFX22ACost" localSheetId="5">#REF!</definedName>
    <definedName name="TFX22ACost" localSheetId="6">#REF!</definedName>
    <definedName name="TFX22ACost" localSheetId="7">#REF!</definedName>
    <definedName name="TFX22ACost" localSheetId="8">#REF!</definedName>
    <definedName name="TFX22ACost" localSheetId="9">#REF!</definedName>
    <definedName name="TFX22ACost" localSheetId="10">#REF!</definedName>
    <definedName name="TFX22ACost" localSheetId="11">#REF!</definedName>
    <definedName name="TFX22ACost">#REF!</definedName>
    <definedName name="TFX22AFix" localSheetId="4">#REF!</definedName>
    <definedName name="TFX22AFix" localSheetId="3">#REF!</definedName>
    <definedName name="TFX22AFix" localSheetId="2">#REF!</definedName>
    <definedName name="TFX22AFix" localSheetId="5">#REF!</definedName>
    <definedName name="TFX22AFix" localSheetId="6">#REF!</definedName>
    <definedName name="TFX22AFix" localSheetId="7">#REF!</definedName>
    <definedName name="TFX22AFix" localSheetId="8">#REF!</definedName>
    <definedName name="TFX22AFix" localSheetId="9">#REF!</definedName>
    <definedName name="TFX22AFix" localSheetId="10">#REF!</definedName>
    <definedName name="TFX22AFix" localSheetId="11">#REF!</definedName>
    <definedName name="TFX22AFix">#REF!</definedName>
    <definedName name="TFX22AGoal" localSheetId="4">#REF!</definedName>
    <definedName name="TFX22AGoal" localSheetId="3">#REF!</definedName>
    <definedName name="TFX22AGoal" localSheetId="2">#REF!</definedName>
    <definedName name="TFX22AGoal" localSheetId="5">#REF!</definedName>
    <definedName name="TFX22AGoal" localSheetId="6">#REF!</definedName>
    <definedName name="TFX22AGoal" localSheetId="7">#REF!</definedName>
    <definedName name="TFX22AGoal" localSheetId="8">#REF!</definedName>
    <definedName name="TFX22AGoal" localSheetId="9">#REF!</definedName>
    <definedName name="TFX22AGoal" localSheetId="10">#REF!</definedName>
    <definedName name="TFX22AGoal" localSheetId="11">#REF!</definedName>
    <definedName name="TFX22AGoal">#REF!</definedName>
    <definedName name="TFX22AKwh" localSheetId="4">#REF!</definedName>
    <definedName name="TFX22AKwh" localSheetId="3">#REF!</definedName>
    <definedName name="TFX22AKwh" localSheetId="2">#REF!</definedName>
    <definedName name="TFX22AKwh" localSheetId="5">#REF!</definedName>
    <definedName name="TFX22AKwh" localSheetId="6">#REF!</definedName>
    <definedName name="TFX22AKwh" localSheetId="7">#REF!</definedName>
    <definedName name="TFX22AKwh" localSheetId="8">#REF!</definedName>
    <definedName name="TFX22AKwh" localSheetId="9">#REF!</definedName>
    <definedName name="TFX22AKwh" localSheetId="10">#REF!</definedName>
    <definedName name="TFX22AKwh" localSheetId="11">#REF!</definedName>
    <definedName name="TFX22AKwh">#REF!</definedName>
    <definedName name="TFX22ASelection" localSheetId="4">#REF!</definedName>
    <definedName name="TFX22ASelection" localSheetId="3">#REF!</definedName>
    <definedName name="TFX22ASelection" localSheetId="2">#REF!</definedName>
    <definedName name="TFX22ASelection" localSheetId="5">#REF!</definedName>
    <definedName name="TFX22ASelection" localSheetId="6">#REF!</definedName>
    <definedName name="TFX22ASelection" localSheetId="7">#REF!</definedName>
    <definedName name="TFX22ASelection" localSheetId="8">#REF!</definedName>
    <definedName name="TFX22ASelection" localSheetId="9">#REF!</definedName>
    <definedName name="TFX22ASelection" localSheetId="10">#REF!</definedName>
    <definedName name="TFX22ASelection" localSheetId="11">#REF!</definedName>
    <definedName name="TFX22ASelection">#REF!</definedName>
    <definedName name="TFX22AStand" localSheetId="4">#REF!</definedName>
    <definedName name="TFX22AStand" localSheetId="3">#REF!</definedName>
    <definedName name="TFX22AStand" localSheetId="2">#REF!</definedName>
    <definedName name="TFX22AStand" localSheetId="5">#REF!</definedName>
    <definedName name="TFX22AStand" localSheetId="6">#REF!</definedName>
    <definedName name="TFX22AStand" localSheetId="7">#REF!</definedName>
    <definedName name="TFX22AStand" localSheetId="8">#REF!</definedName>
    <definedName name="TFX22AStand" localSheetId="9">#REF!</definedName>
    <definedName name="TFX22AStand" localSheetId="10">#REF!</definedName>
    <definedName name="TFX22AStand" localSheetId="11">#REF!</definedName>
    <definedName name="TFX22AStand">#REF!</definedName>
    <definedName name="TFX22AVolume" localSheetId="4">#REF!</definedName>
    <definedName name="TFX22AVolume" localSheetId="3">#REF!</definedName>
    <definedName name="TFX22AVolume" localSheetId="2">#REF!</definedName>
    <definedName name="TFX22AVolume" localSheetId="5">#REF!</definedName>
    <definedName name="TFX22AVolume" localSheetId="6">#REF!</definedName>
    <definedName name="TFX22AVolume" localSheetId="7">#REF!</definedName>
    <definedName name="TFX22AVolume" localSheetId="8">#REF!</definedName>
    <definedName name="TFX22AVolume" localSheetId="9">#REF!</definedName>
    <definedName name="TFX22AVolume" localSheetId="10">#REF!</definedName>
    <definedName name="TFX22AVolume" localSheetId="11">#REF!</definedName>
    <definedName name="TFX22AVolume">#REF!</definedName>
    <definedName name="TFX22RAham" localSheetId="4">#REF!</definedName>
    <definedName name="TFX22RAham" localSheetId="3">#REF!</definedName>
    <definedName name="TFX22RAham" localSheetId="2">#REF!</definedName>
    <definedName name="TFX22RAham" localSheetId="5">#REF!</definedName>
    <definedName name="TFX22RAham" localSheetId="6">#REF!</definedName>
    <definedName name="TFX22RAham" localSheetId="7">#REF!</definedName>
    <definedName name="TFX22RAham" localSheetId="8">#REF!</definedName>
    <definedName name="TFX22RAham" localSheetId="9">#REF!</definedName>
    <definedName name="TFX22RAham" localSheetId="10">#REF!</definedName>
    <definedName name="TFX22RAham" localSheetId="11">#REF!</definedName>
    <definedName name="TFX22RAham">#REF!</definedName>
    <definedName name="TFX22RCost" localSheetId="4">#REF!</definedName>
    <definedName name="TFX22RCost" localSheetId="3">#REF!</definedName>
    <definedName name="TFX22RCost" localSheetId="2">#REF!</definedName>
    <definedName name="TFX22RCost" localSheetId="5">#REF!</definedName>
    <definedName name="TFX22RCost" localSheetId="6">#REF!</definedName>
    <definedName name="TFX22RCost" localSheetId="7">#REF!</definedName>
    <definedName name="TFX22RCost" localSheetId="8">#REF!</definedName>
    <definedName name="TFX22RCost" localSheetId="9">#REF!</definedName>
    <definedName name="TFX22RCost" localSheetId="10">#REF!</definedName>
    <definedName name="TFX22RCost" localSheetId="11">#REF!</definedName>
    <definedName name="TFX22RCost">#REF!</definedName>
    <definedName name="TFX22RFix" localSheetId="4">#REF!</definedName>
    <definedName name="TFX22RFix" localSheetId="3">#REF!</definedName>
    <definedName name="TFX22RFix" localSheetId="2">#REF!</definedName>
    <definedName name="TFX22RFix" localSheetId="5">#REF!</definedName>
    <definedName name="TFX22RFix" localSheetId="6">#REF!</definedName>
    <definedName name="TFX22RFix" localSheetId="7">#REF!</definedName>
    <definedName name="TFX22RFix" localSheetId="8">#REF!</definedName>
    <definedName name="TFX22RFix" localSheetId="9">#REF!</definedName>
    <definedName name="TFX22RFix" localSheetId="10">#REF!</definedName>
    <definedName name="TFX22RFix" localSheetId="11">#REF!</definedName>
    <definedName name="TFX22RFix">#REF!</definedName>
    <definedName name="TFX22RGoal" localSheetId="4">#REF!</definedName>
    <definedName name="TFX22RGoal" localSheetId="3">#REF!</definedName>
    <definedName name="TFX22RGoal" localSheetId="2">#REF!</definedName>
    <definedName name="TFX22RGoal" localSheetId="5">#REF!</definedName>
    <definedName name="TFX22RGoal" localSheetId="6">#REF!</definedName>
    <definedName name="TFX22RGoal" localSheetId="7">#REF!</definedName>
    <definedName name="TFX22RGoal" localSheetId="8">#REF!</definedName>
    <definedName name="TFX22RGoal" localSheetId="9">#REF!</definedName>
    <definedName name="TFX22RGoal" localSheetId="10">#REF!</definedName>
    <definedName name="TFX22RGoal" localSheetId="11">#REF!</definedName>
    <definedName name="TFX22RGoal">#REF!</definedName>
    <definedName name="TFX22RKwh" localSheetId="4">#REF!</definedName>
    <definedName name="TFX22RKwh" localSheetId="3">#REF!</definedName>
    <definedName name="TFX22RKwh" localSheetId="2">#REF!</definedName>
    <definedName name="TFX22RKwh" localSheetId="5">#REF!</definedName>
    <definedName name="TFX22RKwh" localSheetId="6">#REF!</definedName>
    <definedName name="TFX22RKwh" localSheetId="7">#REF!</definedName>
    <definedName name="TFX22RKwh" localSheetId="8">#REF!</definedName>
    <definedName name="TFX22RKwh" localSheetId="9">#REF!</definedName>
    <definedName name="TFX22RKwh" localSheetId="10">#REF!</definedName>
    <definedName name="TFX22RKwh" localSheetId="11">#REF!</definedName>
    <definedName name="TFX22RKwh">#REF!</definedName>
    <definedName name="TFX22RSelection" localSheetId="4">#REF!</definedName>
    <definedName name="TFX22RSelection" localSheetId="3">#REF!</definedName>
    <definedName name="TFX22RSelection" localSheetId="2">#REF!</definedName>
    <definedName name="TFX22RSelection" localSheetId="5">#REF!</definedName>
    <definedName name="TFX22RSelection" localSheetId="6">#REF!</definedName>
    <definedName name="TFX22RSelection" localSheetId="7">#REF!</definedName>
    <definedName name="TFX22RSelection" localSheetId="8">#REF!</definedName>
    <definedName name="TFX22RSelection" localSheetId="9">#REF!</definedName>
    <definedName name="TFX22RSelection" localSheetId="10">#REF!</definedName>
    <definedName name="TFX22RSelection" localSheetId="11">#REF!</definedName>
    <definedName name="TFX22RSelection">#REF!</definedName>
    <definedName name="TFX22RStand" localSheetId="4">#REF!</definedName>
    <definedName name="TFX22RStand" localSheetId="3">#REF!</definedName>
    <definedName name="TFX22RStand" localSheetId="2">#REF!</definedName>
    <definedName name="TFX22RStand" localSheetId="5">#REF!</definedName>
    <definedName name="TFX22RStand" localSheetId="6">#REF!</definedName>
    <definedName name="TFX22RStand" localSheetId="7">#REF!</definedName>
    <definedName name="TFX22RStand" localSheetId="8">#REF!</definedName>
    <definedName name="TFX22RStand" localSheetId="9">#REF!</definedName>
    <definedName name="TFX22RStand" localSheetId="10">#REF!</definedName>
    <definedName name="TFX22RStand" localSheetId="11">#REF!</definedName>
    <definedName name="TFX22RStand">#REF!</definedName>
    <definedName name="TFX22RVolume" localSheetId="4">#REF!</definedName>
    <definedName name="TFX22RVolume" localSheetId="3">#REF!</definedName>
    <definedName name="TFX22RVolume" localSheetId="2">#REF!</definedName>
    <definedName name="TFX22RVolume" localSheetId="5">#REF!</definedName>
    <definedName name="TFX22RVolume" localSheetId="6">#REF!</definedName>
    <definedName name="TFX22RVolume" localSheetId="7">#REF!</definedName>
    <definedName name="TFX22RVolume" localSheetId="8">#REF!</definedName>
    <definedName name="TFX22RVolume" localSheetId="9">#REF!</definedName>
    <definedName name="TFX22RVolume" localSheetId="10">#REF!</definedName>
    <definedName name="TFX22RVolume" localSheetId="11">#REF!</definedName>
    <definedName name="TFX22RVolume">#REF!</definedName>
    <definedName name="TFX25AAham" localSheetId="4">#REF!</definedName>
    <definedName name="TFX25AAham" localSheetId="3">#REF!</definedName>
    <definedName name="TFX25AAham" localSheetId="2">#REF!</definedName>
    <definedName name="TFX25AAham" localSheetId="5">#REF!</definedName>
    <definedName name="TFX25AAham" localSheetId="6">#REF!</definedName>
    <definedName name="TFX25AAham" localSheetId="7">#REF!</definedName>
    <definedName name="TFX25AAham" localSheetId="8">#REF!</definedName>
    <definedName name="TFX25AAham" localSheetId="9">#REF!</definedName>
    <definedName name="TFX25AAham" localSheetId="10">#REF!</definedName>
    <definedName name="TFX25AAham" localSheetId="11">#REF!</definedName>
    <definedName name="TFX25AAham">#REF!</definedName>
    <definedName name="TFX25ACost" localSheetId="4">#REF!</definedName>
    <definedName name="TFX25ACost" localSheetId="3">#REF!</definedName>
    <definedName name="TFX25ACost" localSheetId="2">#REF!</definedName>
    <definedName name="TFX25ACost" localSheetId="5">#REF!</definedName>
    <definedName name="TFX25ACost" localSheetId="6">#REF!</definedName>
    <definedName name="TFX25ACost" localSheetId="7">#REF!</definedName>
    <definedName name="TFX25ACost" localSheetId="8">#REF!</definedName>
    <definedName name="TFX25ACost" localSheetId="9">#REF!</definedName>
    <definedName name="TFX25ACost" localSheetId="10">#REF!</definedName>
    <definedName name="TFX25ACost" localSheetId="11">#REF!</definedName>
    <definedName name="TFX25ACost">#REF!</definedName>
    <definedName name="TFX25AFix" localSheetId="4">#REF!</definedName>
    <definedName name="TFX25AFix" localSheetId="3">#REF!</definedName>
    <definedName name="TFX25AFix" localSheetId="2">#REF!</definedName>
    <definedName name="TFX25AFix" localSheetId="5">#REF!</definedName>
    <definedName name="TFX25AFix" localSheetId="6">#REF!</definedName>
    <definedName name="TFX25AFix" localSheetId="7">#REF!</definedName>
    <definedName name="TFX25AFix" localSheetId="8">#REF!</definedName>
    <definedName name="TFX25AFix" localSheetId="9">#REF!</definedName>
    <definedName name="TFX25AFix" localSheetId="10">#REF!</definedName>
    <definedName name="TFX25AFix" localSheetId="11">#REF!</definedName>
    <definedName name="TFX25AFix">#REF!</definedName>
    <definedName name="TFX25AGoal" localSheetId="4">#REF!</definedName>
    <definedName name="TFX25AGoal" localSheetId="3">#REF!</definedName>
    <definedName name="TFX25AGoal" localSheetId="2">#REF!</definedName>
    <definedName name="TFX25AGoal" localSheetId="5">#REF!</definedName>
    <definedName name="TFX25AGoal" localSheetId="6">#REF!</definedName>
    <definedName name="TFX25AGoal" localSheetId="7">#REF!</definedName>
    <definedName name="TFX25AGoal" localSheetId="8">#REF!</definedName>
    <definedName name="TFX25AGoal" localSheetId="9">#REF!</definedName>
    <definedName name="TFX25AGoal" localSheetId="10">#REF!</definedName>
    <definedName name="TFX25AGoal" localSheetId="11">#REF!</definedName>
    <definedName name="TFX25AGoal">#REF!</definedName>
    <definedName name="TFX25AKwh" localSheetId="4">#REF!</definedName>
    <definedName name="TFX25AKwh" localSheetId="3">#REF!</definedName>
    <definedName name="TFX25AKwh" localSheetId="2">#REF!</definedName>
    <definedName name="TFX25AKwh" localSheetId="5">#REF!</definedName>
    <definedName name="TFX25AKwh" localSheetId="6">#REF!</definedName>
    <definedName name="TFX25AKwh" localSheetId="7">#REF!</definedName>
    <definedName name="TFX25AKwh" localSheetId="8">#REF!</definedName>
    <definedName name="TFX25AKwh" localSheetId="9">#REF!</definedName>
    <definedName name="TFX25AKwh" localSheetId="10">#REF!</definedName>
    <definedName name="TFX25AKwh" localSheetId="11">#REF!</definedName>
    <definedName name="TFX25AKwh">#REF!</definedName>
    <definedName name="TFX25ASelection" localSheetId="4">#REF!</definedName>
    <definedName name="TFX25ASelection" localSheetId="3">#REF!</definedName>
    <definedName name="TFX25ASelection" localSheetId="2">#REF!</definedName>
    <definedName name="TFX25ASelection" localSheetId="5">#REF!</definedName>
    <definedName name="TFX25ASelection" localSheetId="6">#REF!</definedName>
    <definedName name="TFX25ASelection" localSheetId="7">#REF!</definedName>
    <definedName name="TFX25ASelection" localSheetId="8">#REF!</definedName>
    <definedName name="TFX25ASelection" localSheetId="9">#REF!</definedName>
    <definedName name="TFX25ASelection" localSheetId="10">#REF!</definedName>
    <definedName name="TFX25ASelection" localSheetId="11">#REF!</definedName>
    <definedName name="TFX25ASelection">#REF!</definedName>
    <definedName name="TFX25AStand" localSheetId="4">#REF!</definedName>
    <definedName name="TFX25AStand" localSheetId="3">#REF!</definedName>
    <definedName name="TFX25AStand" localSheetId="2">#REF!</definedName>
    <definedName name="TFX25AStand" localSheetId="5">#REF!</definedName>
    <definedName name="TFX25AStand" localSheetId="6">#REF!</definedName>
    <definedName name="TFX25AStand" localSheetId="7">#REF!</definedName>
    <definedName name="TFX25AStand" localSheetId="8">#REF!</definedName>
    <definedName name="TFX25AStand" localSheetId="9">#REF!</definedName>
    <definedName name="TFX25AStand" localSheetId="10">#REF!</definedName>
    <definedName name="TFX25AStand" localSheetId="11">#REF!</definedName>
    <definedName name="TFX25AStand">#REF!</definedName>
    <definedName name="TFX25AVolume" localSheetId="4">#REF!</definedName>
    <definedName name="TFX25AVolume" localSheetId="3">#REF!</definedName>
    <definedName name="TFX25AVolume" localSheetId="2">#REF!</definedName>
    <definedName name="TFX25AVolume" localSheetId="5">#REF!</definedName>
    <definedName name="TFX25AVolume" localSheetId="6">#REF!</definedName>
    <definedName name="TFX25AVolume" localSheetId="7">#REF!</definedName>
    <definedName name="TFX25AVolume" localSheetId="8">#REF!</definedName>
    <definedName name="TFX25AVolume" localSheetId="9">#REF!</definedName>
    <definedName name="TFX25AVolume" localSheetId="10">#REF!</definedName>
    <definedName name="TFX25AVolume" localSheetId="11">#REF!</definedName>
    <definedName name="TFX25AVolume">#REF!</definedName>
    <definedName name="TFX25RAham" localSheetId="4">#REF!</definedName>
    <definedName name="TFX25RAham" localSheetId="3">#REF!</definedName>
    <definedName name="TFX25RAham" localSheetId="2">#REF!</definedName>
    <definedName name="TFX25RAham" localSheetId="5">#REF!</definedName>
    <definedName name="TFX25RAham" localSheetId="6">#REF!</definedName>
    <definedName name="TFX25RAham" localSheetId="7">#REF!</definedName>
    <definedName name="TFX25RAham" localSheetId="8">#REF!</definedName>
    <definedName name="TFX25RAham" localSheetId="9">#REF!</definedName>
    <definedName name="TFX25RAham" localSheetId="10">#REF!</definedName>
    <definedName name="TFX25RAham" localSheetId="11">#REF!</definedName>
    <definedName name="TFX25RAham">#REF!</definedName>
    <definedName name="TFX25RCost" localSheetId="4">#REF!</definedName>
    <definedName name="TFX25RCost" localSheetId="3">#REF!</definedName>
    <definedName name="TFX25RCost" localSheetId="2">#REF!</definedName>
    <definedName name="TFX25RCost" localSheetId="5">#REF!</definedName>
    <definedName name="TFX25RCost" localSheetId="6">#REF!</definedName>
    <definedName name="TFX25RCost" localSheetId="7">#REF!</definedName>
    <definedName name="TFX25RCost" localSheetId="8">#REF!</definedName>
    <definedName name="TFX25RCost" localSheetId="9">#REF!</definedName>
    <definedName name="TFX25RCost" localSheetId="10">#REF!</definedName>
    <definedName name="TFX25RCost" localSheetId="11">#REF!</definedName>
    <definedName name="TFX25RCost">#REF!</definedName>
    <definedName name="TFX25RFix" localSheetId="4">#REF!</definedName>
    <definedName name="TFX25RFix" localSheetId="3">#REF!</definedName>
    <definedName name="TFX25RFix" localSheetId="2">#REF!</definedName>
    <definedName name="TFX25RFix" localSheetId="5">#REF!</definedName>
    <definedName name="TFX25RFix" localSheetId="6">#REF!</definedName>
    <definedName name="TFX25RFix" localSheetId="7">#REF!</definedName>
    <definedName name="TFX25RFix" localSheetId="8">#REF!</definedName>
    <definedName name="TFX25RFix" localSheetId="9">#REF!</definedName>
    <definedName name="TFX25RFix" localSheetId="10">#REF!</definedName>
    <definedName name="TFX25RFix" localSheetId="11">#REF!</definedName>
    <definedName name="TFX25RFix">#REF!</definedName>
    <definedName name="TFX25RGoal" localSheetId="4">#REF!</definedName>
    <definedName name="TFX25RGoal" localSheetId="3">#REF!</definedName>
    <definedName name="TFX25RGoal" localSheetId="2">#REF!</definedName>
    <definedName name="TFX25RGoal" localSheetId="5">#REF!</definedName>
    <definedName name="TFX25RGoal" localSheetId="6">#REF!</definedName>
    <definedName name="TFX25RGoal" localSheetId="7">#REF!</definedName>
    <definedName name="TFX25RGoal" localSheetId="8">#REF!</definedName>
    <definedName name="TFX25RGoal" localSheetId="9">#REF!</definedName>
    <definedName name="TFX25RGoal" localSheetId="10">#REF!</definedName>
    <definedName name="TFX25RGoal" localSheetId="11">#REF!</definedName>
    <definedName name="TFX25RGoal">#REF!</definedName>
    <definedName name="TFX25RKwh" localSheetId="4">#REF!</definedName>
    <definedName name="TFX25RKwh" localSheetId="3">#REF!</definedName>
    <definedName name="TFX25RKwh" localSheetId="2">#REF!</definedName>
    <definedName name="TFX25RKwh" localSheetId="5">#REF!</definedName>
    <definedName name="TFX25RKwh" localSheetId="6">#REF!</definedName>
    <definedName name="TFX25RKwh" localSheetId="7">#REF!</definedName>
    <definedName name="TFX25RKwh" localSheetId="8">#REF!</definedName>
    <definedName name="TFX25RKwh" localSheetId="9">#REF!</definedName>
    <definedName name="TFX25RKwh" localSheetId="10">#REF!</definedName>
    <definedName name="TFX25RKwh" localSheetId="11">#REF!</definedName>
    <definedName name="TFX25RKwh">#REF!</definedName>
    <definedName name="TFX25RSelection" localSheetId="4">#REF!</definedName>
    <definedName name="TFX25RSelection" localSheetId="3">#REF!</definedName>
    <definedName name="TFX25RSelection" localSheetId="2">#REF!</definedName>
    <definedName name="TFX25RSelection" localSheetId="5">#REF!</definedName>
    <definedName name="TFX25RSelection" localSheetId="6">#REF!</definedName>
    <definedName name="TFX25RSelection" localSheetId="7">#REF!</definedName>
    <definedName name="TFX25RSelection" localSheetId="8">#REF!</definedName>
    <definedName name="TFX25RSelection" localSheetId="9">#REF!</definedName>
    <definedName name="TFX25RSelection" localSheetId="10">#REF!</definedName>
    <definedName name="TFX25RSelection" localSheetId="11">#REF!</definedName>
    <definedName name="TFX25RSelection">#REF!</definedName>
    <definedName name="TFX25RStand" localSheetId="4">#REF!</definedName>
    <definedName name="TFX25RStand" localSheetId="3">#REF!</definedName>
    <definedName name="TFX25RStand" localSheetId="2">#REF!</definedName>
    <definedName name="TFX25RStand" localSheetId="5">#REF!</definedName>
    <definedName name="TFX25RStand" localSheetId="6">#REF!</definedName>
    <definedName name="TFX25RStand" localSheetId="7">#REF!</definedName>
    <definedName name="TFX25RStand" localSheetId="8">#REF!</definedName>
    <definedName name="TFX25RStand" localSheetId="9">#REF!</definedName>
    <definedName name="TFX25RStand" localSheetId="10">#REF!</definedName>
    <definedName name="TFX25RStand" localSheetId="11">#REF!</definedName>
    <definedName name="TFX25RStand">#REF!</definedName>
    <definedName name="TFX25RVolume" localSheetId="4">#REF!</definedName>
    <definedName name="TFX25RVolume" localSheetId="3">#REF!</definedName>
    <definedName name="TFX25RVolume" localSheetId="2">#REF!</definedName>
    <definedName name="TFX25RVolume" localSheetId="5">#REF!</definedName>
    <definedName name="TFX25RVolume" localSheetId="6">#REF!</definedName>
    <definedName name="TFX25RVolume" localSheetId="7">#REF!</definedName>
    <definedName name="TFX25RVolume" localSheetId="8">#REF!</definedName>
    <definedName name="TFX25RVolume" localSheetId="9">#REF!</definedName>
    <definedName name="TFX25RVolume" localSheetId="10">#REF!</definedName>
    <definedName name="TFX25RVolume" localSheetId="11">#REF!</definedName>
    <definedName name="TFX25RVolume">#REF!</definedName>
    <definedName name="Ti" localSheetId="4">#REF!</definedName>
    <definedName name="Ti" localSheetId="3">#REF!</definedName>
    <definedName name="Ti" localSheetId="2">#REF!</definedName>
    <definedName name="Ti" localSheetId="5">#REF!</definedName>
    <definedName name="Ti" localSheetId="6">#REF!</definedName>
    <definedName name="Ti" localSheetId="7">#REF!</definedName>
    <definedName name="Ti" localSheetId="8">#REF!</definedName>
    <definedName name="Ti" localSheetId="9">#REF!</definedName>
    <definedName name="Ti" localSheetId="10">#REF!</definedName>
    <definedName name="Ti" localSheetId="11">#REF!</definedName>
    <definedName name="Ti">#REF!</definedName>
    <definedName name="Time0" localSheetId="8">[54]FP!$D$60</definedName>
    <definedName name="Time0" localSheetId="9">[54]FP!$D$60</definedName>
    <definedName name="Time0" localSheetId="10">[90]FP!$D$60</definedName>
    <definedName name="Time0">[42]FP!$D$60</definedName>
    <definedName name="Time1" localSheetId="8">[54]FP!$E$60</definedName>
    <definedName name="Time1" localSheetId="9">[54]FP!$E$60</definedName>
    <definedName name="Time1" localSheetId="10">[90]FP!$E$60</definedName>
    <definedName name="Time1">[42]FP!$E$60</definedName>
    <definedName name="Time2" localSheetId="8">[54]FP!$F$60</definedName>
    <definedName name="Time2" localSheetId="9">[54]FP!$F$60</definedName>
    <definedName name="Time2" localSheetId="10">[90]FP!$F$60</definedName>
    <definedName name="Time2">[42]FP!$F$60</definedName>
    <definedName name="Time3" localSheetId="8">[54]FP!$G$60</definedName>
    <definedName name="Time3" localSheetId="9">[54]FP!$G$60</definedName>
    <definedName name="Time3" localSheetId="10">[90]FP!$G$60</definedName>
    <definedName name="Time3">[42]FP!$G$60</definedName>
    <definedName name="Time4" localSheetId="8">[54]FP!$H$60</definedName>
    <definedName name="Time4" localSheetId="9">[54]FP!$H$60</definedName>
    <definedName name="Time4" localSheetId="10">[90]FP!$H$60</definedName>
    <definedName name="Time4">[42]FP!$H$60</definedName>
    <definedName name="Time5" localSheetId="8">[54]FP!$I$60</definedName>
    <definedName name="Time5" localSheetId="9">[54]FP!$I$60</definedName>
    <definedName name="Time5" localSheetId="10">[90]FP!$I$60</definedName>
    <definedName name="Time5">[42]FP!$I$60</definedName>
    <definedName name="Titel" localSheetId="4">#REF!</definedName>
    <definedName name="Titel" localSheetId="3">#REF!</definedName>
    <definedName name="Titel" localSheetId="2">#REF!</definedName>
    <definedName name="Titel" localSheetId="5">#REF!</definedName>
    <definedName name="Titel" localSheetId="6">#REF!</definedName>
    <definedName name="Titel" localSheetId="7">#REF!</definedName>
    <definedName name="Titel" localSheetId="8">#REF!</definedName>
    <definedName name="Titel" localSheetId="9">#REF!</definedName>
    <definedName name="Titel" localSheetId="10">#REF!</definedName>
    <definedName name="Titel" localSheetId="11">#REF!</definedName>
    <definedName name="Titel">#REF!</definedName>
    <definedName name="tito" localSheetId="4" hidden="1">{#N/A,#N/A,TRUE,"Distribution";#N/A,#N/A,TRUE,"Fulfillment";#N/A,#N/A,TRUE,"Aged Backorders"}</definedName>
    <definedName name="tito" localSheetId="3" hidden="1">{#N/A,#N/A,TRUE,"Distribution";#N/A,#N/A,TRUE,"Fulfillment";#N/A,#N/A,TRUE,"Aged Backorders"}</definedName>
    <definedName name="tito" localSheetId="2" hidden="1">{#N/A,#N/A,TRUE,"Distribution";#N/A,#N/A,TRUE,"Fulfillment";#N/A,#N/A,TRUE,"Aged Backorders"}</definedName>
    <definedName name="tito" localSheetId="8" hidden="1">{#N/A,#N/A,TRUE,"Distribution";#N/A,#N/A,TRUE,"Fulfillment";#N/A,#N/A,TRUE,"Aged Backorders"}</definedName>
    <definedName name="tito" localSheetId="9" hidden="1">{#N/A,#N/A,TRUE,"Distribution";#N/A,#N/A,TRUE,"Fulfillment";#N/A,#N/A,TRUE,"Aged Backorders"}</definedName>
    <definedName name="tito" localSheetId="10" hidden="1">{#N/A,#N/A,TRUE,"Distribution";#N/A,#N/A,TRUE,"Fulfillment";#N/A,#N/A,TRUE,"Aged Backorders"}</definedName>
    <definedName name="tito" hidden="1">{#N/A,#N/A,TRUE,"Distribution";#N/A,#N/A,TRUE,"Fulfillment";#N/A,#N/A,TRUE,"Aged Backorders"}</definedName>
    <definedName name="TL_AL_01" localSheetId="4">'[73]Top Lvl  Logic'!$Z$9</definedName>
    <definedName name="TL_AL_01" localSheetId="3">'[73]Top Lvl  Logic'!$Z$9</definedName>
    <definedName name="TL_AL_01" localSheetId="2">'[73]Top Lvl  Logic'!$Z$9</definedName>
    <definedName name="TL_AL_01" localSheetId="5">'[73]Top Lvl  Logic'!$Z$9</definedName>
    <definedName name="TL_AL_01" localSheetId="6">'[73]Top Lvl  Logic'!$Z$9</definedName>
    <definedName name="TL_AL_01" localSheetId="7">'[73]Top Lvl  Logic'!$Z$9</definedName>
    <definedName name="TL_AL_01" localSheetId="8">'[73]Top Lvl  Logic'!$Z$9</definedName>
    <definedName name="TL_AL_01" localSheetId="9">'[73]Top Lvl  Logic'!$Z$9</definedName>
    <definedName name="TL_AL_01" localSheetId="10">'[18]Top Lvl  Logic'!$Z$9</definedName>
    <definedName name="TL_AL_01">'[23]Top Lvl  Logic'!$Z$9</definedName>
    <definedName name="TL_AL_01_10" localSheetId="4">'[73]Top Lvl  Logic'!$Z$9</definedName>
    <definedName name="TL_AL_01_10" localSheetId="3">'[73]Top Lvl  Logic'!$Z$9</definedName>
    <definedName name="TL_AL_01_10" localSheetId="2">'[73]Top Lvl  Logic'!$Z$9</definedName>
    <definedName name="TL_AL_01_10" localSheetId="5">'[73]Top Lvl  Logic'!$Z$9</definedName>
    <definedName name="TL_AL_01_10" localSheetId="6">'[73]Top Lvl  Logic'!$Z$9</definedName>
    <definedName name="TL_AL_01_10" localSheetId="7">'[73]Top Lvl  Logic'!$Z$9</definedName>
    <definedName name="TL_AL_01_10" localSheetId="8">'[73]Top Lvl  Logic'!$Z$9</definedName>
    <definedName name="TL_AL_01_10" localSheetId="9">'[73]Top Lvl  Logic'!$Z$9</definedName>
    <definedName name="TL_AL_01_10" localSheetId="10">'[18]Top Lvl  Logic'!$Z$9</definedName>
    <definedName name="TL_AL_01_10">'[23]Top Lvl  Logic'!$Z$9</definedName>
    <definedName name="TL_AL_12" localSheetId="4">'[73]Top Lvl  Logic'!$AA$9</definedName>
    <definedName name="TL_AL_12" localSheetId="3">'[73]Top Lvl  Logic'!$AA$9</definedName>
    <definedName name="TL_AL_12" localSheetId="2">'[73]Top Lvl  Logic'!$AA$9</definedName>
    <definedName name="TL_AL_12" localSheetId="5">'[73]Top Lvl  Logic'!$AA$9</definedName>
    <definedName name="TL_AL_12" localSheetId="6">'[73]Top Lvl  Logic'!$AA$9</definedName>
    <definedName name="TL_AL_12" localSheetId="7">'[73]Top Lvl  Logic'!$AA$9</definedName>
    <definedName name="TL_AL_12" localSheetId="8">'[73]Top Lvl  Logic'!$AA$9</definedName>
    <definedName name="TL_AL_12" localSheetId="9">'[73]Top Lvl  Logic'!$AA$9</definedName>
    <definedName name="TL_AL_12" localSheetId="10">'[18]Top Lvl  Logic'!$AA$9</definedName>
    <definedName name="TL_AL_12">'[23]Top Lvl  Logic'!$AA$9</definedName>
    <definedName name="TL_AL_12_10" localSheetId="4">'[73]Top Lvl  Logic'!$AA$9</definedName>
    <definedName name="TL_AL_12_10" localSheetId="3">'[73]Top Lvl  Logic'!$AA$9</definedName>
    <definedName name="TL_AL_12_10" localSheetId="2">'[73]Top Lvl  Logic'!$AA$9</definedName>
    <definedName name="TL_AL_12_10" localSheetId="5">'[73]Top Lvl  Logic'!$AA$9</definedName>
    <definedName name="TL_AL_12_10" localSheetId="6">'[73]Top Lvl  Logic'!$AA$9</definedName>
    <definedName name="TL_AL_12_10" localSheetId="7">'[73]Top Lvl  Logic'!$AA$9</definedName>
    <definedName name="TL_AL_12_10" localSheetId="8">'[73]Top Lvl  Logic'!$AA$9</definedName>
    <definedName name="TL_AL_12_10" localSheetId="9">'[73]Top Lvl  Logic'!$AA$9</definedName>
    <definedName name="TL_AL_12_10" localSheetId="10">'[18]Top Lvl  Logic'!$AA$9</definedName>
    <definedName name="TL_AL_12_10">'[23]Top Lvl  Logic'!$AA$9</definedName>
    <definedName name="TL_AL_23" localSheetId="4">'[73]Top Lvl  Logic'!$AB$9</definedName>
    <definedName name="TL_AL_23" localSheetId="3">'[73]Top Lvl  Logic'!$AB$9</definedName>
    <definedName name="TL_AL_23" localSheetId="2">'[73]Top Lvl  Logic'!$AB$9</definedName>
    <definedName name="TL_AL_23" localSheetId="5">'[73]Top Lvl  Logic'!$AB$9</definedName>
    <definedName name="TL_AL_23" localSheetId="6">'[73]Top Lvl  Logic'!$AB$9</definedName>
    <definedName name="TL_AL_23" localSheetId="7">'[73]Top Lvl  Logic'!$AB$9</definedName>
    <definedName name="TL_AL_23" localSheetId="8">'[73]Top Lvl  Logic'!$AB$9</definedName>
    <definedName name="TL_AL_23" localSheetId="9">'[73]Top Lvl  Logic'!$AB$9</definedName>
    <definedName name="TL_AL_23" localSheetId="10">'[18]Top Lvl  Logic'!$AB$9</definedName>
    <definedName name="TL_AL_23">'[23]Top Lvl  Logic'!$AB$9</definedName>
    <definedName name="TL_AL_23_10" localSheetId="4">'[73]Top Lvl  Logic'!$AB$9</definedName>
    <definedName name="TL_AL_23_10" localSheetId="3">'[73]Top Lvl  Logic'!$AB$9</definedName>
    <definedName name="TL_AL_23_10" localSheetId="2">'[73]Top Lvl  Logic'!$AB$9</definedName>
    <definedName name="TL_AL_23_10" localSheetId="5">'[73]Top Lvl  Logic'!$AB$9</definedName>
    <definedName name="TL_AL_23_10" localSheetId="6">'[73]Top Lvl  Logic'!$AB$9</definedName>
    <definedName name="TL_AL_23_10" localSheetId="7">'[73]Top Lvl  Logic'!$AB$9</definedName>
    <definedName name="TL_AL_23_10" localSheetId="8">'[73]Top Lvl  Logic'!$AB$9</definedName>
    <definedName name="TL_AL_23_10" localSheetId="9">'[73]Top Lvl  Logic'!$AB$9</definedName>
    <definedName name="TL_AL_23_10" localSheetId="10">'[18]Top Lvl  Logic'!$AB$9</definedName>
    <definedName name="TL_AL_23_10">'[23]Top Lvl  Logic'!$AB$9</definedName>
    <definedName name="TL_AL_34" localSheetId="4">'[73]Top Lvl  Logic'!$AC$9</definedName>
    <definedName name="TL_AL_34" localSheetId="3">'[73]Top Lvl  Logic'!$AC$9</definedName>
    <definedName name="TL_AL_34" localSheetId="2">'[73]Top Lvl  Logic'!$AC$9</definedName>
    <definedName name="TL_AL_34" localSheetId="5">'[73]Top Lvl  Logic'!$AC$9</definedName>
    <definedName name="TL_AL_34" localSheetId="6">'[73]Top Lvl  Logic'!$AC$9</definedName>
    <definedName name="TL_AL_34" localSheetId="7">'[73]Top Lvl  Logic'!$AC$9</definedName>
    <definedName name="TL_AL_34" localSheetId="8">'[73]Top Lvl  Logic'!$AC$9</definedName>
    <definedName name="TL_AL_34" localSheetId="9">'[73]Top Lvl  Logic'!$AC$9</definedName>
    <definedName name="TL_AL_34" localSheetId="10">'[18]Top Lvl  Logic'!$AC$9</definedName>
    <definedName name="TL_AL_34">'[23]Top Lvl  Logic'!$AC$9</definedName>
    <definedName name="TL_AL_34_10" localSheetId="4">'[73]Top Lvl  Logic'!$AC$9</definedName>
    <definedName name="TL_AL_34_10" localSheetId="3">'[73]Top Lvl  Logic'!$AC$9</definedName>
    <definedName name="TL_AL_34_10" localSheetId="2">'[73]Top Lvl  Logic'!$AC$9</definedName>
    <definedName name="TL_AL_34_10" localSheetId="5">'[73]Top Lvl  Logic'!$AC$9</definedName>
    <definedName name="TL_AL_34_10" localSheetId="6">'[73]Top Lvl  Logic'!$AC$9</definedName>
    <definedName name="TL_AL_34_10" localSheetId="7">'[73]Top Lvl  Logic'!$AC$9</definedName>
    <definedName name="TL_AL_34_10" localSheetId="8">'[73]Top Lvl  Logic'!$AC$9</definedName>
    <definedName name="TL_AL_34_10" localSheetId="9">'[73]Top Lvl  Logic'!$AC$9</definedName>
    <definedName name="TL_AL_34_10" localSheetId="10">'[18]Top Lvl  Logic'!$AC$9</definedName>
    <definedName name="TL_AL_34_10">'[23]Top Lvl  Logic'!$AC$9</definedName>
    <definedName name="TL_AL_45" localSheetId="4">'[73]Top Lvl  Logic'!$AD$9</definedName>
    <definedName name="TL_AL_45" localSheetId="3">'[73]Top Lvl  Logic'!$AD$9</definedName>
    <definedName name="TL_AL_45" localSheetId="2">'[73]Top Lvl  Logic'!$AD$9</definedName>
    <definedName name="TL_AL_45" localSheetId="5">'[73]Top Lvl  Logic'!$AD$9</definedName>
    <definedName name="TL_AL_45" localSheetId="6">'[73]Top Lvl  Logic'!$AD$9</definedName>
    <definedName name="TL_AL_45" localSheetId="7">'[73]Top Lvl  Logic'!$AD$9</definedName>
    <definedName name="TL_AL_45" localSheetId="8">'[73]Top Lvl  Logic'!$AD$9</definedName>
    <definedName name="TL_AL_45" localSheetId="9">'[73]Top Lvl  Logic'!$AD$9</definedName>
    <definedName name="TL_AL_45" localSheetId="10">'[18]Top Lvl  Logic'!$AD$9</definedName>
    <definedName name="TL_AL_45">'[23]Top Lvl  Logic'!$AD$9</definedName>
    <definedName name="TL_AL_45_10" localSheetId="4">'[73]Top Lvl  Logic'!$AD$9</definedName>
    <definedName name="TL_AL_45_10" localSheetId="3">'[73]Top Lvl  Logic'!$AD$9</definedName>
    <definedName name="TL_AL_45_10" localSheetId="2">'[73]Top Lvl  Logic'!$AD$9</definedName>
    <definedName name="TL_AL_45_10" localSheetId="5">'[73]Top Lvl  Logic'!$AD$9</definedName>
    <definedName name="TL_AL_45_10" localSheetId="6">'[73]Top Lvl  Logic'!$AD$9</definedName>
    <definedName name="TL_AL_45_10" localSheetId="7">'[73]Top Lvl  Logic'!$AD$9</definedName>
    <definedName name="TL_AL_45_10" localSheetId="8">'[73]Top Lvl  Logic'!$AD$9</definedName>
    <definedName name="TL_AL_45_10" localSheetId="9">'[73]Top Lvl  Logic'!$AD$9</definedName>
    <definedName name="TL_AL_45_10" localSheetId="10">'[18]Top Lvl  Logic'!$AD$9</definedName>
    <definedName name="TL_AL_45_10">'[23]Top Lvl  Logic'!$AD$9</definedName>
    <definedName name="TL_AL_56" localSheetId="4">'[73]Top Lvl  Logic'!$AE$9</definedName>
    <definedName name="TL_AL_56" localSheetId="3">'[73]Top Lvl  Logic'!$AE$9</definedName>
    <definedName name="TL_AL_56" localSheetId="2">'[73]Top Lvl  Logic'!$AE$9</definedName>
    <definedName name="TL_AL_56" localSheetId="5">'[73]Top Lvl  Logic'!$AE$9</definedName>
    <definedName name="TL_AL_56" localSheetId="6">'[73]Top Lvl  Logic'!$AE$9</definedName>
    <definedName name="TL_AL_56" localSheetId="7">'[73]Top Lvl  Logic'!$AE$9</definedName>
    <definedName name="TL_AL_56" localSheetId="8">'[73]Top Lvl  Logic'!$AE$9</definedName>
    <definedName name="TL_AL_56" localSheetId="9">'[73]Top Lvl  Logic'!$AE$9</definedName>
    <definedName name="TL_AL_56" localSheetId="10">'[18]Top Lvl  Logic'!$AE$9</definedName>
    <definedName name="TL_AL_56">'[23]Top Lvl  Logic'!$AE$9</definedName>
    <definedName name="TL_AL_56_10" localSheetId="4">'[73]Top Lvl  Logic'!$AE$9</definedName>
    <definedName name="TL_AL_56_10" localSheetId="3">'[73]Top Lvl  Logic'!$AE$9</definedName>
    <definedName name="TL_AL_56_10" localSheetId="2">'[73]Top Lvl  Logic'!$AE$9</definedName>
    <definedName name="TL_AL_56_10" localSheetId="5">'[73]Top Lvl  Logic'!$AE$9</definedName>
    <definedName name="TL_AL_56_10" localSheetId="6">'[73]Top Lvl  Logic'!$AE$9</definedName>
    <definedName name="TL_AL_56_10" localSheetId="7">'[73]Top Lvl  Logic'!$AE$9</definedName>
    <definedName name="TL_AL_56_10" localSheetId="8">'[73]Top Lvl  Logic'!$AE$9</definedName>
    <definedName name="TL_AL_56_10" localSheetId="9">'[73]Top Lvl  Logic'!$AE$9</definedName>
    <definedName name="TL_AL_56_10" localSheetId="10">'[18]Top Lvl  Logic'!$AE$9</definedName>
    <definedName name="TL_AL_56_10">'[23]Top Lvl  Logic'!$AE$9</definedName>
    <definedName name="TL_AL_G6" localSheetId="4">'[73]Top Lvl  Logic'!$AF$9</definedName>
    <definedName name="TL_AL_G6" localSheetId="3">'[73]Top Lvl  Logic'!$AF$9</definedName>
    <definedName name="TL_AL_G6" localSheetId="2">'[73]Top Lvl  Logic'!$AF$9</definedName>
    <definedName name="TL_AL_G6" localSheetId="5">'[73]Top Lvl  Logic'!$AF$9</definedName>
    <definedName name="TL_AL_G6" localSheetId="6">'[73]Top Lvl  Logic'!$AF$9</definedName>
    <definedName name="TL_AL_G6" localSheetId="7">'[73]Top Lvl  Logic'!$AF$9</definedName>
    <definedName name="TL_AL_G6" localSheetId="8">'[73]Top Lvl  Logic'!$AF$9</definedName>
    <definedName name="TL_AL_G6" localSheetId="9">'[73]Top Lvl  Logic'!$AF$9</definedName>
    <definedName name="TL_AL_G6" localSheetId="10">'[18]Top Lvl  Logic'!$AF$9</definedName>
    <definedName name="TL_AL_G6">'[23]Top Lvl  Logic'!$AF$9</definedName>
    <definedName name="TL_AL_G6_10" localSheetId="4">'[73]Top Lvl  Logic'!$AF$9</definedName>
    <definedName name="TL_AL_G6_10" localSheetId="3">'[73]Top Lvl  Logic'!$AF$9</definedName>
    <definedName name="TL_AL_G6_10" localSheetId="2">'[73]Top Lvl  Logic'!$AF$9</definedName>
    <definedName name="TL_AL_G6_10" localSheetId="5">'[73]Top Lvl  Logic'!$AF$9</definedName>
    <definedName name="TL_AL_G6_10" localSheetId="6">'[73]Top Lvl  Logic'!$AF$9</definedName>
    <definedName name="TL_AL_G6_10" localSheetId="7">'[73]Top Lvl  Logic'!$AF$9</definedName>
    <definedName name="TL_AL_G6_10" localSheetId="8">'[73]Top Lvl  Logic'!$AF$9</definedName>
    <definedName name="TL_AL_G6_10" localSheetId="9">'[73]Top Lvl  Logic'!$AF$9</definedName>
    <definedName name="TL_AL_G6_10" localSheetId="10">'[18]Top Lvl  Logic'!$AF$9</definedName>
    <definedName name="TL_AL_G6_10">'[23]Top Lvl  Logic'!$AF$9</definedName>
    <definedName name="TL_AL_L0" localSheetId="4">'[73]Top Lvl  Logic'!$Y$9</definedName>
    <definedName name="TL_AL_L0" localSheetId="3">'[73]Top Lvl  Logic'!$Y$9</definedName>
    <definedName name="TL_AL_L0" localSheetId="2">'[73]Top Lvl  Logic'!$Y$9</definedName>
    <definedName name="TL_AL_L0" localSheetId="5">'[73]Top Lvl  Logic'!$Y$9</definedName>
    <definedName name="TL_AL_L0" localSheetId="6">'[73]Top Lvl  Logic'!$Y$9</definedName>
    <definedName name="TL_AL_L0" localSheetId="7">'[73]Top Lvl  Logic'!$Y$9</definedName>
    <definedName name="TL_AL_L0" localSheetId="8">'[73]Top Lvl  Logic'!$Y$9</definedName>
    <definedName name="TL_AL_L0" localSheetId="9">'[73]Top Lvl  Logic'!$Y$9</definedName>
    <definedName name="TL_AL_L0" localSheetId="10">'[18]Top Lvl  Logic'!$Y$9</definedName>
    <definedName name="TL_AL_L0">'[23]Top Lvl  Logic'!$Y$9</definedName>
    <definedName name="TL_AL_L0_10" localSheetId="4">'[73]Top Lvl  Logic'!$Y$9</definedName>
    <definedName name="TL_AL_L0_10" localSheetId="3">'[73]Top Lvl  Logic'!$Y$9</definedName>
    <definedName name="TL_AL_L0_10" localSheetId="2">'[73]Top Lvl  Logic'!$Y$9</definedName>
    <definedName name="TL_AL_L0_10" localSheetId="5">'[73]Top Lvl  Logic'!$Y$9</definedName>
    <definedName name="TL_AL_L0_10" localSheetId="6">'[73]Top Lvl  Logic'!$Y$9</definedName>
    <definedName name="TL_AL_L0_10" localSheetId="7">'[73]Top Lvl  Logic'!$Y$9</definedName>
    <definedName name="TL_AL_L0_10" localSheetId="8">'[73]Top Lvl  Logic'!$Y$9</definedName>
    <definedName name="TL_AL_L0_10" localSheetId="9">'[73]Top Lvl  Logic'!$Y$9</definedName>
    <definedName name="TL_AL_L0_10" localSheetId="10">'[18]Top Lvl  Logic'!$Y$9</definedName>
    <definedName name="TL_AL_L0_10">'[23]Top Lvl  Logic'!$Y$9</definedName>
    <definedName name="TL_AL_NA" localSheetId="4">'[73]Top Lvl  Logic'!$X$9</definedName>
    <definedName name="TL_AL_NA" localSheetId="3">'[73]Top Lvl  Logic'!$X$9</definedName>
    <definedName name="TL_AL_NA" localSheetId="2">'[73]Top Lvl  Logic'!$X$9</definedName>
    <definedName name="TL_AL_NA" localSheetId="5">'[73]Top Lvl  Logic'!$X$9</definedName>
    <definedName name="TL_AL_NA" localSheetId="6">'[73]Top Lvl  Logic'!$X$9</definedName>
    <definedName name="TL_AL_NA" localSheetId="7">'[73]Top Lvl  Logic'!$X$9</definedName>
    <definedName name="TL_AL_NA" localSheetId="8">'[73]Top Lvl  Logic'!$X$9</definedName>
    <definedName name="TL_AL_NA" localSheetId="9">'[73]Top Lvl  Logic'!$X$9</definedName>
    <definedName name="TL_AL_NA" localSheetId="10">'[18]Top Lvl  Logic'!$X$9</definedName>
    <definedName name="TL_AL_NA">'[23]Top Lvl  Logic'!$X$9</definedName>
    <definedName name="TL_AL_NA_10" localSheetId="4">'[73]Top Lvl  Logic'!$X$9</definedName>
    <definedName name="TL_AL_NA_10" localSheetId="3">'[73]Top Lvl  Logic'!$X$9</definedName>
    <definedName name="TL_AL_NA_10" localSheetId="2">'[73]Top Lvl  Logic'!$X$9</definedName>
    <definedName name="TL_AL_NA_10" localSheetId="5">'[73]Top Lvl  Logic'!$X$9</definedName>
    <definedName name="TL_AL_NA_10" localSheetId="6">'[73]Top Lvl  Logic'!$X$9</definedName>
    <definedName name="TL_AL_NA_10" localSheetId="7">'[73]Top Lvl  Logic'!$X$9</definedName>
    <definedName name="TL_AL_NA_10" localSheetId="8">'[73]Top Lvl  Logic'!$X$9</definedName>
    <definedName name="TL_AL_NA_10" localSheetId="9">'[73]Top Lvl  Logic'!$X$9</definedName>
    <definedName name="TL_AL_NA_10" localSheetId="10">'[18]Top Lvl  Logic'!$X$9</definedName>
    <definedName name="TL_AL_NA_10">'[23]Top Lvl  Logic'!$X$9</definedName>
    <definedName name="TL_ALL" localSheetId="4">'[73]Top Lvl  Logic'!$U$8</definedName>
    <definedName name="TL_ALL" localSheetId="3">'[73]Top Lvl  Logic'!$U$8</definedName>
    <definedName name="TL_ALL" localSheetId="2">'[73]Top Lvl  Logic'!$U$8</definedName>
    <definedName name="TL_ALL" localSheetId="5">'[73]Top Lvl  Logic'!$U$8</definedName>
    <definedName name="TL_ALL" localSheetId="6">'[73]Top Lvl  Logic'!$U$8</definedName>
    <definedName name="TL_ALL" localSheetId="7">'[73]Top Lvl  Logic'!$U$8</definedName>
    <definedName name="TL_ALL" localSheetId="8">'[73]Top Lvl  Logic'!$U$8</definedName>
    <definedName name="TL_ALL" localSheetId="9">'[73]Top Lvl  Logic'!$U$8</definedName>
    <definedName name="TL_ALL" localSheetId="10">'[18]Top Lvl  Logic'!$U$8</definedName>
    <definedName name="TL_ALL">'[23]Top Lvl  Logic'!$U$8</definedName>
    <definedName name="TL_ALL_10" localSheetId="4">'[73]Top Lvl  Logic'!$U$8</definedName>
    <definedName name="TL_ALL_10" localSheetId="3">'[73]Top Lvl  Logic'!$U$8</definedName>
    <definedName name="TL_ALL_10" localSheetId="2">'[73]Top Lvl  Logic'!$U$8</definedName>
    <definedName name="TL_ALL_10" localSheetId="5">'[73]Top Lvl  Logic'!$U$8</definedName>
    <definedName name="TL_ALL_10" localSheetId="6">'[73]Top Lvl  Logic'!$U$8</definedName>
    <definedName name="TL_ALL_10" localSheetId="7">'[73]Top Lvl  Logic'!$U$8</definedName>
    <definedName name="TL_ALL_10" localSheetId="8">'[73]Top Lvl  Logic'!$U$8</definedName>
    <definedName name="TL_ALL_10" localSheetId="9">'[73]Top Lvl  Logic'!$U$8</definedName>
    <definedName name="TL_ALL_10" localSheetId="10">'[18]Top Lvl  Logic'!$U$8</definedName>
    <definedName name="TL_ALL_10">'[23]Top Lvl  Logic'!$U$8</definedName>
    <definedName name="TL_CO_01" localSheetId="4">'[73]Top Lvl  Logic'!$Z$13</definedName>
    <definedName name="TL_CO_01" localSheetId="3">'[73]Top Lvl  Logic'!$Z$13</definedName>
    <definedName name="TL_CO_01" localSheetId="2">'[73]Top Lvl  Logic'!$Z$13</definedName>
    <definedName name="TL_CO_01" localSheetId="5">'[73]Top Lvl  Logic'!$Z$13</definedName>
    <definedName name="TL_CO_01" localSheetId="6">'[73]Top Lvl  Logic'!$Z$13</definedName>
    <definedName name="TL_CO_01" localSheetId="7">'[73]Top Lvl  Logic'!$Z$13</definedName>
    <definedName name="TL_CO_01" localSheetId="8">'[73]Top Lvl  Logic'!$Z$13</definedName>
    <definedName name="TL_CO_01" localSheetId="9">'[73]Top Lvl  Logic'!$Z$13</definedName>
    <definedName name="TL_CO_01" localSheetId="10">'[18]Top Lvl  Logic'!$Z$13</definedName>
    <definedName name="TL_CO_01">'[23]Top Lvl  Logic'!$Z$13</definedName>
    <definedName name="TL_CO_01_10" localSheetId="4">'[73]Top Lvl  Logic'!$Z$13</definedName>
    <definedName name="TL_CO_01_10" localSheetId="3">'[73]Top Lvl  Logic'!$Z$13</definedName>
    <definedName name="TL_CO_01_10" localSheetId="2">'[73]Top Lvl  Logic'!$Z$13</definedName>
    <definedName name="TL_CO_01_10" localSheetId="5">'[73]Top Lvl  Logic'!$Z$13</definedName>
    <definedName name="TL_CO_01_10" localSheetId="6">'[73]Top Lvl  Logic'!$Z$13</definedName>
    <definedName name="TL_CO_01_10" localSheetId="7">'[73]Top Lvl  Logic'!$Z$13</definedName>
    <definedName name="TL_CO_01_10" localSheetId="8">'[73]Top Lvl  Logic'!$Z$13</definedName>
    <definedName name="TL_CO_01_10" localSheetId="9">'[73]Top Lvl  Logic'!$Z$13</definedName>
    <definedName name="TL_CO_01_10" localSheetId="10">'[18]Top Lvl  Logic'!$Z$13</definedName>
    <definedName name="TL_CO_01_10">'[23]Top Lvl  Logic'!$Z$13</definedName>
    <definedName name="TL_CO_12" localSheetId="4">'[73]Top Lvl  Logic'!$AA$13</definedName>
    <definedName name="TL_CO_12" localSheetId="3">'[73]Top Lvl  Logic'!$AA$13</definedName>
    <definedName name="TL_CO_12" localSheetId="2">'[73]Top Lvl  Logic'!$AA$13</definedName>
    <definedName name="TL_CO_12" localSheetId="5">'[73]Top Lvl  Logic'!$AA$13</definedName>
    <definedName name="TL_CO_12" localSheetId="6">'[73]Top Lvl  Logic'!$AA$13</definedName>
    <definedName name="TL_CO_12" localSheetId="7">'[73]Top Lvl  Logic'!$AA$13</definedName>
    <definedName name="TL_CO_12" localSheetId="8">'[73]Top Lvl  Logic'!$AA$13</definedName>
    <definedName name="TL_CO_12" localSheetId="9">'[73]Top Lvl  Logic'!$AA$13</definedName>
    <definedName name="TL_CO_12" localSheetId="10">'[18]Top Lvl  Logic'!$AA$13</definedName>
    <definedName name="TL_CO_12">'[23]Top Lvl  Logic'!$AA$13</definedName>
    <definedName name="TL_CO_12_10" localSheetId="4">'[73]Top Lvl  Logic'!$AA$13</definedName>
    <definedName name="TL_CO_12_10" localSheetId="3">'[73]Top Lvl  Logic'!$AA$13</definedName>
    <definedName name="TL_CO_12_10" localSheetId="2">'[73]Top Lvl  Logic'!$AA$13</definedName>
    <definedName name="TL_CO_12_10" localSheetId="5">'[73]Top Lvl  Logic'!$AA$13</definedName>
    <definedName name="TL_CO_12_10" localSheetId="6">'[73]Top Lvl  Logic'!$AA$13</definedName>
    <definedName name="TL_CO_12_10" localSheetId="7">'[73]Top Lvl  Logic'!$AA$13</definedName>
    <definedName name="TL_CO_12_10" localSheetId="8">'[73]Top Lvl  Logic'!$AA$13</definedName>
    <definedName name="TL_CO_12_10" localSheetId="9">'[73]Top Lvl  Logic'!$AA$13</definedName>
    <definedName name="TL_CO_12_10" localSheetId="10">'[18]Top Lvl  Logic'!$AA$13</definedName>
    <definedName name="TL_CO_12_10">'[23]Top Lvl  Logic'!$AA$13</definedName>
    <definedName name="TL_CO_23" localSheetId="4">'[73]Top Lvl  Logic'!$AB$13</definedName>
    <definedName name="TL_CO_23" localSheetId="3">'[73]Top Lvl  Logic'!$AB$13</definedName>
    <definedName name="TL_CO_23" localSheetId="2">'[73]Top Lvl  Logic'!$AB$13</definedName>
    <definedName name="TL_CO_23" localSheetId="5">'[73]Top Lvl  Logic'!$AB$13</definedName>
    <definedName name="TL_CO_23" localSheetId="6">'[73]Top Lvl  Logic'!$AB$13</definedName>
    <definedName name="TL_CO_23" localSheetId="7">'[73]Top Lvl  Logic'!$AB$13</definedName>
    <definedName name="TL_CO_23" localSheetId="8">'[73]Top Lvl  Logic'!$AB$13</definedName>
    <definedName name="TL_CO_23" localSheetId="9">'[73]Top Lvl  Logic'!$AB$13</definedName>
    <definedName name="TL_CO_23" localSheetId="10">'[18]Top Lvl  Logic'!$AB$13</definedName>
    <definedName name="TL_CO_23">'[23]Top Lvl  Logic'!$AB$13</definedName>
    <definedName name="TL_CO_23_10" localSheetId="4">'[73]Top Lvl  Logic'!$AB$13</definedName>
    <definedName name="TL_CO_23_10" localSheetId="3">'[73]Top Lvl  Logic'!$AB$13</definedName>
    <definedName name="TL_CO_23_10" localSheetId="2">'[73]Top Lvl  Logic'!$AB$13</definedName>
    <definedName name="TL_CO_23_10" localSheetId="5">'[73]Top Lvl  Logic'!$AB$13</definedName>
    <definedName name="TL_CO_23_10" localSheetId="6">'[73]Top Lvl  Logic'!$AB$13</definedName>
    <definedName name="TL_CO_23_10" localSheetId="7">'[73]Top Lvl  Logic'!$AB$13</definedName>
    <definedName name="TL_CO_23_10" localSheetId="8">'[73]Top Lvl  Logic'!$AB$13</definedName>
    <definedName name="TL_CO_23_10" localSheetId="9">'[73]Top Lvl  Logic'!$AB$13</definedName>
    <definedName name="TL_CO_23_10" localSheetId="10">'[18]Top Lvl  Logic'!$AB$13</definedName>
    <definedName name="TL_CO_23_10">'[23]Top Lvl  Logic'!$AB$13</definedName>
    <definedName name="TL_CO_34" localSheetId="4">'[73]Top Lvl  Logic'!$AC$13</definedName>
    <definedName name="TL_CO_34" localSheetId="3">'[73]Top Lvl  Logic'!$AC$13</definedName>
    <definedName name="TL_CO_34" localSheetId="2">'[73]Top Lvl  Logic'!$AC$13</definedName>
    <definedName name="TL_CO_34" localSheetId="5">'[73]Top Lvl  Logic'!$AC$13</definedName>
    <definedName name="TL_CO_34" localSheetId="6">'[73]Top Lvl  Logic'!$AC$13</definedName>
    <definedName name="TL_CO_34" localSheetId="7">'[73]Top Lvl  Logic'!$AC$13</definedName>
    <definedName name="TL_CO_34" localSheetId="8">'[73]Top Lvl  Logic'!$AC$13</definedName>
    <definedName name="TL_CO_34" localSheetId="9">'[73]Top Lvl  Logic'!$AC$13</definedName>
    <definedName name="TL_CO_34" localSheetId="10">'[18]Top Lvl  Logic'!$AC$13</definedName>
    <definedName name="TL_CO_34">'[23]Top Lvl  Logic'!$AC$13</definedName>
    <definedName name="TL_CO_34_10" localSheetId="4">'[73]Top Lvl  Logic'!$AC$13</definedName>
    <definedName name="TL_CO_34_10" localSheetId="3">'[73]Top Lvl  Logic'!$AC$13</definedName>
    <definedName name="TL_CO_34_10" localSheetId="2">'[73]Top Lvl  Logic'!$AC$13</definedName>
    <definedName name="TL_CO_34_10" localSheetId="5">'[73]Top Lvl  Logic'!$AC$13</definedName>
    <definedName name="TL_CO_34_10" localSheetId="6">'[73]Top Lvl  Logic'!$AC$13</definedName>
    <definedName name="TL_CO_34_10" localSheetId="7">'[73]Top Lvl  Logic'!$AC$13</definedName>
    <definedName name="TL_CO_34_10" localSheetId="8">'[73]Top Lvl  Logic'!$AC$13</definedName>
    <definedName name="TL_CO_34_10" localSheetId="9">'[73]Top Lvl  Logic'!$AC$13</definedName>
    <definedName name="TL_CO_34_10" localSheetId="10">'[18]Top Lvl  Logic'!$AC$13</definedName>
    <definedName name="TL_CO_34_10">'[23]Top Lvl  Logic'!$AC$13</definedName>
    <definedName name="TL_CO_45" localSheetId="4">'[73]Top Lvl  Logic'!$AD$13</definedName>
    <definedName name="TL_CO_45" localSheetId="3">'[73]Top Lvl  Logic'!$AD$13</definedName>
    <definedName name="TL_CO_45" localSheetId="2">'[73]Top Lvl  Logic'!$AD$13</definedName>
    <definedName name="TL_CO_45" localSheetId="5">'[73]Top Lvl  Logic'!$AD$13</definedName>
    <definedName name="TL_CO_45" localSheetId="6">'[73]Top Lvl  Logic'!$AD$13</definedName>
    <definedName name="TL_CO_45" localSheetId="7">'[73]Top Lvl  Logic'!$AD$13</definedName>
    <definedName name="TL_CO_45" localSheetId="8">'[73]Top Lvl  Logic'!$AD$13</definedName>
    <definedName name="TL_CO_45" localSheetId="9">'[73]Top Lvl  Logic'!$AD$13</definedName>
    <definedName name="TL_CO_45" localSheetId="10">'[18]Top Lvl  Logic'!$AD$13</definedName>
    <definedName name="TL_CO_45">'[23]Top Lvl  Logic'!$AD$13</definedName>
    <definedName name="TL_CO_45_10" localSheetId="4">'[73]Top Lvl  Logic'!$AD$13</definedName>
    <definedName name="TL_CO_45_10" localSheetId="3">'[73]Top Lvl  Logic'!$AD$13</definedName>
    <definedName name="TL_CO_45_10" localSheetId="2">'[73]Top Lvl  Logic'!$AD$13</definedName>
    <definedName name="TL_CO_45_10" localSheetId="5">'[73]Top Lvl  Logic'!$AD$13</definedName>
    <definedName name="TL_CO_45_10" localSheetId="6">'[73]Top Lvl  Logic'!$AD$13</definedName>
    <definedName name="TL_CO_45_10" localSheetId="7">'[73]Top Lvl  Logic'!$AD$13</definedName>
    <definedName name="TL_CO_45_10" localSheetId="8">'[73]Top Lvl  Logic'!$AD$13</definedName>
    <definedName name="TL_CO_45_10" localSheetId="9">'[73]Top Lvl  Logic'!$AD$13</definedName>
    <definedName name="TL_CO_45_10" localSheetId="10">'[18]Top Lvl  Logic'!$AD$13</definedName>
    <definedName name="TL_CO_45_10">'[23]Top Lvl  Logic'!$AD$13</definedName>
    <definedName name="TL_CO_56" localSheetId="4">'[73]Top Lvl  Logic'!$AE$13</definedName>
    <definedName name="TL_CO_56" localSheetId="3">'[73]Top Lvl  Logic'!$AE$13</definedName>
    <definedName name="TL_CO_56" localSheetId="2">'[73]Top Lvl  Logic'!$AE$13</definedName>
    <definedName name="TL_CO_56" localSheetId="5">'[73]Top Lvl  Logic'!$AE$13</definedName>
    <definedName name="TL_CO_56" localSheetId="6">'[73]Top Lvl  Logic'!$AE$13</definedName>
    <definedName name="TL_CO_56" localSheetId="7">'[73]Top Lvl  Logic'!$AE$13</definedName>
    <definedName name="TL_CO_56" localSheetId="8">'[73]Top Lvl  Logic'!$AE$13</definedName>
    <definedName name="TL_CO_56" localSheetId="9">'[73]Top Lvl  Logic'!$AE$13</definedName>
    <definedName name="TL_CO_56" localSheetId="10">'[18]Top Lvl  Logic'!$AE$13</definedName>
    <definedName name="TL_CO_56">'[23]Top Lvl  Logic'!$AE$13</definedName>
    <definedName name="TL_CO_56_10" localSheetId="4">'[73]Top Lvl  Logic'!$AE$13</definedName>
    <definedName name="TL_CO_56_10" localSheetId="3">'[73]Top Lvl  Logic'!$AE$13</definedName>
    <definedName name="TL_CO_56_10" localSheetId="2">'[73]Top Lvl  Logic'!$AE$13</definedName>
    <definedName name="TL_CO_56_10" localSheetId="5">'[73]Top Lvl  Logic'!$AE$13</definedName>
    <definedName name="TL_CO_56_10" localSheetId="6">'[73]Top Lvl  Logic'!$AE$13</definedName>
    <definedName name="TL_CO_56_10" localSheetId="7">'[73]Top Lvl  Logic'!$AE$13</definedName>
    <definedName name="TL_CO_56_10" localSheetId="8">'[73]Top Lvl  Logic'!$AE$13</definedName>
    <definedName name="TL_CO_56_10" localSheetId="9">'[73]Top Lvl  Logic'!$AE$13</definedName>
    <definedName name="TL_CO_56_10" localSheetId="10">'[18]Top Lvl  Logic'!$AE$13</definedName>
    <definedName name="TL_CO_56_10">'[23]Top Lvl  Logic'!$AE$13</definedName>
    <definedName name="TL_CO_G6" localSheetId="4">'[73]Top Lvl  Logic'!$AF$13</definedName>
    <definedName name="TL_CO_G6" localSheetId="3">'[73]Top Lvl  Logic'!$AF$13</definedName>
    <definedName name="TL_CO_G6" localSheetId="2">'[73]Top Lvl  Logic'!$AF$13</definedName>
    <definedName name="TL_CO_G6" localSheetId="5">'[73]Top Lvl  Logic'!$AF$13</definedName>
    <definedName name="TL_CO_G6" localSheetId="6">'[73]Top Lvl  Logic'!$AF$13</definedName>
    <definedName name="TL_CO_G6" localSheetId="7">'[73]Top Lvl  Logic'!$AF$13</definedName>
    <definedName name="TL_CO_G6" localSheetId="8">'[73]Top Lvl  Logic'!$AF$13</definedName>
    <definedName name="TL_CO_G6" localSheetId="9">'[73]Top Lvl  Logic'!$AF$13</definedName>
    <definedName name="TL_CO_G6" localSheetId="10">'[18]Top Lvl  Logic'!$AF$13</definedName>
    <definedName name="TL_CO_G6">'[23]Top Lvl  Logic'!$AF$13</definedName>
    <definedName name="TL_CO_G6_10" localSheetId="4">'[73]Top Lvl  Logic'!$AF$13</definedName>
    <definedName name="TL_CO_G6_10" localSheetId="3">'[73]Top Lvl  Logic'!$AF$13</definedName>
    <definedName name="TL_CO_G6_10" localSheetId="2">'[73]Top Lvl  Logic'!$AF$13</definedName>
    <definedName name="TL_CO_G6_10" localSheetId="5">'[73]Top Lvl  Logic'!$AF$13</definedName>
    <definedName name="TL_CO_G6_10" localSheetId="6">'[73]Top Lvl  Logic'!$AF$13</definedName>
    <definedName name="TL_CO_G6_10" localSheetId="7">'[73]Top Lvl  Logic'!$AF$13</definedName>
    <definedName name="TL_CO_G6_10" localSheetId="8">'[73]Top Lvl  Logic'!$AF$13</definedName>
    <definedName name="TL_CO_G6_10" localSheetId="9">'[73]Top Lvl  Logic'!$AF$13</definedName>
    <definedName name="TL_CO_G6_10" localSheetId="10">'[18]Top Lvl  Logic'!$AF$13</definedName>
    <definedName name="TL_CO_G6_10">'[23]Top Lvl  Logic'!$AF$13</definedName>
    <definedName name="TL_CO_L0" localSheetId="4">'[73]Top Lvl  Logic'!$Y$13</definedName>
    <definedName name="TL_CO_L0" localSheetId="3">'[73]Top Lvl  Logic'!$Y$13</definedName>
    <definedName name="TL_CO_L0" localSheetId="2">'[73]Top Lvl  Logic'!$Y$13</definedName>
    <definedName name="TL_CO_L0" localSheetId="5">'[73]Top Lvl  Logic'!$Y$13</definedName>
    <definedName name="TL_CO_L0" localSheetId="6">'[73]Top Lvl  Logic'!$Y$13</definedName>
    <definedName name="TL_CO_L0" localSheetId="7">'[73]Top Lvl  Logic'!$Y$13</definedName>
    <definedName name="TL_CO_L0" localSheetId="8">'[73]Top Lvl  Logic'!$Y$13</definedName>
    <definedName name="TL_CO_L0" localSheetId="9">'[73]Top Lvl  Logic'!$Y$13</definedName>
    <definedName name="TL_CO_L0" localSheetId="10">'[18]Top Lvl  Logic'!$Y$13</definedName>
    <definedName name="TL_CO_L0">'[23]Top Lvl  Logic'!$Y$13</definedName>
    <definedName name="TL_CO_L0_10" localSheetId="4">'[73]Top Lvl  Logic'!$Y$13</definedName>
    <definedName name="TL_CO_L0_10" localSheetId="3">'[73]Top Lvl  Logic'!$Y$13</definedName>
    <definedName name="TL_CO_L0_10" localSheetId="2">'[73]Top Lvl  Logic'!$Y$13</definedName>
    <definedName name="TL_CO_L0_10" localSheetId="5">'[73]Top Lvl  Logic'!$Y$13</definedName>
    <definedName name="TL_CO_L0_10" localSheetId="6">'[73]Top Lvl  Logic'!$Y$13</definedName>
    <definedName name="TL_CO_L0_10" localSheetId="7">'[73]Top Lvl  Logic'!$Y$13</definedName>
    <definedName name="TL_CO_L0_10" localSheetId="8">'[73]Top Lvl  Logic'!$Y$13</definedName>
    <definedName name="TL_CO_L0_10" localSheetId="9">'[73]Top Lvl  Logic'!$Y$13</definedName>
    <definedName name="TL_CO_L0_10" localSheetId="10">'[18]Top Lvl  Logic'!$Y$13</definedName>
    <definedName name="TL_CO_L0_10">'[23]Top Lvl  Logic'!$Y$13</definedName>
    <definedName name="TL_CO_NA" localSheetId="4">'[73]Top Lvl  Logic'!$X$13</definedName>
    <definedName name="TL_CO_NA" localSheetId="3">'[73]Top Lvl  Logic'!$X$13</definedName>
    <definedName name="TL_CO_NA" localSheetId="2">'[73]Top Lvl  Logic'!$X$13</definedName>
    <definedName name="TL_CO_NA" localSheetId="5">'[73]Top Lvl  Logic'!$X$13</definedName>
    <definedName name="TL_CO_NA" localSheetId="6">'[73]Top Lvl  Logic'!$X$13</definedName>
    <definedName name="TL_CO_NA" localSheetId="7">'[73]Top Lvl  Logic'!$X$13</definedName>
    <definedName name="TL_CO_NA" localSheetId="8">'[73]Top Lvl  Logic'!$X$13</definedName>
    <definedName name="TL_CO_NA" localSheetId="9">'[73]Top Lvl  Logic'!$X$13</definedName>
    <definedName name="TL_CO_NA" localSheetId="10">'[18]Top Lvl  Logic'!$X$13</definedName>
    <definedName name="TL_CO_NA">'[23]Top Lvl  Logic'!$X$13</definedName>
    <definedName name="TL_CO_NA_10" localSheetId="4">'[73]Top Lvl  Logic'!$X$13</definedName>
    <definedName name="TL_CO_NA_10" localSheetId="3">'[73]Top Lvl  Logic'!$X$13</definedName>
    <definedName name="TL_CO_NA_10" localSheetId="2">'[73]Top Lvl  Logic'!$X$13</definedName>
    <definedName name="TL_CO_NA_10" localSheetId="5">'[73]Top Lvl  Logic'!$X$13</definedName>
    <definedName name="TL_CO_NA_10" localSheetId="6">'[73]Top Lvl  Logic'!$X$13</definedName>
    <definedName name="TL_CO_NA_10" localSheetId="7">'[73]Top Lvl  Logic'!$X$13</definedName>
    <definedName name="TL_CO_NA_10" localSheetId="8">'[73]Top Lvl  Logic'!$X$13</definedName>
    <definedName name="TL_CO_NA_10" localSheetId="9">'[73]Top Lvl  Logic'!$X$13</definedName>
    <definedName name="TL_CO_NA_10" localSheetId="10">'[18]Top Lvl  Logic'!$X$13</definedName>
    <definedName name="TL_CO_NA_10">'[23]Top Lvl  Logic'!$X$13</definedName>
    <definedName name="TL_CON" localSheetId="4">'[73]Top Lvl  Logic'!$U$12</definedName>
    <definedName name="TL_CON" localSheetId="3">'[73]Top Lvl  Logic'!$U$12</definedName>
    <definedName name="TL_CON" localSheetId="2">'[73]Top Lvl  Logic'!$U$12</definedName>
    <definedName name="TL_CON" localSheetId="5">'[73]Top Lvl  Logic'!$U$12</definedName>
    <definedName name="TL_CON" localSheetId="6">'[73]Top Lvl  Logic'!$U$12</definedName>
    <definedName name="TL_CON" localSheetId="7">'[73]Top Lvl  Logic'!$U$12</definedName>
    <definedName name="TL_CON" localSheetId="8">'[73]Top Lvl  Logic'!$U$12</definedName>
    <definedName name="TL_CON" localSheetId="9">'[73]Top Lvl  Logic'!$U$12</definedName>
    <definedName name="TL_CON" localSheetId="10">'[18]Top Lvl  Logic'!$U$12</definedName>
    <definedName name="TL_CON">'[23]Top Lvl  Logic'!$U$12</definedName>
    <definedName name="TL_CON_10" localSheetId="4">'[73]Top Lvl  Logic'!$U$12</definedName>
    <definedName name="TL_CON_10" localSheetId="3">'[73]Top Lvl  Logic'!$U$12</definedName>
    <definedName name="TL_CON_10" localSheetId="2">'[73]Top Lvl  Logic'!$U$12</definedName>
    <definedName name="TL_CON_10" localSheetId="5">'[73]Top Lvl  Logic'!$U$12</definedName>
    <definedName name="TL_CON_10" localSheetId="6">'[73]Top Lvl  Logic'!$U$12</definedName>
    <definedName name="TL_CON_10" localSheetId="7">'[73]Top Lvl  Logic'!$U$12</definedName>
    <definedName name="TL_CON_10" localSheetId="8">'[73]Top Lvl  Logic'!$U$12</definedName>
    <definedName name="TL_CON_10" localSheetId="9">'[73]Top Lvl  Logic'!$U$12</definedName>
    <definedName name="TL_CON_10" localSheetId="10">'[18]Top Lvl  Logic'!$U$12</definedName>
    <definedName name="TL_CON_10">'[23]Top Lvl  Logic'!$U$12</definedName>
    <definedName name="TL_DPU" localSheetId="4">[73]SUMMARY!$C$9</definedName>
    <definedName name="TL_DPU" localSheetId="3">[73]SUMMARY!$C$9</definedName>
    <definedName name="TL_DPU" localSheetId="2">[73]SUMMARY!$C$9</definedName>
    <definedName name="TL_DPU" localSheetId="5">[73]SUMMARY!$C$9</definedName>
    <definedName name="TL_DPU" localSheetId="6">[73]SUMMARY!$C$9</definedName>
    <definedName name="TL_DPU" localSheetId="7">[73]SUMMARY!$C$9</definedName>
    <definedName name="TL_DPU" localSheetId="8">[73]SUMMARY!$C$9</definedName>
    <definedName name="TL_DPU" localSheetId="9">[73]SUMMARY!$C$9</definedName>
    <definedName name="TL_DPU" localSheetId="10">[18]Summary!$C$9</definedName>
    <definedName name="TL_DPU">[23]Summary!$C$9</definedName>
    <definedName name="TL_DPU_10" localSheetId="4">[73]SUMMARY!$C$9</definedName>
    <definedName name="TL_DPU_10" localSheetId="3">[73]SUMMARY!$C$9</definedName>
    <definedName name="TL_DPU_10" localSheetId="2">[73]SUMMARY!$C$9</definedName>
    <definedName name="TL_DPU_10" localSheetId="5">[73]SUMMARY!$C$9</definedName>
    <definedName name="TL_DPU_10" localSheetId="6">[73]SUMMARY!$C$9</definedName>
    <definedName name="TL_DPU_10" localSheetId="7">[73]SUMMARY!$C$9</definedName>
    <definedName name="TL_DPU_10" localSheetId="8">[73]SUMMARY!$C$9</definedName>
    <definedName name="TL_DPU_10" localSheetId="9">[73]SUMMARY!$C$9</definedName>
    <definedName name="TL_DPU_10" localSheetId="10">[18]Summary!$C$9</definedName>
    <definedName name="TL_DPU_10">[23]Summary!$C$9</definedName>
    <definedName name="TL_ID_01" localSheetId="4">'[73]Top Lvl  Logic'!$Z$8</definedName>
    <definedName name="TL_ID_01" localSheetId="3">'[73]Top Lvl  Logic'!$Z$8</definedName>
    <definedName name="TL_ID_01" localSheetId="2">'[73]Top Lvl  Logic'!$Z$8</definedName>
    <definedName name="TL_ID_01" localSheetId="5">'[73]Top Lvl  Logic'!$Z$8</definedName>
    <definedName name="TL_ID_01" localSheetId="6">'[73]Top Lvl  Logic'!$Z$8</definedName>
    <definedName name="TL_ID_01" localSheetId="7">'[73]Top Lvl  Logic'!$Z$8</definedName>
    <definedName name="TL_ID_01" localSheetId="8">'[73]Top Lvl  Logic'!$Z$8</definedName>
    <definedName name="TL_ID_01" localSheetId="9">'[73]Top Lvl  Logic'!$Z$8</definedName>
    <definedName name="TL_ID_01" localSheetId="10">'[18]Top Lvl  Logic'!$Z$8</definedName>
    <definedName name="TL_ID_01">'[23]Top Lvl  Logic'!$Z$8</definedName>
    <definedName name="TL_ID_01_10" localSheetId="4">'[73]Top Lvl  Logic'!$Z$8</definedName>
    <definedName name="TL_ID_01_10" localSheetId="3">'[73]Top Lvl  Logic'!$Z$8</definedName>
    <definedName name="TL_ID_01_10" localSheetId="2">'[73]Top Lvl  Logic'!$Z$8</definedName>
    <definedName name="TL_ID_01_10" localSheetId="5">'[73]Top Lvl  Logic'!$Z$8</definedName>
    <definedName name="TL_ID_01_10" localSheetId="6">'[73]Top Lvl  Logic'!$Z$8</definedName>
    <definedName name="TL_ID_01_10" localSheetId="7">'[73]Top Lvl  Logic'!$Z$8</definedName>
    <definedName name="TL_ID_01_10" localSheetId="8">'[73]Top Lvl  Logic'!$Z$8</definedName>
    <definedName name="TL_ID_01_10" localSheetId="9">'[73]Top Lvl  Logic'!$Z$8</definedName>
    <definedName name="TL_ID_01_10" localSheetId="10">'[18]Top Lvl  Logic'!$Z$8</definedName>
    <definedName name="TL_ID_01_10">'[23]Top Lvl  Logic'!$Z$8</definedName>
    <definedName name="TL_ID_12" localSheetId="4">'[73]Top Lvl  Logic'!$AA$8</definedName>
    <definedName name="TL_ID_12" localSheetId="3">'[73]Top Lvl  Logic'!$AA$8</definedName>
    <definedName name="TL_ID_12" localSheetId="2">'[73]Top Lvl  Logic'!$AA$8</definedName>
    <definedName name="TL_ID_12" localSheetId="5">'[73]Top Lvl  Logic'!$AA$8</definedName>
    <definedName name="TL_ID_12" localSheetId="6">'[73]Top Lvl  Logic'!$AA$8</definedName>
    <definedName name="TL_ID_12" localSheetId="7">'[73]Top Lvl  Logic'!$AA$8</definedName>
    <definedName name="TL_ID_12" localSheetId="8">'[73]Top Lvl  Logic'!$AA$8</definedName>
    <definedName name="TL_ID_12" localSheetId="9">'[73]Top Lvl  Logic'!$AA$8</definedName>
    <definedName name="TL_ID_12" localSheetId="10">'[18]Top Lvl  Logic'!$AA$8</definedName>
    <definedName name="TL_ID_12">'[23]Top Lvl  Logic'!$AA$8</definedName>
    <definedName name="TL_ID_12_10" localSheetId="4">'[73]Top Lvl  Logic'!$AA$8</definedName>
    <definedName name="TL_ID_12_10" localSheetId="3">'[73]Top Lvl  Logic'!$AA$8</definedName>
    <definedName name="TL_ID_12_10" localSheetId="2">'[73]Top Lvl  Logic'!$AA$8</definedName>
    <definedName name="TL_ID_12_10" localSheetId="5">'[73]Top Lvl  Logic'!$AA$8</definedName>
    <definedName name="TL_ID_12_10" localSheetId="6">'[73]Top Lvl  Logic'!$AA$8</definedName>
    <definedName name="TL_ID_12_10" localSheetId="7">'[73]Top Lvl  Logic'!$AA$8</definedName>
    <definedName name="TL_ID_12_10" localSheetId="8">'[73]Top Lvl  Logic'!$AA$8</definedName>
    <definedName name="TL_ID_12_10" localSheetId="9">'[73]Top Lvl  Logic'!$AA$8</definedName>
    <definedName name="TL_ID_12_10" localSheetId="10">'[18]Top Lvl  Logic'!$AA$8</definedName>
    <definedName name="TL_ID_12_10">'[23]Top Lvl  Logic'!$AA$8</definedName>
    <definedName name="TL_ID_23" localSheetId="4">'[73]Top Lvl  Logic'!$AB$8</definedName>
    <definedName name="TL_ID_23" localSheetId="3">'[73]Top Lvl  Logic'!$AB$8</definedName>
    <definedName name="TL_ID_23" localSheetId="2">'[73]Top Lvl  Logic'!$AB$8</definedName>
    <definedName name="TL_ID_23" localSheetId="5">'[73]Top Lvl  Logic'!$AB$8</definedName>
    <definedName name="TL_ID_23" localSheetId="6">'[73]Top Lvl  Logic'!$AB$8</definedName>
    <definedName name="TL_ID_23" localSheetId="7">'[73]Top Lvl  Logic'!$AB$8</definedName>
    <definedName name="TL_ID_23" localSheetId="8">'[73]Top Lvl  Logic'!$AB$8</definedName>
    <definedName name="TL_ID_23" localSheetId="9">'[73]Top Lvl  Logic'!$AB$8</definedName>
    <definedName name="TL_ID_23" localSheetId="10">'[18]Top Lvl  Logic'!$AB$8</definedName>
    <definedName name="TL_ID_23">'[23]Top Lvl  Logic'!$AB$8</definedName>
    <definedName name="TL_ID_23_10" localSheetId="4">'[73]Top Lvl  Logic'!$AB$8</definedName>
    <definedName name="TL_ID_23_10" localSheetId="3">'[73]Top Lvl  Logic'!$AB$8</definedName>
    <definedName name="TL_ID_23_10" localSheetId="2">'[73]Top Lvl  Logic'!$AB$8</definedName>
    <definedName name="TL_ID_23_10" localSheetId="5">'[73]Top Lvl  Logic'!$AB$8</definedName>
    <definedName name="TL_ID_23_10" localSheetId="6">'[73]Top Lvl  Logic'!$AB$8</definedName>
    <definedName name="TL_ID_23_10" localSheetId="7">'[73]Top Lvl  Logic'!$AB$8</definedName>
    <definedName name="TL_ID_23_10" localSheetId="8">'[73]Top Lvl  Logic'!$AB$8</definedName>
    <definedName name="TL_ID_23_10" localSheetId="9">'[73]Top Lvl  Logic'!$AB$8</definedName>
    <definedName name="TL_ID_23_10" localSheetId="10">'[18]Top Lvl  Logic'!$AB$8</definedName>
    <definedName name="TL_ID_23_10">'[23]Top Lvl  Logic'!$AB$8</definedName>
    <definedName name="TL_ID_34" localSheetId="4">'[73]Top Lvl  Logic'!$AC$8</definedName>
    <definedName name="TL_ID_34" localSheetId="3">'[73]Top Lvl  Logic'!$AC$8</definedName>
    <definedName name="TL_ID_34" localSheetId="2">'[73]Top Lvl  Logic'!$AC$8</definedName>
    <definedName name="TL_ID_34" localSheetId="5">'[73]Top Lvl  Logic'!$AC$8</definedName>
    <definedName name="TL_ID_34" localSheetId="6">'[73]Top Lvl  Logic'!$AC$8</definedName>
    <definedName name="TL_ID_34" localSheetId="7">'[73]Top Lvl  Logic'!$AC$8</definedName>
    <definedName name="TL_ID_34" localSheetId="8">'[73]Top Lvl  Logic'!$AC$8</definedName>
    <definedName name="TL_ID_34" localSheetId="9">'[73]Top Lvl  Logic'!$AC$8</definedName>
    <definedName name="TL_ID_34" localSheetId="10">'[18]Top Lvl  Logic'!$AC$8</definedName>
    <definedName name="TL_ID_34">'[23]Top Lvl  Logic'!$AC$8</definedName>
    <definedName name="TL_ID_34_10" localSheetId="4">'[73]Top Lvl  Logic'!$AC$8</definedName>
    <definedName name="TL_ID_34_10" localSheetId="3">'[73]Top Lvl  Logic'!$AC$8</definedName>
    <definedName name="TL_ID_34_10" localSheetId="2">'[73]Top Lvl  Logic'!$AC$8</definedName>
    <definedName name="TL_ID_34_10" localSheetId="5">'[73]Top Lvl  Logic'!$AC$8</definedName>
    <definedName name="TL_ID_34_10" localSheetId="6">'[73]Top Lvl  Logic'!$AC$8</definedName>
    <definedName name="TL_ID_34_10" localSheetId="7">'[73]Top Lvl  Logic'!$AC$8</definedName>
    <definedName name="TL_ID_34_10" localSheetId="8">'[73]Top Lvl  Logic'!$AC$8</definedName>
    <definedName name="TL_ID_34_10" localSheetId="9">'[73]Top Lvl  Logic'!$AC$8</definedName>
    <definedName name="TL_ID_34_10" localSheetId="10">'[18]Top Lvl  Logic'!$AC$8</definedName>
    <definedName name="TL_ID_34_10">'[23]Top Lvl  Logic'!$AC$8</definedName>
    <definedName name="TL_ID_45" localSheetId="4">'[73]Top Lvl  Logic'!$AD$8</definedName>
    <definedName name="TL_ID_45" localSheetId="3">'[73]Top Lvl  Logic'!$AD$8</definedName>
    <definedName name="TL_ID_45" localSheetId="2">'[73]Top Lvl  Logic'!$AD$8</definedName>
    <definedName name="TL_ID_45" localSheetId="5">'[73]Top Lvl  Logic'!$AD$8</definedName>
    <definedName name="TL_ID_45" localSheetId="6">'[73]Top Lvl  Logic'!$AD$8</definedName>
    <definedName name="TL_ID_45" localSheetId="7">'[73]Top Lvl  Logic'!$AD$8</definedName>
    <definedName name="TL_ID_45" localSheetId="8">'[73]Top Lvl  Logic'!$AD$8</definedName>
    <definedName name="TL_ID_45" localSheetId="9">'[73]Top Lvl  Logic'!$AD$8</definedName>
    <definedName name="TL_ID_45" localSheetId="10">'[18]Top Lvl  Logic'!$AD$8</definedName>
    <definedName name="TL_ID_45">'[23]Top Lvl  Logic'!$AD$8</definedName>
    <definedName name="TL_ID_45_10" localSheetId="4">'[73]Top Lvl  Logic'!$AD$8</definedName>
    <definedName name="TL_ID_45_10" localSheetId="3">'[73]Top Lvl  Logic'!$AD$8</definedName>
    <definedName name="TL_ID_45_10" localSheetId="2">'[73]Top Lvl  Logic'!$AD$8</definedName>
    <definedName name="TL_ID_45_10" localSheetId="5">'[73]Top Lvl  Logic'!$AD$8</definedName>
    <definedName name="TL_ID_45_10" localSheetId="6">'[73]Top Lvl  Logic'!$AD$8</definedName>
    <definedName name="TL_ID_45_10" localSheetId="7">'[73]Top Lvl  Logic'!$AD$8</definedName>
    <definedName name="TL_ID_45_10" localSheetId="8">'[73]Top Lvl  Logic'!$AD$8</definedName>
    <definedName name="TL_ID_45_10" localSheetId="9">'[73]Top Lvl  Logic'!$AD$8</definedName>
    <definedName name="TL_ID_45_10" localSheetId="10">'[18]Top Lvl  Logic'!$AD$8</definedName>
    <definedName name="TL_ID_45_10">'[23]Top Lvl  Logic'!$AD$8</definedName>
    <definedName name="TL_ID_56" localSheetId="4">'[73]Top Lvl  Logic'!$AE$8</definedName>
    <definedName name="TL_ID_56" localSheetId="3">'[73]Top Lvl  Logic'!$AE$8</definedName>
    <definedName name="TL_ID_56" localSheetId="2">'[73]Top Lvl  Logic'!$AE$8</definedName>
    <definedName name="TL_ID_56" localSheetId="5">'[73]Top Lvl  Logic'!$AE$8</definedName>
    <definedName name="TL_ID_56" localSheetId="6">'[73]Top Lvl  Logic'!$AE$8</definedName>
    <definedName name="TL_ID_56" localSheetId="7">'[73]Top Lvl  Logic'!$AE$8</definedName>
    <definedName name="TL_ID_56" localSheetId="8">'[73]Top Lvl  Logic'!$AE$8</definedName>
    <definedName name="TL_ID_56" localSheetId="9">'[73]Top Lvl  Logic'!$AE$8</definedName>
    <definedName name="TL_ID_56" localSheetId="10">'[18]Top Lvl  Logic'!$AE$8</definedName>
    <definedName name="TL_ID_56">'[23]Top Lvl  Logic'!$AE$8</definedName>
    <definedName name="TL_ID_56_10" localSheetId="4">'[73]Top Lvl  Logic'!$AE$8</definedName>
    <definedName name="TL_ID_56_10" localSheetId="3">'[73]Top Lvl  Logic'!$AE$8</definedName>
    <definedName name="TL_ID_56_10" localSheetId="2">'[73]Top Lvl  Logic'!$AE$8</definedName>
    <definedName name="TL_ID_56_10" localSheetId="5">'[73]Top Lvl  Logic'!$AE$8</definedName>
    <definedName name="TL_ID_56_10" localSheetId="6">'[73]Top Lvl  Logic'!$AE$8</definedName>
    <definedName name="TL_ID_56_10" localSheetId="7">'[73]Top Lvl  Logic'!$AE$8</definedName>
    <definedName name="TL_ID_56_10" localSheetId="8">'[73]Top Lvl  Logic'!$AE$8</definedName>
    <definedName name="TL_ID_56_10" localSheetId="9">'[73]Top Lvl  Logic'!$AE$8</definedName>
    <definedName name="TL_ID_56_10" localSheetId="10">'[18]Top Lvl  Logic'!$AE$8</definedName>
    <definedName name="TL_ID_56_10">'[23]Top Lvl  Logic'!$AE$8</definedName>
    <definedName name="TL_ID_G6" localSheetId="4">'[73]Top Lvl  Logic'!$AF$8</definedName>
    <definedName name="TL_ID_G6" localSheetId="3">'[73]Top Lvl  Logic'!$AF$8</definedName>
    <definedName name="TL_ID_G6" localSheetId="2">'[73]Top Lvl  Logic'!$AF$8</definedName>
    <definedName name="TL_ID_G6" localSheetId="5">'[73]Top Lvl  Logic'!$AF$8</definedName>
    <definedName name="TL_ID_G6" localSheetId="6">'[73]Top Lvl  Logic'!$AF$8</definedName>
    <definedName name="TL_ID_G6" localSheetId="7">'[73]Top Lvl  Logic'!$AF$8</definedName>
    <definedName name="TL_ID_G6" localSheetId="8">'[73]Top Lvl  Logic'!$AF$8</definedName>
    <definedName name="TL_ID_G6" localSheetId="9">'[73]Top Lvl  Logic'!$AF$8</definedName>
    <definedName name="TL_ID_G6" localSheetId="10">'[18]Top Lvl  Logic'!$AF$8</definedName>
    <definedName name="TL_ID_G6">'[23]Top Lvl  Logic'!$AF$8</definedName>
    <definedName name="TL_ID_G6_10" localSheetId="4">'[73]Top Lvl  Logic'!$AF$8</definedName>
    <definedName name="TL_ID_G6_10" localSheetId="3">'[73]Top Lvl  Logic'!$AF$8</definedName>
    <definedName name="TL_ID_G6_10" localSheetId="2">'[73]Top Lvl  Logic'!$AF$8</definedName>
    <definedName name="TL_ID_G6_10" localSheetId="5">'[73]Top Lvl  Logic'!$AF$8</definedName>
    <definedName name="TL_ID_G6_10" localSheetId="6">'[73]Top Lvl  Logic'!$AF$8</definedName>
    <definedName name="TL_ID_G6_10" localSheetId="7">'[73]Top Lvl  Logic'!$AF$8</definedName>
    <definedName name="TL_ID_G6_10" localSheetId="8">'[73]Top Lvl  Logic'!$AF$8</definedName>
    <definedName name="TL_ID_G6_10" localSheetId="9">'[73]Top Lvl  Logic'!$AF$8</definedName>
    <definedName name="TL_ID_G6_10" localSheetId="10">'[18]Top Lvl  Logic'!$AF$8</definedName>
    <definedName name="TL_ID_G6_10">'[23]Top Lvl  Logic'!$AF$8</definedName>
    <definedName name="TL_ID_L0" localSheetId="4">'[73]Top Lvl  Logic'!$Y$8</definedName>
    <definedName name="TL_ID_L0" localSheetId="3">'[73]Top Lvl  Logic'!$Y$8</definedName>
    <definedName name="TL_ID_L0" localSheetId="2">'[73]Top Lvl  Logic'!$Y$8</definedName>
    <definedName name="TL_ID_L0" localSheetId="5">'[73]Top Lvl  Logic'!$Y$8</definedName>
    <definedName name="TL_ID_L0" localSheetId="6">'[73]Top Lvl  Logic'!$Y$8</definedName>
    <definedName name="TL_ID_L0" localSheetId="7">'[73]Top Lvl  Logic'!$Y$8</definedName>
    <definedName name="TL_ID_L0" localSheetId="8">'[73]Top Lvl  Logic'!$Y$8</definedName>
    <definedName name="TL_ID_L0" localSheetId="9">'[73]Top Lvl  Logic'!$Y$8</definedName>
    <definedName name="TL_ID_L0" localSheetId="10">'[18]Top Lvl  Logic'!$Y$8</definedName>
    <definedName name="TL_ID_L0">'[23]Top Lvl  Logic'!$Y$8</definedName>
    <definedName name="TL_ID_L0_10" localSheetId="4">'[73]Top Lvl  Logic'!$Y$8</definedName>
    <definedName name="TL_ID_L0_10" localSheetId="3">'[73]Top Lvl  Logic'!$Y$8</definedName>
    <definedName name="TL_ID_L0_10" localSheetId="2">'[73]Top Lvl  Logic'!$Y$8</definedName>
    <definedName name="TL_ID_L0_10" localSheetId="5">'[73]Top Lvl  Logic'!$Y$8</definedName>
    <definedName name="TL_ID_L0_10" localSheetId="6">'[73]Top Lvl  Logic'!$Y$8</definedName>
    <definedName name="TL_ID_L0_10" localSheetId="7">'[73]Top Lvl  Logic'!$Y$8</definedName>
    <definedName name="TL_ID_L0_10" localSheetId="8">'[73]Top Lvl  Logic'!$Y$8</definedName>
    <definedName name="TL_ID_L0_10" localSheetId="9">'[73]Top Lvl  Logic'!$Y$8</definedName>
    <definedName name="TL_ID_L0_10" localSheetId="10">'[18]Top Lvl  Logic'!$Y$8</definedName>
    <definedName name="TL_ID_L0_10">'[23]Top Lvl  Logic'!$Y$8</definedName>
    <definedName name="TL_ID_NA" localSheetId="4">'[73]Top Lvl  Logic'!$X$8</definedName>
    <definedName name="TL_ID_NA" localSheetId="3">'[73]Top Lvl  Logic'!$X$8</definedName>
    <definedName name="TL_ID_NA" localSheetId="2">'[73]Top Lvl  Logic'!$X$8</definedName>
    <definedName name="TL_ID_NA" localSheetId="5">'[73]Top Lvl  Logic'!$X$8</definedName>
    <definedName name="TL_ID_NA" localSheetId="6">'[73]Top Lvl  Logic'!$X$8</definedName>
    <definedName name="TL_ID_NA" localSheetId="7">'[73]Top Lvl  Logic'!$X$8</definedName>
    <definedName name="TL_ID_NA" localSheetId="8">'[73]Top Lvl  Logic'!$X$8</definedName>
    <definedName name="TL_ID_NA" localSheetId="9">'[73]Top Lvl  Logic'!$X$8</definedName>
    <definedName name="TL_ID_NA" localSheetId="10">'[18]Top Lvl  Logic'!$X$8</definedName>
    <definedName name="TL_ID_NA">'[23]Top Lvl  Logic'!$X$8</definedName>
    <definedName name="TL_ID_NA_10" localSheetId="4">'[73]Top Lvl  Logic'!$X$8</definedName>
    <definedName name="TL_ID_NA_10" localSheetId="3">'[73]Top Lvl  Logic'!$X$8</definedName>
    <definedName name="TL_ID_NA_10" localSheetId="2">'[73]Top Lvl  Logic'!$X$8</definedName>
    <definedName name="TL_ID_NA_10" localSheetId="5">'[73]Top Lvl  Logic'!$X$8</definedName>
    <definedName name="TL_ID_NA_10" localSheetId="6">'[73]Top Lvl  Logic'!$X$8</definedName>
    <definedName name="TL_ID_NA_10" localSheetId="7">'[73]Top Lvl  Logic'!$X$8</definedName>
    <definedName name="TL_ID_NA_10" localSheetId="8">'[73]Top Lvl  Logic'!$X$8</definedName>
    <definedName name="TL_ID_NA_10" localSheetId="9">'[73]Top Lvl  Logic'!$X$8</definedName>
    <definedName name="TL_ID_NA_10" localSheetId="10">'[18]Top Lvl  Logic'!$X$8</definedName>
    <definedName name="TL_ID_NA_10">'[23]Top Lvl  Logic'!$X$8</definedName>
    <definedName name="TL_IDE" localSheetId="4">'[73]Top Lvl  Logic'!$U$7</definedName>
    <definedName name="TL_IDE" localSheetId="3">'[73]Top Lvl  Logic'!$U$7</definedName>
    <definedName name="TL_IDE" localSheetId="2">'[73]Top Lvl  Logic'!$U$7</definedName>
    <definedName name="TL_IDE" localSheetId="5">'[73]Top Lvl  Logic'!$U$7</definedName>
    <definedName name="TL_IDE" localSheetId="6">'[73]Top Lvl  Logic'!$U$7</definedName>
    <definedName name="TL_IDE" localSheetId="7">'[73]Top Lvl  Logic'!$U$7</definedName>
    <definedName name="TL_IDE" localSheetId="8">'[73]Top Lvl  Logic'!$U$7</definedName>
    <definedName name="TL_IDE" localSheetId="9">'[73]Top Lvl  Logic'!$U$7</definedName>
    <definedName name="TL_IDE" localSheetId="10">'[18]Top Lvl  Logic'!$U$7</definedName>
    <definedName name="TL_IDE">'[23]Top Lvl  Logic'!$U$7</definedName>
    <definedName name="TL_IDE_10" localSheetId="4">'[73]Top Lvl  Logic'!$U$7</definedName>
    <definedName name="TL_IDE_10" localSheetId="3">'[73]Top Lvl  Logic'!$U$7</definedName>
    <definedName name="TL_IDE_10" localSheetId="2">'[73]Top Lvl  Logic'!$U$7</definedName>
    <definedName name="TL_IDE_10" localSheetId="5">'[73]Top Lvl  Logic'!$U$7</definedName>
    <definedName name="TL_IDE_10" localSheetId="6">'[73]Top Lvl  Logic'!$U$7</definedName>
    <definedName name="TL_IDE_10" localSheetId="7">'[73]Top Lvl  Logic'!$U$7</definedName>
    <definedName name="TL_IDE_10" localSheetId="8">'[73]Top Lvl  Logic'!$U$7</definedName>
    <definedName name="TL_IDE_10" localSheetId="9">'[73]Top Lvl  Logic'!$U$7</definedName>
    <definedName name="TL_IDE_10" localSheetId="10">'[18]Top Lvl  Logic'!$U$7</definedName>
    <definedName name="TL_IDE_10">'[23]Top Lvl  Logic'!$U$7</definedName>
    <definedName name="TL_M" localSheetId="4">[73]SUMMARY!$F$9</definedName>
    <definedName name="TL_M" localSheetId="3">[73]SUMMARY!$F$9</definedName>
    <definedName name="TL_M" localSheetId="2">[73]SUMMARY!$F$9</definedName>
    <definedName name="TL_M" localSheetId="5">[73]SUMMARY!$F$9</definedName>
    <definedName name="TL_M" localSheetId="6">[73]SUMMARY!$F$9</definedName>
    <definedName name="TL_M" localSheetId="7">[73]SUMMARY!$F$9</definedName>
    <definedName name="TL_M" localSheetId="8">[73]SUMMARY!$F$9</definedName>
    <definedName name="TL_M" localSheetId="9">[73]SUMMARY!$F$9</definedName>
    <definedName name="TL_M" localSheetId="10">[18]Summary!$F$9</definedName>
    <definedName name="TL_M">[23]Summary!$F$9</definedName>
    <definedName name="TL_M_10" localSheetId="4">[73]SUMMARY!$F$9</definedName>
    <definedName name="TL_M_10" localSheetId="3">[73]SUMMARY!$F$9</definedName>
    <definedName name="TL_M_10" localSheetId="2">[73]SUMMARY!$F$9</definedName>
    <definedName name="TL_M_10" localSheetId="5">[73]SUMMARY!$F$9</definedName>
    <definedName name="TL_M_10" localSheetId="6">[73]SUMMARY!$F$9</definedName>
    <definedName name="TL_M_10" localSheetId="7">[73]SUMMARY!$F$9</definedName>
    <definedName name="TL_M_10" localSheetId="8">[73]SUMMARY!$F$9</definedName>
    <definedName name="TL_M_10" localSheetId="9">[73]SUMMARY!$F$9</definedName>
    <definedName name="TL_M_10" localSheetId="10">[18]Summary!$F$9</definedName>
    <definedName name="TL_M_10">[23]Summary!$F$9</definedName>
    <definedName name="TL_M_Opp" localSheetId="4">[73]SUMMARY!$H$9</definedName>
    <definedName name="TL_M_Opp" localSheetId="3">[73]SUMMARY!$H$9</definedName>
    <definedName name="TL_M_Opp" localSheetId="2">[73]SUMMARY!$H$9</definedName>
    <definedName name="TL_M_Opp" localSheetId="5">[73]SUMMARY!$H$9</definedName>
    <definedName name="TL_M_Opp" localSheetId="6">[73]SUMMARY!$H$9</definedName>
    <definedName name="TL_M_Opp" localSheetId="7">[73]SUMMARY!$H$9</definedName>
    <definedName name="TL_M_Opp" localSheetId="8">[73]SUMMARY!$H$9</definedName>
    <definedName name="TL_M_Opp" localSheetId="9">[73]SUMMARY!$H$9</definedName>
    <definedName name="TL_M_Opp" localSheetId="10">[18]Summary!$H$9</definedName>
    <definedName name="TL_M_Opp">[23]Summary!$H$9</definedName>
    <definedName name="TL_M_Opp_10" localSheetId="4">[73]SUMMARY!$H$9</definedName>
    <definedName name="TL_M_Opp_10" localSheetId="3">[73]SUMMARY!$H$9</definedName>
    <definedName name="TL_M_Opp_10" localSheetId="2">[73]SUMMARY!$H$9</definedName>
    <definedName name="TL_M_Opp_10" localSheetId="5">[73]SUMMARY!$H$9</definedName>
    <definedName name="TL_M_Opp_10" localSheetId="6">[73]SUMMARY!$H$9</definedName>
    <definedName name="TL_M_Opp_10" localSheetId="7">[73]SUMMARY!$H$9</definedName>
    <definedName name="TL_M_Opp_10" localSheetId="8">[73]SUMMARY!$H$9</definedName>
    <definedName name="TL_M_Opp_10" localSheetId="9">[73]SUMMARY!$H$9</definedName>
    <definedName name="TL_M_Opp_10" localSheetId="10">[18]Summary!$H$9</definedName>
    <definedName name="TL_M_Opp_10">[23]Summary!$H$9</definedName>
    <definedName name="TL_ME_01" localSheetId="4">'[73]Top Lvl  Logic'!$Z$11</definedName>
    <definedName name="TL_ME_01" localSheetId="3">'[73]Top Lvl  Logic'!$Z$11</definedName>
    <definedName name="TL_ME_01" localSheetId="2">'[73]Top Lvl  Logic'!$Z$11</definedName>
    <definedName name="TL_ME_01" localSheetId="5">'[73]Top Lvl  Logic'!$Z$11</definedName>
    <definedName name="TL_ME_01" localSheetId="6">'[73]Top Lvl  Logic'!$Z$11</definedName>
    <definedName name="TL_ME_01" localSheetId="7">'[73]Top Lvl  Logic'!$Z$11</definedName>
    <definedName name="TL_ME_01" localSheetId="8">'[73]Top Lvl  Logic'!$Z$11</definedName>
    <definedName name="TL_ME_01" localSheetId="9">'[73]Top Lvl  Logic'!$Z$11</definedName>
    <definedName name="TL_ME_01" localSheetId="10">'[18]Top Lvl  Logic'!$Z$11</definedName>
    <definedName name="TL_ME_01">'[23]Top Lvl  Logic'!$Z$11</definedName>
    <definedName name="TL_ME_01_10" localSheetId="4">'[73]Top Lvl  Logic'!$Z$11</definedName>
    <definedName name="TL_ME_01_10" localSheetId="3">'[73]Top Lvl  Logic'!$Z$11</definedName>
    <definedName name="TL_ME_01_10" localSheetId="2">'[73]Top Lvl  Logic'!$Z$11</definedName>
    <definedName name="TL_ME_01_10" localSheetId="5">'[73]Top Lvl  Logic'!$Z$11</definedName>
    <definedName name="TL_ME_01_10" localSheetId="6">'[73]Top Lvl  Logic'!$Z$11</definedName>
    <definedName name="TL_ME_01_10" localSheetId="7">'[73]Top Lvl  Logic'!$Z$11</definedName>
    <definedName name="TL_ME_01_10" localSheetId="8">'[73]Top Lvl  Logic'!$Z$11</definedName>
    <definedName name="TL_ME_01_10" localSheetId="9">'[73]Top Lvl  Logic'!$Z$11</definedName>
    <definedName name="TL_ME_01_10" localSheetId="10">'[18]Top Lvl  Logic'!$Z$11</definedName>
    <definedName name="TL_ME_01_10">'[23]Top Lvl  Logic'!$Z$11</definedName>
    <definedName name="TL_ME_12" localSheetId="4">'[73]Top Lvl  Logic'!$AA$11</definedName>
    <definedName name="TL_ME_12" localSheetId="3">'[73]Top Lvl  Logic'!$AA$11</definedName>
    <definedName name="TL_ME_12" localSheetId="2">'[73]Top Lvl  Logic'!$AA$11</definedName>
    <definedName name="TL_ME_12" localSheetId="5">'[73]Top Lvl  Logic'!$AA$11</definedName>
    <definedName name="TL_ME_12" localSheetId="6">'[73]Top Lvl  Logic'!$AA$11</definedName>
    <definedName name="TL_ME_12" localSheetId="7">'[73]Top Lvl  Logic'!$AA$11</definedName>
    <definedName name="TL_ME_12" localSheetId="8">'[73]Top Lvl  Logic'!$AA$11</definedName>
    <definedName name="TL_ME_12" localSheetId="9">'[73]Top Lvl  Logic'!$AA$11</definedName>
    <definedName name="TL_ME_12" localSheetId="10">'[18]Top Lvl  Logic'!$AA$11</definedName>
    <definedName name="TL_ME_12">'[23]Top Lvl  Logic'!$AA$11</definedName>
    <definedName name="TL_ME_12_10" localSheetId="4">'[73]Top Lvl  Logic'!$AA$11</definedName>
    <definedName name="TL_ME_12_10" localSheetId="3">'[73]Top Lvl  Logic'!$AA$11</definedName>
    <definedName name="TL_ME_12_10" localSheetId="2">'[73]Top Lvl  Logic'!$AA$11</definedName>
    <definedName name="TL_ME_12_10" localSheetId="5">'[73]Top Lvl  Logic'!$AA$11</definedName>
    <definedName name="TL_ME_12_10" localSheetId="6">'[73]Top Lvl  Logic'!$AA$11</definedName>
    <definedName name="TL_ME_12_10" localSheetId="7">'[73]Top Lvl  Logic'!$AA$11</definedName>
    <definedName name="TL_ME_12_10" localSheetId="8">'[73]Top Lvl  Logic'!$AA$11</definedName>
    <definedName name="TL_ME_12_10" localSheetId="9">'[73]Top Lvl  Logic'!$AA$11</definedName>
    <definedName name="TL_ME_12_10" localSheetId="10">'[18]Top Lvl  Logic'!$AA$11</definedName>
    <definedName name="TL_ME_12_10">'[23]Top Lvl  Logic'!$AA$11</definedName>
    <definedName name="TL_ME_23" localSheetId="4">'[73]Top Lvl  Logic'!$AB$11</definedName>
    <definedName name="TL_ME_23" localSheetId="3">'[73]Top Lvl  Logic'!$AB$11</definedName>
    <definedName name="TL_ME_23" localSheetId="2">'[73]Top Lvl  Logic'!$AB$11</definedName>
    <definedName name="TL_ME_23" localSheetId="5">'[73]Top Lvl  Logic'!$AB$11</definedName>
    <definedName name="TL_ME_23" localSheetId="6">'[73]Top Lvl  Logic'!$AB$11</definedName>
    <definedName name="TL_ME_23" localSheetId="7">'[73]Top Lvl  Logic'!$AB$11</definedName>
    <definedName name="TL_ME_23" localSheetId="8">'[73]Top Lvl  Logic'!$AB$11</definedName>
    <definedName name="TL_ME_23" localSheetId="9">'[73]Top Lvl  Logic'!$AB$11</definedName>
    <definedName name="TL_ME_23" localSheetId="10">'[18]Top Lvl  Logic'!$AB$11</definedName>
    <definedName name="TL_ME_23">'[23]Top Lvl  Logic'!$AB$11</definedName>
    <definedName name="TL_ME_23_10" localSheetId="4">'[73]Top Lvl  Logic'!$AB$11</definedName>
    <definedName name="TL_ME_23_10" localSheetId="3">'[73]Top Lvl  Logic'!$AB$11</definedName>
    <definedName name="TL_ME_23_10" localSheetId="2">'[73]Top Lvl  Logic'!$AB$11</definedName>
    <definedName name="TL_ME_23_10" localSheetId="5">'[73]Top Lvl  Logic'!$AB$11</definedName>
    <definedName name="TL_ME_23_10" localSheetId="6">'[73]Top Lvl  Logic'!$AB$11</definedName>
    <definedName name="TL_ME_23_10" localSheetId="7">'[73]Top Lvl  Logic'!$AB$11</definedName>
    <definedName name="TL_ME_23_10" localSheetId="8">'[73]Top Lvl  Logic'!$AB$11</definedName>
    <definedName name="TL_ME_23_10" localSheetId="9">'[73]Top Lvl  Logic'!$AB$11</definedName>
    <definedName name="TL_ME_23_10" localSheetId="10">'[18]Top Lvl  Logic'!$AB$11</definedName>
    <definedName name="TL_ME_23_10">'[23]Top Lvl  Logic'!$AB$11</definedName>
    <definedName name="TL_ME_34" localSheetId="4">'[73]Top Lvl  Logic'!$AC$11</definedName>
    <definedName name="TL_ME_34" localSheetId="3">'[73]Top Lvl  Logic'!$AC$11</definedName>
    <definedName name="TL_ME_34" localSheetId="2">'[73]Top Lvl  Logic'!$AC$11</definedName>
    <definedName name="TL_ME_34" localSheetId="5">'[73]Top Lvl  Logic'!$AC$11</definedName>
    <definedName name="TL_ME_34" localSheetId="6">'[73]Top Lvl  Logic'!$AC$11</definedName>
    <definedName name="TL_ME_34" localSheetId="7">'[73]Top Lvl  Logic'!$AC$11</definedName>
    <definedName name="TL_ME_34" localSheetId="8">'[73]Top Lvl  Logic'!$AC$11</definedName>
    <definedName name="TL_ME_34" localSheetId="9">'[73]Top Lvl  Logic'!$AC$11</definedName>
    <definedName name="TL_ME_34" localSheetId="10">'[18]Top Lvl  Logic'!$AC$11</definedName>
    <definedName name="TL_ME_34">'[23]Top Lvl  Logic'!$AC$11</definedName>
    <definedName name="TL_ME_34_10" localSheetId="4">'[73]Top Lvl  Logic'!$AC$11</definedName>
    <definedName name="TL_ME_34_10" localSheetId="3">'[73]Top Lvl  Logic'!$AC$11</definedName>
    <definedName name="TL_ME_34_10" localSheetId="2">'[73]Top Lvl  Logic'!$AC$11</definedName>
    <definedName name="TL_ME_34_10" localSheetId="5">'[73]Top Lvl  Logic'!$AC$11</definedName>
    <definedName name="TL_ME_34_10" localSheetId="6">'[73]Top Lvl  Logic'!$AC$11</definedName>
    <definedName name="TL_ME_34_10" localSheetId="7">'[73]Top Lvl  Logic'!$AC$11</definedName>
    <definedName name="TL_ME_34_10" localSheetId="8">'[73]Top Lvl  Logic'!$AC$11</definedName>
    <definedName name="TL_ME_34_10" localSheetId="9">'[73]Top Lvl  Logic'!$AC$11</definedName>
    <definedName name="TL_ME_34_10" localSheetId="10">'[18]Top Lvl  Logic'!$AC$11</definedName>
    <definedName name="TL_ME_34_10">'[23]Top Lvl  Logic'!$AC$11</definedName>
    <definedName name="TL_ME_45" localSheetId="4">'[73]Top Lvl  Logic'!$AD$11</definedName>
    <definedName name="TL_ME_45" localSheetId="3">'[73]Top Lvl  Logic'!$AD$11</definedName>
    <definedName name="TL_ME_45" localSheetId="2">'[73]Top Lvl  Logic'!$AD$11</definedName>
    <definedName name="TL_ME_45" localSheetId="5">'[73]Top Lvl  Logic'!$AD$11</definedName>
    <definedName name="TL_ME_45" localSheetId="6">'[73]Top Lvl  Logic'!$AD$11</definedName>
    <definedName name="TL_ME_45" localSheetId="7">'[73]Top Lvl  Logic'!$AD$11</definedName>
    <definedName name="TL_ME_45" localSheetId="8">'[73]Top Lvl  Logic'!$AD$11</definedName>
    <definedName name="TL_ME_45" localSheetId="9">'[73]Top Lvl  Logic'!$AD$11</definedName>
    <definedName name="TL_ME_45" localSheetId="10">'[18]Top Lvl  Logic'!$AD$11</definedName>
    <definedName name="TL_ME_45">'[23]Top Lvl  Logic'!$AD$11</definedName>
    <definedName name="TL_ME_45_10" localSheetId="4">'[73]Top Lvl  Logic'!$AD$11</definedName>
    <definedName name="TL_ME_45_10" localSheetId="3">'[73]Top Lvl  Logic'!$AD$11</definedName>
    <definedName name="TL_ME_45_10" localSheetId="2">'[73]Top Lvl  Logic'!$AD$11</definedName>
    <definedName name="TL_ME_45_10" localSheetId="5">'[73]Top Lvl  Logic'!$AD$11</definedName>
    <definedName name="TL_ME_45_10" localSheetId="6">'[73]Top Lvl  Logic'!$AD$11</definedName>
    <definedName name="TL_ME_45_10" localSheetId="7">'[73]Top Lvl  Logic'!$AD$11</definedName>
    <definedName name="TL_ME_45_10" localSheetId="8">'[73]Top Lvl  Logic'!$AD$11</definedName>
    <definedName name="TL_ME_45_10" localSheetId="9">'[73]Top Lvl  Logic'!$AD$11</definedName>
    <definedName name="TL_ME_45_10" localSheetId="10">'[18]Top Lvl  Logic'!$AD$11</definedName>
    <definedName name="TL_ME_45_10">'[23]Top Lvl  Logic'!$AD$11</definedName>
    <definedName name="TL_ME_56" localSheetId="4">'[73]Top Lvl  Logic'!$AE$11</definedName>
    <definedName name="TL_ME_56" localSheetId="3">'[73]Top Lvl  Logic'!$AE$11</definedName>
    <definedName name="TL_ME_56" localSheetId="2">'[73]Top Lvl  Logic'!$AE$11</definedName>
    <definedName name="TL_ME_56" localSheetId="5">'[73]Top Lvl  Logic'!$AE$11</definedName>
    <definedName name="TL_ME_56" localSheetId="6">'[73]Top Lvl  Logic'!$AE$11</definedName>
    <definedName name="TL_ME_56" localSheetId="7">'[73]Top Lvl  Logic'!$AE$11</definedName>
    <definedName name="TL_ME_56" localSheetId="8">'[73]Top Lvl  Logic'!$AE$11</definedName>
    <definedName name="TL_ME_56" localSheetId="9">'[73]Top Lvl  Logic'!$AE$11</definedName>
    <definedName name="TL_ME_56" localSheetId="10">'[18]Top Lvl  Logic'!$AE$11</definedName>
    <definedName name="TL_ME_56">'[23]Top Lvl  Logic'!$AE$11</definedName>
    <definedName name="TL_ME_56_10" localSheetId="4">'[73]Top Lvl  Logic'!$AE$11</definedName>
    <definedName name="TL_ME_56_10" localSheetId="3">'[73]Top Lvl  Logic'!$AE$11</definedName>
    <definedName name="TL_ME_56_10" localSheetId="2">'[73]Top Lvl  Logic'!$AE$11</definedName>
    <definedName name="TL_ME_56_10" localSheetId="5">'[73]Top Lvl  Logic'!$AE$11</definedName>
    <definedName name="TL_ME_56_10" localSheetId="6">'[73]Top Lvl  Logic'!$AE$11</definedName>
    <definedName name="TL_ME_56_10" localSheetId="7">'[73]Top Lvl  Logic'!$AE$11</definedName>
    <definedName name="TL_ME_56_10" localSheetId="8">'[73]Top Lvl  Logic'!$AE$11</definedName>
    <definedName name="TL_ME_56_10" localSheetId="9">'[73]Top Lvl  Logic'!$AE$11</definedName>
    <definedName name="TL_ME_56_10" localSheetId="10">'[18]Top Lvl  Logic'!$AE$11</definedName>
    <definedName name="TL_ME_56_10">'[23]Top Lvl  Logic'!$AE$11</definedName>
    <definedName name="TL_ME_G6" localSheetId="4">'[73]Top Lvl  Logic'!$AF$11</definedName>
    <definedName name="TL_ME_G6" localSheetId="3">'[73]Top Lvl  Logic'!$AF$11</definedName>
    <definedName name="TL_ME_G6" localSheetId="2">'[73]Top Lvl  Logic'!$AF$11</definedName>
    <definedName name="TL_ME_G6" localSheetId="5">'[73]Top Lvl  Logic'!$AF$11</definedName>
    <definedName name="TL_ME_G6" localSheetId="6">'[73]Top Lvl  Logic'!$AF$11</definedName>
    <definedName name="TL_ME_G6" localSheetId="7">'[73]Top Lvl  Logic'!$AF$11</definedName>
    <definedName name="TL_ME_G6" localSheetId="8">'[73]Top Lvl  Logic'!$AF$11</definedName>
    <definedName name="TL_ME_G6" localSheetId="9">'[73]Top Lvl  Logic'!$AF$11</definedName>
    <definedName name="TL_ME_G6" localSheetId="10">'[18]Top Lvl  Logic'!$AF$11</definedName>
    <definedName name="TL_ME_G6">'[23]Top Lvl  Logic'!$AF$11</definedName>
    <definedName name="TL_ME_G6_10" localSheetId="4">'[73]Top Lvl  Logic'!$AF$11</definedName>
    <definedName name="TL_ME_G6_10" localSheetId="3">'[73]Top Lvl  Logic'!$AF$11</definedName>
    <definedName name="TL_ME_G6_10" localSheetId="2">'[73]Top Lvl  Logic'!$AF$11</definedName>
    <definedName name="TL_ME_G6_10" localSheetId="5">'[73]Top Lvl  Logic'!$AF$11</definedName>
    <definedName name="TL_ME_G6_10" localSheetId="6">'[73]Top Lvl  Logic'!$AF$11</definedName>
    <definedName name="TL_ME_G6_10" localSheetId="7">'[73]Top Lvl  Logic'!$AF$11</definedName>
    <definedName name="TL_ME_G6_10" localSheetId="8">'[73]Top Lvl  Logic'!$AF$11</definedName>
    <definedName name="TL_ME_G6_10" localSheetId="9">'[73]Top Lvl  Logic'!$AF$11</definedName>
    <definedName name="TL_ME_G6_10" localSheetId="10">'[18]Top Lvl  Logic'!$AF$11</definedName>
    <definedName name="TL_ME_G6_10">'[23]Top Lvl  Logic'!$AF$11</definedName>
    <definedName name="TL_ME_L0" localSheetId="4">'[73]Top Lvl  Logic'!$Y$11</definedName>
    <definedName name="TL_ME_L0" localSheetId="3">'[73]Top Lvl  Logic'!$Y$11</definedName>
    <definedName name="TL_ME_L0" localSheetId="2">'[73]Top Lvl  Logic'!$Y$11</definedName>
    <definedName name="TL_ME_L0" localSheetId="5">'[73]Top Lvl  Logic'!$Y$11</definedName>
    <definedName name="TL_ME_L0" localSheetId="6">'[73]Top Lvl  Logic'!$Y$11</definedName>
    <definedName name="TL_ME_L0" localSheetId="7">'[73]Top Lvl  Logic'!$Y$11</definedName>
    <definedName name="TL_ME_L0" localSheetId="8">'[73]Top Lvl  Logic'!$Y$11</definedName>
    <definedName name="TL_ME_L0" localSheetId="9">'[73]Top Lvl  Logic'!$Y$11</definedName>
    <definedName name="TL_ME_L0" localSheetId="10">'[18]Top Lvl  Logic'!$Y$11</definedName>
    <definedName name="TL_ME_L0">'[23]Top Lvl  Logic'!$Y$11</definedName>
    <definedName name="TL_ME_L0_10" localSheetId="4">'[73]Top Lvl  Logic'!$Y$11</definedName>
    <definedName name="TL_ME_L0_10" localSheetId="3">'[73]Top Lvl  Logic'!$Y$11</definedName>
    <definedName name="TL_ME_L0_10" localSheetId="2">'[73]Top Lvl  Logic'!$Y$11</definedName>
    <definedName name="TL_ME_L0_10" localSheetId="5">'[73]Top Lvl  Logic'!$Y$11</definedName>
    <definedName name="TL_ME_L0_10" localSheetId="6">'[73]Top Lvl  Logic'!$Y$11</definedName>
    <definedName name="TL_ME_L0_10" localSheetId="7">'[73]Top Lvl  Logic'!$Y$11</definedName>
    <definedName name="TL_ME_L0_10" localSheetId="8">'[73]Top Lvl  Logic'!$Y$11</definedName>
    <definedName name="TL_ME_L0_10" localSheetId="9">'[73]Top Lvl  Logic'!$Y$11</definedName>
    <definedName name="TL_ME_L0_10" localSheetId="10">'[18]Top Lvl  Logic'!$Y$11</definedName>
    <definedName name="TL_ME_L0_10">'[23]Top Lvl  Logic'!$Y$11</definedName>
    <definedName name="TL_ME_NA" localSheetId="4">'[73]Top Lvl  Logic'!$X$11</definedName>
    <definedName name="TL_ME_NA" localSheetId="3">'[73]Top Lvl  Logic'!$X$11</definedName>
    <definedName name="TL_ME_NA" localSheetId="2">'[73]Top Lvl  Logic'!$X$11</definedName>
    <definedName name="TL_ME_NA" localSheetId="5">'[73]Top Lvl  Logic'!$X$11</definedName>
    <definedName name="TL_ME_NA" localSheetId="6">'[73]Top Lvl  Logic'!$X$11</definedName>
    <definedName name="TL_ME_NA" localSheetId="7">'[73]Top Lvl  Logic'!$X$11</definedName>
    <definedName name="TL_ME_NA" localSheetId="8">'[73]Top Lvl  Logic'!$X$11</definedName>
    <definedName name="TL_ME_NA" localSheetId="9">'[73]Top Lvl  Logic'!$X$11</definedName>
    <definedName name="TL_ME_NA" localSheetId="10">'[18]Top Lvl  Logic'!$X$11</definedName>
    <definedName name="TL_ME_NA">'[23]Top Lvl  Logic'!$X$11</definedName>
    <definedName name="TL_ME_NA_10" localSheetId="4">'[73]Top Lvl  Logic'!$X$11</definedName>
    <definedName name="TL_ME_NA_10" localSheetId="3">'[73]Top Lvl  Logic'!$X$11</definedName>
    <definedName name="TL_ME_NA_10" localSheetId="2">'[73]Top Lvl  Logic'!$X$11</definedName>
    <definedName name="TL_ME_NA_10" localSheetId="5">'[73]Top Lvl  Logic'!$X$11</definedName>
    <definedName name="TL_ME_NA_10" localSheetId="6">'[73]Top Lvl  Logic'!$X$11</definedName>
    <definedName name="TL_ME_NA_10" localSheetId="7">'[73]Top Lvl  Logic'!$X$11</definedName>
    <definedName name="TL_ME_NA_10" localSheetId="8">'[73]Top Lvl  Logic'!$X$11</definedName>
    <definedName name="TL_ME_NA_10" localSheetId="9">'[73]Top Lvl  Logic'!$X$11</definedName>
    <definedName name="TL_ME_NA_10" localSheetId="10">'[18]Top Lvl  Logic'!$X$11</definedName>
    <definedName name="TL_ME_NA_10">'[23]Top Lvl  Logic'!$X$11</definedName>
    <definedName name="TL_MEA" localSheetId="4">'[73]Top Lvl  Logic'!$U$10</definedName>
    <definedName name="TL_MEA" localSheetId="3">'[73]Top Lvl  Logic'!$U$10</definedName>
    <definedName name="TL_MEA" localSheetId="2">'[73]Top Lvl  Logic'!$U$10</definedName>
    <definedName name="TL_MEA" localSheetId="5">'[73]Top Lvl  Logic'!$U$10</definedName>
    <definedName name="TL_MEA" localSheetId="6">'[73]Top Lvl  Logic'!$U$10</definedName>
    <definedName name="TL_MEA" localSheetId="7">'[73]Top Lvl  Logic'!$U$10</definedName>
    <definedName name="TL_MEA" localSheetId="8">'[73]Top Lvl  Logic'!$U$10</definedName>
    <definedName name="TL_MEA" localSheetId="9">'[73]Top Lvl  Logic'!$U$10</definedName>
    <definedName name="TL_MEA" localSheetId="10">'[18]Top Lvl  Logic'!$U$10</definedName>
    <definedName name="TL_MEA">'[23]Top Lvl  Logic'!$U$10</definedName>
    <definedName name="TL_MEA_10" localSheetId="4">'[73]Top Lvl  Logic'!$U$10</definedName>
    <definedName name="TL_MEA_10" localSheetId="3">'[73]Top Lvl  Logic'!$U$10</definedName>
    <definedName name="TL_MEA_10" localSheetId="2">'[73]Top Lvl  Logic'!$U$10</definedName>
    <definedName name="TL_MEA_10" localSheetId="5">'[73]Top Lvl  Logic'!$U$10</definedName>
    <definedName name="TL_MEA_10" localSheetId="6">'[73]Top Lvl  Logic'!$U$10</definedName>
    <definedName name="TL_MEA_10" localSheetId="7">'[73]Top Lvl  Logic'!$U$10</definedName>
    <definedName name="TL_MEA_10" localSheetId="8">'[73]Top Lvl  Logic'!$U$10</definedName>
    <definedName name="TL_MEA_10" localSheetId="9">'[73]Top Lvl  Logic'!$U$10</definedName>
    <definedName name="TL_MEA_10" localSheetId="10">'[18]Top Lvl  Logic'!$U$10</definedName>
    <definedName name="TL_MEA_10">'[23]Top Lvl  Logic'!$U$10</definedName>
    <definedName name="TL_Opp" localSheetId="4">[73]SUMMARY!$D$9</definedName>
    <definedName name="TL_Opp" localSheetId="3">[73]SUMMARY!$D$9</definedName>
    <definedName name="TL_Opp" localSheetId="2">[73]SUMMARY!$D$9</definedName>
    <definedName name="TL_Opp" localSheetId="5">[73]SUMMARY!$D$9</definedName>
    <definedName name="TL_Opp" localSheetId="6">[73]SUMMARY!$D$9</definedName>
    <definedName name="TL_Opp" localSheetId="7">[73]SUMMARY!$D$9</definedName>
    <definedName name="TL_Opp" localSheetId="8">[73]SUMMARY!$D$9</definedName>
    <definedName name="TL_Opp" localSheetId="9">[73]SUMMARY!$D$9</definedName>
    <definedName name="TL_Opp" localSheetId="10">[18]Summary!$D$9</definedName>
    <definedName name="TL_Opp">[23]Summary!$D$9</definedName>
    <definedName name="TL_Opp_10" localSheetId="4">[73]SUMMARY!$D$9</definedName>
    <definedName name="TL_Opp_10" localSheetId="3">[73]SUMMARY!$D$9</definedName>
    <definedName name="TL_Opp_10" localSheetId="2">[73]SUMMARY!$D$9</definedName>
    <definedName name="TL_Opp_10" localSheetId="5">[73]SUMMARY!$D$9</definedName>
    <definedName name="TL_Opp_10" localSheetId="6">[73]SUMMARY!$D$9</definedName>
    <definedName name="TL_Opp_10" localSheetId="7">[73]SUMMARY!$D$9</definedName>
    <definedName name="TL_Opp_10" localSheetId="8">[73]SUMMARY!$D$9</definedName>
    <definedName name="TL_Opp_10" localSheetId="9">[73]SUMMARY!$D$9</definedName>
    <definedName name="TL_Opp_10" localSheetId="10">[18]Summary!$D$9</definedName>
    <definedName name="TL_Opp_10">[23]Summary!$D$9</definedName>
    <definedName name="TL_PR_01" localSheetId="4">'[73]Top Lvl  Logic'!$Z$10</definedName>
    <definedName name="TL_PR_01" localSheetId="3">'[73]Top Lvl  Logic'!$Z$10</definedName>
    <definedName name="TL_PR_01" localSheetId="2">'[73]Top Lvl  Logic'!$Z$10</definedName>
    <definedName name="TL_PR_01" localSheetId="5">'[73]Top Lvl  Logic'!$Z$10</definedName>
    <definedName name="TL_PR_01" localSheetId="6">'[73]Top Lvl  Logic'!$Z$10</definedName>
    <definedName name="TL_PR_01" localSheetId="7">'[73]Top Lvl  Logic'!$Z$10</definedName>
    <definedName name="TL_PR_01" localSheetId="8">'[73]Top Lvl  Logic'!$Z$10</definedName>
    <definedName name="TL_PR_01" localSheetId="9">'[73]Top Lvl  Logic'!$Z$10</definedName>
    <definedName name="TL_PR_01" localSheetId="10">'[18]Top Lvl  Logic'!$Z$10</definedName>
    <definedName name="TL_PR_01">'[23]Top Lvl  Logic'!$Z$10</definedName>
    <definedName name="TL_PR_01_10" localSheetId="4">'[73]Top Lvl  Logic'!$Z$10</definedName>
    <definedName name="TL_PR_01_10" localSheetId="3">'[73]Top Lvl  Logic'!$Z$10</definedName>
    <definedName name="TL_PR_01_10" localSheetId="2">'[73]Top Lvl  Logic'!$Z$10</definedName>
    <definedName name="TL_PR_01_10" localSheetId="5">'[73]Top Lvl  Logic'!$Z$10</definedName>
    <definedName name="TL_PR_01_10" localSheetId="6">'[73]Top Lvl  Logic'!$Z$10</definedName>
    <definedName name="TL_PR_01_10" localSheetId="7">'[73]Top Lvl  Logic'!$Z$10</definedName>
    <definedName name="TL_PR_01_10" localSheetId="8">'[73]Top Lvl  Logic'!$Z$10</definedName>
    <definedName name="TL_PR_01_10" localSheetId="9">'[73]Top Lvl  Logic'!$Z$10</definedName>
    <definedName name="TL_PR_01_10" localSheetId="10">'[18]Top Lvl  Logic'!$Z$10</definedName>
    <definedName name="TL_PR_01_10">'[23]Top Lvl  Logic'!$Z$10</definedName>
    <definedName name="TL_PR_12" localSheetId="4">'[73]Top Lvl  Logic'!$AA$10</definedName>
    <definedName name="TL_PR_12" localSheetId="3">'[73]Top Lvl  Logic'!$AA$10</definedName>
    <definedName name="TL_PR_12" localSheetId="2">'[73]Top Lvl  Logic'!$AA$10</definedName>
    <definedName name="TL_PR_12" localSheetId="5">'[73]Top Lvl  Logic'!$AA$10</definedName>
    <definedName name="TL_PR_12" localSheetId="6">'[73]Top Lvl  Logic'!$AA$10</definedName>
    <definedName name="TL_PR_12" localSheetId="7">'[73]Top Lvl  Logic'!$AA$10</definedName>
    <definedName name="TL_PR_12" localSheetId="8">'[73]Top Lvl  Logic'!$AA$10</definedName>
    <definedName name="TL_PR_12" localSheetId="9">'[73]Top Lvl  Logic'!$AA$10</definedName>
    <definedName name="TL_PR_12" localSheetId="10">'[18]Top Lvl  Logic'!$AA$10</definedName>
    <definedName name="TL_PR_12">'[23]Top Lvl  Logic'!$AA$10</definedName>
    <definedName name="TL_PR_12_10" localSheetId="4">'[73]Top Lvl  Logic'!$AA$10</definedName>
    <definedName name="TL_PR_12_10" localSheetId="3">'[73]Top Lvl  Logic'!$AA$10</definedName>
    <definedName name="TL_PR_12_10" localSheetId="2">'[73]Top Lvl  Logic'!$AA$10</definedName>
    <definedName name="TL_PR_12_10" localSheetId="5">'[73]Top Lvl  Logic'!$AA$10</definedName>
    <definedName name="TL_PR_12_10" localSheetId="6">'[73]Top Lvl  Logic'!$AA$10</definedName>
    <definedName name="TL_PR_12_10" localSheetId="7">'[73]Top Lvl  Logic'!$AA$10</definedName>
    <definedName name="TL_PR_12_10" localSheetId="8">'[73]Top Lvl  Logic'!$AA$10</definedName>
    <definedName name="TL_PR_12_10" localSheetId="9">'[73]Top Lvl  Logic'!$AA$10</definedName>
    <definedName name="TL_PR_12_10" localSheetId="10">'[18]Top Lvl  Logic'!$AA$10</definedName>
    <definedName name="TL_PR_12_10">'[23]Top Lvl  Logic'!$AA$10</definedName>
    <definedName name="TL_PR_23" localSheetId="4">'[73]Top Lvl  Logic'!$AB$10</definedName>
    <definedName name="TL_PR_23" localSheetId="3">'[73]Top Lvl  Logic'!$AB$10</definedName>
    <definedName name="TL_PR_23" localSheetId="2">'[73]Top Lvl  Logic'!$AB$10</definedName>
    <definedName name="TL_PR_23" localSheetId="5">'[73]Top Lvl  Logic'!$AB$10</definedName>
    <definedName name="TL_PR_23" localSheetId="6">'[73]Top Lvl  Logic'!$AB$10</definedName>
    <definedName name="TL_PR_23" localSheetId="7">'[73]Top Lvl  Logic'!$AB$10</definedName>
    <definedName name="TL_PR_23" localSheetId="8">'[73]Top Lvl  Logic'!$AB$10</definedName>
    <definedName name="TL_PR_23" localSheetId="9">'[73]Top Lvl  Logic'!$AB$10</definedName>
    <definedName name="TL_PR_23" localSheetId="10">'[18]Top Lvl  Logic'!$AB$10</definedName>
    <definedName name="TL_PR_23">'[23]Top Lvl  Logic'!$AB$10</definedName>
    <definedName name="TL_PR_23_10" localSheetId="4">'[73]Top Lvl  Logic'!$AB$10</definedName>
    <definedName name="TL_PR_23_10" localSheetId="3">'[73]Top Lvl  Logic'!$AB$10</definedName>
    <definedName name="TL_PR_23_10" localSheetId="2">'[73]Top Lvl  Logic'!$AB$10</definedName>
    <definedName name="TL_PR_23_10" localSheetId="5">'[73]Top Lvl  Logic'!$AB$10</definedName>
    <definedName name="TL_PR_23_10" localSheetId="6">'[73]Top Lvl  Logic'!$AB$10</definedName>
    <definedName name="TL_PR_23_10" localSheetId="7">'[73]Top Lvl  Logic'!$AB$10</definedName>
    <definedName name="TL_PR_23_10" localSheetId="8">'[73]Top Lvl  Logic'!$AB$10</definedName>
    <definedName name="TL_PR_23_10" localSheetId="9">'[73]Top Lvl  Logic'!$AB$10</definedName>
    <definedName name="TL_PR_23_10" localSheetId="10">'[18]Top Lvl  Logic'!$AB$10</definedName>
    <definedName name="TL_PR_23_10">'[23]Top Lvl  Logic'!$AB$10</definedName>
    <definedName name="TL_PR_34" localSheetId="4">'[73]Top Lvl  Logic'!$AC$10</definedName>
    <definedName name="TL_PR_34" localSheetId="3">'[73]Top Lvl  Logic'!$AC$10</definedName>
    <definedName name="TL_PR_34" localSheetId="2">'[73]Top Lvl  Logic'!$AC$10</definedName>
    <definedName name="TL_PR_34" localSheetId="5">'[73]Top Lvl  Logic'!$AC$10</definedName>
    <definedName name="TL_PR_34" localSheetId="6">'[73]Top Lvl  Logic'!$AC$10</definedName>
    <definedName name="TL_PR_34" localSheetId="7">'[73]Top Lvl  Logic'!$AC$10</definedName>
    <definedName name="TL_PR_34" localSheetId="8">'[73]Top Lvl  Logic'!$AC$10</definedName>
    <definedName name="TL_PR_34" localSheetId="9">'[73]Top Lvl  Logic'!$AC$10</definedName>
    <definedName name="TL_PR_34" localSheetId="10">'[18]Top Lvl  Logic'!$AC$10</definedName>
    <definedName name="TL_PR_34">'[23]Top Lvl  Logic'!$AC$10</definedName>
    <definedName name="TL_PR_34_10" localSheetId="4">'[73]Top Lvl  Logic'!$AC$10</definedName>
    <definedName name="TL_PR_34_10" localSheetId="3">'[73]Top Lvl  Logic'!$AC$10</definedName>
    <definedName name="TL_PR_34_10" localSheetId="2">'[73]Top Lvl  Logic'!$AC$10</definedName>
    <definedName name="TL_PR_34_10" localSheetId="5">'[73]Top Lvl  Logic'!$AC$10</definedName>
    <definedName name="TL_PR_34_10" localSheetId="6">'[73]Top Lvl  Logic'!$AC$10</definedName>
    <definedName name="TL_PR_34_10" localSheetId="7">'[73]Top Lvl  Logic'!$AC$10</definedName>
    <definedName name="TL_PR_34_10" localSheetId="8">'[73]Top Lvl  Logic'!$AC$10</definedName>
    <definedName name="TL_PR_34_10" localSheetId="9">'[73]Top Lvl  Logic'!$AC$10</definedName>
    <definedName name="TL_PR_34_10" localSheetId="10">'[18]Top Lvl  Logic'!$AC$10</definedName>
    <definedName name="TL_PR_34_10">'[23]Top Lvl  Logic'!$AC$10</definedName>
    <definedName name="TL_PR_45" localSheetId="4">'[73]Top Lvl  Logic'!$AD$10</definedName>
    <definedName name="TL_PR_45" localSheetId="3">'[73]Top Lvl  Logic'!$AD$10</definedName>
    <definedName name="TL_PR_45" localSheetId="2">'[73]Top Lvl  Logic'!$AD$10</definedName>
    <definedName name="TL_PR_45" localSheetId="5">'[73]Top Lvl  Logic'!$AD$10</definedName>
    <definedName name="TL_PR_45" localSheetId="6">'[73]Top Lvl  Logic'!$AD$10</definedName>
    <definedName name="TL_PR_45" localSheetId="7">'[73]Top Lvl  Logic'!$AD$10</definedName>
    <definedName name="TL_PR_45" localSheetId="8">'[73]Top Lvl  Logic'!$AD$10</definedName>
    <definedName name="TL_PR_45" localSheetId="9">'[73]Top Lvl  Logic'!$AD$10</definedName>
    <definedName name="TL_PR_45" localSheetId="10">'[18]Top Lvl  Logic'!$AD$10</definedName>
    <definedName name="TL_PR_45">'[23]Top Lvl  Logic'!$AD$10</definedName>
    <definedName name="TL_PR_45_10" localSheetId="4">'[73]Top Lvl  Logic'!$AD$10</definedName>
    <definedName name="TL_PR_45_10" localSheetId="3">'[73]Top Lvl  Logic'!$AD$10</definedName>
    <definedName name="TL_PR_45_10" localSheetId="2">'[73]Top Lvl  Logic'!$AD$10</definedName>
    <definedName name="TL_PR_45_10" localSheetId="5">'[73]Top Lvl  Logic'!$AD$10</definedName>
    <definedName name="TL_PR_45_10" localSheetId="6">'[73]Top Lvl  Logic'!$AD$10</definedName>
    <definedName name="TL_PR_45_10" localSheetId="7">'[73]Top Lvl  Logic'!$AD$10</definedName>
    <definedName name="TL_PR_45_10" localSheetId="8">'[73]Top Lvl  Logic'!$AD$10</definedName>
    <definedName name="TL_PR_45_10" localSheetId="9">'[73]Top Lvl  Logic'!$AD$10</definedName>
    <definedName name="TL_PR_45_10" localSheetId="10">'[18]Top Lvl  Logic'!$AD$10</definedName>
    <definedName name="TL_PR_45_10">'[23]Top Lvl  Logic'!$AD$10</definedName>
    <definedName name="TL_PR_56" localSheetId="4">'[73]Top Lvl  Logic'!$AE$10</definedName>
    <definedName name="TL_PR_56" localSheetId="3">'[73]Top Lvl  Logic'!$AE$10</definedName>
    <definedName name="TL_PR_56" localSheetId="2">'[73]Top Lvl  Logic'!$AE$10</definedName>
    <definedName name="TL_PR_56" localSheetId="5">'[73]Top Lvl  Logic'!$AE$10</definedName>
    <definedName name="TL_PR_56" localSheetId="6">'[73]Top Lvl  Logic'!$AE$10</definedName>
    <definedName name="TL_PR_56" localSheetId="7">'[73]Top Lvl  Logic'!$AE$10</definedName>
    <definedName name="TL_PR_56" localSheetId="8">'[73]Top Lvl  Logic'!$AE$10</definedName>
    <definedName name="TL_PR_56" localSheetId="9">'[73]Top Lvl  Logic'!$AE$10</definedName>
    <definedName name="TL_PR_56" localSheetId="10">'[18]Top Lvl  Logic'!$AE$10</definedName>
    <definedName name="TL_PR_56">'[23]Top Lvl  Logic'!$AE$10</definedName>
    <definedName name="TL_PR_56_10" localSheetId="4">'[73]Top Lvl  Logic'!$AE$10</definedName>
    <definedName name="TL_PR_56_10" localSheetId="3">'[73]Top Lvl  Logic'!$AE$10</definedName>
    <definedName name="TL_PR_56_10" localSheetId="2">'[73]Top Lvl  Logic'!$AE$10</definedName>
    <definedName name="TL_PR_56_10" localSheetId="5">'[73]Top Lvl  Logic'!$AE$10</definedName>
    <definedName name="TL_PR_56_10" localSheetId="6">'[73]Top Lvl  Logic'!$AE$10</definedName>
    <definedName name="TL_PR_56_10" localSheetId="7">'[73]Top Lvl  Logic'!$AE$10</definedName>
    <definedName name="TL_PR_56_10" localSheetId="8">'[73]Top Lvl  Logic'!$AE$10</definedName>
    <definedName name="TL_PR_56_10" localSheetId="9">'[73]Top Lvl  Logic'!$AE$10</definedName>
    <definedName name="TL_PR_56_10" localSheetId="10">'[18]Top Lvl  Logic'!$AE$10</definedName>
    <definedName name="TL_PR_56_10">'[23]Top Lvl  Logic'!$AE$10</definedName>
    <definedName name="TL_PR_G6" localSheetId="4">'[73]Top Lvl  Logic'!$AF$10</definedName>
    <definedName name="TL_PR_G6" localSheetId="3">'[73]Top Lvl  Logic'!$AF$10</definedName>
    <definedName name="TL_PR_G6" localSheetId="2">'[73]Top Lvl  Logic'!$AF$10</definedName>
    <definedName name="TL_PR_G6" localSheetId="5">'[73]Top Lvl  Logic'!$AF$10</definedName>
    <definedName name="TL_PR_G6" localSheetId="6">'[73]Top Lvl  Logic'!$AF$10</definedName>
    <definedName name="TL_PR_G6" localSheetId="7">'[73]Top Lvl  Logic'!$AF$10</definedName>
    <definedName name="TL_PR_G6" localSheetId="8">'[73]Top Lvl  Logic'!$AF$10</definedName>
    <definedName name="TL_PR_G6" localSheetId="9">'[73]Top Lvl  Logic'!$AF$10</definedName>
    <definedName name="TL_PR_G6" localSheetId="10">'[18]Top Lvl  Logic'!$AF$10</definedName>
    <definedName name="TL_PR_G6">'[23]Top Lvl  Logic'!$AF$10</definedName>
    <definedName name="TL_PR_G6_10" localSheetId="4">'[73]Top Lvl  Logic'!$AF$10</definedName>
    <definedName name="TL_PR_G6_10" localSheetId="3">'[73]Top Lvl  Logic'!$AF$10</definedName>
    <definedName name="TL_PR_G6_10" localSheetId="2">'[73]Top Lvl  Logic'!$AF$10</definedName>
    <definedName name="TL_PR_G6_10" localSheetId="5">'[73]Top Lvl  Logic'!$AF$10</definedName>
    <definedName name="TL_PR_G6_10" localSheetId="6">'[73]Top Lvl  Logic'!$AF$10</definedName>
    <definedName name="TL_PR_G6_10" localSheetId="7">'[73]Top Lvl  Logic'!$AF$10</definedName>
    <definedName name="TL_PR_G6_10" localSheetId="8">'[73]Top Lvl  Logic'!$AF$10</definedName>
    <definedName name="TL_PR_G6_10" localSheetId="9">'[73]Top Lvl  Logic'!$AF$10</definedName>
    <definedName name="TL_PR_G6_10" localSheetId="10">'[18]Top Lvl  Logic'!$AF$10</definedName>
    <definedName name="TL_PR_G6_10">'[23]Top Lvl  Logic'!$AF$10</definedName>
    <definedName name="TL_PR_L0" localSheetId="4">'[73]Top Lvl  Logic'!$Y$10</definedName>
    <definedName name="TL_PR_L0" localSheetId="3">'[73]Top Lvl  Logic'!$Y$10</definedName>
    <definedName name="TL_PR_L0" localSheetId="2">'[73]Top Lvl  Logic'!$Y$10</definedName>
    <definedName name="TL_PR_L0" localSheetId="5">'[73]Top Lvl  Logic'!$Y$10</definedName>
    <definedName name="TL_PR_L0" localSheetId="6">'[73]Top Lvl  Logic'!$Y$10</definedName>
    <definedName name="TL_PR_L0" localSheetId="7">'[73]Top Lvl  Logic'!$Y$10</definedName>
    <definedName name="TL_PR_L0" localSheetId="8">'[73]Top Lvl  Logic'!$Y$10</definedName>
    <definedName name="TL_PR_L0" localSheetId="9">'[73]Top Lvl  Logic'!$Y$10</definedName>
    <definedName name="TL_PR_L0" localSheetId="10">'[18]Top Lvl  Logic'!$Y$10</definedName>
    <definedName name="TL_PR_L0">'[23]Top Lvl  Logic'!$Y$10</definedName>
    <definedName name="TL_PR_L0_10" localSheetId="4">'[73]Top Lvl  Logic'!$Y$10</definedName>
    <definedName name="TL_PR_L0_10" localSheetId="3">'[73]Top Lvl  Logic'!$Y$10</definedName>
    <definedName name="TL_PR_L0_10" localSheetId="2">'[73]Top Lvl  Logic'!$Y$10</definedName>
    <definedName name="TL_PR_L0_10" localSheetId="5">'[73]Top Lvl  Logic'!$Y$10</definedName>
    <definedName name="TL_PR_L0_10" localSheetId="6">'[73]Top Lvl  Logic'!$Y$10</definedName>
    <definedName name="TL_PR_L0_10" localSheetId="7">'[73]Top Lvl  Logic'!$Y$10</definedName>
    <definedName name="TL_PR_L0_10" localSheetId="8">'[73]Top Lvl  Logic'!$Y$10</definedName>
    <definedName name="TL_PR_L0_10" localSheetId="9">'[73]Top Lvl  Logic'!$Y$10</definedName>
    <definedName name="TL_PR_L0_10" localSheetId="10">'[18]Top Lvl  Logic'!$Y$10</definedName>
    <definedName name="TL_PR_L0_10">'[23]Top Lvl  Logic'!$Y$10</definedName>
    <definedName name="TL_PR_NA" localSheetId="4">'[73]Top Lvl  Logic'!$X$10</definedName>
    <definedName name="TL_PR_NA" localSheetId="3">'[73]Top Lvl  Logic'!$X$10</definedName>
    <definedName name="TL_PR_NA" localSheetId="2">'[73]Top Lvl  Logic'!$X$10</definedName>
    <definedName name="TL_PR_NA" localSheetId="5">'[73]Top Lvl  Logic'!$X$10</definedName>
    <definedName name="TL_PR_NA" localSheetId="6">'[73]Top Lvl  Logic'!$X$10</definedName>
    <definedName name="TL_PR_NA" localSheetId="7">'[73]Top Lvl  Logic'!$X$10</definedName>
    <definedName name="TL_PR_NA" localSheetId="8">'[73]Top Lvl  Logic'!$X$10</definedName>
    <definedName name="TL_PR_NA" localSheetId="9">'[73]Top Lvl  Logic'!$X$10</definedName>
    <definedName name="TL_PR_NA" localSheetId="10">'[18]Top Lvl  Logic'!$X$10</definedName>
    <definedName name="TL_PR_NA">'[23]Top Lvl  Logic'!$X$10</definedName>
    <definedName name="TL_PR_NA_10" localSheetId="4">'[73]Top Lvl  Logic'!$X$10</definedName>
    <definedName name="TL_PR_NA_10" localSheetId="3">'[73]Top Lvl  Logic'!$X$10</definedName>
    <definedName name="TL_PR_NA_10" localSheetId="2">'[73]Top Lvl  Logic'!$X$10</definedName>
    <definedName name="TL_PR_NA_10" localSheetId="5">'[73]Top Lvl  Logic'!$X$10</definedName>
    <definedName name="TL_PR_NA_10" localSheetId="6">'[73]Top Lvl  Logic'!$X$10</definedName>
    <definedName name="TL_PR_NA_10" localSheetId="7">'[73]Top Lvl  Logic'!$X$10</definedName>
    <definedName name="TL_PR_NA_10" localSheetId="8">'[73]Top Lvl  Logic'!$X$10</definedName>
    <definedName name="TL_PR_NA_10" localSheetId="9">'[73]Top Lvl  Logic'!$X$10</definedName>
    <definedName name="TL_PR_NA_10" localSheetId="10">'[18]Top Lvl  Logic'!$X$10</definedName>
    <definedName name="TL_PR_NA_10">'[23]Top Lvl  Logic'!$X$10</definedName>
    <definedName name="TL_PRE" localSheetId="4">'[73]Top Lvl  Logic'!$U$9</definedName>
    <definedName name="TL_PRE" localSheetId="3">'[73]Top Lvl  Logic'!$U$9</definedName>
    <definedName name="TL_PRE" localSheetId="2">'[73]Top Lvl  Logic'!$U$9</definedName>
    <definedName name="TL_PRE" localSheetId="5">'[73]Top Lvl  Logic'!$U$9</definedName>
    <definedName name="TL_PRE" localSheetId="6">'[73]Top Lvl  Logic'!$U$9</definedName>
    <definedName name="TL_PRE" localSheetId="7">'[73]Top Lvl  Logic'!$U$9</definedName>
    <definedName name="TL_PRE" localSheetId="8">'[73]Top Lvl  Logic'!$U$9</definedName>
    <definedName name="TL_PRE" localSheetId="9">'[73]Top Lvl  Logic'!$U$9</definedName>
    <definedName name="TL_PRE" localSheetId="10">'[18]Top Lvl  Logic'!$U$9</definedName>
    <definedName name="TL_PRE">'[23]Top Lvl  Logic'!$U$9</definedName>
    <definedName name="TL_PRE_10" localSheetId="4">'[73]Top Lvl  Logic'!$U$9</definedName>
    <definedName name="TL_PRE_10" localSheetId="3">'[73]Top Lvl  Logic'!$U$9</definedName>
    <definedName name="TL_PRE_10" localSheetId="2">'[73]Top Lvl  Logic'!$U$9</definedName>
    <definedName name="TL_PRE_10" localSheetId="5">'[73]Top Lvl  Logic'!$U$9</definedName>
    <definedName name="TL_PRE_10" localSheetId="6">'[73]Top Lvl  Logic'!$U$9</definedName>
    <definedName name="TL_PRE_10" localSheetId="7">'[73]Top Lvl  Logic'!$U$9</definedName>
    <definedName name="TL_PRE_10" localSheetId="8">'[73]Top Lvl  Logic'!$U$9</definedName>
    <definedName name="TL_PRE_10" localSheetId="9">'[73]Top Lvl  Logic'!$U$9</definedName>
    <definedName name="TL_PRE_10" localSheetId="10">'[18]Top Lvl  Logic'!$U$9</definedName>
    <definedName name="TL_PRE_10">'[23]Top Lvl  Logic'!$U$9</definedName>
    <definedName name="TL_Total_M" localSheetId="4">[73]SUMMARY!$G$9</definedName>
    <definedName name="TL_Total_M" localSheetId="3">[73]SUMMARY!$G$9</definedName>
    <definedName name="TL_Total_M" localSheetId="2">[73]SUMMARY!$G$9</definedName>
    <definedName name="TL_Total_M" localSheetId="5">[73]SUMMARY!$G$9</definedName>
    <definedName name="TL_Total_M" localSheetId="6">[73]SUMMARY!$G$9</definedName>
    <definedName name="TL_Total_M" localSheetId="7">[73]SUMMARY!$G$9</definedName>
    <definedName name="TL_Total_M" localSheetId="8">[73]SUMMARY!$G$9</definedName>
    <definedName name="TL_Total_M" localSheetId="9">[73]SUMMARY!$G$9</definedName>
    <definedName name="TL_Total_M" localSheetId="10">[18]Summary!$G$9</definedName>
    <definedName name="TL_Total_M">[23]Summary!$G$9</definedName>
    <definedName name="TL_Total_M_10" localSheetId="4">[73]SUMMARY!$G$9</definedName>
    <definedName name="TL_Total_M_10" localSheetId="3">[73]SUMMARY!$G$9</definedName>
    <definedName name="TL_Total_M_10" localSheetId="2">[73]SUMMARY!$G$9</definedName>
    <definedName name="TL_Total_M_10" localSheetId="5">[73]SUMMARY!$G$9</definedName>
    <definedName name="TL_Total_M_10" localSheetId="6">[73]SUMMARY!$G$9</definedName>
    <definedName name="TL_Total_M_10" localSheetId="7">[73]SUMMARY!$G$9</definedName>
    <definedName name="TL_Total_M_10" localSheetId="8">[73]SUMMARY!$G$9</definedName>
    <definedName name="TL_Total_M_10" localSheetId="9">[73]SUMMARY!$G$9</definedName>
    <definedName name="TL_Total_M_10" localSheetId="10">[18]Summary!$G$9</definedName>
    <definedName name="TL_Total_M_10">[23]Summary!$G$9</definedName>
    <definedName name="TL_VA_01" localSheetId="4">'[73]Top Lvl  Logic'!$Z$12</definedName>
    <definedName name="TL_VA_01" localSheetId="3">'[73]Top Lvl  Logic'!$Z$12</definedName>
    <definedName name="TL_VA_01" localSheetId="2">'[73]Top Lvl  Logic'!$Z$12</definedName>
    <definedName name="TL_VA_01" localSheetId="5">'[73]Top Lvl  Logic'!$Z$12</definedName>
    <definedName name="TL_VA_01" localSheetId="6">'[73]Top Lvl  Logic'!$Z$12</definedName>
    <definedName name="TL_VA_01" localSheetId="7">'[73]Top Lvl  Logic'!$Z$12</definedName>
    <definedName name="TL_VA_01" localSheetId="8">'[73]Top Lvl  Logic'!$Z$12</definedName>
    <definedName name="TL_VA_01" localSheetId="9">'[73]Top Lvl  Logic'!$Z$12</definedName>
    <definedName name="TL_VA_01" localSheetId="10">'[18]Top Lvl  Logic'!$Z$12</definedName>
    <definedName name="TL_VA_01">'[23]Top Lvl  Logic'!$Z$12</definedName>
    <definedName name="TL_VA_01_10" localSheetId="4">'[73]Top Lvl  Logic'!$Z$12</definedName>
    <definedName name="TL_VA_01_10" localSheetId="3">'[73]Top Lvl  Logic'!$Z$12</definedName>
    <definedName name="TL_VA_01_10" localSheetId="2">'[73]Top Lvl  Logic'!$Z$12</definedName>
    <definedName name="TL_VA_01_10" localSheetId="5">'[73]Top Lvl  Logic'!$Z$12</definedName>
    <definedName name="TL_VA_01_10" localSheetId="6">'[73]Top Lvl  Logic'!$Z$12</definedName>
    <definedName name="TL_VA_01_10" localSheetId="7">'[73]Top Lvl  Logic'!$Z$12</definedName>
    <definedName name="TL_VA_01_10" localSheetId="8">'[73]Top Lvl  Logic'!$Z$12</definedName>
    <definedName name="TL_VA_01_10" localSheetId="9">'[73]Top Lvl  Logic'!$Z$12</definedName>
    <definedName name="TL_VA_01_10" localSheetId="10">'[18]Top Lvl  Logic'!$Z$12</definedName>
    <definedName name="TL_VA_01_10">'[23]Top Lvl  Logic'!$Z$12</definedName>
    <definedName name="TL_VA_12" localSheetId="4">'[73]Top Lvl  Logic'!$AA$12</definedName>
    <definedName name="TL_VA_12" localSheetId="3">'[73]Top Lvl  Logic'!$AA$12</definedName>
    <definedName name="TL_VA_12" localSheetId="2">'[73]Top Lvl  Logic'!$AA$12</definedName>
    <definedName name="TL_VA_12" localSheetId="5">'[73]Top Lvl  Logic'!$AA$12</definedName>
    <definedName name="TL_VA_12" localSheetId="6">'[73]Top Lvl  Logic'!$AA$12</definedName>
    <definedName name="TL_VA_12" localSheetId="7">'[73]Top Lvl  Logic'!$AA$12</definedName>
    <definedName name="TL_VA_12" localSheetId="8">'[73]Top Lvl  Logic'!$AA$12</definedName>
    <definedName name="TL_VA_12" localSheetId="9">'[73]Top Lvl  Logic'!$AA$12</definedName>
    <definedName name="TL_VA_12" localSheetId="10">'[18]Top Lvl  Logic'!$AA$12</definedName>
    <definedName name="TL_VA_12">'[23]Top Lvl  Logic'!$AA$12</definedName>
    <definedName name="TL_VA_12_10" localSheetId="4">'[73]Top Lvl  Logic'!$AA$12</definedName>
    <definedName name="TL_VA_12_10" localSheetId="3">'[73]Top Lvl  Logic'!$AA$12</definedName>
    <definedName name="TL_VA_12_10" localSheetId="2">'[73]Top Lvl  Logic'!$AA$12</definedName>
    <definedName name="TL_VA_12_10" localSheetId="5">'[73]Top Lvl  Logic'!$AA$12</definedName>
    <definedName name="TL_VA_12_10" localSheetId="6">'[73]Top Lvl  Logic'!$AA$12</definedName>
    <definedName name="TL_VA_12_10" localSheetId="7">'[73]Top Lvl  Logic'!$AA$12</definedName>
    <definedName name="TL_VA_12_10" localSheetId="8">'[73]Top Lvl  Logic'!$AA$12</definedName>
    <definedName name="TL_VA_12_10" localSheetId="9">'[73]Top Lvl  Logic'!$AA$12</definedName>
    <definedName name="TL_VA_12_10" localSheetId="10">'[18]Top Lvl  Logic'!$AA$12</definedName>
    <definedName name="TL_VA_12_10">'[23]Top Lvl  Logic'!$AA$12</definedName>
    <definedName name="TL_VA_23" localSheetId="4">'[73]Top Lvl  Logic'!$AB$12</definedName>
    <definedName name="TL_VA_23" localSheetId="3">'[73]Top Lvl  Logic'!$AB$12</definedName>
    <definedName name="TL_VA_23" localSheetId="2">'[73]Top Lvl  Logic'!$AB$12</definedName>
    <definedName name="TL_VA_23" localSheetId="5">'[73]Top Lvl  Logic'!$AB$12</definedName>
    <definedName name="TL_VA_23" localSheetId="6">'[73]Top Lvl  Logic'!$AB$12</definedName>
    <definedName name="TL_VA_23" localSheetId="7">'[73]Top Lvl  Logic'!$AB$12</definedName>
    <definedName name="TL_VA_23" localSheetId="8">'[73]Top Lvl  Logic'!$AB$12</definedName>
    <definedName name="TL_VA_23" localSheetId="9">'[73]Top Lvl  Logic'!$AB$12</definedName>
    <definedName name="TL_VA_23" localSheetId="10">'[18]Top Lvl  Logic'!$AB$12</definedName>
    <definedName name="TL_VA_23">'[23]Top Lvl  Logic'!$AB$12</definedName>
    <definedName name="TL_VA_23_10" localSheetId="4">'[73]Top Lvl  Logic'!$AB$12</definedName>
    <definedName name="TL_VA_23_10" localSheetId="3">'[73]Top Lvl  Logic'!$AB$12</definedName>
    <definedName name="TL_VA_23_10" localSheetId="2">'[73]Top Lvl  Logic'!$AB$12</definedName>
    <definedName name="TL_VA_23_10" localSheetId="5">'[73]Top Lvl  Logic'!$AB$12</definedName>
    <definedName name="TL_VA_23_10" localSheetId="6">'[73]Top Lvl  Logic'!$AB$12</definedName>
    <definedName name="TL_VA_23_10" localSheetId="7">'[73]Top Lvl  Logic'!$AB$12</definedName>
    <definedName name="TL_VA_23_10" localSheetId="8">'[73]Top Lvl  Logic'!$AB$12</definedName>
    <definedName name="TL_VA_23_10" localSheetId="9">'[73]Top Lvl  Logic'!$AB$12</definedName>
    <definedName name="TL_VA_23_10" localSheetId="10">'[18]Top Lvl  Logic'!$AB$12</definedName>
    <definedName name="TL_VA_23_10">'[23]Top Lvl  Logic'!$AB$12</definedName>
    <definedName name="TL_VA_34" localSheetId="4">'[73]Top Lvl  Logic'!$AC$12</definedName>
    <definedName name="TL_VA_34" localSheetId="3">'[73]Top Lvl  Logic'!$AC$12</definedName>
    <definedName name="TL_VA_34" localSheetId="2">'[73]Top Lvl  Logic'!$AC$12</definedName>
    <definedName name="TL_VA_34" localSheetId="5">'[73]Top Lvl  Logic'!$AC$12</definedName>
    <definedName name="TL_VA_34" localSheetId="6">'[73]Top Lvl  Logic'!$AC$12</definedName>
    <definedName name="TL_VA_34" localSheetId="7">'[73]Top Lvl  Logic'!$AC$12</definedName>
    <definedName name="TL_VA_34" localSheetId="8">'[73]Top Lvl  Logic'!$AC$12</definedName>
    <definedName name="TL_VA_34" localSheetId="9">'[73]Top Lvl  Logic'!$AC$12</definedName>
    <definedName name="TL_VA_34" localSheetId="10">'[18]Top Lvl  Logic'!$AC$12</definedName>
    <definedName name="TL_VA_34">'[23]Top Lvl  Logic'!$AC$12</definedName>
    <definedName name="TL_VA_34_10" localSheetId="4">'[73]Top Lvl  Logic'!$AC$12</definedName>
    <definedName name="TL_VA_34_10" localSheetId="3">'[73]Top Lvl  Logic'!$AC$12</definedName>
    <definedName name="TL_VA_34_10" localSheetId="2">'[73]Top Lvl  Logic'!$AC$12</definedName>
    <definedName name="TL_VA_34_10" localSheetId="5">'[73]Top Lvl  Logic'!$AC$12</definedName>
    <definedName name="TL_VA_34_10" localSheetId="6">'[73]Top Lvl  Logic'!$AC$12</definedName>
    <definedName name="TL_VA_34_10" localSheetId="7">'[73]Top Lvl  Logic'!$AC$12</definedName>
    <definedName name="TL_VA_34_10" localSheetId="8">'[73]Top Lvl  Logic'!$AC$12</definedName>
    <definedName name="TL_VA_34_10" localSheetId="9">'[73]Top Lvl  Logic'!$AC$12</definedName>
    <definedName name="TL_VA_34_10" localSheetId="10">'[18]Top Lvl  Logic'!$AC$12</definedName>
    <definedName name="TL_VA_34_10">'[23]Top Lvl  Logic'!$AC$12</definedName>
    <definedName name="TL_VA_45" localSheetId="4">'[73]Top Lvl  Logic'!$AD$12</definedName>
    <definedName name="TL_VA_45" localSheetId="3">'[73]Top Lvl  Logic'!$AD$12</definedName>
    <definedName name="TL_VA_45" localSheetId="2">'[73]Top Lvl  Logic'!$AD$12</definedName>
    <definedName name="TL_VA_45" localSheetId="5">'[73]Top Lvl  Logic'!$AD$12</definedName>
    <definedName name="TL_VA_45" localSheetId="6">'[73]Top Lvl  Logic'!$AD$12</definedName>
    <definedName name="TL_VA_45" localSheetId="7">'[73]Top Lvl  Logic'!$AD$12</definedName>
    <definedName name="TL_VA_45" localSheetId="8">'[73]Top Lvl  Logic'!$AD$12</definedName>
    <definedName name="TL_VA_45" localSheetId="9">'[73]Top Lvl  Logic'!$AD$12</definedName>
    <definedName name="TL_VA_45" localSheetId="10">'[18]Top Lvl  Logic'!$AD$12</definedName>
    <definedName name="TL_VA_45">'[23]Top Lvl  Logic'!$AD$12</definedName>
    <definedName name="TL_VA_45_10" localSheetId="4">'[73]Top Lvl  Logic'!$AD$12</definedName>
    <definedName name="TL_VA_45_10" localSheetId="3">'[73]Top Lvl  Logic'!$AD$12</definedName>
    <definedName name="TL_VA_45_10" localSheetId="2">'[73]Top Lvl  Logic'!$AD$12</definedName>
    <definedName name="TL_VA_45_10" localSheetId="5">'[73]Top Lvl  Logic'!$AD$12</definedName>
    <definedName name="TL_VA_45_10" localSheetId="6">'[73]Top Lvl  Logic'!$AD$12</definedName>
    <definedName name="TL_VA_45_10" localSheetId="7">'[73]Top Lvl  Logic'!$AD$12</definedName>
    <definedName name="TL_VA_45_10" localSheetId="8">'[73]Top Lvl  Logic'!$AD$12</definedName>
    <definedName name="TL_VA_45_10" localSheetId="9">'[73]Top Lvl  Logic'!$AD$12</definedName>
    <definedName name="TL_VA_45_10" localSheetId="10">'[18]Top Lvl  Logic'!$AD$12</definedName>
    <definedName name="TL_VA_45_10">'[23]Top Lvl  Logic'!$AD$12</definedName>
    <definedName name="TL_VA_56" localSheetId="4">'[73]Top Lvl  Logic'!$AE$12</definedName>
    <definedName name="TL_VA_56" localSheetId="3">'[73]Top Lvl  Logic'!$AE$12</definedName>
    <definedName name="TL_VA_56" localSheetId="2">'[73]Top Lvl  Logic'!$AE$12</definedName>
    <definedName name="TL_VA_56" localSheetId="5">'[73]Top Lvl  Logic'!$AE$12</definedName>
    <definedName name="TL_VA_56" localSheetId="6">'[73]Top Lvl  Logic'!$AE$12</definedName>
    <definedName name="TL_VA_56" localSheetId="7">'[73]Top Lvl  Logic'!$AE$12</definedName>
    <definedName name="TL_VA_56" localSheetId="8">'[73]Top Lvl  Logic'!$AE$12</definedName>
    <definedName name="TL_VA_56" localSheetId="9">'[73]Top Lvl  Logic'!$AE$12</definedName>
    <definedName name="TL_VA_56" localSheetId="10">'[18]Top Lvl  Logic'!$AE$12</definedName>
    <definedName name="TL_VA_56">'[23]Top Lvl  Logic'!$AE$12</definedName>
    <definedName name="TL_VA_56_10" localSheetId="4">'[73]Top Lvl  Logic'!$AE$12</definedName>
    <definedName name="TL_VA_56_10" localSheetId="3">'[73]Top Lvl  Logic'!$AE$12</definedName>
    <definedName name="TL_VA_56_10" localSheetId="2">'[73]Top Lvl  Logic'!$AE$12</definedName>
    <definedName name="TL_VA_56_10" localSheetId="5">'[73]Top Lvl  Logic'!$AE$12</definedName>
    <definedName name="TL_VA_56_10" localSheetId="6">'[73]Top Lvl  Logic'!$AE$12</definedName>
    <definedName name="TL_VA_56_10" localSheetId="7">'[73]Top Lvl  Logic'!$AE$12</definedName>
    <definedName name="TL_VA_56_10" localSheetId="8">'[73]Top Lvl  Logic'!$AE$12</definedName>
    <definedName name="TL_VA_56_10" localSheetId="9">'[73]Top Lvl  Logic'!$AE$12</definedName>
    <definedName name="TL_VA_56_10" localSheetId="10">'[18]Top Lvl  Logic'!$AE$12</definedName>
    <definedName name="TL_VA_56_10">'[23]Top Lvl  Logic'!$AE$12</definedName>
    <definedName name="TL_VA_G6" localSheetId="4">'[73]Top Lvl  Logic'!$AF$12</definedName>
    <definedName name="TL_VA_G6" localSheetId="3">'[73]Top Lvl  Logic'!$AF$12</definedName>
    <definedName name="TL_VA_G6" localSheetId="2">'[73]Top Lvl  Logic'!$AF$12</definedName>
    <definedName name="TL_VA_G6" localSheetId="5">'[73]Top Lvl  Logic'!$AF$12</definedName>
    <definedName name="TL_VA_G6" localSheetId="6">'[73]Top Lvl  Logic'!$AF$12</definedName>
    <definedName name="TL_VA_G6" localSheetId="7">'[73]Top Lvl  Logic'!$AF$12</definedName>
    <definedName name="TL_VA_G6" localSheetId="8">'[73]Top Lvl  Logic'!$AF$12</definedName>
    <definedName name="TL_VA_G6" localSheetId="9">'[73]Top Lvl  Logic'!$AF$12</definedName>
    <definedName name="TL_VA_G6" localSheetId="10">'[18]Top Lvl  Logic'!$AF$12</definedName>
    <definedName name="TL_VA_G6">'[23]Top Lvl  Logic'!$AF$12</definedName>
    <definedName name="TL_VA_G6_10" localSheetId="4">'[73]Top Lvl  Logic'!$AF$12</definedName>
    <definedName name="TL_VA_G6_10" localSheetId="3">'[73]Top Lvl  Logic'!$AF$12</definedName>
    <definedName name="TL_VA_G6_10" localSheetId="2">'[73]Top Lvl  Logic'!$AF$12</definedName>
    <definedName name="TL_VA_G6_10" localSheetId="5">'[73]Top Lvl  Logic'!$AF$12</definedName>
    <definedName name="TL_VA_G6_10" localSheetId="6">'[73]Top Lvl  Logic'!$AF$12</definedName>
    <definedName name="TL_VA_G6_10" localSheetId="7">'[73]Top Lvl  Logic'!$AF$12</definedName>
    <definedName name="TL_VA_G6_10" localSheetId="8">'[73]Top Lvl  Logic'!$AF$12</definedName>
    <definedName name="TL_VA_G6_10" localSheetId="9">'[73]Top Lvl  Logic'!$AF$12</definedName>
    <definedName name="TL_VA_G6_10" localSheetId="10">'[18]Top Lvl  Logic'!$AF$12</definedName>
    <definedName name="TL_VA_G6_10">'[23]Top Lvl  Logic'!$AF$12</definedName>
    <definedName name="TL_VA_L0" localSheetId="4">'[73]Top Lvl  Logic'!$Y$12</definedName>
    <definedName name="TL_VA_L0" localSheetId="3">'[73]Top Lvl  Logic'!$Y$12</definedName>
    <definedName name="TL_VA_L0" localSheetId="2">'[73]Top Lvl  Logic'!$Y$12</definedName>
    <definedName name="TL_VA_L0" localSheetId="5">'[73]Top Lvl  Logic'!$Y$12</definedName>
    <definedName name="TL_VA_L0" localSheetId="6">'[73]Top Lvl  Logic'!$Y$12</definedName>
    <definedName name="TL_VA_L0" localSheetId="7">'[73]Top Lvl  Logic'!$Y$12</definedName>
    <definedName name="TL_VA_L0" localSheetId="8">'[73]Top Lvl  Logic'!$Y$12</definedName>
    <definedName name="TL_VA_L0" localSheetId="9">'[73]Top Lvl  Logic'!$Y$12</definedName>
    <definedName name="TL_VA_L0" localSheetId="10">'[18]Top Lvl  Logic'!$Y$12</definedName>
    <definedName name="TL_VA_L0">'[23]Top Lvl  Logic'!$Y$12</definedName>
    <definedName name="TL_VA_L0_10" localSheetId="4">'[73]Top Lvl  Logic'!$Y$12</definedName>
    <definedName name="TL_VA_L0_10" localSheetId="3">'[73]Top Lvl  Logic'!$Y$12</definedName>
    <definedName name="TL_VA_L0_10" localSheetId="2">'[73]Top Lvl  Logic'!$Y$12</definedName>
    <definedName name="TL_VA_L0_10" localSheetId="5">'[73]Top Lvl  Logic'!$Y$12</definedName>
    <definedName name="TL_VA_L0_10" localSheetId="6">'[73]Top Lvl  Logic'!$Y$12</definedName>
    <definedName name="TL_VA_L0_10" localSheetId="7">'[73]Top Lvl  Logic'!$Y$12</definedName>
    <definedName name="TL_VA_L0_10" localSheetId="8">'[73]Top Lvl  Logic'!$Y$12</definedName>
    <definedName name="TL_VA_L0_10" localSheetId="9">'[73]Top Lvl  Logic'!$Y$12</definedName>
    <definedName name="TL_VA_L0_10" localSheetId="10">'[18]Top Lvl  Logic'!$Y$12</definedName>
    <definedName name="TL_VA_L0_10">'[23]Top Lvl  Logic'!$Y$12</definedName>
    <definedName name="TL_VA_NA" localSheetId="4">'[73]Top Lvl  Logic'!$X$12</definedName>
    <definedName name="TL_VA_NA" localSheetId="3">'[73]Top Lvl  Logic'!$X$12</definedName>
    <definedName name="TL_VA_NA" localSheetId="2">'[73]Top Lvl  Logic'!$X$12</definedName>
    <definedName name="TL_VA_NA" localSheetId="5">'[73]Top Lvl  Logic'!$X$12</definedName>
    <definedName name="TL_VA_NA" localSheetId="6">'[73]Top Lvl  Logic'!$X$12</definedName>
    <definedName name="TL_VA_NA" localSheetId="7">'[73]Top Lvl  Logic'!$X$12</definedName>
    <definedName name="TL_VA_NA" localSheetId="8">'[73]Top Lvl  Logic'!$X$12</definedName>
    <definedName name="TL_VA_NA" localSheetId="9">'[73]Top Lvl  Logic'!$X$12</definedName>
    <definedName name="TL_VA_NA" localSheetId="10">'[18]Top Lvl  Logic'!$X$12</definedName>
    <definedName name="TL_VA_NA">'[23]Top Lvl  Logic'!$X$12</definedName>
    <definedName name="TL_VA_NA_10" localSheetId="4">'[73]Top Lvl  Logic'!$X$12</definedName>
    <definedName name="TL_VA_NA_10" localSheetId="3">'[73]Top Lvl  Logic'!$X$12</definedName>
    <definedName name="TL_VA_NA_10" localSheetId="2">'[73]Top Lvl  Logic'!$X$12</definedName>
    <definedName name="TL_VA_NA_10" localSheetId="5">'[73]Top Lvl  Logic'!$X$12</definedName>
    <definedName name="TL_VA_NA_10" localSheetId="6">'[73]Top Lvl  Logic'!$X$12</definedName>
    <definedName name="TL_VA_NA_10" localSheetId="7">'[73]Top Lvl  Logic'!$X$12</definedName>
    <definedName name="TL_VA_NA_10" localSheetId="8">'[73]Top Lvl  Logic'!$X$12</definedName>
    <definedName name="TL_VA_NA_10" localSheetId="9">'[73]Top Lvl  Logic'!$X$12</definedName>
    <definedName name="TL_VA_NA_10" localSheetId="10">'[18]Top Lvl  Logic'!$X$12</definedName>
    <definedName name="TL_VA_NA_10">'[23]Top Lvl  Logic'!$X$12</definedName>
    <definedName name="TL_VAL" localSheetId="4">'[73]Top Lvl  Logic'!$U$11</definedName>
    <definedName name="TL_VAL" localSheetId="3">'[73]Top Lvl  Logic'!$U$11</definedName>
    <definedName name="TL_VAL" localSheetId="2">'[73]Top Lvl  Logic'!$U$11</definedName>
    <definedName name="TL_VAL" localSheetId="5">'[73]Top Lvl  Logic'!$U$11</definedName>
    <definedName name="TL_VAL" localSheetId="6">'[73]Top Lvl  Logic'!$U$11</definedName>
    <definedName name="TL_VAL" localSheetId="7">'[73]Top Lvl  Logic'!$U$11</definedName>
    <definedName name="TL_VAL" localSheetId="8">'[73]Top Lvl  Logic'!$U$11</definedName>
    <definedName name="TL_VAL" localSheetId="9">'[73]Top Lvl  Logic'!$U$11</definedName>
    <definedName name="TL_VAL" localSheetId="10">'[18]Top Lvl  Logic'!$U$11</definedName>
    <definedName name="TL_VAL">'[23]Top Lvl  Logic'!$U$11</definedName>
    <definedName name="TL_VAL_10" localSheetId="4">'[73]Top Lvl  Logic'!$U$11</definedName>
    <definedName name="TL_VAL_10" localSheetId="3">'[73]Top Lvl  Logic'!$U$11</definedName>
    <definedName name="TL_VAL_10" localSheetId="2">'[73]Top Lvl  Logic'!$U$11</definedName>
    <definedName name="TL_VAL_10" localSheetId="5">'[73]Top Lvl  Logic'!$U$11</definedName>
    <definedName name="TL_VAL_10" localSheetId="6">'[73]Top Lvl  Logic'!$U$11</definedName>
    <definedName name="TL_VAL_10" localSheetId="7">'[73]Top Lvl  Logic'!$U$11</definedName>
    <definedName name="TL_VAL_10" localSheetId="8">'[73]Top Lvl  Logic'!$U$11</definedName>
    <definedName name="TL_VAL_10" localSheetId="9">'[73]Top Lvl  Logic'!$U$11</definedName>
    <definedName name="TL_VAL_10" localSheetId="10">'[18]Top Lvl  Logic'!$U$11</definedName>
    <definedName name="TL_VAL_10">'[23]Top Lvl  Logic'!$U$11</definedName>
    <definedName name="TL_Zst" localSheetId="4">[73]SUMMARY!$E$9</definedName>
    <definedName name="TL_Zst" localSheetId="3">[73]SUMMARY!$E$9</definedName>
    <definedName name="TL_Zst" localSheetId="2">[73]SUMMARY!$E$9</definedName>
    <definedName name="TL_Zst" localSheetId="5">[73]SUMMARY!$E$9</definedName>
    <definedName name="TL_Zst" localSheetId="6">[73]SUMMARY!$E$9</definedName>
    <definedName name="TL_Zst" localSheetId="7">[73]SUMMARY!$E$9</definedName>
    <definedName name="TL_Zst" localSheetId="8">[73]SUMMARY!$E$9</definedName>
    <definedName name="TL_Zst" localSheetId="9">[73]SUMMARY!$E$9</definedName>
    <definedName name="TL_Zst" localSheetId="10">[18]Summary!$E$9</definedName>
    <definedName name="TL_Zst">[23]Summary!$E$9</definedName>
    <definedName name="TL_Zst_10" localSheetId="4">[73]SUMMARY!$E$9</definedName>
    <definedName name="TL_Zst_10" localSheetId="3">[73]SUMMARY!$E$9</definedName>
    <definedName name="TL_Zst_10" localSheetId="2">[73]SUMMARY!$E$9</definedName>
    <definedName name="TL_Zst_10" localSheetId="5">[73]SUMMARY!$E$9</definedName>
    <definedName name="TL_Zst_10" localSheetId="6">[73]SUMMARY!$E$9</definedName>
    <definedName name="TL_Zst_10" localSheetId="7">[73]SUMMARY!$E$9</definedName>
    <definedName name="TL_Zst_10" localSheetId="8">[73]SUMMARY!$E$9</definedName>
    <definedName name="TL_Zst_10" localSheetId="9">[73]SUMMARY!$E$9</definedName>
    <definedName name="TL_Zst_10" localSheetId="10">[18]Summary!$E$9</definedName>
    <definedName name="TL_Zst_10">[23]Summary!$E$9</definedName>
    <definedName name="tmp_exExcel">'[100]NVA-300T返品リスト'!$A$1:$AA$6</definedName>
    <definedName name="Tolerance" localSheetId="4">#REF!</definedName>
    <definedName name="Tolerance" localSheetId="3">#REF!</definedName>
    <definedName name="Tolerance" localSheetId="2">#REF!</definedName>
    <definedName name="Tolerance" localSheetId="5">#REF!</definedName>
    <definedName name="Tolerance" localSheetId="6">#REF!</definedName>
    <definedName name="Tolerance" localSheetId="7">#REF!</definedName>
    <definedName name="Tolerance" localSheetId="8">#REF!</definedName>
    <definedName name="Tolerance" localSheetId="9">#REF!</definedName>
    <definedName name="Tolerance" localSheetId="10">#REF!</definedName>
    <definedName name="Tolerance" localSheetId="11">#REF!</definedName>
    <definedName name="Tolerance">#REF!</definedName>
    <definedName name="Tolerance_Range" localSheetId="4">#REF!</definedName>
    <definedName name="Tolerance_Range" localSheetId="3">#REF!</definedName>
    <definedName name="Tolerance_Range" localSheetId="2">#REF!</definedName>
    <definedName name="Tolerance_Range" localSheetId="5">#REF!</definedName>
    <definedName name="Tolerance_Range" localSheetId="6">#REF!</definedName>
    <definedName name="Tolerance_Range" localSheetId="7">#REF!</definedName>
    <definedName name="Tolerance_Range" localSheetId="8">#REF!</definedName>
    <definedName name="Tolerance_Range" localSheetId="9">#REF!</definedName>
    <definedName name="Tolerance_Range" localSheetId="10">#REF!</definedName>
    <definedName name="Tolerance_Range" localSheetId="11">#REF!</definedName>
    <definedName name="Tolerance_Range">#REF!</definedName>
    <definedName name="TOOL" localSheetId="4">#REF!</definedName>
    <definedName name="TOOL" localSheetId="3">#REF!</definedName>
    <definedName name="TOOL" localSheetId="2">#REF!</definedName>
    <definedName name="TOOL" localSheetId="5">#REF!</definedName>
    <definedName name="TOOL" localSheetId="6">#REF!</definedName>
    <definedName name="TOOL" localSheetId="7">#REF!</definedName>
    <definedName name="TOOL" localSheetId="8">#REF!</definedName>
    <definedName name="TOOL" localSheetId="9">#REF!</definedName>
    <definedName name="TOOL" localSheetId="10">#REF!</definedName>
    <definedName name="TOOL" localSheetId="11">#REF!</definedName>
    <definedName name="TOOL">#REF!</definedName>
    <definedName name="tools" localSheetId="4">#REF!</definedName>
    <definedName name="tools" localSheetId="3">#REF!</definedName>
    <definedName name="tools" localSheetId="2">#REF!</definedName>
    <definedName name="tools" localSheetId="5">#REF!</definedName>
    <definedName name="tools" localSheetId="6">#REF!</definedName>
    <definedName name="tools" localSheetId="7">#REF!</definedName>
    <definedName name="tools" localSheetId="8">#REF!</definedName>
    <definedName name="tools" localSheetId="9">#REF!</definedName>
    <definedName name="tools" localSheetId="10">#REF!</definedName>
    <definedName name="tools" localSheetId="11">#REF!</definedName>
    <definedName name="tools">#REF!</definedName>
    <definedName name="Total_Interest" localSheetId="4">#REF!</definedName>
    <definedName name="Total_Interest" localSheetId="3">#REF!</definedName>
    <definedName name="Total_Interest" localSheetId="2">#REF!</definedName>
    <definedName name="Total_Interest" localSheetId="5">#REF!</definedName>
    <definedName name="Total_Interest" localSheetId="6">#REF!</definedName>
    <definedName name="Total_Interest" localSheetId="7">#REF!</definedName>
    <definedName name="Total_Interest" localSheetId="8">#REF!</definedName>
    <definedName name="Total_Interest" localSheetId="9">#REF!</definedName>
    <definedName name="Total_Interest" localSheetId="10">#REF!</definedName>
    <definedName name="Total_Interest" localSheetId="11">#REF!</definedName>
    <definedName name="Total_Interest">#REF!</definedName>
    <definedName name="Total_Pay" localSheetId="4">#REF!</definedName>
    <definedName name="Total_Pay" localSheetId="3">#REF!</definedName>
    <definedName name="Total_Pay" localSheetId="2">#REF!</definedName>
    <definedName name="Total_Pay" localSheetId="5">#REF!</definedName>
    <definedName name="Total_Pay" localSheetId="6">#REF!</definedName>
    <definedName name="Total_Pay" localSheetId="7">#REF!</definedName>
    <definedName name="Total_Pay" localSheetId="8">#REF!</definedName>
    <definedName name="Total_Pay" localSheetId="9">#REF!</definedName>
    <definedName name="Total_Pay" localSheetId="10">#REF!</definedName>
    <definedName name="Total_Pay" localSheetId="11">#REF!</definedName>
    <definedName name="Total_Pay">#REF!</definedName>
    <definedName name="TOTAL_PLANNED_TEST_TIME" localSheetId="4">#REF!</definedName>
    <definedName name="TOTAL_PLANNED_TEST_TIME" localSheetId="3">#REF!</definedName>
    <definedName name="TOTAL_PLANNED_TEST_TIME" localSheetId="2">#REF!</definedName>
    <definedName name="TOTAL_PLANNED_TEST_TIME" localSheetId="5">#REF!</definedName>
    <definedName name="TOTAL_PLANNED_TEST_TIME" localSheetId="6">#REF!</definedName>
    <definedName name="TOTAL_PLANNED_TEST_TIME" localSheetId="7">#REF!</definedName>
    <definedName name="TOTAL_PLANNED_TEST_TIME" localSheetId="8">#REF!</definedName>
    <definedName name="TOTAL_PLANNED_TEST_TIME" localSheetId="9">#REF!</definedName>
    <definedName name="TOTAL_PLANNED_TEST_TIME" localSheetId="10">#REF!</definedName>
    <definedName name="TOTAL_PLANNED_TEST_TIME" localSheetId="11">#REF!</definedName>
    <definedName name="TOTAL_PLANNED_TEST_TIME">#REF!</definedName>
    <definedName name="TOTAL_PROG_YRS" localSheetId="4">#REF!</definedName>
    <definedName name="TOTAL_PROG_YRS" localSheetId="3">#REF!</definedName>
    <definedName name="TOTAL_PROG_YRS" localSheetId="2">#REF!</definedName>
    <definedName name="TOTAL_PROG_YRS" localSheetId="5">#REF!</definedName>
    <definedName name="TOTAL_PROG_YRS" localSheetId="6">#REF!</definedName>
    <definedName name="TOTAL_PROG_YRS" localSheetId="7">#REF!</definedName>
    <definedName name="TOTAL_PROG_YRS" localSheetId="8">#REF!</definedName>
    <definedName name="TOTAL_PROG_YRS" localSheetId="9">#REF!</definedName>
    <definedName name="TOTAL_PROG_YRS" localSheetId="10">#REF!</definedName>
    <definedName name="TOTAL_PROG_YRS" localSheetId="11">#REF!</definedName>
    <definedName name="TOTAL_PROG_YRS">#REF!</definedName>
    <definedName name="TotalCost" localSheetId="4">[71]Optimize!$L$16:$L$54</definedName>
    <definedName name="TotalCost" localSheetId="3">[71]Optimize!$L$16:$L$54</definedName>
    <definedName name="TotalCost" localSheetId="2">[71]Optimize!$L$16:$L$54</definedName>
    <definedName name="TotalCost" localSheetId="5">[71]Optimize!$L$16:$L$54</definedName>
    <definedName name="TotalCost" localSheetId="6">[71]Optimize!$L$16:$L$54</definedName>
    <definedName name="TotalCost" localSheetId="7">[71]Optimize!$L$16:$L$54</definedName>
    <definedName name="TotalCost" localSheetId="8">[71]Optimize!$L$16:$L$54</definedName>
    <definedName name="TotalCost" localSheetId="9">[71]Optimize!$L$16:$L$54</definedName>
    <definedName name="TotalCost" localSheetId="10">[10]Optimize!$L$16:$L$54</definedName>
    <definedName name="TotalCost">[18]Optimize!$L$16:$L$54</definedName>
    <definedName name="totalscrap" localSheetId="4">#REF!</definedName>
    <definedName name="totalscrap" localSheetId="3">#REF!</definedName>
    <definedName name="totalscrap" localSheetId="2">#REF!</definedName>
    <definedName name="totalscrap" localSheetId="5">#REF!</definedName>
    <definedName name="totalscrap" localSheetId="6">#REF!</definedName>
    <definedName name="totalscrap" localSheetId="7">#REF!</definedName>
    <definedName name="totalscrap" localSheetId="8">#REF!</definedName>
    <definedName name="totalscrap" localSheetId="9">#REF!</definedName>
    <definedName name="totalscrap" localSheetId="10">#REF!</definedName>
    <definedName name="totalscrap" localSheetId="11">#REF!</definedName>
    <definedName name="totalscrap">#REF!</definedName>
    <definedName name="TOUROKU" localSheetId="4">[29]WIBLE!$F$1</definedName>
    <definedName name="TOUROKU" localSheetId="3">[29]WIBLE!$F$1</definedName>
    <definedName name="TOUROKU" localSheetId="2">[29]WIBLE!$F$1</definedName>
    <definedName name="TOUROKU" localSheetId="5">[29]WIBLE!$F$1</definedName>
    <definedName name="TOUROKU" localSheetId="6">[29]WIBLE!$F$1</definedName>
    <definedName name="TOUROKU" localSheetId="7">[29]WIBLE!$F$1</definedName>
    <definedName name="TOUROKU" localSheetId="8">[29]WIBLE!$F$1</definedName>
    <definedName name="TOUROKU" localSheetId="9">[29]WIBLE!$F$1</definedName>
    <definedName name="TOUROKU" localSheetId="10">[17]WIBLE!$F$1</definedName>
    <definedName name="TOUROKU">[21]WIBLE!$F$1</definedName>
    <definedName name="TP_12_SV" localSheetId="10">[56]Refrigerants!$B$14:$C$34</definedName>
    <definedName name="TP_12_SV">[98]Refrigerants!$B$14:$C$34</definedName>
    <definedName name="TP_134_SV" localSheetId="10">[56]Refrigerants!$K$14:$L$34</definedName>
    <definedName name="TP_134_SV">[98]Refrigerants!$K$14:$L$34</definedName>
    <definedName name="TP_CRDET" localSheetId="4">#REF!</definedName>
    <definedName name="TP_CRDET" localSheetId="3">#REF!</definedName>
    <definedName name="TP_CRDET" localSheetId="2">#REF!</definedName>
    <definedName name="TP_CRDET" localSheetId="5">#REF!</definedName>
    <definedName name="TP_CRDET" localSheetId="6">#REF!</definedName>
    <definedName name="TP_CRDET" localSheetId="7">#REF!</definedName>
    <definedName name="TP_CRDET" localSheetId="8">#REF!</definedName>
    <definedName name="TP_CRDET" localSheetId="9">#REF!</definedName>
    <definedName name="TP_CRDET" localSheetId="10">#REF!</definedName>
    <definedName name="TP_CRDET" localSheetId="11">#REF!</definedName>
    <definedName name="TP_CRDET">#REF!</definedName>
    <definedName name="Tray" localSheetId="4">[37]Spec!$B$18:$F$22</definedName>
    <definedName name="Tray" localSheetId="3">[37]Spec!$B$18:$F$22</definedName>
    <definedName name="Tray" localSheetId="2">[37]Spec!$B$18:$F$22</definedName>
    <definedName name="Tray" localSheetId="5">[37]Spec!$B$18:$F$22</definedName>
    <definedName name="Tray" localSheetId="6">[37]Spec!$B$18:$F$22</definedName>
    <definedName name="Tray" localSheetId="7">[37]Spec!$B$18:$F$22</definedName>
    <definedName name="Tray" localSheetId="8">[37]Spec!$B$18:$F$22</definedName>
    <definedName name="Tray" localSheetId="9">[37]Spec!$B$18:$F$22</definedName>
    <definedName name="Tray" localSheetId="10">[22]Spec!$B$18:$F$22</definedName>
    <definedName name="Tray">[29]Spec!$B$18:$F$22</definedName>
    <definedName name="TRD" localSheetId="4">#REF!</definedName>
    <definedName name="TRD" localSheetId="3">#REF!</definedName>
    <definedName name="TRD" localSheetId="2">#REF!</definedName>
    <definedName name="TRD" localSheetId="5">#REF!</definedName>
    <definedName name="TRD" localSheetId="6">#REF!</definedName>
    <definedName name="TRD" localSheetId="7">#REF!</definedName>
    <definedName name="TRD" localSheetId="8">#REF!</definedName>
    <definedName name="TRD" localSheetId="9">#REF!</definedName>
    <definedName name="TRD" localSheetId="10">#REF!</definedName>
    <definedName name="TRD" localSheetId="11">#REF!</definedName>
    <definedName name="TRD">#REF!</definedName>
    <definedName name="TrialColumn" localSheetId="4">#REF!</definedName>
    <definedName name="TrialColumn" localSheetId="3">#REF!</definedName>
    <definedName name="TrialColumn" localSheetId="2">#REF!</definedName>
    <definedName name="TrialColumn" localSheetId="5">#REF!</definedName>
    <definedName name="TrialColumn" localSheetId="6">#REF!</definedName>
    <definedName name="TrialColumn" localSheetId="7">#REF!</definedName>
    <definedName name="TrialColumn" localSheetId="8">#REF!</definedName>
    <definedName name="TrialColumn" localSheetId="9">#REF!</definedName>
    <definedName name="TrialColumn" localSheetId="10">#REF!</definedName>
    <definedName name="TrialColumn" localSheetId="11">#REF!</definedName>
    <definedName name="TrialColumn">#REF!</definedName>
    <definedName name="triangle" localSheetId="4">#REF!</definedName>
    <definedName name="triangle" localSheetId="3">#REF!</definedName>
    <definedName name="triangle" localSheetId="2">#REF!</definedName>
    <definedName name="triangle" localSheetId="5">#REF!</definedName>
    <definedName name="triangle" localSheetId="6">#REF!</definedName>
    <definedName name="triangle" localSheetId="7">#REF!</definedName>
    <definedName name="triangle" localSheetId="8">#REF!</definedName>
    <definedName name="triangle" localSheetId="9">#REF!</definedName>
    <definedName name="triangle" localSheetId="10">#REF!</definedName>
    <definedName name="triangle" localSheetId="11">#REF!</definedName>
    <definedName name="triangle">#REF!</definedName>
    <definedName name="trisisclo" localSheetId="4" hidden="1">{#N/A,#N/A,TRUE,"Distribution";#N/A,#N/A,TRUE,"Fulfillment";#N/A,#N/A,TRUE,"Aged Backorders"}</definedName>
    <definedName name="trisisclo" localSheetId="3" hidden="1">{#N/A,#N/A,TRUE,"Distribution";#N/A,#N/A,TRUE,"Fulfillment";#N/A,#N/A,TRUE,"Aged Backorders"}</definedName>
    <definedName name="trisisclo" localSheetId="2" hidden="1">{#N/A,#N/A,TRUE,"Distribution";#N/A,#N/A,TRUE,"Fulfillment";#N/A,#N/A,TRUE,"Aged Backorders"}</definedName>
    <definedName name="trisisclo" localSheetId="8" hidden="1">{#N/A,#N/A,TRUE,"Distribution";#N/A,#N/A,TRUE,"Fulfillment";#N/A,#N/A,TRUE,"Aged Backorders"}</definedName>
    <definedName name="trisisclo" localSheetId="9" hidden="1">{#N/A,#N/A,TRUE,"Distribution";#N/A,#N/A,TRUE,"Fulfillment";#N/A,#N/A,TRUE,"Aged Backorders"}</definedName>
    <definedName name="trisisclo" localSheetId="10" hidden="1">{#N/A,#N/A,TRUE,"Distribution";#N/A,#N/A,TRUE,"Fulfillment";#N/A,#N/A,TRUE,"Aged Backorders"}</definedName>
    <definedName name="trisisclo" hidden="1">{#N/A,#N/A,TRUE,"Distribution";#N/A,#N/A,TRUE,"Fulfillment";#N/A,#N/A,TRUE,"Aged Backorders"}</definedName>
    <definedName name="TRP">'[110]URBANO P EST'!$Y$7</definedName>
    <definedName name="TRQ" localSheetId="4">#REF!</definedName>
    <definedName name="TRQ" localSheetId="3">#REF!</definedName>
    <definedName name="TRQ" localSheetId="2">#REF!</definedName>
    <definedName name="TRQ" localSheetId="5">#REF!</definedName>
    <definedName name="TRQ" localSheetId="6">#REF!</definedName>
    <definedName name="TRQ" localSheetId="7">#REF!</definedName>
    <definedName name="TRQ" localSheetId="8">#REF!</definedName>
    <definedName name="TRQ" localSheetId="9">#REF!</definedName>
    <definedName name="TRQ" localSheetId="10">#REF!</definedName>
    <definedName name="TRQ" localSheetId="11">#REF!</definedName>
    <definedName name="TRQ">#REF!</definedName>
    <definedName name="tryui" localSheetId="4" hidden="1">{#N/A,#N/A,TRUE,"Distribution";#N/A,#N/A,TRUE,"Fulfillment";#N/A,#N/A,TRUE,"Aged Backorders"}</definedName>
    <definedName name="tryui" localSheetId="3" hidden="1">{#N/A,#N/A,TRUE,"Distribution";#N/A,#N/A,TRUE,"Fulfillment";#N/A,#N/A,TRUE,"Aged Backorders"}</definedName>
    <definedName name="tryui" localSheetId="2" hidden="1">{#N/A,#N/A,TRUE,"Distribution";#N/A,#N/A,TRUE,"Fulfillment";#N/A,#N/A,TRUE,"Aged Backorders"}</definedName>
    <definedName name="tryui" localSheetId="8" hidden="1">{#N/A,#N/A,TRUE,"Distribution";#N/A,#N/A,TRUE,"Fulfillment";#N/A,#N/A,TRUE,"Aged Backorders"}</definedName>
    <definedName name="tryui" localSheetId="9" hidden="1">{#N/A,#N/A,TRUE,"Distribution";#N/A,#N/A,TRUE,"Fulfillment";#N/A,#N/A,TRUE,"Aged Backorders"}</definedName>
    <definedName name="tryui" localSheetId="10" hidden="1">{#N/A,#N/A,TRUE,"Distribution";#N/A,#N/A,TRUE,"Fulfillment";#N/A,#N/A,TRUE,"Aged Backorders"}</definedName>
    <definedName name="tryui" hidden="1">{#N/A,#N/A,TRUE,"Distribution";#N/A,#N/A,TRUE,"Fulfillment";#N/A,#N/A,TRUE,"Aged Backorders"}</definedName>
    <definedName name="TS" localSheetId="4">#REF!</definedName>
    <definedName name="TS" localSheetId="3">#REF!</definedName>
    <definedName name="TS" localSheetId="2">#REF!</definedName>
    <definedName name="TS" localSheetId="5">#REF!</definedName>
    <definedName name="TS" localSheetId="6">#REF!</definedName>
    <definedName name="TS" localSheetId="7">#REF!</definedName>
    <definedName name="TS" localSheetId="8">#REF!</definedName>
    <definedName name="TS" localSheetId="9">#REF!</definedName>
    <definedName name="TS" localSheetId="10">#REF!</definedName>
    <definedName name="TS" localSheetId="11">#REF!</definedName>
    <definedName name="TS">#REF!</definedName>
    <definedName name="TSG" localSheetId="4">#REF!</definedName>
    <definedName name="TSG" localSheetId="3">#REF!</definedName>
    <definedName name="TSG" localSheetId="2">#REF!</definedName>
    <definedName name="TSG" localSheetId="5">#REF!</definedName>
    <definedName name="TSG" localSheetId="6">#REF!</definedName>
    <definedName name="TSG" localSheetId="7">#REF!</definedName>
    <definedName name="TSG" localSheetId="8">#REF!</definedName>
    <definedName name="TSG" localSheetId="9">#REF!</definedName>
    <definedName name="TSG" localSheetId="10">#REF!</definedName>
    <definedName name="TSG" localSheetId="11">#REF!</definedName>
    <definedName name="TSG">#REF!</definedName>
    <definedName name="TSG.Reg" localSheetId="4">#REF!</definedName>
    <definedName name="TSG.Reg" localSheetId="3">#REF!</definedName>
    <definedName name="TSG.Reg" localSheetId="2">#REF!</definedName>
    <definedName name="TSG.Reg" localSheetId="5">#REF!</definedName>
    <definedName name="TSG.Reg" localSheetId="6">#REF!</definedName>
    <definedName name="TSG.Reg" localSheetId="7">#REF!</definedName>
    <definedName name="TSG.Reg" localSheetId="8">#REF!</definedName>
    <definedName name="TSG.Reg" localSheetId="9">#REF!</definedName>
    <definedName name="TSG.Reg" localSheetId="10">#REF!</definedName>
    <definedName name="TSG.Reg" localSheetId="11">#REF!</definedName>
    <definedName name="TSG.Reg">#REF!</definedName>
    <definedName name="TSGa" localSheetId="4">#REF!</definedName>
    <definedName name="TSGa" localSheetId="3">#REF!</definedName>
    <definedName name="TSGa" localSheetId="2">#REF!</definedName>
    <definedName name="TSGa" localSheetId="5">#REF!</definedName>
    <definedName name="TSGa" localSheetId="6">#REF!</definedName>
    <definedName name="TSGa" localSheetId="7">#REF!</definedName>
    <definedName name="TSGa" localSheetId="8">#REF!</definedName>
    <definedName name="TSGa" localSheetId="9">#REF!</definedName>
    <definedName name="TSGa" localSheetId="10">#REF!</definedName>
    <definedName name="TSGa" localSheetId="11">#REF!</definedName>
    <definedName name="TSGa">#REF!</definedName>
    <definedName name="TSGame" localSheetId="4">#REF!</definedName>
    <definedName name="TSGame" localSheetId="3">#REF!</definedName>
    <definedName name="TSGame" localSheetId="2">#REF!</definedName>
    <definedName name="TSGame" localSheetId="5">#REF!</definedName>
    <definedName name="TSGame" localSheetId="6">#REF!</definedName>
    <definedName name="TSGame" localSheetId="7">#REF!</definedName>
    <definedName name="TSGame" localSheetId="8">#REF!</definedName>
    <definedName name="TSGame" localSheetId="9">#REF!</definedName>
    <definedName name="TSGame" localSheetId="10">#REF!</definedName>
    <definedName name="TSGame" localSheetId="11">#REF!</definedName>
    <definedName name="TSGame">#REF!</definedName>
    <definedName name="TSGe" localSheetId="4">#REF!</definedName>
    <definedName name="TSGe" localSheetId="3">#REF!</definedName>
    <definedName name="TSGe" localSheetId="2">#REF!</definedName>
    <definedName name="TSGe" localSheetId="5">#REF!</definedName>
    <definedName name="TSGe" localSheetId="6">#REF!</definedName>
    <definedName name="TSGe" localSheetId="7">#REF!</definedName>
    <definedName name="TSGe" localSheetId="8">#REF!</definedName>
    <definedName name="TSGe" localSheetId="9">#REF!</definedName>
    <definedName name="TSGe" localSheetId="10">#REF!</definedName>
    <definedName name="TSGe" localSheetId="11">#REF!</definedName>
    <definedName name="TSGe">#REF!</definedName>
    <definedName name="TSGo" localSheetId="4">[76]OGSum!$A$7</definedName>
    <definedName name="TSGo" localSheetId="3">[76]OGSum!$A$7</definedName>
    <definedName name="TSGo" localSheetId="2">[76]OGSum!$A$7</definedName>
    <definedName name="TSGo" localSheetId="5">[76]OGSum!$A$7</definedName>
    <definedName name="TSGo" localSheetId="6">[76]OGSum!$A$7</definedName>
    <definedName name="TSGo" localSheetId="7">[76]OGSum!$A$7</definedName>
    <definedName name="TSGo" localSheetId="10">[25]OGSum!$A$7</definedName>
    <definedName name="TSGo">[32]OGSum!$A$7</definedName>
    <definedName name="TSGw" localSheetId="4">#REF!</definedName>
    <definedName name="TSGw" localSheetId="3">#REF!</definedName>
    <definedName name="TSGw" localSheetId="2">#REF!</definedName>
    <definedName name="TSGw" localSheetId="5">#REF!</definedName>
    <definedName name="TSGw" localSheetId="6">#REF!</definedName>
    <definedName name="TSGw" localSheetId="7">#REF!</definedName>
    <definedName name="TSGw" localSheetId="8">#REF!</definedName>
    <definedName name="TSGw" localSheetId="9">#REF!</definedName>
    <definedName name="TSGw" localSheetId="10">#REF!</definedName>
    <definedName name="TSGw" localSheetId="11">#REF!</definedName>
    <definedName name="TSGw">#REF!</definedName>
    <definedName name="TSS" localSheetId="4">#REF!</definedName>
    <definedName name="TSS" localSheetId="3">#REF!</definedName>
    <definedName name="TSS" localSheetId="2">#REF!</definedName>
    <definedName name="TSS" localSheetId="5">#REF!</definedName>
    <definedName name="TSS" localSheetId="6">#REF!</definedName>
    <definedName name="TSS" localSheetId="7">#REF!</definedName>
    <definedName name="TSS" localSheetId="8">#REF!</definedName>
    <definedName name="TSS" localSheetId="9">#REF!</definedName>
    <definedName name="TSS" localSheetId="10">#REF!</definedName>
    <definedName name="TSS" localSheetId="11">#REF!</definedName>
    <definedName name="TSS">#REF!</definedName>
    <definedName name="tttttttt" localSheetId="4" hidden="1">{#N/A,#N/A,TRUE,"Distribution";#N/A,#N/A,TRUE,"Fulfillment";#N/A,#N/A,TRUE,"Aged Backorders"}</definedName>
    <definedName name="tttttttt" localSheetId="3" hidden="1">{#N/A,#N/A,TRUE,"Distribution";#N/A,#N/A,TRUE,"Fulfillment";#N/A,#N/A,TRUE,"Aged Backorders"}</definedName>
    <definedName name="tttttttt" localSheetId="2" hidden="1">{#N/A,#N/A,TRUE,"Distribution";#N/A,#N/A,TRUE,"Fulfillment";#N/A,#N/A,TRUE,"Aged Backorders"}</definedName>
    <definedName name="tttttttt" localSheetId="8" hidden="1">{#N/A,#N/A,TRUE,"Distribution";#N/A,#N/A,TRUE,"Fulfillment";#N/A,#N/A,TRUE,"Aged Backorders"}</definedName>
    <definedName name="tttttttt" localSheetId="9" hidden="1">{#N/A,#N/A,TRUE,"Distribution";#N/A,#N/A,TRUE,"Fulfillment";#N/A,#N/A,TRUE,"Aged Backorders"}</definedName>
    <definedName name="tttttttt" localSheetId="10" hidden="1">{#N/A,#N/A,TRUE,"Distribution";#N/A,#N/A,TRUE,"Fulfillment";#N/A,#N/A,TRUE,"Aged Backorders"}</definedName>
    <definedName name="tttttttt" hidden="1">{#N/A,#N/A,TRUE,"Distribution";#N/A,#N/A,TRUE,"Fulfillment";#N/A,#N/A,TRUE,"Aged Backorders"}</definedName>
    <definedName name="tttttttttttttttttttttttttt" localSheetId="4" hidden="1">{#N/A,#N/A,TRUE,"Distribution";#N/A,#N/A,TRUE,"Fulfillment";#N/A,#N/A,TRUE,"Aged Backorders"}</definedName>
    <definedName name="tttttttttttttttttttttttttt" localSheetId="3" hidden="1">{#N/A,#N/A,TRUE,"Distribution";#N/A,#N/A,TRUE,"Fulfillment";#N/A,#N/A,TRUE,"Aged Backorders"}</definedName>
    <definedName name="tttttttttttttttttttttttttt" localSheetId="2" hidden="1">{#N/A,#N/A,TRUE,"Distribution";#N/A,#N/A,TRUE,"Fulfillment";#N/A,#N/A,TRUE,"Aged Backorders"}</definedName>
    <definedName name="tttttttttttttttttttttttttt" localSheetId="8" hidden="1">{#N/A,#N/A,TRUE,"Distribution";#N/A,#N/A,TRUE,"Fulfillment";#N/A,#N/A,TRUE,"Aged Backorders"}</definedName>
    <definedName name="tttttttttttttttttttttttttt" localSheetId="9" hidden="1">{#N/A,#N/A,TRUE,"Distribution";#N/A,#N/A,TRUE,"Fulfillment";#N/A,#N/A,TRUE,"Aged Backorders"}</definedName>
    <definedName name="tttttttttttttttttttttttttt" localSheetId="10" hidden="1">{#N/A,#N/A,TRUE,"Distribution";#N/A,#N/A,TRUE,"Fulfillment";#N/A,#N/A,TRUE,"Aged Backorders"}</definedName>
    <definedName name="tttttttttttttttttttttttttt" hidden="1">{#N/A,#N/A,TRUE,"Distribution";#N/A,#N/A,TRUE,"Fulfillment";#N/A,#N/A,TRUE,"Aged Backorders"}</definedName>
    <definedName name="TVL_0020_R_1B" localSheetId="4">#REF!</definedName>
    <definedName name="TVL_0020_R_1B" localSheetId="3">#REF!</definedName>
    <definedName name="TVL_0020_R_1B" localSheetId="2">#REF!</definedName>
    <definedName name="TVL_0020_R_1B" localSheetId="5">#REF!</definedName>
    <definedName name="TVL_0020_R_1B" localSheetId="6">#REF!</definedName>
    <definedName name="TVL_0020_R_1B" localSheetId="7">#REF!</definedName>
    <definedName name="TVL_0020_R_1B" localSheetId="8">#REF!</definedName>
    <definedName name="TVL_0020_R_1B" localSheetId="9">#REF!</definedName>
    <definedName name="TVL_0020_R_1B" localSheetId="10">#REF!</definedName>
    <definedName name="TVL_0020_R_1B" localSheetId="11">#REF!</definedName>
    <definedName name="TVL_0020_R_1B">#REF!</definedName>
    <definedName name="tVP" localSheetId="4">#REF!</definedName>
    <definedName name="tVP" localSheetId="3">#REF!</definedName>
    <definedName name="tVP" localSheetId="2">#REF!</definedName>
    <definedName name="tVP" localSheetId="5">#REF!</definedName>
    <definedName name="tVP" localSheetId="6">#REF!</definedName>
    <definedName name="tVP" localSheetId="7">#REF!</definedName>
    <definedName name="tVP" localSheetId="8">#REF!</definedName>
    <definedName name="tVP" localSheetId="9">#REF!</definedName>
    <definedName name="tVP" localSheetId="10">#REF!</definedName>
    <definedName name="tVP" localSheetId="11">#REF!</definedName>
    <definedName name="tVP">#REF!</definedName>
    <definedName name="TwoMonthsBack" localSheetId="4">#REF!</definedName>
    <definedName name="TwoMonthsBack" localSheetId="3">#REF!</definedName>
    <definedName name="TwoMonthsBack" localSheetId="2">#REF!</definedName>
    <definedName name="TwoMonthsBack" localSheetId="5">#REF!</definedName>
    <definedName name="TwoMonthsBack" localSheetId="6">#REF!</definedName>
    <definedName name="TwoMonthsBack" localSheetId="7">#REF!</definedName>
    <definedName name="TwoMonthsBack" localSheetId="8">#REF!</definedName>
    <definedName name="TwoMonthsBack" localSheetId="9">#REF!</definedName>
    <definedName name="TwoMonthsBack" localSheetId="10">#REF!</definedName>
    <definedName name="TwoMonthsBack" localSheetId="11">#REF!</definedName>
    <definedName name="TwoMonthsBack">#REF!</definedName>
    <definedName name="TXL">#N/A</definedName>
    <definedName name="ty" localSheetId="4">#REF!</definedName>
    <definedName name="ty" localSheetId="3">#REF!</definedName>
    <definedName name="ty" localSheetId="2">#REF!</definedName>
    <definedName name="ty" localSheetId="5">#REF!</definedName>
    <definedName name="ty" localSheetId="6">#REF!</definedName>
    <definedName name="ty" localSheetId="7">#REF!</definedName>
    <definedName name="ty" localSheetId="8">#REF!</definedName>
    <definedName name="ty" localSheetId="9">#REF!</definedName>
    <definedName name="ty" localSheetId="10">#REF!</definedName>
    <definedName name="ty" localSheetId="11">#REF!</definedName>
    <definedName name="ty">#REF!</definedName>
    <definedName name="Type" localSheetId="4">[46]EPR!$O$1:$O$8</definedName>
    <definedName name="Type" localSheetId="3">[46]EPR!$O$1:$O$8</definedName>
    <definedName name="Type" localSheetId="2">[46]EPR!$O$1:$O$8</definedName>
    <definedName name="Type" localSheetId="5">[46]EPR!$O$1:$O$8</definedName>
    <definedName name="Type" localSheetId="6">[46]EPR!$O$1:$O$8</definedName>
    <definedName name="Type" localSheetId="7">[46]EPR!$O$1:$O$8</definedName>
    <definedName name="Type" localSheetId="8">[46]EPR!$O$1:$O$8</definedName>
    <definedName name="Type" localSheetId="9">[46]EPR!$O$1:$O$8</definedName>
    <definedName name="Type" localSheetId="10">[88]EPR!$O$1:$O$8</definedName>
    <definedName name="Type">[35]EPR!$O$1:$O$8</definedName>
    <definedName name="TYU" localSheetId="4">#REF!</definedName>
    <definedName name="TYU" localSheetId="3">#REF!</definedName>
    <definedName name="TYU" localSheetId="2">#REF!</definedName>
    <definedName name="TYU" localSheetId="5">#REF!</definedName>
    <definedName name="TYU" localSheetId="6">#REF!</definedName>
    <definedName name="TYU" localSheetId="7">#REF!</definedName>
    <definedName name="TYU" localSheetId="8">#REF!</definedName>
    <definedName name="TYU" localSheetId="9">#REF!</definedName>
    <definedName name="TYU" localSheetId="10">#REF!</definedName>
    <definedName name="TYU" localSheetId="11">#REF!</definedName>
    <definedName name="TYU">#REF!</definedName>
    <definedName name="UAF_VP" localSheetId="4">#REF!</definedName>
    <definedName name="UAF_VP" localSheetId="3">#REF!</definedName>
    <definedName name="UAF_VP" localSheetId="2">#REF!</definedName>
    <definedName name="UAF_VP" localSheetId="5">#REF!</definedName>
    <definedName name="UAF_VP" localSheetId="6">#REF!</definedName>
    <definedName name="UAF_VP" localSheetId="7">#REF!</definedName>
    <definedName name="UAF_VP" localSheetId="8">#REF!</definedName>
    <definedName name="UAF_VP" localSheetId="9">#REF!</definedName>
    <definedName name="UAF_VP" localSheetId="10">#REF!</definedName>
    <definedName name="UAF_VP" localSheetId="11">#REF!</definedName>
    <definedName name="UAF_VP">#REF!</definedName>
    <definedName name="UAFoam" localSheetId="4">#REF!</definedName>
    <definedName name="UAFoam" localSheetId="3">#REF!</definedName>
    <definedName name="UAFoam" localSheetId="2">#REF!</definedName>
    <definedName name="UAFoam" localSheetId="5">#REF!</definedName>
    <definedName name="UAFoam" localSheetId="6">#REF!</definedName>
    <definedName name="UAFoam" localSheetId="7">#REF!</definedName>
    <definedName name="UAFoam" localSheetId="8">#REF!</definedName>
    <definedName name="UAFoam" localSheetId="9">#REF!</definedName>
    <definedName name="UAFoam" localSheetId="10">#REF!</definedName>
    <definedName name="UAFoam" localSheetId="11">#REF!</definedName>
    <definedName name="UAFoam">#REF!</definedName>
    <definedName name="UBS" localSheetId="4">#REF!</definedName>
    <definedName name="UBS" localSheetId="3">#REF!</definedName>
    <definedName name="UBS" localSheetId="2">#REF!</definedName>
    <definedName name="UBS" localSheetId="5">#REF!</definedName>
    <definedName name="UBS" localSheetId="6">#REF!</definedName>
    <definedName name="UBS" localSheetId="7">#REF!</definedName>
    <definedName name="UBS" localSheetId="8">#REF!</definedName>
    <definedName name="UBS" localSheetId="9">#REF!</definedName>
    <definedName name="UBS" localSheetId="10">#REF!</definedName>
    <definedName name="UBS" localSheetId="11">#REF!</definedName>
    <definedName name="UBS">#REF!</definedName>
    <definedName name="UCL" localSheetId="4">#REF!</definedName>
    <definedName name="UCL" localSheetId="3">#REF!</definedName>
    <definedName name="UCL" localSheetId="2">#REF!</definedName>
    <definedName name="UCL" localSheetId="5">#REF!</definedName>
    <definedName name="UCL" localSheetId="6">#REF!</definedName>
    <definedName name="UCL" localSheetId="7">#REF!</definedName>
    <definedName name="UCL" localSheetId="8">#REF!</definedName>
    <definedName name="UCL" localSheetId="9">#REF!</definedName>
    <definedName name="UCL" localSheetId="10">#REF!</definedName>
    <definedName name="UCL" localSheetId="11">#REF!</definedName>
    <definedName name="UCL">#REF!</definedName>
    <definedName name="UCLR" localSheetId="4">#REF!</definedName>
    <definedName name="UCLR" localSheetId="3">#REF!</definedName>
    <definedName name="UCLR" localSheetId="2">#REF!</definedName>
    <definedName name="UCLR" localSheetId="5">#REF!</definedName>
    <definedName name="UCLR" localSheetId="6">#REF!</definedName>
    <definedName name="UCLR" localSheetId="7">#REF!</definedName>
    <definedName name="UCLR" localSheetId="8">#REF!</definedName>
    <definedName name="UCLR" localSheetId="9">#REF!</definedName>
    <definedName name="UCLR" localSheetId="10">#REF!</definedName>
    <definedName name="UCLR" localSheetId="11">#REF!</definedName>
    <definedName name="UCLR">#REF!</definedName>
    <definedName name="UF_VP" localSheetId="4">#REF!</definedName>
    <definedName name="UF_VP" localSheetId="3">#REF!</definedName>
    <definedName name="UF_VP" localSheetId="2">#REF!</definedName>
    <definedName name="UF_VP" localSheetId="5">#REF!</definedName>
    <definedName name="UF_VP" localSheetId="6">#REF!</definedName>
    <definedName name="UF_VP" localSheetId="7">#REF!</definedName>
    <definedName name="UF_VP" localSheetId="8">#REF!</definedName>
    <definedName name="UF_VP" localSheetId="9">#REF!</definedName>
    <definedName name="UF_VP" localSheetId="10">#REF!</definedName>
    <definedName name="UF_VP" localSheetId="11">#REF!</definedName>
    <definedName name="UF_VP">#REF!</definedName>
    <definedName name="UFoam" localSheetId="4">#REF!</definedName>
    <definedName name="UFoam" localSheetId="3">#REF!</definedName>
    <definedName name="UFoam" localSheetId="2">#REF!</definedName>
    <definedName name="UFoam" localSheetId="5">#REF!</definedName>
    <definedName name="UFoam" localSheetId="6">#REF!</definedName>
    <definedName name="UFoam" localSheetId="7">#REF!</definedName>
    <definedName name="UFoam" localSheetId="8">#REF!</definedName>
    <definedName name="UFoam" localSheetId="9">#REF!</definedName>
    <definedName name="UFoam" localSheetId="10">#REF!</definedName>
    <definedName name="UFoam" localSheetId="11">#REF!</definedName>
    <definedName name="UFoam">#REF!</definedName>
    <definedName name="Unit_Years_Week" localSheetId="4">#REF!</definedName>
    <definedName name="Unit_Years_Week" localSheetId="3">#REF!</definedName>
    <definedName name="Unit_Years_Week" localSheetId="2">#REF!</definedName>
    <definedName name="Unit_Years_Week" localSheetId="5">#REF!</definedName>
    <definedName name="Unit_Years_Week" localSheetId="6">#REF!</definedName>
    <definedName name="Unit_Years_Week" localSheetId="7">#REF!</definedName>
    <definedName name="Unit_Years_Week" localSheetId="8">#REF!</definedName>
    <definedName name="Unit_Years_Week" localSheetId="9">#REF!</definedName>
    <definedName name="Unit_Years_Week" localSheetId="10">#REF!</definedName>
    <definedName name="Unit_Years_Week" localSheetId="11">#REF!</definedName>
    <definedName name="Unit_Years_Week">#REF!</definedName>
    <definedName name="upper_spec" localSheetId="4">#REF!</definedName>
    <definedName name="upper_spec" localSheetId="3">#REF!</definedName>
    <definedName name="upper_spec" localSheetId="2">#REF!</definedName>
    <definedName name="upper_spec" localSheetId="5">#REF!</definedName>
    <definedName name="upper_spec" localSheetId="6">#REF!</definedName>
    <definedName name="upper_spec" localSheetId="7">#REF!</definedName>
    <definedName name="upper_spec" localSheetId="8">#REF!</definedName>
    <definedName name="upper_spec" localSheetId="9">#REF!</definedName>
    <definedName name="upper_spec" localSheetId="10">#REF!</definedName>
    <definedName name="upper_spec" localSheetId="11">#REF!</definedName>
    <definedName name="upper_spec">#REF!</definedName>
    <definedName name="USD">'[62]UPPER BLOCK'!#REF!</definedName>
    <definedName name="v" localSheetId="4">#REF!</definedName>
    <definedName name="v" localSheetId="3">#REF!</definedName>
    <definedName name="v" localSheetId="2">#REF!</definedName>
    <definedName name="v" localSheetId="5">#REF!</definedName>
    <definedName name="v" localSheetId="6">#REF!</definedName>
    <definedName name="v" localSheetId="7">#REF!</definedName>
    <definedName name="v" localSheetId="8">#REF!</definedName>
    <definedName name="v" localSheetId="9">#REF!</definedName>
    <definedName name="v" localSheetId="10">#REF!</definedName>
    <definedName name="v" localSheetId="11">#REF!</definedName>
    <definedName name="v">#REF!</definedName>
    <definedName name="V_12">!G1</definedName>
    <definedName name="V04_" localSheetId="4">#REF!</definedName>
    <definedName name="V04_" localSheetId="3">#REF!</definedName>
    <definedName name="V04_" localSheetId="2">#REF!</definedName>
    <definedName name="V04_" localSheetId="5">#REF!</definedName>
    <definedName name="V04_" localSheetId="6">#REF!</definedName>
    <definedName name="V04_" localSheetId="7">#REF!</definedName>
    <definedName name="V04_" localSheetId="8">#REF!</definedName>
    <definedName name="V04_" localSheetId="9">#REF!</definedName>
    <definedName name="V04_" localSheetId="10">#REF!</definedName>
    <definedName name="V04_" localSheetId="11">#REF!</definedName>
    <definedName name="V04_">#REF!</definedName>
    <definedName name="V05_" localSheetId="4">#REF!</definedName>
    <definedName name="V05_" localSheetId="3">#REF!</definedName>
    <definedName name="V05_" localSheetId="2">#REF!</definedName>
    <definedName name="V05_" localSheetId="5">#REF!</definedName>
    <definedName name="V05_" localSheetId="6">#REF!</definedName>
    <definedName name="V05_" localSheetId="7">#REF!</definedName>
    <definedName name="V05_" localSheetId="8">#REF!</definedName>
    <definedName name="V05_" localSheetId="9">#REF!</definedName>
    <definedName name="V05_" localSheetId="10">#REF!</definedName>
    <definedName name="V05_" localSheetId="11">#REF!</definedName>
    <definedName name="V05_">#REF!</definedName>
    <definedName name="V06_" localSheetId="4">#REF!</definedName>
    <definedName name="V06_" localSheetId="3">#REF!</definedName>
    <definedName name="V06_" localSheetId="2">#REF!</definedName>
    <definedName name="V06_" localSheetId="5">#REF!</definedName>
    <definedName name="V06_" localSheetId="6">#REF!</definedName>
    <definedName name="V06_" localSheetId="7">#REF!</definedName>
    <definedName name="V06_" localSheetId="8">#REF!</definedName>
    <definedName name="V06_" localSheetId="9">#REF!</definedName>
    <definedName name="V06_" localSheetId="10">#REF!</definedName>
    <definedName name="V06_" localSheetId="11">#REF!</definedName>
    <definedName name="V06_">#REF!</definedName>
    <definedName name="V07_" localSheetId="4">#REF!</definedName>
    <definedName name="V07_" localSheetId="3">#REF!</definedName>
    <definedName name="V07_" localSheetId="2">#REF!</definedName>
    <definedName name="V07_" localSheetId="5">#REF!</definedName>
    <definedName name="V07_" localSheetId="6">#REF!</definedName>
    <definedName name="V07_" localSheetId="7">#REF!</definedName>
    <definedName name="V07_" localSheetId="8">#REF!</definedName>
    <definedName name="V07_" localSheetId="9">#REF!</definedName>
    <definedName name="V07_" localSheetId="10">#REF!</definedName>
    <definedName name="V07_" localSheetId="11">#REF!</definedName>
    <definedName name="V07_">#REF!</definedName>
    <definedName name="V08_" localSheetId="4">#REF!</definedName>
    <definedName name="V08_" localSheetId="3">#REF!</definedName>
    <definedName name="V08_" localSheetId="2">#REF!</definedName>
    <definedName name="V08_" localSheetId="5">#REF!</definedName>
    <definedName name="V08_" localSheetId="6">#REF!</definedName>
    <definedName name="V08_" localSheetId="7">#REF!</definedName>
    <definedName name="V08_" localSheetId="8">#REF!</definedName>
    <definedName name="V08_" localSheetId="9">#REF!</definedName>
    <definedName name="V08_" localSheetId="10">#REF!</definedName>
    <definedName name="V08_" localSheetId="11">#REF!</definedName>
    <definedName name="V08_">#REF!</definedName>
    <definedName name="V75_" localSheetId="4">#REF!</definedName>
    <definedName name="V75_" localSheetId="3">#REF!</definedName>
    <definedName name="V75_" localSheetId="2">#REF!</definedName>
    <definedName name="V75_" localSheetId="5">#REF!</definedName>
    <definedName name="V75_" localSheetId="6">#REF!</definedName>
    <definedName name="V75_" localSheetId="7">#REF!</definedName>
    <definedName name="V75_" localSheetId="8">#REF!</definedName>
    <definedName name="V75_" localSheetId="9">#REF!</definedName>
    <definedName name="V75_" localSheetId="10">#REF!</definedName>
    <definedName name="V75_" localSheetId="11">#REF!</definedName>
    <definedName name="V75_">#REF!</definedName>
    <definedName name="V78_" localSheetId="4">#REF!</definedName>
    <definedName name="V78_" localSheetId="3">#REF!</definedName>
    <definedName name="V78_" localSheetId="2">#REF!</definedName>
    <definedName name="V78_" localSheetId="5">#REF!</definedName>
    <definedName name="V78_" localSheetId="6">#REF!</definedName>
    <definedName name="V78_" localSheetId="7">#REF!</definedName>
    <definedName name="V78_" localSheetId="8">#REF!</definedName>
    <definedName name="V78_" localSheetId="9">#REF!</definedName>
    <definedName name="V78_" localSheetId="10">#REF!</definedName>
    <definedName name="V78_" localSheetId="11">#REF!</definedName>
    <definedName name="V78_">#REF!</definedName>
    <definedName name="V95_" localSheetId="4">#REF!</definedName>
    <definedName name="V95_" localSheetId="3">#REF!</definedName>
    <definedName name="V95_" localSheetId="2">#REF!</definedName>
    <definedName name="V95_" localSheetId="5">#REF!</definedName>
    <definedName name="V95_" localSheetId="6">#REF!</definedName>
    <definedName name="V95_" localSheetId="7">#REF!</definedName>
    <definedName name="V95_" localSheetId="8">#REF!</definedName>
    <definedName name="V95_" localSheetId="9">#REF!</definedName>
    <definedName name="V95_" localSheetId="10">#REF!</definedName>
    <definedName name="V95_" localSheetId="11">#REF!</definedName>
    <definedName name="V95_">#REF!</definedName>
    <definedName name="VAÄT_LIEÄU">"ATRAM"</definedName>
    <definedName name="ValidBOMRange" localSheetId="4">#REF!</definedName>
    <definedName name="ValidBOMRange" localSheetId="3">#REF!</definedName>
    <definedName name="ValidBOMRange" localSheetId="2">#REF!</definedName>
    <definedName name="ValidBOMRange" localSheetId="5">#REF!</definedName>
    <definedName name="ValidBOMRange" localSheetId="6">#REF!</definedName>
    <definedName name="ValidBOMRange" localSheetId="7">#REF!</definedName>
    <definedName name="ValidBOMRange" localSheetId="8">#REF!</definedName>
    <definedName name="ValidBOMRange" localSheetId="9">#REF!</definedName>
    <definedName name="ValidBOMRange" localSheetId="10">#REF!</definedName>
    <definedName name="ValidBOMRange" localSheetId="11">#REF!</definedName>
    <definedName name="ValidBOMRange">#REF!</definedName>
    <definedName name="ValidMaterialDatabaseC">'[111]MTL1'!$C$4:$E$500</definedName>
    <definedName name="Value" localSheetId="4">[56]Chart!$A$19:$A$39</definedName>
    <definedName name="Value" localSheetId="3">[56]Chart!$A$19:$A$39</definedName>
    <definedName name="Value" localSheetId="2">[56]Chart!$A$19:$A$39</definedName>
    <definedName name="Value" localSheetId="5">[56]Chart!$A$19:$A$39</definedName>
    <definedName name="Value" localSheetId="6">[56]Chart!$A$19:$A$39</definedName>
    <definedName name="Value" localSheetId="7">[56]Chart!$A$19:$A$39</definedName>
    <definedName name="Value" localSheetId="8">[56]Chart!$A$19:$A$39</definedName>
    <definedName name="Value" localSheetId="9">[56]Chart!$A$19:$A$39</definedName>
    <definedName name="Value" localSheetId="10">[34]Chart!$A$19:$A$39</definedName>
    <definedName name="Value">[44]Chart!$A$19:$A$39</definedName>
    <definedName name="Values_Entered" localSheetId="4">IF('25年厨电费用指标到月测算汇总表'!Loan_Amount*'25年厨电费用指标到月测算汇总表'!Interest_Rate*'25年厨电费用指标到月测算汇总表'!Loan_Years*'25年厨电费用指标到月测算汇总表'!Loan_Start&gt;0,1,0)</definedName>
    <definedName name="Values_Entered" localSheetId="3">IF('25年厨电费用指标到月测算汇总表  (2)'!Loan_Amount*'25年厨电费用指标到月测算汇总表  (2)'!Interest_Rate*'25年厨电费用指标到月测算汇总表  (2)'!Loan_Years*'25年厨电费用指标到月测算汇总表  (2)'!Loan_Start&gt;0,1,0)</definedName>
    <definedName name="Values_Entered" localSheetId="2">IF('26年厨电费用指标到月测算汇总表 '!Loan_Amount*'26年厨电费用指标到月测算汇总表 '!Interest_Rate*'26年厨电费用指标到月测算汇总表 '!Loan_Years*'26年厨电费用指标到月测算汇总表 '!Loan_Start&gt;0,1,0)</definedName>
    <definedName name="Values_Entered" localSheetId="0">IF(Loan_Amount*Interest_Rate*Loan_Years*Loan_Start&gt;0,1,0)</definedName>
    <definedName name="Values_Entered" localSheetId="5">IF('厨电1月 '!Loan_Amount*'厨电1月 '!Interest_Rate*'厨电1月 '!Loan_Years*'厨电1月 '!Loan_Start&gt;0,1,0)</definedName>
    <definedName name="Values_Entered" localSheetId="6">IF('厨电2月 '!Loan_Amount*'厨电2月 '!Interest_Rate*'厨电2月 '!Loan_Years*'厨电2月 '!Loan_Start&gt;0,1,0)</definedName>
    <definedName name="Values_Entered" localSheetId="7">IF(厨电3月!Loan_Amount*厨电3月!Interest_Rate*厨电3月!Loan_Years*厨电3月!Loan_Start&gt;0,1,0)</definedName>
    <definedName name="Values_Entered" localSheetId="8">IF(厨电4月!Loan_Amount*厨电4月!Interest_Rate*厨电4月!Loan_Years*厨电4月!Loan_Start&gt;0,1,0)</definedName>
    <definedName name="Values_Entered" localSheetId="9">IF('厨电5月 '!Loan_Amount*'厨电5月 '!Interest_Rate*'厨电5月 '!Loan_Years*'厨电5月 '!Loan_Start&gt;0,1,0)</definedName>
    <definedName name="Values_Entered" localSheetId="10">IF(厨电6月!Loan_Amount*厨电6月!Interest_Rate*厨电6月!Loan_Years*厨电6月!Loan_Start&gt;0,1,0)</definedName>
    <definedName name="Values_Entered" localSheetId="11">IF('降费项目厨电 '!Loan_Amount*'降费项目厨电 '!Interest_Rate*'降费项目厨电 '!Loan_Years*'降费项目厨电 '!Loan_Start&gt;0,1,0)</definedName>
    <definedName name="Values_Entered">IF(Loan_Amount*Interest_Rate*Loan_Years*Loan_Start&gt;0,1,0)</definedName>
    <definedName name="vb" localSheetId="4">#REF!</definedName>
    <definedName name="vb" localSheetId="3">#REF!</definedName>
    <definedName name="vb" localSheetId="2">#REF!</definedName>
    <definedName name="vb" localSheetId="5">#REF!</definedName>
    <definedName name="vb" localSheetId="6">#REF!</definedName>
    <definedName name="vb" localSheetId="7">#REF!</definedName>
    <definedName name="vb" localSheetId="8">#REF!</definedName>
    <definedName name="vb" localSheetId="9">#REF!</definedName>
    <definedName name="vb" localSheetId="10">#REF!</definedName>
    <definedName name="vb" localSheetId="11">#REF!</definedName>
    <definedName name="vb">#REF!</definedName>
    <definedName name="vbn" localSheetId="4">#REF!</definedName>
    <definedName name="vbn" localSheetId="3">#REF!</definedName>
    <definedName name="vbn" localSheetId="2">#REF!</definedName>
    <definedName name="vbn" localSheetId="5">#REF!</definedName>
    <definedName name="vbn" localSheetId="6">#REF!</definedName>
    <definedName name="vbn" localSheetId="7">#REF!</definedName>
    <definedName name="vbn" localSheetId="8">#REF!</definedName>
    <definedName name="vbn" localSheetId="9">#REF!</definedName>
    <definedName name="vbn" localSheetId="10">#REF!</definedName>
    <definedName name="vbn" localSheetId="11">#REF!</definedName>
    <definedName name="vbn">#REF!</definedName>
    <definedName name="vcplq302">'[110]Comet Q202 Flash'!$A:$IV</definedName>
    <definedName name="vcplq302_col_match">'[110]Comet Q202 Flash'!$A$2:$IV$2</definedName>
    <definedName name="vcplq302_row_match">'[110]Comet Q202 Flash'!$A$1:$A$65536</definedName>
    <definedName name="vendor" localSheetId="5">[53]供应商!$A$1:$B$68</definedName>
    <definedName name="vendor" localSheetId="6">[53]供应商!$A$1:$B$68</definedName>
    <definedName name="vendor" localSheetId="7">[53]供应商!$A$1:$B$68</definedName>
    <definedName name="vendor" localSheetId="8">[53]供应商!$A$1:$B$68</definedName>
    <definedName name="vendor" localSheetId="9">[53]供应商!$A$1:$B$68</definedName>
    <definedName name="vendor" localSheetId="10">[74]供应商!$A$1:$B$68</definedName>
    <definedName name="vendor">[41]供应商!$A$1:$B$68</definedName>
    <definedName name="Ver.">[76]產品基本信息!$B$3</definedName>
    <definedName name="Version" localSheetId="5">[46]Contents!$G$2</definedName>
    <definedName name="Version" localSheetId="6">[46]Contents!$G$2</definedName>
    <definedName name="Version" localSheetId="7">[46]Contents!$G$2</definedName>
    <definedName name="Version" localSheetId="8">[46]Contents!$G$2</definedName>
    <definedName name="Version" localSheetId="9">[46]Contents!$G$2</definedName>
    <definedName name="Version" localSheetId="10">[88]Contents!$G$2</definedName>
    <definedName name="Version">[35]Contents!$G$2</definedName>
    <definedName name="Version0" localSheetId="8">[54]FP!$F$26</definedName>
    <definedName name="Version0" localSheetId="9">[54]FP!$F$26</definedName>
    <definedName name="Version0" localSheetId="10">[90]FP!$F$26</definedName>
    <definedName name="Version0">[42]FP!$F$26</definedName>
    <definedName name="Version1" localSheetId="8">[54]FP!$F$30</definedName>
    <definedName name="Version1" localSheetId="9">[54]FP!$F$30</definedName>
    <definedName name="Version1" localSheetId="10">[90]FP!$F$30</definedName>
    <definedName name="Version1">[42]FP!$F$30</definedName>
    <definedName name="Version2" localSheetId="8">[54]FP!$F$32</definedName>
    <definedName name="Version2" localSheetId="9">[54]FP!$F$32</definedName>
    <definedName name="Version2" localSheetId="10">[90]FP!$F$32</definedName>
    <definedName name="Version2">[42]FP!$F$32</definedName>
    <definedName name="Version3" localSheetId="8">[54]FP!$F$34</definedName>
    <definedName name="Version3" localSheetId="9">[54]FP!$F$34</definedName>
    <definedName name="Version3" localSheetId="10">[90]FP!$F$34</definedName>
    <definedName name="Version3">[42]FP!$F$34</definedName>
    <definedName name="Version4" localSheetId="8">[54]FP!$F$36</definedName>
    <definedName name="Version4" localSheetId="9">[54]FP!$F$36</definedName>
    <definedName name="Version4" localSheetId="10">[90]FP!$F$36</definedName>
    <definedName name="Version4">[42]FP!$F$36</definedName>
    <definedName name="vfb" localSheetId="4">#REF!</definedName>
    <definedName name="vfb" localSheetId="3">#REF!</definedName>
    <definedName name="vfb" localSheetId="2">#REF!</definedName>
    <definedName name="vfb" localSheetId="5">#REF!</definedName>
    <definedName name="vfb" localSheetId="6">#REF!</definedName>
    <definedName name="vfb" localSheetId="7">#REF!</definedName>
    <definedName name="vfb" localSheetId="8">#REF!</definedName>
    <definedName name="vfb" localSheetId="9">#REF!</definedName>
    <definedName name="vfb" localSheetId="10">#REF!</definedName>
    <definedName name="vfb" localSheetId="11">#REF!</definedName>
    <definedName name="vfb">#REF!</definedName>
    <definedName name="vg" localSheetId="4">#REF!</definedName>
    <definedName name="vg" localSheetId="3">#REF!</definedName>
    <definedName name="vg" localSheetId="2">#REF!</definedName>
    <definedName name="vg" localSheetId="5">#REF!</definedName>
    <definedName name="vg" localSheetId="6">#REF!</definedName>
    <definedName name="vg" localSheetId="7">#REF!</definedName>
    <definedName name="vg" localSheetId="8">#REF!</definedName>
    <definedName name="vg" localSheetId="9">#REF!</definedName>
    <definedName name="vg" localSheetId="10">#REF!</definedName>
    <definedName name="vg" localSheetId="11">#REF!</definedName>
    <definedName name="vg">#REF!</definedName>
    <definedName name="View">[103]MENU!$AW$1:$AW$2</definedName>
    <definedName name="viv" localSheetId="4" hidden="1">{#N/A,#N/A,TRUE,"Distribution";#N/A,#N/A,TRUE,"Fulfillment";#N/A,#N/A,TRUE,"Aged Backorders"}</definedName>
    <definedName name="viv" localSheetId="3" hidden="1">{#N/A,#N/A,TRUE,"Distribution";#N/A,#N/A,TRUE,"Fulfillment";#N/A,#N/A,TRUE,"Aged Backorders"}</definedName>
    <definedName name="viv" localSheetId="2" hidden="1">{#N/A,#N/A,TRUE,"Distribution";#N/A,#N/A,TRUE,"Fulfillment";#N/A,#N/A,TRUE,"Aged Backorders"}</definedName>
    <definedName name="viv" localSheetId="8" hidden="1">{#N/A,#N/A,TRUE,"Distribution";#N/A,#N/A,TRUE,"Fulfillment";#N/A,#N/A,TRUE,"Aged Backorders"}</definedName>
    <definedName name="viv" localSheetId="9" hidden="1">{#N/A,#N/A,TRUE,"Distribution";#N/A,#N/A,TRUE,"Fulfillment";#N/A,#N/A,TRUE,"Aged Backorders"}</definedName>
    <definedName name="viv" localSheetId="10" hidden="1">{#N/A,#N/A,TRUE,"Distribution";#N/A,#N/A,TRUE,"Fulfillment";#N/A,#N/A,TRUE,"Aged Backorders"}</definedName>
    <definedName name="viv" hidden="1">{#N/A,#N/A,TRUE,"Distribution";#N/A,#N/A,TRUE,"Fulfillment";#N/A,#N/A,TRUE,"Aged Backorders"}</definedName>
    <definedName name="viva" localSheetId="4" hidden="1">{#N/A,#N/A,TRUE,"Distribution";#N/A,#N/A,TRUE,"Fulfillment";#N/A,#N/A,TRUE,"Aged Backorders"}</definedName>
    <definedName name="viva" localSheetId="3" hidden="1">{#N/A,#N/A,TRUE,"Distribution";#N/A,#N/A,TRUE,"Fulfillment";#N/A,#N/A,TRUE,"Aged Backorders"}</definedName>
    <definedName name="viva" localSheetId="2" hidden="1">{#N/A,#N/A,TRUE,"Distribution";#N/A,#N/A,TRUE,"Fulfillment";#N/A,#N/A,TRUE,"Aged Backorders"}</definedName>
    <definedName name="viva" localSheetId="8" hidden="1">{#N/A,#N/A,TRUE,"Distribution";#N/A,#N/A,TRUE,"Fulfillment";#N/A,#N/A,TRUE,"Aged Backorders"}</definedName>
    <definedName name="viva" localSheetId="9" hidden="1">{#N/A,#N/A,TRUE,"Distribution";#N/A,#N/A,TRUE,"Fulfillment";#N/A,#N/A,TRUE,"Aged Backorders"}</definedName>
    <definedName name="viva" localSheetId="10" hidden="1">{#N/A,#N/A,TRUE,"Distribution";#N/A,#N/A,TRUE,"Fulfillment";#N/A,#N/A,TRUE,"Aged Backorders"}</definedName>
    <definedName name="viva" hidden="1">{#N/A,#N/A,TRUE,"Distribution";#N/A,#N/A,TRUE,"Fulfillment";#N/A,#N/A,TRUE,"Aged Backorders"}</definedName>
    <definedName name="Volumes" localSheetId="4">[71]Optimize!$BK$16:$BN$54</definedName>
    <definedName name="Volumes" localSheetId="3">[71]Optimize!$BK$16:$BN$54</definedName>
    <definedName name="Volumes" localSheetId="2">[71]Optimize!$BK$16:$BN$54</definedName>
    <definedName name="Volumes" localSheetId="5">[71]Optimize!$BK$16:$BN$54</definedName>
    <definedName name="Volumes" localSheetId="6">[71]Optimize!$BK$16:$BN$54</definedName>
    <definedName name="Volumes" localSheetId="7">[71]Optimize!$BK$16:$BN$54</definedName>
    <definedName name="Volumes" localSheetId="8">[71]Optimize!$BK$16:$BN$54</definedName>
    <definedName name="Volumes" localSheetId="9">[71]Optimize!$BK$16:$BN$54</definedName>
    <definedName name="Volumes" localSheetId="10">[10]Optimize!$BK$16:$BN$54</definedName>
    <definedName name="Volumes">[18]Optimize!$BK$16:$BN$54</definedName>
    <definedName name="VVV" localSheetId="4">#REF!</definedName>
    <definedName name="VVV" localSheetId="3">#REF!</definedName>
    <definedName name="VVV" localSheetId="2">#REF!</definedName>
    <definedName name="VVV" localSheetId="5">#REF!</definedName>
    <definedName name="VVV" localSheetId="6">#REF!</definedName>
    <definedName name="VVV" localSheetId="7">#REF!</definedName>
    <definedName name="VVV" localSheetId="8">#REF!</definedName>
    <definedName name="VVV" localSheetId="9">#REF!</definedName>
    <definedName name="VVV" localSheetId="10">#REF!</definedName>
    <definedName name="VVV" localSheetId="11">#REF!</definedName>
    <definedName name="VVV">#REF!</definedName>
    <definedName name="w" localSheetId="4">[51]SUM14ZC1!#REF!</definedName>
    <definedName name="w" localSheetId="3">[51]SUM14ZC1!#REF!</definedName>
    <definedName name="w" localSheetId="2">[51]SUM14ZC1!#REF!</definedName>
    <definedName name="w" localSheetId="5">#REF!</definedName>
    <definedName name="w" localSheetId="6">#REF!</definedName>
    <definedName name="w" localSheetId="7">#REF!</definedName>
    <definedName name="w" localSheetId="8">#REF!</definedName>
    <definedName name="w" localSheetId="9">#REF!</definedName>
    <definedName name="w" localSheetId="10">#REF!</definedName>
    <definedName name="w" localSheetId="11">#REF!</definedName>
    <definedName name="w">#REF!</definedName>
    <definedName name="WARRANTY" localSheetId="4">#REF!</definedName>
    <definedName name="WARRANTY" localSheetId="3">#REF!</definedName>
    <definedName name="WARRANTY" localSheetId="2">#REF!</definedName>
    <definedName name="WARRANTY" localSheetId="5">#REF!</definedName>
    <definedName name="WARRANTY" localSheetId="6">#REF!</definedName>
    <definedName name="WARRANTY" localSheetId="7">#REF!</definedName>
    <definedName name="WARRANTY" localSheetId="8">#REF!</definedName>
    <definedName name="WARRANTY" localSheetId="9">#REF!</definedName>
    <definedName name="WARRANTY" localSheetId="10">#REF!</definedName>
    <definedName name="WARRANTY" localSheetId="11">#REF!</definedName>
    <definedName name="WARRANTY">#REF!</definedName>
    <definedName name="we" localSheetId="4">#REF!</definedName>
    <definedName name="we" localSheetId="3">#REF!</definedName>
    <definedName name="we" localSheetId="2">#REF!</definedName>
    <definedName name="we" localSheetId="5">#REF!</definedName>
    <definedName name="we" localSheetId="6">#REF!</definedName>
    <definedName name="we" localSheetId="7">#REF!</definedName>
    <definedName name="we" localSheetId="8">#REF!</definedName>
    <definedName name="we" localSheetId="9">#REF!</definedName>
    <definedName name="we" localSheetId="10">#REF!</definedName>
    <definedName name="we" localSheetId="11">#REF!</definedName>
    <definedName name="we">#REF!</definedName>
    <definedName name="WE_1">#N/A</definedName>
    <definedName name="web_data" localSheetId="4">#REF!</definedName>
    <definedName name="web_data" localSheetId="3">#REF!</definedName>
    <definedName name="web_data" localSheetId="2">#REF!</definedName>
    <definedName name="web_data" localSheetId="5">#REF!</definedName>
    <definedName name="web_data" localSheetId="6">#REF!</definedName>
    <definedName name="web_data" localSheetId="7">#REF!</definedName>
    <definedName name="web_data" localSheetId="8">#REF!</definedName>
    <definedName name="web_data" localSheetId="9">#REF!</definedName>
    <definedName name="web_data" localSheetId="10">#REF!</definedName>
    <definedName name="web_data" localSheetId="11">#REF!</definedName>
    <definedName name="web_data">#REF!</definedName>
    <definedName name="weeeeeeee" localSheetId="4">#REF!</definedName>
    <definedName name="weeeeeeee" localSheetId="3">#REF!</definedName>
    <definedName name="weeeeeeee" localSheetId="2">#REF!</definedName>
    <definedName name="weeeeeeee" localSheetId="5">#REF!</definedName>
    <definedName name="weeeeeeee" localSheetId="6">#REF!</definedName>
    <definedName name="weeeeeeee" localSheetId="7">#REF!</definedName>
    <definedName name="weeeeeeee" localSheetId="8">#REF!</definedName>
    <definedName name="weeeeeeee" localSheetId="9">#REF!</definedName>
    <definedName name="weeeeeeee" localSheetId="10">#REF!</definedName>
    <definedName name="weeeeeeee" localSheetId="11">#REF!</definedName>
    <definedName name="weeeeeeee">#REF!</definedName>
    <definedName name="wegghj" localSheetId="4">#REF!</definedName>
    <definedName name="wegghj" localSheetId="3">#REF!</definedName>
    <definedName name="wegghj" localSheetId="2">#REF!</definedName>
    <definedName name="wegghj" localSheetId="5">#REF!</definedName>
    <definedName name="wegghj" localSheetId="6">#REF!</definedName>
    <definedName name="wegghj" localSheetId="7">#REF!</definedName>
    <definedName name="wegghj" localSheetId="8">#REF!</definedName>
    <definedName name="wegghj" localSheetId="9">#REF!</definedName>
    <definedName name="wegghj" localSheetId="10">#REF!</definedName>
    <definedName name="wegghj" localSheetId="11">#REF!</definedName>
    <definedName name="wegghj">#REF!</definedName>
    <definedName name="WeightCalcMatrix" localSheetId="4">[71]Optimize!$BP$16:$BS$54</definedName>
    <definedName name="WeightCalcMatrix" localSheetId="3">[71]Optimize!$BP$16:$BS$54</definedName>
    <definedName name="WeightCalcMatrix" localSheetId="2">[71]Optimize!$BP$16:$BS$54</definedName>
    <definedName name="WeightCalcMatrix" localSheetId="5">[71]Optimize!$BP$16:$BS$54</definedName>
    <definedName name="WeightCalcMatrix" localSheetId="6">[71]Optimize!$BP$16:$BS$54</definedName>
    <definedName name="WeightCalcMatrix" localSheetId="7">[71]Optimize!$BP$16:$BS$54</definedName>
    <definedName name="WeightCalcMatrix" localSheetId="8">[71]Optimize!$BP$16:$BS$54</definedName>
    <definedName name="WeightCalcMatrix" localSheetId="9">[71]Optimize!$BP$16:$BS$54</definedName>
    <definedName name="WeightCalcMatrix" localSheetId="10">[10]Optimize!$BP$16:$BS$54</definedName>
    <definedName name="WeightCalcMatrix">[18]Optimize!$BP$16:$BS$54</definedName>
    <definedName name="werker" localSheetId="4">#REF!</definedName>
    <definedName name="werker" localSheetId="3">#REF!</definedName>
    <definedName name="werker" localSheetId="2">#REF!</definedName>
    <definedName name="werker" localSheetId="5">#REF!</definedName>
    <definedName name="werker" localSheetId="6">#REF!</definedName>
    <definedName name="werker" localSheetId="7">#REF!</definedName>
    <definedName name="werker" localSheetId="8">#REF!</definedName>
    <definedName name="werker" localSheetId="9">#REF!</definedName>
    <definedName name="werker" localSheetId="10">#REF!</definedName>
    <definedName name="werker" localSheetId="11">#REF!</definedName>
    <definedName name="werker">#REF!</definedName>
    <definedName name="werker1" localSheetId="4">#REF!</definedName>
    <definedName name="werker1" localSheetId="3">#REF!</definedName>
    <definedName name="werker1" localSheetId="2">#REF!</definedName>
    <definedName name="werker1" localSheetId="5">#REF!</definedName>
    <definedName name="werker1" localSheetId="6">#REF!</definedName>
    <definedName name="werker1" localSheetId="7">#REF!</definedName>
    <definedName name="werker1" localSheetId="8">#REF!</definedName>
    <definedName name="werker1" localSheetId="9">#REF!</definedName>
    <definedName name="werker1" localSheetId="10">#REF!</definedName>
    <definedName name="werker1" localSheetId="11">#REF!</definedName>
    <definedName name="werker1">#REF!</definedName>
    <definedName name="WERS" localSheetId="4">[46]Glossary!$B$36</definedName>
    <definedName name="WERS" localSheetId="3">[46]Glossary!$B$36</definedName>
    <definedName name="WERS" localSheetId="2">[46]Glossary!$B$36</definedName>
    <definedName name="WERS" localSheetId="5">[46]Glossary!$B$36</definedName>
    <definedName name="WERS" localSheetId="6">[46]Glossary!$B$36</definedName>
    <definedName name="WERS" localSheetId="7">[46]Glossary!$B$36</definedName>
    <definedName name="WERS" localSheetId="8">[46]Glossary!$B$36</definedName>
    <definedName name="WERS" localSheetId="9">[46]Glossary!$B$36</definedName>
    <definedName name="WERS" localSheetId="10">[88]Glossary!$B$36</definedName>
    <definedName name="WERS">[35]Glossary!$B$36</definedName>
    <definedName name="WH_BODY">"2201"</definedName>
    <definedName name="WH_NM">""</definedName>
    <definedName name="WH_NO">"2201"</definedName>
    <definedName name="white">[61]!white</definedName>
    <definedName name="wk18st13c" localSheetId="4">#REF!</definedName>
    <definedName name="wk18st13c" localSheetId="3">#REF!</definedName>
    <definedName name="wk18st13c" localSheetId="2">#REF!</definedName>
    <definedName name="wk18st13c" localSheetId="5">#REF!</definedName>
    <definedName name="wk18st13c" localSheetId="6">#REF!</definedName>
    <definedName name="wk18st13c" localSheetId="7">#REF!</definedName>
    <definedName name="wk18st13c" localSheetId="8">#REF!</definedName>
    <definedName name="wk18st13c" localSheetId="9">#REF!</definedName>
    <definedName name="wk18st13c" localSheetId="10">#REF!</definedName>
    <definedName name="wk18st13c" localSheetId="11">#REF!</definedName>
    <definedName name="wk18st13c">#REF!</definedName>
    <definedName name="wk18st13nc" localSheetId="4">#REF!</definedName>
    <definedName name="wk18st13nc" localSheetId="3">#REF!</definedName>
    <definedName name="wk18st13nc" localSheetId="2">#REF!</definedName>
    <definedName name="wk18st13nc" localSheetId="5">#REF!</definedName>
    <definedName name="wk18st13nc" localSheetId="6">#REF!</definedName>
    <definedName name="wk18st13nc" localSheetId="7">#REF!</definedName>
    <definedName name="wk18st13nc" localSheetId="8">#REF!</definedName>
    <definedName name="wk18st13nc" localSheetId="9">#REF!</definedName>
    <definedName name="wk18st13nc" localSheetId="10">#REF!</definedName>
    <definedName name="wk18st13nc" localSheetId="11">#REF!</definedName>
    <definedName name="wk18st13nc">#REF!</definedName>
    <definedName name="wk18st14c" localSheetId="4">#REF!</definedName>
    <definedName name="wk18st14c" localSheetId="3">#REF!</definedName>
    <definedName name="wk18st14c" localSheetId="2">#REF!</definedName>
    <definedName name="wk18st14c" localSheetId="5">#REF!</definedName>
    <definedName name="wk18st14c" localSheetId="6">#REF!</definedName>
    <definedName name="wk18st14c" localSheetId="7">#REF!</definedName>
    <definedName name="wk18st14c" localSheetId="8">#REF!</definedName>
    <definedName name="wk18st14c" localSheetId="9">#REF!</definedName>
    <definedName name="wk18st14c" localSheetId="10">#REF!</definedName>
    <definedName name="wk18st14c" localSheetId="11">#REF!</definedName>
    <definedName name="wk18st14c">#REF!</definedName>
    <definedName name="wk18st14nc" localSheetId="4">#REF!</definedName>
    <definedName name="wk18st14nc" localSheetId="3">#REF!</definedName>
    <definedName name="wk18st14nc" localSheetId="2">#REF!</definedName>
    <definedName name="wk18st14nc" localSheetId="5">#REF!</definedName>
    <definedName name="wk18st14nc" localSheetId="6">#REF!</definedName>
    <definedName name="wk18st14nc" localSheetId="7">#REF!</definedName>
    <definedName name="wk18st14nc" localSheetId="8">#REF!</definedName>
    <definedName name="wk18st14nc" localSheetId="9">#REF!</definedName>
    <definedName name="wk18st14nc" localSheetId="10">#REF!</definedName>
    <definedName name="wk18st14nc" localSheetId="11">#REF!</definedName>
    <definedName name="wk18st14nc">#REF!</definedName>
    <definedName name="wk18st15c" localSheetId="4">#REF!</definedName>
    <definedName name="wk18st15c" localSheetId="3">#REF!</definedName>
    <definedName name="wk18st15c" localSheetId="2">#REF!</definedName>
    <definedName name="wk18st15c" localSheetId="5">#REF!</definedName>
    <definedName name="wk18st15c" localSheetId="6">#REF!</definedName>
    <definedName name="wk18st15c" localSheetId="7">#REF!</definedName>
    <definedName name="wk18st15c" localSheetId="8">#REF!</definedName>
    <definedName name="wk18st15c" localSheetId="9">#REF!</definedName>
    <definedName name="wk18st15c" localSheetId="10">#REF!</definedName>
    <definedName name="wk18st15c" localSheetId="11">#REF!</definedName>
    <definedName name="wk18st15c">#REF!</definedName>
    <definedName name="wk18st15nc" localSheetId="4">#REF!</definedName>
    <definedName name="wk18st15nc" localSheetId="3">#REF!</definedName>
    <definedName name="wk18st15nc" localSheetId="2">#REF!</definedName>
    <definedName name="wk18st15nc" localSheetId="5">#REF!</definedName>
    <definedName name="wk18st15nc" localSheetId="6">#REF!</definedName>
    <definedName name="wk18st15nc" localSheetId="7">#REF!</definedName>
    <definedName name="wk18st15nc" localSheetId="8">#REF!</definedName>
    <definedName name="wk18st15nc" localSheetId="9">#REF!</definedName>
    <definedName name="wk18st15nc" localSheetId="10">#REF!</definedName>
    <definedName name="wk18st15nc" localSheetId="11">#REF!</definedName>
    <definedName name="wk18st15nc">#REF!</definedName>
    <definedName name="wk18st19c" localSheetId="4">#REF!</definedName>
    <definedName name="wk18st19c" localSheetId="3">#REF!</definedName>
    <definedName name="wk18st19c" localSheetId="2">#REF!</definedName>
    <definedName name="wk18st19c" localSheetId="5">#REF!</definedName>
    <definedName name="wk18st19c" localSheetId="6">#REF!</definedName>
    <definedName name="wk18st19c" localSheetId="7">#REF!</definedName>
    <definedName name="wk18st19c" localSheetId="8">#REF!</definedName>
    <definedName name="wk18st19c" localSheetId="9">#REF!</definedName>
    <definedName name="wk18st19c" localSheetId="10">#REF!</definedName>
    <definedName name="wk18st19c" localSheetId="11">#REF!</definedName>
    <definedName name="wk18st19c">#REF!</definedName>
    <definedName name="wk18st19nc" localSheetId="4">#REF!</definedName>
    <definedName name="wk18st19nc" localSheetId="3">#REF!</definedName>
    <definedName name="wk18st19nc" localSheetId="2">#REF!</definedName>
    <definedName name="wk18st19nc" localSheetId="5">#REF!</definedName>
    <definedName name="wk18st19nc" localSheetId="6">#REF!</definedName>
    <definedName name="wk18st19nc" localSheetId="7">#REF!</definedName>
    <definedName name="wk18st19nc" localSheetId="8">#REF!</definedName>
    <definedName name="wk18st19nc" localSheetId="9">#REF!</definedName>
    <definedName name="wk18st19nc" localSheetId="10">#REF!</definedName>
    <definedName name="wk18st19nc" localSheetId="11">#REF!</definedName>
    <definedName name="wk18st19nc">#REF!</definedName>
    <definedName name="wk18st20c" localSheetId="4">#REF!</definedName>
    <definedName name="wk18st20c" localSheetId="3">#REF!</definedName>
    <definedName name="wk18st20c" localSheetId="2">#REF!</definedName>
    <definedName name="wk18st20c" localSheetId="5">#REF!</definedName>
    <definedName name="wk18st20c" localSheetId="6">#REF!</definedName>
    <definedName name="wk18st20c" localSheetId="7">#REF!</definedName>
    <definedName name="wk18st20c" localSheetId="8">#REF!</definedName>
    <definedName name="wk18st20c" localSheetId="9">#REF!</definedName>
    <definedName name="wk18st20c" localSheetId="10">#REF!</definedName>
    <definedName name="wk18st20c" localSheetId="11">#REF!</definedName>
    <definedName name="wk18st20c">#REF!</definedName>
    <definedName name="wk18st20nc" localSheetId="4">#REF!</definedName>
    <definedName name="wk18st20nc" localSheetId="3">#REF!</definedName>
    <definedName name="wk18st20nc" localSheetId="2">#REF!</definedName>
    <definedName name="wk18st20nc" localSheetId="5">#REF!</definedName>
    <definedName name="wk18st20nc" localSheetId="6">#REF!</definedName>
    <definedName name="wk18st20nc" localSheetId="7">#REF!</definedName>
    <definedName name="wk18st20nc" localSheetId="8">#REF!</definedName>
    <definedName name="wk18st20nc" localSheetId="9">#REF!</definedName>
    <definedName name="wk18st20nc" localSheetId="10">#REF!</definedName>
    <definedName name="wk18st20nc" localSheetId="11">#REF!</definedName>
    <definedName name="wk18st20nc">#REF!</definedName>
    <definedName name="wk18st21c" localSheetId="4">#REF!</definedName>
    <definedName name="wk18st21c" localSheetId="3">#REF!</definedName>
    <definedName name="wk18st21c" localSheetId="2">#REF!</definedName>
    <definedName name="wk18st21c" localSheetId="5">#REF!</definedName>
    <definedName name="wk18st21c" localSheetId="6">#REF!</definedName>
    <definedName name="wk18st21c" localSheetId="7">#REF!</definedName>
    <definedName name="wk18st21c" localSheetId="8">#REF!</definedName>
    <definedName name="wk18st21c" localSheetId="9">#REF!</definedName>
    <definedName name="wk18st21c" localSheetId="10">#REF!</definedName>
    <definedName name="wk18st21c" localSheetId="11">#REF!</definedName>
    <definedName name="wk18st21c">#REF!</definedName>
    <definedName name="wk18st21nc" localSheetId="4">#REF!</definedName>
    <definedName name="wk18st21nc" localSheetId="3">#REF!</definedName>
    <definedName name="wk18st21nc" localSheetId="2">#REF!</definedName>
    <definedName name="wk18st21nc" localSheetId="5">#REF!</definedName>
    <definedName name="wk18st21nc" localSheetId="6">#REF!</definedName>
    <definedName name="wk18st21nc" localSheetId="7">#REF!</definedName>
    <definedName name="wk18st21nc" localSheetId="8">#REF!</definedName>
    <definedName name="wk18st21nc" localSheetId="9">#REF!</definedName>
    <definedName name="wk18st21nc" localSheetId="10">#REF!</definedName>
    <definedName name="wk18st21nc" localSheetId="11">#REF!</definedName>
    <definedName name="wk18st21nc">#REF!</definedName>
    <definedName name="wk18st25c" localSheetId="4">#REF!</definedName>
    <definedName name="wk18st25c" localSheetId="3">#REF!</definedName>
    <definedName name="wk18st25c" localSheetId="2">#REF!</definedName>
    <definedName name="wk18st25c" localSheetId="5">#REF!</definedName>
    <definedName name="wk18st25c" localSheetId="6">#REF!</definedName>
    <definedName name="wk18st25c" localSheetId="7">#REF!</definedName>
    <definedName name="wk18st25c" localSheetId="8">#REF!</definedName>
    <definedName name="wk18st25c" localSheetId="9">#REF!</definedName>
    <definedName name="wk18st25c" localSheetId="10">#REF!</definedName>
    <definedName name="wk18st25c" localSheetId="11">#REF!</definedName>
    <definedName name="wk18st25c">#REF!</definedName>
    <definedName name="wk18st25nc" localSheetId="4">#REF!</definedName>
    <definedName name="wk18st25nc" localSheetId="3">#REF!</definedName>
    <definedName name="wk18st25nc" localSheetId="2">#REF!</definedName>
    <definedName name="wk18st25nc" localSheetId="5">#REF!</definedName>
    <definedName name="wk18st25nc" localSheetId="6">#REF!</definedName>
    <definedName name="wk18st25nc" localSheetId="7">#REF!</definedName>
    <definedName name="wk18st25nc" localSheetId="8">#REF!</definedName>
    <definedName name="wk18st25nc" localSheetId="9">#REF!</definedName>
    <definedName name="wk18st25nc" localSheetId="10">#REF!</definedName>
    <definedName name="wk18st25nc" localSheetId="11">#REF!</definedName>
    <definedName name="wk18st25nc">#REF!</definedName>
    <definedName name="wk18st26c" localSheetId="4">#REF!</definedName>
    <definedName name="wk18st26c" localSheetId="3">#REF!</definedName>
    <definedName name="wk18st26c" localSheetId="2">#REF!</definedName>
    <definedName name="wk18st26c" localSheetId="5">#REF!</definedName>
    <definedName name="wk18st26c" localSheetId="6">#REF!</definedName>
    <definedName name="wk18st26c" localSheetId="7">#REF!</definedName>
    <definedName name="wk18st26c" localSheetId="8">#REF!</definedName>
    <definedName name="wk18st26c" localSheetId="9">#REF!</definedName>
    <definedName name="wk18st26c" localSheetId="10">#REF!</definedName>
    <definedName name="wk18st26c" localSheetId="11">#REF!</definedName>
    <definedName name="wk18st26c">#REF!</definedName>
    <definedName name="wk18st26nc" localSheetId="4">#REF!</definedName>
    <definedName name="wk18st26nc" localSheetId="3">#REF!</definedName>
    <definedName name="wk18st26nc" localSheetId="2">#REF!</definedName>
    <definedName name="wk18st26nc" localSheetId="5">#REF!</definedName>
    <definedName name="wk18st26nc" localSheetId="6">#REF!</definedName>
    <definedName name="wk18st26nc" localSheetId="7">#REF!</definedName>
    <definedName name="wk18st26nc" localSheetId="8">#REF!</definedName>
    <definedName name="wk18st26nc" localSheetId="9">#REF!</definedName>
    <definedName name="wk18st26nc" localSheetId="10">#REF!</definedName>
    <definedName name="wk18st26nc" localSheetId="11">#REF!</definedName>
    <definedName name="wk18st26nc">#REF!</definedName>
    <definedName name="wk18st27c" localSheetId="4">#REF!</definedName>
    <definedName name="wk18st27c" localSheetId="3">#REF!</definedName>
    <definedName name="wk18st27c" localSheetId="2">#REF!</definedName>
    <definedName name="wk18st27c" localSheetId="5">#REF!</definedName>
    <definedName name="wk18st27c" localSheetId="6">#REF!</definedName>
    <definedName name="wk18st27c" localSheetId="7">#REF!</definedName>
    <definedName name="wk18st27c" localSheetId="8">#REF!</definedName>
    <definedName name="wk18st27c" localSheetId="9">#REF!</definedName>
    <definedName name="wk18st27c" localSheetId="10">#REF!</definedName>
    <definedName name="wk18st27c" localSheetId="11">#REF!</definedName>
    <definedName name="wk18st27c">#REF!</definedName>
    <definedName name="wk18st27nc" localSheetId="4">#REF!</definedName>
    <definedName name="wk18st27nc" localSheetId="3">#REF!</definedName>
    <definedName name="wk18st27nc" localSheetId="2">#REF!</definedName>
    <definedName name="wk18st27nc" localSheetId="5">#REF!</definedName>
    <definedName name="wk18st27nc" localSheetId="6">#REF!</definedName>
    <definedName name="wk18st27nc" localSheetId="7">#REF!</definedName>
    <definedName name="wk18st27nc" localSheetId="8">#REF!</definedName>
    <definedName name="wk18st27nc" localSheetId="9">#REF!</definedName>
    <definedName name="wk18st27nc" localSheetId="10">#REF!</definedName>
    <definedName name="wk18st27nc" localSheetId="11">#REF!</definedName>
    <definedName name="wk18st27nc">#REF!</definedName>
    <definedName name="wk18st28c" localSheetId="4">#REF!</definedName>
    <definedName name="wk18st28c" localSheetId="3">#REF!</definedName>
    <definedName name="wk18st28c" localSheetId="2">#REF!</definedName>
    <definedName name="wk18st28c" localSheetId="5">#REF!</definedName>
    <definedName name="wk18st28c" localSheetId="6">#REF!</definedName>
    <definedName name="wk18st28c" localSheetId="7">#REF!</definedName>
    <definedName name="wk18st28c" localSheetId="8">#REF!</definedName>
    <definedName name="wk18st28c" localSheetId="9">#REF!</definedName>
    <definedName name="wk18st28c" localSheetId="10">#REF!</definedName>
    <definedName name="wk18st28c" localSheetId="11">#REF!</definedName>
    <definedName name="wk18st28c">#REF!</definedName>
    <definedName name="wk18st29c" localSheetId="4">#REF!</definedName>
    <definedName name="wk18st29c" localSheetId="3">#REF!</definedName>
    <definedName name="wk18st29c" localSheetId="2">#REF!</definedName>
    <definedName name="wk18st29c" localSheetId="5">#REF!</definedName>
    <definedName name="wk18st29c" localSheetId="6">#REF!</definedName>
    <definedName name="wk18st29c" localSheetId="7">#REF!</definedName>
    <definedName name="wk18st29c" localSheetId="8">#REF!</definedName>
    <definedName name="wk18st29c" localSheetId="9">#REF!</definedName>
    <definedName name="wk18st29c" localSheetId="10">#REF!</definedName>
    <definedName name="wk18st29c" localSheetId="11">#REF!</definedName>
    <definedName name="wk18st29c">#REF!</definedName>
    <definedName name="wk18st30c" localSheetId="4">#REF!</definedName>
    <definedName name="wk18st30c" localSheetId="3">#REF!</definedName>
    <definedName name="wk18st30c" localSheetId="2">#REF!</definedName>
    <definedName name="wk18st30c" localSheetId="5">#REF!</definedName>
    <definedName name="wk18st30c" localSheetId="6">#REF!</definedName>
    <definedName name="wk18st30c" localSheetId="7">#REF!</definedName>
    <definedName name="wk18st30c" localSheetId="8">#REF!</definedName>
    <definedName name="wk18st30c" localSheetId="9">#REF!</definedName>
    <definedName name="wk18st30c" localSheetId="10">#REF!</definedName>
    <definedName name="wk18st30c" localSheetId="11">#REF!</definedName>
    <definedName name="wk18st30c">#REF!</definedName>
    <definedName name="wk19st13c" localSheetId="4">#REF!</definedName>
    <definedName name="wk19st13c" localSheetId="3">#REF!</definedName>
    <definedName name="wk19st13c" localSheetId="2">#REF!</definedName>
    <definedName name="wk19st13c" localSheetId="5">#REF!</definedName>
    <definedName name="wk19st13c" localSheetId="6">#REF!</definedName>
    <definedName name="wk19st13c" localSheetId="7">#REF!</definedName>
    <definedName name="wk19st13c" localSheetId="8">#REF!</definedName>
    <definedName name="wk19st13c" localSheetId="9">#REF!</definedName>
    <definedName name="wk19st13c" localSheetId="10">#REF!</definedName>
    <definedName name="wk19st13c" localSheetId="11">#REF!</definedName>
    <definedName name="wk19st13c">#REF!</definedName>
    <definedName name="wk19st14c" localSheetId="4">#REF!</definedName>
    <definedName name="wk19st14c" localSheetId="3">#REF!</definedName>
    <definedName name="wk19st14c" localSheetId="2">#REF!</definedName>
    <definedName name="wk19st14c" localSheetId="5">#REF!</definedName>
    <definedName name="wk19st14c" localSheetId="6">#REF!</definedName>
    <definedName name="wk19st14c" localSheetId="7">#REF!</definedName>
    <definedName name="wk19st14c" localSheetId="8">#REF!</definedName>
    <definedName name="wk19st14c" localSheetId="9">#REF!</definedName>
    <definedName name="wk19st14c" localSheetId="10">#REF!</definedName>
    <definedName name="wk19st14c" localSheetId="11">#REF!</definedName>
    <definedName name="wk19st14c">#REF!</definedName>
    <definedName name="wk19st15c" localSheetId="4">#REF!</definedName>
    <definedName name="wk19st15c" localSheetId="3">#REF!</definedName>
    <definedName name="wk19st15c" localSheetId="2">#REF!</definedName>
    <definedName name="wk19st15c" localSheetId="5">#REF!</definedName>
    <definedName name="wk19st15c" localSheetId="6">#REF!</definedName>
    <definedName name="wk19st15c" localSheetId="7">#REF!</definedName>
    <definedName name="wk19st15c" localSheetId="8">#REF!</definedName>
    <definedName name="wk19st15c" localSheetId="9">#REF!</definedName>
    <definedName name="wk19st15c" localSheetId="10">#REF!</definedName>
    <definedName name="wk19st15c" localSheetId="11">#REF!</definedName>
    <definedName name="wk19st15c">#REF!</definedName>
    <definedName name="wk19st19c" localSheetId="4">#REF!</definedName>
    <definedName name="wk19st19c" localSheetId="3">#REF!</definedName>
    <definedName name="wk19st19c" localSheetId="2">#REF!</definedName>
    <definedName name="wk19st19c" localSheetId="5">#REF!</definedName>
    <definedName name="wk19st19c" localSheetId="6">#REF!</definedName>
    <definedName name="wk19st19c" localSheetId="7">#REF!</definedName>
    <definedName name="wk19st19c" localSheetId="8">#REF!</definedName>
    <definedName name="wk19st19c" localSheetId="9">#REF!</definedName>
    <definedName name="wk19st19c" localSheetId="10">#REF!</definedName>
    <definedName name="wk19st19c" localSheetId="11">#REF!</definedName>
    <definedName name="wk19st19c">#REF!</definedName>
    <definedName name="wk19st20c" localSheetId="4">#REF!</definedName>
    <definedName name="wk19st20c" localSheetId="3">#REF!</definedName>
    <definedName name="wk19st20c" localSheetId="2">#REF!</definedName>
    <definedName name="wk19st20c" localSheetId="5">#REF!</definedName>
    <definedName name="wk19st20c" localSheetId="6">#REF!</definedName>
    <definedName name="wk19st20c" localSheetId="7">#REF!</definedName>
    <definedName name="wk19st20c" localSheetId="8">#REF!</definedName>
    <definedName name="wk19st20c" localSheetId="9">#REF!</definedName>
    <definedName name="wk19st20c" localSheetId="10">#REF!</definedName>
    <definedName name="wk19st20c" localSheetId="11">#REF!</definedName>
    <definedName name="wk19st20c">#REF!</definedName>
    <definedName name="wk19st21c" localSheetId="4">#REF!</definedName>
    <definedName name="wk19st21c" localSheetId="3">#REF!</definedName>
    <definedName name="wk19st21c" localSheetId="2">#REF!</definedName>
    <definedName name="wk19st21c" localSheetId="5">#REF!</definedName>
    <definedName name="wk19st21c" localSheetId="6">#REF!</definedName>
    <definedName name="wk19st21c" localSheetId="7">#REF!</definedName>
    <definedName name="wk19st21c" localSheetId="8">#REF!</definedName>
    <definedName name="wk19st21c" localSheetId="9">#REF!</definedName>
    <definedName name="wk19st21c" localSheetId="10">#REF!</definedName>
    <definedName name="wk19st21c" localSheetId="11">#REF!</definedName>
    <definedName name="wk19st21c">#REF!</definedName>
    <definedName name="wk19st25c" localSheetId="4">#REF!</definedName>
    <definedName name="wk19st25c" localSheetId="3">#REF!</definedName>
    <definedName name="wk19st25c" localSheetId="2">#REF!</definedName>
    <definedName name="wk19st25c" localSheetId="5">#REF!</definedName>
    <definedName name="wk19st25c" localSheetId="6">#REF!</definedName>
    <definedName name="wk19st25c" localSheetId="7">#REF!</definedName>
    <definedName name="wk19st25c" localSheetId="8">#REF!</definedName>
    <definedName name="wk19st25c" localSheetId="9">#REF!</definedName>
    <definedName name="wk19st25c" localSheetId="10">#REF!</definedName>
    <definedName name="wk19st25c" localSheetId="11">#REF!</definedName>
    <definedName name="wk19st25c">#REF!</definedName>
    <definedName name="wk19st26c" localSheetId="4">#REF!</definedName>
    <definedName name="wk19st26c" localSheetId="3">#REF!</definedName>
    <definedName name="wk19st26c" localSheetId="2">#REF!</definedName>
    <definedName name="wk19st26c" localSheetId="5">#REF!</definedName>
    <definedName name="wk19st26c" localSheetId="6">#REF!</definedName>
    <definedName name="wk19st26c" localSheetId="7">#REF!</definedName>
    <definedName name="wk19st26c" localSheetId="8">#REF!</definedName>
    <definedName name="wk19st26c" localSheetId="9">#REF!</definedName>
    <definedName name="wk19st26c" localSheetId="10">#REF!</definedName>
    <definedName name="wk19st26c" localSheetId="11">#REF!</definedName>
    <definedName name="wk19st26c">#REF!</definedName>
    <definedName name="wk19st27c" localSheetId="4">#REF!</definedName>
    <definedName name="wk19st27c" localSheetId="3">#REF!</definedName>
    <definedName name="wk19st27c" localSheetId="2">#REF!</definedName>
    <definedName name="wk19st27c" localSheetId="5">#REF!</definedName>
    <definedName name="wk19st27c" localSheetId="6">#REF!</definedName>
    <definedName name="wk19st27c" localSheetId="7">#REF!</definedName>
    <definedName name="wk19st27c" localSheetId="8">#REF!</definedName>
    <definedName name="wk19st27c" localSheetId="9">#REF!</definedName>
    <definedName name="wk19st27c" localSheetId="10">#REF!</definedName>
    <definedName name="wk19st27c" localSheetId="11">#REF!</definedName>
    <definedName name="wk19st27c">#REF!</definedName>
    <definedName name="wk19st28c" localSheetId="4">#REF!</definedName>
    <definedName name="wk19st28c" localSheetId="3">#REF!</definedName>
    <definedName name="wk19st28c" localSheetId="2">#REF!</definedName>
    <definedName name="wk19st28c" localSheetId="5">#REF!</definedName>
    <definedName name="wk19st28c" localSheetId="6">#REF!</definedName>
    <definedName name="wk19st28c" localSheetId="7">#REF!</definedName>
    <definedName name="wk19st28c" localSheetId="8">#REF!</definedName>
    <definedName name="wk19st28c" localSheetId="9">#REF!</definedName>
    <definedName name="wk19st28c" localSheetId="10">#REF!</definedName>
    <definedName name="wk19st28c" localSheetId="11">#REF!</definedName>
    <definedName name="wk19st28c">#REF!</definedName>
    <definedName name="wk19st29c" localSheetId="4">#REF!</definedName>
    <definedName name="wk19st29c" localSheetId="3">#REF!</definedName>
    <definedName name="wk19st29c" localSheetId="2">#REF!</definedName>
    <definedName name="wk19st29c" localSheetId="5">#REF!</definedName>
    <definedName name="wk19st29c" localSheetId="6">#REF!</definedName>
    <definedName name="wk19st29c" localSheetId="7">#REF!</definedName>
    <definedName name="wk19st29c" localSheetId="8">#REF!</definedName>
    <definedName name="wk19st29c" localSheetId="9">#REF!</definedName>
    <definedName name="wk19st29c" localSheetId="10">#REF!</definedName>
    <definedName name="wk19st29c" localSheetId="11">#REF!</definedName>
    <definedName name="wk19st29c">#REF!</definedName>
    <definedName name="wk19st30c" localSheetId="4">#REF!</definedName>
    <definedName name="wk19st30c" localSheetId="3">#REF!</definedName>
    <definedName name="wk19st30c" localSheetId="2">#REF!</definedName>
    <definedName name="wk19st30c" localSheetId="5">#REF!</definedName>
    <definedName name="wk19st30c" localSheetId="6">#REF!</definedName>
    <definedName name="wk19st30c" localSheetId="7">#REF!</definedName>
    <definedName name="wk19st30c" localSheetId="8">#REF!</definedName>
    <definedName name="wk19st30c" localSheetId="9">#REF!</definedName>
    <definedName name="wk19st30c" localSheetId="10">#REF!</definedName>
    <definedName name="wk19st30c" localSheetId="11">#REF!</definedName>
    <definedName name="wk19st30c">#REF!</definedName>
    <definedName name="wk20st13c" localSheetId="4">#REF!</definedName>
    <definedName name="wk20st13c" localSheetId="3">#REF!</definedName>
    <definedName name="wk20st13c" localSheetId="2">#REF!</definedName>
    <definedName name="wk20st13c" localSheetId="5">#REF!</definedName>
    <definedName name="wk20st13c" localSheetId="6">#REF!</definedName>
    <definedName name="wk20st13c" localSheetId="7">#REF!</definedName>
    <definedName name="wk20st13c" localSheetId="8">#REF!</definedName>
    <definedName name="wk20st13c" localSheetId="9">#REF!</definedName>
    <definedName name="wk20st13c" localSheetId="10">#REF!</definedName>
    <definedName name="wk20st13c" localSheetId="11">#REF!</definedName>
    <definedName name="wk20st13c">#REF!</definedName>
    <definedName name="wk20st15c" localSheetId="4">#REF!</definedName>
    <definedName name="wk20st15c" localSheetId="3">#REF!</definedName>
    <definedName name="wk20st15c" localSheetId="2">#REF!</definedName>
    <definedName name="wk20st15c" localSheetId="5">#REF!</definedName>
    <definedName name="wk20st15c" localSheetId="6">#REF!</definedName>
    <definedName name="wk20st15c" localSheetId="7">#REF!</definedName>
    <definedName name="wk20st15c" localSheetId="8">#REF!</definedName>
    <definedName name="wk20st15c" localSheetId="9">#REF!</definedName>
    <definedName name="wk20st15c" localSheetId="10">#REF!</definedName>
    <definedName name="wk20st15c" localSheetId="11">#REF!</definedName>
    <definedName name="wk20st15c">#REF!</definedName>
    <definedName name="wk20st16c" localSheetId="4">#REF!</definedName>
    <definedName name="wk20st16c" localSheetId="3">#REF!</definedName>
    <definedName name="wk20st16c" localSheetId="2">#REF!</definedName>
    <definedName name="wk20st16c" localSheetId="5">#REF!</definedName>
    <definedName name="wk20st16c" localSheetId="6">#REF!</definedName>
    <definedName name="wk20st16c" localSheetId="7">#REF!</definedName>
    <definedName name="wk20st16c" localSheetId="8">#REF!</definedName>
    <definedName name="wk20st16c" localSheetId="9">#REF!</definedName>
    <definedName name="wk20st16c" localSheetId="10">#REF!</definedName>
    <definedName name="wk20st16c" localSheetId="11">#REF!</definedName>
    <definedName name="wk20st16c">#REF!</definedName>
    <definedName name="wk20st19c" localSheetId="4">#REF!</definedName>
    <definedName name="wk20st19c" localSheetId="3">#REF!</definedName>
    <definedName name="wk20st19c" localSheetId="2">#REF!</definedName>
    <definedName name="wk20st19c" localSheetId="5">#REF!</definedName>
    <definedName name="wk20st19c" localSheetId="6">#REF!</definedName>
    <definedName name="wk20st19c" localSheetId="7">#REF!</definedName>
    <definedName name="wk20st19c" localSheetId="8">#REF!</definedName>
    <definedName name="wk20st19c" localSheetId="9">#REF!</definedName>
    <definedName name="wk20st19c" localSheetId="10">#REF!</definedName>
    <definedName name="wk20st19c" localSheetId="11">#REF!</definedName>
    <definedName name="wk20st19c">#REF!</definedName>
    <definedName name="wk20st21c" localSheetId="4">#REF!</definedName>
    <definedName name="wk20st21c" localSheetId="3">#REF!</definedName>
    <definedName name="wk20st21c" localSheetId="2">#REF!</definedName>
    <definedName name="wk20st21c" localSheetId="5">#REF!</definedName>
    <definedName name="wk20st21c" localSheetId="6">#REF!</definedName>
    <definedName name="wk20st21c" localSheetId="7">#REF!</definedName>
    <definedName name="wk20st21c" localSheetId="8">#REF!</definedName>
    <definedName name="wk20st21c" localSheetId="9">#REF!</definedName>
    <definedName name="wk20st21c" localSheetId="10">#REF!</definedName>
    <definedName name="wk20st21c" localSheetId="11">#REF!</definedName>
    <definedName name="wk20st21c">#REF!</definedName>
    <definedName name="wk20st22c" localSheetId="4">#REF!</definedName>
    <definedName name="wk20st22c" localSheetId="3">#REF!</definedName>
    <definedName name="wk20st22c" localSheetId="2">#REF!</definedName>
    <definedName name="wk20st22c" localSheetId="5">#REF!</definedName>
    <definedName name="wk20st22c" localSheetId="6">#REF!</definedName>
    <definedName name="wk20st22c" localSheetId="7">#REF!</definedName>
    <definedName name="wk20st22c" localSheetId="8">#REF!</definedName>
    <definedName name="wk20st22c" localSheetId="9">#REF!</definedName>
    <definedName name="wk20st22c" localSheetId="10">#REF!</definedName>
    <definedName name="wk20st22c" localSheetId="11">#REF!</definedName>
    <definedName name="wk20st22c">#REF!</definedName>
    <definedName name="wk20st23c" localSheetId="4">#REF!</definedName>
    <definedName name="wk20st23c" localSheetId="3">#REF!</definedName>
    <definedName name="wk20st23c" localSheetId="2">#REF!</definedName>
    <definedName name="wk20st23c" localSheetId="5">#REF!</definedName>
    <definedName name="wk20st23c" localSheetId="6">#REF!</definedName>
    <definedName name="wk20st23c" localSheetId="7">#REF!</definedName>
    <definedName name="wk20st23c" localSheetId="8">#REF!</definedName>
    <definedName name="wk20st23c" localSheetId="9">#REF!</definedName>
    <definedName name="wk20st23c" localSheetId="10">#REF!</definedName>
    <definedName name="wk20st23c" localSheetId="11">#REF!</definedName>
    <definedName name="wk20st23c">#REF!</definedName>
    <definedName name="wk20st24c" localSheetId="4">#REF!</definedName>
    <definedName name="wk20st24c" localSheetId="3">#REF!</definedName>
    <definedName name="wk20st24c" localSheetId="2">#REF!</definedName>
    <definedName name="wk20st24c" localSheetId="5">#REF!</definedName>
    <definedName name="wk20st24c" localSheetId="6">#REF!</definedName>
    <definedName name="wk20st24c" localSheetId="7">#REF!</definedName>
    <definedName name="wk20st24c" localSheetId="8">#REF!</definedName>
    <definedName name="wk20st24c" localSheetId="9">#REF!</definedName>
    <definedName name="wk20st24c" localSheetId="10">#REF!</definedName>
    <definedName name="wk20st24c" localSheetId="11">#REF!</definedName>
    <definedName name="wk20st24c">#REF!</definedName>
    <definedName name="wk20st26c" localSheetId="4">#REF!</definedName>
    <definedName name="wk20st26c" localSheetId="3">#REF!</definedName>
    <definedName name="wk20st26c" localSheetId="2">#REF!</definedName>
    <definedName name="wk20st26c" localSheetId="5">#REF!</definedName>
    <definedName name="wk20st26c" localSheetId="6">#REF!</definedName>
    <definedName name="wk20st26c" localSheetId="7">#REF!</definedName>
    <definedName name="wk20st26c" localSheetId="8">#REF!</definedName>
    <definedName name="wk20st26c" localSheetId="9">#REF!</definedName>
    <definedName name="wk20st26c" localSheetId="10">#REF!</definedName>
    <definedName name="wk20st26c" localSheetId="11">#REF!</definedName>
    <definedName name="wk20st26c">#REF!</definedName>
    <definedName name="wk20st27c" localSheetId="4">#REF!</definedName>
    <definedName name="wk20st27c" localSheetId="3">#REF!</definedName>
    <definedName name="wk20st27c" localSheetId="2">#REF!</definedName>
    <definedName name="wk20st27c" localSheetId="5">#REF!</definedName>
    <definedName name="wk20st27c" localSheetId="6">#REF!</definedName>
    <definedName name="wk20st27c" localSheetId="7">#REF!</definedName>
    <definedName name="wk20st27c" localSheetId="8">#REF!</definedName>
    <definedName name="wk20st27c" localSheetId="9">#REF!</definedName>
    <definedName name="wk20st27c" localSheetId="10">#REF!</definedName>
    <definedName name="wk20st27c" localSheetId="11">#REF!</definedName>
    <definedName name="wk20st27c">#REF!</definedName>
    <definedName name="wk20st28c" localSheetId="4">#REF!</definedName>
    <definedName name="wk20st28c" localSheetId="3">#REF!</definedName>
    <definedName name="wk20st28c" localSheetId="2">#REF!</definedName>
    <definedName name="wk20st28c" localSheetId="5">#REF!</definedName>
    <definedName name="wk20st28c" localSheetId="6">#REF!</definedName>
    <definedName name="wk20st28c" localSheetId="7">#REF!</definedName>
    <definedName name="wk20st28c" localSheetId="8">#REF!</definedName>
    <definedName name="wk20st28c" localSheetId="9">#REF!</definedName>
    <definedName name="wk20st28c" localSheetId="10">#REF!</definedName>
    <definedName name="wk20st28c" localSheetId="11">#REF!</definedName>
    <definedName name="wk20st28c">#REF!</definedName>
    <definedName name="wk20st29c" localSheetId="4">#REF!</definedName>
    <definedName name="wk20st29c" localSheetId="3">#REF!</definedName>
    <definedName name="wk20st29c" localSheetId="2">#REF!</definedName>
    <definedName name="wk20st29c" localSheetId="5">#REF!</definedName>
    <definedName name="wk20st29c" localSheetId="6">#REF!</definedName>
    <definedName name="wk20st29c" localSheetId="7">#REF!</definedName>
    <definedName name="wk20st29c" localSheetId="8">#REF!</definedName>
    <definedName name="wk20st29c" localSheetId="9">#REF!</definedName>
    <definedName name="wk20st29c" localSheetId="10">#REF!</definedName>
    <definedName name="wk20st29c" localSheetId="11">#REF!</definedName>
    <definedName name="wk20st29c">#REF!</definedName>
    <definedName name="wk20st31c" localSheetId="4">#REF!</definedName>
    <definedName name="wk20st31c" localSheetId="3">#REF!</definedName>
    <definedName name="wk20st31c" localSheetId="2">#REF!</definedName>
    <definedName name="wk20st31c" localSheetId="5">#REF!</definedName>
    <definedName name="wk20st31c" localSheetId="6">#REF!</definedName>
    <definedName name="wk20st31c" localSheetId="7">#REF!</definedName>
    <definedName name="wk20st31c" localSheetId="8">#REF!</definedName>
    <definedName name="wk20st31c" localSheetId="9">#REF!</definedName>
    <definedName name="wk20st31c" localSheetId="10">#REF!</definedName>
    <definedName name="wk20st31c" localSheetId="11">#REF!</definedName>
    <definedName name="wk20st31c">#REF!</definedName>
    <definedName name="wk20st32c" localSheetId="4">#REF!</definedName>
    <definedName name="wk20st32c" localSheetId="3">#REF!</definedName>
    <definedName name="wk20st32c" localSheetId="2">#REF!</definedName>
    <definedName name="wk20st32c" localSheetId="5">#REF!</definedName>
    <definedName name="wk20st32c" localSheetId="6">#REF!</definedName>
    <definedName name="wk20st32c" localSheetId="7">#REF!</definedName>
    <definedName name="wk20st32c" localSheetId="8">#REF!</definedName>
    <definedName name="wk20st32c" localSheetId="9">#REF!</definedName>
    <definedName name="wk20st32c" localSheetId="10">#REF!</definedName>
    <definedName name="wk20st32c" localSheetId="11">#REF!</definedName>
    <definedName name="wk20st32c">#REF!</definedName>
    <definedName name="wk20st33c" localSheetId="4">#REF!</definedName>
    <definedName name="wk20st33c" localSheetId="3">#REF!</definedName>
    <definedName name="wk20st33c" localSheetId="2">#REF!</definedName>
    <definedName name="wk20st33c" localSheetId="5">#REF!</definedName>
    <definedName name="wk20st33c" localSheetId="6">#REF!</definedName>
    <definedName name="wk20st33c" localSheetId="7">#REF!</definedName>
    <definedName name="wk20st33c" localSheetId="8">#REF!</definedName>
    <definedName name="wk20st33c" localSheetId="9">#REF!</definedName>
    <definedName name="wk20st33c" localSheetId="10">#REF!</definedName>
    <definedName name="wk20st33c" localSheetId="11">#REF!</definedName>
    <definedName name="wk20st33c">#REF!</definedName>
    <definedName name="wk20st34c" localSheetId="4">#REF!</definedName>
    <definedName name="wk20st34c" localSheetId="3">#REF!</definedName>
    <definedName name="wk20st34c" localSheetId="2">#REF!</definedName>
    <definedName name="wk20st34c" localSheetId="5">#REF!</definedName>
    <definedName name="wk20st34c" localSheetId="6">#REF!</definedName>
    <definedName name="wk20st34c" localSheetId="7">#REF!</definedName>
    <definedName name="wk20st34c" localSheetId="8">#REF!</definedName>
    <definedName name="wk20st34c" localSheetId="9">#REF!</definedName>
    <definedName name="wk20st34c" localSheetId="10">#REF!</definedName>
    <definedName name="wk20st34c" localSheetId="11">#REF!</definedName>
    <definedName name="wk20st34c">#REF!</definedName>
    <definedName name="wk20st35c" localSheetId="4">#REF!</definedName>
    <definedName name="wk20st35c" localSheetId="3">#REF!</definedName>
    <definedName name="wk20st35c" localSheetId="2">#REF!</definedName>
    <definedName name="wk20st35c" localSheetId="5">#REF!</definedName>
    <definedName name="wk20st35c" localSheetId="6">#REF!</definedName>
    <definedName name="wk20st35c" localSheetId="7">#REF!</definedName>
    <definedName name="wk20st35c" localSheetId="8">#REF!</definedName>
    <definedName name="wk20st35c" localSheetId="9">#REF!</definedName>
    <definedName name="wk20st35c" localSheetId="10">#REF!</definedName>
    <definedName name="wk20st35c" localSheetId="11">#REF!</definedName>
    <definedName name="wk20st35c">#REF!</definedName>
    <definedName name="wk21st13c" localSheetId="4">#REF!</definedName>
    <definedName name="wk21st13c" localSheetId="3">#REF!</definedName>
    <definedName name="wk21st13c" localSheetId="2">#REF!</definedName>
    <definedName name="wk21st13c" localSheetId="5">#REF!</definedName>
    <definedName name="wk21st13c" localSheetId="6">#REF!</definedName>
    <definedName name="wk21st13c" localSheetId="7">#REF!</definedName>
    <definedName name="wk21st13c" localSheetId="8">#REF!</definedName>
    <definedName name="wk21st13c" localSheetId="9">#REF!</definedName>
    <definedName name="wk21st13c" localSheetId="10">#REF!</definedName>
    <definedName name="wk21st13c" localSheetId="11">#REF!</definedName>
    <definedName name="wk21st13c">#REF!</definedName>
    <definedName name="wk21st14c" localSheetId="4">#REF!</definedName>
    <definedName name="wk21st14c" localSheetId="3">#REF!</definedName>
    <definedName name="wk21st14c" localSheetId="2">#REF!</definedName>
    <definedName name="wk21st14c" localSheetId="5">#REF!</definedName>
    <definedName name="wk21st14c" localSheetId="6">#REF!</definedName>
    <definedName name="wk21st14c" localSheetId="7">#REF!</definedName>
    <definedName name="wk21st14c" localSheetId="8">#REF!</definedName>
    <definedName name="wk21st14c" localSheetId="9">#REF!</definedName>
    <definedName name="wk21st14c" localSheetId="10">#REF!</definedName>
    <definedName name="wk21st14c" localSheetId="11">#REF!</definedName>
    <definedName name="wk21st14c">#REF!</definedName>
    <definedName name="wk21st15c" localSheetId="4">#REF!</definedName>
    <definedName name="wk21st15c" localSheetId="3">#REF!</definedName>
    <definedName name="wk21st15c" localSheetId="2">#REF!</definedName>
    <definedName name="wk21st15c" localSheetId="5">#REF!</definedName>
    <definedName name="wk21st15c" localSheetId="6">#REF!</definedName>
    <definedName name="wk21st15c" localSheetId="7">#REF!</definedName>
    <definedName name="wk21st15c" localSheetId="8">#REF!</definedName>
    <definedName name="wk21st15c" localSheetId="9">#REF!</definedName>
    <definedName name="wk21st15c" localSheetId="10">#REF!</definedName>
    <definedName name="wk21st15c" localSheetId="11">#REF!</definedName>
    <definedName name="wk21st15c">#REF!</definedName>
    <definedName name="wk21st16c" localSheetId="4">#REF!</definedName>
    <definedName name="wk21st16c" localSheetId="3">#REF!</definedName>
    <definedName name="wk21st16c" localSheetId="2">#REF!</definedName>
    <definedName name="wk21st16c" localSheetId="5">#REF!</definedName>
    <definedName name="wk21st16c" localSheetId="6">#REF!</definedName>
    <definedName name="wk21st16c" localSheetId="7">#REF!</definedName>
    <definedName name="wk21st16c" localSheetId="8">#REF!</definedName>
    <definedName name="wk21st16c" localSheetId="9">#REF!</definedName>
    <definedName name="wk21st16c" localSheetId="10">#REF!</definedName>
    <definedName name="wk21st16c" localSheetId="11">#REF!</definedName>
    <definedName name="wk21st16c">#REF!</definedName>
    <definedName name="wk21st17c" localSheetId="4">#REF!</definedName>
    <definedName name="wk21st17c" localSheetId="3">#REF!</definedName>
    <definedName name="wk21st17c" localSheetId="2">#REF!</definedName>
    <definedName name="wk21st17c" localSheetId="5">#REF!</definedName>
    <definedName name="wk21st17c" localSheetId="6">#REF!</definedName>
    <definedName name="wk21st17c" localSheetId="7">#REF!</definedName>
    <definedName name="wk21st17c" localSheetId="8">#REF!</definedName>
    <definedName name="wk21st17c" localSheetId="9">#REF!</definedName>
    <definedName name="wk21st17c" localSheetId="10">#REF!</definedName>
    <definedName name="wk21st17c" localSheetId="11">#REF!</definedName>
    <definedName name="wk21st17c">#REF!</definedName>
    <definedName name="wk21st18c" localSheetId="4">#REF!</definedName>
    <definedName name="wk21st18c" localSheetId="3">#REF!</definedName>
    <definedName name="wk21st18c" localSheetId="2">#REF!</definedName>
    <definedName name="wk21st18c" localSheetId="5">#REF!</definedName>
    <definedName name="wk21st18c" localSheetId="6">#REF!</definedName>
    <definedName name="wk21st18c" localSheetId="7">#REF!</definedName>
    <definedName name="wk21st18c" localSheetId="8">#REF!</definedName>
    <definedName name="wk21st18c" localSheetId="9">#REF!</definedName>
    <definedName name="wk21st18c" localSheetId="10">#REF!</definedName>
    <definedName name="wk21st18c" localSheetId="11">#REF!</definedName>
    <definedName name="wk21st18c">#REF!</definedName>
    <definedName name="wk21st20c" localSheetId="4">#REF!</definedName>
    <definedName name="wk21st20c" localSheetId="3">#REF!</definedName>
    <definedName name="wk21st20c" localSheetId="2">#REF!</definedName>
    <definedName name="wk21st20c" localSheetId="5">#REF!</definedName>
    <definedName name="wk21st20c" localSheetId="6">#REF!</definedName>
    <definedName name="wk21st20c" localSheetId="7">#REF!</definedName>
    <definedName name="wk21st20c" localSheetId="8">#REF!</definedName>
    <definedName name="wk21st20c" localSheetId="9">#REF!</definedName>
    <definedName name="wk21st20c" localSheetId="10">#REF!</definedName>
    <definedName name="wk21st20c" localSheetId="11">#REF!</definedName>
    <definedName name="wk21st20c">#REF!</definedName>
    <definedName name="wk21st21c" localSheetId="4">#REF!</definedName>
    <definedName name="wk21st21c" localSheetId="3">#REF!</definedName>
    <definedName name="wk21st21c" localSheetId="2">#REF!</definedName>
    <definedName name="wk21st21c" localSheetId="5">#REF!</definedName>
    <definedName name="wk21st21c" localSheetId="6">#REF!</definedName>
    <definedName name="wk21st21c" localSheetId="7">#REF!</definedName>
    <definedName name="wk21st21c" localSheetId="8">#REF!</definedName>
    <definedName name="wk21st21c" localSheetId="9">#REF!</definedName>
    <definedName name="wk21st21c" localSheetId="10">#REF!</definedName>
    <definedName name="wk21st21c" localSheetId="11">#REF!</definedName>
    <definedName name="wk21st21c">#REF!</definedName>
    <definedName name="wk21st22c" localSheetId="4">#REF!</definedName>
    <definedName name="wk21st22c" localSheetId="3">#REF!</definedName>
    <definedName name="wk21st22c" localSheetId="2">#REF!</definedName>
    <definedName name="wk21st22c" localSheetId="5">#REF!</definedName>
    <definedName name="wk21st22c" localSheetId="6">#REF!</definedName>
    <definedName name="wk21st22c" localSheetId="7">#REF!</definedName>
    <definedName name="wk21st22c" localSheetId="8">#REF!</definedName>
    <definedName name="wk21st22c" localSheetId="9">#REF!</definedName>
    <definedName name="wk21st22c" localSheetId="10">#REF!</definedName>
    <definedName name="wk21st22c" localSheetId="11">#REF!</definedName>
    <definedName name="wk21st22c">#REF!</definedName>
    <definedName name="wk21st23c" localSheetId="4">#REF!</definedName>
    <definedName name="wk21st23c" localSheetId="3">#REF!</definedName>
    <definedName name="wk21st23c" localSheetId="2">#REF!</definedName>
    <definedName name="wk21st23c" localSheetId="5">#REF!</definedName>
    <definedName name="wk21st23c" localSheetId="6">#REF!</definedName>
    <definedName name="wk21st23c" localSheetId="7">#REF!</definedName>
    <definedName name="wk21st23c" localSheetId="8">#REF!</definedName>
    <definedName name="wk21st23c" localSheetId="9">#REF!</definedName>
    <definedName name="wk21st23c" localSheetId="10">#REF!</definedName>
    <definedName name="wk21st23c" localSheetId="11">#REF!</definedName>
    <definedName name="wk21st23c">#REF!</definedName>
    <definedName name="wk21st24c" localSheetId="4">#REF!</definedName>
    <definedName name="wk21st24c" localSheetId="3">#REF!</definedName>
    <definedName name="wk21st24c" localSheetId="2">#REF!</definedName>
    <definedName name="wk21st24c" localSheetId="5">#REF!</definedName>
    <definedName name="wk21st24c" localSheetId="6">#REF!</definedName>
    <definedName name="wk21st24c" localSheetId="7">#REF!</definedName>
    <definedName name="wk21st24c" localSheetId="8">#REF!</definedName>
    <definedName name="wk21st24c" localSheetId="9">#REF!</definedName>
    <definedName name="wk21st24c" localSheetId="10">#REF!</definedName>
    <definedName name="wk21st24c" localSheetId="11">#REF!</definedName>
    <definedName name="wk21st24c">#REF!</definedName>
    <definedName name="wk21st25c" localSheetId="4">#REF!</definedName>
    <definedName name="wk21st25c" localSheetId="3">#REF!</definedName>
    <definedName name="wk21st25c" localSheetId="2">#REF!</definedName>
    <definedName name="wk21st25c" localSheetId="5">#REF!</definedName>
    <definedName name="wk21st25c" localSheetId="6">#REF!</definedName>
    <definedName name="wk21st25c" localSheetId="7">#REF!</definedName>
    <definedName name="wk21st25c" localSheetId="8">#REF!</definedName>
    <definedName name="wk21st25c" localSheetId="9">#REF!</definedName>
    <definedName name="wk21st25c" localSheetId="10">#REF!</definedName>
    <definedName name="wk21st25c" localSheetId="11">#REF!</definedName>
    <definedName name="wk21st25c">#REF!</definedName>
    <definedName name="wk21st26c" localSheetId="4">#REF!</definedName>
    <definedName name="wk21st26c" localSheetId="3">#REF!</definedName>
    <definedName name="wk21st26c" localSheetId="2">#REF!</definedName>
    <definedName name="wk21st26c" localSheetId="5">#REF!</definedName>
    <definedName name="wk21st26c" localSheetId="6">#REF!</definedName>
    <definedName name="wk21st26c" localSheetId="7">#REF!</definedName>
    <definedName name="wk21st26c" localSheetId="8">#REF!</definedName>
    <definedName name="wk21st26c" localSheetId="9">#REF!</definedName>
    <definedName name="wk21st26c" localSheetId="10">#REF!</definedName>
    <definedName name="wk21st26c" localSheetId="11">#REF!</definedName>
    <definedName name="wk21st26c">#REF!</definedName>
    <definedName name="wk21st27c" localSheetId="4">#REF!</definedName>
    <definedName name="wk21st27c" localSheetId="3">#REF!</definedName>
    <definedName name="wk21st27c" localSheetId="2">#REF!</definedName>
    <definedName name="wk21st27c" localSheetId="5">#REF!</definedName>
    <definedName name="wk21st27c" localSheetId="6">#REF!</definedName>
    <definedName name="wk21st27c" localSheetId="7">#REF!</definedName>
    <definedName name="wk21st27c" localSheetId="8">#REF!</definedName>
    <definedName name="wk21st27c" localSheetId="9">#REF!</definedName>
    <definedName name="wk21st27c" localSheetId="10">#REF!</definedName>
    <definedName name="wk21st27c" localSheetId="11">#REF!</definedName>
    <definedName name="wk21st27c">#REF!</definedName>
    <definedName name="wk21st28c" localSheetId="4">#REF!</definedName>
    <definedName name="wk21st28c" localSheetId="3">#REF!</definedName>
    <definedName name="wk21st28c" localSheetId="2">#REF!</definedName>
    <definedName name="wk21st28c" localSheetId="5">#REF!</definedName>
    <definedName name="wk21st28c" localSheetId="6">#REF!</definedName>
    <definedName name="wk21st28c" localSheetId="7">#REF!</definedName>
    <definedName name="wk21st28c" localSheetId="8">#REF!</definedName>
    <definedName name="wk21st28c" localSheetId="9">#REF!</definedName>
    <definedName name="wk21st28c" localSheetId="10">#REF!</definedName>
    <definedName name="wk21st28c" localSheetId="11">#REF!</definedName>
    <definedName name="wk21st28c">#REF!</definedName>
    <definedName name="wk21st29c" localSheetId="4">#REF!</definedName>
    <definedName name="wk21st29c" localSheetId="3">#REF!</definedName>
    <definedName name="wk21st29c" localSheetId="2">#REF!</definedName>
    <definedName name="wk21st29c" localSheetId="5">#REF!</definedName>
    <definedName name="wk21st29c" localSheetId="6">#REF!</definedName>
    <definedName name="wk21st29c" localSheetId="7">#REF!</definedName>
    <definedName name="wk21st29c" localSheetId="8">#REF!</definedName>
    <definedName name="wk21st29c" localSheetId="9">#REF!</definedName>
    <definedName name="wk21st29c" localSheetId="10">#REF!</definedName>
    <definedName name="wk21st29c" localSheetId="11">#REF!</definedName>
    <definedName name="wk21st29c">#REF!</definedName>
    <definedName name="wk21st30c" localSheetId="4">#REF!</definedName>
    <definedName name="wk21st30c" localSheetId="3">#REF!</definedName>
    <definedName name="wk21st30c" localSheetId="2">#REF!</definedName>
    <definedName name="wk21st30c" localSheetId="5">#REF!</definedName>
    <definedName name="wk21st30c" localSheetId="6">#REF!</definedName>
    <definedName name="wk21st30c" localSheetId="7">#REF!</definedName>
    <definedName name="wk21st30c" localSheetId="8">#REF!</definedName>
    <definedName name="wk21st30c" localSheetId="9">#REF!</definedName>
    <definedName name="wk21st30c" localSheetId="10">#REF!</definedName>
    <definedName name="wk21st30c" localSheetId="11">#REF!</definedName>
    <definedName name="wk21st30c">#REF!</definedName>
    <definedName name="wk21st31c" localSheetId="4">#REF!</definedName>
    <definedName name="wk21st31c" localSheetId="3">#REF!</definedName>
    <definedName name="wk21st31c" localSheetId="2">#REF!</definedName>
    <definedName name="wk21st31c" localSheetId="5">#REF!</definedName>
    <definedName name="wk21st31c" localSheetId="6">#REF!</definedName>
    <definedName name="wk21st31c" localSheetId="7">#REF!</definedName>
    <definedName name="wk21st31c" localSheetId="8">#REF!</definedName>
    <definedName name="wk21st31c" localSheetId="9">#REF!</definedName>
    <definedName name="wk21st31c" localSheetId="10">#REF!</definedName>
    <definedName name="wk21st31c" localSheetId="11">#REF!</definedName>
    <definedName name="wk21st31c">#REF!</definedName>
    <definedName name="wk21st32c" localSheetId="4">#REF!</definedName>
    <definedName name="wk21st32c" localSheetId="3">#REF!</definedName>
    <definedName name="wk21st32c" localSheetId="2">#REF!</definedName>
    <definedName name="wk21st32c" localSheetId="5">#REF!</definedName>
    <definedName name="wk21st32c" localSheetId="6">#REF!</definedName>
    <definedName name="wk21st32c" localSheetId="7">#REF!</definedName>
    <definedName name="wk21st32c" localSheetId="8">#REF!</definedName>
    <definedName name="wk21st32c" localSheetId="9">#REF!</definedName>
    <definedName name="wk21st32c" localSheetId="10">#REF!</definedName>
    <definedName name="wk21st32c" localSheetId="11">#REF!</definedName>
    <definedName name="wk21st32c">#REF!</definedName>
    <definedName name="wk21st33c" localSheetId="4">#REF!</definedName>
    <definedName name="wk21st33c" localSheetId="3">#REF!</definedName>
    <definedName name="wk21st33c" localSheetId="2">#REF!</definedName>
    <definedName name="wk21st33c" localSheetId="5">#REF!</definedName>
    <definedName name="wk21st33c" localSheetId="6">#REF!</definedName>
    <definedName name="wk21st33c" localSheetId="7">#REF!</definedName>
    <definedName name="wk21st33c" localSheetId="8">#REF!</definedName>
    <definedName name="wk21st33c" localSheetId="9">#REF!</definedName>
    <definedName name="wk21st33c" localSheetId="10">#REF!</definedName>
    <definedName name="wk21st33c" localSheetId="11">#REF!</definedName>
    <definedName name="wk21st33c">#REF!</definedName>
    <definedName name="wk21st34c" localSheetId="4">#REF!</definedName>
    <definedName name="wk21st34c" localSheetId="3">#REF!</definedName>
    <definedName name="wk21st34c" localSheetId="2">#REF!</definedName>
    <definedName name="wk21st34c" localSheetId="5">#REF!</definedName>
    <definedName name="wk21st34c" localSheetId="6">#REF!</definedName>
    <definedName name="wk21st34c" localSheetId="7">#REF!</definedName>
    <definedName name="wk21st34c" localSheetId="8">#REF!</definedName>
    <definedName name="wk21st34c" localSheetId="9">#REF!</definedName>
    <definedName name="wk21st34c" localSheetId="10">#REF!</definedName>
    <definedName name="wk21st34c" localSheetId="11">#REF!</definedName>
    <definedName name="wk21st34c">#REF!</definedName>
    <definedName name="wk21st35c" localSheetId="4">#REF!</definedName>
    <definedName name="wk21st35c" localSheetId="3">#REF!</definedName>
    <definedName name="wk21st35c" localSheetId="2">#REF!</definedName>
    <definedName name="wk21st35c" localSheetId="5">#REF!</definedName>
    <definedName name="wk21st35c" localSheetId="6">#REF!</definedName>
    <definedName name="wk21st35c" localSheetId="7">#REF!</definedName>
    <definedName name="wk21st35c" localSheetId="8">#REF!</definedName>
    <definedName name="wk21st35c" localSheetId="9">#REF!</definedName>
    <definedName name="wk21st35c" localSheetId="10">#REF!</definedName>
    <definedName name="wk21st35c" localSheetId="11">#REF!</definedName>
    <definedName name="wk21st35c">#REF!</definedName>
    <definedName name="wk21st36c" localSheetId="4">#REF!</definedName>
    <definedName name="wk21st36c" localSheetId="3">#REF!</definedName>
    <definedName name="wk21st36c" localSheetId="2">#REF!</definedName>
    <definedName name="wk21st36c" localSheetId="5">#REF!</definedName>
    <definedName name="wk21st36c" localSheetId="6">#REF!</definedName>
    <definedName name="wk21st36c" localSheetId="7">#REF!</definedName>
    <definedName name="wk21st36c" localSheetId="8">#REF!</definedName>
    <definedName name="wk21st36c" localSheetId="9">#REF!</definedName>
    <definedName name="wk21st36c" localSheetId="10">#REF!</definedName>
    <definedName name="wk21st36c" localSheetId="11">#REF!</definedName>
    <definedName name="wk21st36c">#REF!</definedName>
    <definedName name="wk22st13c" localSheetId="4">#REF!</definedName>
    <definedName name="wk22st13c" localSheetId="3">#REF!</definedName>
    <definedName name="wk22st13c" localSheetId="2">#REF!</definedName>
    <definedName name="wk22st13c" localSheetId="5">#REF!</definedName>
    <definedName name="wk22st13c" localSheetId="6">#REF!</definedName>
    <definedName name="wk22st13c" localSheetId="7">#REF!</definedName>
    <definedName name="wk22st13c" localSheetId="8">#REF!</definedName>
    <definedName name="wk22st13c" localSheetId="9">#REF!</definedName>
    <definedName name="wk22st13c" localSheetId="10">#REF!</definedName>
    <definedName name="wk22st13c" localSheetId="11">#REF!</definedName>
    <definedName name="wk22st13c">#REF!</definedName>
    <definedName name="wk22st14c" localSheetId="4">#REF!</definedName>
    <definedName name="wk22st14c" localSheetId="3">#REF!</definedName>
    <definedName name="wk22st14c" localSheetId="2">#REF!</definedName>
    <definedName name="wk22st14c" localSheetId="5">#REF!</definedName>
    <definedName name="wk22st14c" localSheetId="6">#REF!</definedName>
    <definedName name="wk22st14c" localSheetId="7">#REF!</definedName>
    <definedName name="wk22st14c" localSheetId="8">#REF!</definedName>
    <definedName name="wk22st14c" localSheetId="9">#REF!</definedName>
    <definedName name="wk22st14c" localSheetId="10">#REF!</definedName>
    <definedName name="wk22st14c" localSheetId="11">#REF!</definedName>
    <definedName name="wk22st14c">#REF!</definedName>
    <definedName name="wk22st15c" localSheetId="4">#REF!</definedName>
    <definedName name="wk22st15c" localSheetId="3">#REF!</definedName>
    <definedName name="wk22st15c" localSheetId="2">#REF!</definedName>
    <definedName name="wk22st15c" localSheetId="5">#REF!</definedName>
    <definedName name="wk22st15c" localSheetId="6">#REF!</definedName>
    <definedName name="wk22st15c" localSheetId="7">#REF!</definedName>
    <definedName name="wk22st15c" localSheetId="8">#REF!</definedName>
    <definedName name="wk22st15c" localSheetId="9">#REF!</definedName>
    <definedName name="wk22st15c" localSheetId="10">#REF!</definedName>
    <definedName name="wk22st15c" localSheetId="11">#REF!</definedName>
    <definedName name="wk22st15c">#REF!</definedName>
    <definedName name="wk22st16c" localSheetId="4">#REF!</definedName>
    <definedName name="wk22st16c" localSheetId="3">#REF!</definedName>
    <definedName name="wk22st16c" localSheetId="2">#REF!</definedName>
    <definedName name="wk22st16c" localSheetId="5">#REF!</definedName>
    <definedName name="wk22st16c" localSheetId="6">#REF!</definedName>
    <definedName name="wk22st16c" localSheetId="7">#REF!</definedName>
    <definedName name="wk22st16c" localSheetId="8">#REF!</definedName>
    <definedName name="wk22st16c" localSheetId="9">#REF!</definedName>
    <definedName name="wk22st16c" localSheetId="10">#REF!</definedName>
    <definedName name="wk22st16c" localSheetId="11">#REF!</definedName>
    <definedName name="wk22st16c">#REF!</definedName>
    <definedName name="wk22st17c" localSheetId="4">#REF!</definedName>
    <definedName name="wk22st17c" localSheetId="3">#REF!</definedName>
    <definedName name="wk22st17c" localSheetId="2">#REF!</definedName>
    <definedName name="wk22st17c" localSheetId="5">#REF!</definedName>
    <definedName name="wk22st17c" localSheetId="6">#REF!</definedName>
    <definedName name="wk22st17c" localSheetId="7">#REF!</definedName>
    <definedName name="wk22st17c" localSheetId="8">#REF!</definedName>
    <definedName name="wk22st17c" localSheetId="9">#REF!</definedName>
    <definedName name="wk22st17c" localSheetId="10">#REF!</definedName>
    <definedName name="wk22st17c" localSheetId="11">#REF!</definedName>
    <definedName name="wk22st17c">#REF!</definedName>
    <definedName name="wk22st18c" localSheetId="4">#REF!</definedName>
    <definedName name="wk22st18c" localSheetId="3">#REF!</definedName>
    <definedName name="wk22st18c" localSheetId="2">#REF!</definedName>
    <definedName name="wk22st18c" localSheetId="5">#REF!</definedName>
    <definedName name="wk22st18c" localSheetId="6">#REF!</definedName>
    <definedName name="wk22st18c" localSheetId="7">#REF!</definedName>
    <definedName name="wk22st18c" localSheetId="8">#REF!</definedName>
    <definedName name="wk22st18c" localSheetId="9">#REF!</definedName>
    <definedName name="wk22st18c" localSheetId="10">#REF!</definedName>
    <definedName name="wk22st18c" localSheetId="11">#REF!</definedName>
    <definedName name="wk22st18c">#REF!</definedName>
    <definedName name="wk22st22c" localSheetId="4">#REF!</definedName>
    <definedName name="wk22st22c" localSheetId="3">#REF!</definedName>
    <definedName name="wk22st22c" localSheetId="2">#REF!</definedName>
    <definedName name="wk22st22c" localSheetId="5">#REF!</definedName>
    <definedName name="wk22st22c" localSheetId="6">#REF!</definedName>
    <definedName name="wk22st22c" localSheetId="7">#REF!</definedName>
    <definedName name="wk22st22c" localSheetId="8">#REF!</definedName>
    <definedName name="wk22st22c" localSheetId="9">#REF!</definedName>
    <definedName name="wk22st22c" localSheetId="10">#REF!</definedName>
    <definedName name="wk22st22c" localSheetId="11">#REF!</definedName>
    <definedName name="wk22st22c">#REF!</definedName>
    <definedName name="wk22st23c" localSheetId="4">#REF!</definedName>
    <definedName name="wk22st23c" localSheetId="3">#REF!</definedName>
    <definedName name="wk22st23c" localSheetId="2">#REF!</definedName>
    <definedName name="wk22st23c" localSheetId="5">#REF!</definedName>
    <definedName name="wk22st23c" localSheetId="6">#REF!</definedName>
    <definedName name="wk22st23c" localSheetId="7">#REF!</definedName>
    <definedName name="wk22st23c" localSheetId="8">#REF!</definedName>
    <definedName name="wk22st23c" localSheetId="9">#REF!</definedName>
    <definedName name="wk22st23c" localSheetId="10">#REF!</definedName>
    <definedName name="wk22st23c" localSheetId="11">#REF!</definedName>
    <definedName name="wk22st23c">#REF!</definedName>
    <definedName name="wk22st24c" localSheetId="4">#REF!</definedName>
    <definedName name="wk22st24c" localSheetId="3">#REF!</definedName>
    <definedName name="wk22st24c" localSheetId="2">#REF!</definedName>
    <definedName name="wk22st24c" localSheetId="5">#REF!</definedName>
    <definedName name="wk22st24c" localSheetId="6">#REF!</definedName>
    <definedName name="wk22st24c" localSheetId="7">#REF!</definedName>
    <definedName name="wk22st24c" localSheetId="8">#REF!</definedName>
    <definedName name="wk22st24c" localSheetId="9">#REF!</definedName>
    <definedName name="wk22st24c" localSheetId="10">#REF!</definedName>
    <definedName name="wk22st24c" localSheetId="11">#REF!</definedName>
    <definedName name="wk22st24c">#REF!</definedName>
    <definedName name="wk22st28c" localSheetId="4">#REF!</definedName>
    <definedName name="wk22st28c" localSheetId="3">#REF!</definedName>
    <definedName name="wk22st28c" localSheetId="2">#REF!</definedName>
    <definedName name="wk22st28c" localSheetId="5">#REF!</definedName>
    <definedName name="wk22st28c" localSheetId="6">#REF!</definedName>
    <definedName name="wk22st28c" localSheetId="7">#REF!</definedName>
    <definedName name="wk22st28c" localSheetId="8">#REF!</definedName>
    <definedName name="wk22st28c" localSheetId="9">#REF!</definedName>
    <definedName name="wk22st28c" localSheetId="10">#REF!</definedName>
    <definedName name="wk22st28c" localSheetId="11">#REF!</definedName>
    <definedName name="wk22st28c">#REF!</definedName>
    <definedName name="wk22st29c" localSheetId="4">#REF!</definedName>
    <definedName name="wk22st29c" localSheetId="3">#REF!</definedName>
    <definedName name="wk22st29c" localSheetId="2">#REF!</definedName>
    <definedName name="wk22st29c" localSheetId="5">#REF!</definedName>
    <definedName name="wk22st29c" localSheetId="6">#REF!</definedName>
    <definedName name="wk22st29c" localSheetId="7">#REF!</definedName>
    <definedName name="wk22st29c" localSheetId="8">#REF!</definedName>
    <definedName name="wk22st29c" localSheetId="9">#REF!</definedName>
    <definedName name="wk22st29c" localSheetId="10">#REF!</definedName>
    <definedName name="wk22st29c" localSheetId="11">#REF!</definedName>
    <definedName name="wk22st29c">#REF!</definedName>
    <definedName name="wk22st30c" localSheetId="4">#REF!</definedName>
    <definedName name="wk22st30c" localSheetId="3">#REF!</definedName>
    <definedName name="wk22st30c" localSheetId="2">#REF!</definedName>
    <definedName name="wk22st30c" localSheetId="5">#REF!</definedName>
    <definedName name="wk22st30c" localSheetId="6">#REF!</definedName>
    <definedName name="wk22st30c" localSheetId="7">#REF!</definedName>
    <definedName name="wk22st30c" localSheetId="8">#REF!</definedName>
    <definedName name="wk22st30c" localSheetId="9">#REF!</definedName>
    <definedName name="wk22st30c" localSheetId="10">#REF!</definedName>
    <definedName name="wk22st30c" localSheetId="11">#REF!</definedName>
    <definedName name="wk22st30c">#REF!</definedName>
    <definedName name="wk22st31c" localSheetId="4">#REF!</definedName>
    <definedName name="wk22st31c" localSheetId="3">#REF!</definedName>
    <definedName name="wk22st31c" localSheetId="2">#REF!</definedName>
    <definedName name="wk22st31c" localSheetId="5">#REF!</definedName>
    <definedName name="wk22st31c" localSheetId="6">#REF!</definedName>
    <definedName name="wk22st31c" localSheetId="7">#REF!</definedName>
    <definedName name="wk22st31c" localSheetId="8">#REF!</definedName>
    <definedName name="wk22st31c" localSheetId="9">#REF!</definedName>
    <definedName name="wk22st31c" localSheetId="10">#REF!</definedName>
    <definedName name="wk22st31c" localSheetId="11">#REF!</definedName>
    <definedName name="wk22st31c">#REF!</definedName>
    <definedName name="wk22st32c" localSheetId="4">#REF!</definedName>
    <definedName name="wk22st32c" localSheetId="3">#REF!</definedName>
    <definedName name="wk22st32c" localSheetId="2">#REF!</definedName>
    <definedName name="wk22st32c" localSheetId="5">#REF!</definedName>
    <definedName name="wk22st32c" localSheetId="6">#REF!</definedName>
    <definedName name="wk22st32c" localSheetId="7">#REF!</definedName>
    <definedName name="wk22st32c" localSheetId="8">#REF!</definedName>
    <definedName name="wk22st32c" localSheetId="9">#REF!</definedName>
    <definedName name="wk22st32c" localSheetId="10">#REF!</definedName>
    <definedName name="wk22st32c" localSheetId="11">#REF!</definedName>
    <definedName name="wk22st32c">#REF!</definedName>
    <definedName name="wk22st33c" localSheetId="4">#REF!</definedName>
    <definedName name="wk22st33c" localSheetId="3">#REF!</definedName>
    <definedName name="wk22st33c" localSheetId="2">#REF!</definedName>
    <definedName name="wk22st33c" localSheetId="5">#REF!</definedName>
    <definedName name="wk22st33c" localSheetId="6">#REF!</definedName>
    <definedName name="wk22st33c" localSheetId="7">#REF!</definedName>
    <definedName name="wk22st33c" localSheetId="8">#REF!</definedName>
    <definedName name="wk22st33c" localSheetId="9">#REF!</definedName>
    <definedName name="wk22st33c" localSheetId="10">#REF!</definedName>
    <definedName name="wk22st33c" localSheetId="11">#REF!</definedName>
    <definedName name="wk22st33c">#REF!</definedName>
    <definedName name="wk22st34c" localSheetId="4">#REF!</definedName>
    <definedName name="wk22st34c" localSheetId="3">#REF!</definedName>
    <definedName name="wk22st34c" localSheetId="2">#REF!</definedName>
    <definedName name="wk22st34c" localSheetId="5">#REF!</definedName>
    <definedName name="wk22st34c" localSheetId="6">#REF!</definedName>
    <definedName name="wk22st34c" localSheetId="7">#REF!</definedName>
    <definedName name="wk22st34c" localSheetId="8">#REF!</definedName>
    <definedName name="wk22st34c" localSheetId="9">#REF!</definedName>
    <definedName name="wk22st34c" localSheetId="10">#REF!</definedName>
    <definedName name="wk22st34c" localSheetId="11">#REF!</definedName>
    <definedName name="wk22st34c">#REF!</definedName>
    <definedName name="wk22st35c" localSheetId="4">#REF!</definedName>
    <definedName name="wk22st35c" localSheetId="3">#REF!</definedName>
    <definedName name="wk22st35c" localSheetId="2">#REF!</definedName>
    <definedName name="wk22st35c" localSheetId="5">#REF!</definedName>
    <definedName name="wk22st35c" localSheetId="6">#REF!</definedName>
    <definedName name="wk22st35c" localSheetId="7">#REF!</definedName>
    <definedName name="wk22st35c" localSheetId="8">#REF!</definedName>
    <definedName name="wk22st35c" localSheetId="9">#REF!</definedName>
    <definedName name="wk22st35c" localSheetId="10">#REF!</definedName>
    <definedName name="wk22st35c" localSheetId="11">#REF!</definedName>
    <definedName name="wk22st35c">#REF!</definedName>
    <definedName name="wk22st36c" localSheetId="4">#REF!</definedName>
    <definedName name="wk22st36c" localSheetId="3">#REF!</definedName>
    <definedName name="wk22st36c" localSheetId="2">#REF!</definedName>
    <definedName name="wk22st36c" localSheetId="5">#REF!</definedName>
    <definedName name="wk22st36c" localSheetId="6">#REF!</definedName>
    <definedName name="wk22st36c" localSheetId="7">#REF!</definedName>
    <definedName name="wk22st36c" localSheetId="8">#REF!</definedName>
    <definedName name="wk22st36c" localSheetId="9">#REF!</definedName>
    <definedName name="wk22st36c" localSheetId="10">#REF!</definedName>
    <definedName name="wk22st36c" localSheetId="11">#REF!</definedName>
    <definedName name="wk22st36c">#REF!</definedName>
    <definedName name="wk23st13c" localSheetId="4">#REF!</definedName>
    <definedName name="wk23st13c" localSheetId="3">#REF!</definedName>
    <definedName name="wk23st13c" localSheetId="2">#REF!</definedName>
    <definedName name="wk23st13c" localSheetId="5">#REF!</definedName>
    <definedName name="wk23st13c" localSheetId="6">#REF!</definedName>
    <definedName name="wk23st13c" localSheetId="7">#REF!</definedName>
    <definedName name="wk23st13c" localSheetId="8">#REF!</definedName>
    <definedName name="wk23st13c" localSheetId="9">#REF!</definedName>
    <definedName name="wk23st13c" localSheetId="10">#REF!</definedName>
    <definedName name="wk23st13c" localSheetId="11">#REF!</definedName>
    <definedName name="wk23st13c">#REF!</definedName>
    <definedName name="wk23st17c" localSheetId="4">#REF!</definedName>
    <definedName name="wk23st17c" localSheetId="3">#REF!</definedName>
    <definedName name="wk23st17c" localSheetId="2">#REF!</definedName>
    <definedName name="wk23st17c" localSheetId="5">#REF!</definedName>
    <definedName name="wk23st17c" localSheetId="6">#REF!</definedName>
    <definedName name="wk23st17c" localSheetId="7">#REF!</definedName>
    <definedName name="wk23st17c" localSheetId="8">#REF!</definedName>
    <definedName name="wk23st17c" localSheetId="9">#REF!</definedName>
    <definedName name="wk23st17c" localSheetId="10">#REF!</definedName>
    <definedName name="wk23st17c" localSheetId="11">#REF!</definedName>
    <definedName name="wk23st17c">#REF!</definedName>
    <definedName name="wk23st18c" localSheetId="4">#REF!</definedName>
    <definedName name="wk23st18c" localSheetId="3">#REF!</definedName>
    <definedName name="wk23st18c" localSheetId="2">#REF!</definedName>
    <definedName name="wk23st18c" localSheetId="5">#REF!</definedName>
    <definedName name="wk23st18c" localSheetId="6">#REF!</definedName>
    <definedName name="wk23st18c" localSheetId="7">#REF!</definedName>
    <definedName name="wk23st18c" localSheetId="8">#REF!</definedName>
    <definedName name="wk23st18c" localSheetId="9">#REF!</definedName>
    <definedName name="wk23st18c" localSheetId="10">#REF!</definedName>
    <definedName name="wk23st18c" localSheetId="11">#REF!</definedName>
    <definedName name="wk23st18c">#REF!</definedName>
    <definedName name="wk23st20c" localSheetId="4">#REF!</definedName>
    <definedName name="wk23st20c" localSheetId="3">#REF!</definedName>
    <definedName name="wk23st20c" localSheetId="2">#REF!</definedName>
    <definedName name="wk23st20c" localSheetId="5">#REF!</definedName>
    <definedName name="wk23st20c" localSheetId="6">#REF!</definedName>
    <definedName name="wk23st20c" localSheetId="7">#REF!</definedName>
    <definedName name="wk23st20c" localSheetId="8">#REF!</definedName>
    <definedName name="wk23st20c" localSheetId="9">#REF!</definedName>
    <definedName name="wk23st20c" localSheetId="10">#REF!</definedName>
    <definedName name="wk23st20c" localSheetId="11">#REF!</definedName>
    <definedName name="wk23st20c">#REF!</definedName>
    <definedName name="wk23st21c" localSheetId="4">#REF!</definedName>
    <definedName name="wk23st21c" localSheetId="3">#REF!</definedName>
    <definedName name="wk23st21c" localSheetId="2">#REF!</definedName>
    <definedName name="wk23st21c" localSheetId="5">#REF!</definedName>
    <definedName name="wk23st21c" localSheetId="6">#REF!</definedName>
    <definedName name="wk23st21c" localSheetId="7">#REF!</definedName>
    <definedName name="wk23st21c" localSheetId="8">#REF!</definedName>
    <definedName name="wk23st21c" localSheetId="9">#REF!</definedName>
    <definedName name="wk23st21c" localSheetId="10">#REF!</definedName>
    <definedName name="wk23st21c" localSheetId="11">#REF!</definedName>
    <definedName name="wk23st21c">#REF!</definedName>
    <definedName name="wk23st22c" localSheetId="4">#REF!</definedName>
    <definedName name="wk23st22c" localSheetId="3">#REF!</definedName>
    <definedName name="wk23st22c" localSheetId="2">#REF!</definedName>
    <definedName name="wk23st22c" localSheetId="5">#REF!</definedName>
    <definedName name="wk23st22c" localSheetId="6">#REF!</definedName>
    <definedName name="wk23st22c" localSheetId="7">#REF!</definedName>
    <definedName name="wk23st22c" localSheetId="8">#REF!</definedName>
    <definedName name="wk23st22c" localSheetId="9">#REF!</definedName>
    <definedName name="wk23st22c" localSheetId="10">#REF!</definedName>
    <definedName name="wk23st22c" localSheetId="11">#REF!</definedName>
    <definedName name="wk23st22c">#REF!</definedName>
    <definedName name="wk23st23c" localSheetId="4">#REF!</definedName>
    <definedName name="wk23st23c" localSheetId="3">#REF!</definedName>
    <definedName name="wk23st23c" localSheetId="2">#REF!</definedName>
    <definedName name="wk23st23c" localSheetId="5">#REF!</definedName>
    <definedName name="wk23st23c" localSheetId="6">#REF!</definedName>
    <definedName name="wk23st23c" localSheetId="7">#REF!</definedName>
    <definedName name="wk23st23c" localSheetId="8">#REF!</definedName>
    <definedName name="wk23st23c" localSheetId="9">#REF!</definedName>
    <definedName name="wk23st23c" localSheetId="10">#REF!</definedName>
    <definedName name="wk23st23c" localSheetId="11">#REF!</definedName>
    <definedName name="wk23st23c">#REF!</definedName>
    <definedName name="wk23st24c" localSheetId="4">#REF!</definedName>
    <definedName name="wk23st24c" localSheetId="3">#REF!</definedName>
    <definedName name="wk23st24c" localSheetId="2">#REF!</definedName>
    <definedName name="wk23st24c" localSheetId="5">#REF!</definedName>
    <definedName name="wk23st24c" localSheetId="6">#REF!</definedName>
    <definedName name="wk23st24c" localSheetId="7">#REF!</definedName>
    <definedName name="wk23st24c" localSheetId="8">#REF!</definedName>
    <definedName name="wk23st24c" localSheetId="9">#REF!</definedName>
    <definedName name="wk23st24c" localSheetId="10">#REF!</definedName>
    <definedName name="wk23st24c" localSheetId="11">#REF!</definedName>
    <definedName name="wk23st24c">#REF!</definedName>
    <definedName name="wk23st29c" localSheetId="4">#REF!</definedName>
    <definedName name="wk23st29c" localSheetId="3">#REF!</definedName>
    <definedName name="wk23st29c" localSheetId="2">#REF!</definedName>
    <definedName name="wk23st29c" localSheetId="5">#REF!</definedName>
    <definedName name="wk23st29c" localSheetId="6">#REF!</definedName>
    <definedName name="wk23st29c" localSheetId="7">#REF!</definedName>
    <definedName name="wk23st29c" localSheetId="8">#REF!</definedName>
    <definedName name="wk23st29c" localSheetId="9">#REF!</definedName>
    <definedName name="wk23st29c" localSheetId="10">#REF!</definedName>
    <definedName name="wk23st29c" localSheetId="11">#REF!</definedName>
    <definedName name="wk23st29c">#REF!</definedName>
    <definedName name="wk23st32c" localSheetId="4">#REF!</definedName>
    <definedName name="wk23st32c" localSheetId="3">#REF!</definedName>
    <definedName name="wk23st32c" localSheetId="2">#REF!</definedName>
    <definedName name="wk23st32c" localSheetId="5">#REF!</definedName>
    <definedName name="wk23st32c" localSheetId="6">#REF!</definedName>
    <definedName name="wk23st32c" localSheetId="7">#REF!</definedName>
    <definedName name="wk23st32c" localSheetId="8">#REF!</definedName>
    <definedName name="wk23st32c" localSheetId="9">#REF!</definedName>
    <definedName name="wk23st32c" localSheetId="10">#REF!</definedName>
    <definedName name="wk23st32c" localSheetId="11">#REF!</definedName>
    <definedName name="wk23st32c">#REF!</definedName>
    <definedName name="wk23st36c" localSheetId="4">#REF!</definedName>
    <definedName name="wk23st36c" localSheetId="3">#REF!</definedName>
    <definedName name="wk23st36c" localSheetId="2">#REF!</definedName>
    <definedName name="wk23st36c" localSheetId="5">#REF!</definedName>
    <definedName name="wk23st36c" localSheetId="6">#REF!</definedName>
    <definedName name="wk23st36c" localSheetId="7">#REF!</definedName>
    <definedName name="wk23st36c" localSheetId="8">#REF!</definedName>
    <definedName name="wk23st36c" localSheetId="9">#REF!</definedName>
    <definedName name="wk23st36c" localSheetId="10">#REF!</definedName>
    <definedName name="wk23st36c" localSheetId="11">#REF!</definedName>
    <definedName name="wk23st36c">#REF!</definedName>
    <definedName name="wk24st13c" localSheetId="4">#REF!</definedName>
    <definedName name="wk24st13c" localSheetId="3">#REF!</definedName>
    <definedName name="wk24st13c" localSheetId="2">#REF!</definedName>
    <definedName name="wk24st13c" localSheetId="5">#REF!</definedName>
    <definedName name="wk24st13c" localSheetId="6">#REF!</definedName>
    <definedName name="wk24st13c" localSheetId="7">#REF!</definedName>
    <definedName name="wk24st13c" localSheetId="8">#REF!</definedName>
    <definedName name="wk24st13c" localSheetId="9">#REF!</definedName>
    <definedName name="wk24st13c" localSheetId="10">#REF!</definedName>
    <definedName name="wk24st13c" localSheetId="11">#REF!</definedName>
    <definedName name="wk24st13c">#REF!</definedName>
    <definedName name="wk24st14c" localSheetId="4">#REF!</definedName>
    <definedName name="wk24st14c" localSheetId="3">#REF!</definedName>
    <definedName name="wk24st14c" localSheetId="2">#REF!</definedName>
    <definedName name="wk24st14c" localSheetId="5">#REF!</definedName>
    <definedName name="wk24st14c" localSheetId="6">#REF!</definedName>
    <definedName name="wk24st14c" localSheetId="7">#REF!</definedName>
    <definedName name="wk24st14c" localSheetId="8">#REF!</definedName>
    <definedName name="wk24st14c" localSheetId="9">#REF!</definedName>
    <definedName name="wk24st14c" localSheetId="10">#REF!</definedName>
    <definedName name="wk24st14c" localSheetId="11">#REF!</definedName>
    <definedName name="wk24st14c">#REF!</definedName>
    <definedName name="wk24st15c" localSheetId="4">#REF!</definedName>
    <definedName name="wk24st15c" localSheetId="3">#REF!</definedName>
    <definedName name="wk24st15c" localSheetId="2">#REF!</definedName>
    <definedName name="wk24st15c" localSheetId="5">#REF!</definedName>
    <definedName name="wk24st15c" localSheetId="6">#REF!</definedName>
    <definedName name="wk24st15c" localSheetId="7">#REF!</definedName>
    <definedName name="wk24st15c" localSheetId="8">#REF!</definedName>
    <definedName name="wk24st15c" localSheetId="9">#REF!</definedName>
    <definedName name="wk24st15c" localSheetId="10">#REF!</definedName>
    <definedName name="wk24st15c" localSheetId="11">#REF!</definedName>
    <definedName name="wk24st15c">#REF!</definedName>
    <definedName name="wk24st16c" localSheetId="4">#REF!</definedName>
    <definedName name="wk24st16c" localSheetId="3">#REF!</definedName>
    <definedName name="wk24st16c" localSheetId="2">#REF!</definedName>
    <definedName name="wk24st16c" localSheetId="5">#REF!</definedName>
    <definedName name="wk24st16c" localSheetId="6">#REF!</definedName>
    <definedName name="wk24st16c" localSheetId="7">#REF!</definedName>
    <definedName name="wk24st16c" localSheetId="8">#REF!</definedName>
    <definedName name="wk24st16c" localSheetId="9">#REF!</definedName>
    <definedName name="wk24st16c" localSheetId="10">#REF!</definedName>
    <definedName name="wk24st16c" localSheetId="11">#REF!</definedName>
    <definedName name="wk24st16c">#REF!</definedName>
    <definedName name="wk24st17c" localSheetId="4">#REF!</definedName>
    <definedName name="wk24st17c" localSheetId="3">#REF!</definedName>
    <definedName name="wk24st17c" localSheetId="2">#REF!</definedName>
    <definedName name="wk24st17c" localSheetId="5">#REF!</definedName>
    <definedName name="wk24st17c" localSheetId="6">#REF!</definedName>
    <definedName name="wk24st17c" localSheetId="7">#REF!</definedName>
    <definedName name="wk24st17c" localSheetId="8">#REF!</definedName>
    <definedName name="wk24st17c" localSheetId="9">#REF!</definedName>
    <definedName name="wk24st17c" localSheetId="10">#REF!</definedName>
    <definedName name="wk24st17c" localSheetId="11">#REF!</definedName>
    <definedName name="wk24st17c">#REF!</definedName>
    <definedName name="wk24st18c" localSheetId="4">#REF!</definedName>
    <definedName name="wk24st18c" localSheetId="3">#REF!</definedName>
    <definedName name="wk24st18c" localSheetId="2">#REF!</definedName>
    <definedName name="wk24st18c" localSheetId="5">#REF!</definedName>
    <definedName name="wk24st18c" localSheetId="6">#REF!</definedName>
    <definedName name="wk24st18c" localSheetId="7">#REF!</definedName>
    <definedName name="wk24st18c" localSheetId="8">#REF!</definedName>
    <definedName name="wk24st18c" localSheetId="9">#REF!</definedName>
    <definedName name="wk24st18c" localSheetId="10">#REF!</definedName>
    <definedName name="wk24st18c" localSheetId="11">#REF!</definedName>
    <definedName name="wk24st18c">#REF!</definedName>
    <definedName name="wk24st19c" localSheetId="4">#REF!</definedName>
    <definedName name="wk24st19c" localSheetId="3">#REF!</definedName>
    <definedName name="wk24st19c" localSheetId="2">#REF!</definedName>
    <definedName name="wk24st19c" localSheetId="5">#REF!</definedName>
    <definedName name="wk24st19c" localSheetId="6">#REF!</definedName>
    <definedName name="wk24st19c" localSheetId="7">#REF!</definedName>
    <definedName name="wk24st19c" localSheetId="8">#REF!</definedName>
    <definedName name="wk24st19c" localSheetId="9">#REF!</definedName>
    <definedName name="wk24st19c" localSheetId="10">#REF!</definedName>
    <definedName name="wk24st19c" localSheetId="11">#REF!</definedName>
    <definedName name="wk24st19c">#REF!</definedName>
    <definedName name="wk24st20c" localSheetId="4">#REF!</definedName>
    <definedName name="wk24st20c" localSheetId="3">#REF!</definedName>
    <definedName name="wk24st20c" localSheetId="2">#REF!</definedName>
    <definedName name="wk24st20c" localSheetId="5">#REF!</definedName>
    <definedName name="wk24st20c" localSheetId="6">#REF!</definedName>
    <definedName name="wk24st20c" localSheetId="7">#REF!</definedName>
    <definedName name="wk24st20c" localSheetId="8">#REF!</definedName>
    <definedName name="wk24st20c" localSheetId="9">#REF!</definedName>
    <definedName name="wk24st20c" localSheetId="10">#REF!</definedName>
    <definedName name="wk24st20c" localSheetId="11">#REF!</definedName>
    <definedName name="wk24st20c">#REF!</definedName>
    <definedName name="wk24st21c" localSheetId="4">#REF!</definedName>
    <definedName name="wk24st21c" localSheetId="3">#REF!</definedName>
    <definedName name="wk24st21c" localSheetId="2">#REF!</definedName>
    <definedName name="wk24st21c" localSheetId="5">#REF!</definedName>
    <definedName name="wk24st21c" localSheetId="6">#REF!</definedName>
    <definedName name="wk24st21c" localSheetId="7">#REF!</definedName>
    <definedName name="wk24st21c" localSheetId="8">#REF!</definedName>
    <definedName name="wk24st21c" localSheetId="9">#REF!</definedName>
    <definedName name="wk24st21c" localSheetId="10">#REF!</definedName>
    <definedName name="wk24st21c" localSheetId="11">#REF!</definedName>
    <definedName name="wk24st21c">#REF!</definedName>
    <definedName name="wk24st22c" localSheetId="4">#REF!</definedName>
    <definedName name="wk24st22c" localSheetId="3">#REF!</definedName>
    <definedName name="wk24st22c" localSheetId="2">#REF!</definedName>
    <definedName name="wk24st22c" localSheetId="5">#REF!</definedName>
    <definedName name="wk24st22c" localSheetId="6">#REF!</definedName>
    <definedName name="wk24st22c" localSheetId="7">#REF!</definedName>
    <definedName name="wk24st22c" localSheetId="8">#REF!</definedName>
    <definedName name="wk24st22c" localSheetId="9">#REF!</definedName>
    <definedName name="wk24st22c" localSheetId="10">#REF!</definedName>
    <definedName name="wk24st22c" localSheetId="11">#REF!</definedName>
    <definedName name="wk24st22c">#REF!</definedName>
    <definedName name="wk24st23c" localSheetId="4">#REF!</definedName>
    <definedName name="wk24st23c" localSheetId="3">#REF!</definedName>
    <definedName name="wk24st23c" localSheetId="2">#REF!</definedName>
    <definedName name="wk24st23c" localSheetId="5">#REF!</definedName>
    <definedName name="wk24st23c" localSheetId="6">#REF!</definedName>
    <definedName name="wk24st23c" localSheetId="7">#REF!</definedName>
    <definedName name="wk24st23c" localSheetId="8">#REF!</definedName>
    <definedName name="wk24st23c" localSheetId="9">#REF!</definedName>
    <definedName name="wk24st23c" localSheetId="10">#REF!</definedName>
    <definedName name="wk24st23c" localSheetId="11">#REF!</definedName>
    <definedName name="wk24st23c">#REF!</definedName>
    <definedName name="wk24st24c" localSheetId="4">#REF!</definedName>
    <definedName name="wk24st24c" localSheetId="3">#REF!</definedName>
    <definedName name="wk24st24c" localSheetId="2">#REF!</definedName>
    <definedName name="wk24st24c" localSheetId="5">#REF!</definedName>
    <definedName name="wk24st24c" localSheetId="6">#REF!</definedName>
    <definedName name="wk24st24c" localSheetId="7">#REF!</definedName>
    <definedName name="wk24st24c" localSheetId="8">#REF!</definedName>
    <definedName name="wk24st24c" localSheetId="9">#REF!</definedName>
    <definedName name="wk24st24c" localSheetId="10">#REF!</definedName>
    <definedName name="wk24st24c" localSheetId="11">#REF!</definedName>
    <definedName name="wk24st24c">#REF!</definedName>
    <definedName name="wk24st25c" localSheetId="4">#REF!</definedName>
    <definedName name="wk24st25c" localSheetId="3">#REF!</definedName>
    <definedName name="wk24st25c" localSheetId="2">#REF!</definedName>
    <definedName name="wk24st25c" localSheetId="5">#REF!</definedName>
    <definedName name="wk24st25c" localSheetId="6">#REF!</definedName>
    <definedName name="wk24st25c" localSheetId="7">#REF!</definedName>
    <definedName name="wk24st25c" localSheetId="8">#REF!</definedName>
    <definedName name="wk24st25c" localSheetId="9">#REF!</definedName>
    <definedName name="wk24st25c" localSheetId="10">#REF!</definedName>
    <definedName name="wk24st25c" localSheetId="11">#REF!</definedName>
    <definedName name="wk24st25c">#REF!</definedName>
    <definedName name="wk24st26c" localSheetId="4">#REF!</definedName>
    <definedName name="wk24st26c" localSheetId="3">#REF!</definedName>
    <definedName name="wk24st26c" localSheetId="2">#REF!</definedName>
    <definedName name="wk24st26c" localSheetId="5">#REF!</definedName>
    <definedName name="wk24st26c" localSheetId="6">#REF!</definedName>
    <definedName name="wk24st26c" localSheetId="7">#REF!</definedName>
    <definedName name="wk24st26c" localSheetId="8">#REF!</definedName>
    <definedName name="wk24st26c" localSheetId="9">#REF!</definedName>
    <definedName name="wk24st26c" localSheetId="10">#REF!</definedName>
    <definedName name="wk24st26c" localSheetId="11">#REF!</definedName>
    <definedName name="wk24st26c">#REF!</definedName>
    <definedName name="wk24st27c" localSheetId="4">#REF!</definedName>
    <definedName name="wk24st27c" localSheetId="3">#REF!</definedName>
    <definedName name="wk24st27c" localSheetId="2">#REF!</definedName>
    <definedName name="wk24st27c" localSheetId="5">#REF!</definedName>
    <definedName name="wk24st27c" localSheetId="6">#REF!</definedName>
    <definedName name="wk24st27c" localSheetId="7">#REF!</definedName>
    <definedName name="wk24st27c" localSheetId="8">#REF!</definedName>
    <definedName name="wk24st27c" localSheetId="9">#REF!</definedName>
    <definedName name="wk24st27c" localSheetId="10">#REF!</definedName>
    <definedName name="wk24st27c" localSheetId="11">#REF!</definedName>
    <definedName name="wk24st27c">#REF!</definedName>
    <definedName name="wk24st28c" localSheetId="4">#REF!</definedName>
    <definedName name="wk24st28c" localSheetId="3">#REF!</definedName>
    <definedName name="wk24st28c" localSheetId="2">#REF!</definedName>
    <definedName name="wk24st28c" localSheetId="5">#REF!</definedName>
    <definedName name="wk24st28c" localSheetId="6">#REF!</definedName>
    <definedName name="wk24st28c" localSheetId="7">#REF!</definedName>
    <definedName name="wk24st28c" localSheetId="8">#REF!</definedName>
    <definedName name="wk24st28c" localSheetId="9">#REF!</definedName>
    <definedName name="wk24st28c" localSheetId="10">#REF!</definedName>
    <definedName name="wk24st28c" localSheetId="11">#REF!</definedName>
    <definedName name="wk24st28c">#REF!</definedName>
    <definedName name="wk24st29c" localSheetId="4">#REF!</definedName>
    <definedName name="wk24st29c" localSheetId="3">#REF!</definedName>
    <definedName name="wk24st29c" localSheetId="2">#REF!</definedName>
    <definedName name="wk24st29c" localSheetId="5">#REF!</definedName>
    <definedName name="wk24st29c" localSheetId="6">#REF!</definedName>
    <definedName name="wk24st29c" localSheetId="7">#REF!</definedName>
    <definedName name="wk24st29c" localSheetId="8">#REF!</definedName>
    <definedName name="wk24st29c" localSheetId="9">#REF!</definedName>
    <definedName name="wk24st29c" localSheetId="10">#REF!</definedName>
    <definedName name="wk24st29c" localSheetId="11">#REF!</definedName>
    <definedName name="wk24st29c">#REF!</definedName>
    <definedName name="wk24st30c" localSheetId="4">#REF!</definedName>
    <definedName name="wk24st30c" localSheetId="3">#REF!</definedName>
    <definedName name="wk24st30c" localSheetId="2">#REF!</definedName>
    <definedName name="wk24st30c" localSheetId="5">#REF!</definedName>
    <definedName name="wk24st30c" localSheetId="6">#REF!</definedName>
    <definedName name="wk24st30c" localSheetId="7">#REF!</definedName>
    <definedName name="wk24st30c" localSheetId="8">#REF!</definedName>
    <definedName name="wk24st30c" localSheetId="9">#REF!</definedName>
    <definedName name="wk24st30c" localSheetId="10">#REF!</definedName>
    <definedName name="wk24st30c" localSheetId="11">#REF!</definedName>
    <definedName name="wk24st30c">#REF!</definedName>
    <definedName name="wk24st31c" localSheetId="4">#REF!</definedName>
    <definedName name="wk24st31c" localSheetId="3">#REF!</definedName>
    <definedName name="wk24st31c" localSheetId="2">#REF!</definedName>
    <definedName name="wk24st31c" localSheetId="5">#REF!</definedName>
    <definedName name="wk24st31c" localSheetId="6">#REF!</definedName>
    <definedName name="wk24st31c" localSheetId="7">#REF!</definedName>
    <definedName name="wk24st31c" localSheetId="8">#REF!</definedName>
    <definedName name="wk24st31c" localSheetId="9">#REF!</definedName>
    <definedName name="wk24st31c" localSheetId="10">#REF!</definedName>
    <definedName name="wk24st31c" localSheetId="11">#REF!</definedName>
    <definedName name="wk24st31c">#REF!</definedName>
    <definedName name="wk24st32c" localSheetId="4">#REF!</definedName>
    <definedName name="wk24st32c" localSheetId="3">#REF!</definedName>
    <definedName name="wk24st32c" localSheetId="2">#REF!</definedName>
    <definedName name="wk24st32c" localSheetId="5">#REF!</definedName>
    <definedName name="wk24st32c" localSheetId="6">#REF!</definedName>
    <definedName name="wk24st32c" localSheetId="7">#REF!</definedName>
    <definedName name="wk24st32c" localSheetId="8">#REF!</definedName>
    <definedName name="wk24st32c" localSheetId="9">#REF!</definedName>
    <definedName name="wk24st32c" localSheetId="10">#REF!</definedName>
    <definedName name="wk24st32c" localSheetId="11">#REF!</definedName>
    <definedName name="wk24st32c">#REF!</definedName>
    <definedName name="wk24st33c" localSheetId="4">#REF!</definedName>
    <definedName name="wk24st33c" localSheetId="3">#REF!</definedName>
    <definedName name="wk24st33c" localSheetId="2">#REF!</definedName>
    <definedName name="wk24st33c" localSheetId="5">#REF!</definedName>
    <definedName name="wk24st33c" localSheetId="6">#REF!</definedName>
    <definedName name="wk24st33c" localSheetId="7">#REF!</definedName>
    <definedName name="wk24st33c" localSheetId="8">#REF!</definedName>
    <definedName name="wk24st33c" localSheetId="9">#REF!</definedName>
    <definedName name="wk24st33c" localSheetId="10">#REF!</definedName>
    <definedName name="wk24st33c" localSheetId="11">#REF!</definedName>
    <definedName name="wk24st33c">#REF!</definedName>
    <definedName name="wk24st34c" localSheetId="4">#REF!</definedName>
    <definedName name="wk24st34c" localSheetId="3">#REF!</definedName>
    <definedName name="wk24st34c" localSheetId="2">#REF!</definedName>
    <definedName name="wk24st34c" localSheetId="5">#REF!</definedName>
    <definedName name="wk24st34c" localSheetId="6">#REF!</definedName>
    <definedName name="wk24st34c" localSheetId="7">#REF!</definedName>
    <definedName name="wk24st34c" localSheetId="8">#REF!</definedName>
    <definedName name="wk24st34c" localSheetId="9">#REF!</definedName>
    <definedName name="wk24st34c" localSheetId="10">#REF!</definedName>
    <definedName name="wk24st34c" localSheetId="11">#REF!</definedName>
    <definedName name="wk24st34c">#REF!</definedName>
    <definedName name="wk24st35c" localSheetId="4">#REF!</definedName>
    <definedName name="wk24st35c" localSheetId="3">#REF!</definedName>
    <definedName name="wk24st35c" localSheetId="2">#REF!</definedName>
    <definedName name="wk24st35c" localSheetId="5">#REF!</definedName>
    <definedName name="wk24st35c" localSheetId="6">#REF!</definedName>
    <definedName name="wk24st35c" localSheetId="7">#REF!</definedName>
    <definedName name="wk24st35c" localSheetId="8">#REF!</definedName>
    <definedName name="wk24st35c" localSheetId="9">#REF!</definedName>
    <definedName name="wk24st35c" localSheetId="10">#REF!</definedName>
    <definedName name="wk24st35c" localSheetId="11">#REF!</definedName>
    <definedName name="wk24st35c">#REF!</definedName>
    <definedName name="wk24st36c" localSheetId="4">#REF!</definedName>
    <definedName name="wk24st36c" localSheetId="3">#REF!</definedName>
    <definedName name="wk24st36c" localSheetId="2">#REF!</definedName>
    <definedName name="wk24st36c" localSheetId="5">#REF!</definedName>
    <definedName name="wk24st36c" localSheetId="6">#REF!</definedName>
    <definedName name="wk24st36c" localSheetId="7">#REF!</definedName>
    <definedName name="wk24st36c" localSheetId="8">#REF!</definedName>
    <definedName name="wk24st36c" localSheetId="9">#REF!</definedName>
    <definedName name="wk24st36c" localSheetId="10">#REF!</definedName>
    <definedName name="wk24st36c" localSheetId="11">#REF!</definedName>
    <definedName name="wk24st36c">#REF!</definedName>
    <definedName name="wk25st13c" localSheetId="4">#REF!</definedName>
    <definedName name="wk25st13c" localSheetId="3">#REF!</definedName>
    <definedName name="wk25st13c" localSheetId="2">#REF!</definedName>
    <definedName name="wk25st13c" localSheetId="5">#REF!</definedName>
    <definedName name="wk25st13c" localSheetId="6">#REF!</definedName>
    <definedName name="wk25st13c" localSheetId="7">#REF!</definedName>
    <definedName name="wk25st13c" localSheetId="8">#REF!</definedName>
    <definedName name="wk25st13c" localSheetId="9">#REF!</definedName>
    <definedName name="wk25st13c" localSheetId="10">#REF!</definedName>
    <definedName name="wk25st13c" localSheetId="11">#REF!</definedName>
    <definedName name="wk25st13c">#REF!</definedName>
    <definedName name="wk25st14c" localSheetId="4">#REF!</definedName>
    <definedName name="wk25st14c" localSheetId="3">#REF!</definedName>
    <definedName name="wk25st14c" localSheetId="2">#REF!</definedName>
    <definedName name="wk25st14c" localSheetId="5">#REF!</definedName>
    <definedName name="wk25st14c" localSheetId="6">#REF!</definedName>
    <definedName name="wk25st14c" localSheetId="7">#REF!</definedName>
    <definedName name="wk25st14c" localSheetId="8">#REF!</definedName>
    <definedName name="wk25st14c" localSheetId="9">#REF!</definedName>
    <definedName name="wk25st14c" localSheetId="10">#REF!</definedName>
    <definedName name="wk25st14c" localSheetId="11">#REF!</definedName>
    <definedName name="wk25st14c">#REF!</definedName>
    <definedName name="wk25st15c" localSheetId="4">#REF!</definedName>
    <definedName name="wk25st15c" localSheetId="3">#REF!</definedName>
    <definedName name="wk25st15c" localSheetId="2">#REF!</definedName>
    <definedName name="wk25st15c" localSheetId="5">#REF!</definedName>
    <definedName name="wk25st15c" localSheetId="6">#REF!</definedName>
    <definedName name="wk25st15c" localSheetId="7">#REF!</definedName>
    <definedName name="wk25st15c" localSheetId="8">#REF!</definedName>
    <definedName name="wk25st15c" localSheetId="9">#REF!</definedName>
    <definedName name="wk25st15c" localSheetId="10">#REF!</definedName>
    <definedName name="wk25st15c" localSheetId="11">#REF!</definedName>
    <definedName name="wk25st15c">#REF!</definedName>
    <definedName name="wk25st16c" localSheetId="4">#REF!</definedName>
    <definedName name="wk25st16c" localSheetId="3">#REF!</definedName>
    <definedName name="wk25st16c" localSheetId="2">#REF!</definedName>
    <definedName name="wk25st16c" localSheetId="5">#REF!</definedName>
    <definedName name="wk25st16c" localSheetId="6">#REF!</definedName>
    <definedName name="wk25st16c" localSheetId="7">#REF!</definedName>
    <definedName name="wk25st16c" localSheetId="8">#REF!</definedName>
    <definedName name="wk25st16c" localSheetId="9">#REF!</definedName>
    <definedName name="wk25st16c" localSheetId="10">#REF!</definedName>
    <definedName name="wk25st16c" localSheetId="11">#REF!</definedName>
    <definedName name="wk25st16c">#REF!</definedName>
    <definedName name="wk25st17c" localSheetId="4">#REF!</definedName>
    <definedName name="wk25st17c" localSheetId="3">#REF!</definedName>
    <definedName name="wk25st17c" localSheetId="2">#REF!</definedName>
    <definedName name="wk25st17c" localSheetId="5">#REF!</definedName>
    <definedName name="wk25st17c" localSheetId="6">#REF!</definedName>
    <definedName name="wk25st17c" localSheetId="7">#REF!</definedName>
    <definedName name="wk25st17c" localSheetId="8">#REF!</definedName>
    <definedName name="wk25st17c" localSheetId="9">#REF!</definedName>
    <definedName name="wk25st17c" localSheetId="10">#REF!</definedName>
    <definedName name="wk25st17c" localSheetId="11">#REF!</definedName>
    <definedName name="wk25st17c">#REF!</definedName>
    <definedName name="wk25st18c" localSheetId="4">#REF!</definedName>
    <definedName name="wk25st18c" localSheetId="3">#REF!</definedName>
    <definedName name="wk25st18c" localSheetId="2">#REF!</definedName>
    <definedName name="wk25st18c" localSheetId="5">#REF!</definedName>
    <definedName name="wk25st18c" localSheetId="6">#REF!</definedName>
    <definedName name="wk25st18c" localSheetId="7">#REF!</definedName>
    <definedName name="wk25st18c" localSheetId="8">#REF!</definedName>
    <definedName name="wk25st18c" localSheetId="9">#REF!</definedName>
    <definedName name="wk25st18c" localSheetId="10">#REF!</definedName>
    <definedName name="wk25st18c" localSheetId="11">#REF!</definedName>
    <definedName name="wk25st18c">#REF!</definedName>
    <definedName name="wk25st21c" localSheetId="4">#REF!</definedName>
    <definedName name="wk25st21c" localSheetId="3">#REF!</definedName>
    <definedName name="wk25st21c" localSheetId="2">#REF!</definedName>
    <definedName name="wk25st21c" localSheetId="5">#REF!</definedName>
    <definedName name="wk25st21c" localSheetId="6">#REF!</definedName>
    <definedName name="wk25st21c" localSheetId="7">#REF!</definedName>
    <definedName name="wk25st21c" localSheetId="8">#REF!</definedName>
    <definedName name="wk25st21c" localSheetId="9">#REF!</definedName>
    <definedName name="wk25st21c" localSheetId="10">#REF!</definedName>
    <definedName name="wk25st21c" localSheetId="11">#REF!</definedName>
    <definedName name="wk25st21c">#REF!</definedName>
    <definedName name="wk25st23c" localSheetId="4">#REF!</definedName>
    <definedName name="wk25st23c" localSheetId="3">#REF!</definedName>
    <definedName name="wk25st23c" localSheetId="2">#REF!</definedName>
    <definedName name="wk25st23c" localSheetId="5">#REF!</definedName>
    <definedName name="wk25st23c" localSheetId="6">#REF!</definedName>
    <definedName name="wk25st23c" localSheetId="7">#REF!</definedName>
    <definedName name="wk25st23c" localSheetId="8">#REF!</definedName>
    <definedName name="wk25st23c" localSheetId="9">#REF!</definedName>
    <definedName name="wk25st23c" localSheetId="10">#REF!</definedName>
    <definedName name="wk25st23c" localSheetId="11">#REF!</definedName>
    <definedName name="wk25st23c">#REF!</definedName>
    <definedName name="wk25st24c" localSheetId="4">#REF!</definedName>
    <definedName name="wk25st24c" localSheetId="3">#REF!</definedName>
    <definedName name="wk25st24c" localSheetId="2">#REF!</definedName>
    <definedName name="wk25st24c" localSheetId="5">#REF!</definedName>
    <definedName name="wk25st24c" localSheetId="6">#REF!</definedName>
    <definedName name="wk25st24c" localSheetId="7">#REF!</definedName>
    <definedName name="wk25st24c" localSheetId="8">#REF!</definedName>
    <definedName name="wk25st24c" localSheetId="9">#REF!</definedName>
    <definedName name="wk25st24c" localSheetId="10">#REF!</definedName>
    <definedName name="wk25st24c" localSheetId="11">#REF!</definedName>
    <definedName name="wk25st24c">#REF!</definedName>
    <definedName name="wk25st25c" localSheetId="4">#REF!</definedName>
    <definedName name="wk25st25c" localSheetId="3">#REF!</definedName>
    <definedName name="wk25st25c" localSheetId="2">#REF!</definedName>
    <definedName name="wk25st25c" localSheetId="5">#REF!</definedName>
    <definedName name="wk25st25c" localSheetId="6">#REF!</definedName>
    <definedName name="wk25st25c" localSheetId="7">#REF!</definedName>
    <definedName name="wk25st25c" localSheetId="8">#REF!</definedName>
    <definedName name="wk25st25c" localSheetId="9">#REF!</definedName>
    <definedName name="wk25st25c" localSheetId="10">#REF!</definedName>
    <definedName name="wk25st25c" localSheetId="11">#REF!</definedName>
    <definedName name="wk25st25c">#REF!</definedName>
    <definedName name="wk25st26c" localSheetId="4">#REF!</definedName>
    <definedName name="wk25st26c" localSheetId="3">#REF!</definedName>
    <definedName name="wk25st26c" localSheetId="2">#REF!</definedName>
    <definedName name="wk25st26c" localSheetId="5">#REF!</definedName>
    <definedName name="wk25st26c" localSheetId="6">#REF!</definedName>
    <definedName name="wk25st26c" localSheetId="7">#REF!</definedName>
    <definedName name="wk25st26c" localSheetId="8">#REF!</definedName>
    <definedName name="wk25st26c" localSheetId="9">#REF!</definedName>
    <definedName name="wk25st26c" localSheetId="10">#REF!</definedName>
    <definedName name="wk25st26c" localSheetId="11">#REF!</definedName>
    <definedName name="wk25st26c">#REF!</definedName>
    <definedName name="wk25st27c" localSheetId="4">#REF!</definedName>
    <definedName name="wk25st27c" localSheetId="3">#REF!</definedName>
    <definedName name="wk25st27c" localSheetId="2">#REF!</definedName>
    <definedName name="wk25st27c" localSheetId="5">#REF!</definedName>
    <definedName name="wk25st27c" localSheetId="6">#REF!</definedName>
    <definedName name="wk25st27c" localSheetId="7">#REF!</definedName>
    <definedName name="wk25st27c" localSheetId="8">#REF!</definedName>
    <definedName name="wk25st27c" localSheetId="9">#REF!</definedName>
    <definedName name="wk25st27c" localSheetId="10">#REF!</definedName>
    <definedName name="wk25st27c" localSheetId="11">#REF!</definedName>
    <definedName name="wk25st27c">#REF!</definedName>
    <definedName name="wk25st28c" localSheetId="4">#REF!</definedName>
    <definedName name="wk25st28c" localSheetId="3">#REF!</definedName>
    <definedName name="wk25st28c" localSheetId="2">#REF!</definedName>
    <definedName name="wk25st28c" localSheetId="5">#REF!</definedName>
    <definedName name="wk25st28c" localSheetId="6">#REF!</definedName>
    <definedName name="wk25st28c" localSheetId="7">#REF!</definedName>
    <definedName name="wk25st28c" localSheetId="8">#REF!</definedName>
    <definedName name="wk25st28c" localSheetId="9">#REF!</definedName>
    <definedName name="wk25st28c" localSheetId="10">#REF!</definedName>
    <definedName name="wk25st28c" localSheetId="11">#REF!</definedName>
    <definedName name="wk25st28c">#REF!</definedName>
    <definedName name="wk25st29c" localSheetId="4">#REF!</definedName>
    <definedName name="wk25st29c" localSheetId="3">#REF!</definedName>
    <definedName name="wk25st29c" localSheetId="2">#REF!</definedName>
    <definedName name="wk25st29c" localSheetId="5">#REF!</definedName>
    <definedName name="wk25st29c" localSheetId="6">#REF!</definedName>
    <definedName name="wk25st29c" localSheetId="7">#REF!</definedName>
    <definedName name="wk25st29c" localSheetId="8">#REF!</definedName>
    <definedName name="wk25st29c" localSheetId="9">#REF!</definedName>
    <definedName name="wk25st29c" localSheetId="10">#REF!</definedName>
    <definedName name="wk25st29c" localSheetId="11">#REF!</definedName>
    <definedName name="wk25st29c">#REF!</definedName>
    <definedName name="wk25st30c" localSheetId="4">#REF!</definedName>
    <definedName name="wk25st30c" localSheetId="3">#REF!</definedName>
    <definedName name="wk25st30c" localSheetId="2">#REF!</definedName>
    <definedName name="wk25st30c" localSheetId="5">#REF!</definedName>
    <definedName name="wk25st30c" localSheetId="6">#REF!</definedName>
    <definedName name="wk25st30c" localSheetId="7">#REF!</definedName>
    <definedName name="wk25st30c" localSheetId="8">#REF!</definedName>
    <definedName name="wk25st30c" localSheetId="9">#REF!</definedName>
    <definedName name="wk25st30c" localSheetId="10">#REF!</definedName>
    <definedName name="wk25st30c" localSheetId="11">#REF!</definedName>
    <definedName name="wk25st30c">#REF!</definedName>
    <definedName name="wk25st31c" localSheetId="4">#REF!</definedName>
    <definedName name="wk25st31c" localSheetId="3">#REF!</definedName>
    <definedName name="wk25st31c" localSheetId="2">#REF!</definedName>
    <definedName name="wk25st31c" localSheetId="5">#REF!</definedName>
    <definedName name="wk25st31c" localSheetId="6">#REF!</definedName>
    <definedName name="wk25st31c" localSheetId="7">#REF!</definedName>
    <definedName name="wk25st31c" localSheetId="8">#REF!</definedName>
    <definedName name="wk25st31c" localSheetId="9">#REF!</definedName>
    <definedName name="wk25st31c" localSheetId="10">#REF!</definedName>
    <definedName name="wk25st31c" localSheetId="11">#REF!</definedName>
    <definedName name="wk25st31c">#REF!</definedName>
    <definedName name="wk25st32c" localSheetId="4">#REF!</definedName>
    <definedName name="wk25st32c" localSheetId="3">#REF!</definedName>
    <definedName name="wk25st32c" localSheetId="2">#REF!</definedName>
    <definedName name="wk25st32c" localSheetId="5">#REF!</definedName>
    <definedName name="wk25st32c" localSheetId="6">#REF!</definedName>
    <definedName name="wk25st32c" localSheetId="7">#REF!</definedName>
    <definedName name="wk25st32c" localSheetId="8">#REF!</definedName>
    <definedName name="wk25st32c" localSheetId="9">#REF!</definedName>
    <definedName name="wk25st32c" localSheetId="10">#REF!</definedName>
    <definedName name="wk25st32c" localSheetId="11">#REF!</definedName>
    <definedName name="wk25st32c">#REF!</definedName>
    <definedName name="wk25st33c" localSheetId="4">#REF!</definedName>
    <definedName name="wk25st33c" localSheetId="3">#REF!</definedName>
    <definedName name="wk25st33c" localSheetId="2">#REF!</definedName>
    <definedName name="wk25st33c" localSheetId="5">#REF!</definedName>
    <definedName name="wk25st33c" localSheetId="6">#REF!</definedName>
    <definedName name="wk25st33c" localSheetId="7">#REF!</definedName>
    <definedName name="wk25st33c" localSheetId="8">#REF!</definedName>
    <definedName name="wk25st33c" localSheetId="9">#REF!</definedName>
    <definedName name="wk25st33c" localSheetId="10">#REF!</definedName>
    <definedName name="wk25st33c" localSheetId="11">#REF!</definedName>
    <definedName name="wk25st33c">#REF!</definedName>
    <definedName name="wk25st34c" localSheetId="4">#REF!</definedName>
    <definedName name="wk25st34c" localSheetId="3">#REF!</definedName>
    <definedName name="wk25st34c" localSheetId="2">#REF!</definedName>
    <definedName name="wk25st34c" localSheetId="5">#REF!</definedName>
    <definedName name="wk25st34c" localSheetId="6">#REF!</definedName>
    <definedName name="wk25st34c" localSheetId="7">#REF!</definedName>
    <definedName name="wk25st34c" localSheetId="8">#REF!</definedName>
    <definedName name="wk25st34c" localSheetId="9">#REF!</definedName>
    <definedName name="wk25st34c" localSheetId="10">#REF!</definedName>
    <definedName name="wk25st34c" localSheetId="11">#REF!</definedName>
    <definedName name="wk25st34c">#REF!</definedName>
    <definedName name="wk25st35c" localSheetId="4">#REF!</definedName>
    <definedName name="wk25st35c" localSheetId="3">#REF!</definedName>
    <definedName name="wk25st35c" localSheetId="2">#REF!</definedName>
    <definedName name="wk25st35c" localSheetId="5">#REF!</definedName>
    <definedName name="wk25st35c" localSheetId="6">#REF!</definedName>
    <definedName name="wk25st35c" localSheetId="7">#REF!</definedName>
    <definedName name="wk25st35c" localSheetId="8">#REF!</definedName>
    <definedName name="wk25st35c" localSheetId="9">#REF!</definedName>
    <definedName name="wk25st35c" localSheetId="10">#REF!</definedName>
    <definedName name="wk25st35c" localSheetId="11">#REF!</definedName>
    <definedName name="wk25st35c">#REF!</definedName>
    <definedName name="wk25st36c" localSheetId="4">#REF!</definedName>
    <definedName name="wk25st36c" localSheetId="3">#REF!</definedName>
    <definedName name="wk25st36c" localSheetId="2">#REF!</definedName>
    <definedName name="wk25st36c" localSheetId="5">#REF!</definedName>
    <definedName name="wk25st36c" localSheetId="6">#REF!</definedName>
    <definedName name="wk25st36c" localSheetId="7">#REF!</definedName>
    <definedName name="wk25st36c" localSheetId="8">#REF!</definedName>
    <definedName name="wk25st36c" localSheetId="9">#REF!</definedName>
    <definedName name="wk25st36c" localSheetId="10">#REF!</definedName>
    <definedName name="wk25st36c" localSheetId="11">#REF!</definedName>
    <definedName name="wk25st36c">#REF!</definedName>
    <definedName name="wk26st13c" localSheetId="4">#REF!</definedName>
    <definedName name="wk26st13c" localSheetId="3">#REF!</definedName>
    <definedName name="wk26st13c" localSheetId="2">#REF!</definedName>
    <definedName name="wk26st13c" localSheetId="5">#REF!</definedName>
    <definedName name="wk26st13c" localSheetId="6">#REF!</definedName>
    <definedName name="wk26st13c" localSheetId="7">#REF!</definedName>
    <definedName name="wk26st13c" localSheetId="8">#REF!</definedName>
    <definedName name="wk26st13c" localSheetId="9">#REF!</definedName>
    <definedName name="wk26st13c" localSheetId="10">#REF!</definedName>
    <definedName name="wk26st13c" localSheetId="11">#REF!</definedName>
    <definedName name="wk26st13c">#REF!</definedName>
    <definedName name="wk26st14c" localSheetId="4">#REF!</definedName>
    <definedName name="wk26st14c" localSheetId="3">#REF!</definedName>
    <definedName name="wk26st14c" localSheetId="2">#REF!</definedName>
    <definedName name="wk26st14c" localSheetId="5">#REF!</definedName>
    <definedName name="wk26st14c" localSheetId="6">#REF!</definedName>
    <definedName name="wk26st14c" localSheetId="7">#REF!</definedName>
    <definedName name="wk26st14c" localSheetId="8">#REF!</definedName>
    <definedName name="wk26st14c" localSheetId="9">#REF!</definedName>
    <definedName name="wk26st14c" localSheetId="10">#REF!</definedName>
    <definedName name="wk26st14c" localSheetId="11">#REF!</definedName>
    <definedName name="wk26st14c">#REF!</definedName>
    <definedName name="wk26st16c" localSheetId="4">#REF!</definedName>
    <definedName name="wk26st16c" localSheetId="3">#REF!</definedName>
    <definedName name="wk26st16c" localSheetId="2">#REF!</definedName>
    <definedName name="wk26st16c" localSheetId="5">#REF!</definedName>
    <definedName name="wk26st16c" localSheetId="6">#REF!</definedName>
    <definedName name="wk26st16c" localSheetId="7">#REF!</definedName>
    <definedName name="wk26st16c" localSheetId="8">#REF!</definedName>
    <definedName name="wk26st16c" localSheetId="9">#REF!</definedName>
    <definedName name="wk26st16c" localSheetId="10">#REF!</definedName>
    <definedName name="wk26st16c" localSheetId="11">#REF!</definedName>
    <definedName name="wk26st16c">#REF!</definedName>
    <definedName name="wk26st19c" localSheetId="4">#REF!</definedName>
    <definedName name="wk26st19c" localSheetId="3">#REF!</definedName>
    <definedName name="wk26st19c" localSheetId="2">#REF!</definedName>
    <definedName name="wk26st19c" localSheetId="5">#REF!</definedName>
    <definedName name="wk26st19c" localSheetId="6">#REF!</definedName>
    <definedName name="wk26st19c" localSheetId="7">#REF!</definedName>
    <definedName name="wk26st19c" localSheetId="8">#REF!</definedName>
    <definedName name="wk26st19c" localSheetId="9">#REF!</definedName>
    <definedName name="wk26st19c" localSheetId="10">#REF!</definedName>
    <definedName name="wk26st19c" localSheetId="11">#REF!</definedName>
    <definedName name="wk26st19c">#REF!</definedName>
    <definedName name="wk26st20c" localSheetId="4">#REF!</definedName>
    <definedName name="wk26st20c" localSheetId="3">#REF!</definedName>
    <definedName name="wk26st20c" localSheetId="2">#REF!</definedName>
    <definedName name="wk26st20c" localSheetId="5">#REF!</definedName>
    <definedName name="wk26st20c" localSheetId="6">#REF!</definedName>
    <definedName name="wk26st20c" localSheetId="7">#REF!</definedName>
    <definedName name="wk26st20c" localSheetId="8">#REF!</definedName>
    <definedName name="wk26st20c" localSheetId="9">#REF!</definedName>
    <definedName name="wk26st20c" localSheetId="10">#REF!</definedName>
    <definedName name="wk26st20c" localSheetId="11">#REF!</definedName>
    <definedName name="wk26st20c">#REF!</definedName>
    <definedName name="wk26st21c" localSheetId="4">#REF!</definedName>
    <definedName name="wk26st21c" localSheetId="3">#REF!</definedName>
    <definedName name="wk26st21c" localSheetId="2">#REF!</definedName>
    <definedName name="wk26st21c" localSheetId="5">#REF!</definedName>
    <definedName name="wk26st21c" localSheetId="6">#REF!</definedName>
    <definedName name="wk26st21c" localSheetId="7">#REF!</definedName>
    <definedName name="wk26st21c" localSheetId="8">#REF!</definedName>
    <definedName name="wk26st21c" localSheetId="9">#REF!</definedName>
    <definedName name="wk26st21c" localSheetId="10">#REF!</definedName>
    <definedName name="wk26st21c" localSheetId="11">#REF!</definedName>
    <definedName name="wk26st21c">#REF!</definedName>
    <definedName name="wk26st22c" localSheetId="4">#REF!</definedName>
    <definedName name="wk26st22c" localSheetId="3">#REF!</definedName>
    <definedName name="wk26st22c" localSheetId="2">#REF!</definedName>
    <definedName name="wk26st22c" localSheetId="5">#REF!</definedName>
    <definedName name="wk26st22c" localSheetId="6">#REF!</definedName>
    <definedName name="wk26st22c" localSheetId="7">#REF!</definedName>
    <definedName name="wk26st22c" localSheetId="8">#REF!</definedName>
    <definedName name="wk26st22c" localSheetId="9">#REF!</definedName>
    <definedName name="wk26st22c" localSheetId="10">#REF!</definedName>
    <definedName name="wk26st22c" localSheetId="11">#REF!</definedName>
    <definedName name="wk26st22c">#REF!</definedName>
    <definedName name="wk26st23c" localSheetId="4">#REF!</definedName>
    <definedName name="wk26st23c" localSheetId="3">#REF!</definedName>
    <definedName name="wk26st23c" localSheetId="2">#REF!</definedName>
    <definedName name="wk26st23c" localSheetId="5">#REF!</definedName>
    <definedName name="wk26st23c" localSheetId="6">#REF!</definedName>
    <definedName name="wk26st23c" localSheetId="7">#REF!</definedName>
    <definedName name="wk26st23c" localSheetId="8">#REF!</definedName>
    <definedName name="wk26st23c" localSheetId="9">#REF!</definedName>
    <definedName name="wk26st23c" localSheetId="10">#REF!</definedName>
    <definedName name="wk26st23c" localSheetId="11">#REF!</definedName>
    <definedName name="wk26st23c">#REF!</definedName>
    <definedName name="wk26st24c" localSheetId="4">#REF!</definedName>
    <definedName name="wk26st24c" localSheetId="3">#REF!</definedName>
    <definedName name="wk26st24c" localSheetId="2">#REF!</definedName>
    <definedName name="wk26st24c" localSheetId="5">#REF!</definedName>
    <definedName name="wk26st24c" localSheetId="6">#REF!</definedName>
    <definedName name="wk26st24c" localSheetId="7">#REF!</definedName>
    <definedName name="wk26st24c" localSheetId="8">#REF!</definedName>
    <definedName name="wk26st24c" localSheetId="9">#REF!</definedName>
    <definedName name="wk26st24c" localSheetId="10">#REF!</definedName>
    <definedName name="wk26st24c" localSheetId="11">#REF!</definedName>
    <definedName name="wk26st24c">#REF!</definedName>
    <definedName name="wk26st25c" localSheetId="4">#REF!</definedName>
    <definedName name="wk26st25c" localSheetId="3">#REF!</definedName>
    <definedName name="wk26st25c" localSheetId="2">#REF!</definedName>
    <definedName name="wk26st25c" localSheetId="5">#REF!</definedName>
    <definedName name="wk26st25c" localSheetId="6">#REF!</definedName>
    <definedName name="wk26st25c" localSheetId="7">#REF!</definedName>
    <definedName name="wk26st25c" localSheetId="8">#REF!</definedName>
    <definedName name="wk26st25c" localSheetId="9">#REF!</definedName>
    <definedName name="wk26st25c" localSheetId="10">#REF!</definedName>
    <definedName name="wk26st25c" localSheetId="11">#REF!</definedName>
    <definedName name="wk26st25c">#REF!</definedName>
    <definedName name="wk26st26c" localSheetId="4">#REF!</definedName>
    <definedName name="wk26st26c" localSheetId="3">#REF!</definedName>
    <definedName name="wk26st26c" localSheetId="2">#REF!</definedName>
    <definedName name="wk26st26c" localSheetId="5">#REF!</definedName>
    <definedName name="wk26st26c" localSheetId="6">#REF!</definedName>
    <definedName name="wk26st26c" localSheetId="7">#REF!</definedName>
    <definedName name="wk26st26c" localSheetId="8">#REF!</definedName>
    <definedName name="wk26st26c" localSheetId="9">#REF!</definedName>
    <definedName name="wk26st26c" localSheetId="10">#REF!</definedName>
    <definedName name="wk26st26c" localSheetId="11">#REF!</definedName>
    <definedName name="wk26st26c">#REF!</definedName>
    <definedName name="wk26st27c" localSheetId="4">#REF!</definedName>
    <definedName name="wk26st27c" localSheetId="3">#REF!</definedName>
    <definedName name="wk26st27c" localSheetId="2">#REF!</definedName>
    <definedName name="wk26st27c" localSheetId="5">#REF!</definedName>
    <definedName name="wk26st27c" localSheetId="6">#REF!</definedName>
    <definedName name="wk26st27c" localSheetId="7">#REF!</definedName>
    <definedName name="wk26st27c" localSheetId="8">#REF!</definedName>
    <definedName name="wk26st27c" localSheetId="9">#REF!</definedName>
    <definedName name="wk26st27c" localSheetId="10">#REF!</definedName>
    <definedName name="wk26st27c" localSheetId="11">#REF!</definedName>
    <definedName name="wk26st27c">#REF!</definedName>
    <definedName name="wk26st28c" localSheetId="4">#REF!</definedName>
    <definedName name="wk26st28c" localSheetId="3">#REF!</definedName>
    <definedName name="wk26st28c" localSheetId="2">#REF!</definedName>
    <definedName name="wk26st28c" localSheetId="5">#REF!</definedName>
    <definedName name="wk26st28c" localSheetId="6">#REF!</definedName>
    <definedName name="wk26st28c" localSheetId="7">#REF!</definedName>
    <definedName name="wk26st28c" localSheetId="8">#REF!</definedName>
    <definedName name="wk26st28c" localSheetId="9">#REF!</definedName>
    <definedName name="wk26st28c" localSheetId="10">#REF!</definedName>
    <definedName name="wk26st28c" localSheetId="11">#REF!</definedName>
    <definedName name="wk26st28c">#REF!</definedName>
    <definedName name="wk26st29c" localSheetId="4">#REF!</definedName>
    <definedName name="wk26st29c" localSheetId="3">#REF!</definedName>
    <definedName name="wk26st29c" localSheetId="2">#REF!</definedName>
    <definedName name="wk26st29c" localSheetId="5">#REF!</definedName>
    <definedName name="wk26st29c" localSheetId="6">#REF!</definedName>
    <definedName name="wk26st29c" localSheetId="7">#REF!</definedName>
    <definedName name="wk26st29c" localSheetId="8">#REF!</definedName>
    <definedName name="wk26st29c" localSheetId="9">#REF!</definedName>
    <definedName name="wk26st29c" localSheetId="10">#REF!</definedName>
    <definedName name="wk26st29c" localSheetId="11">#REF!</definedName>
    <definedName name="wk26st29c">#REF!</definedName>
    <definedName name="wk26st30c" localSheetId="4">#REF!</definedName>
    <definedName name="wk26st30c" localSheetId="3">#REF!</definedName>
    <definedName name="wk26st30c" localSheetId="2">#REF!</definedName>
    <definedName name="wk26st30c" localSheetId="5">#REF!</definedName>
    <definedName name="wk26st30c" localSheetId="6">#REF!</definedName>
    <definedName name="wk26st30c" localSheetId="7">#REF!</definedName>
    <definedName name="wk26st30c" localSheetId="8">#REF!</definedName>
    <definedName name="wk26st30c" localSheetId="9">#REF!</definedName>
    <definedName name="wk26st30c" localSheetId="10">#REF!</definedName>
    <definedName name="wk26st30c" localSheetId="11">#REF!</definedName>
    <definedName name="wk26st30c">#REF!</definedName>
    <definedName name="wk26st31c" localSheetId="4">#REF!</definedName>
    <definedName name="wk26st31c" localSheetId="3">#REF!</definedName>
    <definedName name="wk26st31c" localSheetId="2">#REF!</definedName>
    <definedName name="wk26st31c" localSheetId="5">#REF!</definedName>
    <definedName name="wk26st31c" localSheetId="6">#REF!</definedName>
    <definedName name="wk26st31c" localSheetId="7">#REF!</definedName>
    <definedName name="wk26st31c" localSheetId="8">#REF!</definedName>
    <definedName name="wk26st31c" localSheetId="9">#REF!</definedName>
    <definedName name="wk26st31c" localSheetId="10">#REF!</definedName>
    <definedName name="wk26st31c" localSheetId="11">#REF!</definedName>
    <definedName name="wk26st31c">#REF!</definedName>
    <definedName name="wk26st32c" localSheetId="4">#REF!</definedName>
    <definedName name="wk26st32c" localSheetId="3">#REF!</definedName>
    <definedName name="wk26st32c" localSheetId="2">#REF!</definedName>
    <definedName name="wk26st32c" localSheetId="5">#REF!</definedName>
    <definedName name="wk26st32c" localSheetId="6">#REF!</definedName>
    <definedName name="wk26st32c" localSheetId="7">#REF!</definedName>
    <definedName name="wk26st32c" localSheetId="8">#REF!</definedName>
    <definedName name="wk26st32c" localSheetId="9">#REF!</definedName>
    <definedName name="wk26st32c" localSheetId="10">#REF!</definedName>
    <definedName name="wk26st32c" localSheetId="11">#REF!</definedName>
    <definedName name="wk26st32c">#REF!</definedName>
    <definedName name="wk26st33c" localSheetId="4">#REF!</definedName>
    <definedName name="wk26st33c" localSheetId="3">#REF!</definedName>
    <definedName name="wk26st33c" localSheetId="2">#REF!</definedName>
    <definedName name="wk26st33c" localSheetId="5">#REF!</definedName>
    <definedName name="wk26st33c" localSheetId="6">#REF!</definedName>
    <definedName name="wk26st33c" localSheetId="7">#REF!</definedName>
    <definedName name="wk26st33c" localSheetId="8">#REF!</definedName>
    <definedName name="wk26st33c" localSheetId="9">#REF!</definedName>
    <definedName name="wk26st33c" localSheetId="10">#REF!</definedName>
    <definedName name="wk26st33c" localSheetId="11">#REF!</definedName>
    <definedName name="wk26st33c">#REF!</definedName>
    <definedName name="wk26st34c" localSheetId="4">#REF!</definedName>
    <definedName name="wk26st34c" localSheetId="3">#REF!</definedName>
    <definedName name="wk26st34c" localSheetId="2">#REF!</definedName>
    <definedName name="wk26st34c" localSheetId="5">#REF!</definedName>
    <definedName name="wk26st34c" localSheetId="6">#REF!</definedName>
    <definedName name="wk26st34c" localSheetId="7">#REF!</definedName>
    <definedName name="wk26st34c" localSheetId="8">#REF!</definedName>
    <definedName name="wk26st34c" localSheetId="9">#REF!</definedName>
    <definedName name="wk26st34c" localSheetId="10">#REF!</definedName>
    <definedName name="wk26st34c" localSheetId="11">#REF!</definedName>
    <definedName name="wk26st34c">#REF!</definedName>
    <definedName name="wk26st35c" localSheetId="4">#REF!</definedName>
    <definedName name="wk26st35c" localSheetId="3">#REF!</definedName>
    <definedName name="wk26st35c" localSheetId="2">#REF!</definedName>
    <definedName name="wk26st35c" localSheetId="5">#REF!</definedName>
    <definedName name="wk26st35c" localSheetId="6">#REF!</definedName>
    <definedName name="wk26st35c" localSheetId="7">#REF!</definedName>
    <definedName name="wk26st35c" localSheetId="8">#REF!</definedName>
    <definedName name="wk26st35c" localSheetId="9">#REF!</definedName>
    <definedName name="wk26st35c" localSheetId="10">#REF!</definedName>
    <definedName name="wk26st35c" localSheetId="11">#REF!</definedName>
    <definedName name="wk26st35c">#REF!</definedName>
    <definedName name="wk26st36c" localSheetId="4">#REF!</definedName>
    <definedName name="wk26st36c" localSheetId="3">#REF!</definedName>
    <definedName name="wk26st36c" localSheetId="2">#REF!</definedName>
    <definedName name="wk26st36c" localSheetId="5">#REF!</definedName>
    <definedName name="wk26st36c" localSheetId="6">#REF!</definedName>
    <definedName name="wk26st36c" localSheetId="7">#REF!</definedName>
    <definedName name="wk26st36c" localSheetId="8">#REF!</definedName>
    <definedName name="wk26st36c" localSheetId="9">#REF!</definedName>
    <definedName name="wk26st36c" localSheetId="10">#REF!</definedName>
    <definedName name="wk26st36c" localSheetId="11">#REF!</definedName>
    <definedName name="wk26st36c">#REF!</definedName>
    <definedName name="wk27st13c" localSheetId="4">#REF!</definedName>
    <definedName name="wk27st13c" localSheetId="3">#REF!</definedName>
    <definedName name="wk27st13c" localSheetId="2">#REF!</definedName>
    <definedName name="wk27st13c" localSheetId="5">#REF!</definedName>
    <definedName name="wk27st13c" localSheetId="6">#REF!</definedName>
    <definedName name="wk27st13c" localSheetId="7">#REF!</definedName>
    <definedName name="wk27st13c" localSheetId="8">#REF!</definedName>
    <definedName name="wk27st13c" localSheetId="9">#REF!</definedName>
    <definedName name="wk27st13c" localSheetId="10">#REF!</definedName>
    <definedName name="wk27st13c" localSheetId="11">#REF!</definedName>
    <definedName name="wk27st13c">#REF!</definedName>
    <definedName name="wk27st14c" localSheetId="4">#REF!</definedName>
    <definedName name="wk27st14c" localSheetId="3">#REF!</definedName>
    <definedName name="wk27st14c" localSheetId="2">#REF!</definedName>
    <definedName name="wk27st14c" localSheetId="5">#REF!</definedName>
    <definedName name="wk27st14c" localSheetId="6">#REF!</definedName>
    <definedName name="wk27st14c" localSheetId="7">#REF!</definedName>
    <definedName name="wk27st14c" localSheetId="8">#REF!</definedName>
    <definedName name="wk27st14c" localSheetId="9">#REF!</definedName>
    <definedName name="wk27st14c" localSheetId="10">#REF!</definedName>
    <definedName name="wk27st14c" localSheetId="11">#REF!</definedName>
    <definedName name="wk27st14c">#REF!</definedName>
    <definedName name="wk27st15c" localSheetId="4">#REF!</definedName>
    <definedName name="wk27st15c" localSheetId="3">#REF!</definedName>
    <definedName name="wk27st15c" localSheetId="2">#REF!</definedName>
    <definedName name="wk27st15c" localSheetId="5">#REF!</definedName>
    <definedName name="wk27st15c" localSheetId="6">#REF!</definedName>
    <definedName name="wk27st15c" localSheetId="7">#REF!</definedName>
    <definedName name="wk27st15c" localSheetId="8">#REF!</definedName>
    <definedName name="wk27st15c" localSheetId="9">#REF!</definedName>
    <definedName name="wk27st15c" localSheetId="10">#REF!</definedName>
    <definedName name="wk27st15c" localSheetId="11">#REF!</definedName>
    <definedName name="wk27st15c">#REF!</definedName>
    <definedName name="wk27st16c" localSheetId="4">#REF!</definedName>
    <definedName name="wk27st16c" localSheetId="3">#REF!</definedName>
    <definedName name="wk27st16c" localSheetId="2">#REF!</definedName>
    <definedName name="wk27st16c" localSheetId="5">#REF!</definedName>
    <definedName name="wk27st16c" localSheetId="6">#REF!</definedName>
    <definedName name="wk27st16c" localSheetId="7">#REF!</definedName>
    <definedName name="wk27st16c" localSheetId="8">#REF!</definedName>
    <definedName name="wk27st16c" localSheetId="9">#REF!</definedName>
    <definedName name="wk27st16c" localSheetId="10">#REF!</definedName>
    <definedName name="wk27st16c" localSheetId="11">#REF!</definedName>
    <definedName name="wk27st16c">#REF!</definedName>
    <definedName name="wk27st17c" localSheetId="4">#REF!</definedName>
    <definedName name="wk27st17c" localSheetId="3">#REF!</definedName>
    <definedName name="wk27st17c" localSheetId="2">#REF!</definedName>
    <definedName name="wk27st17c" localSheetId="5">#REF!</definedName>
    <definedName name="wk27st17c" localSheetId="6">#REF!</definedName>
    <definedName name="wk27st17c" localSheetId="7">#REF!</definedName>
    <definedName name="wk27st17c" localSheetId="8">#REF!</definedName>
    <definedName name="wk27st17c" localSheetId="9">#REF!</definedName>
    <definedName name="wk27st17c" localSheetId="10">#REF!</definedName>
    <definedName name="wk27st17c" localSheetId="11">#REF!</definedName>
    <definedName name="wk27st17c">#REF!</definedName>
    <definedName name="wk27st18c" localSheetId="4">#REF!</definedName>
    <definedName name="wk27st18c" localSheetId="3">#REF!</definedName>
    <definedName name="wk27st18c" localSheetId="2">#REF!</definedName>
    <definedName name="wk27st18c" localSheetId="5">#REF!</definedName>
    <definedName name="wk27st18c" localSheetId="6">#REF!</definedName>
    <definedName name="wk27st18c" localSheetId="7">#REF!</definedName>
    <definedName name="wk27st18c" localSheetId="8">#REF!</definedName>
    <definedName name="wk27st18c" localSheetId="9">#REF!</definedName>
    <definedName name="wk27st18c" localSheetId="10">#REF!</definedName>
    <definedName name="wk27st18c" localSheetId="11">#REF!</definedName>
    <definedName name="wk27st18c">#REF!</definedName>
    <definedName name="wk27st19c" localSheetId="4">#REF!</definedName>
    <definedName name="wk27st19c" localSheetId="3">#REF!</definedName>
    <definedName name="wk27st19c" localSheetId="2">#REF!</definedName>
    <definedName name="wk27st19c" localSheetId="5">#REF!</definedName>
    <definedName name="wk27st19c" localSheetId="6">#REF!</definedName>
    <definedName name="wk27st19c" localSheetId="7">#REF!</definedName>
    <definedName name="wk27st19c" localSheetId="8">#REF!</definedName>
    <definedName name="wk27st19c" localSheetId="9">#REF!</definedName>
    <definedName name="wk27st19c" localSheetId="10">#REF!</definedName>
    <definedName name="wk27st19c" localSheetId="11">#REF!</definedName>
    <definedName name="wk27st19c">#REF!</definedName>
    <definedName name="wk27st20c" localSheetId="4">#REF!</definedName>
    <definedName name="wk27st20c" localSheetId="3">#REF!</definedName>
    <definedName name="wk27st20c" localSheetId="2">#REF!</definedName>
    <definedName name="wk27st20c" localSheetId="5">#REF!</definedName>
    <definedName name="wk27st20c" localSheetId="6">#REF!</definedName>
    <definedName name="wk27st20c" localSheetId="7">#REF!</definedName>
    <definedName name="wk27st20c" localSheetId="8">#REF!</definedName>
    <definedName name="wk27st20c" localSheetId="9">#REF!</definedName>
    <definedName name="wk27st20c" localSheetId="10">#REF!</definedName>
    <definedName name="wk27st20c" localSheetId="11">#REF!</definedName>
    <definedName name="wk27st20c">#REF!</definedName>
    <definedName name="wk27st21c" localSheetId="4">#REF!</definedName>
    <definedName name="wk27st21c" localSheetId="3">#REF!</definedName>
    <definedName name="wk27st21c" localSheetId="2">#REF!</definedName>
    <definedName name="wk27st21c" localSheetId="5">#REF!</definedName>
    <definedName name="wk27st21c" localSheetId="6">#REF!</definedName>
    <definedName name="wk27st21c" localSheetId="7">#REF!</definedName>
    <definedName name="wk27st21c" localSheetId="8">#REF!</definedName>
    <definedName name="wk27st21c" localSheetId="9">#REF!</definedName>
    <definedName name="wk27st21c" localSheetId="10">#REF!</definedName>
    <definedName name="wk27st21c" localSheetId="11">#REF!</definedName>
    <definedName name="wk27st21c">#REF!</definedName>
    <definedName name="wk27st22c" localSheetId="4">#REF!</definedName>
    <definedName name="wk27st22c" localSheetId="3">#REF!</definedName>
    <definedName name="wk27st22c" localSheetId="2">#REF!</definedName>
    <definedName name="wk27st22c" localSheetId="5">#REF!</definedName>
    <definedName name="wk27st22c" localSheetId="6">#REF!</definedName>
    <definedName name="wk27st22c" localSheetId="7">#REF!</definedName>
    <definedName name="wk27st22c" localSheetId="8">#REF!</definedName>
    <definedName name="wk27st22c" localSheetId="9">#REF!</definedName>
    <definedName name="wk27st22c" localSheetId="10">#REF!</definedName>
    <definedName name="wk27st22c" localSheetId="11">#REF!</definedName>
    <definedName name="wk27st22c">#REF!</definedName>
    <definedName name="wk27st23c" localSheetId="4">#REF!</definedName>
    <definedName name="wk27st23c" localSheetId="3">#REF!</definedName>
    <definedName name="wk27st23c" localSheetId="2">#REF!</definedName>
    <definedName name="wk27st23c" localSheetId="5">#REF!</definedName>
    <definedName name="wk27st23c" localSheetId="6">#REF!</definedName>
    <definedName name="wk27st23c" localSheetId="7">#REF!</definedName>
    <definedName name="wk27st23c" localSheetId="8">#REF!</definedName>
    <definedName name="wk27st23c" localSheetId="9">#REF!</definedName>
    <definedName name="wk27st23c" localSheetId="10">#REF!</definedName>
    <definedName name="wk27st23c" localSheetId="11">#REF!</definedName>
    <definedName name="wk27st23c">#REF!</definedName>
    <definedName name="wk27st24c" localSheetId="4">#REF!</definedName>
    <definedName name="wk27st24c" localSheetId="3">#REF!</definedName>
    <definedName name="wk27st24c" localSheetId="2">#REF!</definedName>
    <definedName name="wk27st24c" localSheetId="5">#REF!</definedName>
    <definedName name="wk27st24c" localSheetId="6">#REF!</definedName>
    <definedName name="wk27st24c" localSheetId="7">#REF!</definedName>
    <definedName name="wk27st24c" localSheetId="8">#REF!</definedName>
    <definedName name="wk27st24c" localSheetId="9">#REF!</definedName>
    <definedName name="wk27st24c" localSheetId="10">#REF!</definedName>
    <definedName name="wk27st24c" localSheetId="11">#REF!</definedName>
    <definedName name="wk27st24c">#REF!</definedName>
    <definedName name="wk27st25c" localSheetId="4">#REF!</definedName>
    <definedName name="wk27st25c" localSheetId="3">#REF!</definedName>
    <definedName name="wk27st25c" localSheetId="2">#REF!</definedName>
    <definedName name="wk27st25c" localSheetId="5">#REF!</definedName>
    <definedName name="wk27st25c" localSheetId="6">#REF!</definedName>
    <definedName name="wk27st25c" localSheetId="7">#REF!</definedName>
    <definedName name="wk27st25c" localSheetId="8">#REF!</definedName>
    <definedName name="wk27st25c" localSheetId="9">#REF!</definedName>
    <definedName name="wk27st25c" localSheetId="10">#REF!</definedName>
    <definedName name="wk27st25c" localSheetId="11">#REF!</definedName>
    <definedName name="wk27st25c">#REF!</definedName>
    <definedName name="wk27st26c" localSheetId="4">#REF!</definedName>
    <definedName name="wk27st26c" localSheetId="3">#REF!</definedName>
    <definedName name="wk27st26c" localSheetId="2">#REF!</definedName>
    <definedName name="wk27st26c" localSheetId="5">#REF!</definedName>
    <definedName name="wk27st26c" localSheetId="6">#REF!</definedName>
    <definedName name="wk27st26c" localSheetId="7">#REF!</definedName>
    <definedName name="wk27st26c" localSheetId="8">#REF!</definedName>
    <definedName name="wk27st26c" localSheetId="9">#REF!</definedName>
    <definedName name="wk27st26c" localSheetId="10">#REF!</definedName>
    <definedName name="wk27st26c" localSheetId="11">#REF!</definedName>
    <definedName name="wk27st26c">#REF!</definedName>
    <definedName name="wk27st27c" localSheetId="4">#REF!</definedName>
    <definedName name="wk27st27c" localSheetId="3">#REF!</definedName>
    <definedName name="wk27st27c" localSheetId="2">#REF!</definedName>
    <definedName name="wk27st27c" localSheetId="5">#REF!</definedName>
    <definedName name="wk27st27c" localSheetId="6">#REF!</definedName>
    <definedName name="wk27st27c" localSheetId="7">#REF!</definedName>
    <definedName name="wk27st27c" localSheetId="8">#REF!</definedName>
    <definedName name="wk27st27c" localSheetId="9">#REF!</definedName>
    <definedName name="wk27st27c" localSheetId="10">#REF!</definedName>
    <definedName name="wk27st27c" localSheetId="11">#REF!</definedName>
    <definedName name="wk27st27c">#REF!</definedName>
    <definedName name="wk27st28c" localSheetId="4">#REF!</definedName>
    <definedName name="wk27st28c" localSheetId="3">#REF!</definedName>
    <definedName name="wk27st28c" localSheetId="2">#REF!</definedName>
    <definedName name="wk27st28c" localSheetId="5">#REF!</definedName>
    <definedName name="wk27st28c" localSheetId="6">#REF!</definedName>
    <definedName name="wk27st28c" localSheetId="7">#REF!</definedName>
    <definedName name="wk27st28c" localSheetId="8">#REF!</definedName>
    <definedName name="wk27st28c" localSheetId="9">#REF!</definedName>
    <definedName name="wk27st28c" localSheetId="10">#REF!</definedName>
    <definedName name="wk27st28c" localSheetId="11">#REF!</definedName>
    <definedName name="wk27st28c">#REF!</definedName>
    <definedName name="wk27st31c" localSheetId="4">#REF!</definedName>
    <definedName name="wk27st31c" localSheetId="3">#REF!</definedName>
    <definedName name="wk27st31c" localSheetId="2">#REF!</definedName>
    <definedName name="wk27st31c" localSheetId="5">#REF!</definedName>
    <definedName name="wk27st31c" localSheetId="6">#REF!</definedName>
    <definedName name="wk27st31c" localSheetId="7">#REF!</definedName>
    <definedName name="wk27st31c" localSheetId="8">#REF!</definedName>
    <definedName name="wk27st31c" localSheetId="9">#REF!</definedName>
    <definedName name="wk27st31c" localSheetId="10">#REF!</definedName>
    <definedName name="wk27st31c" localSheetId="11">#REF!</definedName>
    <definedName name="wk27st31c">#REF!</definedName>
    <definedName name="wk27st32c" localSheetId="4">#REF!</definedName>
    <definedName name="wk27st32c" localSheetId="3">#REF!</definedName>
    <definedName name="wk27st32c" localSheetId="2">#REF!</definedName>
    <definedName name="wk27st32c" localSheetId="5">#REF!</definedName>
    <definedName name="wk27st32c" localSheetId="6">#REF!</definedName>
    <definedName name="wk27st32c" localSheetId="7">#REF!</definedName>
    <definedName name="wk27st32c" localSheetId="8">#REF!</definedName>
    <definedName name="wk27st32c" localSheetId="9">#REF!</definedName>
    <definedName name="wk27st32c" localSheetId="10">#REF!</definedName>
    <definedName name="wk27st32c" localSheetId="11">#REF!</definedName>
    <definedName name="wk27st32c">#REF!</definedName>
    <definedName name="wk27st33c" localSheetId="4">#REF!</definedName>
    <definedName name="wk27st33c" localSheetId="3">#REF!</definedName>
    <definedName name="wk27st33c" localSheetId="2">#REF!</definedName>
    <definedName name="wk27st33c" localSheetId="5">#REF!</definedName>
    <definedName name="wk27st33c" localSheetId="6">#REF!</definedName>
    <definedName name="wk27st33c" localSheetId="7">#REF!</definedName>
    <definedName name="wk27st33c" localSheetId="8">#REF!</definedName>
    <definedName name="wk27st33c" localSheetId="9">#REF!</definedName>
    <definedName name="wk27st33c" localSheetId="10">#REF!</definedName>
    <definedName name="wk27st33c" localSheetId="11">#REF!</definedName>
    <definedName name="wk27st33c">#REF!</definedName>
    <definedName name="wk27st34c" localSheetId="4">#REF!</definedName>
    <definedName name="wk27st34c" localSheetId="3">#REF!</definedName>
    <definedName name="wk27st34c" localSheetId="2">#REF!</definedName>
    <definedName name="wk27st34c" localSheetId="5">#REF!</definedName>
    <definedName name="wk27st34c" localSheetId="6">#REF!</definedName>
    <definedName name="wk27st34c" localSheetId="7">#REF!</definedName>
    <definedName name="wk27st34c" localSheetId="8">#REF!</definedName>
    <definedName name="wk27st34c" localSheetId="9">#REF!</definedName>
    <definedName name="wk27st34c" localSheetId="10">#REF!</definedName>
    <definedName name="wk27st34c" localSheetId="11">#REF!</definedName>
    <definedName name="wk27st34c">#REF!</definedName>
    <definedName name="wk27st35c" localSheetId="4">#REF!</definedName>
    <definedName name="wk27st35c" localSheetId="3">#REF!</definedName>
    <definedName name="wk27st35c" localSheetId="2">#REF!</definedName>
    <definedName name="wk27st35c" localSheetId="5">#REF!</definedName>
    <definedName name="wk27st35c" localSheetId="6">#REF!</definedName>
    <definedName name="wk27st35c" localSheetId="7">#REF!</definedName>
    <definedName name="wk27st35c" localSheetId="8">#REF!</definedName>
    <definedName name="wk27st35c" localSheetId="9">#REF!</definedName>
    <definedName name="wk27st35c" localSheetId="10">#REF!</definedName>
    <definedName name="wk27st35c" localSheetId="11">#REF!</definedName>
    <definedName name="wk27st35c">#REF!</definedName>
    <definedName name="wk27st36c" localSheetId="4">#REF!</definedName>
    <definedName name="wk27st36c" localSheetId="3">#REF!</definedName>
    <definedName name="wk27st36c" localSheetId="2">#REF!</definedName>
    <definedName name="wk27st36c" localSheetId="5">#REF!</definedName>
    <definedName name="wk27st36c" localSheetId="6">#REF!</definedName>
    <definedName name="wk27st36c" localSheetId="7">#REF!</definedName>
    <definedName name="wk27st36c" localSheetId="8">#REF!</definedName>
    <definedName name="wk27st36c" localSheetId="9">#REF!</definedName>
    <definedName name="wk27st36c" localSheetId="10">#REF!</definedName>
    <definedName name="wk27st36c" localSheetId="11">#REF!</definedName>
    <definedName name="wk27st36c">#REF!</definedName>
    <definedName name="wk28st15c" localSheetId="4">#REF!</definedName>
    <definedName name="wk28st15c" localSheetId="3">#REF!</definedName>
    <definedName name="wk28st15c" localSheetId="2">#REF!</definedName>
    <definedName name="wk28st15c" localSheetId="5">#REF!</definedName>
    <definedName name="wk28st15c" localSheetId="6">#REF!</definedName>
    <definedName name="wk28st15c" localSheetId="7">#REF!</definedName>
    <definedName name="wk28st15c" localSheetId="8">#REF!</definedName>
    <definedName name="wk28st15c" localSheetId="9">#REF!</definedName>
    <definedName name="wk28st15c" localSheetId="10">#REF!</definedName>
    <definedName name="wk28st15c" localSheetId="11">#REF!</definedName>
    <definedName name="wk28st15c">#REF!</definedName>
    <definedName name="wk28st16c" localSheetId="4">#REF!</definedName>
    <definedName name="wk28st16c" localSheetId="3">#REF!</definedName>
    <definedName name="wk28st16c" localSheetId="2">#REF!</definedName>
    <definedName name="wk28st16c" localSheetId="5">#REF!</definedName>
    <definedName name="wk28st16c" localSheetId="6">#REF!</definedName>
    <definedName name="wk28st16c" localSheetId="7">#REF!</definedName>
    <definedName name="wk28st16c" localSheetId="8">#REF!</definedName>
    <definedName name="wk28st16c" localSheetId="9">#REF!</definedName>
    <definedName name="wk28st16c" localSheetId="10">#REF!</definedName>
    <definedName name="wk28st16c" localSheetId="11">#REF!</definedName>
    <definedName name="wk28st16c">#REF!</definedName>
    <definedName name="wk28st17c" localSheetId="4">#REF!</definedName>
    <definedName name="wk28st17c" localSheetId="3">#REF!</definedName>
    <definedName name="wk28st17c" localSheetId="2">#REF!</definedName>
    <definedName name="wk28st17c" localSheetId="5">#REF!</definedName>
    <definedName name="wk28st17c" localSheetId="6">#REF!</definedName>
    <definedName name="wk28st17c" localSheetId="7">#REF!</definedName>
    <definedName name="wk28st17c" localSheetId="8">#REF!</definedName>
    <definedName name="wk28st17c" localSheetId="9">#REF!</definedName>
    <definedName name="wk28st17c" localSheetId="10">#REF!</definedName>
    <definedName name="wk28st17c" localSheetId="11">#REF!</definedName>
    <definedName name="wk28st17c">#REF!</definedName>
    <definedName name="wk28st18c" localSheetId="4">#REF!</definedName>
    <definedName name="wk28st18c" localSheetId="3">#REF!</definedName>
    <definedName name="wk28st18c" localSheetId="2">#REF!</definedName>
    <definedName name="wk28st18c" localSheetId="5">#REF!</definedName>
    <definedName name="wk28st18c" localSheetId="6">#REF!</definedName>
    <definedName name="wk28st18c" localSheetId="7">#REF!</definedName>
    <definedName name="wk28st18c" localSheetId="8">#REF!</definedName>
    <definedName name="wk28st18c" localSheetId="9">#REF!</definedName>
    <definedName name="wk28st18c" localSheetId="10">#REF!</definedName>
    <definedName name="wk28st18c" localSheetId="11">#REF!</definedName>
    <definedName name="wk28st18c">#REF!</definedName>
    <definedName name="wk28st19c" localSheetId="4">#REF!</definedName>
    <definedName name="wk28st19c" localSheetId="3">#REF!</definedName>
    <definedName name="wk28st19c" localSheetId="2">#REF!</definedName>
    <definedName name="wk28st19c" localSheetId="5">#REF!</definedName>
    <definedName name="wk28st19c" localSheetId="6">#REF!</definedName>
    <definedName name="wk28st19c" localSheetId="7">#REF!</definedName>
    <definedName name="wk28st19c" localSheetId="8">#REF!</definedName>
    <definedName name="wk28st19c" localSheetId="9">#REF!</definedName>
    <definedName name="wk28st19c" localSheetId="10">#REF!</definedName>
    <definedName name="wk28st19c" localSheetId="11">#REF!</definedName>
    <definedName name="wk28st19c">#REF!</definedName>
    <definedName name="wk28st20c" localSheetId="4">#REF!</definedName>
    <definedName name="wk28st20c" localSheetId="3">#REF!</definedName>
    <definedName name="wk28st20c" localSheetId="2">#REF!</definedName>
    <definedName name="wk28st20c" localSheetId="5">#REF!</definedName>
    <definedName name="wk28st20c" localSheetId="6">#REF!</definedName>
    <definedName name="wk28st20c" localSheetId="7">#REF!</definedName>
    <definedName name="wk28st20c" localSheetId="8">#REF!</definedName>
    <definedName name="wk28st20c" localSheetId="9">#REF!</definedName>
    <definedName name="wk28st20c" localSheetId="10">#REF!</definedName>
    <definedName name="wk28st20c" localSheetId="11">#REF!</definedName>
    <definedName name="wk28st20c">#REF!</definedName>
    <definedName name="wk28st21c" localSheetId="4">#REF!</definedName>
    <definedName name="wk28st21c" localSheetId="3">#REF!</definedName>
    <definedName name="wk28st21c" localSheetId="2">#REF!</definedName>
    <definedName name="wk28st21c" localSheetId="5">#REF!</definedName>
    <definedName name="wk28st21c" localSheetId="6">#REF!</definedName>
    <definedName name="wk28st21c" localSheetId="7">#REF!</definedName>
    <definedName name="wk28st21c" localSheetId="8">#REF!</definedName>
    <definedName name="wk28st21c" localSheetId="9">#REF!</definedName>
    <definedName name="wk28st21c" localSheetId="10">#REF!</definedName>
    <definedName name="wk28st21c" localSheetId="11">#REF!</definedName>
    <definedName name="wk28st21c">#REF!</definedName>
    <definedName name="wk28st22c" localSheetId="4">#REF!</definedName>
    <definedName name="wk28st22c" localSheetId="3">#REF!</definedName>
    <definedName name="wk28st22c" localSheetId="2">#REF!</definedName>
    <definedName name="wk28st22c" localSheetId="5">#REF!</definedName>
    <definedName name="wk28st22c" localSheetId="6">#REF!</definedName>
    <definedName name="wk28st22c" localSheetId="7">#REF!</definedName>
    <definedName name="wk28st22c" localSheetId="8">#REF!</definedName>
    <definedName name="wk28st22c" localSheetId="9">#REF!</definedName>
    <definedName name="wk28st22c" localSheetId="10">#REF!</definedName>
    <definedName name="wk28st22c" localSheetId="11">#REF!</definedName>
    <definedName name="wk28st22c">#REF!</definedName>
    <definedName name="wk28st23c" localSheetId="4">#REF!</definedName>
    <definedName name="wk28st23c" localSheetId="3">#REF!</definedName>
    <definedName name="wk28st23c" localSheetId="2">#REF!</definedName>
    <definedName name="wk28st23c" localSheetId="5">#REF!</definedName>
    <definedName name="wk28st23c" localSheetId="6">#REF!</definedName>
    <definedName name="wk28st23c" localSheetId="7">#REF!</definedName>
    <definedName name="wk28st23c" localSheetId="8">#REF!</definedName>
    <definedName name="wk28st23c" localSheetId="9">#REF!</definedName>
    <definedName name="wk28st23c" localSheetId="10">#REF!</definedName>
    <definedName name="wk28st23c" localSheetId="11">#REF!</definedName>
    <definedName name="wk28st23c">#REF!</definedName>
    <definedName name="wk28st24c" localSheetId="4">#REF!</definedName>
    <definedName name="wk28st24c" localSheetId="3">#REF!</definedName>
    <definedName name="wk28st24c" localSheetId="2">#REF!</definedName>
    <definedName name="wk28st24c" localSheetId="5">#REF!</definedName>
    <definedName name="wk28st24c" localSheetId="6">#REF!</definedName>
    <definedName name="wk28st24c" localSheetId="7">#REF!</definedName>
    <definedName name="wk28st24c" localSheetId="8">#REF!</definedName>
    <definedName name="wk28st24c" localSheetId="9">#REF!</definedName>
    <definedName name="wk28st24c" localSheetId="10">#REF!</definedName>
    <definedName name="wk28st24c" localSheetId="11">#REF!</definedName>
    <definedName name="wk28st24c">#REF!</definedName>
    <definedName name="wk28st25c" localSheetId="4">#REF!</definedName>
    <definedName name="wk28st25c" localSheetId="3">#REF!</definedName>
    <definedName name="wk28st25c" localSheetId="2">#REF!</definedName>
    <definedName name="wk28st25c" localSheetId="5">#REF!</definedName>
    <definedName name="wk28st25c" localSheetId="6">#REF!</definedName>
    <definedName name="wk28st25c" localSheetId="7">#REF!</definedName>
    <definedName name="wk28st25c" localSheetId="8">#REF!</definedName>
    <definedName name="wk28st25c" localSheetId="9">#REF!</definedName>
    <definedName name="wk28st25c" localSheetId="10">#REF!</definedName>
    <definedName name="wk28st25c" localSheetId="11">#REF!</definedName>
    <definedName name="wk28st25c">#REF!</definedName>
    <definedName name="wk28st26c" localSheetId="4">#REF!</definedName>
    <definedName name="wk28st26c" localSheetId="3">#REF!</definedName>
    <definedName name="wk28st26c" localSheetId="2">#REF!</definedName>
    <definedName name="wk28st26c" localSheetId="5">#REF!</definedName>
    <definedName name="wk28st26c" localSheetId="6">#REF!</definedName>
    <definedName name="wk28st26c" localSheetId="7">#REF!</definedName>
    <definedName name="wk28st26c" localSheetId="8">#REF!</definedName>
    <definedName name="wk28st26c" localSheetId="9">#REF!</definedName>
    <definedName name="wk28st26c" localSheetId="10">#REF!</definedName>
    <definedName name="wk28st26c" localSheetId="11">#REF!</definedName>
    <definedName name="wk28st26c">#REF!</definedName>
    <definedName name="wk28st27c" localSheetId="4">#REF!</definedName>
    <definedName name="wk28st27c" localSheetId="3">#REF!</definedName>
    <definedName name="wk28st27c" localSheetId="2">#REF!</definedName>
    <definedName name="wk28st27c" localSheetId="5">#REF!</definedName>
    <definedName name="wk28st27c" localSheetId="6">#REF!</definedName>
    <definedName name="wk28st27c" localSheetId="7">#REF!</definedName>
    <definedName name="wk28st27c" localSheetId="8">#REF!</definedName>
    <definedName name="wk28st27c" localSheetId="9">#REF!</definedName>
    <definedName name="wk28st27c" localSheetId="10">#REF!</definedName>
    <definedName name="wk28st27c" localSheetId="11">#REF!</definedName>
    <definedName name="wk28st27c">#REF!</definedName>
    <definedName name="wk28st28c" localSheetId="4">#REF!</definedName>
    <definedName name="wk28st28c" localSheetId="3">#REF!</definedName>
    <definedName name="wk28st28c" localSheetId="2">#REF!</definedName>
    <definedName name="wk28st28c" localSheetId="5">#REF!</definedName>
    <definedName name="wk28st28c" localSheetId="6">#REF!</definedName>
    <definedName name="wk28st28c" localSheetId="7">#REF!</definedName>
    <definedName name="wk28st28c" localSheetId="8">#REF!</definedName>
    <definedName name="wk28st28c" localSheetId="9">#REF!</definedName>
    <definedName name="wk28st28c" localSheetId="10">#REF!</definedName>
    <definedName name="wk28st28c" localSheetId="11">#REF!</definedName>
    <definedName name="wk28st28c">#REF!</definedName>
    <definedName name="wk28st29c" localSheetId="4">#REF!</definedName>
    <definedName name="wk28st29c" localSheetId="3">#REF!</definedName>
    <definedName name="wk28st29c" localSheetId="2">#REF!</definedName>
    <definedName name="wk28st29c" localSheetId="5">#REF!</definedName>
    <definedName name="wk28st29c" localSheetId="6">#REF!</definedName>
    <definedName name="wk28st29c" localSheetId="7">#REF!</definedName>
    <definedName name="wk28st29c" localSheetId="8">#REF!</definedName>
    <definedName name="wk28st29c" localSheetId="9">#REF!</definedName>
    <definedName name="wk28st29c" localSheetId="10">#REF!</definedName>
    <definedName name="wk28st29c" localSheetId="11">#REF!</definedName>
    <definedName name="wk28st29c">#REF!</definedName>
    <definedName name="wk28st30c" localSheetId="4">#REF!</definedName>
    <definedName name="wk28st30c" localSheetId="3">#REF!</definedName>
    <definedName name="wk28st30c" localSheetId="2">#REF!</definedName>
    <definedName name="wk28st30c" localSheetId="5">#REF!</definedName>
    <definedName name="wk28st30c" localSheetId="6">#REF!</definedName>
    <definedName name="wk28st30c" localSheetId="7">#REF!</definedName>
    <definedName name="wk28st30c" localSheetId="8">#REF!</definedName>
    <definedName name="wk28st30c" localSheetId="9">#REF!</definedName>
    <definedName name="wk28st30c" localSheetId="10">#REF!</definedName>
    <definedName name="wk28st30c" localSheetId="11">#REF!</definedName>
    <definedName name="wk28st30c">#REF!</definedName>
    <definedName name="wk28st31c" localSheetId="4">#REF!</definedName>
    <definedName name="wk28st31c" localSheetId="3">#REF!</definedName>
    <definedName name="wk28st31c" localSheetId="2">#REF!</definedName>
    <definedName name="wk28st31c" localSheetId="5">#REF!</definedName>
    <definedName name="wk28st31c" localSheetId="6">#REF!</definedName>
    <definedName name="wk28st31c" localSheetId="7">#REF!</definedName>
    <definedName name="wk28st31c" localSheetId="8">#REF!</definedName>
    <definedName name="wk28st31c" localSheetId="9">#REF!</definedName>
    <definedName name="wk28st31c" localSheetId="10">#REF!</definedName>
    <definedName name="wk28st31c" localSheetId="11">#REF!</definedName>
    <definedName name="wk28st31c">#REF!</definedName>
    <definedName name="wk28st32c" localSheetId="4">#REF!</definedName>
    <definedName name="wk28st32c" localSheetId="3">#REF!</definedName>
    <definedName name="wk28st32c" localSheetId="2">#REF!</definedName>
    <definedName name="wk28st32c" localSheetId="5">#REF!</definedName>
    <definedName name="wk28st32c" localSheetId="6">#REF!</definedName>
    <definedName name="wk28st32c" localSheetId="7">#REF!</definedName>
    <definedName name="wk28st32c" localSheetId="8">#REF!</definedName>
    <definedName name="wk28st32c" localSheetId="9">#REF!</definedName>
    <definedName name="wk28st32c" localSheetId="10">#REF!</definedName>
    <definedName name="wk28st32c" localSheetId="11">#REF!</definedName>
    <definedName name="wk28st32c">#REF!</definedName>
    <definedName name="wk28st33c" localSheetId="4">#REF!</definedName>
    <definedName name="wk28st33c" localSheetId="3">#REF!</definedName>
    <definedName name="wk28st33c" localSheetId="2">#REF!</definedName>
    <definedName name="wk28st33c" localSheetId="5">#REF!</definedName>
    <definedName name="wk28st33c" localSheetId="6">#REF!</definedName>
    <definedName name="wk28st33c" localSheetId="7">#REF!</definedName>
    <definedName name="wk28st33c" localSheetId="8">#REF!</definedName>
    <definedName name="wk28st33c" localSheetId="9">#REF!</definedName>
    <definedName name="wk28st33c" localSheetId="10">#REF!</definedName>
    <definedName name="wk28st33c" localSheetId="11">#REF!</definedName>
    <definedName name="wk28st33c">#REF!</definedName>
    <definedName name="wk28st34c" localSheetId="4">#REF!</definedName>
    <definedName name="wk28st34c" localSheetId="3">#REF!</definedName>
    <definedName name="wk28st34c" localSheetId="2">#REF!</definedName>
    <definedName name="wk28st34c" localSheetId="5">#REF!</definedName>
    <definedName name="wk28st34c" localSheetId="6">#REF!</definedName>
    <definedName name="wk28st34c" localSheetId="7">#REF!</definedName>
    <definedName name="wk28st34c" localSheetId="8">#REF!</definedName>
    <definedName name="wk28st34c" localSheetId="9">#REF!</definedName>
    <definedName name="wk28st34c" localSheetId="10">#REF!</definedName>
    <definedName name="wk28st34c" localSheetId="11">#REF!</definedName>
    <definedName name="wk28st34c">#REF!</definedName>
    <definedName name="wk29st14c" localSheetId="4">#REF!</definedName>
    <definedName name="wk29st14c" localSheetId="3">#REF!</definedName>
    <definedName name="wk29st14c" localSheetId="2">#REF!</definedName>
    <definedName name="wk29st14c" localSheetId="5">#REF!</definedName>
    <definedName name="wk29st14c" localSheetId="6">#REF!</definedName>
    <definedName name="wk29st14c" localSheetId="7">#REF!</definedName>
    <definedName name="wk29st14c" localSheetId="8">#REF!</definedName>
    <definedName name="wk29st14c" localSheetId="9">#REF!</definedName>
    <definedName name="wk29st14c" localSheetId="10">#REF!</definedName>
    <definedName name="wk29st14c" localSheetId="11">#REF!</definedName>
    <definedName name="wk29st14c">#REF!</definedName>
    <definedName name="wk29st15c" localSheetId="4">#REF!</definedName>
    <definedName name="wk29st15c" localSheetId="3">#REF!</definedName>
    <definedName name="wk29st15c" localSheetId="2">#REF!</definedName>
    <definedName name="wk29st15c" localSheetId="5">#REF!</definedName>
    <definedName name="wk29st15c" localSheetId="6">#REF!</definedName>
    <definedName name="wk29st15c" localSheetId="7">#REF!</definedName>
    <definedName name="wk29st15c" localSheetId="8">#REF!</definedName>
    <definedName name="wk29st15c" localSheetId="9">#REF!</definedName>
    <definedName name="wk29st15c" localSheetId="10">#REF!</definedName>
    <definedName name="wk29st15c" localSheetId="11">#REF!</definedName>
    <definedName name="wk29st15c">#REF!</definedName>
    <definedName name="wk29st16c" localSheetId="4">#REF!</definedName>
    <definedName name="wk29st16c" localSheetId="3">#REF!</definedName>
    <definedName name="wk29st16c" localSheetId="2">#REF!</definedName>
    <definedName name="wk29st16c" localSheetId="5">#REF!</definedName>
    <definedName name="wk29st16c" localSheetId="6">#REF!</definedName>
    <definedName name="wk29st16c" localSheetId="7">#REF!</definedName>
    <definedName name="wk29st16c" localSheetId="8">#REF!</definedName>
    <definedName name="wk29st16c" localSheetId="9">#REF!</definedName>
    <definedName name="wk29st16c" localSheetId="10">#REF!</definedName>
    <definedName name="wk29st16c" localSheetId="11">#REF!</definedName>
    <definedName name="wk29st16c">#REF!</definedName>
    <definedName name="wk29st20c" localSheetId="4">#REF!</definedName>
    <definedName name="wk29st20c" localSheetId="3">#REF!</definedName>
    <definedName name="wk29st20c" localSheetId="2">#REF!</definedName>
    <definedName name="wk29st20c" localSheetId="5">#REF!</definedName>
    <definedName name="wk29st20c" localSheetId="6">#REF!</definedName>
    <definedName name="wk29st20c" localSheetId="7">#REF!</definedName>
    <definedName name="wk29st20c" localSheetId="8">#REF!</definedName>
    <definedName name="wk29st20c" localSheetId="9">#REF!</definedName>
    <definedName name="wk29st20c" localSheetId="10">#REF!</definedName>
    <definedName name="wk29st20c" localSheetId="11">#REF!</definedName>
    <definedName name="wk29st20c">#REF!</definedName>
    <definedName name="wk29st21c" localSheetId="4">#REF!</definedName>
    <definedName name="wk29st21c" localSheetId="3">#REF!</definedName>
    <definedName name="wk29st21c" localSheetId="2">#REF!</definedName>
    <definedName name="wk29st21c" localSheetId="5">#REF!</definedName>
    <definedName name="wk29st21c" localSheetId="6">#REF!</definedName>
    <definedName name="wk29st21c" localSheetId="7">#REF!</definedName>
    <definedName name="wk29st21c" localSheetId="8">#REF!</definedName>
    <definedName name="wk29st21c" localSheetId="9">#REF!</definedName>
    <definedName name="wk29st21c" localSheetId="10">#REF!</definedName>
    <definedName name="wk29st21c" localSheetId="11">#REF!</definedName>
    <definedName name="wk29st21c">#REF!</definedName>
    <definedName name="wk29st25c" localSheetId="4">#REF!</definedName>
    <definedName name="wk29st25c" localSheetId="3">#REF!</definedName>
    <definedName name="wk29st25c" localSheetId="2">#REF!</definedName>
    <definedName name="wk29st25c" localSheetId="5">#REF!</definedName>
    <definedName name="wk29st25c" localSheetId="6">#REF!</definedName>
    <definedName name="wk29st25c" localSheetId="7">#REF!</definedName>
    <definedName name="wk29st25c" localSheetId="8">#REF!</definedName>
    <definedName name="wk29st25c" localSheetId="9">#REF!</definedName>
    <definedName name="wk29st25c" localSheetId="10">#REF!</definedName>
    <definedName name="wk29st25c" localSheetId="11">#REF!</definedName>
    <definedName name="wk29st25c">#REF!</definedName>
    <definedName name="wk29st26c" localSheetId="4">#REF!</definedName>
    <definedName name="wk29st26c" localSheetId="3">#REF!</definedName>
    <definedName name="wk29st26c" localSheetId="2">#REF!</definedName>
    <definedName name="wk29st26c" localSheetId="5">#REF!</definedName>
    <definedName name="wk29st26c" localSheetId="6">#REF!</definedName>
    <definedName name="wk29st26c" localSheetId="7">#REF!</definedName>
    <definedName name="wk29st26c" localSheetId="8">#REF!</definedName>
    <definedName name="wk29st26c" localSheetId="9">#REF!</definedName>
    <definedName name="wk29st26c" localSheetId="10">#REF!</definedName>
    <definedName name="wk29st26c" localSheetId="11">#REF!</definedName>
    <definedName name="wk29st26c">#REF!</definedName>
    <definedName name="wk29st29c" localSheetId="4">#REF!</definedName>
    <definedName name="wk29st29c" localSheetId="3">#REF!</definedName>
    <definedName name="wk29st29c" localSheetId="2">#REF!</definedName>
    <definedName name="wk29st29c" localSheetId="5">#REF!</definedName>
    <definedName name="wk29st29c" localSheetId="6">#REF!</definedName>
    <definedName name="wk29st29c" localSheetId="7">#REF!</definedName>
    <definedName name="wk29st29c" localSheetId="8">#REF!</definedName>
    <definedName name="wk29st29c" localSheetId="9">#REF!</definedName>
    <definedName name="wk29st29c" localSheetId="10">#REF!</definedName>
    <definedName name="wk29st29c" localSheetId="11">#REF!</definedName>
    <definedName name="wk29st29c">#REF!</definedName>
    <definedName name="wk29st32c" localSheetId="4">#REF!</definedName>
    <definedName name="wk29st32c" localSheetId="3">#REF!</definedName>
    <definedName name="wk29st32c" localSheetId="2">#REF!</definedName>
    <definedName name="wk29st32c" localSheetId="5">#REF!</definedName>
    <definedName name="wk29st32c" localSheetId="6">#REF!</definedName>
    <definedName name="wk29st32c" localSheetId="7">#REF!</definedName>
    <definedName name="wk29st32c" localSheetId="8">#REF!</definedName>
    <definedName name="wk29st32c" localSheetId="9">#REF!</definedName>
    <definedName name="wk29st32c" localSheetId="10">#REF!</definedName>
    <definedName name="wk29st32c" localSheetId="11">#REF!</definedName>
    <definedName name="wk29st32c">#REF!</definedName>
    <definedName name="wk29st33c" localSheetId="4">#REF!</definedName>
    <definedName name="wk29st33c" localSheetId="3">#REF!</definedName>
    <definedName name="wk29st33c" localSheetId="2">#REF!</definedName>
    <definedName name="wk29st33c" localSheetId="5">#REF!</definedName>
    <definedName name="wk29st33c" localSheetId="6">#REF!</definedName>
    <definedName name="wk29st33c" localSheetId="7">#REF!</definedName>
    <definedName name="wk29st33c" localSheetId="8">#REF!</definedName>
    <definedName name="wk29st33c" localSheetId="9">#REF!</definedName>
    <definedName name="wk29st33c" localSheetId="10">#REF!</definedName>
    <definedName name="wk29st33c" localSheetId="11">#REF!</definedName>
    <definedName name="wk29st33c">#REF!</definedName>
    <definedName name="wk29st34c" localSheetId="4">#REF!</definedName>
    <definedName name="wk29st34c" localSheetId="3">#REF!</definedName>
    <definedName name="wk29st34c" localSheetId="2">#REF!</definedName>
    <definedName name="wk29st34c" localSheetId="5">#REF!</definedName>
    <definedName name="wk29st34c" localSheetId="6">#REF!</definedName>
    <definedName name="wk29st34c" localSheetId="7">#REF!</definedName>
    <definedName name="wk29st34c" localSheetId="8">#REF!</definedName>
    <definedName name="wk29st34c" localSheetId="9">#REF!</definedName>
    <definedName name="wk29st34c" localSheetId="10">#REF!</definedName>
    <definedName name="wk29st34c" localSheetId="11">#REF!</definedName>
    <definedName name="wk29st34c">#REF!</definedName>
    <definedName name="wk29st35c" localSheetId="4">#REF!</definedName>
    <definedName name="wk29st35c" localSheetId="3">#REF!</definedName>
    <definedName name="wk29st35c" localSheetId="2">#REF!</definedName>
    <definedName name="wk29st35c" localSheetId="5">#REF!</definedName>
    <definedName name="wk29st35c" localSheetId="6">#REF!</definedName>
    <definedName name="wk29st35c" localSheetId="7">#REF!</definedName>
    <definedName name="wk29st35c" localSheetId="8">#REF!</definedName>
    <definedName name="wk29st35c" localSheetId="9">#REF!</definedName>
    <definedName name="wk29st35c" localSheetId="10">#REF!</definedName>
    <definedName name="wk29st35c" localSheetId="11">#REF!</definedName>
    <definedName name="wk29st35c">#REF!</definedName>
    <definedName name="wk29st36c" localSheetId="4">#REF!</definedName>
    <definedName name="wk29st36c" localSheetId="3">#REF!</definedName>
    <definedName name="wk29st36c" localSheetId="2">#REF!</definedName>
    <definedName name="wk29st36c" localSheetId="5">#REF!</definedName>
    <definedName name="wk29st36c" localSheetId="6">#REF!</definedName>
    <definedName name="wk29st36c" localSheetId="7">#REF!</definedName>
    <definedName name="wk29st36c" localSheetId="8">#REF!</definedName>
    <definedName name="wk29st36c" localSheetId="9">#REF!</definedName>
    <definedName name="wk29st36c" localSheetId="10">#REF!</definedName>
    <definedName name="wk29st36c" localSheetId="11">#REF!</definedName>
    <definedName name="wk29st36c">#REF!</definedName>
    <definedName name="wk30st14c" localSheetId="4">#REF!</definedName>
    <definedName name="wk30st14c" localSheetId="3">#REF!</definedName>
    <definedName name="wk30st14c" localSheetId="2">#REF!</definedName>
    <definedName name="wk30st14c" localSheetId="5">#REF!</definedName>
    <definedName name="wk30st14c" localSheetId="6">#REF!</definedName>
    <definedName name="wk30st14c" localSheetId="7">#REF!</definedName>
    <definedName name="wk30st14c" localSheetId="8">#REF!</definedName>
    <definedName name="wk30st14c" localSheetId="9">#REF!</definedName>
    <definedName name="wk30st14c" localSheetId="10">#REF!</definedName>
    <definedName name="wk30st14c" localSheetId="11">#REF!</definedName>
    <definedName name="wk30st14c">#REF!</definedName>
    <definedName name="wk30st16c" localSheetId="4">#REF!</definedName>
    <definedName name="wk30st16c" localSheetId="3">#REF!</definedName>
    <definedName name="wk30st16c" localSheetId="2">#REF!</definedName>
    <definedName name="wk30st16c" localSheetId="5">#REF!</definedName>
    <definedName name="wk30st16c" localSheetId="6">#REF!</definedName>
    <definedName name="wk30st16c" localSheetId="7">#REF!</definedName>
    <definedName name="wk30st16c" localSheetId="8">#REF!</definedName>
    <definedName name="wk30st16c" localSheetId="9">#REF!</definedName>
    <definedName name="wk30st16c" localSheetId="10">#REF!</definedName>
    <definedName name="wk30st16c" localSheetId="11">#REF!</definedName>
    <definedName name="wk30st16c">#REF!</definedName>
    <definedName name="wk30st20c" localSheetId="4">#REF!</definedName>
    <definedName name="wk30st20c" localSheetId="3">#REF!</definedName>
    <definedName name="wk30st20c" localSheetId="2">#REF!</definedName>
    <definedName name="wk30st20c" localSheetId="5">#REF!</definedName>
    <definedName name="wk30st20c" localSheetId="6">#REF!</definedName>
    <definedName name="wk30st20c" localSheetId="7">#REF!</definedName>
    <definedName name="wk30st20c" localSheetId="8">#REF!</definedName>
    <definedName name="wk30st20c" localSheetId="9">#REF!</definedName>
    <definedName name="wk30st20c" localSheetId="10">#REF!</definedName>
    <definedName name="wk30st20c" localSheetId="11">#REF!</definedName>
    <definedName name="wk30st20c">#REF!</definedName>
    <definedName name="wk30st21c" localSheetId="4">#REF!</definedName>
    <definedName name="wk30st21c" localSheetId="3">#REF!</definedName>
    <definedName name="wk30st21c" localSheetId="2">#REF!</definedName>
    <definedName name="wk30st21c" localSheetId="5">#REF!</definedName>
    <definedName name="wk30st21c" localSheetId="6">#REF!</definedName>
    <definedName name="wk30st21c" localSheetId="7">#REF!</definedName>
    <definedName name="wk30st21c" localSheetId="8">#REF!</definedName>
    <definedName name="wk30st21c" localSheetId="9">#REF!</definedName>
    <definedName name="wk30st21c" localSheetId="10">#REF!</definedName>
    <definedName name="wk30st21c" localSheetId="11">#REF!</definedName>
    <definedName name="wk30st21c">#REF!</definedName>
    <definedName name="wk30st23c" localSheetId="4">#REF!</definedName>
    <definedName name="wk30st23c" localSheetId="3">#REF!</definedName>
    <definedName name="wk30st23c" localSheetId="2">#REF!</definedName>
    <definedName name="wk30st23c" localSheetId="5">#REF!</definedName>
    <definedName name="wk30st23c" localSheetId="6">#REF!</definedName>
    <definedName name="wk30st23c" localSheetId="7">#REF!</definedName>
    <definedName name="wk30st23c" localSheetId="8">#REF!</definedName>
    <definedName name="wk30st23c" localSheetId="9">#REF!</definedName>
    <definedName name="wk30st23c" localSheetId="10">#REF!</definedName>
    <definedName name="wk30st23c" localSheetId="11">#REF!</definedName>
    <definedName name="wk30st23c">#REF!</definedName>
    <definedName name="wk30st25c" localSheetId="4">#REF!</definedName>
    <definedName name="wk30st25c" localSheetId="3">#REF!</definedName>
    <definedName name="wk30st25c" localSheetId="2">#REF!</definedName>
    <definedName name="wk30st25c" localSheetId="5">#REF!</definedName>
    <definedName name="wk30st25c" localSheetId="6">#REF!</definedName>
    <definedName name="wk30st25c" localSheetId="7">#REF!</definedName>
    <definedName name="wk30st25c" localSheetId="8">#REF!</definedName>
    <definedName name="wk30st25c" localSheetId="9">#REF!</definedName>
    <definedName name="wk30st25c" localSheetId="10">#REF!</definedName>
    <definedName name="wk30st25c" localSheetId="11">#REF!</definedName>
    <definedName name="wk30st25c">#REF!</definedName>
    <definedName name="wk30st28c" localSheetId="4">#REF!</definedName>
    <definedName name="wk30st28c" localSheetId="3">#REF!</definedName>
    <definedName name="wk30st28c" localSheetId="2">#REF!</definedName>
    <definedName name="wk30st28c" localSheetId="5">#REF!</definedName>
    <definedName name="wk30st28c" localSheetId="6">#REF!</definedName>
    <definedName name="wk30st28c" localSheetId="7">#REF!</definedName>
    <definedName name="wk30st28c" localSheetId="8">#REF!</definedName>
    <definedName name="wk30st28c" localSheetId="9">#REF!</definedName>
    <definedName name="wk30st28c" localSheetId="10">#REF!</definedName>
    <definedName name="wk30st28c" localSheetId="11">#REF!</definedName>
    <definedName name="wk30st28c">#REF!</definedName>
    <definedName name="wk30st29c" localSheetId="4">#REF!</definedName>
    <definedName name="wk30st29c" localSheetId="3">#REF!</definedName>
    <definedName name="wk30st29c" localSheetId="2">#REF!</definedName>
    <definedName name="wk30st29c" localSheetId="5">#REF!</definedName>
    <definedName name="wk30st29c" localSheetId="6">#REF!</definedName>
    <definedName name="wk30st29c" localSheetId="7">#REF!</definedName>
    <definedName name="wk30st29c" localSheetId="8">#REF!</definedName>
    <definedName name="wk30st29c" localSheetId="9">#REF!</definedName>
    <definedName name="wk30st29c" localSheetId="10">#REF!</definedName>
    <definedName name="wk30st29c" localSheetId="11">#REF!</definedName>
    <definedName name="wk30st29c">#REF!</definedName>
    <definedName name="wk31st15c" localSheetId="4">#REF!</definedName>
    <definedName name="wk31st15c" localSheetId="3">#REF!</definedName>
    <definedName name="wk31st15c" localSheetId="2">#REF!</definedName>
    <definedName name="wk31st15c" localSheetId="5">#REF!</definedName>
    <definedName name="wk31st15c" localSheetId="6">#REF!</definedName>
    <definedName name="wk31st15c" localSheetId="7">#REF!</definedName>
    <definedName name="wk31st15c" localSheetId="8">#REF!</definedName>
    <definedName name="wk31st15c" localSheetId="9">#REF!</definedName>
    <definedName name="wk31st15c" localSheetId="10">#REF!</definedName>
    <definedName name="wk31st15c" localSheetId="11">#REF!</definedName>
    <definedName name="wk31st15c">#REF!</definedName>
    <definedName name="wk31st19c" localSheetId="4">#REF!</definedName>
    <definedName name="wk31st19c" localSheetId="3">#REF!</definedName>
    <definedName name="wk31st19c" localSheetId="2">#REF!</definedName>
    <definedName name="wk31st19c" localSheetId="5">#REF!</definedName>
    <definedName name="wk31st19c" localSheetId="6">#REF!</definedName>
    <definedName name="wk31st19c" localSheetId="7">#REF!</definedName>
    <definedName name="wk31st19c" localSheetId="8">#REF!</definedName>
    <definedName name="wk31st19c" localSheetId="9">#REF!</definedName>
    <definedName name="wk31st19c" localSheetId="10">#REF!</definedName>
    <definedName name="wk31st19c" localSheetId="11">#REF!</definedName>
    <definedName name="wk31st19c">#REF!</definedName>
    <definedName name="wk31st20c" localSheetId="4">#REF!</definedName>
    <definedName name="wk31st20c" localSheetId="3">#REF!</definedName>
    <definedName name="wk31st20c" localSheetId="2">#REF!</definedName>
    <definedName name="wk31st20c" localSheetId="5">#REF!</definedName>
    <definedName name="wk31st20c" localSheetId="6">#REF!</definedName>
    <definedName name="wk31st20c" localSheetId="7">#REF!</definedName>
    <definedName name="wk31st20c" localSheetId="8">#REF!</definedName>
    <definedName name="wk31st20c" localSheetId="9">#REF!</definedName>
    <definedName name="wk31st20c" localSheetId="10">#REF!</definedName>
    <definedName name="wk31st20c" localSheetId="11">#REF!</definedName>
    <definedName name="wk31st20c">#REF!</definedName>
    <definedName name="wk31st22c" localSheetId="4">#REF!</definedName>
    <definedName name="wk31st22c" localSheetId="3">#REF!</definedName>
    <definedName name="wk31st22c" localSheetId="2">#REF!</definedName>
    <definedName name="wk31st22c" localSheetId="5">#REF!</definedName>
    <definedName name="wk31st22c" localSheetId="6">#REF!</definedName>
    <definedName name="wk31st22c" localSheetId="7">#REF!</definedName>
    <definedName name="wk31st22c" localSheetId="8">#REF!</definedName>
    <definedName name="wk31st22c" localSheetId="9">#REF!</definedName>
    <definedName name="wk31st22c" localSheetId="10">#REF!</definedName>
    <definedName name="wk31st22c" localSheetId="11">#REF!</definedName>
    <definedName name="wk31st22c">#REF!</definedName>
    <definedName name="wk31st23c" localSheetId="4">#REF!</definedName>
    <definedName name="wk31st23c" localSheetId="3">#REF!</definedName>
    <definedName name="wk31st23c" localSheetId="2">#REF!</definedName>
    <definedName name="wk31st23c" localSheetId="5">#REF!</definedName>
    <definedName name="wk31st23c" localSheetId="6">#REF!</definedName>
    <definedName name="wk31st23c" localSheetId="7">#REF!</definedName>
    <definedName name="wk31st23c" localSheetId="8">#REF!</definedName>
    <definedName name="wk31st23c" localSheetId="9">#REF!</definedName>
    <definedName name="wk31st23c" localSheetId="10">#REF!</definedName>
    <definedName name="wk31st23c" localSheetId="11">#REF!</definedName>
    <definedName name="wk31st23c">#REF!</definedName>
    <definedName name="wk31st24c" localSheetId="4">#REF!</definedName>
    <definedName name="wk31st24c" localSheetId="3">#REF!</definedName>
    <definedName name="wk31st24c" localSheetId="2">#REF!</definedName>
    <definedName name="wk31st24c" localSheetId="5">#REF!</definedName>
    <definedName name="wk31st24c" localSheetId="6">#REF!</definedName>
    <definedName name="wk31st24c" localSheetId="7">#REF!</definedName>
    <definedName name="wk31st24c" localSheetId="8">#REF!</definedName>
    <definedName name="wk31st24c" localSheetId="9">#REF!</definedName>
    <definedName name="wk31st24c" localSheetId="10">#REF!</definedName>
    <definedName name="wk31st24c" localSheetId="11">#REF!</definedName>
    <definedName name="wk31st24c">#REF!</definedName>
    <definedName name="wk31st27c" localSheetId="4">#REF!</definedName>
    <definedName name="wk31st27c" localSheetId="3">#REF!</definedName>
    <definedName name="wk31st27c" localSheetId="2">#REF!</definedName>
    <definedName name="wk31st27c" localSheetId="5">#REF!</definedName>
    <definedName name="wk31st27c" localSheetId="6">#REF!</definedName>
    <definedName name="wk31st27c" localSheetId="7">#REF!</definedName>
    <definedName name="wk31st27c" localSheetId="8">#REF!</definedName>
    <definedName name="wk31st27c" localSheetId="9">#REF!</definedName>
    <definedName name="wk31st27c" localSheetId="10">#REF!</definedName>
    <definedName name="wk31st27c" localSheetId="11">#REF!</definedName>
    <definedName name="wk31st27c">#REF!</definedName>
    <definedName name="wk31st30c" localSheetId="4">#REF!</definedName>
    <definedName name="wk31st30c" localSheetId="3">#REF!</definedName>
    <definedName name="wk31st30c" localSheetId="2">#REF!</definedName>
    <definedName name="wk31st30c" localSheetId="5">#REF!</definedName>
    <definedName name="wk31st30c" localSheetId="6">#REF!</definedName>
    <definedName name="wk31st30c" localSheetId="7">#REF!</definedName>
    <definedName name="wk31st30c" localSheetId="8">#REF!</definedName>
    <definedName name="wk31st30c" localSheetId="9">#REF!</definedName>
    <definedName name="wk31st30c" localSheetId="10">#REF!</definedName>
    <definedName name="wk31st30c" localSheetId="11">#REF!</definedName>
    <definedName name="wk31st30c">#REF!</definedName>
    <definedName name="wk32st13c" localSheetId="4">#REF!</definedName>
    <definedName name="wk32st13c" localSheetId="3">#REF!</definedName>
    <definedName name="wk32st13c" localSheetId="2">#REF!</definedName>
    <definedName name="wk32st13c" localSheetId="5">#REF!</definedName>
    <definedName name="wk32st13c" localSheetId="6">#REF!</definedName>
    <definedName name="wk32st13c" localSheetId="7">#REF!</definedName>
    <definedName name="wk32st13c" localSheetId="8">#REF!</definedName>
    <definedName name="wk32st13c" localSheetId="9">#REF!</definedName>
    <definedName name="wk32st13c" localSheetId="10">#REF!</definedName>
    <definedName name="wk32st13c" localSheetId="11">#REF!</definedName>
    <definedName name="wk32st13c">#REF!</definedName>
    <definedName name="wk32st21c" localSheetId="4">#REF!</definedName>
    <definedName name="wk32st21c" localSheetId="3">#REF!</definedName>
    <definedName name="wk32st21c" localSheetId="2">#REF!</definedName>
    <definedName name="wk32st21c" localSheetId="5">#REF!</definedName>
    <definedName name="wk32st21c" localSheetId="6">#REF!</definedName>
    <definedName name="wk32st21c" localSheetId="7">#REF!</definedName>
    <definedName name="wk32st21c" localSheetId="8">#REF!</definedName>
    <definedName name="wk32st21c" localSheetId="9">#REF!</definedName>
    <definedName name="wk32st21c" localSheetId="10">#REF!</definedName>
    <definedName name="wk32st21c" localSheetId="11">#REF!</definedName>
    <definedName name="wk32st21c">#REF!</definedName>
    <definedName name="wk32st26c" localSheetId="4">#REF!</definedName>
    <definedName name="wk32st26c" localSheetId="3">#REF!</definedName>
    <definedName name="wk32st26c" localSheetId="2">#REF!</definedName>
    <definedName name="wk32st26c" localSheetId="5">#REF!</definedName>
    <definedName name="wk32st26c" localSheetId="6">#REF!</definedName>
    <definedName name="wk32st26c" localSheetId="7">#REF!</definedName>
    <definedName name="wk32st26c" localSheetId="8">#REF!</definedName>
    <definedName name="wk32st26c" localSheetId="9">#REF!</definedName>
    <definedName name="wk32st26c" localSheetId="10">#REF!</definedName>
    <definedName name="wk32st26c" localSheetId="11">#REF!</definedName>
    <definedName name="wk32st26c">#REF!</definedName>
    <definedName name="wk32st28c" localSheetId="4">#REF!</definedName>
    <definedName name="wk32st28c" localSheetId="3">#REF!</definedName>
    <definedName name="wk32st28c" localSheetId="2">#REF!</definedName>
    <definedName name="wk32st28c" localSheetId="5">#REF!</definedName>
    <definedName name="wk32st28c" localSheetId="6">#REF!</definedName>
    <definedName name="wk32st28c" localSheetId="7">#REF!</definedName>
    <definedName name="wk32st28c" localSheetId="8">#REF!</definedName>
    <definedName name="wk32st28c" localSheetId="9">#REF!</definedName>
    <definedName name="wk32st28c" localSheetId="10">#REF!</definedName>
    <definedName name="wk32st28c" localSheetId="11">#REF!</definedName>
    <definedName name="wk32st28c">#REF!</definedName>
    <definedName name="wk32st29c" localSheetId="4">#REF!</definedName>
    <definedName name="wk32st29c" localSheetId="3">#REF!</definedName>
    <definedName name="wk32st29c" localSheetId="2">#REF!</definedName>
    <definedName name="wk32st29c" localSheetId="5">#REF!</definedName>
    <definedName name="wk32st29c" localSheetId="6">#REF!</definedName>
    <definedName name="wk32st29c" localSheetId="7">#REF!</definedName>
    <definedName name="wk32st29c" localSheetId="8">#REF!</definedName>
    <definedName name="wk32st29c" localSheetId="9">#REF!</definedName>
    <definedName name="wk32st29c" localSheetId="10">#REF!</definedName>
    <definedName name="wk32st29c" localSheetId="11">#REF!</definedName>
    <definedName name="wk32st29c">#REF!</definedName>
    <definedName name="wk32st30c" localSheetId="4">#REF!</definedName>
    <definedName name="wk32st30c" localSheetId="3">#REF!</definedName>
    <definedName name="wk32st30c" localSheetId="2">#REF!</definedName>
    <definedName name="wk32st30c" localSheetId="5">#REF!</definedName>
    <definedName name="wk32st30c" localSheetId="6">#REF!</definedName>
    <definedName name="wk32st30c" localSheetId="7">#REF!</definedName>
    <definedName name="wk32st30c" localSheetId="8">#REF!</definedName>
    <definedName name="wk32st30c" localSheetId="9">#REF!</definedName>
    <definedName name="wk32st30c" localSheetId="10">#REF!</definedName>
    <definedName name="wk32st30c" localSheetId="11">#REF!</definedName>
    <definedName name="wk32st30c">#REF!</definedName>
    <definedName name="wk32st31c" localSheetId="4">#REF!</definedName>
    <definedName name="wk32st31c" localSheetId="3">#REF!</definedName>
    <definedName name="wk32st31c" localSheetId="2">#REF!</definedName>
    <definedName name="wk32st31c" localSheetId="5">#REF!</definedName>
    <definedName name="wk32st31c" localSheetId="6">#REF!</definedName>
    <definedName name="wk32st31c" localSheetId="7">#REF!</definedName>
    <definedName name="wk32st31c" localSheetId="8">#REF!</definedName>
    <definedName name="wk32st31c" localSheetId="9">#REF!</definedName>
    <definedName name="wk32st31c" localSheetId="10">#REF!</definedName>
    <definedName name="wk32st31c" localSheetId="11">#REF!</definedName>
    <definedName name="wk32st31c">#REF!</definedName>
    <definedName name="wk32st32c" localSheetId="4">#REF!</definedName>
    <definedName name="wk32st32c" localSheetId="3">#REF!</definedName>
    <definedName name="wk32st32c" localSheetId="2">#REF!</definedName>
    <definedName name="wk32st32c" localSheetId="5">#REF!</definedName>
    <definedName name="wk32st32c" localSheetId="6">#REF!</definedName>
    <definedName name="wk32st32c" localSheetId="7">#REF!</definedName>
    <definedName name="wk32st32c" localSheetId="8">#REF!</definedName>
    <definedName name="wk32st32c" localSheetId="9">#REF!</definedName>
    <definedName name="wk32st32c" localSheetId="10">#REF!</definedName>
    <definedName name="wk32st32c" localSheetId="11">#REF!</definedName>
    <definedName name="wk32st32c">#REF!</definedName>
    <definedName name="wk32st33c" localSheetId="4">#REF!</definedName>
    <definedName name="wk32st33c" localSheetId="3">#REF!</definedName>
    <definedName name="wk32st33c" localSheetId="2">#REF!</definedName>
    <definedName name="wk32st33c" localSheetId="5">#REF!</definedName>
    <definedName name="wk32st33c" localSheetId="6">#REF!</definedName>
    <definedName name="wk32st33c" localSheetId="7">#REF!</definedName>
    <definedName name="wk32st33c" localSheetId="8">#REF!</definedName>
    <definedName name="wk32st33c" localSheetId="9">#REF!</definedName>
    <definedName name="wk32st33c" localSheetId="10">#REF!</definedName>
    <definedName name="wk32st33c" localSheetId="11">#REF!</definedName>
    <definedName name="wk32st33c">#REF!</definedName>
    <definedName name="wk32st34c" localSheetId="4">#REF!</definedName>
    <definedName name="wk32st34c" localSheetId="3">#REF!</definedName>
    <definedName name="wk32st34c" localSheetId="2">#REF!</definedName>
    <definedName name="wk32st34c" localSheetId="5">#REF!</definedName>
    <definedName name="wk32st34c" localSheetId="6">#REF!</definedName>
    <definedName name="wk32st34c" localSheetId="7">#REF!</definedName>
    <definedName name="wk32st34c" localSheetId="8">#REF!</definedName>
    <definedName name="wk32st34c" localSheetId="9">#REF!</definedName>
    <definedName name="wk32st34c" localSheetId="10">#REF!</definedName>
    <definedName name="wk32st34c" localSheetId="11">#REF!</definedName>
    <definedName name="wk32st34c">#REF!</definedName>
    <definedName name="wk32st35c" localSheetId="4">#REF!</definedName>
    <definedName name="wk32st35c" localSheetId="3">#REF!</definedName>
    <definedName name="wk32st35c" localSheetId="2">#REF!</definedName>
    <definedName name="wk32st35c" localSheetId="5">#REF!</definedName>
    <definedName name="wk32st35c" localSheetId="6">#REF!</definedName>
    <definedName name="wk32st35c" localSheetId="7">#REF!</definedName>
    <definedName name="wk32st35c" localSheetId="8">#REF!</definedName>
    <definedName name="wk32st35c" localSheetId="9">#REF!</definedName>
    <definedName name="wk32st35c" localSheetId="10">#REF!</definedName>
    <definedName name="wk32st35c" localSheetId="11">#REF!</definedName>
    <definedName name="wk32st35c">#REF!</definedName>
    <definedName name="wk32st36c" localSheetId="4">#REF!</definedName>
    <definedName name="wk32st36c" localSheetId="3">#REF!</definedName>
    <definedName name="wk32st36c" localSheetId="2">#REF!</definedName>
    <definedName name="wk32st36c" localSheetId="5">#REF!</definedName>
    <definedName name="wk32st36c" localSheetId="6">#REF!</definedName>
    <definedName name="wk32st36c" localSheetId="7">#REF!</definedName>
    <definedName name="wk32st36c" localSheetId="8">#REF!</definedName>
    <definedName name="wk32st36c" localSheetId="9">#REF!</definedName>
    <definedName name="wk32st36c" localSheetId="10">#REF!</definedName>
    <definedName name="wk32st36c" localSheetId="11">#REF!</definedName>
    <definedName name="wk32st36c">#REF!</definedName>
    <definedName name="wk33st14c" localSheetId="4">#REF!</definedName>
    <definedName name="wk33st14c" localSheetId="3">#REF!</definedName>
    <definedName name="wk33st14c" localSheetId="2">#REF!</definedName>
    <definedName name="wk33st14c" localSheetId="5">#REF!</definedName>
    <definedName name="wk33st14c" localSheetId="6">#REF!</definedName>
    <definedName name="wk33st14c" localSheetId="7">#REF!</definedName>
    <definedName name="wk33st14c" localSheetId="8">#REF!</definedName>
    <definedName name="wk33st14c" localSheetId="9">#REF!</definedName>
    <definedName name="wk33st14c" localSheetId="10">#REF!</definedName>
    <definedName name="wk33st14c" localSheetId="11">#REF!</definedName>
    <definedName name="wk33st14c">#REF!</definedName>
    <definedName name="wk33st31c" localSheetId="4">#REF!</definedName>
    <definedName name="wk33st31c" localSheetId="3">#REF!</definedName>
    <definedName name="wk33st31c" localSheetId="2">#REF!</definedName>
    <definedName name="wk33st31c" localSheetId="5">#REF!</definedName>
    <definedName name="wk33st31c" localSheetId="6">#REF!</definedName>
    <definedName name="wk33st31c" localSheetId="7">#REF!</definedName>
    <definedName name="wk33st31c" localSheetId="8">#REF!</definedName>
    <definedName name="wk33st31c" localSheetId="9">#REF!</definedName>
    <definedName name="wk33st31c" localSheetId="10">#REF!</definedName>
    <definedName name="wk33st31c" localSheetId="11">#REF!</definedName>
    <definedName name="wk33st31c">#REF!</definedName>
    <definedName name="wlw" localSheetId="4">#REF!</definedName>
    <definedName name="wlw" localSheetId="3">#REF!</definedName>
    <definedName name="wlw" localSheetId="2">#REF!</definedName>
    <definedName name="wlw" localSheetId="5">#REF!</definedName>
    <definedName name="wlw" localSheetId="6">#REF!</definedName>
    <definedName name="wlw" localSheetId="7">#REF!</definedName>
    <definedName name="wlw" localSheetId="8">#REF!</definedName>
    <definedName name="wlw" localSheetId="9">#REF!</definedName>
    <definedName name="wlw" localSheetId="10">#REF!</definedName>
    <definedName name="wlw" localSheetId="11">#REF!</definedName>
    <definedName name="wlw">#REF!</definedName>
    <definedName name="WM99_APD" localSheetId="4">#REF!</definedName>
    <definedName name="WM99_APD" localSheetId="3">#REF!</definedName>
    <definedName name="WM99_APD" localSheetId="2">#REF!</definedName>
    <definedName name="WM99_APD" localSheetId="5">#REF!</definedName>
    <definedName name="WM99_APD" localSheetId="6">#REF!</definedName>
    <definedName name="WM99_APD" localSheetId="7">#REF!</definedName>
    <definedName name="WM99_APD" localSheetId="8">#REF!</definedName>
    <definedName name="WM99_APD" localSheetId="9">#REF!</definedName>
    <definedName name="WM99_APD" localSheetId="10">#REF!</definedName>
    <definedName name="WM99_APD" localSheetId="11">#REF!</definedName>
    <definedName name="WM99_APD">#REF!</definedName>
    <definedName name="WM99_EMEA" localSheetId="4">#REF!</definedName>
    <definedName name="WM99_EMEA" localSheetId="3">#REF!</definedName>
    <definedName name="WM99_EMEA" localSheetId="2">#REF!</definedName>
    <definedName name="WM99_EMEA" localSheetId="5">#REF!</definedName>
    <definedName name="WM99_EMEA" localSheetId="6">#REF!</definedName>
    <definedName name="WM99_EMEA" localSheetId="7">#REF!</definedName>
    <definedName name="WM99_EMEA" localSheetId="8">#REF!</definedName>
    <definedName name="WM99_EMEA" localSheetId="9">#REF!</definedName>
    <definedName name="WM99_EMEA" localSheetId="10">#REF!</definedName>
    <definedName name="WM99_EMEA" localSheetId="11">#REF!</definedName>
    <definedName name="WM99_EMEA">#REF!</definedName>
    <definedName name="WM99_GCD" localSheetId="4">#REF!</definedName>
    <definedName name="WM99_GCD" localSheetId="3">#REF!</definedName>
    <definedName name="WM99_GCD" localSheetId="2">#REF!</definedName>
    <definedName name="WM99_GCD" localSheetId="5">#REF!</definedName>
    <definedName name="WM99_GCD" localSheetId="6">#REF!</definedName>
    <definedName name="WM99_GCD" localSheetId="7">#REF!</definedName>
    <definedName name="WM99_GCD" localSheetId="8">#REF!</definedName>
    <definedName name="WM99_GCD" localSheetId="9">#REF!</definedName>
    <definedName name="WM99_GCD" localSheetId="10">#REF!</definedName>
    <definedName name="WM99_GCD" localSheetId="11">#REF!</definedName>
    <definedName name="WM99_GCD">#REF!</definedName>
    <definedName name="WM99_JP" localSheetId="4">#REF!</definedName>
    <definedName name="WM99_JP" localSheetId="3">#REF!</definedName>
    <definedName name="WM99_JP" localSheetId="2">#REF!</definedName>
    <definedName name="WM99_JP" localSheetId="5">#REF!</definedName>
    <definedName name="WM99_JP" localSheetId="6">#REF!</definedName>
    <definedName name="WM99_JP" localSheetId="7">#REF!</definedName>
    <definedName name="WM99_JP" localSheetId="8">#REF!</definedName>
    <definedName name="WM99_JP" localSheetId="9">#REF!</definedName>
    <definedName name="WM99_JP" localSheetId="10">#REF!</definedName>
    <definedName name="WM99_JP" localSheetId="11">#REF!</definedName>
    <definedName name="WM99_JP">#REF!</definedName>
    <definedName name="WM99_LA" localSheetId="4">#REF!</definedName>
    <definedName name="WM99_LA" localSheetId="3">#REF!</definedName>
    <definedName name="WM99_LA" localSheetId="2">#REF!</definedName>
    <definedName name="WM99_LA" localSheetId="5">#REF!</definedName>
    <definedName name="WM99_LA" localSheetId="6">#REF!</definedName>
    <definedName name="WM99_LA" localSheetId="7">#REF!</definedName>
    <definedName name="WM99_LA" localSheetId="8">#REF!</definedName>
    <definedName name="WM99_LA" localSheetId="9">#REF!</definedName>
    <definedName name="WM99_LA" localSheetId="10">#REF!</definedName>
    <definedName name="WM99_LA" localSheetId="11">#REF!</definedName>
    <definedName name="WM99_LA">#REF!</definedName>
    <definedName name="WM99_NA" localSheetId="4">#REF!</definedName>
    <definedName name="WM99_NA" localSheetId="3">#REF!</definedName>
    <definedName name="WM99_NA" localSheetId="2">#REF!</definedName>
    <definedName name="WM99_NA" localSheetId="5">#REF!</definedName>
    <definedName name="WM99_NA" localSheetId="6">#REF!</definedName>
    <definedName name="WM99_NA" localSheetId="7">#REF!</definedName>
    <definedName name="WM99_NA" localSheetId="8">#REF!</definedName>
    <definedName name="WM99_NA" localSheetId="9">#REF!</definedName>
    <definedName name="WM99_NA" localSheetId="10">#REF!</definedName>
    <definedName name="WM99_NA" localSheetId="11">#REF!</definedName>
    <definedName name="WM99_NA">#REF!</definedName>
    <definedName name="WORK" localSheetId="4">#REF!</definedName>
    <definedName name="WORK" localSheetId="3">#REF!</definedName>
    <definedName name="WORK" localSheetId="2">#REF!</definedName>
    <definedName name="WORK" localSheetId="5">#REF!</definedName>
    <definedName name="WORK" localSheetId="6">#REF!</definedName>
    <definedName name="WORK" localSheetId="7">#REF!</definedName>
    <definedName name="WORK" localSheetId="8">#REF!</definedName>
    <definedName name="WORK" localSheetId="9">#REF!</definedName>
    <definedName name="WORK" localSheetId="10">#REF!</definedName>
    <definedName name="WORK" localSheetId="11">#REF!</definedName>
    <definedName name="WORK">#REF!</definedName>
    <definedName name="wrn.AugFlsh." localSheetId="4" hidden="1">{"PG1",#N/A,FALSE,"AugFlashTemplate";"PG2",#N/A,FALSE,"AugFlashTemplate"}</definedName>
    <definedName name="wrn.AugFlsh." localSheetId="3" hidden="1">{"PG1",#N/A,FALSE,"AugFlashTemplate";"PG2",#N/A,FALSE,"AugFlashTemplate"}</definedName>
    <definedName name="wrn.AugFlsh." localSheetId="2" hidden="1">{"PG1",#N/A,FALSE,"AugFlashTemplate";"PG2",#N/A,FALSE,"AugFlashTemplate"}</definedName>
    <definedName name="wrn.AugFlsh." localSheetId="8" hidden="1">{"PG1",#N/A,FALSE,"AugFlashTemplate";"PG2",#N/A,FALSE,"AugFlashTemplate"}</definedName>
    <definedName name="wrn.AugFlsh." localSheetId="9" hidden="1">{"PG1",#N/A,FALSE,"AugFlashTemplate";"PG2",#N/A,FALSE,"AugFlashTemplate"}</definedName>
    <definedName name="wrn.AugFlsh." localSheetId="10" hidden="1">{"PG1",#N/A,FALSE,"AugFlashTemplate";"PG2",#N/A,FALSE,"AugFlashTemplate"}</definedName>
    <definedName name="wrn.AugFlsh." hidden="1">{"PG1",#N/A,FALSE,"AugFlashTemplate";"PG2",#N/A,FALSE,"AugFlashTemplate"}</definedName>
    <definedName name="wrn.jes" localSheetId="4" hidden="1">{#N/A,#N/A,TRUE,"Out-Month "}</definedName>
    <definedName name="wrn.jes" localSheetId="3" hidden="1">{#N/A,#N/A,TRUE,"Out-Month "}</definedName>
    <definedName name="wrn.jes" localSheetId="2" hidden="1">{#N/A,#N/A,TRUE,"Out-Month "}</definedName>
    <definedName name="wrn.jes" localSheetId="8" hidden="1">{#N/A,#N/A,TRUE,"Out-Month "}</definedName>
    <definedName name="wrn.jes" localSheetId="9" hidden="1">{#N/A,#N/A,TRUE,"Out-Month "}</definedName>
    <definedName name="wrn.jes" localSheetId="10" hidden="1">{#N/A,#N/A,TRUE,"Out-Month "}</definedName>
    <definedName name="wrn.jes" hidden="1">{#N/A,#N/A,TRUE,"Out-Month "}</definedName>
    <definedName name="wrn.jes." localSheetId="4" hidden="1">{#N/A,#N/A,TRUE,"Out-Month "}</definedName>
    <definedName name="wrn.jes." localSheetId="3" hidden="1">{#N/A,#N/A,TRUE,"Out-Month "}</definedName>
    <definedName name="wrn.jes." localSheetId="2" hidden="1">{#N/A,#N/A,TRUE,"Out-Month "}</definedName>
    <definedName name="wrn.jes." localSheetId="8" hidden="1">{#N/A,#N/A,TRUE,"Out-Month "}</definedName>
    <definedName name="wrn.jes." localSheetId="9" hidden="1">{#N/A,#N/A,TRUE,"Out-Month "}</definedName>
    <definedName name="wrn.jes." localSheetId="10" hidden="1">{#N/A,#N/A,TRUE,"Out-Month "}</definedName>
    <definedName name="wrn.jes." hidden="1">{#N/A,#N/A,TRUE,"Out-Month "}</definedName>
    <definedName name="wrn.jesadakorn" localSheetId="4" hidden="1">{#N/A,#N/A,TRUE,"Sheet1";#N/A,#N/A,TRUE,"Sheet1";#N/A,#N/A,TRUE,"Sheet1";#N/A,#N/A,TRUE,"Sheet1";#N/A,#N/A,TRUE,"Sheet1"}</definedName>
    <definedName name="wrn.jesadakorn" localSheetId="3" hidden="1">{#N/A,#N/A,TRUE,"Sheet1";#N/A,#N/A,TRUE,"Sheet1";#N/A,#N/A,TRUE,"Sheet1";#N/A,#N/A,TRUE,"Sheet1";#N/A,#N/A,TRUE,"Sheet1"}</definedName>
    <definedName name="wrn.jesadakorn" localSheetId="2" hidden="1">{#N/A,#N/A,TRUE,"Sheet1";#N/A,#N/A,TRUE,"Sheet1";#N/A,#N/A,TRUE,"Sheet1";#N/A,#N/A,TRUE,"Sheet1";#N/A,#N/A,TRUE,"Sheet1"}</definedName>
    <definedName name="wrn.jesadakorn" localSheetId="8" hidden="1">{#N/A,#N/A,TRUE,"Sheet1";#N/A,#N/A,TRUE,"Sheet1";#N/A,#N/A,TRUE,"Sheet1";#N/A,#N/A,TRUE,"Sheet1";#N/A,#N/A,TRUE,"Sheet1"}</definedName>
    <definedName name="wrn.jesadakorn" localSheetId="9" hidden="1">{#N/A,#N/A,TRUE,"Sheet1";#N/A,#N/A,TRUE,"Sheet1";#N/A,#N/A,TRUE,"Sheet1";#N/A,#N/A,TRUE,"Sheet1";#N/A,#N/A,TRUE,"Sheet1"}</definedName>
    <definedName name="wrn.jesadakorn" localSheetId="10" hidden="1">{#N/A,#N/A,TRUE,"Sheet1";#N/A,#N/A,TRUE,"Sheet1";#N/A,#N/A,TRUE,"Sheet1";#N/A,#N/A,TRUE,"Sheet1";#N/A,#N/A,TRUE,"Sheet1"}</definedName>
    <definedName name="wrn.jesadakorn" hidden="1">{#N/A,#N/A,TRUE,"Sheet1";#N/A,#N/A,TRUE,"Sheet1";#N/A,#N/A,TRUE,"Sheet1";#N/A,#N/A,TRUE,"Sheet1";#N/A,#N/A,TRUE,"Sheet1"}</definedName>
    <definedName name="wrn.JESADAKORN." localSheetId="4" hidden="1">{#N/A,#N/A,TRUE,"Sheet1";#N/A,#N/A,TRUE,"Sheet1";#N/A,#N/A,TRUE,"Sheet1";#N/A,#N/A,TRUE,"Sheet1";#N/A,#N/A,TRUE,"Sheet1"}</definedName>
    <definedName name="wrn.JESADAKORN." localSheetId="3" hidden="1">{#N/A,#N/A,TRUE,"Sheet1";#N/A,#N/A,TRUE,"Sheet1";#N/A,#N/A,TRUE,"Sheet1";#N/A,#N/A,TRUE,"Sheet1";#N/A,#N/A,TRUE,"Sheet1"}</definedName>
    <definedName name="wrn.JESADAKORN." localSheetId="2" hidden="1">{#N/A,#N/A,TRUE,"Sheet1";#N/A,#N/A,TRUE,"Sheet1";#N/A,#N/A,TRUE,"Sheet1";#N/A,#N/A,TRUE,"Sheet1";#N/A,#N/A,TRUE,"Sheet1"}</definedName>
    <definedName name="wrn.JESADAKORN." localSheetId="8" hidden="1">{#N/A,#N/A,TRUE,"Sheet1";#N/A,#N/A,TRUE,"Sheet1";#N/A,#N/A,TRUE,"Sheet1";#N/A,#N/A,TRUE,"Sheet1";#N/A,#N/A,TRUE,"Sheet1"}</definedName>
    <definedName name="wrn.JESADAKORN." localSheetId="9" hidden="1">{#N/A,#N/A,TRUE,"Sheet1";#N/A,#N/A,TRUE,"Sheet1";#N/A,#N/A,TRUE,"Sheet1";#N/A,#N/A,TRUE,"Sheet1";#N/A,#N/A,TRUE,"Sheet1"}</definedName>
    <definedName name="wrn.JESADAKORN." localSheetId="10" hidden="1">{#N/A,#N/A,TRUE,"Sheet1";#N/A,#N/A,TRUE,"Sheet1";#N/A,#N/A,TRUE,"Sheet1";#N/A,#N/A,TRUE,"Sheet1";#N/A,#N/A,TRUE,"Sheet1"}</definedName>
    <definedName name="wrn.JESADAKORN." hidden="1">{#N/A,#N/A,TRUE,"Sheet1";#N/A,#N/A,TRUE,"Sheet1";#N/A,#N/A,TRUE,"Sheet1";#N/A,#N/A,TRUE,"Sheet1";#N/A,#N/A,TRUE,"Sheet1"}</definedName>
    <definedName name="wrn.PF1125" localSheetId="4" hidden="1">{#N/A,#N/A,FALSE,"Signature Page";#N/A,#N/A,FALSE,"Revision Summary";#N/A,#N/A,FALSE,"PROCESS FLOW";#N/A,#N/A,FALSE,"FMEA Worksheet"}</definedName>
    <definedName name="wrn.PF1125" localSheetId="3" hidden="1">{#N/A,#N/A,FALSE,"Signature Page";#N/A,#N/A,FALSE,"Revision Summary";#N/A,#N/A,FALSE,"PROCESS FLOW";#N/A,#N/A,FALSE,"FMEA Worksheet"}</definedName>
    <definedName name="wrn.PF1125" localSheetId="2" hidden="1">{#N/A,#N/A,FALSE,"Signature Page";#N/A,#N/A,FALSE,"Revision Summary";#N/A,#N/A,FALSE,"PROCESS FLOW";#N/A,#N/A,FALSE,"FMEA Worksheet"}</definedName>
    <definedName name="wrn.PF1125" localSheetId="8" hidden="1">{#N/A,#N/A,FALSE,"Signature Page";#N/A,#N/A,FALSE,"Revision Summary";#N/A,#N/A,FALSE,"PROCESS FLOW";#N/A,#N/A,FALSE,"FMEA Worksheet"}</definedName>
    <definedName name="wrn.PF1125" localSheetId="9" hidden="1">{#N/A,#N/A,FALSE,"Signature Page";#N/A,#N/A,FALSE,"Revision Summary";#N/A,#N/A,FALSE,"PROCESS FLOW";#N/A,#N/A,FALSE,"FMEA Worksheet"}</definedName>
    <definedName name="wrn.PF1125" localSheetId="10" hidden="1">{#N/A,#N/A,FALSE,"Signature Page";#N/A,#N/A,FALSE,"Revision Summary";#N/A,#N/A,FALSE,"PROCESS FLOW";#N/A,#N/A,FALSE,"FMEA Worksheet"}</definedName>
    <definedName name="wrn.PF1125" hidden="1">{#N/A,#N/A,FALSE,"Signature Page";#N/A,#N/A,FALSE,"Revision Summary";#N/A,#N/A,FALSE,"PROCESS FLOW";#N/A,#N/A,FALSE,"FMEA Worksheet"}</definedName>
    <definedName name="wrn.PF1125." localSheetId="4" hidden="1">{#N/A,#N/A,FALSE,"Signature Page";#N/A,#N/A,FALSE,"Revision Summary";#N/A,#N/A,FALSE,"PROCESS FLOW";#N/A,#N/A,FALSE,"FMEA Worksheet"}</definedName>
    <definedName name="wrn.PF1125." localSheetId="3" hidden="1">{#N/A,#N/A,FALSE,"Signature Page";#N/A,#N/A,FALSE,"Revision Summary";#N/A,#N/A,FALSE,"PROCESS FLOW";#N/A,#N/A,FALSE,"FMEA Worksheet"}</definedName>
    <definedName name="wrn.PF1125." localSheetId="2" hidden="1">{#N/A,#N/A,FALSE,"Signature Page";#N/A,#N/A,FALSE,"Revision Summary";#N/A,#N/A,FALSE,"PROCESS FLOW";#N/A,#N/A,FALSE,"FMEA Worksheet"}</definedName>
    <definedName name="wrn.PF1125." localSheetId="8" hidden="1">{#N/A,#N/A,FALSE,"Signature Page";#N/A,#N/A,FALSE,"Revision Summary";#N/A,#N/A,FALSE,"PROCESS FLOW";#N/A,#N/A,FALSE,"FMEA Worksheet"}</definedName>
    <definedName name="wrn.PF1125." localSheetId="9" hidden="1">{#N/A,#N/A,FALSE,"Signature Page";#N/A,#N/A,FALSE,"Revision Summary";#N/A,#N/A,FALSE,"PROCESS FLOW";#N/A,#N/A,FALSE,"FMEA Worksheet"}</definedName>
    <definedName name="wrn.PF1125." localSheetId="10" hidden="1">{#N/A,#N/A,FALSE,"Signature Page";#N/A,#N/A,FALSE,"Revision Summary";#N/A,#N/A,FALSE,"PROCESS FLOW";#N/A,#N/A,FALSE,"FMEA Worksheet"}</definedName>
    <definedName name="wrn.PF1125." hidden="1">{#N/A,#N/A,FALSE,"Signature Page";#N/A,#N/A,FALSE,"Revision Summary";#N/A,#N/A,FALSE,"PROCESS FLOW";#N/A,#N/A,FALSE,"FMEA Worksheet"}</definedName>
    <definedName name="wrn.pf1125.fd" localSheetId="4" hidden="1">{#N/A,#N/A,FALSE,"Signature Page";#N/A,#N/A,FALSE,"Revision Summary";#N/A,#N/A,FALSE,"PROCESS FLOW";#N/A,#N/A,FALSE,"FMEA Worksheet"}</definedName>
    <definedName name="wrn.pf1125.fd" localSheetId="3" hidden="1">{#N/A,#N/A,FALSE,"Signature Page";#N/A,#N/A,FALSE,"Revision Summary";#N/A,#N/A,FALSE,"PROCESS FLOW";#N/A,#N/A,FALSE,"FMEA Worksheet"}</definedName>
    <definedName name="wrn.pf1125.fd" localSheetId="2" hidden="1">{#N/A,#N/A,FALSE,"Signature Page";#N/A,#N/A,FALSE,"Revision Summary";#N/A,#N/A,FALSE,"PROCESS FLOW";#N/A,#N/A,FALSE,"FMEA Worksheet"}</definedName>
    <definedName name="wrn.pf1125.fd" localSheetId="8" hidden="1">{#N/A,#N/A,FALSE,"Signature Page";#N/A,#N/A,FALSE,"Revision Summary";#N/A,#N/A,FALSE,"PROCESS FLOW";#N/A,#N/A,FALSE,"FMEA Worksheet"}</definedName>
    <definedName name="wrn.pf1125.fd" localSheetId="9" hidden="1">{#N/A,#N/A,FALSE,"Signature Page";#N/A,#N/A,FALSE,"Revision Summary";#N/A,#N/A,FALSE,"PROCESS FLOW";#N/A,#N/A,FALSE,"FMEA Worksheet"}</definedName>
    <definedName name="wrn.pf1125.fd" localSheetId="10" hidden="1">{#N/A,#N/A,FALSE,"Signature Page";#N/A,#N/A,FALSE,"Revision Summary";#N/A,#N/A,FALSE,"PROCESS FLOW";#N/A,#N/A,FALSE,"FMEA Worksheet"}</definedName>
    <definedName name="wrn.pf1125.fd" hidden="1">{#N/A,#N/A,FALSE,"Signature Page";#N/A,#N/A,FALSE,"Revision Summary";#N/A,#N/A,FALSE,"PROCESS FLOW";#N/A,#N/A,FALSE,"FMEA Worksheet"}</definedName>
    <definedName name="wrn.QTR._.1._.LOOK." localSheetId="4" hidden="1">{"WSQ1",#N/A,FALSE,"WRK P&amp;L -Qtr";"Q1ECG",#N/A,FALSE,"ECG P&amp;L -Qtr";"SRVQ1",#N/A,FALSE,"Server P&amp;L -Qtr";"Q1OPT",#N/A,FALSE,"Server Options P&amp;L -Qtr";"SOPSQ1",#N/A,FALSE,"SOPs P&amp;L -Qtr"}</definedName>
    <definedName name="wrn.QTR._.1._.LOOK." localSheetId="3" hidden="1">{"WSQ1",#N/A,FALSE,"WRK P&amp;L -Qtr";"Q1ECG",#N/A,FALSE,"ECG P&amp;L -Qtr";"SRVQ1",#N/A,FALSE,"Server P&amp;L -Qtr";"Q1OPT",#N/A,FALSE,"Server Options P&amp;L -Qtr";"SOPSQ1",#N/A,FALSE,"SOPs P&amp;L -Qtr"}</definedName>
    <definedName name="wrn.QTR._.1._.LOOK." localSheetId="2" hidden="1">{"WSQ1",#N/A,FALSE,"WRK P&amp;L -Qtr";"Q1ECG",#N/A,FALSE,"ECG P&amp;L -Qtr";"SRVQ1",#N/A,FALSE,"Server P&amp;L -Qtr";"Q1OPT",#N/A,FALSE,"Server Options P&amp;L -Qtr";"SOPSQ1",#N/A,FALSE,"SOPs P&amp;L -Qtr"}</definedName>
    <definedName name="wrn.QTR._.1._.LOOK." localSheetId="8" hidden="1">{"WSQ1",#N/A,FALSE,"WRK P&amp;L -Qtr";"Q1ECG",#N/A,FALSE,"ECG P&amp;L -Qtr";"SRVQ1",#N/A,FALSE,"Server P&amp;L -Qtr";"Q1OPT",#N/A,FALSE,"Server Options P&amp;L -Qtr";"SOPSQ1",#N/A,FALSE,"SOPs P&amp;L -Qtr"}</definedName>
    <definedName name="wrn.QTR._.1._.LOOK." localSheetId="9" hidden="1">{"WSQ1",#N/A,FALSE,"WRK P&amp;L -Qtr";"Q1ECG",#N/A,FALSE,"ECG P&amp;L -Qtr";"SRVQ1",#N/A,FALSE,"Server P&amp;L -Qtr";"Q1OPT",#N/A,FALSE,"Server Options P&amp;L -Qtr";"SOPSQ1",#N/A,FALSE,"SOPs P&amp;L -Qtr"}</definedName>
    <definedName name="wrn.QTR._.1._.LOOK." localSheetId="10" hidden="1">{"WSQ1",#N/A,FALSE,"WRK P&amp;L -Qtr";"Q1ECG",#N/A,FALSE,"ECG P&amp;L -Qtr";"SRVQ1",#N/A,FALSE,"Server P&amp;L -Qtr";"Q1OPT",#N/A,FALSE,"Server Options P&amp;L -Qtr";"SOPSQ1",#N/A,FALSE,"SOPs P&amp;L -Qtr"}</definedName>
    <definedName name="wrn.QTR._.1._.LOOK." hidden="1">{"WSQ1",#N/A,FALSE,"WRK P&amp;L -Qtr";"Q1ECG",#N/A,FALSE,"ECG P&amp;L -Qtr";"SRVQ1",#N/A,FALSE,"Server P&amp;L -Qtr";"Q1OPT",#N/A,FALSE,"Server Options P&amp;L -Qtr";"SOPSQ1",#N/A,FALSE,"SOPs P&amp;L -Qtr"}</definedName>
    <definedName name="wrn.SHIPMENTS." localSheetId="4" hidden="1">{#N/A,#N/A,FALSE,"JANLN2"}</definedName>
    <definedName name="wrn.SHIPMENTS." localSheetId="3" hidden="1">{#N/A,#N/A,FALSE,"JANLN2"}</definedName>
    <definedName name="wrn.SHIPMENTS." localSheetId="2" hidden="1">{#N/A,#N/A,FALSE,"JANLN2"}</definedName>
    <definedName name="wrn.SHIPMENTS." localSheetId="8" hidden="1">{#N/A,#N/A,FALSE,"JANLN2"}</definedName>
    <definedName name="wrn.SHIPMENTS." localSheetId="9" hidden="1">{#N/A,#N/A,FALSE,"JANLN2"}</definedName>
    <definedName name="wrn.SHIPMENTS." localSheetId="10" hidden="1">{#N/A,#N/A,FALSE,"JANLN2"}</definedName>
    <definedName name="wrn.SHIPMENTS." hidden="1">{#N/A,#N/A,FALSE,"JANLN2"}</definedName>
    <definedName name="wrn.TEST." localSheetId="4" hidden="1">{"USAGE",#N/A,FALSE,"USAGE (2)"}</definedName>
    <definedName name="wrn.TEST." localSheetId="3" hidden="1">{"USAGE",#N/A,FALSE,"USAGE (2)"}</definedName>
    <definedName name="wrn.TEST." localSheetId="2" hidden="1">{"USAGE",#N/A,FALSE,"USAGE (2)"}</definedName>
    <definedName name="wrn.TEST." localSheetId="8" hidden="1">{"USAGE",#N/A,FALSE,"USAGE (2)"}</definedName>
    <definedName name="wrn.TEST." localSheetId="9" hidden="1">{"USAGE",#N/A,FALSE,"USAGE (2)"}</definedName>
    <definedName name="wrn.TEST." localSheetId="10" hidden="1">{"USAGE",#N/A,FALSE,"USAGE (2)"}</definedName>
    <definedName name="wrn.TEST." hidden="1">{"USAGE",#N/A,FALSE,"USAGE (2)"}</definedName>
    <definedName name="Wtd_Merit" localSheetId="4">#REF!</definedName>
    <definedName name="Wtd_Merit" localSheetId="3">#REF!</definedName>
    <definedName name="Wtd_Merit" localSheetId="2">#REF!</definedName>
    <definedName name="Wtd_Merit" localSheetId="5">#REF!</definedName>
    <definedName name="Wtd_Merit" localSheetId="6">#REF!</definedName>
    <definedName name="Wtd_Merit" localSheetId="7">#REF!</definedName>
    <definedName name="Wtd_Merit" localSheetId="8">#REF!</definedName>
    <definedName name="Wtd_Merit" localSheetId="9">#REF!</definedName>
    <definedName name="Wtd_Merit" localSheetId="10">#REF!</definedName>
    <definedName name="Wtd_Merit" localSheetId="11">#REF!</definedName>
    <definedName name="Wtd_Merit">#REF!</definedName>
    <definedName name="ww" localSheetId="4">#REF!</definedName>
    <definedName name="ww" localSheetId="3">#REF!</definedName>
    <definedName name="ww" localSheetId="2">#REF!</definedName>
    <definedName name="ww" localSheetId="5">#REF!</definedName>
    <definedName name="ww" localSheetId="6">#REF!</definedName>
    <definedName name="ww" localSheetId="7">#REF!</definedName>
    <definedName name="ww" localSheetId="8">#REF!</definedName>
    <definedName name="ww" localSheetId="9">#REF!</definedName>
    <definedName name="ww" localSheetId="10">#REF!</definedName>
    <definedName name="ww" localSheetId="11">#REF!</definedName>
    <definedName name="ww">#REF!</definedName>
    <definedName name="ww.augflsh" localSheetId="4" hidden="1">{"PG1",#N/A,FALSE,"AugFlashTemplate";"PG2",#N/A,FALSE,"AugFlashTemplate"}</definedName>
    <definedName name="ww.augflsh" localSheetId="3" hidden="1">{"PG1",#N/A,FALSE,"AugFlashTemplate";"PG2",#N/A,FALSE,"AugFlashTemplate"}</definedName>
    <definedName name="ww.augflsh" localSheetId="2" hidden="1">{"PG1",#N/A,FALSE,"AugFlashTemplate";"PG2",#N/A,FALSE,"AugFlashTemplate"}</definedName>
    <definedName name="ww.augflsh" localSheetId="8" hidden="1">{"PG1",#N/A,FALSE,"AugFlashTemplate";"PG2",#N/A,FALSE,"AugFlashTemplate"}</definedName>
    <definedName name="ww.augflsh" localSheetId="9" hidden="1">{"PG1",#N/A,FALSE,"AugFlashTemplate";"PG2",#N/A,FALSE,"AugFlashTemplate"}</definedName>
    <definedName name="ww.augflsh" localSheetId="10" hidden="1">{"PG1",#N/A,FALSE,"AugFlashTemplate";"PG2",#N/A,FALSE,"AugFlashTemplate"}</definedName>
    <definedName name="ww.augflsh" hidden="1">{"PG1",#N/A,FALSE,"AugFlashTemplate";"PG2",#N/A,FALSE,"AugFlashTemplate"}</definedName>
    <definedName name="WWops" localSheetId="4">#REF!</definedName>
    <definedName name="WWops" localSheetId="3">#REF!</definedName>
    <definedName name="WWops" localSheetId="2">#REF!</definedName>
    <definedName name="WWops" localSheetId="5">#REF!</definedName>
    <definedName name="WWops" localSheetId="6">#REF!</definedName>
    <definedName name="WWops" localSheetId="7">#REF!</definedName>
    <definedName name="WWops" localSheetId="8">#REF!</definedName>
    <definedName name="WWops" localSheetId="9">#REF!</definedName>
    <definedName name="WWops" localSheetId="10">#REF!</definedName>
    <definedName name="WWops" localSheetId="11">#REF!</definedName>
    <definedName name="WWops">#REF!</definedName>
    <definedName name="wwtr" localSheetId="4" hidden="1">{#N/A,#N/A,TRUE,"Distribution";#N/A,#N/A,TRUE,"Fulfillment";#N/A,#N/A,TRUE,"Aged Backorders"}</definedName>
    <definedName name="wwtr" localSheetId="3" hidden="1">{#N/A,#N/A,TRUE,"Distribution";#N/A,#N/A,TRUE,"Fulfillment";#N/A,#N/A,TRUE,"Aged Backorders"}</definedName>
    <definedName name="wwtr" localSheetId="2" hidden="1">{#N/A,#N/A,TRUE,"Distribution";#N/A,#N/A,TRUE,"Fulfillment";#N/A,#N/A,TRUE,"Aged Backorders"}</definedName>
    <definedName name="wwtr" localSheetId="8" hidden="1">{#N/A,#N/A,TRUE,"Distribution";#N/A,#N/A,TRUE,"Fulfillment";#N/A,#N/A,TRUE,"Aged Backorders"}</definedName>
    <definedName name="wwtr" localSheetId="9" hidden="1">{#N/A,#N/A,TRUE,"Distribution";#N/A,#N/A,TRUE,"Fulfillment";#N/A,#N/A,TRUE,"Aged Backorders"}</definedName>
    <definedName name="wwtr" localSheetId="10" hidden="1">{#N/A,#N/A,TRUE,"Distribution";#N/A,#N/A,TRUE,"Fulfillment";#N/A,#N/A,TRUE,"Aged Backorders"}</definedName>
    <definedName name="wwtr" hidden="1">{#N/A,#N/A,TRUE,"Distribution";#N/A,#N/A,TRUE,"Fulfillment";#N/A,#N/A,TRUE,"Aged Backorders"}</definedName>
    <definedName name="www" localSheetId="4">#REF!</definedName>
    <definedName name="www" localSheetId="3">#REF!</definedName>
    <definedName name="www" localSheetId="2">#REF!</definedName>
    <definedName name="www" localSheetId="5">#REF!</definedName>
    <definedName name="www" localSheetId="6">#REF!</definedName>
    <definedName name="www" localSheetId="7">#REF!</definedName>
    <definedName name="www" localSheetId="8">#REF!</definedName>
    <definedName name="www" localSheetId="9">#REF!</definedName>
    <definedName name="www" localSheetId="10">#REF!</definedName>
    <definedName name="www" localSheetId="11">#REF!</definedName>
    <definedName name="www">#REF!</definedName>
    <definedName name="x" localSheetId="4">'[65]#BEZUG'!$A$16172</definedName>
    <definedName name="x" localSheetId="3">'[65]#BEZUG'!$A$16172</definedName>
    <definedName name="x" localSheetId="2">'[65]#BEZUG'!$A$16172</definedName>
    <definedName name="x" localSheetId="5">'[65]#BEZUG'!$A$16172</definedName>
    <definedName name="x" localSheetId="6">'[65]#BEZUG'!$A$16172</definedName>
    <definedName name="x" localSheetId="7">'[65]#BEZUG'!$A$16172</definedName>
    <definedName name="x" localSheetId="8">'[65]#BEZUG'!$A$16172</definedName>
    <definedName name="x" localSheetId="9">'[65]#BEZUG'!$A$16172</definedName>
    <definedName name="x" localSheetId="10">'[78]#BEZUG'!$A$16172</definedName>
    <definedName name="x">'[6]#BEZUG'!$A$16172</definedName>
    <definedName name="x_doublebar" localSheetId="4">#REF!</definedName>
    <definedName name="x_doublebar" localSheetId="3">#REF!</definedName>
    <definedName name="x_doublebar" localSheetId="2">#REF!</definedName>
    <definedName name="x_doublebar" localSheetId="5">#REF!</definedName>
    <definedName name="x_doublebar" localSheetId="6">#REF!</definedName>
    <definedName name="x_doublebar" localSheetId="7">#REF!</definedName>
    <definedName name="x_doublebar" localSheetId="8">#REF!</definedName>
    <definedName name="x_doublebar" localSheetId="9">#REF!</definedName>
    <definedName name="x_doublebar" localSheetId="10">#REF!</definedName>
    <definedName name="x_doublebar" localSheetId="11">#REF!</definedName>
    <definedName name="x_doublebar">#REF!</definedName>
    <definedName name="X05_" localSheetId="4">#REF!</definedName>
    <definedName name="X05_" localSheetId="3">#REF!</definedName>
    <definedName name="X05_" localSheetId="2">#REF!</definedName>
    <definedName name="X05_" localSheetId="5">#REF!</definedName>
    <definedName name="X05_" localSheetId="6">#REF!</definedName>
    <definedName name="X05_" localSheetId="7">#REF!</definedName>
    <definedName name="X05_" localSheetId="8">#REF!</definedName>
    <definedName name="X05_" localSheetId="9">#REF!</definedName>
    <definedName name="X05_" localSheetId="10">#REF!</definedName>
    <definedName name="X05_" localSheetId="11">#REF!</definedName>
    <definedName name="X05_">#REF!</definedName>
    <definedName name="X06_" localSheetId="4">#REF!</definedName>
    <definedName name="X06_" localSheetId="3">#REF!</definedName>
    <definedName name="X06_" localSheetId="2">#REF!</definedName>
    <definedName name="X06_" localSheetId="5">#REF!</definedName>
    <definedName name="X06_" localSheetId="6">#REF!</definedName>
    <definedName name="X06_" localSheetId="7">#REF!</definedName>
    <definedName name="X06_" localSheetId="8">#REF!</definedName>
    <definedName name="X06_" localSheetId="9">#REF!</definedName>
    <definedName name="X06_" localSheetId="10">#REF!</definedName>
    <definedName name="X06_" localSheetId="11">#REF!</definedName>
    <definedName name="X06_">#REF!</definedName>
    <definedName name="X72H046LineDft">'[112]72HX'!$F$921</definedName>
    <definedName name="X72H048LineDft">'[112]72HX'!$K$921</definedName>
    <definedName name="X72H051LineDft">'[112]72HX'!$U$921</definedName>
    <definedName name="X72H055LineDft">'[112]72HX'!$AE$921</definedName>
    <definedName name="X72H056LineDft">'[112]72HX'!$AJ$921</definedName>
    <definedName name="X72H057LineDft">'[112]72HX'!$AO$921</definedName>
    <definedName name="X72H058LineDft" localSheetId="4">#REF!</definedName>
    <definedName name="X72H058LineDft" localSheetId="3">#REF!</definedName>
    <definedName name="X72H058LineDft" localSheetId="2">#REF!</definedName>
    <definedName name="X72H058LineDft" localSheetId="5">#REF!</definedName>
    <definedName name="X72H058LineDft" localSheetId="6">#REF!</definedName>
    <definedName name="X72H058LineDft" localSheetId="7">#REF!</definedName>
    <definedName name="X72H058LineDft" localSheetId="8">#REF!</definedName>
    <definedName name="X72H058LineDft" localSheetId="9">#REF!</definedName>
    <definedName name="X72H058LineDft" localSheetId="10">#REF!</definedName>
    <definedName name="X72H058LineDft" localSheetId="11">#REF!</definedName>
    <definedName name="X72H058LineDft">#REF!</definedName>
    <definedName name="X72H058TotOkNo" localSheetId="4">#REF!</definedName>
    <definedName name="X72H058TotOkNo" localSheetId="3">#REF!</definedName>
    <definedName name="X72H058TotOkNo" localSheetId="2">#REF!</definedName>
    <definedName name="X72H058TotOkNo" localSheetId="5">#REF!</definedName>
    <definedName name="X72H058TotOkNo" localSheetId="6">#REF!</definedName>
    <definedName name="X72H058TotOkNo" localSheetId="7">#REF!</definedName>
    <definedName name="X72H058TotOkNo" localSheetId="8">#REF!</definedName>
    <definedName name="X72H058TotOkNo" localSheetId="9">#REF!</definedName>
    <definedName name="X72H058TotOkNo" localSheetId="10">#REF!</definedName>
    <definedName name="X72H058TotOkNo" localSheetId="11">#REF!</definedName>
    <definedName name="X72H058TotOkNo">#REF!</definedName>
    <definedName name="X72H058TotSftNo">'[112]72HX'!#REF!</definedName>
    <definedName name="X72H063LineDft">'[112]72HX'!$AT$921</definedName>
    <definedName name="X72H067LineDft">'[112]72HX'!$BD$921</definedName>
    <definedName name="X72H069LineDft">'[112]72HX'!$BI$921</definedName>
    <definedName name="X72H072LineDft">'[112]72HX'!$BN$921</definedName>
    <definedName name="X75E004LineDft">'[112]75EX'!$F$921</definedName>
    <definedName name="X75E005LineDft">'[112]75EX'!$K$921</definedName>
    <definedName name="X75E006LineDft">'[112]75EX'!$P$921</definedName>
    <definedName name="X75E008LineDft">'[112]75EX'!$U$921</definedName>
    <definedName name="X75E009LineDft">'[112]75EX'!$Z$921</definedName>
    <definedName name="X75E010LineDft">'[112]75EX'!$AJ$921</definedName>
    <definedName name="X75E011LineDft">'[112]75EX'!$AO$921</definedName>
    <definedName name="X75E012LineDft">'[112]75EX'!$AT$921</definedName>
    <definedName name="X75E013LineDft">'[112]75EX'!$AY$921</definedName>
    <definedName name="X75E014LineDft">'[112]75EX'!$BD$921</definedName>
    <definedName name="X75E015LineDft">'[112]75EX'!$BI$921</definedName>
    <definedName name="X75E016LineDft">'[112]75EX'!$BN$921</definedName>
    <definedName name="X75E017LineDft">'[112]75EX'!$BS$921</definedName>
    <definedName name="X75E018LineDft" localSheetId="4">#REF!</definedName>
    <definedName name="X75E018LineDft" localSheetId="3">#REF!</definedName>
    <definedName name="X75E018LineDft" localSheetId="2">#REF!</definedName>
    <definedName name="X75E018LineDft" localSheetId="5">#REF!</definedName>
    <definedName name="X75E018LineDft" localSheetId="6">#REF!</definedName>
    <definedName name="X75E018LineDft" localSheetId="7">#REF!</definedName>
    <definedName name="X75E018LineDft" localSheetId="8">#REF!</definedName>
    <definedName name="X75E018LineDft" localSheetId="9">#REF!</definedName>
    <definedName name="X75E018LineDft" localSheetId="10">#REF!</definedName>
    <definedName name="X75E018LineDft" localSheetId="11">#REF!</definedName>
    <definedName name="X75E018LineDft">#REF!</definedName>
    <definedName name="X75E018TotOkNo" localSheetId="4">#REF!</definedName>
    <definedName name="X75E018TotOkNo" localSheetId="3">#REF!</definedName>
    <definedName name="X75E018TotOkNo" localSheetId="2">#REF!</definedName>
    <definedName name="X75E018TotOkNo" localSheetId="5">#REF!</definedName>
    <definedName name="X75E018TotOkNo" localSheetId="6">#REF!</definedName>
    <definedName name="X75E018TotOkNo" localSheetId="7">#REF!</definedName>
    <definedName name="X75E018TotOkNo" localSheetId="8">#REF!</definedName>
    <definedName name="X75E018TotOkNo" localSheetId="9">#REF!</definedName>
    <definedName name="X75E018TotOkNo" localSheetId="10">#REF!</definedName>
    <definedName name="X75E018TotOkNo" localSheetId="11">#REF!</definedName>
    <definedName name="X75E018TotOkNo">#REF!</definedName>
    <definedName name="X75E018TotSftNo">'[112]75EX'!#REF!</definedName>
    <definedName name="X75E019LineDft">'[112]75EX'!$BX$921</definedName>
    <definedName name="XbarDiff" localSheetId="4">#REF!</definedName>
    <definedName name="XbarDiff" localSheetId="3">#REF!</definedName>
    <definedName name="XbarDiff" localSheetId="2">#REF!</definedName>
    <definedName name="XbarDiff" localSheetId="5">#REF!</definedName>
    <definedName name="XbarDiff" localSheetId="6">#REF!</definedName>
    <definedName name="XbarDiff" localSheetId="7">#REF!</definedName>
    <definedName name="XbarDiff" localSheetId="8">#REF!</definedName>
    <definedName name="XbarDiff" localSheetId="9">#REF!</definedName>
    <definedName name="XbarDiff" localSheetId="10">#REF!</definedName>
    <definedName name="XbarDiff" localSheetId="11">#REF!</definedName>
    <definedName name="XbarDiff">#REF!</definedName>
    <definedName name="Xbars" localSheetId="4">#REF!</definedName>
    <definedName name="Xbars" localSheetId="3">#REF!</definedName>
    <definedName name="Xbars" localSheetId="2">#REF!</definedName>
    <definedName name="Xbars" localSheetId="5">#REF!</definedName>
    <definedName name="Xbars" localSheetId="6">#REF!</definedName>
    <definedName name="Xbars" localSheetId="7">#REF!</definedName>
    <definedName name="Xbars" localSheetId="8">#REF!</definedName>
    <definedName name="Xbars" localSheetId="9">#REF!</definedName>
    <definedName name="Xbars" localSheetId="10">#REF!</definedName>
    <definedName name="Xbars" localSheetId="11">#REF!</definedName>
    <definedName name="Xbars">#REF!</definedName>
    <definedName name="XbarsA" localSheetId="4">#REF!</definedName>
    <definedName name="XbarsA" localSheetId="3">#REF!</definedName>
    <definedName name="XbarsA" localSheetId="2">#REF!</definedName>
    <definedName name="XbarsA" localSheetId="5">#REF!</definedName>
    <definedName name="XbarsA" localSheetId="6">#REF!</definedName>
    <definedName name="XbarsA" localSheetId="7">#REF!</definedName>
    <definedName name="XbarsA" localSheetId="8">#REF!</definedName>
    <definedName name="XbarsA" localSheetId="9">#REF!</definedName>
    <definedName name="XbarsA" localSheetId="10">#REF!</definedName>
    <definedName name="XbarsA" localSheetId="11">#REF!</definedName>
    <definedName name="XbarsA">#REF!</definedName>
    <definedName name="XbarsB" localSheetId="4">#REF!</definedName>
    <definedName name="XbarsB" localSheetId="3">#REF!</definedName>
    <definedName name="XbarsB" localSheetId="2">#REF!</definedName>
    <definedName name="XbarsB" localSheetId="5">#REF!</definedName>
    <definedName name="XbarsB" localSheetId="6">#REF!</definedName>
    <definedName name="XbarsB" localSheetId="7">#REF!</definedName>
    <definedName name="XbarsB" localSheetId="8">#REF!</definedName>
    <definedName name="XbarsB" localSheetId="9">#REF!</definedName>
    <definedName name="XbarsB" localSheetId="10">#REF!</definedName>
    <definedName name="XbarsB" localSheetId="11">#REF!</definedName>
    <definedName name="XbarsB">#REF!</definedName>
    <definedName name="XbarsC" localSheetId="4">#REF!</definedName>
    <definedName name="XbarsC" localSheetId="3">#REF!</definedName>
    <definedName name="XbarsC" localSheetId="2">#REF!</definedName>
    <definedName name="XbarsC" localSheetId="5">#REF!</definedName>
    <definedName name="XbarsC" localSheetId="6">#REF!</definedName>
    <definedName name="XbarsC" localSheetId="7">#REF!</definedName>
    <definedName name="XbarsC" localSheetId="8">#REF!</definedName>
    <definedName name="XbarsC" localSheetId="9">#REF!</definedName>
    <definedName name="XbarsC" localSheetId="10">#REF!</definedName>
    <definedName name="XbarsC" localSheetId="11">#REF!</definedName>
    <definedName name="XbarsC">#REF!</definedName>
    <definedName name="xc" localSheetId="4">#REF!</definedName>
    <definedName name="xc" localSheetId="3">#REF!</definedName>
    <definedName name="xc" localSheetId="2">#REF!</definedName>
    <definedName name="xc" localSheetId="5">#REF!</definedName>
    <definedName name="xc" localSheetId="6">#REF!</definedName>
    <definedName name="xc" localSheetId="7">#REF!</definedName>
    <definedName name="xc" localSheetId="8">#REF!</definedName>
    <definedName name="xc" localSheetId="9">#REF!</definedName>
    <definedName name="xc" localSheetId="10">#REF!</definedName>
    <definedName name="xc" localSheetId="11">#REF!</definedName>
    <definedName name="xc">#REF!</definedName>
    <definedName name="XCCT">0.5</definedName>
    <definedName name="xcnjwkmkdeolc" localSheetId="4">#REF!</definedName>
    <definedName name="xcnjwkmkdeolc" localSheetId="3">#REF!</definedName>
    <definedName name="xcnjwkmkdeolc" localSheetId="2">#REF!</definedName>
    <definedName name="xcnjwkmkdeolc" localSheetId="5">#REF!</definedName>
    <definedName name="xcnjwkmkdeolc" localSheetId="6">#REF!</definedName>
    <definedName name="xcnjwkmkdeolc" localSheetId="7">#REF!</definedName>
    <definedName name="xcnjwkmkdeolc" localSheetId="8">#REF!</definedName>
    <definedName name="xcnjwkmkdeolc" localSheetId="9">#REF!</definedName>
    <definedName name="xcnjwkmkdeolc" localSheetId="10">#REF!</definedName>
    <definedName name="xcnjwkmkdeolc" localSheetId="11">#REF!</definedName>
    <definedName name="xcnjwkmkdeolc">#REF!</definedName>
    <definedName name="xdh" localSheetId="4" hidden="1">{#N/A,#N/A,TRUE,"Distribution";#N/A,#N/A,TRUE,"Fulfillment";#N/A,#N/A,TRUE,"Aged Backorders"}</definedName>
    <definedName name="xdh" localSheetId="3" hidden="1">{#N/A,#N/A,TRUE,"Distribution";#N/A,#N/A,TRUE,"Fulfillment";#N/A,#N/A,TRUE,"Aged Backorders"}</definedName>
    <definedName name="xdh" localSheetId="2" hidden="1">{#N/A,#N/A,TRUE,"Distribution";#N/A,#N/A,TRUE,"Fulfillment";#N/A,#N/A,TRUE,"Aged Backorders"}</definedName>
    <definedName name="xdh" localSheetId="8" hidden="1">{#N/A,#N/A,TRUE,"Distribution";#N/A,#N/A,TRUE,"Fulfillment";#N/A,#N/A,TRUE,"Aged Backorders"}</definedName>
    <definedName name="xdh" localSheetId="9" hidden="1">{#N/A,#N/A,TRUE,"Distribution";#N/A,#N/A,TRUE,"Fulfillment";#N/A,#N/A,TRUE,"Aged Backorders"}</definedName>
    <definedName name="xdh" localSheetId="10" hidden="1">{#N/A,#N/A,TRUE,"Distribution";#N/A,#N/A,TRUE,"Fulfillment";#N/A,#N/A,TRUE,"Aged Backorders"}</definedName>
    <definedName name="xdh" hidden="1">{#N/A,#N/A,TRUE,"Distribution";#N/A,#N/A,TRUE,"Fulfillment";#N/A,#N/A,TRUE,"Aged Backorders"}</definedName>
    <definedName name="xh" localSheetId="4" hidden="1">{#N/A,#N/A,TRUE,"Distribution";#N/A,#N/A,TRUE,"Fulfillment";#N/A,#N/A,TRUE,"Aged Backorders"}</definedName>
    <definedName name="xh" localSheetId="3" hidden="1">{#N/A,#N/A,TRUE,"Distribution";#N/A,#N/A,TRUE,"Fulfillment";#N/A,#N/A,TRUE,"Aged Backorders"}</definedName>
    <definedName name="xh" localSheetId="2" hidden="1">{#N/A,#N/A,TRUE,"Distribution";#N/A,#N/A,TRUE,"Fulfillment";#N/A,#N/A,TRUE,"Aged Backorders"}</definedName>
    <definedName name="xh" localSheetId="8" hidden="1">{#N/A,#N/A,TRUE,"Distribution";#N/A,#N/A,TRUE,"Fulfillment";#N/A,#N/A,TRUE,"Aged Backorders"}</definedName>
    <definedName name="xh" localSheetId="9" hidden="1">{#N/A,#N/A,TRUE,"Distribution";#N/A,#N/A,TRUE,"Fulfillment";#N/A,#N/A,TRUE,"Aged Backorders"}</definedName>
    <definedName name="xh" localSheetId="10" hidden="1">{#N/A,#N/A,TRUE,"Distribution";#N/A,#N/A,TRUE,"Fulfillment";#N/A,#N/A,TRUE,"Aged Backorders"}</definedName>
    <definedName name="xh" hidden="1">{#N/A,#N/A,TRUE,"Distribution";#N/A,#N/A,TRUE,"Fulfillment";#N/A,#N/A,TRUE,"Aged Backorders"}</definedName>
    <definedName name="xiao" localSheetId="4">#REF!</definedName>
    <definedName name="xiao" localSheetId="3">#REF!</definedName>
    <definedName name="xiao" localSheetId="2">#REF!</definedName>
    <definedName name="xiao" localSheetId="5">#REF!</definedName>
    <definedName name="xiao" localSheetId="6">#REF!</definedName>
    <definedName name="xiao" localSheetId="7">#REF!</definedName>
    <definedName name="xiao" localSheetId="8">#REF!</definedName>
    <definedName name="xiao" localSheetId="9">#REF!</definedName>
    <definedName name="xiao" localSheetId="10">#REF!</definedName>
    <definedName name="xiao" localSheetId="11">#REF!</definedName>
    <definedName name="xiao">#REF!</definedName>
    <definedName name="xin" localSheetId="4">#REF!</definedName>
    <definedName name="xin" localSheetId="3">#REF!</definedName>
    <definedName name="xin" localSheetId="2">#REF!</definedName>
    <definedName name="xin" localSheetId="5">#REF!</definedName>
    <definedName name="xin" localSheetId="6">#REF!</definedName>
    <definedName name="xin" localSheetId="7">#REF!</definedName>
    <definedName name="xin" localSheetId="8">#REF!</definedName>
    <definedName name="xin" localSheetId="9">#REF!</definedName>
    <definedName name="xin" localSheetId="10">#REF!</definedName>
    <definedName name="xin" localSheetId="11">#REF!</definedName>
    <definedName name="xin">#REF!</definedName>
    <definedName name="xinghaojingyingti" localSheetId="4">#REF!</definedName>
    <definedName name="xinghaojingyingti" localSheetId="3">#REF!</definedName>
    <definedName name="xinghaojingyingti" localSheetId="2">#REF!</definedName>
    <definedName name="xinghaojingyingti" localSheetId="5">#REF!</definedName>
    <definedName name="xinghaojingyingti" localSheetId="6">#REF!</definedName>
    <definedName name="xinghaojingyingti" localSheetId="7">#REF!</definedName>
    <definedName name="xinghaojingyingti" localSheetId="8">#REF!</definedName>
    <definedName name="xinghaojingyingti" localSheetId="9">#REF!</definedName>
    <definedName name="xinghaojingyingti" localSheetId="10">#REF!</definedName>
    <definedName name="xinghaojingyingti" localSheetId="11">#REF!</definedName>
    <definedName name="xinghaojingyingti">#REF!</definedName>
    <definedName name="XPRESS" localSheetId="4">#REF!</definedName>
    <definedName name="XPRESS" localSheetId="3">#REF!</definedName>
    <definedName name="XPRESS" localSheetId="2">#REF!</definedName>
    <definedName name="XPRESS" localSheetId="5">#REF!</definedName>
    <definedName name="XPRESS" localSheetId="6">#REF!</definedName>
    <definedName name="XPRESS" localSheetId="7">#REF!</definedName>
    <definedName name="XPRESS" localSheetId="8">#REF!</definedName>
    <definedName name="XPRESS" localSheetId="9">#REF!</definedName>
    <definedName name="XPRESS" localSheetId="10">#REF!</definedName>
    <definedName name="XPRESS" localSheetId="11">#REF!</definedName>
    <definedName name="XPRESS">#REF!</definedName>
    <definedName name="XPRESSSF" localSheetId="4">#REF!</definedName>
    <definedName name="XPRESSSF" localSheetId="3">#REF!</definedName>
    <definedName name="XPRESSSF" localSheetId="2">#REF!</definedName>
    <definedName name="XPRESSSF" localSheetId="5">#REF!</definedName>
    <definedName name="XPRESSSF" localSheetId="6">#REF!</definedName>
    <definedName name="XPRESSSF" localSheetId="7">#REF!</definedName>
    <definedName name="XPRESSSF" localSheetId="8">#REF!</definedName>
    <definedName name="XPRESSSF" localSheetId="9">#REF!</definedName>
    <definedName name="XPRESSSF" localSheetId="10">#REF!</definedName>
    <definedName name="XPRESSSF" localSheetId="11">#REF!</definedName>
    <definedName name="XPRESSSF">#REF!</definedName>
    <definedName name="XTEST" localSheetId="4" hidden="1">{#N/A,#N/A,FALSE,"JANLN2"}</definedName>
    <definedName name="XTEST" localSheetId="3" hidden="1">{#N/A,#N/A,FALSE,"JANLN2"}</definedName>
    <definedName name="XTEST" localSheetId="2" hidden="1">{#N/A,#N/A,FALSE,"JANLN2"}</definedName>
    <definedName name="XTEST" localSheetId="8" hidden="1">{#N/A,#N/A,FALSE,"JANLN2"}</definedName>
    <definedName name="XTEST" localSheetId="9" hidden="1">{#N/A,#N/A,FALSE,"JANLN2"}</definedName>
    <definedName name="XTEST" localSheetId="10" hidden="1">{#N/A,#N/A,FALSE,"JANLN2"}</definedName>
    <definedName name="XTEST" hidden="1">{#N/A,#N/A,FALSE,"JANLN2"}</definedName>
    <definedName name="xy" localSheetId="4">'[65]#BEZUG'!$A$16172</definedName>
    <definedName name="xy" localSheetId="3">'[65]#BEZUG'!$A$16172</definedName>
    <definedName name="xy" localSheetId="2">'[65]#BEZUG'!$A$16172</definedName>
    <definedName name="xy" localSheetId="5">'[65]#BEZUG'!$A$16172</definedName>
    <definedName name="xy" localSheetId="6">'[65]#BEZUG'!$A$16172</definedName>
    <definedName name="xy" localSheetId="7">'[65]#BEZUG'!$A$16172</definedName>
    <definedName name="xy" localSheetId="8">'[65]#BEZUG'!$A$16172</definedName>
    <definedName name="xy" localSheetId="9">'[65]#BEZUG'!$A$16172</definedName>
    <definedName name="xy" localSheetId="10">'[78]#BEZUG'!$A$16172</definedName>
    <definedName name="xy">'[6]#BEZUG'!$A$16172</definedName>
    <definedName name="xyy" localSheetId="4">'[65]#BEZUG'!$A$8612</definedName>
    <definedName name="xyy" localSheetId="3">'[65]#BEZUG'!$A$8612</definedName>
    <definedName name="xyy" localSheetId="2">'[65]#BEZUG'!$A$8612</definedName>
    <definedName name="xyy" localSheetId="5">'[65]#BEZUG'!$A$8612</definedName>
    <definedName name="xyy" localSheetId="6">'[65]#BEZUG'!$A$8612</definedName>
    <definedName name="xyy" localSheetId="7">'[65]#BEZUG'!$A$8612</definedName>
    <definedName name="xyy" localSheetId="8">'[65]#BEZUG'!$A$8612</definedName>
    <definedName name="xyy" localSheetId="9">'[65]#BEZUG'!$A$8612</definedName>
    <definedName name="xyy" localSheetId="10">'[78]#BEZUG'!$A$8612</definedName>
    <definedName name="xyy">'[6]#BEZUG'!$A$8612</definedName>
    <definedName name="xz" localSheetId="4">#REF!</definedName>
    <definedName name="xz" localSheetId="3">#REF!</definedName>
    <definedName name="xz" localSheetId="2">#REF!</definedName>
    <definedName name="xz" localSheetId="5">#REF!</definedName>
    <definedName name="xz" localSheetId="6">#REF!</definedName>
    <definedName name="xz" localSheetId="7">#REF!</definedName>
    <definedName name="xz" localSheetId="8">#REF!</definedName>
    <definedName name="xz" localSheetId="9">#REF!</definedName>
    <definedName name="xz" localSheetId="10">#REF!</definedName>
    <definedName name="xz" localSheetId="11">#REF!</definedName>
    <definedName name="xz">#REF!</definedName>
    <definedName name="Y">'[112]Total Financials'!#REF!</definedName>
    <definedName name="Y72H017LineDft">'[112]72HY'!$F$921</definedName>
    <definedName name="Y72H028LineDft">'[112]72HY'!$K$921</definedName>
    <definedName name="Y72H030LineDft">'[112]72HY'!$U$921</definedName>
    <definedName name="Y72H032LineDft">'[112]72HY'!$Z$921</definedName>
    <definedName name="Y72H033LineDft">'[112]72HY'!$AE$921</definedName>
    <definedName name="Y72H035LineDft">'[112]72HY'!$AJ$921</definedName>
    <definedName name="Y75E001LineDft">'[112]75EY'!$F$921</definedName>
    <definedName name="Y75E004LineDft">'[112]75EY'!$K$921</definedName>
    <definedName name="Y75E005LineDft">'[112]75EY'!$P$921</definedName>
    <definedName name="Y75E006LineDft">'[112]75EY'!$U$921</definedName>
    <definedName name="Y75E007LineDft">'[112]75EY'!$Z$921</definedName>
    <definedName name="Y75E008LineDft">'[112]75EY'!$AE$921</definedName>
    <definedName name="Y75E009LineDft">'[112]75EY'!$AJ$921</definedName>
    <definedName name="Y75E010LineDft">'[112]75EY'!$AO$921</definedName>
    <definedName name="Y75E011LineDft">'[112]75EY'!$AT$921</definedName>
    <definedName name="Y75E012LineDft">'[112]75EY'!$AY$921</definedName>
    <definedName name="Y75E013LineDft">'[112]75EY'!$BD$921</definedName>
    <definedName name="Y75E013TotOkNo" localSheetId="4">#REF!</definedName>
    <definedName name="Y75E013TotOkNo" localSheetId="3">#REF!</definedName>
    <definedName name="Y75E013TotOkNo" localSheetId="2">#REF!</definedName>
    <definedName name="Y75E013TotOkNo" localSheetId="5">#REF!</definedName>
    <definedName name="Y75E013TotOkNo" localSheetId="6">#REF!</definedName>
    <definedName name="Y75E013TotOkNo" localSheetId="7">#REF!</definedName>
    <definedName name="Y75E013TotOkNo" localSheetId="8">#REF!</definedName>
    <definedName name="Y75E013TotOkNo" localSheetId="9">#REF!</definedName>
    <definedName name="Y75E013TotOkNo" localSheetId="10">#REF!</definedName>
    <definedName name="Y75E013TotOkNo" localSheetId="11">#REF!</definedName>
    <definedName name="Y75E013TotOkNo">#REF!</definedName>
    <definedName name="Y75E013TotSftNo" localSheetId="4">#REF!</definedName>
    <definedName name="Y75E013TotSftNo" localSheetId="3">#REF!</definedName>
    <definedName name="Y75E013TotSftNo" localSheetId="2">#REF!</definedName>
    <definedName name="Y75E013TotSftNo" localSheetId="5">#REF!</definedName>
    <definedName name="Y75E013TotSftNo" localSheetId="6">#REF!</definedName>
    <definedName name="Y75E013TotSftNo" localSheetId="7">#REF!</definedName>
    <definedName name="Y75E013TotSftNo" localSheetId="8">#REF!</definedName>
    <definedName name="Y75E013TotSftNo" localSheetId="9">#REF!</definedName>
    <definedName name="Y75E013TotSftNo" localSheetId="10">#REF!</definedName>
    <definedName name="Y75E013TotSftNo" localSheetId="11">#REF!</definedName>
    <definedName name="Y75E013TotSftNo">#REF!</definedName>
    <definedName name="Y75E014LineDft">'[112]75EY'!$BI$921</definedName>
    <definedName name="Y75E015LineDft">'[112]75EY'!$BN$921</definedName>
    <definedName name="YCKO" localSheetId="4">#REF!</definedName>
    <definedName name="YCKO" localSheetId="3">#REF!</definedName>
    <definedName name="YCKO" localSheetId="2">#REF!</definedName>
    <definedName name="YCKO" localSheetId="5">#REF!</definedName>
    <definedName name="YCKO" localSheetId="6">#REF!</definedName>
    <definedName name="YCKO" localSheetId="7">#REF!</definedName>
    <definedName name="YCKO" localSheetId="8">#REF!</definedName>
    <definedName name="YCKO" localSheetId="9">#REF!</definedName>
    <definedName name="YCKO" localSheetId="10">#REF!</definedName>
    <definedName name="YCKO" localSheetId="11">#REF!</definedName>
    <definedName name="YCKO">#REF!</definedName>
    <definedName name="YEAR" localSheetId="4">#REF!</definedName>
    <definedName name="YEAR" localSheetId="3">#REF!</definedName>
    <definedName name="YEAR" localSheetId="2">#REF!</definedName>
    <definedName name="YEAR" localSheetId="5">#REF!</definedName>
    <definedName name="YEAR" localSheetId="6">#REF!</definedName>
    <definedName name="YEAR" localSheetId="7">#REF!</definedName>
    <definedName name="YEAR" localSheetId="8">#REF!</definedName>
    <definedName name="YEAR" localSheetId="9">#REF!</definedName>
    <definedName name="YEAR" localSheetId="10">#REF!</definedName>
    <definedName name="YEAR" localSheetId="11">#REF!</definedName>
    <definedName name="YEAR">#REF!</definedName>
    <definedName name="Year_Rev_GM" localSheetId="4">#REF!</definedName>
    <definedName name="Year_Rev_GM" localSheetId="3">#REF!</definedName>
    <definedName name="Year_Rev_GM" localSheetId="2">#REF!</definedName>
    <definedName name="Year_Rev_GM" localSheetId="5">#REF!</definedName>
    <definedName name="Year_Rev_GM" localSheetId="6">#REF!</definedName>
    <definedName name="Year_Rev_GM" localSheetId="7">#REF!</definedName>
    <definedName name="Year_Rev_GM" localSheetId="8">#REF!</definedName>
    <definedName name="Year_Rev_GM" localSheetId="9">#REF!</definedName>
    <definedName name="Year_Rev_GM" localSheetId="10">#REF!</definedName>
    <definedName name="Year_Rev_GM" localSheetId="11">#REF!</definedName>
    <definedName name="Year_Rev_GM">#REF!</definedName>
    <definedName name="Yearly_Prod._M" localSheetId="4">[71]Optimize!$AB$58</definedName>
    <definedName name="Yearly_Prod._M" localSheetId="3">[71]Optimize!$AB$58</definedName>
    <definedName name="Yearly_Prod._M" localSheetId="2">[71]Optimize!$AB$58</definedName>
    <definedName name="Yearly_Prod._M" localSheetId="5">[71]Optimize!$AB$58</definedName>
    <definedName name="Yearly_Prod._M" localSheetId="6">[71]Optimize!$AB$58</definedName>
    <definedName name="Yearly_Prod._M" localSheetId="7">[71]Optimize!$AB$58</definedName>
    <definedName name="Yearly_Prod._M" localSheetId="8">[71]Optimize!$AB$58</definedName>
    <definedName name="Yearly_Prod._M" localSheetId="9">[71]Optimize!$AB$58</definedName>
    <definedName name="Yearly_Prod._M" localSheetId="10">[10]Optimize!$AB$58</definedName>
    <definedName name="Yearly_Prod._M">[18]Optimize!$AB$58</definedName>
    <definedName name="YesFormula" localSheetId="4">#REF!</definedName>
    <definedName name="YesFormula" localSheetId="3">#REF!</definedName>
    <definedName name="YesFormula" localSheetId="2">#REF!</definedName>
    <definedName name="YesFormula" localSheetId="5">#REF!</definedName>
    <definedName name="YesFormula" localSheetId="6">#REF!</definedName>
    <definedName name="YesFormula" localSheetId="7">#REF!</definedName>
    <definedName name="YesFormula" localSheetId="8">#REF!</definedName>
    <definedName name="YesFormula" localSheetId="9">#REF!</definedName>
    <definedName name="YesFormula" localSheetId="10">#REF!</definedName>
    <definedName name="YesFormula" localSheetId="11">#REF!</definedName>
    <definedName name="YesFormula">#REF!</definedName>
    <definedName name="YL" localSheetId="4">#REF!</definedName>
    <definedName name="YL" localSheetId="3">#REF!</definedName>
    <definedName name="YL" localSheetId="2">#REF!</definedName>
    <definedName name="YL" localSheetId="5">#REF!</definedName>
    <definedName name="YL" localSheetId="6">#REF!</definedName>
    <definedName name="YL" localSheetId="7">#REF!</definedName>
    <definedName name="YL" localSheetId="8">#REF!</definedName>
    <definedName name="YL" localSheetId="9">#REF!</definedName>
    <definedName name="YL" localSheetId="10">#REF!</definedName>
    <definedName name="YL" localSheetId="11">#REF!</definedName>
    <definedName name="YL">#REF!</definedName>
    <definedName name="yoy" localSheetId="4">'[35]Comet yoy'!$A:$IV</definedName>
    <definedName name="yoy" localSheetId="3">'[35]Comet yoy'!$A:$IV</definedName>
    <definedName name="yoy" localSheetId="2">'[35]Comet yoy'!$A:$IV</definedName>
    <definedName name="yoy" localSheetId="5">'[35]Comet yoy'!$A:$IV</definedName>
    <definedName name="yoy" localSheetId="6">'[35]Comet yoy'!$A:$IV</definedName>
    <definedName name="yoy" localSheetId="7">'[35]Comet yoy'!$A:$IV</definedName>
    <definedName name="yoy" localSheetId="8">'[35]Comet yoy'!$A:$IV</definedName>
    <definedName name="yoy" localSheetId="9">'[35]Comet yoy'!$A:$IV</definedName>
    <definedName name="yoy" localSheetId="10">'[15]Comet yoy'!$A:$IV</definedName>
    <definedName name="yoy">'[27]Comet yoy'!$A:$IV</definedName>
    <definedName name="yoy_col_match" localSheetId="4">'[35]Comet yoy'!$A$2:$IV$2</definedName>
    <definedName name="yoy_col_match" localSheetId="3">'[35]Comet yoy'!$A$2:$IV$2</definedName>
    <definedName name="yoy_col_match" localSheetId="2">'[35]Comet yoy'!$A$2:$IV$2</definedName>
    <definedName name="yoy_col_match" localSheetId="5">'[35]Comet yoy'!$A$2:$IV$2</definedName>
    <definedName name="yoy_col_match" localSheetId="6">'[35]Comet yoy'!$A$2:$IV$2</definedName>
    <definedName name="yoy_col_match" localSheetId="7">'[35]Comet yoy'!$A$2:$IV$2</definedName>
    <definedName name="yoy_col_match" localSheetId="8">'[35]Comet yoy'!$A$2:$IV$2</definedName>
    <definedName name="yoy_col_match" localSheetId="9">'[35]Comet yoy'!$A$2:$IV$2</definedName>
    <definedName name="yoy_col_match" localSheetId="10">'[15]Comet yoy'!$A$2:$IV$2</definedName>
    <definedName name="yoy_col_match">'[27]Comet yoy'!$A$2:$IV$2</definedName>
    <definedName name="yoy_row_match" localSheetId="4">'[35]Comet yoy'!$A$1:$A$65536</definedName>
    <definedName name="yoy_row_match" localSheetId="3">'[35]Comet yoy'!$A$1:$A$65536</definedName>
    <definedName name="yoy_row_match" localSheetId="2">'[35]Comet yoy'!$A$1:$A$65536</definedName>
    <definedName name="yoy_row_match" localSheetId="5">'[35]Comet yoy'!$A$1:$A$65536</definedName>
    <definedName name="yoy_row_match" localSheetId="6">'[35]Comet yoy'!$A$1:$A$65536</definedName>
    <definedName name="yoy_row_match" localSheetId="7">'[35]Comet yoy'!$A$1:$A$65536</definedName>
    <definedName name="yoy_row_match" localSheetId="8">'[35]Comet yoy'!$A$1:$A$65536</definedName>
    <definedName name="yoy_row_match" localSheetId="9">'[35]Comet yoy'!$A$1:$A$65536</definedName>
    <definedName name="yoy_row_match" localSheetId="10">'[15]Comet yoy'!$A$1:$A$65536</definedName>
    <definedName name="yoy_row_match">'[27]Comet yoy'!$A$1:$A$65536</definedName>
    <definedName name="yoyo" localSheetId="4" hidden="1">{#N/A,#N/A,TRUE,"Distribution";#N/A,#N/A,TRUE,"Fulfillment";#N/A,#N/A,TRUE,"Aged Backorders"}</definedName>
    <definedName name="yoyo" localSheetId="3" hidden="1">{#N/A,#N/A,TRUE,"Distribution";#N/A,#N/A,TRUE,"Fulfillment";#N/A,#N/A,TRUE,"Aged Backorders"}</definedName>
    <definedName name="yoyo" localSheetId="2" hidden="1">{#N/A,#N/A,TRUE,"Distribution";#N/A,#N/A,TRUE,"Fulfillment";#N/A,#N/A,TRUE,"Aged Backorders"}</definedName>
    <definedName name="yoyo" localSheetId="8" hidden="1">{#N/A,#N/A,TRUE,"Distribution";#N/A,#N/A,TRUE,"Fulfillment";#N/A,#N/A,TRUE,"Aged Backorders"}</definedName>
    <definedName name="yoyo" localSheetId="9" hidden="1">{#N/A,#N/A,TRUE,"Distribution";#N/A,#N/A,TRUE,"Fulfillment";#N/A,#N/A,TRUE,"Aged Backorders"}</definedName>
    <definedName name="yoyo" localSheetId="10" hidden="1">{#N/A,#N/A,TRUE,"Distribution";#N/A,#N/A,TRUE,"Fulfillment";#N/A,#N/A,TRUE,"Aged Backorders"}</definedName>
    <definedName name="yoyo" hidden="1">{#N/A,#N/A,TRUE,"Distribution";#N/A,#N/A,TRUE,"Fulfillment";#N/A,#N/A,TRUE,"Aged Backorders"}</definedName>
    <definedName name="YR_GT_9908" localSheetId="4">#REF!</definedName>
    <definedName name="YR_GT_9908" localSheetId="3">#REF!</definedName>
    <definedName name="YR_GT_9908" localSheetId="2">#REF!</definedName>
    <definedName name="YR_GT_9908" localSheetId="5">#REF!</definedName>
    <definedName name="YR_GT_9908" localSheetId="6">#REF!</definedName>
    <definedName name="YR_GT_9908" localSheetId="7">#REF!</definedName>
    <definedName name="YR_GT_9908" localSheetId="8">#REF!</definedName>
    <definedName name="YR_GT_9908" localSheetId="9">#REF!</definedName>
    <definedName name="YR_GT_9908" localSheetId="10">#REF!</definedName>
    <definedName name="YR_GT_9908" localSheetId="11">#REF!</definedName>
    <definedName name="YR_GT_9908">#REF!</definedName>
    <definedName name="YrFnPull" localSheetId="4">#REF!</definedName>
    <definedName name="YrFnPull" localSheetId="3">#REF!</definedName>
    <definedName name="YrFnPull" localSheetId="2">#REF!</definedName>
    <definedName name="YrFnPull" localSheetId="5">#REF!</definedName>
    <definedName name="YrFnPull" localSheetId="6">#REF!</definedName>
    <definedName name="YrFnPull" localSheetId="7">#REF!</definedName>
    <definedName name="YrFnPull" localSheetId="8">#REF!</definedName>
    <definedName name="YrFnPull" localSheetId="9">#REF!</definedName>
    <definedName name="YrFnPull" localSheetId="10">#REF!</definedName>
    <definedName name="YrFnPull" localSheetId="11">#REF!</definedName>
    <definedName name="YrFnPull">#REF!</definedName>
    <definedName name="YRS_of_benefit" localSheetId="4">'[44]Program Inputs'!$C$17</definedName>
    <definedName name="YRS_of_benefit" localSheetId="3">'[44]Program Inputs'!$C$17</definedName>
    <definedName name="YRS_of_benefit" localSheetId="2">'[44]Program Inputs'!$C$17</definedName>
    <definedName name="YRS_of_benefit" localSheetId="5">'[44]Program Inputs'!$C$17</definedName>
    <definedName name="YRS_of_benefit" localSheetId="6">'[44]Program Inputs'!$C$17</definedName>
    <definedName name="YRS_of_benefit" localSheetId="7">'[44]Program Inputs'!$C$17</definedName>
    <definedName name="YRS_of_benefit" localSheetId="8">'[44]Program Inputs'!$C$17</definedName>
    <definedName name="YRS_of_benefit" localSheetId="9">'[44]Program Inputs'!$C$17</definedName>
    <definedName name="YRS_of_benefit" localSheetId="10">'[19]Program Inputs'!$C$17</definedName>
    <definedName name="YRS_of_benefit">'[33]Program Inputs'!$C$17</definedName>
    <definedName name="YSKIM" localSheetId="4">#REF!</definedName>
    <definedName name="YSKIM" localSheetId="3">#REF!</definedName>
    <definedName name="YSKIM" localSheetId="2">#REF!</definedName>
    <definedName name="YSKIM" localSheetId="5">#REF!</definedName>
    <definedName name="YSKIM" localSheetId="6">#REF!</definedName>
    <definedName name="YSKIM" localSheetId="7">#REF!</definedName>
    <definedName name="YSKIM" localSheetId="8">#REF!</definedName>
    <definedName name="YSKIM" localSheetId="9">#REF!</definedName>
    <definedName name="YSKIM" localSheetId="10">#REF!</definedName>
    <definedName name="YSKIM" localSheetId="11">#REF!</definedName>
    <definedName name="YSKIM">#REF!</definedName>
    <definedName name="YSLEE" localSheetId="4">#REF!</definedName>
    <definedName name="YSLEE" localSheetId="3">#REF!</definedName>
    <definedName name="YSLEE" localSheetId="2">#REF!</definedName>
    <definedName name="YSLEE" localSheetId="5">#REF!</definedName>
    <definedName name="YSLEE" localSheetId="6">#REF!</definedName>
    <definedName name="YSLEE" localSheetId="7">#REF!</definedName>
    <definedName name="YSLEE" localSheetId="8">#REF!</definedName>
    <definedName name="YSLEE" localSheetId="9">#REF!</definedName>
    <definedName name="YSLEE" localSheetId="10">#REF!</definedName>
    <definedName name="YSLEE" localSheetId="11">#REF!</definedName>
    <definedName name="YSLEE">#REF!</definedName>
    <definedName name="YWCHO" localSheetId="4">#REF!</definedName>
    <definedName name="YWCHO" localSheetId="3">#REF!</definedName>
    <definedName name="YWCHO" localSheetId="2">#REF!</definedName>
    <definedName name="YWCHO" localSheetId="5">#REF!</definedName>
    <definedName name="YWCHO" localSheetId="6">#REF!</definedName>
    <definedName name="YWCHO" localSheetId="7">#REF!</definedName>
    <definedName name="YWCHO" localSheetId="8">#REF!</definedName>
    <definedName name="YWCHO" localSheetId="9">#REF!</definedName>
    <definedName name="YWCHO" localSheetId="10">#REF!</definedName>
    <definedName name="YWCHO" localSheetId="11">#REF!</definedName>
    <definedName name="YWCHO">#REF!</definedName>
    <definedName name="YY" localSheetId="4">#REF!</definedName>
    <definedName name="YY" localSheetId="3">#REF!</definedName>
    <definedName name="YY" localSheetId="2">#REF!</definedName>
    <definedName name="YY" localSheetId="5">#REF!</definedName>
    <definedName name="YY" localSheetId="6">#REF!</definedName>
    <definedName name="YY" localSheetId="7">#REF!</definedName>
    <definedName name="YY" localSheetId="8">#REF!</definedName>
    <definedName name="YY" localSheetId="9">#REF!</definedName>
    <definedName name="YY" localSheetId="10">#REF!</definedName>
    <definedName name="YY" localSheetId="11">#REF!</definedName>
    <definedName name="YY">#REF!</definedName>
    <definedName name="YYMM">#N/A</definedName>
    <definedName name="YYYYY" localSheetId="4">#REF!</definedName>
    <definedName name="YYYYY" localSheetId="3">#REF!</definedName>
    <definedName name="YYYYY" localSheetId="2">#REF!</definedName>
    <definedName name="YYYYY" localSheetId="5">#REF!</definedName>
    <definedName name="YYYYY" localSheetId="6">#REF!</definedName>
    <definedName name="YYYYY" localSheetId="7">#REF!</definedName>
    <definedName name="YYYYY" localSheetId="8">#REF!</definedName>
    <definedName name="YYYYY" localSheetId="9">#REF!</definedName>
    <definedName name="YYYYY" localSheetId="10">#REF!</definedName>
    <definedName name="YYYYY" localSheetId="11">#REF!</definedName>
    <definedName name="YYYYY">#REF!</definedName>
    <definedName name="yyyyyyyyy" localSheetId="4" hidden="1">{#N/A,#N/A,TRUE,"Distribution";#N/A,#N/A,TRUE,"Fulfillment";#N/A,#N/A,TRUE,"Aged Backorders"}</definedName>
    <definedName name="yyyyyyyyy" localSheetId="3" hidden="1">{#N/A,#N/A,TRUE,"Distribution";#N/A,#N/A,TRUE,"Fulfillment";#N/A,#N/A,TRUE,"Aged Backorders"}</definedName>
    <definedName name="yyyyyyyyy" localSheetId="2" hidden="1">{#N/A,#N/A,TRUE,"Distribution";#N/A,#N/A,TRUE,"Fulfillment";#N/A,#N/A,TRUE,"Aged Backorders"}</definedName>
    <definedName name="yyyyyyyyy" localSheetId="8" hidden="1">{#N/A,#N/A,TRUE,"Distribution";#N/A,#N/A,TRUE,"Fulfillment";#N/A,#N/A,TRUE,"Aged Backorders"}</definedName>
    <definedName name="yyyyyyyyy" localSheetId="9" hidden="1">{#N/A,#N/A,TRUE,"Distribution";#N/A,#N/A,TRUE,"Fulfillment";#N/A,#N/A,TRUE,"Aged Backorders"}</definedName>
    <definedName name="yyyyyyyyy" localSheetId="10" hidden="1">{#N/A,#N/A,TRUE,"Distribution";#N/A,#N/A,TRUE,"Fulfillment";#N/A,#N/A,TRUE,"Aged Backorders"}</definedName>
    <definedName name="yyyyyyyyy" hidden="1">{#N/A,#N/A,TRUE,"Distribution";#N/A,#N/A,TRUE,"Fulfillment";#N/A,#N/A,TRUE,"Aged Backorders"}</definedName>
    <definedName name="z" localSheetId="4">#REF!</definedName>
    <definedName name="z" localSheetId="3">#REF!</definedName>
    <definedName name="z" localSheetId="2">#REF!</definedName>
    <definedName name="z" localSheetId="5">#REF!</definedName>
    <definedName name="z" localSheetId="6">#REF!</definedName>
    <definedName name="z" localSheetId="7">#REF!</definedName>
    <definedName name="z" localSheetId="8">#REF!</definedName>
    <definedName name="z" localSheetId="9">#REF!</definedName>
    <definedName name="z" localSheetId="10">#REF!</definedName>
    <definedName name="z" localSheetId="11">#REF!</definedName>
    <definedName name="z">#REF!</definedName>
    <definedName name="Z_06F09077_BC0A_4AA8_91FD_6B0C1D8C2ACC_.wvu.Cols" localSheetId="4" hidden="1">#REF!,#REF!,#REF!,#REF!</definedName>
    <definedName name="Z_06F09077_BC0A_4AA8_91FD_6B0C1D8C2ACC_.wvu.Cols" localSheetId="3" hidden="1">#REF!,#REF!,#REF!,#REF!</definedName>
    <definedName name="Z_06F09077_BC0A_4AA8_91FD_6B0C1D8C2ACC_.wvu.Cols" localSheetId="2" hidden="1">#REF!,#REF!,#REF!,#REF!</definedName>
    <definedName name="Z_06F09077_BC0A_4AA8_91FD_6B0C1D8C2ACC_.wvu.Cols" localSheetId="5" hidden="1">#REF!,#REF!,#REF!,#REF!</definedName>
    <definedName name="Z_06F09077_BC0A_4AA8_91FD_6B0C1D8C2ACC_.wvu.Cols" localSheetId="6" hidden="1">#REF!,#REF!,#REF!,#REF!</definedName>
    <definedName name="Z_06F09077_BC0A_4AA8_91FD_6B0C1D8C2ACC_.wvu.Cols" localSheetId="7" hidden="1">#REF!,#REF!,#REF!,#REF!</definedName>
    <definedName name="Z_06F09077_BC0A_4AA8_91FD_6B0C1D8C2ACC_.wvu.Cols" localSheetId="8" hidden="1">#REF!,#REF!,#REF!,#REF!</definedName>
    <definedName name="Z_06F09077_BC0A_4AA8_91FD_6B0C1D8C2ACC_.wvu.Cols" localSheetId="9" hidden="1">#REF!,#REF!,#REF!,#REF!</definedName>
    <definedName name="Z_06F09077_BC0A_4AA8_91FD_6B0C1D8C2ACC_.wvu.Cols" localSheetId="10" hidden="1">#REF!,#REF!,#REF!,#REF!</definedName>
    <definedName name="Z_06F09077_BC0A_4AA8_91FD_6B0C1D8C2ACC_.wvu.Cols" localSheetId="11" hidden="1">#REF!,#REF!,#REF!,#REF!</definedName>
    <definedName name="Z_06F09077_BC0A_4AA8_91FD_6B0C1D8C2ACC_.wvu.Cols" hidden="1">#REF!,#REF!,#REF!,#REF!</definedName>
    <definedName name="Z_06F09077_BC0A_4AA8_91FD_6B0C1D8C2ACC_.wvu.FilterData" localSheetId="4" hidden="1">#REF!</definedName>
    <definedName name="Z_06F09077_BC0A_4AA8_91FD_6B0C1D8C2ACC_.wvu.FilterData" localSheetId="3" hidden="1">#REF!</definedName>
    <definedName name="Z_06F09077_BC0A_4AA8_91FD_6B0C1D8C2ACC_.wvu.FilterData" localSheetId="2" hidden="1">#REF!</definedName>
    <definedName name="Z_06F09077_BC0A_4AA8_91FD_6B0C1D8C2ACC_.wvu.FilterData" localSheetId="5" hidden="1">#REF!</definedName>
    <definedName name="Z_06F09077_BC0A_4AA8_91FD_6B0C1D8C2ACC_.wvu.FilterData" localSheetId="6" hidden="1">#REF!</definedName>
    <definedName name="Z_06F09077_BC0A_4AA8_91FD_6B0C1D8C2ACC_.wvu.FilterData" localSheetId="7" hidden="1">#REF!</definedName>
    <definedName name="Z_06F09077_BC0A_4AA8_91FD_6B0C1D8C2ACC_.wvu.FilterData" localSheetId="8" hidden="1">#REF!</definedName>
    <definedName name="Z_06F09077_BC0A_4AA8_91FD_6B0C1D8C2ACC_.wvu.FilterData" localSheetId="9" hidden="1">#REF!</definedName>
    <definedName name="Z_06F09077_BC0A_4AA8_91FD_6B0C1D8C2ACC_.wvu.FilterData" localSheetId="10" hidden="1">#REF!</definedName>
    <definedName name="Z_06F09077_BC0A_4AA8_91FD_6B0C1D8C2ACC_.wvu.FilterData" localSheetId="11" hidden="1">#REF!</definedName>
    <definedName name="Z_06F09077_BC0A_4AA8_91FD_6B0C1D8C2ACC_.wvu.FilterData" hidden="1">#REF!</definedName>
    <definedName name="Z_673E9BB3_A2C0_4706_981F_F3580A480104_.wvu.FilterData" localSheetId="4" hidden="1">#REF!</definedName>
    <definedName name="Z_673E9BB3_A2C0_4706_981F_F3580A480104_.wvu.FilterData" localSheetId="3" hidden="1">#REF!</definedName>
    <definedName name="Z_673E9BB3_A2C0_4706_981F_F3580A480104_.wvu.FilterData" localSheetId="2" hidden="1">#REF!</definedName>
    <definedName name="Z_673E9BB3_A2C0_4706_981F_F3580A480104_.wvu.FilterData" localSheetId="5" hidden="1">#REF!</definedName>
    <definedName name="Z_673E9BB3_A2C0_4706_981F_F3580A480104_.wvu.FilterData" localSheetId="6" hidden="1">#REF!</definedName>
    <definedName name="Z_673E9BB3_A2C0_4706_981F_F3580A480104_.wvu.FilterData" localSheetId="7" hidden="1">#REF!</definedName>
    <definedName name="Z_673E9BB3_A2C0_4706_981F_F3580A480104_.wvu.FilterData" localSheetId="8" hidden="1">#REF!</definedName>
    <definedName name="Z_673E9BB3_A2C0_4706_981F_F3580A480104_.wvu.FilterData" localSheetId="9" hidden="1">#REF!</definedName>
    <definedName name="Z_673E9BB3_A2C0_4706_981F_F3580A480104_.wvu.FilterData" localSheetId="10" hidden="1">#REF!</definedName>
    <definedName name="Z_673E9BB3_A2C0_4706_981F_F3580A480104_.wvu.FilterData" localSheetId="11" hidden="1">#REF!</definedName>
    <definedName name="Z_673E9BB3_A2C0_4706_981F_F3580A480104_.wvu.FilterData" hidden="1">#REF!</definedName>
    <definedName name="ZA" localSheetId="4">#REF!</definedName>
    <definedName name="ZA" localSheetId="3">#REF!</definedName>
    <definedName name="ZA" localSheetId="2">#REF!</definedName>
    <definedName name="ZA" localSheetId="5">#REF!</definedName>
    <definedName name="ZA" localSheetId="6">#REF!</definedName>
    <definedName name="ZA" localSheetId="7">#REF!</definedName>
    <definedName name="ZA" localSheetId="8">#REF!</definedName>
    <definedName name="ZA" localSheetId="9">#REF!</definedName>
    <definedName name="ZA" localSheetId="10">#REF!</definedName>
    <definedName name="ZA" localSheetId="11">#REF!</definedName>
    <definedName name="ZA">#REF!</definedName>
    <definedName name="zaw" localSheetId="4">#REF!</definedName>
    <definedName name="zaw" localSheetId="3">#REF!</definedName>
    <definedName name="zaw" localSheetId="2">#REF!</definedName>
    <definedName name="zaw" localSheetId="5">#REF!</definedName>
    <definedName name="zaw" localSheetId="6">#REF!</definedName>
    <definedName name="zaw" localSheetId="7">#REF!</definedName>
    <definedName name="zaw" localSheetId="8">#REF!</definedName>
    <definedName name="zaw" localSheetId="9">#REF!</definedName>
    <definedName name="zaw" localSheetId="10">#REF!</definedName>
    <definedName name="zaw" localSheetId="11">#REF!</definedName>
    <definedName name="zaw">#REF!</definedName>
    <definedName name="zb" localSheetId="4">#REF!</definedName>
    <definedName name="zb" localSheetId="3">#REF!</definedName>
    <definedName name="zb" localSheetId="2">#REF!</definedName>
    <definedName name="zb" localSheetId="5">#REF!</definedName>
    <definedName name="zb" localSheetId="6">#REF!</definedName>
    <definedName name="zb" localSheetId="7">#REF!</definedName>
    <definedName name="zb" localSheetId="8">#REF!</definedName>
    <definedName name="zb" localSheetId="9">#REF!</definedName>
    <definedName name="zb" localSheetId="10">#REF!</definedName>
    <definedName name="zb" localSheetId="11">#REF!</definedName>
    <definedName name="zb">#REF!</definedName>
    <definedName name="ZC_NO_B">"WJG"</definedName>
    <definedName name="ZC_NO_H">"WJG"</definedName>
    <definedName name="zd" localSheetId="4">#REF!</definedName>
    <definedName name="zd" localSheetId="3">#REF!</definedName>
    <definedName name="zd" localSheetId="2">#REF!</definedName>
    <definedName name="zd" localSheetId="5">#REF!</definedName>
    <definedName name="zd" localSheetId="6">#REF!</definedName>
    <definedName name="zd" localSheetId="7">#REF!</definedName>
    <definedName name="zd" localSheetId="8">#REF!</definedName>
    <definedName name="zd" localSheetId="9">#REF!</definedName>
    <definedName name="zd" localSheetId="10">#REF!</definedName>
    <definedName name="zd" localSheetId="11">#REF!</definedName>
    <definedName name="zd">#REF!</definedName>
    <definedName name="zeitbe" localSheetId="4">#REF!</definedName>
    <definedName name="zeitbe" localSheetId="3">#REF!</definedName>
    <definedName name="zeitbe" localSheetId="2">#REF!</definedName>
    <definedName name="zeitbe" localSheetId="5">#REF!</definedName>
    <definedName name="zeitbe" localSheetId="6">#REF!</definedName>
    <definedName name="zeitbe" localSheetId="7">#REF!</definedName>
    <definedName name="zeitbe" localSheetId="8">#REF!</definedName>
    <definedName name="zeitbe" localSheetId="9">#REF!</definedName>
    <definedName name="zeitbe" localSheetId="10">#REF!</definedName>
    <definedName name="zeitbe" localSheetId="11">#REF!</definedName>
    <definedName name="zeitbe">#REF!</definedName>
    <definedName name="zeitbe1" localSheetId="4">#REF!</definedName>
    <definedName name="zeitbe1" localSheetId="3">#REF!</definedName>
    <definedName name="zeitbe1" localSheetId="2">#REF!</definedName>
    <definedName name="zeitbe1" localSheetId="5">#REF!</definedName>
    <definedName name="zeitbe1" localSheetId="6">#REF!</definedName>
    <definedName name="zeitbe1" localSheetId="7">#REF!</definedName>
    <definedName name="zeitbe1" localSheetId="8">#REF!</definedName>
    <definedName name="zeitbe1" localSheetId="9">#REF!</definedName>
    <definedName name="zeitbe1" localSheetId="10">#REF!</definedName>
    <definedName name="zeitbe1" localSheetId="11">#REF!</definedName>
    <definedName name="zeitbe1">#REF!</definedName>
    <definedName name="zeitbeschr" localSheetId="4">#REF!</definedName>
    <definedName name="zeitbeschr" localSheetId="3">#REF!</definedName>
    <definedName name="zeitbeschr" localSheetId="2">#REF!</definedName>
    <definedName name="zeitbeschr" localSheetId="5">#REF!</definedName>
    <definedName name="zeitbeschr" localSheetId="6">#REF!</definedName>
    <definedName name="zeitbeschr" localSheetId="7">#REF!</definedName>
    <definedName name="zeitbeschr" localSheetId="8">#REF!</definedName>
    <definedName name="zeitbeschr" localSheetId="9">#REF!</definedName>
    <definedName name="zeitbeschr" localSheetId="10">#REF!</definedName>
    <definedName name="zeitbeschr" localSheetId="11">#REF!</definedName>
    <definedName name="zeitbeschr">#REF!</definedName>
    <definedName name="zeiten" localSheetId="4">#REF!</definedName>
    <definedName name="zeiten" localSheetId="3">#REF!</definedName>
    <definedName name="zeiten" localSheetId="2">#REF!</definedName>
    <definedName name="zeiten" localSheetId="5">#REF!</definedName>
    <definedName name="zeiten" localSheetId="6">#REF!</definedName>
    <definedName name="zeiten" localSheetId="7">#REF!</definedName>
    <definedName name="zeiten" localSheetId="8">#REF!</definedName>
    <definedName name="zeiten" localSheetId="9">#REF!</definedName>
    <definedName name="zeiten" localSheetId="10">#REF!</definedName>
    <definedName name="zeiten" localSheetId="11">#REF!</definedName>
    <definedName name="zeiten">#REF!</definedName>
    <definedName name="zeiten1" localSheetId="4">#REF!</definedName>
    <definedName name="zeiten1" localSheetId="3">#REF!</definedName>
    <definedName name="zeiten1" localSheetId="2">#REF!</definedName>
    <definedName name="zeiten1" localSheetId="5">#REF!</definedName>
    <definedName name="zeiten1" localSheetId="6">#REF!</definedName>
    <definedName name="zeiten1" localSheetId="7">#REF!</definedName>
    <definedName name="zeiten1" localSheetId="8">#REF!</definedName>
    <definedName name="zeiten1" localSheetId="9">#REF!</definedName>
    <definedName name="zeiten1" localSheetId="10">#REF!</definedName>
    <definedName name="zeiten1" localSheetId="11">#REF!</definedName>
    <definedName name="zeiten1">#REF!</definedName>
    <definedName name="ZeitenBE" localSheetId="4">#REF!</definedName>
    <definedName name="ZeitenBE" localSheetId="3">#REF!</definedName>
    <definedName name="ZeitenBE" localSheetId="2">#REF!</definedName>
    <definedName name="ZeitenBE" localSheetId="5">#REF!</definedName>
    <definedName name="ZeitenBE" localSheetId="6">#REF!</definedName>
    <definedName name="ZeitenBE" localSheetId="7">#REF!</definedName>
    <definedName name="ZeitenBE" localSheetId="8">#REF!</definedName>
    <definedName name="ZeitenBE" localSheetId="9">#REF!</definedName>
    <definedName name="ZeitenBE" localSheetId="10">#REF!</definedName>
    <definedName name="ZeitenBE" localSheetId="11">#REF!</definedName>
    <definedName name="ZeitenBE">#REF!</definedName>
    <definedName name="ZF" localSheetId="4">#REF!</definedName>
    <definedName name="ZF" localSheetId="3">#REF!</definedName>
    <definedName name="ZF" localSheetId="2">#REF!</definedName>
    <definedName name="ZF" localSheetId="5">#REF!</definedName>
    <definedName name="ZF" localSheetId="6">#REF!</definedName>
    <definedName name="ZF" localSheetId="7">#REF!</definedName>
    <definedName name="ZF" localSheetId="8">#REF!</definedName>
    <definedName name="ZF" localSheetId="9">#REF!</definedName>
    <definedName name="ZF" localSheetId="10">#REF!</definedName>
    <definedName name="ZF" localSheetId="11">#REF!</definedName>
    <definedName name="ZF">#REF!</definedName>
    <definedName name="zhjvhah" localSheetId="4" hidden="1">{#N/A,#N/A,TRUE,"Distribution";#N/A,#N/A,TRUE,"Fulfillment";#N/A,#N/A,TRUE,"Aged Backorders"}</definedName>
    <definedName name="zhjvhah" localSheetId="3" hidden="1">{#N/A,#N/A,TRUE,"Distribution";#N/A,#N/A,TRUE,"Fulfillment";#N/A,#N/A,TRUE,"Aged Backorders"}</definedName>
    <definedName name="zhjvhah" localSheetId="2" hidden="1">{#N/A,#N/A,TRUE,"Distribution";#N/A,#N/A,TRUE,"Fulfillment";#N/A,#N/A,TRUE,"Aged Backorders"}</definedName>
    <definedName name="zhjvhah" localSheetId="8" hidden="1">{#N/A,#N/A,TRUE,"Distribution";#N/A,#N/A,TRUE,"Fulfillment";#N/A,#N/A,TRUE,"Aged Backorders"}</definedName>
    <definedName name="zhjvhah" localSheetId="9" hidden="1">{#N/A,#N/A,TRUE,"Distribution";#N/A,#N/A,TRUE,"Fulfillment";#N/A,#N/A,TRUE,"Aged Backorders"}</definedName>
    <definedName name="zhjvhah" localSheetId="10" hidden="1">{#N/A,#N/A,TRUE,"Distribution";#N/A,#N/A,TRUE,"Fulfillment";#N/A,#N/A,TRUE,"Aged Backorders"}</definedName>
    <definedName name="zhjvhah" hidden="1">{#N/A,#N/A,TRUE,"Distribution";#N/A,#N/A,TRUE,"Fulfillment";#N/A,#N/A,TRUE,"Aged Backorders"}</definedName>
    <definedName name="zsc" localSheetId="4">#REF!</definedName>
    <definedName name="zsc" localSheetId="3">#REF!</definedName>
    <definedName name="zsc" localSheetId="2">#REF!</definedName>
    <definedName name="zsc" localSheetId="5">#REF!</definedName>
    <definedName name="zsc" localSheetId="6">#REF!</definedName>
    <definedName name="zsc" localSheetId="7">#REF!</definedName>
    <definedName name="zsc" localSheetId="8">#REF!</definedName>
    <definedName name="zsc" localSheetId="9">#REF!</definedName>
    <definedName name="zsc" localSheetId="10">#REF!</definedName>
    <definedName name="zsc" localSheetId="11">#REF!</definedName>
    <definedName name="zsc">#REF!</definedName>
    <definedName name="zx" localSheetId="4">#REF!</definedName>
    <definedName name="zx" localSheetId="3">#REF!</definedName>
    <definedName name="zx" localSheetId="2">#REF!</definedName>
    <definedName name="zx" localSheetId="5">#REF!</definedName>
    <definedName name="zx" localSheetId="6">#REF!</definedName>
    <definedName name="zx" localSheetId="7">#REF!</definedName>
    <definedName name="zx" localSheetId="8">#REF!</definedName>
    <definedName name="zx" localSheetId="9">#REF!</definedName>
    <definedName name="zx" localSheetId="10">#REF!</definedName>
    <definedName name="zx" localSheetId="11">#REF!</definedName>
    <definedName name="zx">#REF!</definedName>
    <definedName name="zxxcd" localSheetId="4">'[65]#BEZUG'!#REF!</definedName>
    <definedName name="zxxcd" localSheetId="3">'[65]#BEZUG'!#REF!</definedName>
    <definedName name="zxxcd" localSheetId="2">'[65]#BEZUG'!#REF!</definedName>
    <definedName name="zxxcd" localSheetId="5">'[65]#BEZUG'!#REF!</definedName>
    <definedName name="zxxcd" localSheetId="6">'[65]#BEZUG'!#REF!</definedName>
    <definedName name="zxxcd" localSheetId="7">'[65]#BEZUG'!#REF!</definedName>
    <definedName name="zxxcd" localSheetId="8">'[65]#BEZUG'!#REF!</definedName>
    <definedName name="zxxcd" localSheetId="9">'[65]#BEZUG'!#REF!</definedName>
    <definedName name="zxxcd" localSheetId="10">'[78]#BEZUG'!#REF!</definedName>
    <definedName name="zxxcd">'[6]#BEZUG'!#REF!</definedName>
    <definedName name="ZZ" localSheetId="4">#REF!</definedName>
    <definedName name="ZZ" localSheetId="3">#REF!</definedName>
    <definedName name="ZZ" localSheetId="2">#REF!</definedName>
    <definedName name="ZZ" localSheetId="5">#REF!</definedName>
    <definedName name="ZZ" localSheetId="6">#REF!</definedName>
    <definedName name="ZZ" localSheetId="7">#REF!</definedName>
    <definedName name="ZZ" localSheetId="8">#REF!</definedName>
    <definedName name="ZZ" localSheetId="9">#REF!</definedName>
    <definedName name="ZZ" localSheetId="10">#REF!</definedName>
    <definedName name="ZZ" localSheetId="11">#REF!</definedName>
    <definedName name="ZZ">#REF!</definedName>
    <definedName name="ZZZ" localSheetId="4">#REF!</definedName>
    <definedName name="ZZZ" localSheetId="3">#REF!</definedName>
    <definedName name="ZZZ" localSheetId="2">#REF!</definedName>
    <definedName name="ZZZ" localSheetId="5">#REF!</definedName>
    <definedName name="ZZZ" localSheetId="6">#REF!</definedName>
    <definedName name="ZZZ" localSheetId="7">#REF!</definedName>
    <definedName name="ZZZ" localSheetId="8">#REF!</definedName>
    <definedName name="ZZZ" localSheetId="9">#REF!</definedName>
    <definedName name="ZZZ" localSheetId="10">#REF!</definedName>
    <definedName name="ZZZ" localSheetId="11">#REF!</definedName>
    <definedName name="ZZZ">#REF!</definedName>
    <definedName name="ああ" localSheetId="4">#REF!</definedName>
    <definedName name="ああ" localSheetId="3">#REF!</definedName>
    <definedName name="ああ" localSheetId="2">#REF!</definedName>
    <definedName name="ああ" localSheetId="5">#REF!</definedName>
    <definedName name="ああ" localSheetId="6">#REF!</definedName>
    <definedName name="ああ" localSheetId="7">#REF!</definedName>
    <definedName name="ああ" localSheetId="8">#REF!</definedName>
    <definedName name="ああ" localSheetId="9">#REF!</definedName>
    <definedName name="ああ" localSheetId="10">#REF!</definedName>
    <definedName name="ああ" localSheetId="11">#REF!</definedName>
    <definedName name="ああ">#REF!</definedName>
    <definedName name="キベツ台数" localSheetId="4">#REF!</definedName>
    <definedName name="キベツ台数" localSheetId="3">#REF!</definedName>
    <definedName name="キベツ台数" localSheetId="2">#REF!</definedName>
    <definedName name="キベツ台数" localSheetId="5">#REF!</definedName>
    <definedName name="キベツ台数" localSheetId="6">#REF!</definedName>
    <definedName name="キベツ台数" localSheetId="7">#REF!</definedName>
    <definedName name="キベツ台数" localSheetId="8">#REF!</definedName>
    <definedName name="キベツ台数" localSheetId="9">#REF!</definedName>
    <definedName name="キベツ台数" localSheetId="10">#REF!</definedName>
    <definedName name="キベツ台数" localSheetId="11">#REF!</definedName>
    <definedName name="キベツ台数">#REF!</definedName>
    <definedName name="く" localSheetId="4" hidden="1">{"'打点割り振り (2)'!$A$1:$G$35"}</definedName>
    <definedName name="く" localSheetId="3" hidden="1">{"'打点割り振り (2)'!$A$1:$G$35"}</definedName>
    <definedName name="く" localSheetId="2" hidden="1">{"'打点割り振り (2)'!$A$1:$G$35"}</definedName>
    <definedName name="く" localSheetId="8" hidden="1">{"'打点割り振り (2)'!$A$1:$G$35"}</definedName>
    <definedName name="く" localSheetId="9" hidden="1">{"'打点割り振り (2)'!$A$1:$G$35"}</definedName>
    <definedName name="く" localSheetId="10" hidden="1">{"'打点割り振り (2)'!$A$1:$G$35"}</definedName>
    <definedName name="く" hidden="1">{"'打点割り振り (2)'!$A$1:$G$35"}</definedName>
    <definedName name="クエリ2" localSheetId="4">#REF!</definedName>
    <definedName name="クエリ2" localSheetId="3">#REF!</definedName>
    <definedName name="クエリ2" localSheetId="2">#REF!</definedName>
    <definedName name="クエリ2" localSheetId="5">#REF!</definedName>
    <definedName name="クエリ2" localSheetId="6">#REF!</definedName>
    <definedName name="クエリ2" localSheetId="7">#REF!</definedName>
    <definedName name="クエリ2" localSheetId="8">#REF!</definedName>
    <definedName name="クエリ2" localSheetId="9">#REF!</definedName>
    <definedName name="クエリ2" localSheetId="10">#REF!</definedName>
    <definedName name="クエリ2" localSheetId="11">#REF!</definedName>
    <definedName name="クエリ2">#REF!</definedName>
    <definedName name="ｽｸﾗｯﾌﾟ1" localSheetId="4">#REF!</definedName>
    <definedName name="ｽｸﾗｯﾌﾟ1" localSheetId="3">#REF!</definedName>
    <definedName name="ｽｸﾗｯﾌﾟ1" localSheetId="2">#REF!</definedName>
    <definedName name="ｽｸﾗｯﾌﾟ1" localSheetId="5">#REF!</definedName>
    <definedName name="ｽｸﾗｯﾌﾟ1" localSheetId="6">#REF!</definedName>
    <definedName name="ｽｸﾗｯﾌﾟ1" localSheetId="7">#REF!</definedName>
    <definedName name="ｽｸﾗｯﾌﾟ1" localSheetId="8">#REF!</definedName>
    <definedName name="ｽｸﾗｯﾌﾟ1" localSheetId="9">#REF!</definedName>
    <definedName name="ｽｸﾗｯﾌﾟ1" localSheetId="10">#REF!</definedName>
    <definedName name="ｽｸﾗｯﾌﾟ1" localSheetId="11">#REF!</definedName>
    <definedName name="ｽｸﾗｯﾌﾟ1">#REF!</definedName>
    <definedName name="ｽｸﾗｯﾌﾟ2" localSheetId="4">#REF!</definedName>
    <definedName name="ｽｸﾗｯﾌﾟ2" localSheetId="3">#REF!</definedName>
    <definedName name="ｽｸﾗｯﾌﾟ2" localSheetId="2">#REF!</definedName>
    <definedName name="ｽｸﾗｯﾌﾟ2" localSheetId="5">#REF!</definedName>
    <definedName name="ｽｸﾗｯﾌﾟ2" localSheetId="6">#REF!</definedName>
    <definedName name="ｽｸﾗｯﾌﾟ2" localSheetId="7">#REF!</definedName>
    <definedName name="ｽｸﾗｯﾌﾟ2" localSheetId="8">#REF!</definedName>
    <definedName name="ｽｸﾗｯﾌﾟ2" localSheetId="9">#REF!</definedName>
    <definedName name="ｽｸﾗｯﾌﾟ2" localSheetId="10">#REF!</definedName>
    <definedName name="ｽｸﾗｯﾌﾟ2" localSheetId="11">#REF!</definedName>
    <definedName name="ｽｸﾗｯﾌﾟ2">#REF!</definedName>
    <definedName name="ファイル閉">[113]!ファイル閉</definedName>
    <definedName name="ﾌﾞﾂﾘｭｳB" localSheetId="4">#REF!</definedName>
    <definedName name="ﾌﾞﾂﾘｭｳB" localSheetId="3">#REF!</definedName>
    <definedName name="ﾌﾞﾂﾘｭｳB" localSheetId="2">#REF!</definedName>
    <definedName name="ﾌﾞﾂﾘｭｳB" localSheetId="5">#REF!</definedName>
    <definedName name="ﾌﾞﾂﾘｭｳB" localSheetId="6">#REF!</definedName>
    <definedName name="ﾌﾞﾂﾘｭｳB" localSheetId="7">#REF!</definedName>
    <definedName name="ﾌﾞﾂﾘｭｳB" localSheetId="8">#REF!</definedName>
    <definedName name="ﾌﾞﾂﾘｭｳB" localSheetId="9">#REF!</definedName>
    <definedName name="ﾌﾞﾂﾘｭｳB" localSheetId="10">#REF!</definedName>
    <definedName name="ﾌﾞﾂﾘｭｳB" localSheetId="11">#REF!</definedName>
    <definedName name="ﾌﾞﾂﾘｭｳB">#REF!</definedName>
    <definedName name="ﾌﾞﾂﾘｭｳU" localSheetId="4">#REF!</definedName>
    <definedName name="ﾌﾞﾂﾘｭｳU" localSheetId="3">#REF!</definedName>
    <definedName name="ﾌﾞﾂﾘｭｳU" localSheetId="2">#REF!</definedName>
    <definedName name="ﾌﾞﾂﾘｭｳU" localSheetId="5">#REF!</definedName>
    <definedName name="ﾌﾞﾂﾘｭｳU" localSheetId="6">#REF!</definedName>
    <definedName name="ﾌﾞﾂﾘｭｳU" localSheetId="7">#REF!</definedName>
    <definedName name="ﾌﾞﾂﾘｭｳU" localSheetId="8">#REF!</definedName>
    <definedName name="ﾌﾞﾂﾘｭｳU" localSheetId="9">#REF!</definedName>
    <definedName name="ﾌﾞﾂﾘｭｳU" localSheetId="10">#REF!</definedName>
    <definedName name="ﾌﾞﾂﾘｭｳU" localSheetId="11">#REF!</definedName>
    <definedName name="ﾌﾞﾂﾘｭｳU">#REF!</definedName>
    <definedName name="ﾛｳﾑﾋB" localSheetId="4">#REF!</definedName>
    <definedName name="ﾛｳﾑﾋB" localSheetId="3">#REF!</definedName>
    <definedName name="ﾛｳﾑﾋB" localSheetId="2">#REF!</definedName>
    <definedName name="ﾛｳﾑﾋB" localSheetId="5">#REF!</definedName>
    <definedName name="ﾛｳﾑﾋB" localSheetId="6">#REF!</definedName>
    <definedName name="ﾛｳﾑﾋB" localSheetId="7">#REF!</definedName>
    <definedName name="ﾛｳﾑﾋB" localSheetId="8">#REF!</definedName>
    <definedName name="ﾛｳﾑﾋB" localSheetId="9">#REF!</definedName>
    <definedName name="ﾛｳﾑﾋB" localSheetId="10">#REF!</definedName>
    <definedName name="ﾛｳﾑﾋB" localSheetId="11">#REF!</definedName>
    <definedName name="ﾛｳﾑﾋB">#REF!</definedName>
    <definedName name="ﾛｳﾑﾋU" localSheetId="4">#REF!</definedName>
    <definedName name="ﾛｳﾑﾋU" localSheetId="3">#REF!</definedName>
    <definedName name="ﾛｳﾑﾋU" localSheetId="2">#REF!</definedName>
    <definedName name="ﾛｳﾑﾋU" localSheetId="5">#REF!</definedName>
    <definedName name="ﾛｳﾑﾋU" localSheetId="6">#REF!</definedName>
    <definedName name="ﾛｳﾑﾋU" localSheetId="7">#REF!</definedName>
    <definedName name="ﾛｳﾑﾋU" localSheetId="8">#REF!</definedName>
    <definedName name="ﾛｳﾑﾋU" localSheetId="9">#REF!</definedName>
    <definedName name="ﾛｳﾑﾋU" localSheetId="10">#REF!</definedName>
    <definedName name="ﾛｳﾑﾋU" localSheetId="11">#REF!</definedName>
    <definedName name="ﾛｳﾑﾋU">#REF!</definedName>
    <definedName name="เดฟเ" localSheetId="4">#REF!</definedName>
    <definedName name="เดฟเ" localSheetId="3">#REF!</definedName>
    <definedName name="เดฟเ" localSheetId="2">#REF!</definedName>
    <definedName name="เดฟเ" localSheetId="5">#REF!</definedName>
    <definedName name="เดฟเ" localSheetId="6">#REF!</definedName>
    <definedName name="เดฟเ" localSheetId="7">#REF!</definedName>
    <definedName name="เดฟเ" localSheetId="8">#REF!</definedName>
    <definedName name="เดฟเ" localSheetId="9">#REF!</definedName>
    <definedName name="เดฟเ" localSheetId="10">#REF!</definedName>
    <definedName name="เดฟเ" localSheetId="11">#REF!</definedName>
    <definedName name="เดฟเ">#REF!</definedName>
    <definedName name="กกกก" localSheetId="4">[37]Spec!$B$48:$F$50</definedName>
    <definedName name="กกกก" localSheetId="3">[37]Spec!$B$48:$F$50</definedName>
    <definedName name="กกกก" localSheetId="2">[37]Spec!$B$48:$F$50</definedName>
    <definedName name="กกกก" localSheetId="5">[37]Spec!$B$48:$F$50</definedName>
    <definedName name="กกกก" localSheetId="6">[37]Spec!$B$48:$F$50</definedName>
    <definedName name="กกกก" localSheetId="7">[37]Spec!$B$48:$F$50</definedName>
    <definedName name="กกกก" localSheetId="8">[37]Spec!$B$48:$F$50</definedName>
    <definedName name="กกกก" localSheetId="9">[37]Spec!$B$48:$F$50</definedName>
    <definedName name="กกกก" localSheetId="10">[22]Spec!$B$48:$F$50</definedName>
    <definedName name="กกกก">[29]Spec!$B$48:$F$50</definedName>
    <definedName name="ดกฟด" localSheetId="4" hidden="1">{#N/A,#N/A,FALSE,"Signature Page";#N/A,#N/A,FALSE,"Revision Summary";#N/A,#N/A,FALSE,"PROCESS FLOW";#N/A,#N/A,FALSE,"FMEA Worksheet"}</definedName>
    <definedName name="ดกฟด" localSheetId="3" hidden="1">{#N/A,#N/A,FALSE,"Signature Page";#N/A,#N/A,FALSE,"Revision Summary";#N/A,#N/A,FALSE,"PROCESS FLOW";#N/A,#N/A,FALSE,"FMEA Worksheet"}</definedName>
    <definedName name="ดกฟด" localSheetId="2" hidden="1">{#N/A,#N/A,FALSE,"Signature Page";#N/A,#N/A,FALSE,"Revision Summary";#N/A,#N/A,FALSE,"PROCESS FLOW";#N/A,#N/A,FALSE,"FMEA Worksheet"}</definedName>
    <definedName name="ดกฟด" localSheetId="8" hidden="1">{#N/A,#N/A,FALSE,"Signature Page";#N/A,#N/A,FALSE,"Revision Summary";#N/A,#N/A,FALSE,"PROCESS FLOW";#N/A,#N/A,FALSE,"FMEA Worksheet"}</definedName>
    <definedName name="ดกฟด" localSheetId="9" hidden="1">{#N/A,#N/A,FALSE,"Signature Page";#N/A,#N/A,FALSE,"Revision Summary";#N/A,#N/A,FALSE,"PROCESS FLOW";#N/A,#N/A,FALSE,"FMEA Worksheet"}</definedName>
    <definedName name="ดกฟด" localSheetId="10" hidden="1">{#N/A,#N/A,FALSE,"Signature Page";#N/A,#N/A,FALSE,"Revision Summary";#N/A,#N/A,FALSE,"PROCESS FLOW";#N/A,#N/A,FALSE,"FMEA Worksheet"}</definedName>
    <definedName name="ดกฟด" hidden="1">{#N/A,#N/A,FALSE,"Signature Page";#N/A,#N/A,FALSE,"Revision Summary";#N/A,#N/A,FALSE,"PROCESS FLOW";#N/A,#N/A,FALSE,"FMEA Worksheet"}</definedName>
    <definedName name="หดเห" localSheetId="4" hidden="1">{#N/A,#N/A,TRUE,"Out-Month "}</definedName>
    <definedName name="หดเห" localSheetId="3" hidden="1">{#N/A,#N/A,TRUE,"Out-Month "}</definedName>
    <definedName name="หดเห" localSheetId="2" hidden="1">{#N/A,#N/A,TRUE,"Out-Month "}</definedName>
    <definedName name="หดเห" localSheetId="8" hidden="1">{#N/A,#N/A,TRUE,"Out-Month "}</definedName>
    <definedName name="หดเห" localSheetId="9" hidden="1">{#N/A,#N/A,TRUE,"Out-Month "}</definedName>
    <definedName name="หดเห" localSheetId="10" hidden="1">{#N/A,#N/A,TRUE,"Out-Month "}</definedName>
    <definedName name="หดเห" hidden="1">{#N/A,#N/A,TRUE,"Out-Month "}</definedName>
    <definedName name="阿" localSheetId="4">#REF!</definedName>
    <definedName name="阿" localSheetId="3">#REF!</definedName>
    <definedName name="阿" localSheetId="2">#REF!</definedName>
    <definedName name="阿" localSheetId="5">#REF!</definedName>
    <definedName name="阿" localSheetId="6">#REF!</definedName>
    <definedName name="阿" localSheetId="7">#REF!</definedName>
    <definedName name="阿" localSheetId="8">#REF!</definedName>
    <definedName name="阿" localSheetId="9">#REF!</definedName>
    <definedName name="阿" localSheetId="10">#REF!</definedName>
    <definedName name="阿" localSheetId="11">#REF!</definedName>
    <definedName name="阿">#REF!</definedName>
    <definedName name="啊啊啊" localSheetId="4" hidden="1">{#N/A,#N/A,TRUE,"Distribution";#N/A,#N/A,TRUE,"Fulfillment";#N/A,#N/A,TRUE,"Aged Backorders"}</definedName>
    <definedName name="啊啊啊" localSheetId="3" hidden="1">{#N/A,#N/A,TRUE,"Distribution";#N/A,#N/A,TRUE,"Fulfillment";#N/A,#N/A,TRUE,"Aged Backorders"}</definedName>
    <definedName name="啊啊啊" localSheetId="2" hidden="1">{#N/A,#N/A,TRUE,"Distribution";#N/A,#N/A,TRUE,"Fulfillment";#N/A,#N/A,TRUE,"Aged Backorders"}</definedName>
    <definedName name="啊啊啊" localSheetId="8" hidden="1">{#N/A,#N/A,TRUE,"Distribution";#N/A,#N/A,TRUE,"Fulfillment";#N/A,#N/A,TRUE,"Aged Backorders"}</definedName>
    <definedName name="啊啊啊" localSheetId="9" hidden="1">{#N/A,#N/A,TRUE,"Distribution";#N/A,#N/A,TRUE,"Fulfillment";#N/A,#N/A,TRUE,"Aged Backorders"}</definedName>
    <definedName name="啊啊啊" localSheetId="10" hidden="1">{#N/A,#N/A,TRUE,"Distribution";#N/A,#N/A,TRUE,"Fulfillment";#N/A,#N/A,TRUE,"Aged Backorders"}</definedName>
    <definedName name="啊啊啊" hidden="1">{#N/A,#N/A,TRUE,"Distribution";#N/A,#N/A,TRUE,"Fulfillment";#N/A,#N/A,TRUE,"Aged Backorders"}</definedName>
    <definedName name="按照" localSheetId="4">'[66]4 审核发现描述'!#REF!</definedName>
    <definedName name="按照" localSheetId="3">'[66]4 审核发现描述'!#REF!</definedName>
    <definedName name="按照" localSheetId="2">'[66]4 审核发现描述'!#REF!</definedName>
    <definedName name="按照" localSheetId="5">'[66]4 审核发现描述'!#REF!</definedName>
    <definedName name="按照" localSheetId="6">'[66]4 审核发现描述'!#REF!</definedName>
    <definedName name="按照" localSheetId="7">'[66]4 审核发现描述'!#REF!</definedName>
    <definedName name="按照" localSheetId="8">'[8]4 审核发现描述'!#REF!</definedName>
    <definedName name="按照" localSheetId="9">'[8]4 审核发现描述'!#REF!</definedName>
    <definedName name="按照" localSheetId="10">'[6]4 审核发现描述'!#REF!</definedName>
    <definedName name="按照">'[7]4 审核发现描述'!#REF!</definedName>
    <definedName name="暗暗" localSheetId="4">#REF!</definedName>
    <definedName name="暗暗" localSheetId="3">#REF!</definedName>
    <definedName name="暗暗" localSheetId="2">#REF!</definedName>
    <definedName name="暗暗" localSheetId="5">#REF!</definedName>
    <definedName name="暗暗" localSheetId="6">#REF!</definedName>
    <definedName name="暗暗" localSheetId="7">#REF!</definedName>
    <definedName name="暗暗" localSheetId="8">#REF!</definedName>
    <definedName name="暗暗" localSheetId="9">#REF!</definedName>
    <definedName name="暗暗" localSheetId="10">#REF!</definedName>
    <definedName name="暗暗" localSheetId="11">#REF!</definedName>
    <definedName name="暗暗">#REF!</definedName>
    <definedName name="凹陷" localSheetId="4">#REF!</definedName>
    <definedName name="凹陷" localSheetId="3">#REF!</definedName>
    <definedName name="凹陷" localSheetId="2">#REF!</definedName>
    <definedName name="凹陷" localSheetId="5">#REF!</definedName>
    <definedName name="凹陷" localSheetId="6">#REF!</definedName>
    <definedName name="凹陷" localSheetId="7">#REF!</definedName>
    <definedName name="凹陷" localSheetId="8">#REF!</definedName>
    <definedName name="凹陷" localSheetId="9">#REF!</definedName>
    <definedName name="凹陷" localSheetId="10">#REF!</definedName>
    <definedName name="凹陷" localSheetId="11">#REF!</definedName>
    <definedName name="凹陷">#REF!</definedName>
    <definedName name="板厚database" localSheetId="4">#REF!</definedName>
    <definedName name="板厚database" localSheetId="3">#REF!</definedName>
    <definedName name="板厚database" localSheetId="2">#REF!</definedName>
    <definedName name="板厚database" localSheetId="5">#REF!</definedName>
    <definedName name="板厚database" localSheetId="6">#REF!</definedName>
    <definedName name="板厚database" localSheetId="7">#REF!</definedName>
    <definedName name="板厚database" localSheetId="8">#REF!</definedName>
    <definedName name="板厚database" localSheetId="9">#REF!</definedName>
    <definedName name="板厚database" localSheetId="10">#REF!</definedName>
    <definedName name="板厚database" localSheetId="11">#REF!</definedName>
    <definedName name="板厚database">#REF!</definedName>
    <definedName name="板厚databaseei" localSheetId="4">#REF!</definedName>
    <definedName name="板厚databaseei" localSheetId="3">#REF!</definedName>
    <definedName name="板厚databaseei" localSheetId="2">#REF!</definedName>
    <definedName name="板厚databaseei" localSheetId="5">#REF!</definedName>
    <definedName name="板厚databaseei" localSheetId="6">#REF!</definedName>
    <definedName name="板厚databaseei" localSheetId="7">#REF!</definedName>
    <definedName name="板厚databaseei" localSheetId="8">#REF!</definedName>
    <definedName name="板厚databaseei" localSheetId="9">#REF!</definedName>
    <definedName name="板厚databaseei" localSheetId="10">#REF!</definedName>
    <definedName name="板厚databaseei" localSheetId="11">#REF!</definedName>
    <definedName name="板厚databaseei">#REF!</definedName>
    <definedName name="办公用集装箱数量" localSheetId="10">'[35]01_宏命令库'!$F$44</definedName>
    <definedName name="办公用集装箱数量">'[58]01_宏命令库'!$F$44</definedName>
    <definedName name="办公用集装箱月数" localSheetId="10">'[35]01_宏命令库'!$F$46</definedName>
    <definedName name="办公用集装箱月数">'[58]01_宏命令库'!$F$46</definedName>
    <definedName name="备件比例" localSheetId="10">'[35]01_宏命令库'!$F$58</definedName>
    <definedName name="备件比例">'[58]01_宏命令库'!$F$58</definedName>
    <definedName name="标准化">[114]改善路径!#REF!</definedName>
    <definedName name="表名">"Dummy"</definedName>
    <definedName name="冰箱" localSheetId="4">#REF!</definedName>
    <definedName name="冰箱" localSheetId="3">#REF!</definedName>
    <definedName name="冰箱" localSheetId="2">#REF!</definedName>
    <definedName name="冰箱" localSheetId="5">#REF!</definedName>
    <definedName name="冰箱" localSheetId="6">#REF!</definedName>
    <definedName name="冰箱" localSheetId="7">#REF!</definedName>
    <definedName name="冰箱" localSheetId="8">#REF!</definedName>
    <definedName name="冰箱" localSheetId="9">#REF!</definedName>
    <definedName name="冰箱" localSheetId="10">#REF!</definedName>
    <definedName name="冰箱" localSheetId="11">#REF!</definedName>
    <definedName name="冰箱">#REF!</definedName>
    <definedName name="材料名称">[63]自制件材料价格!$A$4:$A$19</definedName>
    <definedName name="采购订单序时簿" localSheetId="4">#REF!</definedName>
    <definedName name="采购订单序时簿" localSheetId="3">#REF!</definedName>
    <definedName name="采购订单序时簿" localSheetId="2">#REF!</definedName>
    <definedName name="采购订单序时簿" localSheetId="5">#REF!</definedName>
    <definedName name="采购订单序时簿" localSheetId="6">#REF!</definedName>
    <definedName name="采购订单序时簿" localSheetId="7">#REF!</definedName>
    <definedName name="采购订单序时簿" localSheetId="8">#REF!</definedName>
    <definedName name="采购订单序时簿" localSheetId="9">#REF!</definedName>
    <definedName name="采购订单序时簿" localSheetId="10">#REF!</definedName>
    <definedName name="采购订单序时簿" localSheetId="11">#REF!</definedName>
    <definedName name="采购订单序时簿">#REF!</definedName>
    <definedName name="策略11111" localSheetId="4">#REF!</definedName>
    <definedName name="策略11111" localSheetId="3">#REF!</definedName>
    <definedName name="策略11111" localSheetId="2">#REF!</definedName>
    <definedName name="策略11111" localSheetId="5">#REF!</definedName>
    <definedName name="策略11111" localSheetId="6">#REF!</definedName>
    <definedName name="策略11111" localSheetId="7">#REF!</definedName>
    <definedName name="策略11111" localSheetId="8">#REF!</definedName>
    <definedName name="策略11111" localSheetId="9">#REF!</definedName>
    <definedName name="策略11111" localSheetId="10">#REF!</definedName>
    <definedName name="策略11111" localSheetId="11">#REF!</definedName>
    <definedName name="策略11111">#REF!</definedName>
    <definedName name="策略1234" localSheetId="4">#REF!</definedName>
    <definedName name="策略1234" localSheetId="3">#REF!</definedName>
    <definedName name="策略1234" localSheetId="2">#REF!</definedName>
    <definedName name="策略1234" localSheetId="5">#REF!</definedName>
    <definedName name="策略1234" localSheetId="6">#REF!</definedName>
    <definedName name="策略1234" localSheetId="7">#REF!</definedName>
    <definedName name="策略1234" localSheetId="8">#REF!</definedName>
    <definedName name="策略1234" localSheetId="9">#REF!</definedName>
    <definedName name="策略1234" localSheetId="10">#REF!</definedName>
    <definedName name="策略1234" localSheetId="11">#REF!</definedName>
    <definedName name="策略1234">#REF!</definedName>
    <definedName name="叉车租赁天数" localSheetId="10">'[35]01_宏命令库'!$F$36</definedName>
    <definedName name="叉车租赁天数">'[58]01_宏命令库'!$F$36</definedName>
    <definedName name="구분">#N/A</definedName>
    <definedName name="产品来源1" localSheetId="4">#REF!</definedName>
    <definedName name="产品来源1" localSheetId="3">#REF!</definedName>
    <definedName name="产品来源1" localSheetId="2">#REF!</definedName>
    <definedName name="产品来源1" localSheetId="5">#REF!</definedName>
    <definedName name="产品来源1" localSheetId="6">#REF!</definedName>
    <definedName name="产品来源1" localSheetId="7">#REF!</definedName>
    <definedName name="产品来源1" localSheetId="8">#REF!</definedName>
    <definedName name="产品来源1" localSheetId="9">#REF!</definedName>
    <definedName name="产品来源1" localSheetId="10">#REF!</definedName>
    <definedName name="产品来源1" localSheetId="11">#REF!</definedName>
    <definedName name="产品来源1">#REF!</definedName>
    <definedName name="产业线">[115]Sheet3!$A$1:$IV$1</definedName>
    <definedName name="成本2" localSheetId="4">'[66]4 审核发现描述'!#REF!</definedName>
    <definedName name="成本2" localSheetId="3">'[66]4 审核发现描述'!#REF!</definedName>
    <definedName name="成本2" localSheetId="2">'[66]4 审核发现描述'!#REF!</definedName>
    <definedName name="成本2" localSheetId="5">'[66]4 审核发现描述'!#REF!</definedName>
    <definedName name="成本2" localSheetId="6">'[66]4 审核发现描述'!#REF!</definedName>
    <definedName name="成本2" localSheetId="7">'[66]4 审核发现描述'!#REF!</definedName>
    <definedName name="成本2" localSheetId="8">'[8]4 审核发现描述'!#REF!</definedName>
    <definedName name="成本2" localSheetId="9">'[8]4 审核发现描述'!#REF!</definedName>
    <definedName name="成本2" localSheetId="10">'[6]4 审核发现描述'!#REF!</definedName>
    <definedName name="成本2">'[7]4 审核发现描述'!#REF!</definedName>
    <definedName name="成本21" localSheetId="4">'[66]4 审核发现描述'!#REF!</definedName>
    <definedName name="成本21" localSheetId="3">'[66]4 审核发现描述'!#REF!</definedName>
    <definedName name="成本21" localSheetId="2">'[66]4 审核发现描述'!#REF!</definedName>
    <definedName name="成本21" localSheetId="5">'[66]4 审核发现描述'!#REF!</definedName>
    <definedName name="成本21" localSheetId="6">'[66]4 审核发现描述'!#REF!</definedName>
    <definedName name="成本21" localSheetId="7">'[66]4 审核发现描述'!#REF!</definedName>
    <definedName name="成本21" localSheetId="8">'[8]4 审核发现描述'!#REF!</definedName>
    <definedName name="成本21" localSheetId="9">'[8]4 审核发现描述'!#REF!</definedName>
    <definedName name="成本21" localSheetId="10">'[6]4 审核发现描述'!#REF!</definedName>
    <definedName name="成本21">'[7]4 审核发现描述'!#REF!</definedName>
    <definedName name="급수" localSheetId="4">#REF!</definedName>
    <definedName name="급수" localSheetId="3">#REF!</definedName>
    <definedName name="급수" localSheetId="2">#REF!</definedName>
    <definedName name="급수" localSheetId="5">#REF!</definedName>
    <definedName name="급수" localSheetId="6">#REF!</definedName>
    <definedName name="급수" localSheetId="7">#REF!</definedName>
    <definedName name="급수" localSheetId="8">#REF!</definedName>
    <definedName name="급수" localSheetId="9">#REF!</definedName>
    <definedName name="급수" localSheetId="10">#REF!</definedName>
    <definedName name="급수" localSheetId="11">#REF!</definedName>
    <definedName name="급수">#REF!</definedName>
    <definedName name="기타계">#N/A</definedName>
    <definedName name="기타무료">#N/A</definedName>
    <definedName name="기타유료">#N/A</definedName>
    <definedName name="大多数">[63]XL4Poppy!$A$15</definedName>
    <definedName name="大连空调" localSheetId="4">#REF!</definedName>
    <definedName name="大连空调" localSheetId="3">#REF!</definedName>
    <definedName name="大连空调" localSheetId="2">#REF!</definedName>
    <definedName name="大连空调" localSheetId="5">#REF!</definedName>
    <definedName name="大连空调" localSheetId="6">#REF!</definedName>
    <definedName name="大连空调" localSheetId="7">#REF!</definedName>
    <definedName name="大连空调" localSheetId="8">#REF!</definedName>
    <definedName name="大连空调" localSheetId="9">#REF!</definedName>
    <definedName name="大连空调" localSheetId="10">#REF!</definedName>
    <definedName name="大连空调" localSheetId="11">#REF!</definedName>
    <definedName name="大连空调">#REF!</definedName>
    <definedName name="单车运输价格" localSheetId="10">'[35]01_宏命令库'!$F$34</definedName>
    <definedName name="单车运输价格">'[58]01_宏命令库'!$F$34</definedName>
    <definedName name="的" localSheetId="4">#REF!</definedName>
    <definedName name="的" localSheetId="3">#REF!</definedName>
    <definedName name="的" localSheetId="2">#REF!</definedName>
    <definedName name="的" localSheetId="5">#REF!</definedName>
    <definedName name="的" localSheetId="6">#REF!</definedName>
    <definedName name="的" localSheetId="7">#REF!</definedName>
    <definedName name="的" localSheetId="8">#REF!</definedName>
    <definedName name="的" localSheetId="9">#REF!</definedName>
    <definedName name="的" localSheetId="10">#REF!</definedName>
    <definedName name="的" localSheetId="11">#REF!</definedName>
    <definedName name="的">#REF!</definedName>
    <definedName name="的输入法" localSheetId="4">#REF!</definedName>
    <definedName name="的输入法" localSheetId="3">#REF!</definedName>
    <definedName name="的输入法" localSheetId="2">#REF!</definedName>
    <definedName name="的输入法" localSheetId="5">#REF!</definedName>
    <definedName name="的输入法" localSheetId="6">#REF!</definedName>
    <definedName name="的输入法" localSheetId="7">#REF!</definedName>
    <definedName name="的输入法" localSheetId="8">#REF!</definedName>
    <definedName name="的输入法" localSheetId="9">#REF!</definedName>
    <definedName name="的输入法" localSheetId="10">#REF!</definedName>
    <definedName name="的输入法" localSheetId="11">#REF!</definedName>
    <definedName name="的输入法">#REF!</definedName>
    <definedName name="电厨" localSheetId="4">#REF!</definedName>
    <definedName name="电厨" localSheetId="3">#REF!</definedName>
    <definedName name="电厨" localSheetId="2">#REF!</definedName>
    <definedName name="电厨" localSheetId="5">#REF!</definedName>
    <definedName name="电厨" localSheetId="6">#REF!</definedName>
    <definedName name="电厨" localSheetId="7">#REF!</definedName>
    <definedName name="电厨" localSheetId="8">#REF!</definedName>
    <definedName name="电厨" localSheetId="9">#REF!</definedName>
    <definedName name="电厨" localSheetId="10">#REF!</definedName>
    <definedName name="电厨" localSheetId="11">#REF!</definedName>
    <definedName name="电厨">#REF!</definedName>
    <definedName name="电商新机会" localSheetId="4">#REF!</definedName>
    <definedName name="电商新机会" localSheetId="3">#REF!</definedName>
    <definedName name="电商新机会" localSheetId="2">#REF!</definedName>
    <definedName name="电商新机会" localSheetId="5">#REF!</definedName>
    <definedName name="电商新机会" localSheetId="6">#REF!</definedName>
    <definedName name="电商新机会" localSheetId="7">#REF!</definedName>
    <definedName name="电商新机会" localSheetId="8">#REF!</definedName>
    <definedName name="电商新机会" localSheetId="9">#REF!</definedName>
    <definedName name="电商新机会" localSheetId="10">#REF!</definedName>
    <definedName name="电商新机会" localSheetId="11">#REF!</definedName>
    <definedName name="电商新机会">#REF!</definedName>
    <definedName name="吊车租赁天数" localSheetId="10">'[35]01_宏命令库'!$F$38</definedName>
    <definedName name="吊车租赁天数">'[58]01_宏命令库'!$F$38</definedName>
    <definedName name="定单" localSheetId="4">#REF!</definedName>
    <definedName name="定单" localSheetId="3">#REF!</definedName>
    <definedName name="定单" localSheetId="2">#REF!</definedName>
    <definedName name="定单" localSheetId="5">#REF!</definedName>
    <definedName name="定单" localSheetId="6">#REF!</definedName>
    <definedName name="定单" localSheetId="7">#REF!</definedName>
    <definedName name="定单" localSheetId="8">#REF!</definedName>
    <definedName name="定单" localSheetId="9">#REF!</definedName>
    <definedName name="定单" localSheetId="10">#REF!</definedName>
    <definedName name="定单" localSheetId="11">#REF!</definedName>
    <definedName name="定单">#REF!</definedName>
    <definedName name="対策">[101]Tﾁｬｰﾄ!$N$18:$U$18</definedName>
    <definedName name="呃呃呃" localSheetId="4">#REF!</definedName>
    <definedName name="呃呃呃" localSheetId="3">#REF!</definedName>
    <definedName name="呃呃呃" localSheetId="2">#REF!</definedName>
    <definedName name="呃呃呃" localSheetId="5">#REF!</definedName>
    <definedName name="呃呃呃" localSheetId="6">#REF!</definedName>
    <definedName name="呃呃呃" localSheetId="7">#REF!</definedName>
    <definedName name="呃呃呃" localSheetId="8">#REF!</definedName>
    <definedName name="呃呃呃" localSheetId="9">#REF!</definedName>
    <definedName name="呃呃呃" localSheetId="10">#REF!</definedName>
    <definedName name="呃呃呃" localSheetId="11">#REF!</definedName>
    <definedName name="呃呃呃">#REF!</definedName>
    <definedName name="二" localSheetId="4">#REF!</definedName>
    <definedName name="二" localSheetId="3">#REF!</definedName>
    <definedName name="二" localSheetId="2">#REF!</definedName>
    <definedName name="二" localSheetId="5">#REF!</definedName>
    <definedName name="二" localSheetId="6">#REF!</definedName>
    <definedName name="二" localSheetId="7">#REF!</definedName>
    <definedName name="二" localSheetId="8">#REF!</definedName>
    <definedName name="二" localSheetId="9">#REF!</definedName>
    <definedName name="二" localSheetId="10">#REF!</definedName>
    <definedName name="二" localSheetId="11">#REF!</definedName>
    <definedName name="二">#REF!</definedName>
    <definedName name="二级计划执行1" localSheetId="4" hidden="1">{#N/A,#N/A,TRUE,"Distribution";#N/A,#N/A,TRUE,"Fulfillment";#N/A,#N/A,TRUE,"Aged Backorders"}</definedName>
    <definedName name="二级计划执行1" localSheetId="3" hidden="1">{#N/A,#N/A,TRUE,"Distribution";#N/A,#N/A,TRUE,"Fulfillment";#N/A,#N/A,TRUE,"Aged Backorders"}</definedName>
    <definedName name="二级计划执行1" localSheetId="2" hidden="1">{#N/A,#N/A,TRUE,"Distribution";#N/A,#N/A,TRUE,"Fulfillment";#N/A,#N/A,TRUE,"Aged Backorders"}</definedName>
    <definedName name="二级计划执行1" localSheetId="8" hidden="1">{#N/A,#N/A,TRUE,"Distribution";#N/A,#N/A,TRUE,"Fulfillment";#N/A,#N/A,TRUE,"Aged Backorders"}</definedName>
    <definedName name="二级计划执行1" localSheetId="9" hidden="1">{#N/A,#N/A,TRUE,"Distribution";#N/A,#N/A,TRUE,"Fulfillment";#N/A,#N/A,TRUE,"Aged Backorders"}</definedName>
    <definedName name="二级计划执行1" localSheetId="10" hidden="1">{#N/A,#N/A,TRUE,"Distribution";#N/A,#N/A,TRUE,"Fulfillment";#N/A,#N/A,TRUE,"Aged Backorders"}</definedName>
    <definedName name="二级计划执行1" hidden="1">{#N/A,#N/A,TRUE,"Distribution";#N/A,#N/A,TRUE,"Fulfillment";#N/A,#N/A,TRUE,"Aged Backorders"}</definedName>
    <definedName name="反面泛用機著裝零件" localSheetId="4">#REF!</definedName>
    <definedName name="反面泛用機著裝零件" localSheetId="3">#REF!</definedName>
    <definedName name="反面泛用機著裝零件" localSheetId="2">#REF!</definedName>
    <definedName name="反面泛用機著裝零件" localSheetId="5">#REF!</definedName>
    <definedName name="反面泛用機著裝零件" localSheetId="6">#REF!</definedName>
    <definedName name="反面泛用機著裝零件" localSheetId="7">#REF!</definedName>
    <definedName name="反面泛用機著裝零件" localSheetId="8">#REF!</definedName>
    <definedName name="反面泛用機著裝零件" localSheetId="9">#REF!</definedName>
    <definedName name="反面泛用機著裝零件" localSheetId="10">#REF!</definedName>
    <definedName name="反面泛用機著裝零件" localSheetId="11">#REF!</definedName>
    <definedName name="反面泛用機著裝零件">#REF!</definedName>
    <definedName name="返品申告" localSheetId="4">#REF!</definedName>
    <definedName name="返品申告" localSheetId="3">#REF!</definedName>
    <definedName name="返品申告" localSheetId="2">#REF!</definedName>
    <definedName name="返品申告" localSheetId="5">#REF!</definedName>
    <definedName name="返品申告" localSheetId="6">#REF!</definedName>
    <definedName name="返品申告" localSheetId="7">#REF!</definedName>
    <definedName name="返品申告" localSheetId="8">#REF!</definedName>
    <definedName name="返品申告" localSheetId="9">#REF!</definedName>
    <definedName name="返品申告" localSheetId="10">#REF!</definedName>
    <definedName name="返品申告" localSheetId="11">#REF!</definedName>
    <definedName name="返品申告">#REF!</definedName>
    <definedName name="风险金比例" localSheetId="10">'[35]01_宏命令库'!$F$54</definedName>
    <definedName name="风险金比例">'[58]01_宏命令库'!$F$54</definedName>
    <definedName name="个" localSheetId="4">#REF!</definedName>
    <definedName name="个" localSheetId="3">#REF!</definedName>
    <definedName name="个" localSheetId="2">#REF!</definedName>
    <definedName name="个" localSheetId="5">#REF!</definedName>
    <definedName name="个" localSheetId="6">#REF!</definedName>
    <definedName name="个" localSheetId="7">#REF!</definedName>
    <definedName name="个" localSheetId="8">#REF!</definedName>
    <definedName name="个" localSheetId="9">#REF!</definedName>
    <definedName name="个" localSheetId="10">#REF!</definedName>
    <definedName name="个" localSheetId="11">#REF!</definedName>
    <definedName name="个">#REF!</definedName>
    <definedName name="更名" localSheetId="4">#REF!</definedName>
    <definedName name="更名" localSheetId="3">#REF!</definedName>
    <definedName name="更名" localSheetId="2">#REF!</definedName>
    <definedName name="更名" localSheetId="5">#REF!</definedName>
    <definedName name="更名" localSheetId="6">#REF!</definedName>
    <definedName name="更名" localSheetId="7">#REF!</definedName>
    <definedName name="更名" localSheetId="8">#REF!</definedName>
    <definedName name="更名" localSheetId="9">#REF!</definedName>
    <definedName name="更名" localSheetId="10">#REF!</definedName>
    <definedName name="更名" localSheetId="11">#REF!</definedName>
    <definedName name="更名">#REF!</definedName>
    <definedName name="更名2" localSheetId="4">#REF!</definedName>
    <definedName name="更名2" localSheetId="3">#REF!</definedName>
    <definedName name="更名2" localSheetId="2">#REF!</definedName>
    <definedName name="更名2" localSheetId="5">#REF!</definedName>
    <definedName name="更名2" localSheetId="6">#REF!</definedName>
    <definedName name="更名2" localSheetId="7">#REF!</definedName>
    <definedName name="更名2" localSheetId="8">#REF!</definedName>
    <definedName name="更名2" localSheetId="9">#REF!</definedName>
    <definedName name="更名2" localSheetId="10">#REF!</definedName>
    <definedName name="更名2" localSheetId="11">#REF!</definedName>
    <definedName name="更名2">#REF!</definedName>
    <definedName name="工程">"工程客单"</definedName>
    <definedName name="工程不良" localSheetId="4">'[66]4 审核发现描述'!#REF!</definedName>
    <definedName name="工程不良" localSheetId="3">'[66]4 审核发现描述'!#REF!</definedName>
    <definedName name="工程不良" localSheetId="2">'[66]4 审核发现描述'!#REF!</definedName>
    <definedName name="工程不良" localSheetId="5">'[66]4 审核发现描述'!#REF!</definedName>
    <definedName name="工程不良" localSheetId="6">'[66]4 审核发现描述'!#REF!</definedName>
    <definedName name="工程不良" localSheetId="7">'[66]4 审核发现描述'!#REF!</definedName>
    <definedName name="工程不良" localSheetId="8">'[8]4 审核发现描述'!#REF!</definedName>
    <definedName name="工程不良" localSheetId="9">'[8]4 审核发现描述'!#REF!</definedName>
    <definedName name="工程不良" localSheetId="10">'[6]4 审核发现描述'!#REF!</definedName>
    <definedName name="工程不良">'[7]4 审核发现描述'!#REF!</definedName>
    <definedName name="工程不良11.17_B9" localSheetId="4">#REF!</definedName>
    <definedName name="工程不良11.17_B9" localSheetId="3">#REF!</definedName>
    <definedName name="工程不良11.17_B9" localSheetId="2">#REF!</definedName>
    <definedName name="工程不良11.17_B9" localSheetId="5">#REF!</definedName>
    <definedName name="工程不良11.17_B9" localSheetId="6">#REF!</definedName>
    <definedName name="工程不良11.17_B9" localSheetId="7">#REF!</definedName>
    <definedName name="工程不良11.17_B9" localSheetId="8">#REF!</definedName>
    <definedName name="工程不良11.17_B9" localSheetId="9">#REF!</definedName>
    <definedName name="工程不良11.17_B9" localSheetId="10">#REF!</definedName>
    <definedName name="工程不良11.17_B9" localSheetId="11">#REF!</definedName>
    <definedName name="工程不良11.17_B9">#REF!</definedName>
    <definedName name="工程不良技改台账">[116]未闭环!#REF!</definedName>
    <definedName name="工作" localSheetId="4">#REF!</definedName>
    <definedName name="工作" localSheetId="3">#REF!</definedName>
    <definedName name="工作" localSheetId="2">#REF!</definedName>
    <definedName name="工作" localSheetId="5">#REF!</definedName>
    <definedName name="工作" localSheetId="6">#REF!</definedName>
    <definedName name="工作" localSheetId="7">#REF!</definedName>
    <definedName name="工作" localSheetId="8">#REF!</definedName>
    <definedName name="工作" localSheetId="9">#REF!</definedName>
    <definedName name="工作" localSheetId="10">#REF!</definedName>
    <definedName name="工作" localSheetId="11">#REF!</definedName>
    <definedName name="工作">#REF!</definedName>
    <definedName name="古" localSheetId="4">#REF!</definedName>
    <definedName name="古" localSheetId="3">#REF!</definedName>
    <definedName name="古" localSheetId="2">#REF!</definedName>
    <definedName name="古" localSheetId="5">#REF!</definedName>
    <definedName name="古" localSheetId="6">#REF!</definedName>
    <definedName name="古" localSheetId="7">#REF!</definedName>
    <definedName name="古" localSheetId="8">#REF!</definedName>
    <definedName name="古" localSheetId="9">#REF!</definedName>
    <definedName name="古" localSheetId="10">#REF!</definedName>
    <definedName name="古" localSheetId="11">#REF!</definedName>
    <definedName name="古">#REF!</definedName>
    <definedName name="関連ファイル読込">[113]!関連ファイル読込</definedName>
    <definedName name="贵州" localSheetId="4">#REF!</definedName>
    <definedName name="贵州" localSheetId="3">#REF!</definedName>
    <definedName name="贵州" localSheetId="2">#REF!</definedName>
    <definedName name="贵州" localSheetId="5">#REF!</definedName>
    <definedName name="贵州" localSheetId="6">#REF!</definedName>
    <definedName name="贵州" localSheetId="7">#REF!</definedName>
    <definedName name="贵州" localSheetId="8">#REF!</definedName>
    <definedName name="贵州" localSheetId="9">#REF!</definedName>
    <definedName name="贵州" localSheetId="10">#REF!</definedName>
    <definedName name="贵州" localSheetId="11">#REF!</definedName>
    <definedName name="贵州">#REF!</definedName>
    <definedName name="내근계">#N/A</definedName>
    <definedName name="내근무료">#N/A</definedName>
    <definedName name="내근유료">#N/A</definedName>
    <definedName name="国美" localSheetId="4">#REF!</definedName>
    <definedName name="国美" localSheetId="3">#REF!</definedName>
    <definedName name="国美" localSheetId="2">#REF!</definedName>
    <definedName name="国美" localSheetId="5">#REF!</definedName>
    <definedName name="国美" localSheetId="6">#REF!</definedName>
    <definedName name="国美" localSheetId="7">#REF!</definedName>
    <definedName name="国美" localSheetId="8">#REF!</definedName>
    <definedName name="国美" localSheetId="9">#REF!</definedName>
    <definedName name="国美" localSheetId="10">#REF!</definedName>
    <definedName name="国美" localSheetId="11">#REF!</definedName>
    <definedName name="国美">#REF!</definedName>
    <definedName name="海尔CCT_青岛_通讯有限公司" localSheetId="4">#REF!</definedName>
    <definedName name="海尔CCT_青岛_通讯有限公司" localSheetId="3">#REF!</definedName>
    <definedName name="海尔CCT_青岛_通讯有限公司" localSheetId="2">#REF!</definedName>
    <definedName name="海尔CCT_青岛_通讯有限公司" localSheetId="5">#REF!</definedName>
    <definedName name="海尔CCT_青岛_通讯有限公司" localSheetId="6">#REF!</definedName>
    <definedName name="海尔CCT_青岛_通讯有限公司" localSheetId="7">#REF!</definedName>
    <definedName name="海尔CCT_青岛_通讯有限公司" localSheetId="8">#REF!</definedName>
    <definedName name="海尔CCT_青岛_通讯有限公司" localSheetId="9">#REF!</definedName>
    <definedName name="海尔CCT_青岛_通讯有限公司" localSheetId="10">#REF!</definedName>
    <definedName name="海尔CCT_青岛_通讯有限公司" localSheetId="11">#REF!</definedName>
    <definedName name="海尔CCT_青岛_通讯有限公司">#REF!</definedName>
    <definedName name="海尔通讯产品2005_1到2005_7经营费用工贸费用预算完成总结汇总" localSheetId="4">#REF!</definedName>
    <definedName name="海尔通讯产品2005_1到2005_7经营费用工贸费用预算完成总结汇总" localSheetId="3">#REF!</definedName>
    <definedName name="海尔通讯产品2005_1到2005_7经营费用工贸费用预算完成总结汇总" localSheetId="2">#REF!</definedName>
    <definedName name="海尔通讯产品2005_1到2005_7经营费用工贸费用预算完成总结汇总" localSheetId="5">#REF!</definedName>
    <definedName name="海尔通讯产品2005_1到2005_7经营费用工贸费用预算完成总结汇总" localSheetId="6">#REF!</definedName>
    <definedName name="海尔通讯产品2005_1到2005_7经营费用工贸费用预算完成总结汇总" localSheetId="7">#REF!</definedName>
    <definedName name="海尔通讯产品2005_1到2005_7经营费用工贸费用预算完成总结汇总" localSheetId="8">#REF!</definedName>
    <definedName name="海尔通讯产品2005_1到2005_7经营费用工贸费用预算完成总结汇总" localSheetId="9">#REF!</definedName>
    <definedName name="海尔通讯产品2005_1到2005_7经营费用工贸费用预算完成总结汇总" localSheetId="10">#REF!</definedName>
    <definedName name="海尔通讯产品2005_1到2005_7经营费用工贸费用预算完成总结汇总" localSheetId="11">#REF!</definedName>
    <definedName name="海尔通讯产品2005_1到2005_7经营费用工贸费用预算完成总结汇总">#REF!</definedName>
    <definedName name="合肥" localSheetId="4">#REF!</definedName>
    <definedName name="合肥" localSheetId="3">#REF!</definedName>
    <definedName name="合肥" localSheetId="2">#REF!</definedName>
    <definedName name="合肥" localSheetId="5">#REF!</definedName>
    <definedName name="合肥" localSheetId="6">#REF!</definedName>
    <definedName name="合肥" localSheetId="7">#REF!</definedName>
    <definedName name="合肥" localSheetId="8">#REF!</definedName>
    <definedName name="合肥" localSheetId="9">#REF!</definedName>
    <definedName name="合肥" localSheetId="10">#REF!</definedName>
    <definedName name="合肥" localSheetId="11">#REF!</definedName>
    <definedName name="合肥">#REF!</definedName>
    <definedName name="合肥波轮" localSheetId="4">#REF!</definedName>
    <definedName name="合肥波轮" localSheetId="3">#REF!</definedName>
    <definedName name="合肥波轮" localSheetId="2">#REF!</definedName>
    <definedName name="合肥波轮" localSheetId="5">#REF!</definedName>
    <definedName name="合肥波轮" localSheetId="6">#REF!</definedName>
    <definedName name="合肥波轮" localSheetId="7">#REF!</definedName>
    <definedName name="合肥波轮" localSheetId="8">#REF!</definedName>
    <definedName name="合肥波轮" localSheetId="9">#REF!</definedName>
    <definedName name="合肥波轮" localSheetId="10">#REF!</definedName>
    <definedName name="合肥波轮" localSheetId="11">#REF!</definedName>
    <definedName name="合肥波轮">#REF!</definedName>
    <definedName name="汇总" localSheetId="4">#REF!</definedName>
    <definedName name="汇总" localSheetId="3">#REF!</definedName>
    <definedName name="汇总" localSheetId="2">#REF!</definedName>
    <definedName name="汇总" localSheetId="5">#REF!</definedName>
    <definedName name="汇总" localSheetId="6">#REF!</definedName>
    <definedName name="汇总" localSheetId="7">#REF!</definedName>
    <definedName name="汇总" localSheetId="8">#REF!</definedName>
    <definedName name="汇总" localSheetId="9">#REF!</definedName>
    <definedName name="汇总" localSheetId="10">#REF!</definedName>
    <definedName name="汇总" localSheetId="11">#REF!</definedName>
    <definedName name="汇总">#REF!</definedName>
    <definedName name="火" localSheetId="4">#REF!</definedName>
    <definedName name="火" localSheetId="3">#REF!</definedName>
    <definedName name="火" localSheetId="2">#REF!</definedName>
    <definedName name="火" localSheetId="5">#REF!</definedName>
    <definedName name="火" localSheetId="6">#REF!</definedName>
    <definedName name="火" localSheetId="7">#REF!</definedName>
    <definedName name="火" localSheetId="8">#REF!</definedName>
    <definedName name="火" localSheetId="9">#REF!</definedName>
    <definedName name="火" localSheetId="10">#REF!</definedName>
    <definedName name="火" localSheetId="11">#REF!</definedName>
    <definedName name="火">#REF!</definedName>
    <definedName name="机制">[114]改善路径!#REF!</definedName>
    <definedName name="集装箱需求数量" localSheetId="10">'[35]01_宏命令库'!$F$40</definedName>
    <definedName name="集装箱需求数量">'[58]01_宏命令库'!$F$40</definedName>
    <definedName name="集装箱租赁月数" localSheetId="10">'[35]01_宏命令库'!$F$42</definedName>
    <definedName name="集装箱租赁月数">'[58]01_宏命令库'!$F$42</definedName>
    <definedName name="记损统计表3" localSheetId="4">#REF!</definedName>
    <definedName name="记损统计表3" localSheetId="3">#REF!</definedName>
    <definedName name="记损统计表3" localSheetId="2">#REF!</definedName>
    <definedName name="记损统计表3" localSheetId="5">#REF!</definedName>
    <definedName name="记损统计表3" localSheetId="6">#REF!</definedName>
    <definedName name="记损统计表3" localSheetId="7">#REF!</definedName>
    <definedName name="记损统计表3" localSheetId="8">#REF!</definedName>
    <definedName name="记损统计表3" localSheetId="9">#REF!</definedName>
    <definedName name="记损统计表3" localSheetId="10">#REF!</definedName>
    <definedName name="记损统计表3" localSheetId="11">#REF!</definedName>
    <definedName name="记损统计表3">#REF!</definedName>
    <definedName name="家居生态" localSheetId="4">#REF!</definedName>
    <definedName name="家居生态" localSheetId="3">#REF!</definedName>
    <definedName name="家居生态" localSheetId="2">#REF!</definedName>
    <definedName name="家居生态" localSheetId="5">#REF!</definedName>
    <definedName name="家居生态" localSheetId="6">#REF!</definedName>
    <definedName name="家居生态" localSheetId="7">#REF!</definedName>
    <definedName name="家居生态" localSheetId="8">#REF!</definedName>
    <definedName name="家居生态" localSheetId="9">#REF!</definedName>
    <definedName name="家居生态" localSheetId="10">#REF!</definedName>
    <definedName name="家居生态" localSheetId="11">#REF!</definedName>
    <definedName name="家居生态">#REF!</definedName>
    <definedName name="検討等">[99]ＴＦ関連Ｐｒｊ日程表!#REF!</definedName>
    <definedName name="見積依頼" localSheetId="4">#REF!</definedName>
    <definedName name="見積依頼" localSheetId="3">#REF!</definedName>
    <definedName name="見積依頼" localSheetId="2">#REF!</definedName>
    <definedName name="見積依頼" localSheetId="5">#REF!</definedName>
    <definedName name="見積依頼" localSheetId="6">#REF!</definedName>
    <definedName name="見積依頼" localSheetId="7">#REF!</definedName>
    <definedName name="見積依頼" localSheetId="8">#REF!</definedName>
    <definedName name="見積依頼" localSheetId="9">#REF!</definedName>
    <definedName name="見積依頼" localSheetId="10">#REF!</definedName>
    <definedName name="見積依頼" localSheetId="11">#REF!</definedName>
    <definedName name="見積依頼">#REF!</definedName>
    <definedName name="胶南" localSheetId="4">#REF!</definedName>
    <definedName name="胶南" localSheetId="3">#REF!</definedName>
    <definedName name="胶南" localSheetId="2">#REF!</definedName>
    <definedName name="胶南" localSheetId="5">#REF!</definedName>
    <definedName name="胶南" localSheetId="6">#REF!</definedName>
    <definedName name="胶南" localSheetId="7">#REF!</definedName>
    <definedName name="胶南" localSheetId="8">#REF!</definedName>
    <definedName name="胶南" localSheetId="9">#REF!</definedName>
    <definedName name="胶南" localSheetId="10">#REF!</definedName>
    <definedName name="胶南" localSheetId="11">#REF!</definedName>
    <definedName name="胶南">#REF!</definedName>
    <definedName name="胶州" localSheetId="4">#REF!</definedName>
    <definedName name="胶州" localSheetId="3">#REF!</definedName>
    <definedName name="胶州" localSheetId="2">#REF!</definedName>
    <definedName name="胶州" localSheetId="5">#REF!</definedName>
    <definedName name="胶州" localSheetId="6">#REF!</definedName>
    <definedName name="胶州" localSheetId="7">#REF!</definedName>
    <definedName name="胶州" localSheetId="8">#REF!</definedName>
    <definedName name="胶州" localSheetId="9">#REF!</definedName>
    <definedName name="胶州" localSheetId="10">#REF!</definedName>
    <definedName name="胶州" localSheetId="11">#REF!</definedName>
    <definedName name="胶州">#REF!</definedName>
    <definedName name="解雄偉" localSheetId="4">#REF!</definedName>
    <definedName name="解雄偉" localSheetId="3">#REF!</definedName>
    <definedName name="解雄偉" localSheetId="2">#REF!</definedName>
    <definedName name="解雄偉" localSheetId="5">#REF!</definedName>
    <definedName name="解雄偉" localSheetId="6">#REF!</definedName>
    <definedName name="解雄偉" localSheetId="7">#REF!</definedName>
    <definedName name="解雄偉" localSheetId="8">#REF!</definedName>
    <definedName name="解雄偉" localSheetId="9">#REF!</definedName>
    <definedName name="解雄偉" localSheetId="10">#REF!</definedName>
    <definedName name="解雄偉" localSheetId="11">#REF!</definedName>
    <definedName name="解雄偉">#REF!</definedName>
    <definedName name="金" localSheetId="4">#REF!</definedName>
    <definedName name="金" localSheetId="3">#REF!</definedName>
    <definedName name="金" localSheetId="2">#REF!</definedName>
    <definedName name="金" localSheetId="5">#REF!</definedName>
    <definedName name="金" localSheetId="6">#REF!</definedName>
    <definedName name="金" localSheetId="7">#REF!</definedName>
    <definedName name="金" localSheetId="8">#REF!</definedName>
    <definedName name="金" localSheetId="9">#REF!</definedName>
    <definedName name="金" localSheetId="10">#REF!</definedName>
    <definedName name="金" localSheetId="11">#REF!</definedName>
    <definedName name="金">#REF!</definedName>
    <definedName name="进度" localSheetId="4">#REF!</definedName>
    <definedName name="进度" localSheetId="3">#REF!</definedName>
    <definedName name="进度" localSheetId="2">#REF!</definedName>
    <definedName name="进度" localSheetId="5">#REF!</definedName>
    <definedName name="进度" localSheetId="6">#REF!</definedName>
    <definedName name="进度" localSheetId="7">#REF!</definedName>
    <definedName name="进度" localSheetId="8">#REF!</definedName>
    <definedName name="进度" localSheetId="9">#REF!</definedName>
    <definedName name="进度" localSheetId="10">#REF!</definedName>
    <definedName name="进度" localSheetId="11">#REF!</definedName>
    <definedName name="进度">#REF!</definedName>
    <definedName name="京东" localSheetId="4">#REF!</definedName>
    <definedName name="京东" localSheetId="3">#REF!</definedName>
    <definedName name="京东" localSheetId="2">#REF!</definedName>
    <definedName name="京东" localSheetId="5">#REF!</definedName>
    <definedName name="京东" localSheetId="6">#REF!</definedName>
    <definedName name="京东" localSheetId="7">#REF!</definedName>
    <definedName name="京东" localSheetId="8">#REF!</definedName>
    <definedName name="京东" localSheetId="9">#REF!</definedName>
    <definedName name="京东" localSheetId="10">#REF!</definedName>
    <definedName name="京东" localSheetId="11">#REF!</definedName>
    <definedName name="京东">#REF!</definedName>
    <definedName name="精益">[114]改善路径!#REF!</definedName>
    <definedName name="就3" localSheetId="4">#REF!</definedName>
    <definedName name="就3" localSheetId="3">#REF!</definedName>
    <definedName name="就3" localSheetId="2">#REF!</definedName>
    <definedName name="就3" localSheetId="5">#REF!</definedName>
    <definedName name="就3" localSheetId="6">#REF!</definedName>
    <definedName name="就3" localSheetId="7">#REF!</definedName>
    <definedName name="就3" localSheetId="8">#REF!</definedName>
    <definedName name="就3" localSheetId="9">#REF!</definedName>
    <definedName name="就3" localSheetId="10">#REF!</definedName>
    <definedName name="就3" localSheetId="11">#REF!</definedName>
    <definedName name="就3">#REF!</definedName>
    <definedName name="卡车需求数量" localSheetId="10">'[35]01_宏命令库'!$F$32</definedName>
    <definedName name="卡车需求数量">'[58]01_宏命令库'!$F$32</definedName>
    <definedName name="烤箱" localSheetId="10">[49]数据输入!#REF!</definedName>
    <definedName name="烤箱">[57]数据输入!#REF!</definedName>
    <definedName name="空调" localSheetId="4">#REF!</definedName>
    <definedName name="空调" localSheetId="3">#REF!</definedName>
    <definedName name="空调" localSheetId="2">#REF!</definedName>
    <definedName name="空调" localSheetId="5">#REF!</definedName>
    <definedName name="空调" localSheetId="6">#REF!</definedName>
    <definedName name="空调" localSheetId="7">#REF!</definedName>
    <definedName name="空调" localSheetId="8">#REF!</definedName>
    <definedName name="空调" localSheetId="9">#REF!</definedName>
    <definedName name="空调" localSheetId="10">#REF!</definedName>
    <definedName name="空调" localSheetId="11">#REF!</definedName>
    <definedName name="空调">#REF!</definedName>
    <definedName name="奎" localSheetId="4">#REF!</definedName>
    <definedName name="奎" localSheetId="3">#REF!</definedName>
    <definedName name="奎" localSheetId="2">#REF!</definedName>
    <definedName name="奎" localSheetId="5">#REF!</definedName>
    <definedName name="奎" localSheetId="6">#REF!</definedName>
    <definedName name="奎" localSheetId="7">#REF!</definedName>
    <definedName name="奎" localSheetId="8">#REF!</definedName>
    <definedName name="奎" localSheetId="9">#REF!</definedName>
    <definedName name="奎" localSheetId="10">#REF!</definedName>
    <definedName name="奎" localSheetId="11">#REF!</definedName>
    <definedName name="奎">#REF!</definedName>
    <definedName name="冷柜" localSheetId="4">#REF!</definedName>
    <definedName name="冷柜" localSheetId="3">#REF!</definedName>
    <definedName name="冷柜" localSheetId="2">#REF!</definedName>
    <definedName name="冷柜" localSheetId="5">#REF!</definedName>
    <definedName name="冷柜" localSheetId="6">#REF!</definedName>
    <definedName name="冷柜" localSheetId="7">#REF!</definedName>
    <definedName name="冷柜" localSheetId="8">#REF!</definedName>
    <definedName name="冷柜" localSheetId="9">#REF!</definedName>
    <definedName name="冷柜" localSheetId="10">#REF!</definedName>
    <definedName name="冷柜" localSheetId="11">#REF!</definedName>
    <definedName name="冷柜">#REF!</definedName>
    <definedName name="联盟" localSheetId="4">#REF!</definedName>
    <definedName name="联盟" localSheetId="3">#REF!</definedName>
    <definedName name="联盟" localSheetId="2">#REF!</definedName>
    <definedName name="联盟" localSheetId="5">#REF!</definedName>
    <definedName name="联盟" localSheetId="6">#REF!</definedName>
    <definedName name="联盟" localSheetId="7">#REF!</definedName>
    <definedName name="联盟" localSheetId="8">#REF!</definedName>
    <definedName name="联盟" localSheetId="9">#REF!</definedName>
    <definedName name="联盟" localSheetId="10">#REF!</definedName>
    <definedName name="联盟" localSheetId="11">#REF!</definedName>
    <definedName name="联盟">#REF!</definedName>
    <definedName name="도면" localSheetId="4">#REF!</definedName>
    <definedName name="도면" localSheetId="3">#REF!</definedName>
    <definedName name="도면" localSheetId="2">#REF!</definedName>
    <definedName name="도면" localSheetId="5">#REF!</definedName>
    <definedName name="도면" localSheetId="6">#REF!</definedName>
    <definedName name="도면" localSheetId="7">#REF!</definedName>
    <definedName name="도면" localSheetId="8">#REF!</definedName>
    <definedName name="도면" localSheetId="9">#REF!</definedName>
    <definedName name="도면" localSheetId="10">#REF!</definedName>
    <definedName name="도면" localSheetId="11">#REF!</definedName>
    <definedName name="도면">#REF!</definedName>
    <definedName name="民族">[117]Sheet2!$F$2:$F$55</definedName>
    <definedName name="模具数量分区" localSheetId="4">IF('25年厨电费用指标到月测算汇总表'!Loan_Amount*'25年厨电费用指标到月测算汇总表'!Interest_Rate*'25年厨电费用指标到月测算汇总表'!Loan_Years*'25年厨电费用指标到月测算汇总表'!Loan_Start&gt;0,1,0)</definedName>
    <definedName name="模具数量分区" localSheetId="3">IF('25年厨电费用指标到月测算汇总表  (2)'!Loan_Amount*'25年厨电费用指标到月测算汇总表  (2)'!Interest_Rate*'25年厨电费用指标到月测算汇总表  (2)'!Loan_Years*'25年厨电费用指标到月测算汇总表  (2)'!Loan_Start&gt;0,1,0)</definedName>
    <definedName name="模具数量分区" localSheetId="2">IF('26年厨电费用指标到月测算汇总表 '!Loan_Amount*'26年厨电费用指标到月测算汇总表 '!Interest_Rate*'26年厨电费用指标到月测算汇总表 '!Loan_Years*'26年厨电费用指标到月测算汇总表 '!Loan_Start&gt;0,1,0)</definedName>
    <definedName name="模具数量分区" localSheetId="0">IF(Loan_Amount*Interest_Rate*Loan_Years*Loan_Start&gt;0,1,0)</definedName>
    <definedName name="模具数量分区" localSheetId="5">IF('厨电1月 '!Loan_Amount*'厨电1月 '!Interest_Rate*'厨电1月 '!Loan_Years*'厨电1月 '!Loan_Start&gt;0,1,0)</definedName>
    <definedName name="模具数量分区" localSheetId="6">IF('厨电2月 '!Loan_Amount*'厨电2月 '!Interest_Rate*'厨电2月 '!Loan_Years*'厨电2月 '!Loan_Start&gt;0,1,0)</definedName>
    <definedName name="模具数量分区" localSheetId="7">IF(厨电3月!Loan_Amount*厨电3月!Interest_Rate*厨电3月!Loan_Years*厨电3月!Loan_Start&gt;0,1,0)</definedName>
    <definedName name="模具数量分区" localSheetId="8">IF(厨电4月!Loan_Amount*厨电4月!Interest_Rate*厨电4月!Loan_Years*厨电4月!Loan_Start&gt;0,1,0)</definedName>
    <definedName name="模具数量分区" localSheetId="9">IF('厨电5月 '!Loan_Amount*'厨电5月 '!Interest_Rate*'厨电5月 '!Loan_Years*'厨电5月 '!Loan_Start&gt;0,1,0)</definedName>
    <definedName name="模具数量分区" localSheetId="10">IF(厨电6月!Loan_Amount*厨电6月!Interest_Rate*厨电6月!Loan_Years*厨电6月!Loan_Start&gt;0,1,0)</definedName>
    <definedName name="模具数量分区" localSheetId="11">IF('降费项目厨电 '!Loan_Amount*'降费项目厨电 '!Interest_Rate*'降费项目厨电 '!Loan_Years*'降费项目厨电 '!Loan_Start&gt;0,1,0)</definedName>
    <definedName name="模具数量分区">IF(Loan_Amount*Interest_Rate*Loan_Years*Loan_Start&gt;0,1,0)</definedName>
    <definedName name="模块化">[114]改善路径!#REF!</definedName>
    <definedName name="模块自定义模板2020.12.12" localSheetId="4">OFFSET('25年厨电费用指标到月测算汇总表'!Full_Print,0,0,'25年厨电费用指标到月测算汇总表'!Last_Row)</definedName>
    <definedName name="模块自定义模板2020.12.12" localSheetId="3">OFFSET('25年厨电费用指标到月测算汇总表  (2)'!Full_Print,0,0,'25年厨电费用指标到月测算汇总表  (2)'!Last_Row)</definedName>
    <definedName name="模块自定义模板2020.12.12" localSheetId="2">OFFSET('26年厨电费用指标到月测算汇总表 '!Full_Print,0,0,'26年厨电费用指标到月测算汇总表 '!Last_Row)</definedName>
    <definedName name="模块自定义模板2020.12.12" localSheetId="0">OFFSET(Full_Print,0,0,'DW  2026'!Last_Row)</definedName>
    <definedName name="模块自定义模板2020.12.12" localSheetId="5">OFFSET('厨电1月 '!Full_Print,0,0,'厨电1月 '!Last_Row)</definedName>
    <definedName name="模块自定义模板2020.12.12" localSheetId="6">OFFSET('厨电2月 '!Full_Print,0,0,'厨电2月 '!Last_Row)</definedName>
    <definedName name="模块自定义模板2020.12.12" localSheetId="7">OFFSET(厨电3月!Full_Print,0,0,厨电3月!Last_Row)</definedName>
    <definedName name="模块自定义模板2020.12.12" localSheetId="8">OFFSET(厨电4月!Full_Print,0,0,厨电4月!Last_Row)</definedName>
    <definedName name="模块自定义模板2020.12.12" localSheetId="9">OFFSET('厨电5月 '!Full_Print,0,0,'厨电5月 '!Last_Row)</definedName>
    <definedName name="模块自定义模板2020.12.12" localSheetId="10">OFFSET(厨电6月!Full_Print,0,0,厨电6月!Last_Row)</definedName>
    <definedName name="模块自定义模板2020.12.12" localSheetId="11">OFFSET('降费项目厨电 '!Full_Print,0,0,'降费项目厨电 '!Last_Row)</definedName>
    <definedName name="模块自定义模板2020.12.12">OFFSET(Full_Print,0,0,Last_Row)</definedName>
    <definedName name="木" localSheetId="4">#REF!</definedName>
    <definedName name="木" localSheetId="3">#REF!</definedName>
    <definedName name="木" localSheetId="2">#REF!</definedName>
    <definedName name="木" localSheetId="5">#REF!</definedName>
    <definedName name="木" localSheetId="6">#REF!</definedName>
    <definedName name="木" localSheetId="7">#REF!</definedName>
    <definedName name="木" localSheetId="8">#REF!</definedName>
    <definedName name="木" localSheetId="9">#REF!</definedName>
    <definedName name="木" localSheetId="10">#REF!</definedName>
    <definedName name="木" localSheetId="11">#REF!</definedName>
    <definedName name="木">#REF!</definedName>
    <definedName name="期初餘額" localSheetId="4">#REF!</definedName>
    <definedName name="期初餘額" localSheetId="3">#REF!</definedName>
    <definedName name="期初餘額" localSheetId="2">#REF!</definedName>
    <definedName name="期初餘額" localSheetId="5">#REF!</definedName>
    <definedName name="期初餘額" localSheetId="6">#REF!</definedName>
    <definedName name="期初餘額" localSheetId="7">#REF!</definedName>
    <definedName name="期初餘額" localSheetId="8">#REF!</definedName>
    <definedName name="期初餘額" localSheetId="9">#REF!</definedName>
    <definedName name="期初餘額" localSheetId="10">#REF!</definedName>
    <definedName name="期初餘額" localSheetId="11">#REF!</definedName>
    <definedName name="期初餘額">#REF!</definedName>
    <definedName name="企画書" localSheetId="4" hidden="1">{"'打点割り振り (2)'!$A$1:$G$35"}</definedName>
    <definedName name="企画書" localSheetId="3" hidden="1">{"'打点割り振り (2)'!$A$1:$G$35"}</definedName>
    <definedName name="企画書" localSheetId="2" hidden="1">{"'打点割り振り (2)'!$A$1:$G$35"}</definedName>
    <definedName name="企画書" localSheetId="8" hidden="1">{"'打点割り振り (2)'!$A$1:$G$35"}</definedName>
    <definedName name="企画書" localSheetId="9" hidden="1">{"'打点割り振り (2)'!$A$1:$G$35"}</definedName>
    <definedName name="企画書" localSheetId="10" hidden="1">{"'打点割り振り (2)'!$A$1:$G$35"}</definedName>
    <definedName name="企画書" hidden="1">{"'打点割り振り (2)'!$A$1:$G$35"}</definedName>
    <definedName name="青岛" localSheetId="4">#REF!</definedName>
    <definedName name="青岛" localSheetId="3">#REF!</definedName>
    <definedName name="青岛" localSheetId="2">#REF!</definedName>
    <definedName name="青岛" localSheetId="5">#REF!</definedName>
    <definedName name="青岛" localSheetId="6">#REF!</definedName>
    <definedName name="青岛" localSheetId="7">#REF!</definedName>
    <definedName name="青岛" localSheetId="8">#REF!</definedName>
    <definedName name="青岛" localSheetId="9">#REF!</definedName>
    <definedName name="青岛" localSheetId="10">#REF!</definedName>
    <definedName name="青岛" localSheetId="11">#REF!</definedName>
    <definedName name="青岛">#REF!</definedName>
    <definedName name="青岛波轮" localSheetId="4">#REF!</definedName>
    <definedName name="青岛波轮" localSheetId="3">#REF!</definedName>
    <definedName name="青岛波轮" localSheetId="2">#REF!</definedName>
    <definedName name="青岛波轮" localSheetId="5">#REF!</definedName>
    <definedName name="青岛波轮" localSheetId="6">#REF!</definedName>
    <definedName name="青岛波轮" localSheetId="7">#REF!</definedName>
    <definedName name="青岛波轮" localSheetId="8">#REF!</definedName>
    <definedName name="青岛波轮" localSheetId="9">#REF!</definedName>
    <definedName name="青岛波轮" localSheetId="10">#REF!</definedName>
    <definedName name="青岛波轮" localSheetId="11">#REF!</definedName>
    <definedName name="青岛波轮">#REF!</definedName>
    <definedName name="青岛滚筒" localSheetId="4">#REF!</definedName>
    <definedName name="青岛滚筒" localSheetId="3">#REF!</definedName>
    <definedName name="青岛滚筒" localSheetId="2">#REF!</definedName>
    <definedName name="青岛滚筒" localSheetId="5">#REF!</definedName>
    <definedName name="青岛滚筒" localSheetId="6">#REF!</definedName>
    <definedName name="青岛滚筒" localSheetId="7">#REF!</definedName>
    <definedName name="青岛滚筒" localSheetId="8">#REF!</definedName>
    <definedName name="青岛滚筒" localSheetId="9">#REF!</definedName>
    <definedName name="青岛滚筒" localSheetId="10">#REF!</definedName>
    <definedName name="青岛滚筒" localSheetId="11">#REF!</definedName>
    <definedName name="青岛滚筒">#REF!</definedName>
    <definedName name="区位" localSheetId="4">#REF!</definedName>
    <definedName name="区位" localSheetId="3">#REF!</definedName>
    <definedName name="区位" localSheetId="2">#REF!</definedName>
    <definedName name="区位" localSheetId="5">#REF!</definedName>
    <definedName name="区位" localSheetId="6">#REF!</definedName>
    <definedName name="区位" localSheetId="7">#REF!</definedName>
    <definedName name="区位" localSheetId="8">#REF!</definedName>
    <definedName name="区位" localSheetId="9">#REF!</definedName>
    <definedName name="区位" localSheetId="10">#REF!</definedName>
    <definedName name="区位" localSheetId="11">#REF!</definedName>
    <definedName name="区位">#REF!</definedName>
    <definedName name="取消" localSheetId="4" hidden="1">{#N/A,#N/A,TRUE,"Distribution";#N/A,#N/A,TRUE,"Fulfillment";#N/A,#N/A,TRUE,"Aged Backorders"}</definedName>
    <definedName name="取消" localSheetId="3" hidden="1">{#N/A,#N/A,TRUE,"Distribution";#N/A,#N/A,TRUE,"Fulfillment";#N/A,#N/A,TRUE,"Aged Backorders"}</definedName>
    <definedName name="取消" localSheetId="2" hidden="1">{#N/A,#N/A,TRUE,"Distribution";#N/A,#N/A,TRUE,"Fulfillment";#N/A,#N/A,TRUE,"Aged Backorders"}</definedName>
    <definedName name="取消" localSheetId="8" hidden="1">{#N/A,#N/A,TRUE,"Distribution";#N/A,#N/A,TRUE,"Fulfillment";#N/A,#N/A,TRUE,"Aged Backorders"}</definedName>
    <definedName name="取消" localSheetId="9" hidden="1">{#N/A,#N/A,TRUE,"Distribution";#N/A,#N/A,TRUE,"Fulfillment";#N/A,#N/A,TRUE,"Aged Backorders"}</definedName>
    <definedName name="取消" localSheetId="10" hidden="1">{#N/A,#N/A,TRUE,"Distribution";#N/A,#N/A,TRUE,"Fulfillment";#N/A,#N/A,TRUE,"Aged Backorders"}</definedName>
    <definedName name="取消" hidden="1">{#N/A,#N/A,TRUE,"Distribution";#N/A,#N/A,TRUE,"Fulfillment";#N/A,#N/A,TRUE,"Aged Backorders"}</definedName>
    <definedName name="日" localSheetId="4">'[66]4 审核发现描述'!#REF!</definedName>
    <definedName name="日" localSheetId="3">'[66]4 审核发现描述'!#REF!</definedName>
    <definedName name="日" localSheetId="2">'[66]4 审核发现描述'!#REF!</definedName>
    <definedName name="日" localSheetId="5">'[66]4 审核发现描述'!#REF!</definedName>
    <definedName name="日" localSheetId="6">'[66]4 审核发现描述'!#REF!</definedName>
    <definedName name="日" localSheetId="7">'[66]4 审核发现描述'!#REF!</definedName>
    <definedName name="日" localSheetId="8">'[8]4 审核发现描述'!#REF!</definedName>
    <definedName name="日" localSheetId="9">'[8]4 审核发现描述'!#REF!</definedName>
    <definedName name="日" localSheetId="10">'[6]4 审核发现描述'!#REF!</definedName>
    <definedName name="日">'[7]4 审核发现描述'!#REF!</definedName>
    <definedName name="设备价格总价" localSheetId="4">#REF!</definedName>
    <definedName name="设备价格总价" localSheetId="3">#REF!</definedName>
    <definedName name="设备价格总价" localSheetId="2">#REF!</definedName>
    <definedName name="设备价格总价" localSheetId="5">#REF!</definedName>
    <definedName name="设备价格总价" localSheetId="6">#REF!</definedName>
    <definedName name="设备价格总价" localSheetId="7">#REF!</definedName>
    <definedName name="设备价格总价" localSheetId="8">#REF!</definedName>
    <definedName name="设备价格总价" localSheetId="9">#REF!</definedName>
    <definedName name="设备价格总价" localSheetId="10">#REF!</definedName>
    <definedName name="设备价格总价" localSheetId="11">#REF!</definedName>
    <definedName name="设备价格总价">#REF!</definedName>
    <definedName name="省人维度" localSheetId="4">#REF!</definedName>
    <definedName name="省人维度" localSheetId="3">#REF!</definedName>
    <definedName name="省人维度" localSheetId="2">#REF!</definedName>
    <definedName name="省人维度" localSheetId="5">#REF!</definedName>
    <definedName name="省人维度" localSheetId="6">#REF!</definedName>
    <definedName name="省人维度" localSheetId="7">#REF!</definedName>
    <definedName name="省人维度" localSheetId="8">#REF!</definedName>
    <definedName name="省人维度" localSheetId="9">#REF!</definedName>
    <definedName name="省人维度" localSheetId="10">#REF!</definedName>
    <definedName name="省人维度" localSheetId="11">#REF!</definedName>
    <definedName name="省人维度">#REF!</definedName>
    <definedName name="是">[118]未闭环!#REF!</definedName>
    <definedName name="是否需要证明核查">[119]Sheet2!$X$2:$X$3</definedName>
    <definedName name="收入">[120]目标体系横轴矩阵!$B$7,[120]目标体系横轴矩阵!$C$11,[120]目标体系横轴矩阵!$B$14+[120]目标体系横轴矩阵!$D$19,[120]目标体系横轴矩阵!$C$24,[120]目标体系横轴矩阵!$B$14,[120]目标体系横轴矩阵!$B$21,[120]目标体系横轴矩阵!$C$10,[120]目标体系横轴矩阵!$B$6</definedName>
    <definedName name="数据" localSheetId="4">#REF!</definedName>
    <definedName name="数据" localSheetId="3">#REF!</definedName>
    <definedName name="数据" localSheetId="2">#REF!</definedName>
    <definedName name="数据" localSheetId="5">#REF!</definedName>
    <definedName name="数据" localSheetId="6">#REF!</definedName>
    <definedName name="数据" localSheetId="7">#REF!</definedName>
    <definedName name="数据" localSheetId="8">#REF!</definedName>
    <definedName name="数据" localSheetId="9">#REF!</definedName>
    <definedName name="数据" localSheetId="10">#REF!</definedName>
    <definedName name="数据" localSheetId="11">#REF!</definedName>
    <definedName name="数据">#REF!</definedName>
    <definedName name="数据1" localSheetId="4">#REF!</definedName>
    <definedName name="数据1" localSheetId="3">#REF!</definedName>
    <definedName name="数据1" localSheetId="2">#REF!</definedName>
    <definedName name="数据1" localSheetId="5">#REF!</definedName>
    <definedName name="数据1" localSheetId="6">#REF!</definedName>
    <definedName name="数据1" localSheetId="7">#REF!</definedName>
    <definedName name="数据1" localSheetId="8">#REF!</definedName>
    <definedName name="数据1" localSheetId="9">#REF!</definedName>
    <definedName name="数据1" localSheetId="10">#REF!</definedName>
    <definedName name="数据1" localSheetId="11">#REF!</definedName>
    <definedName name="数据1">#REF!</definedName>
    <definedName name="水" localSheetId="4">#REF!</definedName>
    <definedName name="水" localSheetId="3">#REF!</definedName>
    <definedName name="水" localSheetId="2">#REF!</definedName>
    <definedName name="水" localSheetId="5">#REF!</definedName>
    <definedName name="水" localSheetId="6">#REF!</definedName>
    <definedName name="水" localSheetId="7">#REF!</definedName>
    <definedName name="水" localSheetId="8">#REF!</definedName>
    <definedName name="水" localSheetId="9">#REF!</definedName>
    <definedName name="水" localSheetId="10">#REF!</definedName>
    <definedName name="水" localSheetId="11">#REF!</definedName>
    <definedName name="水">#REF!</definedName>
    <definedName name="顺德" localSheetId="4">#REF!</definedName>
    <definedName name="顺德" localSheetId="3">#REF!</definedName>
    <definedName name="顺德" localSheetId="2">#REF!</definedName>
    <definedName name="顺德" localSheetId="5">#REF!</definedName>
    <definedName name="顺德" localSheetId="6">#REF!</definedName>
    <definedName name="顺德" localSheetId="7">#REF!</definedName>
    <definedName name="顺德" localSheetId="8">#REF!</definedName>
    <definedName name="顺德" localSheetId="9">#REF!</definedName>
    <definedName name="顺德" localSheetId="10">#REF!</definedName>
    <definedName name="顺德" localSheetId="11">#REF!</definedName>
    <definedName name="顺德">#REF!</definedName>
    <definedName name="苏宁" localSheetId="4">#REF!</definedName>
    <definedName name="苏宁" localSheetId="3">#REF!</definedName>
    <definedName name="苏宁" localSheetId="2">#REF!</definedName>
    <definedName name="苏宁" localSheetId="5">#REF!</definedName>
    <definedName name="苏宁" localSheetId="6">#REF!</definedName>
    <definedName name="苏宁" localSheetId="7">#REF!</definedName>
    <definedName name="苏宁" localSheetId="8">#REF!</definedName>
    <definedName name="苏宁" localSheetId="9">#REF!</definedName>
    <definedName name="苏宁" localSheetId="10">#REF!</definedName>
    <definedName name="苏宁" localSheetId="11">#REF!</definedName>
    <definedName name="苏宁">#REF!</definedName>
    <definedName name="台账" localSheetId="4">#REF!</definedName>
    <definedName name="台账" localSheetId="3">#REF!</definedName>
    <definedName name="台账" localSheetId="2">#REF!</definedName>
    <definedName name="台账" localSheetId="5">#REF!</definedName>
    <definedName name="台账" localSheetId="6">#REF!</definedName>
    <definedName name="台账" localSheetId="7">#REF!</definedName>
    <definedName name="台账" localSheetId="8">#REF!</definedName>
    <definedName name="台账" localSheetId="9">#REF!</definedName>
    <definedName name="台账" localSheetId="10">#REF!</definedName>
    <definedName name="台账" localSheetId="11">#REF!</definedName>
    <definedName name="台账">#REF!</definedName>
    <definedName name="台账2" localSheetId="4">#REF!</definedName>
    <definedName name="台账2" localSheetId="3">#REF!</definedName>
    <definedName name="台账2" localSheetId="2">#REF!</definedName>
    <definedName name="台账2" localSheetId="5">#REF!</definedName>
    <definedName name="台账2" localSheetId="6">#REF!</definedName>
    <definedName name="台账2" localSheetId="7">#REF!</definedName>
    <definedName name="台账2" localSheetId="8">#REF!</definedName>
    <definedName name="台账2" localSheetId="9">#REF!</definedName>
    <definedName name="台账2" localSheetId="10">#REF!</definedName>
    <definedName name="台账2" localSheetId="11">#REF!</definedName>
    <definedName name="台账2">#REF!</definedName>
    <definedName name="特冰" localSheetId="4">#REF!</definedName>
    <definedName name="特冰" localSheetId="3">#REF!</definedName>
    <definedName name="特冰" localSheetId="2">#REF!</definedName>
    <definedName name="特冰" localSheetId="5">#REF!</definedName>
    <definedName name="特冰" localSheetId="6">#REF!</definedName>
    <definedName name="特冰" localSheetId="7">#REF!</definedName>
    <definedName name="特冰" localSheetId="8">#REF!</definedName>
    <definedName name="特冰" localSheetId="9">#REF!</definedName>
    <definedName name="特冰" localSheetId="10">#REF!</definedName>
    <definedName name="特冰" localSheetId="11">#REF!</definedName>
    <definedName name="特冰">#REF!</definedName>
    <definedName name="天猫" localSheetId="4">#REF!</definedName>
    <definedName name="天猫" localSheetId="3">#REF!</definedName>
    <definedName name="天猫" localSheetId="2">#REF!</definedName>
    <definedName name="天猫" localSheetId="5">#REF!</definedName>
    <definedName name="天猫" localSheetId="6">#REF!</definedName>
    <definedName name="天猫" localSheetId="7">#REF!</definedName>
    <definedName name="天猫" localSheetId="8">#REF!</definedName>
    <definedName name="天猫" localSheetId="9">#REF!</definedName>
    <definedName name="天猫" localSheetId="10">#REF!</definedName>
    <definedName name="天猫" localSheetId="11">#REF!</definedName>
    <definedName name="天猫">#REF!</definedName>
    <definedName name="天域" localSheetId="10">[50]数据输入!#REF!</definedName>
    <definedName name="天域">[59]数据输入!#REF!</definedName>
    <definedName name="停机" localSheetId="4">#REF!</definedName>
    <definedName name="停机" localSheetId="3">#REF!</definedName>
    <definedName name="停机" localSheetId="2">#REF!</definedName>
    <definedName name="停机" localSheetId="5">#REF!</definedName>
    <definedName name="停机" localSheetId="6">#REF!</definedName>
    <definedName name="停机" localSheetId="7">#REF!</definedName>
    <definedName name="停机" localSheetId="8">#REF!</definedName>
    <definedName name="停机" localSheetId="9">#REF!</definedName>
    <definedName name="停机" localSheetId="10">#REF!</definedName>
    <definedName name="停机" localSheetId="11">#REF!</definedName>
    <definedName name="停机">#REF!</definedName>
    <definedName name="ㅁㅁ" localSheetId="4">#REF!</definedName>
    <definedName name="ㅁㅁ" localSheetId="3">#REF!</definedName>
    <definedName name="ㅁㅁ" localSheetId="2">#REF!</definedName>
    <definedName name="ㅁㅁ" localSheetId="5">#REF!</definedName>
    <definedName name="ㅁㅁ" localSheetId="6">#REF!</definedName>
    <definedName name="ㅁㅁ" localSheetId="7">#REF!</definedName>
    <definedName name="ㅁㅁ" localSheetId="8">#REF!</definedName>
    <definedName name="ㅁㅁ" localSheetId="9">#REF!</definedName>
    <definedName name="ㅁㅁ" localSheetId="10">#REF!</definedName>
    <definedName name="ㅁㅁ" localSheetId="11">#REF!</definedName>
    <definedName name="ㅁㅁ">#REF!</definedName>
    <definedName name="ㅁㅁㅁ" localSheetId="4">#REF!</definedName>
    <definedName name="ㅁㅁㅁ" localSheetId="3">#REF!</definedName>
    <definedName name="ㅁㅁㅁ" localSheetId="2">#REF!</definedName>
    <definedName name="ㅁㅁㅁ" localSheetId="5">#REF!</definedName>
    <definedName name="ㅁㅁㅁ" localSheetId="6">#REF!</definedName>
    <definedName name="ㅁㅁㅁ" localSheetId="7">#REF!</definedName>
    <definedName name="ㅁㅁㅁ" localSheetId="8">#REF!</definedName>
    <definedName name="ㅁㅁㅁ" localSheetId="9">#REF!</definedName>
    <definedName name="ㅁㅁㅁ" localSheetId="10">#REF!</definedName>
    <definedName name="ㅁㅁㅁ" localSheetId="11">#REF!</definedName>
    <definedName name="ㅁㅁㅁ">#REF!</definedName>
    <definedName name="推进" localSheetId="4">#REF!</definedName>
    <definedName name="推进" localSheetId="3">#REF!</definedName>
    <definedName name="推进" localSheetId="2">#REF!</definedName>
    <definedName name="推进" localSheetId="5">#REF!</definedName>
    <definedName name="推进" localSheetId="6">#REF!</definedName>
    <definedName name="推进" localSheetId="7">#REF!</definedName>
    <definedName name="推进" localSheetId="8">#REF!</definedName>
    <definedName name="推进" localSheetId="9">#REF!</definedName>
    <definedName name="推进" localSheetId="10">#REF!</definedName>
    <definedName name="推进" localSheetId="11">#REF!</definedName>
    <definedName name="推进">#REF!</definedName>
    <definedName name="万达女" localSheetId="10">[50]数据输入!#REF!</definedName>
    <definedName name="万达女">[59]数据输入!#REF!</definedName>
    <definedName name="五线" localSheetId="4">#REF!</definedName>
    <definedName name="五线" localSheetId="3">#REF!</definedName>
    <definedName name="五线" localSheetId="2">#REF!</definedName>
    <definedName name="五线" localSheetId="5">#REF!</definedName>
    <definedName name="五线" localSheetId="6">#REF!</definedName>
    <definedName name="五线" localSheetId="7">#REF!</definedName>
    <definedName name="五线" localSheetId="8">#REF!</definedName>
    <definedName name="五线" localSheetId="9">#REF!</definedName>
    <definedName name="五线" localSheetId="10">#REF!</definedName>
    <definedName name="五线" localSheetId="11">#REF!</definedName>
    <definedName name="五线">#REF!</definedName>
    <definedName name="五线措施" localSheetId="4">#REF!</definedName>
    <definedName name="五线措施" localSheetId="3">#REF!</definedName>
    <definedName name="五线措施" localSheetId="2">#REF!</definedName>
    <definedName name="五线措施" localSheetId="5">#REF!</definedName>
    <definedName name="五线措施" localSheetId="6">#REF!</definedName>
    <definedName name="五线措施" localSheetId="7">#REF!</definedName>
    <definedName name="五线措施" localSheetId="8">#REF!</definedName>
    <definedName name="五线措施" localSheetId="9">#REF!</definedName>
    <definedName name="五线措施" localSheetId="10">#REF!</definedName>
    <definedName name="五线措施" localSheetId="11">#REF!</definedName>
    <definedName name="五线措施">#REF!</definedName>
    <definedName name="五线改善措施" localSheetId="4">#REF!</definedName>
    <definedName name="五线改善措施" localSheetId="3">#REF!</definedName>
    <definedName name="五线改善措施" localSheetId="2">#REF!</definedName>
    <definedName name="五线改善措施" localSheetId="5">#REF!</definedName>
    <definedName name="五线改善措施" localSheetId="6">#REF!</definedName>
    <definedName name="五线改善措施" localSheetId="7">#REF!</definedName>
    <definedName name="五线改善措施" localSheetId="8">#REF!</definedName>
    <definedName name="五线改善措施" localSheetId="9">#REF!</definedName>
    <definedName name="五线改善措施" localSheetId="10">#REF!</definedName>
    <definedName name="五线改善措施" localSheetId="11">#REF!</definedName>
    <definedName name="五线改善措施">#REF!</definedName>
    <definedName name="五星" localSheetId="4">#REF!</definedName>
    <definedName name="五星" localSheetId="3">#REF!</definedName>
    <definedName name="五星" localSheetId="2">#REF!</definedName>
    <definedName name="五星" localSheetId="5">#REF!</definedName>
    <definedName name="五星" localSheetId="6">#REF!</definedName>
    <definedName name="五星" localSheetId="7">#REF!</definedName>
    <definedName name="五星" localSheetId="8">#REF!</definedName>
    <definedName name="五星" localSheetId="9">#REF!</definedName>
    <definedName name="五星" localSheetId="10">#REF!</definedName>
    <definedName name="五星" localSheetId="11">#REF!</definedName>
    <definedName name="五星">#REF!</definedName>
    <definedName name="洗涤" localSheetId="4">#REF!</definedName>
    <definedName name="洗涤" localSheetId="3">#REF!</definedName>
    <definedName name="洗涤" localSheetId="2">#REF!</definedName>
    <definedName name="洗涤" localSheetId="5">#REF!</definedName>
    <definedName name="洗涤" localSheetId="6">#REF!</definedName>
    <definedName name="洗涤" localSheetId="7">#REF!</definedName>
    <definedName name="洗涤" localSheetId="8">#REF!</definedName>
    <definedName name="洗涤" localSheetId="9">#REF!</definedName>
    <definedName name="洗涤" localSheetId="10">#REF!</definedName>
    <definedName name="洗涤" localSheetId="11">#REF!</definedName>
    <definedName name="洗涤">#REF!</definedName>
    <definedName name="洗衣机" localSheetId="4">#REF!</definedName>
    <definedName name="洗衣机" localSheetId="3">#REF!</definedName>
    <definedName name="洗衣机" localSheetId="2">#REF!</definedName>
    <definedName name="洗衣机" localSheetId="5">#REF!</definedName>
    <definedName name="洗衣机" localSheetId="6">#REF!</definedName>
    <definedName name="洗衣机" localSheetId="7">#REF!</definedName>
    <definedName name="洗衣机" localSheetId="8">#REF!</definedName>
    <definedName name="洗衣机" localSheetId="9">#REF!</definedName>
    <definedName name="洗衣机" localSheetId="10">#REF!</definedName>
    <definedName name="洗衣机" localSheetId="11">#REF!</definedName>
    <definedName name="洗衣机">#REF!</definedName>
    <definedName name="线体" localSheetId="4">#REF!</definedName>
    <definedName name="线体" localSheetId="3">#REF!</definedName>
    <definedName name="线体" localSheetId="2">#REF!</definedName>
    <definedName name="线体" localSheetId="5">#REF!</definedName>
    <definedName name="线体" localSheetId="6">#REF!</definedName>
    <definedName name="线体" localSheetId="7">#REF!</definedName>
    <definedName name="线体" localSheetId="8">#REF!</definedName>
    <definedName name="线体" localSheetId="9">#REF!</definedName>
    <definedName name="线体" localSheetId="10">#REF!</definedName>
    <definedName name="线体" localSheetId="11">#REF!</definedName>
    <definedName name="线体">#REF!</definedName>
    <definedName name="销量" localSheetId="4">#REF!</definedName>
    <definedName name="销量" localSheetId="3">#REF!</definedName>
    <definedName name="销量" localSheetId="2">#REF!</definedName>
    <definedName name="销量" localSheetId="5">#REF!</definedName>
    <definedName name="销量" localSheetId="6">#REF!</definedName>
    <definedName name="销量" localSheetId="7">#REF!</definedName>
    <definedName name="销量" localSheetId="8">#REF!</definedName>
    <definedName name="销量" localSheetId="9">#REF!</definedName>
    <definedName name="销量" localSheetId="10">#REF!</definedName>
    <definedName name="销量" localSheetId="11">#REF!</definedName>
    <definedName name="销量">#REF!</definedName>
    <definedName name="心" localSheetId="4">#REF!</definedName>
    <definedName name="心" localSheetId="3">#REF!</definedName>
    <definedName name="心" localSheetId="2">#REF!</definedName>
    <definedName name="心" localSheetId="5">#REF!</definedName>
    <definedName name="心" localSheetId="6">#REF!</definedName>
    <definedName name="心" localSheetId="7">#REF!</definedName>
    <definedName name="心" localSheetId="8">#REF!</definedName>
    <definedName name="心" localSheetId="9">#REF!</definedName>
    <definedName name="心" localSheetId="10">#REF!</definedName>
    <definedName name="心" localSheetId="11">#REF!</definedName>
    <definedName name="心">#REF!</definedName>
    <definedName name="新" localSheetId="4">#REF!</definedName>
    <definedName name="新" localSheetId="3">#REF!</definedName>
    <definedName name="新" localSheetId="2">#REF!</definedName>
    <definedName name="新" localSheetId="5">#REF!</definedName>
    <definedName name="新" localSheetId="6">#REF!</definedName>
    <definedName name="新" localSheetId="7">#REF!</definedName>
    <definedName name="新" localSheetId="8">#REF!</definedName>
    <definedName name="新" localSheetId="9">#REF!</definedName>
    <definedName name="新" localSheetId="10">#REF!</definedName>
    <definedName name="新" localSheetId="11">#REF!</definedName>
    <definedName name="新">#REF!</definedName>
    <definedName name="新1" localSheetId="4">#REF!</definedName>
    <definedName name="新1" localSheetId="3">#REF!</definedName>
    <definedName name="新1" localSheetId="2">#REF!</definedName>
    <definedName name="新1" localSheetId="5">#REF!</definedName>
    <definedName name="新1" localSheetId="6">#REF!</definedName>
    <definedName name="新1" localSheetId="7">#REF!</definedName>
    <definedName name="新1" localSheetId="8">#REF!</definedName>
    <definedName name="新1" localSheetId="9">#REF!</definedName>
    <definedName name="新1" localSheetId="10">#REF!</definedName>
    <definedName name="新1" localSheetId="11">#REF!</definedName>
    <definedName name="新1">#REF!</definedName>
    <definedName name="新規" localSheetId="4" hidden="1">{"'打点割り振り (2)'!$A$1:$G$35"}</definedName>
    <definedName name="新規" localSheetId="3" hidden="1">{"'打点割り振り (2)'!$A$1:$G$35"}</definedName>
    <definedName name="新規" localSheetId="2" hidden="1">{"'打点割り振り (2)'!$A$1:$G$35"}</definedName>
    <definedName name="新規" localSheetId="8" hidden="1">{"'打点割り振り (2)'!$A$1:$G$35"}</definedName>
    <definedName name="新規" localSheetId="9" hidden="1">{"'打点割り振り (2)'!$A$1:$G$35"}</definedName>
    <definedName name="新規" localSheetId="10" hidden="1">{"'打点割り振り (2)'!$A$1:$G$35"}</definedName>
    <definedName name="新規" hidden="1">{"'打点割り振り (2)'!$A$1:$G$35"}</definedName>
    <definedName name="信息化">[114]改善路径!#REF!</definedName>
    <definedName name="选择" localSheetId="4">#REF!</definedName>
    <definedName name="选择" localSheetId="3">#REF!</definedName>
    <definedName name="选择" localSheetId="2">#REF!</definedName>
    <definedName name="选择" localSheetId="5">#REF!</definedName>
    <definedName name="选择" localSheetId="6">#REF!</definedName>
    <definedName name="选择" localSheetId="7">#REF!</definedName>
    <definedName name="选择" localSheetId="8">#REF!</definedName>
    <definedName name="选择" localSheetId="9">#REF!</definedName>
    <definedName name="选择" localSheetId="10">#REF!</definedName>
    <definedName name="选择" localSheetId="11">#REF!</definedName>
    <definedName name="选择">#REF!</definedName>
    <definedName name="烟机" localSheetId="10">[49]数据输入!#REF!</definedName>
    <definedName name="烟机">[57]数据输入!#REF!</definedName>
    <definedName name="陽烈1" localSheetId="4">#REF!</definedName>
    <definedName name="陽烈1" localSheetId="3">#REF!</definedName>
    <definedName name="陽烈1" localSheetId="2">#REF!</definedName>
    <definedName name="陽烈1" localSheetId="5">#REF!</definedName>
    <definedName name="陽烈1" localSheetId="6">#REF!</definedName>
    <definedName name="陽烈1" localSheetId="7">#REF!</definedName>
    <definedName name="陽烈1" localSheetId="8">#REF!</definedName>
    <definedName name="陽烈1" localSheetId="9">#REF!</definedName>
    <definedName name="陽烈1" localSheetId="10">#REF!</definedName>
    <definedName name="陽烈1" localSheetId="11">#REF!</definedName>
    <definedName name="陽烈1">#REF!</definedName>
    <definedName name="楊烈" localSheetId="4">#REF!</definedName>
    <definedName name="楊烈" localSheetId="3">#REF!</definedName>
    <definedName name="楊烈" localSheetId="2">#REF!</definedName>
    <definedName name="楊烈" localSheetId="5">#REF!</definedName>
    <definedName name="楊烈" localSheetId="6">#REF!</definedName>
    <definedName name="楊烈" localSheetId="7">#REF!</definedName>
    <definedName name="楊烈" localSheetId="8">#REF!</definedName>
    <definedName name="楊烈" localSheetId="9">#REF!</definedName>
    <definedName name="楊烈" localSheetId="10">#REF!</definedName>
    <definedName name="楊烈" localSheetId="11">#REF!</definedName>
    <definedName name="楊烈">#REF!</definedName>
    <definedName name="一级下拉">[118]未闭环!#REF!</definedName>
    <definedName name="一线" localSheetId="4">#REF!</definedName>
    <definedName name="一线" localSheetId="3">#REF!</definedName>
    <definedName name="一线" localSheetId="2">#REF!</definedName>
    <definedName name="一线" localSheetId="5">#REF!</definedName>
    <definedName name="一线" localSheetId="6">#REF!</definedName>
    <definedName name="一线" localSheetId="7">#REF!</definedName>
    <definedName name="一线" localSheetId="8">#REF!</definedName>
    <definedName name="一线" localSheetId="9">#REF!</definedName>
    <definedName name="一线" localSheetId="10">#REF!</definedName>
    <definedName name="一线" localSheetId="11">#REF!</definedName>
    <definedName name="一线">#REF!</definedName>
    <definedName name="椅套" localSheetId="4">'[66]4 审核发现描述'!#REF!</definedName>
    <definedName name="椅套" localSheetId="3">'[66]4 审核发现描述'!#REF!</definedName>
    <definedName name="椅套" localSheetId="2">'[66]4 审核发现描述'!#REF!</definedName>
    <definedName name="椅套" localSheetId="5">'[66]4 审核发现描述'!#REF!</definedName>
    <definedName name="椅套" localSheetId="6">'[66]4 审核发现描述'!#REF!</definedName>
    <definedName name="椅套" localSheetId="7">'[66]4 审核发现描述'!#REF!</definedName>
    <definedName name="椅套" localSheetId="8">'[8]4 审核发现描述'!#REF!</definedName>
    <definedName name="椅套" localSheetId="9">'[8]4 审核发现描述'!#REF!</definedName>
    <definedName name="椅套" localSheetId="10">'[6]4 审核发现描述'!#REF!</definedName>
    <definedName name="椅套">'[7]4 审核发现描述'!#REF!</definedName>
    <definedName name="盈利" localSheetId="4">#REF!</definedName>
    <definedName name="盈利" localSheetId="3">#REF!</definedName>
    <definedName name="盈利" localSheetId="2">#REF!</definedName>
    <definedName name="盈利" localSheetId="5">#REF!</definedName>
    <definedName name="盈利" localSheetId="6">#REF!</definedName>
    <definedName name="盈利" localSheetId="7">#REF!</definedName>
    <definedName name="盈利" localSheetId="8">#REF!</definedName>
    <definedName name="盈利" localSheetId="9">#REF!</definedName>
    <definedName name="盈利" localSheetId="10">#REF!</definedName>
    <definedName name="盈利" localSheetId="11">#REF!</definedName>
    <definedName name="盈利">#REF!</definedName>
    <definedName name="営業用取得税">[121]!営業用取得税</definedName>
    <definedName name="営業用重量税">[121]!営業用重量税</definedName>
    <definedName name="园区">[120]Sheet2!$E$2:$E$20</definedName>
    <definedName name="原因">[101]Tﾁｬｰﾄ!$AG$19:$AG$36</definedName>
    <definedName name="月" localSheetId="4">#REF!</definedName>
    <definedName name="月" localSheetId="3">#REF!</definedName>
    <definedName name="月" localSheetId="2">#REF!</definedName>
    <definedName name="月" localSheetId="5">#REF!</definedName>
    <definedName name="月" localSheetId="6">#REF!</definedName>
    <definedName name="月" localSheetId="7">#REF!</definedName>
    <definedName name="月" localSheetId="8">#REF!</definedName>
    <definedName name="月" localSheetId="9">#REF!</definedName>
    <definedName name="月" localSheetId="10">#REF!</definedName>
    <definedName name="月" localSheetId="11">#REF!</definedName>
    <definedName name="月">#REF!</definedName>
    <definedName name="月份纵轴" localSheetId="4">#REF!</definedName>
    <definedName name="月份纵轴" localSheetId="3">#REF!</definedName>
    <definedName name="月份纵轴" localSheetId="2">#REF!</definedName>
    <definedName name="月份纵轴" localSheetId="5">#REF!</definedName>
    <definedName name="月份纵轴" localSheetId="6">#REF!</definedName>
    <definedName name="月份纵轴" localSheetId="7">#REF!</definedName>
    <definedName name="月份纵轴" localSheetId="8">#REF!</definedName>
    <definedName name="月份纵轴" localSheetId="9">#REF!</definedName>
    <definedName name="月份纵轴" localSheetId="10">#REF!</definedName>
    <definedName name="月份纵轴" localSheetId="11">#REF!</definedName>
    <definedName name="月份纵轴">#REF!</definedName>
    <definedName name="在" localSheetId="10">[50]数据输入!#REF!</definedName>
    <definedName name="在">[59]数据输入!#REF!</definedName>
    <definedName name="张祥" localSheetId="4">#REF!</definedName>
    <definedName name="张祥" localSheetId="3">#REF!</definedName>
    <definedName name="张祥" localSheetId="2">#REF!</definedName>
    <definedName name="张祥" localSheetId="5">#REF!</definedName>
    <definedName name="张祥" localSheetId="6">#REF!</definedName>
    <definedName name="张祥" localSheetId="7">#REF!</definedName>
    <definedName name="张祥" localSheetId="8">#REF!</definedName>
    <definedName name="张祥" localSheetId="9">#REF!</definedName>
    <definedName name="张祥" localSheetId="10">#REF!</definedName>
    <definedName name="张祥" localSheetId="11">#REF!</definedName>
    <definedName name="张祥">#REF!</definedName>
    <definedName name="症状">[101]Tﾁｬｰﾄ!$C$18:$I$18</definedName>
    <definedName name="症状順位" localSheetId="4">#REF!</definedName>
    <definedName name="症状順位" localSheetId="3">#REF!</definedName>
    <definedName name="症状順位" localSheetId="2">#REF!</definedName>
    <definedName name="症状順位" localSheetId="5">#REF!</definedName>
    <definedName name="症状順位" localSheetId="6">#REF!</definedName>
    <definedName name="症状順位" localSheetId="7">#REF!</definedName>
    <definedName name="症状順位" localSheetId="8">#REF!</definedName>
    <definedName name="症状順位" localSheetId="9">#REF!</definedName>
    <definedName name="症状順位" localSheetId="10">#REF!</definedName>
    <definedName name="症状順位" localSheetId="11">#REF!</definedName>
    <definedName name="症状順位">#REF!</definedName>
    <definedName name="直营" localSheetId="4">#REF!</definedName>
    <definedName name="直营" localSheetId="3">#REF!</definedName>
    <definedName name="直营" localSheetId="2">#REF!</definedName>
    <definedName name="直营" localSheetId="5">#REF!</definedName>
    <definedName name="直营" localSheetId="6">#REF!</definedName>
    <definedName name="直营" localSheetId="7">#REF!</definedName>
    <definedName name="直营" localSheetId="8">#REF!</definedName>
    <definedName name="直营" localSheetId="9">#REF!</definedName>
    <definedName name="直营" localSheetId="10">#REF!</definedName>
    <definedName name="直营" localSheetId="11">#REF!</definedName>
    <definedName name="直营">#REF!</definedName>
    <definedName name="质量" localSheetId="4">'[66]4 审核发现描述'!#REF!</definedName>
    <definedName name="质量" localSheetId="3">'[66]4 审核发现描述'!#REF!</definedName>
    <definedName name="质量" localSheetId="2">'[66]4 审核发现描述'!#REF!</definedName>
    <definedName name="质量" localSheetId="5">'[66]4 审核发现描述'!#REF!</definedName>
    <definedName name="质量" localSheetId="6">'[66]4 审核发现描述'!#REF!</definedName>
    <definedName name="质量" localSheetId="7">'[66]4 审核发现描述'!#REF!</definedName>
    <definedName name="质量" localSheetId="8">'[8]4 审核发现描述'!#REF!</definedName>
    <definedName name="质量" localSheetId="9">'[8]4 审核发现描述'!#REF!</definedName>
    <definedName name="质量" localSheetId="10">'[6]4 审核发现描述'!#REF!</definedName>
    <definedName name="质量">'[7]4 审核发现描述'!#REF!</definedName>
    <definedName name="质量平台" localSheetId="4">#REF!</definedName>
    <definedName name="质量平台" localSheetId="3">#REF!</definedName>
    <definedName name="质量平台" localSheetId="2">#REF!</definedName>
    <definedName name="质量平台" localSheetId="5">#REF!</definedName>
    <definedName name="质量平台" localSheetId="6">#REF!</definedName>
    <definedName name="质量平台" localSheetId="7">#REF!</definedName>
    <definedName name="质量平台" localSheetId="8">#REF!</definedName>
    <definedName name="质量平台" localSheetId="9">#REF!</definedName>
    <definedName name="质量平台" localSheetId="10">#REF!</definedName>
    <definedName name="质量平台" localSheetId="11">#REF!</definedName>
    <definedName name="质量平台">#REF!</definedName>
    <definedName name="中鬼片" localSheetId="4">#REF!</definedName>
    <definedName name="中鬼片" localSheetId="3">#REF!</definedName>
    <definedName name="中鬼片" localSheetId="2">#REF!</definedName>
    <definedName name="中鬼片" localSheetId="5">#REF!</definedName>
    <definedName name="中鬼片" localSheetId="6">#REF!</definedName>
    <definedName name="中鬼片" localSheetId="7">#REF!</definedName>
    <definedName name="中鬼片" localSheetId="8">#REF!</definedName>
    <definedName name="中鬼片" localSheetId="9">#REF!</definedName>
    <definedName name="中鬼片" localSheetId="10">#REF!</definedName>
    <definedName name="中鬼片" localSheetId="11">#REF!</definedName>
    <definedName name="中鬼片">#REF!</definedName>
    <definedName name="重庆" localSheetId="4">#REF!</definedName>
    <definedName name="重庆" localSheetId="3">#REF!</definedName>
    <definedName name="重庆" localSheetId="2">#REF!</definedName>
    <definedName name="重庆" localSheetId="5">#REF!</definedName>
    <definedName name="重庆" localSheetId="6">#REF!</definedName>
    <definedName name="重庆" localSheetId="7">#REF!</definedName>
    <definedName name="重庆" localSheetId="8">#REF!</definedName>
    <definedName name="重庆" localSheetId="9">#REF!</definedName>
    <definedName name="重庆" localSheetId="10">#REF!</definedName>
    <definedName name="重庆" localSheetId="11">#REF!</definedName>
    <definedName name="重庆">#REF!</definedName>
    <definedName name="重庆滚筒1月停机时汇总" localSheetId="4">#REF!</definedName>
    <definedName name="重庆滚筒1月停机时汇总" localSheetId="3">#REF!</definedName>
    <definedName name="重庆滚筒1月停机时汇总" localSheetId="2">#REF!</definedName>
    <definedName name="重庆滚筒1月停机时汇总" localSheetId="5">#REF!</definedName>
    <definedName name="重庆滚筒1月停机时汇总" localSheetId="6">#REF!</definedName>
    <definedName name="重庆滚筒1月停机时汇总" localSheetId="7">#REF!</definedName>
    <definedName name="重庆滚筒1月停机时汇总" localSheetId="8">#REF!</definedName>
    <definedName name="重庆滚筒1月停机时汇总" localSheetId="9">#REF!</definedName>
    <definedName name="重庆滚筒1月停机时汇总" localSheetId="10">#REF!</definedName>
    <definedName name="重庆滚筒1月停机时汇总" localSheetId="11">#REF!</definedName>
    <definedName name="重庆滚筒1月停机时汇总">#REF!</definedName>
    <definedName name="主箱" localSheetId="10">[50]数据输入!#REF!</definedName>
    <definedName name="主箱">[59]数据输入!#REF!</definedName>
    <definedName name="自动化">[114]改善路径!#REF!</definedName>
    <definedName name="自家用取得税">[121]!自家用取得税</definedName>
    <definedName name="自家用重量税">[121]!自家用重量税</definedName>
    <definedName name="总价格" localSheetId="4">#REF!</definedName>
    <definedName name="总价格" localSheetId="3">#REF!</definedName>
    <definedName name="总价格" localSheetId="2">#REF!</definedName>
    <definedName name="总价格" localSheetId="5">#REF!</definedName>
    <definedName name="总价格" localSheetId="6">#REF!</definedName>
    <definedName name="总价格" localSheetId="7">#REF!</definedName>
    <definedName name="总价格" localSheetId="8">#REF!</definedName>
    <definedName name="总价格" localSheetId="9">#REF!</definedName>
    <definedName name="总价格" localSheetId="10">#REF!</definedName>
    <definedName name="总价格" localSheetId="11">#REF!</definedName>
    <definedName name="总价格">#REF!</definedName>
    <definedName name="사업부">#N/A</definedName>
    <definedName name="신" localSheetId="4">#REF!</definedName>
    <definedName name="신" localSheetId="3">#REF!</definedName>
    <definedName name="신" localSheetId="2">#REF!</definedName>
    <definedName name="신" localSheetId="5">#REF!</definedName>
    <definedName name="신" localSheetId="6">#REF!</definedName>
    <definedName name="신" localSheetId="7">#REF!</definedName>
    <definedName name="신" localSheetId="8">#REF!</definedName>
    <definedName name="신" localSheetId="9">#REF!</definedName>
    <definedName name="신" localSheetId="10">#REF!</definedName>
    <definedName name="신" localSheetId="11">#REF!</definedName>
    <definedName name="신">#REF!</definedName>
    <definedName name="신냉매" localSheetId="4">#REF!</definedName>
    <definedName name="신냉매" localSheetId="3">#REF!</definedName>
    <definedName name="신냉매" localSheetId="2">#REF!</definedName>
    <definedName name="신냉매" localSheetId="5">#REF!</definedName>
    <definedName name="신냉매" localSheetId="6">#REF!</definedName>
    <definedName name="신냉매" localSheetId="7">#REF!</definedName>
    <definedName name="신냉매" localSheetId="8">#REF!</definedName>
    <definedName name="신냉매" localSheetId="9">#REF!</definedName>
    <definedName name="신냉매" localSheetId="10">#REF!</definedName>
    <definedName name="신냉매" localSheetId="11">#REF!</definedName>
    <definedName name="신냉매">#REF!</definedName>
    <definedName name="에너지" localSheetId="4">#REF!</definedName>
    <definedName name="에너지" localSheetId="3">#REF!</definedName>
    <definedName name="에너지" localSheetId="2">#REF!</definedName>
    <definedName name="에너지" localSheetId="5">#REF!</definedName>
    <definedName name="에너지" localSheetId="6">#REF!</definedName>
    <definedName name="에너지" localSheetId="7">#REF!</definedName>
    <definedName name="에너지" localSheetId="8">#REF!</definedName>
    <definedName name="에너지" localSheetId="9">#REF!</definedName>
    <definedName name="에너지" localSheetId="10">#REF!</definedName>
    <definedName name="에너지" localSheetId="11">#REF!</definedName>
    <definedName name="에너지">#REF!</definedName>
    <definedName name="외근계">#N/A</definedName>
    <definedName name="외근무료">#N/A</definedName>
    <definedName name="외근유료">#N/A</definedName>
    <definedName name="자체계">#N/A</definedName>
    <definedName name="자체무료">#N/A</definedName>
    <definedName name="자체유료">#N/A</definedName>
    <definedName name="전" localSheetId="4">#REF!</definedName>
    <definedName name="전" localSheetId="3">#REF!</definedName>
    <definedName name="전" localSheetId="2">#REF!</definedName>
    <definedName name="전" localSheetId="5">#REF!</definedName>
    <definedName name="전" localSheetId="6">#REF!</definedName>
    <definedName name="전" localSheetId="7">#REF!</definedName>
    <definedName name="전" localSheetId="8">#REF!</definedName>
    <definedName name="전" localSheetId="9">#REF!</definedName>
    <definedName name="전" localSheetId="10">#REF!</definedName>
    <definedName name="전" localSheetId="11">#REF!</definedName>
    <definedName name="전">#REF!</definedName>
    <definedName name="제품군">"JEPUM"</definedName>
    <definedName name="주택사업본부" localSheetId="4">#REF!</definedName>
    <definedName name="주택사업본부" localSheetId="3">#REF!</definedName>
    <definedName name="주택사업본부" localSheetId="2">#REF!</definedName>
    <definedName name="주택사업본부" localSheetId="5">#REF!</definedName>
    <definedName name="주택사업본부" localSheetId="6">#REF!</definedName>
    <definedName name="주택사업본부" localSheetId="7">#REF!</definedName>
    <definedName name="주택사업본부" localSheetId="8">#REF!</definedName>
    <definedName name="주택사업본부" localSheetId="9">#REF!</definedName>
    <definedName name="주택사업본부" localSheetId="10">#REF!</definedName>
    <definedName name="주택사업본부" localSheetId="11">#REF!</definedName>
    <definedName name="주택사업본부">#REF!</definedName>
    <definedName name="철구사업본부" localSheetId="4">#REF!</definedName>
    <definedName name="철구사업본부" localSheetId="3">#REF!</definedName>
    <definedName name="철구사업본부" localSheetId="2">#REF!</definedName>
    <definedName name="철구사업본부" localSheetId="5">#REF!</definedName>
    <definedName name="철구사업본부" localSheetId="6">#REF!</definedName>
    <definedName name="철구사업본부" localSheetId="7">#REF!</definedName>
    <definedName name="철구사업본부" localSheetId="8">#REF!</definedName>
    <definedName name="철구사업본부" localSheetId="9">#REF!</definedName>
    <definedName name="철구사업본부" localSheetId="10">#REF!</definedName>
    <definedName name="철구사업본부" localSheetId="11">#REF!</definedName>
    <definedName name="철구사업본부">#REF!</definedName>
    <definedName name="총계">#N/A</definedName>
    <definedName name="총무료">#N/A</definedName>
    <definedName name="총유료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<sst xmlns="http://schemas.openxmlformats.org/spreadsheetml/2006/main" count="4446" uniqueCount="907">
  <si>
    <t>1月费用总结：
①单：1月同期35欧元/台，订单量4.86万台，预测单台费用36.4欧元/台，较同期↑3.9%；实际37.48欧元/台，较同期↑6%
共梳理出8个问题</t>
  </si>
  <si>
    <t>KPI</t>
  </si>
  <si>
    <t>ACT 2025</t>
  </si>
  <si>
    <t>Budget</t>
  </si>
  <si>
    <t xml:space="preserve">Budget-ACT VARIANCE </t>
  </si>
  <si>
    <t>Act</t>
  </si>
  <si>
    <t xml:space="preserve">CPU-Y0Y </t>
  </si>
  <si>
    <t>Analysis</t>
  </si>
  <si>
    <t>QTY</t>
  </si>
  <si>
    <t>Work days</t>
  </si>
  <si>
    <t>Direct Labour</t>
  </si>
  <si>
    <t>Direct Labour avrerage salary</t>
  </si>
  <si>
    <t>Direct Labour crease，Why decrease？
人数上涨，工资下降</t>
  </si>
  <si>
    <t>indirect Labour</t>
  </si>
  <si>
    <t>indirect Labour avrerage salary</t>
  </si>
  <si>
    <t>Fixed Labour</t>
  </si>
  <si>
    <t>Fixed avrerage salary</t>
  </si>
  <si>
    <t>Why crease
上涨293万</t>
  </si>
  <si>
    <t>UPH</t>
  </si>
  <si>
    <t>CPU</t>
  </si>
  <si>
    <t>CS_Depreciation</t>
  </si>
  <si>
    <t>CS_Fix Cost</t>
  </si>
  <si>
    <t>Why crease？
固定人工预测上涨0.18</t>
  </si>
  <si>
    <t>CS_Obsolescence</t>
  </si>
  <si>
    <t>CS_Fix Utilities</t>
  </si>
  <si>
    <t>Indirect Labour</t>
  </si>
  <si>
    <t>CS_Semifix</t>
  </si>
  <si>
    <t>Why crease？
半固定单台上涨0.49</t>
  </si>
  <si>
    <t xml:space="preserve"> CS_Direct Labour</t>
  </si>
  <si>
    <t>CS_SCRAP_VARIABLE</t>
  </si>
  <si>
    <t>CS_Variable Cost</t>
  </si>
  <si>
    <t xml:space="preserve"> CS_Reselling</t>
  </si>
  <si>
    <t xml:space="preserve"> CS_Variable Utilities</t>
  </si>
  <si>
    <t>GMA</t>
  </si>
  <si>
    <t>IT Expense-Internal Charge Out</t>
  </si>
  <si>
    <t>Association dues</t>
  </si>
  <si>
    <t>G&amp;A</t>
  </si>
  <si>
    <t>类型</t>
  </si>
  <si>
    <t>CODE</t>
  </si>
  <si>
    <t>Description</t>
  </si>
  <si>
    <t>Description(CN)</t>
  </si>
  <si>
    <t>K€</t>
  </si>
  <si>
    <t>QTY-2025</t>
  </si>
  <si>
    <t>Budget-QTY</t>
  </si>
  <si>
    <t>ACT-QTY</t>
  </si>
  <si>
    <t>MFG-2025</t>
  </si>
  <si>
    <t>CPU-2025</t>
  </si>
  <si>
    <t>Budget-2026</t>
  </si>
  <si>
    <t>Budget-CPU-2026</t>
  </si>
  <si>
    <t>ACT-2026</t>
  </si>
  <si>
    <t>ACT-CPU-2026</t>
  </si>
  <si>
    <t>CPU-Y0Y</t>
  </si>
  <si>
    <t>Budget-ACT VARIANCE</t>
  </si>
  <si>
    <t>CPU-Y0Y Analysis</t>
  </si>
  <si>
    <t>Budget-ACT VARIANCE Analysis</t>
  </si>
  <si>
    <t>折旧</t>
  </si>
  <si>
    <t xml:space="preserve">    6666110101  Depreciation of buildings</t>
  </si>
  <si>
    <t>建筑物折旧</t>
  </si>
  <si>
    <t xml:space="preserve">    6666110106  Depreciation of R&amp;D facilities</t>
  </si>
  <si>
    <t>研发设施折旧</t>
  </si>
  <si>
    <t xml:space="preserve">    6666110107  Depreciation of mold　</t>
  </si>
  <si>
    <t>模具折旧</t>
  </si>
  <si>
    <t xml:space="preserve">    6666110110  Depreciation-Plant &amp; Machinery</t>
  </si>
  <si>
    <t>厂房及机械折旧</t>
  </si>
  <si>
    <t xml:space="preserve">    6666110112  Depreciation of Furniture &amp; Fixture</t>
  </si>
  <si>
    <t>家具及装置折旧</t>
  </si>
  <si>
    <t xml:space="preserve">    6666110204  Amortization of license, trademarks and</t>
  </si>
  <si>
    <t>许可证、商标及摊销</t>
  </si>
  <si>
    <t xml:space="preserve">    6666110207  Amortization of Software</t>
  </si>
  <si>
    <t>软件摊销</t>
  </si>
  <si>
    <t xml:space="preserve">    6666110506  Amortization-Leasehold Improvement</t>
  </si>
  <si>
    <t>租赁改良摊销</t>
  </si>
  <si>
    <t>6666110206</t>
  </si>
  <si>
    <t xml:space="preserve">    6666110206 Amortization of Patents</t>
  </si>
  <si>
    <t>专利摊销</t>
  </si>
  <si>
    <t xml:space="preserve">FIX </t>
  </si>
  <si>
    <t>*   CS_Depreciation</t>
  </si>
  <si>
    <t>* CS_折旧</t>
  </si>
  <si>
    <t>直接人工</t>
  </si>
  <si>
    <t xml:space="preserve">    5001010205  Unemployment Insurance -blue collar-Dire</t>
  </si>
  <si>
    <t>失业保险-蓝领-直接</t>
  </si>
  <si>
    <t xml:space="preserve">    6666010380  Incentive</t>
  </si>
  <si>
    <t>激励</t>
  </si>
  <si>
    <t>在2025年，社会安全额外支付了21千欧元。然而，为了详细解释差异，我们需要人力资源部门。因为劳动成本的计算是由他们完成的。</t>
  </si>
  <si>
    <t xml:space="preserve">    6666010019  Payroll Taxes - Blue Collar Direct</t>
  </si>
  <si>
    <t>这个账户与直接劳动工资税有关。由于工资金额和人力成本的增加（2025法案218至2026预算247），该账户有所增加。然而，为了详细解释差异，我们需要人力资源部门。因为劳动成本的计算是由他们完成的。</t>
  </si>
  <si>
    <t xml:space="preserve">    6666010183  Overtime-Blue Collar-Direct</t>
  </si>
  <si>
    <t>蓝领加班费-直接</t>
  </si>
  <si>
    <t xml:space="preserve">    6666010229  Staff Leaving Indemnity - Blue Collar Di</t>
  </si>
  <si>
    <t>蓝领离职赔偿-直接</t>
  </si>
  <si>
    <t xml:space="preserve">    6666010188  Salary - Blue collar direct employees</t>
  </si>
  <si>
    <t>蓝领直接员工工资</t>
  </si>
  <si>
    <t xml:space="preserve">    5102040406  Other revenue-Service/Secondment agreeme</t>
  </si>
  <si>
    <t>其他收入-服务/派遣协议</t>
  </si>
  <si>
    <t xml:space="preserve">    6666010115  Salary-Blue collar direct employees-Accr</t>
  </si>
  <si>
    <t>蓝领直接员工工资-应计</t>
  </si>
  <si>
    <t xml:space="preserve">VAR </t>
  </si>
  <si>
    <t>*   CS_Direct Labour</t>
  </si>
  <si>
    <t>* CS_直接劳动</t>
  </si>
  <si>
    <t>可回收废料</t>
  </si>
  <si>
    <t xml:space="preserve">    8701530201  Scrap-Raw Material - Managerial</t>
  </si>
  <si>
    <t>废料-原材料-管理</t>
  </si>
  <si>
    <t xml:space="preserve">    6666050309  SFG scrap</t>
  </si>
  <si>
    <t>SFG废料</t>
  </si>
  <si>
    <t xml:space="preserve">    6666050308  Raw material scrap</t>
  </si>
  <si>
    <t>原材料废料</t>
  </si>
  <si>
    <t>我们应该考虑废料的总金额以便进行比较。2025年实际废料成本包括原材料、半成品和成品废料。然而在预算中，我们将总废料金额计入一个账户，因为我们不知道账户之间的分配。</t>
  </si>
  <si>
    <t xml:space="preserve">    6666050306  Finished goods scrap</t>
  </si>
  <si>
    <t>成品废料</t>
  </si>
  <si>
    <t>*   CS_SCRAP_VARIABLE</t>
  </si>
  <si>
    <t>* CS_废料变量</t>
  </si>
  <si>
    <t>组织运营</t>
  </si>
  <si>
    <t xml:space="preserve">    5102010151  Other Rev.-Interco-Epidemic problem comp</t>
  </si>
  <si>
    <t>其他收入-内部公司-疫情问题补偿</t>
  </si>
  <si>
    <t xml:space="preserve">    5001010200  Cost of Manufacture - Raw Material</t>
  </si>
  <si>
    <t>制造成本-原材料</t>
  </si>
  <si>
    <t xml:space="preserve">    5001010201  Cost of Manufacture - Raw Material-Freig</t>
  </si>
  <si>
    <t>制造成本-原材料-运费</t>
  </si>
  <si>
    <t xml:space="preserve">    5207000011  Gain of tangible asset disposal</t>
  </si>
  <si>
    <t>有形资产处置收益</t>
  </si>
  <si>
    <t xml:space="preserve">    5207000012  Loss of tangible asset sold</t>
  </si>
  <si>
    <t>出售有形资产损失</t>
  </si>
  <si>
    <t xml:space="preserve">    5207000022  Loss of intangible asset disposal</t>
  </si>
  <si>
    <t>无形资产处置损失</t>
  </si>
  <si>
    <t xml:space="preserve">    5301060000  Other Income-Subsidy income</t>
  </si>
  <si>
    <t>其他收入-补贴收入</t>
  </si>
  <si>
    <t xml:space="preserve">    5301999999  Non-operation revenue-Other</t>
  </si>
  <si>
    <t>非经营收入-其他</t>
  </si>
  <si>
    <t xml:space="preserve">    5405030000  Other cost-others</t>
  </si>
  <si>
    <t>其他成本-其他</t>
  </si>
  <si>
    <t xml:space="preserve">    5601050000  Non-Operating Expense - Penalty</t>
  </si>
  <si>
    <t>非经营费用-罚款</t>
  </si>
  <si>
    <t xml:space="preserve">    5601050100  Non-operation Expense-Others</t>
  </si>
  <si>
    <t>非经营费用-其他</t>
  </si>
  <si>
    <t xml:space="preserve">    5102040893  Other revenue-Charge out-Test Expense</t>
  </si>
  <si>
    <t>其他收入-费用支出-测试费用</t>
  </si>
  <si>
    <t xml:space="preserve">   5801000041  Previous year Sundry cost</t>
  </si>
  <si>
    <t>去年杂项成本</t>
  </si>
  <si>
    <t xml:space="preserve">    6666010322  fuel allowance</t>
  </si>
  <si>
    <t>燃料津贴</t>
  </si>
  <si>
    <t xml:space="preserve">    6666020101  Entertainment</t>
  </si>
  <si>
    <t>娱乐</t>
  </si>
  <si>
    <t>这个账户中有一些与工会协议相关的费用（野餐、早餐等）。在2025年我们没有使用这笔预算。然而，我们必须为这个账户做预算，以防工会要求支出。</t>
  </si>
  <si>
    <t xml:space="preserve">    6666020201  Domestic business travel</t>
  </si>
  <si>
    <t>国内商务旅行</t>
  </si>
  <si>
    <t>2026年为总部同事增加19千欧元的额外预算</t>
  </si>
  <si>
    <t xml:space="preserve">    6666020202  Overseas business travel</t>
  </si>
  <si>
    <t>海外商务旅行</t>
  </si>
  <si>
    <t xml:space="preserve">    6666020204  Travel expense pay to agency</t>
  </si>
  <si>
    <t>支付给代理的旅行费用</t>
  </si>
  <si>
    <t xml:space="preserve">    6666020205  Business travel-other</t>
  </si>
  <si>
    <t>商务旅行-其他</t>
  </si>
  <si>
    <t xml:space="preserve">    6666020301  Staff communic</t>
  </si>
  <si>
    <t>员工通讯</t>
  </si>
  <si>
    <t xml:space="preserve">    6666020302  Communication Expenses</t>
  </si>
  <si>
    <t>通讯费用</t>
  </si>
  <si>
    <t>6666020403</t>
  </si>
  <si>
    <t xml:space="preserve">    6666020403  Company car expense</t>
  </si>
  <si>
    <t>公司车辆费用</t>
  </si>
  <si>
    <t xml:space="preserve">    6666020405  Company car expense - maintenance fees</t>
  </si>
  <si>
    <t>公司车辆费用-维护费</t>
  </si>
  <si>
    <t xml:space="preserve">    6666020495  Non-deductible expense-travel.</t>
  </si>
  <si>
    <t>不可扣除费用-旅行</t>
  </si>
  <si>
    <t xml:space="preserve">    6666020504  Newspaper and Periodicals expenditure</t>
  </si>
  <si>
    <t>报纸和期刊支出</t>
  </si>
  <si>
    <t xml:space="preserve">    6666020508  Postage</t>
  </si>
  <si>
    <t>邮资</t>
  </si>
  <si>
    <t xml:space="preserve">    6666020602  Training costs Outside the group</t>
  </si>
  <si>
    <t>集团外培训费用</t>
  </si>
  <si>
    <t>5千欧元的设备许可费加上2026年生产需求的10千欧元额外预算</t>
  </si>
  <si>
    <t xml:space="preserve">    6666020701  Enterprise Property Insurance</t>
  </si>
  <si>
    <t>企业财产保险</t>
  </si>
  <si>
    <t xml:space="preserve">    6666020802  Equipment rental cost</t>
  </si>
  <si>
    <t>设备租赁成本</t>
  </si>
  <si>
    <t xml:space="preserve">    6666020803  Car rental cost</t>
  </si>
  <si>
    <t>汽车租赁成本</t>
  </si>
  <si>
    <t xml:space="preserve">    6666021100  Consulting fees</t>
  </si>
  <si>
    <t>咨询费</t>
  </si>
  <si>
    <t xml:space="preserve">    6666021104  Consulting expense-Technical</t>
  </si>
  <si>
    <t>技术咨询费用</t>
  </si>
  <si>
    <t xml:space="preserve">    6666021902  Cleaning fees</t>
  </si>
  <si>
    <t>清洁费</t>
  </si>
  <si>
    <t xml:space="preserve">    6666022100  Security</t>
  </si>
  <si>
    <t>保安</t>
  </si>
  <si>
    <t xml:space="preserve">    6666022300  Association dues</t>
  </si>
  <si>
    <t>会费</t>
  </si>
  <si>
    <t xml:space="preserve">    6666029700  Service fee recharge</t>
  </si>
  <si>
    <t>服务费回收费</t>
  </si>
  <si>
    <t xml:space="preserve">    6666029900  Sundry Expenses</t>
  </si>
  <si>
    <t>杂项费用</t>
  </si>
  <si>
    <t xml:space="preserve">    6666029996  Non-deductible expense-travel.</t>
  </si>
  <si>
    <t xml:space="preserve">    6666029997  restructure cost</t>
  </si>
  <si>
    <t>重组成本</t>
  </si>
  <si>
    <t xml:space="preserve">    6666030702  R&amp;D prototype purchased</t>
  </si>
  <si>
    <t>R&amp;D原型采购</t>
  </si>
  <si>
    <t xml:space="preserve">    6666031200  Instrument fee</t>
  </si>
  <si>
    <t>仪器费用</t>
  </si>
  <si>
    <t xml:space="preserve">    6666050107  Special distribution costs</t>
  </si>
  <si>
    <t>特殊分配成本</t>
  </si>
  <si>
    <t xml:space="preserve">    6666070100  Software purchase, development and imple</t>
  </si>
  <si>
    <t>软件采购、开发及实施</t>
  </si>
  <si>
    <t xml:space="preserve">    6666070300  Software maintenance fees</t>
  </si>
  <si>
    <t>软件维护费</t>
  </si>
  <si>
    <t xml:space="preserve">    6666070400  IT maint. &amp; repairs hardware</t>
  </si>
  <si>
    <t>IT维护及硬件修理</t>
  </si>
  <si>
    <t>我有一个25预算与26预算的比较。请查看黄色表格。如果您需要更多细节，我需要与IT团队沟通。</t>
  </si>
  <si>
    <t xml:space="preserve">    5401050201  COGS-Special a</t>
  </si>
  <si>
    <t>销售成本-特殊项目</t>
  </si>
  <si>
    <t xml:space="preserve">    5401020212  Local Transpor</t>
  </si>
  <si>
    <t>本地运输</t>
  </si>
  <si>
    <t>6666020801 - HOUSING RENTAL COST</t>
  </si>
  <si>
    <t>6666020801 - 住房租赁成本</t>
  </si>
  <si>
    <t>生产耗用</t>
  </si>
  <si>
    <t>*   CS_Fix Cost</t>
  </si>
  <si>
    <t>* CS_固定成本</t>
  </si>
  <si>
    <t xml:space="preserve">    6666110203  Low value consumables</t>
  </si>
  <si>
    <t>低值易耗品</t>
  </si>
  <si>
    <t xml:space="preserve">    5102040000  Other Revenue - Other</t>
  </si>
  <si>
    <t>其他收入-其他</t>
  </si>
  <si>
    <t xml:space="preserve">    6666050307  Inventory count different-raw material</t>
  </si>
  <si>
    <t>原材料库存盘点差异</t>
  </si>
  <si>
    <t xml:space="preserve">    6666050312  Inventory count different- Semifinished</t>
  </si>
  <si>
    <t>半成品库存盘点差异</t>
  </si>
  <si>
    <t>存货跌价准备</t>
  </si>
  <si>
    <t>*   CS_Variable Cost</t>
  </si>
  <si>
    <t>* CS_变动成本</t>
  </si>
  <si>
    <t xml:space="preserve">    6666100203  Provision for inventory devaluation - RM</t>
  </si>
  <si>
    <t>存货减值准备-原材料</t>
  </si>
  <si>
    <t>废品回收</t>
  </si>
  <si>
    <t>*   CS_Obsolescence</t>
  </si>
  <si>
    <t>* CS_过时</t>
  </si>
  <si>
    <t xml:space="preserve">    5301070000  Non-operation revenue-sales of scrapped</t>
  </si>
  <si>
    <t>非经营收入-销售废品</t>
  </si>
  <si>
    <t>2026年3月，废料销售合同将到期。根据采购团队的说法，销售单价将低于2025年的实际价格。这就是我们看到减少的原因。</t>
  </si>
  <si>
    <t>固定能源</t>
  </si>
  <si>
    <t>*   CS_Reselling</t>
  </si>
  <si>
    <t>* CS_转售</t>
  </si>
  <si>
    <t xml:space="preserve">    6666021602  Electricity</t>
  </si>
  <si>
    <t>电费</t>
  </si>
  <si>
    <t xml:space="preserve">    6666021603  Water</t>
  </si>
  <si>
    <t xml:space="preserve">     6666021603   水</t>
  </si>
  <si>
    <t xml:space="preserve">    6666021604  Oil &amp; Gas man Adj in Reporting </t>
  </si>
  <si>
    <t xml:space="preserve">     6666021604   报告中的石油与天然气调整</t>
  </si>
  <si>
    <t>变动能源</t>
  </si>
  <si>
    <t>*   CS_Fix Utilities</t>
  </si>
  <si>
    <t>*    CS_Fix Utilities</t>
  </si>
  <si>
    <t xml:space="preserve">    6666021600  Energy and power cost</t>
  </si>
  <si>
    <t xml:space="preserve">     6666021600   能源和电力成本</t>
  </si>
  <si>
    <t xml:space="preserve">    6666021604  Oil &amp; Gas</t>
  </si>
  <si>
    <t xml:space="preserve">     6666021604   石油与天然气</t>
  </si>
  <si>
    <t>间接人工</t>
  </si>
  <si>
    <t>*   CS_Variable Utilities</t>
  </si>
  <si>
    <t>*    CS_Variable Utilities</t>
  </si>
  <si>
    <t xml:space="preserve">    5001010206  Unemployment Insurance -blue collar-Indi</t>
  </si>
  <si>
    <t xml:space="preserve">     5001010206   失业保险 - 蓝领 - 个人</t>
  </si>
  <si>
    <t xml:space="preserve">    6666010184  Salary&amp;Additional Incentive-Blue Collar-</t>
  </si>
  <si>
    <t xml:space="preserve">     6666010184   工资与额外激励 - 蓝领</t>
  </si>
  <si>
    <t>为了详细解释差异，我们需要人力资源部门。因为劳动成本的计算是由他们完成的。</t>
  </si>
  <si>
    <t xml:space="preserve">    6666010186  Overtime-Blue Collar-Indirect</t>
  </si>
  <si>
    <t xml:space="preserve">     6666010186   加班 - 蓝领 - 间接</t>
  </si>
  <si>
    <t xml:space="preserve">    6666010189  Salary - Blue collar indirect employees</t>
  </si>
  <si>
    <t xml:space="preserve">     6666010189   工资 - 蓝领间接员工</t>
  </si>
  <si>
    <t xml:space="preserve">    6666010012  Payroll Taxes- Blue Collar Indirect</t>
  </si>
  <si>
    <t xml:space="preserve">     6666010012   工资税 - 蓝领间接</t>
  </si>
  <si>
    <t xml:space="preserve">    6666010226  Staff Leaving Indemnity - Blue Collar In</t>
  </si>
  <si>
    <t xml:space="preserve">     6666010226   离职赔偿 - 蓝领个人</t>
  </si>
  <si>
    <t xml:space="preserve">    6666010102  Salary-Blue collar indirect employees- A</t>
  </si>
  <si>
    <t xml:space="preserve">     6666010102   工资 - 蓝领间接员工 - A</t>
  </si>
  <si>
    <t>固定人工</t>
  </si>
  <si>
    <t>FIX</t>
  </si>
  <si>
    <t>*   CS_Indirect Labour</t>
  </si>
  <si>
    <t>*    CS_Indirect Labour</t>
  </si>
  <si>
    <t xml:space="preserve">    6666010196  Payroll Taxes-White Collar Employee</t>
  </si>
  <si>
    <t xml:space="preserve">     6666010196   工资税 - 白领员工</t>
  </si>
  <si>
    <t xml:space="preserve">    6666010101  Salary - White collar employees</t>
  </si>
  <si>
    <t xml:space="preserve">     6666010101   工资 - 白领员工</t>
  </si>
  <si>
    <t xml:space="preserve">    6666010199  Salary-White collar employees -Accrued</t>
  </si>
  <si>
    <t xml:space="preserve">     6666010199   工资 - 白领员工 - 应计</t>
  </si>
  <si>
    <t xml:space="preserve">    6666010185  Salary&amp;Additional Incentive-White Collar</t>
  </si>
  <si>
    <t xml:space="preserve">     6666010185   工资与额外激励 - 白领</t>
  </si>
  <si>
    <t xml:space="preserve">    6666010207  Unemployment insurance companies to pay</t>
  </si>
  <si>
    <t xml:space="preserve">     6666010207   失业保险 - 公司支付</t>
  </si>
  <si>
    <t xml:space="preserve">     5102040406   其他收入 - 服务/派遣协议</t>
  </si>
  <si>
    <t xml:space="preserve">    6666010227  Staff Leaving Indemnity - White collar E</t>
  </si>
  <si>
    <t xml:space="preserve">     6666010227   离职赔偿 - 白领个人</t>
  </si>
  <si>
    <t>半固定</t>
  </si>
  <si>
    <t>*   CS_Fixed Labour</t>
  </si>
  <si>
    <t>*    CS_Fixed Labour</t>
  </si>
  <si>
    <t xml:space="preserve">    6666010302  Medical expenses</t>
  </si>
  <si>
    <t xml:space="preserve">     6666010302   医疗费用</t>
  </si>
  <si>
    <t xml:space="preserve">    6666010314  Work uniforms</t>
  </si>
  <si>
    <t xml:space="preserve">     6666010314   工作服</t>
  </si>
  <si>
    <t xml:space="preserve">    6666010315  Work uniforms_Social Aids</t>
  </si>
  <si>
    <t xml:space="preserve">     6666010315   工作服_社会援助</t>
  </si>
  <si>
    <t>我们应该将这两个账户一起考虑。在2025年，我们将制服和社会援助计入一个账户。然而为了看到价格效应，我们将它们分为两个账户：制服和社会援助。</t>
  </si>
  <si>
    <t xml:space="preserve">    6666020401  local transportation - bus and taxi</t>
  </si>
  <si>
    <t xml:space="preserve">     6666020401   本地交通 - 公交和出租车</t>
  </si>
  <si>
    <t xml:space="preserve">    6666020502  Working meals</t>
  </si>
  <si>
    <t xml:space="preserve">     6666020502   工作餐</t>
  </si>
  <si>
    <t xml:space="preserve">    6666020503  Office supplies</t>
  </si>
  <si>
    <t xml:space="preserve">     6666020503   办公用品</t>
  </si>
  <si>
    <t xml:space="preserve">    6666021502  Repair &amp; Maintain - Building&amp;office</t>
  </si>
  <si>
    <t xml:space="preserve">     6666021502   维修与保养 - 建筑与办公室</t>
  </si>
  <si>
    <t>我们应该将这三个账户一起考虑作为维护。在2025年实际中，我们有100千欧元的ACE节省作为一次性事件加上133千欧元的MFG节省（因为我们没有花费这笔钱）。然而我们应该将这些金额预算为预防性的。</t>
  </si>
  <si>
    <t xml:space="preserve">    6666021503  Repair &amp; Maintain - Tooling &amp; Equipments</t>
  </si>
  <si>
    <t xml:space="preserve">     6666021503   维修与保养 - 工具与设备</t>
  </si>
  <si>
    <t xml:space="preserve">    6666021506  Repairs &amp; Maintenance - Plant &amp; Machiner</t>
  </si>
  <si>
    <t xml:space="preserve">     6666021506   维修与保养 - 工厂与机械</t>
  </si>
  <si>
    <t>6666030300 Design and development fees</t>
  </si>
  <si>
    <t>6666030300 设计与开发费用</t>
  </si>
  <si>
    <t xml:space="preserve">    6666091600  Garbage disposal charge</t>
  </si>
  <si>
    <t xml:space="preserve">     6666091600   垃圾处理费</t>
  </si>
  <si>
    <t xml:space="preserve">    6666021500  Repairs cost</t>
  </si>
  <si>
    <t>*   CS_Semifix</t>
  </si>
  <si>
    <t>*    CS_Semifix</t>
  </si>
  <si>
    <t>6666110110 固定资产折旧-机器与机械</t>
  </si>
  <si>
    <t>6666110112 家具及装置折旧</t>
  </si>
  <si>
    <t>6666110207 软件摊销</t>
  </si>
  <si>
    <t xml:space="preserve">     6666110506   摊销-租赁改良</t>
  </si>
  <si>
    <t>CS_Depreci</t>
  </si>
  <si>
    <t>*    CS_折旧</t>
  </si>
  <si>
    <t xml:space="preserve">     6666010380   激励</t>
  </si>
  <si>
    <t xml:space="preserve">    5102040406  Other revenue-Servic</t>
  </si>
  <si>
    <t xml:space="preserve">     5102040406   其他收入-服务</t>
  </si>
  <si>
    <t xml:space="preserve">CS_Direct </t>
  </si>
  <si>
    <t>*    CS_直接劳动</t>
  </si>
  <si>
    <t xml:space="preserve">     6666029996   不可扣除费用-差旅</t>
  </si>
  <si>
    <t xml:space="preserve">     6666029700   服务费回充</t>
  </si>
  <si>
    <t xml:space="preserve">     6666010322   燃油津贴</t>
  </si>
  <si>
    <t xml:space="preserve">     6666020495   不可扣除费用-差旅</t>
  </si>
  <si>
    <t xml:space="preserve">     5301060000   其他收入-补贴收入</t>
  </si>
  <si>
    <t xml:space="preserve">     5601050000   非经营费用-罚款</t>
  </si>
  <si>
    <t xml:space="preserve">     5601050100   非经营费用-其他</t>
  </si>
  <si>
    <t xml:space="preserve">    5601080000  Non-operating expens</t>
  </si>
  <si>
    <t xml:space="preserve">     5601080000   非经营费用</t>
  </si>
  <si>
    <t xml:space="preserve">     6666020101   娱乐</t>
  </si>
  <si>
    <t xml:space="preserve">    6666021200  Audit fee</t>
  </si>
  <si>
    <t xml:space="preserve">     6666021200   审计费</t>
  </si>
  <si>
    <t xml:space="preserve">     6666020201   国内商务差旅</t>
  </si>
  <si>
    <t xml:space="preserve">     6666020202   海外商务差旅</t>
  </si>
  <si>
    <t xml:space="preserve">     6666020204   支付给代理的差旅费用</t>
  </si>
  <si>
    <t xml:space="preserve">    6666020301  Staff communication expense</t>
  </si>
  <si>
    <t xml:space="preserve">     6666020301   员工通讯费用</t>
  </si>
  <si>
    <t xml:space="preserve">     6666020403   公司车辆费用</t>
  </si>
  <si>
    <t xml:space="preserve">     6666020504   报纸和期刊支出</t>
  </si>
  <si>
    <t xml:space="preserve">     6666020508   邮资</t>
  </si>
  <si>
    <t xml:space="preserve">    6666020601  Training costs within the Group</t>
  </si>
  <si>
    <t xml:space="preserve">     6666020601   集团内培训费用</t>
  </si>
  <si>
    <t xml:space="preserve">     6666020701   企业财产保险</t>
  </si>
  <si>
    <t xml:space="preserve">    6666020801  Housing rental cost</t>
  </si>
  <si>
    <t xml:space="preserve">     6666020801   房屋租赁成本</t>
  </si>
  <si>
    <t xml:space="preserve">     6666020803   汽车租赁成本</t>
  </si>
  <si>
    <t xml:space="preserve">     6666021100   咨询费</t>
  </si>
  <si>
    <t xml:space="preserve">    6666021102  Consulting expense-tax</t>
  </si>
  <si>
    <t xml:space="preserve">     6666021102   咨询费用-税务</t>
  </si>
  <si>
    <t xml:space="preserve">     6666021104   咨询费用-技术</t>
  </si>
  <si>
    <t xml:space="preserve">    6666021103  Consulting expense-finance</t>
  </si>
  <si>
    <t xml:space="preserve">     6666021103   咨询费用-财务</t>
  </si>
  <si>
    <t xml:space="preserve">    6666021300  Legal fees</t>
  </si>
  <si>
    <t xml:space="preserve">     6666021300   法律费用</t>
  </si>
  <si>
    <t xml:space="preserve">     6666021902   清洁费</t>
  </si>
  <si>
    <t xml:space="preserve">     6666022100   安全</t>
  </si>
  <si>
    <t xml:space="preserve">     6666022300   协会会费</t>
  </si>
  <si>
    <t xml:space="preserve">     6666029900   杂项费用</t>
  </si>
  <si>
    <t xml:space="preserve">     6666029997   重组成本</t>
  </si>
  <si>
    <t xml:space="preserve">    6666031100  Technical Documentation</t>
  </si>
  <si>
    <t xml:space="preserve">     6666031100   技术文件</t>
  </si>
  <si>
    <t xml:space="preserve">     6666050107   特殊分配成本</t>
  </si>
  <si>
    <t xml:space="preserve">    6666079999  IT Expense-Internal Charge Out</t>
  </si>
  <si>
    <t xml:space="preserve">     6666079999   IT费用-内部收费</t>
  </si>
  <si>
    <t xml:space="preserve">    6666090100  Stamp Duty</t>
  </si>
  <si>
    <t xml:space="preserve">     6666090100   印花税</t>
  </si>
  <si>
    <t xml:space="preserve">    6666093800  Other Taxes-CIT Deductible</t>
  </si>
  <si>
    <t xml:space="preserve">     6666093800   其他税项-可抵扣企业所得税</t>
  </si>
  <si>
    <t xml:space="preserve">    6666021400  Recruitment expense</t>
  </si>
  <si>
    <t xml:space="preserve">     6666021400   招聘费用</t>
  </si>
  <si>
    <t>CS_Fix Cos</t>
  </si>
  <si>
    <t>*    CS_固定成本</t>
  </si>
  <si>
    <t xml:space="preserve">     5102040000   其他收入-其他</t>
  </si>
  <si>
    <t>CS_Variabl</t>
  </si>
  <si>
    <t>*    CS_变动成本</t>
  </si>
  <si>
    <t xml:space="preserve">     6666021604   石油和天然气</t>
  </si>
  <si>
    <t>*    CS_变动公用事业</t>
  </si>
  <si>
    <t xml:space="preserve">     6666010012   工资税-蓝领间接</t>
  </si>
  <si>
    <t xml:space="preserve">    6666010102  Salary-Blue collar i</t>
  </si>
  <si>
    <t xml:space="preserve">     6666010102   工资-蓝领</t>
  </si>
  <si>
    <t>CS_Indirec</t>
  </si>
  <si>
    <t>*    CS_间接劳动</t>
  </si>
  <si>
    <t>固定 人工</t>
  </si>
  <si>
    <t xml:space="preserve">     6666010196   工资税-白领员工</t>
  </si>
  <si>
    <t xml:space="preserve">     6666010101   工资-白领员工</t>
  </si>
  <si>
    <t>由于通货膨胀和生活成本上升，员工工资有所增加</t>
  </si>
  <si>
    <t xml:space="preserve">     6666010199   工资-白领员工-应计</t>
  </si>
  <si>
    <t xml:space="preserve">     6666010207   公司需支付的失业保险</t>
  </si>
  <si>
    <t xml:space="preserve">    6666010227  Staff Leaving Indemn</t>
  </si>
  <si>
    <t xml:space="preserve">     6666010227   员工离职赔偿</t>
  </si>
  <si>
    <t>CS_Fixed L</t>
  </si>
  <si>
    <t>*    CS_固定劳动</t>
  </si>
  <si>
    <t>这个账户包括制服和社会援助。€ 7.248.91 + € 15.157.89社会援助。社会援助增加的比率是60%，因为TİS。</t>
  </si>
  <si>
    <t xml:space="preserve">     6666020401   本地交通-公交车和出租车</t>
  </si>
  <si>
    <t>由于服务和燃料价格上涨以及2025年缺少应计费用</t>
  </si>
  <si>
    <t>餐食单价上涨</t>
  </si>
  <si>
    <t xml:space="preserve">     6666021502   维修与保养-建筑物和办公室</t>
  </si>
  <si>
    <t xml:space="preserve">    6666021505  Repairs &amp; Maintenance - Vehicles</t>
  </si>
  <si>
    <t xml:space="preserve">     6666021505   维修与保养-车辆</t>
  </si>
  <si>
    <t>由于通货膨胀</t>
  </si>
  <si>
    <t>*    CS_半固定</t>
  </si>
  <si>
    <t>分摊总计</t>
  </si>
  <si>
    <t>分类</t>
  </si>
  <si>
    <t>指标</t>
  </si>
  <si>
    <t>/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</si>
  <si>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</si>
  <si>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</si>
  <si>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</si>
  <si>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</si>
  <si>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</si>
  <si>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</si>
  <si>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</si>
  <si>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</si>
  <si>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</si>
  <si>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10月份</t>
  </si>
  <si>
    <t>11月份</t>
  </si>
  <si>
    <t>12月份</t>
  </si>
  <si>
    <t>年度</t>
  </si>
  <si>
    <t>厨电定单量</t>
  </si>
  <si>
    <t>同期</t>
  </si>
  <si>
    <t>目标</t>
  </si>
  <si>
    <t>26年</t>
  </si>
  <si>
    <t>厨电定单量（累计）</t>
  </si>
  <si>
    <t>厨电费用金额</t>
  </si>
  <si>
    <t>厨电费用金额（累计）</t>
  </si>
  <si>
    <t>厨电单台</t>
  </si>
  <si>
    <t>同期差额</t>
  </si>
  <si>
    <t>当月单台目标完成率</t>
  </si>
  <si>
    <t>单台同期优化</t>
  </si>
  <si>
    <t>厨电单台（累计）</t>
  </si>
  <si>
    <t>累计单台同期优化</t>
  </si>
  <si>
    <t>厨电折旧费用</t>
  </si>
  <si>
    <t>厨电折旧费用累计</t>
  </si>
  <si>
    <t>厨电折旧单台</t>
  </si>
  <si>
    <t>厨电变动费用</t>
  </si>
  <si>
    <t>厨电变动费用累计</t>
  </si>
  <si>
    <t>厨电变动单台</t>
  </si>
  <si>
    <t>厨电变动单台（累计）</t>
  </si>
  <si>
    <t>厨电制造费率</t>
  </si>
  <si>
    <t>厨电收入</t>
  </si>
  <si>
    <t>厨电收入（累计）</t>
  </si>
  <si>
    <t>厨电制造费率（累计）</t>
  </si>
  <si>
    <t>土耳其厨电费用指标统计</t>
  </si>
  <si>
    <r>
      <rPr>
        <b/>
        <sz val="11"/>
        <color rgb="FF0070C0"/>
        <rFont val="微软雅黑"/>
        <charset val="134"/>
      </rPr>
      <t>一、年度预测：
产量预测：年度预算125.4万台↑20%，实际6月累计59.14万台 ↑13%
单台预测：25年单台达成27.54欧，26年目标25.35欧，预测达成24.51欧，同比↓11%；</t>
    </r>
    <r>
      <rPr>
        <b/>
        <sz val="11"/>
        <color rgb="FFFF0000"/>
        <rFont val="微软雅黑"/>
        <charset val="134"/>
      </rPr>
      <t>额收益397万</t>
    </r>
    <r>
      <rPr>
        <b/>
        <sz val="11"/>
        <color rgb="FF0070C0"/>
        <rFont val="微软雅黑"/>
        <charset val="134"/>
      </rPr>
      <t xml:space="preserve">
三、6月达成实际：
单台实际：6月同期36.53欧，实际单台费用23.2欧，较同期↓40.2%；
6月累计单台：6月同期31.77欧，6月实际23.44欧，累计单台↓8.33欧，</t>
    </r>
    <r>
      <rPr>
        <b/>
        <sz val="11"/>
        <color rgb="FFFF0000"/>
        <rFont val="微软雅黑"/>
        <charset val="134"/>
      </rPr>
      <t>额收益352万欧</t>
    </r>
  </si>
  <si>
    <t>费</t>
  </si>
  <si>
    <t>序号</t>
  </si>
  <si>
    <t>费率</t>
  </si>
  <si>
    <t>销售收入（26年预测）</t>
  </si>
  <si>
    <t>销售收入（25年实际）</t>
  </si>
  <si>
    <t>单价（同期）</t>
  </si>
  <si>
    <t>单价（实际）</t>
  </si>
  <si>
    <t>制造费用（26年预测）</t>
  </si>
  <si>
    <t>制造费用（25年实际）</t>
  </si>
  <si>
    <t>降幅</t>
  </si>
  <si>
    <t>完成率</t>
  </si>
  <si>
    <t>费率（累计）</t>
  </si>
  <si>
    <t>累计销售收入（26年预测）</t>
  </si>
  <si>
    <t>累计销售收入（25年实际）</t>
  </si>
  <si>
    <t>累计制造费用（26年预测）</t>
  </si>
  <si>
    <t>累计制造费用（25年实际）</t>
  </si>
  <si>
    <t>单台</t>
  </si>
  <si>
    <t>当月单台完成率</t>
  </si>
  <si>
    <t>目标同期优化率</t>
  </si>
  <si>
    <t>当月单台同期优化率</t>
  </si>
  <si>
    <t>当月费用额</t>
  </si>
  <si>
    <t>单台（累计）</t>
  </si>
  <si>
    <t>累计单台完成率</t>
  </si>
  <si>
    <t>累计单台同期优化率</t>
  </si>
  <si>
    <t>累计费用额</t>
  </si>
  <si>
    <t>费用金额</t>
  </si>
  <si>
    <t>费用金额（累计）</t>
  </si>
  <si>
    <t>上涨因素</t>
  </si>
  <si>
    <t>项目</t>
  </si>
  <si>
    <t>①投资类折旧上涨3.38万；
②大件上涨111万元，玻璃二期100.4万元、叶轮自制5.73万元、消毒柜内胆2.63万元、烟机加强梁3.02万元</t>
  </si>
  <si>
    <t>①投资类折旧上涨6.94万
②大件上涨48万元，玻璃二期18.83万元、叶轮自制13.91万元、消毒柜内胆12.63万元、烟机加强梁3.02万元</t>
  </si>
  <si>
    <t>投资类折旧上涨9.21万
②大件上涨48万元，玻璃二期18.83万元、叶轮自制13.91万元、消毒柜内胆12.63万元、烟机加强梁3.02万元</t>
  </si>
  <si>
    <t>①投资类折旧上涨11.17万
②大件上涨48万元，玻璃二期18.83万元、叶轮自制13.91万元、消毒柜内胆12.63万元、烟机加强梁3.02万元</t>
  </si>
  <si>
    <t>①投资类折旧上涨17.86万
②大件上涨45万元，玻璃二期18.83万元、叶轮自制13.91万元、消毒柜内胆12.63万元</t>
  </si>
  <si>
    <t>①投资类折旧上涨20.65万
②大件上涨45万元，玻璃二期18.83万元、叶轮自制13.91万元、消毒柜内胆12.63万元</t>
  </si>
  <si>
    <t>①投资类折旧上涨20.65万
②大件上涨51万元，玻璃二期18.83万元、叶轮自制13.91万元、倒角玻璃6.38万元；</t>
  </si>
  <si>
    <t>①投资类折旧上涨20.65万
②大件上涨77万元，玻璃二期18.83万元、叶轮自制13.91万元、倒角玻璃6.38万元、低温丝印玻璃25.53万元</t>
  </si>
  <si>
    <t>①投资类折旧上涨19.7万；
②大件上涨77万元，玻璃二期18.83万元、叶轮自制13.91万元、倒角玻璃6.38万元、低温丝印玻璃25.53万元</t>
  </si>
  <si>
    <t>金额</t>
  </si>
  <si>
    <t>下降因素</t>
  </si>
  <si>
    <t>1.人工降28万元：新增省人11人降10.83万：DFX2人、自动化8人、组织架构1人；
2.修理降5.82万元：新增1个项目钻磨线替代水刀降1.6万元；
3.其他降费13万元：新增9个项目降13万元</t>
  </si>
  <si>
    <t>1.人工降33万元：新增省人3人降5万：DFX1人；自动化2人；提效收益3万
2.能源降2.5万元：玻璃厂新增3条降费措施降2.5万元；
3.修理降5.82万元
4.其他降费13万元</t>
  </si>
  <si>
    <t>1.人工降26万元：新增省人3人降2.5万：DFX1人；简易自动化2人
2.能源降8万元：新增光伏项目降费5万元
3.修理降5.82万元
4..其他降费13万元</t>
  </si>
  <si>
    <t>1.人工降35万元：新增省人3人降2.5万：自动化3人；
2.能源降20万元：新增玻璃厂集中钢化项目降费9.5万元，前工序双拉伸降3.4万元；
3.修理降6.95万元：新增玻璃厂老员工代替实习生网板降费1.2万元；
4..其他降费13万元</t>
  </si>
  <si>
    <t>1.人工降36万元：新增省人4人降3.3万：DFX1人、精益1人、拉通模具2人；
2.能源降21万元：新增前处理二合一加工费项目
3.修理降4.6万元
4..其他降费13万元</t>
  </si>
  <si>
    <t>1.人工降44万元：新增省人4人降3.3万：简易自动化1人、自动化3人；
2.能源降27万元：新增前工序及玻璃厂提效减班次项目降6万元
3.修理降5.78万元,：新增激光切割替代水刀降费3.5万元
4..其他降费13万元</t>
  </si>
  <si>
    <t>1.人工降49万元：新增省人2人降1.6万：自动化2人
2.能源降28万元：新增激光切割降水费月降0.2万元；
3.修理降5.78万元,
4.其他降费13万元</t>
  </si>
  <si>
    <t>1.人工降57万元：新增省人3人降8.3万：DFX1人、精益2人、自动化10人
2.能源降28万元
3.修理降5.25万元
4.其他降费13万元</t>
  </si>
  <si>
    <t>1.人工降60万元：新增省人9人降5.8万：自动化7人、拉通模具2人
2.能源降28万元
3.修理降8.5万元：新增备件降费3.25万元；
4..其他降费19万元：新增公寓班车降费6.25万元</t>
  </si>
  <si>
    <t>1.人工降60万元
2.能源降28万元
3.修理降8.5万元：
4..其他降费19万元</t>
  </si>
  <si>
    <t>1.人工降60万元
2.能源降28万元
3.修理降11.5万元：新增网板切换降费2万元；
4..其他降费19万元</t>
  </si>
  <si>
    <t>单</t>
  </si>
  <si>
    <t>定单量</t>
  </si>
  <si>
    <t>增幅</t>
  </si>
  <si>
    <t>标准台</t>
  </si>
  <si>
    <t>标准台系数</t>
  </si>
  <si>
    <t>实际</t>
  </si>
  <si>
    <t>定单量（累计）</t>
  </si>
  <si>
    <t>标准台（累计）</t>
  </si>
  <si>
    <t>工作日</t>
  </si>
  <si>
    <t>用人</t>
  </si>
  <si>
    <t>规划用人</t>
  </si>
  <si>
    <t>（含回移）-减去省人</t>
  </si>
  <si>
    <t>同比新增回移自制人数</t>
  </si>
  <si>
    <t>（不含回移）-减去省人</t>
  </si>
  <si>
    <t>省人数</t>
  </si>
  <si>
    <t>人效（自然台）</t>
  </si>
  <si>
    <t>当月单台差异</t>
  </si>
  <si>
    <t>当月差异金额</t>
  </si>
  <si>
    <t>累计单台差异</t>
  </si>
  <si>
    <t>累计差异金额</t>
  </si>
  <si>
    <t>新增投资折旧</t>
  </si>
  <si>
    <t>日均排产</t>
  </si>
  <si>
    <t>一线</t>
  </si>
  <si>
    <t>辅助</t>
  </si>
  <si>
    <t>一线＋辅助</t>
  </si>
  <si>
    <t>累计用人</t>
  </si>
  <si>
    <t>UPPH</t>
  </si>
  <si>
    <t>UPPH(累计）</t>
  </si>
  <si>
    <t>一、年度预测：
产量预测：年度预算125.4万台↑20%，实际Q1 30.9万台 ↑22%
单台预测：25年单台达成31.88欧，26年目标25.3欧，预测达成25.6欧，同比↓19.7%；
二、Q1达成预测：
单台预测：Q1单台预测:23.89欧，同期单台33.24欧，同比28.1%；
三、3月达成实际：
单台预测：3月同期32.16欧，实际单台费用24.1欧，较同期↓24.9%；
四、4月达成预测：
单台预测：4月同期25.91欧，预测单台费用23.5欧，较同期↓9.2%；</t>
  </si>
  <si>
    <t>销售收入（25年预测）</t>
  </si>
  <si>
    <t>制造费用（25年预测）</t>
  </si>
  <si>
    <t>25年</t>
  </si>
  <si>
    <t>累计销售收入（25年预测）</t>
  </si>
  <si>
    <t>累计制造费用（25年预测）</t>
  </si>
  <si>
    <t>维度</t>
  </si>
  <si>
    <t>25年实际</t>
  </si>
  <si>
    <t>26年预算</t>
  </si>
  <si>
    <t>26年实际</t>
  </si>
  <si>
    <t>预算差异</t>
  </si>
  <si>
    <t>实际比同期差异</t>
  </si>
  <si>
    <t>制造费差额</t>
  </si>
  <si>
    <t>差异原因</t>
  </si>
  <si>
    <t>产量</t>
  </si>
  <si>
    <t>时</t>
  </si>
  <si>
    <t>工作天数</t>
  </si>
  <si>
    <t>人</t>
  </si>
  <si>
    <t>人工</t>
  </si>
  <si>
    <t>人工工资</t>
  </si>
  <si>
    <t>间接人工工资</t>
  </si>
  <si>
    <t>白领人数</t>
  </si>
  <si>
    <t>白领人工工资</t>
  </si>
  <si>
    <t>效</t>
  </si>
  <si>
    <t>单台制造费</t>
  </si>
  <si>
    <t>运营费</t>
  </si>
  <si>
    <t>固定能源费</t>
  </si>
  <si>
    <t>间接人工成本-辅助人员</t>
  </si>
  <si>
    <t>固定人工-白领</t>
  </si>
  <si>
    <t>半固定-班车/工作服</t>
  </si>
  <si>
    <t>生产耗用品</t>
  </si>
  <si>
    <t>变动能源费</t>
  </si>
  <si>
    <t>园区分摊费用</t>
  </si>
  <si>
    <t>Analysis required</t>
  </si>
  <si>
    <t>Type
类型</t>
  </si>
  <si>
    <t>Code
编码</t>
  </si>
  <si>
    <t>Description(EN)
描述</t>
  </si>
  <si>
    <t>Description(CN)
描述</t>
  </si>
  <si>
    <t>单位千欧</t>
  </si>
  <si>
    <t>同期台数</t>
  </si>
  <si>
    <t>预算台数</t>
  </si>
  <si>
    <t>实际台数</t>
  </si>
  <si>
    <t xml:space="preserve"> MFG 2025
同期制造费</t>
  </si>
  <si>
    <t>CPU 2025 
同期单台</t>
  </si>
  <si>
    <t xml:space="preserve">Budget 2026
预算 </t>
  </si>
  <si>
    <t>Budget-CPU 2026
单台预算</t>
  </si>
  <si>
    <t>ACT 2026
实际</t>
  </si>
  <si>
    <t>ACT-CPU 2026
单台实际</t>
  </si>
  <si>
    <t>CPU-Y0Y
单台同期</t>
  </si>
  <si>
    <t>Budget-ACT
VARIANCE
实际-预算</t>
  </si>
  <si>
    <t>CPU-Y0Y
Analysis
单台同期分析</t>
  </si>
  <si>
    <t>Budget-ACT
VARIANCE Analysis
预算实际分析</t>
  </si>
  <si>
    <t>6666110110 折旧-厂房及机械</t>
  </si>
  <si>
    <t>单台上涨0.76，费用持平</t>
  </si>
  <si>
    <t>6666110204 许可证、商标及摊销</t>
  </si>
  <si>
    <t>6666110506 租赁改良摊销</t>
  </si>
  <si>
    <t>6666110206 专利摊销</t>
  </si>
  <si>
    <t>5001010205 失业保险-蓝领-直接</t>
  </si>
  <si>
    <t>6666010380 激励</t>
  </si>
  <si>
    <t>6666010019 工资税-蓝领直接</t>
  </si>
  <si>
    <t>6666010183 加班费-蓝领-直接</t>
  </si>
  <si>
    <t>6666010229 蓝领离职赔偿-直接</t>
  </si>
  <si>
    <t>6666010188 蓝领直接员工工资</t>
  </si>
  <si>
    <t>单台上涨0.68，费用下降1万欧</t>
  </si>
  <si>
    <t>5102040406 其他收入-服务/派遣协议</t>
  </si>
  <si>
    <t>6666010115 蓝领直接员工工资-计提</t>
  </si>
  <si>
    <t>8701530201 废料-原材料-管理</t>
  </si>
  <si>
    <t>6666050309 SFG废料</t>
  </si>
  <si>
    <t>6666050308 原材料废料</t>
  </si>
  <si>
    <t xml:space="preserve">     6666050306   完工产品废料</t>
  </si>
  <si>
    <t>*    CS_ 废料_VARIABLE</t>
  </si>
  <si>
    <t xml:space="preserve">     5102010151   其他收入-集团间-疫情问题补偿</t>
  </si>
  <si>
    <t xml:space="preserve">     5001010200   制造成本-原材料</t>
  </si>
  <si>
    <t xml:space="preserve">     5001010201   制造成本-原材料-运费</t>
  </si>
  <si>
    <t xml:space="preserve">     5207000011   有形资产处置收益</t>
  </si>
  <si>
    <t xml:space="preserve">     5207000012   出售有形资产损失</t>
  </si>
  <si>
    <t xml:space="preserve">     5207000022   无形资产处置损失</t>
  </si>
  <si>
    <t xml:space="preserve">     5301999999   非经营收入-其他</t>
  </si>
  <si>
    <t xml:space="preserve">     5405030000   其他成本-其他</t>
  </si>
  <si>
    <t xml:space="preserve">     5102040893   其他收入-费用支出-测试费用</t>
  </si>
  <si>
    <t xml:space="preserve">    5801000041   前一年杂项成本</t>
  </si>
  <si>
    <t xml:space="preserve">     6666020201   国内商务旅行</t>
  </si>
  <si>
    <t xml:space="preserve">     6666020202   海外商务旅行</t>
  </si>
  <si>
    <t xml:space="preserve">     6666020204   代理支付的旅行费用</t>
  </si>
  <si>
    <t xml:space="preserve">     6666020205   商务旅行-其他</t>
  </si>
  <si>
    <t xml:space="preserve">     6666020301   员工通讯</t>
  </si>
  <si>
    <t xml:space="preserve">     6666020302   通讯费用</t>
  </si>
  <si>
    <t xml:space="preserve">     6666020405   公司车辆费用-维护费</t>
  </si>
  <si>
    <t xml:space="preserve">     6666020495   不可抵扣费用-旅行</t>
  </si>
  <si>
    <t xml:space="preserve">     6666020602   集团外培训费用</t>
  </si>
  <si>
    <t xml:space="preserve">     6666020802   设备租赁费用</t>
  </si>
  <si>
    <t xml:space="preserve">     6666020803   汽车租赁费用</t>
  </si>
  <si>
    <t xml:space="preserve">     6666029700   服务费充值</t>
  </si>
  <si>
    <t xml:space="preserve">     6666029996   不可抵扣费用-旅行</t>
  </si>
  <si>
    <t xml:space="preserve">     6666030702   研发原型采购</t>
  </si>
  <si>
    <t xml:space="preserve">     6666031200   仪器费用</t>
  </si>
  <si>
    <t xml:space="preserve">     6666070100   软件购买、开发及实施</t>
  </si>
  <si>
    <t xml:space="preserve">     6666070300   软件维护费</t>
  </si>
  <si>
    <t xml:space="preserve">     6666070400   IT维护与硬件修理</t>
  </si>
  <si>
    <t xml:space="preserve">     5401050201   COGS-特殊a</t>
  </si>
  <si>
    <t xml:space="preserve">     5401020212   本地运输</t>
  </si>
  <si>
    <t>6666050320</t>
  </si>
  <si>
    <t xml:space="preserve">    6666050320  Reworking costs</t>
  </si>
  <si>
    <t>6666050320 再加工成本</t>
  </si>
  <si>
    <t>6666093800</t>
  </si>
  <si>
    <t>6666093800 其他税项-可抵扣公司税</t>
  </si>
  <si>
    <t>5601080000</t>
  </si>
  <si>
    <t xml:space="preserve">    5601080000  Non-operating expense-VAT non-deductible</t>
  </si>
  <si>
    <t>5601080000 非经营性支出-不可抵扣增值税</t>
  </si>
  <si>
    <t xml:space="preserve">    6666040215  Product sample fee</t>
  </si>
  <si>
    <t>6666040215 产品样品费用</t>
  </si>
  <si>
    <t>6666020403 公司车辆费用</t>
  </si>
  <si>
    <t>6666021200</t>
  </si>
  <si>
    <t>6666021200 审计费用</t>
  </si>
  <si>
    <t>6666050202</t>
  </si>
  <si>
    <t xml:space="preserve">    6666050202  Custom clearance charge</t>
  </si>
  <si>
    <t>6666050202 海关清关费用</t>
  </si>
  <si>
    <t>5401050201</t>
  </si>
  <si>
    <t xml:space="preserve">    5401050201  COGS-Freight out-Special and sporadic fr</t>
  </si>
  <si>
    <t>5401050201 COGS-特殊和零星运费</t>
  </si>
  <si>
    <t>6666020801  房屋租赁成本</t>
  </si>
  <si>
    <t>*    CS_Fix Cost</t>
  </si>
  <si>
    <t xml:space="preserve">     6666110203   低值易耗品</t>
  </si>
  <si>
    <t xml:space="preserve">     6666050307   存货盘点差异-原材料</t>
  </si>
  <si>
    <t xml:space="preserve">     6666050312   存货盘点差异-半成品</t>
  </si>
  <si>
    <t>*    CS_Variable Cost</t>
  </si>
  <si>
    <t xml:space="preserve">     6666100203   存货减值准备-原材料</t>
  </si>
  <si>
    <t>*    CS_Obsolescence</t>
  </si>
  <si>
    <t xml:space="preserve">     5301070000   非经营收入-废品销售</t>
  </si>
  <si>
    <t>*    CS_Reselling</t>
  </si>
  <si>
    <t xml:space="preserve">     6666021602   电费</t>
  </si>
  <si>
    <t xml:space="preserve">     6666021600   能源和动力成本</t>
  </si>
  <si>
    <t xml:space="preserve">     6666021603 水</t>
  </si>
  <si>
    <t xml:space="preserve">     6666021604 石油与天然气</t>
  </si>
  <si>
    <t>*    CS_变动能源</t>
  </si>
  <si>
    <t xml:space="preserve">     5001010206 失业保险 - 蓝领 - 间接</t>
  </si>
  <si>
    <t xml:space="preserve">     6666010184 工资及额外激励 - 蓝领</t>
  </si>
  <si>
    <t xml:space="preserve">     6666010186 加班 - 蓝领 - 间接</t>
  </si>
  <si>
    <t xml:space="preserve">     6666010189 工资 - 蓝领间接员工</t>
  </si>
  <si>
    <t>单台下降2.03欧，费用上下降24万欧</t>
  </si>
  <si>
    <t xml:space="preserve">     6666010012 工资税 - 蓝领间接</t>
  </si>
  <si>
    <t xml:space="preserve">     6666010226 蓝领离职赔偿金</t>
  </si>
  <si>
    <t xml:space="preserve">     6666010102 工资 - 蓝领间接员工 - A</t>
  </si>
  <si>
    <t>单台上涨2.67，费用上升24万欧</t>
  </si>
  <si>
    <t>*    CS_间接劳动力</t>
  </si>
  <si>
    <t xml:space="preserve">     6666010196 工资税 - 白领员工</t>
  </si>
  <si>
    <t xml:space="preserve">     6666010101 工资 - 白领员工</t>
  </si>
  <si>
    <t xml:space="preserve">     6666010199 工资 - 白领员工 - 应计</t>
  </si>
  <si>
    <t xml:space="preserve">     6666010185 工资及额外激励 - 白领</t>
  </si>
  <si>
    <t xml:space="preserve">     6666010207 失业保险 - 公司支付</t>
  </si>
  <si>
    <t xml:space="preserve">     5102040406 其他收入 - 服务/派遣协议</t>
  </si>
  <si>
    <t>6666010227 员工离职赔偿 - 白领E</t>
  </si>
  <si>
    <t>* CS_固定人工</t>
  </si>
  <si>
    <t xml:space="preserve">    6666020903  Other materials</t>
  </si>
  <si>
    <t>6666020903 其他材料</t>
  </si>
  <si>
    <t>6666010302 医疗费用</t>
  </si>
  <si>
    <t>6666010314 工作服</t>
  </si>
  <si>
    <t>6666020401 本地交通 - 公交和出租车</t>
  </si>
  <si>
    <t xml:space="preserve">    6666020402  Local transportation-transport subsidies</t>
  </si>
  <si>
    <t>6666020402 本地交通-交通补贴</t>
  </si>
  <si>
    <t>6666020502 工作餐</t>
  </si>
  <si>
    <t>6666020503 办公用品</t>
  </si>
  <si>
    <t>6666021500 维修成本</t>
  </si>
  <si>
    <t>6666021502 维修与保养 - 建筑与办公室</t>
  </si>
  <si>
    <t>单台下降0.68，费用下降8万欧</t>
  </si>
  <si>
    <t>6666021503 维修与保养 - 工具与设备</t>
  </si>
  <si>
    <t>6666021505 修理与维护 - 车辆</t>
  </si>
  <si>
    <t>6666021506 维修与保养 - 工厂与机械</t>
  </si>
  <si>
    <t>单台下降0.58，费用下降7万欧</t>
  </si>
  <si>
    <t xml:space="preserve">    6666030300  Design and development fees</t>
  </si>
  <si>
    <t>6666091600 垃圾处理费</t>
  </si>
  <si>
    <t>* CS_Semifix</t>
  </si>
  <si>
    <t>Manufacturing cost w/o Shares &amp; Out of Perimeter</t>
  </si>
  <si>
    <t>6666110110 固定资产折旧-厂房及机械</t>
  </si>
  <si>
    <t xml:space="preserve">     6666029996   不可扣除费用-差旅。</t>
  </si>
  <si>
    <t xml:space="preserve">     6666029700   服务费回收费</t>
  </si>
  <si>
    <t>单台上涨0.88，费用上涨8.5万欧</t>
  </si>
  <si>
    <t xml:space="preserve">     6666020495   不可扣除费用-差旅。</t>
  </si>
  <si>
    <t xml:space="preserve">     5601050000   非经营性支出-罚款</t>
  </si>
  <si>
    <t xml:space="preserve">     5601050100   非经营性支出-其他</t>
  </si>
  <si>
    <t xml:space="preserve">     5601080000   非经营性支出</t>
  </si>
  <si>
    <t xml:space="preserve">     6666020601   集团内部培训费用</t>
  </si>
  <si>
    <t xml:space="preserve">     6666020801   房屋租赁费用</t>
  </si>
  <si>
    <t xml:space="preserve">     6666021102   咨询费用-税</t>
  </si>
  <si>
    <t xml:space="preserve">     6666022100   安保</t>
  </si>
  <si>
    <t xml:space="preserve">     6666029900   杂项开支</t>
  </si>
  <si>
    <t xml:space="preserve">     6666031100   技术文档</t>
  </si>
  <si>
    <t xml:space="preserve">     5401050201   销售成本-特殊和零星的运费</t>
  </si>
  <si>
    <t xml:space="preserve">    5102040894 Other revenue-Internal Charge out -Fixed</t>
  </si>
  <si>
    <t xml:space="preserve">     5102040894 其他收入-内部收费-固定</t>
  </si>
  <si>
    <t xml:space="preserve">    5801000041  Previous year Sundry cost</t>
  </si>
  <si>
    <t xml:space="preserve">     5801000041   前一年杂项费用</t>
  </si>
  <si>
    <t xml:space="preserve">     5102040000 其他收入 - 其他</t>
  </si>
  <si>
    <t>*    CS_可变成本</t>
  </si>
  <si>
    <t xml:space="preserve">     6666021600 能源和电力成本</t>
  </si>
  <si>
    <t>*    CS_可变公用事业</t>
  </si>
  <si>
    <t xml:space="preserve">     6666010012 工资税-蓝领间接</t>
  </si>
  <si>
    <t xml:space="preserve">     6666010102 工资-蓝领</t>
  </si>
  <si>
    <t xml:space="preserve">     6666010196 工资税-白领员工</t>
  </si>
  <si>
    <t xml:space="preserve">     6666010199 工资-白领员工 - 应计</t>
  </si>
  <si>
    <t xml:space="preserve">     6666010207 应付失业保险</t>
  </si>
  <si>
    <t xml:space="preserve">     6666010227 员工离职赔偿</t>
  </si>
  <si>
    <t>*    CS_固定劳动力</t>
  </si>
  <si>
    <t xml:space="preserve">     6666010314 工作制服</t>
  </si>
  <si>
    <t xml:space="preserve">     6666020401 地方交通 - 公交和出租车</t>
  </si>
  <si>
    <t xml:space="preserve">     6666020502 工作餐</t>
  </si>
  <si>
    <t xml:space="preserve">     6666020503 办公用品</t>
  </si>
  <si>
    <t xml:space="preserve">     6666021502 维修与保养 - 建筑与办公</t>
  </si>
  <si>
    <t xml:space="preserve">     6666021505 维修与保养 - 车辆</t>
  </si>
  <si>
    <t xml:space="preserve">     6666091600 垃圾处理费</t>
  </si>
  <si>
    <t xml:space="preserve">G&amp;A _ Out of Perimeter </t>
  </si>
  <si>
    <t>单台上涨1欧，费用上涨6万欧</t>
  </si>
  <si>
    <t xml:space="preserve">Total Manufacturing Cost </t>
  </si>
  <si>
    <t>总结：
2月同期36.8欧元/台，实际单台费用22.1元/台，较同期↓39.8%；降费155.7万欧
变动：
直接人工离职补偿30人费用合计，单台影响0.94欧
福利费用差异11.2万欧，为6.1万欧工会福利费谈判后上涨，其中5.1万欧为释放预提</t>
  </si>
  <si>
    <t>106294</t>
  </si>
  <si>
    <t>Budget-ACT
VARIANCE
预算同比</t>
  </si>
  <si>
    <t>单台下降0.53，费用下降9万欧</t>
  </si>
  <si>
    <t>离职赔偿30人</t>
  </si>
  <si>
    <t>单台上涨0.94欧，费用上涨10万欧</t>
  </si>
  <si>
    <t>单台下降1.09，费用下降16万欧</t>
  </si>
  <si>
    <t>6666020801 住房租赁成本</t>
  </si>
  <si>
    <t>单台下降3.26，费用下降36万欧</t>
  </si>
  <si>
    <t>单台上涨3.13欧，费用上涨33万欧</t>
  </si>
  <si>
    <t>6666010315</t>
  </si>
  <si>
    <t xml:space="preserve">    6666010315  Other labor supplies</t>
  </si>
  <si>
    <t>6666010315 其他劳务用品</t>
  </si>
  <si>
    <t>发放福利卡</t>
  </si>
  <si>
    <t>单台上涨1.05欧，费用上涨11万欧</t>
  </si>
  <si>
    <t>Manufacturing cost without Shares &amp; Out of Perimeter</t>
  </si>
  <si>
    <t>-</t>
  </si>
  <si>
    <t>折旧（含FC）</t>
  </si>
  <si>
    <t>单位-千欧</t>
  </si>
  <si>
    <t>同期订单量</t>
  </si>
  <si>
    <t>预测订单量</t>
  </si>
  <si>
    <t>Budget-ACT VARIANCE
预算同比</t>
  </si>
  <si>
    <t>CPU-Y0Y Analysis
单台同期分析</t>
  </si>
  <si>
    <t>单台下降3.02欧，费用下降29万欧</t>
  </si>
  <si>
    <t>单台上涨3.74欧，费用上涨40万欧</t>
  </si>
  <si>
    <t>单台下降1.83欧，费用下降20万欧</t>
  </si>
  <si>
    <t>单台下降0.9欧，费用下降10万欧</t>
  </si>
  <si>
    <t>单台上涨2.97欧，费用上涨32万欧</t>
  </si>
  <si>
    <t>6666010315  其他劳务用品</t>
  </si>
  <si>
    <t>每个月多少钱</t>
  </si>
  <si>
    <t>总结：4月厨电单台下降6.96欧；降费76万欧
上涨因素：13万（人工、通胀影响13万欧），下降因素258万（规模增加正影响11万欧，园区分摊降费20），68万降费项目_x000b_固定：厨电4月折旧期限延长降费36万欧，订单量上升1.1万，降费3万欧_x000b_变动：厨电4月下降3.4欧，降费37万欧
园区分摊单台↓2.65欧，额优化30万欧
其他变动单台↓0.62欧，额优化7万欧</t>
  </si>
  <si>
    <t>预测</t>
  </si>
  <si>
    <t>同期出售有形资产会冲10万欧</t>
  </si>
  <si>
    <t>分摊费用</t>
  </si>
  <si>
    <t>实际订单量</t>
  </si>
  <si>
    <t>这个和叉车减少有关系吗</t>
  </si>
  <si>
    <t>这个为什么</t>
  </si>
  <si>
    <t>这个为什么，有什么降费项目吗</t>
  </si>
  <si>
    <t>没有费用为什么</t>
  </si>
  <si>
    <t xml:space="preserve">     5001010206 失业保险 - 蓝领 - 印度</t>
  </si>
  <si>
    <t>5月费用实际：_x000b_①单台：5月实际31.18欧，5月同期30.17欧。较同期↑1欧，恶化7万。_x000b_②主要影响：人工工资上涨及通胀影响约12万欧；_x000b_③扣除影响后：单台↓0.74欧，降费约5万欧
④变动费用异常：G＆A单台较预测差异8.3万欧，原因：1.汇率更正，本地币发票折算欧元时产生更正-5.7万欧，
                                                 2.协会费重复计提,由于计提周期错误导致，本月重复计入下月冲，差异1.3WAN1OU1
                2.固定人工-白领差异2.8万欧，原因：白领MBO相关计提本月未冲回,影响约 +28K</t>
  </si>
  <si>
    <t>预测和实际的差（不考虑产量因素）：
总费用实际与4＋8预测差异16.0万欧
1,折旧费用：差异2.6万欧
2.变动费用：①直接人工：差异1.万欧
                     ②固定人工：差异3.5万欧
                     ③变动能源：差异1.4万欧
                     ④半固定：差异2.0万欧
                     ⑤间接人工：差异2.4万欧
3.园区分摊费用：差异8.3万欧</t>
  </si>
  <si>
    <t xml:space="preserve"> </t>
  </si>
  <si>
    <t>26年预测制造费</t>
  </si>
  <si>
    <t>26年预测单台</t>
  </si>
  <si>
    <t>费用差</t>
  </si>
  <si>
    <t>预测与实际单台差</t>
  </si>
  <si>
    <t>过节费，差异很大</t>
  </si>
  <si>
    <t>5601020000</t>
  </si>
  <si>
    <t xml:space="preserve">    5601020000  Loss on disposal fixed asset</t>
  </si>
  <si>
    <t>5601020000 固定资产处置损失</t>
  </si>
  <si>
    <t>6666020406</t>
  </si>
  <si>
    <t xml:space="preserve">    6666020406  Company car expense - fuel costs</t>
  </si>
  <si>
    <t>6666020406 单位的车用于油费</t>
  </si>
  <si>
    <t>6666021300</t>
  </si>
  <si>
    <t xml:space="preserve">    6666021300  Legal fees 6666021300 法律费用</t>
  </si>
  <si>
    <t>同期为负值，未超预算</t>
  </si>
  <si>
    <t>两个工资项合并后后未超同期</t>
  </si>
  <si>
    <t>6666010315 其他劳动力供应</t>
  </si>
  <si>
    <t>同期为0</t>
  </si>
  <si>
    <t xml:space="preserve">    6666010315 Other labor supplies</t>
  </si>
  <si>
    <t>6666010315 其他劳保物资</t>
  </si>
  <si>
    <t xml:space="preserve">    6666021602 Electricity</t>
  </si>
  <si>
    <t>6666021602 电力</t>
  </si>
  <si>
    <t>6666020406 公司车辆费用燃油成本</t>
  </si>
  <si>
    <t xml:space="preserve">    6666010380  激励</t>
  </si>
  <si>
    <t xml:space="preserve">    6666010185  薪资&amp;额外激励-白领</t>
  </si>
  <si>
    <r>
      <rPr>
        <sz val="11"/>
        <color theme="1"/>
        <rFont val="宋体"/>
        <charset val="134"/>
        <scheme val="minor"/>
      </rPr>
      <t>6月费用实际：_x000b_①单台：6月实际21.84欧，6月同期36.53欧。较同期↓14.68欧，</t>
    </r>
    <r>
      <rPr>
        <sz val="11"/>
        <color rgb="FFFF0000"/>
        <rFont val="宋体"/>
        <charset val="134"/>
        <scheme val="minor"/>
      </rPr>
      <t>恶化7万。_x000b_②主要影响：人工工资上涨及通胀影响约12万欧；_x000b_③扣除影响后：单台↓0.74欧，降费约5万欧
④变动费用异常：G＆A单台较预测差异8.3万欧，原因：1.汇率更正，本地币发票折算欧元时产生更正-5.7万欧，
                                                 2.协会费重复计提,由于计提周期错误导致，本月重复计入下月冲，差异1.3WAN1OU1
                2.固定人工-白领差异2.8万欧，原因：白领MBO相关计提本月未冲回,影响约 +28K</t>
    </r>
  </si>
  <si>
    <t>6666100500</t>
  </si>
  <si>
    <t xml:space="preserve">    6666100500  Impairment of fixed assets</t>
  </si>
  <si>
    <t>6666100500 固定资产减值</t>
  </si>
  <si>
    <t>6666020801 房屋租赁费用</t>
  </si>
  <si>
    <t xml:space="preserve">    6666021300  Legal fees </t>
  </si>
  <si>
    <t>6666021300 法律费用</t>
  </si>
  <si>
    <t>Candy厨电项目制造总结</t>
  </si>
  <si>
    <t>26年SBU降费目标275万，现梳理影响因素及项目429万,保障度156%
26年截至4月单台↓8.59欧，额收益360万欧，上涨因素：人工上涨、通胀影响55万欧，下降因素：258万（规模增加正影响181万欧，园区分摊降费77），182万降费项目（新增81万欧，持续收益101万欧）
26年重点推进降费项目9个，全年预估收益144万，截至4月已落地收益81万，W17新挖掘1个</t>
  </si>
  <si>
    <t>主导方</t>
  </si>
  <si>
    <t>核心策略/路径</t>
  </si>
  <si>
    <t>关键项目</t>
  </si>
  <si>
    <t>土耳其责任人</t>
  </si>
  <si>
    <t>责任人</t>
  </si>
  <si>
    <t>到位时间</t>
  </si>
  <si>
    <t>预计收益</t>
  </si>
  <si>
    <t>实际月累差额</t>
  </si>
  <si>
    <t>进展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</si>
  <si>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</si>
  <si>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</si>
  <si>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</si>
  <si>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</si>
  <si>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</si>
  <si>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</si>
  <si>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</si>
  <si>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</si>
  <si>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</si>
  <si>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</si>
  <si>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</si>
  <si>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</si>
  <si>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 xml:space="preserve">
通胀影响-直接人工、间接人工工资上涨
</t>
  </si>
  <si>
    <t>直接人工和间接人工上涨12%，每人上涨241欧</t>
  </si>
  <si>
    <t>姜玉川</t>
  </si>
  <si>
    <t>截至4月总计影响41万欧</t>
  </si>
  <si>
    <t xml:space="preserve">
通胀影响-管理人工工资上涨
</t>
  </si>
  <si>
    <t>管理人员上涨5%，每人161欧</t>
  </si>
  <si>
    <t>截至4月总计影响2.1万欧</t>
  </si>
  <si>
    <t>通胀影响-其他</t>
  </si>
  <si>
    <t>除工资科目和折旧外其余科目全部受通胀影响8%</t>
  </si>
  <si>
    <t>截至4月累计影响12万欧</t>
  </si>
  <si>
    <t>订单量-折旧</t>
  </si>
  <si>
    <t>订单量上涨18%，折旧全年持续收益81万欧</t>
  </si>
  <si>
    <t>截至4月，折旧收益58万欧</t>
  </si>
  <si>
    <t>订单量-其他</t>
  </si>
  <si>
    <t>订单量上涨18%，半固定、白领工资等全年持续收益114万欧</t>
  </si>
  <si>
    <t>截至4月，其他科目收益122万欧</t>
  </si>
  <si>
    <t>IT费用降费 
分摊逻辑-产量改为产值</t>
  </si>
  <si>
    <t>园区分摊费用截至4月累计降费77万</t>
  </si>
  <si>
    <t>土方</t>
  </si>
  <si>
    <t>持续收益</t>
  </si>
  <si>
    <t>辅助人员优化等</t>
  </si>
  <si>
    <t>1.临时工替代正式工
2.间接人工优化等</t>
  </si>
  <si>
    <t>已落地</t>
  </si>
  <si>
    <t>提效</t>
  </si>
  <si>
    <t>提升单台生产效率，减少单台成本</t>
  </si>
  <si>
    <t>UPH提升至120</t>
  </si>
  <si>
    <t>中方</t>
  </si>
  <si>
    <t>直接员工降费</t>
  </si>
  <si>
    <t>用工结构调整：提前谈判清退正式员工。</t>
  </si>
  <si>
    <t>直接员工临时工替换正式工，年度目标完成140人替换</t>
  </si>
  <si>
    <t>替换30人</t>
  </si>
  <si>
    <t>中方、土方</t>
  </si>
  <si>
    <t>间接员工降费</t>
  </si>
  <si>
    <t>对标国内工厂优化空间： CK 133人，初步机会17个，</t>
  </si>
  <si>
    <t>1.第一阶段2人（仓储物流部门）
2.第二阶段4人（内部物流省人）
3.第三阶段6人（内部物流）
4.第四阶段5人（物流仓储人员优化）</t>
  </si>
  <si>
    <t>用工结构调整：提前谈判清退固定员工</t>
  </si>
  <si>
    <t>直接员工临时工替换正式工，年度目标32人</t>
  </si>
  <si>
    <t>已完成一阶段12人优化</t>
  </si>
  <si>
    <t>白领员工降费</t>
  </si>
  <si>
    <t>用工结构调整：提前谈判清退固定员工，回收期12-15个月</t>
  </si>
  <si>
    <t>白领优化1人</t>
  </si>
  <si>
    <t>已完成1人优化</t>
  </si>
  <si>
    <t>能源降费</t>
  </si>
  <si>
    <t>搪瓷炉天然气消耗降低</t>
  </si>
  <si>
    <t>关闭生产区（后工厂）的天然气加热器，搪瓷炉确保工厂生产能加热周围环境，保持环境温度，节约天然气使用</t>
  </si>
  <si>
    <t>已完成</t>
  </si>
  <si>
    <t>备件降费</t>
  </si>
  <si>
    <t>丝网印刷涂料及化学品消耗量降低</t>
  </si>
  <si>
    <t>喷嘴优化，减少化学实际消耗，包含油漆稀释剂，清洁剂等</t>
  </si>
  <si>
    <t>已完成设备优化</t>
  </si>
  <si>
    <t>运营费用降费</t>
  </si>
  <si>
    <t>班车上座率提升</t>
  </si>
  <si>
    <t>提升班车上座率，降低单人班车费用</t>
  </si>
  <si>
    <t>折旧降费</t>
  </si>
  <si>
    <t>折旧费用优化</t>
  </si>
  <si>
    <t>部分设备、模具折旧年限10→30</t>
  </si>
  <si>
    <t>李想</t>
  </si>
  <si>
    <t>已落地36万，预计全年200万</t>
  </si>
  <si>
    <t>降存货跌价准备</t>
  </si>
  <si>
    <t>超期原材料、半成品消耗</t>
  </si>
  <si>
    <t>与开发达成一致，超期原材料加工成半成品</t>
  </si>
  <si>
    <t>目前梳理降费项目</t>
  </si>
  <si>
    <t>呆滞物料</t>
  </si>
  <si>
    <t>Pr22: 呆滞物料
备注: Validation will be done on July by Cost Department</t>
  </si>
  <si>
    <t>进行中</t>
  </si>
  <si>
    <t>废料降费</t>
  </si>
  <si>
    <t>工程废料用于托盘挂架</t>
  </si>
  <si>
    <t>Pr24: 工程废料用于托盘挂架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</si>
</sst>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(* #,##0_);_(* \(#,##0\);_(* &quot;-&quot;??_);_(@_)"/>
    <numFmt numFmtId="178" formatCode="yyyy&quot;年&quot;m&quot;月&quot;d&quot;日&quot;;@"/>
    <numFmt numFmtId="179" formatCode="0_ "/>
    <numFmt numFmtId="180" formatCode="0.00_);[Red]\(0.00\)"/>
    <numFmt numFmtId="181" formatCode="_ * #,##0.00_ ;_ * \-#,##0.00_ ;_ * &quot;-&quot;??.00_ ;_ @_ "/>
    <numFmt numFmtId="182" formatCode="0.0"/>
    <numFmt numFmtId="183" formatCode="_ * #,##0.0_ ;_ * \-#,##0.0_ ;_ * &quot;-&quot;??_ ;_ @_ "/>
    <numFmt numFmtId="184" formatCode="0.00_ "/>
    <numFmt numFmtId="185" formatCode="_ * #,##0.000_ ;_ * \-#,##0.000_ ;_ * &quot;-&quot;??_ ;_ @_ "/>
    <numFmt numFmtId="186" formatCode="_ * #,##0.0_ ;_ * \-#,##0.0_ ;_ * &quot;-&quot;??.0_ ;_ @_ "/>
    <numFmt numFmtId="187" formatCode="0.0_ "/>
    <numFmt numFmtId="188" formatCode="#,##0.00_ "/>
    <numFmt numFmtId="189" formatCode="#,##0.00;[Red]#,##0.00"/>
    <numFmt numFmtId="190" formatCode="_ * #,##0.0000_ ;_ * \-#,##0.0000_ ;_ * &quot;-&quot;??.0000_ ;_ @_ "/>
    <numFmt numFmtId="191" formatCode="[Black]&quot;↓&quot;0%;[Red]&quot;↑&quot;0%"/>
    <numFmt numFmtId="192" formatCode="[Black]&quot;↓&quot;0.0%;[Red]&quot;↑&quot;0.0%"/>
    <numFmt numFmtId="193" formatCode="0.0%"/>
    <numFmt numFmtId="194" formatCode="0.000000_ "/>
    <numFmt numFmtId="195" formatCode="[Black]&quot;↑&quot;0%;[Red]&quot;↓&quot;0%"/>
    <numFmt numFmtId="196" formatCode="#,##0.00000000"/>
    <numFmt numFmtId="197" formatCode="0.0000_ "/>
    <numFmt numFmtId="198" formatCode="_-* #,##0_-;\-* #,##0_-;_-* &quot;-&quot;??_-;_-@_-"/>
    <numFmt numFmtId="199" formatCode="_-* #,##0.00_-;\-* #,##0.00_-;_-* &quot;-&quot;??.00_-;_-@_-"/>
  </numFmts>
  <fonts count="6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28"/>
      <color theme="1"/>
      <name val="微软雅黑"/>
      <charset val="134"/>
    </font>
    <font>
      <b/>
      <sz val="20"/>
      <color theme="7" tint="-0.249977111117893"/>
      <name val="微软雅黑"/>
      <charset val="134"/>
    </font>
    <font>
      <b/>
      <sz val="11"/>
      <color rgb="FF000000"/>
      <name val="微软雅黑"/>
      <charset val="134"/>
    </font>
    <font>
      <sz val="10"/>
      <color rgb="FFFF0000"/>
      <name val="等线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Aptos Narrow"/>
      <charset val="134"/>
    </font>
    <font>
      <sz val="9"/>
      <color rgb="FF000000"/>
      <name val="Aptos Narrow"/>
      <charset val="134"/>
    </font>
    <font>
      <b/>
      <sz val="7"/>
      <color rgb="FFFFFFFF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8"/>
      <color rgb="FF000000"/>
      <name val="宋体"/>
      <charset val="134"/>
    </font>
    <font>
      <b/>
      <sz val="8"/>
      <color theme="0"/>
      <name val="微软雅黑"/>
      <charset val="134"/>
    </font>
    <font>
      <b/>
      <sz val="10"/>
      <name val="微软雅黑"/>
      <charset val="134"/>
    </font>
    <font>
      <b/>
      <sz val="10"/>
      <name val="Segoe UI"/>
      <charset val="134"/>
    </font>
    <font>
      <b/>
      <sz val="8"/>
      <color rgb="FFFFFFFF"/>
      <name val="微软雅黑"/>
      <charset val="134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8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b/>
      <sz val="8"/>
      <name val="Segoe UI"/>
      <charset val="134"/>
    </font>
    <font>
      <b/>
      <sz val="11"/>
      <color theme="0"/>
      <name val="微软雅黑"/>
      <charset val="134"/>
    </font>
    <font>
      <b/>
      <sz val="11"/>
      <color rgb="FFFFFFFF"/>
      <name val="微软雅黑"/>
      <charset val="134"/>
    </font>
    <font>
      <i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name val="微软雅黑"/>
      <charset val="134"/>
    </font>
    <font>
      <sz val="10"/>
      <color indexed="8"/>
      <name val="微软雅黑"/>
      <charset val="134"/>
    </font>
    <font>
      <b/>
      <sz val="16"/>
      <color theme="0"/>
      <name val="微软雅黑"/>
      <charset val="134"/>
    </font>
    <font>
      <b/>
      <sz val="11"/>
      <color rgb="FF0070C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9"/>
      <name val="微软雅黑"/>
      <charset val="134"/>
    </font>
    <font>
      <sz val="8.5"/>
      <name val="微软雅黑"/>
      <charset val="134"/>
    </font>
    <font>
      <sz val="11"/>
      <color indexed="8"/>
      <name val="微软雅黑"/>
      <charset val="134"/>
    </font>
    <font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  <font>
      <b/>
      <sz val="11"/>
      <color rgb="FFFF0000"/>
      <name val="微软雅黑"/>
      <charset val="134"/>
    </font>
  </fonts>
  <fills count="52">
    <fill>
      <patternFill patternType="none"/>
    </fill>
    <fill>
      <patternFill patternType="gray125"/>
    </fill>
    <fill>
      <patternFill patternType="solid">
        <fgColor rgb="FFD9E1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693288979766"/>
        <bgColor indexed="64"/>
      </patternFill>
    </fill>
    <fill>
      <patternFill patternType="solid">
        <fgColor theme="0" tint="-0.149754325998718"/>
        <bgColor indexed="64"/>
      </patternFill>
    </fill>
    <fill>
      <patternFill patternType="solid">
        <fgColor theme="0" tint="-0.1497238074892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3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22" borderId="18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3" borderId="21" applyNumberFormat="0" applyAlignment="0" applyProtection="0">
      <alignment vertical="center"/>
    </xf>
    <xf numFmtId="0" fontId="49" fillId="24" borderId="22" applyNumberFormat="0" applyAlignment="0" applyProtection="0">
      <alignment vertical="center"/>
    </xf>
    <xf numFmtId="0" fontId="50" fillId="24" borderId="21" applyNumberFormat="0" applyAlignment="0" applyProtection="0">
      <alignment vertical="center"/>
    </xf>
    <xf numFmtId="0" fontId="51" fillId="25" borderId="23" applyNumberFormat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43" fontId="0" fillId="0" borderId="0">
      <alignment vertical="center"/>
    </xf>
    <xf numFmtId="0" fontId="0" fillId="0" borderId="0"/>
    <xf numFmtId="0" fontId="0" fillId="0" borderId="0">
      <alignment vertical="center"/>
    </xf>
    <xf numFmtId="9" fontId="0" fillId="0" borderId="0">
      <alignment vertical="center"/>
    </xf>
    <xf numFmtId="0" fontId="0" fillId="0" borderId="0"/>
    <xf numFmtId="0" fontId="0" fillId="0" borderId="0"/>
    <xf numFmtId="0" fontId="0" fillId="0" borderId="0"/>
    <xf numFmtId="9" fontId="0" fillId="0" borderId="0">
      <alignment vertical="center"/>
    </xf>
    <xf numFmtId="9" fontId="0" fillId="0" borderId="0">
      <alignment vertical="center"/>
    </xf>
    <xf numFmtId="9" fontId="0" fillId="0" borderId="0">
      <alignment vertical="center"/>
    </xf>
    <xf numFmtId="9" fontId="0" fillId="0" borderId="0">
      <alignment vertical="center"/>
    </xf>
    <xf numFmtId="9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9" fillId="0" borderId="0"/>
    <xf numFmtId="43" fontId="0" fillId="0" borderId="0">
      <alignment vertical="center"/>
    </xf>
    <xf numFmtId="43" fontId="0" fillId="0" borderId="0">
      <alignment vertical="center"/>
    </xf>
    <xf numFmtId="43" fontId="0" fillId="0" borderId="0">
      <alignment vertical="center"/>
    </xf>
    <xf numFmtId="43" fontId="0" fillId="0" borderId="0">
      <alignment vertical="center"/>
    </xf>
    <xf numFmtId="43" fontId="0" fillId="0" borderId="0">
      <alignment vertical="center"/>
    </xf>
    <xf numFmtId="43" fontId="0" fillId="0" borderId="0">
      <alignment vertical="center"/>
    </xf>
  </cellStyleXfs>
  <cellXfs count="49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176" fontId="6" fillId="0" borderId="1" xfId="2" applyNumberFormat="1" applyFont="1" applyBorder="1" applyAlignment="1">
      <alignment horizontal="right" vertical="center"/>
    </xf>
    <xf numFmtId="176" fontId="7" fillId="0" borderId="1" xfId="2" applyNumberFormat="1" applyFont="1" applyBorder="1" applyAlignment="1">
      <alignment horizontal="center" vertical="center"/>
    </xf>
    <xf numFmtId="177" fontId="8" fillId="0" borderId="1" xfId="1" applyNumberFormat="1" applyFont="1" applyBorder="1" applyAlignment="1">
      <alignment horizontal="center" vertical="center"/>
    </xf>
    <xf numFmtId="176" fontId="6" fillId="0" borderId="1" xfId="2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78" fontId="6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right" vertical="center"/>
    </xf>
    <xf numFmtId="177" fontId="8" fillId="0" borderId="3" xfId="1" applyNumberFormat="1" applyFont="1" applyBorder="1" applyAlignment="1">
      <alignment horizontal="center" vertical="center"/>
    </xf>
    <xf numFmtId="177" fontId="8" fillId="3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right" vertical="center"/>
    </xf>
    <xf numFmtId="176" fontId="5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77" fontId="5" fillId="0" borderId="1" xfId="1" applyNumberFormat="1" applyFont="1" applyBorder="1" applyAlignment="1">
      <alignment horizontal="center" vertical="center"/>
    </xf>
    <xf numFmtId="177" fontId="5" fillId="0" borderId="3" xfId="1" applyNumberFormat="1" applyFont="1" applyBorder="1" applyAlignment="1">
      <alignment horizontal="center" vertical="center"/>
    </xf>
    <xf numFmtId="177" fontId="5" fillId="3" borderId="1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14" fontId="1" fillId="0" borderId="1" xfId="0" applyNumberFormat="1" applyFont="1" applyBorder="1" applyAlignment="1">
      <alignment horizontal="left" vertical="center"/>
    </xf>
    <xf numFmtId="38" fontId="1" fillId="0" borderId="1" xfId="2" applyNumberFormat="1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177" fontId="9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/>
    <xf numFmtId="0" fontId="0" fillId="0" borderId="0" xfId="75"/>
    <xf numFmtId="0" fontId="0" fillId="0" borderId="0" xfId="75" applyAlignment="1">
      <alignment horizontal="center" vertical="center"/>
    </xf>
    <xf numFmtId="180" fontId="0" fillId="0" borderId="0" xfId="75" applyNumberFormat="1"/>
    <xf numFmtId="0" fontId="0" fillId="0" borderId="0" xfId="75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4" borderId="1" xfId="55" applyFont="1" applyFill="1" applyBorder="1" applyAlignment="1">
      <alignment horizontal="center" vertical="center" wrapText="1"/>
    </xf>
    <xf numFmtId="0" fontId="12" fillId="4" borderId="1" xfId="55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0" fillId="0" borderId="1" xfId="63" applyBorder="1" applyAlignment="1"/>
    <xf numFmtId="179" fontId="0" fillId="0" borderId="1" xfId="75" applyNumberFormat="1" applyBorder="1"/>
    <xf numFmtId="0" fontId="0" fillId="0" borderId="1" xfId="75" applyBorder="1"/>
    <xf numFmtId="43" fontId="0" fillId="0" borderId="1" xfId="75" applyNumberFormat="1" applyBorder="1"/>
    <xf numFmtId="43" fontId="0" fillId="0" borderId="1" xfId="49" applyBorder="1" applyAlignment="1"/>
    <xf numFmtId="0" fontId="0" fillId="0" borderId="7" xfId="0" applyBorder="1">
      <alignment vertical="center"/>
    </xf>
    <xf numFmtId="176" fontId="0" fillId="0" borderId="1" xfId="75" applyNumberFormat="1" applyBorder="1"/>
    <xf numFmtId="43" fontId="0" fillId="0" borderId="1" xfId="49" applyFont="1" applyBorder="1" applyAlignment="1"/>
    <xf numFmtId="0" fontId="0" fillId="0" borderId="7" xfId="0" applyBorder="1" applyAlignment="1"/>
    <xf numFmtId="0" fontId="14" fillId="5" borderId="1" xfId="71" applyFont="1" applyFill="1" applyBorder="1" applyAlignment="1">
      <alignment horizontal="center" vertical="center" wrapText="1"/>
    </xf>
    <xf numFmtId="176" fontId="15" fillId="6" borderId="6" xfId="71" applyNumberFormat="1" applyFont="1" applyFill="1" applyBorder="1">
      <alignment vertical="center"/>
    </xf>
    <xf numFmtId="176" fontId="15" fillId="6" borderId="1" xfId="71" applyNumberFormat="1" applyFont="1" applyFill="1" applyBorder="1">
      <alignment vertical="center"/>
    </xf>
    <xf numFmtId="176" fontId="16" fillId="6" borderId="1" xfId="81" applyNumberFormat="1" applyFont="1" applyFill="1" applyBorder="1" applyAlignment="1">
      <alignment horizontal="center" vertical="center"/>
    </xf>
    <xf numFmtId="176" fontId="15" fillId="6" borderId="1" xfId="71" applyNumberFormat="1" applyFont="1" applyFill="1" applyBorder="1" applyAlignment="1">
      <alignment horizontal="center" vertical="center"/>
    </xf>
    <xf numFmtId="3" fontId="16" fillId="6" borderId="0" xfId="0" applyNumberFormat="1" applyFont="1" applyFill="1" applyAlignment="1">
      <alignment horizontal="center" vertical="center"/>
    </xf>
    <xf numFmtId="180" fontId="15" fillId="6" borderId="1" xfId="71" applyNumberFormat="1" applyFont="1" applyFill="1" applyBorder="1">
      <alignment vertical="center"/>
    </xf>
    <xf numFmtId="0" fontId="0" fillId="0" borderId="8" xfId="0" applyBorder="1" applyAlignment="1"/>
    <xf numFmtId="176" fontId="14" fillId="5" borderId="1" xfId="71" applyNumberFormat="1" applyFont="1" applyFill="1" applyBorder="1" applyAlignment="1">
      <alignment horizontal="center" vertical="center" wrapText="1"/>
    </xf>
    <xf numFmtId="176" fontId="14" fillId="5" borderId="6" xfId="71" applyNumberFormat="1" applyFont="1" applyFill="1" applyBorder="1" applyAlignment="1">
      <alignment horizontal="center" vertical="center" wrapText="1"/>
    </xf>
    <xf numFmtId="43" fontId="14" fillId="5" borderId="1" xfId="79" applyFont="1" applyFill="1" applyBorder="1" applyAlignment="1">
      <alignment horizontal="center" vertical="center" wrapText="1"/>
    </xf>
    <xf numFmtId="180" fontId="17" fillId="7" borderId="1" xfId="63" applyNumberFormat="1" applyFont="1" applyFill="1" applyBorder="1" applyAlignment="1">
      <alignment horizontal="center" vertical="center" wrapText="1"/>
    </xf>
    <xf numFmtId="0" fontId="17" fillId="7" borderId="1" xfId="63" applyFont="1" applyFill="1" applyBorder="1" applyAlignment="1">
      <alignment horizontal="center" vertical="center" wrapText="1"/>
    </xf>
    <xf numFmtId="0" fontId="0" fillId="0" borderId="1" xfId="75" applyBorder="1" applyAlignment="1">
      <alignment horizontal="center" vertical="center"/>
    </xf>
    <xf numFmtId="0" fontId="0" fillId="0" borderId="1" xfId="71" applyBorder="1" applyAlignment="1">
      <alignment horizontal="left" vertical="center"/>
    </xf>
    <xf numFmtId="176" fontId="0" fillId="0" borderId="1" xfId="81" applyNumberFormat="1" applyFont="1" applyBorder="1" applyAlignment="1"/>
    <xf numFmtId="43" fontId="0" fillId="0" borderId="1" xfId="81" applyFont="1" applyBorder="1" applyAlignment="1">
      <alignment horizontal="right"/>
    </xf>
    <xf numFmtId="43" fontId="0" fillId="0" borderId="1" xfId="81" applyFont="1" applyBorder="1" applyAlignment="1"/>
    <xf numFmtId="3" fontId="0" fillId="0" borderId="9" xfId="0" applyNumberFormat="1" applyBorder="1" applyAlignment="1">
      <alignment horizontal="center" vertical="center"/>
    </xf>
    <xf numFmtId="180" fontId="0" fillId="0" borderId="1" xfId="75" applyNumberFormat="1" applyBorder="1"/>
    <xf numFmtId="179" fontId="0" fillId="0" borderId="0" xfId="75" applyNumberFormat="1"/>
    <xf numFmtId="0" fontId="0" fillId="0" borderId="10" xfId="0" applyBorder="1" applyAlignment="1"/>
    <xf numFmtId="3" fontId="0" fillId="0" borderId="11" xfId="0" applyNumberFormat="1" applyBorder="1" applyAlignment="1">
      <alignment horizontal="center" vertical="center"/>
    </xf>
    <xf numFmtId="0" fontId="18" fillId="8" borderId="1" xfId="71" applyFont="1" applyFill="1" applyBorder="1">
      <alignment vertical="center"/>
    </xf>
    <xf numFmtId="180" fontId="0" fillId="0" borderId="1" xfId="52" applyNumberFormat="1" applyFont="1" applyBorder="1" applyAlignment="1"/>
    <xf numFmtId="176" fontId="0" fillId="3" borderId="1" xfId="75" applyNumberFormat="1" applyFill="1" applyBorder="1"/>
    <xf numFmtId="0" fontId="19" fillId="8" borderId="1" xfId="71" applyFont="1" applyFill="1" applyBorder="1">
      <alignment vertical="center"/>
    </xf>
    <xf numFmtId="0" fontId="0" fillId="0" borderId="0" xfId="0" applyAlignment="1">
      <alignment horizontal="left" vertical="center"/>
    </xf>
    <xf numFmtId="0" fontId="20" fillId="5" borderId="1" xfId="71" applyFont="1" applyFill="1" applyBorder="1" applyAlignment="1">
      <alignment horizontal="left" vertical="center"/>
    </xf>
    <xf numFmtId="0" fontId="20" fillId="5" borderId="1" xfId="75" applyFont="1" applyFill="1" applyBorder="1" applyAlignment="1">
      <alignment horizontal="left" vertical="center"/>
    </xf>
    <xf numFmtId="176" fontId="0" fillId="0" borderId="0" xfId="75" applyNumberFormat="1"/>
    <xf numFmtId="181" fontId="0" fillId="0" borderId="1" xfId="75" applyNumberFormat="1" applyBorder="1"/>
    <xf numFmtId="0" fontId="0" fillId="3" borderId="1" xfId="71" applyFill="1" applyBorder="1" applyAlignment="1">
      <alignment horizontal="left" vertical="center"/>
    </xf>
    <xf numFmtId="0" fontId="0" fillId="0" borderId="11" xfId="0" applyBorder="1">
      <alignment vertical="center"/>
    </xf>
    <xf numFmtId="0" fontId="0" fillId="0" borderId="1" xfId="71" applyBorder="1">
      <alignment vertical="center"/>
    </xf>
    <xf numFmtId="0" fontId="20" fillId="5" borderId="1" xfId="71" applyFont="1" applyFill="1" applyBorder="1">
      <alignment vertical="center"/>
    </xf>
    <xf numFmtId="0" fontId="20" fillId="5" borderId="12" xfId="75" applyFont="1" applyFill="1" applyBorder="1" applyAlignment="1">
      <alignment vertical="center"/>
    </xf>
    <xf numFmtId="0" fontId="20" fillId="5" borderId="1" xfId="75" applyFont="1" applyFill="1" applyBorder="1" applyAlignment="1">
      <alignment vertical="center"/>
    </xf>
    <xf numFmtId="0" fontId="0" fillId="0" borderId="0" xfId="74"/>
    <xf numFmtId="0" fontId="0" fillId="0" borderId="0" xfId="74" applyAlignment="1">
      <alignment horizontal="center" vertical="center"/>
    </xf>
    <xf numFmtId="180" fontId="0" fillId="0" borderId="0" xfId="74" applyNumberFormat="1"/>
    <xf numFmtId="0" fontId="0" fillId="0" borderId="0" xfId="74" applyAlignment="1">
      <alignment horizontal="left" vertical="center" wrapText="1"/>
    </xf>
    <xf numFmtId="0" fontId="11" fillId="4" borderId="1" xfId="54" applyFont="1" applyFill="1" applyBorder="1" applyAlignment="1">
      <alignment horizontal="center" vertical="center" wrapText="1"/>
    </xf>
    <xf numFmtId="0" fontId="12" fillId="4" borderId="1" xfId="54" applyFont="1" applyFill="1" applyBorder="1" applyAlignment="1">
      <alignment horizontal="center" vertical="center" wrapText="1"/>
    </xf>
    <xf numFmtId="0" fontId="0" fillId="0" borderId="1" xfId="62" applyBorder="1" applyAlignment="1"/>
    <xf numFmtId="179" fontId="0" fillId="0" borderId="1" xfId="74" applyNumberFormat="1" applyBorder="1"/>
    <xf numFmtId="0" fontId="0" fillId="0" borderId="1" xfId="74" applyBorder="1"/>
    <xf numFmtId="43" fontId="0" fillId="0" borderId="1" xfId="74" applyNumberFormat="1" applyBorder="1"/>
    <xf numFmtId="176" fontId="0" fillId="0" borderId="1" xfId="74" applyNumberFormat="1" applyBorder="1"/>
    <xf numFmtId="9" fontId="0" fillId="0" borderId="1" xfId="3" applyBorder="1" applyAlignment="1"/>
    <xf numFmtId="0" fontId="21" fillId="8" borderId="1" xfId="70" applyFont="1" applyFill="1" applyBorder="1" applyAlignment="1">
      <alignment horizontal="left" vertical="center" wrapText="1"/>
    </xf>
    <xf numFmtId="176" fontId="15" fillId="6" borderId="6" xfId="70" applyNumberFormat="1" applyFont="1" applyFill="1" applyBorder="1">
      <alignment vertical="center"/>
    </xf>
    <xf numFmtId="176" fontId="15" fillId="6" borderId="1" xfId="70" applyNumberFormat="1" applyFont="1" applyFill="1" applyBorder="1">
      <alignment vertical="center"/>
    </xf>
    <xf numFmtId="176" fontId="16" fillId="6" borderId="1" xfId="80" applyNumberFormat="1" applyFont="1" applyFill="1" applyBorder="1" applyAlignment="1">
      <alignment horizontal="center" vertical="center"/>
    </xf>
    <xf numFmtId="176" fontId="15" fillId="6" borderId="1" xfId="70" applyNumberFormat="1" applyFont="1" applyFill="1" applyBorder="1" applyAlignment="1">
      <alignment horizontal="center" vertical="center"/>
    </xf>
    <xf numFmtId="176" fontId="15" fillId="6" borderId="0" xfId="70" applyNumberFormat="1" applyFont="1" applyFill="1">
      <alignment vertical="center"/>
    </xf>
    <xf numFmtId="180" fontId="15" fillId="6" borderId="0" xfId="70" applyNumberFormat="1" applyFont="1" applyFill="1">
      <alignment vertical="center"/>
    </xf>
    <xf numFmtId="0" fontId="14" fillId="5" borderId="1" xfId="70" applyFont="1" applyFill="1" applyBorder="1" applyAlignment="1">
      <alignment horizontal="center" vertical="center" wrapText="1"/>
    </xf>
    <xf numFmtId="180" fontId="15" fillId="6" borderId="1" xfId="70" applyNumberFormat="1" applyFont="1" applyFill="1" applyBorder="1">
      <alignment vertical="center"/>
    </xf>
    <xf numFmtId="176" fontId="14" fillId="5" borderId="1" xfId="70" applyNumberFormat="1" applyFont="1" applyFill="1" applyBorder="1" applyAlignment="1">
      <alignment horizontal="center" vertical="center" wrapText="1"/>
    </xf>
    <xf numFmtId="176" fontId="14" fillId="5" borderId="6" xfId="70" applyNumberFormat="1" applyFont="1" applyFill="1" applyBorder="1" applyAlignment="1">
      <alignment horizontal="center" vertical="center" wrapText="1"/>
    </xf>
    <xf numFmtId="43" fontId="14" fillId="5" borderId="1" xfId="78" applyFont="1" applyFill="1" applyBorder="1" applyAlignment="1">
      <alignment horizontal="center" vertical="center" wrapText="1"/>
    </xf>
    <xf numFmtId="180" fontId="17" fillId="7" borderId="1" xfId="62" applyNumberFormat="1" applyFont="1" applyFill="1" applyBorder="1" applyAlignment="1">
      <alignment horizontal="center" vertical="center" wrapText="1"/>
    </xf>
    <xf numFmtId="0" fontId="17" fillId="7" borderId="1" xfId="62" applyFont="1" applyFill="1" applyBorder="1" applyAlignment="1">
      <alignment horizontal="center" vertical="center" wrapText="1"/>
    </xf>
    <xf numFmtId="0" fontId="0" fillId="0" borderId="1" xfId="74" applyBorder="1" applyAlignment="1">
      <alignment horizontal="center" vertical="center"/>
    </xf>
    <xf numFmtId="0" fontId="0" fillId="0" borderId="1" xfId="70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3" fontId="0" fillId="0" borderId="1" xfId="80" applyBorder="1" applyAlignment="1">
      <alignment horizontal="right"/>
    </xf>
    <xf numFmtId="176" fontId="0" fillId="0" borderId="1" xfId="80" applyNumberFormat="1" applyBorder="1" applyAlignment="1"/>
    <xf numFmtId="43" fontId="0" fillId="0" borderId="1" xfId="80" applyBorder="1" applyAlignment="1"/>
    <xf numFmtId="180" fontId="0" fillId="0" borderId="1" xfId="74" applyNumberFormat="1" applyBorder="1"/>
    <xf numFmtId="179" fontId="0" fillId="0" borderId="0" xfId="74" applyNumberFormat="1"/>
    <xf numFmtId="0" fontId="18" fillId="8" borderId="1" xfId="70" applyFont="1" applyFill="1" applyBorder="1">
      <alignment vertical="center"/>
    </xf>
    <xf numFmtId="180" fontId="0" fillId="0" borderId="1" xfId="3" applyNumberFormat="1" applyBorder="1" applyAlignment="1"/>
    <xf numFmtId="0" fontId="19" fillId="8" borderId="1" xfId="70" applyFont="1" applyFill="1" applyBorder="1">
      <alignment vertical="center"/>
    </xf>
    <xf numFmtId="0" fontId="20" fillId="5" borderId="1" xfId="70" applyFont="1" applyFill="1" applyBorder="1" applyAlignment="1">
      <alignment horizontal="left" vertical="center"/>
    </xf>
    <xf numFmtId="0" fontId="20" fillId="5" borderId="1" xfId="74" applyFont="1" applyFill="1" applyBorder="1" applyAlignment="1">
      <alignment horizontal="left" vertical="center"/>
    </xf>
    <xf numFmtId="176" fontId="0" fillId="0" borderId="0" xfId="74" applyNumberFormat="1"/>
    <xf numFmtId="181" fontId="0" fillId="0" borderId="1" xfId="74" applyNumberFormat="1" applyBorder="1"/>
    <xf numFmtId="0" fontId="0" fillId="3" borderId="1" xfId="70" applyFill="1" applyBorder="1" applyAlignment="1">
      <alignment horizontal="left" vertical="center"/>
    </xf>
    <xf numFmtId="0" fontId="0" fillId="0" borderId="1" xfId="70" applyBorder="1">
      <alignment vertical="center"/>
    </xf>
    <xf numFmtId="0" fontId="20" fillId="5" borderId="1" xfId="70" applyFont="1" applyFill="1" applyBorder="1">
      <alignment vertical="center"/>
    </xf>
    <xf numFmtId="0" fontId="20" fillId="5" borderId="12" xfId="74" applyFont="1" applyFill="1" applyBorder="1" applyAlignment="1">
      <alignment vertical="center"/>
    </xf>
    <xf numFmtId="0" fontId="20" fillId="5" borderId="1" xfId="74" applyFont="1" applyFill="1" applyBorder="1" applyAlignment="1">
      <alignment vertical="center"/>
    </xf>
    <xf numFmtId="0" fontId="0" fillId="0" borderId="1" xfId="74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0" fillId="0" borderId="1" xfId="74" applyBorder="1" applyAlignment="1">
      <alignment horizontal="right"/>
    </xf>
    <xf numFmtId="43" fontId="0" fillId="0" borderId="1" xfId="74" applyNumberFormat="1" applyBorder="1" applyAlignment="1">
      <alignment horizontal="right"/>
    </xf>
    <xf numFmtId="176" fontId="0" fillId="0" borderId="1" xfId="74" applyNumberFormat="1" applyBorder="1" applyAlignment="1">
      <alignment horizontal="right"/>
    </xf>
    <xf numFmtId="179" fontId="0" fillId="0" borderId="1" xfId="74" applyNumberFormat="1" applyBorder="1" applyAlignment="1">
      <alignment horizontal="right"/>
    </xf>
    <xf numFmtId="0" fontId="23" fillId="0" borderId="1" xfId="53" applyFont="1" applyBorder="1" applyAlignment="1">
      <alignment horizontal="center" vertical="center"/>
    </xf>
    <xf numFmtId="43" fontId="0" fillId="9" borderId="1" xfId="74" applyNumberFormat="1" applyFill="1" applyBorder="1"/>
    <xf numFmtId="0" fontId="0" fillId="0" borderId="1" xfId="62" applyBorder="1" applyAlignment="1">
      <alignment horizontal="center" vertical="center"/>
    </xf>
    <xf numFmtId="43" fontId="0" fillId="0" borderId="1" xfId="74" applyNumberFormat="1" applyBorder="1" applyAlignment="1">
      <alignment horizontal="center" vertical="center"/>
    </xf>
    <xf numFmtId="179" fontId="0" fillId="0" borderId="1" xfId="74" applyNumberFormat="1" applyBorder="1" applyAlignment="1">
      <alignment horizontal="center" vertical="center"/>
    </xf>
    <xf numFmtId="0" fontId="0" fillId="0" borderId="1" xfId="74" applyBorder="1" applyAlignment="1">
      <alignment wrapText="1"/>
    </xf>
    <xf numFmtId="0" fontId="24" fillId="0" borderId="1" xfId="70" applyFont="1" applyBorder="1" applyAlignment="1">
      <alignment horizontal="left" vertical="center"/>
    </xf>
    <xf numFmtId="176" fontId="24" fillId="3" borderId="1" xfId="80" applyNumberFormat="1" applyFont="1" applyFill="1" applyBorder="1" applyAlignment="1"/>
    <xf numFmtId="43" fontId="24" fillId="0" borderId="1" xfId="80" applyFont="1" applyBorder="1" applyAlignment="1"/>
    <xf numFmtId="176" fontId="24" fillId="0" borderId="1" xfId="80" applyNumberFormat="1" applyFont="1" applyBorder="1" applyAlignment="1"/>
    <xf numFmtId="176" fontId="24" fillId="0" borderId="1" xfId="74" applyNumberFormat="1" applyFont="1" applyBorder="1"/>
    <xf numFmtId="43" fontId="24" fillId="0" borderId="1" xfId="74" applyNumberFormat="1" applyFont="1" applyBorder="1"/>
    <xf numFmtId="0" fontId="24" fillId="0" borderId="1" xfId="74" applyFont="1" applyBorder="1"/>
    <xf numFmtId="176" fontId="0" fillId="3" borderId="1" xfId="80" applyNumberFormat="1" applyFill="1" applyBorder="1" applyAlignment="1"/>
    <xf numFmtId="176" fontId="0" fillId="3" borderId="1" xfId="74" applyNumberFormat="1" applyFill="1" applyBorder="1"/>
    <xf numFmtId="176" fontId="0" fillId="10" borderId="1" xfId="74" applyNumberFormat="1" applyFill="1" applyBorder="1"/>
    <xf numFmtId="0" fontId="0" fillId="0" borderId="0" xfId="62" applyAlignment="1"/>
    <xf numFmtId="0" fontId="0" fillId="0" borderId="0" xfId="62" applyAlignment="1">
      <alignment horizontal="center" vertical="center"/>
    </xf>
    <xf numFmtId="0" fontId="12" fillId="4" borderId="1" xfId="54" applyFont="1" applyFill="1" applyBorder="1" applyAlignment="1">
      <alignment vertical="center" wrapText="1"/>
    </xf>
    <xf numFmtId="176" fontId="0" fillId="0" borderId="1" xfId="1" applyNumberFormat="1" applyBorder="1" applyAlignment="1"/>
    <xf numFmtId="43" fontId="0" fillId="0" borderId="1" xfId="1" applyBorder="1" applyAlignment="1"/>
    <xf numFmtId="182" fontId="0" fillId="0" borderId="1" xfId="62" applyNumberFormat="1" applyBorder="1" applyAlignment="1"/>
    <xf numFmtId="176" fontId="0" fillId="0" borderId="1" xfId="62" applyNumberFormat="1" applyBorder="1" applyAlignment="1"/>
    <xf numFmtId="183" fontId="0" fillId="0" borderId="1" xfId="62" applyNumberFormat="1" applyBorder="1" applyAlignment="1"/>
    <xf numFmtId="43" fontId="0" fillId="0" borderId="1" xfId="62" applyNumberFormat="1" applyBorder="1" applyAlignment="1"/>
    <xf numFmtId="2" fontId="0" fillId="0" borderId="1" xfId="62" applyNumberFormat="1" applyBorder="1" applyAlignment="1"/>
    <xf numFmtId="184" fontId="0" fillId="0" borderId="1" xfId="62" applyNumberFormat="1" applyBorder="1" applyAlignment="1"/>
    <xf numFmtId="183" fontId="0" fillId="0" borderId="1" xfId="78" applyNumberFormat="1" applyBorder="1" applyAlignment="1"/>
    <xf numFmtId="176" fontId="0" fillId="0" borderId="1" xfId="78" applyNumberFormat="1" applyBorder="1" applyAlignment="1"/>
    <xf numFmtId="0" fontId="23" fillId="3" borderId="1" xfId="62" applyFont="1" applyFill="1" applyBorder="1" applyAlignment="1">
      <alignment horizontal="center" vertical="center"/>
    </xf>
    <xf numFmtId="0" fontId="23" fillId="0" borderId="1" xfId="62" applyFont="1" applyBorder="1" applyAlignment="1">
      <alignment horizontal="center" vertical="center"/>
    </xf>
    <xf numFmtId="176" fontId="16" fillId="6" borderId="1" xfId="78" applyNumberFormat="1" applyFont="1" applyFill="1" applyBorder="1" applyAlignment="1">
      <alignment horizontal="center" vertical="center"/>
    </xf>
    <xf numFmtId="176" fontId="21" fillId="6" borderId="1" xfId="78" applyNumberFormat="1" applyFont="1" applyFill="1" applyBorder="1" applyAlignment="1">
      <alignment horizontal="center" vertical="center"/>
    </xf>
    <xf numFmtId="176" fontId="21" fillId="6" borderId="1" xfId="70" applyNumberFormat="1" applyFont="1" applyFill="1" applyBorder="1" applyAlignment="1">
      <alignment horizontal="center" vertical="center"/>
    </xf>
    <xf numFmtId="0" fontId="14" fillId="5" borderId="1" xfId="70" applyFont="1" applyFill="1" applyBorder="1" applyAlignment="1">
      <alignment horizontal="center" vertical="center"/>
    </xf>
    <xf numFmtId="43" fontId="0" fillId="0" borderId="1" xfId="78" applyBorder="1" applyAlignment="1"/>
    <xf numFmtId="43" fontId="0" fillId="0" borderId="6" xfId="78" applyBorder="1" applyAlignment="1"/>
    <xf numFmtId="0" fontId="18" fillId="11" borderId="1" xfId="70" applyFont="1" applyFill="1" applyBorder="1">
      <alignment vertical="center"/>
    </xf>
    <xf numFmtId="176" fontId="0" fillId="11" borderId="1" xfId="78" applyNumberFormat="1" applyFill="1" applyBorder="1" applyAlignment="1"/>
    <xf numFmtId="43" fontId="0" fillId="11" borderId="1" xfId="78" applyFill="1" applyBorder="1" applyAlignment="1"/>
    <xf numFmtId="43" fontId="0" fillId="11" borderId="6" xfId="78" applyFill="1" applyBorder="1" applyAlignment="1"/>
    <xf numFmtId="176" fontId="0" fillId="11" borderId="1" xfId="62" applyNumberFormat="1" applyFill="1" applyBorder="1" applyAlignment="1"/>
    <xf numFmtId="43" fontId="0" fillId="11" borderId="1" xfId="62" applyNumberFormat="1" applyFill="1" applyBorder="1" applyAlignment="1"/>
    <xf numFmtId="0" fontId="0" fillId="3" borderId="1" xfId="62" applyFill="1" applyBorder="1" applyAlignment="1"/>
    <xf numFmtId="0" fontId="20" fillId="5" borderId="1" xfId="62" applyFont="1" applyFill="1" applyBorder="1" applyAlignment="1">
      <alignment horizontal="left" vertical="center"/>
    </xf>
    <xf numFmtId="176" fontId="0" fillId="0" borderId="0" xfId="62" applyNumberFormat="1" applyAlignment="1"/>
    <xf numFmtId="176" fontId="0" fillId="0" borderId="6" xfId="78" applyNumberFormat="1" applyBorder="1" applyAlignment="1"/>
    <xf numFmtId="176" fontId="0" fillId="11" borderId="6" xfId="78" applyNumberFormat="1" applyFill="1" applyBorder="1" applyAlignment="1"/>
    <xf numFmtId="176" fontId="0" fillId="3" borderId="1" xfId="62" applyNumberFormat="1" applyFill="1" applyBorder="1" applyAlignment="1"/>
    <xf numFmtId="0" fontId="20" fillId="5" borderId="12" xfId="70" applyFont="1" applyFill="1" applyBorder="1">
      <alignment vertical="center"/>
    </xf>
    <xf numFmtId="0" fontId="20" fillId="5" borderId="12" xfId="62" applyFont="1" applyFill="1" applyBorder="1">
      <alignment vertical="center"/>
    </xf>
    <xf numFmtId="185" fontId="0" fillId="0" borderId="1" xfId="78" applyNumberFormat="1" applyBorder="1" applyAlignment="1"/>
    <xf numFmtId="0" fontId="20" fillId="5" borderId="1" xfId="62" applyFont="1" applyFill="1" applyBorder="1">
      <alignment vertical="center"/>
    </xf>
    <xf numFmtId="0" fontId="22" fillId="0" borderId="0" xfId="62" applyFont="1" applyAlignment="1">
      <alignment horizontal="left" vertical="center" wrapText="1"/>
    </xf>
    <xf numFmtId="0" fontId="6" fillId="0" borderId="0" xfId="62" applyFont="1" applyAlignment="1">
      <alignment horizontal="left" vertical="top" wrapText="1"/>
    </xf>
    <xf numFmtId="0" fontId="0" fillId="0" borderId="1" xfId="62" applyBorder="1" applyAlignment="1">
      <alignment horizontal="right"/>
    </xf>
    <xf numFmtId="183" fontId="0" fillId="0" borderId="13" xfId="78" applyNumberFormat="1" applyBorder="1" applyAlignment="1">
      <alignment horizontal="center" vertical="center"/>
    </xf>
    <xf numFmtId="176" fontId="0" fillId="0" borderId="1" xfId="62" applyNumberFormat="1" applyBorder="1" applyAlignment="1">
      <alignment horizontal="right"/>
    </xf>
    <xf numFmtId="176" fontId="0" fillId="0" borderId="1" xfId="78" applyNumberFormat="1" applyBorder="1" applyAlignment="1">
      <alignment horizontal="right"/>
    </xf>
    <xf numFmtId="43" fontId="0" fillId="0" borderId="1" xfId="78" applyBorder="1" applyAlignment="1">
      <alignment horizontal="right"/>
    </xf>
    <xf numFmtId="184" fontId="0" fillId="0" borderId="1" xfId="62" applyNumberFormat="1" applyBorder="1" applyAlignment="1">
      <alignment horizontal="right"/>
    </xf>
    <xf numFmtId="1" fontId="11" fillId="0" borderId="0" xfId="62" applyNumberFormat="1" applyFont="1" applyAlignment="1">
      <alignment horizontal="center" vertical="center"/>
    </xf>
    <xf numFmtId="0" fontId="23" fillId="8" borderId="1" xfId="62" applyFont="1" applyFill="1" applyBorder="1" applyAlignment="1">
      <alignment horizontal="center" vertical="center"/>
    </xf>
    <xf numFmtId="176" fontId="15" fillId="6" borderId="6" xfId="70" applyNumberFormat="1" applyFont="1" applyFill="1" applyBorder="1" applyAlignment="1">
      <alignment horizontal="center" vertical="center"/>
    </xf>
    <xf numFmtId="176" fontId="25" fillId="6" borderId="1" xfId="78" applyNumberFormat="1" applyFont="1" applyFill="1" applyBorder="1" applyAlignment="1">
      <alignment horizontal="center" vertical="center"/>
    </xf>
    <xf numFmtId="3" fontId="0" fillId="0" borderId="1" xfId="62" applyNumberFormat="1" applyBorder="1" applyAlignment="1">
      <alignment horizontal="center" vertical="center"/>
    </xf>
    <xf numFmtId="176" fontId="0" fillId="12" borderId="1" xfId="78" applyNumberFormat="1" applyFill="1" applyBorder="1" applyAlignment="1"/>
    <xf numFmtId="43" fontId="0" fillId="12" borderId="1" xfId="78" applyFill="1" applyBorder="1" applyAlignment="1"/>
    <xf numFmtId="176" fontId="0" fillId="12" borderId="1" xfId="62" applyNumberFormat="1" applyFill="1" applyBorder="1" applyAlignment="1"/>
    <xf numFmtId="43" fontId="0" fillId="12" borderId="1" xfId="62" applyNumberFormat="1" applyFill="1" applyBorder="1" applyAlignment="1"/>
    <xf numFmtId="0" fontId="0" fillId="12" borderId="1" xfId="62" applyFill="1" applyBorder="1" applyAlignment="1"/>
    <xf numFmtId="0" fontId="0" fillId="0" borderId="0" xfId="62" applyAlignment="1">
      <alignment horizontal="left" vertical="center"/>
    </xf>
    <xf numFmtId="181" fontId="0" fillId="0" borderId="1" xfId="78" applyNumberFormat="1" applyBorder="1" applyAlignment="1"/>
    <xf numFmtId="181" fontId="0" fillId="0" borderId="1" xfId="62" applyNumberFormat="1" applyBorder="1" applyAlignment="1"/>
    <xf numFmtId="0" fontId="20" fillId="5" borderId="1" xfId="62" applyFont="1" applyFill="1" applyBorder="1" applyAlignment="1">
      <alignment horizontal="center" vertical="center"/>
    </xf>
    <xf numFmtId="186" fontId="0" fillId="0" borderId="1" xfId="62" applyNumberFormat="1" applyBorder="1" applyAlignment="1"/>
    <xf numFmtId="0" fontId="18" fillId="0" borderId="1" xfId="70" applyFont="1" applyBorder="1">
      <alignment vertical="center"/>
    </xf>
    <xf numFmtId="43" fontId="0" fillId="0" borderId="0" xfId="78" applyAlignment="1"/>
    <xf numFmtId="0" fontId="22" fillId="0" borderId="1" xfId="62" applyFont="1" applyBorder="1" applyAlignment="1">
      <alignment horizontal="center"/>
    </xf>
    <xf numFmtId="179" fontId="0" fillId="0" borderId="1" xfId="62" applyNumberFormat="1" applyBorder="1" applyAlignment="1"/>
    <xf numFmtId="179" fontId="0" fillId="0" borderId="1" xfId="62" applyNumberFormat="1" applyBorder="1" applyAlignment="1">
      <alignment horizontal="center" vertical="center"/>
    </xf>
    <xf numFmtId="0" fontId="23" fillId="0" borderId="1" xfId="54" applyFont="1" applyBorder="1" applyAlignment="1">
      <alignment horizontal="center" vertical="center"/>
    </xf>
    <xf numFmtId="187" fontId="0" fillId="0" borderId="1" xfId="62" applyNumberFormat="1" applyBorder="1" applyAlignment="1"/>
    <xf numFmtId="0" fontId="22" fillId="8" borderId="1" xfId="62" applyFont="1" applyFill="1" applyBorder="1" applyAlignment="1">
      <alignment horizontal="center"/>
    </xf>
    <xf numFmtId="3" fontId="18" fillId="8" borderId="1" xfId="70" applyNumberFormat="1" applyFont="1" applyFill="1" applyBorder="1" applyAlignment="1">
      <alignment horizontal="center" vertical="center"/>
    </xf>
    <xf numFmtId="0" fontId="26" fillId="5" borderId="1" xfId="70" applyFont="1" applyFill="1" applyBorder="1" applyAlignment="1">
      <alignment horizontal="center" vertical="center" wrapText="1"/>
    </xf>
    <xf numFmtId="176" fontId="15" fillId="6" borderId="1" xfId="78" applyNumberFormat="1" applyFont="1" applyFill="1" applyBorder="1" applyAlignment="1">
      <alignment horizontal="center" vertical="center"/>
    </xf>
    <xf numFmtId="176" fontId="26" fillId="5" borderId="1" xfId="70" applyNumberFormat="1" applyFont="1" applyFill="1" applyBorder="1" applyAlignment="1">
      <alignment horizontal="center" vertical="center" wrapText="1"/>
    </xf>
    <xf numFmtId="43" fontId="26" fillId="5" borderId="1" xfId="78" applyFont="1" applyFill="1" applyBorder="1" applyAlignment="1">
      <alignment horizontal="center" vertical="center" wrapText="1"/>
    </xf>
    <xf numFmtId="0" fontId="27" fillId="7" borderId="1" xfId="62" applyFont="1" applyFill="1" applyBorder="1" applyAlignment="1">
      <alignment horizontal="center" vertical="center" wrapText="1"/>
    </xf>
    <xf numFmtId="0" fontId="27" fillId="7" borderId="3" xfId="62" applyFont="1" applyFill="1" applyBorder="1" applyAlignment="1">
      <alignment horizontal="center" vertical="center" wrapText="1"/>
    </xf>
    <xf numFmtId="176" fontId="0" fillId="0" borderId="1" xfId="62" applyNumberFormat="1" applyBorder="1" applyAlignment="1">
      <alignment horizontal="center" vertical="center"/>
    </xf>
    <xf numFmtId="188" fontId="0" fillId="0" borderId="1" xfId="78" applyNumberFormat="1" applyBorder="1" applyAlignment="1"/>
    <xf numFmtId="188" fontId="0" fillId="0" borderId="1" xfId="57" applyNumberFormat="1" applyBorder="1" applyAlignment="1"/>
    <xf numFmtId="189" fontId="0" fillId="0" borderId="1" xfId="57" applyNumberFormat="1" applyBorder="1" applyAlignment="1"/>
    <xf numFmtId="9" fontId="0" fillId="0" borderId="1" xfId="57" applyBorder="1" applyAlignment="1"/>
    <xf numFmtId="181" fontId="0" fillId="11" borderId="1" xfId="78" applyNumberFormat="1" applyFill="1" applyBorder="1" applyAlignment="1"/>
    <xf numFmtId="176" fontId="28" fillId="13" borderId="1" xfId="62" applyNumberFormat="1" applyFont="1" applyFill="1" applyBorder="1" applyAlignment="1"/>
    <xf numFmtId="183" fontId="0" fillId="13" borderId="1" xfId="62" applyNumberFormat="1" applyFill="1" applyBorder="1" applyAlignment="1"/>
    <xf numFmtId="188" fontId="0" fillId="13" borderId="1" xfId="78" applyNumberFormat="1" applyFill="1" applyBorder="1" applyAlignment="1"/>
    <xf numFmtId="188" fontId="0" fillId="13" borderId="1" xfId="57" applyNumberFormat="1" applyFill="1" applyBorder="1" applyAlignment="1"/>
    <xf numFmtId="189" fontId="0" fillId="13" borderId="1" xfId="57" applyNumberFormat="1" applyFill="1" applyBorder="1" applyAlignment="1"/>
    <xf numFmtId="9" fontId="0" fillId="13" borderId="1" xfId="57" applyFill="1" applyBorder="1" applyAlignment="1"/>
    <xf numFmtId="190" fontId="0" fillId="0" borderId="0" xfId="62" applyNumberFormat="1" applyAlignment="1"/>
    <xf numFmtId="9" fontId="0" fillId="0" borderId="0" xfId="57" applyAlignment="1"/>
    <xf numFmtId="176" fontId="0" fillId="13" borderId="1" xfId="62" applyNumberFormat="1" applyFill="1" applyBorder="1" applyAlignment="1"/>
    <xf numFmtId="9" fontId="0" fillId="3" borderId="1" xfId="57" applyFill="1" applyBorder="1" applyAlignment="1"/>
    <xf numFmtId="176" fontId="0" fillId="13" borderId="1" xfId="78" applyNumberFormat="1" applyFill="1" applyBorder="1" applyAlignment="1"/>
    <xf numFmtId="43" fontId="0" fillId="13" borderId="1" xfId="78" applyFill="1" applyBorder="1" applyAlignment="1"/>
    <xf numFmtId="0" fontId="18" fillId="13" borderId="1" xfId="70" applyFont="1" applyFill="1" applyBorder="1">
      <alignment vertical="center"/>
    </xf>
    <xf numFmtId="176" fontId="19" fillId="0" borderId="1" xfId="62" applyNumberFormat="1" applyFont="1" applyBorder="1" applyAlignment="1"/>
    <xf numFmtId="43" fontId="19" fillId="0" borderId="1" xfId="78" applyFont="1" applyBorder="1" applyAlignment="1"/>
    <xf numFmtId="183" fontId="19" fillId="0" borderId="1" xfId="62" applyNumberFormat="1" applyFont="1" applyBorder="1" applyAlignment="1"/>
    <xf numFmtId="188" fontId="19" fillId="0" borderId="1" xfId="57" applyNumberFormat="1" applyFont="1" applyBorder="1" applyAlignment="1"/>
    <xf numFmtId="189" fontId="19" fillId="0" borderId="1" xfId="57" applyNumberFormat="1" applyFont="1" applyBorder="1" applyAlignment="1"/>
    <xf numFmtId="9" fontId="19" fillId="0" borderId="1" xfId="57" applyFont="1" applyBorder="1" applyAlignment="1"/>
    <xf numFmtId="183" fontId="0" fillId="0" borderId="0" xfId="62" applyNumberFormat="1" applyAlignment="1"/>
    <xf numFmtId="188" fontId="0" fillId="0" borderId="0" xfId="57" applyNumberFormat="1" applyAlignment="1"/>
    <xf numFmtId="189" fontId="0" fillId="0" borderId="0" xfId="57" applyNumberFormat="1" applyAlignment="1"/>
    <xf numFmtId="183" fontId="0" fillId="0" borderId="6" xfId="62" applyNumberFormat="1" applyBorder="1" applyAlignment="1"/>
    <xf numFmtId="9" fontId="0" fillId="0" borderId="1" xfId="62" applyNumberFormat="1" applyBorder="1" applyAlignment="1"/>
    <xf numFmtId="183" fontId="0" fillId="13" borderId="6" xfId="62" applyNumberFormat="1" applyFill="1" applyBorder="1" applyAlignment="1"/>
    <xf numFmtId="9" fontId="0" fillId="13" borderId="1" xfId="62" applyNumberFormat="1" applyFill="1" applyBorder="1" applyAlignment="1"/>
    <xf numFmtId="176" fontId="29" fillId="0" borderId="1" xfId="78" applyNumberFormat="1" applyFont="1" applyBorder="1" applyAlignment="1"/>
    <xf numFmtId="43" fontId="29" fillId="0" borderId="1" xfId="78" applyFont="1" applyBorder="1" applyAlignment="1"/>
    <xf numFmtId="0" fontId="30" fillId="0" borderId="0" xfId="62" applyFont="1" applyAlignment="1">
      <alignment horizontal="center" vertical="center" wrapText="1"/>
    </xf>
    <xf numFmtId="0" fontId="30" fillId="3" borderId="0" xfId="62" applyFont="1" applyFill="1" applyAlignment="1">
      <alignment horizontal="center" vertical="center" wrapText="1"/>
    </xf>
    <xf numFmtId="0" fontId="31" fillId="0" borderId="0" xfId="62" applyFont="1" applyAlignment="1">
      <alignment horizontal="center" vertical="center" wrapText="1"/>
    </xf>
    <xf numFmtId="0" fontId="32" fillId="14" borderId="1" xfId="62" applyFont="1" applyFill="1" applyBorder="1" applyAlignment="1">
      <alignment horizontal="center" vertical="center" wrapText="1"/>
    </xf>
    <xf numFmtId="0" fontId="33" fillId="0" borderId="1" xfId="62" applyFont="1" applyBorder="1" applyAlignment="1">
      <alignment horizontal="left" vertical="center" wrapText="1"/>
    </xf>
    <xf numFmtId="0" fontId="30" fillId="0" borderId="0" xfId="62" applyFont="1" applyAlignment="1">
      <alignment horizontal="left" vertical="center" wrapText="1"/>
    </xf>
    <xf numFmtId="0" fontId="30" fillId="0" borderId="1" xfId="62" applyFont="1" applyBorder="1" applyAlignment="1">
      <alignment horizontal="center" vertical="center" wrapText="1"/>
    </xf>
    <xf numFmtId="0" fontId="26" fillId="14" borderId="13" xfId="62" applyFont="1" applyFill="1" applyBorder="1" applyAlignment="1">
      <alignment horizontal="center" vertical="center" wrapText="1"/>
    </xf>
    <xf numFmtId="0" fontId="26" fillId="14" borderId="1" xfId="62" applyFont="1" applyFill="1" applyBorder="1" applyAlignment="1">
      <alignment horizontal="center" vertical="center" wrapText="1"/>
    </xf>
    <xf numFmtId="0" fontId="34" fillId="0" borderId="6" xfId="62" applyFont="1" applyBorder="1" applyAlignment="1">
      <alignment horizontal="center" vertical="center" wrapText="1"/>
    </xf>
    <xf numFmtId="0" fontId="34" fillId="0" borderId="1" xfId="65" applyFont="1" applyBorder="1"/>
    <xf numFmtId="43" fontId="34" fillId="0" borderId="1" xfId="78" applyFont="1" applyBorder="1" applyAlignment="1">
      <alignment horizontal="center" vertical="center" wrapText="1"/>
    </xf>
    <xf numFmtId="0" fontId="0" fillId="0" borderId="11" xfId="0" applyBorder="1" applyAlignment="1"/>
    <xf numFmtId="2" fontId="6" fillId="0" borderId="1" xfId="67" applyNumberFormat="1" applyFont="1" applyBorder="1"/>
    <xf numFmtId="2" fontId="34" fillId="0" borderId="1" xfId="78" applyNumberFormat="1" applyFont="1" applyBorder="1" applyAlignment="1">
      <alignment horizontal="center" vertical="center" wrapText="1"/>
    </xf>
    <xf numFmtId="2" fontId="34" fillId="15" borderId="1" xfId="62" applyNumberFormat="1" applyFont="1" applyFill="1" applyBorder="1" applyAlignment="1">
      <alignment horizontal="center" vertical="center" wrapText="1"/>
    </xf>
    <xf numFmtId="10" fontId="34" fillId="15" borderId="3" xfId="57" applyNumberFormat="1" applyFont="1" applyFill="1" applyBorder="1" applyAlignment="1">
      <alignment horizontal="center" vertical="center" wrapText="1"/>
    </xf>
    <xf numFmtId="10" fontId="34" fillId="15" borderId="1" xfId="57" applyNumberFormat="1" applyFont="1" applyFill="1" applyBorder="1" applyAlignment="1">
      <alignment horizontal="center" vertical="center" wrapText="1"/>
    </xf>
    <xf numFmtId="0" fontId="34" fillId="4" borderId="1" xfId="62" applyFont="1" applyFill="1" applyBorder="1" applyAlignment="1">
      <alignment horizontal="center" vertical="center" wrapText="1"/>
    </xf>
    <xf numFmtId="10" fontId="34" fillId="4" borderId="3" xfId="62" applyNumberFormat="1" applyFont="1" applyFill="1" applyBorder="1" applyAlignment="1">
      <alignment horizontal="center" vertical="center" wrapText="1"/>
    </xf>
    <xf numFmtId="10" fontId="34" fillId="4" borderId="1" xfId="62" applyNumberFormat="1" applyFont="1" applyFill="1" applyBorder="1" applyAlignment="1">
      <alignment horizontal="center" vertical="center" wrapText="1"/>
    </xf>
    <xf numFmtId="0" fontId="0" fillId="0" borderId="14" xfId="0" applyBorder="1" applyAlignment="1"/>
    <xf numFmtId="2" fontId="6" fillId="0" borderId="1" xfId="74" applyNumberFormat="1" applyFont="1" applyBorder="1" applyAlignment="1">
      <alignment horizontal="center" vertical="center"/>
    </xf>
    <xf numFmtId="10" fontId="6" fillId="0" borderId="1" xfId="57" applyNumberFormat="1" applyFont="1" applyBorder="1" applyAlignment="1">
      <alignment horizontal="center" vertical="center"/>
    </xf>
    <xf numFmtId="0" fontId="35" fillId="16" borderId="1" xfId="62" applyFont="1" applyFill="1" applyBorder="1" applyAlignment="1">
      <alignment horizontal="center" vertical="center" wrapText="1"/>
    </xf>
    <xf numFmtId="191" fontId="4" fillId="17" borderId="3" xfId="57" applyNumberFormat="1" applyFont="1" applyFill="1" applyBorder="1" applyAlignment="1">
      <alignment horizontal="center"/>
    </xf>
    <xf numFmtId="9" fontId="35" fillId="18" borderId="1" xfId="57" applyFont="1" applyFill="1" applyBorder="1" applyAlignment="1">
      <alignment horizontal="center" vertical="center" wrapText="1"/>
    </xf>
    <xf numFmtId="9" fontId="35" fillId="16" borderId="1" xfId="62" applyNumberFormat="1" applyFont="1" applyFill="1" applyBorder="1" applyAlignment="1">
      <alignment horizontal="center" vertical="center" wrapText="1"/>
    </xf>
    <xf numFmtId="43" fontId="34" fillId="0" borderId="1" xfId="62" applyNumberFormat="1" applyFont="1" applyBorder="1" applyAlignment="1">
      <alignment horizontal="center" vertical="center" wrapText="1"/>
    </xf>
    <xf numFmtId="10" fontId="34" fillId="15" borderId="3" xfId="62" applyNumberFormat="1" applyFont="1" applyFill="1" applyBorder="1" applyAlignment="1">
      <alignment horizontal="center" vertical="center" wrapText="1"/>
    </xf>
    <xf numFmtId="10" fontId="34" fillId="0" borderId="3" xfId="62" applyNumberFormat="1" applyFont="1" applyBorder="1" applyAlignment="1">
      <alignment horizontal="center" vertical="center" wrapText="1"/>
    </xf>
    <xf numFmtId="192" fontId="4" fillId="17" borderId="3" xfId="57" applyNumberFormat="1" applyFont="1" applyFill="1" applyBorder="1" applyAlignment="1">
      <alignment horizontal="center"/>
    </xf>
    <xf numFmtId="0" fontId="34" fillId="0" borderId="13" xfId="62" applyFont="1" applyBorder="1" applyAlignment="1">
      <alignment horizontal="center" vertical="center" wrapText="1"/>
    </xf>
    <xf numFmtId="182" fontId="34" fillId="4" borderId="1" xfId="74" applyNumberFormat="1" applyFont="1" applyFill="1" applyBorder="1" applyAlignment="1">
      <alignment horizontal="center" vertical="center"/>
    </xf>
    <xf numFmtId="182" fontId="34" fillId="4" borderId="1" xfId="62" applyNumberFormat="1" applyFont="1" applyFill="1" applyBorder="1" applyAlignment="1">
      <alignment horizontal="center" vertical="center" wrapText="1"/>
    </xf>
    <xf numFmtId="182" fontId="34" fillId="0" borderId="1" xfId="62" applyNumberFormat="1" applyFont="1" applyBorder="1" applyAlignment="1">
      <alignment horizontal="center" vertical="center" wrapText="1"/>
    </xf>
    <xf numFmtId="2" fontId="34" fillId="0" borderId="1" xfId="62" applyNumberFormat="1" applyFont="1" applyBorder="1" applyAlignment="1">
      <alignment horizontal="center" vertical="center" wrapText="1"/>
    </xf>
    <xf numFmtId="0" fontId="34" fillId="0" borderId="1" xfId="62" applyFont="1" applyBorder="1" applyAlignment="1">
      <alignment horizontal="center" vertical="center" wrapText="1"/>
    </xf>
    <xf numFmtId="193" fontId="34" fillId="0" borderId="1" xfId="59" applyNumberFormat="1" applyFont="1" applyBorder="1" applyAlignment="1">
      <alignment horizontal="center" vertical="center" wrapText="1"/>
    </xf>
    <xf numFmtId="0" fontId="34" fillId="3" borderId="1" xfId="62" applyFont="1" applyFill="1" applyBorder="1" applyAlignment="1">
      <alignment horizontal="center" vertical="center" wrapText="1"/>
    </xf>
    <xf numFmtId="193" fontId="34" fillId="3" borderId="1" xfId="59" applyNumberFormat="1" applyFont="1" applyFill="1" applyBorder="1" applyAlignment="1">
      <alignment horizontal="center" vertical="center" wrapText="1"/>
    </xf>
    <xf numFmtId="192" fontId="34" fillId="0" borderId="1" xfId="59" applyNumberFormat="1" applyFont="1" applyBorder="1" applyAlignment="1">
      <alignment horizontal="center" vertical="center" wrapText="1"/>
    </xf>
    <xf numFmtId="2" fontId="34" fillId="4" borderId="1" xfId="62" applyNumberFormat="1" applyFont="1" applyFill="1" applyBorder="1" applyAlignment="1">
      <alignment horizontal="center" vertical="center" wrapText="1"/>
    </xf>
    <xf numFmtId="2" fontId="34" fillId="8" borderId="1" xfId="62" applyNumberFormat="1" applyFont="1" applyFill="1" applyBorder="1" applyAlignment="1">
      <alignment horizontal="center" vertical="center" wrapText="1"/>
    </xf>
    <xf numFmtId="0" fontId="19" fillId="0" borderId="1" xfId="74" applyFont="1" applyBorder="1"/>
    <xf numFmtId="1" fontId="34" fillId="15" borderId="1" xfId="62" applyNumberFormat="1" applyFont="1" applyFill="1" applyBorder="1" applyAlignment="1">
      <alignment horizontal="center" vertical="center" wrapText="1"/>
    </xf>
    <xf numFmtId="1" fontId="34" fillId="4" borderId="1" xfId="62" applyNumberFormat="1" applyFont="1" applyFill="1" applyBorder="1" applyAlignment="1">
      <alignment horizontal="center" vertical="center" wrapText="1"/>
    </xf>
    <xf numFmtId="1" fontId="34" fillId="0" borderId="1" xfId="62" applyNumberFormat="1" applyFont="1" applyBorder="1" applyAlignment="1">
      <alignment horizontal="center" vertical="center" wrapText="1"/>
    </xf>
    <xf numFmtId="194" fontId="0" fillId="0" borderId="0" xfId="74" applyNumberFormat="1"/>
    <xf numFmtId="0" fontId="36" fillId="0" borderId="1" xfId="62" applyFont="1" applyBorder="1" applyAlignment="1">
      <alignment horizontal="left" vertical="center" wrapText="1"/>
    </xf>
    <xf numFmtId="2" fontId="37" fillId="0" borderId="1" xfId="62" applyNumberFormat="1" applyFont="1" applyBorder="1" applyAlignment="1">
      <alignment vertical="center" wrapText="1"/>
    </xf>
    <xf numFmtId="1" fontId="34" fillId="15" borderId="3" xfId="62" applyNumberFormat="1" applyFont="1" applyFill="1" applyBorder="1" applyAlignment="1">
      <alignment horizontal="center" vertical="center" wrapText="1"/>
    </xf>
    <xf numFmtId="2" fontId="30" fillId="0" borderId="0" xfId="62" applyNumberFormat="1" applyFont="1" applyAlignment="1">
      <alignment horizontal="center" vertical="center" wrapText="1"/>
    </xf>
    <xf numFmtId="1" fontId="34" fillId="4" borderId="1" xfId="74" applyNumberFormat="1" applyFont="1" applyFill="1" applyBorder="1" applyAlignment="1">
      <alignment horizontal="center" vertical="center"/>
    </xf>
    <xf numFmtId="2" fontId="6" fillId="19" borderId="1" xfId="74" applyNumberFormat="1" applyFont="1" applyFill="1" applyBorder="1" applyAlignment="1">
      <alignment horizontal="center" vertical="center"/>
    </xf>
    <xf numFmtId="195" fontId="6" fillId="19" borderId="1" xfId="59" applyNumberFormat="1" applyFont="1" applyFill="1" applyBorder="1" applyAlignment="1">
      <alignment horizontal="center" vertical="center"/>
    </xf>
    <xf numFmtId="2" fontId="34" fillId="4" borderId="1" xfId="74" applyNumberFormat="1" applyFont="1" applyFill="1" applyBorder="1" applyAlignment="1">
      <alignment horizontal="center" vertical="center"/>
    </xf>
    <xf numFmtId="9" fontId="6" fillId="19" borderId="1" xfId="59" applyFont="1" applyFill="1" applyBorder="1" applyAlignment="1">
      <alignment horizontal="center"/>
    </xf>
    <xf numFmtId="193" fontId="6" fillId="19" borderId="1" xfId="59" applyNumberFormat="1" applyFont="1" applyFill="1" applyBorder="1" applyAlignment="1">
      <alignment horizontal="center" vertical="center"/>
    </xf>
    <xf numFmtId="1" fontId="34" fillId="4" borderId="3" xfId="62" applyNumberFormat="1" applyFont="1" applyFill="1" applyBorder="1" applyAlignment="1">
      <alignment horizontal="center" vertical="center" wrapText="1"/>
    </xf>
    <xf numFmtId="9" fontId="6" fillId="19" borderId="1" xfId="57" applyFont="1" applyFill="1" applyBorder="1" applyAlignment="1">
      <alignment horizontal="center" vertical="center"/>
    </xf>
    <xf numFmtId="0" fontId="6" fillId="0" borderId="1" xfId="74" applyFont="1" applyBorder="1" applyAlignment="1">
      <alignment horizontal="center" vertical="center"/>
    </xf>
    <xf numFmtId="0" fontId="0" fillId="0" borderId="15" xfId="0" applyBorder="1" applyAlignment="1"/>
    <xf numFmtId="2" fontId="34" fillId="15" borderId="8" xfId="62" applyNumberFormat="1" applyFont="1" applyFill="1" applyBorder="1" applyAlignment="1">
      <alignment horizontal="center" vertical="center" wrapText="1"/>
    </xf>
    <xf numFmtId="1" fontId="34" fillId="15" borderId="8" xfId="62" applyNumberFormat="1" applyFont="1" applyFill="1" applyBorder="1" applyAlignment="1">
      <alignment horizontal="center" vertical="center" wrapText="1"/>
    </xf>
    <xf numFmtId="0" fontId="0" fillId="0" borderId="16" xfId="0" applyBorder="1" applyAlignment="1"/>
    <xf numFmtId="0" fontId="0" fillId="0" borderId="17" xfId="0" applyBorder="1" applyAlignment="1"/>
    <xf numFmtId="2" fontId="34" fillId="0" borderId="6" xfId="62" applyNumberFormat="1" applyFont="1" applyBorder="1" applyAlignment="1">
      <alignment horizontal="center" vertical="center" wrapText="1"/>
    </xf>
    <xf numFmtId="2" fontId="6" fillId="0" borderId="6" xfId="74" applyNumberFormat="1" applyFont="1" applyBorder="1" applyAlignment="1">
      <alignment horizontal="center" vertical="center" wrapText="1"/>
    </xf>
    <xf numFmtId="1" fontId="6" fillId="0" borderId="1" xfId="72" applyNumberFormat="1" applyFont="1" applyBorder="1" applyAlignment="1">
      <alignment horizontal="center" vertical="center"/>
    </xf>
    <xf numFmtId="0" fontId="34" fillId="0" borderId="13" xfId="74" applyFont="1" applyBorder="1" applyAlignment="1">
      <alignment horizontal="center" vertical="center" wrapText="1"/>
    </xf>
    <xf numFmtId="195" fontId="6" fillId="0" borderId="1" xfId="57" applyNumberFormat="1" applyFont="1" applyBorder="1" applyAlignment="1">
      <alignment horizontal="center"/>
    </xf>
    <xf numFmtId="0" fontId="38" fillId="0" borderId="1" xfId="62" applyFont="1" applyBorder="1" applyAlignment="1">
      <alignment horizontal="center" vertical="center" wrapText="1"/>
    </xf>
    <xf numFmtId="184" fontId="38" fillId="0" borderId="1" xfId="62" applyNumberFormat="1" applyFont="1" applyBorder="1" applyAlignment="1">
      <alignment horizontal="center" vertical="center" wrapText="1"/>
    </xf>
    <xf numFmtId="2" fontId="34" fillId="3" borderId="1" xfId="62" applyNumberFormat="1" applyFont="1" applyFill="1" applyBorder="1" applyAlignment="1">
      <alignment horizontal="center" vertical="center" wrapText="1"/>
    </xf>
    <xf numFmtId="1" fontId="6" fillId="0" borderId="1" xfId="74" applyNumberFormat="1" applyFont="1" applyBorder="1" applyAlignment="1">
      <alignment horizontal="center" vertical="center"/>
    </xf>
    <xf numFmtId="2" fontId="0" fillId="0" borderId="0" xfId="74" applyNumberFormat="1"/>
    <xf numFmtId="0" fontId="6" fillId="0" borderId="9" xfId="74" applyFont="1" applyBorder="1" applyAlignment="1">
      <alignment horizontal="center" vertical="center"/>
    </xf>
    <xf numFmtId="0" fontId="6" fillId="0" borderId="15" xfId="74" applyFont="1" applyBorder="1" applyAlignment="1">
      <alignment horizontal="center" vertical="center"/>
    </xf>
    <xf numFmtId="0" fontId="6" fillId="0" borderId="14" xfId="74" applyFont="1" applyBorder="1" applyAlignment="1">
      <alignment horizontal="center" vertical="center"/>
    </xf>
    <xf numFmtId="0" fontId="6" fillId="0" borderId="16" xfId="74" applyFont="1" applyBorder="1" applyAlignment="1">
      <alignment horizontal="center" vertical="center"/>
    </xf>
    <xf numFmtId="0" fontId="6" fillId="0" borderId="11" xfId="74" applyFont="1" applyBorder="1" applyAlignment="1">
      <alignment horizontal="center" vertical="center"/>
    </xf>
    <xf numFmtId="0" fontId="6" fillId="0" borderId="17" xfId="74" applyFont="1" applyBorder="1" applyAlignment="1">
      <alignment horizontal="center" vertical="center"/>
    </xf>
    <xf numFmtId="2" fontId="6" fillId="8" borderId="1" xfId="74" applyNumberFormat="1" applyFont="1" applyFill="1" applyBorder="1" applyAlignment="1">
      <alignment horizontal="center" vertical="center"/>
    </xf>
    <xf numFmtId="1" fontId="34" fillId="8" borderId="1" xfId="62" applyNumberFormat="1" applyFont="1" applyFill="1" applyBorder="1" applyAlignment="1">
      <alignment horizontal="center" vertical="center" wrapText="1"/>
    </xf>
    <xf numFmtId="2" fontId="6" fillId="20" borderId="1" xfId="74" applyNumberFormat="1" applyFont="1" applyFill="1" applyBorder="1" applyAlignment="1">
      <alignment horizontal="center" vertical="center"/>
    </xf>
    <xf numFmtId="195" fontId="6" fillId="20" borderId="1" xfId="59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35" fillId="3" borderId="1" xfId="62" applyFont="1" applyFill="1" applyBorder="1" applyAlignment="1">
      <alignment vertical="center" wrapText="1"/>
    </xf>
    <xf numFmtId="0" fontId="34" fillId="3" borderId="13" xfId="62" applyFont="1" applyFill="1" applyBorder="1" applyAlignment="1">
      <alignment vertical="center" wrapText="1"/>
    </xf>
    <xf numFmtId="0" fontId="23" fillId="0" borderId="1" xfId="0" applyFont="1" applyBorder="1" applyAlignment="1">
      <alignment horizontal="center" vertical="center"/>
    </xf>
    <xf numFmtId="0" fontId="34" fillId="0" borderId="1" xfId="62" applyFont="1" applyBorder="1" applyAlignment="1">
      <alignment vertical="center" wrapText="1"/>
    </xf>
    <xf numFmtId="0" fontId="23" fillId="0" borderId="13" xfId="0" applyFont="1" applyBorder="1" applyAlignment="1">
      <alignment horizontal="center" vertical="center"/>
    </xf>
    <xf numFmtId="2" fontId="34" fillId="15" borderId="3" xfId="62" applyNumberFormat="1" applyFont="1" applyFill="1" applyBorder="1" applyAlignment="1">
      <alignment horizontal="center" vertical="center" wrapText="1"/>
    </xf>
    <xf numFmtId="0" fontId="34" fillId="4" borderId="3" xfId="62" applyFont="1" applyFill="1" applyBorder="1" applyAlignment="1">
      <alignment horizontal="center" vertical="center" wrapText="1"/>
    </xf>
    <xf numFmtId="2" fontId="6" fillId="0" borderId="3" xfId="74" applyNumberFormat="1" applyFont="1" applyBorder="1" applyAlignment="1">
      <alignment horizontal="center" vertical="center"/>
    </xf>
    <xf numFmtId="9" fontId="34" fillId="0" borderId="1" xfId="3" applyFont="1" applyBorder="1" applyAlignment="1">
      <alignment horizontal="center" vertical="center" wrapText="1"/>
    </xf>
    <xf numFmtId="1" fontId="6" fillId="8" borderId="1" xfId="74" applyNumberFormat="1" applyFont="1" applyFill="1" applyBorder="1" applyAlignment="1">
      <alignment horizontal="center" vertical="center"/>
    </xf>
    <xf numFmtId="2" fontId="34" fillId="15" borderId="1" xfId="61" applyNumberFormat="1" applyFont="1" applyFill="1" applyBorder="1" applyAlignment="1">
      <alignment horizontal="center" vertical="center" wrapText="1"/>
    </xf>
    <xf numFmtId="0" fontId="34" fillId="4" borderId="1" xfId="61" applyFont="1" applyFill="1" applyBorder="1" applyAlignment="1">
      <alignment horizontal="center" vertical="center" wrapText="1"/>
    </xf>
    <xf numFmtId="2" fontId="6" fillId="0" borderId="1" xfId="73" applyNumberFormat="1" applyFont="1" applyBorder="1" applyAlignment="1">
      <alignment horizontal="center" vertical="center"/>
    </xf>
    <xf numFmtId="1" fontId="34" fillId="3" borderId="1" xfId="62" applyNumberFormat="1" applyFont="1" applyFill="1" applyBorder="1" applyAlignment="1">
      <alignment horizontal="center" vertical="center" wrapText="1"/>
    </xf>
    <xf numFmtId="0" fontId="34" fillId="8" borderId="13" xfId="62" applyFont="1" applyFill="1" applyBorder="1" applyAlignment="1">
      <alignment vertical="center" wrapText="1"/>
    </xf>
    <xf numFmtId="0" fontId="34" fillId="0" borderId="13" xfId="62" applyFont="1" applyBorder="1" applyAlignment="1">
      <alignment vertical="center" wrapText="1"/>
    </xf>
    <xf numFmtId="1" fontId="34" fillId="8" borderId="3" xfId="62" applyNumberFormat="1" applyFont="1" applyFill="1" applyBorder="1" applyAlignment="1">
      <alignment horizontal="center" vertical="center" wrapText="1"/>
    </xf>
    <xf numFmtId="10" fontId="34" fillId="15" borderId="1" xfId="3" applyNumberFormat="1" applyFont="1" applyFill="1" applyBorder="1" applyAlignment="1">
      <alignment horizontal="center" vertical="center" wrapText="1"/>
    </xf>
    <xf numFmtId="10" fontId="34" fillId="4" borderId="1" xfId="3" applyNumberFormat="1" applyFont="1" applyFill="1" applyBorder="1" applyAlignment="1">
      <alignment horizontal="center" vertical="center" wrapText="1"/>
    </xf>
    <xf numFmtId="10" fontId="34" fillId="8" borderId="1" xfId="3" applyNumberFormat="1" applyFont="1" applyFill="1" applyBorder="1" applyAlignment="1">
      <alignment horizontal="center" vertical="center" wrapText="1"/>
    </xf>
    <xf numFmtId="10" fontId="34" fillId="0" borderId="1" xfId="3" applyNumberFormat="1" applyFont="1" applyBorder="1" applyAlignment="1">
      <alignment horizontal="center" vertical="center" wrapText="1"/>
    </xf>
    <xf numFmtId="4" fontId="0" fillId="0" borderId="0" xfId="0" applyNumberFormat="1" applyAlignment="1"/>
    <xf numFmtId="4" fontId="0" fillId="0" borderId="0" xfId="0" applyNumberFormat="1" applyAlignment="1">
      <alignment horizontal="right"/>
    </xf>
    <xf numFmtId="0" fontId="0" fillId="0" borderId="0" xfId="0" applyAlignment="1">
      <alignment horizontal="left" vertical="center" wrapText="1"/>
    </xf>
    <xf numFmtId="0" fontId="11" fillId="4" borderId="1" xfId="53" applyFont="1" applyFill="1" applyBorder="1" applyAlignment="1">
      <alignment horizontal="center" vertical="center" wrapText="1"/>
    </xf>
    <xf numFmtId="0" fontId="11" fillId="8" borderId="0" xfId="53" applyFont="1" applyFill="1" applyAlignment="1">
      <alignment horizontal="center" vertical="center"/>
    </xf>
    <xf numFmtId="0" fontId="11" fillId="0" borderId="0" xfId="53" applyFont="1" applyAlignment="1">
      <alignment vertical="center"/>
    </xf>
    <xf numFmtId="3" fontId="15" fillId="0" borderId="0" xfId="69" applyNumberFormat="1" applyFont="1">
      <alignment vertical="center"/>
    </xf>
    <xf numFmtId="4" fontId="15" fillId="0" borderId="0" xfId="69" applyNumberFormat="1" applyFont="1" applyAlignment="1">
      <alignment horizontal="center" vertical="center"/>
    </xf>
    <xf numFmtId="4" fontId="15" fillId="0" borderId="0" xfId="69" applyNumberFormat="1" applyFont="1">
      <alignment vertical="center"/>
    </xf>
    <xf numFmtId="0" fontId="1" fillId="0" borderId="1" xfId="53" applyFont="1" applyBorder="1" applyAlignment="1">
      <alignment vertical="center"/>
    </xf>
    <xf numFmtId="3" fontId="30" fillId="21" borderId="6" xfId="69" applyNumberFormat="1" applyFont="1" applyFill="1" applyBorder="1" applyAlignment="1">
      <alignment horizontal="center" vertical="center"/>
    </xf>
    <xf numFmtId="180" fontId="1" fillId="0" borderId="1" xfId="3" applyNumberFormat="1" applyFont="1" applyBorder="1" applyAlignment="1">
      <alignment horizontal="center" vertical="center"/>
    </xf>
    <xf numFmtId="0" fontId="1" fillId="0" borderId="0" xfId="53" applyFont="1" applyAlignment="1">
      <alignment vertical="center"/>
    </xf>
    <xf numFmtId="0" fontId="11" fillId="8" borderId="1" xfId="0" applyFont="1" applyFill="1" applyBorder="1" applyAlignment="1">
      <alignment horizontal="center" vertical="center"/>
    </xf>
    <xf numFmtId="196" fontId="15" fillId="0" borderId="0" xfId="69" applyNumberFormat="1" applyFont="1">
      <alignment vertical="center"/>
    </xf>
    <xf numFmtId="197" fontId="11" fillId="0" borderId="1" xfId="0" applyNumberFormat="1" applyFont="1" applyBorder="1" applyAlignment="1">
      <alignment horizontal="center" vertical="center"/>
    </xf>
    <xf numFmtId="184" fontId="11" fillId="0" borderId="1" xfId="53" applyNumberFormat="1" applyFont="1" applyBorder="1" applyAlignment="1">
      <alignment horizontal="center" vertical="center"/>
    </xf>
    <xf numFmtId="0" fontId="1" fillId="0" borderId="1" xfId="53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179" fontId="11" fillId="8" borderId="1" xfId="53" applyNumberFormat="1" applyFont="1" applyFill="1" applyBorder="1" applyAlignment="1">
      <alignment horizontal="center" vertical="center"/>
    </xf>
    <xf numFmtId="184" fontId="11" fillId="8" borderId="1" xfId="53" applyNumberFormat="1" applyFont="1" applyFill="1" applyBorder="1" applyAlignment="1">
      <alignment horizontal="center" vertical="center"/>
    </xf>
    <xf numFmtId="179" fontId="1" fillId="0" borderId="1" xfId="53" applyNumberFormat="1" applyFont="1" applyBorder="1" applyAlignment="1">
      <alignment horizontal="center" vertical="center"/>
    </xf>
    <xf numFmtId="184" fontId="1" fillId="0" borderId="1" xfId="53" applyNumberFormat="1" applyFont="1" applyBorder="1" applyAlignment="1">
      <alignment horizontal="center" vertical="center"/>
    </xf>
    <xf numFmtId="184" fontId="1" fillId="8" borderId="1" xfId="53" applyNumberFormat="1" applyFont="1" applyFill="1" applyBorder="1" applyAlignment="1">
      <alignment horizontal="center" vertical="center"/>
    </xf>
    <xf numFmtId="3" fontId="18" fillId="8" borderId="1" xfId="69" applyNumberFormat="1" applyFont="1" applyFill="1" applyBorder="1">
      <alignment vertical="center"/>
    </xf>
    <xf numFmtId="0" fontId="1" fillId="0" borderId="0" xfId="53" applyFont="1" applyAlignment="1">
      <alignment horizontal="center" vertical="center"/>
    </xf>
    <xf numFmtId="0" fontId="26" fillId="8" borderId="0" xfId="69" applyFont="1" applyFill="1" applyAlignment="1">
      <alignment horizontal="center" vertical="center"/>
    </xf>
    <xf numFmtId="3" fontId="15" fillId="6" borderId="0" xfId="69" applyNumberFormat="1" applyFont="1" applyFill="1">
      <alignment vertical="center"/>
    </xf>
    <xf numFmtId="4" fontId="15" fillId="6" borderId="0" xfId="69" applyNumberFormat="1" applyFont="1" applyFill="1" applyAlignment="1">
      <alignment horizontal="center" vertical="center"/>
    </xf>
    <xf numFmtId="4" fontId="15" fillId="6" borderId="0" xfId="69" applyNumberFormat="1" applyFont="1" applyFill="1">
      <alignment vertical="center"/>
    </xf>
    <xf numFmtId="0" fontId="11" fillId="0" borderId="1" xfId="0" applyFont="1" applyBorder="1">
      <alignment vertical="center"/>
    </xf>
    <xf numFmtId="0" fontId="1" fillId="0" borderId="1" xfId="53" applyFont="1" applyBorder="1" applyAlignment="1">
      <alignment horizontal="center" vertical="center"/>
    </xf>
    <xf numFmtId="0" fontId="11" fillId="12" borderId="1" xfId="0" applyFont="1" applyFill="1" applyBorder="1">
      <alignment vertical="center"/>
    </xf>
    <xf numFmtId="9" fontId="1" fillId="0" borderId="1" xfId="3" applyFont="1" applyBorder="1" applyAlignment="1">
      <alignment horizontal="center" vertical="center"/>
    </xf>
    <xf numFmtId="4" fontId="15" fillId="6" borderId="0" xfId="69" applyNumberFormat="1" applyFont="1" applyFill="1" applyAlignment="1">
      <alignment horizontal="right" vertical="center"/>
    </xf>
    <xf numFmtId="0" fontId="1" fillId="0" borderId="12" xfId="53" applyFont="1" applyBorder="1" applyAlignment="1">
      <alignment horizontal="center" vertical="center"/>
    </xf>
    <xf numFmtId="0" fontId="26" fillId="5" borderId="1" xfId="69" applyFont="1" applyFill="1" applyBorder="1" applyAlignment="1">
      <alignment horizontal="center" vertical="center"/>
    </xf>
    <xf numFmtId="0" fontId="26" fillId="5" borderId="6" xfId="69" applyFont="1" applyFill="1" applyBorder="1" applyAlignment="1">
      <alignment horizontal="center" vertical="center"/>
    </xf>
    <xf numFmtId="3" fontId="15" fillId="6" borderId="6" xfId="69" applyNumberFormat="1" applyFont="1" applyFill="1" applyBorder="1" applyAlignment="1">
      <alignment horizontal="center" vertical="center"/>
    </xf>
    <xf numFmtId="4" fontId="15" fillId="6" borderId="2" xfId="69" applyNumberFormat="1" applyFont="1" applyFill="1" applyBorder="1" applyAlignment="1">
      <alignment horizontal="center" vertical="center"/>
    </xf>
    <xf numFmtId="3" fontId="15" fillId="6" borderId="3" xfId="69" applyNumberFormat="1" applyFont="1" applyFill="1" applyBorder="1">
      <alignment vertical="center"/>
    </xf>
    <xf numFmtId="4" fontId="15" fillId="6" borderId="6" xfId="69" applyNumberFormat="1" applyFont="1" applyFill="1" applyBorder="1" applyAlignment="1">
      <alignment horizontal="center" vertical="center"/>
    </xf>
    <xf numFmtId="3" fontId="15" fillId="6" borderId="6" xfId="69" applyNumberFormat="1" applyFont="1" applyFill="1" applyBorder="1" applyAlignment="1">
      <alignment horizontal="right" vertical="center"/>
    </xf>
    <xf numFmtId="4" fontId="15" fillId="6" borderId="6" xfId="69" applyNumberFormat="1" applyFont="1" applyFill="1" applyBorder="1" applyAlignment="1">
      <alignment horizontal="right" vertical="center"/>
    </xf>
    <xf numFmtId="198" fontId="6" fillId="0" borderId="1" xfId="82" applyNumberFormat="1" applyFont="1" applyBorder="1" applyAlignment="1">
      <alignment horizontal="center" vertical="center"/>
    </xf>
    <xf numFmtId="4" fontId="6" fillId="0" borderId="1" xfId="82" applyNumberFormat="1" applyFont="1" applyBorder="1" applyAlignment="1">
      <alignment horizontal="center" vertical="center"/>
    </xf>
    <xf numFmtId="0" fontId="6" fillId="0" borderId="1" xfId="76" applyFont="1" applyBorder="1" applyAlignment="1">
      <alignment vertical="center"/>
    </xf>
    <xf numFmtId="0" fontId="6" fillId="0" borderId="1" xfId="76" applyFont="1" applyBorder="1" applyAlignment="1">
      <alignment horizontal="left" vertical="center"/>
    </xf>
    <xf numFmtId="0" fontId="6" fillId="0" borderId="6" xfId="76" applyFon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6" fillId="0" borderId="1" xfId="82" applyNumberFormat="1" applyFont="1" applyBorder="1" applyAlignment="1">
      <alignment horizontal="right" vertical="center"/>
    </xf>
    <xf numFmtId="3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/>
    <xf numFmtId="3" fontId="0" fillId="0" borderId="11" xfId="0" applyNumberFormat="1" applyBorder="1" applyAlignment="1">
      <alignment horizontal="right" vertical="center"/>
    </xf>
    <xf numFmtId="187" fontId="6" fillId="0" borderId="1" xfId="0" applyNumberFormat="1" applyFont="1" applyBorder="1" applyAlignment="1"/>
    <xf numFmtId="0" fontId="35" fillId="8" borderId="1" xfId="76" applyFont="1" applyFill="1" applyBorder="1" applyAlignment="1">
      <alignment vertical="center"/>
    </xf>
    <xf numFmtId="0" fontId="35" fillId="8" borderId="6" xfId="76" applyFont="1" applyFill="1" applyBorder="1" applyAlignment="1">
      <alignment vertical="center"/>
    </xf>
    <xf numFmtId="198" fontId="35" fillId="0" borderId="1" xfId="82" applyNumberFormat="1" applyFont="1" applyBorder="1" applyAlignment="1">
      <alignment horizontal="center" vertical="center"/>
    </xf>
    <xf numFmtId="4" fontId="35" fillId="0" borderId="1" xfId="82" applyNumberFormat="1" applyFont="1" applyBorder="1" applyAlignment="1">
      <alignment horizontal="center" vertical="center"/>
    </xf>
    <xf numFmtId="4" fontId="23" fillId="0" borderId="1" xfId="82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/>
    <xf numFmtId="187" fontId="6" fillId="0" borderId="1" xfId="0" applyNumberFormat="1" applyFont="1" applyBorder="1" applyAlignment="1">
      <alignment horizontal="right"/>
    </xf>
    <xf numFmtId="198" fontId="6" fillId="0" borderId="1" xfId="82" applyNumberFormat="1" applyFont="1" applyBorder="1" applyAlignment="1">
      <alignment horizontal="right" vertical="center"/>
    </xf>
    <xf numFmtId="187" fontId="6" fillId="0" borderId="1" xfId="0" applyNumberFormat="1" applyFont="1" applyBorder="1" applyAlignment="1">
      <alignment horizontal="right" vertical="center"/>
    </xf>
    <xf numFmtId="0" fontId="6" fillId="8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6" fillId="8" borderId="0" xfId="0" applyFont="1" applyFill="1" applyAlignment="1"/>
    <xf numFmtId="187" fontId="7" fillId="0" borderId="1" xfId="0" applyNumberFormat="1" applyFont="1" applyBorder="1" applyAlignment="1"/>
    <xf numFmtId="4" fontId="24" fillId="0" borderId="1" xfId="0" applyNumberFormat="1" applyFont="1" applyBorder="1" applyAlignment="1">
      <alignment horizontal="right" vertical="center"/>
    </xf>
    <xf numFmtId="198" fontId="7" fillId="0" borderId="1" xfId="82" applyNumberFormat="1" applyFont="1" applyBorder="1" applyAlignment="1">
      <alignment horizontal="center" vertical="center"/>
    </xf>
    <xf numFmtId="4" fontId="7" fillId="0" borderId="1" xfId="82" applyNumberFormat="1" applyFont="1" applyBorder="1" applyAlignment="1">
      <alignment horizontal="center" vertical="center"/>
    </xf>
    <xf numFmtId="4" fontId="7" fillId="0" borderId="1" xfId="82" applyNumberFormat="1" applyFont="1" applyBorder="1" applyAlignment="1">
      <alignment horizontal="right" vertical="center"/>
    </xf>
    <xf numFmtId="187" fontId="23" fillId="0" borderId="1" xfId="0" applyNumberFormat="1" applyFont="1" applyBorder="1" applyAlignment="1"/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/>
    </xf>
    <xf numFmtId="0" fontId="39" fillId="0" borderId="1" xfId="76" applyFont="1" applyBorder="1" applyAlignment="1">
      <alignment horizontal="left" vertical="center"/>
    </xf>
    <xf numFmtId="0" fontId="39" fillId="0" borderId="6" xfId="76" applyFont="1" applyBorder="1" applyAlignment="1">
      <alignment horizontal="left" vertical="center"/>
    </xf>
    <xf numFmtId="0" fontId="39" fillId="8" borderId="1" xfId="76" applyFont="1" applyFill="1" applyBorder="1" applyAlignment="1">
      <alignment horizontal="left" vertical="center"/>
    </xf>
    <xf numFmtId="0" fontId="39" fillId="8" borderId="6" xfId="76" applyFont="1" applyFill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8" borderId="0" xfId="0" applyFont="1" applyFill="1" applyAlignment="1">
      <alignment horizontal="left" wrapText="1"/>
    </xf>
    <xf numFmtId="0" fontId="0" fillId="8" borderId="1" xfId="0" applyFill="1" applyBorder="1" applyAlignment="1"/>
    <xf numFmtId="0" fontId="26" fillId="5" borderId="1" xfId="76" applyFont="1" applyFill="1" applyBorder="1" applyAlignment="1">
      <alignment vertical="center"/>
    </xf>
    <xf numFmtId="0" fontId="26" fillId="5" borderId="6" xfId="76" applyFont="1" applyFill="1" applyBorder="1" applyAlignment="1">
      <alignment vertical="center"/>
    </xf>
    <xf numFmtId="198" fontId="26" fillId="5" borderId="1" xfId="82" applyNumberFormat="1" applyFont="1" applyFill="1" applyBorder="1" applyAlignment="1">
      <alignment horizontal="center" vertical="center"/>
    </xf>
    <xf numFmtId="199" fontId="26" fillId="5" borderId="1" xfId="82" applyNumberFormat="1" applyFont="1" applyFill="1" applyBorder="1" applyAlignment="1">
      <alignment horizontal="center" vertical="center"/>
    </xf>
    <xf numFmtId="4" fontId="26" fillId="5" borderId="1" xfId="82" applyNumberFormat="1" applyFont="1" applyFill="1" applyBorder="1" applyAlignment="1">
      <alignment horizontal="right" vertical="center"/>
    </xf>
    <xf numFmtId="0" fontId="6" fillId="0" borderId="6" xfId="0" applyFont="1" applyBorder="1" applyAlignment="1"/>
    <xf numFmtId="4" fontId="6" fillId="0" borderId="1" xfId="0" applyNumberFormat="1" applyFont="1" applyBorder="1" applyAlignment="1"/>
    <xf numFmtId="4" fontId="6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right" vertical="center"/>
    </xf>
    <xf numFmtId="4" fontId="0" fillId="0" borderId="1" xfId="0" applyNumberFormat="1" applyBorder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199" fontId="6" fillId="0" borderId="1" xfId="82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3" fontId="18" fillId="8" borderId="1" xfId="0" applyNumberFormat="1" applyFont="1" applyFill="1" applyBorder="1" applyAlignment="1">
      <alignment horizontal="center" vertical="center"/>
    </xf>
    <xf numFmtId="4" fontId="35" fillId="0" borderId="1" xfId="82" applyNumberFormat="1" applyFont="1" applyBorder="1" applyAlignment="1">
      <alignment horizontal="right" vertical="center"/>
    </xf>
    <xf numFmtId="0" fontId="6" fillId="0" borderId="6" xfId="76" applyFont="1" applyBorder="1" applyAlignment="1">
      <alignment vertical="center"/>
    </xf>
    <xf numFmtId="0" fontId="6" fillId="0" borderId="0" xfId="0" applyFont="1" applyAlignment="1"/>
    <xf numFmtId="0" fontId="6" fillId="8" borderId="1" xfId="0" applyFont="1" applyFill="1" applyBorder="1" applyAlignment="1">
      <alignment wrapText="1"/>
    </xf>
    <xf numFmtId="0" fontId="0" fillId="0" borderId="1" xfId="0" applyBorder="1">
      <alignment vertical="center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Normal 2 2" xfId="50"/>
    <cellStyle name="Normal 3" xfId="51"/>
    <cellStyle name="Percent 2" xfId="52"/>
    <cellStyle name="RowLevel_8 2 2 2 2" xfId="53"/>
    <cellStyle name="RowLevel_8 2 2 2 2 2" xfId="54"/>
    <cellStyle name="RowLevel_8 2 2 2 2 2 2" xfId="55"/>
    <cellStyle name="百分比 10" xfId="56"/>
    <cellStyle name="百分比 2" xfId="57"/>
    <cellStyle name="百分比 2 2" xfId="58"/>
    <cellStyle name="百分比 2 2 2" xfId="59"/>
    <cellStyle name="百分比 42" xfId="60"/>
    <cellStyle name="常规 10 2 19 2" xfId="61"/>
    <cellStyle name="常规 10 2 19 2 2" xfId="62"/>
    <cellStyle name="常规 10 2 19 2 2 2" xfId="63"/>
    <cellStyle name="常规 10 2 4" xfId="64"/>
    <cellStyle name="常规 10 2 4 2" xfId="65"/>
    <cellStyle name="常规 14" xfId="66"/>
    <cellStyle name="常规 14 2" xfId="67"/>
    <cellStyle name="常规 2 2" xfId="68"/>
    <cellStyle name="常规 2 2 2" xfId="69"/>
    <cellStyle name="常规 2 2 2 2" xfId="70"/>
    <cellStyle name="常规 2 2 2 2 2" xfId="71"/>
    <cellStyle name="常规 2 2 3" xfId="72"/>
    <cellStyle name="常规 2 5 59" xfId="73"/>
    <cellStyle name="常规 2 5 59 2" xfId="74"/>
    <cellStyle name="常规 2 5 59 2 2" xfId="75"/>
    <cellStyle name="常规 4" xfId="76"/>
    <cellStyle name="千位分隔 17" xfId="77"/>
    <cellStyle name="千位分隔 17 2" xfId="78"/>
    <cellStyle name="千位分隔 17 2 2" xfId="79"/>
    <cellStyle name="千位分隔 2" xfId="80"/>
    <cellStyle name="千位分隔 2 2" xfId="81"/>
    <cellStyle name="千位分隔 4" xfId="8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86.xml"/><Relationship Id="rId97" Type="http://schemas.openxmlformats.org/officeDocument/2006/relationships/externalLink" Target="externalLinks/externalLink85.xml"/><Relationship Id="rId96" Type="http://schemas.openxmlformats.org/officeDocument/2006/relationships/externalLink" Target="externalLinks/externalLink84.xml"/><Relationship Id="rId95" Type="http://schemas.openxmlformats.org/officeDocument/2006/relationships/externalLink" Target="externalLinks/externalLink83.xml"/><Relationship Id="rId94" Type="http://schemas.openxmlformats.org/officeDocument/2006/relationships/externalLink" Target="externalLinks/externalLink82.xml"/><Relationship Id="rId93" Type="http://schemas.openxmlformats.org/officeDocument/2006/relationships/externalLink" Target="externalLinks/externalLink81.xml"/><Relationship Id="rId92" Type="http://schemas.openxmlformats.org/officeDocument/2006/relationships/externalLink" Target="externalLinks/externalLink80.xml"/><Relationship Id="rId91" Type="http://schemas.openxmlformats.org/officeDocument/2006/relationships/externalLink" Target="externalLinks/externalLink79.xml"/><Relationship Id="rId90" Type="http://schemas.openxmlformats.org/officeDocument/2006/relationships/externalLink" Target="externalLinks/externalLink78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76.xml"/><Relationship Id="rId87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3.xml"/><Relationship Id="rId84" Type="http://schemas.openxmlformats.org/officeDocument/2006/relationships/externalLink" Target="externalLinks/externalLink72.xml"/><Relationship Id="rId83" Type="http://schemas.openxmlformats.org/officeDocument/2006/relationships/externalLink" Target="externalLinks/externalLink71.xml"/><Relationship Id="rId82" Type="http://schemas.openxmlformats.org/officeDocument/2006/relationships/externalLink" Target="externalLinks/externalLink70.xml"/><Relationship Id="rId81" Type="http://schemas.openxmlformats.org/officeDocument/2006/relationships/externalLink" Target="externalLinks/externalLink69.xml"/><Relationship Id="rId80" Type="http://schemas.openxmlformats.org/officeDocument/2006/relationships/externalLink" Target="externalLinks/externalLink68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65.xml"/><Relationship Id="rId76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3.xml"/><Relationship Id="rId74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61.xml"/><Relationship Id="rId72" Type="http://schemas.openxmlformats.org/officeDocument/2006/relationships/externalLink" Target="externalLinks/externalLink60.xml"/><Relationship Id="rId71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58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55.xml"/><Relationship Id="rId66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52.xml"/><Relationship Id="rId63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0.xml"/><Relationship Id="rId61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48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3.xml"/><Relationship Id="rId54" Type="http://schemas.openxmlformats.org/officeDocument/2006/relationships/externalLink" Target="externalLinks/externalLink42.xml"/><Relationship Id="rId53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0.xml"/><Relationship Id="rId51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38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3.xml"/><Relationship Id="rId44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0.xml"/><Relationship Id="rId41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28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3.xml"/><Relationship Id="rId34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0.xml"/><Relationship Id="rId31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6" Type="http://schemas.openxmlformats.org/officeDocument/2006/relationships/styles" Target="styles.xml"/><Relationship Id="rId135" Type="http://schemas.openxmlformats.org/officeDocument/2006/relationships/sharedStrings" Target="sharedStrings.xml"/><Relationship Id="rId134" Type="http://schemas.openxmlformats.org/officeDocument/2006/relationships/theme" Target="theme/theme1.xml"/><Relationship Id="rId133" Type="http://schemas.openxmlformats.org/officeDocument/2006/relationships/externalLink" Target="externalLinks/externalLink121.xml"/><Relationship Id="rId132" Type="http://schemas.openxmlformats.org/officeDocument/2006/relationships/externalLink" Target="externalLinks/externalLink120.xml"/><Relationship Id="rId131" Type="http://schemas.openxmlformats.org/officeDocument/2006/relationships/externalLink" Target="externalLinks/externalLink119.xml"/><Relationship Id="rId130" Type="http://schemas.openxmlformats.org/officeDocument/2006/relationships/externalLink" Target="externalLinks/externalLink118.xml"/><Relationship Id="rId13" Type="http://schemas.openxmlformats.org/officeDocument/2006/relationships/externalLink" Target="externalLinks/externalLink1.xml"/><Relationship Id="rId129" Type="http://schemas.openxmlformats.org/officeDocument/2006/relationships/externalLink" Target="externalLinks/externalLink117.xml"/><Relationship Id="rId128" Type="http://schemas.openxmlformats.org/officeDocument/2006/relationships/externalLink" Target="externalLinks/externalLink116.xml"/><Relationship Id="rId127" Type="http://schemas.openxmlformats.org/officeDocument/2006/relationships/externalLink" Target="externalLinks/externalLink115.xml"/><Relationship Id="rId126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3.xml"/><Relationship Id="rId124" Type="http://schemas.openxmlformats.org/officeDocument/2006/relationships/externalLink" Target="externalLinks/externalLink112.xml"/><Relationship Id="rId123" Type="http://schemas.openxmlformats.org/officeDocument/2006/relationships/externalLink" Target="externalLinks/externalLink111.xml"/><Relationship Id="rId122" Type="http://schemas.openxmlformats.org/officeDocument/2006/relationships/externalLink" Target="externalLinks/externalLink110.xml"/><Relationship Id="rId121" Type="http://schemas.openxmlformats.org/officeDocument/2006/relationships/externalLink" Target="externalLinks/externalLink109.xml"/><Relationship Id="rId120" Type="http://schemas.openxmlformats.org/officeDocument/2006/relationships/externalLink" Target="externalLinks/externalLink108.xml"/><Relationship Id="rId12" Type="http://schemas.openxmlformats.org/officeDocument/2006/relationships/worksheet" Target="worksheets/sheet12.xml"/><Relationship Id="rId119" Type="http://schemas.openxmlformats.org/officeDocument/2006/relationships/externalLink" Target="externalLinks/externalLink107.xml"/><Relationship Id="rId118" Type="http://schemas.openxmlformats.org/officeDocument/2006/relationships/externalLink" Target="externalLinks/externalLink106.xml"/><Relationship Id="rId117" Type="http://schemas.openxmlformats.org/officeDocument/2006/relationships/externalLink" Target="externalLinks/externalLink105.xml"/><Relationship Id="rId116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3.xml"/><Relationship Id="rId114" Type="http://schemas.openxmlformats.org/officeDocument/2006/relationships/externalLink" Target="externalLinks/externalLink102.xml"/><Relationship Id="rId113" Type="http://schemas.openxmlformats.org/officeDocument/2006/relationships/externalLink" Target="externalLinks/externalLink101.xml"/><Relationship Id="rId112" Type="http://schemas.openxmlformats.org/officeDocument/2006/relationships/externalLink" Target="externalLinks/externalLink100.xml"/><Relationship Id="rId111" Type="http://schemas.openxmlformats.org/officeDocument/2006/relationships/externalLink" Target="externalLinks/externalLink99.xml"/><Relationship Id="rId110" Type="http://schemas.openxmlformats.org/officeDocument/2006/relationships/externalLink" Target="externalLinks/externalLink98.xml"/><Relationship Id="rId11" Type="http://schemas.openxmlformats.org/officeDocument/2006/relationships/worksheet" Target="worksheets/sheet11.xml"/><Relationship Id="rId109" Type="http://schemas.openxmlformats.org/officeDocument/2006/relationships/externalLink" Target="externalLinks/externalLink97.xml"/><Relationship Id="rId108" Type="http://schemas.openxmlformats.org/officeDocument/2006/relationships/externalLink" Target="externalLinks/externalLink96.xml"/><Relationship Id="rId107" Type="http://schemas.openxmlformats.org/officeDocument/2006/relationships/externalLink" Target="externalLinks/externalLink95.xml"/><Relationship Id="rId106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3.xml"/><Relationship Id="rId104" Type="http://schemas.openxmlformats.org/officeDocument/2006/relationships/externalLink" Target="externalLinks/externalLink92.xml"/><Relationship Id="rId103" Type="http://schemas.openxmlformats.org/officeDocument/2006/relationships/externalLink" Target="externalLinks/externalLink91.xml"/><Relationship Id="rId102" Type="http://schemas.openxmlformats.org/officeDocument/2006/relationships/externalLink" Target="externalLinks/externalLink90.xml"/><Relationship Id="rId101" Type="http://schemas.openxmlformats.org/officeDocument/2006/relationships/externalLink" Target="externalLinks/externalLink89.xml"/><Relationship Id="rId100" Type="http://schemas.openxmlformats.org/officeDocument/2006/relationships/externalLink" Target="externalLinks/externalLink88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aw%20Materials%20(Valuation).V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\FY06\flash\Dec%20flash\TSG.AP.OvH.Flas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ell\Downloads\DOCUME~1\PACC96~1\LOCALS~1\Temp\Documents%20and%20Settings\hacc1000\Local%20Settings\Temporary%20Internet%20Files\OLK12D\Inventory%20status%2022-05-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CBU\Groups\GLOBEL\FY00\Matrix\WD3\Oct\3wdoc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02%20&#39033;&#30446;&#25991;&#20214;&#22841;\PLANUNG\VW%20A-MPV%20Shanghai\04%20Ablaufplan\Boden%20vorn\Te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ECR-ED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Standards%20Detail\PO%20File%20with%20all%20elements%201-3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13th10.exe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tyd01\Users\Documents%20and%20Settings\cgplatyd\My%20Documents\CGPR\Refrigeracion\Roadmap\Roadma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FY97_PL\MCS_Q19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lnt024\efp\Aspire\AprFY02\P&amp;L%20Submissions\3-29\3-29%20Q202%20Update%20for%20ASPIR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9.119.204\&#31354;&#35843;\&#31354;&#35843;\&#26085;&#25253;\&#21508;&#31181;&#25253;\&#21608;&#25253;(4)\3&#26376;5&#21608;T&#22411;&#34920;\3&#26376;5&#21608;\&#38738;&#23707;&#36136;&#37327;&#26412;&#37096;&#26816;&#26597;&#36164;&#26009;-&#38472;&#22253;\DOCUME~1\16207\LOCALS~1\Temp\Documents%20and%20Settings\FS14450\Local%20Settings\Temporary%20Internet%20Files\OLK22A\&#26411;&#24291;AM'&#21697;&#36074;&#36039;&#26009;\SAMJ60J48&#21697;&#36074;&#25512;&#31227;4&#26376;\J48CAC669R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ecmmrcly\Local%20Settings\Temporary%20Internet%20Files\OLK5D\TEMP\TEMP\TMNF%20PILOT\Analisis%20Programa%20e%20Introduccion%20Modelos%20TMNF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Material%20Variances\Stucki%20File%2010-17-01%20oct-June%20variances%20FIN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portal.covisint.com\Documents%20and%20Settings\pkonopka\Local%20Settings\Temporary%20Internet%20Files\OLKA6\VSAMS%203.3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MCTO\MCTO%20weekly%20Model%20Novembe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TH-ENG\Public\Thanin%20Chalupa\PPS-SUN-0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CBU\Groups\GLOBEL\FY00\Matrix\WD3\Oct\3wdoc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CURRQ4V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Validation%20Models%20adtl%20G-line%2011-13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.ptp.hp.com\hpsgroupfinance\Reporting\TSGModels\DvA\TSG-DvA-Ge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f\Ref%20Projects_Worklist_key%20indicators\REF%20BUSINESS%20PLAN%2008_09_10\ET%20site%20reporting%20-%20MASTER%2010_11\NZ%20ET%20site%20reporting%20-%20MASTER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9.119.204\&#31354;&#35843;\&#31354;&#35843;\&#26085;&#25253;\&#21508;&#31181;&#25253;\&#21608;&#25253;(4)\3&#26376;5&#21608;T&#22411;&#34920;\3&#26376;5&#21608;\&#38738;&#23707;&#36136;&#37327;&#26412;&#37096;&#26816;&#26597;&#36164;&#26009;-&#38472;&#22253;\DOCUME~1\16207\LOCALS~1\Temp\Documents%20and%20Settings\fs12972\Local%20Settings\Temporary%20Internet%20Files\OLK8\USR\RV'S\JB&#26908;&#35342;\&#38283;&#30330;&#36027;&#12414;&#12392;&#1241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8900;&#31665;\&#24037;&#33402;&#12289;&#36136;&#37327;\CFA\OB60C%20CFA%20-%2085436%20REG656761%20(Casarte)&#23454;&#39564;&#23460;&#26816;&#26597;&#25253;&#21578;-&#32763;&#35793;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hydfs01cige\PCCommon\DOCUME~1\carrtm1\LOCALS~1\Temp\C.Lotus.Notes.Data\DOCUME~1\amezqth1\LOCALS~1\Temp\C.Lotus.Notes.Data\Capability%20Study%20For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songxiaolei\Downloads\D:\&#32447;&#20307;&#25968;&#37327;&#32479;&#35745;\WGGSC&#32447;&#20307;&#25968;&#3732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usiness%20Reviews\Thailand\THAILAND%20Manufg%20Review%20Data%20-%20FY11%20MAST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TH-PROGRAM\Program%20management\1.Consumer\F&amp;P\12.%20Project%20Miscellaneous%209\8.Package\TH-ENG\Public\Thanin%20Chalupa\PPS-SUN-00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4Q01%20MCTO%20Detail%20Fil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TH-PROGRAM\Program%20management\1.Consumer\F&amp;P\11.%20Project%20Miscellaneous%208\8.Package\TH-ENG\Public\Thanin%20Chalupa\PPS-SUN-00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guilar_fn\ventas\windows\TEMP\GRAFVTAMEX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Standards%20Detail\Materials%20Standard%20to%20Standard%20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PCM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02_COST\2016\MMTA-1601\00_COST\Cost_MMTA-1601&#22612;&#22885;CS11_20160118_&#26368;&#26032;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Rawin\&#3648;&#3629;&#3585;&#3626;&#3634;&#3619;%20MAHLE\PPAP%20MAHLE\&#3626;&#3640;&#3607;&#3633;&#3624;&#3609;&#3660;\LRR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7.101.20.173\new%20bom%20process\SINGLE\OFFICE40\temp\&#54924;&#49888;&#51088;&#47308;2\ROTARY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SBU\esso\TEMP\malfun9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Material%20Variances\Mabe%20PO%20vs%20GEA%20MASTER%20FILE%20FINAL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Nacionales%20Sep-Dic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TH-PROGRAM\Program%20management\1.Consumer\F&amp;P\4.%20project%20Miscellaneous1\8.Package\TH-ENG\Public\Thanin%20Chalupa\PPS-SUN-005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Standards%20Detail\S2%20Mabe%202002%202001%20comparison%20v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Nacionales%2012%20VS%20PPTO%200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DEPT\SSG%20Controller\Dept%20Wide%20Files\MNTHCLOS\COMET\97SLIDES\Slide98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ecmmrcly\Local%20Settings\Temporary%20Internet%20Files\OLK5D\TEMP\TEMP\Bitacora%20TMNF%20jun-ago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an11_APQP-newC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guilar_fn\ventas\Mabe\Variaciones%202000\Maestros%2000\05Mayo\Mayo\05MAYNAC4+8AJUSTE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15\be\&#35430;&#20316;&#65319;&#65362;\&#21697;&#36074;&#26989;&#21209;&#29992;&#65420;&#65387;&#65433;&#65408;&#65438;\&#24115;&#31080;&#39006;\&#35211;&#31309;&#20381;&#38972;&#26360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7.101.20.173\new%20bom%20process\SINGLE\OFFICE40\temp\&#54924;&#49888;&#51088;&#47308;2\comp\02&#45380;&#50517;&#52629;&#44592;&#44060;&#48156;(0426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7.101.20.173\new%20bom%20process\SINGLE\OFFICE40\temp\&#54924;&#49888;&#51088;&#47308;2\&#52285;&#47928;&#54805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Material%20Variances\Dante%20vs%20Old%20files%20BaaN%20cost%209-26-0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HPSGroupFinance\InternalFY01\Reporting\HighVisibility\FinancialSummary\FY01_HPS_Reporting_Tool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TFMC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Nacionales%20Cierre-Oct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DEPT\EC%20OPS%20Controllership\Finance\Monthly%20Close\Nov%20FY00\NovOrdersFY0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.ptp.hp.com\hpsgroupfinance\InternalFY04\Reporting\Various\Businessss_Reviews-Model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fs12972\Local%20Settings\Temporary%20Internet%20Files\OLK8\USR\RV'S\JB&#26908;&#35342;\&#38283;&#30330;&#36027;&#12414;&#12392;&#1241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dc002\DEPT_DATA\TH-ENG\Public\Thanin%20Chalupa\PPS-SUN-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Rawin\&#3648;&#3629;&#3585;&#3626;&#3634;&#3619;%20MAHLE\PPAP%20MAHLE\CUSTOMER\ISUZU\ISUZU190\FORM%20PPAP\EKKAPOL\spc\CONTROL%20CHART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&#36890;&#31216;&#65399;&#65388;&#65391;&#65404;&#65389;&#65426;&#65427;&#65432;&#65392;\&#65349;&#65368;&#65347;&#65349;&#65356;&#26908;&#35342;&#26360;&#65420;&#65387;&#65392;&#65423;&#65391;&#65412;A4&#26032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DOCUME~1\anarvae\LOCALS~1\Temp\C.Lotus.Notes.Data\Visteon%20PABI%20APQP%20Mfgr%20Issues%206Sept2004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9.119.204\&#31354;&#35843;\&#31354;&#35843;\&#26085;&#25253;\&#21508;&#31181;&#25253;\&#21608;&#25253;(4)\3&#26376;5&#21608;T&#22411;&#34920;\3&#26376;5&#21608;\&#38738;&#23707;&#36136;&#37327;&#26412;&#37096;&#26816;&#26597;&#36164;&#26009;-&#38472;&#22253;\DOCUME~1\16207\LOCALS~1\Temp\&#9316;%20&#21697;&#36074;&#31649;&#29702;&#37096;&#20849;&#36890;\&#24066;&#22580;&#21697;&#36074;&#24773;&#22577;\&#12490;&#12499;&#12288;&#21697;&#36074;&#24773;&#22577;\&#12469;&#12540;&#12499;&#12473;&#12487;&#12540;&#12479;&#38598;&#35336;\&#12491;&#12483;&#12469;&#12531;&#27096;\&#21697;&#36074;&#20250;&#35696;&#36039;&#26009;\&#26085;&#29987;&#23450;&#20363;&#21697;&#36074;&#20250;&#35696;&#22577;&#21578;&#36039;&#26009;\(9&#26376;&#24230;)S300T&#12471;&#12522;&#12540;&#12474;&#19981;&#33391;&#38598;&#35336;&#12381;&#12398;3(&#21407;&#22240;&#21029;&#38598;&#35336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XCW0002\&#20998;&#26512;\&#35774;&#22791;\&#21407;&#22987;\814\13%20&#38081;&#36335;&#37197;&#2021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9.119.204\&#31354;&#35843;\&#31354;&#35843;\&#26085;&#25253;\&#21508;&#31181;&#25253;\&#21608;&#25253;(4)\3&#26376;5&#21608;T&#22411;&#34920;\3&#26376;5&#21608;\&#38738;&#23707;&#36136;&#37327;&#26412;&#37096;&#26816;&#26597;&#36164;&#26009;-&#38472;&#22253;\DOCUME~1\16207\LOCALS~1\Temp\&#24066;&#22580;\&#12510;&#12484;&#12480;\EQC&#22577;&#21578;&amp;Data\MASIC\cd\0105\DATA&#38598;&#35336;JP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eapps\Terhune\2010\Close\01%20Jan\QMI%20Monthly%20Summary%20Reports_FW05_201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QCD01\D\DATA\QAE\DEFEC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precios%20facturados%20a%20GE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9316;%20&#21697;&#36074;&#31649;&#29702;&#37096;&#20849;&#36890;\&#24066;&#22580;&#21697;&#36074;&#24773;&#22577;\&#12490;&#12499;&#12288;&#21697;&#36074;&#24773;&#22577;\&#12469;&#12540;&#12499;&#12473;&#12487;&#12540;&#12479;&#38598;&#35336;\&#12491;&#12483;&#12469;&#12531;&#27096;\&#21697;&#36074;&#20250;&#35696;&#36039;&#26009;\&#26085;&#29987;&#23450;&#20363;&#21697;&#36074;&#20250;&#35696;&#22577;&#21578;&#36039;&#26009;\(9&#26376;&#24230;)S300T&#12471;&#12522;&#12540;&#12474;&#19981;&#33391;&#38598;&#35336;&#12381;&#12398;3(&#21407;&#22240;&#21029;&#38598;&#35336;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iki.fp.co.nz\excel%20measurement%20addin\Measurements_Addin.xla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&#29579;&#31119;&#36229;\AppData\Local\Microsoft\Windows\INetCache\Content.Outlook\3E7DRIJG\&#24037;&#20316;&#34920;%20&#22312;%20&#28023;&#23572;&#27927;&#34915;&#26426;%20Session%201%20Weekly%20report%20(&#21547;&#22521;&#35757;&#36164;&#26009;&#19982;&#20135;&#20986;&#38468;&#20214;)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range_pm_finance\programs\2014\CMO%20PROGRAMS\2.2%20MIDEA%20MGM%20CMO\Midea%20MGM%202.2%20BI%20CMO%201_17_13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carrod2\Local%20Settings\Temporary%20Internet%20Files\OLK9\HPC%20Reporting%20Package%20-Sep02%20-Final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Isuzu\190Team2\NCAB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PCTO\4Q01%20MCTO%20Detail%20File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guilar_fn\c\Mabe\Ventas\Agosto\4-09-00%20cierre%20Agosto\3SeplMaestroExp48(cierre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18000013\AppData\Roaming\Microsoft\Excel\VDA6%20(version%201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PCTO\PO%20Pricing%20Model%2011-15-0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hs%20growth%20products\technical%20team\06%20WATER%20HEATERS\Tankless\Updates%20and%20Minutes\Project%20Management%20Plan\Specifications\Product%20Technical%20Spec\Appendices\Appendix%20Rev%200\Appendix%20SD%20Tankless_DFSS_scorecard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2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5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7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8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9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0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2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3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4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6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9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5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0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2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3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4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8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5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7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9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1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1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2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3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4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6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5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6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7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8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9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8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0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1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2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3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4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5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6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7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出货"/>
      <sheetName val="收货"/>
      <sheetName val="以此为准"/>
      <sheetName val="Raw materials (2)"/>
      <sheetName val="Raw materials"/>
      <sheetName val="内销"/>
      <sheetName val="1.1"/>
      <sheetName val="Comet Q202 Flash"/>
      <sheetName val="假设"/>
      <sheetName val="Quantum Stds 12-4-01"/>
      <sheetName val="Planet_Ame"/>
      <sheetName val="Planet_AP"/>
      <sheetName val="Planet_EMEA"/>
      <sheetName val="Planet_OG"/>
      <sheetName val="Planet_WW"/>
      <sheetName val="k-line"/>
      <sheetName val="Sales Units (3)"/>
      <sheetName val="MCS"/>
      <sheetName val="GE 2001"/>
      <sheetName val="HTP 2001"/>
      <sheetName val="FY03CostStructure"/>
      <sheetName val="Tables"/>
      <sheetName val="PLALL"/>
      <sheetName val="abbr"/>
      <sheetName val="Sheet2"/>
      <sheetName val="Spec"/>
      <sheetName val="Instructions"/>
      <sheetName val="Total Financials"/>
      <sheetName val="9100-PO"/>
      <sheetName val="#BEZUG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riginal Instructions"/>
      <sheetName val="Instructions"/>
      <sheetName val="Report Index"/>
      <sheetName val="Criteria"/>
      <sheetName val="Tables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PLALL"/>
      <sheetName val="公司"/>
      <sheetName val="工厂"/>
      <sheetName val="经营体"/>
      <sheetName val="供应商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SG.AP.OvH.Flash"/>
      <sheetName val="FA-LISTING"/>
      <sheetName val="Original_Instructions"/>
      <sheetName val="Report_Index"/>
      <sheetName val="Input FX Rates"/>
      <sheetName val="Input Dates"/>
      <sheetName val="Hidden"/>
      <sheetName val="Panel"/>
      <sheetName val="上报资产负债表"/>
      <sheetName val="上报损益表"/>
      <sheetName val="现金流量表（月报）"/>
      <sheetName val="补充表"/>
      <sheetName val="SPP current as of 1-3-01"/>
      <sheetName val="Av.Measures"/>
      <sheetName val="FY02"/>
      <sheetName val="Total Financials"/>
      <sheetName val="ＴＦ関連Ｐｒｊ日程表"/>
      <sheetName val="Global variables"/>
      <sheetName val="NVA-300T返品リスト"/>
      <sheetName val="SUM14ZC1"/>
      <sheetName val="单元格下拉项"/>
      <sheetName val="FCG"/>
      <sheetName val="Original"/>
      <sheetName val="4 审核发现描述"/>
      <sheetName val="Raw materials"/>
      <sheetName val="9100-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Lab"/>
      <sheetName val="BOM-Mumbo"/>
      <sheetName val="BOM-K1000"/>
      <sheetName val="Sheet1"/>
      <sheetName val="Sheet2"/>
      <sheetName val="9100-OH"/>
      <sheetName val="9100-PO"/>
      <sheetName val="9210-20-OH"/>
      <sheetName val="9210-20-PO"/>
      <sheetName val="inv-aging"/>
      <sheetName val="inv-ag20020522"/>
      <sheetName val="inv-ag20020522a"/>
      <sheetName val="inv-ag20020522b"/>
      <sheetName val="9100_PO"/>
      <sheetName val="⁓heet2"/>
      <sheetName val="Raw materials"/>
      <sheetName val="Tables"/>
      <sheetName val="PLALL"/>
      <sheetName val="Kautex 4WD St.IV P&amp;D"/>
      <sheetName val="Sachs FL WHL"/>
      <sheetName val="Spec"/>
      <sheetName val="4 审核发现描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Tables"/>
      <sheetName val="FCG"/>
      <sheetName val="Funnel"/>
      <sheetName val="Comet Q202 Flash"/>
      <sheetName val="XL4Poppy"/>
      <sheetName val="72HX"/>
      <sheetName val="75EX"/>
      <sheetName val="72HY"/>
      <sheetName val="75EY"/>
      <sheetName val="Summary"/>
      <sheetName val="Original"/>
      <sheetName val="SPals"/>
      <sheetName val="假设"/>
      <sheetName val="Sheet1"/>
      <sheetName val="Q4 CURRENCY"/>
      <sheetName val="审核总览"/>
      <sheetName val="LOV"/>
      <sheetName val="FP"/>
      <sheetName val="Time Dimension Lookup"/>
      <sheetName val="3D ASPIRE Table"/>
      <sheetName val="Total_Financials"/>
      <sheetName val="Q4_Est__vs__Flash"/>
      <sheetName val="Otter_Exps"/>
      <sheetName val="9100-PO"/>
      <sheetName val="Panel"/>
      <sheetName val="PLALL"/>
      <sheetName val="GWL-RUNING"/>
      <sheetName val="Chemical 2009"/>
      <sheetName val="Grey 2009"/>
      <sheetName val="TOTAL"/>
      <sheetName val="Main"/>
      <sheetName val="Planet_Ame"/>
      <sheetName val="Planet_AP"/>
      <sheetName val="Planet_EMEA"/>
      <sheetName val="Planet_OG"/>
      <sheetName val="Planet_WW"/>
      <sheetName val="Attachment-4(2)"/>
      <sheetName val="Raw materials"/>
      <sheetName val="Foams"/>
      <sheetName val="Grafvta00 (2)"/>
      <sheetName val="Grid"/>
      <sheetName val="HTP 2001"/>
      <sheetName val="Launch Costs TMNF"/>
      <sheetName val="April Antonio"/>
      <sheetName val="Leap PO Std."/>
      <sheetName val="Quantum PO Std"/>
      <sheetName val="master PO"/>
      <sheetName val="URBANO P EST"/>
      <sheetName val="MCS"/>
      <sheetName val="Summary Data"/>
      <sheetName val="PO File 2002"/>
      <sheetName val="PO File 2002 Final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abelle1"/>
      <sheetName val="Tabelle2"/>
      <sheetName val="Tabelle3"/>
      <sheetName val="Test"/>
      <sheetName val="#BEZUG"/>
      <sheetName val="相关参数"/>
      <sheetName val="明细"/>
      <sheetName val="工厂选择"/>
      <sheetName val="tables"/>
      <sheetName val="Raw materials"/>
      <sheetName val="审核总览"/>
      <sheetName val="FA-LISTING"/>
      <sheetName val="PLALL"/>
      <sheetName val="公司"/>
      <sheetName val="工厂"/>
      <sheetName val="经营体"/>
      <sheetName val="供应商"/>
      <sheetName val="9100-PO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6-自动开门问题 "/>
      <sheetName val="SUM14ZC1"/>
      <sheetName val="Total Financials"/>
      <sheetName val="SPP current as of 1-3-01"/>
      <sheetName val="FY01 Actuals"/>
      <sheetName val="FY00 Restated"/>
      <sheetName val="FY01 Quota"/>
      <sheetName val="Sheet2"/>
      <sheetName val="Sheet1"/>
      <sheetName val="总装LOB分析 "/>
      <sheetName val="附录-01"/>
      <sheetName val="Pull HP Wide"/>
      <sheetName val="Pull All SFs"/>
      <sheetName val="FCG"/>
      <sheetName val="BaaN FW47"/>
      <sheetName val="Sep BaaN"/>
      <sheetName val="WIBLE"/>
      <sheetName val="00"/>
      <sheetName val="Top Lvl  Logic"/>
      <sheetName val="Parts"/>
      <sheetName val="Process"/>
      <sheetName val="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CR(NEW)"/>
      <sheetName val="FORM-EDR(JPN)"/>
      <sheetName val="FORM-EDR(THAI)"/>
      <sheetName val="Attached ECR-EDR"/>
      <sheetName val="Inspection Agreement"/>
      <sheetName val="Insption Report 1"/>
      <sheetName val="Inspection Report 2"/>
      <sheetName val="QC APPROVE SHEET"/>
      <sheetName val="DUCT 54S"/>
      <sheetName val="Sheet1"/>
      <sheetName val="FormECR-EDR"/>
      <sheetName val="Attached_ECR-EDR"/>
      <sheetName val="Inspection_Agreement"/>
      <sheetName val="Insption_Report_1"/>
      <sheetName val="Inspection_Report_2"/>
      <sheetName val="QC_APPROVE_SHEET"/>
      <sheetName val="DUCT_54S"/>
      <sheetName val="Code"/>
      <sheetName val="Attached_ECR-EDR1"/>
      <sheetName val="Inspection_Agreement1"/>
      <sheetName val="Insption_Report_11"/>
      <sheetName val="Inspection_Report_21"/>
      <sheetName val="QC_APPROVE_SHEET1"/>
      <sheetName val="DUCT_54S1"/>
      <sheetName val="Attached_ECR-EDR2"/>
      <sheetName val="Inspection_Agreement2"/>
      <sheetName val="Insption_Report_12"/>
      <sheetName val="Inspection_Report_22"/>
      <sheetName val="QC_APPROVE_SHEET2"/>
      <sheetName val="DUCT_54S2"/>
      <sheetName val="Attached_ECR-EDR3"/>
      <sheetName val="Inspection_Agreement3"/>
      <sheetName val="Insption_Report_13"/>
      <sheetName val="Inspection_Report_23"/>
      <sheetName val="QC_APPROVE_SHEET3"/>
      <sheetName val="DUCT_54S3"/>
      <sheetName val="Attached_ECR-EDR4"/>
      <sheetName val="Inspection_Agreement4"/>
      <sheetName val="Insption_Report_14"/>
      <sheetName val="Inspection_Report_24"/>
      <sheetName val="QC_APPROVE_SHEET4"/>
      <sheetName val="DUCT_54S4"/>
      <sheetName val="総合B"/>
      <sheetName val="Oct'01"/>
      <sheetName val="JUN-14 (2)"/>
      <sheetName val="Shipping"/>
      <sheetName val="Daily 1.1"/>
      <sheetName val="cal"/>
      <sheetName val="1"/>
      <sheetName val="10"/>
      <sheetName val="11"/>
      <sheetName val="12"/>
      <sheetName val="3"/>
      <sheetName val="4"/>
      <sheetName val="5"/>
      <sheetName val="6"/>
      <sheetName val="7"/>
      <sheetName val="8"/>
      <sheetName val="9"/>
      <sheetName val="Attached_ECR-EDR5"/>
      <sheetName val="Inspection_Agreement5"/>
      <sheetName val="Insption_Report_15"/>
      <sheetName val="Inspection_Report_25"/>
      <sheetName val="QC_APPROVE_SHEET5"/>
      <sheetName val="DUCT_54S5"/>
      <sheetName val="JUN-14_(2)"/>
      <sheetName val="Daily_1_1"/>
      <sheetName val="DATA"/>
      <sheetName val="Daily_1_11"/>
      <sheetName val="Daily_1_12"/>
      <sheetName val="กราฟ  COST"/>
      <sheetName val="EU2WD"/>
      <sheetName val="MMAL4WD"/>
      <sheetName val="Model Price"/>
      <sheetName val="Pareto %BD "/>
      <sheetName val="BD"/>
      <sheetName val="QC APPRORE SHEET"/>
      <sheetName val="XGPROD"/>
      <sheetName val="太陽機械T087"/>
      <sheetName val="Ex-Rates"/>
      <sheetName val="262"/>
      <sheetName val="TBL"/>
      <sheetName val="094_APP別"/>
      <sheetName val="set_date"/>
      <sheetName val="Headernames"/>
      <sheetName val="p2-1"/>
      <sheetName val="capacity"/>
      <sheetName val="Man power"/>
      <sheetName val="ATRUCK"/>
      <sheetName val="Master_Report"/>
      <sheetName val="BND"/>
      <sheetName val="98CALENDAR (2)"/>
      <sheetName val="Key"/>
      <sheetName val="選酋表"/>
      <sheetName val="Dropdown"/>
      <sheetName val="PY指摘脇だし"/>
      <sheetName val="826"/>
      <sheetName val="ASSY"/>
      <sheetName val="Database"/>
      <sheetName val="RACK (CB)new"/>
      <sheetName val="投資ﾌｫﾛｰ"/>
      <sheetName val="Daily_1_13"/>
      <sheetName val="กราฟ__COST"/>
      <sheetName val="Model_Price"/>
      <sheetName val="Pareto_%BD_"/>
      <sheetName val="QC_APPRORE_SHEET"/>
      <sheetName val="Man_power"/>
      <sheetName val="98CALENDAR_(2)"/>
      <sheetName val="Assumptions"/>
      <sheetName val="サマリ"/>
      <sheetName val="ｸﾞﾗﾌ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art Main"/>
      <sheetName val="ACARS"/>
      <sheetName val="契担ｺ別 (066実績)"/>
      <sheetName val="AtoA(Germany)"/>
      <sheetName val="StaticListSheet"/>
      <sheetName val="愛知・日デ"/>
      <sheetName val="olympus"/>
      <sheetName val="Quotation"/>
      <sheetName val="Kautex 4WD St.IV P&amp;D"/>
      <sheetName val="Sachs FL WHL"/>
      <sheetName val="Attached_ECR-EDR6"/>
      <sheetName val="Inspection_Agreement6"/>
      <sheetName val="Insption_Report_16"/>
      <sheetName val="Inspection_Report_26"/>
      <sheetName val="QC_APPROVE_SHEET6"/>
      <sheetName val="Daily_1_14"/>
      <sheetName val="กราฟ__COST1"/>
      <sheetName val="Model_Price1"/>
      <sheetName val="Pareto_%BD_1"/>
      <sheetName val="QC_APPRORE_SHEET1"/>
      <sheetName val="DUCT_54S6"/>
      <sheetName val="JUN-14_(2)1"/>
      <sheetName val="Man_power1"/>
      <sheetName val="98CALENDAR_(2)1"/>
      <sheetName val="RACK_(CB)new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art_Main"/>
      <sheetName val="契担ｺ別_(066実績)"/>
      <sheetName val="資材費リスト"/>
      <sheetName val="Dam.2018-014"/>
      <sheetName val="Attached_ECR-EDR7"/>
      <sheetName val="Inspection_Agreement7"/>
      <sheetName val="Insption_Report_17"/>
      <sheetName val="Inspection_Report_27"/>
      <sheetName val="QC_APPROVE_SHEET7"/>
      <sheetName val="Daily_1_15"/>
      <sheetName val="กราฟ__COST2"/>
      <sheetName val="Model_Price2"/>
      <sheetName val="Pareto_%BD_2"/>
      <sheetName val="QC_APPRORE_SHEET2"/>
      <sheetName val="DUCT_54S7"/>
      <sheetName val="JUN-14_(2)2"/>
      <sheetName val="Man_power2"/>
      <sheetName val="98CALENDAR_(2)2"/>
      <sheetName val="RACK_(CB)new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art_Main1"/>
      <sheetName val="契担ｺ別_(066実績)1"/>
      <sheetName val="Kautex_4WD_St_IV_P&amp;D"/>
      <sheetName val="Sachs_FL_WHL"/>
      <sheetName val="Material"/>
      <sheetName val="Fixed Rate."/>
      <sheetName val="Medium-term plan(Fix_Rate)"/>
      <sheetName val="variable Rate"/>
      <sheetName val="Unit_List"/>
      <sheetName val="Base"/>
      <sheetName val="Input-2"/>
      <sheetName val="DMC"/>
      <sheetName val="電子見積(05.11.8)"/>
      <sheetName val="見積集計"/>
      <sheetName val="見積"/>
      <sheetName val="高温放置"/>
      <sheetName val="Attendance"/>
      <sheetName val="??????"/>
      <sheetName val="MOTO"/>
      <sheetName val="List part "/>
      <sheetName val="OH Skill"/>
      <sheetName val="จุดเด่นจุดด้อยของแต่ละหัวข้อ"/>
      <sheetName val="2.Monitoring rubber"/>
      <sheetName val="财务评价"/>
      <sheetName val="基PLBS"/>
      <sheetName val="Breakeven Analysis Data"/>
      <sheetName val="List Data"/>
      <sheetName val="Pur"/>
      <sheetName val="Japan Budget Performance Budge "/>
      <sheetName val="slide 2 P&amp;L  Ch"/>
      <sheetName val="P &amp; L"/>
      <sheetName val="Exp-WH-Lab"/>
      <sheetName val="初期03"/>
      <sheetName val="下期工程"/>
      <sheetName val="MA"/>
      <sheetName val="Cut Check"/>
      <sheetName val="SVOL"/>
      <sheetName val="May"/>
      <sheetName val="SPG"/>
      <sheetName val="HDD"/>
      <sheetName val=""/>
      <sheetName val="외주현황.wq1"/>
      <sheetName val="ﾋｽﾄｸﾞﾗﾑﾃﾞｰﾀｼｰﾄ"/>
      <sheetName val="A"/>
      <sheetName val="SM-13仕様一覧"/>
      <sheetName val="cc"/>
      <sheetName val="Attached_ECR-EDR8"/>
      <sheetName val="Inspection_Agreement8"/>
      <sheetName val="Insption_Report_18"/>
      <sheetName val="Inspection_Report_28"/>
      <sheetName val="QC_APPROVE_SHEET8"/>
      <sheetName val="Daily_1_16"/>
      <sheetName val="Model_Price3"/>
      <sheetName val="กราฟ__COST3"/>
      <sheetName val="Pareto_%BD_3"/>
      <sheetName val="QC_APPRORE_SHEET3"/>
      <sheetName val="DUCT_54S8"/>
      <sheetName val="JUN-14_(2)3"/>
      <sheetName val="Man_power3"/>
      <sheetName val="98CALENDAR_(2)3"/>
      <sheetName val="RACK_(CB)new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Part_Main2"/>
      <sheetName val="契担ｺ別_(066実績)2"/>
      <sheetName val="Kautex_4WD_St_IV_P&amp;D1"/>
      <sheetName val="Sachs_FL_WHL1"/>
      <sheetName val="Dam_2018-014"/>
      <sheetName val="Fixed_Rate_"/>
      <sheetName val="Medium-term_plan(Fix_Rate)"/>
      <sheetName val="variable_Rate"/>
      <sheetName val="電子見積(05_11_8)"/>
      <sheetName val="List_part_"/>
      <sheetName val="OH_Skill"/>
      <sheetName val="2_Monitoring_rubber"/>
      <sheetName val="Breakeven_Analysis_Data"/>
      <sheetName val="List_Data"/>
      <sheetName val="Japan_Budget_Performance_Budge_"/>
      <sheetName val="slide_2_P&amp;L__Ch"/>
      <sheetName val="P_&amp;_L"/>
      <sheetName val="星取表"/>
      <sheetName val="D29 Suggestion"/>
      <sheetName val="BS"/>
      <sheetName val="Detail"/>
      <sheetName val="MASTER1"/>
      <sheetName val="６中３版"/>
      <sheetName val="完了"/>
      <sheetName val="Japan Data（実）"/>
      <sheetName val="追浜（済）"/>
      <sheetName val="cover_org"/>
      <sheetName val="JOB_FO"/>
      <sheetName val="Link All Proj D1+D2+D3"/>
      <sheetName val="Attached_ECR-EDR9"/>
      <sheetName val="Inspection_Agreement9"/>
      <sheetName val="Insption_Report_19"/>
      <sheetName val="Inspection_Report_29"/>
      <sheetName val="QC_APPROVE_SHEET9"/>
      <sheetName val="Daily_1_17"/>
      <sheetName val="กราฟ__COST4"/>
      <sheetName val="Model_Price4"/>
      <sheetName val="Pareto_%BD_4"/>
      <sheetName val="QC_APPRORE_SHEET4"/>
      <sheetName val="DUCT_54S9"/>
      <sheetName val="JUN-14_(2)4"/>
      <sheetName val="Man_power4"/>
      <sheetName val="98CALENDAR_(2)4"/>
      <sheetName val="RACK_(CB)new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Part_Main3"/>
      <sheetName val="契担ｺ別_(066実績)3"/>
      <sheetName val="Kautex_4WD_St_IV_P&amp;D2"/>
      <sheetName val="Sachs_FL_WHL2"/>
      <sheetName val="Dam_2018-0141"/>
      <sheetName val="Fixed_Rate_1"/>
      <sheetName val="Medium-term_plan(Fix_Rate)1"/>
      <sheetName val="variable_Rate1"/>
      <sheetName val="電子見積(05_11_8)1"/>
      <sheetName val="List_part_1"/>
      <sheetName val="OH_Skill1"/>
      <sheetName val="2_Monitoring_rubber1"/>
      <sheetName val="Breakeven_Analysis_Data1"/>
      <sheetName val="List_Data1"/>
      <sheetName val="Japan_Budget_Performance_Budge1"/>
      <sheetName val="slide_2_P&amp;L__Ch1"/>
      <sheetName val="P_&amp;_L1"/>
      <sheetName val="Cut_Check"/>
      <sheetName val="외주현황_wq1"/>
      <sheetName val="D29_Suggestion"/>
      <sheetName val="Japan_Data（実）"/>
      <sheetName val="Link_All_Proj_D1+D2+D3"/>
      <sheetName val="D564F0ZTW"/>
      <sheetName val="square1"/>
      <sheetName val="End Mat(B)"/>
      <sheetName val="MatDetail"/>
      <sheetName val="Attached_ECR-EDR10"/>
      <sheetName val="Inspection_Agreement10"/>
      <sheetName val="Insption_Report_110"/>
      <sheetName val="Inspection_Report_210"/>
      <sheetName val="QC_APPROVE_SHEET10"/>
      <sheetName val="Daily_1_18"/>
      <sheetName val="กราฟ__COST5"/>
      <sheetName val="Model_Price5"/>
      <sheetName val="Pareto_%BD_5"/>
      <sheetName val="QC_APPRORE_SHEET5"/>
      <sheetName val="DUCT_54S10"/>
      <sheetName val="JUN-14_(2)5"/>
      <sheetName val="Man_power5"/>
      <sheetName val="98CALENDAR_(2)5"/>
      <sheetName val="RACK_(CB)new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Part_Main4"/>
      <sheetName val="契担ｺ別_(066実績)4"/>
      <sheetName val="Kautex_4WD_St_IV_P&amp;D3"/>
      <sheetName val="Sachs_FL_WHL3"/>
      <sheetName val="Dam_2018-0142"/>
      <sheetName val="Fixed_Rate_2"/>
      <sheetName val="Medium-term_plan(Fix_Rate)2"/>
      <sheetName val="variable_Rate2"/>
      <sheetName val="電子見積(05_11_8)2"/>
      <sheetName val="List_part_2"/>
      <sheetName val="OH_Skill2"/>
      <sheetName val="2_Monitoring_rubber2"/>
      <sheetName val="Breakeven_Analysis_Data2"/>
      <sheetName val="List_Data2"/>
      <sheetName val="Japan_Budget_Performance_Budge2"/>
      <sheetName val="slide_2_P&amp;L__Ch2"/>
      <sheetName val="P_&amp;_L2"/>
      <sheetName val="Cut_Check1"/>
      <sheetName val="외주현황_wq11"/>
      <sheetName val="D29_Suggestion1"/>
      <sheetName val="Japan_Data（実）1"/>
      <sheetName val="Link_All_Proj_D1+D2+D31"/>
      <sheetName val="ESM ver2"/>
      <sheetName val="Q2 EXPECTED"/>
      <sheetName val="PL"/>
      <sheetName val="Chiet tinh dz35"/>
      <sheetName val="Data base"/>
      <sheetName val="Shipping Status"/>
      <sheetName val="_REF"/>
      <sheetName val="F3"/>
      <sheetName val="O300"/>
      <sheetName val="O400"/>
      <sheetName val="L300"/>
      <sheetName val="K300"/>
      <sheetName val="M300"/>
      <sheetName val="G300"/>
      <sheetName val="T500"/>
      <sheetName val="N300"/>
      <sheetName val="F2"/>
      <sheetName val="F1"/>
      <sheetName val="Q300"/>
      <sheetName val="V300"/>
      <sheetName val="X300"/>
      <sheetName val="T300"/>
      <sheetName val="S300"/>
      <sheetName val="X400"/>
      <sheetName val="P300"/>
      <sheetName val="L400"/>
      <sheetName val="ZC300"/>
      <sheetName val="K400"/>
      <sheetName val="ZD400"/>
      <sheetName val="ZE300"/>
      <sheetName val="T400"/>
      <sheetName val="Master TB"/>
      <sheetName val="Q2_EXPECTED"/>
      <sheetName val="総括NO.1"/>
      <sheetName val="Accure"/>
      <sheetName val="Variables"/>
      <sheetName val="Costed BOM 2ndR 40%"/>
      <sheetName val="6月本"/>
      <sheetName val="______"/>
      <sheetName val="SUM_TMT"/>
      <sheetName val="TGRT_CM"/>
      <sheetName val="BS&amp;PL"/>
      <sheetName val="BS,PL"/>
      <sheetName val="M510"/>
      <sheetName val="Master"/>
      <sheetName val="iGrouping"/>
      <sheetName val="CREDIT TERM"/>
      <sheetName val="AR open item as at 30.09.13"/>
      <sheetName val="Translation"/>
      <sheetName val="配分案"/>
      <sheetName val="1-12"/>
      <sheetName val="6.PM"/>
      <sheetName val="_x0002_(·lhÓr_x001d__x000c_á4_x0002_ä-_x0019_"/>
      <sheetName val="을지10"/>
      <sheetName val="Total Financials"/>
      <sheetName val="Raw materials"/>
      <sheetName val="Tables"/>
      <sheetName val="9100-PO"/>
      <sheetName val="4 审核发现描述"/>
      <sheetName val="UPPER BLOCK"/>
      <sheetName val="假设"/>
      <sheetName val="HDa16"/>
      <sheetName val="00"/>
      <sheetName val="#BEZ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W 52 Models in BaaN"/>
      <sheetName val="Mabe models"/>
      <sheetName val="PSI models"/>
      <sheetName val="PO File 2002"/>
      <sheetName val="spp to diana 12-19-01"/>
      <sheetName val="SPP current as of 1-3-01"/>
      <sheetName val="Sheet2"/>
      <sheetName val="Sheet3"/>
      <sheetName val="Tables"/>
      <sheetName val="FY01 Actuals"/>
      <sheetName val="FY00 Restated"/>
      <sheetName val="FY01 Quota"/>
      <sheetName val="Quantum PO Std"/>
      <sheetName val="Leap PO Std."/>
      <sheetName val="#REF"/>
      <sheetName val="Table"/>
      <sheetName val="Container Cost Assumptions"/>
      <sheetName val="PO File with all elements 1-3-0"/>
      <sheetName val="BRK BY LOCATION"/>
      <sheetName val="Cont Cost Var by Month (SII)"/>
      <sheetName val="Table1"/>
      <sheetName val="QMI Monthly Summary Reports_FW0"/>
      <sheetName val="Sheet1"/>
      <sheetName val="#BEZUG"/>
      <sheetName val="审核总览"/>
      <sheetName val="Chart"/>
      <sheetName val="Q4 CURRENCY"/>
      <sheetName val="PLALL"/>
      <sheetName val="Batch Comparison Template"/>
      <sheetName val="Stats Graph Template"/>
      <sheetName val="Tﾁｬｰﾄ"/>
      <sheetName val="abbr"/>
      <sheetName val="Spec"/>
      <sheetName val="Optimize"/>
      <sheetName val="NVA-300T返品リスト"/>
      <sheetName val="4 审核发现描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00"/>
      <sheetName val="02"/>
      <sheetName val="10E"/>
      <sheetName val="11E"/>
      <sheetName val="12E"/>
      <sheetName val="13E"/>
      <sheetName val="14E"/>
      <sheetName val="15E"/>
      <sheetName val="16E"/>
      <sheetName val="18E"/>
      <sheetName val="19E"/>
      <sheetName val="66E"/>
      <sheetName val="03"/>
      <sheetName val="16B"/>
      <sheetName val="17B"/>
      <sheetName val="19B"/>
      <sheetName val="04"/>
      <sheetName val="05"/>
      <sheetName val="07"/>
      <sheetName val="C9"/>
      <sheetName val="53S"/>
      <sheetName val="53V"/>
      <sheetName val="53W"/>
      <sheetName val="51C"/>
      <sheetName val="52C"/>
      <sheetName val="52S"/>
      <sheetName val="58C"/>
      <sheetName val="62C"/>
      <sheetName val="72C"/>
      <sheetName val="09"/>
      <sheetName val="10"/>
      <sheetName val="10A"/>
      <sheetName val="13"/>
      <sheetName val="15"/>
      <sheetName val="15A"/>
      <sheetName val="16A"/>
      <sheetName val="17"/>
      <sheetName val="18"/>
      <sheetName val="18A"/>
      <sheetName val="19"/>
      <sheetName val="19A"/>
      <sheetName val="224"/>
      <sheetName val="231"/>
      <sheetName val="251"/>
      <sheetName val="28"/>
      <sheetName val="321"/>
      <sheetName val="322"/>
      <sheetName val="34"/>
      <sheetName val="37"/>
      <sheetName val="39"/>
      <sheetName val="40"/>
      <sheetName val="41"/>
      <sheetName val="42"/>
      <sheetName val="43A"/>
      <sheetName val="431"/>
      <sheetName val="432"/>
      <sheetName val="44"/>
      <sheetName val="451"/>
      <sheetName val="452"/>
      <sheetName val="46"/>
      <sheetName val="491"/>
      <sheetName val="501"/>
      <sheetName val="502"/>
      <sheetName val="503"/>
      <sheetName val="504"/>
      <sheetName val="505"/>
      <sheetName val="506"/>
      <sheetName val="507"/>
      <sheetName val="551"/>
      <sheetName val="552"/>
      <sheetName val="561"/>
      <sheetName val="562"/>
      <sheetName val="571"/>
      <sheetName val="572"/>
      <sheetName val="59"/>
      <sheetName val="611"/>
      <sheetName val="612"/>
      <sheetName val="631"/>
      <sheetName val="632"/>
      <sheetName val="633"/>
      <sheetName val="661"/>
      <sheetName val="662"/>
      <sheetName val="663"/>
      <sheetName val="664"/>
      <sheetName val="667"/>
      <sheetName val="668"/>
      <sheetName val="671"/>
      <sheetName val="68"/>
      <sheetName val="691"/>
      <sheetName val="692"/>
      <sheetName val="693"/>
      <sheetName val="694"/>
      <sheetName val="695"/>
      <sheetName val="73"/>
      <sheetName val="741"/>
      <sheetName val="751"/>
      <sheetName val="752"/>
      <sheetName val="762"/>
      <sheetName val="763"/>
      <sheetName val="764"/>
      <sheetName val="765"/>
      <sheetName val="793"/>
      <sheetName val="891"/>
      <sheetName val="52V"/>
      <sheetName val="13A"/>
      <sheetName val="14A"/>
      <sheetName val="563"/>
      <sheetName val="674"/>
      <sheetName val="02(1)"/>
      <sheetName val="10E(1)"/>
      <sheetName val="11E(1)"/>
      <sheetName val="12E(1)"/>
      <sheetName val="13E(1)"/>
      <sheetName val="14E(1)"/>
      <sheetName val="15E(1)"/>
      <sheetName val="18E(1)"/>
      <sheetName val="19E(1)"/>
      <sheetName val="66E(1)"/>
      <sheetName val="231(1)"/>
      <sheetName val="SUM14ZC1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ap13th10"/>
      <sheetName val="Tables"/>
      <sheetName val="PLALL"/>
      <sheetName val="Total Financials"/>
      <sheetName val="4 审核发现描述"/>
    </sheetNames>
    <definedNames>
      <definedName name="Print_Inventory_Packa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Optimize"/>
      <sheetName val="Compressor"/>
      <sheetName val="Refrigerants"/>
      <sheetName val="Foams"/>
      <sheetName val="WorkArea"/>
      <sheetName val="TBX18"/>
      <sheetName val="TBX19"/>
      <sheetName val="TBX21"/>
      <sheetName val="TBX22"/>
      <sheetName val="TBX22R"/>
      <sheetName val="TBX24"/>
      <sheetName val="TBX25"/>
      <sheetName val="TBX25R"/>
      <sheetName val="Functions"/>
      <sheetName val="FixMacros"/>
      <sheetName val="Animate"/>
      <sheetName val="AutoOpen"/>
      <sheetName val="CalcKwh"/>
      <sheetName val="CalcWorkArea"/>
      <sheetName val="CleanOpt"/>
      <sheetName val="ClearWork"/>
      <sheetName val="ModelOpt"/>
      <sheetName val="Optimize98"/>
      <sheetName val="PasteSheet"/>
      <sheetName val="ReCalc"/>
      <sheetName val="SortList"/>
      <sheetName val="TrialOpt"/>
      <sheetName val="Module1"/>
      <sheetName val="Output"/>
      <sheetName val="Module2"/>
      <sheetName val="Module3"/>
      <sheetName val="SPP current as of 1-3-01"/>
      <sheetName val="Quantum PO Std"/>
      <sheetName val="Leap PO Std."/>
      <sheetName val="Summary"/>
      <sheetName val="Top Lvl  Logic"/>
      <sheetName val="Parts"/>
      <sheetName val="Process"/>
      <sheetName val="Meas Acceptance Template"/>
      <sheetName val="Batch Comparison Template"/>
      <sheetName val="Meas Indv Template"/>
      <sheetName val="Roadmap1"/>
      <sheetName val="Tables"/>
      <sheetName val="00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QC APPROVE SHEET"/>
      <sheetName val="HTP 2001"/>
      <sheetName val="분리멀티형"/>
      <sheetName val="APJSum"/>
      <sheetName val="AmeSum"/>
      <sheetName val="EMEASum"/>
      <sheetName val="HPCoSum"/>
      <sheetName val="OGSum"/>
      <sheetName val="WWSum"/>
      <sheetName val="Spec"/>
      <sheetName val="FCG"/>
      <sheetName val="LRR Summary"/>
      <sheetName val="MTL1"/>
      <sheetName val="SUM14ZC1"/>
      <sheetName val="NVA-300T返品リスト"/>
      <sheetName val="ANALISIS"/>
      <sheetName val="Pull HP Wide"/>
      <sheetName val="Pull All SFs"/>
      <sheetName val="PL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CS"/>
      <sheetName val="BOD"/>
      <sheetName val="BOD REGION"/>
      <sheetName val="Summary"/>
      <sheetName val="Q2 CY99"/>
      <sheetName val="PLALL2"/>
      <sheetName val="FY01 Actuals"/>
      <sheetName val="FY00 Restated"/>
      <sheetName val="FY01 Quota"/>
      <sheetName val="PLALL"/>
      <sheetName val="敏感详细分析"/>
      <sheetName val="AmeSum"/>
      <sheetName val="FP"/>
      <sheetName val="Time Dimension Lookup"/>
      <sheetName val="公司"/>
      <sheetName val="工厂"/>
      <sheetName val="经营体"/>
      <sheetName val="供应商"/>
      <sheetName val="APCODE"/>
      <sheetName val="审核总览"/>
      <sheetName val="APJSum"/>
      <sheetName val="EMEASum"/>
      <sheetName val="HPCoSum"/>
      <sheetName val="OGSum"/>
      <sheetName val="WWSum"/>
      <sheetName val="LOV"/>
      <sheetName val="SUM14ZC1"/>
      <sheetName val="產品基本信息"/>
      <sheetName val="FY03CostStructure"/>
      <sheetName val="Funnel"/>
      <sheetName val="分产品销售收入、成本分析表"/>
      <sheetName val="SPals"/>
      <sheetName val="面积指标"/>
      <sheetName val="资产负债表"/>
      <sheetName val="资产负债表汇编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Input FX Rates"/>
      <sheetName val="Input Dates"/>
      <sheetName val="Oct FW42 BaaN for G-Line"/>
      <sheetName val="po list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3D ASPIRE Table"/>
      <sheetName val="津贴"/>
      <sheetName val="Av.Measures"/>
      <sheetName val="MCS_Q197"/>
      <sheetName val="TOTAL"/>
      <sheetName val="Panel"/>
      <sheetName val="Instructions"/>
      <sheetName val="Restate"/>
      <sheetName val="Pull HP Wide"/>
      <sheetName val="Pull All SFs"/>
      <sheetName val="sheet 1"/>
      <sheetName val="FCG"/>
      <sheetName val="MP2006 data"/>
      <sheetName val="p and l"/>
      <sheetName val="内围地梁钢筋说明"/>
      <sheetName val="Basic PMM"/>
      <sheetName val="Full PMM"/>
      <sheetName val="Q4 CURRENCY"/>
      <sheetName val="Comet ASPIRE"/>
      <sheetName val="Comet Sequential"/>
      <sheetName val="Comet yoy"/>
      <sheetName val="Chart"/>
      <sheetName val="Foams"/>
      <sheetName val="Refrigerants"/>
      <sheetName val="Dates"/>
      <sheetName val="costos fw 52"/>
      <sheetName val="EPR"/>
      <sheetName val="VSAMS Summary"/>
      <sheetName val="Glossary"/>
      <sheetName val="Total Financials"/>
      <sheetName val="Contents"/>
      <sheetName val="LRR Summary"/>
      <sheetName val="Histogram"/>
      <sheetName val="Sales Units (3)"/>
      <sheetName val="Safety _ P_A"/>
      <sheetName val="abbr"/>
      <sheetName val="Optimize"/>
      <sheetName val="SPP current as of 1-3-01"/>
      <sheetName val="AR Signature Page"/>
      <sheetName val="ANALISIS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</sheetNames>
    <definedNames>
      <definedName name="Print_Inventory_Package" refersTo="='#REF!'!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Board Slide "/>
      <sheetName val="Flash Export Only"/>
      <sheetName val="Navigation &amp; Assumptions"/>
      <sheetName val="Flash Template"/>
      <sheetName val="CF Summary"/>
      <sheetName val="PG Summary"/>
      <sheetName val="HPCO  GAAP"/>
      <sheetName val="HPCO  Pro Forma"/>
      <sheetName val="Monthly Trend"/>
      <sheetName val="Monthly OpEx Detail"/>
      <sheetName val="CF ASPIRE compare"/>
      <sheetName val="CF yoy Compare"/>
      <sheetName val="CF Sequential Compare"/>
      <sheetName val="CF Implied Month 3 $"/>
      <sheetName val="CF Implied Month 3 % of Flash"/>
      <sheetName val="PG ASPIRE Compare"/>
      <sheetName val="PG yoy Compare"/>
      <sheetName val="PG Sequential Compare"/>
      <sheetName val="PG Implied Month 3 $"/>
      <sheetName val="PG Implied Month 3 % of Flash"/>
      <sheetName val="CF ASPIRE Comp by PC"/>
      <sheetName val="CF yoy Comp by PC"/>
      <sheetName val="CF Seq Comp by PC"/>
      <sheetName val="CF Implied M3 by PC $"/>
      <sheetName val="CF Implied M3 by PC % Flash"/>
      <sheetName val="PG ASPIRE Comp by PC"/>
      <sheetName val="PG yoy Comp by PC"/>
      <sheetName val="PG Seq Comp by PC"/>
      <sheetName val="PG Implied M3 by PC $"/>
      <sheetName val="PG Implied M3 by PC % Flash"/>
      <sheetName val="Comet ASPIRE"/>
      <sheetName val="Comet yoy"/>
      <sheetName val="Comet Sequential"/>
      <sheetName val="Comet Implied M3 (QTD)"/>
      <sheetName val="Month 1"/>
      <sheetName val="Month 2"/>
      <sheetName val="Extr. Gain Table"/>
      <sheetName val="CheckWorksheets"/>
      <sheetName val="HP yoy GAAP"/>
      <sheetName val="CometpullAspCFck"/>
      <sheetName val="CometpullYoYCFck"/>
      <sheetName val="CometpullSeqCFck"/>
      <sheetName val="CometpullAspPGck"/>
      <sheetName val="CometpullYoYPGck"/>
      <sheetName val="CometpullSeqPGck"/>
      <sheetName val="FlashPGck"/>
      <sheetName val="FlashCFck"/>
      <sheetName val="P&amp;LDataPts"/>
      <sheetName val="master"/>
      <sheetName val="面积指标"/>
      <sheetName val="科目余额"/>
      <sheetName val="Raw materials"/>
      <sheetName val="FY01 Actuals"/>
      <sheetName val="FY00 Restated"/>
      <sheetName val="FY01 Quota"/>
      <sheetName val="Total Financials"/>
      <sheetName val="fa-listing"/>
      <sheetName val="tables"/>
      <sheetName val="Pull HP Wide"/>
      <sheetName val="Pull All SFs"/>
      <sheetName val="NVA-300T返品リスト"/>
      <sheetName val="ANALISIS"/>
      <sheetName val="Cover Page"/>
      <sheetName val="Controlling"/>
      <sheetName val="Investments"/>
      <sheetName val="PROJECTIONS"/>
      <sheetName val="TOTALAGEING"/>
      <sheetName val="Sheet1"/>
      <sheetName val="Application for GM Signature"/>
      <sheetName val="sap"/>
      <sheetName val="Summary"/>
      <sheetName val="Safety _ P_A"/>
      <sheetName val="Top Lvl  Logic"/>
      <sheetName val="22年计划"/>
      <sheetName val="FY03CostStructure"/>
      <sheetName val="SPals"/>
      <sheetName val="索引表"/>
      <sheetName val="雷梦"/>
      <sheetName val="Restate"/>
      <sheetName val="敏感参数"/>
      <sheetName val="Repayment Summary"/>
      <sheetName val="Board_Slide_"/>
      <sheetName val="Flash_Export_Only"/>
      <sheetName val="Navigation_&amp;_Assumptions"/>
      <sheetName val="Flash_Template"/>
      <sheetName val="CF_Summary"/>
      <sheetName val="PG_Summary"/>
      <sheetName val="HPCO__GAAP"/>
      <sheetName val="HPCO__Pro_Forma"/>
      <sheetName val="Monthly_Trend"/>
      <sheetName val="Monthly_OpEx_Detail"/>
      <sheetName val="CF_ASPIRE_compare"/>
      <sheetName val="CF_yoy_Compare"/>
      <sheetName val="CF_Sequential_Compare"/>
      <sheetName val="CF_Implied_Month_3_$"/>
      <sheetName val="CF_Implied_Month_3_%_of_Flash"/>
      <sheetName val="PG_ASPIRE_Compare"/>
      <sheetName val="PG_yoy_Compare"/>
      <sheetName val="PG_Sequential_Compare"/>
      <sheetName val="PG_Implied_Month_3_$"/>
      <sheetName val="PG_Implied_Month_3_%_of_Flash"/>
      <sheetName val="CF_ASPIRE_Comp_by_PC"/>
      <sheetName val="CF_yoy_Comp_by_PC"/>
      <sheetName val="CF_Seq_Comp_by_PC"/>
      <sheetName val="CF_Implied_M3_by_PC_$"/>
      <sheetName val="CF_Implied_M3_by_PC_%_Flash"/>
      <sheetName val="PG_ASPIRE_Comp_by_PC"/>
      <sheetName val="PG_yoy_Comp_by_PC"/>
      <sheetName val="PG_Seq_Comp_by_PC"/>
      <sheetName val="PG_Implied_M3_by_PC_$"/>
      <sheetName val="PG_Implied_M3_by_PC_%_Flash"/>
      <sheetName val="Comet_ASPIRE"/>
      <sheetName val="Comet_yoy"/>
      <sheetName val="Comet_Sequential"/>
      <sheetName val="Comet_Implied_M3_(QTD)"/>
      <sheetName val="Month_1"/>
      <sheetName val="Month_2"/>
      <sheetName val="Extr__Gain_Table"/>
      <sheetName val="HP_yoy_GAAP"/>
      <sheetName val="Raw_materials"/>
      <sheetName val="Total_Financials"/>
      <sheetName val="FY01_Actuals"/>
      <sheetName val="FY00_Restated"/>
      <sheetName val="FY01_Quota"/>
      <sheetName val="Safety___P_A"/>
      <sheetName val="Top_Lvl__Logic"/>
      <sheetName val="Board_Slide_3"/>
      <sheetName val="Flash_Export_Only3"/>
      <sheetName val="Navigation_&amp;_Assumptions3"/>
      <sheetName val="Flash_Template3"/>
      <sheetName val="CF_Summary3"/>
      <sheetName val="PG_Summary3"/>
      <sheetName val="HPCO__GAAP3"/>
      <sheetName val="HPCO__Pro_Forma3"/>
      <sheetName val="Monthly_Trend3"/>
      <sheetName val="Monthly_OpEx_Detail3"/>
      <sheetName val="CF_ASPIRE_compare3"/>
      <sheetName val="CF_yoy_Compare3"/>
      <sheetName val="CF_Sequential_Compare3"/>
      <sheetName val="CF_Implied_Month_3_$3"/>
      <sheetName val="CF_Implied_Month_3_%_of_Flash3"/>
      <sheetName val="PG_ASPIRE_Compare3"/>
      <sheetName val="PG_yoy_Compare3"/>
      <sheetName val="PG_Sequential_Compare3"/>
      <sheetName val="PG_Implied_Month_3_$3"/>
      <sheetName val="PG_Implied_Month_3_%_of_Flash3"/>
      <sheetName val="CF_ASPIRE_Comp_by_PC3"/>
      <sheetName val="CF_yoy_Comp_by_PC3"/>
      <sheetName val="CF_Seq_Comp_by_PC3"/>
      <sheetName val="CF_Implied_M3_by_PC_$3"/>
      <sheetName val="CF_Implied_M3_by_PC_%_Flash3"/>
      <sheetName val="PG_ASPIRE_Comp_by_PC3"/>
      <sheetName val="PG_yoy_Comp_by_PC3"/>
      <sheetName val="PG_Seq_Comp_by_PC3"/>
      <sheetName val="PG_Implied_M3_by_PC_$3"/>
      <sheetName val="PG_Implied_M3_by_PC_%_Flash3"/>
      <sheetName val="Comet_ASPIRE3"/>
      <sheetName val="Comet_yoy3"/>
      <sheetName val="Comet_Sequential3"/>
      <sheetName val="Comet_Implied_M3_(QTD)3"/>
      <sheetName val="Month_13"/>
      <sheetName val="Month_23"/>
      <sheetName val="Extr__Gain_Table3"/>
      <sheetName val="HP_yoy_GAAP3"/>
      <sheetName val="Raw_materials3"/>
      <sheetName val="Safety___P_A3"/>
      <sheetName val="Top_Lvl__Logic3"/>
      <sheetName val="Total_Financials3"/>
      <sheetName val="FY01_Actuals3"/>
      <sheetName val="FY00_Restated3"/>
      <sheetName val="FY01_Quota3"/>
      <sheetName val="Board_Slide_1"/>
      <sheetName val="Flash_Export_Only1"/>
      <sheetName val="Navigation_&amp;_Assumptions1"/>
      <sheetName val="Flash_Template1"/>
      <sheetName val="CF_Summary1"/>
      <sheetName val="PG_Summary1"/>
      <sheetName val="HPCO__GAAP1"/>
      <sheetName val="HPCO__Pro_Forma1"/>
      <sheetName val="Monthly_Trend1"/>
      <sheetName val="Monthly_OpEx_Detail1"/>
      <sheetName val="CF_ASPIRE_compare1"/>
      <sheetName val="CF_yoy_Compare1"/>
      <sheetName val="CF_Sequential_Compare1"/>
      <sheetName val="CF_Implied_Month_3_$1"/>
      <sheetName val="CF_Implied_Month_3_%_of_Flash1"/>
      <sheetName val="PG_ASPIRE_Compare1"/>
      <sheetName val="PG_yoy_Compare1"/>
      <sheetName val="PG_Sequential_Compare1"/>
      <sheetName val="PG_Implied_Month_3_$1"/>
      <sheetName val="PG_Implied_Month_3_%_of_Flash1"/>
      <sheetName val="CF_ASPIRE_Comp_by_PC1"/>
      <sheetName val="CF_yoy_Comp_by_PC1"/>
      <sheetName val="CF_Seq_Comp_by_PC1"/>
      <sheetName val="CF_Implied_M3_by_PC_$1"/>
      <sheetName val="CF_Implied_M3_by_PC_%_Flash1"/>
      <sheetName val="PG_ASPIRE_Comp_by_PC1"/>
      <sheetName val="PG_yoy_Comp_by_PC1"/>
      <sheetName val="PG_Seq_Comp_by_PC1"/>
      <sheetName val="PG_Implied_M3_by_PC_$1"/>
      <sheetName val="PG_Implied_M3_by_PC_%_Flash1"/>
      <sheetName val="Comet_ASPIRE1"/>
      <sheetName val="Comet_yoy1"/>
      <sheetName val="Comet_Sequential1"/>
      <sheetName val="Comet_Implied_M3_(QTD)1"/>
      <sheetName val="Month_11"/>
      <sheetName val="Month_21"/>
      <sheetName val="Extr__Gain_Table1"/>
      <sheetName val="HP_yoy_GAAP1"/>
      <sheetName val="Raw_materials1"/>
      <sheetName val="Total_Financials1"/>
      <sheetName val="FY01_Actuals1"/>
      <sheetName val="FY00_Restated1"/>
      <sheetName val="FY01_Quota1"/>
      <sheetName val="Safety___P_A1"/>
      <sheetName val="Top_Lvl__Logic1"/>
      <sheetName val="Board_Slide_2"/>
      <sheetName val="Flash_Export_Only2"/>
      <sheetName val="Navigation_&amp;_Assumptions2"/>
      <sheetName val="Flash_Template2"/>
      <sheetName val="CF_Summary2"/>
      <sheetName val="PG_Summary2"/>
      <sheetName val="HPCO__GAAP2"/>
      <sheetName val="HPCO__Pro_Forma2"/>
      <sheetName val="Monthly_Trend2"/>
      <sheetName val="Monthly_OpEx_Detail2"/>
      <sheetName val="CF_ASPIRE_compare2"/>
      <sheetName val="CF_yoy_Compare2"/>
      <sheetName val="CF_Sequential_Compare2"/>
      <sheetName val="CF_Implied_Month_3_$2"/>
      <sheetName val="CF_Implied_Month_3_%_of_Flash2"/>
      <sheetName val="PG_ASPIRE_Compare2"/>
      <sheetName val="PG_yoy_Compare2"/>
      <sheetName val="PG_Sequential_Compare2"/>
      <sheetName val="PG_Implied_Month_3_$2"/>
      <sheetName val="PG_Implied_Month_3_%_of_Flash2"/>
      <sheetName val="CF_ASPIRE_Comp_by_PC2"/>
      <sheetName val="CF_yoy_Comp_by_PC2"/>
      <sheetName val="CF_Seq_Comp_by_PC2"/>
      <sheetName val="CF_Implied_M3_by_PC_$2"/>
      <sheetName val="CF_Implied_M3_by_PC_%_Flash2"/>
      <sheetName val="PG_ASPIRE_Comp_by_PC2"/>
      <sheetName val="PG_yoy_Comp_by_PC2"/>
      <sheetName val="PG_Seq_Comp_by_PC2"/>
      <sheetName val="PG_Implied_M3_by_PC_$2"/>
      <sheetName val="PG_Implied_M3_by_PC_%_Flash2"/>
      <sheetName val="Comet_ASPIRE2"/>
      <sheetName val="Comet_yoy2"/>
      <sheetName val="Comet_Sequential2"/>
      <sheetName val="Comet_Implied_M3_(QTD)2"/>
      <sheetName val="Month_12"/>
      <sheetName val="Month_22"/>
      <sheetName val="Extr__Gain_Table2"/>
      <sheetName val="HP_yoy_GAAP2"/>
      <sheetName val="Raw_materials2"/>
      <sheetName val="Safety___P_A2"/>
      <sheetName val="Top_Lvl__Logic2"/>
      <sheetName val="Total_Financials2"/>
      <sheetName val="FY01_Actuals2"/>
      <sheetName val="FY00_Restated2"/>
      <sheetName val="FY01_Quota2"/>
      <sheetName val="Parts"/>
      <sheetName val="Process"/>
      <sheetName val="Board_Slide_20"/>
      <sheetName val="Flash_Export_Only20"/>
      <sheetName val="Navigation_&amp;_Assumptions20"/>
      <sheetName val="Flash_Template20"/>
      <sheetName val="CF_Summary20"/>
      <sheetName val="PG_Summary20"/>
      <sheetName val="HPCO__GAAP20"/>
      <sheetName val="HPCO__Pro_Forma20"/>
      <sheetName val="Monthly_Trend20"/>
      <sheetName val="Monthly_OpEx_Detail20"/>
      <sheetName val="CF_ASPIRE_compare20"/>
      <sheetName val="CF_yoy_Compare20"/>
      <sheetName val="CF_Sequential_Compare20"/>
      <sheetName val="CF_Implied_Month_3_$20"/>
      <sheetName val="CF_Implied_Month_3_%_of_Flash20"/>
      <sheetName val="PG_ASPIRE_Compare20"/>
      <sheetName val="PG_yoy_Compare20"/>
      <sheetName val="PG_Sequential_Compare20"/>
      <sheetName val="PG_Implied_Month_3_$20"/>
      <sheetName val="PG_Implied_Month_3_%_of_Flash20"/>
      <sheetName val="CF_ASPIRE_Comp_by_PC20"/>
      <sheetName val="CF_yoy_Comp_by_PC20"/>
      <sheetName val="CF_Seq_Comp_by_PC20"/>
      <sheetName val="CF_Implied_M3_by_PC_$20"/>
      <sheetName val="CF_Implied_M3_by_PC_%_Flash20"/>
      <sheetName val="PG_ASPIRE_Comp_by_PC20"/>
      <sheetName val="PG_yoy_Comp_by_PC20"/>
      <sheetName val="PG_Seq_Comp_by_PC20"/>
      <sheetName val="PG_Implied_M3_by_PC_$20"/>
      <sheetName val="PG_Implied_M3_by_PC_%_Flash20"/>
      <sheetName val="Comet_ASPIRE20"/>
      <sheetName val="Comet_yoy20"/>
      <sheetName val="Comet_Sequential20"/>
      <sheetName val="Comet_Implied_M3_(QTD)20"/>
      <sheetName val="Month_120"/>
      <sheetName val="Month_220"/>
      <sheetName val="Extr__Gain_Table20"/>
      <sheetName val="HP_yoy_GAAP20"/>
      <sheetName val="Raw_materials20"/>
      <sheetName val="Total_Financials20"/>
      <sheetName val="FY01_Actuals20"/>
      <sheetName val="FY00_Restated20"/>
      <sheetName val="FY01_Quota20"/>
      <sheetName val="Board_Slide_4"/>
      <sheetName val="Flash_Export_Only4"/>
      <sheetName val="Navigation_&amp;_Assumptions4"/>
      <sheetName val="Flash_Template4"/>
      <sheetName val="CF_Summary4"/>
      <sheetName val="PG_Summary4"/>
      <sheetName val="HPCO__GAAP4"/>
      <sheetName val="HPCO__Pro_Forma4"/>
      <sheetName val="Monthly_Trend4"/>
      <sheetName val="Monthly_OpEx_Detail4"/>
      <sheetName val="CF_ASPIRE_compare4"/>
      <sheetName val="CF_yoy_Compare4"/>
      <sheetName val="CF_Sequential_Compare4"/>
      <sheetName val="CF_Implied_Month_3_$4"/>
      <sheetName val="CF_Implied_Month_3_%_of_Flash4"/>
      <sheetName val="PG_ASPIRE_Compare4"/>
      <sheetName val="PG_yoy_Compare4"/>
      <sheetName val="PG_Sequential_Compare4"/>
      <sheetName val="PG_Implied_Month_3_$4"/>
      <sheetName val="PG_Implied_Month_3_%_of_Flash4"/>
      <sheetName val="CF_ASPIRE_Comp_by_PC4"/>
      <sheetName val="CF_yoy_Comp_by_PC4"/>
      <sheetName val="CF_Seq_Comp_by_PC4"/>
      <sheetName val="CF_Implied_M3_by_PC_$4"/>
      <sheetName val="CF_Implied_M3_by_PC_%_Flash4"/>
      <sheetName val="PG_ASPIRE_Comp_by_PC4"/>
      <sheetName val="PG_yoy_Comp_by_PC4"/>
      <sheetName val="PG_Seq_Comp_by_PC4"/>
      <sheetName val="PG_Implied_M3_by_PC_$4"/>
      <sheetName val="PG_Implied_M3_by_PC_%_Flash4"/>
      <sheetName val="Comet_ASPIRE4"/>
      <sheetName val="Comet_yoy4"/>
      <sheetName val="Comet_Sequential4"/>
      <sheetName val="Comet_Implied_M3_(QTD)4"/>
      <sheetName val="Month_14"/>
      <sheetName val="Month_24"/>
      <sheetName val="Extr__Gain_Table4"/>
      <sheetName val="HP_yoy_GAAP4"/>
      <sheetName val="Raw_materials4"/>
      <sheetName val="Total_Financials4"/>
      <sheetName val="FY01_Actuals4"/>
      <sheetName val="FY00_Restated4"/>
      <sheetName val="FY01_Quota4"/>
      <sheetName val="Safety___P_A4"/>
      <sheetName val="Top_Lvl__Logic4"/>
      <sheetName val="Board_Slide_5"/>
      <sheetName val="Flash_Export_Only5"/>
      <sheetName val="Navigation_&amp;_Assumptions5"/>
      <sheetName val="Flash_Template5"/>
      <sheetName val="CF_Summary5"/>
      <sheetName val="PG_Summary5"/>
      <sheetName val="HPCO__GAAP5"/>
      <sheetName val="HPCO__Pro_Forma5"/>
      <sheetName val="Monthly_Trend5"/>
      <sheetName val="Monthly_OpEx_Detail5"/>
      <sheetName val="CF_ASPIRE_compare5"/>
      <sheetName val="CF_yoy_Compare5"/>
      <sheetName val="CF_Sequential_Compare5"/>
      <sheetName val="CF_Implied_Month_3_$5"/>
      <sheetName val="CF_Implied_Month_3_%_of_Flash5"/>
      <sheetName val="PG_ASPIRE_Compare5"/>
      <sheetName val="PG_yoy_Compare5"/>
      <sheetName val="PG_Sequential_Compare5"/>
      <sheetName val="PG_Implied_Month_3_$5"/>
      <sheetName val="PG_Implied_Month_3_%_of_Flash5"/>
      <sheetName val="CF_ASPIRE_Comp_by_PC5"/>
      <sheetName val="CF_yoy_Comp_by_PC5"/>
      <sheetName val="CF_Seq_Comp_by_PC5"/>
      <sheetName val="CF_Implied_M3_by_PC_$5"/>
      <sheetName val="CF_Implied_M3_by_PC_%_Flash5"/>
      <sheetName val="PG_ASPIRE_Comp_by_PC5"/>
      <sheetName val="PG_yoy_Comp_by_PC5"/>
      <sheetName val="PG_Seq_Comp_by_PC5"/>
      <sheetName val="PG_Implied_M3_by_PC_$5"/>
      <sheetName val="PG_Implied_M3_by_PC_%_Flash5"/>
      <sheetName val="Comet_ASPIRE5"/>
      <sheetName val="Comet_yoy5"/>
      <sheetName val="Comet_Sequential5"/>
      <sheetName val="Comet_Implied_M3_(QTD)5"/>
      <sheetName val="Month_15"/>
      <sheetName val="Month_25"/>
      <sheetName val="Extr__Gain_Table5"/>
      <sheetName val="HP_yoy_GAAP5"/>
      <sheetName val="Raw_materials5"/>
      <sheetName val="Total_Financials5"/>
      <sheetName val="FY01_Actuals5"/>
      <sheetName val="FY00_Restated5"/>
      <sheetName val="FY01_Quota5"/>
      <sheetName val="Safety___P_A5"/>
      <sheetName val="Top_Lvl__Logic5"/>
      <sheetName val="Board_Slide_6"/>
      <sheetName val="Flash_Export_Only6"/>
      <sheetName val="Navigation_&amp;_Assumptions6"/>
      <sheetName val="Flash_Template6"/>
      <sheetName val="CF_Summary6"/>
      <sheetName val="PG_Summary6"/>
      <sheetName val="HPCO__GAAP6"/>
      <sheetName val="HPCO__Pro_Forma6"/>
      <sheetName val="Monthly_Trend6"/>
      <sheetName val="Monthly_OpEx_Detail6"/>
      <sheetName val="CF_ASPIRE_compare6"/>
      <sheetName val="CF_yoy_Compare6"/>
      <sheetName val="CF_Sequential_Compare6"/>
      <sheetName val="CF_Implied_Month_3_$6"/>
      <sheetName val="CF_Implied_Month_3_%_of_Flash6"/>
      <sheetName val="PG_ASPIRE_Compare6"/>
      <sheetName val="PG_yoy_Compare6"/>
      <sheetName val="PG_Sequential_Compare6"/>
      <sheetName val="PG_Implied_Month_3_$6"/>
      <sheetName val="PG_Implied_Month_3_%_of_Flash6"/>
      <sheetName val="CF_ASPIRE_Comp_by_PC6"/>
      <sheetName val="CF_yoy_Comp_by_PC6"/>
      <sheetName val="CF_Seq_Comp_by_PC6"/>
      <sheetName val="CF_Implied_M3_by_PC_$6"/>
      <sheetName val="CF_Implied_M3_by_PC_%_Flash6"/>
      <sheetName val="PG_ASPIRE_Comp_by_PC6"/>
      <sheetName val="PG_yoy_Comp_by_PC6"/>
      <sheetName val="PG_Seq_Comp_by_PC6"/>
      <sheetName val="PG_Implied_M3_by_PC_$6"/>
      <sheetName val="PG_Implied_M3_by_PC_%_Flash6"/>
      <sheetName val="Comet_ASPIRE6"/>
      <sheetName val="Comet_yoy6"/>
      <sheetName val="Comet_Sequential6"/>
      <sheetName val="Comet_Implied_M3_(QTD)6"/>
      <sheetName val="Month_16"/>
      <sheetName val="Month_26"/>
      <sheetName val="Extr__Gain_Table6"/>
      <sheetName val="HP_yoy_GAAP6"/>
      <sheetName val="Raw_materials6"/>
      <sheetName val="Total_Financials6"/>
      <sheetName val="FY01_Actuals6"/>
      <sheetName val="FY00_Restated6"/>
      <sheetName val="FY01_Quota6"/>
      <sheetName val="Safety___P_A6"/>
      <sheetName val="Top_Lvl__Logic6"/>
      <sheetName val="Board_Slide_7"/>
      <sheetName val="Flash_Export_Only7"/>
      <sheetName val="Navigation_&amp;_Assumptions7"/>
      <sheetName val="Flash_Template7"/>
      <sheetName val="CF_Summary7"/>
      <sheetName val="PG_Summary7"/>
      <sheetName val="HPCO__GAAP7"/>
      <sheetName val="HPCO__Pro_Forma7"/>
      <sheetName val="Monthly_Trend7"/>
      <sheetName val="Monthly_OpEx_Detail7"/>
      <sheetName val="CF_ASPIRE_compare7"/>
      <sheetName val="CF_yoy_Compare7"/>
      <sheetName val="CF_Sequential_Compare7"/>
      <sheetName val="CF_Implied_Month_3_$7"/>
      <sheetName val="CF_Implied_Month_3_%_of_Flash7"/>
      <sheetName val="PG_ASPIRE_Compare7"/>
      <sheetName val="PG_yoy_Compare7"/>
      <sheetName val="PG_Sequential_Compare7"/>
      <sheetName val="PG_Implied_Month_3_$7"/>
      <sheetName val="PG_Implied_Month_3_%_of_Flash7"/>
      <sheetName val="CF_ASPIRE_Comp_by_PC7"/>
      <sheetName val="CF_yoy_Comp_by_PC7"/>
      <sheetName val="CF_Seq_Comp_by_PC7"/>
      <sheetName val="CF_Implied_M3_by_PC_$7"/>
      <sheetName val="CF_Implied_M3_by_PC_%_Flash7"/>
      <sheetName val="PG_ASPIRE_Comp_by_PC7"/>
      <sheetName val="PG_yoy_Comp_by_PC7"/>
      <sheetName val="PG_Seq_Comp_by_PC7"/>
      <sheetName val="PG_Implied_M3_by_PC_$7"/>
      <sheetName val="PG_Implied_M3_by_PC_%_Flash7"/>
      <sheetName val="Comet_ASPIRE7"/>
      <sheetName val="Comet_yoy7"/>
      <sheetName val="Comet_Sequential7"/>
      <sheetName val="Comet_Implied_M3_(QTD)7"/>
      <sheetName val="Month_17"/>
      <sheetName val="Month_27"/>
      <sheetName val="Extr__Gain_Table7"/>
      <sheetName val="HP_yoy_GAAP7"/>
      <sheetName val="Raw_materials7"/>
      <sheetName val="Total_Financials7"/>
      <sheetName val="FY01_Actuals7"/>
      <sheetName val="FY00_Restated7"/>
      <sheetName val="FY01_Quota7"/>
      <sheetName val="Board_Slide_8"/>
      <sheetName val="Flash_Export_Only8"/>
      <sheetName val="Navigation_&amp;_Assumptions8"/>
      <sheetName val="Flash_Template8"/>
      <sheetName val="CF_Summary8"/>
      <sheetName val="PG_Summary8"/>
      <sheetName val="HPCO__GAAP8"/>
      <sheetName val="HPCO__Pro_Forma8"/>
      <sheetName val="Monthly_Trend8"/>
      <sheetName val="Monthly_OpEx_Detail8"/>
      <sheetName val="CF_ASPIRE_compare8"/>
      <sheetName val="CF_yoy_Compare8"/>
      <sheetName val="CF_Sequential_Compare8"/>
      <sheetName val="CF_Implied_Month_3_$8"/>
      <sheetName val="CF_Implied_Month_3_%_of_Flash8"/>
      <sheetName val="PG_ASPIRE_Compare8"/>
      <sheetName val="PG_yoy_Compare8"/>
      <sheetName val="PG_Sequential_Compare8"/>
      <sheetName val="PG_Implied_Month_3_$8"/>
      <sheetName val="PG_Implied_Month_3_%_of_Flash8"/>
      <sheetName val="CF_ASPIRE_Comp_by_PC8"/>
      <sheetName val="CF_yoy_Comp_by_PC8"/>
      <sheetName val="CF_Seq_Comp_by_PC8"/>
      <sheetName val="CF_Implied_M3_by_PC_$8"/>
      <sheetName val="CF_Implied_M3_by_PC_%_Flash8"/>
      <sheetName val="PG_ASPIRE_Comp_by_PC8"/>
      <sheetName val="PG_yoy_Comp_by_PC8"/>
      <sheetName val="PG_Seq_Comp_by_PC8"/>
      <sheetName val="PG_Implied_M3_by_PC_$8"/>
      <sheetName val="PG_Implied_M3_by_PC_%_Flash8"/>
      <sheetName val="Comet_ASPIRE8"/>
      <sheetName val="Comet_yoy8"/>
      <sheetName val="Comet_Sequential8"/>
      <sheetName val="Comet_Implied_M3_(QTD)8"/>
      <sheetName val="Month_18"/>
      <sheetName val="Month_28"/>
      <sheetName val="Extr__Gain_Table8"/>
      <sheetName val="HP_yoy_GAAP8"/>
      <sheetName val="Raw_materials8"/>
      <sheetName val="Total_Financials8"/>
      <sheetName val="FY01_Actuals8"/>
      <sheetName val="FY00_Restated8"/>
      <sheetName val="FY01_Quota8"/>
      <sheetName val="Board_Slide_9"/>
      <sheetName val="Flash_Export_Only9"/>
      <sheetName val="Navigation_&amp;_Assumptions9"/>
      <sheetName val="Flash_Template9"/>
      <sheetName val="CF_Summary9"/>
      <sheetName val="PG_Summary9"/>
      <sheetName val="HPCO__GAAP9"/>
      <sheetName val="HPCO__Pro_Forma9"/>
      <sheetName val="Monthly_Trend9"/>
      <sheetName val="Monthly_OpEx_Detail9"/>
      <sheetName val="CF_ASPIRE_compare9"/>
      <sheetName val="CF_yoy_Compare9"/>
      <sheetName val="CF_Sequential_Compare9"/>
      <sheetName val="CF_Implied_Month_3_$9"/>
      <sheetName val="CF_Implied_Month_3_%_of_Flash9"/>
      <sheetName val="PG_ASPIRE_Compare9"/>
      <sheetName val="PG_yoy_Compare9"/>
      <sheetName val="PG_Sequential_Compare9"/>
      <sheetName val="PG_Implied_Month_3_$9"/>
      <sheetName val="PG_Implied_Month_3_%_of_Flash9"/>
      <sheetName val="CF_ASPIRE_Comp_by_PC9"/>
      <sheetName val="CF_yoy_Comp_by_PC9"/>
      <sheetName val="CF_Seq_Comp_by_PC9"/>
      <sheetName val="CF_Implied_M3_by_PC_$9"/>
      <sheetName val="CF_Implied_M3_by_PC_%_Flash9"/>
      <sheetName val="PG_ASPIRE_Comp_by_PC9"/>
      <sheetName val="PG_yoy_Comp_by_PC9"/>
      <sheetName val="PG_Seq_Comp_by_PC9"/>
      <sheetName val="PG_Implied_M3_by_PC_$9"/>
      <sheetName val="PG_Implied_M3_by_PC_%_Flash9"/>
      <sheetName val="Comet_ASPIRE9"/>
      <sheetName val="Comet_yoy9"/>
      <sheetName val="Comet_Sequential9"/>
      <sheetName val="Comet_Implied_M3_(QTD)9"/>
      <sheetName val="Month_19"/>
      <sheetName val="Month_29"/>
      <sheetName val="Extr__Gain_Table9"/>
      <sheetName val="HP_yoy_GAAP9"/>
      <sheetName val="Raw_materials9"/>
      <sheetName val="Total_Financials9"/>
      <sheetName val="FY01_Actuals9"/>
      <sheetName val="FY00_Restated9"/>
      <sheetName val="FY01_Quota9"/>
      <sheetName val="Safety___P_A7"/>
      <sheetName val="Top_Lvl__Logic7"/>
      <sheetName val="Board_Slide_10"/>
      <sheetName val="Flash_Export_Only10"/>
      <sheetName val="Navigation_&amp;_Assumptions10"/>
      <sheetName val="Flash_Template10"/>
      <sheetName val="CF_Summary10"/>
      <sheetName val="PG_Summary10"/>
      <sheetName val="HPCO__GAAP10"/>
      <sheetName val="HPCO__Pro_Forma10"/>
      <sheetName val="Monthly_Trend10"/>
      <sheetName val="Monthly_OpEx_Detail10"/>
      <sheetName val="CF_ASPIRE_compare10"/>
      <sheetName val="CF_yoy_Compare10"/>
      <sheetName val="CF_Sequential_Compare10"/>
      <sheetName val="CF_Implied_Month_3_$10"/>
      <sheetName val="CF_Implied_Month_3_%_of_Flash10"/>
      <sheetName val="PG_ASPIRE_Compare10"/>
      <sheetName val="PG_yoy_Compare10"/>
      <sheetName val="PG_Sequential_Compare10"/>
      <sheetName val="PG_Implied_Month_3_$10"/>
      <sheetName val="PG_Implied_Month_3_%_of_Flash10"/>
      <sheetName val="CF_ASPIRE_Comp_by_PC10"/>
      <sheetName val="CF_yoy_Comp_by_PC10"/>
      <sheetName val="CF_Seq_Comp_by_PC10"/>
      <sheetName val="CF_Implied_M3_by_PC_$10"/>
      <sheetName val="CF_Implied_M3_by_PC_%_Flash10"/>
      <sheetName val="PG_ASPIRE_Comp_by_PC10"/>
      <sheetName val="PG_yoy_Comp_by_PC10"/>
      <sheetName val="PG_Seq_Comp_by_PC10"/>
      <sheetName val="PG_Implied_M3_by_PC_$10"/>
      <sheetName val="PG_Implied_M3_by_PC_%_Flash10"/>
      <sheetName val="Comet_ASPIRE10"/>
      <sheetName val="Comet_yoy10"/>
      <sheetName val="Comet_Sequential10"/>
      <sheetName val="Comet_Implied_M3_(QTD)10"/>
      <sheetName val="Month_110"/>
      <sheetName val="Month_210"/>
      <sheetName val="Extr__Gain_Table10"/>
      <sheetName val="HP_yoy_GAAP10"/>
      <sheetName val="Raw_materials10"/>
      <sheetName val="Total_Financials10"/>
      <sheetName val="FY01_Actuals10"/>
      <sheetName val="FY00_Restated10"/>
      <sheetName val="FY01_Quota10"/>
      <sheetName val="Safety___P_A8"/>
      <sheetName val="Top_Lvl__Logic8"/>
      <sheetName val="Board_Slide_11"/>
      <sheetName val="Flash_Export_Only11"/>
      <sheetName val="Navigation_&amp;_Assumptions11"/>
      <sheetName val="Flash_Template11"/>
      <sheetName val="CF_Summary11"/>
      <sheetName val="PG_Summary11"/>
      <sheetName val="HPCO__GAAP11"/>
      <sheetName val="HPCO__Pro_Forma11"/>
      <sheetName val="Monthly_Trend11"/>
      <sheetName val="Monthly_OpEx_Detail11"/>
      <sheetName val="CF_ASPIRE_compare11"/>
      <sheetName val="CF_yoy_Compare11"/>
      <sheetName val="CF_Sequential_Compare11"/>
      <sheetName val="CF_Implied_Month_3_$11"/>
      <sheetName val="CF_Implied_Month_3_%_of_Flash11"/>
      <sheetName val="PG_ASPIRE_Compare11"/>
      <sheetName val="PG_yoy_Compare11"/>
      <sheetName val="PG_Sequential_Compare11"/>
      <sheetName val="PG_Implied_Month_3_$11"/>
      <sheetName val="PG_Implied_Month_3_%_of_Flash11"/>
      <sheetName val="CF_ASPIRE_Comp_by_PC11"/>
      <sheetName val="CF_yoy_Comp_by_PC11"/>
      <sheetName val="CF_Seq_Comp_by_PC11"/>
      <sheetName val="CF_Implied_M3_by_PC_$11"/>
      <sheetName val="CF_Implied_M3_by_PC_%_Flash11"/>
      <sheetName val="PG_ASPIRE_Comp_by_PC11"/>
      <sheetName val="PG_yoy_Comp_by_PC11"/>
      <sheetName val="PG_Seq_Comp_by_PC11"/>
      <sheetName val="PG_Implied_M3_by_PC_$11"/>
      <sheetName val="PG_Implied_M3_by_PC_%_Flash11"/>
      <sheetName val="Comet_ASPIRE11"/>
      <sheetName val="Comet_yoy11"/>
      <sheetName val="Comet_Sequential11"/>
      <sheetName val="Comet_Implied_M3_(QTD)11"/>
      <sheetName val="Month_111"/>
      <sheetName val="Month_211"/>
      <sheetName val="Extr__Gain_Table11"/>
      <sheetName val="HP_yoy_GAAP11"/>
      <sheetName val="Raw_materials11"/>
      <sheetName val="Safety___P_A9"/>
      <sheetName val="Top_Lvl__Logic9"/>
      <sheetName val="Total_Financials11"/>
      <sheetName val="FY01_Actuals11"/>
      <sheetName val="FY00_Restated11"/>
      <sheetName val="FY01_Quota11"/>
      <sheetName val="Board_Slide_12"/>
      <sheetName val="Flash_Export_Only12"/>
      <sheetName val="Navigation_&amp;_Assumptions12"/>
      <sheetName val="Flash_Template12"/>
      <sheetName val="CF_Summary12"/>
      <sheetName val="PG_Summary12"/>
      <sheetName val="HPCO__GAAP12"/>
      <sheetName val="HPCO__Pro_Forma12"/>
      <sheetName val="Monthly_Trend12"/>
      <sheetName val="Monthly_OpEx_Detail12"/>
      <sheetName val="CF_ASPIRE_compare12"/>
      <sheetName val="CF_yoy_Compare12"/>
      <sheetName val="CF_Sequential_Compare12"/>
      <sheetName val="CF_Implied_Month_3_$12"/>
      <sheetName val="CF_Implied_Month_3_%_of_Flash12"/>
      <sheetName val="PG_ASPIRE_Compare12"/>
      <sheetName val="PG_yoy_Compare12"/>
      <sheetName val="PG_Sequential_Compare12"/>
      <sheetName val="PG_Implied_Month_3_$12"/>
      <sheetName val="PG_Implied_Month_3_%_of_Flash12"/>
      <sheetName val="CF_ASPIRE_Comp_by_PC12"/>
      <sheetName val="CF_yoy_Comp_by_PC12"/>
      <sheetName val="CF_Seq_Comp_by_PC12"/>
      <sheetName val="CF_Implied_M3_by_PC_$12"/>
      <sheetName val="CF_Implied_M3_by_PC_%_Flash12"/>
      <sheetName val="PG_ASPIRE_Comp_by_PC12"/>
      <sheetName val="PG_yoy_Comp_by_PC12"/>
      <sheetName val="PG_Seq_Comp_by_PC12"/>
      <sheetName val="PG_Implied_M3_by_PC_$12"/>
      <sheetName val="PG_Implied_M3_by_PC_%_Flash12"/>
      <sheetName val="Comet_ASPIRE12"/>
      <sheetName val="Comet_yoy12"/>
      <sheetName val="Comet_Sequential12"/>
      <sheetName val="Comet_Implied_M3_(QTD)12"/>
      <sheetName val="Month_112"/>
      <sheetName val="Month_212"/>
      <sheetName val="Extr__Gain_Table12"/>
      <sheetName val="HP_yoy_GAAP12"/>
      <sheetName val="Raw_materials12"/>
      <sheetName val="Total_Financials12"/>
      <sheetName val="FY01_Actuals12"/>
      <sheetName val="FY00_Restated12"/>
      <sheetName val="FY01_Quota12"/>
      <sheetName val="Safety___P_A10"/>
      <sheetName val="Top_Lvl__Logic10"/>
      <sheetName val="Board_Slide_13"/>
      <sheetName val="Flash_Export_Only13"/>
      <sheetName val="Navigation_&amp;_Assumptions13"/>
      <sheetName val="Flash_Template13"/>
      <sheetName val="CF_Summary13"/>
      <sheetName val="PG_Summary13"/>
      <sheetName val="HPCO__GAAP13"/>
      <sheetName val="HPCO__Pro_Forma13"/>
      <sheetName val="Monthly_Trend13"/>
      <sheetName val="Monthly_OpEx_Detail13"/>
      <sheetName val="CF_ASPIRE_compare13"/>
      <sheetName val="CF_yoy_Compare13"/>
      <sheetName val="CF_Sequential_Compare13"/>
      <sheetName val="CF_Implied_Month_3_$13"/>
      <sheetName val="CF_Implied_Month_3_%_of_Flash13"/>
      <sheetName val="PG_ASPIRE_Compare13"/>
      <sheetName val="PG_yoy_Compare13"/>
      <sheetName val="PG_Sequential_Compare13"/>
      <sheetName val="PG_Implied_Month_3_$13"/>
      <sheetName val="PG_Implied_Month_3_%_of_Flash13"/>
      <sheetName val="CF_ASPIRE_Comp_by_PC13"/>
      <sheetName val="CF_yoy_Comp_by_PC13"/>
      <sheetName val="CF_Seq_Comp_by_PC13"/>
      <sheetName val="CF_Implied_M3_by_PC_$13"/>
      <sheetName val="CF_Implied_M3_by_PC_%_Flash13"/>
      <sheetName val="PG_ASPIRE_Comp_by_PC13"/>
      <sheetName val="PG_yoy_Comp_by_PC13"/>
      <sheetName val="PG_Seq_Comp_by_PC13"/>
      <sheetName val="PG_Implied_M3_by_PC_$13"/>
      <sheetName val="PG_Implied_M3_by_PC_%_Flash13"/>
      <sheetName val="Comet_ASPIRE13"/>
      <sheetName val="Comet_yoy13"/>
      <sheetName val="Comet_Sequential13"/>
      <sheetName val="Comet_Implied_M3_(QTD)13"/>
      <sheetName val="Month_113"/>
      <sheetName val="Month_213"/>
      <sheetName val="Extr__Gain_Table13"/>
      <sheetName val="HP_yoy_GAAP13"/>
      <sheetName val="Raw_materials13"/>
      <sheetName val="Total_Financials13"/>
      <sheetName val="FY01_Actuals13"/>
      <sheetName val="FY00_Restated13"/>
      <sheetName val="FY01_Quota13"/>
      <sheetName val="Safety___P_A11"/>
      <sheetName val="Top_Lvl__Logic11"/>
      <sheetName val="Board_Slide_14"/>
      <sheetName val="Flash_Export_Only14"/>
      <sheetName val="Navigation_&amp;_Assumptions14"/>
      <sheetName val="Flash_Template14"/>
      <sheetName val="CF_Summary14"/>
      <sheetName val="PG_Summary14"/>
      <sheetName val="HPCO__GAAP14"/>
      <sheetName val="HPCO__Pro_Forma14"/>
      <sheetName val="Monthly_Trend14"/>
      <sheetName val="Monthly_OpEx_Detail14"/>
      <sheetName val="CF_ASPIRE_compare14"/>
      <sheetName val="CF_yoy_Compare14"/>
      <sheetName val="CF_Sequential_Compare14"/>
      <sheetName val="CF_Implied_Month_3_$14"/>
      <sheetName val="CF_Implied_Month_3_%_of_Flash14"/>
      <sheetName val="PG_ASPIRE_Compare14"/>
      <sheetName val="PG_yoy_Compare14"/>
      <sheetName val="PG_Sequential_Compare14"/>
      <sheetName val="PG_Implied_Month_3_$14"/>
      <sheetName val="PG_Implied_Month_3_%_of_Flash14"/>
      <sheetName val="CF_ASPIRE_Comp_by_PC14"/>
      <sheetName val="CF_yoy_Comp_by_PC14"/>
      <sheetName val="CF_Seq_Comp_by_PC14"/>
      <sheetName val="CF_Implied_M3_by_PC_$14"/>
      <sheetName val="CF_Implied_M3_by_PC_%_Flash14"/>
      <sheetName val="PG_ASPIRE_Comp_by_PC14"/>
      <sheetName val="PG_yoy_Comp_by_PC14"/>
      <sheetName val="PG_Seq_Comp_by_PC14"/>
      <sheetName val="PG_Implied_M3_by_PC_$14"/>
      <sheetName val="PG_Implied_M3_by_PC_%_Flash14"/>
      <sheetName val="Comet_ASPIRE14"/>
      <sheetName val="Comet_yoy14"/>
      <sheetName val="Comet_Sequential14"/>
      <sheetName val="Comet_Implied_M3_(QTD)14"/>
      <sheetName val="Month_114"/>
      <sheetName val="Month_214"/>
      <sheetName val="Extr__Gain_Table14"/>
      <sheetName val="HP_yoy_GAAP14"/>
      <sheetName val="Raw_materials14"/>
      <sheetName val="Total_Financials14"/>
      <sheetName val="FY01_Actuals14"/>
      <sheetName val="FY00_Restated14"/>
      <sheetName val="FY01_Quota14"/>
      <sheetName val="Safety___P_A12"/>
      <sheetName val="Top_Lvl__Logic12"/>
      <sheetName val="Board_Slide_15"/>
      <sheetName val="Flash_Export_Only15"/>
      <sheetName val="Navigation_&amp;_Assumptions15"/>
      <sheetName val="Flash_Template15"/>
      <sheetName val="CF_Summary15"/>
      <sheetName val="PG_Summary15"/>
      <sheetName val="HPCO__GAAP15"/>
      <sheetName val="HPCO__Pro_Forma15"/>
      <sheetName val="Monthly_Trend15"/>
      <sheetName val="Monthly_OpEx_Detail15"/>
      <sheetName val="CF_ASPIRE_compare15"/>
      <sheetName val="CF_yoy_Compare15"/>
      <sheetName val="CF_Sequential_Compare15"/>
      <sheetName val="CF_Implied_Month_3_$15"/>
      <sheetName val="CF_Implied_Month_3_%_of_Flash15"/>
      <sheetName val="PG_ASPIRE_Compare15"/>
      <sheetName val="PG_yoy_Compare15"/>
      <sheetName val="PG_Sequential_Compare15"/>
      <sheetName val="PG_Implied_Month_3_$15"/>
      <sheetName val="PG_Implied_Month_3_%_of_Flash15"/>
      <sheetName val="CF_ASPIRE_Comp_by_PC15"/>
      <sheetName val="CF_yoy_Comp_by_PC15"/>
      <sheetName val="CF_Seq_Comp_by_PC15"/>
      <sheetName val="CF_Implied_M3_by_PC_$15"/>
      <sheetName val="CF_Implied_M3_by_PC_%_Flash15"/>
      <sheetName val="PG_ASPIRE_Comp_by_PC15"/>
      <sheetName val="PG_yoy_Comp_by_PC15"/>
      <sheetName val="PG_Seq_Comp_by_PC15"/>
      <sheetName val="PG_Implied_M3_by_PC_$15"/>
      <sheetName val="PG_Implied_M3_by_PC_%_Flash15"/>
      <sheetName val="Comet_ASPIRE15"/>
      <sheetName val="Comet_yoy15"/>
      <sheetName val="Comet_Sequential15"/>
      <sheetName val="Comet_Implied_M3_(QTD)15"/>
      <sheetName val="Month_115"/>
      <sheetName val="Month_215"/>
      <sheetName val="Extr__Gain_Table15"/>
      <sheetName val="HP_yoy_GAAP15"/>
      <sheetName val="Raw_materials15"/>
      <sheetName val="Safety___P_A13"/>
      <sheetName val="Top_Lvl__Logic13"/>
      <sheetName val="Total_Financials15"/>
      <sheetName val="FY01_Actuals15"/>
      <sheetName val="FY00_Restated15"/>
      <sheetName val="FY01_Quota15"/>
      <sheetName val="Board_Slide_17"/>
      <sheetName val="Flash_Export_Only17"/>
      <sheetName val="Navigation_&amp;_Assumptions17"/>
      <sheetName val="Flash_Template17"/>
      <sheetName val="CF_Summary17"/>
      <sheetName val="PG_Summary17"/>
      <sheetName val="HPCO__GAAP17"/>
      <sheetName val="HPCO__Pro_Forma17"/>
      <sheetName val="Monthly_Trend17"/>
      <sheetName val="Monthly_OpEx_Detail17"/>
      <sheetName val="CF_ASPIRE_compare17"/>
      <sheetName val="CF_yoy_Compare17"/>
      <sheetName val="CF_Sequential_Compare17"/>
      <sheetName val="CF_Implied_Month_3_$17"/>
      <sheetName val="CF_Implied_Month_3_%_of_Flash17"/>
      <sheetName val="PG_ASPIRE_Compare17"/>
      <sheetName val="PG_yoy_Compare17"/>
      <sheetName val="PG_Sequential_Compare17"/>
      <sheetName val="PG_Implied_Month_3_$17"/>
      <sheetName val="PG_Implied_Month_3_%_of_Flash17"/>
      <sheetName val="CF_ASPIRE_Comp_by_PC17"/>
      <sheetName val="CF_yoy_Comp_by_PC17"/>
      <sheetName val="CF_Seq_Comp_by_PC17"/>
      <sheetName val="CF_Implied_M3_by_PC_$17"/>
      <sheetName val="CF_Implied_M3_by_PC_%_Flash17"/>
      <sheetName val="PG_ASPIRE_Comp_by_PC17"/>
      <sheetName val="PG_yoy_Comp_by_PC17"/>
      <sheetName val="PG_Seq_Comp_by_PC17"/>
      <sheetName val="PG_Implied_M3_by_PC_$17"/>
      <sheetName val="PG_Implied_M3_by_PC_%_Flash17"/>
      <sheetName val="Comet_ASPIRE17"/>
      <sheetName val="Comet_yoy17"/>
      <sheetName val="Comet_Sequential17"/>
      <sheetName val="Comet_Implied_M3_(QTD)17"/>
      <sheetName val="Month_117"/>
      <sheetName val="Month_217"/>
      <sheetName val="Extr__Gain_Table17"/>
      <sheetName val="HP_yoy_GAAP17"/>
      <sheetName val="Raw_materials17"/>
      <sheetName val="Total_Financials17"/>
      <sheetName val="FY01_Actuals17"/>
      <sheetName val="FY00_Restated17"/>
      <sheetName val="FY01_Quota17"/>
      <sheetName val="Safety___P_A15"/>
      <sheetName val="Top_Lvl__Logic15"/>
      <sheetName val="Board_Slide_16"/>
      <sheetName val="Flash_Export_Only16"/>
      <sheetName val="Navigation_&amp;_Assumptions16"/>
      <sheetName val="Flash_Template16"/>
      <sheetName val="CF_Summary16"/>
      <sheetName val="PG_Summary16"/>
      <sheetName val="HPCO__GAAP16"/>
      <sheetName val="HPCO__Pro_Forma16"/>
      <sheetName val="Monthly_Trend16"/>
      <sheetName val="Monthly_OpEx_Detail16"/>
      <sheetName val="CF_ASPIRE_compare16"/>
      <sheetName val="CF_yoy_Compare16"/>
      <sheetName val="CF_Sequential_Compare16"/>
      <sheetName val="CF_Implied_Month_3_$16"/>
      <sheetName val="CF_Implied_Month_3_%_of_Flash16"/>
      <sheetName val="PG_ASPIRE_Compare16"/>
      <sheetName val="PG_yoy_Compare16"/>
      <sheetName val="PG_Sequential_Compare16"/>
      <sheetName val="PG_Implied_Month_3_$16"/>
      <sheetName val="PG_Implied_Month_3_%_of_Flash16"/>
      <sheetName val="CF_ASPIRE_Comp_by_PC16"/>
      <sheetName val="CF_yoy_Comp_by_PC16"/>
      <sheetName val="CF_Seq_Comp_by_PC16"/>
      <sheetName val="CF_Implied_M3_by_PC_$16"/>
      <sheetName val="CF_Implied_M3_by_PC_%_Flash16"/>
      <sheetName val="PG_ASPIRE_Comp_by_PC16"/>
      <sheetName val="PG_yoy_Comp_by_PC16"/>
      <sheetName val="PG_Seq_Comp_by_PC16"/>
      <sheetName val="PG_Implied_M3_by_PC_$16"/>
      <sheetName val="PG_Implied_M3_by_PC_%_Flash16"/>
      <sheetName val="Comet_ASPIRE16"/>
      <sheetName val="Comet_yoy16"/>
      <sheetName val="Comet_Sequential16"/>
      <sheetName val="Comet_Implied_M3_(QTD)16"/>
      <sheetName val="Month_116"/>
      <sheetName val="Month_216"/>
      <sheetName val="Extr__Gain_Table16"/>
      <sheetName val="HP_yoy_GAAP16"/>
      <sheetName val="Raw_materials16"/>
      <sheetName val="Total_Financials16"/>
      <sheetName val="FY01_Actuals16"/>
      <sheetName val="FY00_Restated16"/>
      <sheetName val="FY01_Quota16"/>
      <sheetName val="Safety___P_A14"/>
      <sheetName val="Top_Lvl__Logic14"/>
      <sheetName val="Board_Slide_18"/>
      <sheetName val="Flash_Export_Only18"/>
      <sheetName val="Navigation_&amp;_Assumptions18"/>
      <sheetName val="Flash_Template18"/>
      <sheetName val="CF_Summary18"/>
      <sheetName val="PG_Summary18"/>
      <sheetName val="HPCO__GAAP18"/>
      <sheetName val="HPCO__Pro_Forma18"/>
      <sheetName val="Monthly_Trend18"/>
      <sheetName val="Monthly_OpEx_Detail18"/>
      <sheetName val="CF_ASPIRE_compare18"/>
      <sheetName val="CF_yoy_Compare18"/>
      <sheetName val="CF_Sequential_Compare18"/>
      <sheetName val="CF_Implied_Month_3_$18"/>
      <sheetName val="CF_Implied_Month_3_%_of_Flash18"/>
      <sheetName val="PG_ASPIRE_Compare18"/>
      <sheetName val="PG_yoy_Compare18"/>
      <sheetName val="PG_Sequential_Compare18"/>
      <sheetName val="PG_Implied_Month_3_$18"/>
      <sheetName val="PG_Implied_Month_3_%_of_Flash18"/>
      <sheetName val="CF_ASPIRE_Comp_by_PC18"/>
      <sheetName val="CF_yoy_Comp_by_PC18"/>
      <sheetName val="CF_Seq_Comp_by_PC18"/>
      <sheetName val="CF_Implied_M3_by_PC_$18"/>
      <sheetName val="CF_Implied_M3_by_PC_%_Flash18"/>
      <sheetName val="PG_ASPIRE_Comp_by_PC18"/>
      <sheetName val="PG_yoy_Comp_by_PC18"/>
      <sheetName val="PG_Seq_Comp_by_PC18"/>
      <sheetName val="PG_Implied_M3_by_PC_$18"/>
      <sheetName val="PG_Implied_M3_by_PC_%_Flash18"/>
      <sheetName val="Comet_ASPIRE18"/>
      <sheetName val="Comet_yoy18"/>
      <sheetName val="Comet_Sequential18"/>
      <sheetName val="Comet_Implied_M3_(QTD)18"/>
      <sheetName val="Month_118"/>
      <sheetName val="Month_218"/>
      <sheetName val="Extr__Gain_Table18"/>
      <sheetName val="HP_yoy_GAAP18"/>
      <sheetName val="Raw_materials18"/>
      <sheetName val="Total_Financials18"/>
      <sheetName val="FY01_Actuals18"/>
      <sheetName val="FY00_Restated18"/>
      <sheetName val="FY01_Quota18"/>
      <sheetName val="Safety___P_A16"/>
      <sheetName val="Top_Lvl__Logic16"/>
      <sheetName val="Board_Slide_19"/>
      <sheetName val="Flash_Export_Only19"/>
      <sheetName val="Navigation_&amp;_Assumptions19"/>
      <sheetName val="Flash_Template19"/>
      <sheetName val="CF_Summary19"/>
      <sheetName val="PG_Summary19"/>
      <sheetName val="HPCO__GAAP19"/>
      <sheetName val="HPCO__Pro_Forma19"/>
      <sheetName val="Monthly_Trend19"/>
      <sheetName val="Monthly_OpEx_Detail19"/>
      <sheetName val="CF_ASPIRE_compare19"/>
      <sheetName val="CF_yoy_Compare19"/>
      <sheetName val="CF_Sequential_Compare19"/>
      <sheetName val="CF_Implied_Month_3_$19"/>
      <sheetName val="CF_Implied_Month_3_%_of_Flash19"/>
      <sheetName val="PG_ASPIRE_Compare19"/>
      <sheetName val="PG_yoy_Compare19"/>
      <sheetName val="PG_Sequential_Compare19"/>
      <sheetName val="PG_Implied_Month_3_$19"/>
      <sheetName val="PG_Implied_Month_3_%_of_Flash19"/>
      <sheetName val="CF_ASPIRE_Comp_by_PC19"/>
      <sheetName val="CF_yoy_Comp_by_PC19"/>
      <sheetName val="CF_Seq_Comp_by_PC19"/>
      <sheetName val="CF_Implied_M3_by_PC_$19"/>
      <sheetName val="CF_Implied_M3_by_PC_%_Flash19"/>
      <sheetName val="PG_ASPIRE_Comp_by_PC19"/>
      <sheetName val="PG_yoy_Comp_by_PC19"/>
      <sheetName val="PG_Seq_Comp_by_PC19"/>
      <sheetName val="PG_Implied_M3_by_PC_$19"/>
      <sheetName val="PG_Implied_M3_by_PC_%_Flash19"/>
      <sheetName val="Comet_ASPIRE19"/>
      <sheetName val="Comet_yoy19"/>
      <sheetName val="Comet_Sequential19"/>
      <sheetName val="Comet_Implied_M3_(QTD)19"/>
      <sheetName val="Month_119"/>
      <sheetName val="Month_219"/>
      <sheetName val="Extr__Gain_Table19"/>
      <sheetName val="HP_yoy_GAAP19"/>
      <sheetName val="Raw_materials19"/>
      <sheetName val="Total_Financials19"/>
      <sheetName val="FY01_Actuals19"/>
      <sheetName val="FY00_Restated19"/>
      <sheetName val="FY01_Quota19"/>
      <sheetName val="Safety___P_A17"/>
      <sheetName val="Top_Lvl__Logic17"/>
      <sheetName val="Safety___P_A18"/>
      <sheetName val="Top_Lvl__Logic18"/>
      <sheetName val="Board_Slide_21"/>
      <sheetName val="Flash_Export_Only21"/>
      <sheetName val="Navigation_&amp;_Assumptions21"/>
      <sheetName val="Flash_Template21"/>
      <sheetName val="CF_Summary21"/>
      <sheetName val="PG_Summary21"/>
      <sheetName val="HPCO__GAAP21"/>
      <sheetName val="HPCO__Pro_Forma21"/>
      <sheetName val="Monthly_Trend21"/>
      <sheetName val="Monthly_OpEx_Detail21"/>
      <sheetName val="CF_ASPIRE_compare21"/>
      <sheetName val="CF_yoy_Compare21"/>
      <sheetName val="CF_Sequential_Compare21"/>
      <sheetName val="CF_Implied_Month_3_$21"/>
      <sheetName val="CF_Implied_Month_3_%_of_Flash21"/>
      <sheetName val="PG_ASPIRE_Compare21"/>
      <sheetName val="PG_yoy_Compare21"/>
      <sheetName val="PG_Sequential_Compare21"/>
      <sheetName val="PG_Implied_Month_3_$21"/>
      <sheetName val="PG_Implied_Month_3_%_of_Flash21"/>
      <sheetName val="CF_ASPIRE_Comp_by_PC21"/>
      <sheetName val="CF_yoy_Comp_by_PC21"/>
      <sheetName val="CF_Seq_Comp_by_PC21"/>
      <sheetName val="CF_Implied_M3_by_PC_$21"/>
      <sheetName val="CF_Implied_M3_by_PC_%_Flash21"/>
      <sheetName val="PG_ASPIRE_Comp_by_PC21"/>
      <sheetName val="PG_yoy_Comp_by_PC21"/>
      <sheetName val="PG_Seq_Comp_by_PC21"/>
      <sheetName val="PG_Implied_M3_by_PC_$21"/>
      <sheetName val="PG_Implied_M3_by_PC_%_Flash21"/>
      <sheetName val="Comet_ASPIRE21"/>
      <sheetName val="Comet_yoy21"/>
      <sheetName val="Comet_Sequential21"/>
      <sheetName val="Comet_Implied_M3_(QTD)21"/>
      <sheetName val="Month_121"/>
      <sheetName val="Month_221"/>
      <sheetName val="Extr__Gain_Table21"/>
      <sheetName val="HP_yoy_GAAP21"/>
      <sheetName val="Raw_materials21"/>
      <sheetName val="Total_Financials21"/>
      <sheetName val="FY01_Actuals21"/>
      <sheetName val="FY00_Restated21"/>
      <sheetName val="FY01_Quota21"/>
      <sheetName val="Safety___P_A19"/>
      <sheetName val="Top_Lvl__Logic19"/>
      <sheetName val="Board_Slide_22"/>
      <sheetName val="Flash_Export_Only22"/>
      <sheetName val="Navigation_&amp;_Assumptions22"/>
      <sheetName val="Flash_Template22"/>
      <sheetName val="CF_Summary22"/>
      <sheetName val="PG_Summary22"/>
      <sheetName val="HPCO__GAAP22"/>
      <sheetName val="HPCO__Pro_Forma22"/>
      <sheetName val="Monthly_Trend22"/>
      <sheetName val="Monthly_OpEx_Detail22"/>
      <sheetName val="CF_ASPIRE_compare22"/>
      <sheetName val="CF_yoy_Compare22"/>
      <sheetName val="CF_Sequential_Compare22"/>
      <sheetName val="CF_Implied_Month_3_$22"/>
      <sheetName val="CF_Implied_Month_3_%_of_Flash22"/>
      <sheetName val="PG_ASPIRE_Compare22"/>
      <sheetName val="PG_yoy_Compare22"/>
      <sheetName val="PG_Sequential_Compare22"/>
      <sheetName val="PG_Implied_Month_3_$22"/>
      <sheetName val="PG_Implied_Month_3_%_of_Flash22"/>
      <sheetName val="CF_ASPIRE_Comp_by_PC22"/>
      <sheetName val="CF_yoy_Comp_by_PC22"/>
      <sheetName val="CF_Seq_Comp_by_PC22"/>
      <sheetName val="CF_Implied_M3_by_PC_$22"/>
      <sheetName val="CF_Implied_M3_by_PC_%_Flash22"/>
      <sheetName val="PG_ASPIRE_Comp_by_PC22"/>
      <sheetName val="PG_yoy_Comp_by_PC22"/>
      <sheetName val="PG_Seq_Comp_by_PC22"/>
      <sheetName val="PG_Implied_M3_by_PC_$22"/>
      <sheetName val="PG_Implied_M3_by_PC_%_Flash22"/>
      <sheetName val="Comet_ASPIRE22"/>
      <sheetName val="Comet_yoy22"/>
      <sheetName val="Comet_Sequential22"/>
      <sheetName val="Comet_Implied_M3_(QTD)22"/>
      <sheetName val="Month_122"/>
      <sheetName val="Month_222"/>
      <sheetName val="Extr__Gain_Table22"/>
      <sheetName val="HP_yoy_GAAP22"/>
      <sheetName val="Raw_materials22"/>
      <sheetName val="Total_Financials22"/>
      <sheetName val="FY01_Actuals22"/>
      <sheetName val="FY00_Restated22"/>
      <sheetName val="FY01_Quota22"/>
      <sheetName val="Safety___P_A20"/>
      <sheetName val="Top_Lvl__Logic20"/>
      <sheetName val="Board_Slide_26"/>
      <sheetName val="Flash_Export_Only26"/>
      <sheetName val="Navigation_&amp;_Assumptions26"/>
      <sheetName val="Flash_Template26"/>
      <sheetName val="CF_Summary26"/>
      <sheetName val="PG_Summary26"/>
      <sheetName val="HPCO__GAAP26"/>
      <sheetName val="HPCO__Pro_Forma26"/>
      <sheetName val="Monthly_Trend26"/>
      <sheetName val="Monthly_OpEx_Detail26"/>
      <sheetName val="CF_ASPIRE_compare26"/>
      <sheetName val="CF_yoy_Compare26"/>
      <sheetName val="CF_Sequential_Compare26"/>
      <sheetName val="CF_Implied_Month_3_$26"/>
      <sheetName val="CF_Implied_Month_3_%_of_Flash26"/>
      <sheetName val="PG_ASPIRE_Compare26"/>
      <sheetName val="PG_yoy_Compare26"/>
      <sheetName val="PG_Sequential_Compare26"/>
      <sheetName val="PG_Implied_Month_3_$26"/>
      <sheetName val="PG_Implied_Month_3_%_of_Flash26"/>
      <sheetName val="CF_ASPIRE_Comp_by_PC26"/>
      <sheetName val="CF_yoy_Comp_by_PC26"/>
      <sheetName val="CF_Seq_Comp_by_PC26"/>
      <sheetName val="CF_Implied_M3_by_PC_$26"/>
      <sheetName val="CF_Implied_M3_by_PC_%_Flash26"/>
      <sheetName val="PG_ASPIRE_Comp_by_PC26"/>
      <sheetName val="PG_yoy_Comp_by_PC26"/>
      <sheetName val="PG_Seq_Comp_by_PC26"/>
      <sheetName val="PG_Implied_M3_by_PC_$26"/>
      <sheetName val="PG_Implied_M3_by_PC_%_Flash26"/>
      <sheetName val="Comet_ASPIRE26"/>
      <sheetName val="Comet_yoy26"/>
      <sheetName val="Comet_Sequential26"/>
      <sheetName val="Comet_Implied_M3_(QTD)26"/>
      <sheetName val="Month_126"/>
      <sheetName val="Month_226"/>
      <sheetName val="Extr__Gain_Table26"/>
      <sheetName val="HP_yoy_GAAP26"/>
      <sheetName val="Raw_materials26"/>
      <sheetName val="Total_Financials26"/>
      <sheetName val="FY01_Actuals26"/>
      <sheetName val="FY00_Restated26"/>
      <sheetName val="FY01_Quota26"/>
      <sheetName val="Safety___P_A24"/>
      <sheetName val="Top_Lvl__Logic24"/>
      <sheetName val="Board_Slide_24"/>
      <sheetName val="Flash_Export_Only24"/>
      <sheetName val="Navigation_&amp;_Assumptions24"/>
      <sheetName val="Flash_Template24"/>
      <sheetName val="CF_Summary24"/>
      <sheetName val="PG_Summary24"/>
      <sheetName val="HPCO__GAAP24"/>
      <sheetName val="HPCO__Pro_Forma24"/>
      <sheetName val="Monthly_Trend24"/>
      <sheetName val="Monthly_OpEx_Detail24"/>
      <sheetName val="CF_ASPIRE_compare24"/>
      <sheetName val="CF_yoy_Compare24"/>
      <sheetName val="CF_Sequential_Compare24"/>
      <sheetName val="CF_Implied_Month_3_$24"/>
      <sheetName val="CF_Implied_Month_3_%_of_Flash24"/>
      <sheetName val="PG_ASPIRE_Compare24"/>
      <sheetName val="PG_yoy_Compare24"/>
      <sheetName val="PG_Sequential_Compare24"/>
      <sheetName val="PG_Implied_Month_3_$24"/>
      <sheetName val="PG_Implied_Month_3_%_of_Flash24"/>
      <sheetName val="CF_ASPIRE_Comp_by_PC24"/>
      <sheetName val="CF_yoy_Comp_by_PC24"/>
      <sheetName val="CF_Seq_Comp_by_PC24"/>
      <sheetName val="CF_Implied_M3_by_PC_$24"/>
      <sheetName val="CF_Implied_M3_by_PC_%_Flash24"/>
      <sheetName val="PG_ASPIRE_Comp_by_PC24"/>
      <sheetName val="PG_yoy_Comp_by_PC24"/>
      <sheetName val="PG_Seq_Comp_by_PC24"/>
      <sheetName val="PG_Implied_M3_by_PC_$24"/>
      <sheetName val="PG_Implied_M3_by_PC_%_Flash24"/>
      <sheetName val="Comet_ASPIRE24"/>
      <sheetName val="Comet_yoy24"/>
      <sheetName val="Comet_Sequential24"/>
      <sheetName val="Comet_Implied_M3_(QTD)24"/>
      <sheetName val="Month_124"/>
      <sheetName val="Month_224"/>
      <sheetName val="Extr__Gain_Table24"/>
      <sheetName val="HP_yoy_GAAP24"/>
      <sheetName val="Raw_materials24"/>
      <sheetName val="Total_Financials24"/>
      <sheetName val="FY01_Actuals24"/>
      <sheetName val="FY00_Restated24"/>
      <sheetName val="FY01_Quota24"/>
      <sheetName val="Safety___P_A22"/>
      <sheetName val="Top_Lvl__Logic22"/>
      <sheetName val="Board_Slide_23"/>
      <sheetName val="Flash_Export_Only23"/>
      <sheetName val="Navigation_&amp;_Assumptions23"/>
      <sheetName val="Flash_Template23"/>
      <sheetName val="CF_Summary23"/>
      <sheetName val="PG_Summary23"/>
      <sheetName val="HPCO__GAAP23"/>
      <sheetName val="HPCO__Pro_Forma23"/>
      <sheetName val="Monthly_Trend23"/>
      <sheetName val="Monthly_OpEx_Detail23"/>
      <sheetName val="CF_ASPIRE_compare23"/>
      <sheetName val="CF_yoy_Compare23"/>
      <sheetName val="CF_Sequential_Compare23"/>
      <sheetName val="CF_Implied_Month_3_$23"/>
      <sheetName val="CF_Implied_Month_3_%_of_Flash23"/>
      <sheetName val="PG_ASPIRE_Compare23"/>
      <sheetName val="PG_yoy_Compare23"/>
      <sheetName val="PG_Sequential_Compare23"/>
      <sheetName val="PG_Implied_Month_3_$23"/>
      <sheetName val="PG_Implied_Month_3_%_of_Flash23"/>
      <sheetName val="CF_ASPIRE_Comp_by_PC23"/>
      <sheetName val="CF_yoy_Comp_by_PC23"/>
      <sheetName val="CF_Seq_Comp_by_PC23"/>
      <sheetName val="CF_Implied_M3_by_PC_$23"/>
      <sheetName val="CF_Implied_M3_by_PC_%_Flash23"/>
      <sheetName val="PG_ASPIRE_Comp_by_PC23"/>
      <sheetName val="PG_yoy_Comp_by_PC23"/>
      <sheetName val="PG_Seq_Comp_by_PC23"/>
      <sheetName val="PG_Implied_M3_by_PC_$23"/>
      <sheetName val="PG_Implied_M3_by_PC_%_Flash23"/>
      <sheetName val="Comet_ASPIRE23"/>
      <sheetName val="Comet_yoy23"/>
      <sheetName val="Comet_Sequential23"/>
      <sheetName val="Comet_Implied_M3_(QTD)23"/>
      <sheetName val="Month_123"/>
      <sheetName val="Month_223"/>
      <sheetName val="Extr__Gain_Table23"/>
      <sheetName val="HP_yoy_GAAP23"/>
      <sheetName val="Raw_materials23"/>
      <sheetName val="Total_Financials23"/>
      <sheetName val="FY01_Actuals23"/>
      <sheetName val="FY00_Restated23"/>
      <sheetName val="FY01_Quota23"/>
      <sheetName val="Safety___P_A21"/>
      <sheetName val="Top_Lvl__Logic21"/>
      <sheetName val="Board_Slide_25"/>
      <sheetName val="Flash_Export_Only25"/>
      <sheetName val="Navigation_&amp;_Assumptions25"/>
      <sheetName val="Flash_Template25"/>
      <sheetName val="CF_Summary25"/>
      <sheetName val="PG_Summary25"/>
      <sheetName val="HPCO__GAAP25"/>
      <sheetName val="HPCO__Pro_Forma25"/>
      <sheetName val="Monthly_Trend25"/>
      <sheetName val="Monthly_OpEx_Detail25"/>
      <sheetName val="CF_ASPIRE_compare25"/>
      <sheetName val="CF_yoy_Compare25"/>
      <sheetName val="CF_Sequential_Compare25"/>
      <sheetName val="CF_Implied_Month_3_$25"/>
      <sheetName val="CF_Implied_Month_3_%_of_Flash25"/>
      <sheetName val="PG_ASPIRE_Compare25"/>
      <sheetName val="PG_yoy_Compare25"/>
      <sheetName val="PG_Sequential_Compare25"/>
      <sheetName val="PG_Implied_Month_3_$25"/>
      <sheetName val="PG_Implied_Month_3_%_of_Flash25"/>
      <sheetName val="CF_ASPIRE_Comp_by_PC25"/>
      <sheetName val="CF_yoy_Comp_by_PC25"/>
      <sheetName val="CF_Seq_Comp_by_PC25"/>
      <sheetName val="CF_Implied_M3_by_PC_$25"/>
      <sheetName val="CF_Implied_M3_by_PC_%_Flash25"/>
      <sheetName val="PG_ASPIRE_Comp_by_PC25"/>
      <sheetName val="PG_yoy_Comp_by_PC25"/>
      <sheetName val="PG_Seq_Comp_by_PC25"/>
      <sheetName val="PG_Implied_M3_by_PC_$25"/>
      <sheetName val="PG_Implied_M3_by_PC_%_Flash25"/>
      <sheetName val="Comet_ASPIRE25"/>
      <sheetName val="Comet_yoy25"/>
      <sheetName val="Comet_Sequential25"/>
      <sheetName val="Comet_Implied_M3_(QTD)25"/>
      <sheetName val="Month_125"/>
      <sheetName val="Month_225"/>
      <sheetName val="Extr__Gain_Table25"/>
      <sheetName val="HP_yoy_GAAP25"/>
      <sheetName val="Raw_materials25"/>
      <sheetName val="Total_Financials25"/>
      <sheetName val="FY01_Actuals25"/>
      <sheetName val="FY00_Restated25"/>
      <sheetName val="FY01_Quota25"/>
      <sheetName val="Safety___P_A23"/>
      <sheetName val="Top_Lvl__Logic23"/>
      <sheetName val="Board_Slide_29"/>
      <sheetName val="Flash_Export_Only29"/>
      <sheetName val="Navigation_&amp;_Assumptions29"/>
      <sheetName val="Flash_Template29"/>
      <sheetName val="CF_Summary29"/>
      <sheetName val="PG_Summary29"/>
      <sheetName val="HPCO__GAAP29"/>
      <sheetName val="HPCO__Pro_Forma29"/>
      <sheetName val="Monthly_Trend29"/>
      <sheetName val="Monthly_OpEx_Detail29"/>
      <sheetName val="CF_ASPIRE_compare29"/>
      <sheetName val="CF_yoy_Compare29"/>
      <sheetName val="CF_Sequential_Compare29"/>
      <sheetName val="CF_Implied_Month_3_$29"/>
      <sheetName val="CF_Implied_Month_3_%_of_Flash29"/>
      <sheetName val="PG_ASPIRE_Compare29"/>
      <sheetName val="PG_yoy_Compare29"/>
      <sheetName val="PG_Sequential_Compare29"/>
      <sheetName val="PG_Implied_Month_3_$29"/>
      <sheetName val="PG_Implied_Month_3_%_of_Flash29"/>
      <sheetName val="CF_ASPIRE_Comp_by_PC29"/>
      <sheetName val="CF_yoy_Comp_by_PC29"/>
      <sheetName val="CF_Seq_Comp_by_PC29"/>
      <sheetName val="CF_Implied_M3_by_PC_$29"/>
      <sheetName val="CF_Implied_M3_by_PC_%_Flash29"/>
      <sheetName val="PG_ASPIRE_Comp_by_PC29"/>
      <sheetName val="PG_yoy_Comp_by_PC29"/>
      <sheetName val="PG_Seq_Comp_by_PC29"/>
      <sheetName val="PG_Implied_M3_by_PC_$29"/>
      <sheetName val="PG_Implied_M3_by_PC_%_Flash29"/>
      <sheetName val="Comet_ASPIRE29"/>
      <sheetName val="Comet_yoy29"/>
      <sheetName val="Comet_Sequential29"/>
      <sheetName val="Comet_Implied_M3_(QTD)29"/>
      <sheetName val="Month_129"/>
      <sheetName val="Month_229"/>
      <sheetName val="Extr__Gain_Table29"/>
      <sheetName val="HP_yoy_GAAP29"/>
      <sheetName val="Raw_materials29"/>
      <sheetName val="Total_Financials29"/>
      <sheetName val="FY01_Actuals29"/>
      <sheetName val="FY00_Restated29"/>
      <sheetName val="FY01_Quota29"/>
      <sheetName val="Safety___P_A27"/>
      <sheetName val="Top_Lvl__Logic27"/>
      <sheetName val="Board_Slide_27"/>
      <sheetName val="Flash_Export_Only27"/>
      <sheetName val="Navigation_&amp;_Assumptions27"/>
      <sheetName val="Flash_Template27"/>
      <sheetName val="CF_Summary27"/>
      <sheetName val="PG_Summary27"/>
      <sheetName val="HPCO__GAAP27"/>
      <sheetName val="HPCO__Pro_Forma27"/>
      <sheetName val="Monthly_Trend27"/>
      <sheetName val="Monthly_OpEx_Detail27"/>
      <sheetName val="CF_ASPIRE_compare27"/>
      <sheetName val="CF_yoy_Compare27"/>
      <sheetName val="CF_Sequential_Compare27"/>
      <sheetName val="CF_Implied_Month_3_$27"/>
      <sheetName val="CF_Implied_Month_3_%_of_Flash27"/>
      <sheetName val="PG_ASPIRE_Compare27"/>
      <sheetName val="PG_yoy_Compare27"/>
      <sheetName val="PG_Sequential_Compare27"/>
      <sheetName val="PG_Implied_Month_3_$27"/>
      <sheetName val="PG_Implied_Month_3_%_of_Flash27"/>
      <sheetName val="CF_ASPIRE_Comp_by_PC27"/>
      <sheetName val="CF_yoy_Comp_by_PC27"/>
      <sheetName val="CF_Seq_Comp_by_PC27"/>
      <sheetName val="CF_Implied_M3_by_PC_$27"/>
      <sheetName val="CF_Implied_M3_by_PC_%_Flash27"/>
      <sheetName val="PG_ASPIRE_Comp_by_PC27"/>
      <sheetName val="PG_yoy_Comp_by_PC27"/>
      <sheetName val="PG_Seq_Comp_by_PC27"/>
      <sheetName val="PG_Implied_M3_by_PC_$27"/>
      <sheetName val="PG_Implied_M3_by_PC_%_Flash27"/>
      <sheetName val="Comet_ASPIRE27"/>
      <sheetName val="Comet_yoy27"/>
      <sheetName val="Comet_Sequential27"/>
      <sheetName val="Comet_Implied_M3_(QTD)27"/>
      <sheetName val="Month_127"/>
      <sheetName val="Month_227"/>
      <sheetName val="Extr__Gain_Table27"/>
      <sheetName val="HP_yoy_GAAP27"/>
      <sheetName val="Raw_materials27"/>
      <sheetName val="Total_Financials27"/>
      <sheetName val="FY01_Actuals27"/>
      <sheetName val="FY00_Restated27"/>
      <sheetName val="FY01_Quota27"/>
      <sheetName val="Safety___P_A25"/>
      <sheetName val="Top_Lvl__Logic25"/>
      <sheetName val="Board_Slide_28"/>
      <sheetName val="Flash_Export_Only28"/>
      <sheetName val="Navigation_&amp;_Assumptions28"/>
      <sheetName val="Flash_Template28"/>
      <sheetName val="CF_Summary28"/>
      <sheetName val="PG_Summary28"/>
      <sheetName val="HPCO__GAAP28"/>
      <sheetName val="HPCO__Pro_Forma28"/>
      <sheetName val="Monthly_Trend28"/>
      <sheetName val="Monthly_OpEx_Detail28"/>
      <sheetName val="CF_ASPIRE_compare28"/>
      <sheetName val="CF_yoy_Compare28"/>
      <sheetName val="CF_Sequential_Compare28"/>
      <sheetName val="CF_Implied_Month_3_$28"/>
      <sheetName val="CF_Implied_Month_3_%_of_Flash28"/>
      <sheetName val="PG_ASPIRE_Compare28"/>
      <sheetName val="PG_yoy_Compare28"/>
      <sheetName val="PG_Sequential_Compare28"/>
      <sheetName val="PG_Implied_Month_3_$28"/>
      <sheetName val="PG_Implied_Month_3_%_of_Flash28"/>
      <sheetName val="CF_ASPIRE_Comp_by_PC28"/>
      <sheetName val="CF_yoy_Comp_by_PC28"/>
      <sheetName val="CF_Seq_Comp_by_PC28"/>
      <sheetName val="CF_Implied_M3_by_PC_$28"/>
      <sheetName val="CF_Implied_M3_by_PC_%_Flash28"/>
      <sheetName val="PG_ASPIRE_Comp_by_PC28"/>
      <sheetName val="PG_yoy_Comp_by_PC28"/>
      <sheetName val="PG_Seq_Comp_by_PC28"/>
      <sheetName val="PG_Implied_M3_by_PC_$28"/>
      <sheetName val="PG_Implied_M3_by_PC_%_Flash28"/>
      <sheetName val="Comet_ASPIRE28"/>
      <sheetName val="Comet_yoy28"/>
      <sheetName val="Comet_Sequential28"/>
      <sheetName val="Comet_Implied_M3_(QTD)28"/>
      <sheetName val="Month_128"/>
      <sheetName val="Month_228"/>
      <sheetName val="Extr__Gain_Table28"/>
      <sheetName val="HP_yoy_GAAP28"/>
      <sheetName val="Raw_materials28"/>
      <sheetName val="Total_Financials28"/>
      <sheetName val="FY01_Actuals28"/>
      <sheetName val="FY00_Restated28"/>
      <sheetName val="FY01_Quota28"/>
      <sheetName val="Safety___P_A26"/>
      <sheetName val="Top_Lvl__Logic26"/>
      <sheetName val="Board_Slide_33"/>
      <sheetName val="Flash_Export_Only33"/>
      <sheetName val="Navigation_&amp;_Assumptions33"/>
      <sheetName val="Flash_Template33"/>
      <sheetName val="CF_Summary33"/>
      <sheetName val="PG_Summary33"/>
      <sheetName val="HPCO__GAAP33"/>
      <sheetName val="HPCO__Pro_Forma33"/>
      <sheetName val="Monthly_Trend33"/>
      <sheetName val="Monthly_OpEx_Detail33"/>
      <sheetName val="CF_ASPIRE_compare33"/>
      <sheetName val="CF_yoy_Compare33"/>
      <sheetName val="CF_Sequential_Compare33"/>
      <sheetName val="CF_Implied_Month_3_$33"/>
      <sheetName val="CF_Implied_Month_3_%_of_Flash33"/>
      <sheetName val="PG_ASPIRE_Compare33"/>
      <sheetName val="PG_yoy_Compare33"/>
      <sheetName val="PG_Sequential_Compare33"/>
      <sheetName val="PG_Implied_Month_3_$33"/>
      <sheetName val="PG_Implied_Month_3_%_of_Flash33"/>
      <sheetName val="CF_ASPIRE_Comp_by_PC33"/>
      <sheetName val="CF_yoy_Comp_by_PC33"/>
      <sheetName val="CF_Seq_Comp_by_PC33"/>
      <sheetName val="CF_Implied_M3_by_PC_$33"/>
      <sheetName val="CF_Implied_M3_by_PC_%_Flash33"/>
      <sheetName val="PG_ASPIRE_Comp_by_PC33"/>
      <sheetName val="PG_yoy_Comp_by_PC33"/>
      <sheetName val="PG_Seq_Comp_by_PC33"/>
      <sheetName val="PG_Implied_M3_by_PC_$33"/>
      <sheetName val="PG_Implied_M3_by_PC_%_Flash33"/>
      <sheetName val="Comet_ASPIRE33"/>
      <sheetName val="Comet_yoy33"/>
      <sheetName val="Comet_Sequential33"/>
      <sheetName val="Comet_Implied_M3_(QTD)33"/>
      <sheetName val="Month_133"/>
      <sheetName val="Month_233"/>
      <sheetName val="Extr__Gain_Table33"/>
      <sheetName val="HP_yoy_GAAP33"/>
      <sheetName val="Raw_materials33"/>
      <sheetName val="Safety___P_A31"/>
      <sheetName val="Top_Lvl__Logic31"/>
      <sheetName val="Total_Financials33"/>
      <sheetName val="FY01_Actuals33"/>
      <sheetName val="FY00_Restated33"/>
      <sheetName val="FY01_Quota33"/>
      <sheetName val="Cover_Page1"/>
      <sheetName val="Application_for_GM_Signature1"/>
      <sheetName val="Board_Slide_30"/>
      <sheetName val="Flash_Export_Only30"/>
      <sheetName val="Navigation_&amp;_Assumptions30"/>
      <sheetName val="Flash_Template30"/>
      <sheetName val="CF_Summary30"/>
      <sheetName val="PG_Summary30"/>
      <sheetName val="HPCO__GAAP30"/>
      <sheetName val="HPCO__Pro_Forma30"/>
      <sheetName val="Monthly_Trend30"/>
      <sheetName val="Monthly_OpEx_Detail30"/>
      <sheetName val="CF_ASPIRE_compare30"/>
      <sheetName val="CF_yoy_Compare30"/>
      <sheetName val="CF_Sequential_Compare30"/>
      <sheetName val="CF_Implied_Month_3_$30"/>
      <sheetName val="CF_Implied_Month_3_%_of_Flash30"/>
      <sheetName val="PG_ASPIRE_Compare30"/>
      <sheetName val="PG_yoy_Compare30"/>
      <sheetName val="PG_Sequential_Compare30"/>
      <sheetName val="PG_Implied_Month_3_$30"/>
      <sheetName val="PG_Implied_Month_3_%_of_Flash30"/>
      <sheetName val="CF_ASPIRE_Comp_by_PC30"/>
      <sheetName val="CF_yoy_Comp_by_PC30"/>
      <sheetName val="CF_Seq_Comp_by_PC30"/>
      <sheetName val="CF_Implied_M3_by_PC_$30"/>
      <sheetName val="CF_Implied_M3_by_PC_%_Flash30"/>
      <sheetName val="PG_ASPIRE_Comp_by_PC30"/>
      <sheetName val="PG_yoy_Comp_by_PC30"/>
      <sheetName val="PG_Seq_Comp_by_PC30"/>
      <sheetName val="PG_Implied_M3_by_PC_$30"/>
      <sheetName val="PG_Implied_M3_by_PC_%_Flash30"/>
      <sheetName val="Comet_ASPIRE30"/>
      <sheetName val="Comet_yoy30"/>
      <sheetName val="Comet_Sequential30"/>
      <sheetName val="Comet_Implied_M3_(QTD)30"/>
      <sheetName val="Month_130"/>
      <sheetName val="Month_230"/>
      <sheetName val="Extr__Gain_Table30"/>
      <sheetName val="HP_yoy_GAAP30"/>
      <sheetName val="Raw_materials30"/>
      <sheetName val="Total_Financials30"/>
      <sheetName val="FY01_Actuals30"/>
      <sheetName val="FY00_Restated30"/>
      <sheetName val="FY01_Quota30"/>
      <sheetName val="Safety___P_A28"/>
      <sheetName val="Top_Lvl__Logic28"/>
      <sheetName val="Board_Slide_31"/>
      <sheetName val="Flash_Export_Only31"/>
      <sheetName val="Navigation_&amp;_Assumptions31"/>
      <sheetName val="Flash_Template31"/>
      <sheetName val="CF_Summary31"/>
      <sheetName val="PG_Summary31"/>
      <sheetName val="HPCO__GAAP31"/>
      <sheetName val="HPCO__Pro_Forma31"/>
      <sheetName val="Monthly_Trend31"/>
      <sheetName val="Monthly_OpEx_Detail31"/>
      <sheetName val="CF_ASPIRE_compare31"/>
      <sheetName val="CF_yoy_Compare31"/>
      <sheetName val="CF_Sequential_Compare31"/>
      <sheetName val="CF_Implied_Month_3_$31"/>
      <sheetName val="CF_Implied_Month_3_%_of_Flash31"/>
      <sheetName val="PG_ASPIRE_Compare31"/>
      <sheetName val="PG_yoy_Compare31"/>
      <sheetName val="PG_Sequential_Compare31"/>
      <sheetName val="PG_Implied_Month_3_$31"/>
      <sheetName val="PG_Implied_Month_3_%_of_Flash31"/>
      <sheetName val="CF_ASPIRE_Comp_by_PC31"/>
      <sheetName val="CF_yoy_Comp_by_PC31"/>
      <sheetName val="CF_Seq_Comp_by_PC31"/>
      <sheetName val="CF_Implied_M3_by_PC_$31"/>
      <sheetName val="CF_Implied_M3_by_PC_%_Flash31"/>
      <sheetName val="PG_ASPIRE_Comp_by_PC31"/>
      <sheetName val="PG_yoy_Comp_by_PC31"/>
      <sheetName val="PG_Seq_Comp_by_PC31"/>
      <sheetName val="PG_Implied_M3_by_PC_$31"/>
      <sheetName val="PG_Implied_M3_by_PC_%_Flash31"/>
      <sheetName val="Comet_ASPIRE31"/>
      <sheetName val="Comet_yoy31"/>
      <sheetName val="Comet_Sequential31"/>
      <sheetName val="Comet_Implied_M3_(QTD)31"/>
      <sheetName val="Month_131"/>
      <sheetName val="Month_231"/>
      <sheetName val="Extr__Gain_Table31"/>
      <sheetName val="HP_yoy_GAAP31"/>
      <sheetName val="Raw_materials31"/>
      <sheetName val="Total_Financials31"/>
      <sheetName val="FY01_Actuals31"/>
      <sheetName val="FY00_Restated31"/>
      <sheetName val="FY01_Quota31"/>
      <sheetName val="Safety___P_A29"/>
      <sheetName val="Top_Lvl__Logic29"/>
      <sheetName val="Board_Slide_32"/>
      <sheetName val="Flash_Export_Only32"/>
      <sheetName val="Navigation_&amp;_Assumptions32"/>
      <sheetName val="Flash_Template32"/>
      <sheetName val="CF_Summary32"/>
      <sheetName val="PG_Summary32"/>
      <sheetName val="HPCO__GAAP32"/>
      <sheetName val="HPCO__Pro_Forma32"/>
      <sheetName val="Monthly_Trend32"/>
      <sheetName val="Monthly_OpEx_Detail32"/>
      <sheetName val="CF_ASPIRE_compare32"/>
      <sheetName val="CF_yoy_Compare32"/>
      <sheetName val="CF_Sequential_Compare32"/>
      <sheetName val="CF_Implied_Month_3_$32"/>
      <sheetName val="CF_Implied_Month_3_%_of_Flash32"/>
      <sheetName val="PG_ASPIRE_Compare32"/>
      <sheetName val="PG_yoy_Compare32"/>
      <sheetName val="PG_Sequential_Compare32"/>
      <sheetName val="PG_Implied_Month_3_$32"/>
      <sheetName val="PG_Implied_Month_3_%_of_Flash32"/>
      <sheetName val="CF_ASPIRE_Comp_by_PC32"/>
      <sheetName val="CF_yoy_Comp_by_PC32"/>
      <sheetName val="CF_Seq_Comp_by_PC32"/>
      <sheetName val="CF_Implied_M3_by_PC_$32"/>
      <sheetName val="CF_Implied_M3_by_PC_%_Flash32"/>
      <sheetName val="PG_ASPIRE_Comp_by_PC32"/>
      <sheetName val="PG_yoy_Comp_by_PC32"/>
      <sheetName val="PG_Seq_Comp_by_PC32"/>
      <sheetName val="PG_Implied_M3_by_PC_$32"/>
      <sheetName val="PG_Implied_M3_by_PC_%_Flash32"/>
      <sheetName val="Comet_ASPIRE32"/>
      <sheetName val="Comet_yoy32"/>
      <sheetName val="Comet_Sequential32"/>
      <sheetName val="Comet_Implied_M3_(QTD)32"/>
      <sheetName val="Month_132"/>
      <sheetName val="Month_232"/>
      <sheetName val="Extr__Gain_Table32"/>
      <sheetName val="HP_yoy_GAAP32"/>
      <sheetName val="Raw_materials32"/>
      <sheetName val="Total_Financials32"/>
      <sheetName val="FY01_Actuals32"/>
      <sheetName val="FY00_Restated32"/>
      <sheetName val="FY01_Quota32"/>
      <sheetName val="Safety___P_A30"/>
      <sheetName val="Top_Lvl__Logic30"/>
      <sheetName val="Cover_Page"/>
      <sheetName val="Application_for_GM_Signature"/>
      <sheetName val="Board_Slide_42"/>
      <sheetName val="Flash_Export_Only42"/>
      <sheetName val="Navigation_&amp;_Assumptions42"/>
      <sheetName val="Flash_Template42"/>
      <sheetName val="CF_Summary42"/>
      <sheetName val="PG_Summary42"/>
      <sheetName val="HPCO__GAAP42"/>
      <sheetName val="HPCO__Pro_Forma42"/>
      <sheetName val="Monthly_Trend42"/>
      <sheetName val="Monthly_OpEx_Detail42"/>
      <sheetName val="CF_ASPIRE_compare42"/>
      <sheetName val="CF_yoy_Compare42"/>
      <sheetName val="CF_Sequential_Compare42"/>
      <sheetName val="CF_Implied_Month_3_$42"/>
      <sheetName val="CF_Implied_Month_3_%_of_Flash42"/>
      <sheetName val="PG_ASPIRE_Compare42"/>
      <sheetName val="PG_yoy_Compare42"/>
      <sheetName val="PG_Sequential_Compare42"/>
      <sheetName val="PG_Implied_Month_3_$42"/>
      <sheetName val="PG_Implied_Month_3_%_of_Flash42"/>
      <sheetName val="CF_ASPIRE_Comp_by_PC42"/>
      <sheetName val="CF_yoy_Comp_by_PC42"/>
      <sheetName val="CF_Seq_Comp_by_PC42"/>
      <sheetName val="CF_Implied_M3_by_PC_$42"/>
      <sheetName val="CF_Implied_M3_by_PC_%_Flash42"/>
      <sheetName val="PG_ASPIRE_Comp_by_PC42"/>
      <sheetName val="PG_yoy_Comp_by_PC42"/>
      <sheetName val="PG_Seq_Comp_by_PC42"/>
      <sheetName val="PG_Implied_M3_by_PC_$42"/>
      <sheetName val="PG_Implied_M3_by_PC_%_Flash42"/>
      <sheetName val="Comet_ASPIRE42"/>
      <sheetName val="Comet_yoy42"/>
      <sheetName val="Comet_Sequential42"/>
      <sheetName val="Comet_Implied_M3_(QTD)42"/>
      <sheetName val="Month_142"/>
      <sheetName val="Month_242"/>
      <sheetName val="Extr__Gain_Table42"/>
      <sheetName val="HP_yoy_GAAP42"/>
      <sheetName val="Raw_materials42"/>
      <sheetName val="Safety___P_A40"/>
      <sheetName val="Top_Lvl__Logic40"/>
      <sheetName val="Total_Financials42"/>
      <sheetName val="FY01_Actuals42"/>
      <sheetName val="FY00_Restated42"/>
      <sheetName val="FY01_Quota42"/>
      <sheetName val="Cover_Page10"/>
      <sheetName val="Application_for_GM_Signature10"/>
      <sheetName val="Repayment_Summary2"/>
      <sheetName val="Board_Slide_36"/>
      <sheetName val="Flash_Export_Only36"/>
      <sheetName val="Navigation_&amp;_Assumptions36"/>
      <sheetName val="Flash_Template36"/>
      <sheetName val="CF_Summary36"/>
      <sheetName val="PG_Summary36"/>
      <sheetName val="HPCO__GAAP36"/>
      <sheetName val="HPCO__Pro_Forma36"/>
      <sheetName val="Monthly_Trend36"/>
      <sheetName val="Monthly_OpEx_Detail36"/>
      <sheetName val="CF_ASPIRE_compare36"/>
      <sheetName val="CF_yoy_Compare36"/>
      <sheetName val="CF_Sequential_Compare36"/>
      <sheetName val="CF_Implied_Month_3_$36"/>
      <sheetName val="CF_Implied_Month_3_%_of_Flash36"/>
      <sheetName val="PG_ASPIRE_Compare36"/>
      <sheetName val="PG_yoy_Compare36"/>
      <sheetName val="PG_Sequential_Compare36"/>
      <sheetName val="PG_Implied_Month_3_$36"/>
      <sheetName val="PG_Implied_Month_3_%_of_Flash36"/>
      <sheetName val="CF_ASPIRE_Comp_by_PC36"/>
      <sheetName val="CF_yoy_Comp_by_PC36"/>
      <sheetName val="CF_Seq_Comp_by_PC36"/>
      <sheetName val="CF_Implied_M3_by_PC_$36"/>
      <sheetName val="CF_Implied_M3_by_PC_%_Flash36"/>
      <sheetName val="PG_ASPIRE_Comp_by_PC36"/>
      <sheetName val="PG_yoy_Comp_by_PC36"/>
      <sheetName val="PG_Seq_Comp_by_PC36"/>
      <sheetName val="PG_Implied_M3_by_PC_$36"/>
      <sheetName val="PG_Implied_M3_by_PC_%_Flash36"/>
      <sheetName val="Comet_ASPIRE36"/>
      <sheetName val="Comet_yoy36"/>
      <sheetName val="Comet_Sequential36"/>
      <sheetName val="Comet_Implied_M3_(QTD)36"/>
      <sheetName val="Month_136"/>
      <sheetName val="Month_236"/>
      <sheetName val="Extr__Gain_Table36"/>
      <sheetName val="HP_yoy_GAAP36"/>
      <sheetName val="Raw_materials36"/>
      <sheetName val="Safety___P_A34"/>
      <sheetName val="Top_Lvl__Logic34"/>
      <sheetName val="Total_Financials36"/>
      <sheetName val="FY01_Actuals36"/>
      <sheetName val="FY00_Restated36"/>
      <sheetName val="FY01_Quota36"/>
      <sheetName val="Cover_Page4"/>
      <sheetName val="Application_for_GM_Signature4"/>
      <sheetName val="Board_Slide_34"/>
      <sheetName val="Flash_Export_Only34"/>
      <sheetName val="Navigation_&amp;_Assumptions34"/>
      <sheetName val="Flash_Template34"/>
      <sheetName val="CF_Summary34"/>
      <sheetName val="PG_Summary34"/>
      <sheetName val="HPCO__GAAP34"/>
      <sheetName val="HPCO__Pro_Forma34"/>
      <sheetName val="Monthly_Trend34"/>
      <sheetName val="Monthly_OpEx_Detail34"/>
      <sheetName val="CF_ASPIRE_compare34"/>
      <sheetName val="CF_yoy_Compare34"/>
      <sheetName val="CF_Sequential_Compare34"/>
      <sheetName val="CF_Implied_Month_3_$34"/>
      <sheetName val="CF_Implied_Month_3_%_of_Flash34"/>
      <sheetName val="PG_ASPIRE_Compare34"/>
      <sheetName val="PG_yoy_Compare34"/>
      <sheetName val="PG_Sequential_Compare34"/>
      <sheetName val="PG_Implied_Month_3_$34"/>
      <sheetName val="PG_Implied_Month_3_%_of_Flash34"/>
      <sheetName val="CF_ASPIRE_Comp_by_PC34"/>
      <sheetName val="CF_yoy_Comp_by_PC34"/>
      <sheetName val="CF_Seq_Comp_by_PC34"/>
      <sheetName val="CF_Implied_M3_by_PC_$34"/>
      <sheetName val="CF_Implied_M3_by_PC_%_Flash34"/>
      <sheetName val="PG_ASPIRE_Comp_by_PC34"/>
      <sheetName val="PG_yoy_Comp_by_PC34"/>
      <sheetName val="PG_Seq_Comp_by_PC34"/>
      <sheetName val="PG_Implied_M3_by_PC_$34"/>
      <sheetName val="PG_Implied_M3_by_PC_%_Flash34"/>
      <sheetName val="Comet_ASPIRE34"/>
      <sheetName val="Comet_yoy34"/>
      <sheetName val="Comet_Sequential34"/>
      <sheetName val="Comet_Implied_M3_(QTD)34"/>
      <sheetName val="Month_134"/>
      <sheetName val="Month_234"/>
      <sheetName val="Extr__Gain_Table34"/>
      <sheetName val="HP_yoy_GAAP34"/>
      <sheetName val="Raw_materials34"/>
      <sheetName val="Safety___P_A32"/>
      <sheetName val="Top_Lvl__Logic32"/>
      <sheetName val="Total_Financials34"/>
      <sheetName val="FY01_Actuals34"/>
      <sheetName val="FY00_Restated34"/>
      <sheetName val="FY01_Quota34"/>
      <sheetName val="Cover_Page2"/>
      <sheetName val="Application_for_GM_Signature2"/>
      <sheetName val="Board_Slide_35"/>
      <sheetName val="Flash_Export_Only35"/>
      <sheetName val="Navigation_&amp;_Assumptions35"/>
      <sheetName val="Flash_Template35"/>
      <sheetName val="CF_Summary35"/>
      <sheetName val="PG_Summary35"/>
      <sheetName val="HPCO__GAAP35"/>
      <sheetName val="HPCO__Pro_Forma35"/>
      <sheetName val="Monthly_Trend35"/>
      <sheetName val="Monthly_OpEx_Detail35"/>
      <sheetName val="CF_ASPIRE_compare35"/>
      <sheetName val="CF_yoy_Compare35"/>
      <sheetName val="CF_Sequential_Compare35"/>
      <sheetName val="CF_Implied_Month_3_$35"/>
      <sheetName val="CF_Implied_Month_3_%_of_Flash35"/>
      <sheetName val="PG_ASPIRE_Compare35"/>
      <sheetName val="PG_yoy_Compare35"/>
      <sheetName val="PG_Sequential_Compare35"/>
      <sheetName val="PG_Implied_Month_3_$35"/>
      <sheetName val="PG_Implied_Month_3_%_of_Flash35"/>
      <sheetName val="CF_ASPIRE_Comp_by_PC35"/>
      <sheetName val="CF_yoy_Comp_by_PC35"/>
      <sheetName val="CF_Seq_Comp_by_PC35"/>
      <sheetName val="CF_Implied_M3_by_PC_$35"/>
      <sheetName val="CF_Implied_M3_by_PC_%_Flash35"/>
      <sheetName val="PG_ASPIRE_Comp_by_PC35"/>
      <sheetName val="PG_yoy_Comp_by_PC35"/>
      <sheetName val="PG_Seq_Comp_by_PC35"/>
      <sheetName val="PG_Implied_M3_by_PC_$35"/>
      <sheetName val="PG_Implied_M3_by_PC_%_Flash35"/>
      <sheetName val="Comet_ASPIRE35"/>
      <sheetName val="Comet_yoy35"/>
      <sheetName val="Comet_Sequential35"/>
      <sheetName val="Comet_Implied_M3_(QTD)35"/>
      <sheetName val="Month_135"/>
      <sheetName val="Month_235"/>
      <sheetName val="Extr__Gain_Table35"/>
      <sheetName val="HP_yoy_GAAP35"/>
      <sheetName val="Raw_materials35"/>
      <sheetName val="Safety___P_A33"/>
      <sheetName val="Top_Lvl__Logic33"/>
      <sheetName val="Total_Financials35"/>
      <sheetName val="FY01_Actuals35"/>
      <sheetName val="FY00_Restated35"/>
      <sheetName val="FY01_Quota35"/>
      <sheetName val="Cover_Page3"/>
      <sheetName val="Application_for_GM_Signature3"/>
      <sheetName val="Board_Slide_39"/>
      <sheetName val="Flash_Export_Only39"/>
      <sheetName val="Navigation_&amp;_Assumptions39"/>
      <sheetName val="Flash_Template39"/>
      <sheetName val="CF_Summary39"/>
      <sheetName val="PG_Summary39"/>
      <sheetName val="HPCO__GAAP39"/>
      <sheetName val="HPCO__Pro_Forma39"/>
      <sheetName val="Monthly_Trend39"/>
      <sheetName val="Monthly_OpEx_Detail39"/>
      <sheetName val="CF_ASPIRE_compare39"/>
      <sheetName val="CF_yoy_Compare39"/>
      <sheetName val="CF_Sequential_Compare39"/>
      <sheetName val="CF_Implied_Month_3_$39"/>
      <sheetName val="CF_Implied_Month_3_%_of_Flash39"/>
      <sheetName val="PG_ASPIRE_Compare39"/>
      <sheetName val="PG_yoy_Compare39"/>
      <sheetName val="PG_Sequential_Compare39"/>
      <sheetName val="PG_Implied_Month_3_$39"/>
      <sheetName val="PG_Implied_Month_3_%_of_Flash39"/>
      <sheetName val="CF_ASPIRE_Comp_by_PC39"/>
      <sheetName val="CF_yoy_Comp_by_PC39"/>
      <sheetName val="CF_Seq_Comp_by_PC39"/>
      <sheetName val="CF_Implied_M3_by_PC_$39"/>
      <sheetName val="CF_Implied_M3_by_PC_%_Flash39"/>
      <sheetName val="PG_ASPIRE_Comp_by_PC39"/>
      <sheetName val="PG_yoy_Comp_by_PC39"/>
      <sheetName val="PG_Seq_Comp_by_PC39"/>
      <sheetName val="PG_Implied_M3_by_PC_$39"/>
      <sheetName val="PG_Implied_M3_by_PC_%_Flash39"/>
      <sheetName val="Comet_ASPIRE39"/>
      <sheetName val="Comet_yoy39"/>
      <sheetName val="Comet_Sequential39"/>
      <sheetName val="Comet_Implied_M3_(QTD)39"/>
      <sheetName val="Month_139"/>
      <sheetName val="Month_239"/>
      <sheetName val="Extr__Gain_Table39"/>
      <sheetName val="HP_yoy_GAAP39"/>
      <sheetName val="Raw_materials39"/>
      <sheetName val="Safety___P_A37"/>
      <sheetName val="Top_Lvl__Logic37"/>
      <sheetName val="Total_Financials39"/>
      <sheetName val="FY01_Actuals39"/>
      <sheetName val="FY00_Restated39"/>
      <sheetName val="FY01_Quota39"/>
      <sheetName val="Cover_Page7"/>
      <sheetName val="Application_for_GM_Signature7"/>
      <sheetName val="Board_Slide_37"/>
      <sheetName val="Flash_Export_Only37"/>
      <sheetName val="Navigation_&amp;_Assumptions37"/>
      <sheetName val="Flash_Template37"/>
      <sheetName val="CF_Summary37"/>
      <sheetName val="PG_Summary37"/>
      <sheetName val="HPCO__GAAP37"/>
      <sheetName val="HPCO__Pro_Forma37"/>
      <sheetName val="Monthly_Trend37"/>
      <sheetName val="Monthly_OpEx_Detail37"/>
      <sheetName val="CF_ASPIRE_compare37"/>
      <sheetName val="CF_yoy_Compare37"/>
      <sheetName val="CF_Sequential_Compare37"/>
      <sheetName val="CF_Implied_Month_3_$37"/>
      <sheetName val="CF_Implied_Month_3_%_of_Flash37"/>
      <sheetName val="PG_ASPIRE_Compare37"/>
      <sheetName val="PG_yoy_Compare37"/>
      <sheetName val="PG_Sequential_Compare37"/>
      <sheetName val="PG_Implied_Month_3_$37"/>
      <sheetName val="PG_Implied_Month_3_%_of_Flash37"/>
      <sheetName val="CF_ASPIRE_Comp_by_PC37"/>
      <sheetName val="CF_yoy_Comp_by_PC37"/>
      <sheetName val="CF_Seq_Comp_by_PC37"/>
      <sheetName val="CF_Implied_M3_by_PC_$37"/>
      <sheetName val="CF_Implied_M3_by_PC_%_Flash37"/>
      <sheetName val="PG_ASPIRE_Comp_by_PC37"/>
      <sheetName val="PG_yoy_Comp_by_PC37"/>
      <sheetName val="PG_Seq_Comp_by_PC37"/>
      <sheetName val="PG_Implied_M3_by_PC_$37"/>
      <sheetName val="PG_Implied_M3_by_PC_%_Flash37"/>
      <sheetName val="Comet_ASPIRE37"/>
      <sheetName val="Comet_yoy37"/>
      <sheetName val="Comet_Sequential37"/>
      <sheetName val="Comet_Implied_M3_(QTD)37"/>
      <sheetName val="Month_137"/>
      <sheetName val="Month_237"/>
      <sheetName val="Extr__Gain_Table37"/>
      <sheetName val="HP_yoy_GAAP37"/>
      <sheetName val="Raw_materials37"/>
      <sheetName val="Safety___P_A35"/>
      <sheetName val="Top_Lvl__Logic35"/>
      <sheetName val="Total_Financials37"/>
      <sheetName val="FY01_Actuals37"/>
      <sheetName val="FY00_Restated37"/>
      <sheetName val="FY01_Quota37"/>
      <sheetName val="Cover_Page5"/>
      <sheetName val="Application_for_GM_Signature5"/>
      <sheetName val="Board_Slide_38"/>
      <sheetName val="Flash_Export_Only38"/>
      <sheetName val="Navigation_&amp;_Assumptions38"/>
      <sheetName val="Flash_Template38"/>
      <sheetName val="CF_Summary38"/>
      <sheetName val="PG_Summary38"/>
      <sheetName val="HPCO__GAAP38"/>
      <sheetName val="HPCO__Pro_Forma38"/>
      <sheetName val="Monthly_Trend38"/>
      <sheetName val="Monthly_OpEx_Detail38"/>
      <sheetName val="CF_ASPIRE_compare38"/>
      <sheetName val="CF_yoy_Compare38"/>
      <sheetName val="CF_Sequential_Compare38"/>
      <sheetName val="CF_Implied_Month_3_$38"/>
      <sheetName val="CF_Implied_Month_3_%_of_Flash38"/>
      <sheetName val="PG_ASPIRE_Compare38"/>
      <sheetName val="PG_yoy_Compare38"/>
      <sheetName val="PG_Sequential_Compare38"/>
      <sheetName val="PG_Implied_Month_3_$38"/>
      <sheetName val="PG_Implied_Month_3_%_of_Flash38"/>
      <sheetName val="CF_ASPIRE_Comp_by_PC38"/>
      <sheetName val="CF_yoy_Comp_by_PC38"/>
      <sheetName val="CF_Seq_Comp_by_PC38"/>
      <sheetName val="CF_Implied_M3_by_PC_$38"/>
      <sheetName val="CF_Implied_M3_by_PC_%_Flash38"/>
      <sheetName val="PG_ASPIRE_Comp_by_PC38"/>
      <sheetName val="PG_yoy_Comp_by_PC38"/>
      <sheetName val="PG_Seq_Comp_by_PC38"/>
      <sheetName val="PG_Implied_M3_by_PC_$38"/>
      <sheetName val="PG_Implied_M3_by_PC_%_Flash38"/>
      <sheetName val="Comet_ASPIRE38"/>
      <sheetName val="Comet_yoy38"/>
      <sheetName val="Comet_Sequential38"/>
      <sheetName val="Comet_Implied_M3_(QTD)38"/>
      <sheetName val="Month_138"/>
      <sheetName val="Month_238"/>
      <sheetName val="Extr__Gain_Table38"/>
      <sheetName val="HP_yoy_GAAP38"/>
      <sheetName val="Raw_materials38"/>
      <sheetName val="Safety___P_A36"/>
      <sheetName val="Top_Lvl__Logic36"/>
      <sheetName val="Total_Financials38"/>
      <sheetName val="FY01_Actuals38"/>
      <sheetName val="FY00_Restated38"/>
      <sheetName val="FY01_Quota38"/>
      <sheetName val="Cover_Page6"/>
      <sheetName val="Application_for_GM_Signature6"/>
      <sheetName val="Board_Slide_40"/>
      <sheetName val="Flash_Export_Only40"/>
      <sheetName val="Navigation_&amp;_Assumptions40"/>
      <sheetName val="Flash_Template40"/>
      <sheetName val="CF_Summary40"/>
      <sheetName val="PG_Summary40"/>
      <sheetName val="HPCO__GAAP40"/>
      <sheetName val="HPCO__Pro_Forma40"/>
      <sheetName val="Monthly_Trend40"/>
      <sheetName val="Monthly_OpEx_Detail40"/>
      <sheetName val="CF_ASPIRE_compare40"/>
      <sheetName val="CF_yoy_Compare40"/>
      <sheetName val="CF_Sequential_Compare40"/>
      <sheetName val="CF_Implied_Month_3_$40"/>
      <sheetName val="CF_Implied_Month_3_%_of_Flash40"/>
      <sheetName val="PG_ASPIRE_Compare40"/>
      <sheetName val="PG_yoy_Compare40"/>
      <sheetName val="PG_Sequential_Compare40"/>
      <sheetName val="PG_Implied_Month_3_$40"/>
      <sheetName val="PG_Implied_Month_3_%_of_Flash40"/>
      <sheetName val="CF_ASPIRE_Comp_by_PC40"/>
      <sheetName val="CF_yoy_Comp_by_PC40"/>
      <sheetName val="CF_Seq_Comp_by_PC40"/>
      <sheetName val="CF_Implied_M3_by_PC_$40"/>
      <sheetName val="CF_Implied_M3_by_PC_%_Flash40"/>
      <sheetName val="PG_ASPIRE_Comp_by_PC40"/>
      <sheetName val="PG_yoy_Comp_by_PC40"/>
      <sheetName val="PG_Seq_Comp_by_PC40"/>
      <sheetName val="PG_Implied_M3_by_PC_$40"/>
      <sheetName val="PG_Implied_M3_by_PC_%_Flash40"/>
      <sheetName val="Comet_ASPIRE40"/>
      <sheetName val="Comet_yoy40"/>
      <sheetName val="Comet_Sequential40"/>
      <sheetName val="Comet_Implied_M3_(QTD)40"/>
      <sheetName val="Month_140"/>
      <sheetName val="Month_240"/>
      <sheetName val="Extr__Gain_Table40"/>
      <sheetName val="HP_yoy_GAAP40"/>
      <sheetName val="Raw_materials40"/>
      <sheetName val="Safety___P_A38"/>
      <sheetName val="Top_Lvl__Logic38"/>
      <sheetName val="Total_Financials40"/>
      <sheetName val="FY01_Actuals40"/>
      <sheetName val="FY00_Restated40"/>
      <sheetName val="FY01_Quota40"/>
      <sheetName val="Cover_Page8"/>
      <sheetName val="Application_for_GM_Signature8"/>
      <sheetName val="Repayment_Summary"/>
      <sheetName val="Board_Slide_41"/>
      <sheetName val="Flash_Export_Only41"/>
      <sheetName val="Navigation_&amp;_Assumptions41"/>
      <sheetName val="Flash_Template41"/>
      <sheetName val="CF_Summary41"/>
      <sheetName val="PG_Summary41"/>
      <sheetName val="HPCO__GAAP41"/>
      <sheetName val="HPCO__Pro_Forma41"/>
      <sheetName val="Monthly_Trend41"/>
      <sheetName val="Monthly_OpEx_Detail41"/>
      <sheetName val="CF_ASPIRE_compare41"/>
      <sheetName val="CF_yoy_Compare41"/>
      <sheetName val="CF_Sequential_Compare41"/>
      <sheetName val="CF_Implied_Month_3_$41"/>
      <sheetName val="CF_Implied_Month_3_%_of_Flash41"/>
      <sheetName val="PG_ASPIRE_Compare41"/>
      <sheetName val="PG_yoy_Compare41"/>
      <sheetName val="PG_Sequential_Compare41"/>
      <sheetName val="PG_Implied_Month_3_$41"/>
      <sheetName val="PG_Implied_Month_3_%_of_Flash41"/>
      <sheetName val="CF_ASPIRE_Comp_by_PC41"/>
      <sheetName val="CF_yoy_Comp_by_PC41"/>
      <sheetName val="CF_Seq_Comp_by_PC41"/>
      <sheetName val="CF_Implied_M3_by_PC_$41"/>
      <sheetName val="CF_Implied_M3_by_PC_%_Flash41"/>
      <sheetName val="PG_ASPIRE_Comp_by_PC41"/>
      <sheetName val="PG_yoy_Comp_by_PC41"/>
      <sheetName val="PG_Seq_Comp_by_PC41"/>
      <sheetName val="PG_Implied_M3_by_PC_$41"/>
      <sheetName val="PG_Implied_M3_by_PC_%_Flash41"/>
      <sheetName val="Comet_ASPIRE41"/>
      <sheetName val="Comet_yoy41"/>
      <sheetName val="Comet_Sequential41"/>
      <sheetName val="Comet_Implied_M3_(QTD)41"/>
      <sheetName val="Month_141"/>
      <sheetName val="Month_241"/>
      <sheetName val="Extr__Gain_Table41"/>
      <sheetName val="HP_yoy_GAAP41"/>
      <sheetName val="Raw_materials41"/>
      <sheetName val="Safety___P_A39"/>
      <sheetName val="Top_Lvl__Logic39"/>
      <sheetName val="Total_Financials41"/>
      <sheetName val="FY01_Actuals41"/>
      <sheetName val="FY00_Restated41"/>
      <sheetName val="FY01_Quota41"/>
      <sheetName val="Cover_Page9"/>
      <sheetName val="Application_for_GM_Signature9"/>
      <sheetName val="Repayment_Summary1"/>
      <sheetName val="3D ASPIRE Table"/>
      <sheetName val="dec05 pl"/>
      <sheetName val="INPUT - Data Table"/>
      <sheetName val="Instructions"/>
      <sheetName val="LOV"/>
      <sheetName val="单元格下拉项"/>
      <sheetName val="Basic PMM"/>
      <sheetName val="Full PMM"/>
      <sheetName val="AmeSum"/>
      <sheetName val="Global variables"/>
      <sheetName val="津贴"/>
      <sheetName val="Consolidated NEW"/>
      <sheetName val="Start Here!"/>
      <sheetName val="Master Data"/>
      <sheetName val="Planner"/>
      <sheetName val="Hidden"/>
      <sheetName val="Board_Slide_43"/>
      <sheetName val="Flash_Export_Only43"/>
      <sheetName val="Navigation_&amp;_Assumptions43"/>
      <sheetName val="Flash_Template43"/>
      <sheetName val="CF_Summary43"/>
      <sheetName val="PG_Summary43"/>
      <sheetName val="HPCO__GAAP43"/>
      <sheetName val="HPCO__Pro_Forma43"/>
      <sheetName val="Monthly_Trend43"/>
      <sheetName val="Monthly_OpEx_Detail43"/>
      <sheetName val="CF_ASPIRE_compare43"/>
      <sheetName val="CF_yoy_Compare43"/>
      <sheetName val="CF_Sequential_Compare43"/>
      <sheetName val="CF_Implied_Month_3_$43"/>
      <sheetName val="CF_Implied_Month_3_%_of_Flash43"/>
      <sheetName val="PG_ASPIRE_Compare43"/>
      <sheetName val="PG_yoy_Compare43"/>
      <sheetName val="PG_Sequential_Compare43"/>
      <sheetName val="PG_Implied_Month_3_$43"/>
      <sheetName val="PG_Implied_Month_3_%_of_Flash43"/>
      <sheetName val="CF_ASPIRE_Comp_by_PC43"/>
      <sheetName val="CF_yoy_Comp_by_PC43"/>
      <sheetName val="CF_Seq_Comp_by_PC43"/>
      <sheetName val="CF_Implied_M3_by_PC_$43"/>
      <sheetName val="CF_Implied_M3_by_PC_%_Flash43"/>
      <sheetName val="PG_ASPIRE_Comp_by_PC43"/>
      <sheetName val="PG_yoy_Comp_by_PC43"/>
      <sheetName val="PG_Seq_Comp_by_PC43"/>
      <sheetName val="PG_Implied_M3_by_PC_$43"/>
      <sheetName val="PG_Implied_M3_by_PC_%_Flash43"/>
      <sheetName val="Comet_ASPIRE43"/>
      <sheetName val="Comet_yoy43"/>
      <sheetName val="Comet_Sequential43"/>
      <sheetName val="Comet_Implied_M3_(QTD)43"/>
      <sheetName val="Month_143"/>
      <sheetName val="Month_243"/>
      <sheetName val="Extr__Gain_Table43"/>
      <sheetName val="HP_yoy_GAAP43"/>
      <sheetName val="Raw_materials43"/>
      <sheetName val="Safety___P_A41"/>
      <sheetName val="Top_Lvl__Logic41"/>
      <sheetName val="Total_Financials43"/>
      <sheetName val="FY01_Actuals43"/>
      <sheetName val="FY00_Restated43"/>
      <sheetName val="FY01_Quota43"/>
      <sheetName val="Cover_Page11"/>
      <sheetName val="Application_for_GM_Signature11"/>
      <sheetName val="Repayment_Summary3"/>
      <sheetName val="Board_Slide_44"/>
      <sheetName val="Flash_Export_Only44"/>
      <sheetName val="Navigation_&amp;_Assumptions44"/>
      <sheetName val="Flash_Template44"/>
      <sheetName val="CF_Summary44"/>
      <sheetName val="PG_Summary44"/>
      <sheetName val="HPCO__GAAP44"/>
      <sheetName val="HPCO__Pro_Forma44"/>
      <sheetName val="Monthly_Trend44"/>
      <sheetName val="Monthly_OpEx_Detail44"/>
      <sheetName val="CF_ASPIRE_compare44"/>
      <sheetName val="CF_yoy_Compare44"/>
      <sheetName val="CF_Sequential_Compare44"/>
      <sheetName val="CF_Implied_Month_3_$44"/>
      <sheetName val="CF_Implied_Month_3_%_of_Flash44"/>
      <sheetName val="PG_ASPIRE_Compare44"/>
      <sheetName val="PG_yoy_Compare44"/>
      <sheetName val="PG_Sequential_Compare44"/>
      <sheetName val="PG_Implied_Month_3_$44"/>
      <sheetName val="PG_Implied_Month_3_%_of_Flash44"/>
      <sheetName val="CF_ASPIRE_Comp_by_PC44"/>
      <sheetName val="CF_yoy_Comp_by_PC44"/>
      <sheetName val="CF_Seq_Comp_by_PC44"/>
      <sheetName val="CF_Implied_M3_by_PC_$44"/>
      <sheetName val="CF_Implied_M3_by_PC_%_Flash44"/>
      <sheetName val="PG_ASPIRE_Comp_by_PC44"/>
      <sheetName val="PG_yoy_Comp_by_PC44"/>
      <sheetName val="PG_Seq_Comp_by_PC44"/>
      <sheetName val="PG_Implied_M3_by_PC_$44"/>
      <sheetName val="PG_Implied_M3_by_PC_%_Flash44"/>
      <sheetName val="Comet_ASPIRE44"/>
      <sheetName val="Comet_yoy44"/>
      <sheetName val="Comet_Sequential44"/>
      <sheetName val="Comet_Implied_M3_(QTD)44"/>
      <sheetName val="Month_144"/>
      <sheetName val="Month_244"/>
      <sheetName val="Extr__Gain_Table44"/>
      <sheetName val="HP_yoy_GAAP44"/>
      <sheetName val="Raw_materials44"/>
      <sheetName val="Safety___P_A42"/>
      <sheetName val="Top_Lvl__Logic42"/>
      <sheetName val="Total_Financials44"/>
      <sheetName val="FY01_Actuals44"/>
      <sheetName val="FY00_Restated44"/>
      <sheetName val="FY01_Quota44"/>
      <sheetName val="Cover_Page12"/>
      <sheetName val="Application_for_GM_Signature12"/>
      <sheetName val="Repayment_Summary4"/>
      <sheetName val="Board_Slide_45"/>
      <sheetName val="Flash_Export_Only45"/>
      <sheetName val="Navigation_&amp;_Assumptions45"/>
      <sheetName val="Flash_Template45"/>
      <sheetName val="CF_Summary45"/>
      <sheetName val="PG_Summary45"/>
      <sheetName val="HPCO__GAAP45"/>
      <sheetName val="HPCO__Pro_Forma45"/>
      <sheetName val="Monthly_Trend45"/>
      <sheetName val="Monthly_OpEx_Detail45"/>
      <sheetName val="CF_ASPIRE_compare45"/>
      <sheetName val="CF_yoy_Compare45"/>
      <sheetName val="CF_Sequential_Compare45"/>
      <sheetName val="CF_Implied_Month_3_$45"/>
      <sheetName val="CF_Implied_Month_3_%_of_Flash45"/>
      <sheetName val="PG_ASPIRE_Compare45"/>
      <sheetName val="PG_yoy_Compare45"/>
      <sheetName val="PG_Sequential_Compare45"/>
      <sheetName val="PG_Implied_Month_3_$45"/>
      <sheetName val="PG_Implied_Month_3_%_of_Flash45"/>
      <sheetName val="CF_ASPIRE_Comp_by_PC45"/>
      <sheetName val="CF_yoy_Comp_by_PC45"/>
      <sheetName val="CF_Seq_Comp_by_PC45"/>
      <sheetName val="CF_Implied_M3_by_PC_$45"/>
      <sheetName val="CF_Implied_M3_by_PC_%_Flash45"/>
      <sheetName val="PG_ASPIRE_Comp_by_PC45"/>
      <sheetName val="PG_yoy_Comp_by_PC45"/>
      <sheetName val="PG_Seq_Comp_by_PC45"/>
      <sheetName val="PG_Implied_M3_by_PC_$45"/>
      <sheetName val="PG_Implied_M3_by_PC_%_Flash45"/>
      <sheetName val="Comet_ASPIRE45"/>
      <sheetName val="Comet_yoy45"/>
      <sheetName val="Comet_Sequential45"/>
      <sheetName val="Comet_Implied_M3_(QTD)45"/>
      <sheetName val="Month_145"/>
      <sheetName val="Month_245"/>
      <sheetName val="Extr__Gain_Table45"/>
      <sheetName val="HP_yoy_GAAP45"/>
      <sheetName val="Raw_materials45"/>
      <sheetName val="Total_Financials45"/>
      <sheetName val="FY01_Actuals45"/>
      <sheetName val="FY00_Restated45"/>
      <sheetName val="FY01_Quota45"/>
      <sheetName val="Safety___P_A43"/>
      <sheetName val="Top_Lvl__Logic43"/>
      <sheetName val="Cover_Page13"/>
      <sheetName val="Application_for_GM_Signature13"/>
      <sheetName val="Repayment_Summary5"/>
      <sheetName val="Board_Slide_46"/>
      <sheetName val="Flash_Export_Only46"/>
      <sheetName val="Navigation_&amp;_Assumptions46"/>
      <sheetName val="Flash_Template46"/>
      <sheetName val="CF_Summary46"/>
      <sheetName val="PG_Summary46"/>
      <sheetName val="HPCO__GAAP46"/>
      <sheetName val="HPCO__Pro_Forma46"/>
      <sheetName val="Monthly_Trend46"/>
      <sheetName val="Monthly_OpEx_Detail46"/>
      <sheetName val="CF_ASPIRE_compare46"/>
      <sheetName val="CF_yoy_Compare46"/>
      <sheetName val="CF_Sequential_Compare46"/>
      <sheetName val="CF_Implied_Month_3_$46"/>
      <sheetName val="CF_Implied_Month_3_%_of_Flash46"/>
      <sheetName val="PG_ASPIRE_Compare46"/>
      <sheetName val="PG_yoy_Compare46"/>
      <sheetName val="PG_Sequential_Compare46"/>
      <sheetName val="PG_Implied_Month_3_$46"/>
      <sheetName val="PG_Implied_Month_3_%_of_Flash46"/>
      <sheetName val="CF_ASPIRE_Comp_by_PC46"/>
      <sheetName val="CF_yoy_Comp_by_PC46"/>
      <sheetName val="CF_Seq_Comp_by_PC46"/>
      <sheetName val="CF_Implied_M3_by_PC_$46"/>
      <sheetName val="CF_Implied_M3_by_PC_%_Flash46"/>
      <sheetName val="PG_ASPIRE_Comp_by_PC46"/>
      <sheetName val="PG_yoy_Comp_by_PC46"/>
      <sheetName val="PG_Seq_Comp_by_PC46"/>
      <sheetName val="PG_Implied_M3_by_PC_$46"/>
      <sheetName val="PG_Implied_M3_by_PC_%_Flash46"/>
      <sheetName val="Comet_ASPIRE46"/>
      <sheetName val="Comet_yoy46"/>
      <sheetName val="Comet_Sequential46"/>
      <sheetName val="Comet_Implied_M3_(QTD)46"/>
      <sheetName val="Month_146"/>
      <sheetName val="Month_246"/>
      <sheetName val="Extr__Gain_Table46"/>
      <sheetName val="HP_yoy_GAAP46"/>
      <sheetName val="Raw_materials46"/>
      <sheetName val="Total_Financials46"/>
      <sheetName val="FY01_Actuals46"/>
      <sheetName val="FY00_Restated46"/>
      <sheetName val="FY01_Quota46"/>
      <sheetName val="Safety___P_A44"/>
      <sheetName val="Top_Lvl__Logic44"/>
      <sheetName val="Cover_Page14"/>
      <sheetName val="Application_for_GM_Signature14"/>
      <sheetName val="Repayment_Summary6"/>
      <sheetName val="Board_Slide_47"/>
      <sheetName val="Flash_Export_Only47"/>
      <sheetName val="Navigation_&amp;_Assumptions47"/>
      <sheetName val="Flash_Template47"/>
      <sheetName val="CF_Summary47"/>
      <sheetName val="PG_Summary47"/>
      <sheetName val="HPCO__GAAP47"/>
      <sheetName val="HPCO__Pro_Forma47"/>
      <sheetName val="Monthly_Trend47"/>
      <sheetName val="Monthly_OpEx_Detail47"/>
      <sheetName val="CF_ASPIRE_compare47"/>
      <sheetName val="CF_yoy_Compare47"/>
      <sheetName val="CF_Sequential_Compare47"/>
      <sheetName val="CF_Implied_Month_3_$47"/>
      <sheetName val="CF_Implied_Month_3_%_of_Flash47"/>
      <sheetName val="PG_ASPIRE_Compare47"/>
      <sheetName val="PG_yoy_Compare47"/>
      <sheetName val="PG_Sequential_Compare47"/>
      <sheetName val="PG_Implied_Month_3_$47"/>
      <sheetName val="PG_Implied_Month_3_%_of_Flash47"/>
      <sheetName val="CF_ASPIRE_Comp_by_PC47"/>
      <sheetName val="CF_yoy_Comp_by_PC47"/>
      <sheetName val="CF_Seq_Comp_by_PC47"/>
      <sheetName val="CF_Implied_M3_by_PC_$47"/>
      <sheetName val="CF_Implied_M3_by_PC_%_Flash47"/>
      <sheetName val="PG_ASPIRE_Comp_by_PC47"/>
      <sheetName val="PG_yoy_Comp_by_PC47"/>
      <sheetName val="PG_Seq_Comp_by_PC47"/>
      <sheetName val="PG_Implied_M3_by_PC_$47"/>
      <sheetName val="PG_Implied_M3_by_PC_%_Flash47"/>
      <sheetName val="Comet_ASPIRE47"/>
      <sheetName val="Comet_yoy47"/>
      <sheetName val="Comet_Sequential47"/>
      <sheetName val="Comet_Implied_M3_(QTD)47"/>
      <sheetName val="Month_147"/>
      <sheetName val="Month_247"/>
      <sheetName val="Extr__Gain_Table47"/>
      <sheetName val="HP_yoy_GAAP47"/>
      <sheetName val="Raw_materials47"/>
      <sheetName val="Total_Financials47"/>
      <sheetName val="FY01_Actuals47"/>
      <sheetName val="FY00_Restated47"/>
      <sheetName val="FY01_Quota47"/>
      <sheetName val="Safety___P_A45"/>
      <sheetName val="Top_Lvl__Logic45"/>
      <sheetName val="Cover_Page15"/>
      <sheetName val="Application_for_GM_Signature15"/>
      <sheetName val="Repayment_Summary7"/>
      <sheetName val="Board_Slide_48"/>
      <sheetName val="Flash_Export_Only48"/>
      <sheetName val="Navigation_&amp;_Assumptions48"/>
      <sheetName val="Flash_Template48"/>
      <sheetName val="CF_Summary48"/>
      <sheetName val="PG_Summary48"/>
      <sheetName val="HPCO__GAAP48"/>
      <sheetName val="HPCO__Pro_Forma48"/>
      <sheetName val="Monthly_Trend48"/>
      <sheetName val="Monthly_OpEx_Detail48"/>
      <sheetName val="CF_ASPIRE_compare48"/>
      <sheetName val="CF_yoy_Compare48"/>
      <sheetName val="CF_Sequential_Compare48"/>
      <sheetName val="CF_Implied_Month_3_$48"/>
      <sheetName val="CF_Implied_Month_3_%_of_Flash48"/>
      <sheetName val="PG_ASPIRE_Compare48"/>
      <sheetName val="PG_yoy_Compare48"/>
      <sheetName val="PG_Sequential_Compare48"/>
      <sheetName val="PG_Implied_Month_3_$48"/>
      <sheetName val="PG_Implied_Month_3_%_of_Flash48"/>
      <sheetName val="CF_ASPIRE_Comp_by_PC48"/>
      <sheetName val="CF_yoy_Comp_by_PC48"/>
      <sheetName val="CF_Seq_Comp_by_PC48"/>
      <sheetName val="CF_Implied_M3_by_PC_$48"/>
      <sheetName val="CF_Implied_M3_by_PC_%_Flash48"/>
      <sheetName val="PG_ASPIRE_Comp_by_PC48"/>
      <sheetName val="PG_yoy_Comp_by_PC48"/>
      <sheetName val="PG_Seq_Comp_by_PC48"/>
      <sheetName val="PG_Implied_M3_by_PC_$48"/>
      <sheetName val="PG_Implied_M3_by_PC_%_Flash48"/>
      <sheetName val="Comet_ASPIRE48"/>
      <sheetName val="Comet_yoy48"/>
      <sheetName val="Comet_Sequential48"/>
      <sheetName val="Comet_Implied_M3_(QTD)48"/>
      <sheetName val="Month_148"/>
      <sheetName val="Month_248"/>
      <sheetName val="Extr__Gain_Table48"/>
      <sheetName val="HP_yoy_GAAP48"/>
      <sheetName val="Raw_materials48"/>
      <sheetName val="Safety___P_A46"/>
      <sheetName val="Top_Lvl__Logic46"/>
      <sheetName val="Total_Financials48"/>
      <sheetName val="FY01_Actuals48"/>
      <sheetName val="FY00_Restated48"/>
      <sheetName val="FY01_Quota48"/>
      <sheetName val="Cover_Page16"/>
      <sheetName val="Application_for_GM_Signature16"/>
      <sheetName val="Repayment_Summary8"/>
      <sheetName val="Board_Slide_50"/>
      <sheetName val="Flash_Export_Only50"/>
      <sheetName val="Navigation_&amp;_Assumptions50"/>
      <sheetName val="Flash_Template50"/>
      <sheetName val="CF_Summary50"/>
      <sheetName val="PG_Summary50"/>
      <sheetName val="HPCO__GAAP50"/>
      <sheetName val="HPCO__Pro_Forma50"/>
      <sheetName val="Monthly_Trend50"/>
      <sheetName val="Monthly_OpEx_Detail50"/>
      <sheetName val="CF_ASPIRE_compare50"/>
      <sheetName val="CF_yoy_Compare50"/>
      <sheetName val="CF_Sequential_Compare50"/>
      <sheetName val="CF_Implied_Month_3_$50"/>
      <sheetName val="CF_Implied_Month_3_%_of_Flash50"/>
      <sheetName val="PG_ASPIRE_Compare50"/>
      <sheetName val="PG_yoy_Compare50"/>
      <sheetName val="PG_Sequential_Compare50"/>
      <sheetName val="PG_Implied_Month_3_$50"/>
      <sheetName val="PG_Implied_Month_3_%_of_Flash50"/>
      <sheetName val="CF_ASPIRE_Comp_by_PC50"/>
      <sheetName val="CF_yoy_Comp_by_PC50"/>
      <sheetName val="CF_Seq_Comp_by_PC50"/>
      <sheetName val="CF_Implied_M3_by_PC_$50"/>
      <sheetName val="CF_Implied_M3_by_PC_%_Flash50"/>
      <sheetName val="PG_ASPIRE_Comp_by_PC50"/>
      <sheetName val="PG_yoy_Comp_by_PC50"/>
      <sheetName val="PG_Seq_Comp_by_PC50"/>
      <sheetName val="PG_Implied_M3_by_PC_$50"/>
      <sheetName val="PG_Implied_M3_by_PC_%_Flash50"/>
      <sheetName val="Comet_ASPIRE50"/>
      <sheetName val="Comet_yoy50"/>
      <sheetName val="Comet_Sequential50"/>
      <sheetName val="Comet_Implied_M3_(QTD)50"/>
      <sheetName val="Month_150"/>
      <sheetName val="Month_250"/>
      <sheetName val="Extr__Gain_Table50"/>
      <sheetName val="HP_yoy_GAAP50"/>
      <sheetName val="Raw_materials50"/>
      <sheetName val="Safety___P_A48"/>
      <sheetName val="Top_Lvl__Logic48"/>
      <sheetName val="Total_Financials50"/>
      <sheetName val="FY01_Actuals50"/>
      <sheetName val="FY00_Restated50"/>
      <sheetName val="FY01_Quota50"/>
      <sheetName val="Cover_Page18"/>
      <sheetName val="Application_for_GM_Signature18"/>
      <sheetName val="Repayment_Summary10"/>
      <sheetName val="Board_Slide_49"/>
      <sheetName val="Flash_Export_Only49"/>
      <sheetName val="Navigation_&amp;_Assumptions49"/>
      <sheetName val="Flash_Template49"/>
      <sheetName val="CF_Summary49"/>
      <sheetName val="PG_Summary49"/>
      <sheetName val="HPCO__GAAP49"/>
      <sheetName val="HPCO__Pro_Forma49"/>
      <sheetName val="Monthly_Trend49"/>
      <sheetName val="Monthly_OpEx_Detail49"/>
      <sheetName val="CF_ASPIRE_compare49"/>
      <sheetName val="CF_yoy_Compare49"/>
      <sheetName val="CF_Sequential_Compare49"/>
      <sheetName val="CF_Implied_Month_3_$49"/>
      <sheetName val="CF_Implied_Month_3_%_of_Flash49"/>
      <sheetName val="PG_ASPIRE_Compare49"/>
      <sheetName val="PG_yoy_Compare49"/>
      <sheetName val="PG_Sequential_Compare49"/>
      <sheetName val="PG_Implied_Month_3_$49"/>
      <sheetName val="PG_Implied_Month_3_%_of_Flash49"/>
      <sheetName val="CF_ASPIRE_Comp_by_PC49"/>
      <sheetName val="CF_yoy_Comp_by_PC49"/>
      <sheetName val="CF_Seq_Comp_by_PC49"/>
      <sheetName val="CF_Implied_M3_by_PC_$49"/>
      <sheetName val="CF_Implied_M3_by_PC_%_Flash49"/>
      <sheetName val="PG_ASPIRE_Comp_by_PC49"/>
      <sheetName val="PG_yoy_Comp_by_PC49"/>
      <sheetName val="PG_Seq_Comp_by_PC49"/>
      <sheetName val="PG_Implied_M3_by_PC_$49"/>
      <sheetName val="PG_Implied_M3_by_PC_%_Flash49"/>
      <sheetName val="Comet_ASPIRE49"/>
      <sheetName val="Comet_yoy49"/>
      <sheetName val="Comet_Sequential49"/>
      <sheetName val="Comet_Implied_M3_(QTD)49"/>
      <sheetName val="Month_149"/>
      <sheetName val="Month_249"/>
      <sheetName val="Extr__Gain_Table49"/>
      <sheetName val="HP_yoy_GAAP49"/>
      <sheetName val="Raw_materials49"/>
      <sheetName val="Safety___P_A47"/>
      <sheetName val="Top_Lvl__Logic47"/>
      <sheetName val="Total_Financials49"/>
      <sheetName val="FY01_Actuals49"/>
      <sheetName val="FY00_Restated49"/>
      <sheetName val="FY01_Quota49"/>
      <sheetName val="Cover_Page17"/>
      <sheetName val="Application_for_GM_Signature17"/>
      <sheetName val="Repayment_Summary9"/>
      <sheetName val="Board_Slide_51"/>
      <sheetName val="Flash_Export_Only51"/>
      <sheetName val="Navigation_&amp;_Assumptions51"/>
      <sheetName val="Flash_Template51"/>
      <sheetName val="CF_Summary51"/>
      <sheetName val="PG_Summary51"/>
      <sheetName val="HPCO__GAAP51"/>
      <sheetName val="HPCO__Pro_Forma51"/>
      <sheetName val="Monthly_Trend51"/>
      <sheetName val="Monthly_OpEx_Detail51"/>
      <sheetName val="CF_ASPIRE_compare51"/>
      <sheetName val="CF_yoy_Compare51"/>
      <sheetName val="CF_Sequential_Compare51"/>
      <sheetName val="CF_Implied_Month_3_$51"/>
      <sheetName val="CF_Implied_Month_3_%_of_Flash51"/>
      <sheetName val="PG_ASPIRE_Compare51"/>
      <sheetName val="PG_yoy_Compare51"/>
      <sheetName val="PG_Sequential_Compare51"/>
      <sheetName val="PG_Implied_Month_3_$51"/>
      <sheetName val="PG_Implied_Month_3_%_of_Flash51"/>
      <sheetName val="CF_ASPIRE_Comp_by_PC51"/>
      <sheetName val="CF_yoy_Comp_by_PC51"/>
      <sheetName val="CF_Seq_Comp_by_PC51"/>
      <sheetName val="CF_Implied_M3_by_PC_$51"/>
      <sheetName val="CF_Implied_M3_by_PC_%_Flash51"/>
      <sheetName val="PG_ASPIRE_Comp_by_PC51"/>
      <sheetName val="PG_yoy_Comp_by_PC51"/>
      <sheetName val="PG_Seq_Comp_by_PC51"/>
      <sheetName val="PG_Implied_M3_by_PC_$51"/>
      <sheetName val="PG_Implied_M3_by_PC_%_Flash51"/>
      <sheetName val="Comet_ASPIRE51"/>
      <sheetName val="Comet_yoy51"/>
      <sheetName val="Comet_Sequential51"/>
      <sheetName val="Comet_Implied_M3_(QTD)51"/>
      <sheetName val="Month_151"/>
      <sheetName val="Month_251"/>
      <sheetName val="Extr__Gain_Table51"/>
      <sheetName val="HP_yoy_GAAP51"/>
      <sheetName val="Raw_materials51"/>
      <sheetName val="Safety___P_A49"/>
      <sheetName val="Top_Lvl__Logic49"/>
      <sheetName val="Total_Financials51"/>
      <sheetName val="FY01_Actuals51"/>
      <sheetName val="FY00_Restated51"/>
      <sheetName val="FY01_Quota51"/>
      <sheetName val="Cover_Page19"/>
      <sheetName val="Application_for_GM_Signature19"/>
      <sheetName val="Repayment_Summary11"/>
      <sheetName val="综合成本分析01.01-0205"/>
      <sheetName val="GWL-RUNING"/>
      <sheetName val="Schema"/>
      <sheetName val="FP"/>
      <sheetName val="Time Dimension Looku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WIBLE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Optimize"/>
      <sheetName val="Fixed Assets 2015"/>
      <sheetName val="MP2006 data"/>
      <sheetName val="Q4 CURRENCY"/>
      <sheetName val="MCS"/>
      <sheetName val="Board_Slide_52"/>
      <sheetName val="Flash_Export_Only52"/>
      <sheetName val="Navigation_&amp;_Assumptions52"/>
      <sheetName val="Flash_Template52"/>
      <sheetName val="CF_Summary52"/>
      <sheetName val="PG_Summary52"/>
      <sheetName val="HPCO__GAAP52"/>
      <sheetName val="HPCO__Pro_Forma52"/>
      <sheetName val="Monthly_Trend52"/>
      <sheetName val="Monthly_OpEx_Detail52"/>
      <sheetName val="CF_ASPIRE_compare52"/>
      <sheetName val="CF_yoy_Compare52"/>
      <sheetName val="CF_Sequential_Compare52"/>
      <sheetName val="CF_Implied_Month_3_$52"/>
      <sheetName val="CF_Implied_Month_3_%_of_Flash52"/>
      <sheetName val="PG_ASPIRE_Compare52"/>
      <sheetName val="PG_yoy_Compare52"/>
      <sheetName val="PG_Sequential_Compare52"/>
      <sheetName val="PG_Implied_Month_3_$52"/>
      <sheetName val="PG_Implied_Month_3_%_of_Flash52"/>
      <sheetName val="CF_ASPIRE_Comp_by_PC52"/>
      <sheetName val="CF_yoy_Comp_by_PC52"/>
      <sheetName val="CF_Seq_Comp_by_PC52"/>
      <sheetName val="CF_Implied_M3_by_PC_$52"/>
      <sheetName val="CF_Implied_M3_by_PC_%_Flash52"/>
      <sheetName val="PG_ASPIRE_Comp_by_PC52"/>
      <sheetName val="PG_yoy_Comp_by_PC52"/>
      <sheetName val="PG_Seq_Comp_by_PC52"/>
      <sheetName val="PG_Implied_M3_by_PC_$52"/>
      <sheetName val="PG_Implied_M3_by_PC_%_Flash52"/>
      <sheetName val="Comet_ASPIRE52"/>
      <sheetName val="Comet_yoy52"/>
      <sheetName val="Comet_Sequential52"/>
      <sheetName val="Comet_Implied_M3_(QTD)52"/>
      <sheetName val="Month_152"/>
      <sheetName val="Month_252"/>
      <sheetName val="Extr__Gain_Table52"/>
      <sheetName val="HP_yoy_GAAP52"/>
      <sheetName val="Raw_materials52"/>
      <sheetName val="Safety___P_A50"/>
      <sheetName val="Top_Lvl__Logic50"/>
      <sheetName val="Total_Financials52"/>
      <sheetName val="FY01_Actuals52"/>
      <sheetName val="FY00_Restated52"/>
      <sheetName val="FY01_Quota52"/>
      <sheetName val="Cover_Page20"/>
      <sheetName val="Application_for_GM_Signature20"/>
      <sheetName val="Repayment_Summary12"/>
      <sheetName val="Pull_HP_Wide"/>
      <sheetName val="Pull_All_SFs"/>
      <sheetName val="Board_Slide_60"/>
      <sheetName val="Flash_Export_Only60"/>
      <sheetName val="Navigation_&amp;_Assumptions60"/>
      <sheetName val="Flash_Template60"/>
      <sheetName val="CF_Summary60"/>
      <sheetName val="PG_Summary60"/>
      <sheetName val="HPCO__GAAP60"/>
      <sheetName val="HPCO__Pro_Forma60"/>
      <sheetName val="Monthly_Trend60"/>
      <sheetName val="Monthly_OpEx_Detail60"/>
      <sheetName val="CF_ASPIRE_compare60"/>
      <sheetName val="CF_yoy_Compare60"/>
      <sheetName val="CF_Sequential_Compare60"/>
      <sheetName val="CF_Implied_Month_3_$60"/>
      <sheetName val="CF_Implied_Month_3_%_of_Flash60"/>
      <sheetName val="PG_ASPIRE_Compare60"/>
      <sheetName val="PG_yoy_Compare60"/>
      <sheetName val="PG_Sequential_Compare60"/>
      <sheetName val="PG_Implied_Month_3_$60"/>
      <sheetName val="PG_Implied_Month_3_%_of_Flash60"/>
      <sheetName val="CF_ASPIRE_Comp_by_PC60"/>
      <sheetName val="CF_yoy_Comp_by_PC60"/>
      <sheetName val="CF_Seq_Comp_by_PC60"/>
      <sheetName val="CF_Implied_M3_by_PC_$60"/>
      <sheetName val="CF_Implied_M3_by_PC_%_Flash60"/>
      <sheetName val="PG_ASPIRE_Comp_by_PC60"/>
      <sheetName val="PG_yoy_Comp_by_PC60"/>
      <sheetName val="PG_Seq_Comp_by_PC60"/>
      <sheetName val="PG_Implied_M3_by_PC_$60"/>
      <sheetName val="PG_Implied_M3_by_PC_%_Flash60"/>
      <sheetName val="Comet_ASPIRE60"/>
      <sheetName val="Comet_yoy60"/>
      <sheetName val="Comet_Sequential60"/>
      <sheetName val="Comet_Implied_M3_(QTD)60"/>
      <sheetName val="Month_160"/>
      <sheetName val="Month_260"/>
      <sheetName val="Extr__Gain_Table60"/>
      <sheetName val="HP_yoy_GAAP60"/>
      <sheetName val="Raw_materials60"/>
      <sheetName val="Safety___P_A58"/>
      <sheetName val="Top_Lvl__Logic58"/>
      <sheetName val="Total_Financials60"/>
      <sheetName val="FY01_Actuals60"/>
      <sheetName val="FY00_Restated60"/>
      <sheetName val="FY01_Quota60"/>
      <sheetName val="Cover_Page28"/>
      <sheetName val="Application_for_GM_Signature28"/>
      <sheetName val="Repayment_Summary20"/>
      <sheetName val="Pull_HP_Wide7"/>
      <sheetName val="Pull_All_SFs7"/>
      <sheetName val="Board_Slide_53"/>
      <sheetName val="Flash_Export_Only53"/>
      <sheetName val="Navigation_&amp;_Assumptions53"/>
      <sheetName val="Flash_Template53"/>
      <sheetName val="CF_Summary53"/>
      <sheetName val="PG_Summary53"/>
      <sheetName val="HPCO__GAAP53"/>
      <sheetName val="HPCO__Pro_Forma53"/>
      <sheetName val="Monthly_Trend53"/>
      <sheetName val="Monthly_OpEx_Detail53"/>
      <sheetName val="CF_ASPIRE_compare53"/>
      <sheetName val="CF_yoy_Compare53"/>
      <sheetName val="CF_Sequential_Compare53"/>
      <sheetName val="CF_Implied_Month_3_$53"/>
      <sheetName val="CF_Implied_Month_3_%_of_Flash53"/>
      <sheetName val="PG_ASPIRE_Compare53"/>
      <sheetName val="PG_yoy_Compare53"/>
      <sheetName val="PG_Sequential_Compare53"/>
      <sheetName val="PG_Implied_Month_3_$53"/>
      <sheetName val="PG_Implied_Month_3_%_of_Flash53"/>
      <sheetName val="CF_ASPIRE_Comp_by_PC53"/>
      <sheetName val="CF_yoy_Comp_by_PC53"/>
      <sheetName val="CF_Seq_Comp_by_PC53"/>
      <sheetName val="CF_Implied_M3_by_PC_$53"/>
      <sheetName val="CF_Implied_M3_by_PC_%_Flash53"/>
      <sheetName val="PG_ASPIRE_Comp_by_PC53"/>
      <sheetName val="PG_yoy_Comp_by_PC53"/>
      <sheetName val="PG_Seq_Comp_by_PC53"/>
      <sheetName val="PG_Implied_M3_by_PC_$53"/>
      <sheetName val="PG_Implied_M3_by_PC_%_Flash53"/>
      <sheetName val="Comet_ASPIRE53"/>
      <sheetName val="Comet_yoy53"/>
      <sheetName val="Comet_Sequential53"/>
      <sheetName val="Comet_Implied_M3_(QTD)53"/>
      <sheetName val="Month_153"/>
      <sheetName val="Month_253"/>
      <sheetName val="Extr__Gain_Table53"/>
      <sheetName val="HP_yoy_GAAP53"/>
      <sheetName val="Raw_materials53"/>
      <sheetName val="Safety___P_A51"/>
      <sheetName val="Top_Lvl__Logic51"/>
      <sheetName val="Total_Financials53"/>
      <sheetName val="FY01_Actuals53"/>
      <sheetName val="FY00_Restated53"/>
      <sheetName val="FY01_Quota53"/>
      <sheetName val="Cover_Page21"/>
      <sheetName val="Application_for_GM_Signature21"/>
      <sheetName val="Repayment_Summary13"/>
      <sheetName val="Pull_HP_Wide1"/>
      <sheetName val="Pull_All_SFs1"/>
      <sheetName val="Board_Slide_56"/>
      <sheetName val="Flash_Export_Only56"/>
      <sheetName val="Navigation_&amp;_Assumptions56"/>
      <sheetName val="Flash_Template56"/>
      <sheetName val="CF_Summary56"/>
      <sheetName val="PG_Summary56"/>
      <sheetName val="HPCO__GAAP56"/>
      <sheetName val="HPCO__Pro_Forma56"/>
      <sheetName val="Monthly_Trend56"/>
      <sheetName val="Monthly_OpEx_Detail56"/>
      <sheetName val="CF_ASPIRE_compare56"/>
      <sheetName val="CF_yoy_Compare56"/>
      <sheetName val="CF_Sequential_Compare56"/>
      <sheetName val="CF_Implied_Month_3_$56"/>
      <sheetName val="CF_Implied_Month_3_%_of_Flash56"/>
      <sheetName val="PG_ASPIRE_Compare56"/>
      <sheetName val="PG_yoy_Compare56"/>
      <sheetName val="PG_Sequential_Compare56"/>
      <sheetName val="PG_Implied_Month_3_$56"/>
      <sheetName val="PG_Implied_Month_3_%_of_Flash56"/>
      <sheetName val="CF_ASPIRE_Comp_by_PC56"/>
      <sheetName val="CF_yoy_Comp_by_PC56"/>
      <sheetName val="CF_Seq_Comp_by_PC56"/>
      <sheetName val="CF_Implied_M3_by_PC_$56"/>
      <sheetName val="CF_Implied_M3_by_PC_%_Flash56"/>
      <sheetName val="PG_ASPIRE_Comp_by_PC56"/>
      <sheetName val="PG_yoy_Comp_by_PC56"/>
      <sheetName val="PG_Seq_Comp_by_PC56"/>
      <sheetName val="PG_Implied_M3_by_PC_$56"/>
      <sheetName val="PG_Implied_M3_by_PC_%_Flash56"/>
      <sheetName val="Comet_ASPIRE56"/>
      <sheetName val="Comet_yoy56"/>
      <sheetName val="Comet_Sequential56"/>
      <sheetName val="Comet_Implied_M3_(QTD)56"/>
      <sheetName val="Month_156"/>
      <sheetName val="Month_256"/>
      <sheetName val="Extr__Gain_Table56"/>
      <sheetName val="HP_yoy_GAAP56"/>
      <sheetName val="Raw_materials56"/>
      <sheetName val="Safety___P_A54"/>
      <sheetName val="Top_Lvl__Logic54"/>
      <sheetName val="Total_Financials56"/>
      <sheetName val="FY01_Actuals56"/>
      <sheetName val="FY00_Restated56"/>
      <sheetName val="FY01_Quota56"/>
      <sheetName val="Cover_Page24"/>
      <sheetName val="Application_for_GM_Signature24"/>
      <sheetName val="Repayment_Summary16"/>
      <sheetName val="Pull_HP_Wide3"/>
      <sheetName val="Pull_All_SFs3"/>
      <sheetName val="Board_Slide_54"/>
      <sheetName val="Flash_Export_Only54"/>
      <sheetName val="Navigation_&amp;_Assumptions54"/>
      <sheetName val="Flash_Template54"/>
      <sheetName val="CF_Summary54"/>
      <sheetName val="PG_Summary54"/>
      <sheetName val="HPCO__GAAP54"/>
      <sheetName val="HPCO__Pro_Forma54"/>
      <sheetName val="Monthly_Trend54"/>
      <sheetName val="Monthly_OpEx_Detail54"/>
      <sheetName val="CF_ASPIRE_compare54"/>
      <sheetName val="CF_yoy_Compare54"/>
      <sheetName val="CF_Sequential_Compare54"/>
      <sheetName val="CF_Implied_Month_3_$54"/>
      <sheetName val="CF_Implied_Month_3_%_of_Flash54"/>
      <sheetName val="PG_ASPIRE_Compare54"/>
      <sheetName val="PG_yoy_Compare54"/>
      <sheetName val="PG_Sequential_Compare54"/>
      <sheetName val="PG_Implied_Month_3_$54"/>
      <sheetName val="PG_Implied_Month_3_%_of_Flash54"/>
      <sheetName val="CF_ASPIRE_Comp_by_PC54"/>
      <sheetName val="CF_yoy_Comp_by_PC54"/>
      <sheetName val="CF_Seq_Comp_by_PC54"/>
      <sheetName val="CF_Implied_M3_by_PC_$54"/>
      <sheetName val="CF_Implied_M3_by_PC_%_Flash54"/>
      <sheetName val="PG_ASPIRE_Comp_by_PC54"/>
      <sheetName val="PG_yoy_Comp_by_PC54"/>
      <sheetName val="PG_Seq_Comp_by_PC54"/>
      <sheetName val="PG_Implied_M3_by_PC_$54"/>
      <sheetName val="PG_Implied_M3_by_PC_%_Flash54"/>
      <sheetName val="Comet_ASPIRE54"/>
      <sheetName val="Comet_yoy54"/>
      <sheetName val="Comet_Sequential54"/>
      <sheetName val="Comet_Implied_M3_(QTD)54"/>
      <sheetName val="Month_154"/>
      <sheetName val="Month_254"/>
      <sheetName val="Extr__Gain_Table54"/>
      <sheetName val="HP_yoy_GAAP54"/>
      <sheetName val="Raw_materials54"/>
      <sheetName val="Safety___P_A52"/>
      <sheetName val="Top_Lvl__Logic52"/>
      <sheetName val="Total_Financials54"/>
      <sheetName val="FY01_Actuals54"/>
      <sheetName val="FY00_Restated54"/>
      <sheetName val="FY01_Quota54"/>
      <sheetName val="Cover_Page22"/>
      <sheetName val="Application_for_GM_Signature22"/>
      <sheetName val="Repayment_Summary14"/>
      <sheetName val="Board_Slide_55"/>
      <sheetName val="Flash_Export_Only55"/>
      <sheetName val="Navigation_&amp;_Assumptions55"/>
      <sheetName val="Flash_Template55"/>
      <sheetName val="CF_Summary55"/>
      <sheetName val="PG_Summary55"/>
      <sheetName val="HPCO__GAAP55"/>
      <sheetName val="HPCO__Pro_Forma55"/>
      <sheetName val="Monthly_Trend55"/>
      <sheetName val="Monthly_OpEx_Detail55"/>
      <sheetName val="CF_ASPIRE_compare55"/>
      <sheetName val="CF_yoy_Compare55"/>
      <sheetName val="CF_Sequential_Compare55"/>
      <sheetName val="CF_Implied_Month_3_$55"/>
      <sheetName val="CF_Implied_Month_3_%_of_Flash55"/>
      <sheetName val="PG_ASPIRE_Compare55"/>
      <sheetName val="PG_yoy_Compare55"/>
      <sheetName val="PG_Sequential_Compare55"/>
      <sheetName val="PG_Implied_Month_3_$55"/>
      <sheetName val="PG_Implied_Month_3_%_of_Flash55"/>
      <sheetName val="CF_ASPIRE_Comp_by_PC55"/>
      <sheetName val="CF_yoy_Comp_by_PC55"/>
      <sheetName val="CF_Seq_Comp_by_PC55"/>
      <sheetName val="CF_Implied_M3_by_PC_$55"/>
      <sheetName val="CF_Implied_M3_by_PC_%_Flash55"/>
      <sheetName val="PG_ASPIRE_Comp_by_PC55"/>
      <sheetName val="PG_yoy_Comp_by_PC55"/>
      <sheetName val="PG_Seq_Comp_by_PC55"/>
      <sheetName val="PG_Implied_M3_by_PC_$55"/>
      <sheetName val="PG_Implied_M3_by_PC_%_Flash55"/>
      <sheetName val="Comet_ASPIRE55"/>
      <sheetName val="Comet_yoy55"/>
      <sheetName val="Comet_Sequential55"/>
      <sheetName val="Comet_Implied_M3_(QTD)55"/>
      <sheetName val="Month_155"/>
      <sheetName val="Month_255"/>
      <sheetName val="Extr__Gain_Table55"/>
      <sheetName val="HP_yoy_GAAP55"/>
      <sheetName val="Raw_materials55"/>
      <sheetName val="Safety___P_A53"/>
      <sheetName val="Top_Lvl__Logic53"/>
      <sheetName val="Total_Financials55"/>
      <sheetName val="FY01_Actuals55"/>
      <sheetName val="FY00_Restated55"/>
      <sheetName val="FY01_Quota55"/>
      <sheetName val="Cover_Page23"/>
      <sheetName val="Application_for_GM_Signature23"/>
      <sheetName val="Repayment_Summary15"/>
      <sheetName val="Pull_HP_Wide2"/>
      <sheetName val="Pull_All_SFs2"/>
      <sheetName val="Board_Slide_57"/>
      <sheetName val="Flash_Export_Only57"/>
      <sheetName val="Navigation_&amp;_Assumptions57"/>
      <sheetName val="Flash_Template57"/>
      <sheetName val="CF_Summary57"/>
      <sheetName val="PG_Summary57"/>
      <sheetName val="HPCO__GAAP57"/>
      <sheetName val="HPCO__Pro_Forma57"/>
      <sheetName val="Monthly_Trend57"/>
      <sheetName val="Monthly_OpEx_Detail57"/>
      <sheetName val="CF_ASPIRE_compare57"/>
      <sheetName val="CF_yoy_Compare57"/>
      <sheetName val="CF_Sequential_Compare57"/>
      <sheetName val="CF_Implied_Month_3_$57"/>
      <sheetName val="CF_Implied_Month_3_%_of_Flash57"/>
      <sheetName val="PG_ASPIRE_Compare57"/>
      <sheetName val="PG_yoy_Compare57"/>
      <sheetName val="PG_Sequential_Compare57"/>
      <sheetName val="PG_Implied_Month_3_$57"/>
      <sheetName val="PG_Implied_Month_3_%_of_Flash57"/>
      <sheetName val="CF_ASPIRE_Comp_by_PC57"/>
      <sheetName val="CF_yoy_Comp_by_PC57"/>
      <sheetName val="CF_Seq_Comp_by_PC57"/>
      <sheetName val="CF_Implied_M3_by_PC_$57"/>
      <sheetName val="CF_Implied_M3_by_PC_%_Flash57"/>
      <sheetName val="PG_ASPIRE_Comp_by_PC57"/>
      <sheetName val="PG_yoy_Comp_by_PC57"/>
      <sheetName val="PG_Seq_Comp_by_PC57"/>
      <sheetName val="PG_Implied_M3_by_PC_$57"/>
      <sheetName val="PG_Implied_M3_by_PC_%_Flash57"/>
      <sheetName val="Comet_ASPIRE57"/>
      <sheetName val="Comet_yoy57"/>
      <sheetName val="Comet_Sequential57"/>
      <sheetName val="Comet_Implied_M3_(QTD)57"/>
      <sheetName val="Month_157"/>
      <sheetName val="Month_257"/>
      <sheetName val="Extr__Gain_Table57"/>
      <sheetName val="HP_yoy_GAAP57"/>
      <sheetName val="Raw_materials57"/>
      <sheetName val="Safety___P_A55"/>
      <sheetName val="Top_Lvl__Logic55"/>
      <sheetName val="Total_Financials57"/>
      <sheetName val="FY01_Actuals57"/>
      <sheetName val="FY00_Restated57"/>
      <sheetName val="FY01_Quota57"/>
      <sheetName val="Cover_Page25"/>
      <sheetName val="Application_for_GM_Signature25"/>
      <sheetName val="Repayment_Summary17"/>
      <sheetName val="Pull_HP_Wide4"/>
      <sheetName val="Pull_All_SFs4"/>
      <sheetName val="Board_Slide_58"/>
      <sheetName val="Flash_Export_Only58"/>
      <sheetName val="Navigation_&amp;_Assumptions58"/>
      <sheetName val="Flash_Template58"/>
      <sheetName val="CF_Summary58"/>
      <sheetName val="PG_Summary58"/>
      <sheetName val="HPCO__GAAP58"/>
      <sheetName val="HPCO__Pro_Forma58"/>
      <sheetName val="Monthly_Trend58"/>
      <sheetName val="Monthly_OpEx_Detail58"/>
      <sheetName val="CF_ASPIRE_compare58"/>
      <sheetName val="CF_yoy_Compare58"/>
      <sheetName val="CF_Sequential_Compare58"/>
      <sheetName val="CF_Implied_Month_3_$58"/>
      <sheetName val="CF_Implied_Month_3_%_of_Flash58"/>
      <sheetName val="PG_ASPIRE_Compare58"/>
      <sheetName val="PG_yoy_Compare58"/>
      <sheetName val="PG_Sequential_Compare58"/>
      <sheetName val="PG_Implied_Month_3_$58"/>
      <sheetName val="PG_Implied_Month_3_%_of_Flash58"/>
      <sheetName val="CF_ASPIRE_Comp_by_PC58"/>
      <sheetName val="CF_yoy_Comp_by_PC58"/>
      <sheetName val="CF_Seq_Comp_by_PC58"/>
      <sheetName val="CF_Implied_M3_by_PC_$58"/>
      <sheetName val="CF_Implied_M3_by_PC_%_Flash58"/>
      <sheetName val="PG_ASPIRE_Comp_by_PC58"/>
      <sheetName val="PG_yoy_Comp_by_PC58"/>
      <sheetName val="PG_Seq_Comp_by_PC58"/>
      <sheetName val="PG_Implied_M3_by_PC_$58"/>
      <sheetName val="PG_Implied_M3_by_PC_%_Flash58"/>
      <sheetName val="Comet_ASPIRE58"/>
      <sheetName val="Comet_yoy58"/>
      <sheetName val="Comet_Sequential58"/>
      <sheetName val="Comet_Implied_M3_(QTD)58"/>
      <sheetName val="Month_158"/>
      <sheetName val="Month_258"/>
      <sheetName val="Extr__Gain_Table58"/>
      <sheetName val="HP_yoy_GAAP58"/>
      <sheetName val="Raw_materials58"/>
      <sheetName val="Safety___P_A56"/>
      <sheetName val="Top_Lvl__Logic56"/>
      <sheetName val="Total_Financials58"/>
      <sheetName val="FY01_Actuals58"/>
      <sheetName val="FY00_Restated58"/>
      <sheetName val="FY01_Quota58"/>
      <sheetName val="Cover_Page26"/>
      <sheetName val="Application_for_GM_Signature26"/>
      <sheetName val="Repayment_Summary18"/>
      <sheetName val="Pull_HP_Wide5"/>
      <sheetName val="Pull_All_SFs5"/>
      <sheetName val="Board_Slide_59"/>
      <sheetName val="Flash_Export_Only59"/>
      <sheetName val="Navigation_&amp;_Assumptions59"/>
      <sheetName val="Flash_Template59"/>
      <sheetName val="CF_Summary59"/>
      <sheetName val="PG_Summary59"/>
      <sheetName val="HPCO__GAAP59"/>
      <sheetName val="HPCO__Pro_Forma59"/>
      <sheetName val="Monthly_Trend59"/>
      <sheetName val="Monthly_OpEx_Detail59"/>
      <sheetName val="CF_ASPIRE_compare59"/>
      <sheetName val="CF_yoy_Compare59"/>
      <sheetName val="CF_Sequential_Compare59"/>
      <sheetName val="CF_Implied_Month_3_$59"/>
      <sheetName val="CF_Implied_Month_3_%_of_Flash59"/>
      <sheetName val="PG_ASPIRE_Compare59"/>
      <sheetName val="PG_yoy_Compare59"/>
      <sheetName val="PG_Sequential_Compare59"/>
      <sheetName val="PG_Implied_Month_3_$59"/>
      <sheetName val="PG_Implied_Month_3_%_of_Flash59"/>
      <sheetName val="CF_ASPIRE_Comp_by_PC59"/>
      <sheetName val="CF_yoy_Comp_by_PC59"/>
      <sheetName val="CF_Seq_Comp_by_PC59"/>
      <sheetName val="CF_Implied_M3_by_PC_$59"/>
      <sheetName val="CF_Implied_M3_by_PC_%_Flash59"/>
      <sheetName val="PG_ASPIRE_Comp_by_PC59"/>
      <sheetName val="PG_yoy_Comp_by_PC59"/>
      <sheetName val="PG_Seq_Comp_by_PC59"/>
      <sheetName val="PG_Implied_M3_by_PC_$59"/>
      <sheetName val="PG_Implied_M3_by_PC_%_Flash59"/>
      <sheetName val="Comet_ASPIRE59"/>
      <sheetName val="Comet_yoy59"/>
      <sheetName val="Comet_Sequential59"/>
      <sheetName val="Comet_Implied_M3_(QTD)59"/>
      <sheetName val="Month_159"/>
      <sheetName val="Month_259"/>
      <sheetName val="Extr__Gain_Table59"/>
      <sheetName val="HP_yoy_GAAP59"/>
      <sheetName val="Raw_materials59"/>
      <sheetName val="Safety___P_A57"/>
      <sheetName val="Top_Lvl__Logic57"/>
      <sheetName val="Total_Financials59"/>
      <sheetName val="FY01_Actuals59"/>
      <sheetName val="FY00_Restated59"/>
      <sheetName val="FY01_Quota59"/>
      <sheetName val="Cover_Page27"/>
      <sheetName val="Application_for_GM_Signature27"/>
      <sheetName val="Repayment_Summary19"/>
      <sheetName val="Pull_HP_Wide6"/>
      <sheetName val="Pull_All_SFs6"/>
      <sheetName val="3-29 Q202 Update for ASPIRE"/>
      <sheetName val="目录"/>
      <sheetName val="Sheet3"/>
      <sheetName val="Veh Info"/>
      <sheetName val="0508"/>
      <sheetName val="0504"/>
      <sheetName val="0506"/>
      <sheetName val="参数明细"/>
      <sheetName val="APJSum"/>
      <sheetName val="EMEASum"/>
      <sheetName val="HPCoSum"/>
      <sheetName val="OGSum"/>
      <sheetName val="WWSum"/>
      <sheetName val="SPP current as of 1-3-01"/>
      <sheetName val="AR Signature Page"/>
      <sheetName val="Tﾁｬｰﾄ"/>
      <sheetName val="PLALL"/>
      <sheetName val="Av.Measures"/>
      <sheetName val="Valuation"/>
      <sheetName val="Cover"/>
      <sheetName val="分产品销售收入、成本分析表"/>
      <sheetName val="9100-PO"/>
      <sheetName val="信息"/>
      <sheetName val="项目基本情况鉴证表"/>
      <sheetName val="关联交易-存款"/>
      <sheetName val="tf04"/>
      <sheetName val="source"/>
      <sheetName val="Table calendaire"/>
      <sheetName val="Table paiements"/>
      <sheetName val="Table Fournisseurs"/>
      <sheetName val="Sheet2"/>
      <sheetName val="analyse"/>
      <sheetName val="Table"/>
      <sheetName val="Net Trans Sum"/>
      <sheetName val="Vauxhall Opel 30004"/>
      <sheetName val="1 LeadSchedule"/>
      <sheetName val="3 Analysis"/>
      <sheetName val="JE - Depn Sept"/>
      <sheetName val="產成品收發明細表"/>
      <sheetName val="Translation"/>
      <sheetName val="FX"/>
      <sheetName val="Pick Lists"/>
      <sheetName val="B"/>
      <sheetName val="A3"/>
      <sheetName val="6641"/>
      <sheetName val="VARIABLES"/>
      <sheetName val="Lists"/>
      <sheetName val="F-5"/>
      <sheetName val="员工工资"/>
      <sheetName val="BOX SUM"/>
      <sheetName val="FIN GOOD"/>
      <sheetName val="Collateral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CUSTOMER"/>
      <sheetName val="FACILITY"/>
      <sheetName val="SERVIVEH"/>
      <sheetName val="COMPUTER"/>
      <sheetName val="ADVSYST"/>
      <sheetName val="COUADMIN"/>
      <sheetName val="ADMINFLD"/>
      <sheetName val="ADVCIT&amp;D"/>
      <sheetName val="EURSALES"/>
      <sheetName val="ADMINREB"/>
      <sheetName val="Sum"/>
      <sheetName val="W"/>
      <sheetName val="Disposition"/>
      <sheetName val="T  B"/>
      <sheetName val="Hidden Lists"/>
      <sheetName val="现金流量表（月报）"/>
      <sheetName val="工厂"/>
      <sheetName val="Meas Acceptance Template"/>
      <sheetName val="Batch Comparison Template"/>
      <sheetName val="Meas Indv Template"/>
      <sheetName val="產品基本信息"/>
      <sheetName val="Setup"/>
      <sheetName val="冰箱"/>
      <sheetName val="冷柜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Stats Graph Template"/>
      <sheetName val="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Form"/>
      <sheetName val="Condition"/>
      <sheetName val="Form2"/>
      <sheetName val="List09"/>
      <sheetName val="List14"/>
      <sheetName val="List15"/>
      <sheetName val="List16"/>
      <sheetName val="List_R"/>
      <sheetName val="WIBLE"/>
      <sheetName val="Data08"/>
      <sheetName val="NVA-300T返品リスト"/>
      <sheetName val="Funnel"/>
      <sheetName val="Tables"/>
      <sheetName val="9100-PO"/>
      <sheetName val="Raw materials"/>
      <sheetName val="SUM14ZC1"/>
      <sheetName val="Pull HP Wide"/>
      <sheetName val="Pull All SFs"/>
      <sheetName val="Comet ASPIRE"/>
      <sheetName val="Comet Sequential"/>
      <sheetName val="Comet yoy"/>
      <sheetName val="FA-LISTING"/>
      <sheetName val="Quantum Stds 12-4-01"/>
      <sheetName val="Sheet3"/>
      <sheetName val="UPPER BLOCK"/>
      <sheetName val="HDa16"/>
      <sheetName val="工厂"/>
      <sheetName val="审核总览"/>
      <sheetName val="公司"/>
      <sheetName val="经营体"/>
      <sheetName val="供应商"/>
      <sheetName val="MTL1"/>
      <sheetName val="Quantum PO Std"/>
      <sheetName val="Leap PO Std."/>
      <sheetName val="SPP current as of 1-3-01"/>
      <sheetName val="Optimize"/>
      <sheetName val="00"/>
      <sheetName val="Summary"/>
      <sheetName val="Top Lvl  Logic"/>
      <sheetName val="Parts"/>
      <sheetName val="Process"/>
      <sheetName val="Meas Acceptance Template"/>
      <sheetName val="Batch Comparison Template"/>
      <sheetName val="Meas Indv Template"/>
      <sheetName val="Dates"/>
      <sheetName val="EPR"/>
      <sheetName val="VSAMS Summary"/>
      <sheetName val="Glossary"/>
      <sheetName val="Contents"/>
      <sheetName val="Instructions"/>
      <sheetName val="Av.Measures"/>
      <sheetName val="Schema"/>
      <sheetName val="FY03CostStructure"/>
      <sheetName val="產品基本信息"/>
      <sheetName val="BaaN FW47"/>
      <sheetName val="Sep BaaN"/>
      <sheetName val="#BEZUG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#REF"/>
      <sheetName val="Table"/>
      <sheetName val="J48CAC669R0"/>
    </sheetNames>
    <definedNames>
      <definedName name="DELALL" refersTo="='#REF!'!#REF!"/>
      <definedName name="SORT1" refersTo="='#REF!'!#REF!"/>
      <definedName name="SORT2" refersTo="='#REF!'!#REF!"/>
      <definedName name="SORTALL" refersTo="='#REF!'!#REF!"/>
      <definedName name="DEL1" refersTo="=#NAME?"/>
      <definedName name="DEL2" refersTo="=#NAME?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LATAFORMA"/>
      <sheetName val="ANALISIS"/>
      <sheetName val="CALENDARIO"/>
      <sheetName val="Optimize"/>
      <sheetName val="tables"/>
      <sheetName val="BaaN FW47"/>
      <sheetName val="Sep BaaN"/>
      <sheetName val="Pull HP Wide"/>
      <sheetName val="Pull All SFs"/>
      <sheetName val="Quantum PO Std"/>
      <sheetName val="Leap PO Std."/>
      <sheetName val="QC APPROVE SHEET"/>
      <sheetName val="工厂"/>
      <sheetName val="Meas Acceptance Template"/>
      <sheetName val="Batch Comparison Template"/>
      <sheetName val="Meas Indv Template"/>
      <sheetName val="SPP current as of 1-3-01"/>
      <sheetName val="#BEZUG"/>
      <sheetName val="FY01 Actuals"/>
      <sheetName val="FY00 Restated"/>
      <sheetName val="FY01 Quota"/>
      <sheetName val="WIBLE"/>
      <sheetName val="Safety _ P_A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Dates"/>
      <sheetName val="EPR"/>
      <sheetName val="VSAMS Summary"/>
      <sheetName val="Glossary"/>
      <sheetName val="NVA-300T返品リスト"/>
      <sheetName val="Summary"/>
      <sheetName val="Top Lvl  Logic"/>
      <sheetName val="Parts"/>
      <sheetName val="Process"/>
      <sheetName val="Chart"/>
      <sheetName val="Foams"/>
      <sheetName val="Refrigerants"/>
      <sheetName val="LOV"/>
      <sheetName val="AR Signature Page"/>
      <sheetName val="Analisis Programa e Introduccio"/>
    </sheetNames>
    <definedNames>
      <definedName name="Print_Inventory_Package" refersTo="='#REF!'!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June Dante"/>
      <sheetName val="May Dante"/>
      <sheetName val="april Dante"/>
      <sheetName val="Leap PO Std."/>
      <sheetName val="POs"/>
      <sheetName val="details"/>
      <sheetName val="Resumen"/>
      <sheetName val="Oct-Mzo"/>
      <sheetName val="abril"/>
      <sheetName val="mayo"/>
      <sheetName val="junio"/>
      <sheetName val="Pull HP Wide"/>
      <sheetName val="Pull All SFs"/>
      <sheetName val="FY01 Actuals"/>
      <sheetName val="FY00 Restated"/>
      <sheetName val="FY01 Quota"/>
      <sheetName val="AmeSum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Meas Acceptance Template"/>
      <sheetName val="Batch Comparison Template"/>
      <sheetName val="Meas Indv Template"/>
      <sheetName val="AR Signature Page"/>
      <sheetName val="tables"/>
      <sheetName val="NVA-300T返品リスト"/>
      <sheetName val="Histogram"/>
      <sheetName val="3D ASPIRE Table"/>
      <sheetName val="Optimize"/>
      <sheetName val="FP"/>
      <sheetName val="Time Dimension Lookup"/>
      <sheetName val="WIBLE"/>
      <sheetName val="Spec"/>
      <sheetName val="Comet ASPIRE"/>
      <sheetName val="Comet Sequential"/>
      <sheetName val="Comet yoy"/>
      <sheetName val="SPP current as of 1-3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PAP (2)"/>
      <sheetName val="Contents"/>
      <sheetName val="Overview"/>
      <sheetName val="VSAMS Summary"/>
      <sheetName val="Dates"/>
      <sheetName val="EPR"/>
      <sheetName val="LRR"/>
      <sheetName val="SLP Contents"/>
      <sheetName val="SLP Instructions"/>
      <sheetName val="Time Line"/>
      <sheetName val="High Risk Criteria"/>
      <sheetName val="Dimensional Layout"/>
      <sheetName val="Safe Launch Plan Details"/>
      <sheetName val="Safe Launch Plan Summary"/>
      <sheetName val="VSPCA"/>
      <sheetName val="VSPCA Instructions"/>
      <sheetName val="Capacity Verification Summary"/>
      <sheetName val="Control Plan Sign Off"/>
      <sheetName val="PFMEA Sign Off"/>
      <sheetName val="DVP&amp;R Sign Off"/>
      <sheetName val="PVP&amp;R Sign Off"/>
      <sheetName val="SLP Sign Off &amp; Exit Release"/>
      <sheetName val="PTC Instructions"/>
      <sheetName val="PTC Log"/>
      <sheetName val="APQP Status Report"/>
      <sheetName val="PND"/>
      <sheetName val="PPAP"/>
      <sheetName val="Warrant"/>
      <sheetName val="Glossary"/>
      <sheetName val="CV Instructions"/>
      <sheetName val="CV Flow Chart"/>
      <sheetName val="Early CV Data"/>
      <sheetName val="CV Run Data Sheet"/>
      <sheetName val="AQPDFMEA"/>
      <sheetName val="AQPDVP"/>
      <sheetName val="AQPPROTCP"/>
      <sheetName val="AQPMPFC"/>
      <sheetName val="AQPPFMEA"/>
      <sheetName val="AQPPLCP"/>
      <sheetName val="AQPOPI"/>
      <sheetName val="AQPPRODCP"/>
      <sheetName val="Risk &amp; Opps Weighting Matrix"/>
      <sheetName val="Risk Management Response Plans"/>
      <sheetName val="Revision History"/>
      <sheetName val="Batch Comparison Template"/>
      <sheetName val="Stats Graph Template"/>
      <sheetName val="Pull HP Wide"/>
      <sheetName val="Pull All SFs"/>
      <sheetName val="Basic PMM"/>
      <sheetName val="Full PMM"/>
      <sheetName val="Instructions"/>
      <sheetName val="AmeSum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Comet ASPIRE"/>
      <sheetName val="Comet Sequential"/>
      <sheetName val="Comet yoy"/>
      <sheetName val="工厂"/>
      <sheetName val="BaaN FW47"/>
      <sheetName val="Sep BaaN"/>
      <sheetName val="NCAB"/>
      <sheetName val="NEW003"/>
      <sheetName val="SUM14ZC1"/>
      <sheetName val="產品基本信息"/>
      <sheetName val="Spec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Oct Production"/>
      <sheetName val="July BaaN"/>
      <sheetName val="FW37 BaaN"/>
      <sheetName val="August BaaN"/>
      <sheetName val="Sep BaaN"/>
      <sheetName val="Oct FW42 BaaN"/>
      <sheetName val="BaaN FW47"/>
      <sheetName val="Launch costs SxS"/>
      <sheetName val="Launch Costs TMNF"/>
      <sheetName val="4Q by model"/>
      <sheetName val="September by model"/>
      <sheetName val="Summary"/>
      <sheetName val="Top Lvl  Logic"/>
      <sheetName val="Parts"/>
      <sheetName val="Process"/>
      <sheetName val="ANALISIS"/>
      <sheetName val="3D ASPIRE Table"/>
      <sheetName val="Comet ASPIRE"/>
      <sheetName val="Comet Sequential"/>
      <sheetName val="Comet yoy"/>
      <sheetName val="Optimize"/>
      <sheetName val="Pull HP Wide"/>
      <sheetName val="Pull All SFs"/>
      <sheetName val="FY01 Actuals"/>
      <sheetName val="AR Signature Page"/>
      <sheetName val="FY00 Restated"/>
      <sheetName val="FY01 Quota"/>
      <sheetName val="tables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WIBLE"/>
      <sheetName val="5+7 plan"/>
      <sheetName val="公司"/>
      <sheetName val="工厂"/>
      <sheetName val="经营体"/>
      <sheetName val="供应商"/>
      <sheetName val="spp"/>
      <sheetName val="FY03CostStructure"/>
      <sheetName val="APJSum"/>
      <sheetName val="AmeSum"/>
      <sheetName val="EMEASum"/>
      <sheetName val="HPCoSum"/>
      <sheetName val="OGSum"/>
      <sheetName val="WWSum"/>
      <sheetName val="Basic PMM"/>
      <sheetName val="產品基本信息"/>
      <sheetName val="Full PMM"/>
      <sheetName val="NVA-300T返品リスト"/>
      <sheetName val="MCTO weekly Model November"/>
    </sheetNames>
    <definedNames>
      <definedName name="DELALL" refersTo="='#REF!'!#REF!"/>
      <definedName name="SORT1" refersTo="='#REF!'!#REF!"/>
      <definedName name="SORT2" refersTo="='#REF!'!#REF!"/>
      <definedName name="SORTALL" refersTo="='#REF!'!#REF!"/>
      <definedName name="DEL1" refersTo="=#NAME?"/>
      <definedName name="DEL2" refersTo="=#NAME?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FY01 Actuals"/>
      <sheetName val="FY00 Restated"/>
      <sheetName val="FY01 Quota"/>
      <sheetName val="PPS-SUN-005"/>
      <sheetName val="tables"/>
      <sheetName val="Optimize"/>
      <sheetName val="Total Financials"/>
      <sheetName val="AR Signature Page"/>
      <sheetName val="00"/>
      <sheetName val="Meas Acceptance Template"/>
      <sheetName val="Batch Comparison Template"/>
      <sheetName val="FP"/>
      <sheetName val="Time Dimension Lookup"/>
      <sheetName val="Meas Indv Template"/>
      <sheetName val="QC APPROVE SHEET"/>
      <sheetName val="机床"/>
      <sheetName val="Q4 CURRENCY"/>
      <sheetName val="Original"/>
      <sheetName val="FCG"/>
      <sheetName val="PLALL"/>
      <sheetName val="Sheet2"/>
      <sheetName val="BaaN FW47"/>
      <sheetName val="Sep BaaN"/>
      <sheetName val="#BEZUG"/>
      <sheetName val="ANALISIS"/>
      <sheetName val="Pull HP Wide"/>
      <sheetName val="Foams"/>
      <sheetName val="Grid"/>
      <sheetName val="Pull All SFs"/>
      <sheetName val="Quantum PO Std"/>
      <sheetName val="Leap PO Std."/>
      <sheetName val="Summary"/>
      <sheetName val="Top Lvl  Logic"/>
      <sheetName val="Parts"/>
      <sheetName val="Process"/>
      <sheetName val="產品基本信息"/>
      <sheetName val="公司"/>
      <sheetName val="工厂"/>
      <sheetName val="经营体"/>
      <sheetName val="供应商"/>
      <sheetName val="WIBLE"/>
      <sheetName val="abril"/>
      <sheetName val="april Dante"/>
      <sheetName val="Commercial Benefits"/>
      <sheetName val="Inc_DCRR by Yr"/>
      <sheetName val="Program Inputs"/>
      <sheetName val="Fixed calculations"/>
      <sheetName val="June Dante"/>
      <sheetName val="Depreciation Tables"/>
      <sheetName val="Floor Loads"/>
      <sheetName val="Inc_DCRR by Q"/>
      <sheetName val="SKU Data Input"/>
      <sheetName val="junio"/>
      <sheetName val="POs"/>
      <sheetName val="mayo"/>
      <sheetName val="May Dante"/>
      <sheetName val="Oct-Mzo"/>
      <sheetName val="OSA"/>
      <sheetName val="Stats Graph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Summary"/>
      <sheetName val="XL4Poppy"/>
      <sheetName val="72HX"/>
      <sheetName val="75EX"/>
      <sheetName val="72HY"/>
      <sheetName val="75EY"/>
      <sheetName val="Tables"/>
      <sheetName val="Original"/>
      <sheetName val="SPals"/>
      <sheetName val="假设"/>
      <sheetName val="Sheet1"/>
      <sheetName val="FCG"/>
      <sheetName val="Funnel"/>
      <sheetName val="Comet Q202 Flash"/>
      <sheetName val="Q4 CURRENCY"/>
      <sheetName val="审核总览"/>
      <sheetName val="LOV"/>
      <sheetName val="FP"/>
      <sheetName val="Time Dimension Lookup"/>
      <sheetName val="9100-PO"/>
      <sheetName val="Foams"/>
      <sheetName val="Grafvta00 (2)"/>
      <sheetName val="Grid"/>
      <sheetName val="HTP 2001"/>
      <sheetName val="Launch Costs TMNF"/>
      <sheetName val="April Antonio"/>
      <sheetName val="Leap PO Std."/>
      <sheetName val="Quantum PO Std"/>
      <sheetName val="master PO"/>
      <sheetName val="PLALL"/>
      <sheetName val="PO File 2002"/>
      <sheetName val="PO File 2002 Final"/>
      <sheetName val="Raw materials"/>
      <sheetName val="MTL1"/>
      <sheetName val="3D ASPIRE Table"/>
      <sheetName val="Total_Financials"/>
      <sheetName val="Q4_Est__vs__Flash"/>
      <sheetName val="Otter_Exps"/>
      <sheetName val="Panel"/>
      <sheetName val="GWL-RUNING"/>
      <sheetName val="Chemical 2009"/>
      <sheetName val="Grey 2009"/>
      <sheetName val="TOTAL"/>
      <sheetName val="Main"/>
      <sheetName val="Planet_Ame"/>
      <sheetName val="Planet_AP"/>
      <sheetName val="Planet_EMEA"/>
      <sheetName val="Planet_OG"/>
      <sheetName val="Planet_WW"/>
      <sheetName val="Attachment-4(2)"/>
      <sheetName val="目标体系横轴矩阵"/>
      <sheetName val="Oct FW42 BaaN for G-Line"/>
      <sheetName val="Refrigerants"/>
      <sheetName val="po list"/>
      <sheetName val="URBANO P EST"/>
      <sheetName val="MCS"/>
      <sheetName val="Summary Data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ETUP"/>
      <sheetName val="AmeSum"/>
      <sheetName val="Instructions"/>
      <sheetName val="Input FX Rates"/>
      <sheetName val="Input Dates"/>
      <sheetName val="INPUT - Data Table"/>
      <sheetName val="银行借款询证"/>
      <sheetName val="资产负债表"/>
      <sheetName val="资产负债表汇编"/>
      <sheetName val="APJSum"/>
      <sheetName val="EMEASum"/>
      <sheetName val="HPCoSum"/>
      <sheetName val="OGSum"/>
      <sheetName val="WWSum"/>
      <sheetName val="雷梦"/>
      <sheetName val="三分厂04年1-12月销售价 "/>
      <sheetName val="05年1月销售价"/>
      <sheetName val="04年12月销售价"/>
      <sheetName val="面积指标"/>
      <sheetName val="索引表"/>
      <sheetName val=" "/>
      <sheetName val="销售(合同)"/>
      <sheetName val="NVA-300T返品リスト"/>
      <sheetName val="Comet ASPIRE"/>
      <sheetName val="Comet Sequential"/>
      <sheetName val="Comet yoy"/>
      <sheetName val="UPPER BLOCK"/>
      <sheetName val="Top Lvl  Logic"/>
      <sheetName val="Parts"/>
      <sheetName val="Process"/>
      <sheetName val="ANALISIS"/>
      <sheetName val="AR Signature Page"/>
      <sheetName val="Optimiz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URRENCY (2)"/>
      <sheetName val="Q4 CURRENCY"/>
      <sheetName val="APJSum"/>
      <sheetName val="AmeSum"/>
      <sheetName val="EMEASum"/>
      <sheetName val="HPCoSum"/>
      <sheetName val="OGSum"/>
      <sheetName val="WWSum"/>
      <sheetName val="Raw materials"/>
      <sheetName val="SUM14ZC1"/>
      <sheetName val="LOV"/>
      <sheetName val="DIO"/>
      <sheetName val="Funnel"/>
      <sheetName val="CURRQ4V2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Time Dimension Lookup"/>
      <sheetName val="FY01 Actuals"/>
      <sheetName val="FY00 Restated"/>
      <sheetName val="FY01 Quota"/>
      <sheetName val="CURRENCY_(2)"/>
      <sheetName val="Q4_CURRENCY"/>
      <sheetName val="产品"/>
      <sheetName val="SPals"/>
      <sheetName val="Comet ASPIRE"/>
      <sheetName val="Comet Sequential"/>
      <sheetName val="Comet yoy"/>
      <sheetName val="N- Level"/>
      <sheetName val="原始数据"/>
      <sheetName val="Av.Measures"/>
      <sheetName val="审核总览"/>
      <sheetName val="MCS"/>
      <sheetName val="Sheet1"/>
      <sheetName val="Spec"/>
      <sheetName val="Batch Comparison Template"/>
      <sheetName val="Stats Graph Template"/>
      <sheetName val="Foams"/>
      <sheetName val="Grid"/>
      <sheetName val="QC APPROVE SHEET"/>
      <sheetName val="3D ASPIRE Table"/>
      <sheetName val="Original"/>
      <sheetName val="Chart"/>
      <sheetName val="Comet Q202 Flash"/>
      <sheetName val="abbr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Dates"/>
      <sheetName val="EPR"/>
      <sheetName val="VSAMS Summary"/>
      <sheetName val="Glossary"/>
      <sheetName val="Contents"/>
      <sheetName val="Table"/>
      <sheetName val="Instru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Quantum Stds"/>
      <sheetName val="spp"/>
      <sheetName val="Table"/>
      <sheetName val="公司"/>
      <sheetName val="FP"/>
      <sheetName val="COS1"/>
      <sheetName val="工厂"/>
      <sheetName val="PL1"/>
      <sheetName val="经营体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供应商"/>
      <sheetName val="LOV"/>
      <sheetName val="產品基本信息"/>
      <sheetName val="Sheet1"/>
      <sheetName val="abbr"/>
      <sheetName val="3D ASPIRE Table"/>
      <sheetName val="HTP 2001"/>
      <sheetName val="Funnel"/>
      <sheetName val="产品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审核总览"/>
      <sheetName val="Time Dimension Lookup"/>
      <sheetName val="Spec"/>
      <sheetName val="Instructions"/>
      <sheetName val="FY03CostStructure"/>
      <sheetName val="k-line"/>
      <sheetName val="costos fw 52"/>
      <sheetName val="NCAB"/>
      <sheetName val="Pull HP Wide"/>
      <sheetName val="Pull All S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4by4"/>
      <sheetName val="TSGbyGBU"/>
      <sheetName val="TSGbyReg"/>
      <sheetName val="HPS"/>
      <sheetName val="CS"/>
      <sheetName val="MS"/>
      <sheetName val="BPO"/>
      <sheetName val="CI"/>
      <sheetName val="OSS"/>
      <sheetName val="ESS"/>
      <sheetName val="BCS"/>
      <sheetName val="ISS"/>
      <sheetName val="NSS"/>
      <sheetName val="OESS"/>
      <sheetName val="SW"/>
      <sheetName val="Ame"/>
      <sheetName val="EMEA"/>
      <sheetName val="APJ"/>
      <sheetName val="OG"/>
      <sheetName val="HPCo"/>
      <sheetName val="AmeSum"/>
      <sheetName val="EMEASum"/>
      <sheetName val="APJSum"/>
      <sheetName val="OGSum"/>
      <sheetName val="HPCoSum"/>
      <sheetName val="PL"/>
      <sheetName val="科目余额"/>
      <sheetName val="master"/>
      <sheetName val="PLALL"/>
      <sheetName val="Planet_Ame"/>
      <sheetName val="Planet_AP"/>
      <sheetName val="Planet_EMEA"/>
      <sheetName val="Planet_OG"/>
      <sheetName val="Planet_WW"/>
      <sheetName val="Source"/>
      <sheetName val="Q4 CURRENCY"/>
      <sheetName val="资产负债表"/>
      <sheetName val="FY01 Actuals"/>
      <sheetName val="FY00 Restated"/>
      <sheetName val="FY01 Quota"/>
      <sheetName val="tables"/>
      <sheetName val="Pull HP Wide"/>
      <sheetName val="Pull All SFs"/>
      <sheetName val="WWSum"/>
      <sheetName val="Comet ASPIRE"/>
      <sheetName val="Comet Sequential"/>
      <sheetName val="Comet yoy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CE96"/>
      <sheetName val="3D ASPIRE Table"/>
      <sheetName val="ASSUMPTIONS"/>
      <sheetName val="Validation"/>
      <sheetName val="MBB CASH BOOK"/>
      <sheetName val="EMEA_Express Service _LCL_04"/>
      <sheetName val="Activity"/>
      <sheetName val="Q4_CURRENCY"/>
      <sheetName val="FY01_Actuals"/>
      <sheetName val="FY00_Restated"/>
      <sheetName val="FY01_Quota"/>
      <sheetName val="Pull_HP_Wide"/>
      <sheetName val="Pull_All_SFs"/>
      <sheetName val="Q4_CURRENCY3"/>
      <sheetName val="FY01_Actuals3"/>
      <sheetName val="FY00_Restated3"/>
      <sheetName val="FY01_Quota3"/>
      <sheetName val="Pull_HP_Wide3"/>
      <sheetName val="Pull_All_SFs3"/>
      <sheetName val="Q4_CURRENCY1"/>
      <sheetName val="FY01_Actuals1"/>
      <sheetName val="FY00_Restated1"/>
      <sheetName val="FY01_Quota1"/>
      <sheetName val="Pull_HP_Wide1"/>
      <sheetName val="Pull_All_SFs1"/>
      <sheetName val="Q4_CURRENCY2"/>
      <sheetName val="FY01_Actuals2"/>
      <sheetName val="FY00_Restated2"/>
      <sheetName val="FY01_Quota2"/>
      <sheetName val="Pull_HP_Wide2"/>
      <sheetName val="Pull_All_SFs2"/>
      <sheetName val="Assumption"/>
      <sheetName val="Ass(SDMar-Apr)"/>
      <sheetName val="Plan SD"/>
      <sheetName val="SALES DEMAND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Q4_CURRENCY20"/>
      <sheetName val="FY01_Actuals20"/>
      <sheetName val="FY00_Restated20"/>
      <sheetName val="FY01_Quota20"/>
      <sheetName val="Pull_HP_Wide20"/>
      <sheetName val="Pull_All_SFs20"/>
      <sheetName val="Q4_CURRENCY4"/>
      <sheetName val="FY01_Actuals4"/>
      <sheetName val="FY00_Restated4"/>
      <sheetName val="FY01_Quota4"/>
      <sheetName val="Pull_HP_Wide4"/>
      <sheetName val="Pull_All_SFs4"/>
      <sheetName val="Q4_CURRENCY5"/>
      <sheetName val="FY01_Actuals5"/>
      <sheetName val="FY00_Restated5"/>
      <sheetName val="FY01_Quota5"/>
      <sheetName val="Pull_HP_Wide5"/>
      <sheetName val="Pull_All_SFs5"/>
      <sheetName val="Q4_CURRENCY6"/>
      <sheetName val="FY01_Actuals6"/>
      <sheetName val="FY00_Restated6"/>
      <sheetName val="FY01_Quota6"/>
      <sheetName val="Pull_HP_Wide6"/>
      <sheetName val="Pull_All_SFs6"/>
      <sheetName val="Q4_CURRENCY7"/>
      <sheetName val="FY01_Actuals7"/>
      <sheetName val="FY00_Restated7"/>
      <sheetName val="FY01_Quota7"/>
      <sheetName val="Pull_HP_Wide7"/>
      <sheetName val="Pull_All_SFs7"/>
      <sheetName val="Q4_CURRENCY8"/>
      <sheetName val="FY01_Actuals8"/>
      <sheetName val="FY00_Restated8"/>
      <sheetName val="FY01_Quota8"/>
      <sheetName val="Pull_HP_Wide8"/>
      <sheetName val="Pull_All_SFs8"/>
      <sheetName val="Q4_CURRENCY9"/>
      <sheetName val="FY01_Actuals9"/>
      <sheetName val="FY00_Restated9"/>
      <sheetName val="FY01_Quota9"/>
      <sheetName val="Pull_HP_Wide9"/>
      <sheetName val="Pull_All_SFs9"/>
      <sheetName val="Q4_CURRENCY10"/>
      <sheetName val="FY01_Actuals10"/>
      <sheetName val="FY00_Restated10"/>
      <sheetName val="FY01_Quota10"/>
      <sheetName val="Pull_HP_Wide10"/>
      <sheetName val="Pull_All_SFs10"/>
      <sheetName val="Q4_CURRENCY11"/>
      <sheetName val="FY01_Actuals11"/>
      <sheetName val="FY00_Restated11"/>
      <sheetName val="FY01_Quota11"/>
      <sheetName val="Pull_HP_Wide11"/>
      <sheetName val="Pull_All_SFs11"/>
      <sheetName val="Q4_CURRENCY12"/>
      <sheetName val="FY01_Actuals12"/>
      <sheetName val="FY00_Restated12"/>
      <sheetName val="FY01_Quota12"/>
      <sheetName val="Pull_HP_Wide12"/>
      <sheetName val="Pull_All_SFs12"/>
      <sheetName val="Q4_CURRENCY13"/>
      <sheetName val="FY01_Actuals13"/>
      <sheetName val="FY00_Restated13"/>
      <sheetName val="FY01_Quota13"/>
      <sheetName val="Pull_HP_Wide13"/>
      <sheetName val="Pull_All_SFs13"/>
      <sheetName val="Q4_CURRENCY14"/>
      <sheetName val="FY01_Actuals14"/>
      <sheetName val="FY00_Restated14"/>
      <sheetName val="FY01_Quota14"/>
      <sheetName val="Pull_HP_Wide14"/>
      <sheetName val="Pull_All_SFs14"/>
      <sheetName val="Q4_CURRENCY15"/>
      <sheetName val="FY01_Actuals15"/>
      <sheetName val="FY00_Restated15"/>
      <sheetName val="FY01_Quota15"/>
      <sheetName val="Pull_HP_Wide15"/>
      <sheetName val="Pull_All_SFs15"/>
      <sheetName val="Q4_CURRENCY17"/>
      <sheetName val="FY01_Actuals17"/>
      <sheetName val="FY00_Restated17"/>
      <sheetName val="FY01_Quota17"/>
      <sheetName val="Pull_HP_Wide17"/>
      <sheetName val="Pull_All_SFs17"/>
      <sheetName val="Q4_CURRENCY16"/>
      <sheetName val="FY01_Actuals16"/>
      <sheetName val="FY00_Restated16"/>
      <sheetName val="FY01_Quota16"/>
      <sheetName val="Pull_HP_Wide16"/>
      <sheetName val="Pull_All_SFs16"/>
      <sheetName val="Q4_CURRENCY18"/>
      <sheetName val="FY01_Actuals18"/>
      <sheetName val="FY00_Restated18"/>
      <sheetName val="FY01_Quota18"/>
      <sheetName val="Pull_HP_Wide18"/>
      <sheetName val="Pull_All_SFs18"/>
      <sheetName val="Q4_CURRENCY19"/>
      <sheetName val="FY01_Actuals19"/>
      <sheetName val="FY00_Restated19"/>
      <sheetName val="FY01_Quota19"/>
      <sheetName val="Pull_HP_Wide19"/>
      <sheetName val="Pull_All_SFs19"/>
      <sheetName val="Q4_CURRENCY21"/>
      <sheetName val="FY01_Actuals21"/>
      <sheetName val="FY00_Restated21"/>
      <sheetName val="FY01_Quota21"/>
      <sheetName val="Pull_HP_Wide21"/>
      <sheetName val="Pull_All_SFs21"/>
      <sheetName val="Q4_CURRENCY22"/>
      <sheetName val="FY01_Actuals22"/>
      <sheetName val="FY00_Restated22"/>
      <sheetName val="FY01_Quota22"/>
      <sheetName val="Pull_HP_Wide22"/>
      <sheetName val="Pull_All_SFs22"/>
      <sheetName val="Q4_CURRENCY26"/>
      <sheetName val="FY01_Actuals26"/>
      <sheetName val="FY00_Restated26"/>
      <sheetName val="FY01_Quota26"/>
      <sheetName val="Pull_HP_Wide26"/>
      <sheetName val="Pull_All_SFs26"/>
      <sheetName val="Q4_CURRENCY24"/>
      <sheetName val="FY01_Actuals24"/>
      <sheetName val="FY00_Restated24"/>
      <sheetName val="FY01_Quota24"/>
      <sheetName val="Pull_HP_Wide24"/>
      <sheetName val="Pull_All_SFs24"/>
      <sheetName val="Q4_CURRENCY23"/>
      <sheetName val="FY01_Actuals23"/>
      <sheetName val="FY00_Restated23"/>
      <sheetName val="FY01_Quota23"/>
      <sheetName val="Pull_HP_Wide23"/>
      <sheetName val="Pull_All_SFs23"/>
      <sheetName val="Q4_CURRENCY25"/>
      <sheetName val="FY01_Actuals25"/>
      <sheetName val="FY00_Restated25"/>
      <sheetName val="FY01_Quota25"/>
      <sheetName val="Pull_HP_Wide25"/>
      <sheetName val="Pull_All_SFs25"/>
      <sheetName val="Q4_CURRENCY29"/>
      <sheetName val="FY01_Actuals29"/>
      <sheetName val="FY00_Restated29"/>
      <sheetName val="FY01_Quota29"/>
      <sheetName val="Pull_HP_Wide29"/>
      <sheetName val="Pull_All_SFs29"/>
      <sheetName val="Q4_CURRENCY27"/>
      <sheetName val="FY01_Actuals27"/>
      <sheetName val="FY00_Restated27"/>
      <sheetName val="FY01_Quota27"/>
      <sheetName val="Pull_HP_Wide27"/>
      <sheetName val="Pull_All_SFs27"/>
      <sheetName val="Q4_CURRENCY28"/>
      <sheetName val="FY01_Actuals28"/>
      <sheetName val="FY00_Restated28"/>
      <sheetName val="FY01_Quota28"/>
      <sheetName val="Pull_HP_Wide28"/>
      <sheetName val="Pull_All_SFs28"/>
      <sheetName val="Q4_CURRENCY30"/>
      <sheetName val="FY01_Actuals30"/>
      <sheetName val="FY00_Restated30"/>
      <sheetName val="FY01_Quota30"/>
      <sheetName val="Pull_HP_Wide30"/>
      <sheetName val="Pull_All_SFs30"/>
      <sheetName val="Q4_CURRENCY31"/>
      <sheetName val="FY01_Actuals31"/>
      <sheetName val="FY00_Restated31"/>
      <sheetName val="FY01_Quota31"/>
      <sheetName val="Pull_HP_Wide31"/>
      <sheetName val="Pull_All_SFs31"/>
      <sheetName val="9100-PO"/>
      <sheetName val="Time Dimension Lookup"/>
      <sheetName val="三分厂04年1-12月销售价 "/>
      <sheetName val="05年1月销售价"/>
      <sheetName val="04年12月销售价"/>
      <sheetName val="选择报表"/>
      <sheetName val="敏感参数"/>
      <sheetName val="Summary Data"/>
      <sheetName val="敏感详细分析"/>
      <sheetName val="面积指标"/>
      <sheetName val="Q4_CURRENCY33"/>
      <sheetName val="FY01_Actuals33"/>
      <sheetName val="FY00_Restated33"/>
      <sheetName val="FY01_Quota33"/>
      <sheetName val="Pull_HP_Wide33"/>
      <sheetName val="Pull_All_SFs33"/>
      <sheetName val="MBB_CASH_BOOK1"/>
      <sheetName val="EMEA_Express_Service__LCL_041"/>
      <sheetName val="Plan_SD1"/>
      <sheetName val="SALES_DEMAND1"/>
      <sheetName val="Q4_CURRENCY32"/>
      <sheetName val="FY01_Actuals32"/>
      <sheetName val="FY00_Restated32"/>
      <sheetName val="FY01_Quota32"/>
      <sheetName val="Pull_HP_Wide32"/>
      <sheetName val="Pull_All_SFs32"/>
      <sheetName val="MBB_CASH_BOOK"/>
      <sheetName val="EMEA_Express_Service__LCL_04"/>
      <sheetName val="Plan_SD"/>
      <sheetName val="SALES_DEMAND"/>
      <sheetName val="Q4_CURRENCY42"/>
      <sheetName val="FY01_Actuals42"/>
      <sheetName val="FY00_Restated42"/>
      <sheetName val="FY01_Quota42"/>
      <sheetName val="Pull_HP_Wide42"/>
      <sheetName val="Pull_All_SFs42"/>
      <sheetName val="MBB_CASH_BOOK10"/>
      <sheetName val="EMEA_Express_Service__LCL_0410"/>
      <sheetName val="Plan_SD10"/>
      <sheetName val="SALES_DEMAND10"/>
      <sheetName val="Time_Dimension_Lookup2"/>
      <sheetName val="三分厂04年1-12月销售价_2"/>
      <sheetName val="Summary_Data2"/>
      <sheetName val="Q4_CURRENCY36"/>
      <sheetName val="FY01_Actuals36"/>
      <sheetName val="FY00_Restated36"/>
      <sheetName val="FY01_Quota36"/>
      <sheetName val="Pull_HP_Wide36"/>
      <sheetName val="Pull_All_SFs36"/>
      <sheetName val="MBB_CASH_BOOK4"/>
      <sheetName val="EMEA_Express_Service__LCL_044"/>
      <sheetName val="Plan_SD4"/>
      <sheetName val="SALES_DEMAND4"/>
      <sheetName val="Q4_CURRENCY34"/>
      <sheetName val="FY01_Actuals34"/>
      <sheetName val="FY00_Restated34"/>
      <sheetName val="FY01_Quota34"/>
      <sheetName val="Pull_HP_Wide34"/>
      <sheetName val="Pull_All_SFs34"/>
      <sheetName val="MBB_CASH_BOOK2"/>
      <sheetName val="EMEA_Express_Service__LCL_042"/>
      <sheetName val="Plan_SD2"/>
      <sheetName val="SALES_DEMAND2"/>
      <sheetName val="Q4_CURRENCY35"/>
      <sheetName val="FY01_Actuals35"/>
      <sheetName val="FY00_Restated35"/>
      <sheetName val="FY01_Quota35"/>
      <sheetName val="Pull_HP_Wide35"/>
      <sheetName val="Pull_All_SFs35"/>
      <sheetName val="MBB_CASH_BOOK3"/>
      <sheetName val="EMEA_Express_Service__LCL_043"/>
      <sheetName val="Plan_SD3"/>
      <sheetName val="SALES_DEMAND3"/>
      <sheetName val="Q4_CURRENCY39"/>
      <sheetName val="FY01_Actuals39"/>
      <sheetName val="FY00_Restated39"/>
      <sheetName val="FY01_Quota39"/>
      <sheetName val="Pull_HP_Wide39"/>
      <sheetName val="Pull_All_SFs39"/>
      <sheetName val="MBB_CASH_BOOK7"/>
      <sheetName val="EMEA_Express_Service__LCL_047"/>
      <sheetName val="Plan_SD7"/>
      <sheetName val="SALES_DEMAND7"/>
      <sheetName val="Q4_CURRENCY37"/>
      <sheetName val="FY01_Actuals37"/>
      <sheetName val="FY00_Restated37"/>
      <sheetName val="FY01_Quota37"/>
      <sheetName val="Pull_HP_Wide37"/>
      <sheetName val="Pull_All_SFs37"/>
      <sheetName val="MBB_CASH_BOOK5"/>
      <sheetName val="EMEA_Express_Service__LCL_045"/>
      <sheetName val="Plan_SD5"/>
      <sheetName val="SALES_DEMAND5"/>
      <sheetName val="Q4_CURRENCY38"/>
      <sheetName val="FY01_Actuals38"/>
      <sheetName val="FY00_Restated38"/>
      <sheetName val="FY01_Quota38"/>
      <sheetName val="Pull_HP_Wide38"/>
      <sheetName val="Pull_All_SFs38"/>
      <sheetName val="MBB_CASH_BOOK6"/>
      <sheetName val="EMEA_Express_Service__LCL_046"/>
      <sheetName val="Plan_SD6"/>
      <sheetName val="SALES_DEMAND6"/>
      <sheetName val="Q4_CURRENCY40"/>
      <sheetName val="FY01_Actuals40"/>
      <sheetName val="FY00_Restated40"/>
      <sheetName val="FY01_Quota40"/>
      <sheetName val="Pull_HP_Wide40"/>
      <sheetName val="Pull_All_SFs40"/>
      <sheetName val="MBB_CASH_BOOK8"/>
      <sheetName val="EMEA_Express_Service__LCL_048"/>
      <sheetName val="Plan_SD8"/>
      <sheetName val="SALES_DEMAND8"/>
      <sheetName val="Time_Dimension_Lookup"/>
      <sheetName val="三分厂04年1-12月销售价_"/>
      <sheetName val="Summary_Data"/>
      <sheetName val="Q4_CURRENCY41"/>
      <sheetName val="FY01_Actuals41"/>
      <sheetName val="FY00_Restated41"/>
      <sheetName val="FY01_Quota41"/>
      <sheetName val="Pull_HP_Wide41"/>
      <sheetName val="Pull_All_SFs41"/>
      <sheetName val="MBB_CASH_BOOK9"/>
      <sheetName val="EMEA_Express_Service__LCL_049"/>
      <sheetName val="Plan_SD9"/>
      <sheetName val="SALES_DEMAND9"/>
      <sheetName val="Time_Dimension_Lookup1"/>
      <sheetName val="三分厂04年1-12月销售价_1"/>
      <sheetName val="Summary_Data1"/>
      <sheetName val="MCS"/>
      <sheetName val="通貨一覧"/>
      <sheetName val="Basic PMM"/>
      <sheetName val="Full PMM"/>
      <sheetName val="工厂"/>
      <sheetName val="Instructions"/>
      <sheetName val="Q4_CURRENCY43"/>
      <sheetName val="FY01_Actuals43"/>
      <sheetName val="FY00_Restated43"/>
      <sheetName val="FY01_Quota43"/>
      <sheetName val="Pull_HP_Wide43"/>
      <sheetName val="Pull_All_SFs43"/>
      <sheetName val="MBB_CASH_BOOK11"/>
      <sheetName val="EMEA_Express_Service__LCL_0411"/>
      <sheetName val="Plan_SD11"/>
      <sheetName val="SALES_DEMAND11"/>
      <sheetName val="Time_Dimension_Lookup3"/>
      <sheetName val="三分厂04年1-12月销售价_3"/>
      <sheetName val="Summary_Data3"/>
      <sheetName val="Q4_CURRENCY44"/>
      <sheetName val="FY01_Actuals44"/>
      <sheetName val="FY00_Restated44"/>
      <sheetName val="FY01_Quota44"/>
      <sheetName val="Pull_HP_Wide44"/>
      <sheetName val="Pull_All_SFs44"/>
      <sheetName val="MBB_CASH_BOOK12"/>
      <sheetName val="EMEA_Express_Service__LCL_0412"/>
      <sheetName val="Plan_SD12"/>
      <sheetName val="SALES_DEMAND12"/>
      <sheetName val="Time_Dimension_Lookup4"/>
      <sheetName val="三分厂04年1-12月销售价_4"/>
      <sheetName val="Summary_Data4"/>
      <sheetName val="Q4_CURRENCY45"/>
      <sheetName val="FY01_Actuals45"/>
      <sheetName val="FY00_Restated45"/>
      <sheetName val="FY01_Quota45"/>
      <sheetName val="Pull_HP_Wide45"/>
      <sheetName val="Pull_All_SFs45"/>
      <sheetName val="MBB_CASH_BOOK13"/>
      <sheetName val="EMEA_Express_Service__LCL_0413"/>
      <sheetName val="Plan_SD13"/>
      <sheetName val="SALES_DEMAND13"/>
      <sheetName val="Time_Dimension_Lookup5"/>
      <sheetName val="三分厂04年1-12月销售价_5"/>
      <sheetName val="Summary_Data5"/>
      <sheetName val="Q4_CURRENCY46"/>
      <sheetName val="FY01_Actuals46"/>
      <sheetName val="FY00_Restated46"/>
      <sheetName val="FY01_Quota46"/>
      <sheetName val="Pull_HP_Wide46"/>
      <sheetName val="Pull_All_SFs46"/>
      <sheetName val="MBB_CASH_BOOK14"/>
      <sheetName val="EMEA_Express_Service__LCL_0414"/>
      <sheetName val="Plan_SD14"/>
      <sheetName val="SALES_DEMAND14"/>
      <sheetName val="Time_Dimension_Lookup6"/>
      <sheetName val="三分厂04年1-12月销售价_6"/>
      <sheetName val="Summary_Data6"/>
      <sheetName val="Q4_CURRENCY47"/>
      <sheetName val="FY01_Actuals47"/>
      <sheetName val="FY00_Restated47"/>
      <sheetName val="FY01_Quota47"/>
      <sheetName val="Pull_HP_Wide47"/>
      <sheetName val="Pull_All_SFs47"/>
      <sheetName val="MBB_CASH_BOOK15"/>
      <sheetName val="EMEA_Express_Service__LCL_0415"/>
      <sheetName val="Plan_SD15"/>
      <sheetName val="SALES_DEMAND15"/>
      <sheetName val="Time_Dimension_Lookup7"/>
      <sheetName val="三分厂04年1-12月销售价_7"/>
      <sheetName val="Summary_Data7"/>
      <sheetName val="Q4_CURRENCY48"/>
      <sheetName val="FY01_Actuals48"/>
      <sheetName val="FY00_Restated48"/>
      <sheetName val="FY01_Quota48"/>
      <sheetName val="Pull_HP_Wide48"/>
      <sheetName val="Pull_All_SFs48"/>
      <sheetName val="MBB_CASH_BOOK16"/>
      <sheetName val="EMEA_Express_Service__LCL_0416"/>
      <sheetName val="Plan_SD16"/>
      <sheetName val="SALES_DEMAND16"/>
      <sheetName val="Time_Dimension_Lookup8"/>
      <sheetName val="三分厂04年1-12月销售价_8"/>
      <sheetName val="Summary_Data8"/>
      <sheetName val="Q4_CURRENCY50"/>
      <sheetName val="FY01_Actuals50"/>
      <sheetName val="FY00_Restated50"/>
      <sheetName val="FY01_Quota50"/>
      <sheetName val="Pull_HP_Wide50"/>
      <sheetName val="Pull_All_SFs50"/>
      <sheetName val="MBB_CASH_BOOK18"/>
      <sheetName val="EMEA_Express_Service__LCL_0418"/>
      <sheetName val="Plan_SD18"/>
      <sheetName val="SALES_DEMAND18"/>
      <sheetName val="Time_Dimension_Lookup10"/>
      <sheetName val="三分厂04年1-12月销售价_10"/>
      <sheetName val="Summary_Data10"/>
      <sheetName val="Q4_CURRENCY49"/>
      <sheetName val="FY01_Actuals49"/>
      <sheetName val="FY00_Restated49"/>
      <sheetName val="FY01_Quota49"/>
      <sheetName val="Pull_HP_Wide49"/>
      <sheetName val="Pull_All_SFs49"/>
      <sheetName val="MBB_CASH_BOOK17"/>
      <sheetName val="EMEA_Express_Service__LCL_0417"/>
      <sheetName val="Plan_SD17"/>
      <sheetName val="SALES_DEMAND17"/>
      <sheetName val="Time_Dimension_Lookup9"/>
      <sheetName val="三分厂04年1-12月销售价_9"/>
      <sheetName val="Summary_Data9"/>
      <sheetName val="Q4_CURRENCY51"/>
      <sheetName val="FY01_Actuals51"/>
      <sheetName val="FY00_Restated51"/>
      <sheetName val="FY01_Quota51"/>
      <sheetName val="Pull_HP_Wide51"/>
      <sheetName val="Pull_All_SFs51"/>
      <sheetName val="MBB_CASH_BOOK19"/>
      <sheetName val="EMEA_Express_Service__LCL_0419"/>
      <sheetName val="Plan_SD19"/>
      <sheetName val="SALES_DEMAND19"/>
      <sheetName val="Time_Dimension_Lookup11"/>
      <sheetName val="三分厂04年1-12月销售价_11"/>
      <sheetName val="Summary_Data11"/>
      <sheetName val="Input area"/>
      <sheetName val="GWL-RUNING"/>
      <sheetName val="COMPON"/>
      <sheetName val="BILLCONT"/>
      <sheetName val="Av.Measures"/>
      <sheetName val="Data"/>
      <sheetName val="FCG"/>
      <sheetName val="单元格下拉项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Spec"/>
      <sheetName val="FY03CostStructure"/>
      <sheetName val="Detail pg 5"/>
      <sheetName val="Hidden"/>
      <sheetName val="Panel"/>
      <sheetName val="Funnel"/>
      <sheetName val="Q4_CURRENCY52"/>
      <sheetName val="FY01_Actuals52"/>
      <sheetName val="FY00_Restated52"/>
      <sheetName val="FY01_Quota52"/>
      <sheetName val="Pull_HP_Wide52"/>
      <sheetName val="Pull_All_SFs52"/>
      <sheetName val="MBB_CASH_BOOK20"/>
      <sheetName val="EMEA_Express_Service__LCL_0420"/>
      <sheetName val="Plan_SD20"/>
      <sheetName val="SALES_DEMAND20"/>
      <sheetName val="Time_Dimension_Lookup12"/>
      <sheetName val="三分厂04年1-12月销售价_12"/>
      <sheetName val="Summary_Data12"/>
      <sheetName val="家属随迁费用（FS 4人）"/>
      <sheetName val="feeDetails"/>
      <sheetName val="Start Here!"/>
      <sheetName val="Master Data"/>
      <sheetName val="Planner"/>
      <sheetName val="Collateral"/>
      <sheetName val="Disposition"/>
      <sheetName val="ANALISIS"/>
      <sheetName val="ZBANCHE"/>
      <sheetName val="XL4Poppy"/>
      <sheetName val="SPals"/>
      <sheetName val="BaaN FW47"/>
      <sheetName val="Sep BaaN"/>
      <sheetName val="MP2006 data"/>
      <sheetName val="Input FX Rates"/>
      <sheetName val="Input Dates"/>
      <sheetName val="Batch Comparison Template"/>
      <sheetName val="Stats Graph Template"/>
      <sheetName val="AR Signature Page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NCAB"/>
      <sheetName val="LOV"/>
      <sheetName val="abbr"/>
      <sheetName val="WI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OUTPUT - KPI"/>
      <sheetName val="OUTPUT - Charts"/>
      <sheetName val="INPUT - Data Table"/>
      <sheetName val="FINANCE&gt;&gt;"/>
      <sheetName val="P&amp;L Restated"/>
      <sheetName val="Margins"/>
      <sheetName val="Costs"/>
      <sheetName val="Balance Sheet"/>
      <sheetName val="Reforecast"/>
      <sheetName val="Imported Data&gt;&gt;"/>
      <sheetName val="Top priority list"/>
      <sheetName val="Audit"/>
      <sheetName val="Staff Action Plan"/>
      <sheetName val="Staff Variance"/>
      <sheetName val="GLR INPUTS&gt;&gt;"/>
      <sheetName val="Factory P&amp;L restated"/>
      <sheetName val="Factory P&amp;L Traditional"/>
      <sheetName val="Factory Sales &amp; Margins"/>
      <sheetName val="Factory Overheads"/>
      <sheetName val="Factory Variances"/>
      <sheetName val="Budget Data by mth"/>
      <sheetName val="Bal Sheet"/>
      <sheetName val="APJSum"/>
      <sheetName val="AmeSum"/>
      <sheetName val="EMEASum"/>
      <sheetName val="HPCoSum"/>
      <sheetName val="OGSum"/>
      <sheetName val="WWSum"/>
      <sheetName val="Spec"/>
      <sheetName val="Batch Comparison Template"/>
      <sheetName val="Stats Graph Template"/>
      <sheetName val="Comet ASPIRE"/>
      <sheetName val="Comet Sequential"/>
      <sheetName val="Comet yoy"/>
      <sheetName val="FY03CostStructure"/>
      <sheetName val="Basic PMM"/>
      <sheetName val="Full PMM"/>
      <sheetName val="Dates"/>
      <sheetName val="EPR"/>
      <sheetName val="VSAMS Summary"/>
      <sheetName val="Glossary"/>
      <sheetName val="abbr"/>
      <sheetName val="Contents"/>
      <sheetName val="Pull HP Wide"/>
      <sheetName val="Pull All SFs"/>
      <sheetName val="產品基本信息"/>
      <sheetName val="AR Signature Page"/>
      <sheetName val="00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NEW003"/>
      <sheetName val="公司"/>
      <sheetName val="工厂"/>
      <sheetName val="经营体"/>
      <sheetName val="供应商"/>
      <sheetName val="SUM14ZC1"/>
      <sheetName val="ANALISIS"/>
      <sheetName val="NVA-300T返品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SUM14ZC1"/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WIBLE"/>
      <sheetName val="工厂"/>
      <sheetName val="FY01 Actuals"/>
      <sheetName val="Comet ASPIRE"/>
      <sheetName val="FY00 Restated"/>
      <sheetName val="Comet Sequential"/>
      <sheetName val="FY01 Quota"/>
      <sheetName val="Comet yoy"/>
      <sheetName val="Pull HP Wide"/>
      <sheetName val="Pull All SFs"/>
      <sheetName val="Summary"/>
      <sheetName val="Safety _ P_A"/>
      <sheetName val="Ref1"/>
      <sheetName val="Top Lvl  Logic"/>
      <sheetName val="AR Signature Page"/>
      <sheetName val="公司"/>
      <sheetName val="经营体"/>
      <sheetName val="供应商"/>
      <sheetName val="LOV"/>
      <sheetName val="3D ASPIRE Table"/>
      <sheetName val="sheet4"/>
      <sheetName val="sheet6"/>
      <sheetName val="sheet96"/>
      <sheetName val="sheet100"/>
      <sheetName val="sheet900"/>
      <sheetName val="NVA-300T返品リスト"/>
      <sheetName val="22年计划"/>
      <sheetName val="审核总览"/>
      <sheetName val="PLALL"/>
      <sheetName val="Instructions"/>
      <sheetName val="XL4Poppy"/>
      <sheetName val="Batch Comparison Template"/>
      <sheetName val="FA-LISTING"/>
      <sheetName val="BaaN FW47"/>
      <sheetName val="APJSum"/>
      <sheetName val="AmeSum"/>
      <sheetName val="EMEASum"/>
      <sheetName val="HPCoSum"/>
      <sheetName val="OGSum"/>
      <sheetName val="WWSum"/>
      <sheetName val="Sep BaaN"/>
      <sheetName val="Stats Graph Template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Dates"/>
      <sheetName val="EPR"/>
      <sheetName val="VSAMS Summary"/>
      <sheetName val="Glossary"/>
      <sheetName val="產品基本信息"/>
      <sheetName val="Spec"/>
      <sheetName val="분리멀티형"/>
      <sheetName val="Av.Measures"/>
      <sheetName val="Q4 CURRENCY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FCG"/>
      <sheetName val="Basic PMM"/>
      <sheetName val="Full PMM"/>
      <sheetName val="FY03CostStructure"/>
      <sheetName val="Parts"/>
      <sheetName val="Process"/>
      <sheetName val="Meas Acceptance Template"/>
      <sheetName val="Meas Indv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10. Thermal Limiter Test"/>
      <sheetName val="Photos"/>
      <sheetName val="CA Numbers"/>
      <sheetName val="Index"/>
      <sheetName val="Original"/>
      <sheetName val="Instructions"/>
      <sheetName val="Basic PMM"/>
      <sheetName val="Full PMM"/>
      <sheetName val="AmeSum"/>
      <sheetName val="审核总览"/>
      <sheetName val="公司"/>
      <sheetName val="produccion"/>
      <sheetName val="HTP 2001"/>
      <sheetName val="Funnel"/>
      <sheetName val="工厂"/>
      <sheetName val="经营体"/>
      <sheetName val="produccion Nov"/>
      <sheetName val="Oct Production"/>
      <sheetName val="Oct FW42 BaaN"/>
      <sheetName val="Quantum Stds 12-3-01"/>
      <sheetName val="Quantum Stds prev"/>
      <sheetName val="供应商"/>
      <sheetName val="Table"/>
      <sheetName val="3D ASPIRE Table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01_宏命令库"/>
      <sheetName val="Chart"/>
      <sheetName val="NEW003"/>
      <sheetName val="AR Signature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hart"/>
      <sheetName val="Batch Comparison Template"/>
      <sheetName val="Stats Graph Template"/>
      <sheetName val="FY03CostStructure"/>
      <sheetName val="產品基本信息"/>
      <sheetName val="Q4 CURRENCY"/>
      <sheetName val="Basic PMM"/>
      <sheetName val="Full PMM"/>
      <sheetName val="PLALL"/>
      <sheetName val="数据输入"/>
      <sheetName val="评价矩阵"/>
      <sheetName val="行动计划"/>
      <sheetName val="abbr"/>
      <sheetName val="3D ASPIRE Table"/>
      <sheetName val="FY01 Actuals"/>
      <sheetName val="FY00 Restated"/>
      <sheetName val="FY01 Quota"/>
      <sheetName val="Capability Study Form"/>
      <sheetName val="LOV"/>
      <sheetName val="公司"/>
      <sheetName val="Safety _ P_A"/>
      <sheetName val="工厂"/>
      <sheetName val="经营体"/>
      <sheetName val="供应商"/>
      <sheetName val="Total Financials"/>
      <sheetName val="Sheet2"/>
      <sheetName val="Raw material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审核总览"/>
      <sheetName val="Planet_Ame"/>
      <sheetName val="Planet_AP"/>
      <sheetName val="Planet_EMEA"/>
      <sheetName val="Planet_OG"/>
      <sheetName val="Planet_WW"/>
      <sheetName val="72HX"/>
      <sheetName val="75EX"/>
      <sheetName val="72HY"/>
      <sheetName val="75EY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Comet ASPIRE"/>
      <sheetName val="Comet Sequential"/>
      <sheetName val="Comet yoy"/>
      <sheetName val="SUM14ZC1"/>
      <sheetName val="tables"/>
      <sheetName val="Pull HP Wide"/>
      <sheetName val="Pull All SFs"/>
      <sheetName val="FA-LISTING"/>
      <sheetName val="APJSum"/>
      <sheetName val="AmeSum"/>
      <sheetName val="EMEASum"/>
      <sheetName val="HPCoSum"/>
      <sheetName val="OGSum"/>
      <sheetName val="WWSum"/>
      <sheetName val="Instructions"/>
      <sheetName val="Dates"/>
      <sheetName val="产品"/>
      <sheetName val="EPR"/>
      <sheetName val="VSAMS Summary"/>
      <sheetName val="Glossary"/>
      <sheetName val="abril"/>
      <sheetName val="april Dante"/>
      <sheetName val="June Dante"/>
      <sheetName val="junio"/>
      <sheetName val="POs"/>
      <sheetName val="mayo"/>
      <sheetName val="May Dante"/>
      <sheetName val="Oct-Mz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供应商"/>
      <sheetName val="公司"/>
      <sheetName val="工厂"/>
      <sheetName val="经营体"/>
      <sheetName val="线体"/>
      <sheetName val="#REF"/>
      <sheetName val="產品基本信息"/>
      <sheetName val="工程不良率"/>
      <sheetName val="3D ASPIRE Table"/>
      <sheetName val="Batch Comparison Template"/>
      <sheetName val="Stats Graph Template"/>
      <sheetName val="审核总览"/>
      <sheetName val="FY03CostStructure"/>
      <sheetName val="FY01 Actuals"/>
      <sheetName val="FY00 Restated"/>
      <sheetName val="FY01 Qu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OUTPUT - KPI"/>
      <sheetName val="OUTPUT - Charts"/>
      <sheetName val="INPUT - Data Table"/>
      <sheetName val="FINANCE&gt;&gt;"/>
      <sheetName val="Mngt P&amp;L"/>
      <sheetName val="Margins"/>
      <sheetName val="Overhead"/>
      <sheetName val="Reforecast"/>
      <sheetName val="Stat P&amp;L"/>
      <sheetName val="Imported Data&gt;&gt;"/>
      <sheetName val="Quality KPI"/>
      <sheetName val="Quality Actions"/>
      <sheetName val="Top Priority"/>
      <sheetName val="Minutes"/>
      <sheetName val="Audit"/>
      <sheetName val="Staff Action Plan"/>
      <sheetName val="Staff Variance"/>
      <sheetName val="Staff Number"/>
      <sheetName val="Inv Holding"/>
      <sheetName val="GLR INPUTS&gt;&gt;"/>
      <sheetName val="P&amp;L - mngt"/>
      <sheetName val="P&amp;L - restated"/>
      <sheetName val="Variable Ohead"/>
      <sheetName val="Group Ohead"/>
      <sheetName val="P&amp;L - Stat"/>
      <sheetName val="Factory Overheads"/>
      <sheetName val="Factory Sales &amp; Margins"/>
      <sheetName val="Electronics"/>
      <sheetName val="Quality ldy"/>
      <sheetName val="Quality Ref"/>
      <sheetName val="FY12 Bus Plan"/>
      <sheetName val="Quality KPIs"/>
      <sheetName val="Quality Overall"/>
      <sheetName val="Q Action Ldy AQS"/>
      <sheetName val="Q Action Ldy SD"/>
      <sheetName val="Warranty issue 610"/>
      <sheetName val="Warranty Issue 522B"/>
      <sheetName val="Warranty issue E442B"/>
      <sheetName val="Q Action Plan Ref"/>
      <sheetName val="Cost quality"/>
      <sheetName val="Staff Vacancy"/>
      <sheetName val="Staff Turnover"/>
      <sheetName val="Production Plan"/>
      <sheetName val="Budgets - other"/>
      <sheetName val="Capex"/>
      <sheetName val="Copy of TB"/>
      <sheetName val="FY03CostStructure"/>
      <sheetName val="3D ASPIRE Table"/>
      <sheetName val="AmeSum"/>
      <sheetName val="Spec"/>
      <sheetName val="產品基本信息"/>
      <sheetName val="Dates"/>
      <sheetName val="EPR"/>
      <sheetName val="VSAMS Summary"/>
      <sheetName val="Glossary"/>
      <sheetName val="ＴＦ関連Ｐｒｊ日程表"/>
      <sheetName val="FP"/>
      <sheetName val="Time Dimension Lookup"/>
      <sheetName val="审核总览"/>
      <sheetName val="LOV"/>
      <sheetName val="SUM14ZC1"/>
      <sheetName val="abbr"/>
      <sheetName val="Tables"/>
      <sheetName val="Raw materials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MCS"/>
      <sheetName val="#ofclose .xl"/>
      <sheetName val="NCAB"/>
      <sheetName val="Table"/>
      <sheetName val="Comet ASPIRE"/>
      <sheetName val="Comet Sequential"/>
      <sheetName val="Comet yoy"/>
      <sheetName val="Pull HP Wide"/>
      <sheetName val="Pull All S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产品"/>
      <sheetName val="產品基本信息"/>
      <sheetName val="Instructions"/>
      <sheetName val="Dates"/>
      <sheetName val="EPR"/>
      <sheetName val="VSAMS Summary"/>
      <sheetName val="Glossary"/>
      <sheetName val="Basic PMM"/>
      <sheetName val="公司"/>
      <sheetName val="工厂"/>
      <sheetName val="Full PMM"/>
      <sheetName val="经营体"/>
      <sheetName val="供应商"/>
      <sheetName val="LOV"/>
      <sheetName val="Summary"/>
      <sheetName val="Histogram"/>
      <sheetName val="FY03CostStructure"/>
      <sheetName val="FP"/>
      <sheetName val="Time Dimension Lookup"/>
      <sheetName val="AmeSum"/>
      <sheetName val="3D ASPIRE Table"/>
      <sheetName val="APJSum"/>
      <sheetName val="EMEASum"/>
      <sheetName val="HPCoSum"/>
      <sheetName val="OGSum"/>
      <sheetName val="WWSum"/>
      <sheetName val="#ofclose .xl"/>
      <sheetName val="ＴＦ関連Ｐｒｊ日程表"/>
      <sheetName val="SUM14ZC1"/>
      <sheetName val="spp"/>
      <sheetName val="BaaN FW47"/>
      <sheetName val="Sep BaaN"/>
      <sheetName val="Pull HP Wide"/>
      <sheetName val="Pull All S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July BaaN"/>
      <sheetName val="Aug BaaN"/>
      <sheetName val="Sep BaaN"/>
      <sheetName val="July"/>
      <sheetName val="Aug"/>
      <sheetName val="Sep"/>
      <sheetName val="Oct FW42 BaaN"/>
      <sheetName val="Quantum Stds prev"/>
      <sheetName val="po prices prev"/>
      <sheetName val="Oct Production"/>
      <sheetName val="Quantum po model"/>
      <sheetName val="Hoja1"/>
      <sheetName val="produccion Nov"/>
      <sheetName val="Quantum Stds 12-3-01"/>
      <sheetName val="International"/>
      <sheetName val="costos fw 47 BaaN"/>
      <sheetName val="po 12-3-01"/>
      <sheetName val="produccion"/>
      <sheetName val="costos fw 52"/>
      <sheetName val="details"/>
      <sheetName val="arex1"/>
      <sheetName val="spp"/>
      <sheetName val="公司"/>
      <sheetName val="工厂"/>
      <sheetName val="经营体"/>
      <sheetName val="供应商"/>
      <sheetName val="3D ASPIRE Table"/>
      <sheetName val="產品基本信息"/>
      <sheetName val="Sales Units (3)"/>
      <sheetName val="abbr"/>
      <sheetName val="Spec"/>
      <sheetName val="LOV"/>
      <sheetName val="Dates"/>
      <sheetName val="EPR"/>
      <sheetName val="VSAMS Summary"/>
      <sheetName val="Glossary"/>
      <sheetName val="AmeSum"/>
      <sheetName val="BaaN FW47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产品"/>
      <sheetName val="Q4 CURRENCY"/>
      <sheetName val="Table"/>
      <sheetName val="Time Dimension Lookup"/>
      <sheetName val="审核总览"/>
      <sheetName val="Grafvta00 (2)"/>
      <sheetName val="Instructions"/>
      <sheetName val="MCS"/>
      <sheetName val="Chart"/>
      <sheetName val="SUM14ZC1"/>
      <sheetName val="Launch Costs TMNF"/>
      <sheetName val="April Antonio"/>
      <sheetName val="5+7 plan"/>
      <sheetName val="WI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FP"/>
      <sheetName val="Time Dimension Lookup"/>
      <sheetName val="公司"/>
      <sheetName val="工厂"/>
      <sheetName val="经营体"/>
      <sheetName val="供应商"/>
      <sheetName val="LOV"/>
      <sheetName val="APJSum"/>
      <sheetName val="AmeSum"/>
      <sheetName val="EMEASum"/>
      <sheetName val="HPCoSum"/>
      <sheetName val="OGSum"/>
      <sheetName val="WWSum"/>
      <sheetName val="MCS"/>
      <sheetName val="FY03CostStructure"/>
      <sheetName val="LRR Summary"/>
      <sheetName val="PLALL"/>
      <sheetName val="COS1"/>
      <sheetName val="Q4 CURRENCY"/>
      <sheetName val="PL1"/>
      <sheetName val="분리멀티형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Funnel"/>
      <sheetName val="Safety _ P_A"/>
      <sheetName val="评价矩阵"/>
      <sheetName val="数据输入"/>
      <sheetName val="Dates"/>
      <sheetName val="spp"/>
      <sheetName val="costos fw 52"/>
      <sheetName val="EPR"/>
      <sheetName val="VSAMS Summary"/>
      <sheetName val="Glossary"/>
      <sheetName val="审核总览"/>
      <sheetName val="5+7 plan"/>
      <sheetName val="NEW003"/>
      <sheetName val="Original"/>
      <sheetName val="FCG"/>
      <sheetName val="Chart"/>
      <sheetName val="NCAB"/>
      <sheetName val="72HX"/>
      <sheetName val="75EX"/>
      <sheetName val="72HY"/>
      <sheetName val="75EY"/>
      <sheetName val="Sheet2"/>
      <sheetName val="Foams"/>
      <sheetName val="Grid"/>
      <sheetName val="Sheet1"/>
      <sheetName val="Basic PMM"/>
      <sheetName val="產品基本信息"/>
      <sheetName val="Full P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Grafvta00 (2)"/>
      <sheetName val="Grafvta00"/>
      <sheetName val="Grafvta00 (3)"/>
      <sheetName val="Foams"/>
      <sheetName val="Refrigerants"/>
      <sheetName val="5+7 plan"/>
      <sheetName val="produccion"/>
      <sheetName val="produccion Nov"/>
      <sheetName val="Oct Production"/>
      <sheetName val="Oct FW42 BaaN"/>
      <sheetName val="Quantum Stds 12-3-01"/>
      <sheetName val="Quantum Stds prev"/>
      <sheetName val="Table"/>
      <sheetName val="FP"/>
      <sheetName val="Time Dimension Lookup"/>
      <sheetName val="Quantum Stds 12-4-01"/>
      <sheetName val="Raw materials"/>
      <sheetName val="FY03CostStructure"/>
      <sheetName val="Grid"/>
      <sheetName val="Chart"/>
      <sheetName val="Spec"/>
      <sheetName val="abbr"/>
      <sheetName val="NEW003"/>
      <sheetName val="Safety _ P_A"/>
      <sheetName val="costos fw 52"/>
      <sheetName val="LOV"/>
      <sheetName val="產品基本信息"/>
      <sheetName val="Sheet1"/>
      <sheetName val="Q4 CURRENCY"/>
      <sheetName val="GRAFVTAMEX"/>
      <sheetName val="Launch Costs TMNF"/>
      <sheetName val="April Antonio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Oct FW42 BaaN for G-Line"/>
      <sheetName val="Total Financials"/>
      <sheetName val="评价矩阵"/>
      <sheetName val="数据输入"/>
      <sheetName val="Original"/>
      <sheetName val="Instructions"/>
      <sheetName val="HTP 2001"/>
      <sheetName val="Funnel"/>
      <sheetName val="产品"/>
      <sheetName val="spp"/>
      <sheetName val="GE 2001"/>
      <sheetName val="Batch Comparison Template"/>
      <sheetName val="Stats Graph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July BaaN"/>
      <sheetName val="Aug BaaN"/>
      <sheetName val="Sep BaaN"/>
      <sheetName val="July"/>
      <sheetName val="Aug"/>
      <sheetName val="Sep"/>
      <sheetName val="Oct FW42 BaaN"/>
      <sheetName val="po prices"/>
      <sheetName val="Oct Production"/>
      <sheetName val="fw44 baan"/>
      <sheetName val="Oct FW42 BaaN for mat"/>
      <sheetName val="Oct FW42 BaaN for G-Line"/>
      <sheetName val="Quantum Stds"/>
      <sheetName val="details"/>
      <sheetName val="po list"/>
      <sheetName val="material summary"/>
      <sheetName val="arex1"/>
      <sheetName val="2002"/>
      <sheetName val="Hoja1"/>
      <sheetName val="W721"/>
      <sheetName val="Foams"/>
      <sheetName val="Refrigerants"/>
      <sheetName val="Q4 CURRENCY"/>
      <sheetName val="Materials Standard to Standard "/>
      <sheetName val="costos fw 52"/>
      <sheetName val="Table"/>
      <sheetName val="自制件材料价格"/>
      <sheetName val="XL4Poppy"/>
      <sheetName val="审核总览"/>
      <sheetName val="Grafvta00 (2)"/>
      <sheetName val="產品基本信息"/>
      <sheetName val="spp"/>
      <sheetName val="产品"/>
      <sheetName val="FCG"/>
      <sheetName val="01_宏命令库"/>
      <sheetName val="Sheet1"/>
      <sheetName val="Original"/>
      <sheetName val="ＴＦ関連Ｐｒｊ日程表"/>
      <sheetName val="HTP 2001"/>
      <sheetName val="Funnel"/>
      <sheetName val="Grid"/>
      <sheetName val="NEW003"/>
      <sheetName val="produccion"/>
      <sheetName val="produccion Nov"/>
      <sheetName val="Quantum Stds 12-3-01"/>
      <sheetName val="Quantum Stds prev"/>
      <sheetName val="Spec"/>
      <sheetName val="评价矩阵"/>
      <sheetName val="数据输入"/>
      <sheetName val="Instructions"/>
      <sheetName val="Index"/>
      <sheetName val="10. Thermal Limiter Test"/>
      <sheetName val="LRR Summary"/>
      <sheetName val="行动计划"/>
      <sheetName val="企业表一"/>
      <sheetName val="M-5C"/>
      <sheetName val="M-5A"/>
      <sheetName val="SUM14ZC1"/>
      <sheetName val="GE 2001"/>
      <sheetName val="APJSum"/>
      <sheetName val="AmeSum"/>
      <sheetName val="EMEASum"/>
      <sheetName val="HPCoSum"/>
      <sheetName val="OGSum"/>
      <sheetName val="WW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NEW003"/>
      <sheetName val="MC3(main)"/>
      <sheetName val="MC1"/>
      <sheetName val="NCAB"/>
      <sheetName val="Invoice"/>
      <sheetName val="产品"/>
      <sheetName val="3D ASPIRE Tabl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SPals"/>
      <sheetName val="Histogram"/>
      <sheetName val="公司"/>
      <sheetName val="Index"/>
      <sheetName val="工厂"/>
      <sheetName val="经营体"/>
      <sheetName val="10. Thermal Limiter Test"/>
      <sheetName val="供应商"/>
      <sheetName val="00PCM"/>
      <sheetName val="COST O.K."/>
      <sheetName val="COST_O_K_"/>
      <sheetName val="Ref"/>
      <sheetName val="総合B"/>
      <sheetName val="MPL 技連"/>
      <sheetName val="342A Block"/>
      <sheetName val="2005"/>
      <sheetName val="選酋表"/>
      <sheetName val="モデル賃金"/>
      <sheetName val="350CXZCO"/>
      <sheetName val="IMCT BODY"/>
      <sheetName val="New DYNA"/>
      <sheetName val="ﾕｰｻﾞｰ設定"/>
      <sheetName val="ワースト部品ハンドワーク 09"/>
      <sheetName val="ワースト部品ハンドワーク08"/>
      <sheetName val="ValueList"/>
      <sheetName val="SUM DLV"/>
      <sheetName val="Balance Sheet"/>
      <sheetName val="ISO_250"/>
      <sheetName val="DIST"/>
      <sheetName val=" Sale Order -N"/>
      <sheetName val="#REF"/>
      <sheetName val="COST_O_K_1"/>
      <sheetName val="MPL_技連"/>
      <sheetName val="342A_Block"/>
      <sheetName val="DATA BASE"/>
      <sheetName val="DATA F2"/>
      <sheetName val="Data"/>
      <sheetName val="cash flow 1"/>
      <sheetName val="cash flow 2"/>
      <sheetName val="Report_Range"/>
      <sheetName val="Report_Anova"/>
      <sheetName val="INPUT SHEET"/>
      <sheetName val="8974450390 CPK"/>
      <sheetName val="ADJ - RATE"/>
      <sheetName val="05MY USA"/>
      <sheetName val="set date"/>
      <sheetName val="Km"/>
      <sheetName val="IMCT_BODY"/>
      <sheetName val="New_DYNA"/>
      <sheetName val="COST_O_K_2"/>
      <sheetName val="MPL_技連1"/>
      <sheetName val="342A_Block1"/>
      <sheetName val="IMCT_BODY1"/>
      <sheetName val="New_DYNA1"/>
      <sheetName val="96・(・・)"/>
      <sheetName val="CTdongia"/>
      <sheetName val="wire"/>
      <sheetName val="INCOMING(Graph )"/>
      <sheetName val="PUR170095"/>
      <sheetName val="Sheet1"/>
      <sheetName val="サーバイメージ図"/>
      <sheetName val="00 DOWNLOAD"/>
      <sheetName val="CRITERIA2"/>
      <sheetName val="CRITERIA1"/>
      <sheetName val="Assumptions"/>
      <sheetName val="_Sale_Order_-N"/>
      <sheetName val="DATA_BASE"/>
      <sheetName val="SUM_DLV"/>
      <sheetName val="Balance_Sheet"/>
      <sheetName val="ワースト部品ハンドワーク_09"/>
      <sheetName val="Dlrnames"/>
      <sheetName val="Top22(GER)"/>
      <sheetName val="計算結果"/>
      <sheetName val="code"/>
      <sheetName val="ADJ_-_RATE"/>
      <sheetName val="GMX 002"/>
      <sheetName val="10-1 Media"/>
      <sheetName val="10-cut"/>
      <sheetName val="selling prices"/>
      <sheetName val="COST_O_K_3"/>
      <sheetName val="MPL_技連2"/>
      <sheetName val="342A_Block2"/>
      <sheetName val="ワースト部品ハンドワーク_091"/>
      <sheetName val="SUM_DLV1"/>
      <sheetName val="Balance_Sheet1"/>
      <sheetName val="_Sale_Order_-N1"/>
      <sheetName val="DATA_BASE1"/>
      <sheetName val="DEC 98"/>
      <sheetName val="GLOBAL SALES  MARCH 2002"/>
      <sheetName val="DATA_F2"/>
      <sheetName val="COST_O_K_4"/>
      <sheetName val="ワースト部品ハンドワーク_092"/>
      <sheetName val="DATA_F21"/>
      <sheetName val="COST_O_K_5"/>
      <sheetName val="MPL_技連3"/>
      <sheetName val="342A_Block3"/>
      <sheetName val="IMCT_BODY2"/>
      <sheetName val="New_DYNA2"/>
      <sheetName val="Balance_Sheet2"/>
      <sheetName val="ワースト部品ハンドワーク_093"/>
      <sheetName val="SUM_DLV2"/>
      <sheetName val="DATA_F22"/>
      <sheetName val="COST_O_K_6"/>
      <sheetName val="MPL_技連4"/>
      <sheetName val="342A_Block4"/>
      <sheetName val="ワースト部品ハンドワーク_094"/>
      <sheetName val="IMCT_BODY3"/>
      <sheetName val="New_DYNA3"/>
      <sheetName val="Balance_Sheet3"/>
      <sheetName val="SUM_DLV3"/>
      <sheetName val="DATA_F23"/>
      <sheetName val="_Sale_Order_-N2"/>
      <sheetName val="DATA_BASE2"/>
      <sheetName val="COST_O_K_10"/>
      <sheetName val="MPL_技連8"/>
      <sheetName val="342A_Block8"/>
      <sheetName val="IMCT_BODY7"/>
      <sheetName val="New_DYNA7"/>
      <sheetName val="Balance_Sheet7"/>
      <sheetName val="ワースト部品ハンドワーク_098"/>
      <sheetName val="SUM_DLV7"/>
      <sheetName val="DATA_F27"/>
      <sheetName val="_Sale_Order_-N6"/>
      <sheetName val="DATA_BASE6"/>
      <sheetName val="COST_O_K_8"/>
      <sheetName val="MPL_技連6"/>
      <sheetName val="342A_Block6"/>
      <sheetName val="IMCT_BODY5"/>
      <sheetName val="New_DYNA5"/>
      <sheetName val="Balance_Sheet5"/>
      <sheetName val="ワースト部品ハンドワーク_096"/>
      <sheetName val="SUM_DLV5"/>
      <sheetName val="DATA_F25"/>
      <sheetName val="_Sale_Order_-N4"/>
      <sheetName val="DATA_BASE4"/>
      <sheetName val="COST_O_K_7"/>
      <sheetName val="MPL_技連5"/>
      <sheetName val="342A_Block5"/>
      <sheetName val="ワースト部品ハンドワーク_095"/>
      <sheetName val="IMCT_BODY4"/>
      <sheetName val="New_DYNA4"/>
      <sheetName val="Balance_Sheet4"/>
      <sheetName val="DATA_F24"/>
      <sheetName val="SUM_DLV4"/>
      <sheetName val="_Sale_Order_-N3"/>
      <sheetName val="DATA_BASE3"/>
      <sheetName val="COST_O_K_9"/>
      <sheetName val="MPL_技連7"/>
      <sheetName val="342A_Block7"/>
      <sheetName val="IMCT_BODY6"/>
      <sheetName val="New_DYNA6"/>
      <sheetName val="Balance_Sheet6"/>
      <sheetName val="ワースト部品ハンドワーク_097"/>
      <sheetName val="SUM_DLV6"/>
      <sheetName val="DATA_F26"/>
      <sheetName val="_Sale_Order_-N5"/>
      <sheetName val="DATA_BASE5"/>
      <sheetName val="COST_O_K_11"/>
      <sheetName val="MPL_技連9"/>
      <sheetName val="342A_Block9"/>
      <sheetName val="ワースト部品ハンドワーク_099"/>
      <sheetName val="IMCT_BODY8"/>
      <sheetName val="New_DYNA8"/>
      <sheetName val="Balance_Sheet8"/>
      <sheetName val="SUM_DLV8"/>
      <sheetName val="DATA_F28"/>
      <sheetName val="_Sale_Order_-N7"/>
      <sheetName val="DATA_BASE7"/>
      <sheetName val="COST_O_K_12"/>
      <sheetName val="MPL_技連10"/>
      <sheetName val="342A_Block10"/>
      <sheetName val="ワースト部品ハンドワーク_0910"/>
      <sheetName val="IMCT_BODY9"/>
      <sheetName val="New_DYNA9"/>
      <sheetName val="Balance_Sheet9"/>
      <sheetName val="SUM_DLV9"/>
      <sheetName val="DATA_F29"/>
      <sheetName val="_Sale_Order_-N8"/>
      <sheetName val="DATA_BASE8"/>
      <sheetName val="CCR"/>
      <sheetName val="Takt ( assy )"/>
      <sheetName val="std-time-new"/>
      <sheetName val="Original"/>
      <sheetName val="审核总览"/>
      <sheetName val="abbr"/>
      <sheetName val="Q4 CURRENCY"/>
      <sheetName val="Spec"/>
      <sheetName val="ＴＦ関連Ｐｒｊ日程表"/>
      <sheetName val="Kautex 4WD St.IV P&amp;D"/>
      <sheetName val="Sachs FL WHL"/>
      <sheetName val="LRR Summary"/>
      <sheetName val="Chart"/>
      <sheetName val="FY03CostStructure"/>
      <sheetName val="MCS"/>
      <sheetName val="HTP 2001"/>
      <sheetName val="Funnel"/>
      <sheetName val="01_宏命令库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abril"/>
      <sheetName val="april Dante"/>
      <sheetName val="June Dante"/>
      <sheetName val="junio"/>
      <sheetName val="POs"/>
      <sheetName val="mayo"/>
      <sheetName val="May Dante"/>
      <sheetName val="Oct-Mz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明珞设备名称"/>
      <sheetName val="版本"/>
      <sheetName val="01_宏命令库"/>
      <sheetName val="02_外购件价格库"/>
      <sheetName val="03.1_设备清单辅助页"/>
      <sheetName val="03_设备清单"/>
      <sheetName val="04_人工成本计算表格"/>
      <sheetName val="05_样车试制成本计算表格"/>
      <sheetName val="06_夹具设计报价模板"/>
      <sheetName val="夹具设计及外购品价目清单"/>
      <sheetName val="07_预算总表（SAP)"/>
      <sheetName val="07.1_预算-签署版"/>
      <sheetName val="08_工时汇总"/>
      <sheetName val="09_现金流"/>
      <sheetName val="NEW003"/>
      <sheetName val="PLALL"/>
      <sheetName val="FP"/>
      <sheetName val="Time Dimension Lookup"/>
      <sheetName val="LOV"/>
      <sheetName val="Original"/>
      <sheetName val="Leap PO Std."/>
      <sheetName val="Quantum PO Std"/>
      <sheetName val="Summary"/>
      <sheetName val="master PO"/>
      <sheetName val="Table"/>
      <sheetName val="数据输入"/>
      <sheetName val="行动计划"/>
      <sheetName val="Instructions"/>
      <sheetName val="Sheet1"/>
      <sheetName val="Spec"/>
      <sheetName val="LRR Summary"/>
      <sheetName val="Index"/>
      <sheetName val="MC3(main)"/>
      <sheetName val="MC1"/>
      <sheetName val="10. Thermal Limiter Test"/>
      <sheetName val="Planet_Ame"/>
      <sheetName val="Planet_AP"/>
      <sheetName val="Planet_EMEA"/>
      <sheetName val="Planet_OG"/>
      <sheetName val="Planet_WW"/>
      <sheetName val="FCG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pp"/>
      <sheetName val="公司"/>
      <sheetName val="工厂"/>
      <sheetName val="经营体"/>
      <sheetName val="供应商"/>
      <sheetName val="MCS"/>
      <sheetName val="Cost_MMTA-1601塔奥CS11_20160118_最"/>
      <sheetName val="审核总览"/>
      <sheetName val="Chart"/>
      <sheetName val="Safety _ P_A"/>
      <sheetName val="HTP 2001"/>
      <sheetName val="Funnel"/>
      <sheetName val="Ame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Overview"/>
      <sheetName val="LRR Summary"/>
      <sheetName val="Dates"/>
      <sheetName val="EPR"/>
      <sheetName val="LRR"/>
      <sheetName val="SLP"/>
      <sheetName val="Supplier PTC Log"/>
      <sheetName val="PTC Instructions"/>
      <sheetName val="ASDE PTC Log"/>
      <sheetName val="PSW Sup"/>
      <sheetName val="PPAP"/>
      <sheetName val="APQP Status Report"/>
      <sheetName val="PND"/>
      <sheetName val="Warrant"/>
      <sheetName val="Glossary"/>
      <sheetName val="Instructions"/>
      <sheetName val="AQPDFMEA"/>
      <sheetName val="AQPDVP"/>
      <sheetName val="AQPPROTCP"/>
      <sheetName val="AQPMPFC"/>
      <sheetName val="AQPPFMEA"/>
      <sheetName val="AQPPLCP"/>
      <sheetName val="AQPOPI"/>
      <sheetName val="AQPPRODCP"/>
      <sheetName val="CV Instructions"/>
      <sheetName val="CV Process Flow Chart"/>
      <sheetName val="CV Preliminary Data"/>
      <sheetName val="CV Run Data Sheet"/>
      <sheetName val="Open Issues Log"/>
      <sheetName val="FCG"/>
      <sheetName val="SPals"/>
      <sheetName val="Spec"/>
      <sheetName val="公司"/>
      <sheetName val="工厂"/>
      <sheetName val="经营体"/>
      <sheetName val="供应商"/>
      <sheetName val="FP"/>
      <sheetName val="Time Dimension Lookup"/>
      <sheetName val="產品基本信息"/>
      <sheetName val="Safety _ P_A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数据输入"/>
      <sheetName val="行动计划"/>
      <sheetName val="Original"/>
      <sheetName val="AmeSum"/>
      <sheetName val="Batch Comparison Template"/>
      <sheetName val="Restate"/>
      <sheetName val="Stats Graph Template"/>
      <sheetName val="XL4Poppy"/>
      <sheetName val="Funnel"/>
      <sheetName val="Q4 CURRENCY"/>
      <sheetName val="NEW003"/>
      <sheetName val="produccion"/>
      <sheetName val="produccion Nov"/>
      <sheetName val="Oct Production"/>
      <sheetName val="Oct FW42 BaaN"/>
      <sheetName val="Quantum Stds 12-3-01"/>
      <sheetName val="Quantum Stds prev"/>
      <sheetName val="Sheet1"/>
      <sheetName val="Index"/>
      <sheetName val="MC3(main)"/>
      <sheetName val="MC1"/>
      <sheetName val="10. Thermal Limiter Test"/>
      <sheetName val="Planet_Ame"/>
      <sheetName val="Planet_AP"/>
      <sheetName val="Planet_EMEA"/>
      <sheetName val="Planet_OG"/>
      <sheetName val="Planet_WW"/>
      <sheetName val="HTP 2001"/>
      <sheetName val="Table"/>
      <sheetName val="产品"/>
      <sheetName val="Summary Data"/>
      <sheetName val="Leap PO Std."/>
      <sheetName val="Quantum PO Std"/>
      <sheetName val="master PO"/>
      <sheetName val="FY03CostStructure"/>
      <sheetName val="审核总览"/>
      <sheetName val="01_宏命令库"/>
      <sheetName val="评价矩阵"/>
      <sheetName val="VSAMS Summary"/>
      <sheetName val="Comet ASPIRE"/>
      <sheetName val="Comet Sequential"/>
      <sheetName val="Comet y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분리멀티형"/>
      <sheetName val="PAC"/>
      <sheetName val="인버터"/>
      <sheetName val="신냉매"/>
      <sheetName val="창문형(M_PJ)"/>
      <sheetName val="중국향0426오후)"/>
      <sheetName val="comp"/>
      <sheetName val="NEW003"/>
      <sheetName val="FCG"/>
      <sheetName val="LRR Summary"/>
      <sheetName val="Spec"/>
      <sheetName val="Meas Acceptance Template"/>
      <sheetName val="Batch Comparison Template"/>
      <sheetName val="Meas Indv Template"/>
      <sheetName val="ROTARY"/>
      <sheetName val="公司"/>
      <sheetName val="工厂"/>
      <sheetName val="经营体"/>
      <sheetName val="供应商"/>
      <sheetName val="AmeSum"/>
      <sheetName val="GE 2001"/>
      <sheetName val="HTP 2001"/>
      <sheetName val="Oct FW42 BaaN for G-Line"/>
      <sheetName val="po list"/>
      <sheetName val="SUM14ZC1"/>
      <sheetName val="Original"/>
      <sheetName val="产品"/>
      <sheetName val="FP"/>
      <sheetName val="Time Dimension Lookup"/>
      <sheetName val="Sheet1"/>
      <sheetName val="spp"/>
      <sheetName val="costos fw 52"/>
      <sheetName val="Funnel"/>
      <sheetName val="未闭环"/>
      <sheetName val="Sheet2"/>
      <sheetName val="Q4 CURRENCY"/>
      <sheetName val="数据输入"/>
      <sheetName val="行动计划"/>
      <sheetName val="abb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Funnel"/>
      <sheetName val="MC"/>
      <sheetName val="NT"/>
      <sheetName val="OSD"/>
      <sheetName val="NSO"/>
      <sheetName val="SAP"/>
      <sheetName val="EX"/>
      <sheetName val="6M"/>
      <sheetName val="Must-Win"/>
      <sheetName val="Focus ACs"/>
      <sheetName val="Comet Q202 Flash"/>
      <sheetName val="Q4 CURRENCY"/>
      <sheetName val="假设"/>
      <sheetName val="accumdeprn"/>
      <sheetName val="PLALL"/>
      <sheetName val="Table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APJSum"/>
      <sheetName val="AmeSum"/>
      <sheetName val="EMEASum"/>
      <sheetName val="HPCoSum"/>
      <sheetName val="OGSum"/>
      <sheetName val="WWSum"/>
      <sheetName val="PL"/>
      <sheetName val="A翼写字楼"/>
      <sheetName val="3D ASPIRE Table"/>
      <sheetName val="面积指标"/>
      <sheetName val="FCG"/>
      <sheetName val="FY03CostStructure"/>
      <sheetName val="HTP 2001"/>
      <sheetName val="LOV"/>
      <sheetName val="pull hp wide"/>
      <sheetName val="pull all sfs"/>
      <sheetName val="Comet ASPIRE"/>
      <sheetName val="Comet Sequential"/>
      <sheetName val="Comet yoy"/>
      <sheetName val="B"/>
      <sheetName val="审核总览"/>
      <sheetName val="MCS"/>
      <sheetName val="公司"/>
      <sheetName val="工厂"/>
      <sheetName val="经营体"/>
      <sheetName val="供应商"/>
      <sheetName val="NAV"/>
      <sheetName val="APAC_DEF_REVISED"/>
      <sheetName val="原始数据"/>
      <sheetName val="Janvier Heures Travaillées"/>
      <sheetName val="PLALL2"/>
      <sheetName val="资产品名库"/>
      <sheetName val="字典(不需输入)"/>
      <sheetName val="银行借款询证"/>
      <sheetName val="XL4Poppy"/>
      <sheetName val="Company Info"/>
      <sheetName val="產成品收發明細表5"/>
      <sheetName val="dealer"/>
      <sheetName val="Restate"/>
      <sheetName val="Time Dimension Lookup"/>
      <sheetName val="SPals"/>
      <sheetName val="BALANCE SHEET"/>
      <sheetName val="Setup"/>
      <sheetName val="Original"/>
      <sheetName val="Consol"/>
      <sheetName val="SUM14ZC1"/>
      <sheetName val="GWL-RUNING"/>
      <sheetName val="malfun99"/>
      <sheetName val="Sales Seasonality by Month"/>
      <sheetName val="total(F)"/>
      <sheetName val="Fatt.001"/>
      <sheetName val="Personalizza"/>
      <sheetName val="Batch Comparison Template"/>
      <sheetName val="Stats Graph Template"/>
      <sheetName val="01_宏命令库"/>
      <sheetName val="spp"/>
      <sheetName val="Histogram"/>
      <sheetName val="Instructions"/>
      <sheetName val="분리멀티형"/>
      <sheetName val="数据输入"/>
      <sheetName val="评价矩阵"/>
      <sheetName val="行动计划"/>
      <sheetName val="未闭环"/>
      <sheetName val="FX_Rates"/>
      <sheetName val="Start Here!"/>
      <sheetName val="Master Data"/>
      <sheetName val="Planner"/>
      <sheetName val="Planet_Ame"/>
      <sheetName val="Planet_AP"/>
      <sheetName val="Planet_EMEA"/>
      <sheetName val="Planet_OG"/>
      <sheetName val="Planet_WW"/>
      <sheetName val="FY01 Actuals"/>
      <sheetName val="FY00 Restated"/>
      <sheetName val="FY01 Quota"/>
      <sheetName val="Total Financials"/>
      <sheetName val="科目余额"/>
      <sheetName val="T  B"/>
      <sheetName val="Par"/>
      <sheetName val="6621"/>
      <sheetName val="lookups"/>
      <sheetName val="企业基本情况表限"/>
      <sheetName val="本次清算项目清算成本分摊比例鉴证表（普通住宅和其他商品房）"/>
      <sheetName val="produccion"/>
      <sheetName val="produccion Nov"/>
      <sheetName val="Oct Production"/>
      <sheetName val="Oct FW42 BaaN"/>
      <sheetName val="Quantum Stds 12-3-01"/>
      <sheetName val="Quantum Stds prev"/>
      <sheetName val="sheet 1"/>
      <sheetName val="Sheet3"/>
      <sheetName val="CZ01"/>
      <sheetName val="CZ68"/>
      <sheetName val="GR01E"/>
      <sheetName val="Zone stucture"/>
      <sheetName val="PL18"/>
      <sheetName val="CSI"/>
      <sheetName val="Volumes"/>
      <sheetName val="Raw materials"/>
      <sheetName val="export"/>
      <sheetName val="local"/>
      <sheetName val="索引表"/>
      <sheetName val="F_Summary"/>
      <sheetName val="COVER"/>
      <sheetName val="Source"/>
      <sheetName val="Sheet2"/>
      <sheetName val="设备部房屋"/>
      <sheetName val="A6620 Detail"/>
      <sheetName val="VARIABLES"/>
      <sheetName val="Reprice Lookup"/>
      <sheetName val="Termination Dates clean"/>
      <sheetName val="FX"/>
      <sheetName val="VIDE1"/>
      <sheetName val="VIDE2"/>
      <sheetName val="Sheet4"/>
      <sheetName val="评估结论"/>
      <sheetName val="现 金 流 量 表"/>
      <sheetName val="Table"/>
      <sheetName val="Parametri"/>
      <sheetName val="產成品收發明細表"/>
      <sheetName val="Lists"/>
      <sheetName val="ee&amp;offsort"/>
      <sheetName val="New Cancelled Breakout"/>
      <sheetName val="OfficerList"/>
      <sheetName val="VestTemp&amp;Typeclean"/>
      <sheetName val="E101"/>
      <sheetName val="gares 02 BON FICHIER "/>
      <sheetName val="现金流量表（月报）"/>
      <sheetName val="Hidden Lists"/>
      <sheetName val="COA"/>
      <sheetName val="JE - Depn Sept"/>
      <sheetName val="DM XE+ DIA CHI"/>
      <sheetName val="1 LeadSchedule"/>
      <sheetName val="3 Analysis"/>
      <sheetName val="0508"/>
      <sheetName val="0504"/>
      <sheetName val="0506"/>
      <sheetName val="Parameters"/>
      <sheetName val="总明细"/>
      <sheetName val="项目日程安排"/>
      <sheetName val="Spec"/>
      <sheetName val="產品基本信息"/>
      <sheetName val="Dates"/>
      <sheetName val="EPR"/>
      <sheetName val="VSAMS Summary"/>
      <sheetName val="Glossary"/>
      <sheetName val="Sheet1"/>
      <sheetName val="EPR &amp; LRR"/>
      <sheetName val="72HX"/>
      <sheetName val="75EX"/>
      <sheetName val="72HY"/>
      <sheetName val="75EY"/>
      <sheetName val="UPPER BLOCK"/>
      <sheetName val="HDa16"/>
      <sheetName val="99-值列表"/>
      <sheetName val="产品"/>
      <sheetName val="Safety _ P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Quantum PO Std"/>
      <sheetName val="Leap PO Std."/>
      <sheetName val="Hoja1 (3)"/>
      <sheetName val="master PO"/>
      <sheetName val="Launch Costs TMNF"/>
      <sheetName val="April Antonio"/>
      <sheetName val="UPPER BLOCK"/>
      <sheetName val="HDa16"/>
      <sheetName val="Sheet1"/>
      <sheetName val="Original"/>
      <sheetName val="FCG"/>
      <sheetName val="HTP 2001"/>
      <sheetName val="Funnel"/>
      <sheetName val="Basic PMM"/>
      <sheetName val="Full PMM"/>
      <sheetName val="k-line"/>
      <sheetName val="Oct FW42 BaaN for G-Line"/>
      <sheetName val="po list"/>
      <sheetName val="Sheet2"/>
      <sheetName val="Mabe PO vs GEA MASTER FILE FINA"/>
      <sheetName val="GE 2001"/>
      <sheetName val="Foams"/>
      <sheetName val="Grid"/>
      <sheetName val="Grafvta00 (2)"/>
      <sheetName val="假设"/>
      <sheetName val="5+7 plan"/>
      <sheetName val="Refrigerants"/>
      <sheetName val="#ofclose .xl"/>
      <sheetName val="분리멀티형"/>
      <sheetName val="PLALL"/>
      <sheetName val="FY03CostStructure"/>
      <sheetName val="Index"/>
      <sheetName val="10. Thermal Limiter Test"/>
      <sheetName val="Spec"/>
      <sheetName val="Tﾁｬｰﾄ"/>
      <sheetName val="FA-LISTING"/>
      <sheetName val="评价矩阵"/>
      <sheetName val="数据输入"/>
      <sheetName val="MC3(main)"/>
      <sheetName val="MC1"/>
      <sheetName val="L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8+4 VS 4+8"/>
      <sheetName val="Original"/>
      <sheetName val="Unidades"/>
      <sheetName val="Importe"/>
      <sheetName val="Mezcla"/>
      <sheetName val="Safety _ P_A"/>
      <sheetName val="HTP 2001"/>
      <sheetName val="Funnel"/>
      <sheetName val="MCS"/>
      <sheetName val="FP"/>
      <sheetName val="Time Dimension Lookup"/>
      <sheetName val="审核总览"/>
      <sheetName val="COS1"/>
      <sheetName val="FY03CostStructure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PLALL2"/>
      <sheetName val="公司"/>
      <sheetName val="工厂"/>
      <sheetName val="经营体"/>
      <sheetName val="供应商"/>
      <sheetName val="3D ASPIRE Table"/>
      <sheetName val="LOV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Table"/>
      <sheetName val="costos fw 52"/>
      <sheetName val="Index"/>
      <sheetName val="MC3(main)"/>
      <sheetName val="MC1"/>
      <sheetName val="10. Thermal Limiter Test"/>
      <sheetName val="Planet_Ame"/>
      <sheetName val="Planet_AP"/>
      <sheetName val="Planet_EMEA"/>
      <sheetName val="Planet_OG"/>
      <sheetName val="Planet_WW"/>
      <sheetName val="produccion"/>
      <sheetName val="produccion Nov"/>
      <sheetName val="Oct Production"/>
      <sheetName val="Oct FW42 BaaN"/>
      <sheetName val="Quantum Stds 12-3-01"/>
      <sheetName val="Quantum Stds prev"/>
      <sheetName val="评价矩阵"/>
      <sheetName val="数据输入"/>
      <sheetName val="Spec"/>
      <sheetName val="Sheet1"/>
      <sheetName val="Q4 CURRENCY"/>
      <sheetName val="Basic PMM"/>
      <sheetName val="Full PMM"/>
      <sheetName val="72HX"/>
      <sheetName val="75EX"/>
      <sheetName val="72HY"/>
      <sheetName val="75EY"/>
      <sheetName val="spp"/>
      <sheetName val="ＴＦ関連Ｐｒｊ日程表"/>
      <sheetName val="k-line"/>
      <sheetName val="SUM14ZC1"/>
      <sheetName val="產品基本信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FP"/>
      <sheetName val="Time Dimension Lookup"/>
      <sheetName val="产品"/>
      <sheetName val="AmeSum"/>
      <sheetName val="3D ASPIRE Table"/>
      <sheetName val="APJSum"/>
      <sheetName val="EMEASum"/>
      <sheetName val="HPCoSum"/>
      <sheetName val="OGSum"/>
      <sheetName val="WWSum"/>
      <sheetName val="Meas Acceptance Template"/>
      <sheetName val="Batch Comparison Template"/>
      <sheetName val="Meas Indv Template"/>
      <sheetName val="审核总览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公司"/>
      <sheetName val="工厂"/>
      <sheetName val="经营体"/>
      <sheetName val="供应商"/>
      <sheetName val="QC APPROVE SHEET"/>
      <sheetName val="Chart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PPS-SUN-005"/>
      <sheetName val="ANALISIS"/>
      <sheetName val="Original"/>
      <sheetName val="Raw materials"/>
      <sheetName val="Total Financials"/>
      <sheetName val="XL4Poppy"/>
      <sheetName val="Foams"/>
      <sheetName val="Refrigerants"/>
      <sheetName val="Instructions"/>
      <sheetName val="Safety _ P_A"/>
      <sheetName val="Grafvta00 (2)"/>
      <sheetName val="01_宏命令库"/>
      <sheetName val="產品基本信息"/>
      <sheetName val="produccion"/>
      <sheetName val="produccion Nov"/>
      <sheetName val="Oct Production"/>
      <sheetName val="Oct FW42 BaaN"/>
      <sheetName val="Quantum Stds 12-3-01"/>
      <sheetName val="Quantum Stds prev"/>
      <sheetName val="NVA-300T返品リスト"/>
      <sheetName val="Sheet2"/>
      <sheetName val="目标体系横轴矩阵"/>
      <sheetName val="Tables"/>
      <sheetName val="Q4 CURRENCY"/>
      <sheetName val="4 审核发现描述"/>
      <sheetName val="Restate"/>
      <sheetName val="自制件材料价格"/>
      <sheetName val="Table"/>
      <sheetName val="5+7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5+7 plan"/>
      <sheetName val="GtosSept"/>
      <sheetName val="Mabe 2002"/>
      <sheetName val="scrap"/>
      <sheetName val="budget"/>
      <sheetName val="30MM plan"/>
      <sheetName val="GEA OP 37"/>
      <sheetName val="Mabe Non Material Cost"/>
      <sheetName val="Hoja1"/>
      <sheetName val="Summary 2"/>
      <sheetName val="summary"/>
      <sheetName val="Hoja2"/>
      <sheetName val="Hoja3"/>
      <sheetName val="Sheet1"/>
      <sheetName val="Original"/>
      <sheetName val="Table"/>
      <sheetName val="MCS"/>
      <sheetName val="FP"/>
      <sheetName val="Time Dimension Lookup"/>
      <sheetName val="审核总览"/>
      <sheetName val="Planet_Ame"/>
      <sheetName val="Planet_AP"/>
      <sheetName val="Planet_EMEA"/>
      <sheetName val="Planet_OG"/>
      <sheetName val="Planet_WW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pec"/>
      <sheetName val="spp"/>
      <sheetName val="Oct FW42 BaaN for G-Line"/>
      <sheetName val="po list"/>
      <sheetName val="GE 2001"/>
      <sheetName val="HTP 2001"/>
      <sheetName val="SUM14ZC1"/>
      <sheetName val="Sheet2"/>
      <sheetName val="AmeSum"/>
      <sheetName val="Index"/>
      <sheetName val="10. Thermal Limiter Test"/>
      <sheetName val="Funnel"/>
      <sheetName val="FCG"/>
      <sheetName val="NEW003"/>
      <sheetName val="분리멀티형"/>
      <sheetName val="tables"/>
      <sheetName val="数据输入"/>
      <sheetName val="行动计划"/>
      <sheetName val="LRR Summary"/>
      <sheetName val="产品"/>
      <sheetName val="產品基本信息"/>
      <sheetName val="costos fw 52"/>
      <sheetName val="URBANO P EST"/>
      <sheetName val="Comet Q202 Flash"/>
      <sheetName val="PLALL"/>
      <sheetName val="produccion"/>
      <sheetName val="produccion Nov"/>
      <sheetName val="Oct Production"/>
      <sheetName val="Oct FW42 BaaN"/>
      <sheetName val="Quantum Stds 12-3-01"/>
      <sheetName val="Quantum Stds prev"/>
      <sheetName val="Grafvta00 (2)"/>
      <sheetName val="Foams"/>
      <sheetName val="Grid"/>
      <sheetName val="公司"/>
      <sheetName val="工厂"/>
      <sheetName val="经营体"/>
      <sheetName val="供应商"/>
      <sheetName val="Batch Comparison Template"/>
      <sheetName val="Stats Graph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ANALISIS"/>
      <sheetName val="GRAFICO"/>
      <sheetName val="Cierre VS 4+8 S"/>
      <sheetName val="Cierre VS 4+8"/>
      <sheetName val="Cierre VS 4+8 (Q)"/>
      <sheetName val="Original"/>
      <sheetName val="PO File 2002"/>
      <sheetName val="PO File 2002 Final"/>
      <sheetName val="PLALL"/>
      <sheetName val="Sales Units (3)"/>
      <sheetName val="GE 2001"/>
      <sheetName val="HTP 2001"/>
      <sheetName val="Foams"/>
      <sheetName val="Refrigerants"/>
      <sheetName val="Sheet1"/>
      <sheetName val="Planet_Ame"/>
      <sheetName val="Planet_AP"/>
      <sheetName val="Planet_EMEA"/>
      <sheetName val="Planet_OG"/>
      <sheetName val="Planet_WW"/>
      <sheetName val="72HX"/>
      <sheetName val="75EX"/>
      <sheetName val="72HY"/>
      <sheetName val="75EY"/>
      <sheetName val="produccion"/>
      <sheetName val="produccion Nov"/>
      <sheetName val="Oct Production"/>
      <sheetName val="Oct FW42 BaaN"/>
      <sheetName val="Quantum Stds 12-3-01"/>
      <sheetName val="Quantum Stds prev"/>
      <sheetName val="评价矩阵"/>
      <sheetName val="数据输入"/>
      <sheetName val="Q4 CURRENCY"/>
      <sheetName val="审核总览"/>
      <sheetName val="Oct FW42 BaaN for G-Line"/>
      <sheetName val="분리멀티형"/>
      <sheetName val="UPPER BLOCK"/>
      <sheetName val="假设"/>
      <sheetName val="HDa16"/>
      <sheetName val="spp"/>
      <sheetName val="PLALL2"/>
      <sheetName val="Summary Data"/>
      <sheetName val="01_宏命令库"/>
      <sheetName val="Kautex 4WD St.IV P&amp;D"/>
      <sheetName val="Sachs FL WHL"/>
      <sheetName val="Funnel"/>
      <sheetName val="Safety _ P_A"/>
      <sheetName val="Nacionales 12 VS PPTO 01"/>
      <sheetName val="Table"/>
      <sheetName val="Grid"/>
      <sheetName val="5+7 plan"/>
      <sheetName val="po list"/>
      <sheetName val="Spec"/>
      <sheetName val="Grafvta00 (2)"/>
      <sheetName val="SUM14ZC1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TABLE"/>
      <sheetName val="INPUT"/>
      <sheetName val="SLIDE"/>
      <sheetName val="Slides"/>
      <sheetName val="Restate"/>
      <sheetName val="SCALE"/>
      <sheetName val="Actual"/>
      <sheetName val="Warehouse"/>
      <sheetName val="1st_2nd_Prior"/>
      <sheetName val="May Fcst"/>
      <sheetName val="Macros"/>
      <sheetName val="Macros2"/>
      <sheetName val="AGRO-DATA"/>
      <sheetName val="Planet_Ame"/>
      <sheetName val="Planet_AP"/>
      <sheetName val="Planet_EMEA"/>
      <sheetName val="Planet_OG"/>
      <sheetName val="Planet_WW"/>
      <sheetName val="source"/>
      <sheetName val="Q4 CURRENCY"/>
      <sheetName val="Summary Data"/>
      <sheetName val="FCG"/>
      <sheetName val="Original"/>
      <sheetName val="Sheet2"/>
      <sheetName val="sum14zc1"/>
      <sheetName val="FP"/>
      <sheetName val="Time Dimension Lookup"/>
      <sheetName val="PLALL"/>
      <sheetName val="PLALL2"/>
      <sheetName val="UPPER BLOCK"/>
      <sheetName val="假设"/>
      <sheetName val="HDa16"/>
      <sheetName val="Slide98"/>
      <sheetName val="Grafvta00 (2)"/>
      <sheetName val="TOTAL"/>
      <sheetName val="Summary  &amp; Assumptions"/>
      <sheetName val="Zone stucture"/>
      <sheetName val="TR05E"/>
      <sheetName val="Sheet1"/>
      <sheetName val="sheet 1"/>
      <sheetName val="Funnel"/>
      <sheetName val="MCS"/>
      <sheetName val="FY03CostStructure"/>
      <sheetName val="面积指标"/>
      <sheetName val="投资估算表"/>
      <sheetName val="Summary"/>
      <sheetName val="分产品销售收入、成本分析表"/>
      <sheetName val="敏感参数"/>
      <sheetName val="Parameters"/>
      <sheetName val="CateringBanqTable"/>
      <sheetName val="KitchenTable"/>
      <sheetName val="Rooms Table"/>
      <sheetName val="SalesTable"/>
      <sheetName val="SpaTable"/>
      <sheetName val="Cover"/>
      <sheetName val="Cover Page"/>
      <sheetName val="Controlling"/>
      <sheetName val="Investments"/>
      <sheetName val="May_Fcst"/>
      <sheetName val="Q4_CURRENCY"/>
      <sheetName val="Summary_Data"/>
      <sheetName val="sheet_1"/>
      <sheetName val="May_Fcst3"/>
      <sheetName val="Q4_CURRENCY3"/>
      <sheetName val="Summary_Data3"/>
      <sheetName val="sheet_13"/>
      <sheetName val="May_Fcst1"/>
      <sheetName val="Q4_CURRENCY1"/>
      <sheetName val="Summary_Data1"/>
      <sheetName val="sheet_11"/>
      <sheetName val="May_Fcst2"/>
      <sheetName val="Q4_CURRENCY2"/>
      <sheetName val="Summary_Data2"/>
      <sheetName val="sheet_12"/>
      <sheetName val="ตารางเงินเดือน"/>
      <sheetName val="master"/>
      <sheetName val=" "/>
      <sheetName val="abbr"/>
      <sheetName val="base"/>
      <sheetName val=""/>
      <sheetName val="LOV"/>
      <sheetName val="Disposal"/>
      <sheetName val="May_Fcst20"/>
      <sheetName val="Q4_CURRENCY20"/>
      <sheetName val="Summary_Data20"/>
      <sheetName val="May_Fcst4"/>
      <sheetName val="Q4_CURRENCY4"/>
      <sheetName val="Summary_Data4"/>
      <sheetName val="sheet_14"/>
      <sheetName val="May_Fcst5"/>
      <sheetName val="Q4_CURRENCY5"/>
      <sheetName val="Summary_Data5"/>
      <sheetName val="sheet_15"/>
      <sheetName val="May_Fcst6"/>
      <sheetName val="Q4_CURRENCY6"/>
      <sheetName val="Summary_Data6"/>
      <sheetName val="sheet_16"/>
      <sheetName val="May_Fcst7"/>
      <sheetName val="Q4_CURRENCY7"/>
      <sheetName val="Summary_Data7"/>
      <sheetName val="May_Fcst8"/>
      <sheetName val="Q4_CURRENCY8"/>
      <sheetName val="Summary_Data8"/>
      <sheetName val="May_Fcst9"/>
      <sheetName val="Q4_CURRENCY9"/>
      <sheetName val="Summary_Data9"/>
      <sheetName val="sheet_17"/>
      <sheetName val="May_Fcst10"/>
      <sheetName val="Q4_CURRENCY10"/>
      <sheetName val="Summary_Data10"/>
      <sheetName val="sheet_18"/>
      <sheetName val="May_Fcst11"/>
      <sheetName val="Q4_CURRENCY11"/>
      <sheetName val="Summary_Data11"/>
      <sheetName val="sheet_19"/>
      <sheetName val="May_Fcst12"/>
      <sheetName val="Q4_CURRENCY12"/>
      <sheetName val="Summary_Data12"/>
      <sheetName val="sheet_110"/>
      <sheetName val="May_Fcst13"/>
      <sheetName val="Q4_CURRENCY13"/>
      <sheetName val="Summary_Data13"/>
      <sheetName val="sheet_111"/>
      <sheetName val="May_Fcst14"/>
      <sheetName val="Q4_CURRENCY14"/>
      <sheetName val="Summary_Data14"/>
      <sheetName val="sheet_112"/>
      <sheetName val="May_Fcst15"/>
      <sheetName val="Q4_CURRENCY15"/>
      <sheetName val="Summary_Data15"/>
      <sheetName val="sheet_113"/>
      <sheetName val="May_Fcst17"/>
      <sheetName val="Q4_CURRENCY17"/>
      <sheetName val="Summary_Data17"/>
      <sheetName val="sheet_115"/>
      <sheetName val="May_Fcst16"/>
      <sheetName val="Q4_CURRENCY16"/>
      <sheetName val="Summary_Data16"/>
      <sheetName val="sheet_114"/>
      <sheetName val="May_Fcst18"/>
      <sheetName val="Q4_CURRENCY18"/>
      <sheetName val="Summary_Data18"/>
      <sheetName val="sheet_116"/>
      <sheetName val="May_Fcst19"/>
      <sheetName val="Q4_CURRENCY19"/>
      <sheetName val="Summary_Data19"/>
      <sheetName val="sheet_117"/>
      <sheetName val="sheet_118"/>
      <sheetName val="May_Fcst21"/>
      <sheetName val="Q4_CURRENCY21"/>
      <sheetName val="Summary_Data21"/>
      <sheetName val="sheet_119"/>
      <sheetName val="May_Fcst22"/>
      <sheetName val="Q4_CURRENCY22"/>
      <sheetName val="Summary_Data22"/>
      <sheetName val="sheet_120"/>
      <sheetName val="May_Fcst26"/>
      <sheetName val="Q4_CURRENCY26"/>
      <sheetName val="Summary_Data26"/>
      <sheetName val="sheet_124"/>
      <sheetName val="May_Fcst24"/>
      <sheetName val="Q4_CURRENCY24"/>
      <sheetName val="Summary_Data24"/>
      <sheetName val="sheet_122"/>
      <sheetName val="May_Fcst23"/>
      <sheetName val="Q4_CURRENCY23"/>
      <sheetName val="Summary_Data23"/>
      <sheetName val="sheet_121"/>
      <sheetName val="May_Fcst25"/>
      <sheetName val="Q4_CURRENCY25"/>
      <sheetName val="Summary_Data25"/>
      <sheetName val="sheet_123"/>
      <sheetName val="May_Fcst29"/>
      <sheetName val="Q4_CURRENCY29"/>
      <sheetName val="Summary_Data29"/>
      <sheetName val="sheet_127"/>
      <sheetName val="May_Fcst27"/>
      <sheetName val="Q4_CURRENCY27"/>
      <sheetName val="Summary_Data27"/>
      <sheetName val="sheet_125"/>
      <sheetName val="May_Fcst28"/>
      <sheetName val="Q4_CURRENCY28"/>
      <sheetName val="Summary_Data28"/>
      <sheetName val="sheet_126"/>
      <sheetName val="May_Fcst30"/>
      <sheetName val="Q4_CURRENCY30"/>
      <sheetName val="Summary_Data30"/>
      <sheetName val="sheet_128"/>
      <sheetName val="May_Fcst31"/>
      <sheetName val="Q4_CURRENCY31"/>
      <sheetName val="Summary_Data31"/>
      <sheetName val="sheet_129"/>
      <sheetName val="経費計画"/>
      <sheetName val="MANPOWER"/>
      <sheetName val="May_Fcst33"/>
      <sheetName val="Q4_CURRENCY33"/>
      <sheetName val="Summary_Data33"/>
      <sheetName val="sheet_131"/>
      <sheetName val="Summary__&amp;_Assumptions1"/>
      <sheetName val="Zone_stucture1"/>
      <sheetName val="Cover_Page1"/>
      <sheetName val="Time_Dimension_Lookup1"/>
      <sheetName val="_1"/>
      <sheetName val="May_Fcst32"/>
      <sheetName val="Q4_CURRENCY32"/>
      <sheetName val="Summary_Data32"/>
      <sheetName val="sheet_130"/>
      <sheetName val="Summary__&amp;_Assumptions"/>
      <sheetName val="Zone_stucture"/>
      <sheetName val="Cover_Page"/>
      <sheetName val="Time_Dimension_Lookup"/>
      <sheetName val="_"/>
      <sheetName val="May_Fcst42"/>
      <sheetName val="Q4_CURRENCY42"/>
      <sheetName val="Summary_Data42"/>
      <sheetName val="sheet_140"/>
      <sheetName val="Summary__&amp;_Assumptions10"/>
      <sheetName val="Zone_stucture10"/>
      <sheetName val="Cover_Page10"/>
      <sheetName val="Time_Dimension_Lookup10"/>
      <sheetName val="_10"/>
      <sheetName val="Rooms_Table2"/>
      <sheetName val="May_Fcst36"/>
      <sheetName val="Q4_CURRENCY36"/>
      <sheetName val="Summary_Data36"/>
      <sheetName val="sheet_134"/>
      <sheetName val="Summary__&amp;_Assumptions4"/>
      <sheetName val="Zone_stucture4"/>
      <sheetName val="Cover_Page4"/>
      <sheetName val="Time_Dimension_Lookup4"/>
      <sheetName val="_4"/>
      <sheetName val="May_Fcst34"/>
      <sheetName val="Q4_CURRENCY34"/>
      <sheetName val="Summary_Data34"/>
      <sheetName val="sheet_132"/>
      <sheetName val="Summary__&amp;_Assumptions2"/>
      <sheetName val="Zone_stucture2"/>
      <sheetName val="Cover_Page2"/>
      <sheetName val="Time_Dimension_Lookup2"/>
      <sheetName val="_2"/>
      <sheetName val="May_Fcst35"/>
      <sheetName val="Q4_CURRENCY35"/>
      <sheetName val="Summary_Data35"/>
      <sheetName val="sheet_133"/>
      <sheetName val="Summary__&amp;_Assumptions3"/>
      <sheetName val="Zone_stucture3"/>
      <sheetName val="Cover_Page3"/>
      <sheetName val="Time_Dimension_Lookup3"/>
      <sheetName val="_3"/>
      <sheetName val="May_Fcst39"/>
      <sheetName val="Q4_CURRENCY39"/>
      <sheetName val="Summary_Data39"/>
      <sheetName val="sheet_137"/>
      <sheetName val="Summary__&amp;_Assumptions7"/>
      <sheetName val="Zone_stucture7"/>
      <sheetName val="Cover_Page7"/>
      <sheetName val="Time_Dimension_Lookup7"/>
      <sheetName val="_7"/>
      <sheetName val="May_Fcst37"/>
      <sheetName val="Q4_CURRENCY37"/>
      <sheetName val="Summary_Data37"/>
      <sheetName val="sheet_135"/>
      <sheetName val="Summary__&amp;_Assumptions5"/>
      <sheetName val="Zone_stucture5"/>
      <sheetName val="Cover_Page5"/>
      <sheetName val="Time_Dimension_Lookup5"/>
      <sheetName val="_5"/>
      <sheetName val="May_Fcst38"/>
      <sheetName val="Q4_CURRENCY38"/>
      <sheetName val="Summary_Data38"/>
      <sheetName val="sheet_136"/>
      <sheetName val="Summary__&amp;_Assumptions6"/>
      <sheetName val="Zone_stucture6"/>
      <sheetName val="Cover_Page6"/>
      <sheetName val="Time_Dimension_Lookup6"/>
      <sheetName val="_6"/>
      <sheetName val="May_Fcst40"/>
      <sheetName val="Q4_CURRENCY40"/>
      <sheetName val="Summary_Data40"/>
      <sheetName val="sheet_138"/>
      <sheetName val="Summary__&amp;_Assumptions8"/>
      <sheetName val="Zone_stucture8"/>
      <sheetName val="Cover_Page8"/>
      <sheetName val="Time_Dimension_Lookup8"/>
      <sheetName val="_8"/>
      <sheetName val="Rooms_Table"/>
      <sheetName val="May_Fcst41"/>
      <sheetName val="Q4_CURRENCY41"/>
      <sheetName val="Summary_Data41"/>
      <sheetName val="sheet_139"/>
      <sheetName val="Summary__&amp;_Assumptions9"/>
      <sheetName val="Zone_stucture9"/>
      <sheetName val="Cover_Page9"/>
      <sheetName val="Time_Dimension_Lookup9"/>
      <sheetName val="_9"/>
      <sheetName val="Rooms_Table1"/>
      <sheetName val="SPals"/>
      <sheetName val="Sheet3"/>
      <sheetName val="Sheet80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Histogram"/>
      <sheetName val="5+7 plan"/>
      <sheetName val="PL"/>
      <sheetName val="Attachment-4(2)"/>
      <sheetName val="JHM"/>
      <sheetName val="Service Invoice"/>
      <sheetName val="Sales_p8"/>
      <sheetName val="May_Fcst43"/>
      <sheetName val="Q4_CURRENCY43"/>
      <sheetName val="Summary_Data43"/>
      <sheetName val="sheet_141"/>
      <sheetName val="Summary__&amp;_Assumptions11"/>
      <sheetName val="Zone_stucture11"/>
      <sheetName val="Cover_Page11"/>
      <sheetName val="Time_Dimension_Lookup11"/>
      <sheetName val="_11"/>
      <sheetName val="Rooms_Table3"/>
      <sheetName val="May_Fcst44"/>
      <sheetName val="Q4_CURRENCY44"/>
      <sheetName val="Summary_Data44"/>
      <sheetName val="sheet_142"/>
      <sheetName val="Summary__&amp;_Assumptions12"/>
      <sheetName val="Zone_stucture12"/>
      <sheetName val="Cover_Page12"/>
      <sheetName val="Time_Dimension_Lookup12"/>
      <sheetName val="_12"/>
      <sheetName val="Rooms_Table4"/>
      <sheetName val="May_Fcst45"/>
      <sheetName val="Q4_CURRENCY45"/>
      <sheetName val="Summary_Data45"/>
      <sheetName val="sheet_143"/>
      <sheetName val="Summary__&amp;_Assumptions13"/>
      <sheetName val="Zone_stucture13"/>
      <sheetName val="Cover_Page13"/>
      <sheetName val="Time_Dimension_Lookup13"/>
      <sheetName val="_13"/>
      <sheetName val="Rooms_Table5"/>
      <sheetName val="May_Fcst46"/>
      <sheetName val="Q4_CURRENCY46"/>
      <sheetName val="Summary_Data46"/>
      <sheetName val="sheet_144"/>
      <sheetName val="Summary__&amp;_Assumptions14"/>
      <sheetName val="Zone_stucture14"/>
      <sheetName val="Cover_Page14"/>
      <sheetName val="Time_Dimension_Lookup14"/>
      <sheetName val="_14"/>
      <sheetName val="Rooms_Table6"/>
      <sheetName val="May_Fcst47"/>
      <sheetName val="Q4_CURRENCY47"/>
      <sheetName val="Summary_Data47"/>
      <sheetName val="sheet_145"/>
      <sheetName val="Summary__&amp;_Assumptions15"/>
      <sheetName val="Zone_stucture15"/>
      <sheetName val="Cover_Page15"/>
      <sheetName val="Time_Dimension_Lookup15"/>
      <sheetName val="_15"/>
      <sheetName val="Rooms_Table7"/>
      <sheetName val="May_Fcst48"/>
      <sheetName val="Q4_CURRENCY48"/>
      <sheetName val="Summary_Data48"/>
      <sheetName val="sheet_146"/>
      <sheetName val="Summary__&amp;_Assumptions16"/>
      <sheetName val="Zone_stucture16"/>
      <sheetName val="Cover_Page16"/>
      <sheetName val="Time_Dimension_Lookup16"/>
      <sheetName val="_16"/>
      <sheetName val="Rooms_Table8"/>
      <sheetName val="May_Fcst50"/>
      <sheetName val="Q4_CURRENCY50"/>
      <sheetName val="Summary_Data50"/>
      <sheetName val="sheet_148"/>
      <sheetName val="Summary__&amp;_Assumptions18"/>
      <sheetName val="Zone_stucture18"/>
      <sheetName val="Cover_Page18"/>
      <sheetName val="Time_Dimension_Lookup18"/>
      <sheetName val="_18"/>
      <sheetName val="Rooms_Table10"/>
      <sheetName val="May_Fcst49"/>
      <sheetName val="Q4_CURRENCY49"/>
      <sheetName val="Summary_Data49"/>
      <sheetName val="sheet_147"/>
      <sheetName val="Summary__&amp;_Assumptions17"/>
      <sheetName val="Zone_stucture17"/>
      <sheetName val="Cover_Page17"/>
      <sheetName val="Time_Dimension_Lookup17"/>
      <sheetName val="_17"/>
      <sheetName val="Rooms_Table9"/>
      <sheetName val="May_Fcst51"/>
      <sheetName val="Q4_CURRENCY51"/>
      <sheetName val="Summary_Data51"/>
      <sheetName val="sheet_149"/>
      <sheetName val="Summary__&amp;_Assumptions19"/>
      <sheetName val="Zone_stucture19"/>
      <sheetName val="Cover_Page19"/>
      <sheetName val="Time_Dimension_Lookup19"/>
      <sheetName val="_19"/>
      <sheetName val="Rooms_Table11"/>
      <sheetName val="津贴"/>
      <sheetName val="Av.Measures"/>
      <sheetName val="PO File 2002"/>
      <sheetName val="PO File 2002 Final"/>
      <sheetName val="评价矩阵"/>
      <sheetName val="数据输入"/>
      <sheetName val="Oct FW42 BaaN for G-Line"/>
      <sheetName val="po list"/>
      <sheetName val="AmeSum"/>
      <sheetName val="Pull HP Wide"/>
      <sheetName val="Pull All SFs"/>
      <sheetName val="Comet Q202 Flash"/>
      <sheetName val="新品台帐"/>
      <sheetName val="May_Fcst52"/>
      <sheetName val="Q4_CURRENCY52"/>
      <sheetName val="Summary_Data52"/>
      <sheetName val="sheet_150"/>
      <sheetName val="Summary__&amp;_Assumptions20"/>
      <sheetName val="Zone_stucture20"/>
      <sheetName val="Cover_Page20"/>
      <sheetName val="Time_Dimension_Lookup20"/>
      <sheetName val="_20"/>
      <sheetName val="Rooms_Table12"/>
      <sheetName val="UPPER_BLOCK"/>
      <sheetName val="Grafvta00_(2)"/>
      <sheetName val="May_Fcst60"/>
      <sheetName val="Q4_CURRENCY60"/>
      <sheetName val="Summary_Data60"/>
      <sheetName val="sheet_158"/>
      <sheetName val="Summary__&amp;_Assumptions28"/>
      <sheetName val="Zone_stucture28"/>
      <sheetName val="Cover_Page28"/>
      <sheetName val="Time_Dimension_Lookup28"/>
      <sheetName val="_28"/>
      <sheetName val="Rooms_Table20"/>
      <sheetName val="UPPER_BLOCK7"/>
      <sheetName val="Grafvta00_(2)7"/>
      <sheetName val="May_Fcst53"/>
      <sheetName val="Q4_CURRENCY53"/>
      <sheetName val="Summary_Data53"/>
      <sheetName val="sheet_151"/>
      <sheetName val="Summary__&amp;_Assumptions21"/>
      <sheetName val="Zone_stucture21"/>
      <sheetName val="Cover_Page21"/>
      <sheetName val="Time_Dimension_Lookup21"/>
      <sheetName val="_21"/>
      <sheetName val="Rooms_Table13"/>
      <sheetName val="UPPER_BLOCK1"/>
      <sheetName val="Grafvta00_(2)1"/>
      <sheetName val="May_Fcst56"/>
      <sheetName val="Q4_CURRENCY56"/>
      <sheetName val="Summary_Data56"/>
      <sheetName val="sheet_154"/>
      <sheetName val="Summary__&amp;_Assumptions24"/>
      <sheetName val="Zone_stucture24"/>
      <sheetName val="Cover_Page24"/>
      <sheetName val="Time_Dimension_Lookup24"/>
      <sheetName val="_24"/>
      <sheetName val="Rooms_Table16"/>
      <sheetName val="UPPER_BLOCK3"/>
      <sheetName val="Grafvta00_(2)3"/>
      <sheetName val="May_Fcst54"/>
      <sheetName val="Q4_CURRENCY54"/>
      <sheetName val="Summary_Data54"/>
      <sheetName val="sheet_152"/>
      <sheetName val="Summary__&amp;_Assumptions22"/>
      <sheetName val="Zone_stucture22"/>
      <sheetName val="Cover_Page22"/>
      <sheetName val="Time_Dimension_Lookup22"/>
      <sheetName val="_22"/>
      <sheetName val="Rooms_Table14"/>
      <sheetName val="May_Fcst55"/>
      <sheetName val="Q4_CURRENCY55"/>
      <sheetName val="Summary_Data55"/>
      <sheetName val="sheet_153"/>
      <sheetName val="Summary__&amp;_Assumptions23"/>
      <sheetName val="Zone_stucture23"/>
      <sheetName val="Cover_Page23"/>
      <sheetName val="Time_Dimension_Lookup23"/>
      <sheetName val="_23"/>
      <sheetName val="Rooms_Table15"/>
      <sheetName val="UPPER_BLOCK2"/>
      <sheetName val="Grafvta00_(2)2"/>
      <sheetName val="May_Fcst57"/>
      <sheetName val="Q4_CURRENCY57"/>
      <sheetName val="Summary_Data57"/>
      <sheetName val="sheet_155"/>
      <sheetName val="Summary__&amp;_Assumptions25"/>
      <sheetName val="Zone_stucture25"/>
      <sheetName val="Cover_Page25"/>
      <sheetName val="Time_Dimension_Lookup25"/>
      <sheetName val="_25"/>
      <sheetName val="Rooms_Table17"/>
      <sheetName val="UPPER_BLOCK4"/>
      <sheetName val="Grafvta00_(2)4"/>
      <sheetName val="May_Fcst58"/>
      <sheetName val="Q4_CURRENCY58"/>
      <sheetName val="Summary_Data58"/>
      <sheetName val="sheet_156"/>
      <sheetName val="Summary__&amp;_Assumptions26"/>
      <sheetName val="Zone_stucture26"/>
      <sheetName val="Cover_Page26"/>
      <sheetName val="Time_Dimension_Lookup26"/>
      <sheetName val="_26"/>
      <sheetName val="Rooms_Table18"/>
      <sheetName val="UPPER_BLOCK5"/>
      <sheetName val="Grafvta00_(2)5"/>
      <sheetName val="May_Fcst59"/>
      <sheetName val="Q4_CURRENCY59"/>
      <sheetName val="Summary_Data59"/>
      <sheetName val="sheet_157"/>
      <sheetName val="Summary__&amp;_Assumptions27"/>
      <sheetName val="Zone_stucture27"/>
      <sheetName val="Cover_Page27"/>
      <sheetName val="Time_Dimension_Lookup27"/>
      <sheetName val="_27"/>
      <sheetName val="Rooms_Table19"/>
      <sheetName val="UPPER_BLOCK6"/>
      <sheetName val="Grafvta00_(2)6"/>
      <sheetName val="Mapping"/>
      <sheetName val="B"/>
      <sheetName val="MENU"/>
      <sheetName val="p and l"/>
      <sheetName val="F1"/>
      <sheetName val="Vauxhall Opel 30004"/>
      <sheetName val="tf04"/>
      <sheetName val="Invoice Template"/>
      <sheetName val="2各类文件明细表 经适房"/>
      <sheetName val="企业基本情况表限"/>
      <sheetName val="本次清算项目清算成本分摊比例鉴证表（普通住宅和其他商品房）"/>
      <sheetName val="k-line"/>
      <sheetName val="系统代码"/>
      <sheetName val="Total Financials"/>
      <sheetName val="Raw materials"/>
      <sheetName val="order"/>
      <sheetName val="Non-Statistical Sampling Master"/>
      <sheetName val="Global Data"/>
      <sheetName val="ASSLIST2.XLS"/>
      <sheetName val="JE"/>
      <sheetName val="TB"/>
      <sheetName val="0000"/>
      <sheetName val="FA Roll to GL (p.2)"/>
      <sheetName val="Lead (p.1)"/>
      <sheetName val="XREF"/>
      <sheetName val="T  B"/>
      <sheetName val="2. PPR REVENUE APR10"/>
      <sheetName val="Depr.Exp. Testing (5)"/>
      <sheetName val="VARIABLES"/>
      <sheetName val="TABLES"/>
      <sheetName val="Ex Rates"/>
      <sheetName val="OutSum"/>
      <sheetName val="U"/>
      <sheetName val="產成品收發明細表"/>
      <sheetName val="F101"/>
      <sheetName val="activity"/>
      <sheetName val="Estimated AP 9.03"/>
      <sheetName val="분리멀티형"/>
      <sheetName val="Invest "/>
      <sheetName val="EMEASum"/>
      <sheetName val="HPCoSum"/>
      <sheetName val="OGSum"/>
      <sheetName val="APJSum"/>
      <sheetName val="现 金 流 量 表"/>
      <sheetName val="KeyData"/>
      <sheetName val="Sheet199"/>
      <sheetName val="Sales Units (3)"/>
      <sheetName val="Quantum Stds 12-4-01"/>
      <sheetName val="Spec"/>
      <sheetName val="审核总览"/>
      <sheetName val="GE 2001"/>
      <sheetName val="HTP 2001"/>
      <sheetName val="Instructions"/>
      <sheetName val="Setup"/>
      <sheetName val="產品基本信息"/>
      <sheetName val="LRR Summary"/>
      <sheetName val="Foams"/>
      <sheetName val="Refrigerants"/>
      <sheetName val="Grid"/>
      <sheetName val="ＴＦ関連Ｐｒｊ日程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FW 46"/>
      <sheetName val="HTP 2001"/>
      <sheetName val="GE 2001"/>
      <sheetName val="REQ"/>
      <sheetName val="MODELS"/>
      <sheetName val="TOOLS"/>
      <sheetName val="SCHED (6)"/>
      <sheetName val="SCHED (5)"/>
      <sheetName val="SCHED (4)"/>
      <sheetName val="SCHED (3)"/>
      <sheetName val="SCHED (2)"/>
      <sheetName val="SCHED"/>
      <sheetName val="NO COLOR"/>
      <sheetName val="PLATAFORMA"/>
      <sheetName val="ANALISIS"/>
      <sheetName val="CALENDARIO"/>
      <sheetName val="Oct FW42 BaaN for G-Line"/>
      <sheetName val="po list"/>
      <sheetName val="Grafvta00 (2)"/>
      <sheetName val="Q4 CURRENCY"/>
      <sheetName val="produccion"/>
      <sheetName val="produccion Nov"/>
      <sheetName val="Oct Production"/>
      <sheetName val="Oct FW42 BaaN"/>
      <sheetName val="Quantum Stds 12-3-01"/>
      <sheetName val="Quantum Stds prev"/>
      <sheetName val="spp"/>
      <sheetName val=""/>
      <sheetName val="Sheet3"/>
      <sheetName val="MCS"/>
      <sheetName val="产品"/>
      <sheetName val="FY03CostStructure"/>
      <sheetName val="LOV"/>
      <sheetName val="Original"/>
      <sheetName val="5+7 plan"/>
      <sheetName val="3D ASPIRE Table"/>
      <sheetName val="Foams"/>
      <sheetName val="Refrigerants"/>
      <sheetName val="NEW003"/>
      <sheetName val="PLALL"/>
      <sheetName val="분리멀티형"/>
      <sheetName val="Table"/>
      <sheetName val="Funnel"/>
      <sheetName val="Batch Comparison Template"/>
      <sheetName val="Stats Graph Template"/>
      <sheetName val="SUM14ZC1"/>
      <sheetName val="Spec"/>
      <sheetName val="Bitacora TMNF jun-ago1"/>
      <sheetName val="评价矩阵"/>
      <sheetName val="数据输入"/>
      <sheetName val="PO File 2002"/>
      <sheetName val="PO File 2002 Final"/>
      <sheetName val="Safety _ P_A"/>
      <sheetName val="审核总览"/>
      <sheetName val="01_宏命令库"/>
      <sheetName val="Chart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C1 Summary1"/>
      <sheetName val="AP I4"/>
      <sheetName val="AP DW"/>
      <sheetName val="Autoliv"/>
      <sheetName val="Antolin"/>
      <sheetName val="Benteler"/>
      <sheetName val="Bosch"/>
      <sheetName val="Brose"/>
      <sheetName val="Conti Teves"/>
      <sheetName val="Dynamid"/>
      <sheetName val="Fico"/>
      <sheetName val="GKN"/>
      <sheetName val="JCI"/>
      <sheetName val="Kautex 4WD Lev.II P"/>
      <sheetName val="Kautex 4WD St.IV P&amp;D"/>
      <sheetName val="Kautex 2WD ISG P&amp;D"/>
      <sheetName val="Kautex 2WD Lev II P&amp;D"/>
      <sheetName val="Kutsch Kirchhoff"/>
      <sheetName val="Lear"/>
      <sheetName val="Lemforder"/>
      <sheetName val="Meritor"/>
      <sheetName val="NSK"/>
      <sheetName val="Ortech"/>
      <sheetName val="Paulstra"/>
      <sheetName val="Pelzer"/>
      <sheetName val="Presta Krupp"/>
      <sheetName val="Sommer Allibert"/>
      <sheetName val="SAL"/>
      <sheetName val="SAS"/>
      <sheetName val="Sachs FTE"/>
      <sheetName val="Sachs Clutch"/>
      <sheetName val="Sachs FL WHL"/>
      <sheetName val="PLALL"/>
      <sheetName val="产品"/>
      <sheetName val="Q4 CURRENCY"/>
      <sheetName val="Funnel"/>
      <sheetName val="MCS"/>
      <sheetName val="Histogram"/>
      <sheetName val="Spec"/>
      <sheetName val="ＴＦ関連Ｐｒｊ日程表"/>
      <sheetName val="#ofclose .xl"/>
      <sheetName val="產品基本信息"/>
      <sheetName val="UPPER BLOCK"/>
      <sheetName val="Leap PO Std."/>
      <sheetName val="Quantum PO Std"/>
      <sheetName val="Summary"/>
      <sheetName val="master PO"/>
      <sheetName val="분리멀티형"/>
      <sheetName val="LRR Summary"/>
      <sheetName val="假设"/>
      <sheetName val="HDa16"/>
      <sheetName val="SPals"/>
      <sheetName val="jan11_APQP-newC1"/>
      <sheetName val="GE 2001"/>
      <sheetName val="HTP 2001"/>
      <sheetName val="Oct FW42 BaaN for G-Line"/>
      <sheetName val="po list"/>
      <sheetName val="NVA-300T返品リスト"/>
      <sheetName val="Summary Data"/>
      <sheetName val="审核总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productividad"/>
      <sheetName val="Original"/>
      <sheetName val="Sales Units"/>
      <sheetName val="Sales Units (2)"/>
      <sheetName val="Sales Units (3)"/>
      <sheetName val="Net Sales"/>
      <sheetName val="Net Sales (2)"/>
      <sheetName val="Net Sales (3)"/>
      <sheetName val="Mezcla"/>
      <sheetName val="Mezcla (2)"/>
      <sheetName val="VARFORMA"/>
      <sheetName val="VARFORMA (2)"/>
      <sheetName val="VARIAC"/>
      <sheetName val="Sheet1"/>
      <sheetName val="GE 2001"/>
      <sheetName val="HTP 2001"/>
      <sheetName val="Funnel"/>
      <sheetName val="Q4 CURRENCY"/>
      <sheetName val="05MAYNAC4+8AJUSTE"/>
      <sheetName val="Table"/>
      <sheetName val="k-line"/>
      <sheetName val="Launch Costs TMNF"/>
      <sheetName val="April Antonio"/>
      <sheetName val="Instructions"/>
      <sheetName val="MCS"/>
      <sheetName val="Oct FW42 BaaN for G-Line"/>
      <sheetName val="po list"/>
      <sheetName val="公司"/>
      <sheetName val="工厂"/>
      <sheetName val="经营体"/>
      <sheetName val="供应商"/>
      <sheetName val="Foams"/>
      <sheetName val="Refrigerants"/>
      <sheetName val="Safety _ P_A"/>
      <sheetName val="FY03CostStructure"/>
      <sheetName val="3D ASPIRE Table"/>
      <sheetName val="Spec"/>
      <sheetName val="FP"/>
      <sheetName val="Time Dimension Lookup"/>
      <sheetName val="產品基本信息"/>
      <sheetName val="Kautex 4WD St.IV P&amp;D"/>
      <sheetName val="Sachs FL WHL"/>
      <sheetName val="SPals"/>
      <sheetName val="数据输入"/>
      <sheetName val="UPPER BLOCK"/>
      <sheetName val="假设"/>
      <sheetName val="HDa16"/>
      <sheetName val="FCG"/>
      <sheetName val="产品"/>
      <sheetName val="Dates"/>
      <sheetName val="EPR"/>
      <sheetName val="VSAMS Summary"/>
      <sheetName val="Glossary"/>
      <sheetName val="Con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S3Y_990316"/>
      <sheetName val="見積依頼書"/>
      <sheetName val="72HX"/>
      <sheetName val="75EX"/>
      <sheetName val="72HY"/>
      <sheetName val="75EY"/>
      <sheetName val="Comet Q202 Flash"/>
      <sheetName val="5+7 plan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Basic PMM"/>
      <sheetName val="Full PMM"/>
      <sheetName val="Meas Acceptance Template"/>
      <sheetName val="Batch Comparison Template"/>
      <sheetName val="Meas Indv Template"/>
      <sheetName val="APJSum"/>
      <sheetName val="AmeSum"/>
      <sheetName val="EMEASum"/>
      <sheetName val="HPCoSum"/>
      <sheetName val="OGSum"/>
      <sheetName val="WWSum"/>
      <sheetName val="LRR Summary"/>
      <sheetName val="NVA-300T返品リスト"/>
      <sheetName val="QC APPROVE SHEET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ime Dimension Lookup"/>
      <sheetName val="SPals"/>
      <sheetName val="URBANO P EST"/>
      <sheetName val="Total Financials"/>
      <sheetName val="自制件材料价格"/>
      <sheetName val="XL4Poppy"/>
      <sheetName val="MTL1"/>
      <sheetName val="GE 2001"/>
      <sheetName val="HTP 2001"/>
      <sheetName val="Planet_Ame"/>
      <sheetName val="Planet_AP"/>
      <sheetName val="Planet_EMEA"/>
      <sheetName val="Planet_OG"/>
      <sheetName val="Planet_WW"/>
      <sheetName val="Grafvta00 (2)"/>
      <sheetName val="Leap PO Std."/>
      <sheetName val="Quantum PO Std"/>
      <sheetName val="master PO"/>
      <sheetName val="PLALL"/>
      <sheetName val="UPPER BLOCK"/>
      <sheetName val="假设"/>
      <sheetName val="Sales Units (3)"/>
      <sheetName val="Launch Costs TMNF"/>
      <sheetName val="April Antonio"/>
      <sheetName val="Tﾁｬｰﾄ"/>
      <sheetName val="k-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분리멀티형"/>
      <sheetName val="PAC"/>
      <sheetName val="인버터"/>
      <sheetName val="신냉매"/>
      <sheetName val="창문형(M_PJ)"/>
      <sheetName val="중국향0426오후)"/>
      <sheetName val="comp"/>
      <sheetName val="Q4 CURRENCY"/>
      <sheetName val="公司"/>
      <sheetName val="工厂"/>
      <sheetName val="经营体"/>
      <sheetName val="供应商"/>
      <sheetName val="Linearity"/>
      <sheetName val="02년압축기개발(0426)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Dates"/>
      <sheetName val="Spec"/>
      <sheetName val="EPR"/>
      <sheetName val="VSAMS Summary"/>
      <sheetName val="Glossary"/>
      <sheetName val="NEW003"/>
      <sheetName val="SPals"/>
      <sheetName val="Sheet1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LOV"/>
      <sheetName val="Original"/>
      <sheetName val="k-line"/>
      <sheetName val="5+7 plan"/>
      <sheetName val="UPPER BLOCK"/>
      <sheetName val="假设"/>
      <sheetName val="HDa16"/>
      <sheetName val="MCS"/>
      <sheetName val="Sales Units (3)"/>
      <sheetName val="Foams"/>
      <sheetName val="Grid"/>
      <sheetName val="costos fw 52"/>
      <sheetName val="评价矩阵"/>
      <sheetName val="数据输入"/>
      <sheetName val="Sheet2"/>
      <sheetName val="Restate"/>
      <sheetName val="LRR Summary"/>
      <sheetName val="行动计划"/>
      <sheetName val="Launch Costs TMNF"/>
      <sheetName val="April Antonio"/>
      <sheetName val="Instructions"/>
    </sheetNames>
    <definedNames>
      <definedName name="drawing_toolbar" refersTo="='#REF!'!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분리멀티형"/>
      <sheetName val="인버터"/>
      <sheetName val="신냉매"/>
      <sheetName val="PAC"/>
      <sheetName val="창문형"/>
      <sheetName val="R-COMP"/>
      <sheetName val="중국향"/>
      <sheetName val="모델별 COMP"/>
      <sheetName val="Funnel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gr &amp; r-var"/>
      <sheetName val="Chart"/>
      <sheetName val="Instructions"/>
      <sheetName val="UPPER BLOCK"/>
      <sheetName val="假设"/>
      <sheetName val="Sales Units (3)"/>
      <sheetName val="Spec"/>
      <sheetName val="Leap PO Std."/>
      <sheetName val="Quantum PO Std"/>
      <sheetName val="master PO"/>
      <sheetName val="Oct FW42 BaaN for G-Line"/>
      <sheetName val="Launch Costs TMNF"/>
      <sheetName val="April Antonio"/>
      <sheetName val="GE 2001"/>
      <sheetName val="HTP 2001"/>
      <sheetName val="produccion"/>
      <sheetName val="Q4 CURRENCY"/>
      <sheetName val="produccion Nov"/>
      <sheetName val="Oct Production"/>
      <sheetName val="Oct FW42 BaaN"/>
      <sheetName val="Quantum Stds 12-3-01"/>
      <sheetName val="Quantum Stds prev"/>
      <sheetName val="Original"/>
      <sheetName val="FCG"/>
      <sheetName val="数据输入"/>
      <sheetName val="LRR Summary"/>
      <sheetName val="行动计划"/>
      <sheetName val="MC3(main)"/>
      <sheetName val="MC1"/>
      <sheetName val="评价矩阵"/>
      <sheetName val="L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June BaaN"/>
      <sheetName val="April Antonio"/>
      <sheetName val="May BaaN"/>
      <sheetName val="Launch costs SxS"/>
      <sheetName val="Launch Costs TMNF"/>
      <sheetName val="april Dante"/>
      <sheetName val="k-line"/>
      <sheetName val="Sales Units (3)"/>
      <sheetName val="FCG"/>
      <sheetName val="Safety _ P_A"/>
      <sheetName val="Q4 CURRENCY"/>
      <sheetName val="AR Signature Page"/>
      <sheetName val="produccion"/>
      <sheetName val="produccion Nov"/>
      <sheetName val="Oct Production"/>
      <sheetName val="Oct FW42 BaaN"/>
      <sheetName val="Quantum Stds 12-3-01"/>
      <sheetName val="Quantum Stds prev"/>
      <sheetName val="분리멀티형"/>
      <sheetName val="审核总览"/>
      <sheetName val="5+7 plan"/>
      <sheetName val="Spec"/>
      <sheetName val="FP"/>
      <sheetName val="COS1"/>
      <sheetName val="Sheet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Oct FW42 BaaN for G-Line"/>
      <sheetName val="po list"/>
      <sheetName val="GE 2001"/>
      <sheetName val="HTP 2001"/>
      <sheetName val="UPPER BLOCK"/>
      <sheetName val="假设"/>
      <sheetName val="HDa16"/>
      <sheetName val="Leap PO Std."/>
      <sheetName val="Quantum PO Std"/>
      <sheetName val="master PO"/>
      <sheetName val="Foams"/>
      <sheetName val="Grid"/>
      <sheetName val="spp"/>
      <sheetName val="数据输入"/>
      <sheetName val="行动计划"/>
      <sheetName val="ＴＦ関連Ｐｒｊ日程表"/>
      <sheetName val="Original"/>
      <sheetName val="Histogram"/>
      <sheetName val="Quantum Stds 12-4-01"/>
      <sheetName val="Raw materials"/>
      <sheetName val="Sheet3"/>
      <sheetName val="Grafvta00 (2)"/>
      <sheetName val="Funnel"/>
      <sheetName val="SPals"/>
      <sheetName val="Table"/>
      <sheetName val="L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3P"/>
      <sheetName val="Trend"/>
      <sheetName val="Narr. Tables"/>
      <sheetName val="Order-FY01"/>
      <sheetName val="P&amp;L-FY01"/>
      <sheetName val="Inv-FY01"/>
      <sheetName val="HC-FY01"/>
      <sheetName val="P&amp;L-ASP-FY01"/>
      <sheetName val="order-FY00"/>
      <sheetName val="P&amp;L-FY00"/>
      <sheetName val="Inv-FY00"/>
      <sheetName val="HC-FY00"/>
      <sheetName val="FY01 Actuals"/>
      <sheetName val="FY00 Restated"/>
      <sheetName val="FY01 Quota"/>
      <sheetName val="3D ASPIRE Table"/>
      <sheetName val="DIO"/>
      <sheetName val="A3"/>
      <sheetName val="Total Financials"/>
      <sheetName val="PLALL"/>
      <sheetName val="DATA"/>
      <sheetName val="资产负债表"/>
      <sheetName val="MCS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Pals"/>
      <sheetName val="审核总览"/>
      <sheetName val="Leap PO Std."/>
      <sheetName val="Quantum PO Std"/>
      <sheetName val="master PO"/>
      <sheetName val="敏感参数"/>
      <sheetName val=""/>
      <sheetName val="Comet ASPIRE"/>
      <sheetName val="Comet Sequential"/>
      <sheetName val="Comet yoy"/>
      <sheetName val="AmeSum"/>
      <sheetName val="產成品收發明細表5"/>
      <sheetName val="假设"/>
      <sheetName val="5+7 plan"/>
      <sheetName val="Original"/>
      <sheetName val="FCG"/>
      <sheetName val="Funnel"/>
      <sheetName val="FX_Rates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Av.Measures"/>
      <sheetName val="RD_ADR"/>
      <sheetName val="MENU"/>
      <sheetName val="LOV"/>
      <sheetName val="Planet_Ame"/>
      <sheetName val="Planet_AP"/>
      <sheetName val="Planet_EMEA"/>
      <sheetName val="Planet_OG"/>
      <sheetName val="Planet_WW"/>
      <sheetName val="A翼写字楼"/>
      <sheetName val="Aging Datasheet"/>
      <sheetName val="ECCS_1 DataSheet"/>
      <sheetName val="KPI Datasheet"/>
      <sheetName val="Q4 CURRENCY"/>
      <sheetName val="PLALL2"/>
      <sheetName val="CUSTOMER GROUP WISE"/>
      <sheetName val="Narr__Tables"/>
      <sheetName val="FY01_Actuals"/>
      <sheetName val="FY00_Restated"/>
      <sheetName val="FY01_Quota"/>
      <sheetName val="3D_ASPIRE_Table"/>
      <sheetName val="Total_Financials"/>
      <sheetName val="Table_of_Contents"/>
      <sheetName val="GM_Trend"/>
      <sheetName val="GM%_Trend"/>
      <sheetName val="Linearity_Chart"/>
      <sheetName val="NP_Trend"/>
      <sheetName val="Rev_Trend"/>
      <sheetName val="Rev-GM_Detail_1"/>
      <sheetName val="Rev-GM_Detail_2"/>
      <sheetName val="Rev_Mix_Trend"/>
      <sheetName val="SUMMARY_(EXPD)"/>
      <sheetName val="SUMMARY_(%)"/>
      <sheetName val="QTD_TO_GO"/>
      <sheetName val="Leap_PO_Std_"/>
      <sheetName val="Quantum_PO_Std"/>
      <sheetName val="master_PO"/>
      <sheetName val="Narr__Tables3"/>
      <sheetName val="FY01_Actuals3"/>
      <sheetName val="FY00_Restated3"/>
      <sheetName val="FY01_Quota3"/>
      <sheetName val="3D_ASPIRE_Table3"/>
      <sheetName val="Total_Financials3"/>
      <sheetName val="Table_of_Contents3"/>
      <sheetName val="GM_Trend3"/>
      <sheetName val="GM%_Trend3"/>
      <sheetName val="Linearity_Chart3"/>
      <sheetName val="NP_Trend3"/>
      <sheetName val="Rev_Trend3"/>
      <sheetName val="Rev-GM_Detail_13"/>
      <sheetName val="Rev-GM_Detail_23"/>
      <sheetName val="Rev_Mix_Trend3"/>
      <sheetName val="SUMMARY_(EXPD)3"/>
      <sheetName val="SUMMARY_(%)3"/>
      <sheetName val="QTD_TO_GO3"/>
      <sheetName val="Leap_PO_Std_3"/>
      <sheetName val="Quantum_PO_Std3"/>
      <sheetName val="master_PO3"/>
      <sheetName val="Narr__Tables1"/>
      <sheetName val="FY01_Actuals1"/>
      <sheetName val="FY00_Restated1"/>
      <sheetName val="FY01_Quota1"/>
      <sheetName val="3D_ASPIRE_Table1"/>
      <sheetName val="Total_Financials1"/>
      <sheetName val="Table_of_Contents1"/>
      <sheetName val="GM_Trend1"/>
      <sheetName val="GM%_Trend1"/>
      <sheetName val="Linearity_Chart1"/>
      <sheetName val="NP_Trend1"/>
      <sheetName val="Rev_Trend1"/>
      <sheetName val="Rev-GM_Detail_11"/>
      <sheetName val="Rev-GM_Detail_21"/>
      <sheetName val="Rev_Mix_Trend1"/>
      <sheetName val="SUMMARY_(EXPD)1"/>
      <sheetName val="SUMMARY_(%)1"/>
      <sheetName val="QTD_TO_GO1"/>
      <sheetName val="Leap_PO_Std_1"/>
      <sheetName val="Quantum_PO_Std1"/>
      <sheetName val="master_PO1"/>
      <sheetName val="Narr__Tables2"/>
      <sheetName val="FY01_Actuals2"/>
      <sheetName val="FY00_Restated2"/>
      <sheetName val="FY01_Quota2"/>
      <sheetName val="3D_ASPIRE_Table2"/>
      <sheetName val="Total_Financials2"/>
      <sheetName val="Table_of_Contents2"/>
      <sheetName val="GM_Trend2"/>
      <sheetName val="GM%_Trend2"/>
      <sheetName val="Linearity_Chart2"/>
      <sheetName val="NP_Trend2"/>
      <sheetName val="Rev_Trend2"/>
      <sheetName val="Rev-GM_Detail_12"/>
      <sheetName val="Rev-GM_Detail_22"/>
      <sheetName val="Rev_Mix_Trend2"/>
      <sheetName val="SUMMARY_(EXPD)2"/>
      <sheetName val="SUMMARY_(%)2"/>
      <sheetName val="QTD_TO_GO2"/>
      <sheetName val="Leap_PO_Std_2"/>
      <sheetName val="Quantum_PO_Std2"/>
      <sheetName val="master_PO2"/>
      <sheetName val="Calendar2008"/>
      <sheetName val="Company Info"/>
      <sheetName val="Curr"/>
      <sheetName val="Sheet1"/>
      <sheetName val="FX on 2121AP"/>
      <sheetName val="Narr__Tables20"/>
      <sheetName val="FY01_Actuals20"/>
      <sheetName val="FY00_Restated20"/>
      <sheetName val="FY01_Quota20"/>
      <sheetName val="3D_ASPIRE_Table20"/>
      <sheetName val="Total_Financials20"/>
      <sheetName val="Table_of_Contents20"/>
      <sheetName val="GM_Trend20"/>
      <sheetName val="GM%_Trend20"/>
      <sheetName val="Linearity_Chart20"/>
      <sheetName val="NP_Trend20"/>
      <sheetName val="Rev_Trend20"/>
      <sheetName val="Rev-GM_Detail_120"/>
      <sheetName val="Rev-GM_Detail_220"/>
      <sheetName val="Rev_Mix_Trend20"/>
      <sheetName val="SUMMARY_(EXPD)20"/>
      <sheetName val="SUMMARY_(%)20"/>
      <sheetName val="QTD_TO_GO20"/>
      <sheetName val="Leap_PO_Std_20"/>
      <sheetName val="Quantum_PO_Std20"/>
      <sheetName val="master_PO20"/>
      <sheetName val="Narr__Tables4"/>
      <sheetName val="FY01_Actuals4"/>
      <sheetName val="FY00_Restated4"/>
      <sheetName val="FY01_Quota4"/>
      <sheetName val="3D_ASPIRE_Table4"/>
      <sheetName val="Total_Financials4"/>
      <sheetName val="Table_of_Contents4"/>
      <sheetName val="GM_Trend4"/>
      <sheetName val="GM%_Trend4"/>
      <sheetName val="Linearity_Chart4"/>
      <sheetName val="NP_Trend4"/>
      <sheetName val="Rev_Trend4"/>
      <sheetName val="Rev-GM_Detail_14"/>
      <sheetName val="Rev-GM_Detail_24"/>
      <sheetName val="Rev_Mix_Trend4"/>
      <sheetName val="SUMMARY_(EXPD)4"/>
      <sheetName val="SUMMARY_(%)4"/>
      <sheetName val="QTD_TO_GO4"/>
      <sheetName val="Leap_PO_Std_4"/>
      <sheetName val="Quantum_PO_Std4"/>
      <sheetName val="master_PO4"/>
      <sheetName val="Narr__Tables5"/>
      <sheetName val="FY01_Actuals5"/>
      <sheetName val="FY00_Restated5"/>
      <sheetName val="FY01_Quota5"/>
      <sheetName val="3D_ASPIRE_Table5"/>
      <sheetName val="Total_Financials5"/>
      <sheetName val="Table_of_Contents5"/>
      <sheetName val="GM_Trend5"/>
      <sheetName val="GM%_Trend5"/>
      <sheetName val="Linearity_Chart5"/>
      <sheetName val="NP_Trend5"/>
      <sheetName val="Rev_Trend5"/>
      <sheetName val="Rev-GM_Detail_15"/>
      <sheetName val="Rev-GM_Detail_25"/>
      <sheetName val="Rev_Mix_Trend5"/>
      <sheetName val="SUMMARY_(EXPD)5"/>
      <sheetName val="SUMMARY_(%)5"/>
      <sheetName val="QTD_TO_GO5"/>
      <sheetName val="Leap_PO_Std_5"/>
      <sheetName val="Quantum_PO_Std5"/>
      <sheetName val="master_PO5"/>
      <sheetName val="Narr__Tables6"/>
      <sheetName val="FY01_Actuals6"/>
      <sheetName val="FY00_Restated6"/>
      <sheetName val="FY01_Quota6"/>
      <sheetName val="3D_ASPIRE_Table6"/>
      <sheetName val="Total_Financials6"/>
      <sheetName val="Table_of_Contents6"/>
      <sheetName val="GM_Trend6"/>
      <sheetName val="GM%_Trend6"/>
      <sheetName val="Linearity_Chart6"/>
      <sheetName val="NP_Trend6"/>
      <sheetName val="Rev_Trend6"/>
      <sheetName val="Rev-GM_Detail_16"/>
      <sheetName val="Rev-GM_Detail_26"/>
      <sheetName val="Rev_Mix_Trend6"/>
      <sheetName val="SUMMARY_(EXPD)6"/>
      <sheetName val="SUMMARY_(%)6"/>
      <sheetName val="QTD_TO_GO6"/>
      <sheetName val="Leap_PO_Std_6"/>
      <sheetName val="Quantum_PO_Std6"/>
      <sheetName val="master_PO6"/>
      <sheetName val="Narr__Tables7"/>
      <sheetName val="FY01_Actuals7"/>
      <sheetName val="FY00_Restated7"/>
      <sheetName val="FY01_Quota7"/>
      <sheetName val="3D_ASPIRE_Table7"/>
      <sheetName val="Total_Financials7"/>
      <sheetName val="Table_of_Contents7"/>
      <sheetName val="GM_Trend7"/>
      <sheetName val="GM%_Trend7"/>
      <sheetName val="Linearity_Chart7"/>
      <sheetName val="NP_Trend7"/>
      <sheetName val="Rev_Trend7"/>
      <sheetName val="Rev-GM_Detail_17"/>
      <sheetName val="Rev-GM_Detail_27"/>
      <sheetName val="Rev_Mix_Trend7"/>
      <sheetName val="SUMMARY_(EXPD)7"/>
      <sheetName val="SUMMARY_(%)7"/>
      <sheetName val="QTD_TO_GO7"/>
      <sheetName val="Leap_PO_Std_7"/>
      <sheetName val="Quantum_PO_Std7"/>
      <sheetName val="master_PO7"/>
      <sheetName val="Narr__Tables8"/>
      <sheetName val="FY01_Actuals8"/>
      <sheetName val="FY00_Restated8"/>
      <sheetName val="FY01_Quota8"/>
      <sheetName val="3D_ASPIRE_Table8"/>
      <sheetName val="Total_Financials8"/>
      <sheetName val="Table_of_Contents8"/>
      <sheetName val="GM_Trend8"/>
      <sheetName val="GM%_Trend8"/>
      <sheetName val="Linearity_Chart8"/>
      <sheetName val="NP_Trend8"/>
      <sheetName val="Rev_Trend8"/>
      <sheetName val="Rev-GM_Detail_18"/>
      <sheetName val="Rev-GM_Detail_28"/>
      <sheetName val="Rev_Mix_Trend8"/>
      <sheetName val="SUMMARY_(EXPD)8"/>
      <sheetName val="SUMMARY_(%)8"/>
      <sheetName val="QTD_TO_GO8"/>
      <sheetName val="Leap_PO_Std_8"/>
      <sheetName val="Quantum_PO_Std8"/>
      <sheetName val="master_PO8"/>
      <sheetName val="Narr__Tables9"/>
      <sheetName val="FY01_Actuals9"/>
      <sheetName val="FY00_Restated9"/>
      <sheetName val="FY01_Quota9"/>
      <sheetName val="3D_ASPIRE_Table9"/>
      <sheetName val="Total_Financials9"/>
      <sheetName val="Table_of_Contents9"/>
      <sheetName val="GM_Trend9"/>
      <sheetName val="GM%_Trend9"/>
      <sheetName val="Linearity_Chart9"/>
      <sheetName val="NP_Trend9"/>
      <sheetName val="Rev_Trend9"/>
      <sheetName val="Rev-GM_Detail_19"/>
      <sheetName val="Rev-GM_Detail_29"/>
      <sheetName val="Rev_Mix_Trend9"/>
      <sheetName val="SUMMARY_(EXPD)9"/>
      <sheetName val="SUMMARY_(%)9"/>
      <sheetName val="QTD_TO_GO9"/>
      <sheetName val="Leap_PO_Std_9"/>
      <sheetName val="Quantum_PO_Std9"/>
      <sheetName val="master_PO9"/>
      <sheetName val="Narr__Tables10"/>
      <sheetName val="FY01_Actuals10"/>
      <sheetName val="FY00_Restated10"/>
      <sheetName val="FY01_Quota10"/>
      <sheetName val="3D_ASPIRE_Table10"/>
      <sheetName val="Total_Financials10"/>
      <sheetName val="Table_of_Contents10"/>
      <sheetName val="GM_Trend10"/>
      <sheetName val="GM%_Trend10"/>
      <sheetName val="Linearity_Chart10"/>
      <sheetName val="NP_Trend10"/>
      <sheetName val="Rev_Trend10"/>
      <sheetName val="Rev-GM_Detail_110"/>
      <sheetName val="Rev-GM_Detail_210"/>
      <sheetName val="Rev_Mix_Trend10"/>
      <sheetName val="SUMMARY_(EXPD)10"/>
      <sheetName val="SUMMARY_(%)10"/>
      <sheetName val="QTD_TO_GO10"/>
      <sheetName val="Leap_PO_Std_10"/>
      <sheetName val="Quantum_PO_Std10"/>
      <sheetName val="master_PO10"/>
      <sheetName val="Narr__Tables11"/>
      <sheetName val="FY01_Actuals11"/>
      <sheetName val="FY00_Restated11"/>
      <sheetName val="FY01_Quota11"/>
      <sheetName val="3D_ASPIRE_Table11"/>
      <sheetName val="Total_Financials11"/>
      <sheetName val="Table_of_Contents11"/>
      <sheetName val="GM_Trend11"/>
      <sheetName val="GM%_Trend11"/>
      <sheetName val="Linearity_Chart11"/>
      <sheetName val="NP_Trend11"/>
      <sheetName val="Rev_Trend11"/>
      <sheetName val="Rev-GM_Detail_111"/>
      <sheetName val="Rev-GM_Detail_211"/>
      <sheetName val="Rev_Mix_Trend11"/>
      <sheetName val="SUMMARY_(EXPD)11"/>
      <sheetName val="SUMMARY_(%)11"/>
      <sheetName val="QTD_TO_GO11"/>
      <sheetName val="Leap_PO_Std_11"/>
      <sheetName val="Quantum_PO_Std11"/>
      <sheetName val="master_PO11"/>
      <sheetName val="Comet_ASPIRE"/>
      <sheetName val="Comet_Sequential"/>
      <sheetName val="Comet_yoy"/>
      <sheetName val="Narr__Tables12"/>
      <sheetName val="FY01_Actuals12"/>
      <sheetName val="FY00_Restated12"/>
      <sheetName val="FY01_Quota12"/>
      <sheetName val="3D_ASPIRE_Table12"/>
      <sheetName val="Total_Financials12"/>
      <sheetName val="Table_of_Contents12"/>
      <sheetName val="GM_Trend12"/>
      <sheetName val="GM%_Trend12"/>
      <sheetName val="Linearity_Chart12"/>
      <sheetName val="NP_Trend12"/>
      <sheetName val="Rev_Trend12"/>
      <sheetName val="Rev-GM_Detail_112"/>
      <sheetName val="Rev-GM_Detail_212"/>
      <sheetName val="Rev_Mix_Trend12"/>
      <sheetName val="SUMMARY_(EXPD)12"/>
      <sheetName val="SUMMARY_(%)12"/>
      <sheetName val="QTD_TO_GO12"/>
      <sheetName val="Leap_PO_Std_12"/>
      <sheetName val="Quantum_PO_Std12"/>
      <sheetName val="master_PO12"/>
      <sheetName val="Narr__Tables13"/>
      <sheetName val="FY01_Actuals13"/>
      <sheetName val="FY00_Restated13"/>
      <sheetName val="FY01_Quota13"/>
      <sheetName val="3D_ASPIRE_Table13"/>
      <sheetName val="Total_Financials13"/>
      <sheetName val="Table_of_Contents13"/>
      <sheetName val="GM_Trend13"/>
      <sheetName val="GM%_Trend13"/>
      <sheetName val="Linearity_Chart13"/>
      <sheetName val="NP_Trend13"/>
      <sheetName val="Rev_Trend13"/>
      <sheetName val="Rev-GM_Detail_113"/>
      <sheetName val="Rev-GM_Detail_213"/>
      <sheetName val="Rev_Mix_Trend13"/>
      <sheetName val="SUMMARY_(EXPD)13"/>
      <sheetName val="SUMMARY_(%)13"/>
      <sheetName val="QTD_TO_GO13"/>
      <sheetName val="Leap_PO_Std_13"/>
      <sheetName val="Quantum_PO_Std13"/>
      <sheetName val="master_PO13"/>
      <sheetName val="Narr__Tables14"/>
      <sheetName val="FY01_Actuals14"/>
      <sheetName val="FY00_Restated14"/>
      <sheetName val="FY01_Quota14"/>
      <sheetName val="3D_ASPIRE_Table14"/>
      <sheetName val="Total_Financials14"/>
      <sheetName val="Table_of_Contents14"/>
      <sheetName val="GM_Trend14"/>
      <sheetName val="GM%_Trend14"/>
      <sheetName val="Linearity_Chart14"/>
      <sheetName val="NP_Trend14"/>
      <sheetName val="Rev_Trend14"/>
      <sheetName val="Rev-GM_Detail_114"/>
      <sheetName val="Rev-GM_Detail_214"/>
      <sheetName val="Rev_Mix_Trend14"/>
      <sheetName val="SUMMARY_(EXPD)14"/>
      <sheetName val="SUMMARY_(%)14"/>
      <sheetName val="QTD_TO_GO14"/>
      <sheetName val="Leap_PO_Std_14"/>
      <sheetName val="Quantum_PO_Std14"/>
      <sheetName val="master_PO14"/>
      <sheetName val="Narr__Tables15"/>
      <sheetName val="FY01_Actuals15"/>
      <sheetName val="FY00_Restated15"/>
      <sheetName val="FY01_Quota15"/>
      <sheetName val="3D_ASPIRE_Table15"/>
      <sheetName val="Total_Financials15"/>
      <sheetName val="Table_of_Contents15"/>
      <sheetName val="GM_Trend15"/>
      <sheetName val="GM%_Trend15"/>
      <sheetName val="Linearity_Chart15"/>
      <sheetName val="NP_Trend15"/>
      <sheetName val="Rev_Trend15"/>
      <sheetName val="Rev-GM_Detail_115"/>
      <sheetName val="Rev-GM_Detail_215"/>
      <sheetName val="Rev_Mix_Trend15"/>
      <sheetName val="SUMMARY_(EXPD)15"/>
      <sheetName val="SUMMARY_(%)15"/>
      <sheetName val="QTD_TO_GO15"/>
      <sheetName val="Leap_PO_Std_15"/>
      <sheetName val="Quantum_PO_Std15"/>
      <sheetName val="master_PO15"/>
      <sheetName val="Narr__Tables17"/>
      <sheetName val="FY01_Actuals17"/>
      <sheetName val="FY00_Restated17"/>
      <sheetName val="FY01_Quota17"/>
      <sheetName val="3D_ASPIRE_Table17"/>
      <sheetName val="Total_Financials17"/>
      <sheetName val="Table_of_Contents17"/>
      <sheetName val="GM_Trend17"/>
      <sheetName val="GM%_Trend17"/>
      <sheetName val="Linearity_Chart17"/>
      <sheetName val="NP_Trend17"/>
      <sheetName val="Rev_Trend17"/>
      <sheetName val="Rev-GM_Detail_117"/>
      <sheetName val="Rev-GM_Detail_217"/>
      <sheetName val="Rev_Mix_Trend17"/>
      <sheetName val="SUMMARY_(EXPD)17"/>
      <sheetName val="SUMMARY_(%)17"/>
      <sheetName val="QTD_TO_GO17"/>
      <sheetName val="Leap_PO_Std_17"/>
      <sheetName val="Quantum_PO_Std17"/>
      <sheetName val="master_PO17"/>
      <sheetName val="Narr__Tables16"/>
      <sheetName val="FY01_Actuals16"/>
      <sheetName val="FY00_Restated16"/>
      <sheetName val="FY01_Quota16"/>
      <sheetName val="3D_ASPIRE_Table16"/>
      <sheetName val="Total_Financials16"/>
      <sheetName val="Table_of_Contents16"/>
      <sheetName val="GM_Trend16"/>
      <sheetName val="GM%_Trend16"/>
      <sheetName val="Linearity_Chart16"/>
      <sheetName val="NP_Trend16"/>
      <sheetName val="Rev_Trend16"/>
      <sheetName val="Rev-GM_Detail_116"/>
      <sheetName val="Rev-GM_Detail_216"/>
      <sheetName val="Rev_Mix_Trend16"/>
      <sheetName val="SUMMARY_(EXPD)16"/>
      <sheetName val="SUMMARY_(%)16"/>
      <sheetName val="QTD_TO_GO16"/>
      <sheetName val="Leap_PO_Std_16"/>
      <sheetName val="Quantum_PO_Std16"/>
      <sheetName val="master_PO16"/>
      <sheetName val="Narr__Tables18"/>
      <sheetName val="FY01_Actuals18"/>
      <sheetName val="FY00_Restated18"/>
      <sheetName val="FY01_Quota18"/>
      <sheetName val="3D_ASPIRE_Table18"/>
      <sheetName val="Total_Financials18"/>
      <sheetName val="Table_of_Contents18"/>
      <sheetName val="GM_Trend18"/>
      <sheetName val="GM%_Trend18"/>
      <sheetName val="Linearity_Chart18"/>
      <sheetName val="NP_Trend18"/>
      <sheetName val="Rev_Trend18"/>
      <sheetName val="Rev-GM_Detail_118"/>
      <sheetName val="Rev-GM_Detail_218"/>
      <sheetName val="Rev_Mix_Trend18"/>
      <sheetName val="SUMMARY_(EXPD)18"/>
      <sheetName val="SUMMARY_(%)18"/>
      <sheetName val="QTD_TO_GO18"/>
      <sheetName val="Leap_PO_Std_18"/>
      <sheetName val="Quantum_PO_Std18"/>
      <sheetName val="master_PO18"/>
      <sheetName val="Narr__Tables19"/>
      <sheetName val="FY01_Actuals19"/>
      <sheetName val="FY00_Restated19"/>
      <sheetName val="FY01_Quota19"/>
      <sheetName val="3D_ASPIRE_Table19"/>
      <sheetName val="Total_Financials19"/>
      <sheetName val="Table_of_Contents19"/>
      <sheetName val="GM_Trend19"/>
      <sheetName val="GM%_Trend19"/>
      <sheetName val="Linearity_Chart19"/>
      <sheetName val="NP_Trend19"/>
      <sheetName val="Rev_Trend19"/>
      <sheetName val="Rev-GM_Detail_119"/>
      <sheetName val="Rev-GM_Detail_219"/>
      <sheetName val="Rev_Mix_Trend19"/>
      <sheetName val="SUMMARY_(EXPD)19"/>
      <sheetName val="SUMMARY_(%)19"/>
      <sheetName val="QTD_TO_GO19"/>
      <sheetName val="Leap_PO_Std_19"/>
      <sheetName val="Quantum_PO_Std19"/>
      <sheetName val="master_PO19"/>
      <sheetName val="Narr__Tables21"/>
      <sheetName val="FY01_Actuals21"/>
      <sheetName val="FY00_Restated21"/>
      <sheetName val="FY01_Quota21"/>
      <sheetName val="3D_ASPIRE_Table21"/>
      <sheetName val="Total_Financials21"/>
      <sheetName val="Table_of_Contents21"/>
      <sheetName val="GM_Trend21"/>
      <sheetName val="GM%_Trend21"/>
      <sheetName val="Linearity_Chart21"/>
      <sheetName val="NP_Trend21"/>
      <sheetName val="Rev_Trend21"/>
      <sheetName val="Rev-GM_Detail_121"/>
      <sheetName val="Rev-GM_Detail_221"/>
      <sheetName val="Rev_Mix_Trend21"/>
      <sheetName val="SUMMARY_(EXPD)21"/>
      <sheetName val="SUMMARY_(%)21"/>
      <sheetName val="QTD_TO_GO21"/>
      <sheetName val="Leap_PO_Std_21"/>
      <sheetName val="Quantum_PO_Std21"/>
      <sheetName val="master_PO21"/>
      <sheetName val="Narr__Tables22"/>
      <sheetName val="FY01_Actuals22"/>
      <sheetName val="FY00_Restated22"/>
      <sheetName val="FY01_Quota22"/>
      <sheetName val="3D_ASPIRE_Table22"/>
      <sheetName val="Total_Financials22"/>
      <sheetName val="Table_of_Contents22"/>
      <sheetName val="GM_Trend22"/>
      <sheetName val="GM%_Trend22"/>
      <sheetName val="Linearity_Chart22"/>
      <sheetName val="NP_Trend22"/>
      <sheetName val="Rev_Trend22"/>
      <sheetName val="Rev-GM_Detail_122"/>
      <sheetName val="Rev-GM_Detail_222"/>
      <sheetName val="Rev_Mix_Trend22"/>
      <sheetName val="SUMMARY_(EXPD)22"/>
      <sheetName val="SUMMARY_(%)22"/>
      <sheetName val="QTD_TO_GO22"/>
      <sheetName val="Leap_PO_Std_22"/>
      <sheetName val="Quantum_PO_Std22"/>
      <sheetName val="master_PO22"/>
      <sheetName val="Narr__Tables26"/>
      <sheetName val="FY01_Actuals26"/>
      <sheetName val="FY00_Restated26"/>
      <sheetName val="FY01_Quota26"/>
      <sheetName val="3D_ASPIRE_Table26"/>
      <sheetName val="Total_Financials26"/>
      <sheetName val="Table_of_Contents26"/>
      <sheetName val="GM_Trend26"/>
      <sheetName val="GM%_Trend26"/>
      <sheetName val="Linearity_Chart26"/>
      <sheetName val="NP_Trend26"/>
      <sheetName val="Rev_Trend26"/>
      <sheetName val="Rev-GM_Detail_126"/>
      <sheetName val="Rev-GM_Detail_226"/>
      <sheetName val="Rev_Mix_Trend26"/>
      <sheetName val="SUMMARY_(EXPD)26"/>
      <sheetName val="SUMMARY_(%)26"/>
      <sheetName val="QTD_TO_GO26"/>
      <sheetName val="Leap_PO_Std_26"/>
      <sheetName val="Quantum_PO_Std26"/>
      <sheetName val="master_PO26"/>
      <sheetName val="Narr__Tables24"/>
      <sheetName val="FY01_Actuals24"/>
      <sheetName val="FY00_Restated24"/>
      <sheetName val="FY01_Quota24"/>
      <sheetName val="3D_ASPIRE_Table24"/>
      <sheetName val="Total_Financials24"/>
      <sheetName val="Table_of_Contents24"/>
      <sheetName val="GM_Trend24"/>
      <sheetName val="GM%_Trend24"/>
      <sheetName val="Linearity_Chart24"/>
      <sheetName val="NP_Trend24"/>
      <sheetName val="Rev_Trend24"/>
      <sheetName val="Rev-GM_Detail_124"/>
      <sheetName val="Rev-GM_Detail_224"/>
      <sheetName val="Rev_Mix_Trend24"/>
      <sheetName val="SUMMARY_(EXPD)24"/>
      <sheetName val="SUMMARY_(%)24"/>
      <sheetName val="QTD_TO_GO24"/>
      <sheetName val="Leap_PO_Std_24"/>
      <sheetName val="Quantum_PO_Std24"/>
      <sheetName val="master_PO24"/>
      <sheetName val="Narr__Tables23"/>
      <sheetName val="FY01_Actuals23"/>
      <sheetName val="FY00_Restated23"/>
      <sheetName val="FY01_Quota23"/>
      <sheetName val="3D_ASPIRE_Table23"/>
      <sheetName val="Total_Financials23"/>
      <sheetName val="Table_of_Contents23"/>
      <sheetName val="GM_Trend23"/>
      <sheetName val="GM%_Trend23"/>
      <sheetName val="Linearity_Chart23"/>
      <sheetName val="NP_Trend23"/>
      <sheetName val="Rev_Trend23"/>
      <sheetName val="Rev-GM_Detail_123"/>
      <sheetName val="Rev-GM_Detail_223"/>
      <sheetName val="Rev_Mix_Trend23"/>
      <sheetName val="SUMMARY_(EXPD)23"/>
      <sheetName val="SUMMARY_(%)23"/>
      <sheetName val="QTD_TO_GO23"/>
      <sheetName val="Leap_PO_Std_23"/>
      <sheetName val="Quantum_PO_Std23"/>
      <sheetName val="master_PO23"/>
      <sheetName val="Narr__Tables25"/>
      <sheetName val="FY01_Actuals25"/>
      <sheetName val="FY00_Restated25"/>
      <sheetName val="FY01_Quota25"/>
      <sheetName val="3D_ASPIRE_Table25"/>
      <sheetName val="Total_Financials25"/>
      <sheetName val="Table_of_Contents25"/>
      <sheetName val="GM_Trend25"/>
      <sheetName val="GM%_Trend25"/>
      <sheetName val="Linearity_Chart25"/>
      <sheetName val="NP_Trend25"/>
      <sheetName val="Rev_Trend25"/>
      <sheetName val="Rev-GM_Detail_125"/>
      <sheetName val="Rev-GM_Detail_225"/>
      <sheetName val="Rev_Mix_Trend25"/>
      <sheetName val="SUMMARY_(EXPD)25"/>
      <sheetName val="SUMMARY_(%)25"/>
      <sheetName val="QTD_TO_GO25"/>
      <sheetName val="Leap_PO_Std_25"/>
      <sheetName val="Quantum_PO_Std25"/>
      <sheetName val="master_PO25"/>
      <sheetName val="Narr__Tables29"/>
      <sheetName val="FY01_Actuals29"/>
      <sheetName val="FY00_Restated29"/>
      <sheetName val="FY01_Quota29"/>
      <sheetName val="3D_ASPIRE_Table29"/>
      <sheetName val="Total_Financials29"/>
      <sheetName val="Table_of_Contents29"/>
      <sheetName val="GM_Trend29"/>
      <sheetName val="GM%_Trend29"/>
      <sheetName val="Linearity_Chart29"/>
      <sheetName val="NP_Trend29"/>
      <sheetName val="Rev_Trend29"/>
      <sheetName val="Rev-GM_Detail_129"/>
      <sheetName val="Rev-GM_Detail_229"/>
      <sheetName val="Rev_Mix_Trend29"/>
      <sheetName val="SUMMARY_(EXPD)29"/>
      <sheetName val="SUMMARY_(%)29"/>
      <sheetName val="QTD_TO_GO29"/>
      <sheetName val="Leap_PO_Std_29"/>
      <sheetName val="Quantum_PO_Std29"/>
      <sheetName val="master_PO29"/>
      <sheetName val="Narr__Tables27"/>
      <sheetName val="FY01_Actuals27"/>
      <sheetName val="FY00_Restated27"/>
      <sheetName val="FY01_Quota27"/>
      <sheetName val="3D_ASPIRE_Table27"/>
      <sheetName val="Total_Financials27"/>
      <sheetName val="Table_of_Contents27"/>
      <sheetName val="GM_Trend27"/>
      <sheetName val="GM%_Trend27"/>
      <sheetName val="Linearity_Chart27"/>
      <sheetName val="NP_Trend27"/>
      <sheetName val="Rev_Trend27"/>
      <sheetName val="Rev-GM_Detail_127"/>
      <sheetName val="Rev-GM_Detail_227"/>
      <sheetName val="Rev_Mix_Trend27"/>
      <sheetName val="SUMMARY_(EXPD)27"/>
      <sheetName val="SUMMARY_(%)27"/>
      <sheetName val="QTD_TO_GO27"/>
      <sheetName val="Leap_PO_Std_27"/>
      <sheetName val="Quantum_PO_Std27"/>
      <sheetName val="master_PO27"/>
      <sheetName val="Narr__Tables28"/>
      <sheetName val="FY01_Actuals28"/>
      <sheetName val="FY00_Restated28"/>
      <sheetName val="FY01_Quota28"/>
      <sheetName val="3D_ASPIRE_Table28"/>
      <sheetName val="Total_Financials28"/>
      <sheetName val="Table_of_Contents28"/>
      <sheetName val="GM_Trend28"/>
      <sheetName val="GM%_Trend28"/>
      <sheetName val="Linearity_Chart28"/>
      <sheetName val="NP_Trend28"/>
      <sheetName val="Rev_Trend28"/>
      <sheetName val="Rev-GM_Detail_128"/>
      <sheetName val="Rev-GM_Detail_228"/>
      <sheetName val="Rev_Mix_Trend28"/>
      <sheetName val="SUMMARY_(EXPD)28"/>
      <sheetName val="SUMMARY_(%)28"/>
      <sheetName val="QTD_TO_GO28"/>
      <sheetName val="Leap_PO_Std_28"/>
      <sheetName val="Quantum_PO_Std28"/>
      <sheetName val="master_PO28"/>
      <sheetName val="Narr__Tables33"/>
      <sheetName val="FY01_Actuals33"/>
      <sheetName val="FY00_Restated33"/>
      <sheetName val="FY01_Quota33"/>
      <sheetName val="3D_ASPIRE_Table33"/>
      <sheetName val="Total_Financials33"/>
      <sheetName val="Table_of_Contents33"/>
      <sheetName val="GM_Trend33"/>
      <sheetName val="GM%_Trend33"/>
      <sheetName val="Linearity_Chart33"/>
      <sheetName val="NP_Trend33"/>
      <sheetName val="Rev_Trend33"/>
      <sheetName val="Rev-GM_Detail_133"/>
      <sheetName val="Rev-GM_Detail_233"/>
      <sheetName val="Rev_Mix_Trend33"/>
      <sheetName val="SUMMARY_(EXPD)33"/>
      <sheetName val="SUMMARY_(%)33"/>
      <sheetName val="QTD_TO_GO33"/>
      <sheetName val="Leap_PO_Std_33"/>
      <sheetName val="Quantum_PO_Std33"/>
      <sheetName val="master_PO33"/>
      <sheetName val="Comet_ASPIRE2"/>
      <sheetName val="Comet_Sequential2"/>
      <sheetName val="Comet_yoy2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Av_Measures1"/>
      <sheetName val="CUSTOMER_GROUP_WISE1"/>
      <sheetName val="Company_Info1"/>
      <sheetName val="Narr__Tables30"/>
      <sheetName val="FY01_Actuals30"/>
      <sheetName val="FY00_Restated30"/>
      <sheetName val="FY01_Quota30"/>
      <sheetName val="3D_ASPIRE_Table30"/>
      <sheetName val="Total_Financials30"/>
      <sheetName val="Table_of_Contents30"/>
      <sheetName val="GM_Trend30"/>
      <sheetName val="GM%_Trend30"/>
      <sheetName val="Linearity_Chart30"/>
      <sheetName val="NP_Trend30"/>
      <sheetName val="Rev_Trend30"/>
      <sheetName val="Rev-GM_Detail_130"/>
      <sheetName val="Rev-GM_Detail_230"/>
      <sheetName val="Rev_Mix_Trend30"/>
      <sheetName val="SUMMARY_(EXPD)30"/>
      <sheetName val="SUMMARY_(%)30"/>
      <sheetName val="QTD_TO_GO30"/>
      <sheetName val="Leap_PO_Std_30"/>
      <sheetName val="Quantum_PO_Std30"/>
      <sheetName val="master_PO30"/>
      <sheetName val="Narr__Tables31"/>
      <sheetName val="FY01_Actuals31"/>
      <sheetName val="FY00_Restated31"/>
      <sheetName val="FY01_Quota31"/>
      <sheetName val="3D_ASPIRE_Table31"/>
      <sheetName val="Total_Financials31"/>
      <sheetName val="Table_of_Contents31"/>
      <sheetName val="GM_Trend31"/>
      <sheetName val="GM%_Trend31"/>
      <sheetName val="Linearity_Chart31"/>
      <sheetName val="NP_Trend31"/>
      <sheetName val="Rev_Trend31"/>
      <sheetName val="Rev-GM_Detail_131"/>
      <sheetName val="Rev-GM_Detail_231"/>
      <sheetName val="Rev_Mix_Trend31"/>
      <sheetName val="SUMMARY_(EXPD)31"/>
      <sheetName val="SUMMARY_(%)31"/>
      <sheetName val="QTD_TO_GO31"/>
      <sheetName val="Leap_PO_Std_31"/>
      <sheetName val="Quantum_PO_Std31"/>
      <sheetName val="master_PO31"/>
      <sheetName val="Narr__Tables32"/>
      <sheetName val="FY01_Actuals32"/>
      <sheetName val="FY00_Restated32"/>
      <sheetName val="FY01_Quota32"/>
      <sheetName val="3D_ASPIRE_Table32"/>
      <sheetName val="Total_Financials32"/>
      <sheetName val="Table_of_Contents32"/>
      <sheetName val="GM_Trend32"/>
      <sheetName val="GM%_Trend32"/>
      <sheetName val="Linearity_Chart32"/>
      <sheetName val="NP_Trend32"/>
      <sheetName val="Rev_Trend32"/>
      <sheetName val="Rev-GM_Detail_132"/>
      <sheetName val="Rev-GM_Detail_232"/>
      <sheetName val="Rev_Mix_Trend32"/>
      <sheetName val="SUMMARY_(EXPD)32"/>
      <sheetName val="SUMMARY_(%)32"/>
      <sheetName val="QTD_TO_GO32"/>
      <sheetName val="Leap_PO_Std_32"/>
      <sheetName val="Quantum_PO_Std32"/>
      <sheetName val="master_PO32"/>
      <sheetName val="Comet_ASPIRE1"/>
      <sheetName val="Comet_Sequential1"/>
      <sheetName val="Comet_yoy1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Av_Measures"/>
      <sheetName val="CUSTOMER_GROUP_WISE"/>
      <sheetName val="Company_Info"/>
      <sheetName val="Narr__Tables42"/>
      <sheetName val="FY01_Actuals42"/>
      <sheetName val="FY00_Restated42"/>
      <sheetName val="FY01_Quota42"/>
      <sheetName val="3D_ASPIRE_Table42"/>
      <sheetName val="Total_Financials42"/>
      <sheetName val="Table_of_Contents42"/>
      <sheetName val="GM_Trend42"/>
      <sheetName val="GM%_Trend42"/>
      <sheetName val="Linearity_Chart42"/>
      <sheetName val="NP_Trend42"/>
      <sheetName val="Rev_Trend42"/>
      <sheetName val="Rev-GM_Detail_142"/>
      <sheetName val="Rev-GM_Detail_242"/>
      <sheetName val="Rev_Mix_Trend42"/>
      <sheetName val="SUMMARY_(EXPD)42"/>
      <sheetName val="SUMMARY_(%)42"/>
      <sheetName val="QTD_TO_GO42"/>
      <sheetName val="Leap_PO_Std_42"/>
      <sheetName val="Quantum_PO_Std42"/>
      <sheetName val="master_PO42"/>
      <sheetName val="Comet_ASPIRE11"/>
      <sheetName val="Comet_Sequential11"/>
      <sheetName val="Comet_yoy11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Av_Measures10"/>
      <sheetName val="CUSTOMER_GROUP_WISE10"/>
      <sheetName val="Company_Info10"/>
      <sheetName val="FX_on_2121AP2"/>
      <sheetName val="Aging_Datasheet2"/>
      <sheetName val="ECCS_1_DataSheet2"/>
      <sheetName val="KPI_Datasheet2"/>
      <sheetName val="Narr__Tables36"/>
      <sheetName val="FY01_Actuals36"/>
      <sheetName val="FY00_Restated36"/>
      <sheetName val="FY01_Quota36"/>
      <sheetName val="3D_ASPIRE_Table36"/>
      <sheetName val="Total_Financials36"/>
      <sheetName val="Table_of_Contents36"/>
      <sheetName val="GM_Trend36"/>
      <sheetName val="GM%_Trend36"/>
      <sheetName val="Linearity_Chart36"/>
      <sheetName val="NP_Trend36"/>
      <sheetName val="Rev_Trend36"/>
      <sheetName val="Rev-GM_Detail_136"/>
      <sheetName val="Rev-GM_Detail_236"/>
      <sheetName val="Rev_Mix_Trend36"/>
      <sheetName val="SUMMARY_(EXPD)36"/>
      <sheetName val="SUMMARY_(%)36"/>
      <sheetName val="QTD_TO_GO36"/>
      <sheetName val="Leap_PO_Std_36"/>
      <sheetName val="Quantum_PO_Std36"/>
      <sheetName val="master_PO36"/>
      <sheetName val="Comet_ASPIRE5"/>
      <sheetName val="Comet_Sequential5"/>
      <sheetName val="Comet_yoy5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Av_Measures4"/>
      <sheetName val="CUSTOMER_GROUP_WISE4"/>
      <sheetName val="Company_Info4"/>
      <sheetName val="Narr__Tables34"/>
      <sheetName val="FY01_Actuals34"/>
      <sheetName val="FY00_Restated34"/>
      <sheetName val="FY01_Quota34"/>
      <sheetName val="3D_ASPIRE_Table34"/>
      <sheetName val="Total_Financials34"/>
      <sheetName val="Table_of_Contents34"/>
      <sheetName val="GM_Trend34"/>
      <sheetName val="GM%_Trend34"/>
      <sheetName val="Linearity_Chart34"/>
      <sheetName val="NP_Trend34"/>
      <sheetName val="Rev_Trend34"/>
      <sheetName val="Rev-GM_Detail_134"/>
      <sheetName val="Rev-GM_Detail_234"/>
      <sheetName val="Rev_Mix_Trend34"/>
      <sheetName val="SUMMARY_(EXPD)34"/>
      <sheetName val="SUMMARY_(%)34"/>
      <sheetName val="QTD_TO_GO34"/>
      <sheetName val="Leap_PO_Std_34"/>
      <sheetName val="Quantum_PO_Std34"/>
      <sheetName val="master_PO34"/>
      <sheetName val="Comet_ASPIRE3"/>
      <sheetName val="Comet_Sequential3"/>
      <sheetName val="Comet_yoy3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Av_Measures2"/>
      <sheetName val="CUSTOMER_GROUP_WISE2"/>
      <sheetName val="Company_Info2"/>
      <sheetName val="Narr__Tables35"/>
      <sheetName val="FY01_Actuals35"/>
      <sheetName val="FY00_Restated35"/>
      <sheetName val="FY01_Quota35"/>
      <sheetName val="3D_ASPIRE_Table35"/>
      <sheetName val="Total_Financials35"/>
      <sheetName val="Table_of_Contents35"/>
      <sheetName val="GM_Trend35"/>
      <sheetName val="GM%_Trend35"/>
      <sheetName val="Linearity_Chart35"/>
      <sheetName val="NP_Trend35"/>
      <sheetName val="Rev_Trend35"/>
      <sheetName val="Rev-GM_Detail_135"/>
      <sheetName val="Rev-GM_Detail_235"/>
      <sheetName val="Rev_Mix_Trend35"/>
      <sheetName val="SUMMARY_(EXPD)35"/>
      <sheetName val="SUMMARY_(%)35"/>
      <sheetName val="QTD_TO_GO35"/>
      <sheetName val="Leap_PO_Std_35"/>
      <sheetName val="Quantum_PO_Std35"/>
      <sheetName val="master_PO35"/>
      <sheetName val="Comet_ASPIRE4"/>
      <sheetName val="Comet_Sequential4"/>
      <sheetName val="Comet_yoy4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Av_Measures3"/>
      <sheetName val="CUSTOMER_GROUP_WISE3"/>
      <sheetName val="Company_Info3"/>
      <sheetName val="Narr__Tables39"/>
      <sheetName val="FY01_Actuals39"/>
      <sheetName val="FY00_Restated39"/>
      <sheetName val="FY01_Quota39"/>
      <sheetName val="3D_ASPIRE_Table39"/>
      <sheetName val="Total_Financials39"/>
      <sheetName val="Table_of_Contents39"/>
      <sheetName val="GM_Trend39"/>
      <sheetName val="GM%_Trend39"/>
      <sheetName val="Linearity_Chart39"/>
      <sheetName val="NP_Trend39"/>
      <sheetName val="Rev_Trend39"/>
      <sheetName val="Rev-GM_Detail_139"/>
      <sheetName val="Rev-GM_Detail_239"/>
      <sheetName val="Rev_Mix_Trend39"/>
      <sheetName val="SUMMARY_(EXPD)39"/>
      <sheetName val="SUMMARY_(%)39"/>
      <sheetName val="QTD_TO_GO39"/>
      <sheetName val="Leap_PO_Std_39"/>
      <sheetName val="Quantum_PO_Std39"/>
      <sheetName val="master_PO39"/>
      <sheetName val="Comet_ASPIRE8"/>
      <sheetName val="Comet_Sequential8"/>
      <sheetName val="Comet_yoy8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Av_Measures7"/>
      <sheetName val="CUSTOMER_GROUP_WISE7"/>
      <sheetName val="Company_Info7"/>
      <sheetName val="Narr__Tables37"/>
      <sheetName val="FY01_Actuals37"/>
      <sheetName val="FY00_Restated37"/>
      <sheetName val="FY01_Quota37"/>
      <sheetName val="3D_ASPIRE_Table37"/>
      <sheetName val="Total_Financials37"/>
      <sheetName val="Table_of_Contents37"/>
      <sheetName val="GM_Trend37"/>
      <sheetName val="GM%_Trend37"/>
      <sheetName val="Linearity_Chart37"/>
      <sheetName val="NP_Trend37"/>
      <sheetName val="Rev_Trend37"/>
      <sheetName val="Rev-GM_Detail_137"/>
      <sheetName val="Rev-GM_Detail_237"/>
      <sheetName val="Rev_Mix_Trend37"/>
      <sheetName val="SUMMARY_(EXPD)37"/>
      <sheetName val="SUMMARY_(%)37"/>
      <sheetName val="QTD_TO_GO37"/>
      <sheetName val="Leap_PO_Std_37"/>
      <sheetName val="Quantum_PO_Std37"/>
      <sheetName val="master_PO37"/>
      <sheetName val="Comet_ASPIRE6"/>
      <sheetName val="Comet_Sequential6"/>
      <sheetName val="Comet_yoy6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Av_Measures5"/>
      <sheetName val="CUSTOMER_GROUP_WISE5"/>
      <sheetName val="Company_Info5"/>
      <sheetName val="Narr__Tables38"/>
      <sheetName val="FY01_Actuals38"/>
      <sheetName val="FY00_Restated38"/>
      <sheetName val="FY01_Quota38"/>
      <sheetName val="3D_ASPIRE_Table38"/>
      <sheetName val="Total_Financials38"/>
      <sheetName val="Table_of_Contents38"/>
      <sheetName val="GM_Trend38"/>
      <sheetName val="GM%_Trend38"/>
      <sheetName val="Linearity_Chart38"/>
      <sheetName val="NP_Trend38"/>
      <sheetName val="Rev_Trend38"/>
      <sheetName val="Rev-GM_Detail_138"/>
      <sheetName val="Rev-GM_Detail_238"/>
      <sheetName val="Rev_Mix_Trend38"/>
      <sheetName val="SUMMARY_(EXPD)38"/>
      <sheetName val="SUMMARY_(%)38"/>
      <sheetName val="QTD_TO_GO38"/>
      <sheetName val="Leap_PO_Std_38"/>
      <sheetName val="Quantum_PO_Std38"/>
      <sheetName val="master_PO38"/>
      <sheetName val="Comet_ASPIRE7"/>
      <sheetName val="Comet_Sequential7"/>
      <sheetName val="Comet_yoy7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Av_Measures6"/>
      <sheetName val="CUSTOMER_GROUP_WISE6"/>
      <sheetName val="Company_Info6"/>
      <sheetName val="Narr__Tables40"/>
      <sheetName val="FY01_Actuals40"/>
      <sheetName val="FY00_Restated40"/>
      <sheetName val="FY01_Quota40"/>
      <sheetName val="3D_ASPIRE_Table40"/>
      <sheetName val="Total_Financials40"/>
      <sheetName val="Table_of_Contents40"/>
      <sheetName val="GM_Trend40"/>
      <sheetName val="GM%_Trend40"/>
      <sheetName val="Linearity_Chart40"/>
      <sheetName val="NP_Trend40"/>
      <sheetName val="Rev_Trend40"/>
      <sheetName val="Rev-GM_Detail_140"/>
      <sheetName val="Rev-GM_Detail_240"/>
      <sheetName val="Rev_Mix_Trend40"/>
      <sheetName val="SUMMARY_(EXPD)40"/>
      <sheetName val="SUMMARY_(%)40"/>
      <sheetName val="QTD_TO_GO40"/>
      <sheetName val="Leap_PO_Std_40"/>
      <sheetName val="Quantum_PO_Std40"/>
      <sheetName val="master_PO40"/>
      <sheetName val="Comet_ASPIRE9"/>
      <sheetName val="Comet_Sequential9"/>
      <sheetName val="Comet_yoy9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Av_Measures8"/>
      <sheetName val="CUSTOMER_GROUP_WISE8"/>
      <sheetName val="Company_Info8"/>
      <sheetName val="FX_on_2121AP"/>
      <sheetName val="Aging_Datasheet"/>
      <sheetName val="ECCS_1_DataSheet"/>
      <sheetName val="KPI_Datasheet"/>
      <sheetName val="Narr__Tables41"/>
      <sheetName val="FY01_Actuals41"/>
      <sheetName val="FY00_Restated41"/>
      <sheetName val="FY01_Quota41"/>
      <sheetName val="3D_ASPIRE_Table41"/>
      <sheetName val="Total_Financials41"/>
      <sheetName val="Table_of_Contents41"/>
      <sheetName val="GM_Trend41"/>
      <sheetName val="GM%_Trend41"/>
      <sheetName val="Linearity_Chart41"/>
      <sheetName val="NP_Trend41"/>
      <sheetName val="Rev_Trend41"/>
      <sheetName val="Rev-GM_Detail_141"/>
      <sheetName val="Rev-GM_Detail_241"/>
      <sheetName val="Rev_Mix_Trend41"/>
      <sheetName val="SUMMARY_(EXPD)41"/>
      <sheetName val="SUMMARY_(%)41"/>
      <sheetName val="QTD_TO_GO41"/>
      <sheetName val="Leap_PO_Std_41"/>
      <sheetName val="Quantum_PO_Std41"/>
      <sheetName val="master_PO41"/>
      <sheetName val="Comet_ASPIRE10"/>
      <sheetName val="Comet_Sequential10"/>
      <sheetName val="Comet_yoy10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Av_Measures9"/>
      <sheetName val="CUSTOMER_GROUP_WISE9"/>
      <sheetName val="Company_Info9"/>
      <sheetName val="FX_on_2121AP1"/>
      <sheetName val="Aging_Datasheet1"/>
      <sheetName val="ECCS_1_DataSheet1"/>
      <sheetName val="KPI_Datasheet1"/>
      <sheetName val="dec05 pl"/>
      <sheetName val="Time Dimension Lookup"/>
      <sheetName val="Sheet51"/>
      <sheetName val="Item Type list"/>
      <sheetName val="Item Type"/>
      <sheetName val="Instructions"/>
      <sheetName val="產品基本信息"/>
      <sheetName val="Spec"/>
      <sheetName val="MC3(main)"/>
      <sheetName val="MC1"/>
      <sheetName val="Foams"/>
      <sheetName val="Grid"/>
      <sheetName val="公司"/>
      <sheetName val="工厂"/>
      <sheetName val="经营体"/>
      <sheetName val="供应商"/>
      <sheetName val="Index"/>
      <sheetName val="S-PARTS-XE"/>
      <sheetName val="total(F)"/>
      <sheetName val="Narr__Tables43"/>
      <sheetName val="FY01_Actuals43"/>
      <sheetName val="FY00_Restated43"/>
      <sheetName val="FY01_Quota43"/>
      <sheetName val="3D_ASPIRE_Table43"/>
      <sheetName val="Total_Financials43"/>
      <sheetName val="Table_of_Contents43"/>
      <sheetName val="GM_Trend43"/>
      <sheetName val="GM%_Trend43"/>
      <sheetName val="Linearity_Chart43"/>
      <sheetName val="NP_Trend43"/>
      <sheetName val="Rev_Trend43"/>
      <sheetName val="Rev-GM_Detail_143"/>
      <sheetName val="Rev-GM_Detail_243"/>
      <sheetName val="Rev_Mix_Trend43"/>
      <sheetName val="SUMMARY_(EXPD)43"/>
      <sheetName val="SUMMARY_(%)43"/>
      <sheetName val="QTD_TO_GO43"/>
      <sheetName val="Leap_PO_Std_43"/>
      <sheetName val="Quantum_PO_Std43"/>
      <sheetName val="master_PO43"/>
      <sheetName val="Comet_ASPIRE12"/>
      <sheetName val="Comet_Sequential12"/>
      <sheetName val="Comet_yoy12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Av_Measures11"/>
      <sheetName val="CUSTOMER_GROUP_WISE11"/>
      <sheetName val="Company_Info11"/>
      <sheetName val="FX_on_2121AP3"/>
      <sheetName val="Aging_Datasheet3"/>
      <sheetName val="ECCS_1_DataSheet3"/>
      <sheetName val="KPI_Datasheet3"/>
      <sheetName val="Narr__Tables44"/>
      <sheetName val="FY01_Actuals44"/>
      <sheetName val="FY00_Restated44"/>
      <sheetName val="FY01_Quota44"/>
      <sheetName val="3D_ASPIRE_Table44"/>
      <sheetName val="Total_Financials44"/>
      <sheetName val="Table_of_Contents44"/>
      <sheetName val="GM_Trend44"/>
      <sheetName val="GM%_Trend44"/>
      <sheetName val="Linearity_Chart44"/>
      <sheetName val="NP_Trend44"/>
      <sheetName val="Rev_Trend44"/>
      <sheetName val="Rev-GM_Detail_144"/>
      <sheetName val="Rev-GM_Detail_244"/>
      <sheetName val="Rev_Mix_Trend44"/>
      <sheetName val="SUMMARY_(EXPD)44"/>
      <sheetName val="SUMMARY_(%)44"/>
      <sheetName val="QTD_TO_GO44"/>
      <sheetName val="Leap_PO_Std_44"/>
      <sheetName val="Quantum_PO_Std44"/>
      <sheetName val="master_PO44"/>
      <sheetName val="Comet_ASPIRE13"/>
      <sheetName val="Comet_Sequential13"/>
      <sheetName val="Comet_yoy13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Av_Measures12"/>
      <sheetName val="CUSTOMER_GROUP_WISE12"/>
      <sheetName val="Company_Info12"/>
      <sheetName val="FX_on_2121AP4"/>
      <sheetName val="Aging_Datasheet4"/>
      <sheetName val="ECCS_1_DataSheet4"/>
      <sheetName val="KPI_Datasheet4"/>
      <sheetName val="Narr__Tables45"/>
      <sheetName val="FY01_Actuals45"/>
      <sheetName val="FY00_Restated45"/>
      <sheetName val="FY01_Quota45"/>
      <sheetName val="3D_ASPIRE_Table45"/>
      <sheetName val="Total_Financials45"/>
      <sheetName val="Table_of_Contents45"/>
      <sheetName val="GM_Trend45"/>
      <sheetName val="GM%_Trend45"/>
      <sheetName val="Linearity_Chart45"/>
      <sheetName val="NP_Trend45"/>
      <sheetName val="Rev_Trend45"/>
      <sheetName val="Rev-GM_Detail_145"/>
      <sheetName val="Rev-GM_Detail_245"/>
      <sheetName val="Rev_Mix_Trend45"/>
      <sheetName val="SUMMARY_(EXPD)45"/>
      <sheetName val="SUMMARY_(%)45"/>
      <sheetName val="QTD_TO_GO45"/>
      <sheetName val="Leap_PO_Std_45"/>
      <sheetName val="Quantum_PO_Std45"/>
      <sheetName val="master_PO45"/>
      <sheetName val="Comet_ASPIRE14"/>
      <sheetName val="Comet_Sequential14"/>
      <sheetName val="Comet_yoy14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Av_Measures13"/>
      <sheetName val="CUSTOMER_GROUP_WISE13"/>
      <sheetName val="Company_Info13"/>
      <sheetName val="FX_on_2121AP5"/>
      <sheetName val="Aging_Datasheet5"/>
      <sheetName val="ECCS_1_DataSheet5"/>
      <sheetName val="KPI_Datasheet5"/>
      <sheetName val="Narr__Tables46"/>
      <sheetName val="FY01_Actuals46"/>
      <sheetName val="FY00_Restated46"/>
      <sheetName val="FY01_Quota46"/>
      <sheetName val="3D_ASPIRE_Table46"/>
      <sheetName val="Total_Financials46"/>
      <sheetName val="Table_of_Contents46"/>
      <sheetName val="GM_Trend46"/>
      <sheetName val="GM%_Trend46"/>
      <sheetName val="Linearity_Chart46"/>
      <sheetName val="NP_Trend46"/>
      <sheetName val="Rev_Trend46"/>
      <sheetName val="Rev-GM_Detail_146"/>
      <sheetName val="Rev-GM_Detail_246"/>
      <sheetName val="Rev_Mix_Trend46"/>
      <sheetName val="SUMMARY_(EXPD)46"/>
      <sheetName val="SUMMARY_(%)46"/>
      <sheetName val="QTD_TO_GO46"/>
      <sheetName val="Leap_PO_Std_46"/>
      <sheetName val="Quantum_PO_Std46"/>
      <sheetName val="master_PO46"/>
      <sheetName val="Comet_ASPIRE15"/>
      <sheetName val="Comet_Sequential15"/>
      <sheetName val="Comet_yoy15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Av_Measures14"/>
      <sheetName val="CUSTOMER_GROUP_WISE14"/>
      <sheetName val="Company_Info14"/>
      <sheetName val="FX_on_2121AP6"/>
      <sheetName val="Aging_Datasheet6"/>
      <sheetName val="ECCS_1_DataSheet6"/>
      <sheetName val="KPI_Datasheet6"/>
      <sheetName val="Narr__Tables47"/>
      <sheetName val="FY01_Actuals47"/>
      <sheetName val="FY00_Restated47"/>
      <sheetName val="FY01_Quota47"/>
      <sheetName val="3D_ASPIRE_Table47"/>
      <sheetName val="Total_Financials47"/>
      <sheetName val="Table_of_Contents47"/>
      <sheetName val="GM_Trend47"/>
      <sheetName val="GM%_Trend47"/>
      <sheetName val="Linearity_Chart47"/>
      <sheetName val="NP_Trend47"/>
      <sheetName val="Rev_Trend47"/>
      <sheetName val="Rev-GM_Detail_147"/>
      <sheetName val="Rev-GM_Detail_247"/>
      <sheetName val="Rev_Mix_Trend47"/>
      <sheetName val="SUMMARY_(EXPD)47"/>
      <sheetName val="SUMMARY_(%)47"/>
      <sheetName val="QTD_TO_GO47"/>
      <sheetName val="Leap_PO_Std_47"/>
      <sheetName val="Quantum_PO_Std47"/>
      <sheetName val="master_PO47"/>
      <sheetName val="Comet_ASPIRE16"/>
      <sheetName val="Comet_Sequential16"/>
      <sheetName val="Comet_yoy16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Av_Measures15"/>
      <sheetName val="CUSTOMER_GROUP_WISE15"/>
      <sheetName val="Company_Info15"/>
      <sheetName val="FX_on_2121AP7"/>
      <sheetName val="Aging_Datasheet7"/>
      <sheetName val="ECCS_1_DataSheet7"/>
      <sheetName val="KPI_Datasheet7"/>
      <sheetName val="Narr__Tables48"/>
      <sheetName val="FY01_Actuals48"/>
      <sheetName val="FY00_Restated48"/>
      <sheetName val="FY01_Quota48"/>
      <sheetName val="3D_ASPIRE_Table48"/>
      <sheetName val="Total_Financials48"/>
      <sheetName val="Table_of_Contents48"/>
      <sheetName val="GM_Trend48"/>
      <sheetName val="GM%_Trend48"/>
      <sheetName val="Linearity_Chart48"/>
      <sheetName val="NP_Trend48"/>
      <sheetName val="Rev_Trend48"/>
      <sheetName val="Rev-GM_Detail_148"/>
      <sheetName val="Rev-GM_Detail_248"/>
      <sheetName val="Rev_Mix_Trend48"/>
      <sheetName val="SUMMARY_(EXPD)48"/>
      <sheetName val="SUMMARY_(%)48"/>
      <sheetName val="QTD_TO_GO48"/>
      <sheetName val="Leap_PO_Std_48"/>
      <sheetName val="Quantum_PO_Std48"/>
      <sheetName val="master_PO48"/>
      <sheetName val="Comet_ASPIRE17"/>
      <sheetName val="Comet_Sequential17"/>
      <sheetName val="Comet_yoy17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Av_Measures16"/>
      <sheetName val="CUSTOMER_GROUP_WISE16"/>
      <sheetName val="Company_Info16"/>
      <sheetName val="FX_on_2121AP8"/>
      <sheetName val="Aging_Datasheet8"/>
      <sheetName val="ECCS_1_DataSheet8"/>
      <sheetName val="KPI_Datasheet8"/>
      <sheetName val="Narr__Tables50"/>
      <sheetName val="FY01_Actuals50"/>
      <sheetName val="FY00_Restated50"/>
      <sheetName val="FY01_Quota50"/>
      <sheetName val="3D_ASPIRE_Table50"/>
      <sheetName val="Total_Financials50"/>
      <sheetName val="Table_of_Contents50"/>
      <sheetName val="GM_Trend50"/>
      <sheetName val="GM%_Trend50"/>
      <sheetName val="Linearity_Chart50"/>
      <sheetName val="NP_Trend50"/>
      <sheetName val="Rev_Trend50"/>
      <sheetName val="Rev-GM_Detail_150"/>
      <sheetName val="Rev-GM_Detail_250"/>
      <sheetName val="Rev_Mix_Trend50"/>
      <sheetName val="SUMMARY_(EXPD)50"/>
      <sheetName val="SUMMARY_(%)50"/>
      <sheetName val="QTD_TO_GO50"/>
      <sheetName val="Leap_PO_Std_50"/>
      <sheetName val="Quantum_PO_Std50"/>
      <sheetName val="master_PO50"/>
      <sheetName val="Comet_ASPIRE19"/>
      <sheetName val="Comet_Sequential19"/>
      <sheetName val="Comet_yoy19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Av_Measures18"/>
      <sheetName val="CUSTOMER_GROUP_WISE18"/>
      <sheetName val="Company_Info18"/>
      <sheetName val="FX_on_2121AP10"/>
      <sheetName val="Aging_Datasheet10"/>
      <sheetName val="ECCS_1_DataSheet10"/>
      <sheetName val="KPI_Datasheet10"/>
      <sheetName val="Narr__Tables49"/>
      <sheetName val="FY01_Actuals49"/>
      <sheetName val="FY00_Restated49"/>
      <sheetName val="FY01_Quota49"/>
      <sheetName val="3D_ASPIRE_Table49"/>
      <sheetName val="Total_Financials49"/>
      <sheetName val="Table_of_Contents49"/>
      <sheetName val="GM_Trend49"/>
      <sheetName val="GM%_Trend49"/>
      <sheetName val="Linearity_Chart49"/>
      <sheetName val="NP_Trend49"/>
      <sheetName val="Rev_Trend49"/>
      <sheetName val="Rev-GM_Detail_149"/>
      <sheetName val="Rev-GM_Detail_249"/>
      <sheetName val="Rev_Mix_Trend49"/>
      <sheetName val="SUMMARY_(EXPD)49"/>
      <sheetName val="SUMMARY_(%)49"/>
      <sheetName val="QTD_TO_GO49"/>
      <sheetName val="Leap_PO_Std_49"/>
      <sheetName val="Quantum_PO_Std49"/>
      <sheetName val="master_PO49"/>
      <sheetName val="Comet_ASPIRE18"/>
      <sheetName val="Comet_Sequential18"/>
      <sheetName val="Comet_yoy18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Av_Measures17"/>
      <sheetName val="CUSTOMER_GROUP_WISE17"/>
      <sheetName val="Company_Info17"/>
      <sheetName val="FX_on_2121AP9"/>
      <sheetName val="Aging_Datasheet9"/>
      <sheetName val="ECCS_1_DataSheet9"/>
      <sheetName val="KPI_Datasheet9"/>
      <sheetName val="Narr__Tables51"/>
      <sheetName val="FY01_Actuals51"/>
      <sheetName val="FY00_Restated51"/>
      <sheetName val="FY01_Quota51"/>
      <sheetName val="3D_ASPIRE_Table51"/>
      <sheetName val="Total_Financials51"/>
      <sheetName val="Table_of_Contents51"/>
      <sheetName val="GM_Trend51"/>
      <sheetName val="GM%_Trend51"/>
      <sheetName val="Linearity_Chart51"/>
      <sheetName val="NP_Trend51"/>
      <sheetName val="Rev_Trend51"/>
      <sheetName val="Rev-GM_Detail_151"/>
      <sheetName val="Rev-GM_Detail_251"/>
      <sheetName val="Rev_Mix_Trend51"/>
      <sheetName val="SUMMARY_(EXPD)51"/>
      <sheetName val="SUMMARY_(%)51"/>
      <sheetName val="QTD_TO_GO51"/>
      <sheetName val="Leap_PO_Std_51"/>
      <sheetName val="Quantum_PO_Std51"/>
      <sheetName val="master_PO51"/>
      <sheetName val="Comet_ASPIRE20"/>
      <sheetName val="Comet_Sequential20"/>
      <sheetName val="Comet_yoy20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Av_Measures19"/>
      <sheetName val="CUSTOMER_GROUP_WISE19"/>
      <sheetName val="Company_Info19"/>
      <sheetName val="FX_on_2121AP11"/>
      <sheetName val="Aging_Datasheet11"/>
      <sheetName val="ECCS_1_DataSheet11"/>
      <sheetName val="KPI_Datasheet11"/>
      <sheetName val="Tables"/>
      <sheetName val="sales_ebit act"/>
      <sheetName val="HDa16"/>
      <sheetName val="Narr__Tables52"/>
      <sheetName val="FY01_Actuals52"/>
      <sheetName val="FY00_Restated52"/>
      <sheetName val="FY01_Quota52"/>
      <sheetName val="3D_ASPIRE_Table52"/>
      <sheetName val="Total_Financials52"/>
      <sheetName val="Table_of_Contents52"/>
      <sheetName val="GM_Trend52"/>
      <sheetName val="GM%_Trend52"/>
      <sheetName val="Linearity_Chart52"/>
      <sheetName val="NP_Trend52"/>
      <sheetName val="Rev_Trend52"/>
      <sheetName val="Rev-GM_Detail_152"/>
      <sheetName val="Rev-GM_Detail_252"/>
      <sheetName val="Rev_Mix_Trend52"/>
      <sheetName val="SUMMARY_(EXPD)52"/>
      <sheetName val="SUMMARY_(%)52"/>
      <sheetName val="QTD_TO_GO52"/>
      <sheetName val="Leap_PO_Std_52"/>
      <sheetName val="Quantum_PO_Std52"/>
      <sheetName val="master_PO52"/>
      <sheetName val="Comet_ASPIRE21"/>
      <sheetName val="Comet_Sequential21"/>
      <sheetName val="Comet_yoy21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Av_Measures20"/>
      <sheetName val="CUSTOMER_GROUP_WISE20"/>
      <sheetName val="Company_Info20"/>
      <sheetName val="FX_on_2121AP12"/>
      <sheetName val="Aging_Datasheet12"/>
      <sheetName val="ECCS_1_DataSheet12"/>
      <sheetName val="KPI_Datasheet12"/>
      <sheetName val="5+7_plan"/>
      <sheetName val="Narr__Tables60"/>
      <sheetName val="FY01_Actuals60"/>
      <sheetName val="FY00_Restated60"/>
      <sheetName val="FY01_Quota60"/>
      <sheetName val="3D_ASPIRE_Table60"/>
      <sheetName val="Total_Financials60"/>
      <sheetName val="Table_of_Contents60"/>
      <sheetName val="GM_Trend60"/>
      <sheetName val="GM%_Trend60"/>
      <sheetName val="Linearity_Chart60"/>
      <sheetName val="NP_Trend60"/>
      <sheetName val="Rev_Trend60"/>
      <sheetName val="Rev-GM_Detail_160"/>
      <sheetName val="Rev-GM_Detail_260"/>
      <sheetName val="Rev_Mix_Trend60"/>
      <sheetName val="SUMMARY_(EXPD)60"/>
      <sheetName val="SUMMARY_(%)60"/>
      <sheetName val="QTD_TO_GO60"/>
      <sheetName val="Leap_PO_Std_60"/>
      <sheetName val="Quantum_PO_Std60"/>
      <sheetName val="master_PO60"/>
      <sheetName val="Comet_ASPIRE29"/>
      <sheetName val="Comet_Sequential29"/>
      <sheetName val="Comet_yoy29"/>
      <sheetName val="_DACHSER_Price_Matrix28"/>
      <sheetName val="DHL_Price_Matrix28"/>
      <sheetName val="HOPI_Price_Matrix28"/>
      <sheetName val="LOGWIN_Price_Matrix28"/>
      <sheetName val="RHENUS_Price_Matrix28"/>
      <sheetName val="3_3_Transport_Daten28"/>
      <sheetName val="Av_Measures28"/>
      <sheetName val="CUSTOMER_GROUP_WISE28"/>
      <sheetName val="Company_Info28"/>
      <sheetName val="FX_on_2121AP20"/>
      <sheetName val="Aging_Datasheet20"/>
      <sheetName val="ECCS_1_DataSheet20"/>
      <sheetName val="KPI_Datasheet20"/>
      <sheetName val="5+7_plan7"/>
      <sheetName val="Narr__Tables53"/>
      <sheetName val="FY01_Actuals53"/>
      <sheetName val="FY00_Restated53"/>
      <sheetName val="FY01_Quota53"/>
      <sheetName val="3D_ASPIRE_Table53"/>
      <sheetName val="Total_Financials53"/>
      <sheetName val="Table_of_Contents53"/>
      <sheetName val="GM_Trend53"/>
      <sheetName val="GM%_Trend53"/>
      <sheetName val="Linearity_Chart53"/>
      <sheetName val="NP_Trend53"/>
      <sheetName val="Rev_Trend53"/>
      <sheetName val="Rev-GM_Detail_153"/>
      <sheetName val="Rev-GM_Detail_253"/>
      <sheetName val="Rev_Mix_Trend53"/>
      <sheetName val="SUMMARY_(EXPD)53"/>
      <sheetName val="SUMMARY_(%)53"/>
      <sheetName val="QTD_TO_GO53"/>
      <sheetName val="Leap_PO_Std_53"/>
      <sheetName val="Quantum_PO_Std53"/>
      <sheetName val="master_PO53"/>
      <sheetName val="Comet_ASPIRE22"/>
      <sheetName val="Comet_Sequential22"/>
      <sheetName val="Comet_yoy22"/>
      <sheetName val="_DACHSER_Price_Matrix21"/>
      <sheetName val="DHL_Price_Matrix21"/>
      <sheetName val="HOPI_Price_Matrix21"/>
      <sheetName val="LOGWIN_Price_Matrix21"/>
      <sheetName val="RHENUS_Price_Matrix21"/>
      <sheetName val="3_3_Transport_Daten21"/>
      <sheetName val="Av_Measures21"/>
      <sheetName val="CUSTOMER_GROUP_WISE21"/>
      <sheetName val="Company_Info21"/>
      <sheetName val="FX_on_2121AP13"/>
      <sheetName val="Aging_Datasheet13"/>
      <sheetName val="ECCS_1_DataSheet13"/>
      <sheetName val="KPI_Datasheet13"/>
      <sheetName val="5+7_plan1"/>
      <sheetName val="Narr__Tables56"/>
      <sheetName val="FY01_Actuals56"/>
      <sheetName val="FY00_Restated56"/>
      <sheetName val="FY01_Quota56"/>
      <sheetName val="3D_ASPIRE_Table56"/>
      <sheetName val="Total_Financials56"/>
      <sheetName val="Table_of_Contents56"/>
      <sheetName val="GM_Trend56"/>
      <sheetName val="GM%_Trend56"/>
      <sheetName val="Linearity_Chart56"/>
      <sheetName val="NP_Trend56"/>
      <sheetName val="Rev_Trend56"/>
      <sheetName val="Rev-GM_Detail_156"/>
      <sheetName val="Rev-GM_Detail_256"/>
      <sheetName val="Rev_Mix_Trend56"/>
      <sheetName val="SUMMARY_(EXPD)56"/>
      <sheetName val="SUMMARY_(%)56"/>
      <sheetName val="QTD_TO_GO56"/>
      <sheetName val="Leap_PO_Std_56"/>
      <sheetName val="Quantum_PO_Std56"/>
      <sheetName val="master_PO56"/>
      <sheetName val="Comet_ASPIRE25"/>
      <sheetName val="Comet_Sequential25"/>
      <sheetName val="Comet_yoy25"/>
      <sheetName val="_DACHSER_Price_Matrix24"/>
      <sheetName val="DHL_Price_Matrix24"/>
      <sheetName val="HOPI_Price_Matrix24"/>
      <sheetName val="LOGWIN_Price_Matrix24"/>
      <sheetName val="RHENUS_Price_Matrix24"/>
      <sheetName val="3_3_Transport_Daten24"/>
      <sheetName val="Av_Measures24"/>
      <sheetName val="CUSTOMER_GROUP_WISE24"/>
      <sheetName val="Company_Info24"/>
      <sheetName val="FX_on_2121AP16"/>
      <sheetName val="Aging_Datasheet16"/>
      <sheetName val="ECCS_1_DataSheet16"/>
      <sheetName val="KPI_Datasheet16"/>
      <sheetName val="5+7_plan3"/>
      <sheetName val="Narr__Tables54"/>
      <sheetName val="FY01_Actuals54"/>
      <sheetName val="FY00_Restated54"/>
      <sheetName val="FY01_Quota54"/>
      <sheetName val="3D_ASPIRE_Table54"/>
      <sheetName val="Total_Financials54"/>
      <sheetName val="Table_of_Contents54"/>
      <sheetName val="GM_Trend54"/>
      <sheetName val="GM%_Trend54"/>
      <sheetName val="Linearity_Chart54"/>
      <sheetName val="NP_Trend54"/>
      <sheetName val="Rev_Trend54"/>
      <sheetName val="Rev-GM_Detail_154"/>
      <sheetName val="Rev-GM_Detail_254"/>
      <sheetName val="Rev_Mix_Trend54"/>
      <sheetName val="SUMMARY_(EXPD)54"/>
      <sheetName val="SUMMARY_(%)54"/>
      <sheetName val="QTD_TO_GO54"/>
      <sheetName val="Leap_PO_Std_54"/>
      <sheetName val="Quantum_PO_Std54"/>
      <sheetName val="master_PO54"/>
      <sheetName val="Comet_ASPIRE23"/>
      <sheetName val="Comet_Sequential23"/>
      <sheetName val="Comet_yoy23"/>
      <sheetName val="_DACHSER_Price_Matrix22"/>
      <sheetName val="DHL_Price_Matrix22"/>
      <sheetName val="HOPI_Price_Matrix22"/>
      <sheetName val="LOGWIN_Price_Matrix22"/>
      <sheetName val="RHENUS_Price_Matrix22"/>
      <sheetName val="3_3_Transport_Daten22"/>
      <sheetName val="Av_Measures22"/>
      <sheetName val="CUSTOMER_GROUP_WISE22"/>
      <sheetName val="Company_Info22"/>
      <sheetName val="FX_on_2121AP14"/>
      <sheetName val="Aging_Datasheet14"/>
      <sheetName val="ECCS_1_DataSheet14"/>
      <sheetName val="KPI_Datasheet14"/>
      <sheetName val="Narr__Tables55"/>
      <sheetName val="FY01_Actuals55"/>
      <sheetName val="FY00_Restated55"/>
      <sheetName val="FY01_Quota55"/>
      <sheetName val="3D_ASPIRE_Table55"/>
      <sheetName val="Total_Financials55"/>
      <sheetName val="Table_of_Contents55"/>
      <sheetName val="GM_Trend55"/>
      <sheetName val="GM%_Trend55"/>
      <sheetName val="Linearity_Chart55"/>
      <sheetName val="NP_Trend55"/>
      <sheetName val="Rev_Trend55"/>
      <sheetName val="Rev-GM_Detail_155"/>
      <sheetName val="Rev-GM_Detail_255"/>
      <sheetName val="Rev_Mix_Trend55"/>
      <sheetName val="SUMMARY_(EXPD)55"/>
      <sheetName val="SUMMARY_(%)55"/>
      <sheetName val="QTD_TO_GO55"/>
      <sheetName val="Leap_PO_Std_55"/>
      <sheetName val="Quantum_PO_Std55"/>
      <sheetName val="master_PO55"/>
      <sheetName val="Comet_ASPIRE24"/>
      <sheetName val="Comet_Sequential24"/>
      <sheetName val="Comet_yoy24"/>
      <sheetName val="_DACHSER_Price_Matrix23"/>
      <sheetName val="DHL_Price_Matrix23"/>
      <sheetName val="HOPI_Price_Matrix23"/>
      <sheetName val="LOGWIN_Price_Matrix23"/>
      <sheetName val="RHENUS_Price_Matrix23"/>
      <sheetName val="3_3_Transport_Daten23"/>
      <sheetName val="Av_Measures23"/>
      <sheetName val="CUSTOMER_GROUP_WISE23"/>
      <sheetName val="Company_Info23"/>
      <sheetName val="FX_on_2121AP15"/>
      <sheetName val="Aging_Datasheet15"/>
      <sheetName val="ECCS_1_DataSheet15"/>
      <sheetName val="KPI_Datasheet15"/>
      <sheetName val="5+7_plan2"/>
      <sheetName val="Narr__Tables57"/>
      <sheetName val="FY01_Actuals57"/>
      <sheetName val="FY00_Restated57"/>
      <sheetName val="FY01_Quota57"/>
      <sheetName val="3D_ASPIRE_Table57"/>
      <sheetName val="Total_Financials57"/>
      <sheetName val="Table_of_Contents57"/>
      <sheetName val="GM_Trend57"/>
      <sheetName val="GM%_Trend57"/>
      <sheetName val="Linearity_Chart57"/>
      <sheetName val="NP_Trend57"/>
      <sheetName val="Rev_Trend57"/>
      <sheetName val="Rev-GM_Detail_157"/>
      <sheetName val="Rev-GM_Detail_257"/>
      <sheetName val="Rev_Mix_Trend57"/>
      <sheetName val="SUMMARY_(EXPD)57"/>
      <sheetName val="SUMMARY_(%)57"/>
      <sheetName val="QTD_TO_GO57"/>
      <sheetName val="Leap_PO_Std_57"/>
      <sheetName val="Quantum_PO_Std57"/>
      <sheetName val="master_PO57"/>
      <sheetName val="Comet_ASPIRE26"/>
      <sheetName val="Comet_Sequential26"/>
      <sheetName val="Comet_yoy26"/>
      <sheetName val="_DACHSER_Price_Matrix25"/>
      <sheetName val="DHL_Price_Matrix25"/>
      <sheetName val="HOPI_Price_Matrix25"/>
      <sheetName val="LOGWIN_Price_Matrix25"/>
      <sheetName val="RHENUS_Price_Matrix25"/>
      <sheetName val="3_3_Transport_Daten25"/>
      <sheetName val="Av_Measures25"/>
      <sheetName val="CUSTOMER_GROUP_WISE25"/>
      <sheetName val="Company_Info25"/>
      <sheetName val="FX_on_2121AP17"/>
      <sheetName val="Aging_Datasheet17"/>
      <sheetName val="ECCS_1_DataSheet17"/>
      <sheetName val="KPI_Datasheet17"/>
      <sheetName val="5+7_plan4"/>
      <sheetName val="Narr__Tables58"/>
      <sheetName val="FY01_Actuals58"/>
      <sheetName val="FY00_Restated58"/>
      <sheetName val="FY01_Quota58"/>
      <sheetName val="3D_ASPIRE_Table58"/>
      <sheetName val="Total_Financials58"/>
      <sheetName val="Table_of_Contents58"/>
      <sheetName val="GM_Trend58"/>
      <sheetName val="GM%_Trend58"/>
      <sheetName val="Linearity_Chart58"/>
      <sheetName val="NP_Trend58"/>
      <sheetName val="Rev_Trend58"/>
      <sheetName val="Rev-GM_Detail_158"/>
      <sheetName val="Rev-GM_Detail_258"/>
      <sheetName val="Rev_Mix_Trend58"/>
      <sheetName val="SUMMARY_(EXPD)58"/>
      <sheetName val="SUMMARY_(%)58"/>
      <sheetName val="QTD_TO_GO58"/>
      <sheetName val="Leap_PO_Std_58"/>
      <sheetName val="Quantum_PO_Std58"/>
      <sheetName val="master_PO58"/>
      <sheetName val="Comet_ASPIRE27"/>
      <sheetName val="Comet_Sequential27"/>
      <sheetName val="Comet_yoy27"/>
      <sheetName val="_DACHSER_Price_Matrix26"/>
      <sheetName val="DHL_Price_Matrix26"/>
      <sheetName val="HOPI_Price_Matrix26"/>
      <sheetName val="LOGWIN_Price_Matrix26"/>
      <sheetName val="RHENUS_Price_Matrix26"/>
      <sheetName val="3_3_Transport_Daten26"/>
      <sheetName val="Av_Measures26"/>
      <sheetName val="CUSTOMER_GROUP_WISE26"/>
      <sheetName val="Company_Info26"/>
      <sheetName val="FX_on_2121AP18"/>
      <sheetName val="Aging_Datasheet18"/>
      <sheetName val="ECCS_1_DataSheet18"/>
      <sheetName val="KPI_Datasheet18"/>
      <sheetName val="5+7_plan5"/>
      <sheetName val="Narr__Tables59"/>
      <sheetName val="FY01_Actuals59"/>
      <sheetName val="FY00_Restated59"/>
      <sheetName val="FY01_Quota59"/>
      <sheetName val="3D_ASPIRE_Table59"/>
      <sheetName val="Total_Financials59"/>
      <sheetName val="Table_of_Contents59"/>
      <sheetName val="GM_Trend59"/>
      <sheetName val="GM%_Trend59"/>
      <sheetName val="Linearity_Chart59"/>
      <sheetName val="NP_Trend59"/>
      <sheetName val="Rev_Trend59"/>
      <sheetName val="Rev-GM_Detail_159"/>
      <sheetName val="Rev-GM_Detail_259"/>
      <sheetName val="Rev_Mix_Trend59"/>
      <sheetName val="SUMMARY_(EXPD)59"/>
      <sheetName val="SUMMARY_(%)59"/>
      <sheetName val="QTD_TO_GO59"/>
      <sheetName val="Leap_PO_Std_59"/>
      <sheetName val="Quantum_PO_Std59"/>
      <sheetName val="master_PO59"/>
      <sheetName val="Comet_ASPIRE28"/>
      <sheetName val="Comet_Sequential28"/>
      <sheetName val="Comet_yoy28"/>
      <sheetName val="_DACHSER_Price_Matrix27"/>
      <sheetName val="DHL_Price_Matrix27"/>
      <sheetName val="HOPI_Price_Matrix27"/>
      <sheetName val="LOGWIN_Price_Matrix27"/>
      <sheetName val="RHENUS_Price_Matrix27"/>
      <sheetName val="3_3_Transport_Daten27"/>
      <sheetName val="Av_Measures27"/>
      <sheetName val="CUSTOMER_GROUP_WISE27"/>
      <sheetName val="Company_Info27"/>
      <sheetName val="FX_on_2121AP19"/>
      <sheetName val="Aging_Datasheet19"/>
      <sheetName val="ECCS_1_DataSheet19"/>
      <sheetName val="KPI_Datasheet19"/>
      <sheetName val="5+7_plan6"/>
      <sheetName val="HR Budget"/>
      <sheetName val="Launch Costs TMNF"/>
      <sheetName val="April Antonio"/>
      <sheetName val="10. Thermal Limiter Test"/>
      <sheetName val="Table"/>
      <sheetName val="Restate"/>
      <sheetName val="MP2006 data"/>
      <sheetName val="Service Invoice"/>
      <sheetName val="Raw materials"/>
      <sheetName val="APJSum"/>
      <sheetName val="EMEASum"/>
      <sheetName val="HPCoSum"/>
      <sheetName val="OGSum"/>
      <sheetName val="WWSum"/>
      <sheetName val="Summary Data"/>
      <sheetName val="Sheet2"/>
      <sheetName val="FY01_HPS_Reporting_Tool"/>
      <sheetName val="6641"/>
      <sheetName val="T  B"/>
      <sheetName val="Lists"/>
      <sheetName val="Bank Table"/>
      <sheetName val="Expenses"/>
      <sheetName val="master"/>
      <sheetName val="索引表"/>
      <sheetName val="信息"/>
      <sheetName val="项目基本情况鉴证表"/>
      <sheetName val="Refrigerants"/>
      <sheetName val="IO LIST"/>
      <sheetName val="Ass(SDMar-Apr)"/>
      <sheetName val="MENU "/>
      <sheetName val="Control"/>
      <sheetName val="ADJ - RATE"/>
      <sheetName val="seg_tool"/>
      <sheetName val="Cover"/>
      <sheetName val="2各类文件明细表 经适房"/>
      <sheetName val="面积指标"/>
      <sheetName val="F101"/>
      <sheetName val="2. PPR REVENUE APR10"/>
      <sheetName val="ASSLIST2.XLS"/>
      <sheetName val="Reprice Lookup"/>
      <sheetName val="Termination Dates clean"/>
      <sheetName val="W"/>
      <sheetName val="Original Stefan"/>
      <sheetName val="Company"/>
      <sheetName val="Related transaction accounts"/>
      <sheetName val="Collateral"/>
      <sheetName val="U1120"/>
      <sheetName val="Repayment Summary"/>
      <sheetName val="B"/>
      <sheetName val="H101(OK)"/>
      <sheetName val="K110"/>
      <sheetName val="G210"/>
      <sheetName val="O111"/>
      <sheetName val="assembly_r12 detail"/>
      <sheetName val="Parametri"/>
      <sheetName val="Source"/>
      <sheetName val="A6620 Detail"/>
      <sheetName val="Par"/>
      <sheetName val="Openfile"/>
      <sheetName val="Produzione"/>
      <sheetName val="Airport - Downtown"/>
      <sheetName val="Reservations"/>
      <sheetName val="O200-应交企业所得税"/>
      <sheetName val="EQUANT New"/>
      <sheetName val="5201.2004"/>
      <sheetName val="摊销表"/>
      <sheetName val="Oct FW42 BaaN for G-Line"/>
      <sheetName val="Material code"/>
      <sheetName val="Rented Equipment"/>
      <sheetName val="CBUGL"/>
      <sheetName val="14.04.03"/>
      <sheetName val="XL4Poppy"/>
      <sheetName val="现 金 流 量 表"/>
      <sheetName val="Sheet56"/>
      <sheetName val="Sheet53"/>
      <sheetName val="Grafvta00 (2)"/>
      <sheetName val="UPPER BLOCK"/>
      <sheetName val="集成灶项目保障预算"/>
      <sheetName val="분리멀티형"/>
      <sheetName val="k-line"/>
      <sheetName val="produccion"/>
      <sheetName val="produccion Nov"/>
      <sheetName val="Oct Production"/>
      <sheetName val="Oct FW42 BaaN"/>
      <sheetName val="Quantum Stds 12-3-01"/>
      <sheetName val="Quantum Stds prev"/>
      <sheetName val="HTP 2001"/>
      <sheetName val="未闭环"/>
      <sheetName val="GE 2001"/>
      <sheetName val="Safety _ P_A"/>
      <sheetName val="评价矩阵"/>
      <sheetName val="数据输入"/>
      <sheetName val="spp"/>
      <sheetName val="SUM14Z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MC3(main)"/>
      <sheetName val="MC1"/>
      <sheetName val="00TFMC1"/>
      <sheetName val="C3_N DC改造投資"/>
      <sheetName val="NEW003"/>
      <sheetName val="인원01"/>
      <sheetName val="名簿データ"/>
      <sheetName val="Sheet1"/>
      <sheetName val="Macro1old"/>
      <sheetName val="Spec"/>
      <sheetName val="분리멀티형"/>
      <sheetName val="GMI-Part &amp; tooling Cost rev.0"/>
      <sheetName val="C3_N_DC改造投資"/>
      <sheetName val="GMI-Part_&amp;_tooling_Cost_rev_0"/>
      <sheetName val="200P SHEET"/>
      <sheetName val="Table"/>
      <sheetName val="00年9月"/>
      <sheetName val="計算結果"/>
      <sheetName val="NCAB"/>
      <sheetName val="【資料】730改造投資"/>
      <sheetName val="ﾍﾞﾀﾘｽﾄ"/>
      <sheetName val="Fiel List"/>
      <sheetName val="RACK (CB)new"/>
      <sheetName val="email_address"/>
      <sheetName val="添付１"/>
      <sheetName val="4"/>
      <sheetName val="車体構成"/>
      <sheetName val="PARAMETRES"/>
      <sheetName val="DefectDetails"/>
      <sheetName val="CoilspringDetails"/>
      <sheetName val="BA (6)"/>
      <sheetName val="BE (6)"/>
      <sheetName val="7_2"/>
      <sheetName val="Input Oper.Lease"/>
      <sheetName val="P_NAME_DWG"/>
      <sheetName val="資料_700部品点数設定"/>
      <sheetName val="Sheet2"/>
      <sheetName val="SPCSheet"/>
      <sheetName val="Eng-NonEng"/>
      <sheetName val="DATA"/>
      <sheetName val="MASTER"/>
      <sheetName val="使用部品一覧(原紙) (2)"/>
      <sheetName val="Order"/>
      <sheetName val="県別ﾏﾙﾁ"/>
      <sheetName val="TABLE(LINE CODE)"/>
      <sheetName val="L123"/>
      <sheetName val="2004"/>
      <sheetName val="C3_N_DC改造投資1"/>
      <sheetName val="GMI-Part_&amp;_tooling_Cost_rev_01"/>
      <sheetName val="200P_SHEET"/>
      <sheetName val="Material"/>
      <sheetName val="ass'y 06-11'05"/>
      <sheetName val="ass'y 06-11'05 (2)"/>
      <sheetName val="HS HB NE dr 1"/>
      <sheetName val="TA009"/>
      <sheetName val="Threshold"/>
      <sheetName val="Expect Depre."/>
      <sheetName val="FA Movement YE09"/>
      <sheetName val="Stock Aging"/>
      <sheetName val="8974450390 CPK"/>
      <sheetName val="T_直取引売上データ"/>
      <sheetName val="GMIParttoolingCost"/>
      <sheetName val="STart"/>
      <sheetName val="QC APPROVE SHEET"/>
      <sheetName val="Item Code - Machine"/>
      <sheetName val="Fiel_List"/>
      <sheetName val="RACK_(CB)new"/>
      <sheetName val="C3_N_DC改造投資2"/>
      <sheetName val="GMI-Part_&amp;_tooling_Cost_rev_02"/>
      <sheetName val="200P_SHEET1"/>
      <sheetName val="Fiel_List1"/>
      <sheetName val="RACK_(CB)new1"/>
      <sheetName val="TNT F&amp;A 06Budget"/>
      <sheetName val="Japan Data（実）"/>
      <sheetName val="追浜（済）"/>
      <sheetName val="(sys)"/>
      <sheetName val="ディクショナリ"/>
      <sheetName val="ﾕｰｻﾞｰ設定"/>
      <sheetName val="Pln Pdt"/>
      <sheetName val="Sum 2016"/>
      <sheetName val="Sum 2015"/>
      <sheetName val="Jan-Dec'14"/>
      <sheetName val="FR管理工程図"/>
      <sheetName val="Model Price"/>
      <sheetName val="Location"/>
      <sheetName val="RT50 Part List by MKT 4-1-11"/>
      <sheetName val="มิ.ย.52"/>
      <sheetName val="CRITERIA2"/>
      <sheetName val="Macro1"/>
      <sheetName val="ELF"/>
      <sheetName val="Costing Assumptions"/>
      <sheetName val="Purchased Parts and Services"/>
      <sheetName val="sample (11)"/>
      <sheetName val="Input_Oper_Lease"/>
      <sheetName val="BA_(6)"/>
      <sheetName val="BE_(6)"/>
      <sheetName val="使用部品一覧(原紙)_(2)"/>
      <sheetName val="TABLE(LINE_CODE)"/>
      <sheetName val="DATA BASE"/>
      <sheetName val="(9.30) IP"/>
      <sheetName val="C3_N_DC改造投資3"/>
      <sheetName val="C3_N_DC改造投資4"/>
      <sheetName val="C3_N_DC改造投資5"/>
      <sheetName val="GMI-Part_&amp;_tooling_Cost_rev_03"/>
      <sheetName val="200P_SHEET2"/>
      <sheetName val="Fiel_List2"/>
      <sheetName val="BA_(6)1"/>
      <sheetName val="BE_(6)1"/>
      <sheetName val="Input_Oper_Lease1"/>
      <sheetName val="使用部品一覧(原紙)_(2)1"/>
      <sheetName val="TABLE(LINE_CODE)1"/>
      <sheetName val="C3_N_DC改造投資6"/>
      <sheetName val="GMI-Part_&amp;_tooling_Cost_rev_04"/>
      <sheetName val="200P_SHEET3"/>
      <sheetName val="Fiel_List3"/>
      <sheetName val="RACK_(CB)new2"/>
      <sheetName val="BA_(6)2"/>
      <sheetName val="BE_(6)2"/>
      <sheetName val="Input_Oper_Lease2"/>
      <sheetName val="使用部品一覧(原紙)_(2)2"/>
      <sheetName val="TABLE(LINE_CODE)2"/>
      <sheetName val="C3_N_DC改造投資7"/>
      <sheetName val="GMI-Part_&amp;_tooling_Cost_rev_05"/>
      <sheetName val="200P_SHEET4"/>
      <sheetName val="Fiel_List4"/>
      <sheetName val="RACK_(CB)new3"/>
      <sheetName val="BA_(6)3"/>
      <sheetName val="BE_(6)3"/>
      <sheetName val="Input_Oper_Lease3"/>
      <sheetName val="使用部品一覧(原紙)_(2)3"/>
      <sheetName val="TABLE(LINE_CODE)3"/>
      <sheetName val="C3_N_DC改造投資11"/>
      <sheetName val="GMI-Part_&amp;_tooling_Cost_rev_09"/>
      <sheetName val="200P_SHEET8"/>
      <sheetName val="Fiel_List8"/>
      <sheetName val="RACK_(CB)new7"/>
      <sheetName val="BA_(6)7"/>
      <sheetName val="BE_(6)7"/>
      <sheetName val="Input_Oper_Lease7"/>
      <sheetName val="使用部品一覧(原紙)_(2)7"/>
      <sheetName val="TABLE(LINE_CODE)7"/>
      <sheetName val="C3_N_DC改造投資9"/>
      <sheetName val="GMI-Part_&amp;_tooling_Cost_rev_07"/>
      <sheetName val="200P_SHEET6"/>
      <sheetName val="Fiel_List6"/>
      <sheetName val="RACK_(CB)new5"/>
      <sheetName val="BA_(6)5"/>
      <sheetName val="BE_(6)5"/>
      <sheetName val="Input_Oper_Lease5"/>
      <sheetName val="使用部品一覧(原紙)_(2)5"/>
      <sheetName val="TABLE(LINE_CODE)5"/>
      <sheetName val="C3_N_DC改造投資8"/>
      <sheetName val="GMI-Part_&amp;_tooling_Cost_rev_06"/>
      <sheetName val="200P_SHEET5"/>
      <sheetName val="Fiel_List5"/>
      <sheetName val="RACK_(CB)new4"/>
      <sheetName val="BA_(6)4"/>
      <sheetName val="BE_(6)4"/>
      <sheetName val="Input_Oper_Lease4"/>
      <sheetName val="使用部品一覧(原紙)_(2)4"/>
      <sheetName val="TABLE(LINE_CODE)4"/>
      <sheetName val="C3_N_DC改造投資10"/>
      <sheetName val="GMI-Part_&amp;_tooling_Cost_rev_08"/>
      <sheetName val="200P_SHEET7"/>
      <sheetName val="Fiel_List7"/>
      <sheetName val="RACK_(CB)new6"/>
      <sheetName val="BA_(6)6"/>
      <sheetName val="BE_(6)6"/>
      <sheetName val="Input_Oper_Lease6"/>
      <sheetName val="使用部品一覧(原紙)_(2)6"/>
      <sheetName val="TABLE(LINE_CODE)6"/>
      <sheetName val="C3_N_DC改造投資12"/>
      <sheetName val="GMI-Part_&amp;_tooling_Cost_rev_010"/>
      <sheetName val="200P_SHEET9"/>
      <sheetName val="Fiel_List9"/>
      <sheetName val="RACK_(CB)new8"/>
      <sheetName val="BA_(6)8"/>
      <sheetName val="BE_(6)8"/>
      <sheetName val="Input_Oper_Lease8"/>
      <sheetName val="使用部品一覧(原紙)_(2)8"/>
      <sheetName val="TABLE(LINE_CODE)8"/>
      <sheetName val="C3_N_DC改造投資13"/>
      <sheetName val="GMI-Part_&amp;_tooling_Cost_rev_011"/>
      <sheetName val="200P_SHEET10"/>
      <sheetName val="Fiel_List10"/>
      <sheetName val="RACK_(CB)new9"/>
      <sheetName val="Input_Oper_Lease9"/>
      <sheetName val="BA_(6)9"/>
      <sheetName val="BE_(6)9"/>
      <sheetName val="TABLE(LINE_CODE)9"/>
      <sheetName val="使用部品一覧(原紙)_(2)9"/>
      <sheetName val="MAY"/>
      <sheetName val="产品"/>
      <sheetName val="產品基本信息"/>
      <sheetName val="SPals"/>
      <sheetName val="k-line"/>
      <sheetName val="spp"/>
      <sheetName val="Foams"/>
      <sheetName val="Grid"/>
      <sheetName val="Original"/>
      <sheetName val="FCG"/>
      <sheetName val="Leap PO Std."/>
      <sheetName val="Quantum PO Std"/>
      <sheetName val="Summary"/>
      <sheetName val="master PO"/>
      <sheetName val="Meas Acceptance Template"/>
      <sheetName val="Batch Comparison Template"/>
      <sheetName val="Meas Indv Template"/>
      <sheetName val="5+7 plan"/>
      <sheetName val="Launch Costs TMNF"/>
      <sheetName val="April Antonio"/>
      <sheetName val="Safety _ P_A"/>
      <sheetName val="PLALL2"/>
      <sheetName val="3D ASPIRE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ANALISIS"/>
      <sheetName val="GRAFICO"/>
      <sheetName val="Cierre VS 4+8 S"/>
      <sheetName val="Cierre VS 4+8"/>
      <sheetName val="Original"/>
      <sheetName val="Sheet1"/>
      <sheetName val="Launch Costs TMNF"/>
      <sheetName val="April Antonio"/>
      <sheetName val="Grafvta00 (2)"/>
      <sheetName val="5+7 plan"/>
      <sheetName val="FCG"/>
      <sheetName val="Q4 CURRENCY"/>
      <sheetName val="SPals"/>
      <sheetName val="Safety _ P_A"/>
      <sheetName val="NEW003"/>
      <sheetName val="Nacionales Cierre-Oct"/>
      <sheetName val="FY03CostStructure"/>
      <sheetName val="Foams"/>
      <sheetName val="Grid"/>
      <sheetName val="Oct FW42 BaaN for G-Line"/>
      <sheetName val="po list"/>
      <sheetName val="UPPER BLOCK"/>
      <sheetName val="假设"/>
      <sheetName val="HDa16"/>
      <sheetName val="Sales Units (3)"/>
      <sheetName val="분리멀티형"/>
      <sheetName val="4 审核发现描述"/>
      <sheetName val="Leap PO Std."/>
      <sheetName val="Quantum PO Std"/>
      <sheetName val="Summary"/>
      <sheetName val="master PO"/>
      <sheetName val="EPR &amp; LRR"/>
      <sheetName val="PLALL"/>
      <sheetName val="Spec"/>
      <sheetName val="Quantum Stds 12-4-01"/>
      <sheetName val="Raw materials"/>
      <sheetName val="公司"/>
      <sheetName val="工厂"/>
      <sheetName val="经营体"/>
      <sheetName val="MC3(main)"/>
      <sheetName val="MC1"/>
      <sheetName val="PLALL2"/>
      <sheetName val="供应商"/>
      <sheetName val="数据输入"/>
      <sheetName val="LRR Summary"/>
      <sheetName val="行动计划"/>
      <sheetName val="GE 2001"/>
      <sheetName val="HTP 2001"/>
      <sheetName val="Sheet2"/>
      <sheetName val="Planet_Ame"/>
      <sheetName val="Planet_AP"/>
      <sheetName val="Planet_EMEA"/>
      <sheetName val="Planet_OG"/>
      <sheetName val="Planet_WW"/>
      <sheetName val="costos fw 5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HP WIDE"/>
      <sheetName val="ECB BY DIV"/>
      <sheetName val="BU-MTD"/>
      <sheetName val="BU-QTD"/>
      <sheetName val="BU-YTD"/>
      <sheetName val="ECB by SF MTD"/>
      <sheetName val="ECB by SF QTD"/>
      <sheetName val="ECB by SF YTD"/>
      <sheetName val="ECB Regions"/>
      <sheetName val="XPRESS"/>
      <sheetName val="XPRESS_SF"/>
      <sheetName val="Pull HP Wide"/>
      <sheetName val="Pull All SFs"/>
      <sheetName val="PLALL2"/>
      <sheetName val="PLALL1"/>
      <sheetName val="Country-All"/>
      <sheetName val="PLALL"/>
      <sheetName val="PL"/>
      <sheetName val="FINAL (2)"/>
      <sheetName val="FP"/>
      <sheetName val="Time Dimension Lookup"/>
      <sheetName val="MCS"/>
      <sheetName val="Q4 CURRENCY"/>
      <sheetName val="APJSum"/>
      <sheetName val="AmeSum"/>
      <sheetName val="EMEASum"/>
      <sheetName val="HPCoSum"/>
      <sheetName val="OGSum"/>
      <sheetName val="WWSum"/>
      <sheetName val="LOV"/>
      <sheetName val="FY03CostStructure"/>
      <sheetName val="master"/>
      <sheetName val="SPals"/>
      <sheetName val="Oct FW42 BaaN for G-Line"/>
      <sheetName val="po list"/>
      <sheetName val="Foams"/>
      <sheetName val="Refrigerants"/>
      <sheetName val="Sheet1"/>
      <sheetName val="MENU "/>
      <sheetName val="p and l"/>
      <sheetName val="Zone stucture"/>
      <sheetName val="TR05E"/>
      <sheetName val="Sheet2"/>
      <sheetName val="Non-Statistical Sampling Master"/>
      <sheetName val="Global Data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Comet Q202 Flash"/>
      <sheetName val="选择报表"/>
      <sheetName val="敏感详细分析"/>
      <sheetName val="面积指标"/>
      <sheetName val="Funnel"/>
      <sheetName val=" "/>
      <sheetName val="9100-PO"/>
      <sheetName val="索引表"/>
      <sheetName val="成本测算"/>
      <sheetName val="审核总览"/>
      <sheetName val="HP_WIDE"/>
      <sheetName val="ECB_BY_DIV"/>
      <sheetName val="ECB_by_SF_MTD"/>
      <sheetName val="ECB_by_SF_QTD"/>
      <sheetName val="ECB_by_SF_YTD"/>
      <sheetName val="ECB_Regions"/>
      <sheetName val="Pull_HP_Wide"/>
      <sheetName val="Pull_All_SFs"/>
      <sheetName val="FINAL_(2)"/>
      <sheetName val="Time_Dimension_Lookup"/>
      <sheetName val="Q4_CURRENCY"/>
      <sheetName val="Non-Statistical_Sampling_Master"/>
      <sheetName val="Global_Data"/>
      <sheetName val="HP_WIDE3"/>
      <sheetName val="ECB_BY_DIV3"/>
      <sheetName val="ECB_by_SF_MTD3"/>
      <sheetName val="ECB_by_SF_QTD3"/>
      <sheetName val="ECB_by_SF_YTD3"/>
      <sheetName val="ECB_Regions3"/>
      <sheetName val="Pull_HP_Wide3"/>
      <sheetName val="Pull_All_SFs3"/>
      <sheetName val="FINAL_(2)3"/>
      <sheetName val="Time_Dimension_Lookup3"/>
      <sheetName val="Non-Statistical_Sampling_Maste3"/>
      <sheetName val="Global_Data3"/>
      <sheetName val="Q4_CURRENCY3"/>
      <sheetName val="HP_WIDE1"/>
      <sheetName val="ECB_BY_DIV1"/>
      <sheetName val="ECB_by_SF_MTD1"/>
      <sheetName val="ECB_by_SF_QTD1"/>
      <sheetName val="ECB_by_SF_YTD1"/>
      <sheetName val="ECB_Regions1"/>
      <sheetName val="Pull_HP_Wide1"/>
      <sheetName val="Pull_All_SFs1"/>
      <sheetName val="FINAL_(2)1"/>
      <sheetName val="Time_Dimension_Lookup1"/>
      <sheetName val="Q4_CURRENCY1"/>
      <sheetName val="Non-Statistical_Sampling_Maste1"/>
      <sheetName val="Global_Data1"/>
      <sheetName val="HP_WIDE2"/>
      <sheetName val="ECB_BY_DIV2"/>
      <sheetName val="ECB_by_SF_MTD2"/>
      <sheetName val="ECB_by_SF_QTD2"/>
      <sheetName val="ECB_by_SF_YTD2"/>
      <sheetName val="ECB_Regions2"/>
      <sheetName val="Pull_HP_Wide2"/>
      <sheetName val="Pull_All_SFs2"/>
      <sheetName val="FINAL_(2)2"/>
      <sheetName val="Time_Dimension_Lookup2"/>
      <sheetName val="Non-Statistical_Sampling_Maste2"/>
      <sheetName val="Global_Data2"/>
      <sheetName val="Q4_CURRENCY2"/>
      <sheetName val="Attachment-4(2)"/>
      <sheetName val="KeyData"/>
      <sheetName val="projection-form"/>
      <sheetName val="MasterList"/>
      <sheetName val="HP_WIDE20"/>
      <sheetName val="ECB_BY_DIV20"/>
      <sheetName val="ECB_by_SF_MTD20"/>
      <sheetName val="ECB_by_SF_QTD20"/>
      <sheetName val="ECB_by_SF_YTD20"/>
      <sheetName val="ECB_Regions20"/>
      <sheetName val="Pull_HP_Wide20"/>
      <sheetName val="Pull_All_SFs20"/>
      <sheetName val="FINAL_(2)20"/>
      <sheetName val="Time_Dimension_Lookup20"/>
      <sheetName val="Q4_CURRENCY20"/>
      <sheetName val="HP_WIDE4"/>
      <sheetName val="ECB_BY_DIV4"/>
      <sheetName val="ECB_by_SF_MTD4"/>
      <sheetName val="ECB_by_SF_QTD4"/>
      <sheetName val="ECB_by_SF_YTD4"/>
      <sheetName val="ECB_Regions4"/>
      <sheetName val="Pull_HP_Wide4"/>
      <sheetName val="Pull_All_SFs4"/>
      <sheetName val="FINAL_(2)4"/>
      <sheetName val="Time_Dimension_Lookup4"/>
      <sheetName val="Q4_CURRENCY4"/>
      <sheetName val="Non-Statistical_Sampling_Maste4"/>
      <sheetName val="Global_Data4"/>
      <sheetName val="HP_WIDE5"/>
      <sheetName val="ECB_BY_DIV5"/>
      <sheetName val="ECB_by_SF_MTD5"/>
      <sheetName val="ECB_by_SF_QTD5"/>
      <sheetName val="ECB_by_SF_YTD5"/>
      <sheetName val="ECB_Regions5"/>
      <sheetName val="Pull_HP_Wide5"/>
      <sheetName val="Pull_All_SFs5"/>
      <sheetName val="FINAL_(2)5"/>
      <sheetName val="Time_Dimension_Lookup5"/>
      <sheetName val="Q4_CURRENCY5"/>
      <sheetName val="Non-Statistical_Sampling_Maste5"/>
      <sheetName val="Global_Data5"/>
      <sheetName val="HP_WIDE6"/>
      <sheetName val="ECB_BY_DIV6"/>
      <sheetName val="ECB_by_SF_MTD6"/>
      <sheetName val="ECB_by_SF_QTD6"/>
      <sheetName val="ECB_by_SF_YTD6"/>
      <sheetName val="ECB_Regions6"/>
      <sheetName val="Pull_HP_Wide6"/>
      <sheetName val="Pull_All_SFs6"/>
      <sheetName val="FINAL_(2)6"/>
      <sheetName val="Time_Dimension_Lookup6"/>
      <sheetName val="Q4_CURRENCY6"/>
      <sheetName val="Non-Statistical_Sampling_Maste6"/>
      <sheetName val="Global_Data6"/>
      <sheetName val="HP_WIDE7"/>
      <sheetName val="ECB_BY_DIV7"/>
      <sheetName val="ECB_by_SF_MTD7"/>
      <sheetName val="ECB_by_SF_QTD7"/>
      <sheetName val="ECB_by_SF_YTD7"/>
      <sheetName val="ECB_Regions7"/>
      <sheetName val="Pull_HP_Wide7"/>
      <sheetName val="Pull_All_SFs7"/>
      <sheetName val="FINAL_(2)7"/>
      <sheetName val="Time_Dimension_Lookup7"/>
      <sheetName val="Q4_CURRENCY7"/>
      <sheetName val="HP_WIDE8"/>
      <sheetName val="ECB_BY_DIV8"/>
      <sheetName val="ECB_by_SF_MTD8"/>
      <sheetName val="ECB_by_SF_QTD8"/>
      <sheetName val="ECB_by_SF_YTD8"/>
      <sheetName val="ECB_Regions8"/>
      <sheetName val="Pull_HP_Wide8"/>
      <sheetName val="Pull_All_SFs8"/>
      <sheetName val="FINAL_(2)8"/>
      <sheetName val="Time_Dimension_Lookup8"/>
      <sheetName val="Q4_CURRENCY8"/>
      <sheetName val="HP_WIDE9"/>
      <sheetName val="ECB_BY_DIV9"/>
      <sheetName val="ECB_by_SF_MTD9"/>
      <sheetName val="ECB_by_SF_QTD9"/>
      <sheetName val="ECB_by_SF_YTD9"/>
      <sheetName val="ECB_Regions9"/>
      <sheetName val="Pull_HP_Wide9"/>
      <sheetName val="Pull_All_SFs9"/>
      <sheetName val="FINAL_(2)9"/>
      <sheetName val="Time_Dimension_Lookup9"/>
      <sheetName val="Q4_CURRENCY9"/>
      <sheetName val="Non-Statistical_Sampling_Maste7"/>
      <sheetName val="Global_Data7"/>
      <sheetName val="HP_WIDE10"/>
      <sheetName val="ECB_BY_DIV10"/>
      <sheetName val="ECB_by_SF_MTD10"/>
      <sheetName val="ECB_by_SF_QTD10"/>
      <sheetName val="ECB_by_SF_YTD10"/>
      <sheetName val="ECB_Regions10"/>
      <sheetName val="Pull_HP_Wide10"/>
      <sheetName val="Pull_All_SFs10"/>
      <sheetName val="FINAL_(2)10"/>
      <sheetName val="Time_Dimension_Lookup10"/>
      <sheetName val="Q4_CURRENCY10"/>
      <sheetName val="Non-Statistical_Sampling_Maste8"/>
      <sheetName val="Global_Data8"/>
      <sheetName val="HP_WIDE11"/>
      <sheetName val="ECB_BY_DIV11"/>
      <sheetName val="ECB_by_SF_MTD11"/>
      <sheetName val="ECB_by_SF_QTD11"/>
      <sheetName val="ECB_by_SF_YTD11"/>
      <sheetName val="ECB_Regions11"/>
      <sheetName val="Pull_HP_Wide11"/>
      <sheetName val="Pull_All_SFs11"/>
      <sheetName val="FINAL_(2)11"/>
      <sheetName val="Time_Dimension_Lookup11"/>
      <sheetName val="Non-Statistical_Sampling_Maste9"/>
      <sheetName val="Global_Data9"/>
      <sheetName val="Q4_CURRENCY11"/>
      <sheetName val="HP_WIDE12"/>
      <sheetName val="ECB_BY_DIV12"/>
      <sheetName val="ECB_by_SF_MTD12"/>
      <sheetName val="ECB_by_SF_QTD12"/>
      <sheetName val="ECB_by_SF_YTD12"/>
      <sheetName val="ECB_Regions12"/>
      <sheetName val="Pull_HP_Wide12"/>
      <sheetName val="Pull_All_SFs12"/>
      <sheetName val="FINAL_(2)12"/>
      <sheetName val="Time_Dimension_Lookup12"/>
      <sheetName val="Q4_CURRENCY12"/>
      <sheetName val="Non-Statistical_Sampling_Mast10"/>
      <sheetName val="Global_Data10"/>
      <sheetName val="HP_WIDE13"/>
      <sheetName val="ECB_BY_DIV13"/>
      <sheetName val="ECB_by_SF_MTD13"/>
      <sheetName val="ECB_by_SF_QTD13"/>
      <sheetName val="ECB_by_SF_YTD13"/>
      <sheetName val="ECB_Regions13"/>
      <sheetName val="Pull_HP_Wide13"/>
      <sheetName val="Pull_All_SFs13"/>
      <sheetName val="FINAL_(2)13"/>
      <sheetName val="Time_Dimension_Lookup13"/>
      <sheetName val="Q4_CURRENCY13"/>
      <sheetName val="Non-Statistical_Sampling_Mast11"/>
      <sheetName val="Global_Data11"/>
      <sheetName val="HP_WIDE14"/>
      <sheetName val="ECB_BY_DIV14"/>
      <sheetName val="ECB_by_SF_MTD14"/>
      <sheetName val="ECB_by_SF_QTD14"/>
      <sheetName val="ECB_by_SF_YTD14"/>
      <sheetName val="ECB_Regions14"/>
      <sheetName val="Pull_HP_Wide14"/>
      <sheetName val="Pull_All_SFs14"/>
      <sheetName val="FINAL_(2)14"/>
      <sheetName val="Time_Dimension_Lookup14"/>
      <sheetName val="Q4_CURRENCY14"/>
      <sheetName val="Non-Statistical_Sampling_Mast12"/>
      <sheetName val="Global_Data12"/>
      <sheetName val="HP_WIDE15"/>
      <sheetName val="ECB_BY_DIV15"/>
      <sheetName val="ECB_by_SF_MTD15"/>
      <sheetName val="ECB_by_SF_QTD15"/>
      <sheetName val="ECB_by_SF_YTD15"/>
      <sheetName val="ECB_Regions15"/>
      <sheetName val="Pull_HP_Wide15"/>
      <sheetName val="Pull_All_SFs15"/>
      <sheetName val="FINAL_(2)15"/>
      <sheetName val="Time_Dimension_Lookup15"/>
      <sheetName val="Non-Statistical_Sampling_Mast13"/>
      <sheetName val="Global_Data13"/>
      <sheetName val="Q4_CURRENCY15"/>
      <sheetName val="HP_WIDE17"/>
      <sheetName val="ECB_BY_DIV17"/>
      <sheetName val="ECB_by_SF_MTD17"/>
      <sheetName val="ECB_by_SF_QTD17"/>
      <sheetName val="ECB_by_SF_YTD17"/>
      <sheetName val="ECB_Regions17"/>
      <sheetName val="Pull_HP_Wide17"/>
      <sheetName val="Pull_All_SFs17"/>
      <sheetName val="FINAL_(2)17"/>
      <sheetName val="Time_Dimension_Lookup17"/>
      <sheetName val="Q4_CURRENCY17"/>
      <sheetName val="Non-Statistical_Sampling_Mast15"/>
      <sheetName val="Global_Data15"/>
      <sheetName val="HP_WIDE16"/>
      <sheetName val="ECB_BY_DIV16"/>
      <sheetName val="ECB_by_SF_MTD16"/>
      <sheetName val="ECB_by_SF_QTD16"/>
      <sheetName val="ECB_by_SF_YTD16"/>
      <sheetName val="ECB_Regions16"/>
      <sheetName val="Pull_HP_Wide16"/>
      <sheetName val="Pull_All_SFs16"/>
      <sheetName val="FINAL_(2)16"/>
      <sheetName val="Time_Dimension_Lookup16"/>
      <sheetName val="Q4_CURRENCY16"/>
      <sheetName val="Non-Statistical_Sampling_Mast14"/>
      <sheetName val="Global_Data14"/>
      <sheetName val="HP_WIDE18"/>
      <sheetName val="ECB_BY_DIV18"/>
      <sheetName val="ECB_by_SF_MTD18"/>
      <sheetName val="ECB_by_SF_QTD18"/>
      <sheetName val="ECB_by_SF_YTD18"/>
      <sheetName val="ECB_Regions18"/>
      <sheetName val="Pull_HP_Wide18"/>
      <sheetName val="Pull_All_SFs18"/>
      <sheetName val="FINAL_(2)18"/>
      <sheetName val="Time_Dimension_Lookup18"/>
      <sheetName val="Q4_CURRENCY18"/>
      <sheetName val="Non-Statistical_Sampling_Mast16"/>
      <sheetName val="Global_Data16"/>
      <sheetName val="HP_WIDE19"/>
      <sheetName val="ECB_BY_DIV19"/>
      <sheetName val="ECB_by_SF_MTD19"/>
      <sheetName val="ECB_by_SF_QTD19"/>
      <sheetName val="ECB_by_SF_YTD19"/>
      <sheetName val="ECB_Regions19"/>
      <sheetName val="Pull_HP_Wide19"/>
      <sheetName val="Pull_All_SFs19"/>
      <sheetName val="FINAL_(2)19"/>
      <sheetName val="Time_Dimension_Lookup19"/>
      <sheetName val="Q4_CURRENCY19"/>
      <sheetName val="Non-Statistical_Sampling_Mast17"/>
      <sheetName val="Global_Data17"/>
      <sheetName val="Non-Statistical_Sampling_Mast18"/>
      <sheetName val="Global_Data18"/>
      <sheetName val="HP_WIDE21"/>
      <sheetName val="ECB_BY_DIV21"/>
      <sheetName val="ECB_by_SF_MTD21"/>
      <sheetName val="ECB_by_SF_QTD21"/>
      <sheetName val="ECB_by_SF_YTD21"/>
      <sheetName val="ECB_Regions21"/>
      <sheetName val="Pull_HP_Wide21"/>
      <sheetName val="Pull_All_SFs21"/>
      <sheetName val="FINAL_(2)21"/>
      <sheetName val="Time_Dimension_Lookup21"/>
      <sheetName val="Q4_CURRENCY21"/>
      <sheetName val="Non-Statistical_Sampling_Mast19"/>
      <sheetName val="Global_Data19"/>
      <sheetName val="HP_WIDE22"/>
      <sheetName val="ECB_BY_DIV22"/>
      <sheetName val="ECB_by_SF_MTD22"/>
      <sheetName val="ECB_by_SF_QTD22"/>
      <sheetName val="ECB_by_SF_YTD22"/>
      <sheetName val="ECB_Regions22"/>
      <sheetName val="Pull_HP_Wide22"/>
      <sheetName val="Pull_All_SFs22"/>
      <sheetName val="FINAL_(2)22"/>
      <sheetName val="Time_Dimension_Lookup22"/>
      <sheetName val="Q4_CURRENCY22"/>
      <sheetName val="Non-Statistical_Sampling_Mast20"/>
      <sheetName val="Global_Data20"/>
      <sheetName val="HP_WIDE26"/>
      <sheetName val="ECB_BY_DIV26"/>
      <sheetName val="ECB_by_SF_MTD26"/>
      <sheetName val="ECB_by_SF_QTD26"/>
      <sheetName val="ECB_by_SF_YTD26"/>
      <sheetName val="ECB_Regions26"/>
      <sheetName val="Pull_HP_Wide26"/>
      <sheetName val="Pull_All_SFs26"/>
      <sheetName val="FINAL_(2)26"/>
      <sheetName val="Time_Dimension_Lookup26"/>
      <sheetName val="Q4_CURRENCY26"/>
      <sheetName val="Non-Statistical_Sampling_Mast24"/>
      <sheetName val="Global_Data24"/>
      <sheetName val="HP_WIDE24"/>
      <sheetName val="ECB_BY_DIV24"/>
      <sheetName val="ECB_by_SF_MTD24"/>
      <sheetName val="ECB_by_SF_QTD24"/>
      <sheetName val="ECB_by_SF_YTD24"/>
      <sheetName val="ECB_Regions24"/>
      <sheetName val="Pull_HP_Wide24"/>
      <sheetName val="Pull_All_SFs24"/>
      <sheetName val="FINAL_(2)24"/>
      <sheetName val="Time_Dimension_Lookup24"/>
      <sheetName val="Q4_CURRENCY24"/>
      <sheetName val="Non-Statistical_Sampling_Mast22"/>
      <sheetName val="Global_Data22"/>
      <sheetName val="HP_WIDE23"/>
      <sheetName val="ECB_BY_DIV23"/>
      <sheetName val="ECB_by_SF_MTD23"/>
      <sheetName val="ECB_by_SF_QTD23"/>
      <sheetName val="ECB_by_SF_YTD23"/>
      <sheetName val="ECB_Regions23"/>
      <sheetName val="Pull_HP_Wide23"/>
      <sheetName val="Pull_All_SFs23"/>
      <sheetName val="FINAL_(2)23"/>
      <sheetName val="Time_Dimension_Lookup23"/>
      <sheetName val="Q4_CURRENCY23"/>
      <sheetName val="Non-Statistical_Sampling_Mast21"/>
      <sheetName val="Global_Data21"/>
      <sheetName val="HP_WIDE25"/>
      <sheetName val="ECB_BY_DIV25"/>
      <sheetName val="ECB_by_SF_MTD25"/>
      <sheetName val="ECB_by_SF_QTD25"/>
      <sheetName val="ECB_by_SF_YTD25"/>
      <sheetName val="ECB_Regions25"/>
      <sheetName val="Pull_HP_Wide25"/>
      <sheetName val="Pull_All_SFs25"/>
      <sheetName val="FINAL_(2)25"/>
      <sheetName val="Time_Dimension_Lookup25"/>
      <sheetName val="Q4_CURRENCY25"/>
      <sheetName val="Non-Statistical_Sampling_Mast23"/>
      <sheetName val="Global_Data23"/>
      <sheetName val="HP_WIDE29"/>
      <sheetName val="ECB_BY_DIV29"/>
      <sheetName val="ECB_by_SF_MTD29"/>
      <sheetName val="ECB_by_SF_QTD29"/>
      <sheetName val="ECB_by_SF_YTD29"/>
      <sheetName val="ECB_Regions29"/>
      <sheetName val="Pull_HP_Wide29"/>
      <sheetName val="Pull_All_SFs29"/>
      <sheetName val="FINAL_(2)29"/>
      <sheetName val="Time_Dimension_Lookup29"/>
      <sheetName val="Q4_CURRENCY29"/>
      <sheetName val="Non-Statistical_Sampling_Mast27"/>
      <sheetName val="Global_Data27"/>
      <sheetName val="HP_WIDE27"/>
      <sheetName val="ECB_BY_DIV27"/>
      <sheetName val="ECB_by_SF_MTD27"/>
      <sheetName val="ECB_by_SF_QTD27"/>
      <sheetName val="ECB_by_SF_YTD27"/>
      <sheetName val="ECB_Regions27"/>
      <sheetName val="Pull_HP_Wide27"/>
      <sheetName val="Pull_All_SFs27"/>
      <sheetName val="FINAL_(2)27"/>
      <sheetName val="Time_Dimension_Lookup27"/>
      <sheetName val="Q4_CURRENCY27"/>
      <sheetName val="Non-Statistical_Sampling_Mast25"/>
      <sheetName val="Global_Data25"/>
      <sheetName val="HP_WIDE28"/>
      <sheetName val="ECB_BY_DIV28"/>
      <sheetName val="ECB_by_SF_MTD28"/>
      <sheetName val="ECB_by_SF_QTD28"/>
      <sheetName val="ECB_by_SF_YTD28"/>
      <sheetName val="ECB_Regions28"/>
      <sheetName val="Pull_HP_Wide28"/>
      <sheetName val="Pull_All_SFs28"/>
      <sheetName val="FINAL_(2)28"/>
      <sheetName val="Time_Dimension_Lookup28"/>
      <sheetName val="Q4_CURRENCY28"/>
      <sheetName val="Non-Statistical_Sampling_Mast26"/>
      <sheetName val="Global_Data26"/>
      <sheetName val="HP_WIDE30"/>
      <sheetName val="ECB_BY_DIV30"/>
      <sheetName val="ECB_by_SF_MTD30"/>
      <sheetName val="ECB_by_SF_QTD30"/>
      <sheetName val="ECB_by_SF_YTD30"/>
      <sheetName val="ECB_Regions30"/>
      <sheetName val="Pull_HP_Wide30"/>
      <sheetName val="Pull_All_SFs30"/>
      <sheetName val="FINAL_(2)30"/>
      <sheetName val="Time_Dimension_Lookup30"/>
      <sheetName val="Q4_CURRENCY30"/>
      <sheetName val="Non-Statistical_Sampling_Mast28"/>
      <sheetName val="Global_Data28"/>
      <sheetName val="HP_WIDE31"/>
      <sheetName val="ECB_BY_DIV31"/>
      <sheetName val="ECB_by_SF_MTD31"/>
      <sheetName val="ECB_by_SF_QTD31"/>
      <sheetName val="ECB_by_SF_YTD31"/>
      <sheetName val="ECB_Regions31"/>
      <sheetName val="Pull_HP_Wide31"/>
      <sheetName val="Pull_All_SFs31"/>
      <sheetName val="FINAL_(2)31"/>
      <sheetName val="Time_Dimension_Lookup31"/>
      <sheetName val="Q4_CURRENCY31"/>
      <sheetName val="Non-Statistical_Sampling_Mast29"/>
      <sheetName val="Global_Data29"/>
      <sheetName val="HP_WIDE33"/>
      <sheetName val="ECB_BY_DIV33"/>
      <sheetName val="ECB_by_SF_MTD33"/>
      <sheetName val="ECB_by_SF_QTD33"/>
      <sheetName val="ECB_by_SF_YTD33"/>
      <sheetName val="ECB_Regions33"/>
      <sheetName val="Pull_HP_Wide33"/>
      <sheetName val="Pull_All_SFs33"/>
      <sheetName val="FINAL_(2)33"/>
      <sheetName val="Time_Dimension_Lookup33"/>
      <sheetName val="Non-Statistical_Sampling_Mast31"/>
      <sheetName val="Global_Data31"/>
      <sheetName val="Q4_CURRENCY33"/>
      <sheetName val="MENU_1"/>
      <sheetName val="p_and_l1"/>
      <sheetName val="Zone_stucture1"/>
      <sheetName val="HP_WIDE32"/>
      <sheetName val="ECB_BY_DIV32"/>
      <sheetName val="ECB_by_SF_MTD32"/>
      <sheetName val="ECB_by_SF_QTD32"/>
      <sheetName val="ECB_by_SF_YTD32"/>
      <sheetName val="ECB_Regions32"/>
      <sheetName val="Pull_HP_Wide32"/>
      <sheetName val="Pull_All_SFs32"/>
      <sheetName val="FINAL_(2)32"/>
      <sheetName val="Time_Dimension_Lookup32"/>
      <sheetName val="Q4_CURRENCY32"/>
      <sheetName val="Non-Statistical_Sampling_Mast30"/>
      <sheetName val="Global_Data30"/>
      <sheetName val="MENU_"/>
      <sheetName val="p_and_l"/>
      <sheetName val="Zone_stucture"/>
      <sheetName val="HP_WIDE42"/>
      <sheetName val="ECB_BY_DIV42"/>
      <sheetName val="ECB_by_SF_MTD42"/>
      <sheetName val="ECB_by_SF_QTD42"/>
      <sheetName val="ECB_by_SF_YTD42"/>
      <sheetName val="ECB_Regions42"/>
      <sheetName val="Pull_HP_Wide42"/>
      <sheetName val="Pull_All_SFs42"/>
      <sheetName val="FINAL_(2)42"/>
      <sheetName val="Time_Dimension_Lookup42"/>
      <sheetName val="Non-Statistical_Sampling_Mast40"/>
      <sheetName val="Global_Data40"/>
      <sheetName val="Q4_CURRENCY42"/>
      <sheetName val="MENU_10"/>
      <sheetName val="p_and_l10"/>
      <sheetName val="Zone_stucture10"/>
      <sheetName val="Table_of_Contents2"/>
      <sheetName val="GM_Trend2"/>
      <sheetName val="GM%_Trend2"/>
      <sheetName val="Linearity_Chart2"/>
      <sheetName val="NP_Trend2"/>
      <sheetName val="Rev_Trend2"/>
      <sheetName val="Rev-GM_Detail_12"/>
      <sheetName val="Rev-GM_Detail_22"/>
      <sheetName val="Rev_Mix_Trend2"/>
      <sheetName val="SUMMARY_(EXPD)2"/>
      <sheetName val="SUMMARY_(%)2"/>
      <sheetName val="QTD_TO_GO2"/>
      <sheetName val="Comet_Q202_Flash2"/>
      <sheetName val="_2"/>
      <sheetName val="HP_WIDE36"/>
      <sheetName val="ECB_BY_DIV36"/>
      <sheetName val="ECB_by_SF_MTD36"/>
      <sheetName val="ECB_by_SF_QTD36"/>
      <sheetName val="ECB_by_SF_YTD36"/>
      <sheetName val="ECB_Regions36"/>
      <sheetName val="Pull_HP_Wide36"/>
      <sheetName val="Pull_All_SFs36"/>
      <sheetName val="FINAL_(2)36"/>
      <sheetName val="Time_Dimension_Lookup36"/>
      <sheetName val="Non-Statistical_Sampling_Mast34"/>
      <sheetName val="Global_Data34"/>
      <sheetName val="Q4_CURRENCY36"/>
      <sheetName val="MENU_4"/>
      <sheetName val="p_and_l4"/>
      <sheetName val="Zone_stucture4"/>
      <sheetName val="HP_WIDE34"/>
      <sheetName val="ECB_BY_DIV34"/>
      <sheetName val="ECB_by_SF_MTD34"/>
      <sheetName val="ECB_by_SF_QTD34"/>
      <sheetName val="ECB_by_SF_YTD34"/>
      <sheetName val="ECB_Regions34"/>
      <sheetName val="Pull_HP_Wide34"/>
      <sheetName val="Pull_All_SFs34"/>
      <sheetName val="FINAL_(2)34"/>
      <sheetName val="Time_Dimension_Lookup34"/>
      <sheetName val="Non-Statistical_Sampling_Mast32"/>
      <sheetName val="Global_Data32"/>
      <sheetName val="Q4_CURRENCY34"/>
      <sheetName val="MENU_2"/>
      <sheetName val="p_and_l2"/>
      <sheetName val="Zone_stucture2"/>
      <sheetName val="HP_WIDE35"/>
      <sheetName val="ECB_BY_DIV35"/>
      <sheetName val="ECB_by_SF_MTD35"/>
      <sheetName val="ECB_by_SF_QTD35"/>
      <sheetName val="ECB_by_SF_YTD35"/>
      <sheetName val="ECB_Regions35"/>
      <sheetName val="Pull_HP_Wide35"/>
      <sheetName val="Pull_All_SFs35"/>
      <sheetName val="FINAL_(2)35"/>
      <sheetName val="Time_Dimension_Lookup35"/>
      <sheetName val="Non-Statistical_Sampling_Mast33"/>
      <sheetName val="Global_Data33"/>
      <sheetName val="Q4_CURRENCY35"/>
      <sheetName val="MENU_3"/>
      <sheetName val="p_and_l3"/>
      <sheetName val="Zone_stucture3"/>
      <sheetName val="HP_WIDE39"/>
      <sheetName val="ECB_BY_DIV39"/>
      <sheetName val="ECB_by_SF_MTD39"/>
      <sheetName val="ECB_by_SF_QTD39"/>
      <sheetName val="ECB_by_SF_YTD39"/>
      <sheetName val="ECB_Regions39"/>
      <sheetName val="Pull_HP_Wide39"/>
      <sheetName val="Pull_All_SFs39"/>
      <sheetName val="FINAL_(2)39"/>
      <sheetName val="Time_Dimension_Lookup39"/>
      <sheetName val="Non-Statistical_Sampling_Mast37"/>
      <sheetName val="Global_Data37"/>
      <sheetName val="Q4_CURRENCY39"/>
      <sheetName val="MENU_7"/>
      <sheetName val="p_and_l7"/>
      <sheetName val="Zone_stucture7"/>
      <sheetName val="HP_WIDE37"/>
      <sheetName val="ECB_BY_DIV37"/>
      <sheetName val="ECB_by_SF_MTD37"/>
      <sheetName val="ECB_by_SF_QTD37"/>
      <sheetName val="ECB_by_SF_YTD37"/>
      <sheetName val="ECB_Regions37"/>
      <sheetName val="Pull_HP_Wide37"/>
      <sheetName val="Pull_All_SFs37"/>
      <sheetName val="FINAL_(2)37"/>
      <sheetName val="Time_Dimension_Lookup37"/>
      <sheetName val="Non-Statistical_Sampling_Mast35"/>
      <sheetName val="Global_Data35"/>
      <sheetName val="Q4_CURRENCY37"/>
      <sheetName val="MENU_5"/>
      <sheetName val="p_and_l5"/>
      <sheetName val="Zone_stucture5"/>
      <sheetName val="HP_WIDE38"/>
      <sheetName val="ECB_BY_DIV38"/>
      <sheetName val="ECB_by_SF_MTD38"/>
      <sheetName val="ECB_by_SF_QTD38"/>
      <sheetName val="ECB_by_SF_YTD38"/>
      <sheetName val="ECB_Regions38"/>
      <sheetName val="Pull_HP_Wide38"/>
      <sheetName val="Pull_All_SFs38"/>
      <sheetName val="FINAL_(2)38"/>
      <sheetName val="Time_Dimension_Lookup38"/>
      <sheetName val="Non-Statistical_Sampling_Mast36"/>
      <sheetName val="Global_Data36"/>
      <sheetName val="Q4_CURRENCY38"/>
      <sheetName val="MENU_6"/>
      <sheetName val="p_and_l6"/>
      <sheetName val="Zone_stucture6"/>
      <sheetName val="HP_WIDE40"/>
      <sheetName val="ECB_BY_DIV40"/>
      <sheetName val="ECB_by_SF_MTD40"/>
      <sheetName val="ECB_by_SF_QTD40"/>
      <sheetName val="ECB_by_SF_YTD40"/>
      <sheetName val="ECB_Regions40"/>
      <sheetName val="Pull_HP_Wide40"/>
      <sheetName val="Pull_All_SFs40"/>
      <sheetName val="FINAL_(2)40"/>
      <sheetName val="Time_Dimension_Lookup40"/>
      <sheetName val="Non-Statistical_Sampling_Mast38"/>
      <sheetName val="Global_Data38"/>
      <sheetName val="Q4_CURRENCY40"/>
      <sheetName val="MENU_8"/>
      <sheetName val="p_and_l8"/>
      <sheetName val="Zone_stucture8"/>
      <sheetName val="Table_of_Contents"/>
      <sheetName val="GM_Trend"/>
      <sheetName val="GM%_Trend"/>
      <sheetName val="Linearity_Chart"/>
      <sheetName val="NP_Trend"/>
      <sheetName val="Rev_Trend"/>
      <sheetName val="Rev-GM_Detail_1"/>
      <sheetName val="Rev-GM_Detail_2"/>
      <sheetName val="Rev_Mix_Trend"/>
      <sheetName val="SUMMARY_(EXPD)"/>
      <sheetName val="SUMMARY_(%)"/>
      <sheetName val="QTD_TO_GO"/>
      <sheetName val="Comet_Q202_Flash"/>
      <sheetName val="_"/>
      <sheetName val="HP_WIDE41"/>
      <sheetName val="ECB_BY_DIV41"/>
      <sheetName val="ECB_by_SF_MTD41"/>
      <sheetName val="ECB_by_SF_QTD41"/>
      <sheetName val="ECB_by_SF_YTD41"/>
      <sheetName val="ECB_Regions41"/>
      <sheetName val="Pull_HP_Wide41"/>
      <sheetName val="Pull_All_SFs41"/>
      <sheetName val="FINAL_(2)41"/>
      <sheetName val="Time_Dimension_Lookup41"/>
      <sheetName val="Non-Statistical_Sampling_Mast39"/>
      <sheetName val="Global_Data39"/>
      <sheetName val="Q4_CURRENCY41"/>
      <sheetName val="MENU_9"/>
      <sheetName val="p_and_l9"/>
      <sheetName val="Zone_stucture9"/>
      <sheetName val="Table_of_Contents1"/>
      <sheetName val="GM_Trend1"/>
      <sheetName val="GM%_Trend1"/>
      <sheetName val="Linearity_Chart1"/>
      <sheetName val="NP_Trend1"/>
      <sheetName val="Rev_Trend1"/>
      <sheetName val="Rev-GM_Detail_11"/>
      <sheetName val="Rev-GM_Detail_21"/>
      <sheetName val="Rev_Mix_Trend1"/>
      <sheetName val="SUMMARY_(EXPD)1"/>
      <sheetName val="SUMMARY_(%)1"/>
      <sheetName val="QTD_TO_GO1"/>
      <sheetName val="Comet_Q202_Flash1"/>
      <sheetName val="_1"/>
      <sheetName val="通貨一覧"/>
      <sheetName val="假设"/>
      <sheetName val="Summary Data"/>
      <sheetName val="base"/>
      <sheetName val="3D ASPIRE Table"/>
      <sheetName val="UPPER BLOCK"/>
      <sheetName val="GE 2001"/>
      <sheetName val="HTP 2001"/>
      <sheetName val="costos fw 52"/>
      <sheetName val="NovOrdersFY00"/>
      <sheetName val="Safety _ P_A"/>
      <sheetName val="项目日程安排"/>
      <sheetName val="MENU"/>
      <sheetName val="hdcnt 3"/>
      <sheetName val="HR Budget"/>
      <sheetName val="Av.Measures"/>
      <sheetName val="Main"/>
      <sheetName val="HP_WIDE43"/>
      <sheetName val="ECB_BY_DIV43"/>
      <sheetName val="ECB_by_SF_MTD43"/>
      <sheetName val="ECB_by_SF_QTD43"/>
      <sheetName val="ECB_by_SF_YTD43"/>
      <sheetName val="ECB_Regions43"/>
      <sheetName val="Pull_HP_Wide43"/>
      <sheetName val="Pull_All_SFs43"/>
      <sheetName val="FINAL_(2)43"/>
      <sheetName val="Time_Dimension_Lookup43"/>
      <sheetName val="Non-Statistical_Sampling_Mast41"/>
      <sheetName val="Global_Data41"/>
      <sheetName val="Q4_CURRENCY43"/>
      <sheetName val="MENU_11"/>
      <sheetName val="p_and_l11"/>
      <sheetName val="Zone_stucture11"/>
      <sheetName val="Table_of_Contents3"/>
      <sheetName val="GM_Trend3"/>
      <sheetName val="GM%_Trend3"/>
      <sheetName val="Linearity_Chart3"/>
      <sheetName val="NP_Trend3"/>
      <sheetName val="Rev_Trend3"/>
      <sheetName val="Rev-GM_Detail_13"/>
      <sheetName val="Rev-GM_Detail_23"/>
      <sheetName val="Rev_Mix_Trend3"/>
      <sheetName val="SUMMARY_(EXPD)3"/>
      <sheetName val="SUMMARY_(%)3"/>
      <sheetName val="QTD_TO_GO3"/>
      <sheetName val="Comet_Q202_Flash3"/>
      <sheetName val="_3"/>
      <sheetName val="HP_WIDE44"/>
      <sheetName val="ECB_BY_DIV44"/>
      <sheetName val="ECB_by_SF_MTD44"/>
      <sheetName val="ECB_by_SF_QTD44"/>
      <sheetName val="ECB_by_SF_YTD44"/>
      <sheetName val="ECB_Regions44"/>
      <sheetName val="Pull_HP_Wide44"/>
      <sheetName val="Pull_All_SFs44"/>
      <sheetName val="FINAL_(2)44"/>
      <sheetName val="Time_Dimension_Lookup44"/>
      <sheetName val="Non-Statistical_Sampling_Mast42"/>
      <sheetName val="Global_Data42"/>
      <sheetName val="Q4_CURRENCY44"/>
      <sheetName val="MENU_12"/>
      <sheetName val="p_and_l12"/>
      <sheetName val="Zone_stucture12"/>
      <sheetName val="Table_of_Contents4"/>
      <sheetName val="GM_Trend4"/>
      <sheetName val="GM%_Trend4"/>
      <sheetName val="Linearity_Chart4"/>
      <sheetName val="NP_Trend4"/>
      <sheetName val="Rev_Trend4"/>
      <sheetName val="Rev-GM_Detail_14"/>
      <sheetName val="Rev-GM_Detail_24"/>
      <sheetName val="Rev_Mix_Trend4"/>
      <sheetName val="SUMMARY_(EXPD)4"/>
      <sheetName val="SUMMARY_(%)4"/>
      <sheetName val="QTD_TO_GO4"/>
      <sheetName val="Comet_Q202_Flash4"/>
      <sheetName val="_4"/>
      <sheetName val="HP_WIDE45"/>
      <sheetName val="ECB_BY_DIV45"/>
      <sheetName val="ECB_by_SF_MTD45"/>
      <sheetName val="ECB_by_SF_QTD45"/>
      <sheetName val="ECB_by_SF_YTD45"/>
      <sheetName val="ECB_Regions45"/>
      <sheetName val="Pull_HP_Wide45"/>
      <sheetName val="Pull_All_SFs45"/>
      <sheetName val="FINAL_(2)45"/>
      <sheetName val="Time_Dimension_Lookup45"/>
      <sheetName val="Q4_CURRENCY45"/>
      <sheetName val="Non-Statistical_Sampling_Mast43"/>
      <sheetName val="Global_Data43"/>
      <sheetName val="MENU_13"/>
      <sheetName val="p_and_l13"/>
      <sheetName val="Zone_stucture13"/>
      <sheetName val="Table_of_Contents5"/>
      <sheetName val="GM_Trend5"/>
      <sheetName val="GM%_Trend5"/>
      <sheetName val="Linearity_Chart5"/>
      <sheetName val="NP_Trend5"/>
      <sheetName val="Rev_Trend5"/>
      <sheetName val="Rev-GM_Detail_15"/>
      <sheetName val="Rev-GM_Detail_25"/>
      <sheetName val="Rev_Mix_Trend5"/>
      <sheetName val="SUMMARY_(EXPD)5"/>
      <sheetName val="SUMMARY_(%)5"/>
      <sheetName val="QTD_TO_GO5"/>
      <sheetName val="Comet_Q202_Flash5"/>
      <sheetName val="_5"/>
      <sheetName val="HP_WIDE46"/>
      <sheetName val="ECB_BY_DIV46"/>
      <sheetName val="ECB_by_SF_MTD46"/>
      <sheetName val="ECB_by_SF_QTD46"/>
      <sheetName val="ECB_by_SF_YTD46"/>
      <sheetName val="ECB_Regions46"/>
      <sheetName val="Pull_HP_Wide46"/>
      <sheetName val="Pull_All_SFs46"/>
      <sheetName val="FINAL_(2)46"/>
      <sheetName val="Time_Dimension_Lookup46"/>
      <sheetName val="Q4_CURRENCY46"/>
      <sheetName val="Non-Statistical_Sampling_Mast44"/>
      <sheetName val="Global_Data44"/>
      <sheetName val="MENU_14"/>
      <sheetName val="p_and_l14"/>
      <sheetName val="Zone_stucture14"/>
      <sheetName val="Table_of_Contents6"/>
      <sheetName val="GM_Trend6"/>
      <sheetName val="GM%_Trend6"/>
      <sheetName val="Linearity_Chart6"/>
      <sheetName val="NP_Trend6"/>
      <sheetName val="Rev_Trend6"/>
      <sheetName val="Rev-GM_Detail_16"/>
      <sheetName val="Rev-GM_Detail_26"/>
      <sheetName val="Rev_Mix_Trend6"/>
      <sheetName val="SUMMARY_(EXPD)6"/>
      <sheetName val="SUMMARY_(%)6"/>
      <sheetName val="QTD_TO_GO6"/>
      <sheetName val="Comet_Q202_Flash6"/>
      <sheetName val="_6"/>
      <sheetName val="HP_WIDE47"/>
      <sheetName val="ECB_BY_DIV47"/>
      <sheetName val="ECB_by_SF_MTD47"/>
      <sheetName val="ECB_by_SF_QTD47"/>
      <sheetName val="ECB_by_SF_YTD47"/>
      <sheetName val="ECB_Regions47"/>
      <sheetName val="Pull_HP_Wide47"/>
      <sheetName val="Pull_All_SFs47"/>
      <sheetName val="FINAL_(2)47"/>
      <sheetName val="Time_Dimension_Lookup47"/>
      <sheetName val="Q4_CURRENCY47"/>
      <sheetName val="Non-Statistical_Sampling_Mast45"/>
      <sheetName val="Global_Data45"/>
      <sheetName val="MENU_15"/>
      <sheetName val="p_and_l15"/>
      <sheetName val="Zone_stucture15"/>
      <sheetName val="Table_of_Contents7"/>
      <sheetName val="GM_Trend7"/>
      <sheetName val="GM%_Trend7"/>
      <sheetName val="Linearity_Chart7"/>
      <sheetName val="NP_Trend7"/>
      <sheetName val="Rev_Trend7"/>
      <sheetName val="Rev-GM_Detail_17"/>
      <sheetName val="Rev-GM_Detail_27"/>
      <sheetName val="Rev_Mix_Trend7"/>
      <sheetName val="SUMMARY_(EXPD)7"/>
      <sheetName val="SUMMARY_(%)7"/>
      <sheetName val="QTD_TO_GO7"/>
      <sheetName val="Comet_Q202_Flash7"/>
      <sheetName val="_7"/>
      <sheetName val="HP_WIDE48"/>
      <sheetName val="ECB_BY_DIV48"/>
      <sheetName val="ECB_by_SF_MTD48"/>
      <sheetName val="ECB_by_SF_QTD48"/>
      <sheetName val="ECB_by_SF_YTD48"/>
      <sheetName val="ECB_Regions48"/>
      <sheetName val="Pull_HP_Wide48"/>
      <sheetName val="Pull_All_SFs48"/>
      <sheetName val="FINAL_(2)48"/>
      <sheetName val="Time_Dimension_Lookup48"/>
      <sheetName val="Non-Statistical_Sampling_Mast46"/>
      <sheetName val="Global_Data46"/>
      <sheetName val="Q4_CURRENCY48"/>
      <sheetName val="MENU_16"/>
      <sheetName val="p_and_l16"/>
      <sheetName val="Zone_stucture16"/>
      <sheetName val="Table_of_Contents8"/>
      <sheetName val="GM_Trend8"/>
      <sheetName val="GM%_Trend8"/>
      <sheetName val="Linearity_Chart8"/>
      <sheetName val="NP_Trend8"/>
      <sheetName val="Rev_Trend8"/>
      <sheetName val="Rev-GM_Detail_18"/>
      <sheetName val="Rev-GM_Detail_28"/>
      <sheetName val="Rev_Mix_Trend8"/>
      <sheetName val="SUMMARY_(EXPD)8"/>
      <sheetName val="SUMMARY_(%)8"/>
      <sheetName val="QTD_TO_GO8"/>
      <sheetName val="Comet_Q202_Flash8"/>
      <sheetName val="_8"/>
      <sheetName val="HP_WIDE50"/>
      <sheetName val="ECB_BY_DIV50"/>
      <sheetName val="ECB_by_SF_MTD50"/>
      <sheetName val="ECB_by_SF_QTD50"/>
      <sheetName val="ECB_by_SF_YTD50"/>
      <sheetName val="ECB_Regions50"/>
      <sheetName val="Pull_HP_Wide50"/>
      <sheetName val="Pull_All_SFs50"/>
      <sheetName val="FINAL_(2)50"/>
      <sheetName val="Time_Dimension_Lookup50"/>
      <sheetName val="Non-Statistical_Sampling_Mast48"/>
      <sheetName val="Global_Data48"/>
      <sheetName val="Q4_CURRENCY50"/>
      <sheetName val="MENU_18"/>
      <sheetName val="p_and_l18"/>
      <sheetName val="Zone_stucture18"/>
      <sheetName val="Table_of_Contents10"/>
      <sheetName val="GM_Trend10"/>
      <sheetName val="GM%_Trend10"/>
      <sheetName val="Linearity_Chart10"/>
      <sheetName val="NP_Trend10"/>
      <sheetName val="Rev_Trend10"/>
      <sheetName val="Rev-GM_Detail_110"/>
      <sheetName val="Rev-GM_Detail_210"/>
      <sheetName val="Rev_Mix_Trend10"/>
      <sheetName val="SUMMARY_(EXPD)10"/>
      <sheetName val="SUMMARY_(%)10"/>
      <sheetName val="QTD_TO_GO10"/>
      <sheetName val="Comet_Q202_Flash10"/>
      <sheetName val="_10"/>
      <sheetName val="HP_WIDE49"/>
      <sheetName val="ECB_BY_DIV49"/>
      <sheetName val="ECB_by_SF_MTD49"/>
      <sheetName val="ECB_by_SF_QTD49"/>
      <sheetName val="ECB_by_SF_YTD49"/>
      <sheetName val="ECB_Regions49"/>
      <sheetName val="Pull_HP_Wide49"/>
      <sheetName val="Pull_All_SFs49"/>
      <sheetName val="FINAL_(2)49"/>
      <sheetName val="Time_Dimension_Lookup49"/>
      <sheetName val="Non-Statistical_Sampling_Mast47"/>
      <sheetName val="Global_Data47"/>
      <sheetName val="Q4_CURRENCY49"/>
      <sheetName val="MENU_17"/>
      <sheetName val="p_and_l17"/>
      <sheetName val="Zone_stucture17"/>
      <sheetName val="Table_of_Contents9"/>
      <sheetName val="GM_Trend9"/>
      <sheetName val="GM%_Trend9"/>
      <sheetName val="Linearity_Chart9"/>
      <sheetName val="NP_Trend9"/>
      <sheetName val="Rev_Trend9"/>
      <sheetName val="Rev-GM_Detail_19"/>
      <sheetName val="Rev-GM_Detail_29"/>
      <sheetName val="Rev_Mix_Trend9"/>
      <sheetName val="SUMMARY_(EXPD)9"/>
      <sheetName val="SUMMARY_(%)9"/>
      <sheetName val="QTD_TO_GO9"/>
      <sheetName val="Comet_Q202_Flash9"/>
      <sheetName val="_9"/>
      <sheetName val="HP_WIDE51"/>
      <sheetName val="ECB_BY_DIV51"/>
      <sheetName val="ECB_by_SF_MTD51"/>
      <sheetName val="ECB_by_SF_QTD51"/>
      <sheetName val="ECB_by_SF_YTD51"/>
      <sheetName val="ECB_Regions51"/>
      <sheetName val="Pull_HP_Wide51"/>
      <sheetName val="Pull_All_SFs51"/>
      <sheetName val="FINAL_(2)51"/>
      <sheetName val="Time_Dimension_Lookup51"/>
      <sheetName val="Non-Statistical_Sampling_Mast49"/>
      <sheetName val="Global_Data49"/>
      <sheetName val="Q4_CURRENCY51"/>
      <sheetName val="MENU_19"/>
      <sheetName val="p_and_l19"/>
      <sheetName val="Zone_stucture19"/>
      <sheetName val="Table_of_Contents11"/>
      <sheetName val="GM_Trend11"/>
      <sheetName val="GM%_Trend11"/>
      <sheetName val="Linearity_Chart11"/>
      <sheetName val="NP_Trend11"/>
      <sheetName val="Rev_Trend11"/>
      <sheetName val="Rev-GM_Detail_111"/>
      <sheetName val="Rev-GM_Detail_211"/>
      <sheetName val="Rev_Mix_Trend11"/>
      <sheetName val="SUMMARY_(EXPD)11"/>
      <sheetName val="SUMMARY_(%)11"/>
      <sheetName val="QTD_TO_GO11"/>
      <sheetName val="Comet_Q202_Flash11"/>
      <sheetName val="_11"/>
      <sheetName val="FY01 Actuals"/>
      <sheetName val="FY00 Restated"/>
      <sheetName val="FY01 Quota"/>
      <sheetName val="분리멀티형"/>
      <sheetName val="Instructions"/>
      <sheetName val="Index"/>
      <sheetName val="10. Thermal Limiter Test"/>
      <sheetName val="spp"/>
      <sheetName val="Comet ASPIRE"/>
      <sheetName val="Comet Sequential"/>
      <sheetName val="Comet yoy"/>
      <sheetName val="Launch Costs TMNF"/>
      <sheetName val="April Antonio"/>
      <sheetName val="Spec"/>
      <sheetName val="Original"/>
      <sheetName val="Raw materials"/>
      <sheetName val="Planet_Ame"/>
      <sheetName val="Planet_AP"/>
      <sheetName val="Planet_EMEA"/>
      <sheetName val="Planet_OG"/>
      <sheetName val="Planet_WW"/>
      <sheetName val="Detail pg 5"/>
      <sheetName val="Tables"/>
      <sheetName val="Restate"/>
      <sheetName val="XL4Poppy"/>
      <sheetName val="Sheet3"/>
      <sheetName val="Total Financials"/>
      <sheetName val="HP_WIDE52"/>
      <sheetName val="ECB_BY_DIV52"/>
      <sheetName val="ECB_by_SF_MTD52"/>
      <sheetName val="ECB_by_SF_QTD52"/>
      <sheetName val="ECB_by_SF_YTD52"/>
      <sheetName val="ECB_Regions52"/>
      <sheetName val="Pull_HP_Wide52"/>
      <sheetName val="Pull_All_SFs52"/>
      <sheetName val="FINAL_(2)52"/>
      <sheetName val="Time_Dimension_Lookup52"/>
      <sheetName val="Non-Statistical_Sampling_Mast50"/>
      <sheetName val="Global_Data50"/>
      <sheetName val="Q4_CURRENCY52"/>
      <sheetName val="MENU_20"/>
      <sheetName val="p_and_l20"/>
      <sheetName val="Zone_stucture20"/>
      <sheetName val="Table_of_Contents12"/>
      <sheetName val="GM_Trend12"/>
      <sheetName val="GM%_Trend12"/>
      <sheetName val="Linearity_Chart12"/>
      <sheetName val="NP_Trend12"/>
      <sheetName val="Rev_Trend12"/>
      <sheetName val="Rev-GM_Detail_112"/>
      <sheetName val="Rev-GM_Detail_212"/>
      <sheetName val="Rev_Mix_Trend12"/>
      <sheetName val="SUMMARY_(EXPD)12"/>
      <sheetName val="SUMMARY_(%)12"/>
      <sheetName val="QTD_TO_GO12"/>
      <sheetName val="Comet_Q202_Flash12"/>
      <sheetName val="_12"/>
      <sheetName val="Oct_FW42_BaaN_for_G-Line"/>
      <sheetName val="po_list"/>
      <sheetName val="HP_WIDE60"/>
      <sheetName val="ECB_BY_DIV60"/>
      <sheetName val="ECB_by_SF_MTD60"/>
      <sheetName val="ECB_by_SF_QTD60"/>
      <sheetName val="ECB_by_SF_YTD60"/>
      <sheetName val="ECB_Regions60"/>
      <sheetName val="Pull_HP_Wide60"/>
      <sheetName val="Pull_All_SFs60"/>
      <sheetName val="FINAL_(2)60"/>
      <sheetName val="Time_Dimension_Lookup60"/>
      <sheetName val="Non-Statistical_Sampling_Mast58"/>
      <sheetName val="Global_Data58"/>
      <sheetName val="Q4_CURRENCY60"/>
      <sheetName val="MENU_28"/>
      <sheetName val="p_and_l28"/>
      <sheetName val="Zone_stucture28"/>
      <sheetName val="Table_of_Contents20"/>
      <sheetName val="GM_Trend20"/>
      <sheetName val="GM%_Trend20"/>
      <sheetName val="Linearity_Chart20"/>
      <sheetName val="NP_Trend20"/>
      <sheetName val="Rev_Trend20"/>
      <sheetName val="Rev-GM_Detail_120"/>
      <sheetName val="Rev-GM_Detail_220"/>
      <sheetName val="Rev_Mix_Trend20"/>
      <sheetName val="SUMMARY_(EXPD)20"/>
      <sheetName val="SUMMARY_(%)20"/>
      <sheetName val="QTD_TO_GO20"/>
      <sheetName val="Comet_Q202_Flash20"/>
      <sheetName val="_20"/>
      <sheetName val="Oct_FW42_BaaN_for_G-Line7"/>
      <sheetName val="po_list7"/>
      <sheetName val="HP_WIDE53"/>
      <sheetName val="ECB_BY_DIV53"/>
      <sheetName val="ECB_by_SF_MTD53"/>
      <sheetName val="ECB_by_SF_QTD53"/>
      <sheetName val="ECB_by_SF_YTD53"/>
      <sheetName val="ECB_Regions53"/>
      <sheetName val="Pull_HP_Wide53"/>
      <sheetName val="Pull_All_SFs53"/>
      <sheetName val="FINAL_(2)53"/>
      <sheetName val="Time_Dimension_Lookup53"/>
      <sheetName val="Non-Statistical_Sampling_Mast51"/>
      <sheetName val="Global_Data51"/>
      <sheetName val="Q4_CURRENCY53"/>
      <sheetName val="MENU_21"/>
      <sheetName val="p_and_l21"/>
      <sheetName val="Zone_stucture21"/>
      <sheetName val="Table_of_Contents13"/>
      <sheetName val="GM_Trend13"/>
      <sheetName val="GM%_Trend13"/>
      <sheetName val="Linearity_Chart13"/>
      <sheetName val="NP_Trend13"/>
      <sheetName val="Rev_Trend13"/>
      <sheetName val="Rev-GM_Detail_113"/>
      <sheetName val="Rev-GM_Detail_213"/>
      <sheetName val="Rev_Mix_Trend13"/>
      <sheetName val="SUMMARY_(EXPD)13"/>
      <sheetName val="SUMMARY_(%)13"/>
      <sheetName val="QTD_TO_GO13"/>
      <sheetName val="Comet_Q202_Flash13"/>
      <sheetName val="_13"/>
      <sheetName val="Oct_FW42_BaaN_for_G-Line1"/>
      <sheetName val="po_list1"/>
      <sheetName val="HP_WIDE56"/>
      <sheetName val="ECB_BY_DIV56"/>
      <sheetName val="ECB_by_SF_MTD56"/>
      <sheetName val="ECB_by_SF_QTD56"/>
      <sheetName val="ECB_by_SF_YTD56"/>
      <sheetName val="ECB_Regions56"/>
      <sheetName val="Pull_HP_Wide56"/>
      <sheetName val="Pull_All_SFs56"/>
      <sheetName val="FINAL_(2)56"/>
      <sheetName val="Time_Dimension_Lookup56"/>
      <sheetName val="Non-Statistical_Sampling_Mast54"/>
      <sheetName val="Global_Data54"/>
      <sheetName val="Q4_CURRENCY56"/>
      <sheetName val="MENU_24"/>
      <sheetName val="p_and_l24"/>
      <sheetName val="Zone_stucture24"/>
      <sheetName val="Table_of_Contents16"/>
      <sheetName val="GM_Trend16"/>
      <sheetName val="GM%_Trend16"/>
      <sheetName val="Linearity_Chart16"/>
      <sheetName val="NP_Trend16"/>
      <sheetName val="Rev_Trend16"/>
      <sheetName val="Rev-GM_Detail_116"/>
      <sheetName val="Rev-GM_Detail_216"/>
      <sheetName val="Rev_Mix_Trend16"/>
      <sheetName val="SUMMARY_(EXPD)16"/>
      <sheetName val="SUMMARY_(%)16"/>
      <sheetName val="QTD_TO_GO16"/>
      <sheetName val="Comet_Q202_Flash16"/>
      <sheetName val="_16"/>
      <sheetName val="Oct_FW42_BaaN_for_G-Line3"/>
      <sheetName val="po_list3"/>
      <sheetName val="HP_WIDE54"/>
      <sheetName val="ECB_BY_DIV54"/>
      <sheetName val="ECB_by_SF_MTD54"/>
      <sheetName val="ECB_by_SF_QTD54"/>
      <sheetName val="ECB_by_SF_YTD54"/>
      <sheetName val="ECB_Regions54"/>
      <sheetName val="Pull_HP_Wide54"/>
      <sheetName val="Pull_All_SFs54"/>
      <sheetName val="FINAL_(2)54"/>
      <sheetName val="Time_Dimension_Lookup54"/>
      <sheetName val="Non-Statistical_Sampling_Mast52"/>
      <sheetName val="Global_Data52"/>
      <sheetName val="Q4_CURRENCY54"/>
      <sheetName val="MENU_22"/>
      <sheetName val="p_and_l22"/>
      <sheetName val="Zone_stucture22"/>
      <sheetName val="Table_of_Contents14"/>
      <sheetName val="GM_Trend14"/>
      <sheetName val="GM%_Trend14"/>
      <sheetName val="Linearity_Chart14"/>
      <sheetName val="NP_Trend14"/>
      <sheetName val="Rev_Trend14"/>
      <sheetName val="Rev-GM_Detail_114"/>
      <sheetName val="Rev-GM_Detail_214"/>
      <sheetName val="Rev_Mix_Trend14"/>
      <sheetName val="SUMMARY_(EXPD)14"/>
      <sheetName val="SUMMARY_(%)14"/>
      <sheetName val="QTD_TO_GO14"/>
      <sheetName val="Comet_Q202_Flash14"/>
      <sheetName val="_14"/>
      <sheetName val="HP_WIDE55"/>
      <sheetName val="ECB_BY_DIV55"/>
      <sheetName val="ECB_by_SF_MTD55"/>
      <sheetName val="ECB_by_SF_QTD55"/>
      <sheetName val="ECB_by_SF_YTD55"/>
      <sheetName val="ECB_Regions55"/>
      <sheetName val="Pull_HP_Wide55"/>
      <sheetName val="Pull_All_SFs55"/>
      <sheetName val="FINAL_(2)55"/>
      <sheetName val="Time_Dimension_Lookup55"/>
      <sheetName val="Non-Statistical_Sampling_Mast53"/>
      <sheetName val="Global_Data53"/>
      <sheetName val="Q4_CURRENCY55"/>
      <sheetName val="MENU_23"/>
      <sheetName val="p_and_l23"/>
      <sheetName val="Zone_stucture23"/>
      <sheetName val="Table_of_Contents15"/>
      <sheetName val="GM_Trend15"/>
      <sheetName val="GM%_Trend15"/>
      <sheetName val="Linearity_Chart15"/>
      <sheetName val="NP_Trend15"/>
      <sheetName val="Rev_Trend15"/>
      <sheetName val="Rev-GM_Detail_115"/>
      <sheetName val="Rev-GM_Detail_215"/>
      <sheetName val="Rev_Mix_Trend15"/>
      <sheetName val="SUMMARY_(EXPD)15"/>
      <sheetName val="SUMMARY_(%)15"/>
      <sheetName val="QTD_TO_GO15"/>
      <sheetName val="Comet_Q202_Flash15"/>
      <sheetName val="_15"/>
      <sheetName val="Oct_FW42_BaaN_for_G-Line2"/>
      <sheetName val="po_list2"/>
      <sheetName val="HP_WIDE57"/>
      <sheetName val="ECB_BY_DIV57"/>
      <sheetName val="ECB_by_SF_MTD57"/>
      <sheetName val="ECB_by_SF_QTD57"/>
      <sheetName val="ECB_by_SF_YTD57"/>
      <sheetName val="ECB_Regions57"/>
      <sheetName val="Pull_HP_Wide57"/>
      <sheetName val="Pull_All_SFs57"/>
      <sheetName val="FINAL_(2)57"/>
      <sheetName val="Time_Dimension_Lookup57"/>
      <sheetName val="Non-Statistical_Sampling_Mast55"/>
      <sheetName val="Global_Data55"/>
      <sheetName val="Q4_CURRENCY57"/>
      <sheetName val="MENU_25"/>
      <sheetName val="p_and_l25"/>
      <sheetName val="Zone_stucture25"/>
      <sheetName val="Table_of_Contents17"/>
      <sheetName val="GM_Trend17"/>
      <sheetName val="GM%_Trend17"/>
      <sheetName val="Linearity_Chart17"/>
      <sheetName val="NP_Trend17"/>
      <sheetName val="Rev_Trend17"/>
      <sheetName val="Rev-GM_Detail_117"/>
      <sheetName val="Rev-GM_Detail_217"/>
      <sheetName val="Rev_Mix_Trend17"/>
      <sheetName val="SUMMARY_(EXPD)17"/>
      <sheetName val="SUMMARY_(%)17"/>
      <sheetName val="QTD_TO_GO17"/>
      <sheetName val="Comet_Q202_Flash17"/>
      <sheetName val="_17"/>
      <sheetName val="Oct_FW42_BaaN_for_G-Line4"/>
      <sheetName val="po_list4"/>
      <sheetName val="HP_WIDE58"/>
      <sheetName val="ECB_BY_DIV58"/>
      <sheetName val="ECB_by_SF_MTD58"/>
      <sheetName val="ECB_by_SF_QTD58"/>
      <sheetName val="ECB_by_SF_YTD58"/>
      <sheetName val="ECB_Regions58"/>
      <sheetName val="Pull_HP_Wide58"/>
      <sheetName val="Pull_All_SFs58"/>
      <sheetName val="FINAL_(2)58"/>
      <sheetName val="Time_Dimension_Lookup58"/>
      <sheetName val="Non-Statistical_Sampling_Mast56"/>
      <sheetName val="Global_Data56"/>
      <sheetName val="Q4_CURRENCY58"/>
      <sheetName val="MENU_26"/>
      <sheetName val="p_and_l26"/>
      <sheetName val="Zone_stucture26"/>
      <sheetName val="Table_of_Contents18"/>
      <sheetName val="GM_Trend18"/>
      <sheetName val="GM%_Trend18"/>
      <sheetName val="Linearity_Chart18"/>
      <sheetName val="NP_Trend18"/>
      <sheetName val="Rev_Trend18"/>
      <sheetName val="Rev-GM_Detail_118"/>
      <sheetName val="Rev-GM_Detail_218"/>
      <sheetName val="Rev_Mix_Trend18"/>
      <sheetName val="SUMMARY_(EXPD)18"/>
      <sheetName val="SUMMARY_(%)18"/>
      <sheetName val="QTD_TO_GO18"/>
      <sheetName val="Comet_Q202_Flash18"/>
      <sheetName val="_18"/>
      <sheetName val="Oct_FW42_BaaN_for_G-Line5"/>
      <sheetName val="po_list5"/>
      <sheetName val="HP_WIDE59"/>
      <sheetName val="ECB_BY_DIV59"/>
      <sheetName val="ECB_by_SF_MTD59"/>
      <sheetName val="ECB_by_SF_QTD59"/>
      <sheetName val="ECB_by_SF_YTD59"/>
      <sheetName val="ECB_Regions59"/>
      <sheetName val="Pull_HP_Wide59"/>
      <sheetName val="Pull_All_SFs59"/>
      <sheetName val="FINAL_(2)59"/>
      <sheetName val="Time_Dimension_Lookup59"/>
      <sheetName val="Non-Statistical_Sampling_Mast57"/>
      <sheetName val="Global_Data57"/>
      <sheetName val="Q4_CURRENCY59"/>
      <sheetName val="MENU_27"/>
      <sheetName val="p_and_l27"/>
      <sheetName val="Zone_stucture27"/>
      <sheetName val="Table_of_Contents19"/>
      <sheetName val="GM_Trend19"/>
      <sheetName val="GM%_Trend19"/>
      <sheetName val="Linearity_Chart19"/>
      <sheetName val="NP_Trend19"/>
      <sheetName val="Rev_Trend19"/>
      <sheetName val="Rev-GM_Detail_119"/>
      <sheetName val="Rev-GM_Detail_219"/>
      <sheetName val="Rev_Mix_Trend19"/>
      <sheetName val="SUMMARY_(EXPD)19"/>
      <sheetName val="SUMMARY_(%)19"/>
      <sheetName val="QTD_TO_GO19"/>
      <sheetName val="Comet_Q202_Flash19"/>
      <sheetName val="_19"/>
      <sheetName val="Oct_FW42_BaaN_for_G-Line6"/>
      <sheetName val="po_list6"/>
      <sheetName val="ADJ - RATE"/>
      <sheetName val="6641"/>
      <sheetName val="0521"/>
      <sheetName val="底稿2001年"/>
      <sheetName val="Pick Lists"/>
      <sheetName val="C101"/>
      <sheetName val="E101"/>
      <sheetName val="G101"/>
      <sheetName val="G201"/>
      <sheetName val="G301"/>
      <sheetName val="I101"/>
      <sheetName val="ARP-U301"/>
      <sheetName val="U401"/>
      <sheetName val="ARP-U501"/>
      <sheetName val="Collateral"/>
      <sheetName val="信息"/>
      <sheetName val="FCG"/>
      <sheetName val="Grafvta00 (2)"/>
      <sheetName val="公司"/>
      <sheetName val="工厂"/>
      <sheetName val="经营体"/>
      <sheetName val="供应商"/>
      <sheetName val="Curr"/>
      <sheetName val="ParNo"/>
      <sheetName val="JHM"/>
      <sheetName val="공정불량율 현황"/>
      <sheetName val="Misc Cost"/>
      <sheetName val="Station List"/>
      <sheetName val="TB SAP"/>
      <sheetName val="银行借款询证"/>
      <sheetName val="source"/>
      <sheetName val="B"/>
      <sheetName val="Client Data"/>
      <sheetName val="analyse"/>
      <sheetName val="Table"/>
      <sheetName val="F1"/>
      <sheetName val="Transl"/>
      <sheetName val="ARCELIK项目收入成本"/>
      <sheetName val="A3"/>
      <sheetName val="046 Fixed Ass. mov."/>
      <sheetName val="ARP-P101"/>
      <sheetName val="F_Summary"/>
      <sheetName val="评估增值"/>
      <sheetName val="股权结构图"/>
      <sheetName val="JE"/>
      <sheetName val="D5.1"/>
      <sheetName val="Sales Units (3)"/>
      <sheetName val="產成品收發明細表"/>
      <sheetName val="企业表一"/>
      <sheetName val="M-5A"/>
      <sheetName val="M-5C"/>
      <sheetName val="1 LeadSchedule"/>
      <sheetName val="3 Analysis"/>
      <sheetName val="合并单位 (2)"/>
      <sheetName val="合并单位"/>
      <sheetName val="ASSLIST2.XLS"/>
      <sheetName val="LRR Summary"/>
      <sheetName val="Leap PO Std."/>
      <sheetName val="Quantum PO Std"/>
      <sheetName val="master PO"/>
      <sheetName val="5+7 plan"/>
      <sheetName val="01_宏命令库"/>
      <sheetName val="数据输入"/>
      <sheetName val="產品基本信息"/>
      <sheetName val="Setup"/>
      <sheetName val="72HX"/>
      <sheetName val="75EX"/>
      <sheetName val="72HY"/>
      <sheetName val="75EY"/>
      <sheetName val="NEW003"/>
      <sheetName val="produccion"/>
      <sheetName val="produccion Nov"/>
      <sheetName val="Oct Production"/>
      <sheetName val="Oct FW42 BaaN"/>
      <sheetName val="Quantum Stds 12-3-01"/>
      <sheetName val="Quantum Stds p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Ann_Report"/>
      <sheetName val="Instructions"/>
      <sheetName val="Lookupvalues"/>
      <sheetName val="WR_FLASH"/>
      <sheetName val="WR_Act"/>
      <sheetName val="WW_BR"/>
      <sheetName val="Monthly_Summary"/>
      <sheetName val="Planet_WW"/>
      <sheetName val="Americas_BR"/>
      <sheetName val="EMEA_BR"/>
      <sheetName val="AP_BR"/>
      <sheetName val="Orders"/>
      <sheetName val="CA Orders"/>
      <sheetName val="CA Rev"/>
      <sheetName val="Current-FLASH"/>
      <sheetName val="Planet_Ame"/>
      <sheetName val="Planet_EMEA"/>
      <sheetName val="Planet_AP"/>
      <sheetName val="Planet_OG"/>
      <sheetName val="PLANET_DvsA Mapping"/>
      <sheetName val="Bad_Debt_pull"/>
      <sheetName val="Tables"/>
      <sheetName val="PLALL"/>
      <sheetName val="A3"/>
      <sheetName val="LOV"/>
      <sheetName val="Cover"/>
      <sheetName val="PLALL2"/>
      <sheetName val="Comet Q202 Flash"/>
      <sheetName val="3D ASPIRE Table"/>
      <sheetName val="FY01 Actuals"/>
      <sheetName val="FY00 Restated"/>
      <sheetName val="FY01 Quota"/>
      <sheetName val="実績DETA"/>
      <sheetName val="FP"/>
      <sheetName val="Time Dimension Lookup"/>
      <sheetName val="Restate"/>
      <sheetName val="Funnel"/>
      <sheetName val="Q4 CURRENCY"/>
      <sheetName val="审核总览"/>
      <sheetName val="Original"/>
      <sheetName val="Businessss_Reviews-Model"/>
      <sheetName val="Oct FW42 BaaN for G-Line"/>
      <sheetName val="Foams"/>
      <sheetName val="Grid"/>
      <sheetName val=" "/>
      <sheetName val="Sheet2"/>
      <sheetName val="KeyData"/>
      <sheetName val="FY03CostStructure"/>
      <sheetName val="成本表"/>
      <sheetName val="XL4Poppy"/>
      <sheetName val="FCG"/>
      <sheetName val="Pull HP Wide"/>
      <sheetName val="Pull All SFs"/>
      <sheetName val="雷梦"/>
      <sheetName val="MCS"/>
      <sheetName val="CA_Orders"/>
      <sheetName val="CA_Rev"/>
      <sheetName val="PLANET_DvsA_Mapping"/>
      <sheetName val="Comet_Q202_Flash"/>
      <sheetName val="3D_ASPIRE_Table"/>
      <sheetName val="FY01_Actuals"/>
      <sheetName val="FY00_Restated"/>
      <sheetName val="FY01_Quota"/>
      <sheetName val="Time_Dimension_Lookup"/>
      <sheetName val="CA_Orders3"/>
      <sheetName val="CA_Rev3"/>
      <sheetName val="PLANET_DvsA_Mapping3"/>
      <sheetName val="Comet_Q202_Flash3"/>
      <sheetName val="3D_ASPIRE_Table3"/>
      <sheetName val="FY01_Actuals3"/>
      <sheetName val="FY00_Restated3"/>
      <sheetName val="FY01_Quota3"/>
      <sheetName val="Time_Dimension_Lookup3"/>
      <sheetName val="CA_Orders1"/>
      <sheetName val="CA_Rev1"/>
      <sheetName val="PLANET_DvsA_Mapping1"/>
      <sheetName val="Comet_Q202_Flash1"/>
      <sheetName val="3D_ASPIRE_Table1"/>
      <sheetName val="FY01_Actuals1"/>
      <sheetName val="FY00_Restated1"/>
      <sheetName val="FY01_Quota1"/>
      <sheetName val="Time_Dimension_Lookup1"/>
      <sheetName val="CA_Orders2"/>
      <sheetName val="CA_Rev2"/>
      <sheetName val="PLANET_DvsA_Mapping2"/>
      <sheetName val="Comet_Q202_Flash2"/>
      <sheetName val="3D_ASPIRE_Table2"/>
      <sheetName val="FY01_Actuals2"/>
      <sheetName val="FY00_Restated2"/>
      <sheetName val="FY01_Quota2"/>
      <sheetName val="Time_Dimension_Lookup2"/>
      <sheetName val="master"/>
      <sheetName val="摊销表"/>
      <sheetName val="CA_Orders20"/>
      <sheetName val="CA_Rev20"/>
      <sheetName val="PLANET_DvsA_Mapping20"/>
      <sheetName val="Comet_Q202_Flash20"/>
      <sheetName val="3D_ASPIRE_Table20"/>
      <sheetName val="FY01_Actuals20"/>
      <sheetName val="FY00_Restated20"/>
      <sheetName val="FY01_Quota20"/>
      <sheetName val="Time_Dimension_Lookup20"/>
      <sheetName val="CA_Orders4"/>
      <sheetName val="CA_Rev4"/>
      <sheetName val="PLANET_DvsA_Mapping4"/>
      <sheetName val="Comet_Q202_Flash4"/>
      <sheetName val="3D_ASPIRE_Table4"/>
      <sheetName val="FY01_Actuals4"/>
      <sheetName val="FY00_Restated4"/>
      <sheetName val="FY01_Quota4"/>
      <sheetName val="Time_Dimension_Lookup4"/>
      <sheetName val="CA_Orders5"/>
      <sheetName val="CA_Rev5"/>
      <sheetName val="PLANET_DvsA_Mapping5"/>
      <sheetName val="Comet_Q202_Flash5"/>
      <sheetName val="3D_ASPIRE_Table5"/>
      <sheetName val="FY01_Actuals5"/>
      <sheetName val="FY00_Restated5"/>
      <sheetName val="FY01_Quota5"/>
      <sheetName val="Time_Dimension_Lookup5"/>
      <sheetName val="CA_Orders6"/>
      <sheetName val="CA_Rev6"/>
      <sheetName val="PLANET_DvsA_Mapping6"/>
      <sheetName val="Comet_Q202_Flash6"/>
      <sheetName val="3D_ASPIRE_Table6"/>
      <sheetName val="FY01_Actuals6"/>
      <sheetName val="FY00_Restated6"/>
      <sheetName val="FY01_Quota6"/>
      <sheetName val="Time_Dimension_Lookup6"/>
      <sheetName val="CA_Orders7"/>
      <sheetName val="CA_Rev7"/>
      <sheetName val="PLANET_DvsA_Mapping7"/>
      <sheetName val="Comet_Q202_Flash7"/>
      <sheetName val="3D_ASPIRE_Table7"/>
      <sheetName val="FY01_Actuals7"/>
      <sheetName val="FY00_Restated7"/>
      <sheetName val="FY01_Quota7"/>
      <sheetName val="Time_Dimension_Lookup7"/>
      <sheetName val="CA_Orders8"/>
      <sheetName val="CA_Rev8"/>
      <sheetName val="PLANET_DvsA_Mapping8"/>
      <sheetName val="Comet_Q202_Flash8"/>
      <sheetName val="3D_ASPIRE_Table8"/>
      <sheetName val="FY01_Actuals8"/>
      <sheetName val="FY00_Restated8"/>
      <sheetName val="FY01_Quota8"/>
      <sheetName val="Time_Dimension_Lookup8"/>
      <sheetName val="CA_Orders9"/>
      <sheetName val="CA_Rev9"/>
      <sheetName val="PLANET_DvsA_Mapping9"/>
      <sheetName val="Comet_Q202_Flash9"/>
      <sheetName val="3D_ASPIRE_Table9"/>
      <sheetName val="FY01_Actuals9"/>
      <sheetName val="FY00_Restated9"/>
      <sheetName val="FY01_Quota9"/>
      <sheetName val="Time_Dimension_Lookup9"/>
      <sheetName val="CA_Orders10"/>
      <sheetName val="CA_Rev10"/>
      <sheetName val="PLANET_DvsA_Mapping10"/>
      <sheetName val="Comet_Q202_Flash10"/>
      <sheetName val="3D_ASPIRE_Table10"/>
      <sheetName val="FY01_Actuals10"/>
      <sheetName val="FY00_Restated10"/>
      <sheetName val="FY01_Quota10"/>
      <sheetName val="Time_Dimension_Lookup10"/>
      <sheetName val="CA_Orders11"/>
      <sheetName val="CA_Rev11"/>
      <sheetName val="PLANET_DvsA_Mapping11"/>
      <sheetName val="Comet_Q202_Flash11"/>
      <sheetName val="3D_ASPIRE_Table11"/>
      <sheetName val="FY01_Actuals11"/>
      <sheetName val="FY00_Restated11"/>
      <sheetName val="FY01_Quota11"/>
      <sheetName val="Time_Dimension_Lookup11"/>
      <sheetName val="Q4_CURRENCY"/>
      <sheetName val="CA_Orders12"/>
      <sheetName val="CA_Rev12"/>
      <sheetName val="PLANET_DvsA_Mapping12"/>
      <sheetName val="Comet_Q202_Flash12"/>
      <sheetName val="3D_ASPIRE_Table12"/>
      <sheetName val="FY01_Actuals12"/>
      <sheetName val="FY00_Restated12"/>
      <sheetName val="FY01_Quota12"/>
      <sheetName val="Time_Dimension_Lookup12"/>
      <sheetName val="CA_Orders13"/>
      <sheetName val="CA_Rev13"/>
      <sheetName val="PLANET_DvsA_Mapping13"/>
      <sheetName val="Comet_Q202_Flash13"/>
      <sheetName val="3D_ASPIRE_Table13"/>
      <sheetName val="FY01_Actuals13"/>
      <sheetName val="FY00_Restated13"/>
      <sheetName val="FY01_Quota13"/>
      <sheetName val="Time_Dimension_Lookup13"/>
      <sheetName val="CA_Orders14"/>
      <sheetName val="CA_Rev14"/>
      <sheetName val="PLANET_DvsA_Mapping14"/>
      <sheetName val="Comet_Q202_Flash14"/>
      <sheetName val="3D_ASPIRE_Table14"/>
      <sheetName val="FY01_Actuals14"/>
      <sheetName val="FY00_Restated14"/>
      <sheetName val="FY01_Quota14"/>
      <sheetName val="Time_Dimension_Lookup14"/>
      <sheetName val="CA_Orders15"/>
      <sheetName val="CA_Rev15"/>
      <sheetName val="PLANET_DvsA_Mapping15"/>
      <sheetName val="Comet_Q202_Flash15"/>
      <sheetName val="3D_ASPIRE_Table15"/>
      <sheetName val="FY01_Actuals15"/>
      <sheetName val="FY00_Restated15"/>
      <sheetName val="FY01_Quota15"/>
      <sheetName val="Time_Dimension_Lookup15"/>
      <sheetName val="CA_Orders17"/>
      <sheetName val="CA_Rev17"/>
      <sheetName val="PLANET_DvsA_Mapping17"/>
      <sheetName val="Comet_Q202_Flash17"/>
      <sheetName val="3D_ASPIRE_Table17"/>
      <sheetName val="FY01_Actuals17"/>
      <sheetName val="FY00_Restated17"/>
      <sheetName val="FY01_Quota17"/>
      <sheetName val="Time_Dimension_Lookup17"/>
      <sheetName val="CA_Orders16"/>
      <sheetName val="CA_Rev16"/>
      <sheetName val="PLANET_DvsA_Mapping16"/>
      <sheetName val="Comet_Q202_Flash16"/>
      <sheetName val="3D_ASPIRE_Table16"/>
      <sheetName val="FY01_Actuals16"/>
      <sheetName val="FY00_Restated16"/>
      <sheetName val="FY01_Quota16"/>
      <sheetName val="Time_Dimension_Lookup16"/>
      <sheetName val="CA_Orders18"/>
      <sheetName val="CA_Rev18"/>
      <sheetName val="PLANET_DvsA_Mapping18"/>
      <sheetName val="Comet_Q202_Flash18"/>
      <sheetName val="3D_ASPIRE_Table18"/>
      <sheetName val="FY01_Actuals18"/>
      <sheetName val="FY00_Restated18"/>
      <sheetName val="FY01_Quota18"/>
      <sheetName val="Time_Dimension_Lookup18"/>
      <sheetName val="CA_Orders19"/>
      <sheetName val="CA_Rev19"/>
      <sheetName val="PLANET_DvsA_Mapping19"/>
      <sheetName val="Comet_Q202_Flash19"/>
      <sheetName val="3D_ASPIRE_Table19"/>
      <sheetName val="FY01_Actuals19"/>
      <sheetName val="FY00_Restated19"/>
      <sheetName val="FY01_Quota19"/>
      <sheetName val="Time_Dimension_Lookup19"/>
      <sheetName val="CA_Orders21"/>
      <sheetName val="CA_Rev21"/>
      <sheetName val="PLANET_DvsA_Mapping21"/>
      <sheetName val="Comet_Q202_Flash21"/>
      <sheetName val="3D_ASPIRE_Table21"/>
      <sheetName val="FY01_Actuals21"/>
      <sheetName val="FY00_Restated21"/>
      <sheetName val="FY01_Quota21"/>
      <sheetName val="Time_Dimension_Lookup21"/>
      <sheetName val="CA_Orders22"/>
      <sheetName val="CA_Rev22"/>
      <sheetName val="PLANET_DvsA_Mapping22"/>
      <sheetName val="Comet_Q202_Flash22"/>
      <sheetName val="3D_ASPIRE_Table22"/>
      <sheetName val="FY01_Actuals22"/>
      <sheetName val="FY00_Restated22"/>
      <sheetName val="FY01_Quota22"/>
      <sheetName val="Time_Dimension_Lookup22"/>
      <sheetName val="CA_Orders26"/>
      <sheetName val="CA_Rev26"/>
      <sheetName val="PLANET_DvsA_Mapping26"/>
      <sheetName val="Comet_Q202_Flash26"/>
      <sheetName val="3D_ASPIRE_Table26"/>
      <sheetName val="FY01_Actuals26"/>
      <sheetName val="FY00_Restated26"/>
      <sheetName val="FY01_Quota26"/>
      <sheetName val="Time_Dimension_Lookup26"/>
      <sheetName val="CA_Orders24"/>
      <sheetName val="CA_Rev24"/>
      <sheetName val="PLANET_DvsA_Mapping24"/>
      <sheetName val="Comet_Q202_Flash24"/>
      <sheetName val="3D_ASPIRE_Table24"/>
      <sheetName val="FY01_Actuals24"/>
      <sheetName val="FY00_Restated24"/>
      <sheetName val="FY01_Quota24"/>
      <sheetName val="Time_Dimension_Lookup24"/>
      <sheetName val="CA_Orders23"/>
      <sheetName val="CA_Rev23"/>
      <sheetName val="PLANET_DvsA_Mapping23"/>
      <sheetName val="Comet_Q202_Flash23"/>
      <sheetName val="3D_ASPIRE_Table23"/>
      <sheetName val="FY01_Actuals23"/>
      <sheetName val="FY00_Restated23"/>
      <sheetName val="FY01_Quota23"/>
      <sheetName val="Time_Dimension_Lookup23"/>
      <sheetName val="CA_Orders25"/>
      <sheetName val="CA_Rev25"/>
      <sheetName val="PLANET_DvsA_Mapping25"/>
      <sheetName val="Comet_Q202_Flash25"/>
      <sheetName val="3D_ASPIRE_Table25"/>
      <sheetName val="FY01_Actuals25"/>
      <sheetName val="FY00_Restated25"/>
      <sheetName val="FY01_Quota25"/>
      <sheetName val="Time_Dimension_Lookup25"/>
      <sheetName val="CA_Orders29"/>
      <sheetName val="CA_Rev29"/>
      <sheetName val="PLANET_DvsA_Mapping29"/>
      <sheetName val="Comet_Q202_Flash29"/>
      <sheetName val="3D_ASPIRE_Table29"/>
      <sheetName val="FY01_Actuals29"/>
      <sheetName val="FY00_Restated29"/>
      <sheetName val="FY01_Quota29"/>
      <sheetName val="Time_Dimension_Lookup29"/>
      <sheetName val="CA_Orders27"/>
      <sheetName val="CA_Rev27"/>
      <sheetName val="PLANET_DvsA_Mapping27"/>
      <sheetName val="Comet_Q202_Flash27"/>
      <sheetName val="3D_ASPIRE_Table27"/>
      <sheetName val="FY01_Actuals27"/>
      <sheetName val="FY00_Restated27"/>
      <sheetName val="FY01_Quota27"/>
      <sheetName val="Time_Dimension_Lookup27"/>
      <sheetName val="CA_Orders28"/>
      <sheetName val="CA_Rev28"/>
      <sheetName val="PLANET_DvsA_Mapping28"/>
      <sheetName val="Comet_Q202_Flash28"/>
      <sheetName val="3D_ASPIRE_Table28"/>
      <sheetName val="FY01_Actuals28"/>
      <sheetName val="FY00_Restated28"/>
      <sheetName val="FY01_Quota28"/>
      <sheetName val="Time_Dimension_Lookup28"/>
      <sheetName val="CA_Orders30"/>
      <sheetName val="CA_Rev30"/>
      <sheetName val="PLANET_DvsA_Mapping30"/>
      <sheetName val="Comet_Q202_Flash30"/>
      <sheetName val="3D_ASPIRE_Table30"/>
      <sheetName val="FY01_Actuals30"/>
      <sheetName val="FY00_Restated30"/>
      <sheetName val="FY01_Quota30"/>
      <sheetName val="Time_Dimension_Lookup30"/>
      <sheetName val="CA_Orders31"/>
      <sheetName val="CA_Rev31"/>
      <sheetName val="PLANET_DvsA_Mapping31"/>
      <sheetName val="Comet_Q202_Flash31"/>
      <sheetName val="3D_ASPIRE_Table31"/>
      <sheetName val="FY01_Actuals31"/>
      <sheetName val="FY00_Restated31"/>
      <sheetName val="FY01_Quota31"/>
      <sheetName val="Time_Dimension_Lookup31"/>
      <sheetName val="CA_Orders33"/>
      <sheetName val="CA_Rev33"/>
      <sheetName val="PLANET_DvsA_Mapping33"/>
      <sheetName val="Comet_Q202_Flash33"/>
      <sheetName val="3D_ASPIRE_Table33"/>
      <sheetName val="FY01_Actuals33"/>
      <sheetName val="FY00_Restated33"/>
      <sheetName val="FY01_Quota33"/>
      <sheetName val="Time_Dimension_Lookup33"/>
      <sheetName val="Q4_CURRENCY2"/>
      <sheetName val="_1"/>
      <sheetName val="CA_Orders32"/>
      <sheetName val="CA_Rev32"/>
      <sheetName val="PLANET_DvsA_Mapping32"/>
      <sheetName val="Comet_Q202_Flash32"/>
      <sheetName val="3D_ASPIRE_Table32"/>
      <sheetName val="FY01_Actuals32"/>
      <sheetName val="FY00_Restated32"/>
      <sheetName val="FY01_Quota32"/>
      <sheetName val="Time_Dimension_Lookup32"/>
      <sheetName val="Q4_CURRENCY1"/>
      <sheetName val="_"/>
      <sheetName val="CA_Orders42"/>
      <sheetName val="CA_Rev42"/>
      <sheetName val="PLANET_DvsA_Mapping42"/>
      <sheetName val="Comet_Q202_Flash42"/>
      <sheetName val="3D_ASPIRE_Table42"/>
      <sheetName val="FY01_Actuals42"/>
      <sheetName val="FY00_Restated42"/>
      <sheetName val="FY01_Quota42"/>
      <sheetName val="Time_Dimension_Lookup42"/>
      <sheetName val="Q4_CURRENCY11"/>
      <sheetName val="_10"/>
      <sheetName val="Pull_HP_Wide2"/>
      <sheetName val="Pull_All_SFs2"/>
      <sheetName val="CA_Orders36"/>
      <sheetName val="CA_Rev36"/>
      <sheetName val="PLANET_DvsA_Mapping36"/>
      <sheetName val="Comet_Q202_Flash36"/>
      <sheetName val="3D_ASPIRE_Table36"/>
      <sheetName val="FY01_Actuals36"/>
      <sheetName val="FY00_Restated36"/>
      <sheetName val="FY01_Quota36"/>
      <sheetName val="Time_Dimension_Lookup36"/>
      <sheetName val="Q4_CURRENCY5"/>
      <sheetName val="_4"/>
      <sheetName val="CA_Orders34"/>
      <sheetName val="CA_Rev34"/>
      <sheetName val="PLANET_DvsA_Mapping34"/>
      <sheetName val="Comet_Q202_Flash34"/>
      <sheetName val="3D_ASPIRE_Table34"/>
      <sheetName val="FY01_Actuals34"/>
      <sheetName val="FY00_Restated34"/>
      <sheetName val="FY01_Quota34"/>
      <sheetName val="Time_Dimension_Lookup34"/>
      <sheetName val="Q4_CURRENCY3"/>
      <sheetName val="_2"/>
      <sheetName val="CA_Orders35"/>
      <sheetName val="CA_Rev35"/>
      <sheetName val="PLANET_DvsA_Mapping35"/>
      <sheetName val="Comet_Q202_Flash35"/>
      <sheetName val="3D_ASPIRE_Table35"/>
      <sheetName val="FY01_Actuals35"/>
      <sheetName val="FY00_Restated35"/>
      <sheetName val="FY01_Quota35"/>
      <sheetName val="Time_Dimension_Lookup35"/>
      <sheetName val="Q4_CURRENCY4"/>
      <sheetName val="_3"/>
      <sheetName val="CA_Orders39"/>
      <sheetName val="CA_Rev39"/>
      <sheetName val="PLANET_DvsA_Mapping39"/>
      <sheetName val="Comet_Q202_Flash39"/>
      <sheetName val="3D_ASPIRE_Table39"/>
      <sheetName val="FY01_Actuals39"/>
      <sheetName val="FY00_Restated39"/>
      <sheetName val="FY01_Quota39"/>
      <sheetName val="Time_Dimension_Lookup39"/>
      <sheetName val="Q4_CURRENCY8"/>
      <sheetName val="_7"/>
      <sheetName val="CA_Orders37"/>
      <sheetName val="CA_Rev37"/>
      <sheetName val="PLANET_DvsA_Mapping37"/>
      <sheetName val="Comet_Q202_Flash37"/>
      <sheetName val="3D_ASPIRE_Table37"/>
      <sheetName val="FY01_Actuals37"/>
      <sheetName val="FY00_Restated37"/>
      <sheetName val="FY01_Quota37"/>
      <sheetName val="Time_Dimension_Lookup37"/>
      <sheetName val="Q4_CURRENCY6"/>
      <sheetName val="_5"/>
      <sheetName val="CA_Orders38"/>
      <sheetName val="CA_Rev38"/>
      <sheetName val="PLANET_DvsA_Mapping38"/>
      <sheetName val="Comet_Q202_Flash38"/>
      <sheetName val="3D_ASPIRE_Table38"/>
      <sheetName val="FY01_Actuals38"/>
      <sheetName val="FY00_Restated38"/>
      <sheetName val="FY01_Quota38"/>
      <sheetName val="Time_Dimension_Lookup38"/>
      <sheetName val="Q4_CURRENCY7"/>
      <sheetName val="_6"/>
      <sheetName val="CA_Orders40"/>
      <sheetName val="CA_Rev40"/>
      <sheetName val="PLANET_DvsA_Mapping40"/>
      <sheetName val="Comet_Q202_Flash40"/>
      <sheetName val="3D_ASPIRE_Table40"/>
      <sheetName val="FY01_Actuals40"/>
      <sheetName val="FY00_Restated40"/>
      <sheetName val="FY01_Quota40"/>
      <sheetName val="Time_Dimension_Lookup40"/>
      <sheetName val="Q4_CURRENCY9"/>
      <sheetName val="_8"/>
      <sheetName val="Pull_HP_Wide"/>
      <sheetName val="Pull_All_SFs"/>
      <sheetName val="CA_Orders41"/>
      <sheetName val="CA_Rev41"/>
      <sheetName val="PLANET_DvsA_Mapping41"/>
      <sheetName val="Comet_Q202_Flash41"/>
      <sheetName val="3D_ASPIRE_Table41"/>
      <sheetName val="FY01_Actuals41"/>
      <sheetName val="FY00_Restated41"/>
      <sheetName val="FY01_Quota41"/>
      <sheetName val="Time_Dimension_Lookup41"/>
      <sheetName val="Q4_CURRENCY10"/>
      <sheetName val="_9"/>
      <sheetName val="Pull_HP_Wide1"/>
      <sheetName val="Pull_All_SFs1"/>
      <sheetName val="p and l"/>
      <sheetName val="公司"/>
      <sheetName val="工厂"/>
      <sheetName val="经营体"/>
      <sheetName val="供应商"/>
      <sheetName val="MC3(main)"/>
      <sheetName val="MC1"/>
      <sheetName val="假设"/>
      <sheetName val="XVIa(i) - average price (2)"/>
      <sheetName val="source"/>
      <sheetName val="Summary"/>
      <sheetName val="SPals"/>
      <sheetName val="Main"/>
      <sheetName val="total(F)"/>
      <sheetName val="Attachment-4(2)"/>
      <sheetName val="CA_Orders43"/>
      <sheetName val="CA_Rev43"/>
      <sheetName val="PLANET_DvsA_Mapping43"/>
      <sheetName val="Comet_Q202_Flash43"/>
      <sheetName val="3D_ASPIRE_Table43"/>
      <sheetName val="FY01_Actuals43"/>
      <sheetName val="FY00_Restated43"/>
      <sheetName val="FY01_Quota43"/>
      <sheetName val="Time_Dimension_Lookup43"/>
      <sheetName val="Q4_CURRENCY12"/>
      <sheetName val="_11"/>
      <sheetName val="Pull_HP_Wide3"/>
      <sheetName val="Pull_All_SFs3"/>
      <sheetName val="CA_Orders44"/>
      <sheetName val="CA_Rev44"/>
      <sheetName val="PLANET_DvsA_Mapping44"/>
      <sheetName val="Comet_Q202_Flash44"/>
      <sheetName val="3D_ASPIRE_Table44"/>
      <sheetName val="FY01_Actuals44"/>
      <sheetName val="FY00_Restated44"/>
      <sheetName val="FY01_Quota44"/>
      <sheetName val="Time_Dimension_Lookup44"/>
      <sheetName val="Q4_CURRENCY13"/>
      <sheetName val="_12"/>
      <sheetName val="Pull_HP_Wide4"/>
      <sheetName val="Pull_All_SFs4"/>
      <sheetName val="CA_Orders45"/>
      <sheetName val="CA_Rev45"/>
      <sheetName val="PLANET_DvsA_Mapping45"/>
      <sheetName val="Comet_Q202_Flash45"/>
      <sheetName val="3D_ASPIRE_Table45"/>
      <sheetName val="FY01_Actuals45"/>
      <sheetName val="FY00_Restated45"/>
      <sheetName val="FY01_Quota45"/>
      <sheetName val="Time_Dimension_Lookup45"/>
      <sheetName val="Q4_CURRENCY14"/>
      <sheetName val="_13"/>
      <sheetName val="Pull_HP_Wide5"/>
      <sheetName val="Pull_All_SFs5"/>
      <sheetName val="CA_Orders46"/>
      <sheetName val="CA_Rev46"/>
      <sheetName val="PLANET_DvsA_Mapping46"/>
      <sheetName val="Comet_Q202_Flash46"/>
      <sheetName val="3D_ASPIRE_Table46"/>
      <sheetName val="FY01_Actuals46"/>
      <sheetName val="FY00_Restated46"/>
      <sheetName val="FY01_Quota46"/>
      <sheetName val="Time_Dimension_Lookup46"/>
      <sheetName val="Q4_CURRENCY15"/>
      <sheetName val="_14"/>
      <sheetName val="Pull_HP_Wide6"/>
      <sheetName val="Pull_All_SFs6"/>
      <sheetName val="CA_Orders47"/>
      <sheetName val="CA_Rev47"/>
      <sheetName val="PLANET_DvsA_Mapping47"/>
      <sheetName val="Comet_Q202_Flash47"/>
      <sheetName val="3D_ASPIRE_Table47"/>
      <sheetName val="FY01_Actuals47"/>
      <sheetName val="FY00_Restated47"/>
      <sheetName val="FY01_Quota47"/>
      <sheetName val="Time_Dimension_Lookup47"/>
      <sheetName val="Q4_CURRENCY16"/>
      <sheetName val="_15"/>
      <sheetName val="Pull_HP_Wide7"/>
      <sheetName val="Pull_All_SFs7"/>
      <sheetName val="CA_Orders48"/>
      <sheetName val="CA_Rev48"/>
      <sheetName val="PLANET_DvsA_Mapping48"/>
      <sheetName val="Comet_Q202_Flash48"/>
      <sheetName val="3D_ASPIRE_Table48"/>
      <sheetName val="FY01_Actuals48"/>
      <sheetName val="FY00_Restated48"/>
      <sheetName val="FY01_Quota48"/>
      <sheetName val="Time_Dimension_Lookup48"/>
      <sheetName val="Q4_CURRENCY17"/>
      <sheetName val="_16"/>
      <sheetName val="Pull_HP_Wide8"/>
      <sheetName val="Pull_All_SFs8"/>
      <sheetName val="CA_Orders50"/>
      <sheetName val="CA_Rev50"/>
      <sheetName val="PLANET_DvsA_Mapping50"/>
      <sheetName val="Comet_Q202_Flash50"/>
      <sheetName val="3D_ASPIRE_Table50"/>
      <sheetName val="FY01_Actuals50"/>
      <sheetName val="FY00_Restated50"/>
      <sheetName val="FY01_Quota50"/>
      <sheetName val="Time_Dimension_Lookup50"/>
      <sheetName val="Q4_CURRENCY19"/>
      <sheetName val="_18"/>
      <sheetName val="Pull_HP_Wide10"/>
      <sheetName val="Pull_All_SFs10"/>
      <sheetName val="CA_Orders49"/>
      <sheetName val="CA_Rev49"/>
      <sheetName val="PLANET_DvsA_Mapping49"/>
      <sheetName val="Comet_Q202_Flash49"/>
      <sheetName val="3D_ASPIRE_Table49"/>
      <sheetName val="FY01_Actuals49"/>
      <sheetName val="FY00_Restated49"/>
      <sheetName val="FY01_Quota49"/>
      <sheetName val="Time_Dimension_Lookup49"/>
      <sheetName val="Q4_CURRENCY18"/>
      <sheetName val="_17"/>
      <sheetName val="Pull_HP_Wide9"/>
      <sheetName val="Pull_All_SFs9"/>
      <sheetName val="CA_Orders51"/>
      <sheetName val="CA_Rev51"/>
      <sheetName val="PLANET_DvsA_Mapping51"/>
      <sheetName val="Comet_Q202_Flash51"/>
      <sheetName val="3D_ASPIRE_Table51"/>
      <sheetName val="FY01_Actuals51"/>
      <sheetName val="FY00_Restated51"/>
      <sheetName val="FY01_Quota51"/>
      <sheetName val="Time_Dimension_Lookup51"/>
      <sheetName val="Q4_CURRENCY20"/>
      <sheetName val="_19"/>
      <sheetName val="Pull_HP_Wide11"/>
      <sheetName val="Pull_All_SFs11"/>
      <sheetName val="Av.Measures"/>
      <sheetName val="CA_Orders52"/>
      <sheetName val="CA_Rev52"/>
      <sheetName val="PLANET_DvsA_Mapping52"/>
      <sheetName val="Comet_Q202_Flash52"/>
      <sheetName val="3D_ASPIRE_Table52"/>
      <sheetName val="FY01_Actuals52"/>
      <sheetName val="FY00_Restated52"/>
      <sheetName val="FY01_Quota52"/>
      <sheetName val="Time_Dimension_Lookup52"/>
      <sheetName val="Q4_CURRENCY21"/>
      <sheetName val="_20"/>
      <sheetName val="Pull_HP_Wide12"/>
      <sheetName val="Pull_All_SFs12"/>
      <sheetName val="Oct_FW42_BaaN_for_G-Line"/>
      <sheetName val="CA_Orders60"/>
      <sheetName val="CA_Rev60"/>
      <sheetName val="PLANET_DvsA_Mapping60"/>
      <sheetName val="Comet_Q202_Flash60"/>
      <sheetName val="3D_ASPIRE_Table60"/>
      <sheetName val="FY01_Actuals60"/>
      <sheetName val="FY00_Restated60"/>
      <sheetName val="FY01_Quota60"/>
      <sheetName val="Time_Dimension_Lookup60"/>
      <sheetName val="Q4_CURRENCY29"/>
      <sheetName val="_28"/>
      <sheetName val="Pull_HP_Wide20"/>
      <sheetName val="Pull_All_SFs20"/>
      <sheetName val="Oct_FW42_BaaN_for_G-Line7"/>
      <sheetName val="CA_Orders53"/>
      <sheetName val="CA_Rev53"/>
      <sheetName val="PLANET_DvsA_Mapping53"/>
      <sheetName val="Comet_Q202_Flash53"/>
      <sheetName val="3D_ASPIRE_Table53"/>
      <sheetName val="FY01_Actuals53"/>
      <sheetName val="FY00_Restated53"/>
      <sheetName val="FY01_Quota53"/>
      <sheetName val="Time_Dimension_Lookup53"/>
      <sheetName val="Q4_CURRENCY22"/>
      <sheetName val="_21"/>
      <sheetName val="Pull_HP_Wide13"/>
      <sheetName val="Pull_All_SFs13"/>
      <sheetName val="Oct_FW42_BaaN_for_G-Line1"/>
      <sheetName val="CA_Orders56"/>
      <sheetName val="CA_Rev56"/>
      <sheetName val="PLANET_DvsA_Mapping56"/>
      <sheetName val="Comet_Q202_Flash56"/>
      <sheetName val="3D_ASPIRE_Table56"/>
      <sheetName val="FY01_Actuals56"/>
      <sheetName val="FY00_Restated56"/>
      <sheetName val="FY01_Quota56"/>
      <sheetName val="Time_Dimension_Lookup56"/>
      <sheetName val="Q4_CURRENCY25"/>
      <sheetName val="_24"/>
      <sheetName val="Pull_HP_Wide16"/>
      <sheetName val="Pull_All_SFs16"/>
      <sheetName val="Oct_FW42_BaaN_for_G-Line3"/>
      <sheetName val="CA_Orders54"/>
      <sheetName val="CA_Rev54"/>
      <sheetName val="PLANET_DvsA_Mapping54"/>
      <sheetName val="Comet_Q202_Flash54"/>
      <sheetName val="3D_ASPIRE_Table54"/>
      <sheetName val="FY01_Actuals54"/>
      <sheetName val="FY00_Restated54"/>
      <sheetName val="FY01_Quota54"/>
      <sheetName val="Time_Dimension_Lookup54"/>
      <sheetName val="Q4_CURRENCY23"/>
      <sheetName val="_22"/>
      <sheetName val="Pull_HP_Wide14"/>
      <sheetName val="Pull_All_SFs14"/>
      <sheetName val="CA_Orders55"/>
      <sheetName val="CA_Rev55"/>
      <sheetName val="PLANET_DvsA_Mapping55"/>
      <sheetName val="Comet_Q202_Flash55"/>
      <sheetName val="3D_ASPIRE_Table55"/>
      <sheetName val="FY01_Actuals55"/>
      <sheetName val="FY00_Restated55"/>
      <sheetName val="FY01_Quota55"/>
      <sheetName val="Time_Dimension_Lookup55"/>
      <sheetName val="Q4_CURRENCY24"/>
      <sheetName val="_23"/>
      <sheetName val="Pull_HP_Wide15"/>
      <sheetName val="Pull_All_SFs15"/>
      <sheetName val="Oct_FW42_BaaN_for_G-Line2"/>
      <sheetName val="CA_Orders57"/>
      <sheetName val="CA_Rev57"/>
      <sheetName val="PLANET_DvsA_Mapping57"/>
      <sheetName val="Comet_Q202_Flash57"/>
      <sheetName val="3D_ASPIRE_Table57"/>
      <sheetName val="FY01_Actuals57"/>
      <sheetName val="FY00_Restated57"/>
      <sheetName val="FY01_Quota57"/>
      <sheetName val="Time_Dimension_Lookup57"/>
      <sheetName val="Q4_CURRENCY26"/>
      <sheetName val="_25"/>
      <sheetName val="Pull_HP_Wide17"/>
      <sheetName val="Pull_All_SFs17"/>
      <sheetName val="Oct_FW42_BaaN_for_G-Line4"/>
      <sheetName val="CA_Orders58"/>
      <sheetName val="CA_Rev58"/>
      <sheetName val="PLANET_DvsA_Mapping58"/>
      <sheetName val="Comet_Q202_Flash58"/>
      <sheetName val="3D_ASPIRE_Table58"/>
      <sheetName val="FY01_Actuals58"/>
      <sheetName val="FY00_Restated58"/>
      <sheetName val="FY01_Quota58"/>
      <sheetName val="Time_Dimension_Lookup58"/>
      <sheetName val="Q4_CURRENCY27"/>
      <sheetName val="_26"/>
      <sheetName val="Pull_HP_Wide18"/>
      <sheetName val="Pull_All_SFs18"/>
      <sheetName val="Oct_FW42_BaaN_for_G-Line5"/>
      <sheetName val="CA_Orders59"/>
      <sheetName val="CA_Rev59"/>
      <sheetName val="PLANET_DvsA_Mapping59"/>
      <sheetName val="Comet_Q202_Flash59"/>
      <sheetName val="3D_ASPIRE_Table59"/>
      <sheetName val="FY01_Actuals59"/>
      <sheetName val="FY00_Restated59"/>
      <sheetName val="FY01_Quota59"/>
      <sheetName val="Time_Dimension_Lookup59"/>
      <sheetName val="Q4_CURRENCY28"/>
      <sheetName val="_27"/>
      <sheetName val="Pull_HP_Wide19"/>
      <sheetName val="Pull_All_SFs19"/>
      <sheetName val="Oct_FW42_BaaN_for_G-Line6"/>
      <sheetName val="MENU"/>
      <sheetName val="Leap PO Std."/>
      <sheetName val="Quantum PO Std"/>
      <sheetName val="master PO"/>
      <sheetName val="Index"/>
      <sheetName val="10. Thermal Limiter Test"/>
      <sheetName val="GE 2001"/>
      <sheetName val="Sheet1"/>
      <sheetName val="HTP 2001"/>
      <sheetName val="未闭环"/>
      <sheetName val="Comet ASPIRE"/>
      <sheetName val="Comet Sequential"/>
      <sheetName val="Comet yoy"/>
      <sheetName val="APJSum"/>
      <sheetName val="AmeSum"/>
      <sheetName val="EMEASum"/>
      <sheetName val="HPCoSum"/>
      <sheetName val="OGSum"/>
      <sheetName val="WWSum"/>
      <sheetName val="Sales_p8"/>
      <sheetName val="上野ﾌｫｰﾑ台当たり"/>
      <sheetName val="Raw materials"/>
      <sheetName val="pl"/>
      <sheetName val="新品台帐"/>
      <sheetName val="Sheet3"/>
      <sheetName val="A6620 Detail"/>
      <sheetName val="TB"/>
      <sheetName val="1"/>
      <sheetName val="三分厂04年1-12月销售价 "/>
      <sheetName val="05年1月销售价"/>
      <sheetName val="04年12月销售价"/>
      <sheetName val="企业基本情况表限"/>
      <sheetName val="本次清算项目清算成本分摊比例鉴证表（普通住宅和其他商品房）"/>
      <sheetName val="Sales Units (3)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ummary Data"/>
      <sheetName val="seg_tool"/>
      <sheetName val="Non-Statistical Sampling Master"/>
      <sheetName val="Global Data"/>
      <sheetName val="Summary  &amp; Assumptions"/>
      <sheetName val="order"/>
      <sheetName val="projection-form"/>
      <sheetName val="hdcnt 3"/>
      <sheetName val="Two Step Revenue Testing Master"/>
      <sheetName val="Zone stucture"/>
      <sheetName val="TR05E"/>
      <sheetName val="信息"/>
      <sheetName val="Company"/>
      <sheetName val="Related transaction accounts"/>
      <sheetName val="企业表一"/>
      <sheetName val="M-5C"/>
      <sheetName val="M-5A"/>
      <sheetName val="U1120"/>
      <sheetName val="Pick Lists"/>
      <sheetName val="B"/>
      <sheetName val="Table"/>
      <sheetName val="accode"/>
      <sheetName val="DEP"/>
      <sheetName val="现 金 流 量 表"/>
      <sheetName val="DEF REV"/>
      <sheetName val="PriceList"/>
      <sheetName val="gares 02 BON FICHIER "/>
      <sheetName val="Permit"/>
      <sheetName val="Chart of Account"/>
      <sheetName val="Oct Starts Plan"/>
      <sheetName val="合并单位 (2)"/>
      <sheetName val="合并单位"/>
      <sheetName val="披露表(上市)"/>
      <sheetName val="披露表(国资)"/>
      <sheetName val="Vendor Data"/>
      <sheetName val="abbr"/>
      <sheetName val="N201"/>
      <sheetName val="Hidden"/>
      <sheetName val="Panel"/>
      <sheetName val="W"/>
      <sheetName val="JE Upload"/>
      <sheetName val="ASSLIST2.XLS"/>
      <sheetName val="U"/>
      <sheetName val="PO File 2002"/>
      <sheetName val="PO File 2002 Final"/>
      <sheetName val="QC APPROVE SHEET"/>
      <sheetName val="produccion"/>
      <sheetName val="produccion Nov"/>
      <sheetName val="Oct Production"/>
      <sheetName val="Oct FW42 BaaN"/>
      <sheetName val="Quantum Stds 12-3-01"/>
      <sheetName val="Quantum Stds prev"/>
      <sheetName val="LRR Summary"/>
      <sheetName val="Grafvta00 (2)"/>
      <sheetName val="분리멀티형"/>
      <sheetName val="99-值列表"/>
      <sheetName val="UPPER BLOCK"/>
      <sheetName val="产品"/>
      <sheetName val="po list"/>
      <sheetName val="5+7 plan"/>
      <sheetName val="Histogram"/>
      <sheetName val="Refriger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SUM14ZC1"/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生産・実販★"/>
      <sheetName val="H柜机"/>
      <sheetName val="Sheet2"/>
      <sheetName val="公司"/>
      <sheetName val="工厂"/>
      <sheetName val="经营体"/>
      <sheetName val="供应商"/>
      <sheetName val="Funnel"/>
      <sheetName val="FCG"/>
      <sheetName val="MCS"/>
      <sheetName val="PL_total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1"/>
      <sheetName val="開発費まとめ"/>
      <sheetName val="NVA-300T返品リスト"/>
      <sheetName val="Q4 CURRENCY"/>
      <sheetName val="Planet_Ame"/>
      <sheetName val="Planet_AP"/>
      <sheetName val="Planet_EMEA"/>
      <sheetName val="Planet_OG"/>
      <sheetName val="Planet_WW"/>
      <sheetName val="Restate"/>
      <sheetName val="审核总览"/>
      <sheetName val="Tables"/>
      <sheetName val="Basic PMM"/>
      <sheetName val="Full PMM"/>
      <sheetName val="Summary"/>
      <sheetName val="Top Lvl  Logic"/>
      <sheetName val="Parts"/>
      <sheetName val="Process"/>
      <sheetName val="FP"/>
      <sheetName val="Time Dimension Lookup"/>
      <sheetName val="Comet Q202 Flash"/>
      <sheetName val="MTL1"/>
      <sheetName val="Pull HP Wide"/>
      <sheetName val="Pull All SFs"/>
      <sheetName val="PLALL"/>
      <sheetName val="Original"/>
      <sheetName val="XL4Poppy"/>
      <sheetName val="PLALL2"/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Sheet3"/>
      <sheetName val="BCC科目明细表"/>
      <sheetName val="销售收入成本明细表"/>
      <sheetName val="标台系数"/>
      <sheetName val="保利价"/>
      <sheetName val="岗位分类规则"/>
      <sheetName val="索引表"/>
      <sheetName val="附-费用科目对照表"/>
      <sheetName val="说明"/>
      <sheetName val="数据有效性引用"/>
      <sheetName val="WIBLE"/>
      <sheetName val="集計ﾃﾞｰﾀ"/>
      <sheetName val="まとめ"/>
      <sheetName val="区分別リスト"/>
      <sheetName val="原因別"/>
      <sheetName val="部品"/>
      <sheetName val="Sheet5"/>
      <sheetName val="市場取扱"/>
      <sheetName val="300ｼﾘｰｽﾞ1"/>
      <sheetName val="300ｼﾘｰｽﾞ2"/>
      <sheetName val="三洋モデル"/>
      <sheetName val="市場返品リスト"/>
      <sheetName val="DB"/>
      <sheetName val="(9月度)S300Tシリーズ不良集計その3(原因別集計)"/>
      <sheetName val="Raw materials"/>
      <sheetName val="LINK MOR"/>
      <sheetName val="FY01 Actuals"/>
      <sheetName val="FY00 Restated"/>
      <sheetName val="FY01 Quota"/>
      <sheetName val="Sales Units (3)"/>
      <sheetName val="AR Signature Page"/>
      <sheetName val="Form"/>
      <sheetName val="Condition"/>
      <sheetName val="Form2"/>
      <sheetName val="List09"/>
      <sheetName val="List14"/>
      <sheetName val="List15"/>
      <sheetName val="List16"/>
      <sheetName val="List_R"/>
      <sheetName val="Data08"/>
      <sheetName val="9100-PO"/>
      <sheetName val="Comet ASPIRE"/>
      <sheetName val="Comet Sequential"/>
      <sheetName val="Comet yoy"/>
      <sheetName val="Quantum Stds 12-4-01"/>
      <sheetName val="UPPER BLOCK"/>
      <sheetName val="HDa16"/>
      <sheetName val="Safety _ P_A"/>
      <sheetName val="Ref1"/>
      <sheetName val="3D ASPIRE Table"/>
      <sheetName val="sheet4"/>
      <sheetName val="sheet6"/>
      <sheetName val="sheet96"/>
      <sheetName val="sheet100"/>
      <sheetName val="sheet900"/>
      <sheetName val="LOV"/>
      <sheetName val="线体"/>
      <sheetName val="產品基本信息"/>
      <sheetName val="工程不良率"/>
      <sheetName val="附件2-评价标准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APJSum"/>
      <sheetName val="AmeSum"/>
      <sheetName val="EMEASum"/>
      <sheetName val="HPCoSum"/>
      <sheetName val="OGSum"/>
      <sheetName val="WWSum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岗位下拉列表"/>
      <sheetName val="专业分类"/>
      <sheetName val="2.1备案-项目"/>
      <sheetName val="Instructions"/>
      <sheetName val="INPUT - Data Table"/>
      <sheetName val="PARAMETER"/>
      <sheetName val="abbr"/>
      <sheetName val="Meas Acceptance Template"/>
      <sheetName val="Batch Comparison Template"/>
      <sheetName val="Meas Indv Template"/>
      <sheetName val="Stats Graph Template"/>
      <sheetName val="#BEZUG"/>
      <sheetName val="Dates"/>
      <sheetName val="EPR"/>
      <sheetName val="VSAMS Summary"/>
      <sheetName val="Glossary"/>
      <sheetName val="Guidelines "/>
      <sheetName val="封面"/>
      <sheetName val="工厂图片"/>
      <sheetName val="短期整改清单清单"/>
      <sheetName val="质量体系"/>
      <sheetName val="Mgnt Systems &amp; Planning"/>
      <sheetName val="NPI"/>
      <sheetName val="Process Controls"/>
      <sheetName val="Sourcing"/>
      <sheetName val="Fin &amp; Mat Control"/>
      <sheetName val="Definition"/>
      <sheetName val="Objective Evidence"/>
      <sheetName val="黄岛厨电0813"/>
      <sheetName val="FY03CostStructure"/>
      <sheetName val="Grafvta00 (2)"/>
      <sheetName val="Setup"/>
      <sheetName val="Global variables"/>
      <sheetName val="假设"/>
      <sheetName val="ShTactime"/>
      <sheetName val="p and l"/>
      <sheetName val="Tﾁｬｰﾄ"/>
      <sheetName val="MTL2"/>
      <sheetName val="MD1"/>
      <sheetName val="MD2"/>
      <sheetName val="负债表"/>
      <sheetName val="损益表"/>
      <sheetName val="现金流量表"/>
      <sheetName val="调整表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生产成本计算单"/>
      <sheetName val="产成品销售成本计算单"/>
      <sheetName val="۽"/>
      <sheetName val="month-wise"/>
      <sheetName val="企业表一"/>
      <sheetName val="M-5C"/>
      <sheetName val="M-5A"/>
      <sheetName val="۽_x005f_x0000_"/>
      <sheetName val="۽_x005f_x005f_x005f_x0000_"/>
      <sheetName val="۽_x005f_x005f_x005f_x005f_x005f_x005f_x005f_x0000_"/>
      <sheetName val="SPals"/>
      <sheetName val="۽?"/>
      <sheetName val="56 % CIVIC Cost"/>
      <sheetName val=""/>
      <sheetName val="۽_x005f_x005f_x005f_x005f_x005f_x005f_x005f_x005f_x005f"/>
      <sheetName val="۽_"/>
      <sheetName val="_x005f_x0000__x005f_x0000__x005f_x0000__x005f_x0000__x0"/>
      <sheetName val="S-PARTS-XE"/>
      <sheetName val="chart_calcs"/>
      <sheetName val="master"/>
      <sheetName val="source"/>
      <sheetName val="数字视频并帐"/>
      <sheetName val="hdcnt 3"/>
      <sheetName val="设备部房屋"/>
      <sheetName val="CF"/>
      <sheetName val="۽_x005f_x005f_x005f_x005f_x005f"/>
      <sheetName val="_x0"/>
      <sheetName val="_x005f_x0000__x005f_x0000__x005"/>
      <sheetName val="Consolidated NEW"/>
      <sheetName val="Erection"/>
      <sheetName val="Attachment-4(2)"/>
      <sheetName val="Grey 2009"/>
      <sheetName val="Chemical 2009"/>
      <sheetName val="OC Plan"/>
      <sheetName val="AB"/>
      <sheetName val="MENU"/>
      <sheetName val="ราคาไม้สับรวมค่าขนส่ง"/>
      <sheetName val="ราคาไม้ท่อนรวมค่าขนส่ง"/>
      <sheetName val="_x005f_x005f_x005f_x0000__x005f_x005f_x005f_x0000__x005"/>
      <sheetName val="13 铁路配件"/>
      <sheetName val="SUPP.CODE"/>
      <sheetName val="۽_x005f_x005f_x005f"/>
      <sheetName val="_x005"/>
      <sheetName val="Bs"/>
      <sheetName val="Main"/>
      <sheetName val="ﾛｲ"/>
      <sheetName val="自制件材料价格"/>
      <sheetName val="製品データ"/>
      <sheetName val="Summary Data"/>
      <sheetName val="Launch Costs TMNF"/>
      <sheetName val="April Antonio"/>
      <sheetName val="_x005f_x005f_x005f_x005f_x005f_x005f_x005f_x0000__x005f"/>
      <sheetName val="_x005f_x005f_x005f_x005f_x005f_x005f_x005f_x005f_x005f_x005f_"/>
      <sheetName val="sales_ebit act"/>
      <sheetName val="Hidden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R&amp;D"/>
      <sheetName val="PSI"/>
      <sheetName val="23产成品_"/>
      <sheetName val="56_%_CIVIC_Cost"/>
      <sheetName val="hdcnt_3"/>
      <sheetName val="13_铁路配件"/>
      <sheetName val="Consolidated_NEW"/>
      <sheetName val="Grey_2009"/>
      <sheetName val="Chemical_2009"/>
      <sheetName val="OC_Plan"/>
      <sheetName val="SUPP_CODE"/>
      <sheetName val="Comet_Q202_Flash"/>
      <sheetName val="Time_Dimension_Lookup"/>
      <sheetName val="23产成品_3"/>
      <sheetName val="56_%_CIVIC_Cost3"/>
      <sheetName val="hdcnt_33"/>
      <sheetName val="13_铁路配件3"/>
      <sheetName val="Consolidated_NEW3"/>
      <sheetName val="Grey_20093"/>
      <sheetName val="Chemical_20093"/>
      <sheetName val="OC_Plan3"/>
      <sheetName val="SUPP_CODE3"/>
      <sheetName val="Comet_Q202_Flash3"/>
      <sheetName val="Time_Dimension_Lookup3"/>
      <sheetName val="sales_ebit_act1"/>
      <sheetName val="23产成品_1"/>
      <sheetName val="56_%_CIVIC_Cost1"/>
      <sheetName val="hdcnt_31"/>
      <sheetName val="13_铁路配件1"/>
      <sheetName val="Consolidated_NEW1"/>
      <sheetName val="Grey_20091"/>
      <sheetName val="Chemical_20091"/>
      <sheetName val="OC_Plan1"/>
      <sheetName val="SUPP_CODE1"/>
      <sheetName val="Comet_Q202_Flash1"/>
      <sheetName val="Time_Dimension_Lookup1"/>
      <sheetName val="23产成品_2"/>
      <sheetName val="56_%_CIVIC_Cost2"/>
      <sheetName val="hdcnt_32"/>
      <sheetName val="13_铁路配件2"/>
      <sheetName val="Consolidated_NEW2"/>
      <sheetName val="Grey_20092"/>
      <sheetName val="Chemical_20092"/>
      <sheetName val="OC_Plan2"/>
      <sheetName val="SUPP_CODE2"/>
      <sheetName val="Comet_Q202_Flash2"/>
      <sheetName val="Time_Dimension_Lookup2"/>
      <sheetName val="sales_ebit_act"/>
      <sheetName val="Total Financials"/>
      <sheetName val="ﾒｰｶｰ名"/>
      <sheetName val="Av.Measures"/>
      <sheetName val="Detail"/>
      <sheetName val="通貨一覧"/>
      <sheetName val="코드"/>
      <sheetName val="合并单位"/>
      <sheetName val="合并单位 (2)"/>
      <sheetName val="INCOMING"/>
      <sheetName val="dec05 pl"/>
      <sheetName val="KeyData"/>
      <sheetName val=" "/>
      <sheetName val="23产成品_20"/>
      <sheetName val="56_%_CIVIC_Cost20"/>
      <sheetName val="hdcnt_320"/>
      <sheetName val="13_铁路配件20"/>
      <sheetName val="Consolidated_NEW20"/>
      <sheetName val="Grey_200920"/>
      <sheetName val="Chemical_200920"/>
      <sheetName val="OC_Plan20"/>
      <sheetName val="SUPP_CODE20"/>
      <sheetName val="Comet_Q202_Flash20"/>
      <sheetName val="23产成品_4"/>
      <sheetName val="56_%_CIVIC_Cost4"/>
      <sheetName val="hdcnt_34"/>
      <sheetName val="13_铁路配件4"/>
      <sheetName val="Consolidated_NEW4"/>
      <sheetName val="Grey_20094"/>
      <sheetName val="Chemical_20094"/>
      <sheetName val="OC_Plan4"/>
      <sheetName val="SUPP_CODE4"/>
      <sheetName val="Comet_Q202_Flash4"/>
      <sheetName val="Time_Dimension_Lookup4"/>
      <sheetName val="23产成品_5"/>
      <sheetName val="56_%_CIVIC_Cost5"/>
      <sheetName val="hdcnt_35"/>
      <sheetName val="13_铁路配件5"/>
      <sheetName val="Consolidated_NEW5"/>
      <sheetName val="Grey_20095"/>
      <sheetName val="Chemical_20095"/>
      <sheetName val="OC_Plan5"/>
      <sheetName val="SUPP_CODE5"/>
      <sheetName val="Comet_Q202_Flash5"/>
      <sheetName val="Time_Dimension_Lookup5"/>
      <sheetName val="23产成品_6"/>
      <sheetName val="56_%_CIVIC_Cost6"/>
      <sheetName val="hdcnt_36"/>
      <sheetName val="13_铁路配件6"/>
      <sheetName val="Consolidated_NEW6"/>
      <sheetName val="Grey_20096"/>
      <sheetName val="Chemical_20096"/>
      <sheetName val="OC_Plan6"/>
      <sheetName val="SUPP_CODE6"/>
      <sheetName val="Comet_Q202_Flash6"/>
      <sheetName val="Time_Dimension_Lookup6"/>
      <sheetName val="23产成品_7"/>
      <sheetName val="56_%_CIVIC_Cost7"/>
      <sheetName val="hdcnt_37"/>
      <sheetName val="13_铁路配件7"/>
      <sheetName val="Consolidated_NEW7"/>
      <sheetName val="Grey_20097"/>
      <sheetName val="Chemical_20097"/>
      <sheetName val="OC_Plan7"/>
      <sheetName val="SUPP_CODE7"/>
      <sheetName val="Comet_Q202_Flash7"/>
      <sheetName val="23产成品_8"/>
      <sheetName val="56_%_CIVIC_Cost8"/>
      <sheetName val="hdcnt_38"/>
      <sheetName val="13_铁路配件8"/>
      <sheetName val="Consolidated_NEW8"/>
      <sheetName val="Grey_20098"/>
      <sheetName val="Chemical_20098"/>
      <sheetName val="OC_Plan8"/>
      <sheetName val="SUPP_CODE8"/>
      <sheetName val="Comet_Q202_Flash8"/>
      <sheetName val="23产成品_9"/>
      <sheetName val="56_%_CIVIC_Cost9"/>
      <sheetName val="hdcnt_39"/>
      <sheetName val="13_铁路配件9"/>
      <sheetName val="Consolidated_NEW9"/>
      <sheetName val="Grey_20099"/>
      <sheetName val="Chemical_20099"/>
      <sheetName val="OC_Plan9"/>
      <sheetName val="SUPP_CODE9"/>
      <sheetName val="Comet_Q202_Flash9"/>
      <sheetName val="Time_Dimension_Lookup7"/>
      <sheetName val="23产成品_10"/>
      <sheetName val="56_%_CIVIC_Cost10"/>
      <sheetName val="hdcnt_310"/>
      <sheetName val="13_铁路配件10"/>
      <sheetName val="Consolidated_NEW10"/>
      <sheetName val="Grey_200910"/>
      <sheetName val="Chemical_200910"/>
      <sheetName val="OC_Plan10"/>
      <sheetName val="SUPP_CODE10"/>
      <sheetName val="Comet_Q202_Flash10"/>
      <sheetName val="Time_Dimension_Lookup8"/>
      <sheetName val="23产成品_11"/>
      <sheetName val="56_%_CIVIC_Cost11"/>
      <sheetName val="hdcnt_311"/>
      <sheetName val="13_铁路配件11"/>
      <sheetName val="Consolidated_NEW11"/>
      <sheetName val="Grey_200911"/>
      <sheetName val="Chemical_200911"/>
      <sheetName val="OC_Plan11"/>
      <sheetName val="SUPP_CODE11"/>
      <sheetName val="Comet_Q202_Flash11"/>
      <sheetName val="Time_Dimension_Lookup9"/>
      <sheetName val="sales_ebit_act3"/>
      <sheetName val="sales_ebit_act2"/>
      <sheetName val="23产成品_12"/>
      <sheetName val="56_%_CIVIC_Cost12"/>
      <sheetName val="hdcnt_312"/>
      <sheetName val="13_铁路配件12"/>
      <sheetName val="Consolidated_NEW12"/>
      <sheetName val="Grey_200912"/>
      <sheetName val="Chemical_200912"/>
      <sheetName val="OC_Plan12"/>
      <sheetName val="SUPP_CODE12"/>
      <sheetName val="Comet_Q202_Flash12"/>
      <sheetName val="Time_Dimension_Lookup10"/>
      <sheetName val="23产成品_13"/>
      <sheetName val="56_%_CIVIC_Cost13"/>
      <sheetName val="hdcnt_313"/>
      <sheetName val="13_铁路配件13"/>
      <sheetName val="Consolidated_NEW13"/>
      <sheetName val="Grey_200913"/>
      <sheetName val="Chemical_200913"/>
      <sheetName val="OC_Plan13"/>
      <sheetName val="SUPP_CODE13"/>
      <sheetName val="Comet_Q202_Flash13"/>
      <sheetName val="Time_Dimension_Lookup11"/>
      <sheetName val="23产成品_14"/>
      <sheetName val="56_%_CIVIC_Cost14"/>
      <sheetName val="hdcnt_314"/>
      <sheetName val="13_铁路配件14"/>
      <sheetName val="Consolidated_NEW14"/>
      <sheetName val="Grey_200914"/>
      <sheetName val="Chemical_200914"/>
      <sheetName val="OC_Plan14"/>
      <sheetName val="SUPP_CODE14"/>
      <sheetName val="Comet_Q202_Flash14"/>
      <sheetName val="Time_Dimension_Lookup12"/>
      <sheetName val="23产成品_15"/>
      <sheetName val="56_%_CIVIC_Cost15"/>
      <sheetName val="hdcnt_315"/>
      <sheetName val="13_铁路配件15"/>
      <sheetName val="Consolidated_NEW15"/>
      <sheetName val="Grey_200915"/>
      <sheetName val="Chemical_200915"/>
      <sheetName val="OC_Plan15"/>
      <sheetName val="SUPP_CODE15"/>
      <sheetName val="Comet_Q202_Flash15"/>
      <sheetName val="Time_Dimension_Lookup13"/>
      <sheetName val="23产成品_17"/>
      <sheetName val="56_%_CIVIC_Cost17"/>
      <sheetName val="hdcnt_317"/>
      <sheetName val="13_铁路配件17"/>
      <sheetName val="Consolidated_NEW17"/>
      <sheetName val="Grey_200917"/>
      <sheetName val="Chemical_200917"/>
      <sheetName val="OC_Plan17"/>
      <sheetName val="SUPP_CODE17"/>
      <sheetName val="Comet_Q202_Flash17"/>
      <sheetName val="Time_Dimension_Lookup15"/>
      <sheetName val="23产成品_16"/>
      <sheetName val="56_%_CIVIC_Cost16"/>
      <sheetName val="hdcnt_316"/>
      <sheetName val="13_铁路配件16"/>
      <sheetName val="Consolidated_NEW16"/>
      <sheetName val="Grey_200916"/>
      <sheetName val="Chemical_200916"/>
      <sheetName val="OC_Plan16"/>
      <sheetName val="SUPP_CODE16"/>
      <sheetName val="Comet_Q202_Flash16"/>
      <sheetName val="Time_Dimension_Lookup14"/>
      <sheetName val="23产成品_18"/>
      <sheetName val="56_%_CIVIC_Cost18"/>
      <sheetName val="hdcnt_318"/>
      <sheetName val="13_铁路配件18"/>
      <sheetName val="Consolidated_NEW18"/>
      <sheetName val="Grey_200918"/>
      <sheetName val="Chemical_200918"/>
      <sheetName val="OC_Plan18"/>
      <sheetName val="SUPP_CODE18"/>
      <sheetName val="Comet_Q202_Flash18"/>
      <sheetName val="Time_Dimension_Lookup16"/>
      <sheetName val="23产成品_19"/>
      <sheetName val="56_%_CIVIC_Cost19"/>
      <sheetName val="hdcnt_319"/>
      <sheetName val="13_铁路配件19"/>
      <sheetName val="Consolidated_NEW19"/>
      <sheetName val="Grey_200919"/>
      <sheetName val="Chemical_200919"/>
      <sheetName val="OC_Plan19"/>
      <sheetName val="SUPP_CODE19"/>
      <sheetName val="Comet_Q202_Flash19"/>
      <sheetName val="Time_Dimension_Lookup17"/>
      <sheetName val="Time_Dimension_Lookup18"/>
      <sheetName val="23产成品_21"/>
      <sheetName val="56_%_CIVIC_Cost21"/>
      <sheetName val="hdcnt_321"/>
      <sheetName val="13_铁路配件21"/>
      <sheetName val="Consolidated_NEW21"/>
      <sheetName val="Grey_200921"/>
      <sheetName val="Chemical_200921"/>
      <sheetName val="OC_Plan21"/>
      <sheetName val="SUPP_CODE21"/>
      <sheetName val="Comet_Q202_Flash21"/>
      <sheetName val="Time_Dimension_Lookup19"/>
      <sheetName val="23产成品_22"/>
      <sheetName val="56_%_CIVIC_Cost22"/>
      <sheetName val="hdcnt_322"/>
      <sheetName val="13_铁路配件22"/>
      <sheetName val="Consolidated_NEW22"/>
      <sheetName val="Grey_200922"/>
      <sheetName val="Chemical_200922"/>
      <sheetName val="OC_Plan22"/>
      <sheetName val="SUPP_CODE22"/>
      <sheetName val="Comet_Q202_Flash22"/>
      <sheetName val="Time_Dimension_Lookup20"/>
      <sheetName val="23产成品_26"/>
      <sheetName val="56_%_CIVIC_Cost26"/>
      <sheetName val="hdcnt_326"/>
      <sheetName val="13_铁路配件26"/>
      <sheetName val="Consolidated_NEW26"/>
      <sheetName val="Grey_200926"/>
      <sheetName val="Chemical_200926"/>
      <sheetName val="OC_Plan26"/>
      <sheetName val="SUPP_CODE26"/>
      <sheetName val="Comet_Q202_Flash26"/>
      <sheetName val="Time_Dimension_Lookup24"/>
      <sheetName val="23产成品_24"/>
      <sheetName val="56_%_CIVIC_Cost24"/>
      <sheetName val="hdcnt_324"/>
      <sheetName val="13_铁路配件24"/>
      <sheetName val="Consolidated_NEW24"/>
      <sheetName val="Grey_200924"/>
      <sheetName val="Chemical_200924"/>
      <sheetName val="OC_Plan24"/>
      <sheetName val="SUPP_CODE24"/>
      <sheetName val="Comet_Q202_Flash24"/>
      <sheetName val="Time_Dimension_Lookup22"/>
      <sheetName val="23产成品_23"/>
      <sheetName val="56_%_CIVIC_Cost23"/>
      <sheetName val="hdcnt_323"/>
      <sheetName val="13_铁路配件23"/>
      <sheetName val="Consolidated_NEW23"/>
      <sheetName val="Grey_200923"/>
      <sheetName val="Chemical_200923"/>
      <sheetName val="OC_Plan23"/>
      <sheetName val="SUPP_CODE23"/>
      <sheetName val="Comet_Q202_Flash23"/>
      <sheetName val="Time_Dimension_Lookup21"/>
      <sheetName val="23产成品_25"/>
      <sheetName val="56_%_CIVIC_Cost25"/>
      <sheetName val="hdcnt_325"/>
      <sheetName val="13_铁路配件25"/>
      <sheetName val="Consolidated_NEW25"/>
      <sheetName val="Grey_200925"/>
      <sheetName val="Chemical_200925"/>
      <sheetName val="OC_Plan25"/>
      <sheetName val="SUPP_CODE25"/>
      <sheetName val="Comet_Q202_Flash25"/>
      <sheetName val="Time_Dimension_Lookup23"/>
      <sheetName val="23产成品_29"/>
      <sheetName val="56_%_CIVIC_Cost29"/>
      <sheetName val="hdcnt_329"/>
      <sheetName val="13_铁路配件29"/>
      <sheetName val="Consolidated_NEW29"/>
      <sheetName val="Grey_200929"/>
      <sheetName val="Chemical_200929"/>
      <sheetName val="OC_Plan29"/>
      <sheetName val="SUPP_CODE29"/>
      <sheetName val="Comet_Q202_Flash29"/>
      <sheetName val="Time_Dimension_Lookup27"/>
      <sheetName val="23产成品_27"/>
      <sheetName val="56_%_CIVIC_Cost27"/>
      <sheetName val="hdcnt_327"/>
      <sheetName val="13_铁路配件27"/>
      <sheetName val="Consolidated_NEW27"/>
      <sheetName val="Grey_200927"/>
      <sheetName val="Chemical_200927"/>
      <sheetName val="OC_Plan27"/>
      <sheetName val="SUPP_CODE27"/>
      <sheetName val="Comet_Q202_Flash27"/>
      <sheetName val="Time_Dimension_Lookup25"/>
      <sheetName val="23产成品_28"/>
      <sheetName val="56_%_CIVIC_Cost28"/>
      <sheetName val="hdcnt_328"/>
      <sheetName val="13_铁路配件28"/>
      <sheetName val="Consolidated_NEW28"/>
      <sheetName val="Grey_200928"/>
      <sheetName val="Chemical_200928"/>
      <sheetName val="OC_Plan28"/>
      <sheetName val="SUPP_CODE28"/>
      <sheetName val="Comet_Q202_Flash28"/>
      <sheetName val="Time_Dimension_Lookup26"/>
      <sheetName val="23产成品_30"/>
      <sheetName val="56_%_CIVIC_Cost30"/>
      <sheetName val="hdcnt_330"/>
      <sheetName val="13_铁路配件30"/>
      <sheetName val="Consolidated_NEW30"/>
      <sheetName val="Grey_200930"/>
      <sheetName val="Chemical_200930"/>
      <sheetName val="OC_Plan30"/>
      <sheetName val="SUPP_CODE30"/>
      <sheetName val="Comet_Q202_Flash30"/>
      <sheetName val="Time_Dimension_Lookup28"/>
      <sheetName val="23产成品_31"/>
      <sheetName val="56_%_CIVIC_Cost31"/>
      <sheetName val="hdcnt_331"/>
      <sheetName val="13_铁路配件31"/>
      <sheetName val="Consolidated_NEW31"/>
      <sheetName val="Grey_200931"/>
      <sheetName val="Chemical_200931"/>
      <sheetName val="OC_Plan31"/>
      <sheetName val="SUPP_CODE31"/>
      <sheetName val="Comet_Q202_Flash31"/>
      <sheetName val="Time_Dimension_Lookup29"/>
      <sheetName val="23产成品_33"/>
      <sheetName val="56_%_CIVIC_Cost33"/>
      <sheetName val="hdcnt_333"/>
      <sheetName val="13_铁路配件33"/>
      <sheetName val="Consolidated_NEW33"/>
      <sheetName val="Grey_200933"/>
      <sheetName val="Chemical_200933"/>
      <sheetName val="OC_Plan33"/>
      <sheetName val="SUPP_CODE33"/>
      <sheetName val="Comet_Q202_Flash33"/>
      <sheetName val="Time_Dimension_Lookup31"/>
      <sheetName val="sales_ebit_act5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Summary_Data1"/>
      <sheetName val="Launch_Costs_TMNF1"/>
      <sheetName val="April_Antonio1"/>
      <sheetName val="Sales_Units_(3)1"/>
      <sheetName val="合并单位_(2)1"/>
      <sheetName val="dec05_pl1"/>
      <sheetName val="23产成品_32"/>
      <sheetName val="56_%_CIVIC_Cost32"/>
      <sheetName val="hdcnt_332"/>
      <sheetName val="13_铁路配件32"/>
      <sheetName val="Consolidated_NEW32"/>
      <sheetName val="Grey_200932"/>
      <sheetName val="Chemical_200932"/>
      <sheetName val="OC_Plan32"/>
      <sheetName val="SUPP_CODE32"/>
      <sheetName val="Comet_Q202_Flash32"/>
      <sheetName val="Time_Dimension_Lookup30"/>
      <sheetName val="sales_ebit_act4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Summary_Data"/>
      <sheetName val="Launch_Costs_TMNF"/>
      <sheetName val="April_Antonio"/>
      <sheetName val="Sales_Units_(3)"/>
      <sheetName val="合并单位_(2)"/>
      <sheetName val="dec05_pl"/>
      <sheetName val="23产成品_42"/>
      <sheetName val="56_%_CIVIC_Cost42"/>
      <sheetName val="hdcnt_342"/>
      <sheetName val="13_铁路配件42"/>
      <sheetName val="Consolidated_NEW42"/>
      <sheetName val="Grey_200942"/>
      <sheetName val="Chemical_200942"/>
      <sheetName val="OC_Plan42"/>
      <sheetName val="SUPP_CODE42"/>
      <sheetName val="Comet_Q202_Flash42"/>
      <sheetName val="Time_Dimension_Lookup40"/>
      <sheetName val="sales_ebit_act14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Summary_Data10"/>
      <sheetName val="Launch_Costs_TMNF10"/>
      <sheetName val="April_Antonio10"/>
      <sheetName val="Sales_Units_(3)10"/>
      <sheetName val="合并单位_(2)10"/>
      <sheetName val="dec05_pl10"/>
      <sheetName val="23产成品_36"/>
      <sheetName val="56_%_CIVIC_Cost36"/>
      <sheetName val="hdcnt_336"/>
      <sheetName val="13_铁路配件36"/>
      <sheetName val="Consolidated_NEW36"/>
      <sheetName val="Grey_200936"/>
      <sheetName val="Chemical_200936"/>
      <sheetName val="OC_Plan36"/>
      <sheetName val="SUPP_CODE36"/>
      <sheetName val="Comet_Q202_Flash36"/>
      <sheetName val="Time_Dimension_Lookup34"/>
      <sheetName val="sales_ebit_act8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Summary_Data4"/>
      <sheetName val="Launch_Costs_TMNF4"/>
      <sheetName val="April_Antonio4"/>
      <sheetName val="Sales_Units_(3)4"/>
      <sheetName val="合并单位_(2)4"/>
      <sheetName val="dec05_pl4"/>
      <sheetName val="23产成品_34"/>
      <sheetName val="56_%_CIVIC_Cost34"/>
      <sheetName val="hdcnt_334"/>
      <sheetName val="13_铁路配件34"/>
      <sheetName val="Consolidated_NEW34"/>
      <sheetName val="Grey_200934"/>
      <sheetName val="Chemical_200934"/>
      <sheetName val="OC_Plan34"/>
      <sheetName val="SUPP_CODE34"/>
      <sheetName val="Comet_Q202_Flash34"/>
      <sheetName val="Time_Dimension_Lookup32"/>
      <sheetName val="sales_ebit_act6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Summary_Data2"/>
      <sheetName val="Launch_Costs_TMNF2"/>
      <sheetName val="April_Antonio2"/>
      <sheetName val="Sales_Units_(3)2"/>
      <sheetName val="合并单位_(2)2"/>
      <sheetName val="dec05_pl2"/>
      <sheetName val="23产成品_35"/>
      <sheetName val="56_%_CIVIC_Cost35"/>
      <sheetName val="hdcnt_335"/>
      <sheetName val="13_铁路配件35"/>
      <sheetName val="Consolidated_NEW35"/>
      <sheetName val="Grey_200935"/>
      <sheetName val="Chemical_200935"/>
      <sheetName val="OC_Plan35"/>
      <sheetName val="SUPP_CODE35"/>
      <sheetName val="Comet_Q202_Flash35"/>
      <sheetName val="Time_Dimension_Lookup33"/>
      <sheetName val="sales_ebit_act7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Summary_Data3"/>
      <sheetName val="Launch_Costs_TMNF3"/>
      <sheetName val="April_Antonio3"/>
      <sheetName val="Sales_Units_(3)3"/>
      <sheetName val="合并单位_(2)3"/>
      <sheetName val="dec05_pl3"/>
      <sheetName val="23产成品_39"/>
      <sheetName val="56_%_CIVIC_Cost39"/>
      <sheetName val="hdcnt_339"/>
      <sheetName val="13_铁路配件39"/>
      <sheetName val="Consolidated_NEW39"/>
      <sheetName val="Grey_200939"/>
      <sheetName val="Chemical_200939"/>
      <sheetName val="OC_Plan39"/>
      <sheetName val="SUPP_CODE39"/>
      <sheetName val="Comet_Q202_Flash39"/>
      <sheetName val="Time_Dimension_Lookup37"/>
      <sheetName val="sales_ebit_act11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Summary_Data7"/>
      <sheetName val="Launch_Costs_TMNF7"/>
      <sheetName val="April_Antonio7"/>
      <sheetName val="Sales_Units_(3)7"/>
      <sheetName val="合并单位_(2)7"/>
      <sheetName val="dec05_pl7"/>
      <sheetName val="23产成品_37"/>
      <sheetName val="56_%_CIVIC_Cost37"/>
      <sheetName val="hdcnt_337"/>
      <sheetName val="13_铁路配件37"/>
      <sheetName val="Consolidated_NEW37"/>
      <sheetName val="Grey_200937"/>
      <sheetName val="Chemical_200937"/>
      <sheetName val="OC_Plan37"/>
      <sheetName val="SUPP_CODE37"/>
      <sheetName val="Comet_Q202_Flash37"/>
      <sheetName val="Time_Dimension_Lookup35"/>
      <sheetName val="sales_ebit_act9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Summary_Data5"/>
      <sheetName val="Launch_Costs_TMNF5"/>
      <sheetName val="April_Antonio5"/>
      <sheetName val="Sales_Units_(3)5"/>
      <sheetName val="合并单位_(2)5"/>
      <sheetName val="dec05_pl5"/>
      <sheetName val="23产成品_38"/>
      <sheetName val="56_%_CIVIC_Cost38"/>
      <sheetName val="hdcnt_338"/>
      <sheetName val="13_铁路配件38"/>
      <sheetName val="Consolidated_NEW38"/>
      <sheetName val="Grey_200938"/>
      <sheetName val="Chemical_200938"/>
      <sheetName val="OC_Plan38"/>
      <sheetName val="SUPP_CODE38"/>
      <sheetName val="Comet_Q202_Flash38"/>
      <sheetName val="Time_Dimension_Lookup36"/>
      <sheetName val="sales_ebit_act10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Summary_Data6"/>
      <sheetName val="Launch_Costs_TMNF6"/>
      <sheetName val="April_Antonio6"/>
      <sheetName val="Sales_Units_(3)6"/>
      <sheetName val="合并单位_(2)6"/>
      <sheetName val="dec05_pl6"/>
      <sheetName val="23产成品_40"/>
      <sheetName val="56_%_CIVIC_Cost40"/>
      <sheetName val="hdcnt_340"/>
      <sheetName val="13_铁路配件40"/>
      <sheetName val="Consolidated_NEW40"/>
      <sheetName val="Grey_200940"/>
      <sheetName val="Chemical_200940"/>
      <sheetName val="OC_Plan40"/>
      <sheetName val="SUPP_CODE40"/>
      <sheetName val="Comet_Q202_Flash40"/>
      <sheetName val="Time_Dimension_Lookup38"/>
      <sheetName val="sales_ebit_act12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Summary_Data8"/>
      <sheetName val="Launch_Costs_TMNF8"/>
      <sheetName val="April_Antonio8"/>
      <sheetName val="Sales_Units_(3)8"/>
      <sheetName val="合并单位_(2)8"/>
      <sheetName val="dec05_pl8"/>
      <sheetName val="23产成品_41"/>
      <sheetName val="56_%_CIVIC_Cost41"/>
      <sheetName val="hdcnt_341"/>
      <sheetName val="13_铁路配件41"/>
      <sheetName val="Consolidated_NEW41"/>
      <sheetName val="Grey_200941"/>
      <sheetName val="Chemical_200941"/>
      <sheetName val="OC_Plan41"/>
      <sheetName val="SUPP_CODE41"/>
      <sheetName val="Comet_Q202_Flash41"/>
      <sheetName val="Time_Dimension_Lookup39"/>
      <sheetName val="sales_ebit_act13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Summary_Data9"/>
      <sheetName val="Launch_Costs_TMNF9"/>
      <sheetName val="April_Antonio9"/>
      <sheetName val="Sales_Units_(3)9"/>
      <sheetName val="合并单位_(2)9"/>
      <sheetName val="dec05_pl9"/>
      <sheetName val="UFPrn20070303114642"/>
      <sheetName val="KKKKKKKK"/>
      <sheetName val="选择报表"/>
      <sheetName val="完"/>
      <sheetName val="改善路径"/>
      <sheetName val="项目日程安排"/>
      <sheetName val="Material BOMS"/>
      <sheetName val="基PLBS"/>
      <sheetName val="Materials BOM for HIPS"/>
      <sheetName val="FINAL (2)"/>
      <sheetName val="_x005f_x005f_x005f_x0000__x005f"/>
      <sheetName val="۽_x005f"/>
      <sheetName val="_x005f_x005f_x005f_x005f_"/>
      <sheetName val="Sheet52"/>
      <sheetName val="生产质量说明0106"/>
      <sheetName val="Panel"/>
      <sheetName val="Administrative"/>
      <sheetName val="GWL-RUNING"/>
      <sheetName val="FINISHED GOODS MASTER"/>
      <sheetName val="Foams"/>
      <sheetName val="Oct FW42 BaaN for G-Line"/>
      <sheetName val="Refrigerants"/>
      <sheetName val="23产成品_43"/>
      <sheetName val="56_%_CIVIC_Cost43"/>
      <sheetName val="hdcnt_343"/>
      <sheetName val="13_铁路配件43"/>
      <sheetName val="Consolidated_NEW43"/>
      <sheetName val="Grey_200943"/>
      <sheetName val="Chemical_200943"/>
      <sheetName val="OC_Plan43"/>
      <sheetName val="SUPP_CODE43"/>
      <sheetName val="Comet_Q202_Flash43"/>
      <sheetName val="Time_Dimension_Lookup41"/>
      <sheetName val="sales_ebit_act15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Summary_Data11"/>
      <sheetName val="Launch_Costs_TMNF11"/>
      <sheetName val="April_Antonio11"/>
      <sheetName val="Sales_Units_(3)11"/>
      <sheetName val="合并单位_(2)11"/>
      <sheetName val="dec05_pl11"/>
      <sheetName val="23产成品_44"/>
      <sheetName val="56_%_CIVIC_Cost44"/>
      <sheetName val="hdcnt_344"/>
      <sheetName val="13_铁路配件44"/>
      <sheetName val="Consolidated_NEW44"/>
      <sheetName val="Grey_200944"/>
      <sheetName val="Chemical_200944"/>
      <sheetName val="OC_Plan44"/>
      <sheetName val="SUPP_CODE44"/>
      <sheetName val="Comet_Q202_Flash44"/>
      <sheetName val="Time_Dimension_Lookup42"/>
      <sheetName val="sales_ebit_act16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Summary_Data12"/>
      <sheetName val="Launch_Costs_TMNF12"/>
      <sheetName val="April_Antonio12"/>
      <sheetName val="Sales_Units_(3)12"/>
      <sheetName val="合并单位_(2)12"/>
      <sheetName val="dec05_pl12"/>
      <sheetName val="23产成品_45"/>
      <sheetName val="56_%_CIVIC_Cost45"/>
      <sheetName val="hdcnt_345"/>
      <sheetName val="13_铁路配件45"/>
      <sheetName val="Consolidated_NEW45"/>
      <sheetName val="Grey_200945"/>
      <sheetName val="Chemical_200945"/>
      <sheetName val="OC_Plan45"/>
      <sheetName val="SUPP_CODE45"/>
      <sheetName val="Comet_Q202_Flash45"/>
      <sheetName val="Time_Dimension_Lookup43"/>
      <sheetName val="sales_ebit_act17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Summary_Data13"/>
      <sheetName val="Launch_Costs_TMNF13"/>
      <sheetName val="April_Antonio13"/>
      <sheetName val="Sales_Units_(3)13"/>
      <sheetName val="合并单位_(2)13"/>
      <sheetName val="dec05_pl13"/>
      <sheetName val="TOTAL"/>
      <sheetName val="SUPPORT-JPN"/>
      <sheetName val="Histogram"/>
      <sheetName val="Index"/>
      <sheetName val="10. Thermal Limiter Test"/>
      <sheetName val="Spec"/>
      <sheetName val="MC3(main)"/>
      <sheetName val="MC1"/>
      <sheetName val="분리멀티형"/>
      <sheetName val="Production Database 399"/>
      <sheetName val="pl"/>
      <sheetName val="SPEC OF ACCOUNTS"/>
      <sheetName val="23产成品_46"/>
      <sheetName val="56_%_CIVIC_Cost46"/>
      <sheetName val="hdcnt_346"/>
      <sheetName val="13_铁路配件46"/>
      <sheetName val="Consolidated_NEW46"/>
      <sheetName val="Grey_200946"/>
      <sheetName val="Chemical_200946"/>
      <sheetName val="OC_Plan46"/>
      <sheetName val="SUPP_CODE46"/>
      <sheetName val="Comet_Q202_Flash46"/>
      <sheetName val="Time_Dimension_Lookup44"/>
      <sheetName val="sales_ebit_act18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Summary_Data14"/>
      <sheetName val="Launch_Costs_TMNF14"/>
      <sheetName val="April_Antonio14"/>
      <sheetName val="Sales_Units_(3)14"/>
      <sheetName val="合并单位_(2)14"/>
      <sheetName val="dec05_pl14"/>
      <sheetName val="23产成品_47"/>
      <sheetName val="56_%_CIVIC_Cost47"/>
      <sheetName val="hdcnt_347"/>
      <sheetName val="13_铁路配件47"/>
      <sheetName val="Consolidated_NEW47"/>
      <sheetName val="Grey_200947"/>
      <sheetName val="Chemical_200947"/>
      <sheetName val="OC_Plan47"/>
      <sheetName val="SUPP_CODE47"/>
      <sheetName val="Comet_Q202_Flash47"/>
      <sheetName val="Time_Dimension_Lookup45"/>
      <sheetName val="sales_ebit_act19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Summary_Data15"/>
      <sheetName val="Launch_Costs_TMNF15"/>
      <sheetName val="April_Antonio15"/>
      <sheetName val="Sales_Units_(3)15"/>
      <sheetName val="合并单位_(2)15"/>
      <sheetName val="dec05_pl15"/>
      <sheetName val="23产成品_48"/>
      <sheetName val="56_%_CIVIC_Cost48"/>
      <sheetName val="hdcnt_348"/>
      <sheetName val="13_铁路配件48"/>
      <sheetName val="Consolidated_NEW48"/>
      <sheetName val="Grey_200948"/>
      <sheetName val="Chemical_200948"/>
      <sheetName val="OC_Plan48"/>
      <sheetName val="SUPP_CODE48"/>
      <sheetName val="Comet_Q202_Flash48"/>
      <sheetName val="Time_Dimension_Lookup46"/>
      <sheetName val="sales_ebit_act20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Summary_Data16"/>
      <sheetName val="Launch_Costs_TMNF16"/>
      <sheetName val="April_Antonio16"/>
      <sheetName val="Sales_Units_(3)16"/>
      <sheetName val="合并单位_(2)16"/>
      <sheetName val="dec05_pl16"/>
      <sheetName val="Company"/>
      <sheetName val="Related transaction accounts"/>
      <sheetName val="23产成品_50"/>
      <sheetName val="56_%_CIVIC_Cost50"/>
      <sheetName val="hdcnt_350"/>
      <sheetName val="13_铁路配件50"/>
      <sheetName val="Consolidated_NEW50"/>
      <sheetName val="Grey_200950"/>
      <sheetName val="Chemical_200950"/>
      <sheetName val="OC_Plan50"/>
      <sheetName val="SUPP_CODE50"/>
      <sheetName val="Comet_Q202_Flash50"/>
      <sheetName val="Time_Dimension_Lookup48"/>
      <sheetName val="sales_ebit_act22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Summary_Data18"/>
      <sheetName val="Launch_Costs_TMNF18"/>
      <sheetName val="April_Antonio18"/>
      <sheetName val="Sales_Units_(3)18"/>
      <sheetName val="合并单位_(2)18"/>
      <sheetName val="dec05_pl18"/>
      <sheetName val="23产成品_49"/>
      <sheetName val="56_%_CIVIC_Cost49"/>
      <sheetName val="hdcnt_349"/>
      <sheetName val="13_铁路配件49"/>
      <sheetName val="Consolidated_NEW49"/>
      <sheetName val="Grey_200949"/>
      <sheetName val="Chemical_200949"/>
      <sheetName val="OC_Plan49"/>
      <sheetName val="SUPP_CODE49"/>
      <sheetName val="Comet_Q202_Flash49"/>
      <sheetName val="Time_Dimension_Lookup47"/>
      <sheetName val="sales_ebit_act21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Summary_Data17"/>
      <sheetName val="Launch_Costs_TMNF17"/>
      <sheetName val="April_Antonio17"/>
      <sheetName val="Sales_Units_(3)17"/>
      <sheetName val="合并单位_(2)17"/>
      <sheetName val="dec05_pl17"/>
      <sheetName val="23产成品_51"/>
      <sheetName val="56_%_CIVIC_Cost51"/>
      <sheetName val="hdcnt_351"/>
      <sheetName val="13_铁路配件51"/>
      <sheetName val="Consolidated_NEW51"/>
      <sheetName val="Grey_200951"/>
      <sheetName val="Chemical_200951"/>
      <sheetName val="OC_Plan51"/>
      <sheetName val="SUPP_CODE51"/>
      <sheetName val="Comet_Q202_Flash51"/>
      <sheetName val="Time_Dimension_Lookup49"/>
      <sheetName val="sales_ebit_act23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Summary_Data19"/>
      <sheetName val="Launch_Costs_TMNF19"/>
      <sheetName val="April_Antonio19"/>
      <sheetName val="Sales_Units_(3)19"/>
      <sheetName val="合并单位_(2)19"/>
      <sheetName val="dec05_pl19"/>
      <sheetName val="23产成品_52"/>
      <sheetName val="56_%_CIVIC_Cost52"/>
      <sheetName val="hdcnt_352"/>
      <sheetName val="13_铁路配件52"/>
      <sheetName val="Consolidated_NEW52"/>
      <sheetName val="Grey_200952"/>
      <sheetName val="Chemical_200952"/>
      <sheetName val="OC_Plan52"/>
      <sheetName val="SUPP_CODE52"/>
      <sheetName val="Comet_Q202_Flash52"/>
      <sheetName val="Time_Dimension_Lookup50"/>
      <sheetName val="sales_ebit_act24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Summary_Data20"/>
      <sheetName val="Launch_Costs_TMNF20"/>
      <sheetName val="April_Antonio20"/>
      <sheetName val="Sales_Units_(3)20"/>
      <sheetName val="合并单位_(2)20"/>
      <sheetName val="dec05_pl20"/>
      <sheetName val="Costos"/>
      <sheetName val="72HX"/>
      <sheetName val="75EX"/>
      <sheetName val="72HY"/>
      <sheetName val="75EY"/>
      <sheetName val="MAR"/>
      <sheetName val="Assumptions"/>
      <sheetName val="外注實裝工數"/>
      <sheetName val="列表"/>
      <sheetName val="cash flow, BS monthly(3)"/>
      <sheetName val="Sales Seasonality by Month"/>
      <sheetName val="PKG"/>
      <sheetName val="BEWL"/>
      <sheetName val="BOM MASTER"/>
      <sheetName val="MRN Rejection"/>
      <sheetName val="Assmptns"/>
      <sheetName val="Present Value"/>
      <sheetName val="Fixed Assets 2015"/>
      <sheetName val="Dialog3"/>
      <sheetName val="Dialog1"/>
      <sheetName val="DATA"/>
      <sheetName val="抽出1"/>
      <sheetName val="CDF"/>
      <sheetName val="未入力"/>
      <sheetName val="OTC"/>
      <sheetName val="特殊人员健康状况跟踪"/>
      <sheetName val="因交通管制无法返程人员"/>
      <sheetName val="月薪资明细表"/>
      <sheetName val="档案在库人员"/>
      <sheetName val="离职转出"/>
      <sheetName val="沈阳冰箱总人员"/>
      <sheetName val="4-1验货评价1"/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一级表"/>
      <sheetName val="2.1-固定资产折旧预算表-说明"/>
      <sheetName val="ITS"/>
      <sheetName val="CountryAll"/>
      <sheetName val="Legend"/>
      <sheetName val="Control Panel"/>
      <sheetName val="Forecast"/>
      <sheetName val="WW Total HPCI"/>
      <sheetName val="EMEA"/>
      <sheetName val="Americas"/>
      <sheetName val="LatinAm"/>
      <sheetName val="NAM"/>
      <sheetName val="NAM w-o Smartc."/>
      <sheetName val="GGM Sum"/>
      <sheetName val="HPCI P&amp;L Trend (Blue)"/>
      <sheetName val="HPCI P&amp;L Trend % (Blue)"/>
      <sheetName val="PL4K P&amp;L Trend"/>
      <sheetName val="PL4K P&amp;L Trend %"/>
      <sheetName val="PL79 P&amp;L Trend"/>
      <sheetName val="PL79 P&amp;L Trend %"/>
      <sheetName val="HPCI-COMET Comparison (Blue)"/>
      <sheetName val="Global OH (Blue)"/>
      <sheetName val="Headcount Reconciliation (Blue)"/>
      <sheetName val="Headcount Trend"/>
      <sheetName val="PL4K Labor Trend"/>
      <sheetName val="3D P&amp;L Vs ASPIRE (Blue)"/>
      <sheetName val="COMET P&amp;L Trend (Blue)"/>
      <sheetName val="COMET P&amp;L Trend % (Blue)"/>
      <sheetName val="FY02 Adjusted P&amp;L (Blue)"/>
      <sheetName val="Adjustment DTL (Blue)"/>
      <sheetName val="GGM Cap. Change Pull"/>
      <sheetName val="GGM Residual Pull"/>
      <sheetName val="GGM Local OH Pull"/>
      <sheetName val="GGM Allocs Pull"/>
      <sheetName val="GGM Oth Inc(Exp) Pull"/>
      <sheetName val="Smartcontact Gain Pull"/>
      <sheetName val="GGM Revenue Fall Out"/>
      <sheetName val="GGM Residual Fall Out"/>
      <sheetName val="Global OH Pull"/>
      <sheetName val="EN50_47 Global Pull"/>
      <sheetName val="Labor Pull"/>
      <sheetName val="Forecast Accuracy Trend"/>
      <sheetName val="COMET Pull"/>
      <sheetName val="WW P&amp;L Table"/>
      <sheetName val="WW Goal Table"/>
      <sheetName val="AsiaPac+Jpn"/>
      <sheetName val="AsiaPac"/>
      <sheetName val="Jpn"/>
      <sheetName val="GGM CF Pull"/>
      <sheetName val="HPC Region P&amp;L Table"/>
      <sheetName val="HPC Region Goal Table"/>
      <sheetName val="PL Region P&amp;L Table"/>
      <sheetName val="PL Region Goal Table"/>
      <sheetName val="3D P&amp;L Table"/>
      <sheetName val="Global OH Actuals Table"/>
      <sheetName val="Global OH Goal Table"/>
      <sheetName val="Geo Hc Actual Table"/>
      <sheetName val="Geo Hc Goal Table"/>
      <sheetName val="GGM Backlog Table"/>
      <sheetName val="COMET FY01 Pull"/>
      <sheetName val="Labor Pull FY01"/>
      <sheetName val="DIO"/>
      <sheetName val="STD. COST"/>
      <sheetName val="面积指标"/>
      <sheetName val="MANPOWER"/>
      <sheetName val="分产品销售收入、成本分析表"/>
      <sheetName val="COVER PAGE"/>
      <sheetName val="WW"/>
      <sheetName val="Ame"/>
      <sheetName val="APJ"/>
      <sheetName val="OG"/>
      <sheetName val="HPCoENs"/>
      <sheetName val="PL-MTD"/>
      <sheetName val="PL-YTD"/>
      <sheetName val="HC"/>
      <sheetName val="MPals"/>
      <sheetName val="HPSSpe"/>
      <sheetName val="MSSpe"/>
      <sheetName val="CISpe"/>
      <sheetName val="EduSpe"/>
      <sheetName val="ChaSpe"/>
      <sheetName val="IBSpe"/>
      <sheetName val="TeleNbiz"/>
      <sheetName val="MTeleNbiz"/>
      <sheetName val="SM"/>
      <sheetName val="Prf Distrib"/>
      <sheetName val="Chart your own Dist."/>
      <sheetName val="Simu"/>
      <sheetName val="Job #12"/>
      <sheetName val="Job #13"/>
      <sheetName val="Job #14"/>
      <sheetName val="Job #15"/>
      <sheetName val="Job #16"/>
      <sheetName val="Job #17"/>
      <sheetName val="Job #18"/>
      <sheetName val="Job #19"/>
      <sheetName val="Job #20"/>
      <sheetName val="Normal Dist"/>
      <sheetName val="HP_PL-QTD "/>
      <sheetName val="HP_PL-YTD "/>
      <sheetName val="BCO_PL-MTD "/>
      <sheetName val="BCO_PL-QTD  "/>
      <sheetName val="BCO_PL-YTD "/>
      <sheetName val="出货"/>
      <sheetName val="收货"/>
      <sheetName val="以此为准"/>
      <sheetName val="Raw materials (2)"/>
      <sheetName val="内销"/>
      <sheetName val="1.1"/>
      <sheetName val="Navigation &amp; Assumptions"/>
      <sheetName val="HPCO  GAAP by Qtr"/>
      <sheetName val="HPCO  Pro Forma by Qtr"/>
      <sheetName val="HPCO  GAAP by Half"/>
      <sheetName val="HPCO  Pro Forma by Half"/>
      <sheetName val="BCO by Qtr"/>
      <sheetName val="CBO by Qtr"/>
      <sheetName val="HPS by Qtr"/>
      <sheetName val="BCO by Half"/>
      <sheetName val="CBO by Half"/>
      <sheetName val="HPS by Half"/>
      <sheetName val="IPS by Qtr"/>
      <sheetName val="CS by Qtr"/>
      <sheetName val="ITS by Qtr"/>
      <sheetName val="EPS by Qtr"/>
      <sheetName val="Financing by Qtr"/>
      <sheetName val="IPS by Half"/>
      <sheetName val="CS by Half"/>
      <sheetName val="ITS by Half"/>
      <sheetName val="EPS by Half"/>
      <sheetName val="Financing by Half"/>
      <sheetName val="CF Q302 Slide"/>
      <sheetName val="CF Q402 Slide"/>
      <sheetName val="CF H202 Slide"/>
      <sheetName val="PG Q302 Slide"/>
      <sheetName val="PG Q402 Slide"/>
      <sheetName val="PG H202 Slide"/>
      <sheetName val="CF Q302 vs Q301"/>
      <sheetName val="CF Q302 vs Q202"/>
      <sheetName val="CF Q402 vs Q401"/>
      <sheetName val="CF Q402 vs Q302"/>
      <sheetName val="CF H102 Flash vs H101"/>
      <sheetName val="CF H102 Flash vs H201"/>
      <sheetName val="CF H202 ASPIRE vs H201"/>
      <sheetName val="CF H202 ASPIRE vs H102 Flash"/>
      <sheetName val="CF FY02 ASP-Flash vs FY01"/>
      <sheetName val="PG Q302 vs Q301"/>
      <sheetName val="PG Q302 vs Q202"/>
      <sheetName val="PG Q402 vs Q401"/>
      <sheetName val="PG Q402 vs Q302"/>
      <sheetName val="PG H102 Flash vs H101"/>
      <sheetName val="PG H102 Flash vs H201"/>
      <sheetName val="PG H202 ASPIRE vs H201"/>
      <sheetName val="PG H202 ASPIRE vs H102 Flash"/>
      <sheetName val="PG FY02 ASP-Flash vs FY01"/>
      <sheetName val="CF by PC Q302 vs Q301"/>
      <sheetName val="CF by PC Q302 vs Q202"/>
      <sheetName val="CF by PC Q402 vs Q401"/>
      <sheetName val="CF by PC Q402 vs Q302"/>
      <sheetName val="CF by PC H102 Flash vs H101"/>
      <sheetName val="CF by PC H102 Flash vs H201"/>
      <sheetName val="CF by PC H202 ASP vs H201"/>
      <sheetName val="CF by PC H202 ASP vs H102 Flash"/>
      <sheetName val="CF by PC FY02 ASP-Flash vs FY01"/>
      <sheetName val="PG by PC Q302 vs Q301"/>
      <sheetName val="PG by PC Q302 vs Q202"/>
      <sheetName val="PG by PC Q402 vs Q401"/>
      <sheetName val="PG by PC Q402 vs Q302"/>
      <sheetName val="PG by PC H102 Flash vs H101"/>
      <sheetName val="PG by PC H102 Flash vs H201"/>
      <sheetName val="PG by PC H202 ASP vs H201"/>
      <sheetName val="PG by PC H202 ASP vs H102 Flash"/>
      <sheetName val="PG by PC FY02 ASP-Flash vs FY01"/>
      <sheetName val="Comet Q101"/>
      <sheetName val="Comet Q201"/>
      <sheetName val="Comet Q301"/>
      <sheetName val="Comet Q401"/>
      <sheetName val="Comet H101"/>
      <sheetName val="Comet H201"/>
      <sheetName val="Comet FY01"/>
      <sheetName val="Comet Q102"/>
      <sheetName val="Flash Template"/>
      <sheetName val="ASPIRE Template Q302"/>
      <sheetName val="ASPIRE Template Q402"/>
      <sheetName val="Comet Q302 ASPIRE"/>
      <sheetName val="Comet Q402 ASPIRE"/>
      <sheetName val="Comet H102 Flash"/>
      <sheetName val="Comet H202 ASPIRE"/>
      <sheetName val="Comet FY02 Flash-ASPIRE"/>
      <sheetName val="Month 1"/>
      <sheetName val="Month 2"/>
      <sheetName val="Extr. Gain Table"/>
      <sheetName val="汇总"/>
      <sheetName val="20180926"/>
      <sheetName val="流入流出"/>
      <sheetName val="URBANO P EST"/>
      <sheetName val="字段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170E2生產安排分析"/>
      <sheetName val="Tabelle1"/>
      <sheetName val="Tabelle2"/>
      <sheetName val="Tabelle3"/>
      <sheetName val="Test"/>
      <sheetName val="相关参数"/>
      <sheetName val="明细"/>
      <sheetName val="Questions"/>
      <sheetName val="4BLOCK"/>
      <sheetName val="DCRR Model"/>
      <sheetName val="Adj Vol Forecast"/>
      <sheetName val="GE Standard"/>
      <sheetName val="Koito Custom-made"/>
      <sheetName val="Koito Export"/>
      <sheetName val="abbreviations"/>
      <sheetName val="Lab"/>
      <sheetName val="BOM-Mumbo"/>
      <sheetName val="BOM-K1000"/>
      <sheetName val="9100-OH"/>
      <sheetName val="9210-20-OH"/>
      <sheetName val="9210-20-PO"/>
      <sheetName val="inv-aging"/>
      <sheetName val="inv-ag20020522"/>
      <sheetName val="inv-ag20020522a"/>
      <sheetName val="inv-ag20020522b"/>
      <sheetName val="9100_PO"/>
      <sheetName val="Application for GM Signature"/>
      <sheetName val="AC 2011 budget break"/>
      <sheetName val="Jan"/>
      <sheetName val="Feb"/>
      <sheetName val="Jan-Mar"/>
      <sheetName val="April"/>
      <sheetName val="May"/>
      <sheetName val="June"/>
      <sheetName val="April-June"/>
      <sheetName val="July"/>
      <sheetName val="August"/>
      <sheetName val="September"/>
      <sheetName val="July-September"/>
      <sheetName val="Summary by Dealer"/>
      <sheetName val="Jan-Oct"/>
      <sheetName val="Calenda2009"/>
      <sheetName val="Calendar2008"/>
      <sheetName val="2009"/>
      <sheetName val="Y2012-040112(75K)"/>
      <sheetName val="expense (format ACC)"/>
      <sheetName val="expense (format factory)"/>
      <sheetName val="wage"/>
      <sheetName val="Organize(111111)"/>
      <sheetName val="HTC price structure(241111)"/>
      <sheetName val="INVEST-ACF -2012"/>
      <sheetName val="2012 (v.1)"/>
      <sheetName val="Di-P"/>
      <sheetName val="损益表导入"/>
      <sheetName val="MFG (2)"/>
      <sheetName val="P&amp;L"/>
      <sheetName val="MFG"/>
      <sheetName val="Manpower ACF"/>
      <sheetName val="Organize(Oct 29'2009) (2)"/>
      <sheetName val="List of name (108)"/>
      <sheetName val="List of name (ACF)"/>
      <sheetName val="List of name (106) (Revise2)"/>
      <sheetName val="AIR(1-4)"/>
      <sheetName val="AIR(5-7)"/>
      <sheetName val="CL (2)"/>
      <sheetName val="Report Summary"/>
      <sheetName val="Sales Report Japanese"/>
      <sheetName val="Sales,Stock detailes "/>
      <sheetName val="income"/>
      <sheetName val="op exp"/>
      <sheetName val="sales"/>
      <sheetName val="purchases"/>
      <sheetName val="gp"/>
      <sheetName val="stock"/>
      <sheetName val="DEALER PROFIT"/>
      <sheetName val="nov ytd"/>
      <sheetName val="nov 04"/>
      <sheetName val="HeadCount"/>
      <sheetName val="⁓heet2"/>
      <sheetName val="TITLE"/>
      <sheetName val="営業月報"/>
      <sheetName val="PSI summary"/>
      <sheetName val="BAL SHEET"/>
      <sheetName val="expenses"/>
      <sheetName val="BORROWINGS"/>
      <sheetName val="heads"/>
      <sheetName val="pl summ"/>
      <sheetName val="sales JAN05"/>
      <sheetName val="gp JAN 05"/>
      <sheetName val="purch JAN 05"/>
      <sheetName val="Stock Aged List"/>
      <sheetName val="SalesStock"/>
      <sheetName val="特記事項"/>
      <sheetName val="gpmth"/>
      <sheetName val="gp ytd"/>
      <sheetName val="Monthly Account Report - GP"/>
      <sheetName val="Monthly Account Report - Purcha"/>
      <sheetName val="Monthly Account Report - Sales"/>
      <sheetName val="CLAIM"/>
      <sheetName val="pldt"/>
      <sheetName val="98C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ctivity"/>
      <sheetName val="SI-DR FOR  APR09"/>
      <sheetName val="POD PERFORMANCE PER TRUCKER"/>
      <sheetName val="cbm per unit"/>
      <sheetName val="JASP Template"/>
      <sheetName val="LIST"/>
      <sheetName val="AISIN"/>
      <sheetName val="AISIN EUROPE"/>
      <sheetName val="ASE TEKNIK"/>
      <sheetName val="AUTO"/>
      <sheetName val="BARIA-VUNGTAU"/>
      <sheetName val="BASIT ASIF &amp; BROTHERS"/>
      <sheetName val="BUS &amp; TRUCK"/>
      <sheetName val="CHAIN FAR"/>
      <sheetName val="CHIYODA"/>
      <sheetName val="CYRIC"/>
      <sheetName val="DOBAC"/>
      <sheetName val="DUNOPIE"/>
      <sheetName val="EBONIS"/>
      <sheetName val="GENERAL AUTOMOBILES"/>
      <sheetName val="GENUINE MOTORS"/>
      <sheetName val="GHAFFAR"/>
      <sheetName val="HAFEEZ"/>
      <sheetName val="IKAE"/>
      <sheetName val="INDAMERICA"/>
      <sheetName val="INTIMEX"/>
      <sheetName val="ITO"/>
      <sheetName val="K.M.MOTORS"/>
      <sheetName val="KTE"/>
      <sheetName val="MECPAC"/>
      <sheetName val="MUNIR"/>
      <sheetName val="NEC"/>
      <sheetName val="NIPPON PILLAR"/>
      <sheetName val="PBR"/>
      <sheetName val="PBR(M)"/>
      <sheetName val="PREMIER"/>
      <sheetName val="PT.INDOPRIMA"/>
      <sheetName val="PT.KONAN"/>
      <sheetName val="SLS"/>
      <sheetName val="TBJ"/>
      <sheetName val="THAI CAPITAL"/>
      <sheetName val="THAI NKK"/>
      <sheetName val="THAI POLY"/>
      <sheetName val="VALFLON"/>
      <sheetName val="NIPPON"/>
      <sheetName val="ZIP INT'L"/>
      <sheetName val="Bal Sht"/>
      <sheetName val="B3_SUAD"/>
      <sheetName val="B10.1_AA24"/>
      <sheetName val="B10.2_AA25"/>
      <sheetName val="B10.2_AA25 (2)"/>
      <sheetName val="B1.3_B"/>
      <sheetName val="B1.4_C"/>
      <sheetName val="B1.5_D"/>
      <sheetName val="B1.6_E"/>
      <sheetName val="B1.7_F"/>
      <sheetName val="B1.7.1_F"/>
      <sheetName val="B1.8_H"/>
      <sheetName val="B1.9_J"/>
      <sheetName val="B1.11_Q"/>
      <sheetName val="B1.11.1_Q"/>
      <sheetName val="B1.12_N"/>
      <sheetName val="B1.13_R"/>
      <sheetName val="B1.10_L"/>
      <sheetName val="B1.10.1_L"/>
      <sheetName val="B1.14_W1"/>
      <sheetName val="B1.15_X"/>
      <sheetName val="B1.15.1_X"/>
      <sheetName val="B1.15.3_X"/>
      <sheetName val="B1.15.4_X"/>
      <sheetName val="B1.15.5_X"/>
      <sheetName val="B1.16_X"/>
      <sheetName val="B1.17"/>
      <sheetName val="Q107 vs Q108 YoY Summary"/>
      <sheetName val="US Summary"/>
      <sheetName val="US Fcst"/>
      <sheetName val="UK &amp; Italy Summary"/>
      <sheetName val="UK Fcst"/>
      <sheetName val="Japan BTS Summary"/>
      <sheetName val="FY08 YTD"/>
      <sheetName val="YoY "/>
      <sheetName val="WoW "/>
      <sheetName val="FY08 Weekly Data"/>
      <sheetName val="Lookup"/>
      <sheetName val="US"/>
      <sheetName val="UK"/>
      <sheetName val="Japan"/>
      <sheetName val="Italy"/>
      <sheetName val="Canada"/>
      <sheetName val="BW Total Sales"/>
      <sheetName val="FY07 P1-P9 Weekly Data"/>
      <sheetName val="FY07 P10-P12 Weekly Data"/>
      <sheetName val="FY06 Wkly"/>
      <sheetName val="US iPod Attach"/>
      <sheetName val="Japan iPod Attach"/>
      <sheetName val="11217000"/>
      <sheetName val="11217010"/>
      <sheetName val="11357000"/>
      <sheetName val="11357001"/>
      <sheetName val="1560"/>
      <sheetName val="1988"/>
      <sheetName val="23107000"/>
      <sheetName val="2340 &amp; 2341"/>
      <sheetName val="2350"/>
      <sheetName val="2430"/>
      <sheetName val="24300016"/>
      <sheetName val="vlookup"/>
      <sheetName val="s"/>
      <sheetName val="0000"/>
      <sheetName val="FG"/>
      <sheetName val="SPARES"/>
      <sheetName val="Description"/>
      <sheetName val="Sample Costing"/>
      <sheetName val="Sept03"/>
      <sheetName val="Product"/>
      <sheetName val="Insurance"/>
      <sheetName val="Tax"/>
      <sheetName val="Schedule 10 Page 1"/>
      <sheetName val="Schedule 10 Page 2 "/>
      <sheetName val="Schedule 10 Page 3"/>
      <sheetName val="Schedule 10 Page 4"/>
      <sheetName val="Schedule 10 Page 5"/>
      <sheetName val="Schedule 10 Page 6 "/>
      <sheetName val="Schedule 10 Page 7"/>
      <sheetName val="Schedule 10 Page 8"/>
      <sheetName val="ATV 12 Def Rev"/>
      <sheetName val="VF48"/>
      <sheetName val="ZF804 (ST LT)"/>
      <sheetName val="GL23150023"/>
      <sheetName val="GL26910000"/>
      <sheetName val="JV"/>
      <sheetName val="BRec P3"/>
      <sheetName val="BRec"/>
      <sheetName val="Matching"/>
      <sheetName val="GL"/>
      <sheetName val="Forecasting"/>
      <sheetName val="SAP_TH_P5"/>
      <sheetName val="Def Rev"/>
      <sheetName val="Def COGS"/>
      <sheetName val="JV Reclass."/>
      <sheetName val="JV Auto rev."/>
      <sheetName val="Total Claims Received"/>
      <sheetName val="Control"/>
      <sheetName val="Reference data"/>
      <sheetName val="Workfile-Do not delete"/>
      <sheetName val="Div 64 CONTROL Sheet"/>
      <sheetName val="20300000_GL"/>
      <sheetName val="20370001_GL"/>
      <sheetName val="64-20390001"/>
      <sheetName val="20400000_GL"/>
      <sheetName val="20467000_GL"/>
      <sheetName val="64-20610000"/>
      <sheetName val="64-20610001"/>
      <sheetName val="20610003_GL"/>
      <sheetName val="64-20620001"/>
      <sheetName val="64-20630001"/>
      <sheetName val="21900000"/>
      <sheetName val="21940000_GL"/>
      <sheetName val="22000000"/>
      <sheetName val="22100000_GL"/>
      <sheetName val="22200000"/>
      <sheetName val="22207002"/>
      <sheetName val="22207003"/>
      <sheetName val="22207004"/>
      <sheetName val="22207005"/>
      <sheetName val="22550000_GL"/>
      <sheetName val="22700000_GL"/>
      <sheetName val="22707002_GL"/>
      <sheetName val="23107000_GL"/>
      <sheetName val="23131000"/>
      <sheetName val="23131001"/>
      <sheetName val="23140000"/>
      <sheetName val="23140002"/>
      <sheetName val="23140004"/>
      <sheetName val="23150006"/>
      <sheetName val="23150010"/>
      <sheetName val="23150023 &amp; 26910000"/>
      <sheetName val="23180001_GL"/>
      <sheetName val="23200062 &amp; 27540062"/>
      <sheetName val="23400000 &amp; 23410000"/>
      <sheetName val="234400xx"/>
      <sheetName val="23450000_GL"/>
      <sheetName val="23500000_GL"/>
      <sheetName val="23600000_GL"/>
      <sheetName val="23650000_GL "/>
      <sheetName val="23750000_GL"/>
      <sheetName val="23850000_GL"/>
      <sheetName val="23900000_GL"/>
      <sheetName val="24300000_GL"/>
      <sheetName val="15427000 and 24807000_GL"/>
      <sheetName val="27010xxx &amp; 27510xxx"/>
      <sheetName val="Sales Summary"/>
      <sheetName val="BSLATEMP"/>
      <sheetName val="BSLA"/>
      <sheetName val="Balances"/>
      <sheetName val="Transactions"/>
      <sheetName val="Cash Management"/>
      <sheetName val="Invoices"/>
      <sheetName val="Invoice Drill"/>
      <sheetName val="Journal Drill"/>
      <sheetName val="Projects"/>
      <sheetName val="ARInvoice"/>
      <sheetName val="Property on hand"/>
      <sheetName val="Property Sold"/>
      <sheetName val="Sec.on Hand"/>
      <sheetName val="Sec.Sold"/>
      <sheetName val="Others"/>
      <sheetName val="Others Sold"/>
      <sheetName val="Lead"/>
      <sheetName val="Links"/>
      <sheetName val="Tickmarks"/>
      <sheetName val="Tax cal_2009"/>
      <sheetName val="TB-JM201"/>
      <sheetName val="Pivot"/>
      <sheetName val="Detailed TB"/>
      <sheetName val="Post YE entries"/>
      <sheetName val="Adj&amp;Rje 2008"/>
      <sheetName val="ADJ2009"/>
      <sheetName val="RJE2009"/>
      <sheetName val="Recon of RE with Stat accs"/>
      <sheetName val="SS1"/>
      <sheetName val="SS2"/>
      <sheetName val="SS3"/>
      <sheetName val="G-1000"/>
      <sheetName val="P-1000"/>
      <sheetName val="Z-1000"/>
      <sheetName val="Z-1100"/>
      <sheetName val="OO-1000"/>
      <sheetName val="RR-1000"/>
      <sheetName val="RR-1100"/>
      <sheetName val="I1-1000"/>
      <sheetName val="L-1000"/>
      <sheetName val="PP-1000"/>
      <sheetName val="PP-1100"/>
      <sheetName val="LL-1000"/>
      <sheetName val="LL-2000"/>
      <sheetName val="YY-1000"/>
      <sheetName val="ZA-1000"/>
      <sheetName val="ZB-1000"/>
      <sheetName val="ZJ-1000"/>
      <sheetName val="ZM-1000"/>
      <sheetName val="ZS-1000"/>
      <sheetName val="ZT-1000"/>
      <sheetName val="Trn_0109 to 1209"/>
      <sheetName val="RJE_RE"/>
      <sheetName val="Excite accruals"/>
      <sheetName val="Adj&amp;Rje 2007"/>
      <sheetName val="Adj&amp;Rje 2006"/>
      <sheetName val="ZJ-1100"/>
      <sheetName val="ZJ-1300"/>
      <sheetName val="Macro1"/>
      <sheetName val="GCF Balances Fast"/>
      <sheetName val="TB-JM299"/>
      <sheetName val="TB-JM201 (2)"/>
      <sheetName val="Withholding tax"/>
      <sheetName val="TB-2005"/>
      <sheetName val="320"/>
      <sheetName val="A-006"/>
      <sheetName val="A-007"/>
      <sheetName val="L-010"/>
      <sheetName val="OO-1200"/>
      <sheetName val="YY-1000 (2)"/>
      <sheetName val="RE"/>
      <sheetName val="A-009"/>
      <sheetName val="A-010"/>
      <sheetName val="L-017"/>
      <sheetName val="L-014-17"/>
      <sheetName val="L-023"/>
      <sheetName val="320099001"/>
      <sheetName val="572002001"/>
      <sheetName val="Foreign WHT"/>
      <sheetName val="eT&amp;L-wk50 (Adjustment)"/>
      <sheetName val="3800"/>
      <sheetName val="J1"/>
      <sheetName val="J2"/>
      <sheetName val="J3 - Nong Pra Lai"/>
      <sheetName val="J4 - Cha Cheng Sao"/>
      <sheetName val="f-1"/>
      <sheetName val="f-2"/>
      <sheetName val="f-3"/>
      <sheetName val="B-2"/>
      <sheetName val="L-3"/>
      <sheetName val="L-4"/>
      <sheetName val="U-5"/>
      <sheetName val="Z-4"/>
      <sheetName val="AA-6 (2)"/>
      <sheetName val="AA-6"/>
      <sheetName val="NN-6"/>
      <sheetName val="BB-7"/>
      <sheetName val="CC-8"/>
      <sheetName val="CC-9"/>
      <sheetName val="DD-10"/>
      <sheetName val="KK"/>
      <sheetName val="MM"/>
      <sheetName val="10"/>
      <sheetName val="70"/>
      <sheetName val="30"/>
      <sheetName val="30-note"/>
      <sheetName val="40"/>
      <sheetName val="90"/>
      <sheetName val="10-test (revise)"/>
      <sheetName val="10-1 Media"/>
      <sheetName val="10-cut"/>
      <sheetName val="10-test"/>
      <sheetName val="manual"/>
      <sheetName val="share cost"/>
      <sheetName val="Raw Material Vender"/>
      <sheetName val="WIP"/>
      <sheetName val="Raw Material ทำเอง"/>
      <sheetName val="Raw Material"/>
      <sheetName val="Packing"/>
      <sheetName val="supply in stock"/>
      <sheetName val="CompanyAtt"/>
      <sheetName val="ZB - 100.1"/>
      <sheetName val="ZB - 100.2"/>
      <sheetName val="ZB - 100.3"/>
      <sheetName val="VAL. SUM."/>
      <sheetName val="CTAS. RLDO. - VERSION FINAL"/>
      <sheetName val="PLAN C4"/>
      <sheetName val="CONTA.CASA"/>
      <sheetName val="CASA-PLAN"/>
      <sheetName val="NORTE2"/>
      <sheetName val="CASA-SUMARIA"/>
      <sheetName val="CASA-PERSONAL"/>
      <sheetName val="CASA-GASTOS GENERALES"/>
      <sheetName val="Pending (2)"/>
      <sheetName val="จำนวนคนไข้"/>
      <sheetName val="อัตราดอกเบี้ย"/>
      <sheetName val="T300 if add back dep"/>
      <sheetName val="T300"/>
      <sheetName val="T300-4"/>
      <sheetName val="P300"/>
      <sheetName val="X300"/>
      <sheetName val="X300-1"/>
      <sheetName val="Q300"/>
      <sheetName val="Q300-1"/>
      <sheetName val="Q400"/>
      <sheetName val="Q400-1"/>
      <sheetName val="M300"/>
      <sheetName val="L400"/>
      <sheetName val="L400-2"/>
      <sheetName val="L400-3"/>
      <sheetName val="L400-4"/>
      <sheetName val="AR90-270 (P'Tam)"/>
      <sheetName val="L300"/>
      <sheetName val="L300-1"/>
      <sheetName val="L300-2"/>
      <sheetName val="KK2006"/>
      <sheetName val="R300"/>
      <sheetName val="R300-1"/>
      <sheetName val="CC-2(R302)"/>
      <sheetName val="confirm"/>
      <sheetName val="RBS"/>
      <sheetName val="Udorn"/>
      <sheetName val="Hadyai"/>
      <sheetName val="Chaing"/>
      <sheetName val="Ubon"/>
      <sheetName val="Rat"/>
      <sheetName val="Chan"/>
      <sheetName val="group"/>
      <sheetName val="com"/>
      <sheetName val="Bank"/>
      <sheetName val="LIA"/>
      <sheetName val="ASS"/>
      <sheetName val="INC"/>
      <sheetName val="ADJ."/>
      <sheetName val="ADJ-VAR"/>
      <sheetName val="hedging"/>
      <sheetName val="Rate B,G"/>
      <sheetName val="defer"/>
      <sheetName val="คชจ-อบรม"/>
      <sheetName val="aff"/>
      <sheetName val="adj"/>
      <sheetName val="ASS."/>
      <sheetName val="LIA."/>
      <sheetName val="VAR"/>
      <sheetName val="retire42"/>
      <sheetName val="prop"/>
      <sheetName val="120511 AGT"/>
      <sheetName val="งบกระแสเงินสด"/>
      <sheetName val="detail44 (2)"/>
      <sheetName val="inc(dec)"/>
      <sheetName val="ques."/>
      <sheetName val="F_note"/>
      <sheetName val="A"/>
      <sheetName val="B"/>
      <sheetName val="B-1"/>
      <sheetName val="C"/>
      <sheetName val="C-3"/>
      <sheetName val="C-5"/>
      <sheetName val="L"/>
      <sheetName val="M"/>
      <sheetName val="M-1"/>
      <sheetName val="N"/>
      <sheetName val="U"/>
      <sheetName val="AA"/>
      <sheetName val="AA-FWD"/>
      <sheetName val="BB"/>
      <sheetName val="BB-1"/>
      <sheetName val="CC"/>
      <sheetName val="CC_1"/>
      <sheetName val="CC-1"/>
      <sheetName val="CC_2"/>
      <sheetName val="EE"/>
      <sheetName val="20"/>
      <sheetName val="issue"/>
      <sheetName val="purchase"/>
      <sheetName val="cut-off"/>
      <sheetName val="30-1"/>
      <sheetName val="30-2"/>
      <sheetName val="30-2 (2)"/>
      <sheetName val="C-Feedmill"/>
      <sheetName val="C-Chilled"/>
      <sheetName val="movement doc-Chill"/>
      <sheetName val="Top-ไก่พันธุ์"/>
      <sheetName val="compute-ไก่พันธุ์"/>
      <sheetName val="top-ไก่เนื้อ"/>
      <sheetName val="เล้าที่ 20"/>
      <sheetName val="เล้าที่ 21"/>
      <sheetName val="ลูกหนี้(เก่า)"/>
      <sheetName val="FA Consol"/>
      <sheetName val="Doc (2)"/>
      <sheetName val="Point (3)"/>
      <sheetName val="Point (2)"/>
      <sheetName val="Doc"/>
      <sheetName val="Point"/>
      <sheetName val="RJE&amp;AJE"/>
      <sheetName val="E1-1"/>
      <sheetName val="E1-2"/>
      <sheetName val="E1-3"/>
      <sheetName val="K"/>
      <sheetName val="M Note"/>
      <sheetName val="V"/>
      <sheetName val="V EXC"/>
      <sheetName val="V Confirm"/>
      <sheetName val="X (2)"/>
      <sheetName val="X EXC"/>
      <sheetName val="X Confirm"/>
      <sheetName val="P"/>
      <sheetName val="X"/>
      <sheetName val="ZA (2)"/>
      <sheetName val="ZC (2)"/>
      <sheetName val="ZB"/>
      <sheetName val="ZB TM"/>
      <sheetName val="ZD"/>
      <sheetName val="ZD tickmark"/>
      <sheetName val="NFS-ZD"/>
      <sheetName val="OH (2)"/>
      <sheetName val="OH TM"/>
      <sheetName val="NFS-ZD (2)"/>
      <sheetName val="E1-1 (2)"/>
      <sheetName val="E1-2 (2)"/>
      <sheetName val="E1-3 (2)"/>
      <sheetName val="E1-3 8 month"/>
      <sheetName val="Cutoff pur"/>
      <sheetName val="Reconcile"/>
      <sheetName val="Test payroll"/>
      <sheetName val="Test payroll-Note"/>
      <sheetName val="Test-Shizuma"/>
      <sheetName val="Test-Yuji"/>
      <sheetName val="Test-Sumalee"/>
      <sheetName val="Test-Parinya"/>
      <sheetName val="BL Jul'04"/>
      <sheetName val="Unpresent Chq CTB"/>
      <sheetName val="103080"/>
      <sheetName val="103000"/>
      <sheetName val="103030"/>
      <sheetName val="103060"/>
      <sheetName val="103100"/>
      <sheetName val="106000"/>
      <sheetName val="Intercom"/>
      <sheetName val="120000"/>
      <sheetName val="121500 Jun'04"/>
      <sheetName val="130100"/>
      <sheetName val="130300"/>
      <sheetName val="130500"/>
      <sheetName val="130510"/>
      <sheetName val="Cement rebate"/>
      <sheetName val="Additive rebate Jul'04"/>
      <sheetName val="130521"/>
      <sheetName val="130530"/>
      <sheetName val="140023"/>
      <sheetName val="140753"/>
      <sheetName val="140801"/>
      <sheetName val="152000"/>
      <sheetName val="170100"/>
      <sheetName val="170200"/>
      <sheetName val="170800"/>
      <sheetName val="171200"/>
      <sheetName val="171210"/>
      <sheetName val="200100"/>
      <sheetName val="200200"/>
      <sheetName val="200500"/>
      <sheetName val="201900"/>
      <sheetName val="202200"/>
      <sheetName val="203300"/>
      <sheetName val="300100-320000"/>
      <sheetName val="400000"/>
      <sheetName val="430300"/>
      <sheetName val="430600"/>
      <sheetName val="Detail Po log"/>
      <sheetName val="471100"/>
      <sheetName val="471110"/>
      <sheetName val="471200"/>
      <sheetName val="Test cost dome "/>
      <sheetName val="Test cost oversea"/>
      <sheetName val="TM_test oversea"/>
      <sheetName val="TM_test dome"/>
      <sheetName val="N (2)"/>
      <sheetName val="ทะเบียน"/>
      <sheetName val="รายชื่อ"/>
      <sheetName val="bonus"/>
      <sheetName val="Jan'07"/>
      <sheetName val="Feb'07"/>
      <sheetName val="Mar'07 "/>
      <sheetName val="Apr'07"/>
      <sheetName val="May'07"/>
      <sheetName val="Jun'07"/>
      <sheetName val="Jul'07"/>
      <sheetName val="Aug'07 "/>
      <sheetName val="Sep'07 "/>
      <sheetName val="Sec"/>
      <sheetName val="S20 (3)"/>
      <sheetName val="movement"/>
      <sheetName val="movement (2)"/>
      <sheetName val="Fully"/>
      <sheetName val="FG(B)"/>
      <sheetName val="RM"/>
      <sheetName val="part-local"/>
      <sheetName val="LOCAL(B)"/>
      <sheetName val="part-import"/>
      <sheetName val="Trial Balance Sep'05"/>
      <sheetName val="Department"/>
      <sheetName val="Flowchart"/>
      <sheetName val="SU-origin"/>
      <sheetName val="U-note-1"/>
      <sheetName val="note to U"/>
      <sheetName val="U-Note-predict-benz"/>
      <sheetName val="Depreciation-ann P"/>
      <sheetName val="Drepreciation-ori"/>
      <sheetName val="U-Note-detail"/>
      <sheetName val="U-Note"/>
      <sheetName val="U-Note (2)"/>
      <sheetName val="PGM_TOTAL"/>
      <sheetName val="PGM_CARTON"/>
      <sheetName val="CARTON_BT"/>
      <sheetName val="LINK"/>
      <sheetName val="PGM_SB"/>
      <sheetName val="SB_BT"/>
      <sheetName val="PGM_HI"/>
      <sheetName val="HI_BT"/>
      <sheetName val="BALANCE"/>
      <sheetName val="FCF"/>
      <sheetName val="GIVTR00P"/>
      <sheetName val="IntDec00TespM&amp;B"/>
      <sheetName val="Age311299TESP"/>
      <sheetName val="P4DDBFTESP"/>
      <sheetName val="DEP12"/>
      <sheetName val="DEP99"/>
      <sheetName val="AGING-BO Mar-06"/>
      <sheetName val="AGING"/>
      <sheetName val="AGING1"/>
      <sheetName val="fomat"/>
      <sheetName val="FG import-NOT USE"/>
      <sheetName val="surell"/>
      <sheetName val="Customer"/>
      <sheetName val="X303"/>
      <sheetName val="group-expense"/>
      <sheetName val="DEPSYS47"/>
      <sheetName val="Dec15"/>
      <sheetName val="DEC31"/>
      <sheetName val="M03"/>
      <sheetName val="M01"/>
      <sheetName val="個別(FS-311）"/>
      <sheetName val="科目（FS-311）"/>
      <sheetName val="F_OH"/>
      <sheetName val="เงินกู้ธนชาติ"/>
      <sheetName val="CST1198"/>
      <sheetName val="aa piping"/>
      <sheetName val="px civil"/>
      <sheetName val="CIVIL UP"/>
      <sheetName val="SEA"/>
      <sheetName val="ALL-CPW"/>
      <sheetName val="เครื่องมือ"/>
      <sheetName val="OfficeMC-Master"/>
      <sheetName val="OfficeMC-Adj"/>
      <sheetName val="Date"/>
      <sheetName val="PL-D1"/>
      <sheetName val="PBK"/>
      <sheetName val="入り数計算"/>
      <sheetName val="成形プレスリスト"/>
      <sheetName val="管理率リスト"/>
      <sheetName val="材料リスト"/>
      <sheetName val="MATERIAL"/>
      <sheetName val="油リスト"/>
      <sheetName val="パックリスト"/>
      <sheetName val="送り先リスト"/>
      <sheetName val="焼結単価リスト"/>
      <sheetName val="加工リスト"/>
      <sheetName val="ＳＩＮＴＥＲ"/>
      <sheetName val="プレス計算"/>
      <sheetName val="งบกำไรฯ_48(1)"/>
      <sheetName val="TMS2000"/>
      <sheetName val="DealerData"/>
      <sheetName val="CustomerData"/>
      <sheetName val="comm_FCD"/>
      <sheetName val="Com_Paid_FCD"/>
      <sheetName val="comm_THB"/>
      <sheetName val="Comm_Paid_THB"/>
      <sheetName val="comm_EUR"/>
      <sheetName val="Tickmark"/>
      <sheetName val="note"/>
      <sheetName val="RY1"/>
      <sheetName val="RY2"/>
      <sheetName val="RY3"/>
      <sheetName val="BP1"/>
      <sheetName val="BP2"/>
      <sheetName val="BP"/>
      <sheetName val="Work-in-Process"/>
      <sheetName val="Work-in-Process (2)"/>
      <sheetName val="FG-1"/>
      <sheetName val="FG-2"/>
      <sheetName val="frptolocal"/>
      <sheetName val="RJE"/>
      <sheetName val="detailadjust"/>
      <sheetName val="Disposed"/>
      <sheetName val="CPO"/>
      <sheetName val="Curren FA Local"/>
      <sheetName val="U-1"/>
      <sheetName val="S33"/>
      <sheetName val="S33 (3 months)"/>
      <sheetName val="S33 (3 months)-note"/>
      <sheetName val="S33 (6 months)"/>
      <sheetName val="S33 (6 months)-note"/>
      <sheetName val="34-note-mar"/>
      <sheetName val="macro"/>
      <sheetName val="front"/>
      <sheetName val="Input"/>
      <sheetName val="Input_forecast"/>
      <sheetName val="Input_BS Spec"/>
      <sheetName val="Analysis"/>
      <sheetName val="Narrative"/>
      <sheetName val="M0"/>
      <sheetName val="M2"/>
      <sheetName val="Overview M2"/>
      <sheetName val="Overview forecast"/>
      <sheetName val="M3"/>
      <sheetName val="M4"/>
      <sheetName val="M5"/>
      <sheetName val="M6"/>
      <sheetName val="M7"/>
      <sheetName val="M8"/>
      <sheetName val="M8_2"/>
      <sheetName val="M21"/>
      <sheetName val="Overview M21"/>
      <sheetName val="M9"/>
      <sheetName val="Overview M9"/>
      <sheetName val="M17"/>
      <sheetName val="Overview M17"/>
      <sheetName val="M18"/>
      <sheetName val="noa"/>
      <sheetName val="CF_A"/>
      <sheetName val="CF_B"/>
      <sheetName val="CF_P"/>
      <sheetName val="Overview M18"/>
      <sheetName val="M19"/>
      <sheetName val="M14"/>
      <sheetName val="M15"/>
      <sheetName val="STD"/>
      <sheetName val="C (4)"/>
      <sheetName val="Direct Mat 1"/>
      <sheetName val="fac S"/>
      <sheetName val="fAC S2"/>
      <sheetName val="FAC S 4"/>
      <sheetName val="faC S 5"/>
      <sheetName val="Packing 2"/>
      <sheetName val="FG1"/>
      <sheetName val="C (2)"/>
      <sheetName val="C (3)"/>
      <sheetName val="Co info"/>
      <sheetName val="TBCS-PL"/>
      <sheetName val="TBCS-BS"/>
      <sheetName val="Adjustments"/>
      <sheetName val="Reclassifications"/>
      <sheetName val="TBS"/>
      <sheetName val="TPL"/>
      <sheetName val="TRecon"/>
      <sheetName val="DPLA"/>
      <sheetName val="B1"/>
      <sheetName val="B1-1"/>
      <sheetName val="B1-2"/>
      <sheetName val="B2"/>
      <sheetName val="C1"/>
      <sheetName val="C1-1"/>
      <sheetName val="C2"/>
      <sheetName val="C4"/>
      <sheetName val="Eprog"/>
      <sheetName val="E1"/>
      <sheetName val="E2"/>
      <sheetName val="F1"/>
      <sheetName val="F1-1"/>
      <sheetName val="F2"/>
      <sheetName val="G1"/>
      <sheetName val="G1-1"/>
      <sheetName val="G2"/>
      <sheetName val="G3"/>
      <sheetName val="G4"/>
      <sheetName val="H1"/>
      <sheetName val="H1-1"/>
      <sheetName val="LI"/>
      <sheetName val="L1-1"/>
      <sheetName val="M1"/>
      <sheetName val="M1-1"/>
      <sheetName val="N1"/>
      <sheetName val="P4"/>
      <sheetName val="TASintDec00"/>
      <sheetName val="Age311299TAS"/>
      <sheetName val="P4DDBFTAS"/>
      <sheetName val="CJEs"/>
      <sheetName val="CRJE"/>
      <sheetName val="Summary of Adj"/>
      <sheetName val="FAMsia BS"/>
      <sheetName val="Msia PL"/>
      <sheetName val="FAWuxi BS"/>
      <sheetName val="FAMW PL"/>
      <sheetName val="FAMW BS"/>
      <sheetName val="Forex"/>
      <sheetName val="CONSOL MPL"/>
      <sheetName val="FAS MPL"/>
      <sheetName val="FAM MPL"/>
      <sheetName val="FAMW MPL"/>
      <sheetName val="371-Crate deposit"/>
      <sheetName val="371-contract deposit"/>
      <sheetName val="ตัวเช็ค"/>
      <sheetName val="G แบบอย่าง"/>
      <sheetName val="step"/>
      <sheetName val="Sheet1 (2)"/>
      <sheetName val="G"/>
      <sheetName val="G-1"/>
      <sheetName val="G-2"/>
      <sheetName val="vou"/>
      <sheetName val="dep"/>
      <sheetName val="สรุปรวม"/>
      <sheetName val="INFO"/>
      <sheetName val="WIP(PS)"/>
      <sheetName val="Other"/>
      <sheetName val="Pro-Shaft1"/>
      <sheetName val="Pro-Shaft2 "/>
      <sheetName val="BS1198"/>
      <sheetName val="AT1_1198"/>
      <sheetName val="AT2_1198"/>
      <sheetName val="AT3_1198"/>
      <sheetName val="PLX1198"/>
      <sheetName val="PL1198"/>
      <sheetName val="Q310"/>
      <sheetName val="Q311"/>
      <sheetName val="Q312"/>
      <sheetName val="Q313"/>
      <sheetName val="Q314"/>
      <sheetName val="Q320"/>
      <sheetName val="Payment Schedule1"/>
      <sheetName val="Payment Schedule2"/>
      <sheetName val="Payment Schedule3"/>
      <sheetName val="Payment Schedule4"/>
      <sheetName val="R 301"/>
      <sheetName val="R 302"/>
      <sheetName val="R 303"/>
      <sheetName val="FS-1"/>
      <sheetName val="V-300"/>
      <sheetName val="K300"/>
      <sheetName val="rev"/>
      <sheetName val="fwd"/>
      <sheetName val="jbic"/>
      <sheetName val="unreal"/>
      <sheetName val="loan"/>
      <sheetName val="Part O(A1-D1)"/>
      <sheetName val="ACCODE"/>
      <sheetName val="ต้นฉบับเงินสดจ่าย"/>
      <sheetName val="ต้นฉบับคืนเงินยืม"/>
      <sheetName val="ต้นฉบับเงินสดรับ"/>
      <sheetName val="ต้นฉบับรายวันขาย"/>
      <sheetName val="ต้นฉบับรายวัน"/>
      <sheetName val="กระดาษทำการ"/>
      <sheetName val="KPMG"/>
      <sheetName val="ประมาณ"/>
      <sheetName val="Point  (2)"/>
      <sheetName val="30(U) (2)"/>
      <sheetName val="KK (2)"/>
      <sheetName val="cut-sales(local) (2)"/>
      <sheetName val="cut-sale(expt) (2)"/>
      <sheetName val="Analytical"/>
      <sheetName val="L310"/>
      <sheetName val="L311 AR ratio"/>
      <sheetName val="L312 Allowance"/>
      <sheetName val="retire45"/>
      <sheetName val="U-(fixed asset)"/>
      <sheetName val="G300"/>
      <sheetName val="G310"/>
      <sheetName val="Additional"/>
      <sheetName val="Transfer"/>
      <sheetName val="G400"/>
      <sheetName val="Build"/>
      <sheetName val="Equipment"/>
      <sheetName val="Tools"/>
      <sheetName val="Machine"/>
      <sheetName val="Vehicle"/>
      <sheetName val="Furniture"/>
      <sheetName val="Tetephone"/>
      <sheetName val="Software"/>
      <sheetName val="Asset Verification"/>
      <sheetName val="Additions"/>
      <sheetName val="อาคาร"/>
      <sheetName val="เครื่องจักร"/>
      <sheetName val="เครื่องตกแต่ง"/>
      <sheetName val="predict"/>
      <sheetName val="รวมสินทรัพย์"/>
      <sheetName val="ยานพาหนะ"/>
      <sheetName val="depre ยาน"/>
      <sheetName val="รวม"/>
      <sheetName val="BB (2)"/>
      <sheetName val="BB-1 (2)"/>
      <sheetName val="BB-2 (2)"/>
      <sheetName val="Related"/>
      <sheetName val="งบBS"/>
      <sheetName val="งบPL"/>
      <sheetName val="งบADM"/>
      <sheetName val="ส่วนของผู้ถือ"/>
      <sheetName val="งบดุลARAP"/>
      <sheetName val="งบดุลARAP(oth)"/>
      <sheetName val="งบดุล_CACL"/>
      <sheetName val="AgingAR"/>
      <sheetName val="AgingAP"/>
      <sheetName val="งบกำไรฯ_48 (M1)"/>
      <sheetName val="งบกำไรฯ_48 (M2)"/>
      <sheetName val="งบกำไรฯ_48(M3)"/>
      <sheetName val="งบกำไรฯ_48(2)"/>
      <sheetName val="งบกำไรฯ_48(3)"/>
      <sheetName val="สินค้า-สุรา48(1)"/>
      <sheetName val="สินค้า-เบียร์48(2)"/>
      <sheetName val="สินค้า-อื่นๆ48(3)"/>
      <sheetName val="ทั่วไป"/>
      <sheetName val="นโยบาย"/>
      <sheetName val="1.Board"/>
      <sheetName val="2.%share"/>
      <sheetName val="2.1 EBITDA"/>
      <sheetName val="3.เงินสดและรายการเทียบเท่าเงินส"/>
      <sheetName val="3.1.เงินฝากธ.ติดภาระผูกพัน"/>
      <sheetName val="3.2 ตั๋วสัญญาฯติดภาระผูกพัน"/>
      <sheetName val="4.AR-trade"/>
      <sheetName val="5.AR-trade-related"/>
      <sheetName val="5.1OPEN AR"/>
      <sheetName val="6.AR-other-related"/>
      <sheetName val="7.สินค้าคงเหลือและพัสดุคงเหลือ"/>
      <sheetName val="8.สินทรัพย์หมุนเวียนอื่น"/>
      <sheetName val="9.เงินลงทุน-ยาว"/>
      <sheetName val="10.PPE-S-Tเปลี่ยนทันที"/>
      <sheetName val="10.1PPE-S-T เปลี่ยนตั้งแต่ต้น"/>
      <sheetName val="11.สินทรัพย์ไม่มีตัวตนเปลี่ยนทั"/>
      <sheetName val="11.1สินทรัพย์ไม่มีตัวตน S-T(ตั้"/>
      <sheetName val="12.สินทรัพย์ไม่หมุนเวียนอื่น"/>
      <sheetName val="13.1 AP-trade-related"/>
      <sheetName val="OPEN AP"/>
      <sheetName val="13.2 AP-trade-บริษัทอื่น"/>
      <sheetName val="13.3AP-related"/>
      <sheetName val="14.หนี้สินหมุนเวียนอื่น"/>
      <sheetName val="15.1 เงินกู้ระยะยาว"/>
      <sheetName val="15.2mm เงินกู้"/>
      <sheetName val="15.3กำหนดชำระเงินกู้"/>
      <sheetName val="16.หนี้สินไม่หมุนเวียนอื่น"/>
      <sheetName val="17 Commitment"/>
      <sheetName val="18.กำไรจากการดำเนินงาน"/>
      <sheetName val="19รายได้จากการขาย"/>
      <sheetName val="19.1 รายได้อื่น"/>
      <sheetName val="20.ดอกเบี้ยรับ-จ่าย"/>
      <sheetName val="21.Fx"/>
      <sheetName val="22.รายการในCF"/>
      <sheetName val="23.employee ค่าตอบแทนกรรมการ"/>
      <sheetName val="24.forward "/>
      <sheetName val="25.BOI"/>
      <sheetName val="26.ภาษีเงินได้รอตัด"/>
      <sheetName val="27.ภาษีในงบ PL"/>
      <sheetName val="28.รายละเอียดภาษีรอตัด"/>
      <sheetName val="29.Purchase fr.PTT(crude+FT+NG)"/>
      <sheetName val="29.Purchase fr.PTT(crude+FT+NG"/>
      <sheetName val="29.Purchase fr.PTT crude+FT+NG"/>
      <sheetName val="29.1 Nat gas, demurrage,oth"/>
      <sheetName val="30.Purchase-related"/>
      <sheetName val="31.Sale to PTT"/>
      <sheetName val="32.Sale - related"/>
      <sheetName val="33.other expense - PTT"/>
      <sheetName val="34.other expense-related"/>
      <sheetName val="Realized-Un"/>
      <sheetName val="W-T"/>
      <sheetName val="35.Margin (12)"/>
      <sheetName val="35.Margin (11)"/>
      <sheetName val="35.Margin (10)"/>
      <sheetName val="RRC"/>
      <sheetName val="งบPOS'ช้าง"/>
      <sheetName val="MA"/>
      <sheetName val="OUTSOURCE"/>
      <sheetName val="L - 120"/>
      <sheetName val="L - 121"/>
      <sheetName val="U_Rec(GL-PND1)"/>
      <sheetName val="U_Rec_note1"/>
      <sheetName val="U_WT_Thai)"/>
      <sheetName val="U_WT_Jap"/>
      <sheetName val="U_Test_Exist"/>
      <sheetName val="U_Exist_Note"/>
      <sheetName val="ZD312(Test resign)"/>
      <sheetName val="ZD313(resign note)"/>
      <sheetName val="RM-ID"/>
      <sheetName val="RM-Clock"/>
      <sheetName val="FG-Clock"/>
      <sheetName val="FG-Shutter"/>
      <sheetName val="FG-Time too"/>
      <sheetName val="FG-ID"/>
      <sheetName val="WIP-Clock"/>
      <sheetName val="WIP-Shutter"/>
      <sheetName val="RM-Shutter"/>
      <sheetName val="RM-Time"/>
      <sheetName val="WIP-ID"/>
      <sheetName val="Physical variance"/>
      <sheetName val="Note 3"/>
      <sheetName val="Note 4"/>
      <sheetName val="Note 5"/>
      <sheetName val="Note 7"/>
      <sheetName val="Note 8"/>
      <sheetName val="Note 11"/>
      <sheetName val="Note 13"/>
      <sheetName val="Note 18 PL"/>
      <sheetName val="Note 18 Y'04"/>
      <sheetName val="Note 18 BS"/>
      <sheetName val="int.-cash"/>
      <sheetName val="LOAN04"/>
      <sheetName val="FX-AR-AP"/>
      <sheetName val="FX-AR-AP 2004"/>
      <sheetName val="Note 6"/>
      <sheetName val="Note 9"/>
      <sheetName val="Note 16 PL"/>
      <sheetName val="Note 16 Y'04"/>
      <sheetName val="Note 16 BS"/>
      <sheetName val="LOAN05"/>
      <sheetName val="FX-AR-AP2005"/>
      <sheetName val="NAME"/>
      <sheetName val="期首ﾃﾞｰﾀ"/>
      <sheetName val="前期ﾃﾞｰﾀBS用"/>
      <sheetName val="前年同期ﾃﾞｰﾀPL用"/>
      <sheetName val="前年同期ﾃﾞｰﾀSGA用"/>
      <sheetName val="前年同期ﾃﾞｰﾀCOST用"/>
      <sheetName val="member list"/>
      <sheetName val="BASIC"/>
      <sheetName val="The checking sheet"/>
      <sheetName val="No.001-002"/>
      <sheetName val="No.003"/>
      <sheetName val="No.004"/>
      <sheetName val="No.005"/>
      <sheetName val="No.006"/>
      <sheetName val="No.007"/>
      <sheetName val="No.010"/>
      <sheetName val="No.015"/>
      <sheetName val="No.020"/>
      <sheetName val="No.021"/>
      <sheetName val="No.023"/>
      <sheetName val="No.027"/>
      <sheetName val="No.028"/>
      <sheetName val="No.029"/>
      <sheetName val="No.031"/>
      <sheetName val="No.040"/>
      <sheetName val="No.041"/>
      <sheetName val="No.042"/>
      <sheetName val="No.43"/>
      <sheetName val="No.050"/>
      <sheetName val="No.051"/>
      <sheetName val="No.056"/>
      <sheetName val="No.060"/>
      <sheetName val="No.061"/>
      <sheetName val="No.065"/>
      <sheetName val="No.070"/>
      <sheetName val="No.071"/>
      <sheetName val="No.072"/>
      <sheetName val="No.075"/>
      <sheetName val="No.078"/>
      <sheetName val="No.080"/>
      <sheetName val="No.090"/>
      <sheetName val="No.092"/>
      <sheetName val="No.093"/>
      <sheetName val="No.094"/>
      <sheetName val="No.099"/>
      <sheetName val="No.100"/>
      <sheetName val="No.105"/>
      <sheetName val="No.100-(1)"/>
      <sheetName val="No.100-(2)"/>
      <sheetName val="No.144"/>
      <sheetName val="No.145"/>
      <sheetName val="No.146"/>
      <sheetName val="No.147"/>
      <sheetName val="No.150-151"/>
      <sheetName val="No.152"/>
      <sheetName val="No.153"/>
      <sheetName val="No.154"/>
      <sheetName val="Z"/>
      <sheetName val="10.1"/>
      <sheetName val="10.2"/>
      <sheetName val="10.3"/>
      <sheetName val="10.4"/>
      <sheetName val="10.5"/>
      <sheetName val="10.5.1"/>
      <sheetName val="10-TICK"/>
      <sheetName val="MA-CC"/>
      <sheetName val="OUTSOURCE-CC"/>
      <sheetName val="L to 20"/>
      <sheetName val="sale-narrative"/>
      <sheetName val="INFOTECH1"/>
      <sheetName val="INFOTECH2"/>
      <sheetName val="WT IFT1"/>
      <sheetName val="WT IFT2"/>
      <sheetName val="WT IFT3"/>
      <sheetName val="Salaries (by month)"/>
      <sheetName val="Budget-Bal"/>
      <sheetName val="Budget-Profit"/>
      <sheetName val="RATIO"/>
      <sheetName val="DUPONT"/>
      <sheetName val=" F-1"/>
      <sheetName val=" F-2"/>
      <sheetName val=" F-3"/>
      <sheetName val="F-1-note"/>
      <sheetName val="F-2-note"/>
      <sheetName val="LINE"/>
      <sheetName val="Work'n Process"/>
      <sheetName val="ISO"/>
      <sheetName val="Master Data"/>
      <sheetName val="Signature Block"/>
      <sheetName val="sheet 1"/>
      <sheetName val="综合成本分析01.01-0205"/>
      <sheetName val="8月"/>
      <sheetName val="9月"/>
      <sheetName val="10月"/>
      <sheetName val="蓄水明细"/>
      <sheetName val="10月 (2)"/>
      <sheetName val="数据有效性说明"/>
      <sheetName val="③节前到位"/>
      <sheetName val="RecoveredExternalLink1"/>
      <sheetName val="201912系数"/>
      <sheetName val="Recap"/>
      <sheetName val="항공"/>
      <sheetName val="해상"/>
      <sheetName val="미국현지비용"/>
      <sheetName val="Ref3"/>
      <sheetName val="Ref4"/>
      <sheetName val="DBFROM"/>
      <sheetName val="Quantum PO Std"/>
      <sheetName val="Leap PO Std."/>
      <sheetName val="GE 2001"/>
      <sheetName val="HTP 2001"/>
      <sheetName val="2019年发生未支付"/>
      <sheetName val="请勿删除"/>
      <sheetName val="FY02"/>
      <sheetName val="基础数据"/>
      <sheetName val="spp"/>
      <sheetName val="1.1-产品结构"/>
      <sheetName val="数据输入"/>
      <sheetName val="行动计划"/>
      <sheetName val="量具重复性和再现性数据收集表"/>
      <sheetName val="量具重复性和再现性报告"/>
      <sheetName val="BaaN FW47"/>
      <sheetName val="Sep BaaN"/>
      <sheetName val="Optimize"/>
      <sheetName val="评价矩阵"/>
      <sheetName val="po list"/>
      <sheetName val="costos fw 52"/>
      <sheetName val="目标体系横轴矩阵"/>
      <sheetName val="表2-角色汇总（自动生成）"/>
      <sheetName val="聘用明细信息模板1207（波轮）"/>
      <sheetName val="Kautex 4WD St.IV P&amp;D"/>
      <sheetName val="Sachs FL WHL"/>
      <sheetName val="#ofclose .xl"/>
      <sheetName val="原始数据"/>
      <sheetName val="NEW003"/>
      <sheetName val="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SPals"/>
      <sheetName val="분리멀티형"/>
      <sheetName val="Instructions"/>
      <sheetName val="Index"/>
      <sheetName val="10. Thermal Limiter Test"/>
      <sheetName val="Restate"/>
      <sheetName val="Summary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PPS-SUN-005"/>
      <sheetName val="Histogram"/>
      <sheetName val="Grafvta00 (2)"/>
      <sheetName val="XL4Poppy"/>
      <sheetName val="Pull HP Wide"/>
      <sheetName val="Pull All SFs"/>
      <sheetName val="LRR Summary"/>
      <sheetName val="UPPER BLOCK"/>
      <sheetName val="假设"/>
      <sheetName val="HDa16"/>
      <sheetName val="01_宏命令库"/>
      <sheetName val="Original"/>
      <sheetName val="Quantum PO Std"/>
      <sheetName val="Leap PO Std."/>
      <sheetName val="PLALL2"/>
      <sheetName val="FY03CostStructure"/>
      <sheetName val="Oct FW42 BaaN for G-Line"/>
      <sheetName val="po list"/>
      <sheetName val="Sheet2"/>
      <sheetName val="目标体系横轴矩阵"/>
      <sheetName val="PLALL"/>
      <sheetName val="Sales Units (3)"/>
      <sheetName val="Sheet1"/>
      <sheetName val="Foams"/>
      <sheetName val="Refrigerants"/>
      <sheetName val="Summary Data"/>
      <sheetName val="GE 2001"/>
      <sheetName val="HTP 2001"/>
      <sheetName val="Kautex 4WD St.IV P&amp;D"/>
      <sheetName val="Sachs FL WHL"/>
      <sheetName val="数据输入"/>
      <sheetName val="行动计划"/>
      <sheetName val="审核总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X BAR-R"/>
      <sheetName val="ATTRIBUTE"/>
      <sheetName val="Histogram"/>
      <sheetName val="Summary"/>
      <sheetName val="Planet_Ame"/>
      <sheetName val="Planet_AP"/>
      <sheetName val="Planet_EMEA"/>
      <sheetName val="Planet_OG"/>
      <sheetName val="Planet_WW"/>
      <sheetName val="MC3(main)"/>
      <sheetName val="MC1"/>
      <sheetName val="FP"/>
      <sheetName val="Time Dimension Lookup"/>
      <sheetName val="Spec"/>
      <sheetName val="LOV"/>
      <sheetName val="公司"/>
      <sheetName val="工厂"/>
      <sheetName val="经营体"/>
      <sheetName val="供应商"/>
      <sheetName val="CONTROL CHART"/>
      <sheetName val="LRR Summary"/>
      <sheetName val="Foams"/>
      <sheetName val="Refrigerants"/>
      <sheetName val="AmeSum"/>
      <sheetName val="目标体系横轴矩阵"/>
      <sheetName val="GE 2001"/>
      <sheetName val="HTP 2001"/>
      <sheetName val="분리멀티형"/>
      <sheetName val="Sales Units (3)"/>
      <sheetName val="PO File 2002"/>
      <sheetName val="PO File 2002 Final"/>
      <sheetName val="Quantum Stds 12-4-01"/>
      <sheetName val="Raw materials"/>
      <sheetName val="SUM14ZC1"/>
      <sheetName val="FY03CostStructure"/>
      <sheetName val="Safety _ P_A"/>
      <sheetName val="Oct FW42 BaaN for G-Line"/>
      <sheetName val="po list"/>
      <sheetName val="Original"/>
      <sheetName val="FCG"/>
      <sheetName val="23年到周-型号"/>
      <sheetName val="k-line"/>
      <sheetName val="UPPER BLOCK"/>
      <sheetName val="Grid"/>
      <sheetName val="Grafvta00 (2)"/>
      <sheetName val="EPR &amp; LRR"/>
      <sheetName val="ＴＦ関連Ｐｒｊ日程表"/>
      <sheetName val="01_宏命令库"/>
      <sheetName val="审核总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ＴＦ関連Ｐｒｊ日程表"/>
      <sheetName val="集計条件"/>
      <sheetName val="DOM-競合車SPEC"/>
      <sheetName val="Spec"/>
      <sheetName val="24204"/>
      <sheetName val="96期(川崎)"/>
      <sheetName val="ENG油洩れ"/>
      <sheetName val="ｅｘｃｅｌ検討書ﾌｫｰﾏｯﾄA4新"/>
      <sheetName val="Eng-NonEng"/>
      <sheetName val="#ofclose .xl"/>
      <sheetName val="出荷計画"/>
      <sheetName val="0409"/>
      <sheetName val="見本２"/>
      <sheetName val="仕上１"/>
      <sheetName val="新ﾗｲﾝﾍﾞｰｽ"/>
      <sheetName val="コード表"/>
      <sheetName val="WJ素材費"/>
      <sheetName val="งบกำไรฯ_48(1)"/>
      <sheetName val="非固内訳"/>
      <sheetName val="DD96.1.18"/>
      <sheetName val="10"/>
      <sheetName val="購買担当"/>
      <sheetName val="水自機械"/>
      <sheetName val="05下 採算表データ(自動車全データ)"/>
      <sheetName val="決算貸借対照表"/>
      <sheetName val="第1期投資実績"/>
      <sheetName val="02MY投資実績"/>
      <sheetName val="150K-1投資"/>
      <sheetName val="150K-2投資"/>
      <sheetName val="CRITERIA2"/>
      <sheetName val="CRITERIA1"/>
      <sheetName val="แป๊ปทางดัน"/>
      <sheetName val="แป๊ปไหลกลับ"/>
      <sheetName val="ถังน้ำมัน HYD"/>
      <sheetName val="part"/>
      <sheetName val="ヘム型タイプ標準計画金額表"/>
      <sheetName val="C3_N DC改造投資"/>
      <sheetName val="QM_20Apl"/>
      <sheetName val="BK C COMP"/>
      <sheetName val="12.002 (2)"/>
      <sheetName val=""/>
      <sheetName val="DSC  -ADC-12"/>
      <sheetName val="XL4Poppy"/>
      <sheetName val="Sheet3"/>
      <sheetName val="분리멀티형"/>
      <sheetName val="FCG"/>
      <sheetName val="LRR Summary"/>
      <sheetName val="NEW003"/>
      <sheetName val="Dates"/>
      <sheetName val="EPR"/>
      <sheetName val="VSAMS Summary"/>
      <sheetName val="Glossary"/>
      <sheetName val="Foams"/>
      <sheetName val="Refrigerants"/>
      <sheetName val="FY03CostStructure"/>
      <sheetName val="APJSum"/>
      <sheetName val="AmeSum"/>
      <sheetName val="EMEASum"/>
      <sheetName val="HPCoSum"/>
      <sheetName val="OGSum"/>
      <sheetName val="WWSum"/>
      <sheetName val="Tables"/>
      <sheetName val="72HX"/>
      <sheetName val="75EX"/>
      <sheetName val="Total Financials"/>
      <sheetName val="72HY"/>
      <sheetName val="75EY"/>
      <sheetName val="PLALL"/>
      <sheetName val="Batch Comparison Template"/>
      <sheetName val="Stats Graph Template"/>
      <sheetName val="FY01 Actuals"/>
      <sheetName val="FY00 Restated"/>
      <sheetName val="FY01 Quota"/>
      <sheetName val="Original"/>
      <sheetName val="Restate"/>
      <sheetName val="k-line"/>
      <sheetName val="SUM14ZC1"/>
      <sheetName val="Histogram"/>
      <sheetName val="Sheet2"/>
      <sheetName val="Funnel"/>
      <sheetName val="GE 2001"/>
      <sheetName val="HTP 2001"/>
      <sheetName val="Sales Units (3)"/>
      <sheetName val="MC3(main)"/>
      <sheetName val="MC1"/>
      <sheetName val="Planet_Ame"/>
      <sheetName val="Planet_AP"/>
      <sheetName val="Planet_EMEA"/>
      <sheetName val="Planet_OG"/>
      <sheetName val="Planet_WW"/>
      <sheetName val="Sheet1"/>
      <sheetName val="Launch Costs TMNF"/>
      <sheetName val="April Antonio"/>
      <sheetName val="Leap PO Std."/>
      <sheetName val="Quantum PO Std"/>
      <sheetName val="Summary"/>
      <sheetName val="master PO"/>
      <sheetName val="Kautex 4WD St.IV P&amp;D"/>
      <sheetName val="Sachs FL WHL"/>
      <sheetName val="Quantum Stds 12-4-01"/>
      <sheetName val="Raw materials"/>
      <sheetName val="EPR &amp; LRR"/>
      <sheetName val="数据输入"/>
      <sheetName val="产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EPR &amp; LRR"/>
      <sheetName val="APQP Status Report"/>
      <sheetName val="PND"/>
      <sheetName val="AQPPROTCP"/>
      <sheetName val="AQPMPFC"/>
      <sheetName val="AQPPFMEA"/>
      <sheetName val="PLALL"/>
      <sheetName val="MCS"/>
      <sheetName val="Kautex 4WD St.IV P&amp;D"/>
      <sheetName val="Sachs FL WHL"/>
      <sheetName val="ＴＦ関連Ｐｒｊ日程表"/>
      <sheetName val="Spec"/>
      <sheetName val="Index"/>
      <sheetName val="10. Thermal Limiter Test"/>
      <sheetName val="분리멀티형"/>
      <sheetName val="URBANO P EST"/>
      <sheetName val="Comet Q202 Flash"/>
      <sheetName val="GE 2001"/>
      <sheetName val="HTP 2001"/>
      <sheetName val="SPals"/>
      <sheetName val="Summary Data"/>
      <sheetName val="Sales Units (3)"/>
      <sheetName val="Comet ASPIRE"/>
      <sheetName val="Comet Sequential"/>
      <sheetName val="Comet yoy"/>
      <sheetName val="Sheet2"/>
      <sheetName val="Visteon PABI APQP Mfgr Issues 6"/>
      <sheetName val="Quantum Stds 12-4-01"/>
      <sheetName val="Raw materials"/>
      <sheetName val="Fun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NVA-300T返品リスト"/>
      <sheetName val="集計ﾃﾞｰﾀ"/>
      <sheetName val="まとめ"/>
      <sheetName val="区分別リスト"/>
      <sheetName val="原因別"/>
      <sheetName val="部品"/>
      <sheetName val="Sheet5"/>
      <sheetName val="市場取扱"/>
      <sheetName val="300ｼﾘｰｽﾞ1"/>
      <sheetName val="300ｼﾘｰｽﾞ2"/>
      <sheetName val="三洋モデル"/>
      <sheetName val="SUM14ZC1"/>
      <sheetName val="假设"/>
      <sheetName val="FCG"/>
      <sheetName val="Q4 CURRENCY"/>
      <sheetName val="Raw materials"/>
      <sheetName val="审核总览"/>
      <sheetName val="公司"/>
      <sheetName val="工厂"/>
      <sheetName val="经营体"/>
      <sheetName val="供应商"/>
      <sheetName val="Ref1"/>
      <sheetName val="ShTactime"/>
      <sheetName val="p and l"/>
      <sheetName val="MTL1"/>
      <sheetName val="Tﾁｬｰﾄ"/>
      <sheetName val="Tables"/>
      <sheetName val="abbr"/>
      <sheetName val="XL4Poppy"/>
      <sheetName val="Comet ASPIRE"/>
      <sheetName val="Comet Sequential"/>
      <sheetName val="Comet yoy"/>
      <sheetName val="Quantum Stds 12-4-01"/>
      <sheetName val="Summary Data"/>
      <sheetName val="EPR &amp; LRR"/>
      <sheetName val="(9月度)S300Tシリーズ不良集計その3(原因別集計)"/>
      <sheetName val="FY01 Actuals"/>
      <sheetName val="FY00 Restated"/>
      <sheetName val="FY01 Quota"/>
      <sheetName val="분리멀티형"/>
      <sheetName val="Original"/>
      <sheetName val="PLALL"/>
      <sheetName val="5+7 plan"/>
      <sheetName val="UPPER BLOCK"/>
      <sheetName val="Sheet1"/>
      <sheetName val="Kautex 4WD St.IV P&amp;D"/>
      <sheetName val="Sachs FL WHL"/>
      <sheetName val="Restate"/>
      <sheetName val="SPals"/>
      <sheetName val="Meas Acceptance Template"/>
      <sheetName val="Batch Comparison Template"/>
      <sheetName val="Meas Indv Template"/>
      <sheetName val="FA-LISTING"/>
      <sheetName val="Safety _ P_A"/>
      <sheetName val="FP"/>
      <sheetName val="Time Dimension Lookup"/>
    </sheetNames>
    <definedNames>
      <definedName name="grey" refersTo="='#REF!'!#REF!"/>
      <definedName name="white" refersTo="='#REF!'!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负债表"/>
      <sheetName val="损益表"/>
      <sheetName val="现金流量表"/>
      <sheetName val="调整表"/>
      <sheetName val="XL4Poppy"/>
      <sheetName val="Sheet2"/>
      <sheetName val="Sheet3"/>
      <sheetName val="Sheet4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生产成本计算单"/>
      <sheetName val="产成品销售成本计算单"/>
      <sheetName val="۽"/>
      <sheetName val="month-wise"/>
      <sheetName val="企业表一"/>
      <sheetName val="M-5C"/>
      <sheetName val="M-5A"/>
      <sheetName val="۽_x005f_x0000_"/>
      <sheetName val="۽_x005f_x005f_x005f_x0000_"/>
      <sheetName val="۽_x005f_x005f_x005f_x005f_x005f_x005f_x005f_x0000_"/>
      <sheetName val="SPals"/>
      <sheetName val="۽?"/>
      <sheetName val="56 % CIVIC Cost"/>
      <sheetName val="۽_x005f_x005f_x005f_x005f_x005f_x005f_x005f_x005f_x005f"/>
      <sheetName val=""/>
      <sheetName val="۽_"/>
      <sheetName val="_x005f_x0000__x005f_x0000__x005f_x0000__x005f_x0000__x0"/>
      <sheetName val="S-PARTS-XE"/>
      <sheetName val="chart_calcs"/>
      <sheetName val="master"/>
      <sheetName val="source"/>
      <sheetName val="数字视频并帐"/>
      <sheetName val="hdcnt 3"/>
      <sheetName val="设备部房屋"/>
      <sheetName val="CF"/>
      <sheetName val="۽_x005f_x005f_x005f_x005f_x005f"/>
      <sheetName val="_x005f_x0000__x005f_x0000__x005"/>
      <sheetName val="Consolidated NEW"/>
      <sheetName val="Erection"/>
      <sheetName val="Attachment-4(2)"/>
      <sheetName val="Sheet1"/>
      <sheetName val="Grey 2009"/>
      <sheetName val="Chemical 2009"/>
      <sheetName val="OC Plan"/>
      <sheetName val="AB"/>
      <sheetName val="MENU"/>
      <sheetName val="ราคาไม้สับรวมค่าขนส่ง"/>
      <sheetName val="ราคาไม้ท่อนรวมค่าขนส่ง"/>
      <sheetName val="_x005f_x005f_x005f_x0000__x005f_x005f_x005f_x0000__x005"/>
      <sheetName val="13 铁路配件"/>
      <sheetName val="SUPP.CODE"/>
      <sheetName val="۽_x005f_x005f_x005f"/>
      <sheetName val="审核总览"/>
      <sheetName val="Bs"/>
      <sheetName val="Main"/>
      <sheetName val="ﾛｲ"/>
      <sheetName val="Comet Q202 Flash"/>
      <sheetName val="自制件材料价格"/>
      <sheetName val="MTL1"/>
      <sheetName val="假设"/>
      <sheetName val="FP"/>
      <sheetName val="Time Dimension Lookup"/>
      <sheetName val="製品データ"/>
      <sheetName val="Summary Data"/>
      <sheetName val="Launch Costs TMNF"/>
      <sheetName val="April Antonio"/>
      <sheetName val="Sales Units (3)"/>
      <sheetName val="_x0"/>
      <sheetName val="_x005"/>
      <sheetName val="Summary"/>
      <sheetName val="_x005f_x005f_x005f_x005f_x005f_x005f_x005f_x0000__x005f"/>
      <sheetName val="_x005f_x005f_x005f_x005f_x005f_x005f_x005f_x005f_x005f_x005f_"/>
      <sheetName val="AmeSum"/>
      <sheetName val="FCG"/>
      <sheetName val="sales_ebit act"/>
      <sheetName val="Total Financials"/>
      <sheetName val="Hidden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R&amp;D"/>
      <sheetName val="PSI"/>
      <sheetName val="23产成品_"/>
      <sheetName val="56_%_CIVIC_Cost"/>
      <sheetName val="hdcnt_3"/>
      <sheetName val="13_铁路配件"/>
      <sheetName val="Consolidated_NEW"/>
      <sheetName val="Grey_2009"/>
      <sheetName val="Chemical_2009"/>
      <sheetName val="OC_Plan"/>
      <sheetName val="SUPP_CODE"/>
      <sheetName val="Comet_Q202_Flash"/>
      <sheetName val="Time_Dimension_Lookup"/>
      <sheetName val="23产成品_3"/>
      <sheetName val="56_%_CIVIC_Cost3"/>
      <sheetName val="hdcnt_33"/>
      <sheetName val="13_铁路配件3"/>
      <sheetName val="Consolidated_NEW3"/>
      <sheetName val="Grey_20093"/>
      <sheetName val="Chemical_20093"/>
      <sheetName val="OC_Plan3"/>
      <sheetName val="SUPP_CODE3"/>
      <sheetName val="Comet_Q202_Flash3"/>
      <sheetName val="Time_Dimension_Lookup3"/>
      <sheetName val="sales_ebit_act1"/>
      <sheetName val="23产成品_1"/>
      <sheetName val="56_%_CIVIC_Cost1"/>
      <sheetName val="hdcnt_31"/>
      <sheetName val="13_铁路配件1"/>
      <sheetName val="Consolidated_NEW1"/>
      <sheetName val="Grey_20091"/>
      <sheetName val="Chemical_20091"/>
      <sheetName val="OC_Plan1"/>
      <sheetName val="SUPP_CODE1"/>
      <sheetName val="Comet_Q202_Flash1"/>
      <sheetName val="Time_Dimension_Lookup1"/>
      <sheetName val="23产成品_2"/>
      <sheetName val="56_%_CIVIC_Cost2"/>
      <sheetName val="hdcnt_32"/>
      <sheetName val="13_铁路配件2"/>
      <sheetName val="Consolidated_NEW2"/>
      <sheetName val="Grey_20092"/>
      <sheetName val="Chemical_20092"/>
      <sheetName val="OC_Plan2"/>
      <sheetName val="SUPP_CODE2"/>
      <sheetName val="Comet_Q202_Flash2"/>
      <sheetName val="Time_Dimension_Lookup2"/>
      <sheetName val="sales_ebit_act"/>
      <sheetName val="ﾒｰｶｰ名"/>
      <sheetName val="Av.Measures"/>
      <sheetName val="Detail"/>
      <sheetName val="通貨一覧"/>
      <sheetName val="코드"/>
      <sheetName val="合并单位"/>
      <sheetName val="合并单位 (2)"/>
      <sheetName val="INCOMING"/>
      <sheetName val="dec05 pl"/>
      <sheetName val="Tﾁｬｰﾄ"/>
      <sheetName val=" "/>
      <sheetName val="UFPrn20070303114642"/>
      <sheetName val="KKKKKKKK"/>
      <sheetName val="选择报表"/>
      <sheetName val="完"/>
      <sheetName val="23产成品_20"/>
      <sheetName val="56_%_CIVIC_Cost20"/>
      <sheetName val="hdcnt_320"/>
      <sheetName val="13_铁路配件20"/>
      <sheetName val="Consolidated_NEW20"/>
      <sheetName val="Grey_200920"/>
      <sheetName val="Chemical_200920"/>
      <sheetName val="OC_Plan20"/>
      <sheetName val="SUPP_CODE20"/>
      <sheetName val="Comet_Q202_Flash20"/>
      <sheetName val="23产成品_4"/>
      <sheetName val="56_%_CIVIC_Cost4"/>
      <sheetName val="hdcnt_34"/>
      <sheetName val="13_铁路配件4"/>
      <sheetName val="Consolidated_NEW4"/>
      <sheetName val="Grey_20094"/>
      <sheetName val="Chemical_20094"/>
      <sheetName val="OC_Plan4"/>
      <sheetName val="SUPP_CODE4"/>
      <sheetName val="Comet_Q202_Flash4"/>
      <sheetName val="Time_Dimension_Lookup4"/>
      <sheetName val="23产成品_5"/>
      <sheetName val="56_%_CIVIC_Cost5"/>
      <sheetName val="hdcnt_35"/>
      <sheetName val="13_铁路配件5"/>
      <sheetName val="Consolidated_NEW5"/>
      <sheetName val="Grey_20095"/>
      <sheetName val="Chemical_20095"/>
      <sheetName val="OC_Plan5"/>
      <sheetName val="SUPP_CODE5"/>
      <sheetName val="Comet_Q202_Flash5"/>
      <sheetName val="Time_Dimension_Lookup5"/>
      <sheetName val="23产成品_6"/>
      <sheetName val="56_%_CIVIC_Cost6"/>
      <sheetName val="hdcnt_36"/>
      <sheetName val="13_铁路配件6"/>
      <sheetName val="Consolidated_NEW6"/>
      <sheetName val="Grey_20096"/>
      <sheetName val="Chemical_20096"/>
      <sheetName val="OC_Plan6"/>
      <sheetName val="SUPP_CODE6"/>
      <sheetName val="Comet_Q202_Flash6"/>
      <sheetName val="Time_Dimension_Lookup6"/>
      <sheetName val="23产成品_7"/>
      <sheetName val="56_%_CIVIC_Cost7"/>
      <sheetName val="hdcnt_37"/>
      <sheetName val="13_铁路配件7"/>
      <sheetName val="Consolidated_NEW7"/>
      <sheetName val="Grey_20097"/>
      <sheetName val="Chemical_20097"/>
      <sheetName val="OC_Plan7"/>
      <sheetName val="SUPP_CODE7"/>
      <sheetName val="Comet_Q202_Flash7"/>
      <sheetName val="23产成品_8"/>
      <sheetName val="56_%_CIVIC_Cost8"/>
      <sheetName val="hdcnt_38"/>
      <sheetName val="13_铁路配件8"/>
      <sheetName val="Consolidated_NEW8"/>
      <sheetName val="Grey_20098"/>
      <sheetName val="Chemical_20098"/>
      <sheetName val="OC_Plan8"/>
      <sheetName val="SUPP_CODE8"/>
      <sheetName val="Comet_Q202_Flash8"/>
      <sheetName val="23产成品_9"/>
      <sheetName val="56_%_CIVIC_Cost9"/>
      <sheetName val="hdcnt_39"/>
      <sheetName val="13_铁路配件9"/>
      <sheetName val="Consolidated_NEW9"/>
      <sheetName val="Grey_20099"/>
      <sheetName val="Chemical_20099"/>
      <sheetName val="OC_Plan9"/>
      <sheetName val="SUPP_CODE9"/>
      <sheetName val="Comet_Q202_Flash9"/>
      <sheetName val="Time_Dimension_Lookup7"/>
      <sheetName val="23产成品_10"/>
      <sheetName val="56_%_CIVIC_Cost10"/>
      <sheetName val="hdcnt_310"/>
      <sheetName val="13_铁路配件10"/>
      <sheetName val="Consolidated_NEW10"/>
      <sheetName val="Grey_200910"/>
      <sheetName val="Chemical_200910"/>
      <sheetName val="OC_Plan10"/>
      <sheetName val="SUPP_CODE10"/>
      <sheetName val="Comet_Q202_Flash10"/>
      <sheetName val="Time_Dimension_Lookup8"/>
      <sheetName val="23产成品_11"/>
      <sheetName val="56_%_CIVIC_Cost11"/>
      <sheetName val="hdcnt_311"/>
      <sheetName val="13_铁路配件11"/>
      <sheetName val="Consolidated_NEW11"/>
      <sheetName val="Grey_200911"/>
      <sheetName val="Chemical_200911"/>
      <sheetName val="OC_Plan11"/>
      <sheetName val="SUPP_CODE11"/>
      <sheetName val="Comet_Q202_Flash11"/>
      <sheetName val="Time_Dimension_Lookup9"/>
      <sheetName val="sales_ebit_act3"/>
      <sheetName val="sales_ebit_act2"/>
      <sheetName val="23产成品_12"/>
      <sheetName val="56_%_CIVIC_Cost12"/>
      <sheetName val="hdcnt_312"/>
      <sheetName val="13_铁路配件12"/>
      <sheetName val="Consolidated_NEW12"/>
      <sheetName val="Grey_200912"/>
      <sheetName val="Chemical_200912"/>
      <sheetName val="OC_Plan12"/>
      <sheetName val="SUPP_CODE12"/>
      <sheetName val="Comet_Q202_Flash12"/>
      <sheetName val="Time_Dimension_Lookup10"/>
      <sheetName val="23产成品_13"/>
      <sheetName val="56_%_CIVIC_Cost13"/>
      <sheetName val="hdcnt_313"/>
      <sheetName val="13_铁路配件13"/>
      <sheetName val="Consolidated_NEW13"/>
      <sheetName val="Grey_200913"/>
      <sheetName val="Chemical_200913"/>
      <sheetName val="OC_Plan13"/>
      <sheetName val="SUPP_CODE13"/>
      <sheetName val="Comet_Q202_Flash13"/>
      <sheetName val="Time_Dimension_Lookup11"/>
      <sheetName val="23产成品_14"/>
      <sheetName val="56_%_CIVIC_Cost14"/>
      <sheetName val="hdcnt_314"/>
      <sheetName val="13_铁路配件14"/>
      <sheetName val="Consolidated_NEW14"/>
      <sheetName val="Grey_200914"/>
      <sheetName val="Chemical_200914"/>
      <sheetName val="OC_Plan14"/>
      <sheetName val="SUPP_CODE14"/>
      <sheetName val="Comet_Q202_Flash14"/>
      <sheetName val="Time_Dimension_Lookup12"/>
      <sheetName val="23产成品_15"/>
      <sheetName val="56_%_CIVIC_Cost15"/>
      <sheetName val="hdcnt_315"/>
      <sheetName val="13_铁路配件15"/>
      <sheetName val="Consolidated_NEW15"/>
      <sheetName val="Grey_200915"/>
      <sheetName val="Chemical_200915"/>
      <sheetName val="OC_Plan15"/>
      <sheetName val="SUPP_CODE15"/>
      <sheetName val="Comet_Q202_Flash15"/>
      <sheetName val="Time_Dimension_Lookup13"/>
      <sheetName val="23产成品_17"/>
      <sheetName val="56_%_CIVIC_Cost17"/>
      <sheetName val="hdcnt_317"/>
      <sheetName val="13_铁路配件17"/>
      <sheetName val="Consolidated_NEW17"/>
      <sheetName val="Grey_200917"/>
      <sheetName val="Chemical_200917"/>
      <sheetName val="OC_Plan17"/>
      <sheetName val="SUPP_CODE17"/>
      <sheetName val="Comet_Q202_Flash17"/>
      <sheetName val="Time_Dimension_Lookup15"/>
      <sheetName val="23产成品_16"/>
      <sheetName val="56_%_CIVIC_Cost16"/>
      <sheetName val="hdcnt_316"/>
      <sheetName val="13_铁路配件16"/>
      <sheetName val="Consolidated_NEW16"/>
      <sheetName val="Grey_200916"/>
      <sheetName val="Chemical_200916"/>
      <sheetName val="OC_Plan16"/>
      <sheetName val="SUPP_CODE16"/>
      <sheetName val="Comet_Q202_Flash16"/>
      <sheetName val="Time_Dimension_Lookup14"/>
      <sheetName val="23产成品_18"/>
      <sheetName val="56_%_CIVIC_Cost18"/>
      <sheetName val="hdcnt_318"/>
      <sheetName val="13_铁路配件18"/>
      <sheetName val="Consolidated_NEW18"/>
      <sheetName val="Grey_200918"/>
      <sheetName val="Chemical_200918"/>
      <sheetName val="OC_Plan18"/>
      <sheetName val="SUPP_CODE18"/>
      <sheetName val="Comet_Q202_Flash18"/>
      <sheetName val="Time_Dimension_Lookup16"/>
      <sheetName val="23产成品_19"/>
      <sheetName val="56_%_CIVIC_Cost19"/>
      <sheetName val="hdcnt_319"/>
      <sheetName val="13_铁路配件19"/>
      <sheetName val="Consolidated_NEW19"/>
      <sheetName val="Grey_200919"/>
      <sheetName val="Chemical_200919"/>
      <sheetName val="OC_Plan19"/>
      <sheetName val="SUPP_CODE19"/>
      <sheetName val="Comet_Q202_Flash19"/>
      <sheetName val="Time_Dimension_Lookup17"/>
      <sheetName val="Time_Dimension_Lookup18"/>
      <sheetName val="23产成品_21"/>
      <sheetName val="56_%_CIVIC_Cost21"/>
      <sheetName val="hdcnt_321"/>
      <sheetName val="13_铁路配件21"/>
      <sheetName val="Consolidated_NEW21"/>
      <sheetName val="Grey_200921"/>
      <sheetName val="Chemical_200921"/>
      <sheetName val="OC_Plan21"/>
      <sheetName val="SUPP_CODE21"/>
      <sheetName val="Comet_Q202_Flash21"/>
      <sheetName val="Time_Dimension_Lookup19"/>
      <sheetName val="23产成品_22"/>
      <sheetName val="56_%_CIVIC_Cost22"/>
      <sheetName val="hdcnt_322"/>
      <sheetName val="13_铁路配件22"/>
      <sheetName val="Consolidated_NEW22"/>
      <sheetName val="Grey_200922"/>
      <sheetName val="Chemical_200922"/>
      <sheetName val="OC_Plan22"/>
      <sheetName val="SUPP_CODE22"/>
      <sheetName val="Comet_Q202_Flash22"/>
      <sheetName val="Time_Dimension_Lookup20"/>
      <sheetName val="23产成品_26"/>
      <sheetName val="56_%_CIVIC_Cost26"/>
      <sheetName val="hdcnt_326"/>
      <sheetName val="13_铁路配件26"/>
      <sheetName val="Consolidated_NEW26"/>
      <sheetName val="Grey_200926"/>
      <sheetName val="Chemical_200926"/>
      <sheetName val="OC_Plan26"/>
      <sheetName val="SUPP_CODE26"/>
      <sheetName val="Comet_Q202_Flash26"/>
      <sheetName val="Time_Dimension_Lookup24"/>
      <sheetName val="23产成品_24"/>
      <sheetName val="56_%_CIVIC_Cost24"/>
      <sheetName val="hdcnt_324"/>
      <sheetName val="13_铁路配件24"/>
      <sheetName val="Consolidated_NEW24"/>
      <sheetName val="Grey_200924"/>
      <sheetName val="Chemical_200924"/>
      <sheetName val="OC_Plan24"/>
      <sheetName val="SUPP_CODE24"/>
      <sheetName val="Comet_Q202_Flash24"/>
      <sheetName val="Time_Dimension_Lookup22"/>
      <sheetName val="23产成品_23"/>
      <sheetName val="56_%_CIVIC_Cost23"/>
      <sheetName val="hdcnt_323"/>
      <sheetName val="13_铁路配件23"/>
      <sheetName val="Consolidated_NEW23"/>
      <sheetName val="Grey_200923"/>
      <sheetName val="Chemical_200923"/>
      <sheetName val="OC_Plan23"/>
      <sheetName val="SUPP_CODE23"/>
      <sheetName val="Comet_Q202_Flash23"/>
      <sheetName val="Time_Dimension_Lookup21"/>
      <sheetName val="23产成品_25"/>
      <sheetName val="56_%_CIVIC_Cost25"/>
      <sheetName val="hdcnt_325"/>
      <sheetName val="13_铁路配件25"/>
      <sheetName val="Consolidated_NEW25"/>
      <sheetName val="Grey_200925"/>
      <sheetName val="Chemical_200925"/>
      <sheetName val="OC_Plan25"/>
      <sheetName val="SUPP_CODE25"/>
      <sheetName val="Comet_Q202_Flash25"/>
      <sheetName val="Time_Dimension_Lookup23"/>
      <sheetName val="23产成品_29"/>
      <sheetName val="56_%_CIVIC_Cost29"/>
      <sheetName val="hdcnt_329"/>
      <sheetName val="13_铁路配件29"/>
      <sheetName val="Consolidated_NEW29"/>
      <sheetName val="Grey_200929"/>
      <sheetName val="Chemical_200929"/>
      <sheetName val="OC_Plan29"/>
      <sheetName val="SUPP_CODE29"/>
      <sheetName val="Comet_Q202_Flash29"/>
      <sheetName val="Time_Dimension_Lookup27"/>
      <sheetName val="23产成品_27"/>
      <sheetName val="56_%_CIVIC_Cost27"/>
      <sheetName val="hdcnt_327"/>
      <sheetName val="13_铁路配件27"/>
      <sheetName val="Consolidated_NEW27"/>
      <sheetName val="Grey_200927"/>
      <sheetName val="Chemical_200927"/>
      <sheetName val="OC_Plan27"/>
      <sheetName val="SUPP_CODE27"/>
      <sheetName val="Comet_Q202_Flash27"/>
      <sheetName val="Time_Dimension_Lookup25"/>
      <sheetName val="23产成品_28"/>
      <sheetName val="56_%_CIVIC_Cost28"/>
      <sheetName val="hdcnt_328"/>
      <sheetName val="13_铁路配件28"/>
      <sheetName val="Consolidated_NEW28"/>
      <sheetName val="Grey_200928"/>
      <sheetName val="Chemical_200928"/>
      <sheetName val="OC_Plan28"/>
      <sheetName val="SUPP_CODE28"/>
      <sheetName val="Comet_Q202_Flash28"/>
      <sheetName val="Time_Dimension_Lookup26"/>
      <sheetName val="23产成品_30"/>
      <sheetName val="56_%_CIVIC_Cost30"/>
      <sheetName val="hdcnt_330"/>
      <sheetName val="13_铁路配件30"/>
      <sheetName val="Consolidated_NEW30"/>
      <sheetName val="Grey_200930"/>
      <sheetName val="Chemical_200930"/>
      <sheetName val="OC_Plan30"/>
      <sheetName val="SUPP_CODE30"/>
      <sheetName val="Comet_Q202_Flash30"/>
      <sheetName val="Time_Dimension_Lookup28"/>
      <sheetName val="23产成品_31"/>
      <sheetName val="56_%_CIVIC_Cost31"/>
      <sheetName val="hdcnt_331"/>
      <sheetName val="13_铁路配件31"/>
      <sheetName val="Consolidated_NEW31"/>
      <sheetName val="Grey_200931"/>
      <sheetName val="Chemical_200931"/>
      <sheetName val="OC_Plan31"/>
      <sheetName val="SUPP_CODE31"/>
      <sheetName val="Comet_Q202_Flash31"/>
      <sheetName val="Time_Dimension_Lookup29"/>
      <sheetName val="23产成品_33"/>
      <sheetName val="56_%_CIVIC_Cost33"/>
      <sheetName val="hdcnt_333"/>
      <sheetName val="13_铁路配件33"/>
      <sheetName val="Consolidated_NEW33"/>
      <sheetName val="Grey_200933"/>
      <sheetName val="Chemical_200933"/>
      <sheetName val="OC_Plan33"/>
      <sheetName val="SUPP_CODE33"/>
      <sheetName val="Comet_Q202_Flash33"/>
      <sheetName val="Time_Dimension_Lookup31"/>
      <sheetName val="sales_ebit_act5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Summary_Data1"/>
      <sheetName val="Launch_Costs_TMNF1"/>
      <sheetName val="April_Antonio1"/>
      <sheetName val="Sales_Units_(3)1"/>
      <sheetName val="合并单位_(2)1"/>
      <sheetName val="dec05_pl1"/>
      <sheetName val="23产成品_32"/>
      <sheetName val="56_%_CIVIC_Cost32"/>
      <sheetName val="hdcnt_332"/>
      <sheetName val="13_铁路配件32"/>
      <sheetName val="Consolidated_NEW32"/>
      <sheetName val="Grey_200932"/>
      <sheetName val="Chemical_200932"/>
      <sheetName val="OC_Plan32"/>
      <sheetName val="SUPP_CODE32"/>
      <sheetName val="Comet_Q202_Flash32"/>
      <sheetName val="Time_Dimension_Lookup30"/>
      <sheetName val="sales_ebit_act4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Summary_Data"/>
      <sheetName val="Launch_Costs_TMNF"/>
      <sheetName val="April_Antonio"/>
      <sheetName val="Sales_Units_(3)"/>
      <sheetName val="合并单位_(2)"/>
      <sheetName val="dec05_pl"/>
      <sheetName val="23产成品_42"/>
      <sheetName val="56_%_CIVIC_Cost42"/>
      <sheetName val="hdcnt_342"/>
      <sheetName val="13_铁路配件42"/>
      <sheetName val="Consolidated_NEW42"/>
      <sheetName val="Grey_200942"/>
      <sheetName val="Chemical_200942"/>
      <sheetName val="OC_Plan42"/>
      <sheetName val="SUPP_CODE42"/>
      <sheetName val="Comet_Q202_Flash42"/>
      <sheetName val="Time_Dimension_Lookup40"/>
      <sheetName val="sales_ebit_act14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Summary_Data10"/>
      <sheetName val="Launch_Costs_TMNF10"/>
      <sheetName val="April_Antonio10"/>
      <sheetName val="Sales_Units_(3)10"/>
      <sheetName val="合并单位_(2)10"/>
      <sheetName val="dec05_pl10"/>
      <sheetName val="23产成品_36"/>
      <sheetName val="56_%_CIVIC_Cost36"/>
      <sheetName val="hdcnt_336"/>
      <sheetName val="13_铁路配件36"/>
      <sheetName val="Consolidated_NEW36"/>
      <sheetName val="Grey_200936"/>
      <sheetName val="Chemical_200936"/>
      <sheetName val="OC_Plan36"/>
      <sheetName val="SUPP_CODE36"/>
      <sheetName val="Comet_Q202_Flash36"/>
      <sheetName val="Time_Dimension_Lookup34"/>
      <sheetName val="sales_ebit_act8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Summary_Data4"/>
      <sheetName val="Launch_Costs_TMNF4"/>
      <sheetName val="April_Antonio4"/>
      <sheetName val="Sales_Units_(3)4"/>
      <sheetName val="合并单位_(2)4"/>
      <sheetName val="dec05_pl4"/>
      <sheetName val="23产成品_34"/>
      <sheetName val="56_%_CIVIC_Cost34"/>
      <sheetName val="hdcnt_334"/>
      <sheetName val="13_铁路配件34"/>
      <sheetName val="Consolidated_NEW34"/>
      <sheetName val="Grey_200934"/>
      <sheetName val="Chemical_200934"/>
      <sheetName val="OC_Plan34"/>
      <sheetName val="SUPP_CODE34"/>
      <sheetName val="Comet_Q202_Flash34"/>
      <sheetName val="Time_Dimension_Lookup32"/>
      <sheetName val="sales_ebit_act6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Summary_Data2"/>
      <sheetName val="Launch_Costs_TMNF2"/>
      <sheetName val="April_Antonio2"/>
      <sheetName val="Sales_Units_(3)2"/>
      <sheetName val="合并单位_(2)2"/>
      <sheetName val="dec05_pl2"/>
      <sheetName val="23产成品_35"/>
      <sheetName val="56_%_CIVIC_Cost35"/>
      <sheetName val="hdcnt_335"/>
      <sheetName val="13_铁路配件35"/>
      <sheetName val="Consolidated_NEW35"/>
      <sheetName val="Grey_200935"/>
      <sheetName val="Chemical_200935"/>
      <sheetName val="OC_Plan35"/>
      <sheetName val="SUPP_CODE35"/>
      <sheetName val="Comet_Q202_Flash35"/>
      <sheetName val="Time_Dimension_Lookup33"/>
      <sheetName val="sales_ebit_act7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Summary_Data3"/>
      <sheetName val="Launch_Costs_TMNF3"/>
      <sheetName val="April_Antonio3"/>
      <sheetName val="Sales_Units_(3)3"/>
      <sheetName val="合并单位_(2)3"/>
      <sheetName val="dec05_pl3"/>
      <sheetName val="23产成品_39"/>
      <sheetName val="56_%_CIVIC_Cost39"/>
      <sheetName val="hdcnt_339"/>
      <sheetName val="13_铁路配件39"/>
      <sheetName val="Consolidated_NEW39"/>
      <sheetName val="Grey_200939"/>
      <sheetName val="Chemical_200939"/>
      <sheetName val="OC_Plan39"/>
      <sheetName val="SUPP_CODE39"/>
      <sheetName val="Comet_Q202_Flash39"/>
      <sheetName val="Time_Dimension_Lookup37"/>
      <sheetName val="sales_ebit_act11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Summary_Data7"/>
      <sheetName val="Launch_Costs_TMNF7"/>
      <sheetName val="April_Antonio7"/>
      <sheetName val="Sales_Units_(3)7"/>
      <sheetName val="合并单位_(2)7"/>
      <sheetName val="dec05_pl7"/>
      <sheetName val="23产成品_37"/>
      <sheetName val="56_%_CIVIC_Cost37"/>
      <sheetName val="hdcnt_337"/>
      <sheetName val="13_铁路配件37"/>
      <sheetName val="Consolidated_NEW37"/>
      <sheetName val="Grey_200937"/>
      <sheetName val="Chemical_200937"/>
      <sheetName val="OC_Plan37"/>
      <sheetName val="SUPP_CODE37"/>
      <sheetName val="Comet_Q202_Flash37"/>
      <sheetName val="Time_Dimension_Lookup35"/>
      <sheetName val="sales_ebit_act9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Summary_Data5"/>
      <sheetName val="Launch_Costs_TMNF5"/>
      <sheetName val="April_Antonio5"/>
      <sheetName val="Sales_Units_(3)5"/>
      <sheetName val="合并单位_(2)5"/>
      <sheetName val="dec05_pl5"/>
      <sheetName val="23产成品_38"/>
      <sheetName val="56_%_CIVIC_Cost38"/>
      <sheetName val="hdcnt_338"/>
      <sheetName val="13_铁路配件38"/>
      <sheetName val="Consolidated_NEW38"/>
      <sheetName val="Grey_200938"/>
      <sheetName val="Chemical_200938"/>
      <sheetName val="OC_Plan38"/>
      <sheetName val="SUPP_CODE38"/>
      <sheetName val="Comet_Q202_Flash38"/>
      <sheetName val="Time_Dimension_Lookup36"/>
      <sheetName val="sales_ebit_act10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Summary_Data6"/>
      <sheetName val="Launch_Costs_TMNF6"/>
      <sheetName val="April_Antonio6"/>
      <sheetName val="Sales_Units_(3)6"/>
      <sheetName val="合并单位_(2)6"/>
      <sheetName val="dec05_pl6"/>
      <sheetName val="23产成品_40"/>
      <sheetName val="56_%_CIVIC_Cost40"/>
      <sheetName val="hdcnt_340"/>
      <sheetName val="13_铁路配件40"/>
      <sheetName val="Consolidated_NEW40"/>
      <sheetName val="Grey_200940"/>
      <sheetName val="Chemical_200940"/>
      <sheetName val="OC_Plan40"/>
      <sheetName val="SUPP_CODE40"/>
      <sheetName val="Comet_Q202_Flash40"/>
      <sheetName val="Time_Dimension_Lookup38"/>
      <sheetName val="sales_ebit_act12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Summary_Data8"/>
      <sheetName val="Launch_Costs_TMNF8"/>
      <sheetName val="April_Antonio8"/>
      <sheetName val="Sales_Units_(3)8"/>
      <sheetName val="合并单位_(2)8"/>
      <sheetName val="dec05_pl8"/>
      <sheetName val="23产成品_41"/>
      <sheetName val="56_%_CIVIC_Cost41"/>
      <sheetName val="hdcnt_341"/>
      <sheetName val="13_铁路配件41"/>
      <sheetName val="Consolidated_NEW41"/>
      <sheetName val="Grey_200941"/>
      <sheetName val="Chemical_200941"/>
      <sheetName val="OC_Plan41"/>
      <sheetName val="SUPP_CODE41"/>
      <sheetName val="Comet_Q202_Flash41"/>
      <sheetName val="Time_Dimension_Lookup39"/>
      <sheetName val="sales_ebit_act13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Summary_Data9"/>
      <sheetName val="Launch_Costs_TMNF9"/>
      <sheetName val="April_Antonio9"/>
      <sheetName val="Sales_Units_(3)9"/>
      <sheetName val="合并单位_(2)9"/>
      <sheetName val="dec05_pl9"/>
      <sheetName val="SUM14ZC1"/>
      <sheetName val="LOV"/>
      <sheetName val="Restate"/>
      <sheetName val="改善路径"/>
      <sheetName val="Original"/>
      <sheetName val="项目日程安排"/>
      <sheetName val="PLALL2"/>
      <sheetName val="Material BOMS"/>
      <sheetName val="基PLBS"/>
      <sheetName val="Materials BOM for HIPS"/>
      <sheetName val="FINAL (2)"/>
      <sheetName val="Raw materials"/>
      <sheetName val="_x005f_x005f_x005f_x0000__x005f"/>
      <sheetName val="۽_x005f"/>
      <sheetName val="_x005f_x005f_x005f_x005f_"/>
      <sheetName val="Sheet52"/>
      <sheetName val="生产质量说明0106"/>
      <sheetName val="Panel"/>
      <sheetName val="Administrative"/>
      <sheetName val="GWL-RUNING"/>
      <sheetName val="FINISHED GOODS MASTER"/>
      <sheetName val="Foams"/>
      <sheetName val="Oct FW42 BaaN for G-Line"/>
      <sheetName val="Refrigerants"/>
      <sheetName val="KeyData"/>
      <sheetName val="23产成品_43"/>
      <sheetName val="56_%_CIVIC_Cost43"/>
      <sheetName val="hdcnt_343"/>
      <sheetName val="13_铁路配件43"/>
      <sheetName val="Consolidated_NEW43"/>
      <sheetName val="Grey_200943"/>
      <sheetName val="Chemical_200943"/>
      <sheetName val="OC_Plan43"/>
      <sheetName val="SUPP_CODE43"/>
      <sheetName val="Comet_Q202_Flash43"/>
      <sheetName val="Time_Dimension_Lookup41"/>
      <sheetName val="sales_ebit_act15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Summary_Data11"/>
      <sheetName val="Launch_Costs_TMNF11"/>
      <sheetName val="April_Antonio11"/>
      <sheetName val="Sales_Units_(3)11"/>
      <sheetName val="合并单位_(2)11"/>
      <sheetName val="dec05_pl11"/>
      <sheetName val="23产成品_44"/>
      <sheetName val="56_%_CIVIC_Cost44"/>
      <sheetName val="hdcnt_344"/>
      <sheetName val="13_铁路配件44"/>
      <sheetName val="Consolidated_NEW44"/>
      <sheetName val="Grey_200944"/>
      <sheetName val="Chemical_200944"/>
      <sheetName val="OC_Plan44"/>
      <sheetName val="SUPP_CODE44"/>
      <sheetName val="Comet_Q202_Flash44"/>
      <sheetName val="Time_Dimension_Lookup42"/>
      <sheetName val="sales_ebit_act16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Summary_Data12"/>
      <sheetName val="Launch_Costs_TMNF12"/>
      <sheetName val="April_Antonio12"/>
      <sheetName val="Sales_Units_(3)12"/>
      <sheetName val="合并单位_(2)12"/>
      <sheetName val="dec05_pl12"/>
      <sheetName val="23产成品_45"/>
      <sheetName val="56_%_CIVIC_Cost45"/>
      <sheetName val="hdcnt_345"/>
      <sheetName val="13_铁路配件45"/>
      <sheetName val="Consolidated_NEW45"/>
      <sheetName val="Grey_200945"/>
      <sheetName val="Chemical_200945"/>
      <sheetName val="OC_Plan45"/>
      <sheetName val="SUPP_CODE45"/>
      <sheetName val="Comet_Q202_Flash45"/>
      <sheetName val="Time_Dimension_Lookup43"/>
      <sheetName val="sales_ebit_act17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Summary_Data13"/>
      <sheetName val="Launch_Costs_TMNF13"/>
      <sheetName val="April_Antonio13"/>
      <sheetName val="Sales_Units_(3)13"/>
      <sheetName val="合并单位_(2)13"/>
      <sheetName val="dec05_pl13"/>
      <sheetName val="Planet_Ame"/>
      <sheetName val="Planet_AP"/>
      <sheetName val="Planet_EMEA"/>
      <sheetName val="Planet_OG"/>
      <sheetName val="Planet_WW"/>
      <sheetName val="PLALL"/>
      <sheetName val="Comet ASPIRE"/>
      <sheetName val="Comet Sequential"/>
      <sheetName val="Comet yoy"/>
      <sheetName val="TOTAL"/>
      <sheetName val="SUPPORT-JPN"/>
      <sheetName val="Histogram"/>
      <sheetName val="Index"/>
      <sheetName val="10. Thermal Limiter Test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Instructions"/>
      <sheetName val="WIBLE"/>
      <sheetName val="MCS"/>
      <sheetName val="Safety _ P_A"/>
      <sheetName val="Spec"/>
      <sheetName val="Batch Comparison Template"/>
      <sheetName val="Stats Graph Template"/>
      <sheetName val="MC3(main)"/>
      <sheetName val="MC1"/>
      <sheetName val="분리멀티형"/>
      <sheetName val="NVA-300T返品リスト"/>
      <sheetName val="Table"/>
      <sheetName val="72HX"/>
      <sheetName val="75EX"/>
      <sheetName val="72HY"/>
      <sheetName val="75EY"/>
      <sheetName val="Production Database 399"/>
      <sheetName val="3D ASPIRE Table"/>
      <sheetName val="pl"/>
      <sheetName val="SPEC OF ACCOUNTS"/>
      <sheetName val="p and l"/>
      <sheetName val="23产成品_46"/>
      <sheetName val="56_%_CIVIC_Cost46"/>
      <sheetName val="hdcnt_346"/>
      <sheetName val="13_铁路配件46"/>
      <sheetName val="Consolidated_NEW46"/>
      <sheetName val="Grey_200946"/>
      <sheetName val="Chemical_200946"/>
      <sheetName val="OC_Plan46"/>
      <sheetName val="SUPP_CODE46"/>
      <sheetName val="Comet_Q202_Flash46"/>
      <sheetName val="Time_Dimension_Lookup44"/>
      <sheetName val="sales_ebit_act18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Summary_Data14"/>
      <sheetName val="Launch_Costs_TMNF14"/>
      <sheetName val="April_Antonio14"/>
      <sheetName val="Sales_Units_(3)14"/>
      <sheetName val="合并单位_(2)14"/>
      <sheetName val="dec05_pl14"/>
      <sheetName val="23产成品_47"/>
      <sheetName val="56_%_CIVIC_Cost47"/>
      <sheetName val="hdcnt_347"/>
      <sheetName val="13_铁路配件47"/>
      <sheetName val="Consolidated_NEW47"/>
      <sheetName val="Grey_200947"/>
      <sheetName val="Chemical_200947"/>
      <sheetName val="OC_Plan47"/>
      <sheetName val="SUPP_CODE47"/>
      <sheetName val="Comet_Q202_Flash47"/>
      <sheetName val="Time_Dimension_Lookup45"/>
      <sheetName val="sales_ebit_act19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Summary_Data15"/>
      <sheetName val="Launch_Costs_TMNF15"/>
      <sheetName val="April_Antonio15"/>
      <sheetName val="Sales_Units_(3)15"/>
      <sheetName val="合并单位_(2)15"/>
      <sheetName val="dec05_pl15"/>
      <sheetName val="23产成品_48"/>
      <sheetName val="56_%_CIVIC_Cost48"/>
      <sheetName val="hdcnt_348"/>
      <sheetName val="13_铁路配件48"/>
      <sheetName val="Consolidated_NEW48"/>
      <sheetName val="Grey_200948"/>
      <sheetName val="Chemical_200948"/>
      <sheetName val="OC_Plan48"/>
      <sheetName val="SUPP_CODE48"/>
      <sheetName val="Comet_Q202_Flash48"/>
      <sheetName val="Time_Dimension_Lookup46"/>
      <sheetName val="sales_ebit_act20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Summary_Data16"/>
      <sheetName val="Launch_Costs_TMNF16"/>
      <sheetName val="April_Antonio16"/>
      <sheetName val="Sales_Units_(3)16"/>
      <sheetName val="合并单位_(2)16"/>
      <sheetName val="dec05_pl16"/>
      <sheetName val="Company"/>
      <sheetName val="Related transaction accounts"/>
      <sheetName val="23产成品_50"/>
      <sheetName val="56_%_CIVIC_Cost50"/>
      <sheetName val="hdcnt_350"/>
      <sheetName val="13_铁路配件50"/>
      <sheetName val="Consolidated_NEW50"/>
      <sheetName val="Grey_200950"/>
      <sheetName val="Chemical_200950"/>
      <sheetName val="OC_Plan50"/>
      <sheetName val="SUPP_CODE50"/>
      <sheetName val="Comet_Q202_Flash50"/>
      <sheetName val="Time_Dimension_Lookup48"/>
      <sheetName val="sales_ebit_act22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Summary_Data18"/>
      <sheetName val="Launch_Costs_TMNF18"/>
      <sheetName val="April_Antonio18"/>
      <sheetName val="Sales_Units_(3)18"/>
      <sheetName val="合并单位_(2)18"/>
      <sheetName val="dec05_pl18"/>
      <sheetName val="23产成品_49"/>
      <sheetName val="56_%_CIVIC_Cost49"/>
      <sheetName val="hdcnt_349"/>
      <sheetName val="13_铁路配件49"/>
      <sheetName val="Consolidated_NEW49"/>
      <sheetName val="Grey_200949"/>
      <sheetName val="Chemical_200949"/>
      <sheetName val="OC_Plan49"/>
      <sheetName val="SUPP_CODE49"/>
      <sheetName val="Comet_Q202_Flash49"/>
      <sheetName val="Time_Dimension_Lookup47"/>
      <sheetName val="sales_ebit_act21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Summary_Data17"/>
      <sheetName val="Launch_Costs_TMNF17"/>
      <sheetName val="April_Antonio17"/>
      <sheetName val="Sales_Units_(3)17"/>
      <sheetName val="合并单位_(2)17"/>
      <sheetName val="dec05_pl17"/>
      <sheetName val="23产成品_51"/>
      <sheetName val="56_%_CIVIC_Cost51"/>
      <sheetName val="hdcnt_351"/>
      <sheetName val="13_铁路配件51"/>
      <sheetName val="Consolidated_NEW51"/>
      <sheetName val="Grey_200951"/>
      <sheetName val="Chemical_200951"/>
      <sheetName val="OC_Plan51"/>
      <sheetName val="SUPP_CODE51"/>
      <sheetName val="Comet_Q202_Flash51"/>
      <sheetName val="Time_Dimension_Lookup49"/>
      <sheetName val="sales_ebit_act23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Summary_Data19"/>
      <sheetName val="Launch_Costs_TMNF19"/>
      <sheetName val="April_Antonio19"/>
      <sheetName val="Sales_Units_(3)19"/>
      <sheetName val="合并单位_(2)19"/>
      <sheetName val="dec05_pl19"/>
      <sheetName val="23产成品_52"/>
      <sheetName val="56_%_CIVIC_Cost52"/>
      <sheetName val="hdcnt_352"/>
      <sheetName val="13_铁路配件52"/>
      <sheetName val="Consolidated_NEW52"/>
      <sheetName val="Grey_200952"/>
      <sheetName val="Chemical_200952"/>
      <sheetName val="OC_Plan52"/>
      <sheetName val="SUPP_CODE52"/>
      <sheetName val="Comet_Q202_Flash52"/>
      <sheetName val="Time_Dimension_Lookup50"/>
      <sheetName val="sales_ebit_act24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Summary_Data20"/>
      <sheetName val="Launch_Costs_TMNF20"/>
      <sheetName val="April_Antonio20"/>
      <sheetName val="Sales_Units_(3)20"/>
      <sheetName val="合并单位_(2)20"/>
      <sheetName val="dec05_pl20"/>
      <sheetName val="Costos"/>
      <sheetName val="sheet6"/>
      <sheetName val="sheet96"/>
      <sheetName val="sheet100"/>
      <sheetName val="sheet900"/>
      <sheetName val="Funnel"/>
      <sheetName val="MAR"/>
      <sheetName val="Assumptions"/>
      <sheetName val="外注實裝工數"/>
      <sheetName val="列表"/>
      <sheetName val="ShTactime"/>
      <sheetName val="cash flow, BS monthly(3)"/>
      <sheetName val="Sales Seasonality by Month"/>
      <sheetName val="PKG"/>
      <sheetName val="BEWL"/>
      <sheetName val="BOM MASTER"/>
      <sheetName val="MRN Rejection"/>
      <sheetName val="Assmptns"/>
      <sheetName val="Present Value"/>
      <sheetName val="Fixed Assets 2015"/>
      <sheetName val="总明细"/>
      <sheetName val="模具"/>
      <sheetName val="表外数据录入"/>
      <sheetName val="NHAP"/>
      <sheetName val="XUAT"/>
      <sheetName val="TEN HANG"/>
      <sheetName val="9100-PO"/>
      <sheetName val="accode"/>
      <sheetName val="23产成品_53"/>
      <sheetName val="56_%_CIVIC_Cost53"/>
      <sheetName val="hdcnt_353"/>
      <sheetName val="13_铁路配件53"/>
      <sheetName val="Consolidated_NEW53"/>
      <sheetName val="Grey_200953"/>
      <sheetName val="Chemical_200953"/>
      <sheetName val="OC_Plan53"/>
      <sheetName val="SUPP_CODE53"/>
      <sheetName val="Comet_Q202_Flash53"/>
      <sheetName val="Time_Dimension_Lookup51"/>
      <sheetName val="sales_ebit_act25"/>
      <sheetName val="_DACHSER_Price_Matrix21"/>
      <sheetName val="DHL_Price_Matrix21"/>
      <sheetName val="HOPI_Price_Matrix21"/>
      <sheetName val="LOGWIN_Price_Matrix21"/>
      <sheetName val="RHENUS_Price_Matrix21"/>
      <sheetName val="3_3_Transport_Daten21"/>
      <sheetName val="Summary_Data21"/>
      <sheetName val="Launch_Costs_TMNF21"/>
      <sheetName val="April_Antonio21"/>
      <sheetName val="Sales_Units_(3)21"/>
      <sheetName val="合并单位_(2)21"/>
      <sheetName val="dec05_pl21"/>
      <sheetName val="Av_Measures"/>
      <sheetName val="Material_BOMS"/>
      <sheetName val="Related_transaction_accounts"/>
      <sheetName val="23产成品_58"/>
      <sheetName val="56_%_CIVIC_Cost58"/>
      <sheetName val="hdcnt_358"/>
      <sheetName val="13_铁路配件58"/>
      <sheetName val="Consolidated_NEW58"/>
      <sheetName val="Grey_200958"/>
      <sheetName val="Chemical_200958"/>
      <sheetName val="OC_Plan58"/>
      <sheetName val="SUPP_CODE58"/>
      <sheetName val="Comet_Q202_Flash58"/>
      <sheetName val="Time_Dimension_Lookup56"/>
      <sheetName val="sales_ebit_act30"/>
      <sheetName val="_DACHSER_Price_Matrix26"/>
      <sheetName val="DHL_Price_Matrix26"/>
      <sheetName val="HOPI_Price_Matrix26"/>
      <sheetName val="LOGWIN_Price_Matrix26"/>
      <sheetName val="RHENUS_Price_Matrix26"/>
      <sheetName val="3_3_Transport_Daten26"/>
      <sheetName val="Summary_Data26"/>
      <sheetName val="Launch_Costs_TMNF26"/>
      <sheetName val="April_Antonio26"/>
      <sheetName val="Sales_Units_(3)26"/>
      <sheetName val="合并单位_(2)26"/>
      <sheetName val="dec05_pl26"/>
      <sheetName val="Av_Measures5"/>
      <sheetName val="Material_BOMS5"/>
      <sheetName val="Related_transaction_accounts5"/>
      <sheetName val="23产成品_56"/>
      <sheetName val="56_%_CIVIC_Cost56"/>
      <sheetName val="hdcnt_356"/>
      <sheetName val="13_铁路配件56"/>
      <sheetName val="Consolidated_NEW56"/>
      <sheetName val="Grey_200956"/>
      <sheetName val="Chemical_200956"/>
      <sheetName val="OC_Plan56"/>
      <sheetName val="SUPP_CODE56"/>
      <sheetName val="Comet_Q202_Flash56"/>
      <sheetName val="Time_Dimension_Lookup54"/>
      <sheetName val="sales_ebit_act28"/>
      <sheetName val="_DACHSER_Price_Matrix24"/>
      <sheetName val="DHL_Price_Matrix24"/>
      <sheetName val="HOPI_Price_Matrix24"/>
      <sheetName val="LOGWIN_Price_Matrix24"/>
      <sheetName val="RHENUS_Price_Matrix24"/>
      <sheetName val="3_3_Transport_Daten24"/>
      <sheetName val="Summary_Data24"/>
      <sheetName val="Launch_Costs_TMNF24"/>
      <sheetName val="April_Antonio24"/>
      <sheetName val="Sales_Units_(3)24"/>
      <sheetName val="合并单位_(2)24"/>
      <sheetName val="dec05_pl24"/>
      <sheetName val="Av_Measures3"/>
      <sheetName val="Material_BOMS3"/>
      <sheetName val="Related_transaction_accounts3"/>
      <sheetName val="23产成品_54"/>
      <sheetName val="56_%_CIVIC_Cost54"/>
      <sheetName val="hdcnt_354"/>
      <sheetName val="13_铁路配件54"/>
      <sheetName val="Consolidated_NEW54"/>
      <sheetName val="Grey_200954"/>
      <sheetName val="Chemical_200954"/>
      <sheetName val="OC_Plan54"/>
      <sheetName val="SUPP_CODE54"/>
      <sheetName val="Comet_Q202_Flash54"/>
      <sheetName val="Time_Dimension_Lookup52"/>
      <sheetName val="sales_ebit_act26"/>
      <sheetName val="_DACHSER_Price_Matrix22"/>
      <sheetName val="DHL_Price_Matrix22"/>
      <sheetName val="HOPI_Price_Matrix22"/>
      <sheetName val="LOGWIN_Price_Matrix22"/>
      <sheetName val="RHENUS_Price_Matrix22"/>
      <sheetName val="3_3_Transport_Daten22"/>
      <sheetName val="Summary_Data22"/>
      <sheetName val="Launch_Costs_TMNF22"/>
      <sheetName val="April_Antonio22"/>
      <sheetName val="Sales_Units_(3)22"/>
      <sheetName val="合并单位_(2)22"/>
      <sheetName val="dec05_pl22"/>
      <sheetName val="Av_Measures1"/>
      <sheetName val="Material_BOMS1"/>
      <sheetName val="Related_transaction_accounts1"/>
      <sheetName val="23产成品_55"/>
      <sheetName val="56_%_CIVIC_Cost55"/>
      <sheetName val="hdcnt_355"/>
      <sheetName val="13_铁路配件55"/>
      <sheetName val="Consolidated_NEW55"/>
      <sheetName val="Grey_200955"/>
      <sheetName val="Chemical_200955"/>
      <sheetName val="OC_Plan55"/>
      <sheetName val="SUPP_CODE55"/>
      <sheetName val="Comet_Q202_Flash55"/>
      <sheetName val="Time_Dimension_Lookup53"/>
      <sheetName val="sales_ebit_act27"/>
      <sheetName val="_DACHSER_Price_Matrix23"/>
      <sheetName val="DHL_Price_Matrix23"/>
      <sheetName val="HOPI_Price_Matrix23"/>
      <sheetName val="LOGWIN_Price_Matrix23"/>
      <sheetName val="RHENUS_Price_Matrix23"/>
      <sheetName val="3_3_Transport_Daten23"/>
      <sheetName val="Summary_Data23"/>
      <sheetName val="Launch_Costs_TMNF23"/>
      <sheetName val="April_Antonio23"/>
      <sheetName val="Sales_Units_(3)23"/>
      <sheetName val="合并单位_(2)23"/>
      <sheetName val="dec05_pl23"/>
      <sheetName val="Av_Measures2"/>
      <sheetName val="Material_BOMS2"/>
      <sheetName val="Related_transaction_accounts2"/>
      <sheetName val="23产成品_57"/>
      <sheetName val="56_%_CIVIC_Cost57"/>
      <sheetName val="hdcnt_357"/>
      <sheetName val="13_铁路配件57"/>
      <sheetName val="Consolidated_NEW57"/>
      <sheetName val="Grey_200957"/>
      <sheetName val="Chemical_200957"/>
      <sheetName val="OC_Plan57"/>
      <sheetName val="SUPP_CODE57"/>
      <sheetName val="Comet_Q202_Flash57"/>
      <sheetName val="Time_Dimension_Lookup55"/>
      <sheetName val="sales_ebit_act29"/>
      <sheetName val="_DACHSER_Price_Matrix25"/>
      <sheetName val="DHL_Price_Matrix25"/>
      <sheetName val="HOPI_Price_Matrix25"/>
      <sheetName val="LOGWIN_Price_Matrix25"/>
      <sheetName val="RHENUS_Price_Matrix25"/>
      <sheetName val="3_3_Transport_Daten25"/>
      <sheetName val="Summary_Data25"/>
      <sheetName val="Launch_Costs_TMNF25"/>
      <sheetName val="April_Antonio25"/>
      <sheetName val="Sales_Units_(3)25"/>
      <sheetName val="合并单位_(2)25"/>
      <sheetName val="dec05_pl25"/>
      <sheetName val="Av_Measures4"/>
      <sheetName val="Material_BOMS4"/>
      <sheetName val="Related_transaction_accounts4"/>
      <sheetName val="k-line"/>
      <sheetName val="SPP current as of 1-3-01"/>
      <sheetName val="Pull HP Wide"/>
      <sheetName val="Pull All SFs"/>
      <sheetName val="URBANO P EST"/>
      <sheetName val="FA-LISTING"/>
      <sheetName val="Sheet49"/>
      <sheetName val="新品台帐"/>
      <sheetName val="科目余额"/>
      <sheetName val="K110"/>
      <sheetName val="G210"/>
      <sheetName val="O111"/>
      <sheetName val="Activity"/>
      <sheetName val="Strategy"/>
      <sheetName val="Input Lists &amp; Types"/>
      <sheetName val="재무누계"/>
      <sheetName val="Leap PO Std."/>
      <sheetName val="Quantum PO Std"/>
      <sheetName val="master PO"/>
      <sheetName val="23年到周-型号"/>
      <sheetName val="Detail pg 5"/>
      <sheetName val="FY03CostStructure"/>
      <sheetName val="SPESE DI MANUTENZIONE"/>
      <sheetName val="APJSum"/>
      <sheetName val="EMEASum"/>
      <sheetName val="HPCoSum"/>
      <sheetName val="OGSum"/>
      <sheetName val="WWSum"/>
      <sheetName val="CE96"/>
      <sheetName val="莱阳厨电效率日清"/>
      <sheetName val="Sheet5"/>
      <sheetName val="Input area"/>
      <sheetName val="加計3 加計ﾌﾟﾗｽ ｲﾝﾌﾟｯﾄ"/>
      <sheetName val="Sales_p8"/>
      <sheetName val="B"/>
      <sheetName val="Database"/>
      <sheetName val="세부내용"/>
      <sheetName val="Q4 CURRENCY"/>
      <sheetName val="43期事業計劃資料(psi)"/>
      <sheetName val="40期事業計劃資料"/>
      <sheetName val="SHIFT OEE REPORT"/>
      <sheetName val="tABLES"/>
      <sheetName val="dropdown ทั้งหมด"/>
      <sheetName val="22年计划"/>
      <sheetName val="品種別事前"/>
      <sheetName val="品種別實績"/>
      <sheetName val="品種別計劃 "/>
      <sheetName val="累計品種別實績"/>
      <sheetName val="累計品種別計劃"/>
      <sheetName val="ｵﾗｸﾙからﾃﾞｰﾀ移行（0209）"/>
      <sheetName val="UPPER BLOCK"/>
      <sheetName val="HDa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Dialog3"/>
      <sheetName val="Dialog1"/>
      <sheetName val="Tﾁｬｰﾄ"/>
      <sheetName val="DATA"/>
      <sheetName val="抽出1"/>
      <sheetName val="CDF"/>
      <sheetName val="未入力"/>
      <sheetName val="MTL1"/>
      <sheetName val="审核总览"/>
      <sheetName val="OTC"/>
      <sheetName val="FP"/>
      <sheetName val="Time Dimension Lookup"/>
      <sheetName val="假设"/>
      <sheetName val="sum14zc1"/>
      <sheetName val="XL4Poppy"/>
      <sheetName val="NVA-300T返品リスト"/>
      <sheetName val="Ref1"/>
      <sheetName val="dec05 pl"/>
      <sheetName val="Sheet1"/>
      <sheetName val="WIBLE"/>
      <sheetName val="SPals"/>
      <sheetName val="Sheet2"/>
      <sheetName val="tables"/>
      <sheetName val="Pull HP Wide"/>
      <sheetName val="Pull All SFs"/>
      <sheetName val="LOV"/>
      <sheetName val="AmeSum"/>
      <sheetName val="Comet ASPIRE"/>
      <sheetName val="Comet Sequential"/>
      <sheetName val="Comet yoy"/>
      <sheetName val="改善路径"/>
      <sheetName val="Sheet3"/>
      <sheetName val="自制件材料价格"/>
      <sheetName val="PLALL2"/>
      <sheetName val="DATA集計JP"/>
      <sheetName val="PLALL"/>
      <sheetName val="FA-LISTING"/>
      <sheetName val="Restate"/>
      <sheetName val="Oct FW42 BaaN for G-Line"/>
      <sheetName val="분리멀티형"/>
      <sheetName val="po list"/>
      <sheetName val="Spec"/>
      <sheetName val="23年到周-型号"/>
      <sheetName val="Attachment-4(2)"/>
      <sheetName val="Total Financials"/>
      <sheetName val="Raw materials"/>
      <sheetName val="莱阳厨电效率日清"/>
      <sheetName val="Original"/>
      <sheetName val="PO File 2002"/>
      <sheetName val="PO File 2002 Final"/>
      <sheetName val="Launch Costs TMNF"/>
      <sheetName val="April Antonio"/>
      <sheetName val="k-line"/>
      <sheetName val="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By Site-In Progress"/>
      <sheetName val="By CBT-In Progress"/>
      <sheetName val="By Site-Hopper"/>
      <sheetName val="By CBT-Hopper"/>
      <sheetName val="DMP Report_By Site-In Progress"/>
      <sheetName val="DMP Report_By Site-Hopper"/>
      <sheetName val="DMI Report_By CBT-In Progress"/>
      <sheetName val="DMI Report_By CBT-Hopper"/>
      <sheetName val="DMI Inflation_By CBT-In Prog"/>
      <sheetName val="DMI Inflation_By CBT-Hopper"/>
      <sheetName val="#REF"/>
      <sheetName val="Table"/>
      <sheetName val="Table1"/>
      <sheetName val="DELISTED DATA"/>
      <sheetName val="BRK BY LOCATION"/>
      <sheetName val="Sheet2"/>
      <sheetName val="QMI Monthly Summary Reports_FW0"/>
      <sheetName val="Container Cost Assumptions"/>
      <sheetName val="Cont Cost Var by Month (SII)"/>
      <sheetName val="Sheet1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Data Source1"/>
      <sheetName val="PLALL"/>
      <sheetName val="Quantum PO Std"/>
      <sheetName val="Leap PO Std."/>
      <sheetName val="AR Signature Page"/>
      <sheetName val="SPP current as of 1-3-01"/>
      <sheetName val="Total Financials"/>
      <sheetName val="APJSum"/>
      <sheetName val="AmeSum"/>
      <sheetName val="EMEASum"/>
      <sheetName val="HPCoSum"/>
      <sheetName val="OGSum"/>
      <sheetName val="WWSum"/>
      <sheetName val="#BEZUG"/>
      <sheetName val="Summary"/>
      <sheetName val="Top Lvl  Logic"/>
      <sheetName val="Parts"/>
      <sheetName val="Process"/>
      <sheetName val="Tables"/>
      <sheetName val="MTL1"/>
      <sheetName val="9100-PO"/>
      <sheetName val="Spec"/>
      <sheetName val="Meas Acceptance Template"/>
      <sheetName val="Batch Comparison Template"/>
      <sheetName val="Meas Indv Template"/>
      <sheetName val="Basic PMM"/>
      <sheetName val="Full PMM"/>
      <sheetName val="4 审核发现描述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DEFECT"/>
      <sheetName val="#REF"/>
      <sheetName val="Total Financials"/>
      <sheetName val="tables"/>
      <sheetName val="NCAB"/>
      <sheetName val="2TUP"/>
      <sheetName val="s-code"/>
      <sheetName val="分類"/>
      <sheetName val="国ｺｰﾄﾞ"/>
      <sheetName val="COST"/>
      <sheetName val="COST O.K."/>
      <sheetName val="HärQ"/>
      <sheetName val="COST_O_K_"/>
      <sheetName val="DEFECT.XLS"/>
      <sheetName val="業務計画"/>
      <sheetName val="_B007"/>
      <sheetName val="part list ext crew"/>
      <sheetName val="工数比較２"/>
      <sheetName val="Report for CCD-Dec.05"/>
      <sheetName val="หน้าหลัก"/>
      <sheetName val="Graph 2 month"/>
      <sheetName val="投資利益率計算"/>
      <sheetName val="ACT -2005 Rear"/>
      <sheetName val="総合B"/>
      <sheetName val="04年度長期操業予測_金額_0408月3発反映_長計修正"/>
      <sheetName val="INPUT SHEET"/>
      <sheetName val="静ﾊﾟﾀﾝ分析"/>
      <sheetName val="ポンプ作動耐久回数検討"/>
      <sheetName val="ITEM"/>
      <sheetName val="Sheet1"/>
      <sheetName val="Orig Study for PPAP"/>
      <sheetName val="96・(・・)"/>
      <sheetName val="ﾕｰｻﾞｰ設定"/>
      <sheetName val="COST_O_K_1"/>
      <sheetName val="part_list_ext_crew"/>
      <sheetName val="Report_for_CCD-Dec_05"/>
      <sheetName val="Orig_Study_for_PPAP"/>
      <sheetName val="DEFECT_XLS"/>
      <sheetName val="Graph_2_month"/>
      <sheetName val="COST_O_K_3"/>
      <sheetName val="part_list_ext_crew2"/>
      <sheetName val="Report_for_CCD-Dec_052"/>
      <sheetName val="Orig_Study_for_PPAP2"/>
      <sheetName val="DEFECT_XLS2"/>
      <sheetName val="Graph_2_month2"/>
      <sheetName val="COST_O_K_2"/>
      <sheetName val="part_list_ext_crew1"/>
      <sheetName val="Report_for_CCD-Dec_051"/>
      <sheetName val="Orig_Study_for_PPAP1"/>
      <sheetName val="DEFECT_XLS1"/>
      <sheetName val="Graph_2_month1"/>
      <sheetName val="実績推移"/>
      <sheetName val="電子見積(05.11.8)"/>
      <sheetName val="QC APPROVE SHEET"/>
      <sheetName val="QR20-1101"/>
      <sheetName val="MK-650A_ADD"/>
      <sheetName val="発注書"/>
      <sheetName val="TOTAL"/>
      <sheetName val="日程"/>
      <sheetName val="Sheet3"/>
      <sheetName val="ACT_-2005_Rear"/>
      <sheetName val="1-C,D,E"/>
      <sheetName val="SPEC LIST"/>
      <sheetName val="C"/>
      <sheetName val="Drop down list"/>
      <sheetName val="9100-PO"/>
      <sheetName val="Raw materials"/>
      <sheetName val="Basic PMM"/>
      <sheetName val="Full PMM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PLALL"/>
      <sheetName val="机床"/>
      <sheetName val="NVA-300T返品リスト"/>
      <sheetName val="SPP current as of 1-3-01"/>
      <sheetName val="#BEZ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Leap PO Std."/>
      <sheetName val="Quantum PO Std"/>
      <sheetName val="Tables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precios facturados a GE"/>
      <sheetName val="Optimize"/>
      <sheetName val="00"/>
      <sheetName val="#BEZUG"/>
      <sheetName val="SPP current as of 1-3-01"/>
      <sheetName val="QC APPROVE SHEET"/>
      <sheetName val="PLALL"/>
      <sheetName val="NEW003"/>
      <sheetName val="Tﾁｬｰﾄ"/>
      <sheetName val="Summary"/>
      <sheetName val="Top Lvl  Logic"/>
      <sheetName val="Parts"/>
      <sheetName val="Process"/>
      <sheetName val="Basic PMM"/>
      <sheetName val="Full PMM"/>
      <sheetName val="XL4Poppy"/>
      <sheetName val="AmeSum"/>
      <sheetName val="BaaN FW47"/>
      <sheetName val="Sep BaaN"/>
      <sheetName val="Meas Acceptance Template"/>
      <sheetName val="Batch Comparison Template"/>
      <sheetName val="Meas Indv Template"/>
      <sheetName val="4 审核发现描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NVA-300T返品リスト"/>
      <sheetName val="集計ﾃﾞｰﾀ"/>
      <sheetName val="まとめ"/>
      <sheetName val="区分別リスト"/>
      <sheetName val="原因別"/>
      <sheetName val="部品"/>
      <sheetName val="Sheet5"/>
      <sheetName val="市場取扱"/>
      <sheetName val="300ｼﾘｰｽﾞ1"/>
      <sheetName val="300ｼﾘｰｽﾞ2"/>
      <sheetName val="三洋モデル"/>
      <sheetName val="市場返品リスト"/>
      <sheetName val="生産・実販★"/>
      <sheetName val="FA-LISTING"/>
      <sheetName val="Tables"/>
      <sheetName val="PLALL"/>
      <sheetName val="DB"/>
      <sheetName val="岗位分类规则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(9月度)S300Tシリーズ不良集計その3(原因別集計)"/>
      <sheetName val="Raw materials"/>
      <sheetName val="WIBLE"/>
      <sheetName val="LINK MOR"/>
      <sheetName val="FY01 Actuals"/>
      <sheetName val="FY00 Restated"/>
      <sheetName val="FY01 Quota"/>
      <sheetName val="公司"/>
      <sheetName val="工厂"/>
      <sheetName val="经营体"/>
      <sheetName val="供应商"/>
      <sheetName val="Sales Units (3)"/>
      <sheetName val="AR Signature Page"/>
      <sheetName val="单元格下拉项"/>
      <sheetName val="SUM14ZC1"/>
      <sheetName val="sheet4"/>
      <sheetName val="sheet6"/>
      <sheetName val="sheet96"/>
      <sheetName val="sheet100"/>
      <sheetName val="sheet900"/>
      <sheetName val="Quantum PO Std"/>
      <sheetName val="Leap PO Std."/>
      <sheetName val="00"/>
      <sheetName val="Summary"/>
      <sheetName val="Top Lvl  Logic"/>
      <sheetName val="Parts"/>
      <sheetName val="Process"/>
      <sheetName val="Spec"/>
      <sheetName val="Conteggi"/>
      <sheetName val="產品基本信息"/>
      <sheetName val="Batch Comparison Template"/>
      <sheetName val="审核总览"/>
      <sheetName val="Stats Graph Template"/>
      <sheetName val="3D ASPIRE Table"/>
      <sheetName val="Pull HP Wide"/>
      <sheetName val="Pull All SFs"/>
      <sheetName val="Optimize"/>
      <sheetName val="Total Financials"/>
    </sheetNames>
    <definedNames>
      <definedName name="DELALL"/>
      <definedName name="SORT1"/>
      <definedName name="SORT2"/>
      <definedName name="SORTALL"/>
      <definedName name="DEL1" refersTo="=#NAME?"/>
      <definedName name="DEL2" refersTo="=#NAME?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Tolerance Analysis"/>
      <sheetName val="Panel"/>
      <sheetName val="Resource"/>
      <sheetName val="Batch Comparison Template"/>
      <sheetName val="Stats Graph Template"/>
      <sheetName val="Meas Batch Template"/>
      <sheetName val="Meas Indv Template"/>
      <sheetName val="Meas Acceptance Template"/>
      <sheetName val="Measurements_Addin"/>
      <sheetName val="#BEZUG"/>
      <sheetName val="9100-PO"/>
      <sheetName val="tables"/>
      <sheetName val="UPPER BLOCK"/>
      <sheetName val="假设"/>
      <sheetName val="HDa16"/>
      <sheetName val="costos fw 52"/>
      <sheetName val="FY03CostStructure"/>
      <sheetName val="產品基本信息"/>
      <sheetName val="Raw materials"/>
      <sheetName val="Spec"/>
      <sheetName val="13_Initial_Process_Study"/>
      <sheetName val="Tolerance_Analysis1"/>
      <sheetName val="Batch_Comparison_Template1"/>
      <sheetName val="Stats_Graph_Template1"/>
      <sheetName val="Meas_Batch_Template1"/>
      <sheetName val="Meas_Indv_Template1"/>
      <sheetName val="Meas_Acceptance_Template1"/>
      <sheetName val="Tolerance_Analysis"/>
      <sheetName val="Batch_Comparison_Template"/>
      <sheetName val="Stats_Graph_Template"/>
      <sheetName val="Meas_Batch_Template"/>
      <sheetName val="Meas_Indv_Template"/>
      <sheetName val="Meas_Acceptance_Template"/>
      <sheetName val="Tolerance_Analysis2"/>
      <sheetName val="Batch_Comparison_Template2"/>
      <sheetName val="Stats_Graph_Template2"/>
      <sheetName val="Meas_Batch_Template2"/>
      <sheetName val="Meas_Indv_Template2"/>
      <sheetName val="Meas_Acceptance_Template2"/>
      <sheetName val="Tolerance_Analysis3"/>
      <sheetName val="Batch_Comparison_Template3"/>
      <sheetName val="Stats_Graph_Template3"/>
      <sheetName val="Meas_Batch_Template3"/>
      <sheetName val="Meas_Indv_Template3"/>
      <sheetName val="Meas_Acceptance_Template3"/>
      <sheetName val="pick lists"/>
      <sheetName val="NVA-300T返品リスト"/>
      <sheetName val="SPals"/>
      <sheetName val="00"/>
      <sheetName val="4 审核发现描述"/>
      <sheetName val="SPP current as of 1-3-01"/>
      <sheetName val="Quantum PO Std"/>
      <sheetName val="Leap PO Std."/>
      <sheetName val="Basic PMM"/>
      <sheetName val="Full PMM"/>
      <sheetName val="WIBLE"/>
      <sheetName val="FY01 Actuals"/>
      <sheetName val="FY00 Restated"/>
      <sheetName val="FY01 Quota"/>
      <sheetName val="PL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用户需求评分"/>
      <sheetName val="Sheet1"/>
      <sheetName val="re-sort"/>
      <sheetName val="分群评分"/>
      <sheetName val="工作表6"/>
      <sheetName val="Basic PMM"/>
      <sheetName val="Full PMM"/>
      <sheetName val="Sheet3"/>
      <sheetName val="工厂"/>
      <sheetName val="Pull HP Wide"/>
      <sheetName val="Pull All SFs"/>
      <sheetName val="產品基本信息"/>
      <sheetName val="abbr"/>
      <sheetName val="Quantum PO Std"/>
      <sheetName val="Leap PO Std."/>
      <sheetName val="ANALISIS"/>
      <sheetName val="FA-LISTING"/>
      <sheetName val="Optimize"/>
      <sheetName val="未闭环"/>
      <sheetName val="MTL1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WIBLE"/>
      <sheetName val="FY01 Actuals"/>
      <sheetName val="FY00 Restated"/>
      <sheetName val="FY01 Quota"/>
      <sheetName val="公司"/>
      <sheetName val="经营体"/>
      <sheetName val="供应商"/>
      <sheetName val="tables"/>
      <sheetName val="Batch Comparison Template"/>
      <sheetName val="Stats Graph Template"/>
      <sheetName val="Sheet2"/>
      <sheetName val="目标体系横轴矩阵"/>
      <sheetName val="QC APPROVE SHEET"/>
      <sheetName val="BaaN FW47"/>
      <sheetName val="Sep B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Talk Sheet"/>
      <sheetName val="Powerpoint"/>
      <sheetName val="Cash Flow Graph"/>
      <sheetName val="Baseline volume graph"/>
      <sheetName val="Cost details"/>
      <sheetName val="Program Inputs"/>
      <sheetName val="SKU Data Input"/>
      <sheetName val="NPI Scorecard Data"/>
      <sheetName val="SKU FILE"/>
      <sheetName val="Benefits Pivot"/>
      <sheetName val="Fixed calculations"/>
      <sheetName val="I&amp;E Input"/>
      <sheetName val="Start-up"/>
      <sheetName val="Other Costs &amp; Income"/>
      <sheetName val="Floor Loads"/>
      <sheetName val="Commercial Benefits"/>
      <sheetName val="OSA"/>
      <sheetName val="MABE Transfer FX"/>
      <sheetName val="Financial"/>
      <sheetName val="Quality"/>
      <sheetName val="base daewoo"/>
      <sheetName val="2014 Stds"/>
      <sheetName val="GROSS_DCRR by Yr"/>
      <sheetName val="GROSS_DCRR by Q"/>
      <sheetName val="Inc_DCRR by Yr"/>
      <sheetName val="Inc_DCRR by Q"/>
      <sheetName val="Depreciation Tables"/>
      <sheetName val="Deck File"/>
      <sheetName val="PL detail"/>
      <sheetName val="工厂"/>
      <sheetName val="AR Signature Page"/>
      <sheetName val="MCS"/>
      <sheetName val="APJSum"/>
      <sheetName val="AmeSum"/>
      <sheetName val="EMEASum"/>
      <sheetName val="HPCoSum"/>
      <sheetName val="OGSum"/>
      <sheetName val="WWSum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Summary"/>
      <sheetName val="Top Lvl  Logic"/>
      <sheetName val="Parts"/>
      <sheetName val="Process"/>
      <sheetName val="Batch Comparison Template"/>
      <sheetName val="Stats Graph Template"/>
      <sheetName val="BaaN FW47"/>
      <sheetName val="Sep BaaN"/>
      <sheetName val="Pull HP Wide"/>
      <sheetName val="Pull All SFs"/>
      <sheetName val="Basic PMM"/>
      <sheetName val="Full PMM"/>
      <sheetName val="Comet ASPIRE"/>
      <sheetName val="Comet Sequential"/>
      <sheetName val="Comet yoy"/>
      <sheetName val="Spec"/>
      <sheetName val="Foams"/>
      <sheetName val="Grid"/>
      <sheetName val="审核总览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NEW003"/>
      <sheetName val="Instructions"/>
      <sheetName val="Sheet1"/>
      <sheetName val="Dates"/>
      <sheetName val="EPR"/>
      <sheetName val="VSAMS Summary"/>
      <sheetName val="Glossary"/>
      <sheetName val="Contents"/>
      <sheetName val="SPP current as of 1-3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Control Panel"/>
      <sheetName val="Forecast"/>
      <sheetName val="WW Total HPCI"/>
      <sheetName val="EMEA"/>
      <sheetName val="Americas"/>
      <sheetName val="LatinAm"/>
      <sheetName val="NAM"/>
      <sheetName val="NAM w-o Smartc."/>
      <sheetName val="GGM Sum"/>
      <sheetName val="HPCI P&amp;L Trend (Blue)"/>
      <sheetName val="HPCI P&amp;L Trend % (Blue)"/>
      <sheetName val="PL4K P&amp;L Trend"/>
      <sheetName val="PL4K P&amp;L Trend %"/>
      <sheetName val="PL79 P&amp;L Trend"/>
      <sheetName val="PL79 P&amp;L Trend %"/>
      <sheetName val="HPCI-COMET Comparison (Blue)"/>
      <sheetName val="Global OH (Blue)"/>
      <sheetName val="Headcount Reconciliation (Blue)"/>
      <sheetName val="Headcount Trend"/>
      <sheetName val="PL4K Labor Trend"/>
      <sheetName val="3D P&amp;L Vs ASPIRE (Blue)"/>
      <sheetName val="COMET P&amp;L Trend (Blue)"/>
      <sheetName val="COMET P&amp;L Trend % (Blue)"/>
      <sheetName val="FY02 Adjusted P&amp;L (Blue)"/>
      <sheetName val="Adjustment DTL (Blue)"/>
      <sheetName val="GGM Cap. Change Pull"/>
      <sheetName val="GGM Residual Pull"/>
      <sheetName val="GGM Local OH Pull"/>
      <sheetName val="GGM Allocs Pull"/>
      <sheetName val="GGM Oth Inc(Exp) Pull"/>
      <sheetName val="Smartcontact Gain Pull"/>
      <sheetName val="GGM Revenue Fall Out"/>
      <sheetName val="GGM Residual Fall Out"/>
      <sheetName val="Global OH Pull"/>
      <sheetName val="EN50_47 Global Pull"/>
      <sheetName val="Labor Pull"/>
      <sheetName val="Forecast Accuracy Trend"/>
      <sheetName val="COMET Pull"/>
      <sheetName val="WW P&amp;L Table"/>
      <sheetName val="WW Goal Table"/>
      <sheetName val="AsiaPac+Jpn"/>
      <sheetName val="AsiaPac"/>
      <sheetName val="Jpn"/>
      <sheetName val="GGM CF Pull"/>
      <sheetName val="HPC Region P&amp;L Table"/>
      <sheetName val="HPC Region Goal Table"/>
      <sheetName val="PL Region P&amp;L Table"/>
      <sheetName val="PL Region Goal Table"/>
      <sheetName val="3D P&amp;L Table"/>
      <sheetName val="Global OH Actuals Table"/>
      <sheetName val="Global OH Goal Table"/>
      <sheetName val="Geo Hc Actual Table"/>
      <sheetName val="Geo Hc Goal Table"/>
      <sheetName val="3D ASPIRE Table"/>
      <sheetName val="GGM Backlog Table"/>
      <sheetName val="COMET FY01 Pull"/>
      <sheetName val="Labor Pull FY01"/>
      <sheetName val="Tables"/>
      <sheetName val="DIO"/>
      <sheetName val="STD. COST"/>
      <sheetName val="面积指标"/>
      <sheetName val="Pull HP Wide"/>
      <sheetName val="Pull All SFs"/>
      <sheetName val="MANPOWER"/>
      <sheetName val="分产品销售收入、成本分析表"/>
      <sheetName val="APJSum"/>
      <sheetName val="AmeSum"/>
      <sheetName val="EMEASum"/>
      <sheetName val="HPCoSum"/>
      <sheetName val="OGSum"/>
      <sheetName val="WWSum"/>
      <sheetName val="Comet ASPIRE"/>
      <sheetName val="Comet Sequential"/>
      <sheetName val="Comet yoy"/>
      <sheetName val="FY01 Actuals"/>
      <sheetName val="FY00 Restated"/>
      <sheetName val="FY01 Quota"/>
      <sheetName val="WIBLE"/>
      <sheetName val="INPUT - Data Table"/>
      <sheetName val="Instructions"/>
      <sheetName val="Basic PMM"/>
      <sheetName val="Full PMM"/>
      <sheetName val="BaaN FW47"/>
      <sheetName val="Sep BaaN"/>
      <sheetName val="Activity"/>
      <sheetName val="Consumables"/>
      <sheetName val="Labour costs"/>
      <sheetName val="LOV"/>
      <sheetName val="013 - การสั่งการ"/>
      <sheetName val="Funnel"/>
      <sheetName val="PLALL"/>
      <sheetName val="选择报表"/>
      <sheetName val="写字楼B"/>
      <sheetName val="A翼写字楼"/>
      <sheetName val="Comet Q202 Flash"/>
      <sheetName val="Planet_Ame"/>
      <sheetName val="Planet_AP"/>
      <sheetName val="Planet_EMEA"/>
      <sheetName val="Planet_OG"/>
      <sheetName val="Planet_WW"/>
      <sheetName val="成本表"/>
      <sheetName val="Parameters"/>
      <sheetName val="CateringBanqTable"/>
      <sheetName val="KitchenTable"/>
      <sheetName val="Rooms Table"/>
      <sheetName val="SalesTable"/>
      <sheetName val="SpaTable"/>
      <sheetName val="Control_Panel"/>
      <sheetName val="WW_Total_HPCI"/>
      <sheetName val="NAM_w-o_Smartc_"/>
      <sheetName val="GGM_Sum"/>
      <sheetName val="HPCI_P&amp;L_Trend_(Blue)"/>
      <sheetName val="HPCI_P&amp;L_Trend_%_(Blue)"/>
      <sheetName val="PL4K_P&amp;L_Trend"/>
      <sheetName val="PL4K_P&amp;L_Trend_%"/>
      <sheetName val="PL79_P&amp;L_Trend"/>
      <sheetName val="PL79_P&amp;L_Trend_%"/>
      <sheetName val="HPCI-COMET_Comparison_(Blue)"/>
      <sheetName val="Global_OH_(Blue)"/>
      <sheetName val="Headcount_Reconciliation_(Blue)"/>
      <sheetName val="Headcount_Trend"/>
      <sheetName val="PL4K_Labor_Trend"/>
      <sheetName val="3D_P&amp;L_Vs_ASPIRE_(Blue)"/>
      <sheetName val="COMET_P&amp;L_Trend_(Blue)"/>
      <sheetName val="COMET_P&amp;L_Trend_%_(Blue)"/>
      <sheetName val="FY02_Adjusted_P&amp;L_(Blue)"/>
      <sheetName val="Adjustment_DTL_(Blue)"/>
      <sheetName val="GGM_Cap__Change_Pull"/>
      <sheetName val="GGM_Residual_Pull"/>
      <sheetName val="GGM_Local_OH_Pull"/>
      <sheetName val="GGM_Allocs_Pull"/>
      <sheetName val="GGM_Oth_Inc(Exp)_Pull"/>
      <sheetName val="Smartcontact_Gain_Pull"/>
      <sheetName val="GGM_Revenue_Fall_Out"/>
      <sheetName val="GGM_Residual_Fall_Out"/>
      <sheetName val="Global_OH_Pull"/>
      <sheetName val="EN50_47_Global_Pull"/>
      <sheetName val="Labor_Pull"/>
      <sheetName val="Forecast_Accuracy_Trend"/>
      <sheetName val="COMET_Pull"/>
      <sheetName val="WW_P&amp;L_Table"/>
      <sheetName val="WW_Goal_Table"/>
      <sheetName val="GGM_CF_Pull"/>
      <sheetName val="HPC_Region_P&amp;L_Table"/>
      <sheetName val="HPC_Region_Goal_Table"/>
      <sheetName val="PL_Region_P&amp;L_Table"/>
      <sheetName val="PL_Region_Goal_Table"/>
      <sheetName val="3D_P&amp;L_Table"/>
      <sheetName val="Global_OH_Actuals_Table"/>
      <sheetName val="Global_OH_Goal_Table"/>
      <sheetName val="Geo_Hc_Actual_Table"/>
      <sheetName val="Geo_Hc_Goal_Table"/>
      <sheetName val="3D_ASPIRE_Table"/>
      <sheetName val="GGM_Backlog_Table"/>
      <sheetName val="COMET_FY01_Pull"/>
      <sheetName val="Labor_Pull_FY01"/>
      <sheetName val="Pull_HP_Wide"/>
      <sheetName val="Pull_All_SFs"/>
      <sheetName val="STD__COST"/>
      <sheetName val="013_-_การสั่งการ"/>
      <sheetName val="Control_Panel3"/>
      <sheetName val="WW_Total_HPCI3"/>
      <sheetName val="NAM_w-o_Smartc_3"/>
      <sheetName val="GGM_Sum3"/>
      <sheetName val="HPCI_P&amp;L_Trend_(Blue)3"/>
      <sheetName val="HPCI_P&amp;L_Trend_%_(Blue)3"/>
      <sheetName val="PL4K_P&amp;L_Trend3"/>
      <sheetName val="PL4K_P&amp;L_Trend_%3"/>
      <sheetName val="PL79_P&amp;L_Trend3"/>
      <sheetName val="PL79_P&amp;L_Trend_%3"/>
      <sheetName val="HPCI-COMET_Comparison_(Blue)3"/>
      <sheetName val="Global_OH_(Blue)3"/>
      <sheetName val="Headcount_Reconciliation_(Blue3"/>
      <sheetName val="Headcount_Trend3"/>
      <sheetName val="PL4K_Labor_Trend3"/>
      <sheetName val="3D_P&amp;L_Vs_ASPIRE_(Blue)3"/>
      <sheetName val="COMET_P&amp;L_Trend_(Blue)3"/>
      <sheetName val="COMET_P&amp;L_Trend_%_(Blue)3"/>
      <sheetName val="FY02_Adjusted_P&amp;L_(Blue)3"/>
      <sheetName val="Adjustment_DTL_(Blue)3"/>
      <sheetName val="GGM_Cap__Change_Pull3"/>
      <sheetName val="GGM_Residual_Pull3"/>
      <sheetName val="GGM_Local_OH_Pull3"/>
      <sheetName val="GGM_Allocs_Pull3"/>
      <sheetName val="GGM_Oth_Inc(Exp)_Pull3"/>
      <sheetName val="Smartcontact_Gain_Pull3"/>
      <sheetName val="GGM_Revenue_Fall_Out3"/>
      <sheetName val="GGM_Residual_Fall_Out3"/>
      <sheetName val="Global_OH_Pull3"/>
      <sheetName val="EN50_47_Global_Pull3"/>
      <sheetName val="Labor_Pull3"/>
      <sheetName val="Forecast_Accuracy_Trend3"/>
      <sheetName val="COMET_Pull3"/>
      <sheetName val="WW_P&amp;L_Table3"/>
      <sheetName val="WW_Goal_Table3"/>
      <sheetName val="GGM_CF_Pull3"/>
      <sheetName val="HPC_Region_P&amp;L_Table3"/>
      <sheetName val="HPC_Region_Goal_Table3"/>
      <sheetName val="PL_Region_P&amp;L_Table3"/>
      <sheetName val="PL_Region_Goal_Table3"/>
      <sheetName val="3D_P&amp;L_Table3"/>
      <sheetName val="Global_OH_Actuals_Table3"/>
      <sheetName val="Global_OH_Goal_Table3"/>
      <sheetName val="Geo_Hc_Actual_Table3"/>
      <sheetName val="Geo_Hc_Goal_Table3"/>
      <sheetName val="3D_ASPIRE_Table3"/>
      <sheetName val="GGM_Backlog_Table3"/>
      <sheetName val="COMET_FY01_Pull3"/>
      <sheetName val="Labor_Pull_FY013"/>
      <sheetName val="Pull_HP_Wide3"/>
      <sheetName val="Pull_All_SFs3"/>
      <sheetName val="STD__COST3"/>
      <sheetName val="013_-_การสั่งการ3"/>
      <sheetName val="INPUT_-_Data_Table1"/>
      <sheetName val="Control_Panel1"/>
      <sheetName val="WW_Total_HPCI1"/>
      <sheetName val="NAM_w-o_Smartc_1"/>
      <sheetName val="GGM_Sum1"/>
      <sheetName val="HPCI_P&amp;L_Trend_(Blue)1"/>
      <sheetName val="HPCI_P&amp;L_Trend_%_(Blue)1"/>
      <sheetName val="PL4K_P&amp;L_Trend1"/>
      <sheetName val="PL4K_P&amp;L_Trend_%1"/>
      <sheetName val="PL79_P&amp;L_Trend1"/>
      <sheetName val="PL79_P&amp;L_Trend_%1"/>
      <sheetName val="HPCI-COMET_Comparison_(Blue)1"/>
      <sheetName val="Global_OH_(Blue)1"/>
      <sheetName val="Headcount_Reconciliation_(Blue1"/>
      <sheetName val="Headcount_Trend1"/>
      <sheetName val="PL4K_Labor_Trend1"/>
      <sheetName val="3D_P&amp;L_Vs_ASPIRE_(Blue)1"/>
      <sheetName val="COMET_P&amp;L_Trend_(Blue)1"/>
      <sheetName val="COMET_P&amp;L_Trend_%_(Blue)1"/>
      <sheetName val="FY02_Adjusted_P&amp;L_(Blue)1"/>
      <sheetName val="Adjustment_DTL_(Blue)1"/>
      <sheetName val="GGM_Cap__Change_Pull1"/>
      <sheetName val="GGM_Residual_Pull1"/>
      <sheetName val="GGM_Local_OH_Pull1"/>
      <sheetName val="GGM_Allocs_Pull1"/>
      <sheetName val="GGM_Oth_Inc(Exp)_Pull1"/>
      <sheetName val="Smartcontact_Gain_Pull1"/>
      <sheetName val="GGM_Revenue_Fall_Out1"/>
      <sheetName val="GGM_Residual_Fall_Out1"/>
      <sheetName val="Global_OH_Pull1"/>
      <sheetName val="EN50_47_Global_Pull1"/>
      <sheetName val="Labor_Pull1"/>
      <sheetName val="Forecast_Accuracy_Trend1"/>
      <sheetName val="COMET_Pull1"/>
      <sheetName val="WW_P&amp;L_Table1"/>
      <sheetName val="WW_Goal_Table1"/>
      <sheetName val="GGM_CF_Pull1"/>
      <sheetName val="HPC_Region_P&amp;L_Table1"/>
      <sheetName val="HPC_Region_Goal_Table1"/>
      <sheetName val="PL_Region_P&amp;L_Table1"/>
      <sheetName val="PL_Region_Goal_Table1"/>
      <sheetName val="3D_P&amp;L_Table1"/>
      <sheetName val="Global_OH_Actuals_Table1"/>
      <sheetName val="Global_OH_Goal_Table1"/>
      <sheetName val="Geo_Hc_Actual_Table1"/>
      <sheetName val="Geo_Hc_Goal_Table1"/>
      <sheetName val="3D_ASPIRE_Table1"/>
      <sheetName val="GGM_Backlog_Table1"/>
      <sheetName val="COMET_FY01_Pull1"/>
      <sheetName val="Labor_Pull_FY011"/>
      <sheetName val="Pull_HP_Wide1"/>
      <sheetName val="Pull_All_SFs1"/>
      <sheetName val="STD__COST1"/>
      <sheetName val="013_-_การสั่งการ1"/>
      <sheetName val="Control_Panel2"/>
      <sheetName val="WW_Total_HPCI2"/>
      <sheetName val="NAM_w-o_Smartc_2"/>
      <sheetName val="GGM_Sum2"/>
      <sheetName val="HPCI_P&amp;L_Trend_(Blue)2"/>
      <sheetName val="HPCI_P&amp;L_Trend_%_(Blue)2"/>
      <sheetName val="PL4K_P&amp;L_Trend2"/>
      <sheetName val="PL4K_P&amp;L_Trend_%2"/>
      <sheetName val="PL79_P&amp;L_Trend2"/>
      <sheetName val="PL79_P&amp;L_Trend_%2"/>
      <sheetName val="HPCI-COMET_Comparison_(Blue)2"/>
      <sheetName val="Global_OH_(Blue)2"/>
      <sheetName val="Headcount_Reconciliation_(Blue2"/>
      <sheetName val="Headcount_Trend2"/>
      <sheetName val="PL4K_Labor_Trend2"/>
      <sheetName val="3D_P&amp;L_Vs_ASPIRE_(Blue)2"/>
      <sheetName val="COMET_P&amp;L_Trend_(Blue)2"/>
      <sheetName val="COMET_P&amp;L_Trend_%_(Blue)2"/>
      <sheetName val="FY02_Adjusted_P&amp;L_(Blue)2"/>
      <sheetName val="Adjustment_DTL_(Blue)2"/>
      <sheetName val="GGM_Cap__Change_Pull2"/>
      <sheetName val="GGM_Residual_Pull2"/>
      <sheetName val="GGM_Local_OH_Pull2"/>
      <sheetName val="GGM_Allocs_Pull2"/>
      <sheetName val="GGM_Oth_Inc(Exp)_Pull2"/>
      <sheetName val="Smartcontact_Gain_Pull2"/>
      <sheetName val="GGM_Revenue_Fall_Out2"/>
      <sheetName val="GGM_Residual_Fall_Out2"/>
      <sheetName val="Global_OH_Pull2"/>
      <sheetName val="EN50_47_Global_Pull2"/>
      <sheetName val="Labor_Pull2"/>
      <sheetName val="Forecast_Accuracy_Trend2"/>
      <sheetName val="COMET_Pull2"/>
      <sheetName val="WW_P&amp;L_Table2"/>
      <sheetName val="WW_Goal_Table2"/>
      <sheetName val="GGM_CF_Pull2"/>
      <sheetName val="HPC_Region_P&amp;L_Table2"/>
      <sheetName val="HPC_Region_Goal_Table2"/>
      <sheetName val="PL_Region_P&amp;L_Table2"/>
      <sheetName val="PL_Region_Goal_Table2"/>
      <sheetName val="3D_P&amp;L_Table2"/>
      <sheetName val="Global_OH_Actuals_Table2"/>
      <sheetName val="Global_OH_Goal_Table2"/>
      <sheetName val="Geo_Hc_Actual_Table2"/>
      <sheetName val="Geo_Hc_Goal_Table2"/>
      <sheetName val="3D_ASPIRE_Table2"/>
      <sheetName val="GGM_Backlog_Table2"/>
      <sheetName val="COMET_FY01_Pull2"/>
      <sheetName val="Labor_Pull_FY012"/>
      <sheetName val="Pull_HP_Wide2"/>
      <sheetName val="Pull_All_SFs2"/>
      <sheetName val="STD__COST2"/>
      <sheetName val="013_-_การสั่งการ2"/>
      <sheetName val="INPUT_-_Data_Table"/>
      <sheetName val="ZBANCHE"/>
      <sheetName val="Sheet5"/>
      <sheetName val="CA_new"/>
      <sheetName val="Control_Panel20"/>
      <sheetName val="WW_Total_HPCI20"/>
      <sheetName val="NAM_w-o_Smartc_20"/>
      <sheetName val="GGM_Sum20"/>
      <sheetName val="HPCI_P&amp;L_Trend_(Blue)20"/>
      <sheetName val="HPCI_P&amp;L_Trend_%_(Blue)20"/>
      <sheetName val="PL4K_P&amp;L_Trend20"/>
      <sheetName val="PL4K_P&amp;L_Trend_%20"/>
      <sheetName val="PL79_P&amp;L_Trend20"/>
      <sheetName val="PL79_P&amp;L_Trend_%20"/>
      <sheetName val="HPCI-COMET_Comparison_(Blue)20"/>
      <sheetName val="Global_OH_(Blue)20"/>
      <sheetName val="Headcount_Reconciliation_(Blu20"/>
      <sheetName val="Headcount_Trend20"/>
      <sheetName val="PL4K_Labor_Trend20"/>
      <sheetName val="3D_P&amp;L_Vs_ASPIRE_(Blue)20"/>
      <sheetName val="COMET_P&amp;L_Trend_(Blue)20"/>
      <sheetName val="COMET_P&amp;L_Trend_%_(Blue)20"/>
      <sheetName val="FY02_Adjusted_P&amp;L_(Blue)20"/>
      <sheetName val="Adjustment_DTL_(Blue)20"/>
      <sheetName val="GGM_Cap__Change_Pull20"/>
      <sheetName val="GGM_Residual_Pull20"/>
      <sheetName val="GGM_Local_OH_Pull20"/>
      <sheetName val="GGM_Allocs_Pull20"/>
      <sheetName val="GGM_Oth_Inc(Exp)_Pull20"/>
      <sheetName val="Smartcontact_Gain_Pull20"/>
      <sheetName val="GGM_Revenue_Fall_Out20"/>
      <sheetName val="GGM_Residual_Fall_Out20"/>
      <sheetName val="Global_OH_Pull20"/>
      <sheetName val="EN50_47_Global_Pull20"/>
      <sheetName val="Labor_Pull20"/>
      <sheetName val="Forecast_Accuracy_Trend20"/>
      <sheetName val="COMET_Pull20"/>
      <sheetName val="WW_P&amp;L_Table20"/>
      <sheetName val="WW_Goal_Table20"/>
      <sheetName val="GGM_CF_Pull20"/>
      <sheetName val="HPC_Region_P&amp;L_Table20"/>
      <sheetName val="HPC_Region_Goal_Table20"/>
      <sheetName val="PL_Region_P&amp;L_Table20"/>
      <sheetName val="PL_Region_Goal_Table20"/>
      <sheetName val="3D_P&amp;L_Table20"/>
      <sheetName val="Global_OH_Actuals_Table20"/>
      <sheetName val="Global_OH_Goal_Table20"/>
      <sheetName val="Geo_Hc_Actual_Table20"/>
      <sheetName val="Geo_Hc_Goal_Table20"/>
      <sheetName val="3D_ASPIRE_Table20"/>
      <sheetName val="GGM_Backlog_Table20"/>
      <sheetName val="COMET_FY01_Pull20"/>
      <sheetName val="Labor_Pull_FY0120"/>
      <sheetName val="Pull_HP_Wide20"/>
      <sheetName val="Pull_All_SFs20"/>
      <sheetName val="STD__COST20"/>
      <sheetName val="Control_Panel4"/>
      <sheetName val="WW_Total_HPCI4"/>
      <sheetName val="NAM_w-o_Smartc_4"/>
      <sheetName val="GGM_Sum4"/>
      <sheetName val="HPCI_P&amp;L_Trend_(Blue)4"/>
      <sheetName val="HPCI_P&amp;L_Trend_%_(Blue)4"/>
      <sheetName val="PL4K_P&amp;L_Trend4"/>
      <sheetName val="PL4K_P&amp;L_Trend_%4"/>
      <sheetName val="PL79_P&amp;L_Trend4"/>
      <sheetName val="PL79_P&amp;L_Trend_%4"/>
      <sheetName val="HPCI-COMET_Comparison_(Blue)4"/>
      <sheetName val="Global_OH_(Blue)4"/>
      <sheetName val="Headcount_Reconciliation_(Blue4"/>
      <sheetName val="Headcount_Trend4"/>
      <sheetName val="PL4K_Labor_Trend4"/>
      <sheetName val="3D_P&amp;L_Vs_ASPIRE_(Blue)4"/>
      <sheetName val="COMET_P&amp;L_Trend_(Blue)4"/>
      <sheetName val="COMET_P&amp;L_Trend_%_(Blue)4"/>
      <sheetName val="FY02_Adjusted_P&amp;L_(Blue)4"/>
      <sheetName val="Adjustment_DTL_(Blue)4"/>
      <sheetName val="GGM_Cap__Change_Pull4"/>
      <sheetName val="GGM_Residual_Pull4"/>
      <sheetName val="GGM_Local_OH_Pull4"/>
      <sheetName val="GGM_Allocs_Pull4"/>
      <sheetName val="GGM_Oth_Inc(Exp)_Pull4"/>
      <sheetName val="Smartcontact_Gain_Pull4"/>
      <sheetName val="GGM_Revenue_Fall_Out4"/>
      <sheetName val="GGM_Residual_Fall_Out4"/>
      <sheetName val="Global_OH_Pull4"/>
      <sheetName val="EN50_47_Global_Pull4"/>
      <sheetName val="Labor_Pull4"/>
      <sheetName val="Forecast_Accuracy_Trend4"/>
      <sheetName val="COMET_Pull4"/>
      <sheetName val="WW_P&amp;L_Table4"/>
      <sheetName val="WW_Goal_Table4"/>
      <sheetName val="GGM_CF_Pull4"/>
      <sheetName val="HPC_Region_P&amp;L_Table4"/>
      <sheetName val="HPC_Region_Goal_Table4"/>
      <sheetName val="PL_Region_P&amp;L_Table4"/>
      <sheetName val="PL_Region_Goal_Table4"/>
      <sheetName val="3D_P&amp;L_Table4"/>
      <sheetName val="Global_OH_Actuals_Table4"/>
      <sheetName val="Global_OH_Goal_Table4"/>
      <sheetName val="Geo_Hc_Actual_Table4"/>
      <sheetName val="Geo_Hc_Goal_Table4"/>
      <sheetName val="3D_ASPIRE_Table4"/>
      <sheetName val="GGM_Backlog_Table4"/>
      <sheetName val="COMET_FY01_Pull4"/>
      <sheetName val="Labor_Pull_FY014"/>
      <sheetName val="Pull_HP_Wide4"/>
      <sheetName val="Pull_All_SFs4"/>
      <sheetName val="STD__COST4"/>
      <sheetName val="013_-_การสั่งการ4"/>
      <sheetName val="Control_Panel5"/>
      <sheetName val="WW_Total_HPCI5"/>
      <sheetName val="NAM_w-o_Smartc_5"/>
      <sheetName val="GGM_Sum5"/>
      <sheetName val="HPCI_P&amp;L_Trend_(Blue)5"/>
      <sheetName val="HPCI_P&amp;L_Trend_%_(Blue)5"/>
      <sheetName val="PL4K_P&amp;L_Trend5"/>
      <sheetName val="PL4K_P&amp;L_Trend_%5"/>
      <sheetName val="PL79_P&amp;L_Trend5"/>
      <sheetName val="PL79_P&amp;L_Trend_%5"/>
      <sheetName val="HPCI-COMET_Comparison_(Blue)5"/>
      <sheetName val="Global_OH_(Blue)5"/>
      <sheetName val="Headcount_Reconciliation_(Blue5"/>
      <sheetName val="Headcount_Trend5"/>
      <sheetName val="PL4K_Labor_Trend5"/>
      <sheetName val="3D_P&amp;L_Vs_ASPIRE_(Blue)5"/>
      <sheetName val="COMET_P&amp;L_Trend_(Blue)5"/>
      <sheetName val="COMET_P&amp;L_Trend_%_(Blue)5"/>
      <sheetName val="FY02_Adjusted_P&amp;L_(Blue)5"/>
      <sheetName val="Adjustment_DTL_(Blue)5"/>
      <sheetName val="GGM_Cap__Change_Pull5"/>
      <sheetName val="GGM_Residual_Pull5"/>
      <sheetName val="GGM_Local_OH_Pull5"/>
      <sheetName val="GGM_Allocs_Pull5"/>
      <sheetName val="GGM_Oth_Inc(Exp)_Pull5"/>
      <sheetName val="Smartcontact_Gain_Pull5"/>
      <sheetName val="GGM_Revenue_Fall_Out5"/>
      <sheetName val="GGM_Residual_Fall_Out5"/>
      <sheetName val="Global_OH_Pull5"/>
      <sheetName val="EN50_47_Global_Pull5"/>
      <sheetName val="Labor_Pull5"/>
      <sheetName val="Forecast_Accuracy_Trend5"/>
      <sheetName val="COMET_Pull5"/>
      <sheetName val="WW_P&amp;L_Table5"/>
      <sheetName val="WW_Goal_Table5"/>
      <sheetName val="GGM_CF_Pull5"/>
      <sheetName val="HPC_Region_P&amp;L_Table5"/>
      <sheetName val="HPC_Region_Goal_Table5"/>
      <sheetName val="PL_Region_P&amp;L_Table5"/>
      <sheetName val="PL_Region_Goal_Table5"/>
      <sheetName val="3D_P&amp;L_Table5"/>
      <sheetName val="Global_OH_Actuals_Table5"/>
      <sheetName val="Global_OH_Goal_Table5"/>
      <sheetName val="Geo_Hc_Actual_Table5"/>
      <sheetName val="Geo_Hc_Goal_Table5"/>
      <sheetName val="3D_ASPIRE_Table5"/>
      <sheetName val="GGM_Backlog_Table5"/>
      <sheetName val="COMET_FY01_Pull5"/>
      <sheetName val="Labor_Pull_FY015"/>
      <sheetName val="Pull_HP_Wide5"/>
      <sheetName val="Pull_All_SFs5"/>
      <sheetName val="STD__COST5"/>
      <sheetName val="013_-_การสั่งการ5"/>
      <sheetName val="Control_Panel6"/>
      <sheetName val="WW_Total_HPCI6"/>
      <sheetName val="NAM_w-o_Smartc_6"/>
      <sheetName val="GGM_Sum6"/>
      <sheetName val="HPCI_P&amp;L_Trend_(Blue)6"/>
      <sheetName val="HPCI_P&amp;L_Trend_%_(Blue)6"/>
      <sheetName val="PL4K_P&amp;L_Trend6"/>
      <sheetName val="PL4K_P&amp;L_Trend_%6"/>
      <sheetName val="PL79_P&amp;L_Trend6"/>
      <sheetName val="PL79_P&amp;L_Trend_%6"/>
      <sheetName val="HPCI-COMET_Comparison_(Blue)6"/>
      <sheetName val="Global_OH_(Blue)6"/>
      <sheetName val="Headcount_Reconciliation_(Blue6"/>
      <sheetName val="Headcount_Trend6"/>
      <sheetName val="PL4K_Labor_Trend6"/>
      <sheetName val="3D_P&amp;L_Vs_ASPIRE_(Blue)6"/>
      <sheetName val="COMET_P&amp;L_Trend_(Blue)6"/>
      <sheetName val="COMET_P&amp;L_Trend_%_(Blue)6"/>
      <sheetName val="FY02_Adjusted_P&amp;L_(Blue)6"/>
      <sheetName val="Adjustment_DTL_(Blue)6"/>
      <sheetName val="GGM_Cap__Change_Pull6"/>
      <sheetName val="GGM_Residual_Pull6"/>
      <sheetName val="GGM_Local_OH_Pull6"/>
      <sheetName val="GGM_Allocs_Pull6"/>
      <sheetName val="GGM_Oth_Inc(Exp)_Pull6"/>
      <sheetName val="Smartcontact_Gain_Pull6"/>
      <sheetName val="GGM_Revenue_Fall_Out6"/>
      <sheetName val="GGM_Residual_Fall_Out6"/>
      <sheetName val="Global_OH_Pull6"/>
      <sheetName val="EN50_47_Global_Pull6"/>
      <sheetName val="Labor_Pull6"/>
      <sheetName val="Forecast_Accuracy_Trend6"/>
      <sheetName val="COMET_Pull6"/>
      <sheetName val="WW_P&amp;L_Table6"/>
      <sheetName val="WW_Goal_Table6"/>
      <sheetName val="GGM_CF_Pull6"/>
      <sheetName val="HPC_Region_P&amp;L_Table6"/>
      <sheetName val="HPC_Region_Goal_Table6"/>
      <sheetName val="PL_Region_P&amp;L_Table6"/>
      <sheetName val="PL_Region_Goal_Table6"/>
      <sheetName val="3D_P&amp;L_Table6"/>
      <sheetName val="Global_OH_Actuals_Table6"/>
      <sheetName val="Global_OH_Goal_Table6"/>
      <sheetName val="Geo_Hc_Actual_Table6"/>
      <sheetName val="Geo_Hc_Goal_Table6"/>
      <sheetName val="3D_ASPIRE_Table6"/>
      <sheetName val="GGM_Backlog_Table6"/>
      <sheetName val="COMET_FY01_Pull6"/>
      <sheetName val="Labor_Pull_FY016"/>
      <sheetName val="Pull_HP_Wide6"/>
      <sheetName val="Pull_All_SFs6"/>
      <sheetName val="STD__COST6"/>
      <sheetName val="013_-_การสั่งการ6"/>
      <sheetName val="Control_Panel7"/>
      <sheetName val="WW_Total_HPCI7"/>
      <sheetName val="NAM_w-o_Smartc_7"/>
      <sheetName val="GGM_Sum7"/>
      <sheetName val="HPCI_P&amp;L_Trend_(Blue)7"/>
      <sheetName val="HPCI_P&amp;L_Trend_%_(Blue)7"/>
      <sheetName val="PL4K_P&amp;L_Trend7"/>
      <sheetName val="PL4K_P&amp;L_Trend_%7"/>
      <sheetName val="PL79_P&amp;L_Trend7"/>
      <sheetName val="PL79_P&amp;L_Trend_%7"/>
      <sheetName val="HPCI-COMET_Comparison_(Blue)7"/>
      <sheetName val="Global_OH_(Blue)7"/>
      <sheetName val="Headcount_Reconciliation_(Blue7"/>
      <sheetName val="Headcount_Trend7"/>
      <sheetName val="PL4K_Labor_Trend7"/>
      <sheetName val="3D_P&amp;L_Vs_ASPIRE_(Blue)7"/>
      <sheetName val="COMET_P&amp;L_Trend_(Blue)7"/>
      <sheetName val="COMET_P&amp;L_Trend_%_(Blue)7"/>
      <sheetName val="FY02_Adjusted_P&amp;L_(Blue)7"/>
      <sheetName val="Adjustment_DTL_(Blue)7"/>
      <sheetName val="GGM_Cap__Change_Pull7"/>
      <sheetName val="GGM_Residual_Pull7"/>
      <sheetName val="GGM_Local_OH_Pull7"/>
      <sheetName val="GGM_Allocs_Pull7"/>
      <sheetName val="GGM_Oth_Inc(Exp)_Pull7"/>
      <sheetName val="Smartcontact_Gain_Pull7"/>
      <sheetName val="GGM_Revenue_Fall_Out7"/>
      <sheetName val="GGM_Residual_Fall_Out7"/>
      <sheetName val="Global_OH_Pull7"/>
      <sheetName val="EN50_47_Global_Pull7"/>
      <sheetName val="Labor_Pull7"/>
      <sheetName val="Forecast_Accuracy_Trend7"/>
      <sheetName val="COMET_Pull7"/>
      <sheetName val="WW_P&amp;L_Table7"/>
      <sheetName val="WW_Goal_Table7"/>
      <sheetName val="GGM_CF_Pull7"/>
      <sheetName val="HPC_Region_P&amp;L_Table7"/>
      <sheetName val="HPC_Region_Goal_Table7"/>
      <sheetName val="PL_Region_P&amp;L_Table7"/>
      <sheetName val="PL_Region_Goal_Table7"/>
      <sheetName val="3D_P&amp;L_Table7"/>
      <sheetName val="Global_OH_Actuals_Table7"/>
      <sheetName val="Global_OH_Goal_Table7"/>
      <sheetName val="Geo_Hc_Actual_Table7"/>
      <sheetName val="Geo_Hc_Goal_Table7"/>
      <sheetName val="3D_ASPIRE_Table7"/>
      <sheetName val="GGM_Backlog_Table7"/>
      <sheetName val="COMET_FY01_Pull7"/>
      <sheetName val="Labor_Pull_FY017"/>
      <sheetName val="Pull_HP_Wide7"/>
      <sheetName val="Pull_All_SFs7"/>
      <sheetName val="STD__COST7"/>
      <sheetName val="Control_Panel8"/>
      <sheetName val="WW_Total_HPCI8"/>
      <sheetName val="NAM_w-o_Smartc_8"/>
      <sheetName val="GGM_Sum8"/>
      <sheetName val="HPCI_P&amp;L_Trend_(Blue)8"/>
      <sheetName val="HPCI_P&amp;L_Trend_%_(Blue)8"/>
      <sheetName val="PL4K_P&amp;L_Trend8"/>
      <sheetName val="PL4K_P&amp;L_Trend_%8"/>
      <sheetName val="PL79_P&amp;L_Trend8"/>
      <sheetName val="PL79_P&amp;L_Trend_%8"/>
      <sheetName val="HPCI-COMET_Comparison_(Blue)8"/>
      <sheetName val="Global_OH_(Blue)8"/>
      <sheetName val="Headcount_Reconciliation_(Blue8"/>
      <sheetName val="Headcount_Trend8"/>
      <sheetName val="PL4K_Labor_Trend8"/>
      <sheetName val="3D_P&amp;L_Vs_ASPIRE_(Blue)8"/>
      <sheetName val="COMET_P&amp;L_Trend_(Blue)8"/>
      <sheetName val="COMET_P&amp;L_Trend_%_(Blue)8"/>
      <sheetName val="FY02_Adjusted_P&amp;L_(Blue)8"/>
      <sheetName val="Adjustment_DTL_(Blue)8"/>
      <sheetName val="GGM_Cap__Change_Pull8"/>
      <sheetName val="GGM_Residual_Pull8"/>
      <sheetName val="GGM_Local_OH_Pull8"/>
      <sheetName val="GGM_Allocs_Pull8"/>
      <sheetName val="GGM_Oth_Inc(Exp)_Pull8"/>
      <sheetName val="Smartcontact_Gain_Pull8"/>
      <sheetName val="GGM_Revenue_Fall_Out8"/>
      <sheetName val="GGM_Residual_Fall_Out8"/>
      <sheetName val="Global_OH_Pull8"/>
      <sheetName val="EN50_47_Global_Pull8"/>
      <sheetName val="Labor_Pull8"/>
      <sheetName val="Forecast_Accuracy_Trend8"/>
      <sheetName val="COMET_Pull8"/>
      <sheetName val="WW_P&amp;L_Table8"/>
      <sheetName val="WW_Goal_Table8"/>
      <sheetName val="GGM_CF_Pull8"/>
      <sheetName val="HPC_Region_P&amp;L_Table8"/>
      <sheetName val="HPC_Region_Goal_Table8"/>
      <sheetName val="PL_Region_P&amp;L_Table8"/>
      <sheetName val="PL_Region_Goal_Table8"/>
      <sheetName val="3D_P&amp;L_Table8"/>
      <sheetName val="Global_OH_Actuals_Table8"/>
      <sheetName val="Global_OH_Goal_Table8"/>
      <sheetName val="Geo_Hc_Actual_Table8"/>
      <sheetName val="Geo_Hc_Goal_Table8"/>
      <sheetName val="3D_ASPIRE_Table8"/>
      <sheetName val="GGM_Backlog_Table8"/>
      <sheetName val="COMET_FY01_Pull8"/>
      <sheetName val="Labor_Pull_FY018"/>
      <sheetName val="Pull_HP_Wide8"/>
      <sheetName val="Pull_All_SFs8"/>
      <sheetName val="STD__COST8"/>
      <sheetName val="Control_Panel9"/>
      <sheetName val="WW_Total_HPCI9"/>
      <sheetName val="NAM_w-o_Smartc_9"/>
      <sheetName val="GGM_Sum9"/>
      <sheetName val="HPCI_P&amp;L_Trend_(Blue)9"/>
      <sheetName val="HPCI_P&amp;L_Trend_%_(Blue)9"/>
      <sheetName val="PL4K_P&amp;L_Trend9"/>
      <sheetName val="PL4K_P&amp;L_Trend_%9"/>
      <sheetName val="PL79_P&amp;L_Trend9"/>
      <sheetName val="PL79_P&amp;L_Trend_%9"/>
      <sheetName val="HPCI-COMET_Comparison_(Blue)9"/>
      <sheetName val="Global_OH_(Blue)9"/>
      <sheetName val="Headcount_Reconciliation_(Blue9"/>
      <sheetName val="Headcount_Trend9"/>
      <sheetName val="PL4K_Labor_Trend9"/>
      <sheetName val="3D_P&amp;L_Vs_ASPIRE_(Blue)9"/>
      <sheetName val="COMET_P&amp;L_Trend_(Blue)9"/>
      <sheetName val="COMET_P&amp;L_Trend_%_(Blue)9"/>
      <sheetName val="FY02_Adjusted_P&amp;L_(Blue)9"/>
      <sheetName val="Adjustment_DTL_(Blue)9"/>
      <sheetName val="GGM_Cap__Change_Pull9"/>
      <sheetName val="GGM_Residual_Pull9"/>
      <sheetName val="GGM_Local_OH_Pull9"/>
      <sheetName val="GGM_Allocs_Pull9"/>
      <sheetName val="GGM_Oth_Inc(Exp)_Pull9"/>
      <sheetName val="Smartcontact_Gain_Pull9"/>
      <sheetName val="GGM_Revenue_Fall_Out9"/>
      <sheetName val="GGM_Residual_Fall_Out9"/>
      <sheetName val="Global_OH_Pull9"/>
      <sheetName val="EN50_47_Global_Pull9"/>
      <sheetName val="Labor_Pull9"/>
      <sheetName val="Forecast_Accuracy_Trend9"/>
      <sheetName val="COMET_Pull9"/>
      <sheetName val="WW_P&amp;L_Table9"/>
      <sheetName val="WW_Goal_Table9"/>
      <sheetName val="GGM_CF_Pull9"/>
      <sheetName val="HPC_Region_P&amp;L_Table9"/>
      <sheetName val="HPC_Region_Goal_Table9"/>
      <sheetName val="PL_Region_P&amp;L_Table9"/>
      <sheetName val="PL_Region_Goal_Table9"/>
      <sheetName val="3D_P&amp;L_Table9"/>
      <sheetName val="Global_OH_Actuals_Table9"/>
      <sheetName val="Global_OH_Goal_Table9"/>
      <sheetName val="Geo_Hc_Actual_Table9"/>
      <sheetName val="Geo_Hc_Goal_Table9"/>
      <sheetName val="3D_ASPIRE_Table9"/>
      <sheetName val="GGM_Backlog_Table9"/>
      <sheetName val="COMET_FY01_Pull9"/>
      <sheetName val="Labor_Pull_FY019"/>
      <sheetName val="Pull_HP_Wide9"/>
      <sheetName val="Pull_All_SFs9"/>
      <sheetName val="STD__COST9"/>
      <sheetName val="013_-_การสั่งการ7"/>
      <sheetName val="Control_Panel10"/>
      <sheetName val="WW_Total_HPCI10"/>
      <sheetName val="NAM_w-o_Smartc_10"/>
      <sheetName val="GGM_Sum10"/>
      <sheetName val="HPCI_P&amp;L_Trend_(Blue)10"/>
      <sheetName val="HPCI_P&amp;L_Trend_%_(Blue)10"/>
      <sheetName val="PL4K_P&amp;L_Trend10"/>
      <sheetName val="PL4K_P&amp;L_Trend_%10"/>
      <sheetName val="PL79_P&amp;L_Trend10"/>
      <sheetName val="PL79_P&amp;L_Trend_%10"/>
      <sheetName val="HPCI-COMET_Comparison_(Blue)10"/>
      <sheetName val="Global_OH_(Blue)10"/>
      <sheetName val="Headcount_Reconciliation_(Blu10"/>
      <sheetName val="Headcount_Trend10"/>
      <sheetName val="PL4K_Labor_Trend10"/>
      <sheetName val="3D_P&amp;L_Vs_ASPIRE_(Blue)10"/>
      <sheetName val="COMET_P&amp;L_Trend_(Blue)10"/>
      <sheetName val="COMET_P&amp;L_Trend_%_(Blue)10"/>
      <sheetName val="FY02_Adjusted_P&amp;L_(Blue)10"/>
      <sheetName val="Adjustment_DTL_(Blue)10"/>
      <sheetName val="GGM_Cap__Change_Pull10"/>
      <sheetName val="GGM_Residual_Pull10"/>
      <sheetName val="GGM_Local_OH_Pull10"/>
      <sheetName val="GGM_Allocs_Pull10"/>
      <sheetName val="GGM_Oth_Inc(Exp)_Pull10"/>
      <sheetName val="Smartcontact_Gain_Pull10"/>
      <sheetName val="GGM_Revenue_Fall_Out10"/>
      <sheetName val="GGM_Residual_Fall_Out10"/>
      <sheetName val="Global_OH_Pull10"/>
      <sheetName val="EN50_47_Global_Pull10"/>
      <sheetName val="Labor_Pull10"/>
      <sheetName val="Forecast_Accuracy_Trend10"/>
      <sheetName val="COMET_Pull10"/>
      <sheetName val="WW_P&amp;L_Table10"/>
      <sheetName val="WW_Goal_Table10"/>
      <sheetName val="GGM_CF_Pull10"/>
      <sheetName val="HPC_Region_P&amp;L_Table10"/>
      <sheetName val="HPC_Region_Goal_Table10"/>
      <sheetName val="PL_Region_P&amp;L_Table10"/>
      <sheetName val="PL_Region_Goal_Table10"/>
      <sheetName val="3D_P&amp;L_Table10"/>
      <sheetName val="Global_OH_Actuals_Table10"/>
      <sheetName val="Global_OH_Goal_Table10"/>
      <sheetName val="Geo_Hc_Actual_Table10"/>
      <sheetName val="Geo_Hc_Goal_Table10"/>
      <sheetName val="3D_ASPIRE_Table10"/>
      <sheetName val="GGM_Backlog_Table10"/>
      <sheetName val="COMET_FY01_Pull10"/>
      <sheetName val="Labor_Pull_FY0110"/>
      <sheetName val="Pull_HP_Wide10"/>
      <sheetName val="Pull_All_SFs10"/>
      <sheetName val="STD__COST10"/>
      <sheetName val="013_-_การสั่งการ8"/>
      <sheetName val="Control_Panel11"/>
      <sheetName val="WW_Total_HPCI11"/>
      <sheetName val="NAM_w-o_Smartc_11"/>
      <sheetName val="GGM_Sum11"/>
      <sheetName val="HPCI_P&amp;L_Trend_(Blue)11"/>
      <sheetName val="HPCI_P&amp;L_Trend_%_(Blue)11"/>
      <sheetName val="PL4K_P&amp;L_Trend11"/>
      <sheetName val="PL4K_P&amp;L_Trend_%11"/>
      <sheetName val="PL79_P&amp;L_Trend11"/>
      <sheetName val="PL79_P&amp;L_Trend_%11"/>
      <sheetName val="HPCI-COMET_Comparison_(Blue)11"/>
      <sheetName val="Global_OH_(Blue)11"/>
      <sheetName val="Headcount_Reconciliation_(Blu11"/>
      <sheetName val="Headcount_Trend11"/>
      <sheetName val="PL4K_Labor_Trend11"/>
      <sheetName val="3D_P&amp;L_Vs_ASPIRE_(Blue)11"/>
      <sheetName val="COMET_P&amp;L_Trend_(Blue)11"/>
      <sheetName val="COMET_P&amp;L_Trend_%_(Blue)11"/>
      <sheetName val="FY02_Adjusted_P&amp;L_(Blue)11"/>
      <sheetName val="Adjustment_DTL_(Blue)11"/>
      <sheetName val="GGM_Cap__Change_Pull11"/>
      <sheetName val="GGM_Residual_Pull11"/>
      <sheetName val="GGM_Local_OH_Pull11"/>
      <sheetName val="GGM_Allocs_Pull11"/>
      <sheetName val="GGM_Oth_Inc(Exp)_Pull11"/>
      <sheetName val="Smartcontact_Gain_Pull11"/>
      <sheetName val="GGM_Revenue_Fall_Out11"/>
      <sheetName val="GGM_Residual_Fall_Out11"/>
      <sheetName val="Global_OH_Pull11"/>
      <sheetName val="EN50_47_Global_Pull11"/>
      <sheetName val="Labor_Pull11"/>
      <sheetName val="Forecast_Accuracy_Trend11"/>
      <sheetName val="COMET_Pull11"/>
      <sheetName val="WW_P&amp;L_Table11"/>
      <sheetName val="WW_Goal_Table11"/>
      <sheetName val="GGM_CF_Pull11"/>
      <sheetName val="HPC_Region_P&amp;L_Table11"/>
      <sheetName val="HPC_Region_Goal_Table11"/>
      <sheetName val="PL_Region_P&amp;L_Table11"/>
      <sheetName val="PL_Region_Goal_Table11"/>
      <sheetName val="3D_P&amp;L_Table11"/>
      <sheetName val="Global_OH_Actuals_Table11"/>
      <sheetName val="Global_OH_Goal_Table11"/>
      <sheetName val="Geo_Hc_Actual_Table11"/>
      <sheetName val="Geo_Hc_Goal_Table11"/>
      <sheetName val="3D_ASPIRE_Table11"/>
      <sheetName val="GGM_Backlog_Table11"/>
      <sheetName val="COMET_FY01_Pull11"/>
      <sheetName val="Labor_Pull_FY0111"/>
      <sheetName val="Pull_HP_Wide11"/>
      <sheetName val="Pull_All_SFs11"/>
      <sheetName val="STD__COST11"/>
      <sheetName val="013_-_การสั่งการ9"/>
      <sheetName val="INPUT_-_Data_Table3"/>
      <sheetName val="INPUT_-_Data_Table2"/>
      <sheetName val="Comet_ASPIRE"/>
      <sheetName val="Comet_Sequential"/>
      <sheetName val="Comet_yoy"/>
      <sheetName val="Control_Panel12"/>
      <sheetName val="WW_Total_HPCI12"/>
      <sheetName val="NAM_w-o_Smartc_12"/>
      <sheetName val="GGM_Sum12"/>
      <sheetName val="HPCI_P&amp;L_Trend_(Blue)12"/>
      <sheetName val="HPCI_P&amp;L_Trend_%_(Blue)12"/>
      <sheetName val="PL4K_P&amp;L_Trend12"/>
      <sheetName val="PL4K_P&amp;L_Trend_%12"/>
      <sheetName val="PL79_P&amp;L_Trend12"/>
      <sheetName val="PL79_P&amp;L_Trend_%12"/>
      <sheetName val="HPCI-COMET_Comparison_(Blue)12"/>
      <sheetName val="Global_OH_(Blue)12"/>
      <sheetName val="Headcount_Reconciliation_(Blu12"/>
      <sheetName val="Headcount_Trend12"/>
      <sheetName val="PL4K_Labor_Trend12"/>
      <sheetName val="3D_P&amp;L_Vs_ASPIRE_(Blue)12"/>
      <sheetName val="COMET_P&amp;L_Trend_(Blue)12"/>
      <sheetName val="COMET_P&amp;L_Trend_%_(Blue)12"/>
      <sheetName val="FY02_Adjusted_P&amp;L_(Blue)12"/>
      <sheetName val="Adjustment_DTL_(Blue)12"/>
      <sheetName val="GGM_Cap__Change_Pull12"/>
      <sheetName val="GGM_Residual_Pull12"/>
      <sheetName val="GGM_Local_OH_Pull12"/>
      <sheetName val="GGM_Allocs_Pull12"/>
      <sheetName val="GGM_Oth_Inc(Exp)_Pull12"/>
      <sheetName val="Smartcontact_Gain_Pull12"/>
      <sheetName val="GGM_Revenue_Fall_Out12"/>
      <sheetName val="GGM_Residual_Fall_Out12"/>
      <sheetName val="Global_OH_Pull12"/>
      <sheetName val="EN50_47_Global_Pull12"/>
      <sheetName val="Labor_Pull12"/>
      <sheetName val="Forecast_Accuracy_Trend12"/>
      <sheetName val="COMET_Pull12"/>
      <sheetName val="WW_P&amp;L_Table12"/>
      <sheetName val="WW_Goal_Table12"/>
      <sheetName val="GGM_CF_Pull12"/>
      <sheetName val="HPC_Region_P&amp;L_Table12"/>
      <sheetName val="HPC_Region_Goal_Table12"/>
      <sheetName val="PL_Region_P&amp;L_Table12"/>
      <sheetName val="PL_Region_Goal_Table12"/>
      <sheetName val="3D_P&amp;L_Table12"/>
      <sheetName val="Global_OH_Actuals_Table12"/>
      <sheetName val="Global_OH_Goal_Table12"/>
      <sheetName val="Geo_Hc_Actual_Table12"/>
      <sheetName val="Geo_Hc_Goal_Table12"/>
      <sheetName val="3D_ASPIRE_Table12"/>
      <sheetName val="GGM_Backlog_Table12"/>
      <sheetName val="COMET_FY01_Pull12"/>
      <sheetName val="Labor_Pull_FY0112"/>
      <sheetName val="Pull_HP_Wide12"/>
      <sheetName val="Pull_All_SFs12"/>
      <sheetName val="STD__COST12"/>
      <sheetName val="013_-_การสั่งการ10"/>
      <sheetName val="Control_Panel13"/>
      <sheetName val="WW_Total_HPCI13"/>
      <sheetName val="NAM_w-o_Smartc_13"/>
      <sheetName val="GGM_Sum13"/>
      <sheetName val="HPCI_P&amp;L_Trend_(Blue)13"/>
      <sheetName val="HPCI_P&amp;L_Trend_%_(Blue)13"/>
      <sheetName val="PL4K_P&amp;L_Trend13"/>
      <sheetName val="PL4K_P&amp;L_Trend_%13"/>
      <sheetName val="PL79_P&amp;L_Trend13"/>
      <sheetName val="PL79_P&amp;L_Trend_%13"/>
      <sheetName val="HPCI-COMET_Comparison_(Blue)13"/>
      <sheetName val="Global_OH_(Blue)13"/>
      <sheetName val="Headcount_Reconciliation_(Blu13"/>
      <sheetName val="Headcount_Trend13"/>
      <sheetName val="PL4K_Labor_Trend13"/>
      <sheetName val="3D_P&amp;L_Vs_ASPIRE_(Blue)13"/>
      <sheetName val="COMET_P&amp;L_Trend_(Blue)13"/>
      <sheetName val="COMET_P&amp;L_Trend_%_(Blue)13"/>
      <sheetName val="FY02_Adjusted_P&amp;L_(Blue)13"/>
      <sheetName val="Adjustment_DTL_(Blue)13"/>
      <sheetName val="GGM_Cap__Change_Pull13"/>
      <sheetName val="GGM_Residual_Pull13"/>
      <sheetName val="GGM_Local_OH_Pull13"/>
      <sheetName val="GGM_Allocs_Pull13"/>
      <sheetName val="GGM_Oth_Inc(Exp)_Pull13"/>
      <sheetName val="Smartcontact_Gain_Pull13"/>
      <sheetName val="GGM_Revenue_Fall_Out13"/>
      <sheetName val="GGM_Residual_Fall_Out13"/>
      <sheetName val="Global_OH_Pull13"/>
      <sheetName val="EN50_47_Global_Pull13"/>
      <sheetName val="Labor_Pull13"/>
      <sheetName val="Forecast_Accuracy_Trend13"/>
      <sheetName val="COMET_Pull13"/>
      <sheetName val="WW_P&amp;L_Table13"/>
      <sheetName val="WW_Goal_Table13"/>
      <sheetName val="GGM_CF_Pull13"/>
      <sheetName val="HPC_Region_P&amp;L_Table13"/>
      <sheetName val="HPC_Region_Goal_Table13"/>
      <sheetName val="PL_Region_P&amp;L_Table13"/>
      <sheetName val="PL_Region_Goal_Table13"/>
      <sheetName val="3D_P&amp;L_Table13"/>
      <sheetName val="Global_OH_Actuals_Table13"/>
      <sheetName val="Global_OH_Goal_Table13"/>
      <sheetName val="Geo_Hc_Actual_Table13"/>
      <sheetName val="Geo_Hc_Goal_Table13"/>
      <sheetName val="3D_ASPIRE_Table13"/>
      <sheetName val="GGM_Backlog_Table13"/>
      <sheetName val="COMET_FY01_Pull13"/>
      <sheetName val="Labor_Pull_FY0113"/>
      <sheetName val="Pull_HP_Wide13"/>
      <sheetName val="Pull_All_SFs13"/>
      <sheetName val="STD__COST13"/>
      <sheetName val="013_-_การสั่งการ11"/>
      <sheetName val="Control_Panel14"/>
      <sheetName val="WW_Total_HPCI14"/>
      <sheetName val="NAM_w-o_Smartc_14"/>
      <sheetName val="GGM_Sum14"/>
      <sheetName val="HPCI_P&amp;L_Trend_(Blue)14"/>
      <sheetName val="HPCI_P&amp;L_Trend_%_(Blue)14"/>
      <sheetName val="PL4K_P&amp;L_Trend14"/>
      <sheetName val="PL4K_P&amp;L_Trend_%14"/>
      <sheetName val="PL79_P&amp;L_Trend14"/>
      <sheetName val="PL79_P&amp;L_Trend_%14"/>
      <sheetName val="HPCI-COMET_Comparison_(Blue)14"/>
      <sheetName val="Global_OH_(Blue)14"/>
      <sheetName val="Headcount_Reconciliation_(Blu14"/>
      <sheetName val="Headcount_Trend14"/>
      <sheetName val="PL4K_Labor_Trend14"/>
      <sheetName val="3D_P&amp;L_Vs_ASPIRE_(Blue)14"/>
      <sheetName val="COMET_P&amp;L_Trend_(Blue)14"/>
      <sheetName val="COMET_P&amp;L_Trend_%_(Blue)14"/>
      <sheetName val="FY02_Adjusted_P&amp;L_(Blue)14"/>
      <sheetName val="Adjustment_DTL_(Blue)14"/>
      <sheetName val="GGM_Cap__Change_Pull14"/>
      <sheetName val="GGM_Residual_Pull14"/>
      <sheetName val="GGM_Local_OH_Pull14"/>
      <sheetName val="GGM_Allocs_Pull14"/>
      <sheetName val="GGM_Oth_Inc(Exp)_Pull14"/>
      <sheetName val="Smartcontact_Gain_Pull14"/>
      <sheetName val="GGM_Revenue_Fall_Out14"/>
      <sheetName val="GGM_Residual_Fall_Out14"/>
      <sheetName val="Global_OH_Pull14"/>
      <sheetName val="EN50_47_Global_Pull14"/>
      <sheetName val="Labor_Pull14"/>
      <sheetName val="Forecast_Accuracy_Trend14"/>
      <sheetName val="COMET_Pull14"/>
      <sheetName val="WW_P&amp;L_Table14"/>
      <sheetName val="WW_Goal_Table14"/>
      <sheetName val="GGM_CF_Pull14"/>
      <sheetName val="HPC_Region_P&amp;L_Table14"/>
      <sheetName val="HPC_Region_Goal_Table14"/>
      <sheetName val="PL_Region_P&amp;L_Table14"/>
      <sheetName val="PL_Region_Goal_Table14"/>
      <sheetName val="3D_P&amp;L_Table14"/>
      <sheetName val="Global_OH_Actuals_Table14"/>
      <sheetName val="Global_OH_Goal_Table14"/>
      <sheetName val="Geo_Hc_Actual_Table14"/>
      <sheetName val="Geo_Hc_Goal_Table14"/>
      <sheetName val="3D_ASPIRE_Table14"/>
      <sheetName val="GGM_Backlog_Table14"/>
      <sheetName val="COMET_FY01_Pull14"/>
      <sheetName val="Labor_Pull_FY0114"/>
      <sheetName val="Pull_HP_Wide14"/>
      <sheetName val="Pull_All_SFs14"/>
      <sheetName val="STD__COST14"/>
      <sheetName val="013_-_การสั่งการ12"/>
      <sheetName val="Control_Panel15"/>
      <sheetName val="WW_Total_HPCI15"/>
      <sheetName val="NAM_w-o_Smartc_15"/>
      <sheetName val="GGM_Sum15"/>
      <sheetName val="HPCI_P&amp;L_Trend_(Blue)15"/>
      <sheetName val="HPCI_P&amp;L_Trend_%_(Blue)15"/>
      <sheetName val="PL4K_P&amp;L_Trend15"/>
      <sheetName val="PL4K_P&amp;L_Trend_%15"/>
      <sheetName val="PL79_P&amp;L_Trend15"/>
      <sheetName val="PL79_P&amp;L_Trend_%15"/>
      <sheetName val="HPCI-COMET_Comparison_(Blue)15"/>
      <sheetName val="Global_OH_(Blue)15"/>
      <sheetName val="Headcount_Reconciliation_(Blu15"/>
      <sheetName val="Headcount_Trend15"/>
      <sheetName val="PL4K_Labor_Trend15"/>
      <sheetName val="3D_P&amp;L_Vs_ASPIRE_(Blue)15"/>
      <sheetName val="COMET_P&amp;L_Trend_(Blue)15"/>
      <sheetName val="COMET_P&amp;L_Trend_%_(Blue)15"/>
      <sheetName val="FY02_Adjusted_P&amp;L_(Blue)15"/>
      <sheetName val="Adjustment_DTL_(Blue)15"/>
      <sheetName val="GGM_Cap__Change_Pull15"/>
      <sheetName val="GGM_Residual_Pull15"/>
      <sheetName val="GGM_Local_OH_Pull15"/>
      <sheetName val="GGM_Allocs_Pull15"/>
      <sheetName val="GGM_Oth_Inc(Exp)_Pull15"/>
      <sheetName val="Smartcontact_Gain_Pull15"/>
      <sheetName val="GGM_Revenue_Fall_Out15"/>
      <sheetName val="GGM_Residual_Fall_Out15"/>
      <sheetName val="Global_OH_Pull15"/>
      <sheetName val="EN50_47_Global_Pull15"/>
      <sheetName val="Labor_Pull15"/>
      <sheetName val="Forecast_Accuracy_Trend15"/>
      <sheetName val="COMET_Pull15"/>
      <sheetName val="WW_P&amp;L_Table15"/>
      <sheetName val="WW_Goal_Table15"/>
      <sheetName val="GGM_CF_Pull15"/>
      <sheetName val="HPC_Region_P&amp;L_Table15"/>
      <sheetName val="HPC_Region_Goal_Table15"/>
      <sheetName val="PL_Region_P&amp;L_Table15"/>
      <sheetName val="PL_Region_Goal_Table15"/>
      <sheetName val="3D_P&amp;L_Table15"/>
      <sheetName val="Global_OH_Actuals_Table15"/>
      <sheetName val="Global_OH_Goal_Table15"/>
      <sheetName val="Geo_Hc_Actual_Table15"/>
      <sheetName val="Geo_Hc_Goal_Table15"/>
      <sheetName val="3D_ASPIRE_Table15"/>
      <sheetName val="GGM_Backlog_Table15"/>
      <sheetName val="COMET_FY01_Pull15"/>
      <sheetName val="Labor_Pull_FY0115"/>
      <sheetName val="Pull_HP_Wide15"/>
      <sheetName val="Pull_All_SFs15"/>
      <sheetName val="STD__COST15"/>
      <sheetName val="013_-_การสั่งการ13"/>
      <sheetName val="Control_Panel17"/>
      <sheetName val="WW_Total_HPCI17"/>
      <sheetName val="NAM_w-o_Smartc_17"/>
      <sheetName val="GGM_Sum17"/>
      <sheetName val="HPCI_P&amp;L_Trend_(Blue)17"/>
      <sheetName val="HPCI_P&amp;L_Trend_%_(Blue)17"/>
      <sheetName val="PL4K_P&amp;L_Trend17"/>
      <sheetName val="PL4K_P&amp;L_Trend_%17"/>
      <sheetName val="PL79_P&amp;L_Trend17"/>
      <sheetName val="PL79_P&amp;L_Trend_%17"/>
      <sheetName val="HPCI-COMET_Comparison_(Blue)17"/>
      <sheetName val="Global_OH_(Blue)17"/>
      <sheetName val="Headcount_Reconciliation_(Blu17"/>
      <sheetName val="Headcount_Trend17"/>
      <sheetName val="PL4K_Labor_Trend17"/>
      <sheetName val="3D_P&amp;L_Vs_ASPIRE_(Blue)17"/>
      <sheetName val="COMET_P&amp;L_Trend_(Blue)17"/>
      <sheetName val="COMET_P&amp;L_Trend_%_(Blue)17"/>
      <sheetName val="FY02_Adjusted_P&amp;L_(Blue)17"/>
      <sheetName val="Adjustment_DTL_(Blue)17"/>
      <sheetName val="GGM_Cap__Change_Pull17"/>
      <sheetName val="GGM_Residual_Pull17"/>
      <sheetName val="GGM_Local_OH_Pull17"/>
      <sheetName val="GGM_Allocs_Pull17"/>
      <sheetName val="GGM_Oth_Inc(Exp)_Pull17"/>
      <sheetName val="Smartcontact_Gain_Pull17"/>
      <sheetName val="GGM_Revenue_Fall_Out17"/>
      <sheetName val="GGM_Residual_Fall_Out17"/>
      <sheetName val="Global_OH_Pull17"/>
      <sheetName val="EN50_47_Global_Pull17"/>
      <sheetName val="Labor_Pull17"/>
      <sheetName val="Forecast_Accuracy_Trend17"/>
      <sheetName val="COMET_Pull17"/>
      <sheetName val="WW_P&amp;L_Table17"/>
      <sheetName val="WW_Goal_Table17"/>
      <sheetName val="GGM_CF_Pull17"/>
      <sheetName val="HPC_Region_P&amp;L_Table17"/>
      <sheetName val="HPC_Region_Goal_Table17"/>
      <sheetName val="PL_Region_P&amp;L_Table17"/>
      <sheetName val="PL_Region_Goal_Table17"/>
      <sheetName val="3D_P&amp;L_Table17"/>
      <sheetName val="Global_OH_Actuals_Table17"/>
      <sheetName val="Global_OH_Goal_Table17"/>
      <sheetName val="Geo_Hc_Actual_Table17"/>
      <sheetName val="Geo_Hc_Goal_Table17"/>
      <sheetName val="3D_ASPIRE_Table17"/>
      <sheetName val="GGM_Backlog_Table17"/>
      <sheetName val="COMET_FY01_Pull17"/>
      <sheetName val="Labor_Pull_FY0117"/>
      <sheetName val="Pull_HP_Wide17"/>
      <sheetName val="Pull_All_SFs17"/>
      <sheetName val="STD__COST17"/>
      <sheetName val="013_-_การสั่งการ15"/>
      <sheetName val="Control_Panel16"/>
      <sheetName val="WW_Total_HPCI16"/>
      <sheetName val="NAM_w-o_Smartc_16"/>
      <sheetName val="GGM_Sum16"/>
      <sheetName val="HPCI_P&amp;L_Trend_(Blue)16"/>
      <sheetName val="HPCI_P&amp;L_Trend_%_(Blue)16"/>
      <sheetName val="PL4K_P&amp;L_Trend16"/>
      <sheetName val="PL4K_P&amp;L_Trend_%16"/>
      <sheetName val="PL79_P&amp;L_Trend16"/>
      <sheetName val="PL79_P&amp;L_Trend_%16"/>
      <sheetName val="HPCI-COMET_Comparison_(Blue)16"/>
      <sheetName val="Global_OH_(Blue)16"/>
      <sheetName val="Headcount_Reconciliation_(Blu16"/>
      <sheetName val="Headcount_Trend16"/>
      <sheetName val="PL4K_Labor_Trend16"/>
      <sheetName val="3D_P&amp;L_Vs_ASPIRE_(Blue)16"/>
      <sheetName val="COMET_P&amp;L_Trend_(Blue)16"/>
      <sheetName val="COMET_P&amp;L_Trend_%_(Blue)16"/>
      <sheetName val="FY02_Adjusted_P&amp;L_(Blue)16"/>
      <sheetName val="Adjustment_DTL_(Blue)16"/>
      <sheetName val="GGM_Cap__Change_Pull16"/>
      <sheetName val="GGM_Residual_Pull16"/>
      <sheetName val="GGM_Local_OH_Pull16"/>
      <sheetName val="GGM_Allocs_Pull16"/>
      <sheetName val="GGM_Oth_Inc(Exp)_Pull16"/>
      <sheetName val="Smartcontact_Gain_Pull16"/>
      <sheetName val="GGM_Revenue_Fall_Out16"/>
      <sheetName val="GGM_Residual_Fall_Out16"/>
      <sheetName val="Global_OH_Pull16"/>
      <sheetName val="EN50_47_Global_Pull16"/>
      <sheetName val="Labor_Pull16"/>
      <sheetName val="Forecast_Accuracy_Trend16"/>
      <sheetName val="COMET_Pull16"/>
      <sheetName val="WW_P&amp;L_Table16"/>
      <sheetName val="WW_Goal_Table16"/>
      <sheetName val="GGM_CF_Pull16"/>
      <sheetName val="HPC_Region_P&amp;L_Table16"/>
      <sheetName val="HPC_Region_Goal_Table16"/>
      <sheetName val="PL_Region_P&amp;L_Table16"/>
      <sheetName val="PL_Region_Goal_Table16"/>
      <sheetName val="3D_P&amp;L_Table16"/>
      <sheetName val="Global_OH_Actuals_Table16"/>
      <sheetName val="Global_OH_Goal_Table16"/>
      <sheetName val="Geo_Hc_Actual_Table16"/>
      <sheetName val="Geo_Hc_Goal_Table16"/>
      <sheetName val="3D_ASPIRE_Table16"/>
      <sheetName val="GGM_Backlog_Table16"/>
      <sheetName val="COMET_FY01_Pull16"/>
      <sheetName val="Labor_Pull_FY0116"/>
      <sheetName val="Pull_HP_Wide16"/>
      <sheetName val="Pull_All_SFs16"/>
      <sheetName val="STD__COST16"/>
      <sheetName val="013_-_การสั่งการ14"/>
      <sheetName val="Control_Panel18"/>
      <sheetName val="WW_Total_HPCI18"/>
      <sheetName val="NAM_w-o_Smartc_18"/>
      <sheetName val="GGM_Sum18"/>
      <sheetName val="HPCI_P&amp;L_Trend_(Blue)18"/>
      <sheetName val="HPCI_P&amp;L_Trend_%_(Blue)18"/>
      <sheetName val="PL4K_P&amp;L_Trend18"/>
      <sheetName val="PL4K_P&amp;L_Trend_%18"/>
      <sheetName val="PL79_P&amp;L_Trend18"/>
      <sheetName val="PL79_P&amp;L_Trend_%18"/>
      <sheetName val="HPCI-COMET_Comparison_(Blue)18"/>
      <sheetName val="Global_OH_(Blue)18"/>
      <sheetName val="Headcount_Reconciliation_(Blu18"/>
      <sheetName val="Headcount_Trend18"/>
      <sheetName val="PL4K_Labor_Trend18"/>
      <sheetName val="3D_P&amp;L_Vs_ASPIRE_(Blue)18"/>
      <sheetName val="COMET_P&amp;L_Trend_(Blue)18"/>
      <sheetName val="COMET_P&amp;L_Trend_%_(Blue)18"/>
      <sheetName val="FY02_Adjusted_P&amp;L_(Blue)18"/>
      <sheetName val="Adjustment_DTL_(Blue)18"/>
      <sheetName val="GGM_Cap__Change_Pull18"/>
      <sheetName val="GGM_Residual_Pull18"/>
      <sheetName val="GGM_Local_OH_Pull18"/>
      <sheetName val="GGM_Allocs_Pull18"/>
      <sheetName val="GGM_Oth_Inc(Exp)_Pull18"/>
      <sheetName val="Smartcontact_Gain_Pull18"/>
      <sheetName val="GGM_Revenue_Fall_Out18"/>
      <sheetName val="GGM_Residual_Fall_Out18"/>
      <sheetName val="Global_OH_Pull18"/>
      <sheetName val="EN50_47_Global_Pull18"/>
      <sheetName val="Labor_Pull18"/>
      <sheetName val="Forecast_Accuracy_Trend18"/>
      <sheetName val="COMET_Pull18"/>
      <sheetName val="WW_P&amp;L_Table18"/>
      <sheetName val="WW_Goal_Table18"/>
      <sheetName val="GGM_CF_Pull18"/>
      <sheetName val="HPC_Region_P&amp;L_Table18"/>
      <sheetName val="HPC_Region_Goal_Table18"/>
      <sheetName val="PL_Region_P&amp;L_Table18"/>
      <sheetName val="PL_Region_Goal_Table18"/>
      <sheetName val="3D_P&amp;L_Table18"/>
      <sheetName val="Global_OH_Actuals_Table18"/>
      <sheetName val="Global_OH_Goal_Table18"/>
      <sheetName val="Geo_Hc_Actual_Table18"/>
      <sheetName val="Geo_Hc_Goal_Table18"/>
      <sheetName val="3D_ASPIRE_Table18"/>
      <sheetName val="GGM_Backlog_Table18"/>
      <sheetName val="COMET_FY01_Pull18"/>
      <sheetName val="Labor_Pull_FY0118"/>
      <sheetName val="Pull_HP_Wide18"/>
      <sheetName val="Pull_All_SFs18"/>
      <sheetName val="STD__COST18"/>
      <sheetName val="013_-_การสั่งการ16"/>
      <sheetName val="Control_Panel19"/>
      <sheetName val="WW_Total_HPCI19"/>
      <sheetName val="NAM_w-o_Smartc_19"/>
      <sheetName val="GGM_Sum19"/>
      <sheetName val="HPCI_P&amp;L_Trend_(Blue)19"/>
      <sheetName val="HPCI_P&amp;L_Trend_%_(Blue)19"/>
      <sheetName val="PL4K_P&amp;L_Trend19"/>
      <sheetName val="PL4K_P&amp;L_Trend_%19"/>
      <sheetName val="PL79_P&amp;L_Trend19"/>
      <sheetName val="PL79_P&amp;L_Trend_%19"/>
      <sheetName val="HPCI-COMET_Comparison_(Blue)19"/>
      <sheetName val="Global_OH_(Blue)19"/>
      <sheetName val="Headcount_Reconciliation_(Blu19"/>
      <sheetName val="Headcount_Trend19"/>
      <sheetName val="PL4K_Labor_Trend19"/>
      <sheetName val="3D_P&amp;L_Vs_ASPIRE_(Blue)19"/>
      <sheetName val="COMET_P&amp;L_Trend_(Blue)19"/>
      <sheetName val="COMET_P&amp;L_Trend_%_(Blue)19"/>
      <sheetName val="FY02_Adjusted_P&amp;L_(Blue)19"/>
      <sheetName val="Adjustment_DTL_(Blue)19"/>
      <sheetName val="GGM_Cap__Change_Pull19"/>
      <sheetName val="GGM_Residual_Pull19"/>
      <sheetName val="GGM_Local_OH_Pull19"/>
      <sheetName val="GGM_Allocs_Pull19"/>
      <sheetName val="GGM_Oth_Inc(Exp)_Pull19"/>
      <sheetName val="Smartcontact_Gain_Pull19"/>
      <sheetName val="GGM_Revenue_Fall_Out19"/>
      <sheetName val="GGM_Residual_Fall_Out19"/>
      <sheetName val="Global_OH_Pull19"/>
      <sheetName val="EN50_47_Global_Pull19"/>
      <sheetName val="Labor_Pull19"/>
      <sheetName val="Forecast_Accuracy_Trend19"/>
      <sheetName val="COMET_Pull19"/>
      <sheetName val="WW_P&amp;L_Table19"/>
      <sheetName val="WW_Goal_Table19"/>
      <sheetName val="GGM_CF_Pull19"/>
      <sheetName val="HPC_Region_P&amp;L_Table19"/>
      <sheetName val="HPC_Region_Goal_Table19"/>
      <sheetName val="PL_Region_P&amp;L_Table19"/>
      <sheetName val="PL_Region_Goal_Table19"/>
      <sheetName val="3D_P&amp;L_Table19"/>
      <sheetName val="Global_OH_Actuals_Table19"/>
      <sheetName val="Global_OH_Goal_Table19"/>
      <sheetName val="Geo_Hc_Actual_Table19"/>
      <sheetName val="Geo_Hc_Goal_Table19"/>
      <sheetName val="3D_ASPIRE_Table19"/>
      <sheetName val="GGM_Backlog_Table19"/>
      <sheetName val="COMET_FY01_Pull19"/>
      <sheetName val="Labor_Pull_FY0119"/>
      <sheetName val="Pull_HP_Wide19"/>
      <sheetName val="Pull_All_SFs19"/>
      <sheetName val="STD__COST19"/>
      <sheetName val="013_-_การสั่งการ17"/>
      <sheetName val="013_-_การสั่งการ18"/>
      <sheetName val="Control_Panel21"/>
      <sheetName val="WW_Total_HPCI21"/>
      <sheetName val="NAM_w-o_Smartc_21"/>
      <sheetName val="GGM_Sum21"/>
      <sheetName val="HPCI_P&amp;L_Trend_(Blue)21"/>
      <sheetName val="HPCI_P&amp;L_Trend_%_(Blue)21"/>
      <sheetName val="PL4K_P&amp;L_Trend21"/>
      <sheetName val="PL4K_P&amp;L_Trend_%21"/>
      <sheetName val="PL79_P&amp;L_Trend21"/>
      <sheetName val="PL79_P&amp;L_Trend_%21"/>
      <sheetName val="HPCI-COMET_Comparison_(Blue)21"/>
      <sheetName val="Global_OH_(Blue)21"/>
      <sheetName val="Headcount_Reconciliation_(Blu21"/>
      <sheetName val="Headcount_Trend21"/>
      <sheetName val="PL4K_Labor_Trend21"/>
      <sheetName val="3D_P&amp;L_Vs_ASPIRE_(Blue)21"/>
      <sheetName val="COMET_P&amp;L_Trend_(Blue)21"/>
      <sheetName val="COMET_P&amp;L_Trend_%_(Blue)21"/>
      <sheetName val="FY02_Adjusted_P&amp;L_(Blue)21"/>
      <sheetName val="Adjustment_DTL_(Blue)21"/>
      <sheetName val="GGM_Cap__Change_Pull21"/>
      <sheetName val="GGM_Residual_Pull21"/>
      <sheetName val="GGM_Local_OH_Pull21"/>
      <sheetName val="GGM_Allocs_Pull21"/>
      <sheetName val="GGM_Oth_Inc(Exp)_Pull21"/>
      <sheetName val="Smartcontact_Gain_Pull21"/>
      <sheetName val="GGM_Revenue_Fall_Out21"/>
      <sheetName val="GGM_Residual_Fall_Out21"/>
      <sheetName val="Global_OH_Pull21"/>
      <sheetName val="EN50_47_Global_Pull21"/>
      <sheetName val="Labor_Pull21"/>
      <sheetName val="Forecast_Accuracy_Trend21"/>
      <sheetName val="COMET_Pull21"/>
      <sheetName val="WW_P&amp;L_Table21"/>
      <sheetName val="WW_Goal_Table21"/>
      <sheetName val="GGM_CF_Pull21"/>
      <sheetName val="HPC_Region_P&amp;L_Table21"/>
      <sheetName val="HPC_Region_Goal_Table21"/>
      <sheetName val="PL_Region_P&amp;L_Table21"/>
      <sheetName val="PL_Region_Goal_Table21"/>
      <sheetName val="3D_P&amp;L_Table21"/>
      <sheetName val="Global_OH_Actuals_Table21"/>
      <sheetName val="Global_OH_Goal_Table21"/>
      <sheetName val="Geo_Hc_Actual_Table21"/>
      <sheetName val="Geo_Hc_Goal_Table21"/>
      <sheetName val="3D_ASPIRE_Table21"/>
      <sheetName val="GGM_Backlog_Table21"/>
      <sheetName val="COMET_FY01_Pull21"/>
      <sheetName val="Labor_Pull_FY0121"/>
      <sheetName val="Pull_HP_Wide21"/>
      <sheetName val="Pull_All_SFs21"/>
      <sheetName val="STD__COST21"/>
      <sheetName val="013_-_การสั่งการ19"/>
      <sheetName val="Control_Panel22"/>
      <sheetName val="WW_Total_HPCI22"/>
      <sheetName val="NAM_w-o_Smartc_22"/>
      <sheetName val="GGM_Sum22"/>
      <sheetName val="HPCI_P&amp;L_Trend_(Blue)22"/>
      <sheetName val="HPCI_P&amp;L_Trend_%_(Blue)22"/>
      <sheetName val="PL4K_P&amp;L_Trend22"/>
      <sheetName val="PL4K_P&amp;L_Trend_%22"/>
      <sheetName val="PL79_P&amp;L_Trend22"/>
      <sheetName val="PL79_P&amp;L_Trend_%22"/>
      <sheetName val="HPCI-COMET_Comparison_(Blue)22"/>
      <sheetName val="Global_OH_(Blue)22"/>
      <sheetName val="Headcount_Reconciliation_(Blu22"/>
      <sheetName val="Headcount_Trend22"/>
      <sheetName val="PL4K_Labor_Trend22"/>
      <sheetName val="3D_P&amp;L_Vs_ASPIRE_(Blue)22"/>
      <sheetName val="COMET_P&amp;L_Trend_(Blue)22"/>
      <sheetName val="COMET_P&amp;L_Trend_%_(Blue)22"/>
      <sheetName val="FY02_Adjusted_P&amp;L_(Blue)22"/>
      <sheetName val="Adjustment_DTL_(Blue)22"/>
      <sheetName val="GGM_Cap__Change_Pull22"/>
      <sheetName val="GGM_Residual_Pull22"/>
      <sheetName val="GGM_Local_OH_Pull22"/>
      <sheetName val="GGM_Allocs_Pull22"/>
      <sheetName val="GGM_Oth_Inc(Exp)_Pull22"/>
      <sheetName val="Smartcontact_Gain_Pull22"/>
      <sheetName val="GGM_Revenue_Fall_Out22"/>
      <sheetName val="GGM_Residual_Fall_Out22"/>
      <sheetName val="Global_OH_Pull22"/>
      <sheetName val="EN50_47_Global_Pull22"/>
      <sheetName val="Labor_Pull22"/>
      <sheetName val="Forecast_Accuracy_Trend22"/>
      <sheetName val="COMET_Pull22"/>
      <sheetName val="WW_P&amp;L_Table22"/>
      <sheetName val="WW_Goal_Table22"/>
      <sheetName val="GGM_CF_Pull22"/>
      <sheetName val="HPC_Region_P&amp;L_Table22"/>
      <sheetName val="HPC_Region_Goal_Table22"/>
      <sheetName val="PL_Region_P&amp;L_Table22"/>
      <sheetName val="PL_Region_Goal_Table22"/>
      <sheetName val="3D_P&amp;L_Table22"/>
      <sheetName val="Global_OH_Actuals_Table22"/>
      <sheetName val="Global_OH_Goal_Table22"/>
      <sheetName val="Geo_Hc_Actual_Table22"/>
      <sheetName val="Geo_Hc_Goal_Table22"/>
      <sheetName val="3D_ASPIRE_Table22"/>
      <sheetName val="GGM_Backlog_Table22"/>
      <sheetName val="COMET_FY01_Pull22"/>
      <sheetName val="Labor_Pull_FY0122"/>
      <sheetName val="Pull_HP_Wide22"/>
      <sheetName val="Pull_All_SFs22"/>
      <sheetName val="STD__COST22"/>
      <sheetName val="013_-_การสั่งการ20"/>
      <sheetName val="Control_Panel26"/>
      <sheetName val="WW_Total_HPCI26"/>
      <sheetName val="NAM_w-o_Smartc_26"/>
      <sheetName val="GGM_Sum26"/>
      <sheetName val="HPCI_P&amp;L_Trend_(Blue)26"/>
      <sheetName val="HPCI_P&amp;L_Trend_%_(Blue)26"/>
      <sheetName val="PL4K_P&amp;L_Trend26"/>
      <sheetName val="PL4K_P&amp;L_Trend_%26"/>
      <sheetName val="PL79_P&amp;L_Trend26"/>
      <sheetName val="PL79_P&amp;L_Trend_%26"/>
      <sheetName val="HPCI-COMET_Comparison_(Blue)26"/>
      <sheetName val="Global_OH_(Blue)26"/>
      <sheetName val="Headcount_Reconciliation_(Blu26"/>
      <sheetName val="Headcount_Trend26"/>
      <sheetName val="PL4K_Labor_Trend26"/>
      <sheetName val="3D_P&amp;L_Vs_ASPIRE_(Blue)26"/>
      <sheetName val="COMET_P&amp;L_Trend_(Blue)26"/>
      <sheetName val="COMET_P&amp;L_Trend_%_(Blue)26"/>
      <sheetName val="FY02_Adjusted_P&amp;L_(Blue)26"/>
      <sheetName val="Adjustment_DTL_(Blue)26"/>
      <sheetName val="GGM_Cap__Change_Pull26"/>
      <sheetName val="GGM_Residual_Pull26"/>
      <sheetName val="GGM_Local_OH_Pull26"/>
      <sheetName val="GGM_Allocs_Pull26"/>
      <sheetName val="GGM_Oth_Inc(Exp)_Pull26"/>
      <sheetName val="Smartcontact_Gain_Pull26"/>
      <sheetName val="GGM_Revenue_Fall_Out26"/>
      <sheetName val="GGM_Residual_Fall_Out26"/>
      <sheetName val="Global_OH_Pull26"/>
      <sheetName val="EN50_47_Global_Pull26"/>
      <sheetName val="Labor_Pull26"/>
      <sheetName val="Forecast_Accuracy_Trend26"/>
      <sheetName val="COMET_Pull26"/>
      <sheetName val="WW_P&amp;L_Table26"/>
      <sheetName val="WW_Goal_Table26"/>
      <sheetName val="GGM_CF_Pull26"/>
      <sheetName val="HPC_Region_P&amp;L_Table26"/>
      <sheetName val="HPC_Region_Goal_Table26"/>
      <sheetName val="PL_Region_P&amp;L_Table26"/>
      <sheetName val="PL_Region_Goal_Table26"/>
      <sheetName val="3D_P&amp;L_Table26"/>
      <sheetName val="Global_OH_Actuals_Table26"/>
      <sheetName val="Global_OH_Goal_Table26"/>
      <sheetName val="Geo_Hc_Actual_Table26"/>
      <sheetName val="Geo_Hc_Goal_Table26"/>
      <sheetName val="3D_ASPIRE_Table26"/>
      <sheetName val="GGM_Backlog_Table26"/>
      <sheetName val="COMET_FY01_Pull26"/>
      <sheetName val="Labor_Pull_FY0126"/>
      <sheetName val="Pull_HP_Wide26"/>
      <sheetName val="Pull_All_SFs26"/>
      <sheetName val="STD__COST26"/>
      <sheetName val="013_-_การสั่งการ24"/>
      <sheetName val="Control_Panel24"/>
      <sheetName val="WW_Total_HPCI24"/>
      <sheetName val="NAM_w-o_Smartc_24"/>
      <sheetName val="GGM_Sum24"/>
      <sheetName val="HPCI_P&amp;L_Trend_(Blue)24"/>
      <sheetName val="HPCI_P&amp;L_Trend_%_(Blue)24"/>
      <sheetName val="PL4K_P&amp;L_Trend24"/>
      <sheetName val="PL4K_P&amp;L_Trend_%24"/>
      <sheetName val="PL79_P&amp;L_Trend24"/>
      <sheetName val="PL79_P&amp;L_Trend_%24"/>
      <sheetName val="HPCI-COMET_Comparison_(Blue)24"/>
      <sheetName val="Global_OH_(Blue)24"/>
      <sheetName val="Headcount_Reconciliation_(Blu24"/>
      <sheetName val="Headcount_Trend24"/>
      <sheetName val="PL4K_Labor_Trend24"/>
      <sheetName val="3D_P&amp;L_Vs_ASPIRE_(Blue)24"/>
      <sheetName val="COMET_P&amp;L_Trend_(Blue)24"/>
      <sheetName val="COMET_P&amp;L_Trend_%_(Blue)24"/>
      <sheetName val="FY02_Adjusted_P&amp;L_(Blue)24"/>
      <sheetName val="Adjustment_DTL_(Blue)24"/>
      <sheetName val="GGM_Cap__Change_Pull24"/>
      <sheetName val="GGM_Residual_Pull24"/>
      <sheetName val="GGM_Local_OH_Pull24"/>
      <sheetName val="GGM_Allocs_Pull24"/>
      <sheetName val="GGM_Oth_Inc(Exp)_Pull24"/>
      <sheetName val="Smartcontact_Gain_Pull24"/>
      <sheetName val="GGM_Revenue_Fall_Out24"/>
      <sheetName val="GGM_Residual_Fall_Out24"/>
      <sheetName val="Global_OH_Pull24"/>
      <sheetName val="EN50_47_Global_Pull24"/>
      <sheetName val="Labor_Pull24"/>
      <sheetName val="Forecast_Accuracy_Trend24"/>
      <sheetName val="COMET_Pull24"/>
      <sheetName val="WW_P&amp;L_Table24"/>
      <sheetName val="WW_Goal_Table24"/>
      <sheetName val="GGM_CF_Pull24"/>
      <sheetName val="HPC_Region_P&amp;L_Table24"/>
      <sheetName val="HPC_Region_Goal_Table24"/>
      <sheetName val="PL_Region_P&amp;L_Table24"/>
      <sheetName val="PL_Region_Goal_Table24"/>
      <sheetName val="3D_P&amp;L_Table24"/>
      <sheetName val="Global_OH_Actuals_Table24"/>
      <sheetName val="Global_OH_Goal_Table24"/>
      <sheetName val="Geo_Hc_Actual_Table24"/>
      <sheetName val="Geo_Hc_Goal_Table24"/>
      <sheetName val="3D_ASPIRE_Table24"/>
      <sheetName val="GGM_Backlog_Table24"/>
      <sheetName val="COMET_FY01_Pull24"/>
      <sheetName val="Labor_Pull_FY0124"/>
      <sheetName val="Pull_HP_Wide24"/>
      <sheetName val="Pull_All_SFs24"/>
      <sheetName val="STD__COST24"/>
      <sheetName val="013_-_การสั่งการ22"/>
      <sheetName val="Control_Panel23"/>
      <sheetName val="WW_Total_HPCI23"/>
      <sheetName val="NAM_w-o_Smartc_23"/>
      <sheetName val="GGM_Sum23"/>
      <sheetName val="HPCI_P&amp;L_Trend_(Blue)23"/>
      <sheetName val="HPCI_P&amp;L_Trend_%_(Blue)23"/>
      <sheetName val="PL4K_P&amp;L_Trend23"/>
      <sheetName val="PL4K_P&amp;L_Trend_%23"/>
      <sheetName val="PL79_P&amp;L_Trend23"/>
      <sheetName val="PL79_P&amp;L_Trend_%23"/>
      <sheetName val="HPCI-COMET_Comparison_(Blue)23"/>
      <sheetName val="Global_OH_(Blue)23"/>
      <sheetName val="Headcount_Reconciliation_(Blu23"/>
      <sheetName val="Headcount_Trend23"/>
      <sheetName val="PL4K_Labor_Trend23"/>
      <sheetName val="3D_P&amp;L_Vs_ASPIRE_(Blue)23"/>
      <sheetName val="COMET_P&amp;L_Trend_(Blue)23"/>
      <sheetName val="COMET_P&amp;L_Trend_%_(Blue)23"/>
      <sheetName val="FY02_Adjusted_P&amp;L_(Blue)23"/>
      <sheetName val="Adjustment_DTL_(Blue)23"/>
      <sheetName val="GGM_Cap__Change_Pull23"/>
      <sheetName val="GGM_Residual_Pull23"/>
      <sheetName val="GGM_Local_OH_Pull23"/>
      <sheetName val="GGM_Allocs_Pull23"/>
      <sheetName val="GGM_Oth_Inc(Exp)_Pull23"/>
      <sheetName val="Smartcontact_Gain_Pull23"/>
      <sheetName val="GGM_Revenue_Fall_Out23"/>
      <sheetName val="GGM_Residual_Fall_Out23"/>
      <sheetName val="Global_OH_Pull23"/>
      <sheetName val="EN50_47_Global_Pull23"/>
      <sheetName val="Labor_Pull23"/>
      <sheetName val="Forecast_Accuracy_Trend23"/>
      <sheetName val="COMET_Pull23"/>
      <sheetName val="WW_P&amp;L_Table23"/>
      <sheetName val="WW_Goal_Table23"/>
      <sheetName val="GGM_CF_Pull23"/>
      <sheetName val="HPC_Region_P&amp;L_Table23"/>
      <sheetName val="HPC_Region_Goal_Table23"/>
      <sheetName val="PL_Region_P&amp;L_Table23"/>
      <sheetName val="PL_Region_Goal_Table23"/>
      <sheetName val="3D_P&amp;L_Table23"/>
      <sheetName val="Global_OH_Actuals_Table23"/>
      <sheetName val="Global_OH_Goal_Table23"/>
      <sheetName val="Geo_Hc_Actual_Table23"/>
      <sheetName val="Geo_Hc_Goal_Table23"/>
      <sheetName val="3D_ASPIRE_Table23"/>
      <sheetName val="GGM_Backlog_Table23"/>
      <sheetName val="COMET_FY01_Pull23"/>
      <sheetName val="Labor_Pull_FY0123"/>
      <sheetName val="Pull_HP_Wide23"/>
      <sheetName val="Pull_All_SFs23"/>
      <sheetName val="STD__COST23"/>
      <sheetName val="013_-_การสั่งการ21"/>
      <sheetName val="Control_Panel25"/>
      <sheetName val="WW_Total_HPCI25"/>
      <sheetName val="NAM_w-o_Smartc_25"/>
      <sheetName val="GGM_Sum25"/>
      <sheetName val="HPCI_P&amp;L_Trend_(Blue)25"/>
      <sheetName val="HPCI_P&amp;L_Trend_%_(Blue)25"/>
      <sheetName val="PL4K_P&amp;L_Trend25"/>
      <sheetName val="PL4K_P&amp;L_Trend_%25"/>
      <sheetName val="PL79_P&amp;L_Trend25"/>
      <sheetName val="PL79_P&amp;L_Trend_%25"/>
      <sheetName val="HPCI-COMET_Comparison_(Blue)25"/>
      <sheetName val="Global_OH_(Blue)25"/>
      <sheetName val="Headcount_Reconciliation_(Blu25"/>
      <sheetName val="Headcount_Trend25"/>
      <sheetName val="PL4K_Labor_Trend25"/>
      <sheetName val="3D_P&amp;L_Vs_ASPIRE_(Blue)25"/>
      <sheetName val="COMET_P&amp;L_Trend_(Blue)25"/>
      <sheetName val="COMET_P&amp;L_Trend_%_(Blue)25"/>
      <sheetName val="FY02_Adjusted_P&amp;L_(Blue)25"/>
      <sheetName val="Adjustment_DTL_(Blue)25"/>
      <sheetName val="GGM_Cap__Change_Pull25"/>
      <sheetName val="GGM_Residual_Pull25"/>
      <sheetName val="GGM_Local_OH_Pull25"/>
      <sheetName val="GGM_Allocs_Pull25"/>
      <sheetName val="GGM_Oth_Inc(Exp)_Pull25"/>
      <sheetName val="Smartcontact_Gain_Pull25"/>
      <sheetName val="GGM_Revenue_Fall_Out25"/>
      <sheetName val="GGM_Residual_Fall_Out25"/>
      <sheetName val="Global_OH_Pull25"/>
      <sheetName val="EN50_47_Global_Pull25"/>
      <sheetName val="Labor_Pull25"/>
      <sheetName val="Forecast_Accuracy_Trend25"/>
      <sheetName val="COMET_Pull25"/>
      <sheetName val="WW_P&amp;L_Table25"/>
      <sheetName val="WW_Goal_Table25"/>
      <sheetName val="GGM_CF_Pull25"/>
      <sheetName val="HPC_Region_P&amp;L_Table25"/>
      <sheetName val="HPC_Region_Goal_Table25"/>
      <sheetName val="PL_Region_P&amp;L_Table25"/>
      <sheetName val="PL_Region_Goal_Table25"/>
      <sheetName val="3D_P&amp;L_Table25"/>
      <sheetName val="Global_OH_Actuals_Table25"/>
      <sheetName val="Global_OH_Goal_Table25"/>
      <sheetName val="Geo_Hc_Actual_Table25"/>
      <sheetName val="Geo_Hc_Goal_Table25"/>
      <sheetName val="3D_ASPIRE_Table25"/>
      <sheetName val="GGM_Backlog_Table25"/>
      <sheetName val="COMET_FY01_Pull25"/>
      <sheetName val="Labor_Pull_FY0125"/>
      <sheetName val="Pull_HP_Wide25"/>
      <sheetName val="Pull_All_SFs25"/>
      <sheetName val="STD__COST25"/>
      <sheetName val="013_-_การสั่งการ23"/>
      <sheetName val="Control_Panel29"/>
      <sheetName val="WW_Total_HPCI29"/>
      <sheetName val="NAM_w-o_Smartc_29"/>
      <sheetName val="GGM_Sum29"/>
      <sheetName val="HPCI_P&amp;L_Trend_(Blue)29"/>
      <sheetName val="HPCI_P&amp;L_Trend_%_(Blue)29"/>
      <sheetName val="PL4K_P&amp;L_Trend29"/>
      <sheetName val="PL4K_P&amp;L_Trend_%29"/>
      <sheetName val="PL79_P&amp;L_Trend29"/>
      <sheetName val="PL79_P&amp;L_Trend_%29"/>
      <sheetName val="HPCI-COMET_Comparison_(Blue)29"/>
      <sheetName val="Global_OH_(Blue)29"/>
      <sheetName val="Headcount_Reconciliation_(Blu29"/>
      <sheetName val="Headcount_Trend29"/>
      <sheetName val="PL4K_Labor_Trend29"/>
      <sheetName val="3D_P&amp;L_Vs_ASPIRE_(Blue)29"/>
      <sheetName val="COMET_P&amp;L_Trend_(Blue)29"/>
      <sheetName val="COMET_P&amp;L_Trend_%_(Blue)29"/>
      <sheetName val="FY02_Adjusted_P&amp;L_(Blue)29"/>
      <sheetName val="Adjustment_DTL_(Blue)29"/>
      <sheetName val="GGM_Cap__Change_Pull29"/>
      <sheetName val="GGM_Residual_Pull29"/>
      <sheetName val="GGM_Local_OH_Pull29"/>
      <sheetName val="GGM_Allocs_Pull29"/>
      <sheetName val="GGM_Oth_Inc(Exp)_Pull29"/>
      <sheetName val="Smartcontact_Gain_Pull29"/>
      <sheetName val="GGM_Revenue_Fall_Out29"/>
      <sheetName val="GGM_Residual_Fall_Out29"/>
      <sheetName val="Global_OH_Pull29"/>
      <sheetName val="EN50_47_Global_Pull29"/>
      <sheetName val="Labor_Pull29"/>
      <sheetName val="Forecast_Accuracy_Trend29"/>
      <sheetName val="COMET_Pull29"/>
      <sheetName val="WW_P&amp;L_Table29"/>
      <sheetName val="WW_Goal_Table29"/>
      <sheetName val="GGM_CF_Pull29"/>
      <sheetName val="HPC_Region_P&amp;L_Table29"/>
      <sheetName val="HPC_Region_Goal_Table29"/>
      <sheetName val="PL_Region_P&amp;L_Table29"/>
      <sheetName val="PL_Region_Goal_Table29"/>
      <sheetName val="3D_P&amp;L_Table29"/>
      <sheetName val="Global_OH_Actuals_Table29"/>
      <sheetName val="Global_OH_Goal_Table29"/>
      <sheetName val="Geo_Hc_Actual_Table29"/>
      <sheetName val="Geo_Hc_Goal_Table29"/>
      <sheetName val="3D_ASPIRE_Table29"/>
      <sheetName val="GGM_Backlog_Table29"/>
      <sheetName val="COMET_FY01_Pull29"/>
      <sheetName val="Labor_Pull_FY0129"/>
      <sheetName val="Pull_HP_Wide29"/>
      <sheetName val="Pull_All_SFs29"/>
      <sheetName val="STD__COST29"/>
      <sheetName val="013_-_การสั่งการ27"/>
      <sheetName val="Control_Panel27"/>
      <sheetName val="WW_Total_HPCI27"/>
      <sheetName val="NAM_w-o_Smartc_27"/>
      <sheetName val="GGM_Sum27"/>
      <sheetName val="HPCI_P&amp;L_Trend_(Blue)27"/>
      <sheetName val="HPCI_P&amp;L_Trend_%_(Blue)27"/>
      <sheetName val="PL4K_P&amp;L_Trend27"/>
      <sheetName val="PL4K_P&amp;L_Trend_%27"/>
      <sheetName val="PL79_P&amp;L_Trend27"/>
      <sheetName val="PL79_P&amp;L_Trend_%27"/>
      <sheetName val="HPCI-COMET_Comparison_(Blue)27"/>
      <sheetName val="Global_OH_(Blue)27"/>
      <sheetName val="Headcount_Reconciliation_(Blu27"/>
      <sheetName val="Headcount_Trend27"/>
      <sheetName val="PL4K_Labor_Trend27"/>
      <sheetName val="3D_P&amp;L_Vs_ASPIRE_(Blue)27"/>
      <sheetName val="COMET_P&amp;L_Trend_(Blue)27"/>
      <sheetName val="COMET_P&amp;L_Trend_%_(Blue)27"/>
      <sheetName val="FY02_Adjusted_P&amp;L_(Blue)27"/>
      <sheetName val="Adjustment_DTL_(Blue)27"/>
      <sheetName val="GGM_Cap__Change_Pull27"/>
      <sheetName val="GGM_Residual_Pull27"/>
      <sheetName val="GGM_Local_OH_Pull27"/>
      <sheetName val="GGM_Allocs_Pull27"/>
      <sheetName val="GGM_Oth_Inc(Exp)_Pull27"/>
      <sheetName val="Smartcontact_Gain_Pull27"/>
      <sheetName val="GGM_Revenue_Fall_Out27"/>
      <sheetName val="GGM_Residual_Fall_Out27"/>
      <sheetName val="Global_OH_Pull27"/>
      <sheetName val="EN50_47_Global_Pull27"/>
      <sheetName val="Labor_Pull27"/>
      <sheetName val="Forecast_Accuracy_Trend27"/>
      <sheetName val="COMET_Pull27"/>
      <sheetName val="WW_P&amp;L_Table27"/>
      <sheetName val="WW_Goal_Table27"/>
      <sheetName val="GGM_CF_Pull27"/>
      <sheetName val="HPC_Region_P&amp;L_Table27"/>
      <sheetName val="HPC_Region_Goal_Table27"/>
      <sheetName val="PL_Region_P&amp;L_Table27"/>
      <sheetName val="PL_Region_Goal_Table27"/>
      <sheetName val="3D_P&amp;L_Table27"/>
      <sheetName val="Global_OH_Actuals_Table27"/>
      <sheetName val="Global_OH_Goal_Table27"/>
      <sheetName val="Geo_Hc_Actual_Table27"/>
      <sheetName val="Geo_Hc_Goal_Table27"/>
      <sheetName val="3D_ASPIRE_Table27"/>
      <sheetName val="GGM_Backlog_Table27"/>
      <sheetName val="COMET_FY01_Pull27"/>
      <sheetName val="Labor_Pull_FY0127"/>
      <sheetName val="Pull_HP_Wide27"/>
      <sheetName val="Pull_All_SFs27"/>
      <sheetName val="STD__COST27"/>
      <sheetName val="013_-_การสั่งการ25"/>
      <sheetName val="Control_Panel28"/>
      <sheetName val="WW_Total_HPCI28"/>
      <sheetName val="NAM_w-o_Smartc_28"/>
      <sheetName val="GGM_Sum28"/>
      <sheetName val="HPCI_P&amp;L_Trend_(Blue)28"/>
      <sheetName val="HPCI_P&amp;L_Trend_%_(Blue)28"/>
      <sheetName val="PL4K_P&amp;L_Trend28"/>
      <sheetName val="PL4K_P&amp;L_Trend_%28"/>
      <sheetName val="PL79_P&amp;L_Trend28"/>
      <sheetName val="PL79_P&amp;L_Trend_%28"/>
      <sheetName val="HPCI-COMET_Comparison_(Blue)28"/>
      <sheetName val="Global_OH_(Blue)28"/>
      <sheetName val="Headcount_Reconciliation_(Blu28"/>
      <sheetName val="Headcount_Trend28"/>
      <sheetName val="PL4K_Labor_Trend28"/>
      <sheetName val="3D_P&amp;L_Vs_ASPIRE_(Blue)28"/>
      <sheetName val="COMET_P&amp;L_Trend_(Blue)28"/>
      <sheetName val="COMET_P&amp;L_Trend_%_(Blue)28"/>
      <sheetName val="FY02_Adjusted_P&amp;L_(Blue)28"/>
      <sheetName val="Adjustment_DTL_(Blue)28"/>
      <sheetName val="GGM_Cap__Change_Pull28"/>
      <sheetName val="GGM_Residual_Pull28"/>
      <sheetName val="GGM_Local_OH_Pull28"/>
      <sheetName val="GGM_Allocs_Pull28"/>
      <sheetName val="GGM_Oth_Inc(Exp)_Pull28"/>
      <sheetName val="Smartcontact_Gain_Pull28"/>
      <sheetName val="GGM_Revenue_Fall_Out28"/>
      <sheetName val="GGM_Residual_Fall_Out28"/>
      <sheetName val="Global_OH_Pull28"/>
      <sheetName val="EN50_47_Global_Pull28"/>
      <sheetName val="Labor_Pull28"/>
      <sheetName val="Forecast_Accuracy_Trend28"/>
      <sheetName val="COMET_Pull28"/>
      <sheetName val="WW_P&amp;L_Table28"/>
      <sheetName val="WW_Goal_Table28"/>
      <sheetName val="GGM_CF_Pull28"/>
      <sheetName val="HPC_Region_P&amp;L_Table28"/>
      <sheetName val="HPC_Region_Goal_Table28"/>
      <sheetName val="PL_Region_P&amp;L_Table28"/>
      <sheetName val="PL_Region_Goal_Table28"/>
      <sheetName val="3D_P&amp;L_Table28"/>
      <sheetName val="Global_OH_Actuals_Table28"/>
      <sheetName val="Global_OH_Goal_Table28"/>
      <sheetName val="Geo_Hc_Actual_Table28"/>
      <sheetName val="Geo_Hc_Goal_Table28"/>
      <sheetName val="3D_ASPIRE_Table28"/>
      <sheetName val="GGM_Backlog_Table28"/>
      <sheetName val="COMET_FY01_Pull28"/>
      <sheetName val="Labor_Pull_FY0128"/>
      <sheetName val="Pull_HP_Wide28"/>
      <sheetName val="Pull_All_SFs28"/>
      <sheetName val="STD__COST28"/>
      <sheetName val="013_-_การสั่งการ26"/>
      <sheetName val="Control_Panel33"/>
      <sheetName val="WW_Total_HPCI33"/>
      <sheetName val="NAM_w-o_Smartc_33"/>
      <sheetName val="GGM_Sum33"/>
      <sheetName val="HPCI_P&amp;L_Trend_(Blue)33"/>
      <sheetName val="HPCI_P&amp;L_Trend_%_(Blue)33"/>
      <sheetName val="PL4K_P&amp;L_Trend33"/>
      <sheetName val="PL4K_P&amp;L_Trend_%33"/>
      <sheetName val="PL79_P&amp;L_Trend33"/>
      <sheetName val="PL79_P&amp;L_Trend_%33"/>
      <sheetName val="HPCI-COMET_Comparison_(Blue)33"/>
      <sheetName val="Global_OH_(Blue)33"/>
      <sheetName val="Headcount_Reconciliation_(Blu33"/>
      <sheetName val="Headcount_Trend33"/>
      <sheetName val="PL4K_Labor_Trend33"/>
      <sheetName val="3D_P&amp;L_Vs_ASPIRE_(Blue)33"/>
      <sheetName val="COMET_P&amp;L_Trend_(Blue)33"/>
      <sheetName val="COMET_P&amp;L_Trend_%_(Blue)33"/>
      <sheetName val="FY02_Adjusted_P&amp;L_(Blue)33"/>
      <sheetName val="Adjustment_DTL_(Blue)33"/>
      <sheetName val="GGM_Cap__Change_Pull33"/>
      <sheetName val="GGM_Residual_Pull33"/>
      <sheetName val="GGM_Local_OH_Pull33"/>
      <sheetName val="GGM_Allocs_Pull33"/>
      <sheetName val="GGM_Oth_Inc(Exp)_Pull33"/>
      <sheetName val="Smartcontact_Gain_Pull33"/>
      <sheetName val="GGM_Revenue_Fall_Out33"/>
      <sheetName val="GGM_Residual_Fall_Out33"/>
      <sheetName val="Global_OH_Pull33"/>
      <sheetName val="EN50_47_Global_Pull33"/>
      <sheetName val="Labor_Pull33"/>
      <sheetName val="Forecast_Accuracy_Trend33"/>
      <sheetName val="COMET_Pull33"/>
      <sheetName val="WW_P&amp;L_Table33"/>
      <sheetName val="WW_Goal_Table33"/>
      <sheetName val="GGM_CF_Pull33"/>
      <sheetName val="HPC_Region_P&amp;L_Table33"/>
      <sheetName val="HPC_Region_Goal_Table33"/>
      <sheetName val="PL_Region_P&amp;L_Table33"/>
      <sheetName val="PL_Region_Goal_Table33"/>
      <sheetName val="3D_P&amp;L_Table33"/>
      <sheetName val="Global_OH_Actuals_Table33"/>
      <sheetName val="Global_OH_Goal_Table33"/>
      <sheetName val="Geo_Hc_Actual_Table33"/>
      <sheetName val="Geo_Hc_Goal_Table33"/>
      <sheetName val="3D_ASPIRE_Table33"/>
      <sheetName val="GGM_Backlog_Table33"/>
      <sheetName val="COMET_FY01_Pull33"/>
      <sheetName val="Labor_Pull_FY0133"/>
      <sheetName val="Pull_HP_Wide33"/>
      <sheetName val="Pull_All_SFs33"/>
      <sheetName val="STD__COST33"/>
      <sheetName val="013_-_การสั่งการ31"/>
      <sheetName val="INPUT_-_Data_Table5"/>
      <sheetName val="Comet_ASPIRE2"/>
      <sheetName val="Comet_Sequential2"/>
      <sheetName val="Comet_yoy2"/>
      <sheetName val="Labour_costs1"/>
      <sheetName val="Control_Panel30"/>
      <sheetName val="WW_Total_HPCI30"/>
      <sheetName val="NAM_w-o_Smartc_30"/>
      <sheetName val="GGM_Sum30"/>
      <sheetName val="HPCI_P&amp;L_Trend_(Blue)30"/>
      <sheetName val="HPCI_P&amp;L_Trend_%_(Blue)30"/>
      <sheetName val="PL4K_P&amp;L_Trend30"/>
      <sheetName val="PL4K_P&amp;L_Trend_%30"/>
      <sheetName val="PL79_P&amp;L_Trend30"/>
      <sheetName val="PL79_P&amp;L_Trend_%30"/>
      <sheetName val="HPCI-COMET_Comparison_(Blue)30"/>
      <sheetName val="Global_OH_(Blue)30"/>
      <sheetName val="Headcount_Reconciliation_(Blu30"/>
      <sheetName val="Headcount_Trend30"/>
      <sheetName val="PL4K_Labor_Trend30"/>
      <sheetName val="3D_P&amp;L_Vs_ASPIRE_(Blue)30"/>
      <sheetName val="COMET_P&amp;L_Trend_(Blue)30"/>
      <sheetName val="COMET_P&amp;L_Trend_%_(Blue)30"/>
      <sheetName val="FY02_Adjusted_P&amp;L_(Blue)30"/>
      <sheetName val="Adjustment_DTL_(Blue)30"/>
      <sheetName val="GGM_Cap__Change_Pull30"/>
      <sheetName val="GGM_Residual_Pull30"/>
      <sheetName val="GGM_Local_OH_Pull30"/>
      <sheetName val="GGM_Allocs_Pull30"/>
      <sheetName val="GGM_Oth_Inc(Exp)_Pull30"/>
      <sheetName val="Smartcontact_Gain_Pull30"/>
      <sheetName val="GGM_Revenue_Fall_Out30"/>
      <sheetName val="GGM_Residual_Fall_Out30"/>
      <sheetName val="Global_OH_Pull30"/>
      <sheetName val="EN50_47_Global_Pull30"/>
      <sheetName val="Labor_Pull30"/>
      <sheetName val="Forecast_Accuracy_Trend30"/>
      <sheetName val="COMET_Pull30"/>
      <sheetName val="WW_P&amp;L_Table30"/>
      <sheetName val="WW_Goal_Table30"/>
      <sheetName val="GGM_CF_Pull30"/>
      <sheetName val="HPC_Region_P&amp;L_Table30"/>
      <sheetName val="HPC_Region_Goal_Table30"/>
      <sheetName val="PL_Region_P&amp;L_Table30"/>
      <sheetName val="PL_Region_Goal_Table30"/>
      <sheetName val="3D_P&amp;L_Table30"/>
      <sheetName val="Global_OH_Actuals_Table30"/>
      <sheetName val="Global_OH_Goal_Table30"/>
      <sheetName val="Geo_Hc_Actual_Table30"/>
      <sheetName val="Geo_Hc_Goal_Table30"/>
      <sheetName val="3D_ASPIRE_Table30"/>
      <sheetName val="GGM_Backlog_Table30"/>
      <sheetName val="COMET_FY01_Pull30"/>
      <sheetName val="Labor_Pull_FY0130"/>
      <sheetName val="Pull_HP_Wide30"/>
      <sheetName val="Pull_All_SFs30"/>
      <sheetName val="STD__COST30"/>
      <sheetName val="013_-_การสั่งการ28"/>
      <sheetName val="Control_Panel31"/>
      <sheetName val="WW_Total_HPCI31"/>
      <sheetName val="NAM_w-o_Smartc_31"/>
      <sheetName val="GGM_Sum31"/>
      <sheetName val="HPCI_P&amp;L_Trend_(Blue)31"/>
      <sheetName val="HPCI_P&amp;L_Trend_%_(Blue)31"/>
      <sheetName val="PL4K_P&amp;L_Trend31"/>
      <sheetName val="PL4K_P&amp;L_Trend_%31"/>
      <sheetName val="PL79_P&amp;L_Trend31"/>
      <sheetName val="PL79_P&amp;L_Trend_%31"/>
      <sheetName val="HPCI-COMET_Comparison_(Blue)31"/>
      <sheetName val="Global_OH_(Blue)31"/>
      <sheetName val="Headcount_Reconciliation_(Blu31"/>
      <sheetName val="Headcount_Trend31"/>
      <sheetName val="PL4K_Labor_Trend31"/>
      <sheetName val="3D_P&amp;L_Vs_ASPIRE_(Blue)31"/>
      <sheetName val="COMET_P&amp;L_Trend_(Blue)31"/>
      <sheetName val="COMET_P&amp;L_Trend_%_(Blue)31"/>
      <sheetName val="FY02_Adjusted_P&amp;L_(Blue)31"/>
      <sheetName val="Adjustment_DTL_(Blue)31"/>
      <sheetName val="GGM_Cap__Change_Pull31"/>
      <sheetName val="GGM_Residual_Pull31"/>
      <sheetName val="GGM_Local_OH_Pull31"/>
      <sheetName val="GGM_Allocs_Pull31"/>
      <sheetName val="GGM_Oth_Inc(Exp)_Pull31"/>
      <sheetName val="Smartcontact_Gain_Pull31"/>
      <sheetName val="GGM_Revenue_Fall_Out31"/>
      <sheetName val="GGM_Residual_Fall_Out31"/>
      <sheetName val="Global_OH_Pull31"/>
      <sheetName val="EN50_47_Global_Pull31"/>
      <sheetName val="Labor_Pull31"/>
      <sheetName val="Forecast_Accuracy_Trend31"/>
      <sheetName val="COMET_Pull31"/>
      <sheetName val="WW_P&amp;L_Table31"/>
      <sheetName val="WW_Goal_Table31"/>
      <sheetName val="GGM_CF_Pull31"/>
      <sheetName val="HPC_Region_P&amp;L_Table31"/>
      <sheetName val="HPC_Region_Goal_Table31"/>
      <sheetName val="PL_Region_P&amp;L_Table31"/>
      <sheetName val="PL_Region_Goal_Table31"/>
      <sheetName val="3D_P&amp;L_Table31"/>
      <sheetName val="Global_OH_Actuals_Table31"/>
      <sheetName val="Global_OH_Goal_Table31"/>
      <sheetName val="Geo_Hc_Actual_Table31"/>
      <sheetName val="Geo_Hc_Goal_Table31"/>
      <sheetName val="3D_ASPIRE_Table31"/>
      <sheetName val="GGM_Backlog_Table31"/>
      <sheetName val="COMET_FY01_Pull31"/>
      <sheetName val="Labor_Pull_FY0131"/>
      <sheetName val="Pull_HP_Wide31"/>
      <sheetName val="Pull_All_SFs31"/>
      <sheetName val="STD__COST31"/>
      <sheetName val="013_-_การสั่งการ29"/>
      <sheetName val="Control_Panel32"/>
      <sheetName val="WW_Total_HPCI32"/>
      <sheetName val="NAM_w-o_Smartc_32"/>
      <sheetName val="GGM_Sum32"/>
      <sheetName val="HPCI_P&amp;L_Trend_(Blue)32"/>
      <sheetName val="HPCI_P&amp;L_Trend_%_(Blue)32"/>
      <sheetName val="PL4K_P&amp;L_Trend32"/>
      <sheetName val="PL4K_P&amp;L_Trend_%32"/>
      <sheetName val="PL79_P&amp;L_Trend32"/>
      <sheetName val="PL79_P&amp;L_Trend_%32"/>
      <sheetName val="HPCI-COMET_Comparison_(Blue)32"/>
      <sheetName val="Global_OH_(Blue)32"/>
      <sheetName val="Headcount_Reconciliation_(Blu32"/>
      <sheetName val="Headcount_Trend32"/>
      <sheetName val="PL4K_Labor_Trend32"/>
      <sheetName val="3D_P&amp;L_Vs_ASPIRE_(Blue)32"/>
      <sheetName val="COMET_P&amp;L_Trend_(Blue)32"/>
      <sheetName val="COMET_P&amp;L_Trend_%_(Blue)32"/>
      <sheetName val="FY02_Adjusted_P&amp;L_(Blue)32"/>
      <sheetName val="Adjustment_DTL_(Blue)32"/>
      <sheetName val="GGM_Cap__Change_Pull32"/>
      <sheetName val="GGM_Residual_Pull32"/>
      <sheetName val="GGM_Local_OH_Pull32"/>
      <sheetName val="GGM_Allocs_Pull32"/>
      <sheetName val="GGM_Oth_Inc(Exp)_Pull32"/>
      <sheetName val="Smartcontact_Gain_Pull32"/>
      <sheetName val="GGM_Revenue_Fall_Out32"/>
      <sheetName val="GGM_Residual_Fall_Out32"/>
      <sheetName val="Global_OH_Pull32"/>
      <sheetName val="EN50_47_Global_Pull32"/>
      <sheetName val="Labor_Pull32"/>
      <sheetName val="Forecast_Accuracy_Trend32"/>
      <sheetName val="COMET_Pull32"/>
      <sheetName val="WW_P&amp;L_Table32"/>
      <sheetName val="WW_Goal_Table32"/>
      <sheetName val="GGM_CF_Pull32"/>
      <sheetName val="HPC_Region_P&amp;L_Table32"/>
      <sheetName val="HPC_Region_Goal_Table32"/>
      <sheetName val="PL_Region_P&amp;L_Table32"/>
      <sheetName val="PL_Region_Goal_Table32"/>
      <sheetName val="3D_P&amp;L_Table32"/>
      <sheetName val="Global_OH_Actuals_Table32"/>
      <sheetName val="Global_OH_Goal_Table32"/>
      <sheetName val="Geo_Hc_Actual_Table32"/>
      <sheetName val="Geo_Hc_Goal_Table32"/>
      <sheetName val="3D_ASPIRE_Table32"/>
      <sheetName val="GGM_Backlog_Table32"/>
      <sheetName val="COMET_FY01_Pull32"/>
      <sheetName val="Labor_Pull_FY0132"/>
      <sheetName val="Pull_HP_Wide32"/>
      <sheetName val="Pull_All_SFs32"/>
      <sheetName val="STD__COST32"/>
      <sheetName val="013_-_การสั่งการ30"/>
      <sheetName val="INPUT_-_Data_Table4"/>
      <sheetName val="Comet_ASPIRE1"/>
      <sheetName val="Comet_Sequential1"/>
      <sheetName val="Comet_yoy1"/>
      <sheetName val="Labour_costs"/>
      <sheetName val="Control_Panel42"/>
      <sheetName val="WW_Total_HPCI42"/>
      <sheetName val="NAM_w-o_Smartc_42"/>
      <sheetName val="GGM_Sum42"/>
      <sheetName val="HPCI_P&amp;L_Trend_(Blue)42"/>
      <sheetName val="HPCI_P&amp;L_Trend_%_(Blue)42"/>
      <sheetName val="PL4K_P&amp;L_Trend42"/>
      <sheetName val="PL4K_P&amp;L_Trend_%42"/>
      <sheetName val="PL79_P&amp;L_Trend42"/>
      <sheetName val="PL79_P&amp;L_Trend_%42"/>
      <sheetName val="HPCI-COMET_Comparison_(Blue)42"/>
      <sheetName val="Global_OH_(Blue)42"/>
      <sheetName val="Headcount_Reconciliation_(Blu42"/>
      <sheetName val="Headcount_Trend42"/>
      <sheetName val="PL4K_Labor_Trend42"/>
      <sheetName val="3D_P&amp;L_Vs_ASPIRE_(Blue)42"/>
      <sheetName val="COMET_P&amp;L_Trend_(Blue)42"/>
      <sheetName val="COMET_P&amp;L_Trend_%_(Blue)42"/>
      <sheetName val="FY02_Adjusted_P&amp;L_(Blue)42"/>
      <sheetName val="Adjustment_DTL_(Blue)42"/>
      <sheetName val="GGM_Cap__Change_Pull42"/>
      <sheetName val="GGM_Residual_Pull42"/>
      <sheetName val="GGM_Local_OH_Pull42"/>
      <sheetName val="GGM_Allocs_Pull42"/>
      <sheetName val="GGM_Oth_Inc(Exp)_Pull42"/>
      <sheetName val="Smartcontact_Gain_Pull42"/>
      <sheetName val="GGM_Revenue_Fall_Out42"/>
      <sheetName val="GGM_Residual_Fall_Out42"/>
      <sheetName val="Global_OH_Pull42"/>
      <sheetName val="EN50_47_Global_Pull42"/>
      <sheetName val="Labor_Pull42"/>
      <sheetName val="Forecast_Accuracy_Trend42"/>
      <sheetName val="COMET_Pull42"/>
      <sheetName val="WW_P&amp;L_Table42"/>
      <sheetName val="WW_Goal_Table42"/>
      <sheetName val="GGM_CF_Pull42"/>
      <sheetName val="HPC_Region_P&amp;L_Table42"/>
      <sheetName val="HPC_Region_Goal_Table42"/>
      <sheetName val="PL_Region_P&amp;L_Table42"/>
      <sheetName val="PL_Region_Goal_Table42"/>
      <sheetName val="3D_P&amp;L_Table42"/>
      <sheetName val="Global_OH_Actuals_Table42"/>
      <sheetName val="Global_OH_Goal_Table42"/>
      <sheetName val="Geo_Hc_Actual_Table42"/>
      <sheetName val="Geo_Hc_Goal_Table42"/>
      <sheetName val="3D_ASPIRE_Table42"/>
      <sheetName val="GGM_Backlog_Table42"/>
      <sheetName val="COMET_FY01_Pull42"/>
      <sheetName val="Labor_Pull_FY0142"/>
      <sheetName val="Pull_HP_Wide42"/>
      <sheetName val="Pull_All_SFs42"/>
      <sheetName val="STD__COST42"/>
      <sheetName val="013_-_การสั่งการ40"/>
      <sheetName val="INPUT_-_Data_Table14"/>
      <sheetName val="Comet_ASPIRE11"/>
      <sheetName val="Comet_Sequential11"/>
      <sheetName val="Comet_yoy11"/>
      <sheetName val="Labour_costs10"/>
      <sheetName val="FY01_Actuals2"/>
      <sheetName val="FY00_Restated2"/>
      <sheetName val="FY01_Quota2"/>
      <sheetName val="Comet_Q202_Flash2"/>
      <sheetName val="Rooms_Table2"/>
      <sheetName val="Control_Panel36"/>
      <sheetName val="WW_Total_HPCI36"/>
      <sheetName val="NAM_w-o_Smartc_36"/>
      <sheetName val="GGM_Sum36"/>
      <sheetName val="HPCI_P&amp;L_Trend_(Blue)36"/>
      <sheetName val="HPCI_P&amp;L_Trend_%_(Blue)36"/>
      <sheetName val="PL4K_P&amp;L_Trend36"/>
      <sheetName val="PL4K_P&amp;L_Trend_%36"/>
      <sheetName val="PL79_P&amp;L_Trend36"/>
      <sheetName val="PL79_P&amp;L_Trend_%36"/>
      <sheetName val="HPCI-COMET_Comparison_(Blue)36"/>
      <sheetName val="Global_OH_(Blue)36"/>
      <sheetName val="Headcount_Reconciliation_(Blu36"/>
      <sheetName val="Headcount_Trend36"/>
      <sheetName val="PL4K_Labor_Trend36"/>
      <sheetName val="3D_P&amp;L_Vs_ASPIRE_(Blue)36"/>
      <sheetName val="COMET_P&amp;L_Trend_(Blue)36"/>
      <sheetName val="COMET_P&amp;L_Trend_%_(Blue)36"/>
      <sheetName val="FY02_Adjusted_P&amp;L_(Blue)36"/>
      <sheetName val="Adjustment_DTL_(Blue)36"/>
      <sheetName val="GGM_Cap__Change_Pull36"/>
      <sheetName val="GGM_Residual_Pull36"/>
      <sheetName val="GGM_Local_OH_Pull36"/>
      <sheetName val="GGM_Allocs_Pull36"/>
      <sheetName val="GGM_Oth_Inc(Exp)_Pull36"/>
      <sheetName val="Smartcontact_Gain_Pull36"/>
      <sheetName val="GGM_Revenue_Fall_Out36"/>
      <sheetName val="GGM_Residual_Fall_Out36"/>
      <sheetName val="Global_OH_Pull36"/>
      <sheetName val="EN50_47_Global_Pull36"/>
      <sheetName val="Labor_Pull36"/>
      <sheetName val="Forecast_Accuracy_Trend36"/>
      <sheetName val="COMET_Pull36"/>
      <sheetName val="WW_P&amp;L_Table36"/>
      <sheetName val="WW_Goal_Table36"/>
      <sheetName val="GGM_CF_Pull36"/>
      <sheetName val="HPC_Region_P&amp;L_Table36"/>
      <sheetName val="HPC_Region_Goal_Table36"/>
      <sheetName val="PL_Region_P&amp;L_Table36"/>
      <sheetName val="PL_Region_Goal_Table36"/>
      <sheetName val="3D_P&amp;L_Table36"/>
      <sheetName val="Global_OH_Actuals_Table36"/>
      <sheetName val="Global_OH_Goal_Table36"/>
      <sheetName val="Geo_Hc_Actual_Table36"/>
      <sheetName val="Geo_Hc_Goal_Table36"/>
      <sheetName val="3D_ASPIRE_Table36"/>
      <sheetName val="GGM_Backlog_Table36"/>
      <sheetName val="COMET_FY01_Pull36"/>
      <sheetName val="Labor_Pull_FY0136"/>
      <sheetName val="Pull_HP_Wide36"/>
      <sheetName val="Pull_All_SFs36"/>
      <sheetName val="STD__COST36"/>
      <sheetName val="013_-_การสั่งการ34"/>
      <sheetName val="INPUT_-_Data_Table8"/>
      <sheetName val="Comet_ASPIRE5"/>
      <sheetName val="Comet_Sequential5"/>
      <sheetName val="Comet_yoy5"/>
      <sheetName val="Labour_costs4"/>
      <sheetName val="Control_Panel34"/>
      <sheetName val="WW_Total_HPCI34"/>
      <sheetName val="NAM_w-o_Smartc_34"/>
      <sheetName val="GGM_Sum34"/>
      <sheetName val="HPCI_P&amp;L_Trend_(Blue)34"/>
      <sheetName val="HPCI_P&amp;L_Trend_%_(Blue)34"/>
      <sheetName val="PL4K_P&amp;L_Trend34"/>
      <sheetName val="PL4K_P&amp;L_Trend_%34"/>
      <sheetName val="PL79_P&amp;L_Trend34"/>
      <sheetName val="PL79_P&amp;L_Trend_%34"/>
      <sheetName val="HPCI-COMET_Comparison_(Blue)34"/>
      <sheetName val="Global_OH_(Blue)34"/>
      <sheetName val="Headcount_Reconciliation_(Blu34"/>
      <sheetName val="Headcount_Trend34"/>
      <sheetName val="PL4K_Labor_Trend34"/>
      <sheetName val="3D_P&amp;L_Vs_ASPIRE_(Blue)34"/>
      <sheetName val="COMET_P&amp;L_Trend_(Blue)34"/>
      <sheetName val="COMET_P&amp;L_Trend_%_(Blue)34"/>
      <sheetName val="FY02_Adjusted_P&amp;L_(Blue)34"/>
      <sheetName val="Adjustment_DTL_(Blue)34"/>
      <sheetName val="GGM_Cap__Change_Pull34"/>
      <sheetName val="GGM_Residual_Pull34"/>
      <sheetName val="GGM_Local_OH_Pull34"/>
      <sheetName val="GGM_Allocs_Pull34"/>
      <sheetName val="GGM_Oth_Inc(Exp)_Pull34"/>
      <sheetName val="Smartcontact_Gain_Pull34"/>
      <sheetName val="GGM_Revenue_Fall_Out34"/>
      <sheetName val="GGM_Residual_Fall_Out34"/>
      <sheetName val="Global_OH_Pull34"/>
      <sheetName val="EN50_47_Global_Pull34"/>
      <sheetName val="Labor_Pull34"/>
      <sheetName val="Forecast_Accuracy_Trend34"/>
      <sheetName val="COMET_Pull34"/>
      <sheetName val="WW_P&amp;L_Table34"/>
      <sheetName val="WW_Goal_Table34"/>
      <sheetName val="GGM_CF_Pull34"/>
      <sheetName val="HPC_Region_P&amp;L_Table34"/>
      <sheetName val="HPC_Region_Goal_Table34"/>
      <sheetName val="PL_Region_P&amp;L_Table34"/>
      <sheetName val="PL_Region_Goal_Table34"/>
      <sheetName val="3D_P&amp;L_Table34"/>
      <sheetName val="Global_OH_Actuals_Table34"/>
      <sheetName val="Global_OH_Goal_Table34"/>
      <sheetName val="Geo_Hc_Actual_Table34"/>
      <sheetName val="Geo_Hc_Goal_Table34"/>
      <sheetName val="3D_ASPIRE_Table34"/>
      <sheetName val="GGM_Backlog_Table34"/>
      <sheetName val="COMET_FY01_Pull34"/>
      <sheetName val="Labor_Pull_FY0134"/>
      <sheetName val="Pull_HP_Wide34"/>
      <sheetName val="Pull_All_SFs34"/>
      <sheetName val="STD__COST34"/>
      <sheetName val="013_-_การสั่งการ32"/>
      <sheetName val="INPUT_-_Data_Table6"/>
      <sheetName val="Comet_ASPIRE3"/>
      <sheetName val="Comet_Sequential3"/>
      <sheetName val="Comet_yoy3"/>
      <sheetName val="Labour_costs2"/>
      <sheetName val="Control_Panel35"/>
      <sheetName val="WW_Total_HPCI35"/>
      <sheetName val="NAM_w-o_Smartc_35"/>
      <sheetName val="GGM_Sum35"/>
      <sheetName val="HPCI_P&amp;L_Trend_(Blue)35"/>
      <sheetName val="HPCI_P&amp;L_Trend_%_(Blue)35"/>
      <sheetName val="PL4K_P&amp;L_Trend35"/>
      <sheetName val="PL4K_P&amp;L_Trend_%35"/>
      <sheetName val="PL79_P&amp;L_Trend35"/>
      <sheetName val="PL79_P&amp;L_Trend_%35"/>
      <sheetName val="HPCI-COMET_Comparison_(Blue)35"/>
      <sheetName val="Global_OH_(Blue)35"/>
      <sheetName val="Headcount_Reconciliation_(Blu35"/>
      <sheetName val="Headcount_Trend35"/>
      <sheetName val="PL4K_Labor_Trend35"/>
      <sheetName val="3D_P&amp;L_Vs_ASPIRE_(Blue)35"/>
      <sheetName val="COMET_P&amp;L_Trend_(Blue)35"/>
      <sheetName val="COMET_P&amp;L_Trend_%_(Blue)35"/>
      <sheetName val="FY02_Adjusted_P&amp;L_(Blue)35"/>
      <sheetName val="Adjustment_DTL_(Blue)35"/>
      <sheetName val="GGM_Cap__Change_Pull35"/>
      <sheetName val="GGM_Residual_Pull35"/>
      <sheetName val="GGM_Local_OH_Pull35"/>
      <sheetName val="GGM_Allocs_Pull35"/>
      <sheetName val="GGM_Oth_Inc(Exp)_Pull35"/>
      <sheetName val="Smartcontact_Gain_Pull35"/>
      <sheetName val="GGM_Revenue_Fall_Out35"/>
      <sheetName val="GGM_Residual_Fall_Out35"/>
      <sheetName val="Global_OH_Pull35"/>
      <sheetName val="EN50_47_Global_Pull35"/>
      <sheetName val="Labor_Pull35"/>
      <sheetName val="Forecast_Accuracy_Trend35"/>
      <sheetName val="COMET_Pull35"/>
      <sheetName val="WW_P&amp;L_Table35"/>
      <sheetName val="WW_Goal_Table35"/>
      <sheetName val="GGM_CF_Pull35"/>
      <sheetName val="HPC_Region_P&amp;L_Table35"/>
      <sheetName val="HPC_Region_Goal_Table35"/>
      <sheetName val="PL_Region_P&amp;L_Table35"/>
      <sheetName val="PL_Region_Goal_Table35"/>
      <sheetName val="3D_P&amp;L_Table35"/>
      <sheetName val="Global_OH_Actuals_Table35"/>
      <sheetName val="Global_OH_Goal_Table35"/>
      <sheetName val="Geo_Hc_Actual_Table35"/>
      <sheetName val="Geo_Hc_Goal_Table35"/>
      <sheetName val="3D_ASPIRE_Table35"/>
      <sheetName val="GGM_Backlog_Table35"/>
      <sheetName val="COMET_FY01_Pull35"/>
      <sheetName val="Labor_Pull_FY0135"/>
      <sheetName val="Pull_HP_Wide35"/>
      <sheetName val="Pull_All_SFs35"/>
      <sheetName val="STD__COST35"/>
      <sheetName val="013_-_การสั่งการ33"/>
      <sheetName val="INPUT_-_Data_Table7"/>
      <sheetName val="Comet_ASPIRE4"/>
      <sheetName val="Comet_Sequential4"/>
      <sheetName val="Comet_yoy4"/>
      <sheetName val="Labour_costs3"/>
      <sheetName val="Control_Panel39"/>
      <sheetName val="WW_Total_HPCI39"/>
      <sheetName val="NAM_w-o_Smartc_39"/>
      <sheetName val="GGM_Sum39"/>
      <sheetName val="HPCI_P&amp;L_Trend_(Blue)39"/>
      <sheetName val="HPCI_P&amp;L_Trend_%_(Blue)39"/>
      <sheetName val="PL4K_P&amp;L_Trend39"/>
      <sheetName val="PL4K_P&amp;L_Trend_%39"/>
      <sheetName val="PL79_P&amp;L_Trend39"/>
      <sheetName val="PL79_P&amp;L_Trend_%39"/>
      <sheetName val="HPCI-COMET_Comparison_(Blue)39"/>
      <sheetName val="Global_OH_(Blue)39"/>
      <sheetName val="Headcount_Reconciliation_(Blu39"/>
      <sheetName val="Headcount_Trend39"/>
      <sheetName val="PL4K_Labor_Trend39"/>
      <sheetName val="3D_P&amp;L_Vs_ASPIRE_(Blue)39"/>
      <sheetName val="COMET_P&amp;L_Trend_(Blue)39"/>
      <sheetName val="COMET_P&amp;L_Trend_%_(Blue)39"/>
      <sheetName val="FY02_Adjusted_P&amp;L_(Blue)39"/>
      <sheetName val="Adjustment_DTL_(Blue)39"/>
      <sheetName val="GGM_Cap__Change_Pull39"/>
      <sheetName val="GGM_Residual_Pull39"/>
      <sheetName val="GGM_Local_OH_Pull39"/>
      <sheetName val="GGM_Allocs_Pull39"/>
      <sheetName val="GGM_Oth_Inc(Exp)_Pull39"/>
      <sheetName val="Smartcontact_Gain_Pull39"/>
      <sheetName val="GGM_Revenue_Fall_Out39"/>
      <sheetName val="GGM_Residual_Fall_Out39"/>
      <sheetName val="Global_OH_Pull39"/>
      <sheetName val="EN50_47_Global_Pull39"/>
      <sheetName val="Labor_Pull39"/>
      <sheetName val="Forecast_Accuracy_Trend39"/>
      <sheetName val="COMET_Pull39"/>
      <sheetName val="WW_P&amp;L_Table39"/>
      <sheetName val="WW_Goal_Table39"/>
      <sheetName val="GGM_CF_Pull39"/>
      <sheetName val="HPC_Region_P&amp;L_Table39"/>
      <sheetName val="HPC_Region_Goal_Table39"/>
      <sheetName val="PL_Region_P&amp;L_Table39"/>
      <sheetName val="PL_Region_Goal_Table39"/>
      <sheetName val="3D_P&amp;L_Table39"/>
      <sheetName val="Global_OH_Actuals_Table39"/>
      <sheetName val="Global_OH_Goal_Table39"/>
      <sheetName val="Geo_Hc_Actual_Table39"/>
      <sheetName val="Geo_Hc_Goal_Table39"/>
      <sheetName val="3D_ASPIRE_Table39"/>
      <sheetName val="GGM_Backlog_Table39"/>
      <sheetName val="COMET_FY01_Pull39"/>
      <sheetName val="Labor_Pull_FY0139"/>
      <sheetName val="Pull_HP_Wide39"/>
      <sheetName val="Pull_All_SFs39"/>
      <sheetName val="STD__COST39"/>
      <sheetName val="013_-_การสั่งการ37"/>
      <sheetName val="INPUT_-_Data_Table11"/>
      <sheetName val="Comet_ASPIRE8"/>
      <sheetName val="Comet_Sequential8"/>
      <sheetName val="Comet_yoy8"/>
      <sheetName val="Labour_costs7"/>
      <sheetName val="Control_Panel37"/>
      <sheetName val="WW_Total_HPCI37"/>
      <sheetName val="NAM_w-o_Smartc_37"/>
      <sheetName val="GGM_Sum37"/>
      <sheetName val="HPCI_P&amp;L_Trend_(Blue)37"/>
      <sheetName val="HPCI_P&amp;L_Trend_%_(Blue)37"/>
      <sheetName val="PL4K_P&amp;L_Trend37"/>
      <sheetName val="PL4K_P&amp;L_Trend_%37"/>
      <sheetName val="PL79_P&amp;L_Trend37"/>
      <sheetName val="PL79_P&amp;L_Trend_%37"/>
      <sheetName val="HPCI-COMET_Comparison_(Blue)37"/>
      <sheetName val="Global_OH_(Blue)37"/>
      <sheetName val="Headcount_Reconciliation_(Blu37"/>
      <sheetName val="Headcount_Trend37"/>
      <sheetName val="PL4K_Labor_Trend37"/>
      <sheetName val="3D_P&amp;L_Vs_ASPIRE_(Blue)37"/>
      <sheetName val="COMET_P&amp;L_Trend_(Blue)37"/>
      <sheetName val="COMET_P&amp;L_Trend_%_(Blue)37"/>
      <sheetName val="FY02_Adjusted_P&amp;L_(Blue)37"/>
      <sheetName val="Adjustment_DTL_(Blue)37"/>
      <sheetName val="GGM_Cap__Change_Pull37"/>
      <sheetName val="GGM_Residual_Pull37"/>
      <sheetName val="GGM_Local_OH_Pull37"/>
      <sheetName val="GGM_Allocs_Pull37"/>
      <sheetName val="GGM_Oth_Inc(Exp)_Pull37"/>
      <sheetName val="Smartcontact_Gain_Pull37"/>
      <sheetName val="GGM_Revenue_Fall_Out37"/>
      <sheetName val="GGM_Residual_Fall_Out37"/>
      <sheetName val="Global_OH_Pull37"/>
      <sheetName val="EN50_47_Global_Pull37"/>
      <sheetName val="Labor_Pull37"/>
      <sheetName val="Forecast_Accuracy_Trend37"/>
      <sheetName val="COMET_Pull37"/>
      <sheetName val="WW_P&amp;L_Table37"/>
      <sheetName val="WW_Goal_Table37"/>
      <sheetName val="GGM_CF_Pull37"/>
      <sheetName val="HPC_Region_P&amp;L_Table37"/>
      <sheetName val="HPC_Region_Goal_Table37"/>
      <sheetName val="PL_Region_P&amp;L_Table37"/>
      <sheetName val="PL_Region_Goal_Table37"/>
      <sheetName val="3D_P&amp;L_Table37"/>
      <sheetName val="Global_OH_Actuals_Table37"/>
      <sheetName val="Global_OH_Goal_Table37"/>
      <sheetName val="Geo_Hc_Actual_Table37"/>
      <sheetName val="Geo_Hc_Goal_Table37"/>
      <sheetName val="3D_ASPIRE_Table37"/>
      <sheetName val="GGM_Backlog_Table37"/>
      <sheetName val="COMET_FY01_Pull37"/>
      <sheetName val="Labor_Pull_FY0137"/>
      <sheetName val="Pull_HP_Wide37"/>
      <sheetName val="Pull_All_SFs37"/>
      <sheetName val="STD__COST37"/>
      <sheetName val="013_-_การสั่งการ35"/>
      <sheetName val="INPUT_-_Data_Table9"/>
      <sheetName val="Comet_ASPIRE6"/>
      <sheetName val="Comet_Sequential6"/>
      <sheetName val="Comet_yoy6"/>
      <sheetName val="Labour_costs5"/>
      <sheetName val="Control_Panel38"/>
      <sheetName val="WW_Total_HPCI38"/>
      <sheetName val="NAM_w-o_Smartc_38"/>
      <sheetName val="GGM_Sum38"/>
      <sheetName val="HPCI_P&amp;L_Trend_(Blue)38"/>
      <sheetName val="HPCI_P&amp;L_Trend_%_(Blue)38"/>
      <sheetName val="PL4K_P&amp;L_Trend38"/>
      <sheetName val="PL4K_P&amp;L_Trend_%38"/>
      <sheetName val="PL79_P&amp;L_Trend38"/>
      <sheetName val="PL79_P&amp;L_Trend_%38"/>
      <sheetName val="HPCI-COMET_Comparison_(Blue)38"/>
      <sheetName val="Global_OH_(Blue)38"/>
      <sheetName val="Headcount_Reconciliation_(Blu38"/>
      <sheetName val="Headcount_Trend38"/>
      <sheetName val="PL4K_Labor_Trend38"/>
      <sheetName val="3D_P&amp;L_Vs_ASPIRE_(Blue)38"/>
      <sheetName val="COMET_P&amp;L_Trend_(Blue)38"/>
      <sheetName val="COMET_P&amp;L_Trend_%_(Blue)38"/>
      <sheetName val="FY02_Adjusted_P&amp;L_(Blue)38"/>
      <sheetName val="Adjustment_DTL_(Blue)38"/>
      <sheetName val="GGM_Cap__Change_Pull38"/>
      <sheetName val="GGM_Residual_Pull38"/>
      <sheetName val="GGM_Local_OH_Pull38"/>
      <sheetName val="GGM_Allocs_Pull38"/>
      <sheetName val="GGM_Oth_Inc(Exp)_Pull38"/>
      <sheetName val="Smartcontact_Gain_Pull38"/>
      <sheetName val="GGM_Revenue_Fall_Out38"/>
      <sheetName val="GGM_Residual_Fall_Out38"/>
      <sheetName val="Global_OH_Pull38"/>
      <sheetName val="EN50_47_Global_Pull38"/>
      <sheetName val="Labor_Pull38"/>
      <sheetName val="Forecast_Accuracy_Trend38"/>
      <sheetName val="COMET_Pull38"/>
      <sheetName val="WW_P&amp;L_Table38"/>
      <sheetName val="WW_Goal_Table38"/>
      <sheetName val="GGM_CF_Pull38"/>
      <sheetName val="HPC_Region_P&amp;L_Table38"/>
      <sheetName val="HPC_Region_Goal_Table38"/>
      <sheetName val="PL_Region_P&amp;L_Table38"/>
      <sheetName val="PL_Region_Goal_Table38"/>
      <sheetName val="3D_P&amp;L_Table38"/>
      <sheetName val="Global_OH_Actuals_Table38"/>
      <sheetName val="Global_OH_Goal_Table38"/>
      <sheetName val="Geo_Hc_Actual_Table38"/>
      <sheetName val="Geo_Hc_Goal_Table38"/>
      <sheetName val="3D_ASPIRE_Table38"/>
      <sheetName val="GGM_Backlog_Table38"/>
      <sheetName val="COMET_FY01_Pull38"/>
      <sheetName val="Labor_Pull_FY0138"/>
      <sheetName val="Pull_HP_Wide38"/>
      <sheetName val="Pull_All_SFs38"/>
      <sheetName val="STD__COST38"/>
      <sheetName val="013_-_การสั่งการ36"/>
      <sheetName val="INPUT_-_Data_Table10"/>
      <sheetName val="Comet_ASPIRE7"/>
      <sheetName val="Comet_Sequential7"/>
      <sheetName val="Comet_yoy7"/>
      <sheetName val="Labour_costs6"/>
      <sheetName val="Control_Panel40"/>
      <sheetName val="WW_Total_HPCI40"/>
      <sheetName val="NAM_w-o_Smartc_40"/>
      <sheetName val="GGM_Sum40"/>
      <sheetName val="HPCI_P&amp;L_Trend_(Blue)40"/>
      <sheetName val="HPCI_P&amp;L_Trend_%_(Blue)40"/>
      <sheetName val="PL4K_P&amp;L_Trend40"/>
      <sheetName val="PL4K_P&amp;L_Trend_%40"/>
      <sheetName val="PL79_P&amp;L_Trend40"/>
      <sheetName val="PL79_P&amp;L_Trend_%40"/>
      <sheetName val="HPCI-COMET_Comparison_(Blue)40"/>
      <sheetName val="Global_OH_(Blue)40"/>
      <sheetName val="Headcount_Reconciliation_(Blu40"/>
      <sheetName val="Headcount_Trend40"/>
      <sheetName val="PL4K_Labor_Trend40"/>
      <sheetName val="3D_P&amp;L_Vs_ASPIRE_(Blue)40"/>
      <sheetName val="COMET_P&amp;L_Trend_(Blue)40"/>
      <sheetName val="COMET_P&amp;L_Trend_%_(Blue)40"/>
      <sheetName val="FY02_Adjusted_P&amp;L_(Blue)40"/>
      <sheetName val="Adjustment_DTL_(Blue)40"/>
      <sheetName val="GGM_Cap__Change_Pull40"/>
      <sheetName val="GGM_Residual_Pull40"/>
      <sheetName val="GGM_Local_OH_Pull40"/>
      <sheetName val="GGM_Allocs_Pull40"/>
      <sheetName val="GGM_Oth_Inc(Exp)_Pull40"/>
      <sheetName val="Smartcontact_Gain_Pull40"/>
      <sheetName val="GGM_Revenue_Fall_Out40"/>
      <sheetName val="GGM_Residual_Fall_Out40"/>
      <sheetName val="Global_OH_Pull40"/>
      <sheetName val="EN50_47_Global_Pull40"/>
      <sheetName val="Labor_Pull40"/>
      <sheetName val="Forecast_Accuracy_Trend40"/>
      <sheetName val="COMET_Pull40"/>
      <sheetName val="WW_P&amp;L_Table40"/>
      <sheetName val="WW_Goal_Table40"/>
      <sheetName val="GGM_CF_Pull40"/>
      <sheetName val="HPC_Region_P&amp;L_Table40"/>
      <sheetName val="HPC_Region_Goal_Table40"/>
      <sheetName val="PL_Region_P&amp;L_Table40"/>
      <sheetName val="PL_Region_Goal_Table40"/>
      <sheetName val="3D_P&amp;L_Table40"/>
      <sheetName val="Global_OH_Actuals_Table40"/>
      <sheetName val="Global_OH_Goal_Table40"/>
      <sheetName val="Geo_Hc_Actual_Table40"/>
      <sheetName val="Geo_Hc_Goal_Table40"/>
      <sheetName val="3D_ASPIRE_Table40"/>
      <sheetName val="GGM_Backlog_Table40"/>
      <sheetName val="COMET_FY01_Pull40"/>
      <sheetName val="Labor_Pull_FY0140"/>
      <sheetName val="Pull_HP_Wide40"/>
      <sheetName val="Pull_All_SFs40"/>
      <sheetName val="STD__COST40"/>
      <sheetName val="013_-_การสั่งการ38"/>
      <sheetName val="INPUT_-_Data_Table12"/>
      <sheetName val="Comet_ASPIRE9"/>
      <sheetName val="Comet_Sequential9"/>
      <sheetName val="Comet_yoy9"/>
      <sheetName val="Labour_costs8"/>
      <sheetName val="FY01_Actuals"/>
      <sheetName val="FY00_Restated"/>
      <sheetName val="FY01_Quota"/>
      <sheetName val="Comet_Q202_Flash"/>
      <sheetName val="Rooms_Table"/>
      <sheetName val="Control_Panel41"/>
      <sheetName val="WW_Total_HPCI41"/>
      <sheetName val="NAM_w-o_Smartc_41"/>
      <sheetName val="GGM_Sum41"/>
      <sheetName val="HPCI_P&amp;L_Trend_(Blue)41"/>
      <sheetName val="HPCI_P&amp;L_Trend_%_(Blue)41"/>
      <sheetName val="PL4K_P&amp;L_Trend41"/>
      <sheetName val="PL4K_P&amp;L_Trend_%41"/>
      <sheetName val="PL79_P&amp;L_Trend41"/>
      <sheetName val="PL79_P&amp;L_Trend_%41"/>
      <sheetName val="HPCI-COMET_Comparison_(Blue)41"/>
      <sheetName val="Global_OH_(Blue)41"/>
      <sheetName val="Headcount_Reconciliation_(Blu41"/>
      <sheetName val="Headcount_Trend41"/>
      <sheetName val="PL4K_Labor_Trend41"/>
      <sheetName val="3D_P&amp;L_Vs_ASPIRE_(Blue)41"/>
      <sheetName val="COMET_P&amp;L_Trend_(Blue)41"/>
      <sheetName val="COMET_P&amp;L_Trend_%_(Blue)41"/>
      <sheetName val="FY02_Adjusted_P&amp;L_(Blue)41"/>
      <sheetName val="Adjustment_DTL_(Blue)41"/>
      <sheetName val="GGM_Cap__Change_Pull41"/>
      <sheetName val="GGM_Residual_Pull41"/>
      <sheetName val="GGM_Local_OH_Pull41"/>
      <sheetName val="GGM_Allocs_Pull41"/>
      <sheetName val="GGM_Oth_Inc(Exp)_Pull41"/>
      <sheetName val="Smartcontact_Gain_Pull41"/>
      <sheetName val="GGM_Revenue_Fall_Out41"/>
      <sheetName val="GGM_Residual_Fall_Out41"/>
      <sheetName val="Global_OH_Pull41"/>
      <sheetName val="EN50_47_Global_Pull41"/>
      <sheetName val="Labor_Pull41"/>
      <sheetName val="Forecast_Accuracy_Trend41"/>
      <sheetName val="COMET_Pull41"/>
      <sheetName val="WW_P&amp;L_Table41"/>
      <sheetName val="WW_Goal_Table41"/>
      <sheetName val="GGM_CF_Pull41"/>
      <sheetName val="HPC_Region_P&amp;L_Table41"/>
      <sheetName val="HPC_Region_Goal_Table41"/>
      <sheetName val="PL_Region_P&amp;L_Table41"/>
      <sheetName val="PL_Region_Goal_Table41"/>
      <sheetName val="3D_P&amp;L_Table41"/>
      <sheetName val="Global_OH_Actuals_Table41"/>
      <sheetName val="Global_OH_Goal_Table41"/>
      <sheetName val="Geo_Hc_Actual_Table41"/>
      <sheetName val="Geo_Hc_Goal_Table41"/>
      <sheetName val="3D_ASPIRE_Table41"/>
      <sheetName val="GGM_Backlog_Table41"/>
      <sheetName val="COMET_FY01_Pull41"/>
      <sheetName val="Labor_Pull_FY0141"/>
      <sheetName val="Pull_HP_Wide41"/>
      <sheetName val="Pull_All_SFs41"/>
      <sheetName val="STD__COST41"/>
      <sheetName val="013_-_การสั่งการ39"/>
      <sheetName val="INPUT_-_Data_Table13"/>
      <sheetName val="Comet_ASPIRE10"/>
      <sheetName val="Comet_Sequential10"/>
      <sheetName val="Comet_yoy10"/>
      <sheetName val="Labour_costs9"/>
      <sheetName val="FY01_Actuals1"/>
      <sheetName val="FY00_Restated1"/>
      <sheetName val="FY01_Quota1"/>
      <sheetName val="Comet_Q202_Flash1"/>
      <sheetName val="Rooms_Table1"/>
      <sheetName val="Input FX Rates"/>
      <sheetName val="Input Dates"/>
      <sheetName val="MCS"/>
      <sheetName val="co_code"/>
      <sheetName val="Global variables"/>
      <sheetName val="HTP 2001"/>
      <sheetName val="AR Signature Page"/>
      <sheetName val="Phase2 movementDEC"/>
      <sheetName val="Phase1f.a.DEC"/>
      <sheetName val="Phase2 f.a.DEC (2)"/>
      <sheetName val="HPC Reporting Package -Sep02 -F"/>
      <sheetName val="SUPPORT-JPN"/>
      <sheetName val="COMPON"/>
      <sheetName val="BILLCONT"/>
      <sheetName val="Control_Panel43"/>
      <sheetName val="WW_Total_HPCI43"/>
      <sheetName val="NAM_w-o_Smartc_43"/>
      <sheetName val="GGM_Sum43"/>
      <sheetName val="HPCI_P&amp;L_Trend_(Blue)43"/>
      <sheetName val="HPCI_P&amp;L_Trend_%_(Blue)43"/>
      <sheetName val="PL4K_P&amp;L_Trend43"/>
      <sheetName val="PL4K_P&amp;L_Trend_%43"/>
      <sheetName val="PL79_P&amp;L_Trend43"/>
      <sheetName val="PL79_P&amp;L_Trend_%43"/>
      <sheetName val="HPCI-COMET_Comparison_(Blue)43"/>
      <sheetName val="Global_OH_(Blue)43"/>
      <sheetName val="Headcount_Reconciliation_(Blu43"/>
      <sheetName val="Headcount_Trend43"/>
      <sheetName val="PL4K_Labor_Trend43"/>
      <sheetName val="3D_P&amp;L_Vs_ASPIRE_(Blue)43"/>
      <sheetName val="COMET_P&amp;L_Trend_(Blue)43"/>
      <sheetName val="COMET_P&amp;L_Trend_%_(Blue)43"/>
      <sheetName val="FY02_Adjusted_P&amp;L_(Blue)43"/>
      <sheetName val="Adjustment_DTL_(Blue)43"/>
      <sheetName val="GGM_Cap__Change_Pull43"/>
      <sheetName val="GGM_Residual_Pull43"/>
      <sheetName val="GGM_Local_OH_Pull43"/>
      <sheetName val="GGM_Allocs_Pull43"/>
      <sheetName val="GGM_Oth_Inc(Exp)_Pull43"/>
      <sheetName val="Smartcontact_Gain_Pull43"/>
      <sheetName val="GGM_Revenue_Fall_Out43"/>
      <sheetName val="GGM_Residual_Fall_Out43"/>
      <sheetName val="Global_OH_Pull43"/>
      <sheetName val="EN50_47_Global_Pull43"/>
      <sheetName val="Labor_Pull43"/>
      <sheetName val="Forecast_Accuracy_Trend43"/>
      <sheetName val="COMET_Pull43"/>
      <sheetName val="WW_P&amp;L_Table43"/>
      <sheetName val="WW_Goal_Table43"/>
      <sheetName val="GGM_CF_Pull43"/>
      <sheetName val="HPC_Region_P&amp;L_Table43"/>
      <sheetName val="HPC_Region_Goal_Table43"/>
      <sheetName val="PL_Region_P&amp;L_Table43"/>
      <sheetName val="PL_Region_Goal_Table43"/>
      <sheetName val="3D_P&amp;L_Table43"/>
      <sheetName val="Global_OH_Actuals_Table43"/>
      <sheetName val="Global_OH_Goal_Table43"/>
      <sheetName val="Geo_Hc_Actual_Table43"/>
      <sheetName val="Geo_Hc_Goal_Table43"/>
      <sheetName val="3D_ASPIRE_Table43"/>
      <sheetName val="GGM_Backlog_Table43"/>
      <sheetName val="COMET_FY01_Pull43"/>
      <sheetName val="Labor_Pull_FY0143"/>
      <sheetName val="Pull_HP_Wide43"/>
      <sheetName val="Pull_All_SFs43"/>
      <sheetName val="STD__COST43"/>
      <sheetName val="013_-_การสั่งการ41"/>
      <sheetName val="INPUT_-_Data_Table15"/>
      <sheetName val="Comet_ASPIRE12"/>
      <sheetName val="Comet_Sequential12"/>
      <sheetName val="Comet_yoy12"/>
      <sheetName val="Labour_costs11"/>
      <sheetName val="FY01_Actuals3"/>
      <sheetName val="FY00_Restated3"/>
      <sheetName val="FY01_Quota3"/>
      <sheetName val="Comet_Q202_Flash3"/>
      <sheetName val="Rooms_Table3"/>
      <sheetName val="Control_Panel44"/>
      <sheetName val="WW_Total_HPCI44"/>
      <sheetName val="NAM_w-o_Smartc_44"/>
      <sheetName val="GGM_Sum44"/>
      <sheetName val="HPCI_P&amp;L_Trend_(Blue)44"/>
      <sheetName val="HPCI_P&amp;L_Trend_%_(Blue)44"/>
      <sheetName val="PL4K_P&amp;L_Trend44"/>
      <sheetName val="PL4K_P&amp;L_Trend_%44"/>
      <sheetName val="PL79_P&amp;L_Trend44"/>
      <sheetName val="PL79_P&amp;L_Trend_%44"/>
      <sheetName val="HPCI-COMET_Comparison_(Blue)44"/>
      <sheetName val="Global_OH_(Blue)44"/>
      <sheetName val="Headcount_Reconciliation_(Blu44"/>
      <sheetName val="Headcount_Trend44"/>
      <sheetName val="PL4K_Labor_Trend44"/>
      <sheetName val="3D_P&amp;L_Vs_ASPIRE_(Blue)44"/>
      <sheetName val="COMET_P&amp;L_Trend_(Blue)44"/>
      <sheetName val="COMET_P&amp;L_Trend_%_(Blue)44"/>
      <sheetName val="FY02_Adjusted_P&amp;L_(Blue)44"/>
      <sheetName val="Adjustment_DTL_(Blue)44"/>
      <sheetName val="GGM_Cap__Change_Pull44"/>
      <sheetName val="GGM_Residual_Pull44"/>
      <sheetName val="GGM_Local_OH_Pull44"/>
      <sheetName val="GGM_Allocs_Pull44"/>
      <sheetName val="GGM_Oth_Inc(Exp)_Pull44"/>
      <sheetName val="Smartcontact_Gain_Pull44"/>
      <sheetName val="GGM_Revenue_Fall_Out44"/>
      <sheetName val="GGM_Residual_Fall_Out44"/>
      <sheetName val="Global_OH_Pull44"/>
      <sheetName val="EN50_47_Global_Pull44"/>
      <sheetName val="Labor_Pull44"/>
      <sheetName val="Forecast_Accuracy_Trend44"/>
      <sheetName val="COMET_Pull44"/>
      <sheetName val="WW_P&amp;L_Table44"/>
      <sheetName val="WW_Goal_Table44"/>
      <sheetName val="GGM_CF_Pull44"/>
      <sheetName val="HPC_Region_P&amp;L_Table44"/>
      <sheetName val="HPC_Region_Goal_Table44"/>
      <sheetName val="PL_Region_P&amp;L_Table44"/>
      <sheetName val="PL_Region_Goal_Table44"/>
      <sheetName val="3D_P&amp;L_Table44"/>
      <sheetName val="Global_OH_Actuals_Table44"/>
      <sheetName val="Global_OH_Goal_Table44"/>
      <sheetName val="Geo_Hc_Actual_Table44"/>
      <sheetName val="Geo_Hc_Goal_Table44"/>
      <sheetName val="3D_ASPIRE_Table44"/>
      <sheetName val="GGM_Backlog_Table44"/>
      <sheetName val="COMET_FY01_Pull44"/>
      <sheetName val="Labor_Pull_FY0144"/>
      <sheetName val="Pull_HP_Wide44"/>
      <sheetName val="Pull_All_SFs44"/>
      <sheetName val="STD__COST44"/>
      <sheetName val="013_-_การสั่งการ42"/>
      <sheetName val="INPUT_-_Data_Table16"/>
      <sheetName val="Comet_ASPIRE13"/>
      <sheetName val="Comet_Sequential13"/>
      <sheetName val="Comet_yoy13"/>
      <sheetName val="Labour_costs12"/>
      <sheetName val="FY01_Actuals4"/>
      <sheetName val="FY00_Restated4"/>
      <sheetName val="FY01_Quota4"/>
      <sheetName val="Comet_Q202_Flash4"/>
      <sheetName val="Rooms_Table4"/>
      <sheetName val="Control_Panel45"/>
      <sheetName val="WW_Total_HPCI45"/>
      <sheetName val="NAM_w-o_Smartc_45"/>
      <sheetName val="GGM_Sum45"/>
      <sheetName val="HPCI_P&amp;L_Trend_(Blue)45"/>
      <sheetName val="HPCI_P&amp;L_Trend_%_(Blue)45"/>
      <sheetName val="PL4K_P&amp;L_Trend45"/>
      <sheetName val="PL4K_P&amp;L_Trend_%45"/>
      <sheetName val="PL79_P&amp;L_Trend45"/>
      <sheetName val="PL79_P&amp;L_Trend_%45"/>
      <sheetName val="HPCI-COMET_Comparison_(Blue)45"/>
      <sheetName val="Global_OH_(Blue)45"/>
      <sheetName val="Headcount_Reconciliation_(Blu45"/>
      <sheetName val="Headcount_Trend45"/>
      <sheetName val="PL4K_Labor_Trend45"/>
      <sheetName val="3D_P&amp;L_Vs_ASPIRE_(Blue)45"/>
      <sheetName val="COMET_P&amp;L_Trend_(Blue)45"/>
      <sheetName val="COMET_P&amp;L_Trend_%_(Blue)45"/>
      <sheetName val="FY02_Adjusted_P&amp;L_(Blue)45"/>
      <sheetName val="Adjustment_DTL_(Blue)45"/>
      <sheetName val="GGM_Cap__Change_Pull45"/>
      <sheetName val="GGM_Residual_Pull45"/>
      <sheetName val="GGM_Local_OH_Pull45"/>
      <sheetName val="GGM_Allocs_Pull45"/>
      <sheetName val="GGM_Oth_Inc(Exp)_Pull45"/>
      <sheetName val="Smartcontact_Gain_Pull45"/>
      <sheetName val="GGM_Revenue_Fall_Out45"/>
      <sheetName val="GGM_Residual_Fall_Out45"/>
      <sheetName val="Global_OH_Pull45"/>
      <sheetName val="EN50_47_Global_Pull45"/>
      <sheetName val="Labor_Pull45"/>
      <sheetName val="Forecast_Accuracy_Trend45"/>
      <sheetName val="COMET_Pull45"/>
      <sheetName val="WW_P&amp;L_Table45"/>
      <sheetName val="WW_Goal_Table45"/>
      <sheetName val="GGM_CF_Pull45"/>
      <sheetName val="HPC_Region_P&amp;L_Table45"/>
      <sheetName val="HPC_Region_Goal_Table45"/>
      <sheetName val="PL_Region_P&amp;L_Table45"/>
      <sheetName val="PL_Region_Goal_Table45"/>
      <sheetName val="3D_P&amp;L_Table45"/>
      <sheetName val="Global_OH_Actuals_Table45"/>
      <sheetName val="Global_OH_Goal_Table45"/>
      <sheetName val="Geo_Hc_Actual_Table45"/>
      <sheetName val="Geo_Hc_Goal_Table45"/>
      <sheetName val="3D_ASPIRE_Table45"/>
      <sheetName val="GGM_Backlog_Table45"/>
      <sheetName val="COMET_FY01_Pull45"/>
      <sheetName val="Labor_Pull_FY0145"/>
      <sheetName val="Pull_HP_Wide45"/>
      <sheetName val="Pull_All_SFs45"/>
      <sheetName val="STD__COST45"/>
      <sheetName val="013_-_การสั่งการ43"/>
      <sheetName val="INPUT_-_Data_Table17"/>
      <sheetName val="Comet_ASPIRE14"/>
      <sheetName val="Comet_Sequential14"/>
      <sheetName val="Comet_yoy14"/>
      <sheetName val="Labour_costs13"/>
      <sheetName val="FY01_Actuals5"/>
      <sheetName val="FY00_Restated5"/>
      <sheetName val="FY01_Quota5"/>
      <sheetName val="Comet_Q202_Flash5"/>
      <sheetName val="Rooms_Table5"/>
      <sheetName val="Control_Panel46"/>
      <sheetName val="WW_Total_HPCI46"/>
      <sheetName val="NAM_w-o_Smartc_46"/>
      <sheetName val="GGM_Sum46"/>
      <sheetName val="HPCI_P&amp;L_Trend_(Blue)46"/>
      <sheetName val="HPCI_P&amp;L_Trend_%_(Blue)46"/>
      <sheetName val="PL4K_P&amp;L_Trend46"/>
      <sheetName val="PL4K_P&amp;L_Trend_%46"/>
      <sheetName val="PL79_P&amp;L_Trend46"/>
      <sheetName val="PL79_P&amp;L_Trend_%46"/>
      <sheetName val="HPCI-COMET_Comparison_(Blue)46"/>
      <sheetName val="Global_OH_(Blue)46"/>
      <sheetName val="Headcount_Reconciliation_(Blu46"/>
      <sheetName val="Headcount_Trend46"/>
      <sheetName val="PL4K_Labor_Trend46"/>
      <sheetName val="3D_P&amp;L_Vs_ASPIRE_(Blue)46"/>
      <sheetName val="COMET_P&amp;L_Trend_(Blue)46"/>
      <sheetName val="COMET_P&amp;L_Trend_%_(Blue)46"/>
      <sheetName val="FY02_Adjusted_P&amp;L_(Blue)46"/>
      <sheetName val="Adjustment_DTL_(Blue)46"/>
      <sheetName val="GGM_Cap__Change_Pull46"/>
      <sheetName val="GGM_Residual_Pull46"/>
      <sheetName val="GGM_Local_OH_Pull46"/>
      <sheetName val="GGM_Allocs_Pull46"/>
      <sheetName val="GGM_Oth_Inc(Exp)_Pull46"/>
      <sheetName val="Smartcontact_Gain_Pull46"/>
      <sheetName val="GGM_Revenue_Fall_Out46"/>
      <sheetName val="GGM_Residual_Fall_Out46"/>
      <sheetName val="Global_OH_Pull46"/>
      <sheetName val="EN50_47_Global_Pull46"/>
      <sheetName val="Labor_Pull46"/>
      <sheetName val="Forecast_Accuracy_Trend46"/>
      <sheetName val="COMET_Pull46"/>
      <sheetName val="WW_P&amp;L_Table46"/>
      <sheetName val="WW_Goal_Table46"/>
      <sheetName val="GGM_CF_Pull46"/>
      <sheetName val="HPC_Region_P&amp;L_Table46"/>
      <sheetName val="HPC_Region_Goal_Table46"/>
      <sheetName val="PL_Region_P&amp;L_Table46"/>
      <sheetName val="PL_Region_Goal_Table46"/>
      <sheetName val="3D_P&amp;L_Table46"/>
      <sheetName val="Global_OH_Actuals_Table46"/>
      <sheetName val="Global_OH_Goal_Table46"/>
      <sheetName val="Geo_Hc_Actual_Table46"/>
      <sheetName val="Geo_Hc_Goal_Table46"/>
      <sheetName val="3D_ASPIRE_Table46"/>
      <sheetName val="GGM_Backlog_Table46"/>
      <sheetName val="COMET_FY01_Pull46"/>
      <sheetName val="Labor_Pull_FY0146"/>
      <sheetName val="Pull_HP_Wide46"/>
      <sheetName val="Pull_All_SFs46"/>
      <sheetName val="STD__COST46"/>
      <sheetName val="013_-_การสั่งการ44"/>
      <sheetName val="INPUT_-_Data_Table18"/>
      <sheetName val="Comet_ASPIRE15"/>
      <sheetName val="Comet_Sequential15"/>
      <sheetName val="Comet_yoy15"/>
      <sheetName val="Labour_costs14"/>
      <sheetName val="FY01_Actuals6"/>
      <sheetName val="FY00_Restated6"/>
      <sheetName val="FY01_Quota6"/>
      <sheetName val="Comet_Q202_Flash6"/>
      <sheetName val="Rooms_Table6"/>
      <sheetName val="Control_Panel47"/>
      <sheetName val="WW_Total_HPCI47"/>
      <sheetName val="NAM_w-o_Smartc_47"/>
      <sheetName val="GGM_Sum47"/>
      <sheetName val="HPCI_P&amp;L_Trend_(Blue)47"/>
      <sheetName val="HPCI_P&amp;L_Trend_%_(Blue)47"/>
      <sheetName val="PL4K_P&amp;L_Trend47"/>
      <sheetName val="PL4K_P&amp;L_Trend_%47"/>
      <sheetName val="PL79_P&amp;L_Trend47"/>
      <sheetName val="PL79_P&amp;L_Trend_%47"/>
      <sheetName val="HPCI-COMET_Comparison_(Blue)47"/>
      <sheetName val="Global_OH_(Blue)47"/>
      <sheetName val="Headcount_Reconciliation_(Blu47"/>
      <sheetName val="Headcount_Trend47"/>
      <sheetName val="PL4K_Labor_Trend47"/>
      <sheetName val="3D_P&amp;L_Vs_ASPIRE_(Blue)47"/>
      <sheetName val="COMET_P&amp;L_Trend_(Blue)47"/>
      <sheetName val="COMET_P&amp;L_Trend_%_(Blue)47"/>
      <sheetName val="FY02_Adjusted_P&amp;L_(Blue)47"/>
      <sheetName val="Adjustment_DTL_(Blue)47"/>
      <sheetName val="GGM_Cap__Change_Pull47"/>
      <sheetName val="GGM_Residual_Pull47"/>
      <sheetName val="GGM_Local_OH_Pull47"/>
      <sheetName val="GGM_Allocs_Pull47"/>
      <sheetName val="GGM_Oth_Inc(Exp)_Pull47"/>
      <sheetName val="Smartcontact_Gain_Pull47"/>
      <sheetName val="GGM_Revenue_Fall_Out47"/>
      <sheetName val="GGM_Residual_Fall_Out47"/>
      <sheetName val="Global_OH_Pull47"/>
      <sheetName val="EN50_47_Global_Pull47"/>
      <sheetName val="Labor_Pull47"/>
      <sheetName val="Forecast_Accuracy_Trend47"/>
      <sheetName val="COMET_Pull47"/>
      <sheetName val="WW_P&amp;L_Table47"/>
      <sheetName val="WW_Goal_Table47"/>
      <sheetName val="GGM_CF_Pull47"/>
      <sheetName val="HPC_Region_P&amp;L_Table47"/>
      <sheetName val="HPC_Region_Goal_Table47"/>
      <sheetName val="PL_Region_P&amp;L_Table47"/>
      <sheetName val="PL_Region_Goal_Table47"/>
      <sheetName val="3D_P&amp;L_Table47"/>
      <sheetName val="Global_OH_Actuals_Table47"/>
      <sheetName val="Global_OH_Goal_Table47"/>
      <sheetName val="Geo_Hc_Actual_Table47"/>
      <sheetName val="Geo_Hc_Goal_Table47"/>
      <sheetName val="3D_ASPIRE_Table47"/>
      <sheetName val="GGM_Backlog_Table47"/>
      <sheetName val="COMET_FY01_Pull47"/>
      <sheetName val="Labor_Pull_FY0147"/>
      <sheetName val="Pull_HP_Wide47"/>
      <sheetName val="Pull_All_SFs47"/>
      <sheetName val="STD__COST47"/>
      <sheetName val="013_-_การสั่งการ45"/>
      <sheetName val="INPUT_-_Data_Table19"/>
      <sheetName val="Comet_ASPIRE16"/>
      <sheetName val="Comet_Sequential16"/>
      <sheetName val="Comet_yoy16"/>
      <sheetName val="Labour_costs15"/>
      <sheetName val="FY01_Actuals7"/>
      <sheetName val="FY00_Restated7"/>
      <sheetName val="FY01_Quota7"/>
      <sheetName val="Comet_Q202_Flash7"/>
      <sheetName val="Rooms_Table7"/>
      <sheetName val="Control_Panel48"/>
      <sheetName val="WW_Total_HPCI48"/>
      <sheetName val="NAM_w-o_Smartc_48"/>
      <sheetName val="GGM_Sum48"/>
      <sheetName val="HPCI_P&amp;L_Trend_(Blue)48"/>
      <sheetName val="HPCI_P&amp;L_Trend_%_(Blue)48"/>
      <sheetName val="PL4K_P&amp;L_Trend48"/>
      <sheetName val="PL4K_P&amp;L_Trend_%48"/>
      <sheetName val="PL79_P&amp;L_Trend48"/>
      <sheetName val="PL79_P&amp;L_Trend_%48"/>
      <sheetName val="HPCI-COMET_Comparison_(Blue)48"/>
      <sheetName val="Global_OH_(Blue)48"/>
      <sheetName val="Headcount_Reconciliation_(Blu48"/>
      <sheetName val="Headcount_Trend48"/>
      <sheetName val="PL4K_Labor_Trend48"/>
      <sheetName val="3D_P&amp;L_Vs_ASPIRE_(Blue)48"/>
      <sheetName val="COMET_P&amp;L_Trend_(Blue)48"/>
      <sheetName val="COMET_P&amp;L_Trend_%_(Blue)48"/>
      <sheetName val="FY02_Adjusted_P&amp;L_(Blue)48"/>
      <sheetName val="Adjustment_DTL_(Blue)48"/>
      <sheetName val="GGM_Cap__Change_Pull48"/>
      <sheetName val="GGM_Residual_Pull48"/>
      <sheetName val="GGM_Local_OH_Pull48"/>
      <sheetName val="GGM_Allocs_Pull48"/>
      <sheetName val="GGM_Oth_Inc(Exp)_Pull48"/>
      <sheetName val="Smartcontact_Gain_Pull48"/>
      <sheetName val="GGM_Revenue_Fall_Out48"/>
      <sheetName val="GGM_Residual_Fall_Out48"/>
      <sheetName val="Global_OH_Pull48"/>
      <sheetName val="EN50_47_Global_Pull48"/>
      <sheetName val="Labor_Pull48"/>
      <sheetName val="Forecast_Accuracy_Trend48"/>
      <sheetName val="COMET_Pull48"/>
      <sheetName val="WW_P&amp;L_Table48"/>
      <sheetName val="WW_Goal_Table48"/>
      <sheetName val="GGM_CF_Pull48"/>
      <sheetName val="HPC_Region_P&amp;L_Table48"/>
      <sheetName val="HPC_Region_Goal_Table48"/>
      <sheetName val="PL_Region_P&amp;L_Table48"/>
      <sheetName val="PL_Region_Goal_Table48"/>
      <sheetName val="3D_P&amp;L_Table48"/>
      <sheetName val="Global_OH_Actuals_Table48"/>
      <sheetName val="Global_OH_Goal_Table48"/>
      <sheetName val="Geo_Hc_Actual_Table48"/>
      <sheetName val="Geo_Hc_Goal_Table48"/>
      <sheetName val="3D_ASPIRE_Table48"/>
      <sheetName val="GGM_Backlog_Table48"/>
      <sheetName val="COMET_FY01_Pull48"/>
      <sheetName val="Labor_Pull_FY0148"/>
      <sheetName val="Pull_HP_Wide48"/>
      <sheetName val="Pull_All_SFs48"/>
      <sheetName val="STD__COST48"/>
      <sheetName val="013_-_การสั่งการ46"/>
      <sheetName val="INPUT_-_Data_Table20"/>
      <sheetName val="Comet_ASPIRE17"/>
      <sheetName val="Comet_Sequential17"/>
      <sheetName val="Comet_yoy17"/>
      <sheetName val="Labour_costs16"/>
      <sheetName val="FY01_Actuals8"/>
      <sheetName val="FY00_Restated8"/>
      <sheetName val="FY01_Quota8"/>
      <sheetName val="Comet_Q202_Flash8"/>
      <sheetName val="Rooms_Table8"/>
      <sheetName val="Control_Panel50"/>
      <sheetName val="WW_Total_HPCI50"/>
      <sheetName val="NAM_w-o_Smartc_50"/>
      <sheetName val="GGM_Sum50"/>
      <sheetName val="HPCI_P&amp;L_Trend_(Blue)50"/>
      <sheetName val="HPCI_P&amp;L_Trend_%_(Blue)50"/>
      <sheetName val="PL4K_P&amp;L_Trend50"/>
      <sheetName val="PL4K_P&amp;L_Trend_%50"/>
      <sheetName val="PL79_P&amp;L_Trend50"/>
      <sheetName val="PL79_P&amp;L_Trend_%50"/>
      <sheetName val="HPCI-COMET_Comparison_(Blue)50"/>
      <sheetName val="Global_OH_(Blue)50"/>
      <sheetName val="Headcount_Reconciliation_(Blu50"/>
      <sheetName val="Headcount_Trend50"/>
      <sheetName val="PL4K_Labor_Trend50"/>
      <sheetName val="3D_P&amp;L_Vs_ASPIRE_(Blue)50"/>
      <sheetName val="COMET_P&amp;L_Trend_(Blue)50"/>
      <sheetName val="COMET_P&amp;L_Trend_%_(Blue)50"/>
      <sheetName val="FY02_Adjusted_P&amp;L_(Blue)50"/>
      <sheetName val="Adjustment_DTL_(Blue)50"/>
      <sheetName val="GGM_Cap__Change_Pull50"/>
      <sheetName val="GGM_Residual_Pull50"/>
      <sheetName val="GGM_Local_OH_Pull50"/>
      <sheetName val="GGM_Allocs_Pull50"/>
      <sheetName val="GGM_Oth_Inc(Exp)_Pull50"/>
      <sheetName val="Smartcontact_Gain_Pull50"/>
      <sheetName val="GGM_Revenue_Fall_Out50"/>
      <sheetName val="GGM_Residual_Fall_Out50"/>
      <sheetName val="Global_OH_Pull50"/>
      <sheetName val="EN50_47_Global_Pull50"/>
      <sheetName val="Labor_Pull50"/>
      <sheetName val="Forecast_Accuracy_Trend50"/>
      <sheetName val="COMET_Pull50"/>
      <sheetName val="WW_P&amp;L_Table50"/>
      <sheetName val="WW_Goal_Table50"/>
      <sheetName val="GGM_CF_Pull50"/>
      <sheetName val="HPC_Region_P&amp;L_Table50"/>
      <sheetName val="HPC_Region_Goal_Table50"/>
      <sheetName val="PL_Region_P&amp;L_Table50"/>
      <sheetName val="PL_Region_Goal_Table50"/>
      <sheetName val="3D_P&amp;L_Table50"/>
      <sheetName val="Global_OH_Actuals_Table50"/>
      <sheetName val="Global_OH_Goal_Table50"/>
      <sheetName val="Geo_Hc_Actual_Table50"/>
      <sheetName val="Geo_Hc_Goal_Table50"/>
      <sheetName val="3D_ASPIRE_Table50"/>
      <sheetName val="GGM_Backlog_Table50"/>
      <sheetName val="COMET_FY01_Pull50"/>
      <sheetName val="Labor_Pull_FY0150"/>
      <sheetName val="Pull_HP_Wide50"/>
      <sheetName val="Pull_All_SFs50"/>
      <sheetName val="STD__COST50"/>
      <sheetName val="013_-_การสั่งการ48"/>
      <sheetName val="INPUT_-_Data_Table22"/>
      <sheetName val="Comet_ASPIRE19"/>
      <sheetName val="Comet_Sequential19"/>
      <sheetName val="Comet_yoy19"/>
      <sheetName val="Labour_costs18"/>
      <sheetName val="FY01_Actuals10"/>
      <sheetName val="FY00_Restated10"/>
      <sheetName val="FY01_Quota10"/>
      <sheetName val="Comet_Q202_Flash10"/>
      <sheetName val="Rooms_Table10"/>
      <sheetName val="Control_Panel49"/>
      <sheetName val="WW_Total_HPCI49"/>
      <sheetName val="NAM_w-o_Smartc_49"/>
      <sheetName val="GGM_Sum49"/>
      <sheetName val="HPCI_P&amp;L_Trend_(Blue)49"/>
      <sheetName val="HPCI_P&amp;L_Trend_%_(Blue)49"/>
      <sheetName val="PL4K_P&amp;L_Trend49"/>
      <sheetName val="PL4K_P&amp;L_Trend_%49"/>
      <sheetName val="PL79_P&amp;L_Trend49"/>
      <sheetName val="PL79_P&amp;L_Trend_%49"/>
      <sheetName val="HPCI-COMET_Comparison_(Blue)49"/>
      <sheetName val="Global_OH_(Blue)49"/>
      <sheetName val="Headcount_Reconciliation_(Blu49"/>
      <sheetName val="Headcount_Trend49"/>
      <sheetName val="PL4K_Labor_Trend49"/>
      <sheetName val="3D_P&amp;L_Vs_ASPIRE_(Blue)49"/>
      <sheetName val="COMET_P&amp;L_Trend_(Blue)49"/>
      <sheetName val="COMET_P&amp;L_Trend_%_(Blue)49"/>
      <sheetName val="FY02_Adjusted_P&amp;L_(Blue)49"/>
      <sheetName val="Adjustment_DTL_(Blue)49"/>
      <sheetName val="GGM_Cap__Change_Pull49"/>
      <sheetName val="GGM_Residual_Pull49"/>
      <sheetName val="GGM_Local_OH_Pull49"/>
      <sheetName val="GGM_Allocs_Pull49"/>
      <sheetName val="GGM_Oth_Inc(Exp)_Pull49"/>
      <sheetName val="Smartcontact_Gain_Pull49"/>
      <sheetName val="GGM_Revenue_Fall_Out49"/>
      <sheetName val="GGM_Residual_Fall_Out49"/>
      <sheetName val="Global_OH_Pull49"/>
      <sheetName val="EN50_47_Global_Pull49"/>
      <sheetName val="Labor_Pull49"/>
      <sheetName val="Forecast_Accuracy_Trend49"/>
      <sheetName val="COMET_Pull49"/>
      <sheetName val="WW_P&amp;L_Table49"/>
      <sheetName val="WW_Goal_Table49"/>
      <sheetName val="GGM_CF_Pull49"/>
      <sheetName val="HPC_Region_P&amp;L_Table49"/>
      <sheetName val="HPC_Region_Goal_Table49"/>
      <sheetName val="PL_Region_P&amp;L_Table49"/>
      <sheetName val="PL_Region_Goal_Table49"/>
      <sheetName val="3D_P&amp;L_Table49"/>
      <sheetName val="Global_OH_Actuals_Table49"/>
      <sheetName val="Global_OH_Goal_Table49"/>
      <sheetName val="Geo_Hc_Actual_Table49"/>
      <sheetName val="Geo_Hc_Goal_Table49"/>
      <sheetName val="3D_ASPIRE_Table49"/>
      <sheetName val="GGM_Backlog_Table49"/>
      <sheetName val="COMET_FY01_Pull49"/>
      <sheetName val="Labor_Pull_FY0149"/>
      <sheetName val="Pull_HP_Wide49"/>
      <sheetName val="Pull_All_SFs49"/>
      <sheetName val="STD__COST49"/>
      <sheetName val="013_-_การสั่งการ47"/>
      <sheetName val="INPUT_-_Data_Table21"/>
      <sheetName val="Comet_ASPIRE18"/>
      <sheetName val="Comet_Sequential18"/>
      <sheetName val="Comet_yoy18"/>
      <sheetName val="Labour_costs17"/>
      <sheetName val="FY01_Actuals9"/>
      <sheetName val="FY00_Restated9"/>
      <sheetName val="FY01_Quota9"/>
      <sheetName val="Comet_Q202_Flash9"/>
      <sheetName val="Rooms_Table9"/>
      <sheetName val="Control_Panel51"/>
      <sheetName val="WW_Total_HPCI51"/>
      <sheetName val="NAM_w-o_Smartc_51"/>
      <sheetName val="GGM_Sum51"/>
      <sheetName val="HPCI_P&amp;L_Trend_(Blue)51"/>
      <sheetName val="HPCI_P&amp;L_Trend_%_(Blue)51"/>
      <sheetName val="PL4K_P&amp;L_Trend51"/>
      <sheetName val="PL4K_P&amp;L_Trend_%51"/>
      <sheetName val="PL79_P&amp;L_Trend51"/>
      <sheetName val="PL79_P&amp;L_Trend_%51"/>
      <sheetName val="HPCI-COMET_Comparison_(Blue)51"/>
      <sheetName val="Global_OH_(Blue)51"/>
      <sheetName val="Headcount_Reconciliation_(Blu51"/>
      <sheetName val="Headcount_Trend51"/>
      <sheetName val="PL4K_Labor_Trend51"/>
      <sheetName val="3D_P&amp;L_Vs_ASPIRE_(Blue)51"/>
      <sheetName val="COMET_P&amp;L_Trend_(Blue)51"/>
      <sheetName val="COMET_P&amp;L_Trend_%_(Blue)51"/>
      <sheetName val="FY02_Adjusted_P&amp;L_(Blue)51"/>
      <sheetName val="Adjustment_DTL_(Blue)51"/>
      <sheetName val="GGM_Cap__Change_Pull51"/>
      <sheetName val="GGM_Residual_Pull51"/>
      <sheetName val="GGM_Local_OH_Pull51"/>
      <sheetName val="GGM_Allocs_Pull51"/>
      <sheetName val="GGM_Oth_Inc(Exp)_Pull51"/>
      <sheetName val="Smartcontact_Gain_Pull51"/>
      <sheetName val="GGM_Revenue_Fall_Out51"/>
      <sheetName val="GGM_Residual_Fall_Out51"/>
      <sheetName val="Global_OH_Pull51"/>
      <sheetName val="EN50_47_Global_Pull51"/>
      <sheetName val="Labor_Pull51"/>
      <sheetName val="Forecast_Accuracy_Trend51"/>
      <sheetName val="COMET_Pull51"/>
      <sheetName val="WW_P&amp;L_Table51"/>
      <sheetName val="WW_Goal_Table51"/>
      <sheetName val="GGM_CF_Pull51"/>
      <sheetName val="HPC_Region_P&amp;L_Table51"/>
      <sheetName val="HPC_Region_Goal_Table51"/>
      <sheetName val="PL_Region_P&amp;L_Table51"/>
      <sheetName val="PL_Region_Goal_Table51"/>
      <sheetName val="3D_P&amp;L_Table51"/>
      <sheetName val="Global_OH_Actuals_Table51"/>
      <sheetName val="Global_OH_Goal_Table51"/>
      <sheetName val="Geo_Hc_Actual_Table51"/>
      <sheetName val="Geo_Hc_Goal_Table51"/>
      <sheetName val="3D_ASPIRE_Table51"/>
      <sheetName val="GGM_Backlog_Table51"/>
      <sheetName val="COMET_FY01_Pull51"/>
      <sheetName val="Labor_Pull_FY0151"/>
      <sheetName val="Pull_HP_Wide51"/>
      <sheetName val="Pull_All_SFs51"/>
      <sheetName val="STD__COST51"/>
      <sheetName val="013_-_การสั่งการ49"/>
      <sheetName val="INPUT_-_Data_Table23"/>
      <sheetName val="Comet_ASPIRE20"/>
      <sheetName val="Comet_Sequential20"/>
      <sheetName val="Comet_yoy20"/>
      <sheetName val="Labour_costs19"/>
      <sheetName val="FY01_Actuals11"/>
      <sheetName val="FY00_Restated11"/>
      <sheetName val="FY01_Quota11"/>
      <sheetName val="Comet_Q202_Flash11"/>
      <sheetName val="Rooms_Table11"/>
      <sheetName val="综合成本分析01.01-0205"/>
      <sheetName val="Summary"/>
      <sheetName val="SUM14ZC1"/>
      <sheetName val="SPals"/>
      <sheetName val="Control_Panel52"/>
      <sheetName val="WW_Total_HPCI52"/>
      <sheetName val="NAM_w-o_Smartc_52"/>
      <sheetName val="GGM_Sum52"/>
      <sheetName val="HPCI_P&amp;L_Trend_(Blue)52"/>
      <sheetName val="HPCI_P&amp;L_Trend_%_(Blue)52"/>
      <sheetName val="PL4K_P&amp;L_Trend52"/>
      <sheetName val="PL4K_P&amp;L_Trend_%52"/>
      <sheetName val="PL79_P&amp;L_Trend52"/>
      <sheetName val="PL79_P&amp;L_Trend_%52"/>
      <sheetName val="HPCI-COMET_Comparison_(Blue)52"/>
      <sheetName val="Global_OH_(Blue)52"/>
      <sheetName val="Headcount_Reconciliation_(Blu52"/>
      <sheetName val="Headcount_Trend52"/>
      <sheetName val="PL4K_Labor_Trend52"/>
      <sheetName val="3D_P&amp;L_Vs_ASPIRE_(Blue)52"/>
      <sheetName val="COMET_P&amp;L_Trend_(Blue)52"/>
      <sheetName val="COMET_P&amp;L_Trend_%_(Blue)52"/>
      <sheetName val="FY02_Adjusted_P&amp;L_(Blue)52"/>
      <sheetName val="Adjustment_DTL_(Blue)52"/>
      <sheetName val="GGM_Cap__Change_Pull52"/>
      <sheetName val="GGM_Residual_Pull52"/>
      <sheetName val="GGM_Local_OH_Pull52"/>
      <sheetName val="GGM_Allocs_Pull52"/>
      <sheetName val="GGM_Oth_Inc(Exp)_Pull52"/>
      <sheetName val="Smartcontact_Gain_Pull52"/>
      <sheetName val="GGM_Revenue_Fall_Out52"/>
      <sheetName val="GGM_Residual_Fall_Out52"/>
      <sheetName val="Global_OH_Pull52"/>
      <sheetName val="EN50_47_Global_Pull52"/>
      <sheetName val="Labor_Pull52"/>
      <sheetName val="Forecast_Accuracy_Trend52"/>
      <sheetName val="COMET_Pull52"/>
      <sheetName val="WW_P&amp;L_Table52"/>
      <sheetName val="WW_Goal_Table52"/>
      <sheetName val="GGM_CF_Pull52"/>
      <sheetName val="HPC_Region_P&amp;L_Table52"/>
      <sheetName val="HPC_Region_Goal_Table52"/>
      <sheetName val="PL_Region_P&amp;L_Table52"/>
      <sheetName val="PL_Region_Goal_Table52"/>
      <sheetName val="3D_P&amp;L_Table52"/>
      <sheetName val="Global_OH_Actuals_Table52"/>
      <sheetName val="Global_OH_Goal_Table52"/>
      <sheetName val="Geo_Hc_Actual_Table52"/>
      <sheetName val="Geo_Hc_Goal_Table52"/>
      <sheetName val="3D_ASPIRE_Table52"/>
      <sheetName val="GGM_Backlog_Table52"/>
      <sheetName val="COMET_FY01_Pull52"/>
      <sheetName val="Labor_Pull_FY0152"/>
      <sheetName val="Pull_HP_Wide52"/>
      <sheetName val="Pull_All_SFs52"/>
      <sheetName val="STD__COST52"/>
      <sheetName val="013_-_การสั่งการ50"/>
      <sheetName val="INPUT_-_Data_Table24"/>
      <sheetName val="Comet_ASPIRE21"/>
      <sheetName val="Comet_Sequential21"/>
      <sheetName val="Comet_yoy21"/>
      <sheetName val="Labour_costs20"/>
      <sheetName val="FY01_Actuals12"/>
      <sheetName val="FY00_Restated12"/>
      <sheetName val="FY01_Quota12"/>
      <sheetName val="Comet_Q202_Flash12"/>
      <sheetName val="Rooms_Table12"/>
      <sheetName val="Basic_PMM"/>
      <sheetName val="Full_PMM"/>
      <sheetName val="BaaN_FW47"/>
      <sheetName val="Sep_BaaN"/>
      <sheetName val="Control_Panel60"/>
      <sheetName val="WW_Total_HPCI60"/>
      <sheetName val="NAM_w-o_Smartc_60"/>
      <sheetName val="GGM_Sum60"/>
      <sheetName val="HPCI_P&amp;L_Trend_(Blue)60"/>
      <sheetName val="HPCI_P&amp;L_Trend_%_(Blue)60"/>
      <sheetName val="PL4K_P&amp;L_Trend60"/>
      <sheetName val="PL4K_P&amp;L_Trend_%60"/>
      <sheetName val="PL79_P&amp;L_Trend60"/>
      <sheetName val="PL79_P&amp;L_Trend_%60"/>
      <sheetName val="HPCI-COMET_Comparison_(Blue)60"/>
      <sheetName val="Global_OH_(Blue)60"/>
      <sheetName val="Headcount_Reconciliation_(Blu60"/>
      <sheetName val="Headcount_Trend60"/>
      <sheetName val="PL4K_Labor_Trend60"/>
      <sheetName val="3D_P&amp;L_Vs_ASPIRE_(Blue)60"/>
      <sheetName val="COMET_P&amp;L_Trend_(Blue)60"/>
      <sheetName val="COMET_P&amp;L_Trend_%_(Blue)60"/>
      <sheetName val="FY02_Adjusted_P&amp;L_(Blue)60"/>
      <sheetName val="Adjustment_DTL_(Blue)60"/>
      <sheetName val="GGM_Cap__Change_Pull60"/>
      <sheetName val="GGM_Residual_Pull60"/>
      <sheetName val="GGM_Local_OH_Pull60"/>
      <sheetName val="GGM_Allocs_Pull60"/>
      <sheetName val="GGM_Oth_Inc(Exp)_Pull60"/>
      <sheetName val="Smartcontact_Gain_Pull60"/>
      <sheetName val="GGM_Revenue_Fall_Out60"/>
      <sheetName val="GGM_Residual_Fall_Out60"/>
      <sheetName val="Global_OH_Pull60"/>
      <sheetName val="EN50_47_Global_Pull60"/>
      <sheetName val="Labor_Pull60"/>
      <sheetName val="Forecast_Accuracy_Trend60"/>
      <sheetName val="COMET_Pull60"/>
      <sheetName val="WW_P&amp;L_Table60"/>
      <sheetName val="WW_Goal_Table60"/>
      <sheetName val="GGM_CF_Pull60"/>
      <sheetName val="HPC_Region_P&amp;L_Table60"/>
      <sheetName val="HPC_Region_Goal_Table60"/>
      <sheetName val="PL_Region_P&amp;L_Table60"/>
      <sheetName val="PL_Region_Goal_Table60"/>
      <sheetName val="3D_P&amp;L_Table60"/>
      <sheetName val="Global_OH_Actuals_Table60"/>
      <sheetName val="Global_OH_Goal_Table60"/>
      <sheetName val="Geo_Hc_Actual_Table60"/>
      <sheetName val="Geo_Hc_Goal_Table60"/>
      <sheetName val="3D_ASPIRE_Table60"/>
      <sheetName val="GGM_Backlog_Table60"/>
      <sheetName val="COMET_FY01_Pull60"/>
      <sheetName val="Labor_Pull_FY0160"/>
      <sheetName val="Pull_HP_Wide60"/>
      <sheetName val="Pull_All_SFs60"/>
      <sheetName val="STD__COST60"/>
      <sheetName val="013_-_การสั่งการ58"/>
      <sheetName val="INPUT_-_Data_Table32"/>
      <sheetName val="Comet_ASPIRE29"/>
      <sheetName val="Comet_Sequential29"/>
      <sheetName val="Comet_yoy29"/>
      <sheetName val="Labour_costs28"/>
      <sheetName val="FY01_Actuals20"/>
      <sheetName val="FY00_Restated20"/>
      <sheetName val="FY01_Quota20"/>
      <sheetName val="Comet_Q202_Flash20"/>
      <sheetName val="Rooms_Table20"/>
      <sheetName val="Basic_PMM7"/>
      <sheetName val="Full_PMM7"/>
      <sheetName val="BaaN_FW477"/>
      <sheetName val="Sep_BaaN7"/>
      <sheetName val="Control_Panel53"/>
      <sheetName val="WW_Total_HPCI53"/>
      <sheetName val="NAM_w-o_Smartc_53"/>
      <sheetName val="GGM_Sum53"/>
      <sheetName val="HPCI_P&amp;L_Trend_(Blue)53"/>
      <sheetName val="HPCI_P&amp;L_Trend_%_(Blue)53"/>
      <sheetName val="PL4K_P&amp;L_Trend53"/>
      <sheetName val="PL4K_P&amp;L_Trend_%53"/>
      <sheetName val="PL79_P&amp;L_Trend53"/>
      <sheetName val="PL79_P&amp;L_Trend_%53"/>
      <sheetName val="HPCI-COMET_Comparison_(Blue)53"/>
      <sheetName val="Global_OH_(Blue)53"/>
      <sheetName val="Headcount_Reconciliation_(Blu53"/>
      <sheetName val="Headcount_Trend53"/>
      <sheetName val="PL4K_Labor_Trend53"/>
      <sheetName val="3D_P&amp;L_Vs_ASPIRE_(Blue)53"/>
      <sheetName val="COMET_P&amp;L_Trend_(Blue)53"/>
      <sheetName val="COMET_P&amp;L_Trend_%_(Blue)53"/>
      <sheetName val="FY02_Adjusted_P&amp;L_(Blue)53"/>
      <sheetName val="Adjustment_DTL_(Blue)53"/>
      <sheetName val="GGM_Cap__Change_Pull53"/>
      <sheetName val="GGM_Residual_Pull53"/>
      <sheetName val="GGM_Local_OH_Pull53"/>
      <sheetName val="GGM_Allocs_Pull53"/>
      <sheetName val="GGM_Oth_Inc(Exp)_Pull53"/>
      <sheetName val="Smartcontact_Gain_Pull53"/>
      <sheetName val="GGM_Revenue_Fall_Out53"/>
      <sheetName val="GGM_Residual_Fall_Out53"/>
      <sheetName val="Global_OH_Pull53"/>
      <sheetName val="EN50_47_Global_Pull53"/>
      <sheetName val="Labor_Pull53"/>
      <sheetName val="Forecast_Accuracy_Trend53"/>
      <sheetName val="COMET_Pull53"/>
      <sheetName val="WW_P&amp;L_Table53"/>
      <sheetName val="WW_Goal_Table53"/>
      <sheetName val="GGM_CF_Pull53"/>
      <sheetName val="HPC_Region_P&amp;L_Table53"/>
      <sheetName val="HPC_Region_Goal_Table53"/>
      <sheetName val="PL_Region_P&amp;L_Table53"/>
      <sheetName val="PL_Region_Goal_Table53"/>
      <sheetName val="3D_P&amp;L_Table53"/>
      <sheetName val="Global_OH_Actuals_Table53"/>
      <sheetName val="Global_OH_Goal_Table53"/>
      <sheetName val="Geo_Hc_Actual_Table53"/>
      <sheetName val="Geo_Hc_Goal_Table53"/>
      <sheetName val="3D_ASPIRE_Table53"/>
      <sheetName val="GGM_Backlog_Table53"/>
      <sheetName val="COMET_FY01_Pull53"/>
      <sheetName val="Labor_Pull_FY0153"/>
      <sheetName val="Pull_HP_Wide53"/>
      <sheetName val="Pull_All_SFs53"/>
      <sheetName val="STD__COST53"/>
      <sheetName val="013_-_การสั่งการ51"/>
      <sheetName val="INPUT_-_Data_Table25"/>
      <sheetName val="Comet_ASPIRE22"/>
      <sheetName val="Comet_Sequential22"/>
      <sheetName val="Comet_yoy22"/>
      <sheetName val="Labour_costs21"/>
      <sheetName val="FY01_Actuals13"/>
      <sheetName val="FY00_Restated13"/>
      <sheetName val="FY01_Quota13"/>
      <sheetName val="Comet_Q202_Flash13"/>
      <sheetName val="Rooms_Table13"/>
      <sheetName val="Basic_PMM1"/>
      <sheetName val="Full_PMM1"/>
      <sheetName val="BaaN_FW471"/>
      <sheetName val="Sep_BaaN1"/>
      <sheetName val="Control_Panel56"/>
      <sheetName val="WW_Total_HPCI56"/>
      <sheetName val="NAM_w-o_Smartc_56"/>
      <sheetName val="GGM_Sum56"/>
      <sheetName val="HPCI_P&amp;L_Trend_(Blue)56"/>
      <sheetName val="HPCI_P&amp;L_Trend_%_(Blue)56"/>
      <sheetName val="PL4K_P&amp;L_Trend56"/>
      <sheetName val="PL4K_P&amp;L_Trend_%56"/>
      <sheetName val="PL79_P&amp;L_Trend56"/>
      <sheetName val="PL79_P&amp;L_Trend_%56"/>
      <sheetName val="HPCI-COMET_Comparison_(Blue)56"/>
      <sheetName val="Global_OH_(Blue)56"/>
      <sheetName val="Headcount_Reconciliation_(Blu56"/>
      <sheetName val="Headcount_Trend56"/>
      <sheetName val="PL4K_Labor_Trend56"/>
      <sheetName val="3D_P&amp;L_Vs_ASPIRE_(Blue)56"/>
      <sheetName val="COMET_P&amp;L_Trend_(Blue)56"/>
      <sheetName val="COMET_P&amp;L_Trend_%_(Blue)56"/>
      <sheetName val="FY02_Adjusted_P&amp;L_(Blue)56"/>
      <sheetName val="Adjustment_DTL_(Blue)56"/>
      <sheetName val="GGM_Cap__Change_Pull56"/>
      <sheetName val="GGM_Residual_Pull56"/>
      <sheetName val="GGM_Local_OH_Pull56"/>
      <sheetName val="GGM_Allocs_Pull56"/>
      <sheetName val="GGM_Oth_Inc(Exp)_Pull56"/>
      <sheetName val="Smartcontact_Gain_Pull56"/>
      <sheetName val="GGM_Revenue_Fall_Out56"/>
      <sheetName val="GGM_Residual_Fall_Out56"/>
      <sheetName val="Global_OH_Pull56"/>
      <sheetName val="EN50_47_Global_Pull56"/>
      <sheetName val="Labor_Pull56"/>
      <sheetName val="Forecast_Accuracy_Trend56"/>
      <sheetName val="COMET_Pull56"/>
      <sheetName val="WW_P&amp;L_Table56"/>
      <sheetName val="WW_Goal_Table56"/>
      <sheetName val="GGM_CF_Pull56"/>
      <sheetName val="HPC_Region_P&amp;L_Table56"/>
      <sheetName val="HPC_Region_Goal_Table56"/>
      <sheetName val="PL_Region_P&amp;L_Table56"/>
      <sheetName val="PL_Region_Goal_Table56"/>
      <sheetName val="3D_P&amp;L_Table56"/>
      <sheetName val="Global_OH_Actuals_Table56"/>
      <sheetName val="Global_OH_Goal_Table56"/>
      <sheetName val="Geo_Hc_Actual_Table56"/>
      <sheetName val="Geo_Hc_Goal_Table56"/>
      <sheetName val="3D_ASPIRE_Table56"/>
      <sheetName val="GGM_Backlog_Table56"/>
      <sheetName val="COMET_FY01_Pull56"/>
      <sheetName val="Labor_Pull_FY0156"/>
      <sheetName val="Pull_HP_Wide56"/>
      <sheetName val="Pull_All_SFs56"/>
      <sheetName val="STD__COST56"/>
      <sheetName val="013_-_การสั่งการ54"/>
      <sheetName val="INPUT_-_Data_Table28"/>
      <sheetName val="Comet_ASPIRE25"/>
      <sheetName val="Comet_Sequential25"/>
      <sheetName val="Comet_yoy25"/>
      <sheetName val="Labour_costs24"/>
      <sheetName val="FY01_Actuals16"/>
      <sheetName val="FY00_Restated16"/>
      <sheetName val="FY01_Quota16"/>
      <sheetName val="Comet_Q202_Flash16"/>
      <sheetName val="Rooms_Table16"/>
      <sheetName val="Basic_PMM3"/>
      <sheetName val="Full_PMM3"/>
      <sheetName val="BaaN_FW473"/>
      <sheetName val="Sep_BaaN3"/>
      <sheetName val="Control_Panel54"/>
      <sheetName val="WW_Total_HPCI54"/>
      <sheetName val="NAM_w-o_Smartc_54"/>
      <sheetName val="GGM_Sum54"/>
      <sheetName val="HPCI_P&amp;L_Trend_(Blue)54"/>
      <sheetName val="HPCI_P&amp;L_Trend_%_(Blue)54"/>
      <sheetName val="PL4K_P&amp;L_Trend54"/>
      <sheetName val="PL4K_P&amp;L_Trend_%54"/>
      <sheetName val="PL79_P&amp;L_Trend54"/>
      <sheetName val="PL79_P&amp;L_Trend_%54"/>
      <sheetName val="HPCI-COMET_Comparison_(Blue)54"/>
      <sheetName val="Global_OH_(Blue)54"/>
      <sheetName val="Headcount_Reconciliation_(Blu54"/>
      <sheetName val="Headcount_Trend54"/>
      <sheetName val="PL4K_Labor_Trend54"/>
      <sheetName val="3D_P&amp;L_Vs_ASPIRE_(Blue)54"/>
      <sheetName val="COMET_P&amp;L_Trend_(Blue)54"/>
      <sheetName val="COMET_P&amp;L_Trend_%_(Blue)54"/>
      <sheetName val="FY02_Adjusted_P&amp;L_(Blue)54"/>
      <sheetName val="Adjustment_DTL_(Blue)54"/>
      <sheetName val="GGM_Cap__Change_Pull54"/>
      <sheetName val="GGM_Residual_Pull54"/>
      <sheetName val="GGM_Local_OH_Pull54"/>
      <sheetName val="GGM_Allocs_Pull54"/>
      <sheetName val="GGM_Oth_Inc(Exp)_Pull54"/>
      <sheetName val="Smartcontact_Gain_Pull54"/>
      <sheetName val="GGM_Revenue_Fall_Out54"/>
      <sheetName val="GGM_Residual_Fall_Out54"/>
      <sheetName val="Global_OH_Pull54"/>
      <sheetName val="EN50_47_Global_Pull54"/>
      <sheetName val="Labor_Pull54"/>
      <sheetName val="Forecast_Accuracy_Trend54"/>
      <sheetName val="COMET_Pull54"/>
      <sheetName val="WW_P&amp;L_Table54"/>
      <sheetName val="WW_Goal_Table54"/>
      <sheetName val="GGM_CF_Pull54"/>
      <sheetName val="HPC_Region_P&amp;L_Table54"/>
      <sheetName val="HPC_Region_Goal_Table54"/>
      <sheetName val="PL_Region_P&amp;L_Table54"/>
      <sheetName val="PL_Region_Goal_Table54"/>
      <sheetName val="3D_P&amp;L_Table54"/>
      <sheetName val="Global_OH_Actuals_Table54"/>
      <sheetName val="Global_OH_Goal_Table54"/>
      <sheetName val="Geo_Hc_Actual_Table54"/>
      <sheetName val="Geo_Hc_Goal_Table54"/>
      <sheetName val="3D_ASPIRE_Table54"/>
      <sheetName val="GGM_Backlog_Table54"/>
      <sheetName val="COMET_FY01_Pull54"/>
      <sheetName val="Labor_Pull_FY0154"/>
      <sheetName val="Pull_HP_Wide54"/>
      <sheetName val="Pull_All_SFs54"/>
      <sheetName val="STD__COST54"/>
      <sheetName val="013_-_การสั่งการ52"/>
      <sheetName val="INPUT_-_Data_Table26"/>
      <sheetName val="Comet_ASPIRE23"/>
      <sheetName val="Comet_Sequential23"/>
      <sheetName val="Comet_yoy23"/>
      <sheetName val="Labour_costs22"/>
      <sheetName val="FY01_Actuals14"/>
      <sheetName val="FY00_Restated14"/>
      <sheetName val="FY01_Quota14"/>
      <sheetName val="Comet_Q202_Flash14"/>
      <sheetName val="Rooms_Table14"/>
      <sheetName val="Control_Panel55"/>
      <sheetName val="WW_Total_HPCI55"/>
      <sheetName val="NAM_w-o_Smartc_55"/>
      <sheetName val="GGM_Sum55"/>
      <sheetName val="HPCI_P&amp;L_Trend_(Blue)55"/>
      <sheetName val="HPCI_P&amp;L_Trend_%_(Blue)55"/>
      <sheetName val="PL4K_P&amp;L_Trend55"/>
      <sheetName val="PL4K_P&amp;L_Trend_%55"/>
      <sheetName val="PL79_P&amp;L_Trend55"/>
      <sheetName val="PL79_P&amp;L_Trend_%55"/>
      <sheetName val="HPCI-COMET_Comparison_(Blue)55"/>
      <sheetName val="Global_OH_(Blue)55"/>
      <sheetName val="Headcount_Reconciliation_(Blu55"/>
      <sheetName val="Headcount_Trend55"/>
      <sheetName val="PL4K_Labor_Trend55"/>
      <sheetName val="3D_P&amp;L_Vs_ASPIRE_(Blue)55"/>
      <sheetName val="COMET_P&amp;L_Trend_(Blue)55"/>
      <sheetName val="COMET_P&amp;L_Trend_%_(Blue)55"/>
      <sheetName val="FY02_Adjusted_P&amp;L_(Blue)55"/>
      <sheetName val="Adjustment_DTL_(Blue)55"/>
      <sheetName val="GGM_Cap__Change_Pull55"/>
      <sheetName val="GGM_Residual_Pull55"/>
      <sheetName val="GGM_Local_OH_Pull55"/>
      <sheetName val="GGM_Allocs_Pull55"/>
      <sheetName val="GGM_Oth_Inc(Exp)_Pull55"/>
      <sheetName val="Smartcontact_Gain_Pull55"/>
      <sheetName val="GGM_Revenue_Fall_Out55"/>
      <sheetName val="GGM_Residual_Fall_Out55"/>
      <sheetName val="Global_OH_Pull55"/>
      <sheetName val="EN50_47_Global_Pull55"/>
      <sheetName val="Labor_Pull55"/>
      <sheetName val="Forecast_Accuracy_Trend55"/>
      <sheetName val="COMET_Pull55"/>
      <sheetName val="WW_P&amp;L_Table55"/>
      <sheetName val="WW_Goal_Table55"/>
      <sheetName val="GGM_CF_Pull55"/>
      <sheetName val="HPC_Region_P&amp;L_Table55"/>
      <sheetName val="HPC_Region_Goal_Table55"/>
      <sheetName val="PL_Region_P&amp;L_Table55"/>
      <sheetName val="PL_Region_Goal_Table55"/>
      <sheetName val="3D_P&amp;L_Table55"/>
      <sheetName val="Global_OH_Actuals_Table55"/>
      <sheetName val="Global_OH_Goal_Table55"/>
      <sheetName val="Geo_Hc_Actual_Table55"/>
      <sheetName val="Geo_Hc_Goal_Table55"/>
      <sheetName val="3D_ASPIRE_Table55"/>
      <sheetName val="GGM_Backlog_Table55"/>
      <sheetName val="COMET_FY01_Pull55"/>
      <sheetName val="Labor_Pull_FY0155"/>
      <sheetName val="Pull_HP_Wide55"/>
      <sheetName val="Pull_All_SFs55"/>
      <sheetName val="STD__COST55"/>
      <sheetName val="013_-_การสั่งการ53"/>
      <sheetName val="INPUT_-_Data_Table27"/>
      <sheetName val="Comet_ASPIRE24"/>
      <sheetName val="Comet_Sequential24"/>
      <sheetName val="Comet_yoy24"/>
      <sheetName val="Labour_costs23"/>
      <sheetName val="FY01_Actuals15"/>
      <sheetName val="FY00_Restated15"/>
      <sheetName val="FY01_Quota15"/>
      <sheetName val="Comet_Q202_Flash15"/>
      <sheetName val="Rooms_Table15"/>
      <sheetName val="Basic_PMM2"/>
      <sheetName val="Full_PMM2"/>
      <sheetName val="BaaN_FW472"/>
      <sheetName val="Sep_BaaN2"/>
      <sheetName val="Control_Panel57"/>
      <sheetName val="WW_Total_HPCI57"/>
      <sheetName val="NAM_w-o_Smartc_57"/>
      <sheetName val="GGM_Sum57"/>
      <sheetName val="HPCI_P&amp;L_Trend_(Blue)57"/>
      <sheetName val="HPCI_P&amp;L_Trend_%_(Blue)57"/>
      <sheetName val="PL4K_P&amp;L_Trend57"/>
      <sheetName val="PL4K_P&amp;L_Trend_%57"/>
      <sheetName val="PL79_P&amp;L_Trend57"/>
      <sheetName val="PL79_P&amp;L_Trend_%57"/>
      <sheetName val="HPCI-COMET_Comparison_(Blue)57"/>
      <sheetName val="Global_OH_(Blue)57"/>
      <sheetName val="Headcount_Reconciliation_(Blu57"/>
      <sheetName val="Headcount_Trend57"/>
      <sheetName val="PL4K_Labor_Trend57"/>
      <sheetName val="3D_P&amp;L_Vs_ASPIRE_(Blue)57"/>
      <sheetName val="COMET_P&amp;L_Trend_(Blue)57"/>
      <sheetName val="COMET_P&amp;L_Trend_%_(Blue)57"/>
      <sheetName val="FY02_Adjusted_P&amp;L_(Blue)57"/>
      <sheetName val="Adjustment_DTL_(Blue)57"/>
      <sheetName val="GGM_Cap__Change_Pull57"/>
      <sheetName val="GGM_Residual_Pull57"/>
      <sheetName val="GGM_Local_OH_Pull57"/>
      <sheetName val="GGM_Allocs_Pull57"/>
      <sheetName val="GGM_Oth_Inc(Exp)_Pull57"/>
      <sheetName val="Smartcontact_Gain_Pull57"/>
      <sheetName val="GGM_Revenue_Fall_Out57"/>
      <sheetName val="GGM_Residual_Fall_Out57"/>
      <sheetName val="Global_OH_Pull57"/>
      <sheetName val="EN50_47_Global_Pull57"/>
      <sheetName val="Labor_Pull57"/>
      <sheetName val="Forecast_Accuracy_Trend57"/>
      <sheetName val="COMET_Pull57"/>
      <sheetName val="WW_P&amp;L_Table57"/>
      <sheetName val="WW_Goal_Table57"/>
      <sheetName val="GGM_CF_Pull57"/>
      <sheetName val="HPC_Region_P&amp;L_Table57"/>
      <sheetName val="HPC_Region_Goal_Table57"/>
      <sheetName val="PL_Region_P&amp;L_Table57"/>
      <sheetName val="PL_Region_Goal_Table57"/>
      <sheetName val="3D_P&amp;L_Table57"/>
      <sheetName val="Global_OH_Actuals_Table57"/>
      <sheetName val="Global_OH_Goal_Table57"/>
      <sheetName val="Geo_Hc_Actual_Table57"/>
      <sheetName val="Geo_Hc_Goal_Table57"/>
      <sheetName val="3D_ASPIRE_Table57"/>
      <sheetName val="GGM_Backlog_Table57"/>
      <sheetName val="COMET_FY01_Pull57"/>
      <sheetName val="Labor_Pull_FY0157"/>
      <sheetName val="Pull_HP_Wide57"/>
      <sheetName val="Pull_All_SFs57"/>
      <sheetName val="STD__COST57"/>
      <sheetName val="013_-_การสั่งการ55"/>
      <sheetName val="INPUT_-_Data_Table29"/>
      <sheetName val="Comet_ASPIRE26"/>
      <sheetName val="Comet_Sequential26"/>
      <sheetName val="Comet_yoy26"/>
      <sheetName val="Labour_costs25"/>
      <sheetName val="FY01_Actuals17"/>
      <sheetName val="FY00_Restated17"/>
      <sheetName val="FY01_Quota17"/>
      <sheetName val="Comet_Q202_Flash17"/>
      <sheetName val="Rooms_Table17"/>
      <sheetName val="Basic_PMM4"/>
      <sheetName val="Full_PMM4"/>
      <sheetName val="BaaN_FW474"/>
      <sheetName val="Sep_BaaN4"/>
      <sheetName val="Control_Panel58"/>
      <sheetName val="WW_Total_HPCI58"/>
      <sheetName val="NAM_w-o_Smartc_58"/>
      <sheetName val="GGM_Sum58"/>
      <sheetName val="HPCI_P&amp;L_Trend_(Blue)58"/>
      <sheetName val="HPCI_P&amp;L_Trend_%_(Blue)58"/>
      <sheetName val="PL4K_P&amp;L_Trend58"/>
      <sheetName val="PL4K_P&amp;L_Trend_%58"/>
      <sheetName val="PL79_P&amp;L_Trend58"/>
      <sheetName val="PL79_P&amp;L_Trend_%58"/>
      <sheetName val="HPCI-COMET_Comparison_(Blue)58"/>
      <sheetName val="Global_OH_(Blue)58"/>
      <sheetName val="Headcount_Reconciliation_(Blu58"/>
      <sheetName val="Headcount_Trend58"/>
      <sheetName val="PL4K_Labor_Trend58"/>
      <sheetName val="3D_P&amp;L_Vs_ASPIRE_(Blue)58"/>
      <sheetName val="COMET_P&amp;L_Trend_(Blue)58"/>
      <sheetName val="COMET_P&amp;L_Trend_%_(Blue)58"/>
      <sheetName val="FY02_Adjusted_P&amp;L_(Blue)58"/>
      <sheetName val="Adjustment_DTL_(Blue)58"/>
      <sheetName val="GGM_Cap__Change_Pull58"/>
      <sheetName val="GGM_Residual_Pull58"/>
      <sheetName val="GGM_Local_OH_Pull58"/>
      <sheetName val="GGM_Allocs_Pull58"/>
      <sheetName val="GGM_Oth_Inc(Exp)_Pull58"/>
      <sheetName val="Smartcontact_Gain_Pull58"/>
      <sheetName val="GGM_Revenue_Fall_Out58"/>
      <sheetName val="GGM_Residual_Fall_Out58"/>
      <sheetName val="Global_OH_Pull58"/>
      <sheetName val="EN50_47_Global_Pull58"/>
      <sheetName val="Labor_Pull58"/>
      <sheetName val="Forecast_Accuracy_Trend58"/>
      <sheetName val="COMET_Pull58"/>
      <sheetName val="WW_P&amp;L_Table58"/>
      <sheetName val="WW_Goal_Table58"/>
      <sheetName val="GGM_CF_Pull58"/>
      <sheetName val="HPC_Region_P&amp;L_Table58"/>
      <sheetName val="HPC_Region_Goal_Table58"/>
      <sheetName val="PL_Region_P&amp;L_Table58"/>
      <sheetName val="PL_Region_Goal_Table58"/>
      <sheetName val="3D_P&amp;L_Table58"/>
      <sheetName val="Global_OH_Actuals_Table58"/>
      <sheetName val="Global_OH_Goal_Table58"/>
      <sheetName val="Geo_Hc_Actual_Table58"/>
      <sheetName val="Geo_Hc_Goal_Table58"/>
      <sheetName val="3D_ASPIRE_Table58"/>
      <sheetName val="GGM_Backlog_Table58"/>
      <sheetName val="COMET_FY01_Pull58"/>
      <sheetName val="Labor_Pull_FY0158"/>
      <sheetName val="Pull_HP_Wide58"/>
      <sheetName val="Pull_All_SFs58"/>
      <sheetName val="STD__COST58"/>
      <sheetName val="013_-_การสั่งการ56"/>
      <sheetName val="INPUT_-_Data_Table30"/>
      <sheetName val="Comet_ASPIRE27"/>
      <sheetName val="Comet_Sequential27"/>
      <sheetName val="Comet_yoy27"/>
      <sheetName val="Labour_costs26"/>
      <sheetName val="FY01_Actuals18"/>
      <sheetName val="FY00_Restated18"/>
      <sheetName val="FY01_Quota18"/>
      <sheetName val="Comet_Q202_Flash18"/>
      <sheetName val="Rooms_Table18"/>
      <sheetName val="Basic_PMM5"/>
      <sheetName val="Full_PMM5"/>
      <sheetName val="BaaN_FW475"/>
      <sheetName val="Sep_BaaN5"/>
      <sheetName val="Control_Panel59"/>
      <sheetName val="WW_Total_HPCI59"/>
      <sheetName val="NAM_w-o_Smartc_59"/>
      <sheetName val="GGM_Sum59"/>
      <sheetName val="HPCI_P&amp;L_Trend_(Blue)59"/>
      <sheetName val="HPCI_P&amp;L_Trend_%_(Blue)59"/>
      <sheetName val="PL4K_P&amp;L_Trend59"/>
      <sheetName val="PL4K_P&amp;L_Trend_%59"/>
      <sheetName val="PL79_P&amp;L_Trend59"/>
      <sheetName val="PL79_P&amp;L_Trend_%59"/>
      <sheetName val="HPCI-COMET_Comparison_(Blue)59"/>
      <sheetName val="Global_OH_(Blue)59"/>
      <sheetName val="Headcount_Reconciliation_(Blu59"/>
      <sheetName val="Headcount_Trend59"/>
      <sheetName val="PL4K_Labor_Trend59"/>
      <sheetName val="3D_P&amp;L_Vs_ASPIRE_(Blue)59"/>
      <sheetName val="COMET_P&amp;L_Trend_(Blue)59"/>
      <sheetName val="COMET_P&amp;L_Trend_%_(Blue)59"/>
      <sheetName val="FY02_Adjusted_P&amp;L_(Blue)59"/>
      <sheetName val="Adjustment_DTL_(Blue)59"/>
      <sheetName val="GGM_Cap__Change_Pull59"/>
      <sheetName val="GGM_Residual_Pull59"/>
      <sheetName val="GGM_Local_OH_Pull59"/>
      <sheetName val="GGM_Allocs_Pull59"/>
      <sheetName val="GGM_Oth_Inc(Exp)_Pull59"/>
      <sheetName val="Smartcontact_Gain_Pull59"/>
      <sheetName val="GGM_Revenue_Fall_Out59"/>
      <sheetName val="GGM_Residual_Fall_Out59"/>
      <sheetName val="Global_OH_Pull59"/>
      <sheetName val="EN50_47_Global_Pull59"/>
      <sheetName val="Labor_Pull59"/>
      <sheetName val="Forecast_Accuracy_Trend59"/>
      <sheetName val="COMET_Pull59"/>
      <sheetName val="WW_P&amp;L_Table59"/>
      <sheetName val="WW_Goal_Table59"/>
      <sheetName val="GGM_CF_Pull59"/>
      <sheetName val="HPC_Region_P&amp;L_Table59"/>
      <sheetName val="HPC_Region_Goal_Table59"/>
      <sheetName val="PL_Region_P&amp;L_Table59"/>
      <sheetName val="PL_Region_Goal_Table59"/>
      <sheetName val="3D_P&amp;L_Table59"/>
      <sheetName val="Global_OH_Actuals_Table59"/>
      <sheetName val="Global_OH_Goal_Table59"/>
      <sheetName val="Geo_Hc_Actual_Table59"/>
      <sheetName val="Geo_Hc_Goal_Table59"/>
      <sheetName val="3D_ASPIRE_Table59"/>
      <sheetName val="GGM_Backlog_Table59"/>
      <sheetName val="COMET_FY01_Pull59"/>
      <sheetName val="Labor_Pull_FY0159"/>
      <sheetName val="Pull_HP_Wide59"/>
      <sheetName val="Pull_All_SFs59"/>
      <sheetName val="STD__COST59"/>
      <sheetName val="013_-_การสั่งการ57"/>
      <sheetName val="INPUT_-_Data_Table31"/>
      <sheetName val="Comet_ASPIRE28"/>
      <sheetName val="Comet_Sequential28"/>
      <sheetName val="Comet_yoy28"/>
      <sheetName val="Labour_costs27"/>
      <sheetName val="FY01_Actuals19"/>
      <sheetName val="FY00_Restated19"/>
      <sheetName val="FY01_Quota19"/>
      <sheetName val="Comet_Q202_Flash19"/>
      <sheetName val="Rooms_Table19"/>
      <sheetName val="Basic_PMM6"/>
      <sheetName val="Full_PMM6"/>
      <sheetName val="BaaN_FW476"/>
      <sheetName val="Sep_BaaN6"/>
      <sheetName val="Total Financials"/>
      <sheetName val="FCG"/>
      <sheetName val="22年计划"/>
      <sheetName val="Dates"/>
      <sheetName val="EPR"/>
      <sheetName val="VSAMS Summary"/>
      <sheetName val="Glossary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ANALISIS"/>
      <sheetName val="FP"/>
      <sheetName val="Time Dimension Lookup"/>
      <sheetName val="Q4 CURRENCY"/>
      <sheetName val="Panel"/>
      <sheetName val="Hidden"/>
      <sheetName val="通貨一覧"/>
      <sheetName val="假设"/>
      <sheetName val="FRECEFECBAILEYS"/>
      <sheetName val="Master Schedule"/>
      <sheetName val="Formulas"/>
      <sheetName val="上报资产负债表"/>
      <sheetName val="上报损益表"/>
      <sheetName val="补充表"/>
      <sheetName val="T  B"/>
      <sheetName val="Cover"/>
      <sheetName val="master"/>
      <sheetName val="Sheet2"/>
      <sheetName val="敏感参数"/>
      <sheetName val="工厂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FY03CostStructure"/>
      <sheetName val="SPESE DI MANUTENZIONE"/>
      <sheetName val="合并抵销或调整分录（1）"/>
      <sheetName val="factors"/>
      <sheetName val="EMEA_Express Service _LCL_04"/>
      <sheetName val="家属随迁费用（FS 4人）"/>
      <sheetName val="feeDetails"/>
      <sheetName val="A3 &amp; U 09-01"/>
      <sheetName val="abbr"/>
      <sheetName val="Av.Measures"/>
      <sheetName val="MUM001"/>
      <sheetName val="U1120"/>
      <sheetName val="Technical"/>
      <sheetName val="INDEXES"/>
      <sheetName val="评估增值"/>
      <sheetName val="股权结构图"/>
      <sheetName val="Key"/>
      <sheetName val="A6620 Detail"/>
      <sheetName val="N201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CUSTOMER"/>
      <sheetName val="FACILITY"/>
      <sheetName val="SERVIVEH"/>
      <sheetName val="COMPUTER"/>
      <sheetName val="ADVSYST"/>
      <sheetName val="COUADMIN"/>
      <sheetName val="ADMINFLD"/>
      <sheetName val="ADVCIT&amp;D"/>
      <sheetName val="EURSALES"/>
      <sheetName val="ADMINREB"/>
      <sheetName val="6621"/>
      <sheetName val="关联交易-存款"/>
      <sheetName val="Company Info"/>
      <sheetName val="source"/>
      <sheetName val="Centralisatie"/>
      <sheetName val="Pick Lists"/>
      <sheetName val="F_Summary"/>
      <sheetName val="W"/>
      <sheetName val="JE"/>
      <sheetName val="Vauxhall Opel 30004"/>
      <sheetName val="COA"/>
      <sheetName val="1"/>
      <sheetName val="TAB.Daten"/>
      <sheetName val="IR_Deckblatt"/>
      <sheetName val="CPF"/>
      <sheetName val="Client Data"/>
      <sheetName val="0000"/>
      <sheetName val="Variablen"/>
      <sheetName val="14.04.03"/>
      <sheetName val="analyse"/>
      <sheetName val="9100-po"/>
      <sheetName val="Reference Dictionary"/>
      <sheetName val="costos fw 52"/>
      <sheetName val="VARIABLES"/>
      <sheetName val="CHART_E"/>
      <sheetName val="Collateral"/>
      <sheetName val="CF附注"/>
      <sheetName val="XBase"/>
      <sheetName val="Setup"/>
      <sheetName val="Spec"/>
      <sheetName val="Batch Comparison Template"/>
      <sheetName val="审核总览"/>
      <sheetName val="Stats Graph Template"/>
      <sheetName val="Kautex 4WD St.IV P&amp;D"/>
      <sheetName val="Sachs FL WHL"/>
      <sheetName val="분리멀티형"/>
      <sheetName val="Quantum Stds 12-4-01"/>
      <sheetName val="Raw materials"/>
      <sheetName val="NEW003"/>
      <sheetName val="產品基本信息"/>
      <sheetName val="Chart"/>
      <sheetName val="Optimiz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NCAB"/>
      <sheetName val="3D ASPIRE Table"/>
      <sheetName val="UPPER BLOCK"/>
      <sheetName val="LRR Summary"/>
      <sheetName val="公司"/>
      <sheetName val="工厂"/>
      <sheetName val="经营体"/>
      <sheetName val="MC3(main)"/>
      <sheetName val="MC1"/>
      <sheetName val="PLALL2"/>
      <sheetName val="供应商"/>
      <sheetName val="Instructions"/>
      <sheetName val="Spec"/>
      <sheetName val="spp"/>
      <sheetName val="Table"/>
      <sheetName val="SUM14ZC1"/>
      <sheetName val="Original"/>
      <sheetName val="costos fw 52"/>
      <sheetName val="ANALI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July BaaN"/>
      <sheetName val="Aug BaaN"/>
      <sheetName val="Sep BaaN"/>
      <sheetName val="July"/>
      <sheetName val="Aug"/>
      <sheetName val="Sep"/>
      <sheetName val="Oct FW42 BaaN"/>
      <sheetName val="Quantum Stds prev"/>
      <sheetName val="po prices prev"/>
      <sheetName val="Oct Production"/>
      <sheetName val="Quantum po model"/>
      <sheetName val="Hoja1"/>
      <sheetName val="produccion Nov"/>
      <sheetName val="Quantum Stds 12-3-01"/>
      <sheetName val="International"/>
      <sheetName val="costos fw 47 BaaN"/>
      <sheetName val="po 12-3-01"/>
      <sheetName val="produccion"/>
      <sheetName val="costos fw 52"/>
      <sheetName val="details"/>
      <sheetName val="arex1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LOV"/>
      <sheetName val="UPPER BLOCK"/>
      <sheetName val="假设"/>
      <sheetName val="HDa16"/>
      <sheetName val="產品基本信息"/>
      <sheetName val="spp"/>
      <sheetName val="BaaN FW47"/>
      <sheetName val="3D ASPIRE Table"/>
      <sheetName val="Dates"/>
      <sheetName val="EPR"/>
      <sheetName val="VSAMS Summary"/>
      <sheetName val="Glossary"/>
      <sheetName val="abbr"/>
      <sheetName val="Basic PMM"/>
      <sheetName val="Full PMM"/>
      <sheetName val="FY03CostStructure"/>
      <sheetName val="Batch Comparison Template"/>
      <sheetName val="审核总览"/>
      <sheetName val="Stats Graph Template"/>
      <sheetName val="Spec"/>
      <sheetName val="NCAB"/>
      <sheetName val="Oct FW42 BaaN for G-Line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Time Dimension Lookup"/>
      <sheetName val="Chart"/>
      <sheetName val="产品"/>
      <sheetName val="Q4 CURRENCY"/>
      <sheetName val="Table"/>
      <sheetName val="Original"/>
      <sheetName val="Top Lvl  Logic"/>
      <sheetName val="Parts"/>
      <sheetName val="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Original"/>
      <sheetName val="Unidades"/>
      <sheetName val="Importe"/>
      <sheetName val="Mezcla"/>
      <sheetName val="VARFORMA"/>
      <sheetName val="Presentación"/>
      <sheetName val="produccion"/>
      <sheetName val="produccion Nov"/>
      <sheetName val="Oct Production"/>
      <sheetName val="Oct FW42 BaaN"/>
      <sheetName val="Quantum Stds 12-3-01"/>
      <sheetName val="Quantum Stds prev"/>
      <sheetName val="FP"/>
      <sheetName val="COS1"/>
      <sheetName val="FY03CostStructure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LOV"/>
      <sheetName val="k-line"/>
      <sheetName val="產品基本信息"/>
      <sheetName val="costos fw 52"/>
      <sheetName val="abbr"/>
      <sheetName val="Instructions"/>
      <sheetName val="FCG"/>
      <sheetName val="Chart"/>
      <sheetName val="MCS"/>
      <sheetName val="产品"/>
      <sheetName val="Oct FW42 BaaN for G-Line"/>
      <sheetName val="po list"/>
      <sheetName val="Foams"/>
      <sheetName val="Refrigerants"/>
      <sheetName val="Table"/>
      <sheetName val="SUM14ZC1"/>
      <sheetName val="Meas Acceptance Template"/>
      <sheetName val="Batch Comparison Template"/>
      <sheetName val="Meas Indv Template"/>
      <sheetName val="Dates"/>
      <sheetName val="EPR"/>
      <sheetName val="VSAMS Summary"/>
      <sheetName val="Glossary"/>
      <sheetName val="目标体系横轴矩阵"/>
      <sheetName val="spp"/>
      <sheetName val="Leap PO Std."/>
      <sheetName val="Quantum PO Std"/>
      <sheetName val="master PO"/>
      <sheetName val="Grid"/>
      <sheetName val="审核总览"/>
      <sheetName val="NEW003"/>
      <sheetName val="Index"/>
      <sheetName val="10. Thermal Limiter Test"/>
      <sheetName val="AR Signature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数据输入"/>
      <sheetName val="问题表"/>
      <sheetName val="评价矩阵"/>
      <sheetName val="PrGr1"/>
      <sheetName val="PrGr2"/>
      <sheetName val="PrGr3"/>
      <sheetName val="PrGr4"/>
      <sheetName val="审核报告"/>
      <sheetName val="行动计划"/>
      <sheetName val="Sheet1"/>
      <sheetName val="复评报告"/>
      <sheetName val="审核总览"/>
      <sheetName val="4 审核发现描述"/>
      <sheetName val="Sheet2"/>
      <sheetName val="PLALL"/>
      <sheetName val="Summary Data"/>
      <sheetName val="SPals"/>
      <sheetName val="Histogram"/>
      <sheetName val="AR Signature Page"/>
      <sheetName val="01_宏命令库"/>
      <sheetName val="NEW003"/>
      <sheetName val="Spec"/>
      <sheetName val="spp"/>
      <sheetName val="FY03CostStructure"/>
      <sheetName val="Instructions"/>
      <sheetName val="LRR Summary"/>
      <sheetName val="NCAB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Time Dimension Lookup"/>
      <sheetName val="产品"/>
      <sheetName val="Original"/>
      <sheetName val="FCG"/>
      <sheetName val="BaaN FW47"/>
      <sheetName val="Sep B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Quantum Stds"/>
      <sheetName val="Oct FW42 BaaN for G-Line"/>
      <sheetName val="Master"/>
      <sheetName val="23"/>
      <sheetName val="25"/>
      <sheetName val="27"/>
      <sheetName val="29"/>
      <sheetName val="Fleet Deltas"/>
      <sheetName val="2000-23"/>
      <sheetName val="2000-25"/>
      <sheetName val="2000-27"/>
      <sheetName val="2000-29"/>
      <sheetName val="Add'l Electronics"/>
      <sheetName val="Vs wo Electronics"/>
      <sheetName val="k-line"/>
      <sheetName val="Grafvta00 (2)"/>
      <sheetName val="Foams"/>
      <sheetName val="Grid"/>
      <sheetName val="Original"/>
      <sheetName val="spp"/>
      <sheetName val="FP"/>
      <sheetName val="Time Dimension Lookup"/>
      <sheetName val="URBANO P EST"/>
      <sheetName val="Comet Q202 Flash"/>
      <sheetName val="审核总览"/>
      <sheetName val="Refrigerants"/>
      <sheetName val="abbr"/>
      <sheetName val="Table"/>
      <sheetName val="COS1"/>
      <sheetName val="Sheet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產品基本信息"/>
      <sheetName val="costos fw 52"/>
      <sheetName val="NEW003"/>
      <sheetName val="FCG"/>
      <sheetName val="produccion"/>
      <sheetName val="produccion Nov"/>
      <sheetName val="Oct Production"/>
      <sheetName val="Oct FW42 BaaN"/>
      <sheetName val="Quantum Stds 12-3-01"/>
      <sheetName val="Quantum Stds prev"/>
      <sheetName val="01_宏命令库"/>
      <sheetName val="5+7 plan"/>
      <sheetName val="SUM14ZC1"/>
      <sheetName val="Q4 CURRENCY"/>
      <sheetName val="PO Pricing Model 11-15-01"/>
      <sheetName val="Leap PO Std."/>
      <sheetName val="Quantum PO Std"/>
      <sheetName val="master PO"/>
      <sheetName val="GE 2001"/>
      <sheetName val="HTP 2001"/>
      <sheetName val="Index"/>
      <sheetName val="MC3(main)"/>
      <sheetName val="MC1"/>
      <sheetName val="10. Thermal Limiter Test"/>
      <sheetName val="Planet_Ame"/>
      <sheetName val="Planet_AP"/>
      <sheetName val="Planet_EMEA"/>
      <sheetName val="Planet_OG"/>
      <sheetName val="Planet_WW"/>
      <sheetName val="QC APPROVE SHEET"/>
      <sheetName val="评价矩阵"/>
      <sheetName val="数据输入"/>
      <sheetName val="Restate"/>
      <sheetName val="行动计划"/>
      <sheetName val="po list"/>
      <sheetName val="APJSum"/>
      <sheetName val="AmeSum"/>
      <sheetName val="EMEASum"/>
      <sheetName val="HPCoSum"/>
      <sheetName val="OGSum"/>
      <sheetName val="WW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Top Lvl  Logic"/>
      <sheetName val="Process"/>
      <sheetName val="Parts"/>
      <sheetName val="FY01 Actuals"/>
      <sheetName val="FY00 Restated"/>
      <sheetName val="FY01 Quota"/>
      <sheetName val="Optimize"/>
      <sheetName val="Basic PMM"/>
      <sheetName val="Full PMM"/>
      <sheetName val="ANALISIS"/>
      <sheetName val="00"/>
      <sheetName val="tables"/>
      <sheetName val="Pull HP Wide"/>
      <sheetName val="Pull All SFs"/>
      <sheetName val="SPP current as of 1-3-01"/>
      <sheetName val="Meas Acceptance Template"/>
      <sheetName val="Batch Comparison Template"/>
      <sheetName val="Meas Indv Template"/>
      <sheetName val="PLALL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Appendix SD Tankless_DFSS_score"/>
      <sheetName val="#BEZUG"/>
      <sheetName val="Original"/>
      <sheetName val="FA-LISTING"/>
      <sheetName val="產品基本信息"/>
      <sheetName val="NEW003"/>
      <sheetName val="Spec"/>
      <sheetName val="MTL1"/>
      <sheetName val="Total Financials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Comet ASPIRE"/>
      <sheetName val="Comet Sequential"/>
      <sheetName val="Comet yoy"/>
      <sheetName val="abril"/>
      <sheetName val="april Dante"/>
      <sheetName val="June Dante"/>
      <sheetName val="junio"/>
      <sheetName val="POs"/>
      <sheetName val="mayo"/>
      <sheetName val="May Dante"/>
      <sheetName val="Oct-Mzo"/>
    </sheetNames>
    <definedNames>
      <definedName name="Print_Inventory_Package" refersTo="='#REF!'!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Tolerance Analysis"/>
      <sheetName val="Panel"/>
      <sheetName val="Resource"/>
      <sheetName val="Batch Comparison Template"/>
      <sheetName val="Stats Graph Template"/>
      <sheetName val="Meas Batch Template"/>
      <sheetName val="Meas Indv Template"/>
      <sheetName val="Meas Acceptance Template"/>
      <sheetName val="FA-LISTING"/>
      <sheetName val="AR Signature Page"/>
      <sheetName val="BaaN FW47"/>
      <sheetName val="Sep BaaN"/>
      <sheetName val="Basic PMM"/>
      <sheetName val="產品基本信息"/>
      <sheetName val="Full PMM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未闭环"/>
      <sheetName val="Summary"/>
      <sheetName val="Top Lvl  Logic"/>
      <sheetName val="Parts"/>
      <sheetName val="Process"/>
      <sheetName val="公司"/>
      <sheetName val="工厂"/>
      <sheetName val="经营体"/>
      <sheetName val="供应商"/>
      <sheetName val="Instructions"/>
      <sheetName val="tables"/>
      <sheetName val="#BEZUG"/>
      <sheetName val="Comet ASPIRE"/>
      <sheetName val="Dates"/>
      <sheetName val="EPR"/>
      <sheetName val="VSAMS Summary"/>
      <sheetName val="Glossary"/>
      <sheetName val="Comet Sequential"/>
      <sheetName val="Contents"/>
      <sheetName val="Comet yoy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価格政連"/>
      <sheetName val="提出見積(B)"/>
      <sheetName val="新事推見積(B)"/>
      <sheetName val="条件(B)"/>
      <sheetName val="構成図(B)"/>
      <sheetName val="原価(B)"/>
      <sheetName val="顧客から入手"/>
      <sheetName val="提出見積(A)"/>
      <sheetName val="新事推見積(A)"/>
      <sheetName val="条件(A)"/>
      <sheetName val="構成図(A)"/>
      <sheetName val="原価(A)"/>
      <sheetName val="2003.9.1"/>
      <sheetName val="提出見積"/>
      <sheetName val="新事推見積"/>
      <sheetName val="条件"/>
      <sheetName val="構成図"/>
      <sheetName val="原価"/>
      <sheetName val="納品10"/>
      <sheetName val="3f Volume, Mix &amp; Option rate"/>
      <sheetName val="P.2 Price Strategy"/>
      <sheetName val="2f Pricing Strategy"/>
      <sheetName val="2003_9_1"/>
      <sheetName val="装備比較"/>
      <sheetName val="LX-I4"/>
      <sheetName val="#REF!"/>
      <sheetName val="SUM14ZC1"/>
      <sheetName val="価格政連.XLS"/>
      <sheetName val="%E4%BE%A1%E6%A0%BC%E6%94%BF%E9%"/>
      <sheetName val="RecoveredExternalLink2"/>
      <sheetName val="目标体系横轴矩阵"/>
      <sheetName val="F-0002-024A"/>
      <sheetName val="F-0002-024B"/>
      <sheetName val="Change Log"/>
      <sheetName val="LOV"/>
      <sheetName val="Original"/>
      <sheetName val="Restate"/>
      <sheetName val="Histogram"/>
      <sheetName val="Spec"/>
      <sheetName val="spp"/>
      <sheetName val="GE 2001"/>
      <sheetName val="HTP 2001"/>
      <sheetName val="Sheet2"/>
      <sheetName val="2.2-5500台效率"/>
      <sheetName val="9100-PO"/>
      <sheetName val="Kautex 4WD St.IV P&amp;D"/>
      <sheetName val="Sachs FL WHL"/>
      <sheetName val="72HX"/>
      <sheetName val="75EX"/>
      <sheetName val="Total Financials"/>
      <sheetName val="72HY"/>
      <sheetName val="75EY"/>
      <sheetName val="自制件材料价格"/>
      <sheetName val="XL4Poppy"/>
      <sheetName val="분리멀티형"/>
      <sheetName val="PLALL"/>
      <sheetName val="Raw materials"/>
      <sheetName val="Original Instructions"/>
      <sheetName val="Report Index"/>
      <sheetName val="Criteria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1"/>
      <sheetName val="TSG.AP.OvH.Flash"/>
      <sheetName val="POSM"/>
      <sheetName val="Av.Measures"/>
      <sheetName val="KAM"/>
      <sheetName val="Mobile Measures"/>
      <sheetName val="Vis.M F"/>
      <sheetName val="Vis.M M"/>
      <sheetName val="Cab MAT F"/>
      <sheetName val="Cab MAT M"/>
      <sheetName val="Av_Measures"/>
      <sheetName val="评价矩阵"/>
      <sheetName val="数据输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CC"/>
      <sheetName val="Renta DW _2026"/>
      <sheetName val="Renta DW _2025 "/>
      <sheetName val="Renta DW _2024 new format "/>
      <sheetName val="2024 by account "/>
      <sheetName val="2024_ACT@ACT FX old format "/>
      <sheetName val="2026_service fee"/>
      <sheetName val="2025_service fee"/>
      <sheetName val="Service fee recharge kırınım"/>
      <sheetName val="S_ALR "/>
      <sheetName val="PLALL"/>
      <sheetName val="Total Financials"/>
      <sheetName val="4 审核发现描述"/>
      <sheetName val="SPP current as of 1-3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PLALL"/>
      <sheetName val="一级表"/>
      <sheetName val="2.1-固定资产折旧预算表-说明"/>
      <sheetName val="Q4 CURRENCY"/>
      <sheetName val="2019年发生未支付"/>
      <sheetName val="FA-LISTING"/>
      <sheetName val="请勿删除"/>
      <sheetName val="数据有效性说明"/>
      <sheetName val="Tables"/>
      <sheetName val="索引表"/>
      <sheetName val="INPUT - Data Table"/>
      <sheetName val="Instructions"/>
      <sheetName val="Total Financials"/>
      <sheetName val="Sheet2"/>
      <sheetName val="Global variables"/>
      <sheetName val="#BEZUG"/>
      <sheetName val="综合成本分析01.01-0205"/>
      <sheetName val="FY02"/>
      <sheetName val="TOTAL"/>
      <sheetName val="基础数据"/>
      <sheetName val="数据有效性引用"/>
      <sheetName val="Pull HP Wide"/>
      <sheetName val="Pull All SFs"/>
      <sheetName val="Meas Acceptance Template"/>
      <sheetName val="Batch Comparison Template"/>
      <sheetName val="Meas Indv Template"/>
      <sheetName val="Oct FW42 BaaN for G-Line"/>
      <sheetName val="po list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1"/>
      <sheetName val="9100-PO"/>
      <sheetName val="FY03CostStructure"/>
      <sheetName val="NVA-300T返品リスト"/>
      <sheetName val="_hidden出差场景"/>
      <sheetName val="公司"/>
      <sheetName val="工厂"/>
      <sheetName val="经营体"/>
      <sheetName val="供应商"/>
      <sheetName val="单元格下拉项"/>
      <sheetName val="SPEC OF ACCOUNTS"/>
      <sheetName val="p and l"/>
      <sheetName val="Input FX Rates"/>
      <sheetName val="Input Date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XL4Poppy"/>
      <sheetName val="LOV"/>
      <sheetName val="AmeSum"/>
      <sheetName val="APJSum"/>
      <sheetName val="EMEASum"/>
      <sheetName val="HPCoSum"/>
      <sheetName val="OGSum"/>
      <sheetName val="WWSum"/>
      <sheetName val="A翼写字楼"/>
      <sheetName val="投资估算表"/>
      <sheetName val="写字楼B"/>
      <sheetName val="资产品名库"/>
      <sheetName val="字典(不需输入)"/>
      <sheetName val="银行借款询证"/>
      <sheetName val="Funnel"/>
      <sheetName val="分产品销售收入、成本分析表"/>
      <sheetName val="敏感参数"/>
      <sheetName val="分类"/>
      <sheetName val="主箱蜗壳预装"/>
      <sheetName val="4 审核发现描述"/>
      <sheetName val="未闭环"/>
      <sheetName val="Tﾁｬｰﾄ"/>
      <sheetName val="Sheet3"/>
      <sheetName val="UPPER BLOCK"/>
      <sheetName val="假设"/>
      <sheetName val="Chart"/>
      <sheetName val="Quantum PO Std"/>
      <sheetName val="Leap PO Std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供应商"/>
      <sheetName val="公司"/>
      <sheetName val="工厂"/>
      <sheetName val="经营体"/>
      <sheetName val="线体"/>
      <sheetName val="#REF"/>
      <sheetName val="產品基本信息"/>
      <sheetName val="工程不良率"/>
      <sheetName val="Sheet1"/>
      <sheetName val="附件2-评价标准"/>
      <sheetName val="sheet3"/>
      <sheetName val="tables"/>
      <sheetName val="Basic PMM"/>
      <sheetName val="Full PMM"/>
      <sheetName val="APJSum"/>
      <sheetName val="AmeSum"/>
      <sheetName val="EMEASum"/>
      <sheetName val="HPCoSum"/>
      <sheetName val="OGSum"/>
      <sheetName val="WWSum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WIBLE"/>
      <sheetName val="XL4Poppy"/>
      <sheetName val="LOV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专业分类"/>
      <sheetName val="2.1备案-项目"/>
      <sheetName val="Comet ASPIRE"/>
      <sheetName val="Comet Sequential"/>
      <sheetName val="Comet yoy"/>
      <sheetName val="岗位下拉列表"/>
      <sheetName val="Pull HP Wide"/>
      <sheetName val="Pull All SFs"/>
      <sheetName val="Sheet4"/>
      <sheetName val="sheet6"/>
      <sheetName val="sheet96"/>
      <sheetName val="sheet100"/>
      <sheetName val="sheet900"/>
      <sheetName val="SUM14ZC1"/>
      <sheetName val="Instructions"/>
      <sheetName val="Safety _ P_A"/>
      <sheetName val="INPUT - Data Table"/>
      <sheetName val="PARAMETER"/>
      <sheetName val="3D ASPIRE Table"/>
      <sheetName val="HDa16"/>
      <sheetName val="说明"/>
      <sheetName val="abbr"/>
      <sheetName val="Original"/>
      <sheetName val="FCG"/>
      <sheetName val="Meas Acceptance Template"/>
      <sheetName val="Batch Comparison Template"/>
      <sheetName val="Meas Indv Template"/>
      <sheetName val="Stats Graph Template"/>
      <sheetName val="#BEZUG"/>
      <sheetName val="Dates"/>
      <sheetName val="EPR"/>
      <sheetName val="VSAMS Summary"/>
      <sheetName val="Glossary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审核总览"/>
      <sheetName val="Total Financials"/>
      <sheetName val="FA-LISTING"/>
      <sheetName val="FY03CostStructure"/>
      <sheetName val="MTL1"/>
      <sheetName val="NVA-300T返品リスト"/>
      <sheetName val="Tﾁｬｰﾄ"/>
      <sheetName val="해외MGT "/>
      <sheetName val="costos fw 52"/>
      <sheetName val="분리멀티형"/>
      <sheetName val="UPPER BLOCK"/>
      <sheetName val="Activity"/>
      <sheetName val="SPP current as of 1-3-01"/>
      <sheetName val="Top Lvl  Logic"/>
      <sheetName val="Parts"/>
      <sheetName val="Process"/>
      <sheetName val="Optimiz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heet1"/>
      <sheetName val="wd3 Comet Data Pull ud (3)"/>
      <sheetName val="wd3 Comet Data Pull ud (2)"/>
      <sheetName val="wd3 Comet Data Pull ud"/>
      <sheetName val="wd4 Comet Data Pull ud (3)"/>
      <sheetName val="wd4 Comet Data Pull ud (2)"/>
      <sheetName val="wd4 Comet Data Pull ud"/>
      <sheetName val="wd5 Comet Data Pull ud (2)"/>
      <sheetName val="wd5 Comet Data Pull ud"/>
      <sheetName val="Sheet2"/>
      <sheetName val="wd6 Comet Data Pull ud (2)"/>
      <sheetName val="wd6 Comet Data Pull ud"/>
      <sheetName val="act"/>
      <sheetName val="dtables"/>
      <sheetName val="IS_1"/>
      <sheetName val="tables"/>
      <sheetName val="orig Comet Data Pull ud"/>
      <sheetName val="fy03coststructure"/>
      <sheetName val="PLALL"/>
      <sheetName val="DIO"/>
      <sheetName val="Quantum PO Std"/>
      <sheetName val="Leap PO Std."/>
      <sheetName val="NVA-300T返品リスト"/>
      <sheetName val="Cost Saving  (24)"/>
      <sheetName val="FF-3"/>
      <sheetName val="22年计划"/>
      <sheetName val="Sheet1_(2)"/>
      <sheetName val="wd3_Comet_Data_Pull_ud_(3)"/>
      <sheetName val="wd3_Comet_Data_Pull_ud_(2)"/>
      <sheetName val="wd3_Comet_Data_Pull_ud"/>
      <sheetName val="wd4_Comet_Data_Pull_ud_(3)"/>
      <sheetName val="wd4_Comet_Data_Pull_ud_(2)"/>
      <sheetName val="wd4_Comet_Data_Pull_ud"/>
      <sheetName val="wd5_Comet_Data_Pull_ud_(2)"/>
      <sheetName val="wd5_Comet_Data_Pull_ud"/>
      <sheetName val="wd6_Comet_Data_Pull_ud_(2)"/>
      <sheetName val="wd6_Comet_Data_Pull_ud"/>
      <sheetName val="orig_Comet_Data_Pull_ud"/>
      <sheetName val="工厂"/>
      <sheetName val="KEYDATA"/>
      <sheetName val="Av.Measures"/>
      <sheetName val="Hidden"/>
      <sheetName val="Panel"/>
      <sheetName val="FY01 Actuals"/>
      <sheetName val="FY00 Restated"/>
      <sheetName val="FY01 Quota"/>
      <sheetName val="MP2006 data"/>
      <sheetName val="Pull HP Wide"/>
      <sheetName val="Pull All SFs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bizdata"/>
      <sheetName val="Spec"/>
      <sheetName val="AR Signature Page"/>
      <sheetName val="ANALISIS"/>
      <sheetName val="9100-PO"/>
      <sheetName val="Raw materials"/>
      <sheetName val="QC APPROVE SHEET"/>
      <sheetName val="Meas Acceptance Template"/>
      <sheetName val="Batch Comparison Template"/>
      <sheetName val="Meas Indv Template"/>
      <sheetName val="MTL1"/>
      <sheetName val="00"/>
      <sheetName val="WIBLE"/>
      <sheetName val="单元格下拉项"/>
      <sheetName val="Input FX Rates"/>
      <sheetName val="Input Dates"/>
      <sheetName val="Instructions"/>
      <sheetName val="FP"/>
      <sheetName val="Time Dimension Lookup"/>
      <sheetName val="Total Financials"/>
      <sheetName val="Comet ASPIRE"/>
      <sheetName val="Comet Sequential"/>
      <sheetName val="Comet yoy"/>
      <sheetName val="pl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3D ASPIRE Table"/>
      <sheetName val="资产负债表"/>
      <sheetName val="资产负债表汇编"/>
      <sheetName val="A翼写字楼"/>
      <sheetName val="FCG"/>
      <sheetName val="面积指标"/>
      <sheetName val="SPals"/>
      <sheetName val="Ame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项目表-跟进项目"/>
      <sheetName val="发吉豪"/>
      <sheetName val="Chart"/>
      <sheetName val="Sheet1"/>
      <sheetName val="Foams"/>
      <sheetName val="Refrigerants"/>
      <sheetName val="评价矩阵"/>
      <sheetName val="数据输入"/>
      <sheetName val="ANALISIS"/>
      <sheetName val="Optimize"/>
      <sheetName val="BaaN FW47"/>
      <sheetName val="Sep BaaN"/>
      <sheetName val="Summary"/>
      <sheetName val="Top Lvl  Logic"/>
      <sheetName val="Parts"/>
      <sheetName val="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4BLOCK"/>
      <sheetName val="DCRR Model"/>
      <sheetName val="AR Signature Page"/>
      <sheetName val="abbreviations"/>
      <sheetName val="FY01 Actuals"/>
      <sheetName val="FY00 Restated"/>
      <sheetName val="FY01 Quota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Optimize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Pull HP Wide"/>
      <sheetName val="Pull All SFs"/>
      <sheetName val="Meas Acceptance Template"/>
      <sheetName val="Batch Comparison Template"/>
      <sheetName val="Meas Indv Template"/>
      <sheetName val="APJSum"/>
      <sheetName val="AmeSum"/>
      <sheetName val="EMEASum"/>
      <sheetName val="HPCoSum"/>
      <sheetName val="OGSum"/>
      <sheetName val="WWSum"/>
      <sheetName val="Spec"/>
      <sheetName val="FCG"/>
      <sheetName val="LRR Summary"/>
      <sheetName val="ANALISIS"/>
      <sheetName val="Summary"/>
      <sheetName val="Top Lvl  Logic"/>
      <sheetName val="Parts"/>
      <sheetName val="Process"/>
      <sheetName val="LOV"/>
      <sheetName val="FP"/>
      <sheetName val="Time Dimension Lookup"/>
      <sheetName val="BaaN FW47"/>
      <sheetName val="Sep BaaN"/>
      <sheetName val="工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Renta CK TOTAL_2025"/>
      <sheetName val="PLALL"/>
      <sheetName val="BaaN FW47"/>
      <sheetName val="Sep BaaN"/>
      <sheetName val="AR Signature Page"/>
      <sheetName val="APJSum"/>
      <sheetName val="AmeSum"/>
      <sheetName val="EMEASum"/>
      <sheetName val="HPCoSum"/>
      <sheetName val="OGSum"/>
      <sheetName val="WW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Basic PMM"/>
      <sheetName val="Full PMM"/>
      <sheetName val="AR Signature Page"/>
      <sheetName val="Summary"/>
      <sheetName val="Top Lvl  Logic"/>
      <sheetName val="Parts"/>
      <sheetName val="Proces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Optimize"/>
      <sheetName val="Comet ASPIRE"/>
      <sheetName val="Comet Sequential"/>
      <sheetName val="Comet yoy"/>
      <sheetName val="公司"/>
      <sheetName val="工厂"/>
      <sheetName val="经营体"/>
      <sheetName val="供应商"/>
      <sheetName val="Spec"/>
      <sheetName val="Pull HP Wide"/>
      <sheetName val="Pull All SFs"/>
      <sheetName val="FY01 Actuals"/>
      <sheetName val="FY00 Restated"/>
      <sheetName val="FY01 Quota"/>
      <sheetName val="Dates"/>
      <sheetName val="EPR"/>
      <sheetName val="VSAMS Summary"/>
      <sheetName val="Glossary"/>
      <sheetName val="Batch Comparison Template"/>
      <sheetName val="Stats Graph Templat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Capella UI SOP B"/>
      <sheetName val="ANALISIS"/>
      <sheetName val="AmeSum"/>
      <sheetName val="APJSum"/>
      <sheetName val="EMEASum"/>
      <sheetName val="HPCoSum"/>
      <sheetName val="OGSum"/>
      <sheetName val="WW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CC"/>
      <sheetName val="Renta DW _2026"/>
      <sheetName val="Renta DW _2025 "/>
      <sheetName val="Renta DW _2024 new format "/>
      <sheetName val="2024 by account "/>
      <sheetName val="2024_ACT@ACT FX old format "/>
      <sheetName val="2026_service fee"/>
      <sheetName val="2025_service fee"/>
      <sheetName val="Service fee recharge kırınım"/>
      <sheetName val="S_ALR "/>
      <sheetName val="APJSum"/>
      <sheetName val="AmeSum"/>
      <sheetName val="EMEASum"/>
      <sheetName val="HPCoSum"/>
      <sheetName val="OGSum"/>
      <sheetName val="WWSum"/>
      <sheetName val="Batch Comparison Template"/>
      <sheetName val="Stats Graph Template"/>
      <sheetName val="BaaN FW47"/>
      <sheetName val="Sep BaaN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Questions"/>
      <sheetName val="4BLOCK"/>
      <sheetName val="DCRR Model"/>
      <sheetName val="Adj Vol Forecast"/>
      <sheetName val="Sheet1"/>
      <sheetName val="GE Standard"/>
      <sheetName val="Koito Custom-made"/>
      <sheetName val="Koito Export"/>
      <sheetName val="AR Signature Page"/>
      <sheetName val="abbr"/>
      <sheetName val="abbreviations"/>
      <sheetName val="BaaN FW47"/>
      <sheetName val="Sep BaaN"/>
      <sheetName val="工厂"/>
      <sheetName val="spp"/>
      <sheetName val="Dates"/>
      <sheetName val="EPR"/>
      <sheetName val="VSAMS Summary"/>
      <sheetName val="Glossary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Basic PMM"/>
      <sheetName val="Full PMM"/>
      <sheetName val="Summary"/>
      <sheetName val="Top Lvl  Logic"/>
      <sheetName val="Parts"/>
      <sheetName val="Process"/>
      <sheetName val="AmeSum"/>
      <sheetName val="FP"/>
      <sheetName val="Time Dimension Lookup"/>
      <sheetName val="APJSum"/>
      <sheetName val="EMEASum"/>
      <sheetName val="HPCoSum"/>
      <sheetName val="OGSum"/>
      <sheetName val="WWSum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Table"/>
      <sheetName val="Contents"/>
      <sheetName val="Foams"/>
      <sheetName val="Refrigerants"/>
      <sheetName val="Instructions"/>
      <sheetName val="产品"/>
      <sheetName val="Batch Comparison Template"/>
      <sheetName val="3D ASPIRE Table"/>
      <sheetName val="L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LOV"/>
      <sheetName val="DIO"/>
      <sheetName val="分产品销售收入、成本分析表"/>
      <sheetName val="Pull HP Wide"/>
      <sheetName val="Pull All SFs"/>
      <sheetName val="FY01 Actuals"/>
      <sheetName val="FY00 Restated"/>
      <sheetName val="FY01 Quota"/>
      <sheetName val="APJSum"/>
      <sheetName val="AmeSum"/>
      <sheetName val="EMEASum"/>
      <sheetName val="HPCoSum"/>
      <sheetName val="OGSum"/>
      <sheetName val="WWSum"/>
      <sheetName val="BaaN FW47"/>
      <sheetName val="Sep BaaN"/>
      <sheetName val="Comet ASPIRE"/>
      <sheetName val="Comet Sequential"/>
      <sheetName val="Comet yoy"/>
      <sheetName val="WIBLE"/>
      <sheetName val="NVA-300T返品リスト"/>
      <sheetName val="3D ASPIRE Table"/>
      <sheetName val="设计变更"/>
      <sheetName val="co_code"/>
      <sheetName val="tables"/>
      <sheetName val="Original"/>
      <sheetName val="Global variables"/>
      <sheetName val="FP"/>
      <sheetName val="COS1"/>
      <sheetName val="COS2"/>
      <sheetName val="COS3"/>
      <sheetName val="COS4"/>
      <sheetName val="PL1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Hidden"/>
      <sheetName val="WW funnel_Dec 5"/>
      <sheetName val="家属随迁费用（FS 4人）"/>
      <sheetName val="feeDetails"/>
      <sheetName val="GWL-RUNING"/>
      <sheetName val="SUPPORT-JPN"/>
      <sheetName val="B"/>
      <sheetName val="FCG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Basic PMM"/>
      <sheetName val="Full PMM"/>
      <sheetName val="Top Lvl  Logic"/>
      <sheetName val="Parts"/>
      <sheetName val="Process"/>
      <sheetName val="Spec"/>
      <sheetName val="Q4 CURRENCY"/>
      <sheetName val="Meas Acceptance Template"/>
      <sheetName val="Batch Comparison Template"/>
      <sheetName val="Meas Indv Template"/>
      <sheetName val="工厂"/>
      <sheetName val="產品基本信息"/>
      <sheetName val="AR Signature Page"/>
      <sheetName val="Stats Graph Template"/>
      <sheetName val="Instructions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MCS"/>
      <sheetName val="abbr"/>
      <sheetName val="Funnel"/>
      <sheetName val="Time Dimension Lookup"/>
      <sheetName val="通貨一覧"/>
      <sheetName val="Customize Your Invoice"/>
      <sheetName val="FY03CostStructure"/>
      <sheetName val="假设"/>
      <sheetName val="p and l"/>
      <sheetName val="Comet Q202 Flash"/>
      <sheetName val="Input FX Rates"/>
      <sheetName val="Input Dates"/>
      <sheetName val="pl"/>
      <sheetName val="Raw materials"/>
      <sheetName val="Restate"/>
      <sheetName val="面积指标"/>
      <sheetName val="PLALL2"/>
      <sheetName val="选择报表"/>
      <sheetName val="敏感详细分析"/>
      <sheetName val="投资估算表"/>
      <sheetName val="三分厂04年1-12月销售价 "/>
      <sheetName val="05年1月销售价"/>
      <sheetName val="04年12月销售价"/>
      <sheetName val="A翼写字楼"/>
      <sheetName val="Summary Data"/>
      <sheetName val="Table"/>
      <sheetName val="Bridge"/>
      <sheetName val="Table of Cont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FP"/>
      <sheetName val="COVER PAGE"/>
      <sheetName val="Table of Contents"/>
      <sheetName val="Recon"/>
      <sheetName val="SUMMARY"/>
      <sheetName val="SUMMARY (EXPD)"/>
      <sheetName val="SUMMARY (%)"/>
      <sheetName val="Bridge"/>
      <sheetName val="PL1"/>
      <sheetName val="PL2"/>
      <sheetName val="PL3"/>
      <sheetName val="PL4"/>
      <sheetName val="QTD TO GO"/>
      <sheetName val="Linearity"/>
      <sheetName val="Linearity Chart"/>
      <sheetName val="Rev-GM Detail 1"/>
      <sheetName val="Rev-GM Detail 2"/>
      <sheetName val="COS1"/>
      <sheetName val="COS2"/>
      <sheetName val="COS3"/>
      <sheetName val="COS4"/>
      <sheetName val="Rev Trend"/>
      <sheetName val="Rev Mix Trend"/>
      <sheetName val="GM Trend"/>
      <sheetName val="GM% Trend"/>
      <sheetName val="NP Trend"/>
      <sheetName val="DIO"/>
      <sheetName val="APJSum"/>
      <sheetName val="AmeSum"/>
      <sheetName val="EMEASum"/>
      <sheetName val="HPCoSum"/>
      <sheetName val="OGSum"/>
      <sheetName val="WWSum"/>
      <sheetName val="NVA-300T返品リスト"/>
      <sheetName val="Pull HP Wide"/>
      <sheetName val="Pull All SFs"/>
      <sheetName val="公司"/>
      <sheetName val="工厂"/>
      <sheetName val="经营体"/>
      <sheetName val="供应商"/>
      <sheetName val="Basic PMM"/>
      <sheetName val="Full PMM"/>
      <sheetName val="Comet ASPIRE"/>
      <sheetName val="LOV"/>
      <sheetName val="Comet Sequential"/>
      <sheetName val="Comet yoy"/>
      <sheetName val="Instructions"/>
      <sheetName val="Data"/>
      <sheetName val="22年计划"/>
      <sheetName val="COVER_PAGE"/>
      <sheetName val="Table_of_Contents"/>
      <sheetName val="SUMMARY_(EXPD)"/>
      <sheetName val="SUMMARY_(%)"/>
      <sheetName val="QTD_TO_GO"/>
      <sheetName val="Linearity_Chart"/>
      <sheetName val="Rev-GM_Detail_1"/>
      <sheetName val="Rev-GM_Detail_2"/>
      <sheetName val="Rev_Trend"/>
      <sheetName val="Rev_Mix_Trend"/>
      <sheetName val="GM_Trend"/>
      <sheetName val="GM%_Trend"/>
      <sheetName val="NP_Trend"/>
      <sheetName val="產品基本信息"/>
      <sheetName val="Sheet1"/>
      <sheetName val="AFEMAI"/>
      <sheetName val="KEY"/>
      <sheetName val="Av.Measures"/>
      <sheetName val="PL Compares w Flash BCS"/>
      <sheetName val="3D ASPIRE Table"/>
      <sheetName val="FY03CostStructure"/>
      <sheetName val="SETUP"/>
      <sheetName val="2-Incumbents"/>
      <sheetName val="Rates"/>
      <sheetName val="Spec"/>
      <sheetName val="5+7 plan"/>
      <sheetName val="FY01 Actuals"/>
      <sheetName val="FY00 Restated"/>
      <sheetName val="FY01 Quota"/>
      <sheetName val="BaaN FW47"/>
      <sheetName val="Sep BaaN"/>
      <sheetName val="Top Lvl  Logic"/>
      <sheetName val="Parts"/>
      <sheetName val="Process"/>
      <sheetName val="Batch Comparison Template"/>
      <sheetName val="Stats Graph Template"/>
      <sheetName val="Q4 CURRENCY"/>
      <sheetName val=""/>
      <sheetName val="MCS"/>
      <sheetName val="假设"/>
      <sheetName val="Funnel"/>
      <sheetName val="tables"/>
      <sheetName val="Time Dimension Lookup"/>
      <sheetName val="业务类型"/>
      <sheetName val="p and l"/>
      <sheetName val="Total Financials"/>
      <sheetName val="FCG"/>
      <sheetName val="分产品销售收入、成本分析表"/>
      <sheetName val="Planet_Ame"/>
      <sheetName val="Planet_AP"/>
      <sheetName val="Planet_EMEA"/>
      <sheetName val="Planet_OG"/>
      <sheetName val="Planet_WW"/>
      <sheetName val="面积指标"/>
      <sheetName val="投资估算表"/>
      <sheetName val="资产负债表汇编"/>
      <sheetName val="abbr"/>
      <sheetName val="Dates"/>
      <sheetName val="审核总览"/>
      <sheetName val="costos fw 52"/>
      <sheetName val="EPR"/>
      <sheetName val="VSAMS Summary"/>
      <sheetName val="Glossary"/>
      <sheetName val="spp"/>
      <sheetName val="UPPER BLOCK"/>
      <sheetName val="분리멀티형"/>
      <sheetName val="自制件材料价格"/>
      <sheetName val="XL4Poppy"/>
      <sheetName val="Tﾁｬｰﾄ"/>
      <sheetName val="produccion"/>
      <sheetName val="produccion Nov"/>
      <sheetName val="Oct Production"/>
      <sheetName val="Oct FW42 BaaN"/>
      <sheetName val="Quantum Stds 12-3-01"/>
      <sheetName val="Quantum Stds prev"/>
      <sheetName val="产品"/>
      <sheetName val="Commercial Benefits"/>
      <sheetName val="Inc_DCRR by Yr"/>
      <sheetName val="Program Inputs"/>
      <sheetName val="Fixed calculations"/>
      <sheetName val="Chart"/>
      <sheetName val="Depreciation Tables"/>
      <sheetName val="Floor Loads"/>
      <sheetName val="Inc_DCRR by Q"/>
      <sheetName val="SKU Data Input"/>
      <sheetName val="O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s "/>
      <sheetName val="封面"/>
      <sheetName val="审核总览"/>
      <sheetName val="工厂图片"/>
      <sheetName val="短期整改清单清单"/>
      <sheetName val="质量体系"/>
      <sheetName val="Mgnt Systems &amp; Planning"/>
      <sheetName val="NPI"/>
      <sheetName val="Process Controls"/>
      <sheetName val="Sourcing"/>
      <sheetName val="Fin &amp; Mat Control"/>
      <sheetName val="Definition"/>
      <sheetName val="Objective Evidence"/>
      <sheetName val="FY01 Actuals"/>
      <sheetName val="FY00 Restated"/>
      <sheetName val="FY01 Quota"/>
      <sheetName val="MCS"/>
      <sheetName val="黄岛厨电0813"/>
      <sheetName val="3D ASPIRE Table"/>
      <sheetName val="Sheet1"/>
      <sheetName val="公司"/>
      <sheetName val="工厂"/>
      <sheetName val="经营体"/>
      <sheetName val="供应商"/>
      <sheetName val="LOV"/>
      <sheetName val="abbr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FY03CostStructure"/>
      <sheetName val="AmeSum"/>
      <sheetName val="產品基本信息"/>
      <sheetName val="APJSum"/>
      <sheetName val="EMEASum"/>
      <sheetName val="HPCoSum"/>
      <sheetName val="OGSum"/>
      <sheetName val="WWSum"/>
      <sheetName val="Setup"/>
      <sheetName val="Global variables"/>
      <sheetName val="Grafvta00 (2)"/>
      <sheetName val="SUM14ZC1"/>
      <sheetName val="AR Signature Page"/>
      <sheetName val="Oct FW42 BaaN for G-Line"/>
      <sheetName val="Chart"/>
      <sheetName val="Batch Comparison Template"/>
      <sheetName val="Stats Graph Template"/>
      <sheetName val="Sheet2"/>
      <sheetName val="未闭环"/>
      <sheetName val="Funnel"/>
      <sheetName val="Index"/>
      <sheetName val="10. Thermal Limiter Test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BaaN FW47"/>
      <sheetName val="Sep BaaN"/>
      <sheetName val="Basic PMM"/>
      <sheetName val="Full PMM"/>
      <sheetName val="Instructions"/>
      <sheetName val="Q4 CURRENCY"/>
      <sheetName val="NVA-300T返品リスト"/>
      <sheetName val="Foams"/>
      <sheetName val="Refrigerants"/>
      <sheetName val="PO File 2002"/>
      <sheetName val="PO File 2002 Final"/>
      <sheetName val="Original"/>
      <sheetName val="MTL1"/>
      <sheetName val="tables"/>
      <sheetName val="Dates"/>
      <sheetName val="EPR"/>
      <sheetName val="VSAMS Summary"/>
      <sheetName val="Glossary"/>
      <sheetName val="Contents"/>
      <sheetName val="Total Financials"/>
      <sheetName val="MC3(main)"/>
      <sheetName val="MC1"/>
      <sheetName val="LRR Summary"/>
      <sheetName val="PLALL2"/>
      <sheetName val="数据输入"/>
      <sheetName val="行动计划"/>
      <sheetName val="Spec"/>
      <sheetName val="Time Dimension 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CLAIM"/>
      <sheetName val="Original"/>
      <sheetName val="FY03CostStructure"/>
      <sheetName val="公司"/>
      <sheetName val="工厂"/>
      <sheetName val="经营体"/>
      <sheetName val="供应商"/>
      <sheetName val="3D ASPIRE Table"/>
      <sheetName val="Leap PO Std."/>
      <sheetName val="Quantum PO Std"/>
      <sheetName val="Summary"/>
      <sheetName val="master PO"/>
      <sheetName val="produccion"/>
      <sheetName val="produccion Nov"/>
      <sheetName val="Oct Production"/>
      <sheetName val="Oct FW42 BaaN"/>
      <sheetName val="Quantum Stds 12-3-01"/>
      <sheetName val="Quantum Stds prev"/>
      <sheetName val="Instructions"/>
      <sheetName val="审核总览"/>
      <sheetName val="FP"/>
      <sheetName val="Time Dimension Lookup"/>
      <sheetName val="LOV"/>
      <sheetName val="Table"/>
      <sheetName val="Launch Costs TMNF"/>
      <sheetName val="April Antonio"/>
      <sheetName val="产品"/>
      <sheetName val="Oct FW42 BaaN for G-Line"/>
      <sheetName val="po list"/>
      <sheetName val="costos fw 52"/>
      <sheetName val="GE 2001"/>
      <sheetName val="HTP 2001"/>
      <sheetName val="spp"/>
      <sheetName val="Chart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数据输入"/>
      <sheetName val="LRR Summary"/>
      <sheetName val="行动计划"/>
      <sheetName val="Q4 CURREN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PPD"/>
      <sheetName val="DvsA"/>
      <sheetName val="WWHQ "/>
      <sheetName val="FY03CostStructure"/>
      <sheetName val="FY03P&amp;L"/>
      <sheetName val="Summary"/>
      <sheetName val="XL4Poppy"/>
      <sheetName val="APJSum"/>
      <sheetName val="AmeSum"/>
      <sheetName val="EMEASum"/>
      <sheetName val="HPCoSum"/>
      <sheetName val="OGSum"/>
      <sheetName val="WWSum"/>
      <sheetName val="Comet ASPIRE"/>
      <sheetName val="Comet Sequential"/>
      <sheetName val="Comet yoy"/>
      <sheetName val="DIO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abbr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WIBLE"/>
      <sheetName val="LOV"/>
      <sheetName val="22年计划"/>
      <sheetName val="WWHQ_"/>
      <sheetName val="Input FX Rates"/>
      <sheetName val="Input Dates"/>
      <sheetName val="津贴"/>
      <sheetName val="Av.Measures"/>
      <sheetName val="Q4Report"/>
      <sheetName val="COMPON"/>
      <sheetName val="BILLCONT"/>
      <sheetName val="公司"/>
      <sheetName val="工厂"/>
      <sheetName val="经营体"/>
      <sheetName val="供应商"/>
      <sheetName val="3D ASPIRE Table"/>
      <sheetName val="PLALL"/>
      <sheetName val="Foams"/>
      <sheetName val="Grid"/>
      <sheetName val="AR Signature Page"/>
      <sheetName val="LRR Summary"/>
      <sheetName val="분리멀티형"/>
      <sheetName val="Refrigerants"/>
      <sheetName val="BaaN FW47"/>
      <sheetName val="Sep BaaN"/>
      <sheetName val="未闭环"/>
      <sheetName val="Time Dimension Lookup"/>
      <sheetName val="Rates"/>
      <sheetName val="Input area"/>
      <sheetName val="Q4 CURRENCY"/>
      <sheetName val="SPals"/>
      <sheetName val="p and l"/>
      <sheetName val="分产品销售收入、成本分析表"/>
      <sheetName val="Restate"/>
      <sheetName val="面积指标"/>
      <sheetName val="A翼写字楼"/>
      <sheetName val="资产负债表"/>
      <sheetName val="敏感参数"/>
      <sheetName val="Pull HP Wide"/>
      <sheetName val="Pull All SFs"/>
      <sheetName val="Instructions"/>
      <sheetName val="Basic PMM"/>
      <sheetName val="Full PMM"/>
      <sheetName val="MC3(main)"/>
      <sheetName val="MC1"/>
      <sheetName val="Index"/>
      <sheetName val="10. Thermal Limiter Test"/>
      <sheetName val="审核总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CURRENCY (2)"/>
      <sheetName val="Q4 CURRENCY"/>
      <sheetName val="APJSum"/>
      <sheetName val="AmeSum"/>
      <sheetName val="EMEASum"/>
      <sheetName val="HPCoSum"/>
      <sheetName val="OGSum"/>
      <sheetName val="WWSum"/>
      <sheetName val="Raw materials"/>
      <sheetName val="SUM14ZC1"/>
      <sheetName val="LOV"/>
      <sheetName val="DIO"/>
      <sheetName val="Funnel"/>
      <sheetName val="CURRQ4V2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Time Dimension Lookup"/>
      <sheetName val="FY01 Actuals"/>
      <sheetName val="FY00 Restated"/>
      <sheetName val="FY01 Quota"/>
      <sheetName val="CURRENCY_(2)"/>
      <sheetName val="Q4_CURRENCY"/>
      <sheetName val="产品"/>
      <sheetName val="SPals"/>
      <sheetName val="MCS"/>
      <sheetName val="Comet ASPIRE"/>
      <sheetName val="Comet Sequential"/>
      <sheetName val="Comet yoy"/>
      <sheetName val="N- Level"/>
      <sheetName val="原始数据"/>
      <sheetName val="Av.Measures"/>
      <sheetName val="审核总览"/>
      <sheetName val="Comet Q202 Flash"/>
      <sheetName val="3D ASPIRE Table"/>
      <sheetName val="Sheet1"/>
      <sheetName val="Spec"/>
      <sheetName val="Batch Comparison Template"/>
      <sheetName val="Stats Graph Template"/>
      <sheetName val="QC APPROVE SHEET"/>
      <sheetName val="Foams"/>
      <sheetName val="Grid"/>
      <sheetName val="Original"/>
      <sheetName val="Chart"/>
      <sheetName val="Table"/>
      <sheetName val="Instructions"/>
      <sheetName val="01_宏命令库"/>
      <sheetName val="HTP 2001"/>
      <sheetName val="produccion"/>
      <sheetName val="produccion Nov"/>
      <sheetName val="Oct Production"/>
      <sheetName val="Oct FW42 BaaN"/>
      <sheetName val="Quantum Stds 12-3-01"/>
      <sheetName val="Quantum Stds prev"/>
      <sheetName val="NEW003"/>
      <sheetName val="假设"/>
      <sheetName val="Planet_Ame"/>
      <sheetName val="Planet_AP"/>
      <sheetName val="Planet_EMEA"/>
      <sheetName val="Planet_OG"/>
      <sheetName val="Planet_WW"/>
      <sheetName val="Tables"/>
      <sheetName val="Administrative"/>
      <sheetName val="津贴"/>
      <sheetName val="PLALL"/>
      <sheetName val="PLALL2"/>
      <sheetName val="面积指标"/>
      <sheetName val="三分厂04年1-12月销售价 "/>
      <sheetName val="05年1月销售价"/>
      <sheetName val="04年12月销售价"/>
      <sheetName val="选择报表"/>
      <sheetName val="写字楼B"/>
      <sheetName val="BALANCE SHEET"/>
      <sheetName val="Kautex 4WD St.IV P&amp;D"/>
      <sheetName val="Sachs FL WHL"/>
      <sheetName val="EPR &amp; LRR"/>
      <sheetName val="분리멀티형"/>
      <sheetName val="数据输入"/>
      <sheetName val="LRR Summary"/>
      <sheetName val="行动计划"/>
      <sheetName val="RecoveredExternalLink30"/>
    </sheetNames>
    <definedNames>
      <definedName name="drawing_toolba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L-MTD"/>
      <sheetName val="PL-YTD"/>
      <sheetName val="PLALL"/>
      <sheetName val="FCG"/>
      <sheetName val="WIBLE"/>
      <sheetName val="公司"/>
      <sheetName val="工厂"/>
      <sheetName val="经营体"/>
      <sheetName val="供应商"/>
      <sheetName val="LOV"/>
      <sheetName val="3D ASPIRE Table"/>
      <sheetName val="DIO"/>
      <sheetName val="假设"/>
      <sheetName val="Original"/>
      <sheetName val="Safety _ P_A"/>
      <sheetName val="FP"/>
      <sheetName val="Time Dimension Lookup"/>
      <sheetName val="审核总览"/>
      <sheetName val="MCS"/>
      <sheetName val="FY03CostStructure"/>
      <sheetName val="Funnel"/>
      <sheetName val="APJSum"/>
      <sheetName val="AmeSum"/>
      <sheetName val="EMEASum"/>
      <sheetName val="HPCoSum"/>
      <sheetName val="OGSum"/>
      <sheetName val="WWSum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Pull HP Wide"/>
      <sheetName val="Pull All SFs"/>
      <sheetName val="Setup"/>
      <sheetName val="Sales Seasonality by Month"/>
      <sheetName val="source"/>
      <sheetName val="B"/>
      <sheetName val="2-Incumbents"/>
      <sheetName val="Orders by Product Line_May"/>
      <sheetName val="MENU"/>
      <sheetName val="Q4 CURRENCY"/>
      <sheetName val="Instructions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Sheet3"/>
      <sheetName val="Comet Q202 Flash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PO File 2002"/>
      <sheetName val="PO File 2002 Final"/>
      <sheetName val="costos fw 52"/>
      <sheetName val="produccion"/>
      <sheetName val="produccion Nov"/>
      <sheetName val="Oct Production"/>
      <sheetName val="Oct FW42 BaaN"/>
      <sheetName val="Quantum Stds 12-3-01"/>
      <sheetName val="Quantum Stds prev"/>
      <sheetName val="NEW003"/>
      <sheetName val="Spec"/>
      <sheetName val="Sales Units (3)"/>
      <sheetName val="评价矩阵"/>
      <sheetName val="数据输入"/>
      <sheetName val="SPals"/>
      <sheetName val="Summary Data"/>
      <sheetName val="Total Financials"/>
      <sheetName val="hiddenOptionsSheet"/>
      <sheetName val="Consolidated NEW"/>
      <sheetName val="p and l"/>
      <sheetName val="Restate"/>
      <sheetName val="Planet_Ame"/>
      <sheetName val="Planet_AP"/>
      <sheetName val="Planet_EMEA"/>
      <sheetName val="Planet_OG"/>
      <sheetName val="Planet_WW"/>
      <sheetName val="面积指标"/>
      <sheetName val="投资估算表"/>
      <sheetName val="List"/>
      <sheetName val="產品基本信息"/>
      <sheetName val="Index"/>
      <sheetName val="MC3(main)"/>
      <sheetName val="MC1"/>
      <sheetName val="10. Thermal Limiter Test"/>
      <sheetName val="spp"/>
      <sheetName val="Foams"/>
      <sheetName val="Grid"/>
      <sheetName val="目标体系横轴矩阵"/>
      <sheetName val="未闭环"/>
      <sheetName val="5+7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Case"/>
      <sheetName val="VIP"/>
      <sheetName val="Compressor"/>
      <sheetName val="Condenser"/>
      <sheetName val="Evaporator"/>
      <sheetName val="Energy"/>
      <sheetName val="Foams"/>
      <sheetName val="Class"/>
      <sheetName val="EnergyCalculator"/>
      <sheetName val="R134aProps"/>
      <sheetName val="Grid"/>
      <sheetName val="Time History"/>
      <sheetName val="Grid Behavior"/>
      <sheetName val="Grid Sim"/>
      <sheetName val="Slawek"/>
      <sheetName val="Validation"/>
      <sheetName val="Heatleak method_validation"/>
      <sheetName val="Ansys_setup"/>
      <sheetName val="VIP_validation_1x1"/>
      <sheetName val="VIP_validation_16x16"/>
      <sheetName val="VIP_8x16_CP16x16"/>
      <sheetName val="AP5_VIP"/>
      <sheetName val="5+7 plan"/>
      <sheetName val="FCG"/>
      <sheetName val="spp"/>
      <sheetName val="FP"/>
      <sheetName val="Time Dimension Lookup"/>
      <sheetName val="审核总览"/>
      <sheetName val="MCS"/>
      <sheetName val="Original"/>
      <sheetName val="Restate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Sheet1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FY03CostStructure"/>
      <sheetName val="abbr"/>
      <sheetName val="Q4 CURRENCY"/>
      <sheetName val="Table"/>
      <sheetName val="评价矩阵"/>
      <sheetName val="数据输入"/>
      <sheetName val="NEW003"/>
      <sheetName val="분리멀티형"/>
      <sheetName val="Spec"/>
      <sheetName val="Quantum Stds 12-4-01"/>
      <sheetName val="Raw materials"/>
      <sheetName val="Refrigerants"/>
      <sheetName val="Index"/>
      <sheetName val="10. Thermal Limiter Test"/>
      <sheetName val="LRR Summary"/>
      <sheetName val="行动计划"/>
      <sheetName val="NCAB"/>
      <sheetName val="PLALL2"/>
      <sheetName val="produccion"/>
      <sheetName val="Oct FW42 BaaN for G-Line"/>
      <sheetName val="produccion Nov"/>
      <sheetName val="Oct Production"/>
      <sheetName val="Oct FW42 BaaN"/>
      <sheetName val="Quantum Stds 12-3-01"/>
      <sheetName val="Quantum Stds prev"/>
      <sheetName val="產品基本信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Compressor"/>
      <sheetName val="Refrigerants"/>
      <sheetName val="Foams"/>
      <sheetName val="notes"/>
      <sheetName val="SxS Polar Base"/>
      <sheetName val="SxS Polar 25.75"/>
      <sheetName val="SxS Polar 26.75"/>
      <sheetName val="SxS Polar 27.75"/>
      <sheetName val="SxS Polar 28.75"/>
      <sheetName val="Chart Data"/>
      <sheetName val="Dimensions"/>
      <sheetName val="Chart2"/>
      <sheetName val="26P"/>
      <sheetName val="Sheet1"/>
      <sheetName val="Grid"/>
      <sheetName val="costos fw 52"/>
      <sheetName val="FP"/>
      <sheetName val="Time Dimension Lookup"/>
      <sheetName val="MCS"/>
      <sheetName val="72HX"/>
      <sheetName val="75EX"/>
      <sheetName val="Total Financials"/>
      <sheetName val="72HY"/>
      <sheetName val="75EY"/>
      <sheetName val="5+7 plan"/>
      <sheetName val="FY03CostStructure"/>
      <sheetName val="Q4 CURRENCY"/>
      <sheetName val="Kodiak SXS Road Map DEFINE FFFZ"/>
      <sheetName val="HTP 2001"/>
      <sheetName val="Funnel"/>
      <sheetName val="spp"/>
      <sheetName val="Original"/>
      <sheetName val="Safety _ P_A"/>
      <sheetName val="Summary Data"/>
      <sheetName val="数据输入"/>
      <sheetName val="行动计划"/>
      <sheetName val="FCG"/>
      <sheetName val="k-line"/>
      <sheetName val="Grafvta00 (2)"/>
      <sheetName val="Index"/>
      <sheetName val="10. Thermal Limiter Test"/>
      <sheetName val="產品基本信息"/>
      <sheetName val="Planet_Ame"/>
      <sheetName val="Planet_AP"/>
      <sheetName val="Planet_EMEA"/>
      <sheetName val="Planet_OG"/>
      <sheetName val="Planet_WW"/>
      <sheetName val="Oct FW42 BaaN for G-Line"/>
      <sheetName val="po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供应商"/>
      <sheetName val="公司"/>
      <sheetName val="工厂"/>
      <sheetName val="经营体"/>
      <sheetName val="线体"/>
      <sheetName val="產品基本信息"/>
      <sheetName val="Basic PMM"/>
      <sheetName val="Full PMM"/>
      <sheetName val="Comet ASPIRE"/>
      <sheetName val="Comet Sequential"/>
      <sheetName val="Comet yoy"/>
      <sheetName val="produccion"/>
      <sheetName val="produccion Nov"/>
      <sheetName val="Oct Production"/>
      <sheetName val="Oct FW42 BaaN"/>
      <sheetName val="Quantum Stds 12-3-01"/>
      <sheetName val="Quantum Stds prev"/>
      <sheetName val="APJSum"/>
      <sheetName val="AmeSum"/>
      <sheetName val="EMEASum"/>
      <sheetName val="HPCoSum"/>
      <sheetName val="OGSum"/>
      <sheetName val="WWSum"/>
      <sheetName val="AR Signature Page"/>
      <sheetName val="abbr"/>
      <sheetName val="NCAB"/>
      <sheetName val="costos fw 52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FY03CostStructure"/>
      <sheetName val="Foams"/>
      <sheetName val="Refrigerants"/>
      <sheetName val="Index"/>
      <sheetName val="10. Thermal Limiter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PITS_Form"/>
      <sheetName val="Sheet3"/>
      <sheetName val="Sheet5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HEPLAN"/>
      <sheetName val="THEPLAN.XLS"/>
      <sheetName val="GE 2001"/>
      <sheetName val="HTP 2001"/>
      <sheetName val="Oct FW42 BaaN for G-Line"/>
      <sheetName val="Q4 CURRENCY"/>
      <sheetName val="Original"/>
      <sheetName val="costos fw 52"/>
      <sheetName val="po list"/>
      <sheetName val="MCS"/>
      <sheetName val="Funnel"/>
      <sheetName val="Foams"/>
      <sheetName val="Grid"/>
      <sheetName val="72HX"/>
      <sheetName val="75EX"/>
      <sheetName val="Total Financials"/>
      <sheetName val="72HY"/>
      <sheetName val="75EY"/>
      <sheetName val="Spec"/>
      <sheetName val="Sheet2"/>
      <sheetName val="FP"/>
      <sheetName val="Time Dimension Lookup"/>
      <sheetName val="评价矩阵"/>
      <sheetName val="数据输入"/>
      <sheetName val="PO File 2002"/>
      <sheetName val="PO File 2002 Final"/>
      <sheetName val="Grafvta00 (2)"/>
      <sheetName val="PLALL"/>
      <sheetName val="분리멀티형"/>
      <sheetName val="01_宏命令库"/>
      <sheetName val="ＴＦ関連Ｐｒｊ日程表"/>
      <sheetName val="Sales Units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公司"/>
      <sheetName val="工厂"/>
      <sheetName val="经营体"/>
      <sheetName val="供应商"/>
      <sheetName val="相关参数"/>
      <sheetName val="UPPER BLOCK"/>
      <sheetName val="HDa16"/>
      <sheetName val="Sales Units (3)"/>
      <sheetName val="聘用明细信息(工人)导入模版20100401制造中心11"/>
      <sheetName val="Safety _ P_A"/>
      <sheetName val="Q4 CURRENCY"/>
      <sheetName val="Original"/>
      <sheetName val="produccion"/>
      <sheetName val="k-line"/>
      <sheetName val="produccion Nov"/>
      <sheetName val="Oct Production"/>
      <sheetName val="Oct FW42 BaaN"/>
      <sheetName val="Quantum Stds 12-3-01"/>
      <sheetName val="Quantum Stds prev"/>
      <sheetName val="FCG"/>
      <sheetName val="Grafvta00 (2)"/>
      <sheetName val="Foams"/>
      <sheetName val="Grid"/>
      <sheetName val="Spec"/>
      <sheetName val="spp"/>
      <sheetName val="Restate"/>
      <sheetName val="自制件材料价格"/>
      <sheetName val="XL4Poppy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NEW003"/>
      <sheetName val="Index"/>
      <sheetName val="10. Thermal Limiter Test"/>
      <sheetName val="Time Dimension Lookup"/>
      <sheetName val="Batch Comparison Template"/>
      <sheetName val="Stats Graph Template"/>
      <sheetName val="Histogram"/>
      <sheetName val="분리멀티형"/>
      <sheetName val="未闭环"/>
      <sheetName val="Comet ASPIRE"/>
      <sheetName val="Comet Sequential"/>
      <sheetName val="Comet yoy"/>
      <sheetName val="GE 2001"/>
      <sheetName val="HTP 2001"/>
      <sheetName val="评价矩阵"/>
      <sheetName val="数据输入"/>
      <sheetName val="LOV"/>
      <sheetName val="產品基本信息"/>
      <sheetName val="NVA-300T返品リスト"/>
      <sheetName val="Funnel"/>
      <sheetName val="假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MAPPING_(FINALE)_HFM"/>
      <sheetName val="PRC RETRIEVE ACT&amp;BDG"/>
      <sheetName val="by MKT_by PL --&gt;"/>
      <sheetName val="x bridge HFM_E2E"/>
      <sheetName val="E2E_Summary"/>
      <sheetName val="E2E_by MKT"/>
      <sheetName val="E2E_by PL"/>
      <sheetName val="E2E_by RESP_BS"/>
      <sheetName val="FRA_by PL"/>
      <sheetName val="EE_by PL"/>
      <sheetName val="GER_by PL"/>
      <sheetName val="ITA_by PL"/>
      <sheetName val="RUS_by PL"/>
      <sheetName val="SPA_by PL"/>
      <sheetName val="UK_by PL"/>
      <sheetName val="BNL_by PL"/>
      <sheetName val="ME_by PL"/>
      <sheetName val="OTH OVS_by PL"/>
      <sheetName val="RESP2 -&gt;"/>
      <sheetName val="TOT CHECK_by PL"/>
      <sheetName val="ITALY_by PL"/>
      <sheetName val="IBERIA_by PL"/>
      <sheetName val="FRANCE_by PL"/>
      <sheetName val="UK2_by PL"/>
      <sheetName val="EAST EUROPE_by PL"/>
      <sheetName val="RUS only_by PL"/>
      <sheetName val="GCC_by PL"/>
      <sheetName val="OVS_by PL"/>
      <sheetName val="CHI_by PL"/>
      <sheetName val="FG e STRUTTURA P&amp;L --&gt;"/>
      <sheetName val="FINALE"/>
      <sheetName val="Foglio6"/>
      <sheetName val="RETRIEVE ALL MKT &amp; PL"/>
      <sheetName val="mapping PDT"/>
      <sheetName val="OP ITCY (net of exch var)"/>
      <sheetName val="conto 5045 allocato sui PL"/>
      <sheetName val="CONTO 5045 allocato sui mkt"/>
      <sheetName val="SERVICE &amp; CN --&gt;"/>
      <sheetName val="retrieve SERVICE"/>
      <sheetName val="SERVICE - conto 5065"/>
      <sheetName val="retrieve CONSUMABLES"/>
      <sheetName val="mapping mkt service"/>
      <sheetName val="mapping mkt consumables"/>
      <sheetName val="SUMMARY SERVICE"/>
      <sheetName val="MV_TMV_FV --&gt;"/>
      <sheetName val="RETRIEVE MV_TMV_FV"/>
      <sheetName val="MV_FV_ALLOCAZIONE PL &amp; MKT"/>
      <sheetName val="AR --&gt;"/>
      <sheetName val="RETRIEVE AR"/>
      <sheetName val="AR_ALLOCAZIONE PL &amp; MKT_OLD"/>
      <sheetName val="AR_ALLOCAZIONE PL &amp; MKT"/>
      <sheetName val="SE --&gt;"/>
      <sheetName val="SE_ALLOCAZIONE PL &amp; MKT"/>
      <sheetName val="EXTRA --&gt;"/>
      <sheetName val="RETRIEVE EXTRA"/>
      <sheetName val="FINANCIAL --&gt;"/>
      <sheetName val="RETRIEVE FIN &amp; ALLOC"/>
      <sheetName val="RETRIEVE FIN &amp; ALLOC (ex var)"/>
      <sheetName val="2373_2368_FG"/>
      <sheetName val="2373_2368_SERVICE"/>
      <sheetName val="2373_2368_SE"/>
      <sheetName val="Foglio5"/>
      <sheetName val="mapping mkt financial"/>
      <sheetName val="Foglio28"/>
      <sheetName val="Foglio24"/>
      <sheetName val="Foglio12"/>
      <sheetName val="G_EXTRA"/>
      <sheetName val="EXTRAORDINARY --&gt;"/>
      <sheetName val="EXTRA_ALLOCAZIONE PL &amp; MKT"/>
      <sheetName val="Foglio4"/>
      <sheetName val="Foglio33"/>
      <sheetName val="OP G_PAT --&gt;"/>
      <sheetName val="PAT_ALLOCAZIONE PL &amp; MKT"/>
      <sheetName val="G_PAT"/>
      <sheetName val="INTEGRATION BUDGET --&gt;"/>
      <sheetName val="INTEGRATION COSTS"/>
      <sheetName val="2170_RAW MAT"/>
      <sheetName val="Foglio1"/>
      <sheetName val="PL HFM"/>
      <sheetName val="CONTO 5045 EXCH PER RM"/>
      <sheetName val="FIN+INFRA OTHER"/>
      <sheetName val="mapping MKT"/>
      <sheetName val="Launch Costs TMNF"/>
      <sheetName val="April Antonio"/>
      <sheetName val="Tﾁｬｰﾄ"/>
      <sheetName val="APJSum"/>
      <sheetName val="AmeSum"/>
      <sheetName val="EMEASum"/>
      <sheetName val="HPCoSum"/>
      <sheetName val="OGSum"/>
      <sheetName val="WW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Histogram"/>
      <sheetName val="封面"/>
      <sheetName val="数据输入"/>
      <sheetName val="问题表"/>
      <sheetName val="评价矩阵"/>
      <sheetName val="PrGr1"/>
      <sheetName val="PrGr2"/>
      <sheetName val="PrGr3"/>
      <sheetName val="PrGr4"/>
      <sheetName val="审核报告"/>
      <sheetName val="行动计划"/>
      <sheetName val="Sheet1"/>
      <sheetName val="复评报告"/>
      <sheetName val="HTP 2001"/>
      <sheetName val="VDA6 (version 1)"/>
      <sheetName val="Spec"/>
      <sheetName val="SPals"/>
      <sheetName val="Original"/>
      <sheetName val="SUM14ZC1"/>
      <sheetName val="Sheet2"/>
      <sheetName val="UPPER BLOCK"/>
      <sheetName val="假设"/>
      <sheetName val="HDa16"/>
      <sheetName val="Restate"/>
      <sheetName val="Q4 CURRENCY"/>
      <sheetName val="Funnel"/>
      <sheetName val="Leap PO Std."/>
      <sheetName val="Quantum PO Std"/>
      <sheetName val="Summary"/>
      <sheetName val="master PO"/>
      <sheetName val="Table"/>
      <sheetName val="NCAB"/>
      <sheetName val="produccion"/>
      <sheetName val="produccion Nov"/>
      <sheetName val="Oct Production"/>
      <sheetName val="Oct FW42 BaaN"/>
      <sheetName val="Quantum Stds 12-3-01"/>
      <sheetName val="Quantum Stds prev"/>
      <sheetName val="FP"/>
      <sheetName val="Time Dimension Lookup"/>
      <sheetName val="FY03CostStructure"/>
      <sheetName val="审核总览"/>
      <sheetName val="MCS"/>
      <sheetName val="분리멀티형"/>
      <sheetName val="Av.Measures"/>
      <sheetName val="costos fw 52"/>
      <sheetName val="Launch Costs TMNF"/>
      <sheetName val="April Antonio"/>
      <sheetName val="FC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HC"/>
      <sheetName val="SPals"/>
      <sheetName val="MPals"/>
      <sheetName val="HPSSpe"/>
      <sheetName val="MSSpe"/>
      <sheetName val="CISpe"/>
      <sheetName val="EduSpe"/>
      <sheetName val="ChaSpe"/>
      <sheetName val="IBSpe"/>
      <sheetName val="TeleNbiz"/>
      <sheetName val="MTeleNbiz"/>
      <sheetName val="SM"/>
      <sheetName val="Prf Distrib"/>
      <sheetName val="Chart your own Dist."/>
      <sheetName val="Simu"/>
      <sheetName val="Job #12"/>
      <sheetName val="Job #13"/>
      <sheetName val="Job #14"/>
      <sheetName val="Job #15"/>
      <sheetName val="Job #16"/>
      <sheetName val="Job #17"/>
      <sheetName val="Job #18"/>
      <sheetName val="Job #19"/>
      <sheetName val="Job #20"/>
      <sheetName val="Normal Dist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FY03CostStructure"/>
      <sheetName val="DIO"/>
      <sheetName val="PLALL"/>
      <sheetName val="k-line"/>
      <sheetName val="Foams"/>
      <sheetName val="Grid"/>
      <sheetName val="MCS"/>
      <sheetName val="FCG"/>
      <sheetName val="Safety _ P_A"/>
      <sheetName val="Time Dimension Lookup"/>
      <sheetName val="3D ASPIRE Table"/>
      <sheetName val="OTC"/>
      <sheetName val="APJSum"/>
      <sheetName val="AmeSum"/>
      <sheetName val="EMEASum"/>
      <sheetName val="HPCoSum"/>
      <sheetName val="OGSum"/>
      <sheetName val="WWSum"/>
      <sheetName val="Prf_Distrib"/>
      <sheetName val="Chart_your_own_Dist_"/>
      <sheetName val="Job_#12"/>
      <sheetName val="Job_#13"/>
      <sheetName val="Job_#14"/>
      <sheetName val="Job_#15"/>
      <sheetName val="Job_#16"/>
      <sheetName val="Job_#17"/>
      <sheetName val="Job_#18"/>
      <sheetName val="Job_#19"/>
      <sheetName val="Job_#20"/>
      <sheetName val="Normal_Dist"/>
      <sheetName val="Spec"/>
      <sheetName val="审核总览"/>
      <sheetName val="LOV"/>
      <sheetName val="假设"/>
      <sheetName val="Service Invoice"/>
      <sheetName val="MENU"/>
      <sheetName val="p and l"/>
      <sheetName val="Av.Measures"/>
      <sheetName val="JHM"/>
      <sheetName val="Erection"/>
      <sheetName val="IncentiveCostModel_V082802"/>
      <sheetName val="Q4 CURRENCY"/>
      <sheetName val="Original"/>
      <sheetName val="產品基本信息"/>
      <sheetName val="costos fw 52"/>
      <sheetName val="UPPER BLOCK"/>
      <sheetName val="HDa16"/>
      <sheetName val="Pull HP Wide"/>
      <sheetName val="Pull All SFs"/>
      <sheetName val="公司"/>
      <sheetName val="工厂"/>
      <sheetName val="经营体"/>
      <sheetName val="供应商"/>
      <sheetName val="5+7 plan"/>
      <sheetName val="produccion"/>
      <sheetName val="produccion Nov"/>
      <sheetName val="Oct Production"/>
      <sheetName val="Oct FW42 BaaN"/>
      <sheetName val="Quantum Stds 12-3-01"/>
      <sheetName val="Quantum Stds prev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otal Financials"/>
      <sheetName val="tables"/>
      <sheetName val="FY01 Actuals"/>
      <sheetName val="FY00 Restated"/>
      <sheetName val="FY01 Quota"/>
      <sheetName val="Leap PO Std."/>
      <sheetName val="Quantum PO Std"/>
      <sheetName val="master PO"/>
      <sheetName val="NEW003"/>
      <sheetName val="Meas Acceptance Template"/>
      <sheetName val="Batch Comparison Template"/>
      <sheetName val="Meas Indv Template"/>
      <sheetName val="MC3(main)"/>
      <sheetName val="MC1"/>
      <sheetName val="Oct FW42 BaaN for G-Line"/>
      <sheetName val="Sales Units (3)"/>
      <sheetName val="Grafvta00 (2)"/>
      <sheetName val="Launch Costs TMNF"/>
      <sheetName val="April Antonio"/>
      <sheetName val="Sheet3"/>
      <sheetName val="Funnel"/>
      <sheetName val="MENU "/>
      <sheetName val="家属随迁费用（FS 4人）"/>
      <sheetName val="feeDetails"/>
      <sheetName val="Comet Q202 Flash"/>
      <sheetName val="Raw materials"/>
      <sheetName val="Restate"/>
      <sheetName val="雷梦"/>
      <sheetName val="资产负债表"/>
      <sheetName val="面积指标"/>
      <sheetName val="资产负债表汇编"/>
      <sheetName val="分产品销售收入、成本分析表"/>
      <sheetName val="2171-BK"/>
      <sheetName val="Quantum Stds 12-4-01"/>
      <sheetName val="GE 2001"/>
      <sheetName val="HTP 2001"/>
      <sheetName val="01_宏命令库"/>
      <sheetName val="未闭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HP_PL-MTD"/>
      <sheetName val="HP_PL-QTD "/>
      <sheetName val="HP_PL-YTD "/>
      <sheetName val="BCO_PL-MTD "/>
      <sheetName val="BCO_PL-QTD  "/>
      <sheetName val="BCO_PL-YTD "/>
      <sheetName val="PLBCO"/>
      <sheetName val="PLALL"/>
      <sheetName val=" "/>
      <sheetName val="FY03CostStructure"/>
      <sheetName val="PLALL2"/>
      <sheetName val="Original"/>
      <sheetName val="Leap PO Std."/>
      <sheetName val="Quantum PO Std"/>
      <sheetName val="Summary"/>
      <sheetName val="master PO"/>
      <sheetName val="Oct FW42 BaaN for G-Line"/>
      <sheetName val="Foams"/>
      <sheetName val="Grid"/>
      <sheetName val="FCG"/>
      <sheetName val="SPals"/>
      <sheetName val="FP"/>
      <sheetName val="Time Dimension Lookup"/>
      <sheetName val="Q4 CURRENCY"/>
      <sheetName val="Planet_Ame"/>
      <sheetName val="Planet_AP"/>
      <sheetName val="Planet_EMEA"/>
      <sheetName val="Planet_OG"/>
      <sheetName val="Planet_WW"/>
      <sheetName val="Sheet2"/>
      <sheetName val="Entity Data"/>
      <sheetName val="MCS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HP_PL-QTD_"/>
      <sheetName val="HP_PL-YTD_"/>
      <sheetName val="BCO_PL-MTD_"/>
      <sheetName val="BCO_PL-QTD__"/>
      <sheetName val="BCO_PL-YTD_"/>
      <sheetName val="LOV"/>
      <sheetName val="153541"/>
      <sheetName val="B"/>
      <sheetName val="FINAL (2)"/>
      <sheetName val="MENU "/>
      <sheetName val="Main"/>
      <sheetName val="Attachment-4(2)"/>
      <sheetName val="Orders by Product Line_AugustFY"/>
      <sheetName val="S-PARTS-XE"/>
      <sheetName val="HR Budget"/>
      <sheetName val="假设"/>
      <sheetName val="HTP 2001"/>
      <sheetName val="Funnel"/>
      <sheetName val="Tables"/>
      <sheetName val="Raw materials"/>
      <sheetName val="3D ASPIRE Table"/>
      <sheetName val="未闭环"/>
      <sheetName val="Sheet1"/>
      <sheetName val="GE 2001"/>
      <sheetName val="k-line"/>
      <sheetName val="po list"/>
      <sheetName val="분리멀티형"/>
      <sheetName val="Restate"/>
      <sheetName val="排产"/>
      <sheetName val="APJSum"/>
      <sheetName val="AmeSum"/>
      <sheetName val="EMEASum"/>
      <sheetName val="HPCoSum"/>
      <sheetName val="OGSum"/>
      <sheetName val="WWSum"/>
      <sheetName val="通貨一覧"/>
      <sheetName val="FY01 Actuals"/>
      <sheetName val="FY00 Restated"/>
      <sheetName val="FY01 Quota"/>
      <sheetName val="LOT1"/>
      <sheetName val="MP2006 data"/>
      <sheetName val="Sheet3"/>
      <sheetName val="Total Financials"/>
      <sheetName val="Comet Q202 Flash"/>
      <sheetName val="Summary Data"/>
      <sheetName val="敏感参数"/>
      <sheetName val="资产负债表"/>
      <sheetName val="资产品名库"/>
      <sheetName val="字典(不需输入)"/>
      <sheetName val="base"/>
      <sheetName val="索引表"/>
      <sheetName val="MC3(main)"/>
      <sheetName val="MC1"/>
      <sheetName val="5+7 plan"/>
      <sheetName val="LRR Summary"/>
      <sheetName val="PO File 2002"/>
      <sheetName val="PO File 2002 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HP_PL-MTD"/>
      <sheetName val="HP_PL-QTD "/>
      <sheetName val="HP_PL-YTD "/>
      <sheetName val="BCO_PL-MTD "/>
      <sheetName val="BCO_PL-QTD  "/>
      <sheetName val="BCO_PL-YTD "/>
      <sheetName val="PLBCO"/>
      <sheetName val="PLALL"/>
      <sheetName val="审核总览"/>
      <sheetName val="MCS"/>
      <sheetName val="FP"/>
      <sheetName val="Time Dimension Lookup"/>
      <sheetName val="Planet_Ame"/>
      <sheetName val="Planet_AP"/>
      <sheetName val="Planet_EMEA"/>
      <sheetName val="Planet_OG"/>
      <sheetName val="Planet_WW"/>
      <sheetName val="PLALL2"/>
      <sheetName val="Sheet1"/>
      <sheetName val="GE 2001"/>
      <sheetName val="HTP 2001"/>
      <sheetName val="Grafvta00 (2)"/>
      <sheetName val="5+7 plan"/>
      <sheetName val="Q4 CURRENCY"/>
      <sheetName val="Funnel"/>
      <sheetName val="SUM14ZC1"/>
      <sheetName val="AmeSum"/>
      <sheetName val="Sheet2"/>
      <sheetName val="List"/>
      <sheetName val="FY03CostStructure"/>
      <sheetName val="HP_PL-QTD_"/>
      <sheetName val="HP_PL-YTD_"/>
      <sheetName val="BCO_PL-MTD_"/>
      <sheetName val="BCO_PL-QTD__"/>
      <sheetName val="BCO_PL-YTD_"/>
      <sheetName val="假设"/>
      <sheetName val="公司"/>
      <sheetName val="工厂"/>
      <sheetName val="经营体"/>
      <sheetName val="供应商"/>
      <sheetName val="PL"/>
      <sheetName val="source"/>
      <sheetName val="Orders by Product Line_OctFY00"/>
      <sheetName val="hdcnt 3"/>
      <sheetName val="SPals"/>
      <sheetName val="Attachment-4(2)"/>
      <sheetName val="GWL-RUNING"/>
      <sheetName val="Chemical 2009"/>
      <sheetName val="Grey 2009"/>
      <sheetName val="Main"/>
      <sheetName val="Sales Units (3)"/>
      <sheetName val="Safety _ P_A"/>
      <sheetName val="Original"/>
      <sheetName val="FCG"/>
      <sheetName val="tables"/>
      <sheetName val="QC APPROVE SHEET"/>
      <sheetName val="Total Financials"/>
      <sheetName val="目标体系横轴矩阵"/>
      <sheetName val="Leap PO Std."/>
      <sheetName val="Quantum PO Std"/>
      <sheetName val="Summary"/>
      <sheetName val="master PO"/>
      <sheetName val="분리멀티형"/>
      <sheetName val="Restate"/>
      <sheetName val="Raw materials"/>
      <sheetName val="Summary Data"/>
      <sheetName val="Comet ASPIRE"/>
      <sheetName val="Comet Sequential"/>
      <sheetName val="Comet yoy"/>
      <sheetName val="p and l"/>
      <sheetName val="新品台帐"/>
      <sheetName val="XL4Poppy"/>
      <sheetName val="Sheet3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选择报表"/>
      <sheetName val="写字楼B"/>
      <sheetName val="资产品名库"/>
      <sheetName val="字典(不需输入)"/>
      <sheetName val="银行借款询证"/>
      <sheetName val="索引表"/>
      <sheetName val="Collateral"/>
      <sheetName val="Disposition"/>
      <sheetName val="雷梦"/>
      <sheetName val="面积指标"/>
      <sheetName val=" "/>
      <sheetName val="Foams"/>
      <sheetName val="Grid"/>
      <sheetName val="Oct FW42 BaaN for G-Line"/>
      <sheetName val="po list"/>
      <sheetName val="PO File 2002"/>
      <sheetName val="PO File 2002 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ISSD (no DP)"/>
      <sheetName val="ISSD (with DP)"/>
      <sheetName val="HPSD"/>
      <sheetName val="Tandem"/>
      <sheetName val="Wkstns"/>
      <sheetName val="Data Products"/>
      <sheetName val="Storage"/>
      <sheetName val="Storage &amp; DP Consol"/>
      <sheetName val="Storage (with DP)"/>
      <sheetName val="Business Models"/>
      <sheetName val="Strategic P&amp;L FY"/>
      <sheetName val="Strategic P&amp;L-FY DP"/>
      <sheetName val="Strategic P&amp;L Q4"/>
      <sheetName val="Strategic P&amp;L-Q4 DP"/>
      <sheetName val="Summary Data"/>
      <sheetName val="3D ASPIRE Table"/>
      <sheetName val="FP"/>
      <sheetName val="Time Dimension Lookup"/>
      <sheetName val="Q4 CURRENCY"/>
      <sheetName val="Funnel"/>
      <sheetName val="Restate"/>
      <sheetName val="Raw materials"/>
      <sheetName val="PLALL"/>
      <sheetName val="假设"/>
      <sheetName val="Bus Model Scenarios_2"/>
      <sheetName val="Oct FW42 BaaN for G-Line"/>
      <sheetName val="FCG"/>
      <sheetName val="公司"/>
      <sheetName val="工厂"/>
      <sheetName val="经营体"/>
      <sheetName val="供应商"/>
      <sheetName val="Planet_Ame"/>
      <sheetName val="Planet_AP"/>
      <sheetName val="Planet_EMEA"/>
      <sheetName val="Planet_OG"/>
      <sheetName val="Planet_WW"/>
      <sheetName val="Costing Para"/>
      <sheetName val="Drop down list"/>
      <sheetName val="FF-2"/>
      <sheetName val="ISSD_(no_DP)"/>
      <sheetName val="ISSD_(with_DP)"/>
      <sheetName val="Data_Products"/>
      <sheetName val="Storage_&amp;_DP_Consol"/>
      <sheetName val="Storage_(with_DP)"/>
      <sheetName val="Business_Models"/>
      <sheetName val="Strategic_P&amp;L_FY"/>
      <sheetName val="Strategic_P&amp;L-FY_DP"/>
      <sheetName val="Strategic_P&amp;L_Q4"/>
      <sheetName val="Strategic_P&amp;L-Q4_DP"/>
      <sheetName val="Summary_Data"/>
      <sheetName val="Summary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Cover"/>
      <sheetName val="Rates"/>
      <sheetName val="KeyData"/>
      <sheetName val="MENU"/>
      <sheetName val="MENU "/>
      <sheetName val="Attachment-4(2)"/>
      <sheetName val="JHM"/>
      <sheetName val="Sheet1"/>
      <sheetName val="Foams"/>
      <sheetName val="Grid"/>
      <sheetName val="Pull HP Wide"/>
      <sheetName val="Pull All SFs"/>
      <sheetName val="Meas Acceptance Template"/>
      <sheetName val="Comet ASPIRE"/>
      <sheetName val="Batch Comparison Template"/>
      <sheetName val="APJSum"/>
      <sheetName val="AmeSum"/>
      <sheetName val="EMEASum"/>
      <sheetName val="HPCoSum"/>
      <sheetName val="OGSum"/>
      <sheetName val="WWSum"/>
      <sheetName val="Meas Indv Template"/>
      <sheetName val="Comet Sequential"/>
      <sheetName val="Comet yoy"/>
      <sheetName val="GE 2001"/>
      <sheetName val="HTP 2001"/>
      <sheetName val="Sheet2"/>
      <sheetName val="Kautex 4WD St.IV P&amp;D"/>
      <sheetName val="Sachs FL WHL"/>
      <sheetName val="Original"/>
      <sheetName val="PLALL2"/>
      <sheetName val="Launch Costs TMNF"/>
      <sheetName val="April Antonio"/>
      <sheetName val="SPals"/>
      <sheetName val="ＴＦ関連Ｐｒｊ日程表"/>
      <sheetName val="XL4Poppy"/>
      <sheetName val="LOV"/>
      <sheetName val="EPR &amp; LRR"/>
      <sheetName val="Total Financials"/>
      <sheetName val="INPUT - Data Table"/>
      <sheetName val="Instructions"/>
      <sheetName val="pl"/>
      <sheetName val="SPEC OF ACCOUNTS"/>
      <sheetName val="p and l"/>
      <sheetName val="通貨一覧"/>
      <sheetName val="面积指标"/>
      <sheetName val=" "/>
      <sheetName val="A翼写字楼"/>
      <sheetName val="AGRO-DATA"/>
      <sheetName val="企业基本情况表"/>
      <sheetName val="信息"/>
      <sheetName val="敏感参数"/>
      <sheetName val="sum14zc1"/>
      <sheetName val="분리멀티형"/>
      <sheetName val="Sales Units (3)"/>
      <sheetName val="MTL1"/>
      <sheetName val="NVA-300T返品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ervice - Parts Change Form"/>
      <sheetName val="Oct FW42 BaaN for G-Line"/>
      <sheetName val="po list"/>
      <sheetName val="HTP 2001"/>
      <sheetName val="Funnel"/>
      <sheetName val="Q4 CURRENCY"/>
      <sheetName val="produccion"/>
      <sheetName val="produccion Nov"/>
      <sheetName val="Oct Production"/>
      <sheetName val="Oct FW42 BaaN"/>
      <sheetName val="Quantum Stds 12-3-01"/>
      <sheetName val="Quantum Stds prev"/>
      <sheetName val="评价矩阵"/>
      <sheetName val="数据输入"/>
      <sheetName val="Spec"/>
      <sheetName val="SPals"/>
      <sheetName val="GE 2001"/>
      <sheetName val="Safety _ P_A"/>
      <sheetName val="PO File 2002"/>
      <sheetName val="PO File 2002 Final"/>
      <sheetName val="LRR Summary"/>
      <sheetName val="行动计划"/>
      <sheetName val="Index"/>
      <sheetName val="10. Thermal Limiter Test"/>
      <sheetName val="EPR &amp; LRR"/>
      <sheetName val="분리멀티형"/>
      <sheetName val="RecoveredExternalLink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出货"/>
      <sheetName val="收货"/>
      <sheetName val="以此为准"/>
      <sheetName val="Raw materials (2)"/>
      <sheetName val="Raw materials"/>
      <sheetName val="内销"/>
      <sheetName val="1.1"/>
      <sheetName val="Comet Q202 Flash"/>
      <sheetName val="Quantum Stds 12-4-01"/>
      <sheetName val="FCG"/>
      <sheetName val="假设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Q4 CURRENCY"/>
      <sheetName val="Planet_Ame"/>
      <sheetName val="Planet_AP"/>
      <sheetName val="Planet_EMEA"/>
      <sheetName val="Planet_OG"/>
      <sheetName val="Planet_WW"/>
      <sheetName val="k-line"/>
      <sheetName val="Sales Units (3)"/>
      <sheetName val="GE 2001"/>
      <sheetName val="HTP 2001"/>
      <sheetName val="Summary Data"/>
      <sheetName val="Raw_materials_(2)"/>
      <sheetName val="Raw_materials"/>
      <sheetName val="1_1"/>
      <sheetName val="Restate"/>
      <sheetName val="新品台帐"/>
      <sheetName val="9100-PO"/>
      <sheetName val="FY03CostStructure"/>
      <sheetName val="5+7 plan"/>
      <sheetName val="Foams"/>
      <sheetName val="Refrigerants"/>
      <sheetName val="Setup"/>
      <sheetName val="Tables"/>
      <sheetName val="PLALL"/>
      <sheetName val="PLALL2"/>
      <sheetName val="Attachment-4(2)"/>
      <sheetName val="MENU "/>
      <sheetName val="MENU"/>
      <sheetName val="Sheet2"/>
      <sheetName val="Consolidated NEW"/>
      <sheetName val="SUM14ZC1"/>
      <sheetName val="Funnel"/>
      <sheetName val="Original"/>
      <sheetName val="Sheet1"/>
      <sheetName val="Spec"/>
      <sheetName val="PO File 2002"/>
      <sheetName val="PO File 2002 Final"/>
      <sheetName val="Time Dimension Lookup"/>
      <sheetName val="SPals"/>
      <sheetName val="自制件材料价格"/>
      <sheetName val="XL4Poppy"/>
      <sheetName val="Leap PO Std."/>
      <sheetName val="Quantum PO Std"/>
      <sheetName val="master PO"/>
      <sheetName val="01_宏命令库"/>
      <sheetName val="EPR &amp; LRR"/>
      <sheetName val="Total Financials"/>
      <sheetName val="URBANO P EST"/>
      <sheetName val="Raw Materials (Valuation).V3"/>
      <sheetName val="UPPER BLOCK"/>
      <sheetName val="银行借款询证"/>
      <sheetName val="资产负债表"/>
      <sheetName val="AmeSum"/>
      <sheetName val="雷梦"/>
      <sheetName val="面积指标"/>
      <sheetName val="분리멀티형"/>
      <sheetName val="72HX"/>
      <sheetName val="75EX"/>
      <sheetName val="72HY"/>
      <sheetName val="75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Navigation &amp; Assumptions"/>
      <sheetName val="HPCO  GAAP by Qtr"/>
      <sheetName val="HPCO  Pro Forma by Qtr"/>
      <sheetName val="HPCO  GAAP by Half"/>
      <sheetName val="HPCO  Pro Forma by Half"/>
      <sheetName val="BCO by Qtr"/>
      <sheetName val="CBO by Qtr"/>
      <sheetName val="HPS by Qtr"/>
      <sheetName val="BCO by Half"/>
      <sheetName val="CBO by Half"/>
      <sheetName val="HPS by Half"/>
      <sheetName val="IPS by Qtr"/>
      <sheetName val="CS by Qtr"/>
      <sheetName val="ITS by Qtr"/>
      <sheetName val="EPS by Qtr"/>
      <sheetName val="Financing by Qtr"/>
      <sheetName val="IPS by Half"/>
      <sheetName val="CS by Half"/>
      <sheetName val="ITS by Half"/>
      <sheetName val="EPS by Half"/>
      <sheetName val="Financing by Half"/>
      <sheetName val="CF Q302 Slide"/>
      <sheetName val="CF Q402 Slide"/>
      <sheetName val="CF H202 Slide"/>
      <sheetName val="PG Q302 Slide"/>
      <sheetName val="PG Q402 Slide"/>
      <sheetName val="PG H202 Slide"/>
      <sheetName val="CF Q302 vs Q301"/>
      <sheetName val="CF Q302 vs Q202"/>
      <sheetName val="CF Q402 vs Q401"/>
      <sheetName val="CF Q402 vs Q302"/>
      <sheetName val="CF H102 Flash vs H101"/>
      <sheetName val="CF H102 Flash vs H201"/>
      <sheetName val="CF H202 ASPIRE vs H201"/>
      <sheetName val="CF H202 ASPIRE vs H102 Flash"/>
      <sheetName val="CF FY02 ASP-Flash vs FY01"/>
      <sheetName val="PG Q302 vs Q301"/>
      <sheetName val="PG Q302 vs Q202"/>
      <sheetName val="PG Q402 vs Q401"/>
      <sheetName val="PG Q402 vs Q302"/>
      <sheetName val="PG H102 Flash vs H101"/>
      <sheetName val="PG H102 Flash vs H201"/>
      <sheetName val="PG H202 ASPIRE vs H201"/>
      <sheetName val="PG H202 ASPIRE vs H102 Flash"/>
      <sheetName val="PG FY02 ASP-Flash vs FY01"/>
      <sheetName val="CF by PC Q302 vs Q301"/>
      <sheetName val="CF by PC Q302 vs Q202"/>
      <sheetName val="CF by PC Q402 vs Q401"/>
      <sheetName val="CF by PC Q402 vs Q302"/>
      <sheetName val="CF by PC H102 Flash vs H101"/>
      <sheetName val="CF by PC H102 Flash vs H201"/>
      <sheetName val="CF by PC H202 ASP vs H201"/>
      <sheetName val="CF by PC H202 ASP vs H102 Flash"/>
      <sheetName val="CF by PC FY02 ASP-Flash vs FY01"/>
      <sheetName val="PG by PC Q302 vs Q301"/>
      <sheetName val="PG by PC Q302 vs Q202"/>
      <sheetName val="PG by PC Q402 vs Q401"/>
      <sheetName val="PG by PC Q402 vs Q302"/>
      <sheetName val="PG by PC H102 Flash vs H101"/>
      <sheetName val="PG by PC H102 Flash vs H201"/>
      <sheetName val="PG by PC H202 ASP vs H201"/>
      <sheetName val="PG by PC H202 ASP vs H102 Flash"/>
      <sheetName val="PG by PC FY02 ASP-Flash vs FY01"/>
      <sheetName val="Comet Q101"/>
      <sheetName val="Comet Q201"/>
      <sheetName val="Comet Q301"/>
      <sheetName val="Comet Q401"/>
      <sheetName val="Comet H101"/>
      <sheetName val="Comet H201"/>
      <sheetName val="Comet FY01"/>
      <sheetName val="Comet Q102"/>
      <sheetName val="Comet Q202 Flash"/>
      <sheetName val="Flash Template"/>
      <sheetName val="ASPIRE Template Q302"/>
      <sheetName val="ASPIRE Template Q402"/>
      <sheetName val="Comet Q302 ASPIRE"/>
      <sheetName val="Comet Q402 ASPIRE"/>
      <sheetName val="Comet H102 Flash"/>
      <sheetName val="Comet H202 ASPIRE"/>
      <sheetName val="Comet FY02 Flash-ASPIRE"/>
      <sheetName val="Comet ASPIRE"/>
      <sheetName val="Month 1"/>
      <sheetName val="Month 2"/>
      <sheetName val="Extr. Gain Table"/>
      <sheetName val="FCG"/>
      <sheetName val="Q4 CURRENCY"/>
      <sheetName val="MTL1"/>
      <sheetName val="Total Financials"/>
      <sheetName val="URBANO P EST"/>
      <sheetName val="PO File 2002"/>
      <sheetName val="PO File 2002 Final"/>
      <sheetName val="Leap PO Std."/>
      <sheetName val="Quantum PO Std"/>
      <sheetName val="Summary"/>
      <sheetName val="master PO"/>
      <sheetName val="UPPER BLOCK"/>
      <sheetName val="假设"/>
      <sheetName val="3-29 ASPIRE Consol"/>
      <sheetName val="Raw materials"/>
      <sheetName val="list"/>
      <sheetName val="FY03CostStructure"/>
      <sheetName val="Sheet1"/>
      <sheetName val="Assumptions"/>
      <sheetName val="Input Lists &amp; Types"/>
      <sheetName val="PLALL"/>
      <sheetName val="LOV"/>
      <sheetName val="Navigation_&amp;_Assumptions"/>
      <sheetName val="HPCO__GAAP_by_Qtr"/>
      <sheetName val="HPCO__Pro_Forma_by_Qtr"/>
      <sheetName val="HPCO__GAAP_by_Half"/>
      <sheetName val="HPCO__Pro_Forma_by_Half"/>
      <sheetName val="BCO_by_Qtr"/>
      <sheetName val="CBO_by_Qtr"/>
      <sheetName val="HPS_by_Qtr"/>
      <sheetName val="BCO_by_Half"/>
      <sheetName val="CBO_by_Half"/>
      <sheetName val="HPS_by_Half"/>
      <sheetName val="IPS_by_Qtr"/>
      <sheetName val="CS_by_Qtr"/>
      <sheetName val="ITS_by_Qtr"/>
      <sheetName val="EPS_by_Qtr"/>
      <sheetName val="Financing_by_Qtr"/>
      <sheetName val="IPS_by_Half"/>
      <sheetName val="CS_by_Half"/>
      <sheetName val="ITS_by_Half"/>
      <sheetName val="EPS_by_Half"/>
      <sheetName val="Financing_by_Half"/>
      <sheetName val="CF_Q302_Slide"/>
      <sheetName val="CF_Q402_Slide"/>
      <sheetName val="CF_H202_Slide"/>
      <sheetName val="PG_Q302_Slide"/>
      <sheetName val="PG_Q402_Slide"/>
      <sheetName val="PG_H202_Slide"/>
      <sheetName val="CF_Q302_vs_Q301"/>
      <sheetName val="CF_Q302_vs_Q202"/>
      <sheetName val="CF_Q402_vs_Q401"/>
      <sheetName val="CF_Q402_vs_Q302"/>
      <sheetName val="CF_H102_Flash_vs_H101"/>
      <sheetName val="CF_H102_Flash_vs_H201"/>
      <sheetName val="CF_H202_ASPIRE_vs_H201"/>
      <sheetName val="CF_H202_ASPIRE_vs_H102_Flash"/>
      <sheetName val="CF_FY02_ASP-Flash_vs_FY01"/>
      <sheetName val="PG_Q302_vs_Q301"/>
      <sheetName val="PG_Q302_vs_Q202"/>
      <sheetName val="PG_Q402_vs_Q401"/>
      <sheetName val="PG_Q402_vs_Q302"/>
      <sheetName val="PG_H102_Flash_vs_H101"/>
      <sheetName val="PG_H102_Flash_vs_H201"/>
      <sheetName val="PG_H202_ASPIRE_vs_H201"/>
      <sheetName val="PG_H202_ASPIRE_vs_H102_Flash"/>
      <sheetName val="PG_FY02_ASP-Flash_vs_FY01"/>
      <sheetName val="CF_by_PC_Q302_vs_Q301"/>
      <sheetName val="CF_by_PC_Q302_vs_Q202"/>
      <sheetName val="CF_by_PC_Q402_vs_Q401"/>
      <sheetName val="CF_by_PC_Q402_vs_Q302"/>
      <sheetName val="CF_by_PC_H102_Flash_vs_H101"/>
      <sheetName val="CF_by_PC_H102_Flash_vs_H201"/>
      <sheetName val="CF_by_PC_H202_ASP_vs_H201"/>
      <sheetName val="CF_by_PC_H202_ASP_vs_H102_Flash"/>
      <sheetName val="CF_by_PC_FY02_ASP-Flash_vs_FY01"/>
      <sheetName val="PG_by_PC_Q302_vs_Q301"/>
      <sheetName val="PG_by_PC_Q302_vs_Q202"/>
      <sheetName val="PG_by_PC_Q402_vs_Q401"/>
      <sheetName val="PG_by_PC_Q402_vs_Q302"/>
      <sheetName val="PG_by_PC_H102_Flash_vs_H101"/>
      <sheetName val="PG_by_PC_H102_Flash_vs_H201"/>
      <sheetName val="PG_by_PC_H202_ASP_vs_H201"/>
      <sheetName val="PG_by_PC_H202_ASP_vs_H102_Flash"/>
      <sheetName val="PG_by_PC_FY02_ASP-Flash_vs_FY01"/>
      <sheetName val="Comet_Q101"/>
      <sheetName val="Comet_Q201"/>
      <sheetName val="Comet_Q301"/>
      <sheetName val="Comet_Q401"/>
      <sheetName val="Comet_H101"/>
      <sheetName val="Comet_H201"/>
      <sheetName val="Comet_FY01"/>
      <sheetName val="Comet_Q102"/>
      <sheetName val="Comet_Q202_Flash"/>
      <sheetName val="Flash_Template"/>
      <sheetName val="ASPIRE_Template_Q302"/>
      <sheetName val="ASPIRE_Template_Q402"/>
      <sheetName val="Comet_Q302_ASPIRE"/>
      <sheetName val="Comet_Q402_ASPIRE"/>
      <sheetName val="Comet_H102_Flash"/>
      <sheetName val="Comet_H202_ASPIRE"/>
      <sheetName val="Comet_FY02_Flash-ASPIRE"/>
      <sheetName val="Comet_ASPIRE"/>
      <sheetName val="Month_1"/>
      <sheetName val="Month_2"/>
      <sheetName val="Extr__Gain_Table"/>
      <sheetName val="Setup"/>
      <sheetName val="Sheet2"/>
      <sheetName val="MENU"/>
      <sheetName val="Sales_p8"/>
      <sheetName val="CF"/>
      <sheetName val="Restate"/>
      <sheetName val="Summary Data"/>
      <sheetName val="SPals"/>
      <sheetName val="Foams"/>
      <sheetName val="Grid"/>
      <sheetName val="AR Signature Page"/>
      <sheetName val="FY01 Actuals"/>
      <sheetName val="FY00 Restated"/>
      <sheetName val="FY01 Quota"/>
      <sheetName val="Instructions"/>
      <sheetName val="Safety _ P_A"/>
      <sheetName val="PLALL2"/>
      <sheetName val="Pull HP Wide"/>
      <sheetName val="Pull All SFs"/>
      <sheetName val="tables"/>
      <sheetName val="Quantum Stds 12-4-01"/>
      <sheetName val="Original"/>
      <sheetName val="Planet_Ame"/>
      <sheetName val="Planet_AP"/>
      <sheetName val="Planet_EMEA"/>
      <sheetName val="Planet_OG"/>
      <sheetName val="Planet_WW"/>
      <sheetName val="NVA-300T返品リスト"/>
      <sheetName val="Sheet3"/>
      <sheetName val="FA-LISTING"/>
      <sheetName val="3D ASPIRE Table"/>
      <sheetName val="三分厂04年1-12月销售价 "/>
      <sheetName val="05年1月销售价"/>
      <sheetName val="04年12月销售价"/>
      <sheetName val="Funnel"/>
      <sheetName val="面积指标"/>
      <sheetName val="资产负债表汇编"/>
      <sheetName val="信息"/>
      <sheetName val="项目基本情况鉴证表"/>
      <sheetName val="资产负债表"/>
      <sheetName val="Launch Costs TMNF"/>
      <sheetName val="April Antonio"/>
      <sheetName val="HDa16"/>
      <sheetName val="Sales Units (3)"/>
      <sheetName val="改善路径"/>
      <sheetName val="72HX"/>
      <sheetName val="75EX"/>
      <sheetName val="72HY"/>
      <sheetName val="75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MTL1"/>
      <sheetName val="MTL2"/>
      <sheetName val="MD1"/>
      <sheetName val="MD2"/>
      <sheetName val="Sheet1"/>
      <sheetName val="Sheet2"/>
      <sheetName val="Sheet3"/>
      <sheetName val="NVA-300T返品リスト"/>
      <sheetName val="Summary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FY03CostStructure"/>
      <sheetName val="PLALL2"/>
      <sheetName val="Funnel"/>
      <sheetName val="审核总览"/>
      <sheetName val="FA-LISTING"/>
      <sheetName val="SUM14ZC1"/>
      <sheetName val="FCG"/>
      <sheetName val="Comet Q202 Flash"/>
      <sheetName val="XL4Poppy"/>
      <sheetName val="tables"/>
      <sheetName val="產品基本信息"/>
      <sheetName val="工厂"/>
      <sheetName val="Tﾁｬｰﾄ"/>
      <sheetName val="Quantum Stds 12-4-01"/>
      <sheetName val="Raw materials"/>
      <sheetName val="URBANO P EST"/>
      <sheetName val="假设"/>
      <sheetName val="Summary Data"/>
      <sheetName val="분리멀티형"/>
      <sheetName val="PLALL"/>
      <sheetName val="Hidden"/>
      <sheetName val="Panel"/>
      <sheetName val="Pull HP Wide"/>
      <sheetName val="Pull All SFs"/>
      <sheetName val="Leap PO Std."/>
      <sheetName val="Quantum PO Std"/>
      <sheetName val="master PO"/>
      <sheetName val="Foams"/>
      <sheetName val="Grid"/>
      <sheetName val="k-line"/>
      <sheetName val="公司"/>
      <sheetName val="经营体"/>
      <sheetName val="供应商"/>
      <sheetName val="LRR Summary"/>
      <sheetName val="Original"/>
      <sheetName val="Sales Units (3)"/>
      <sheetName val="自制件材料价格"/>
      <sheetName val="UPPER BL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Tables"/>
      <sheetName val="FCG"/>
      <sheetName val="Funnel"/>
      <sheetName val="Comet Q202 Flash"/>
      <sheetName val="XL4Poppy"/>
      <sheetName val="72HX"/>
      <sheetName val="75EX"/>
      <sheetName val="72HY"/>
      <sheetName val="75EY"/>
      <sheetName val="Summary"/>
      <sheetName val="Original"/>
      <sheetName val="SPals"/>
      <sheetName val="假设"/>
      <sheetName val="Sheet1"/>
      <sheetName val="Q4 CURRENCY"/>
      <sheetName val="审核总览"/>
      <sheetName val="LOV"/>
      <sheetName val="FP"/>
      <sheetName val="Time Dimension Lookup"/>
      <sheetName val="3D ASPIRE Table"/>
      <sheetName val="Total_Financials"/>
      <sheetName val="Q4_Est__vs__Flash"/>
      <sheetName val="Otter_Exps"/>
      <sheetName val="9100-PO"/>
      <sheetName val="MCS"/>
      <sheetName val="Panel"/>
      <sheetName val="PLALL"/>
      <sheetName val="GWL-RUNING"/>
      <sheetName val="Chemical 2009"/>
      <sheetName val="Grey 2009"/>
      <sheetName val="TOTAL"/>
      <sheetName val="Main"/>
      <sheetName val="Planet_Ame"/>
      <sheetName val="Planet_AP"/>
      <sheetName val="Planet_EMEA"/>
      <sheetName val="Planet_OG"/>
      <sheetName val="Planet_WW"/>
      <sheetName val="Attachment-4(2)"/>
      <sheetName val="Raw materials"/>
      <sheetName val="Foams"/>
      <sheetName val="Grafvta00 (2)"/>
      <sheetName val="Grid"/>
      <sheetName val="HTP 2001"/>
      <sheetName val="Launch Costs TMNF"/>
      <sheetName val="April Antonio"/>
      <sheetName val="Leap PO Std."/>
      <sheetName val="Quantum PO Std"/>
      <sheetName val="master PO"/>
      <sheetName val="URBANO P EST"/>
      <sheetName val="PO File 2002"/>
      <sheetName val="PO File 2002 Final"/>
      <sheetName val="Summary Data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ETUP"/>
      <sheetName val="AmeSum"/>
      <sheetName val="Instructions"/>
      <sheetName val="Input FX Rates"/>
      <sheetName val="Input Dates"/>
      <sheetName val="INPUT - Data Table"/>
      <sheetName val="银行借款询证"/>
      <sheetName val="资产负债表"/>
      <sheetName val="资产负债表汇编"/>
      <sheetName val="APJSum"/>
      <sheetName val="EMEASum"/>
      <sheetName val="HPCoSum"/>
      <sheetName val="OGSum"/>
      <sheetName val="WWSum"/>
      <sheetName val="雷梦"/>
      <sheetName val="三分厂04年1-12月销售价 "/>
      <sheetName val="05年1月销售价"/>
      <sheetName val="04年12月销售价"/>
      <sheetName val="面积指标"/>
      <sheetName val="索引表"/>
      <sheetName val=" "/>
      <sheetName val="销售(合同)"/>
      <sheetName val="NVA-300T返品リスト"/>
      <sheetName val="MTL1"/>
      <sheetName val="Sheet3"/>
      <sheetName val="自制件材料价格"/>
      <sheetName val="Oct FW42 BaaN for G-Line"/>
      <sheetName val="Refrigerants"/>
      <sheetName val="po list"/>
      <sheetName val="2.2-5500台效率"/>
      <sheetName val="FA-LISTING"/>
      <sheetName val="目标体系横轴矩阵"/>
      <sheetName val="분리멀티형"/>
      <sheetName val="改善路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改善路径"/>
      <sheetName val="物料"/>
      <sheetName val="总装现状调研"/>
      <sheetName val="预装现状调研"/>
      <sheetName val="喷粉"/>
      <sheetName val="焊接打磨"/>
      <sheetName val="折弯"/>
      <sheetName val="冲压"/>
      <sheetName val="配送"/>
      <sheetName val="灶具"/>
      <sheetName val="裸件配送 "/>
      <sheetName val="成品库现状调研"/>
      <sheetName val="Sheet2"/>
      <sheetName val="Sheet1"/>
      <sheetName val="Sheet3"/>
      <sheetName val="Sheet4"/>
      <sheetName val="Sheet5"/>
      <sheetName val="Sheet7"/>
      <sheetName val="Sheet6"/>
      <sheetName val="Sheet9"/>
      <sheetName val="Sheet8"/>
      <sheetName val="Sheet10"/>
      <sheetName val="灯塔项目节点"/>
      <sheetName val="Total Financials"/>
      <sheetName val="自制件材料价格"/>
      <sheetName val="XL4Poppy"/>
      <sheetName val="SPals"/>
      <sheetName val="Summary Data"/>
      <sheetName val="k-line"/>
      <sheetName val="MC3(main)"/>
      <sheetName val="MC1"/>
      <sheetName val="PLALL"/>
      <sheetName val="UPPER BLOCK"/>
      <sheetName val="PLALL2"/>
      <sheetName val="분리멀티형"/>
      <sheetName val="72HX"/>
      <sheetName val="75EX"/>
      <sheetName val="72HY"/>
      <sheetName val="75EY"/>
      <sheetName val="未闭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预算原则"/>
      <sheetName val="填写步骤"/>
      <sheetName val="预算标准"/>
      <sheetName val="指标"/>
      <sheetName val="校对"/>
      <sheetName val="年度"/>
      <sheetName val="月度-全球"/>
      <sheetName val="月度-国内"/>
      <sheetName val="月度-海外"/>
      <sheetName val="国内-份额-毛收入"/>
      <sheetName val="国内-渠道"/>
      <sheetName val="国内-净收入"/>
      <sheetName val="海外-净收入"/>
      <sheetName val="产品系列"/>
      <sheetName val="假设"/>
      <sheetName val="PLALL"/>
      <sheetName val="公司"/>
      <sheetName val="工厂"/>
      <sheetName val="经营体"/>
      <sheetName val="供应商"/>
      <sheetName val="3D ASPIRE Tabl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UPPER BLOCK"/>
      <sheetName val="HDa16"/>
      <sheetName val="审核总览"/>
      <sheetName val="Sheet1"/>
      <sheetName val="Original"/>
      <sheetName val="FCG"/>
      <sheetName val="HTP 2001"/>
      <sheetName val="Funnel"/>
      <sheetName val="Q4 CURRENCY"/>
      <sheetName val="2010E2E预算模板"/>
      <sheetName val="LOV"/>
      <sheetName val="AmeSum"/>
      <sheetName val="Comet ASPIRE"/>
      <sheetName val="Comet Sequential"/>
      <sheetName val="Comet yoy"/>
      <sheetName val="FY03CostStructure"/>
      <sheetName val="项目日程安排"/>
      <sheetName val="Instructions"/>
      <sheetName val="Rates"/>
      <sheetName val="Panel"/>
      <sheetName val="Administrative"/>
      <sheetName val="B"/>
      <sheetName val="Erection"/>
      <sheetName val="KeyData"/>
      <sheetName val="Sheet2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costos fw 52"/>
      <sheetName val="tables"/>
      <sheetName val="9100-PO"/>
      <sheetName val="Comet Q202 Flash"/>
      <sheetName val="Summary Data"/>
      <sheetName val="abbr"/>
      <sheetName val="Sales Units (3)"/>
      <sheetName val="Leap PO Std."/>
      <sheetName val="Quantum PO Std"/>
      <sheetName val="master PO"/>
      <sheetName val="Oct FW42 BaaN for G-Line"/>
      <sheetName val="분리멀티형"/>
      <sheetName val="Spec"/>
      <sheetName val="Quantum Stds 12-4-01"/>
      <sheetName val="Raw materials"/>
      <sheetName val="MCS"/>
      <sheetName val="Time Dimension Lookup"/>
      <sheetName val="评价矩阵"/>
      <sheetName val="数据输入"/>
      <sheetName val="Foams"/>
      <sheetName val="Refrigerants"/>
      <sheetName val="produccion"/>
      <sheetName val="produccion Nov"/>
      <sheetName val="Oct Production"/>
      <sheetName val="Oct FW42 BaaN"/>
      <sheetName val="Quantum Stds 12-3-01"/>
      <sheetName val="Quantum Stds prev"/>
      <sheetName val="Grid"/>
      <sheetName val="Launch Costs TMNF"/>
      <sheetName val="April Antonio"/>
      <sheetName val="Grafvta00 (2)"/>
      <sheetName val="k-line"/>
      <sheetName val="01_宏命令库"/>
      <sheetName val="Safety _ P_A"/>
      <sheetName val="RecoveredExternalLink38"/>
    </sheetNames>
    <definedNames>
      <definedName name="ファイル閉" refersTo="='#REF!'!#REF!"/>
      <definedName name="関連ファイル読込" refersTo="='#REF!'!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盘点表"/>
      <sheetName val="Sheet3"/>
      <sheetName val="Sheet1"/>
      <sheetName val="Quantum Stds 12-4-01"/>
      <sheetName val="Raw materials"/>
      <sheetName val="Original"/>
      <sheetName val="PLALL"/>
      <sheetName val="Leap PO Std."/>
      <sheetName val="Quantum PO Std"/>
      <sheetName val="Summary"/>
      <sheetName val="master PO"/>
      <sheetName val="UPPER BLOCK"/>
      <sheetName val="假设"/>
      <sheetName val="HDa16"/>
      <sheetName val="FCG"/>
      <sheetName val="Planet_Ame"/>
      <sheetName val="Planet_AP"/>
      <sheetName val="Planet_EMEA"/>
      <sheetName val="Planet_OG"/>
      <sheetName val="Planet_WW"/>
      <sheetName val="Restate"/>
      <sheetName val="Sheet2"/>
      <sheetName val="23年到周-型号"/>
      <sheetName val="改善路径"/>
      <sheetName val="模具资产盘点表924--系统导入版本"/>
      <sheetName val="72HX"/>
      <sheetName val="75EX"/>
      <sheetName val="Total Financials"/>
      <sheetName val="75EY"/>
      <sheetName val="自制件材料价格"/>
      <sheetName val="XL4Poppy"/>
      <sheetName val="SUM14ZC1"/>
      <sheetName val="未闭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ｅｘｃｅｌ検討書ﾌｫｰﾏｯﾄA4新"/>
      <sheetName val="ＴＦ関連Ｐｒｊ日程表"/>
      <sheetName val="集計条件"/>
      <sheetName val="DOM-競合車SPEC"/>
      <sheetName val="Summary Data"/>
      <sheetName val="PLALL2"/>
      <sheetName val="Spec"/>
      <sheetName val="PLALL"/>
      <sheetName val="NEW003"/>
      <sheetName val="公司"/>
      <sheetName val="工厂"/>
      <sheetName val="经营体"/>
      <sheetName val="MC3(main)"/>
      <sheetName val="MC1"/>
      <sheetName val="供应商"/>
      <sheetName val="FY03CostStructure"/>
      <sheetName val="未闭环"/>
      <sheetName val="분리멀티형"/>
      <sheetName val="评价矩阵"/>
      <sheetName val="数据输入"/>
      <sheetName val="UPPER BLOCK"/>
      <sheetName val="假设"/>
      <sheetName val="HDa16"/>
      <sheetName val="Q4 CURRENCY"/>
      <sheetName val="Histogram"/>
      <sheetName val="Original"/>
      <sheetName val="Restate"/>
      <sheetName val="Instructions"/>
      <sheetName val="Dates"/>
      <sheetName val="LOV"/>
      <sheetName val="EPR"/>
      <sheetName val="VSAMS Summary"/>
      <sheetName val="Glossary"/>
      <sheetName val="Contents"/>
      <sheetName val="产品"/>
      <sheetName val="Summary"/>
      <sheetName val="LRR Summary"/>
      <sheetName val="改善路径"/>
      <sheetName val="Tﾁｬｰﾄ"/>
      <sheetName val="XL4Poppy"/>
      <sheetName val="URBANO P EST"/>
      <sheetName val="Comet Q202 Flash"/>
      <sheetName val="BaaN FW47"/>
      <sheetName val="Sep BaaN"/>
      <sheetName val="MCS"/>
      <sheetName val="Sheet3"/>
      <sheetName val="PO File 2002"/>
      <sheetName val="PO File 2002 Final"/>
      <sheetName val="莱阳厨电效率日清"/>
      <sheetName val="自制件材料价格"/>
      <sheetName val="NVA-300T返品リスト"/>
      <sheetName val="72HX"/>
      <sheetName val="75EX"/>
      <sheetName val="72HY"/>
      <sheetName val="75EY"/>
      <sheetName val="SUM14ZC1"/>
      <sheetName val="Leap PO Std."/>
      <sheetName val="Quantum PO Std"/>
      <sheetName val="master PO"/>
      <sheetName val="目标体系横轴矩阵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特殊人员健康状况跟踪"/>
      <sheetName val="因交通管制无法返程人员"/>
      <sheetName val="月薪资明细表"/>
      <sheetName val="档案在库人员"/>
      <sheetName val="离职转出"/>
      <sheetName val="沈阳冰箱总人员"/>
      <sheetName val="4-1验货评价1"/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PLALL"/>
      <sheetName val="一级表"/>
      <sheetName val="2.1-固定资产折旧预算表-说明"/>
      <sheetName val="SPals"/>
      <sheetName val="FY00 Restated"/>
      <sheetName val="FY01 Quota"/>
      <sheetName val="FY01 Actuals"/>
      <sheetName val="ITS"/>
      <sheetName val="Pull HP Wide"/>
      <sheetName val="Pull All SFs"/>
      <sheetName val="PLALL2"/>
      <sheetName val="CountryAll"/>
      <sheetName val="Legend"/>
      <sheetName val="Control Panel"/>
      <sheetName val="Forecast"/>
      <sheetName val="WW Total HPCI"/>
      <sheetName val="EMEA"/>
      <sheetName val="Americas"/>
      <sheetName val="LatinAm"/>
      <sheetName val="NAM"/>
      <sheetName val="NAM w-o Smartc."/>
      <sheetName val="GGM Sum"/>
      <sheetName val="HPCI P&amp;L Trend (Blue)"/>
      <sheetName val="HPCI P&amp;L Trend % (Blue)"/>
      <sheetName val="PL4K P&amp;L Trend"/>
      <sheetName val="PL4K P&amp;L Trend %"/>
      <sheetName val="PL79 P&amp;L Trend"/>
      <sheetName val="PL79 P&amp;L Trend %"/>
      <sheetName val="HPCI-COMET Comparison (Blue)"/>
      <sheetName val="Global OH (Blue)"/>
      <sheetName val="Headcount Reconciliation (Blue)"/>
      <sheetName val="Headcount Trend"/>
      <sheetName val="PL4K Labor Trend"/>
      <sheetName val="3D P&amp;L Vs ASPIRE (Blue)"/>
      <sheetName val="COMET P&amp;L Trend (Blue)"/>
      <sheetName val="COMET P&amp;L Trend % (Blue)"/>
      <sheetName val="FY02 Adjusted P&amp;L (Blue)"/>
      <sheetName val="Adjustment DTL (Blue)"/>
      <sheetName val="GGM Cap. Change Pull"/>
      <sheetName val="GGM Residual Pull"/>
      <sheetName val="GGM Local OH Pull"/>
      <sheetName val="GGM Allocs Pull"/>
      <sheetName val="GGM Oth Inc(Exp) Pull"/>
      <sheetName val="Smartcontact Gain Pull"/>
      <sheetName val="GGM Revenue Fall Out"/>
      <sheetName val="GGM Residual Fall Out"/>
      <sheetName val="Global OH Pull"/>
      <sheetName val="EN50_47 Global Pull"/>
      <sheetName val="Labor Pull"/>
      <sheetName val="Forecast Accuracy Trend"/>
      <sheetName val="COMET Pull"/>
      <sheetName val="WW P&amp;L Table"/>
      <sheetName val="WW Goal Table"/>
      <sheetName val="AsiaPac+Jpn"/>
      <sheetName val="AsiaPac"/>
      <sheetName val="Jpn"/>
      <sheetName val="GGM CF Pull"/>
      <sheetName val="HPC Region P&amp;L Table"/>
      <sheetName val="HPC Region Goal Table"/>
      <sheetName val="PL Region P&amp;L Table"/>
      <sheetName val="PL Region Goal Table"/>
      <sheetName val="3D P&amp;L Table"/>
      <sheetName val="Global OH Actuals Table"/>
      <sheetName val="Global OH Goal Table"/>
      <sheetName val="Geo Hc Actual Table"/>
      <sheetName val="Geo Hc Goal Table"/>
      <sheetName val="3D ASPIRE Table"/>
      <sheetName val="GGM Backlog Table"/>
      <sheetName val="COMET FY01 Pull"/>
      <sheetName val="Labor Pull FY01"/>
      <sheetName val="Tables"/>
      <sheetName val="DIO"/>
      <sheetName val="STD. COST"/>
      <sheetName val="面积指标"/>
      <sheetName val="MANPOWER"/>
      <sheetName val="分产品销售收入、成本分析表"/>
      <sheetName val="APJSum"/>
      <sheetName val="AmeSum"/>
      <sheetName val="EMEASum"/>
      <sheetName val="HPCoSum"/>
      <sheetName val="OGSum"/>
      <sheetName val="WWSum"/>
      <sheetName val="FP"/>
      <sheetName val="COVER PAGE"/>
      <sheetName val="Table of Contents"/>
      <sheetName val="Recon"/>
      <sheetName val="SUMMARY"/>
      <sheetName val="SUMMARY (EXPD)"/>
      <sheetName val="SUMMARY (%)"/>
      <sheetName val="Bridge"/>
      <sheetName val="PL1"/>
      <sheetName val="PL2"/>
      <sheetName val="PL3"/>
      <sheetName val="PL4"/>
      <sheetName val="QTD TO GO"/>
      <sheetName val="Linearity"/>
      <sheetName val="Linearity Chart"/>
      <sheetName val="Rev-GM Detail 1"/>
      <sheetName val="Rev-GM Detail 2"/>
      <sheetName val="COS1"/>
      <sheetName val="COS2"/>
      <sheetName val="COS3"/>
      <sheetName val="COS4"/>
      <sheetName val="Rev Trend"/>
      <sheetName val="Rev Mix Trend"/>
      <sheetName val="GM Trend"/>
      <sheetName val="GM% Trend"/>
      <sheetName val="NP Trend"/>
      <sheetName val="Time Dimension Lookup"/>
      <sheetName val="WW"/>
      <sheetName val="Ame"/>
      <sheetName val="APJ"/>
      <sheetName val="OG"/>
      <sheetName val="HPCoENs"/>
      <sheetName val="Q4 CURRENCY"/>
      <sheetName val="PL-MTD"/>
      <sheetName val="PL-YTD"/>
      <sheetName val="FCG"/>
      <sheetName val="假设"/>
      <sheetName val="HC"/>
      <sheetName val="MPals"/>
      <sheetName val="HPSSpe"/>
      <sheetName val="MSSpe"/>
      <sheetName val="CISpe"/>
      <sheetName val="EduSpe"/>
      <sheetName val="ChaSpe"/>
      <sheetName val="IBSpe"/>
      <sheetName val="TeleNbiz"/>
      <sheetName val="MTeleNbiz"/>
      <sheetName val="SM"/>
      <sheetName val="Prf Distrib"/>
      <sheetName val="Chart your own Dist."/>
      <sheetName val="Simu"/>
      <sheetName val="Job #12"/>
      <sheetName val="Job #13"/>
      <sheetName val="Job #14"/>
      <sheetName val="Job #15"/>
      <sheetName val="Job #16"/>
      <sheetName val="Job #17"/>
      <sheetName val="Job #18"/>
      <sheetName val="Job #19"/>
      <sheetName val="Job #20"/>
      <sheetName val="Normal Dist"/>
      <sheetName val="HP_PL-QTD "/>
      <sheetName val="HP_PL-YTD "/>
      <sheetName val="BCO_PL-MTD "/>
      <sheetName val="BCO_PL-QTD  "/>
      <sheetName val="BCO_PL-YTD "/>
      <sheetName val="出货"/>
      <sheetName val="收货"/>
      <sheetName val="以此为准"/>
      <sheetName val="Raw materials (2)"/>
      <sheetName val="Raw materials"/>
      <sheetName val="内销"/>
      <sheetName val="1.1"/>
      <sheetName val="Comet Q202 Flash"/>
      <sheetName val="Navigation &amp; Assumptions"/>
      <sheetName val="HPCO  GAAP by Qtr"/>
      <sheetName val="HPCO  Pro Forma by Qtr"/>
      <sheetName val="HPCO  GAAP by Half"/>
      <sheetName val="HPCO  Pro Forma by Half"/>
      <sheetName val="BCO by Qtr"/>
      <sheetName val="CBO by Qtr"/>
      <sheetName val="HPS by Qtr"/>
      <sheetName val="BCO by Half"/>
      <sheetName val="CBO by Half"/>
      <sheetName val="HPS by Half"/>
      <sheetName val="IPS by Qtr"/>
      <sheetName val="CS by Qtr"/>
      <sheetName val="ITS by Qtr"/>
      <sheetName val="EPS by Qtr"/>
      <sheetName val="Financing by Qtr"/>
      <sheetName val="IPS by Half"/>
      <sheetName val="CS by Half"/>
      <sheetName val="ITS by Half"/>
      <sheetName val="EPS by Half"/>
      <sheetName val="Financing by Half"/>
      <sheetName val="CF Q302 Slide"/>
      <sheetName val="CF Q402 Slide"/>
      <sheetName val="CF H202 Slide"/>
      <sheetName val="PG Q302 Slide"/>
      <sheetName val="PG Q402 Slide"/>
      <sheetName val="PG H202 Slide"/>
      <sheetName val="CF Q302 vs Q301"/>
      <sheetName val="CF Q302 vs Q202"/>
      <sheetName val="CF Q402 vs Q401"/>
      <sheetName val="CF Q402 vs Q302"/>
      <sheetName val="CF H102 Flash vs H101"/>
      <sheetName val="CF H102 Flash vs H201"/>
      <sheetName val="CF H202 ASPIRE vs H201"/>
      <sheetName val="CF H202 ASPIRE vs H102 Flash"/>
      <sheetName val="CF FY02 ASP-Flash vs FY01"/>
      <sheetName val="PG Q302 vs Q301"/>
      <sheetName val="PG Q302 vs Q202"/>
      <sheetName val="PG Q402 vs Q401"/>
      <sheetName val="PG Q402 vs Q302"/>
      <sheetName val="PG H102 Flash vs H101"/>
      <sheetName val="PG H102 Flash vs H201"/>
      <sheetName val="PG H202 ASPIRE vs H201"/>
      <sheetName val="PG H202 ASPIRE vs H102 Flash"/>
      <sheetName val="PG FY02 ASP-Flash vs FY01"/>
      <sheetName val="CF by PC Q302 vs Q301"/>
      <sheetName val="CF by PC Q302 vs Q202"/>
      <sheetName val="CF by PC Q402 vs Q401"/>
      <sheetName val="CF by PC Q402 vs Q302"/>
      <sheetName val="CF by PC H102 Flash vs H101"/>
      <sheetName val="CF by PC H102 Flash vs H201"/>
      <sheetName val="CF by PC H202 ASP vs H201"/>
      <sheetName val="CF by PC H202 ASP vs H102 Flash"/>
      <sheetName val="CF by PC FY02 ASP-Flash vs FY01"/>
      <sheetName val="PG by PC Q302 vs Q301"/>
      <sheetName val="PG by PC Q302 vs Q202"/>
      <sheetName val="PG by PC Q402 vs Q401"/>
      <sheetName val="PG by PC Q402 vs Q302"/>
      <sheetName val="PG by PC H102 Flash vs H101"/>
      <sheetName val="PG by PC H102 Flash vs H201"/>
      <sheetName val="PG by PC H202 ASP vs H201"/>
      <sheetName val="PG by PC H202 ASP vs H102 Flash"/>
      <sheetName val="PG by PC FY02 ASP-Flash vs FY01"/>
      <sheetName val="Comet Q101"/>
      <sheetName val="Comet Q201"/>
      <sheetName val="Comet Q301"/>
      <sheetName val="Comet Q401"/>
      <sheetName val="Comet H101"/>
      <sheetName val="Comet H201"/>
      <sheetName val="Comet FY01"/>
      <sheetName val="Comet Q102"/>
      <sheetName val="Flash Template"/>
      <sheetName val="ASPIRE Template Q302"/>
      <sheetName val="ASPIRE Template Q402"/>
      <sheetName val="Comet Q302 ASPIRE"/>
      <sheetName val="Comet Q402 ASPIRE"/>
      <sheetName val="Comet H102 Flash"/>
      <sheetName val="Comet H202 ASPIRE"/>
      <sheetName val="Comet FY02 Flash-ASPIRE"/>
      <sheetName val="Comet ASPIRE"/>
      <sheetName val="Month 1"/>
      <sheetName val="Month 2"/>
      <sheetName val="Extr. Gain Table"/>
      <sheetName val="Total Financials"/>
      <sheetName val="XL4Poppy"/>
      <sheetName val="URBANO P EST"/>
      <sheetName val="汇总"/>
      <sheetName val="20180926"/>
      <sheetName val="流入流出"/>
      <sheetName val="UPPER BLOCK"/>
      <sheetName val="HDa16"/>
      <sheetName val="字段"/>
      <sheetName val="Tabelle1"/>
      <sheetName val="Tabelle2"/>
      <sheetName val="Tabelle3"/>
      <sheetName val="Test"/>
      <sheetName val="#BEZUG"/>
      <sheetName val="相关参数"/>
      <sheetName val="明细"/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170E2生產安排分析"/>
      <sheetName val="72HX"/>
      <sheetName val="72HY"/>
      <sheetName val="75EX"/>
      <sheetName val="75EY"/>
      <sheetName val="数据有效性说明"/>
      <sheetName val="Top Lvl  Logic"/>
      <sheetName val="Process"/>
      <sheetName val="Parts"/>
      <sheetName val="Safety _ P_A"/>
      <sheetName val="Questions"/>
      <sheetName val="4BLOCK"/>
      <sheetName val="DCRR Model"/>
      <sheetName val="Adj Vol Forecast"/>
      <sheetName val="GE Standard"/>
      <sheetName val="Koito Custom-made"/>
      <sheetName val="Koito Export"/>
      <sheetName val="AR Signature Page"/>
      <sheetName val="abbr"/>
      <sheetName val="abbreviations"/>
      <sheetName val="Lab"/>
      <sheetName val="BOM-Mumbo"/>
      <sheetName val="BOM-K1000"/>
      <sheetName val="9100-OH"/>
      <sheetName val="9100-PO"/>
      <sheetName val="9210-20-OH"/>
      <sheetName val="9210-20-PO"/>
      <sheetName val="inv-aging"/>
      <sheetName val="inv-ag20020522"/>
      <sheetName val="inv-ag20020522a"/>
      <sheetName val="inv-ag20020522b"/>
      <sheetName val="9100_PO"/>
      <sheetName val="Application for GM Signature"/>
      <sheetName val="AC 2011 budget break"/>
      <sheetName val="Jan"/>
      <sheetName val="Feb"/>
      <sheetName val="Mar"/>
      <sheetName val="Jan-Mar"/>
      <sheetName val="April"/>
      <sheetName val="May"/>
      <sheetName val="June"/>
      <sheetName val="April-June"/>
      <sheetName val="July"/>
      <sheetName val="August"/>
      <sheetName val="September"/>
      <sheetName val="July-September"/>
      <sheetName val="Summary by Dealer"/>
      <sheetName val="Jan-Oct"/>
      <sheetName val="Calenda2009"/>
      <sheetName val="Calendar2008"/>
      <sheetName val="2009"/>
      <sheetName val="Condition"/>
      <sheetName val="Y2012-040112(75K)"/>
      <sheetName val="expense (format ACC)"/>
      <sheetName val="expense (format factory)"/>
      <sheetName val="wage"/>
      <sheetName val="Organize(111111)"/>
      <sheetName val="HTC price structure(241111)"/>
      <sheetName val="INVEST-ACF -2012"/>
      <sheetName val="2012 (v.1)"/>
      <sheetName val="Di-P"/>
      <sheetName val="损益表导入"/>
      <sheetName val="MFG (2)"/>
      <sheetName val="P&amp;L"/>
      <sheetName val="MFG"/>
      <sheetName val="Manpower ACF"/>
      <sheetName val="Organize(Oct 29'2009) (2)"/>
      <sheetName val="List of name (108)"/>
      <sheetName val="List of name (ACF)"/>
      <sheetName val="List of name (106) (Revise2)"/>
      <sheetName val="AIR(1-4)"/>
      <sheetName val="AIR(5-7)"/>
      <sheetName val="CL (2)"/>
      <sheetName val="Report Summary"/>
      <sheetName val="Sales Report Japanese"/>
      <sheetName val="Sales,Stock detailes "/>
      <sheetName val="bs"/>
      <sheetName val="income"/>
      <sheetName val="pl"/>
      <sheetName val="op exp"/>
      <sheetName val="sales"/>
      <sheetName val="purchases"/>
      <sheetName val="gp"/>
      <sheetName val="stock"/>
      <sheetName val="DEALER PROFIT"/>
      <sheetName val="nov ytd"/>
      <sheetName val="nov 04"/>
      <sheetName val="HeadCount"/>
      <sheetName val="⁓heet2"/>
      <sheetName val="TITLE"/>
      <sheetName val="営業月報"/>
      <sheetName val="PSI summary"/>
      <sheetName val="BAL SHEET"/>
      <sheetName val="p and l"/>
      <sheetName val="expenses"/>
      <sheetName val="SPEC OF ACCOUNTS"/>
      <sheetName val="BORROWINGS"/>
      <sheetName val="heads"/>
      <sheetName val="pl summ"/>
      <sheetName val="sales JAN05"/>
      <sheetName val="gp JAN 05"/>
      <sheetName val="purch JAN 05"/>
      <sheetName val="Stock Aged List"/>
      <sheetName val="SalesStock"/>
      <sheetName val="特記事項"/>
      <sheetName val="gpmth"/>
      <sheetName val="gp ytd"/>
      <sheetName val="Monthly Account Report - GP"/>
      <sheetName val="Monthly Account Report - Purcha"/>
      <sheetName val="Monthly Account Report - Sales"/>
      <sheetName val="CLAIM"/>
      <sheetName val="pldt"/>
      <sheetName val="98C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ctivity"/>
      <sheetName val="SI-DR FOR  APR09"/>
      <sheetName val="POD PERFORMANCE PER TRUCKER"/>
      <sheetName val="cbm per unit"/>
      <sheetName val="JASP Template"/>
      <sheetName val="LIST"/>
      <sheetName val="AISIN"/>
      <sheetName val="AISIN EUROPE"/>
      <sheetName val="ASE TEKNIK"/>
      <sheetName val="AUTO"/>
      <sheetName val="BARIA-VUNGTAU"/>
      <sheetName val="BASIT ASIF &amp; BROTHERS"/>
      <sheetName val="BUS &amp; TRUCK"/>
      <sheetName val="CHAIN FAR"/>
      <sheetName val="CHIYODA"/>
      <sheetName val="CYRIC"/>
      <sheetName val="DOBAC"/>
      <sheetName val="DUNOPIE"/>
      <sheetName val="EBONIS"/>
      <sheetName val="GENERAL AUTOMOBILES"/>
      <sheetName val="GENUINE MOTORS"/>
      <sheetName val="GHAFFAR"/>
      <sheetName val="HAFEEZ"/>
      <sheetName val="IKAE"/>
      <sheetName val="INDAMERICA"/>
      <sheetName val="INTIMEX"/>
      <sheetName val="ITO"/>
      <sheetName val="K.M.MOTORS"/>
      <sheetName val="KTE"/>
      <sheetName val="MECPAC"/>
      <sheetName val="MUNIR"/>
      <sheetName val="NEC"/>
      <sheetName val="NIPPON PILLAR"/>
      <sheetName val="PBR"/>
      <sheetName val="PBR(M)"/>
      <sheetName val="PREMIER"/>
      <sheetName val="PT.INDOPRIMA"/>
      <sheetName val="PT.KONAN"/>
      <sheetName val="SLS"/>
      <sheetName val="TBJ"/>
      <sheetName val="THAI CAPITAL"/>
      <sheetName val="THAI NKK"/>
      <sheetName val="THAI POLY"/>
      <sheetName val="VALFLON"/>
      <sheetName val="NIPPON"/>
      <sheetName val="ZIP INT'L"/>
      <sheetName val="Bal Sht"/>
      <sheetName val="B3_SUAD"/>
      <sheetName val="B10.1_AA24"/>
      <sheetName val="B10.2_AA25"/>
      <sheetName val="B10.2_AA25 (2)"/>
      <sheetName val="B1.3_B"/>
      <sheetName val="B1.4_C"/>
      <sheetName val="B1.5_D"/>
      <sheetName val="B1.6_E"/>
      <sheetName val="B1.7_F"/>
      <sheetName val="B1.7.1_F"/>
      <sheetName val="B1.8_H"/>
      <sheetName val="B1.9_J"/>
      <sheetName val="B1.11_Q"/>
      <sheetName val="B1.11.1_Q"/>
      <sheetName val="B1.12_N"/>
      <sheetName val="B1.13_R"/>
      <sheetName val="B1.10_L"/>
      <sheetName val="B1.10.1_L"/>
      <sheetName val="B1.14_W1"/>
      <sheetName val="B1.15_X"/>
      <sheetName val="B1.15.1_X"/>
      <sheetName val="B1.15.3_X"/>
      <sheetName val="B1.15.4_X"/>
      <sheetName val="B1.15.5_X"/>
      <sheetName val="B1.16_X"/>
      <sheetName val="B1.17"/>
      <sheetName val="Q107 vs Q108 YoY Summary"/>
      <sheetName val="US Summary"/>
      <sheetName val="US Fcst"/>
      <sheetName val="UK &amp; Italy Summary"/>
      <sheetName val="UK Fcst"/>
      <sheetName val="Japan BTS Summary"/>
      <sheetName val="FY08 YTD"/>
      <sheetName val="YoY "/>
      <sheetName val="WoW "/>
      <sheetName val="FY08 Weekly Data"/>
      <sheetName val="Lookup"/>
      <sheetName val="US"/>
      <sheetName val="UK"/>
      <sheetName val="Japan"/>
      <sheetName val="Italy"/>
      <sheetName val="Canada"/>
      <sheetName val="BW Total Sales"/>
      <sheetName val="FY07 P1-P9 Weekly Data"/>
      <sheetName val="FY07 P10-P12 Weekly Data"/>
      <sheetName val="FY06 Wkly"/>
      <sheetName val="US iPod Attach"/>
      <sheetName val="Japan iPod Attach"/>
      <sheetName val="11217000"/>
      <sheetName val="11217010"/>
      <sheetName val="11357000"/>
      <sheetName val="11357001"/>
      <sheetName val="1560"/>
      <sheetName val="1988"/>
      <sheetName val="23107000"/>
      <sheetName val="2340 &amp; 2341"/>
      <sheetName val="2350"/>
      <sheetName val="2430"/>
      <sheetName val="24300016"/>
      <sheetName val="vlookup"/>
      <sheetName val="s"/>
      <sheetName val="0000"/>
      <sheetName val="FG"/>
      <sheetName val="SPARES"/>
      <sheetName val="Description"/>
      <sheetName val="Sample Costing"/>
      <sheetName val="Sept03"/>
      <sheetName val="Product"/>
      <sheetName val="Insurance"/>
      <sheetName val="Tax"/>
      <sheetName val="Schedule 10 Page 1"/>
      <sheetName val="Schedule 10 Page 2 "/>
      <sheetName val="Schedule 10 Page 3"/>
      <sheetName val="Schedule 10 Page 4"/>
      <sheetName val="Schedule 10 Page 5"/>
      <sheetName val="Schedule 10 Page 6 "/>
      <sheetName val="Schedule 10 Page 7"/>
      <sheetName val="Schedule 10 Page 8"/>
      <sheetName val="ATV 12 Def Rev"/>
      <sheetName val="VF48"/>
      <sheetName val="ZF804 (ST LT)"/>
      <sheetName val="GL23150023"/>
      <sheetName val="GL26910000"/>
      <sheetName val="JV"/>
      <sheetName val="BRec P3"/>
      <sheetName val="Instructions"/>
      <sheetName val="BRec"/>
      <sheetName val="Matching"/>
      <sheetName val="GL"/>
      <sheetName val="Forecasting"/>
      <sheetName val="SAP_TH_P5"/>
      <sheetName val="Def Rev"/>
      <sheetName val="Def COGS"/>
      <sheetName val="JV Reclass."/>
      <sheetName val="JV Auto rev."/>
      <sheetName val="Total Claims Received"/>
      <sheetName val="Control"/>
      <sheetName val="Reference data"/>
      <sheetName val="Workfile-Do not delete"/>
      <sheetName val="Div 64 CONTROL Sheet"/>
      <sheetName val="20300000_GL"/>
      <sheetName val="20370001_GL"/>
      <sheetName val="64-20390001"/>
      <sheetName val="20400000_GL"/>
      <sheetName val="20467000_GL"/>
      <sheetName val="64-20610000"/>
      <sheetName val="64-20610001"/>
      <sheetName val="20610003_GL"/>
      <sheetName val="64-20620001"/>
      <sheetName val="64-20630001"/>
      <sheetName val="21900000"/>
      <sheetName val="21940000_GL"/>
      <sheetName val="22000000"/>
      <sheetName val="22100000_GL"/>
      <sheetName val="22200000"/>
      <sheetName val="22207002"/>
      <sheetName val="22207003"/>
      <sheetName val="22207004"/>
      <sheetName val="22207005"/>
      <sheetName val="22550000_GL"/>
      <sheetName val="22700000_GL"/>
      <sheetName val="22707002_GL"/>
      <sheetName val="23107000_GL"/>
      <sheetName val="23131000"/>
      <sheetName val="23131001"/>
      <sheetName val="23140000"/>
      <sheetName val="23140002"/>
      <sheetName val="23140004"/>
      <sheetName val="23150006"/>
      <sheetName val="23150010"/>
      <sheetName val="23150023 &amp; 26910000"/>
      <sheetName val="23180001_GL"/>
      <sheetName val="23200062 &amp; 27540062"/>
      <sheetName val="23400000 &amp; 23410000"/>
      <sheetName val="234400xx"/>
      <sheetName val="23450000_GL"/>
      <sheetName val="23500000_GL"/>
      <sheetName val="23600000_GL"/>
      <sheetName val="23650000_GL "/>
      <sheetName val="23750000_GL"/>
      <sheetName val="23850000_GL"/>
      <sheetName val="23900000_GL"/>
      <sheetName val="24300000_GL"/>
      <sheetName val="15427000 and 24807000_GL"/>
      <sheetName val="27010xxx &amp; 27510xxx"/>
      <sheetName val="Sales Summary"/>
      <sheetName val="BSLATEMP"/>
      <sheetName val="BSLA"/>
      <sheetName val="Balances"/>
      <sheetName val="Transactions"/>
      <sheetName val="Cash Management"/>
      <sheetName val="Invoices"/>
      <sheetName val="Invoice Drill"/>
      <sheetName val="Journal Drill"/>
      <sheetName val="Projects"/>
      <sheetName val="ARInvoice"/>
      <sheetName val="Property on hand"/>
      <sheetName val="Property Sold"/>
      <sheetName val="Sec.on Hand"/>
      <sheetName val="Sec.Sold"/>
      <sheetName val="Others"/>
      <sheetName val="Others Sold"/>
      <sheetName val="source"/>
      <sheetName val="Lead"/>
      <sheetName val="Links"/>
      <sheetName val="Tickmarks"/>
      <sheetName val="Tax cal_2009"/>
      <sheetName val="TB-JM201"/>
      <sheetName val="Pivot"/>
      <sheetName val="Detailed TB"/>
      <sheetName val="Post YE entries"/>
      <sheetName val="Adj&amp;Rje 2008"/>
      <sheetName val="ADJ2009"/>
      <sheetName val="RJE2009"/>
      <sheetName val="Recon of RE with Stat accs"/>
      <sheetName val="SS1"/>
      <sheetName val="SS2"/>
      <sheetName val="SS3"/>
      <sheetName val="G-1000"/>
      <sheetName val="P-1000"/>
      <sheetName val="Z-1000"/>
      <sheetName val="Z-1100"/>
      <sheetName val="OO-1000"/>
      <sheetName val="RR-1000"/>
      <sheetName val="RR-1100"/>
      <sheetName val="I1-1000"/>
      <sheetName val="L-1000"/>
      <sheetName val="PP-1000"/>
      <sheetName val="PP-1100"/>
      <sheetName val="LL-1000"/>
      <sheetName val="LL-2000"/>
      <sheetName val="YY-1000"/>
      <sheetName val="ZA-1000"/>
      <sheetName val="ZB-1000"/>
      <sheetName val="ZJ-1000"/>
      <sheetName val="ZM-1000"/>
      <sheetName val="ZS-1000"/>
      <sheetName val="ZT-1000"/>
      <sheetName val="Trn_0109 to 1209"/>
      <sheetName val="RJE_RE"/>
      <sheetName val="Excite accruals"/>
      <sheetName val="Adj&amp;Rje 2007"/>
      <sheetName val="Adj&amp;Rje 2006"/>
      <sheetName val="ZJ-1100"/>
      <sheetName val="ZJ-1300"/>
      <sheetName val="Macro1"/>
      <sheetName val="GCF Balances Fast"/>
      <sheetName val="TB-JM299"/>
      <sheetName val="TB-JM201 (2)"/>
      <sheetName val="Withholding tax"/>
      <sheetName val="TB-2005"/>
      <sheetName val="320"/>
      <sheetName val="A-006"/>
      <sheetName val="A-007"/>
      <sheetName val="L-010"/>
      <sheetName val="OO-1200"/>
      <sheetName val="YY-1000 (2)"/>
      <sheetName val="RE"/>
      <sheetName val="A-009"/>
      <sheetName val="A-010"/>
      <sheetName val="L-017"/>
      <sheetName val="L-014-17"/>
      <sheetName val="L-023"/>
      <sheetName val="320099001"/>
      <sheetName val="572002001"/>
      <sheetName val="Foreign WHT"/>
      <sheetName val="eT&amp;L-wk50 (Adjustment)"/>
      <sheetName val="3800"/>
      <sheetName val="J1"/>
      <sheetName val="J2"/>
      <sheetName val="J3 - Nong Pra Lai"/>
      <sheetName val="J4 - Cha Cheng Sao"/>
      <sheetName val="f-1"/>
      <sheetName val="f-2"/>
      <sheetName val="f-3"/>
      <sheetName val="B-2"/>
      <sheetName val="L-3"/>
      <sheetName val="L-4"/>
      <sheetName val="U-5"/>
      <sheetName val="Z-4"/>
      <sheetName val="AA-6 (2)"/>
      <sheetName val="AA-6"/>
      <sheetName val="NN-6"/>
      <sheetName val="BB-7"/>
      <sheetName val="CC-8"/>
      <sheetName val="CC-9"/>
      <sheetName val="DD-10"/>
      <sheetName val="KK"/>
      <sheetName val="MM"/>
      <sheetName val="10"/>
      <sheetName val="70"/>
      <sheetName val="30"/>
      <sheetName val="30-note"/>
      <sheetName val="40"/>
      <sheetName val="90"/>
      <sheetName val="10-test (revise)"/>
      <sheetName val="10-1 Media"/>
      <sheetName val="10-cut"/>
      <sheetName val="10-test"/>
      <sheetName val="manual"/>
      <sheetName val="share cost"/>
      <sheetName val="Raw Material Vender"/>
      <sheetName val="WIP"/>
      <sheetName val="Raw Material ทำเอง"/>
      <sheetName val="Raw Material"/>
      <sheetName val="Packing"/>
      <sheetName val="supply in stock"/>
      <sheetName val="CompanyAtt"/>
      <sheetName val="ZB - 100.1"/>
      <sheetName val="ZB - 100.2"/>
      <sheetName val="ZB - 100.3"/>
      <sheetName val="VAL. SUM."/>
      <sheetName val="CTAS. RLDO. - VERSION FINAL"/>
      <sheetName val="PLAN C4"/>
      <sheetName val="CONTA.CASA"/>
      <sheetName val="CASA-PLAN"/>
      <sheetName val="NORTE2"/>
      <sheetName val="CASA-SUMARIA"/>
      <sheetName val="CASA-PERSONAL"/>
      <sheetName val="CASA-GASTOS GENERALES"/>
      <sheetName val="Pending (2)"/>
      <sheetName val="จำนวนคนไข้"/>
      <sheetName val="อัตราดอกเบี้ย"/>
      <sheetName val="T300 if add back dep"/>
      <sheetName val="T300"/>
      <sheetName val="T300-4"/>
      <sheetName val="P300"/>
      <sheetName val="X300"/>
      <sheetName val="X300-1"/>
      <sheetName val="Q300"/>
      <sheetName val="Q300-1"/>
      <sheetName val="Q400"/>
      <sheetName val="Q400-1"/>
      <sheetName val="M300"/>
      <sheetName val="L400"/>
      <sheetName val="L400-2"/>
      <sheetName val="L400-3"/>
      <sheetName val="L400-4"/>
      <sheetName val="AR90-270 (P'Tam)"/>
      <sheetName val="L300"/>
      <sheetName val="L300-1"/>
      <sheetName val="L300-2"/>
      <sheetName val="KK2006"/>
      <sheetName val="R300"/>
      <sheetName val="R300-1"/>
      <sheetName val="CC-2(R302)"/>
      <sheetName val="confirm"/>
      <sheetName val="RBS"/>
      <sheetName val="Udorn"/>
      <sheetName val="Hadyai"/>
      <sheetName val="Chaing"/>
      <sheetName val="Ubon"/>
      <sheetName val="Rat"/>
      <sheetName val="Chan"/>
      <sheetName val="group"/>
      <sheetName val="com"/>
      <sheetName val="Bank"/>
      <sheetName val="LIA"/>
      <sheetName val="ASS"/>
      <sheetName val="INC"/>
      <sheetName val="ADJ."/>
      <sheetName val="ADJ-VAR"/>
      <sheetName val="hedging"/>
      <sheetName val="Rate B,G"/>
      <sheetName val="defer"/>
      <sheetName val="คชจ-อบรม"/>
      <sheetName val="aff"/>
      <sheetName val="laroux"/>
      <sheetName val="adj"/>
      <sheetName val="ASS."/>
      <sheetName val="LIA."/>
      <sheetName val="VAR"/>
      <sheetName val="retire42"/>
      <sheetName val="prop"/>
      <sheetName val="120511 AGT"/>
      <sheetName val="งบกระแสเงินสด"/>
      <sheetName val="detail44 (2)"/>
      <sheetName val="inc(dec)"/>
      <sheetName val="ques."/>
      <sheetName val="F_note"/>
      <sheetName val="A"/>
      <sheetName val="B"/>
      <sheetName val="B-1"/>
      <sheetName val="C"/>
      <sheetName val="C-3"/>
      <sheetName val="C-5"/>
      <sheetName val="L"/>
      <sheetName val="M"/>
      <sheetName val="M-1"/>
      <sheetName val="N"/>
      <sheetName val="U"/>
      <sheetName val="AA"/>
      <sheetName val="AA-FWD"/>
      <sheetName val="BB"/>
      <sheetName val="BB-1"/>
      <sheetName val="CC"/>
      <sheetName val="CC_1"/>
      <sheetName val="CC-1"/>
      <sheetName val="CC_2"/>
      <sheetName val="EE"/>
      <sheetName val="20"/>
      <sheetName val="issue"/>
      <sheetName val="purchase"/>
      <sheetName val="cut-off"/>
      <sheetName val="30-1"/>
      <sheetName val="30-2"/>
      <sheetName val="30-2 (2)"/>
      <sheetName val="C-Feedmill"/>
      <sheetName val="C-Chilled"/>
      <sheetName val="movement doc-Chill"/>
      <sheetName val="Top-ไก่พันธุ์"/>
      <sheetName val="compute-ไก่พันธุ์"/>
      <sheetName val="top-ไก่เนื้อ"/>
      <sheetName val="เล้าที่ 20"/>
      <sheetName val="เล้าที่ 21"/>
      <sheetName val="ลูกหนี้(เก่า)"/>
      <sheetName val="FA Consol"/>
      <sheetName val="Index"/>
      <sheetName val="Doc (2)"/>
      <sheetName val="Point (3)"/>
      <sheetName val="Point (2)"/>
      <sheetName val="Doc"/>
      <sheetName val="Point"/>
      <sheetName val="RJE&amp;AJE"/>
      <sheetName val="E1-1"/>
      <sheetName val="E1-2"/>
      <sheetName val="E1-3"/>
      <sheetName val="K"/>
      <sheetName val="M Note"/>
      <sheetName val="V"/>
      <sheetName val="V EXC"/>
      <sheetName val="V Confirm"/>
      <sheetName val="X (2)"/>
      <sheetName val="X EXC"/>
      <sheetName val="X Confirm"/>
      <sheetName val="P"/>
      <sheetName val="X"/>
      <sheetName val="ZA (2)"/>
      <sheetName val="ZC (2)"/>
      <sheetName val="ZB"/>
      <sheetName val="ZB TM"/>
      <sheetName val="ZD"/>
      <sheetName val="ZD tickmark"/>
      <sheetName val="NFS-ZD"/>
      <sheetName val="OH (2)"/>
      <sheetName val="OH TM"/>
      <sheetName val="NFS-ZD (2)"/>
      <sheetName val="E1-1 (2)"/>
      <sheetName val="E1-2 (2)"/>
      <sheetName val="E1-3 (2)"/>
      <sheetName val="E1-3 8 month"/>
      <sheetName val="Cutoff pur"/>
      <sheetName val="Reconcile"/>
      <sheetName val="Test payroll"/>
      <sheetName val="Test payroll-Note"/>
      <sheetName val="Test-Shizuma"/>
      <sheetName val="Test-Yuji"/>
      <sheetName val="Test-Sumalee"/>
      <sheetName val="Test-Parinya"/>
      <sheetName val="Data"/>
      <sheetName val="BL Jul'04"/>
      <sheetName val="Unpresent Chq CTB"/>
      <sheetName val="103080"/>
      <sheetName val="103000"/>
      <sheetName val="103030"/>
      <sheetName val="103060"/>
      <sheetName val="103100"/>
      <sheetName val="106000"/>
      <sheetName val="Intercom"/>
      <sheetName val="120000"/>
      <sheetName val="121500 Jun'04"/>
      <sheetName val="130100"/>
      <sheetName val="130300"/>
      <sheetName val="130500"/>
      <sheetName val="130510"/>
      <sheetName val="Cement rebate"/>
      <sheetName val="Additive rebate Jul'04"/>
      <sheetName val="130521"/>
      <sheetName val="130530"/>
      <sheetName val="140023"/>
      <sheetName val="140753"/>
      <sheetName val="140801"/>
      <sheetName val="152000"/>
      <sheetName val="170100"/>
      <sheetName val="170200"/>
      <sheetName val="170800"/>
      <sheetName val="171200"/>
      <sheetName val="171210"/>
      <sheetName val="200100"/>
      <sheetName val="200200"/>
      <sheetName val="200500"/>
      <sheetName val="201900"/>
      <sheetName val="202200"/>
      <sheetName val="203300"/>
      <sheetName val="300100-320000"/>
      <sheetName val="400000"/>
      <sheetName val="430300"/>
      <sheetName val="430600"/>
      <sheetName val="Detail Po log"/>
      <sheetName val="471100"/>
      <sheetName val="471110"/>
      <sheetName val="471200"/>
      <sheetName val="Test cost dome "/>
      <sheetName val="Test cost oversea"/>
      <sheetName val="TM_test oversea"/>
      <sheetName val="TM_test dome"/>
      <sheetName val="N (2)"/>
      <sheetName val="ทะเบียน"/>
      <sheetName val="รายชื่อ"/>
      <sheetName val="bonus"/>
      <sheetName val="Jan'07"/>
      <sheetName val="Feb'07"/>
      <sheetName val="Mar'07 "/>
      <sheetName val="Apr'07"/>
      <sheetName val="May'07"/>
      <sheetName val="Jun'07"/>
      <sheetName val="Jul'07"/>
      <sheetName val="Aug'07 "/>
      <sheetName val="Sep'07 "/>
      <sheetName val="Sec"/>
      <sheetName val="S20 (3)"/>
      <sheetName val="movement"/>
      <sheetName val="movement (2)"/>
      <sheetName val="Fully"/>
      <sheetName val="FG(B)"/>
      <sheetName val="RM"/>
      <sheetName val="part-local"/>
      <sheetName val="LOCAL(B)"/>
      <sheetName val="part-import"/>
      <sheetName val="Trial Balance Sep'05"/>
      <sheetName val="Department"/>
      <sheetName val="Flowchart"/>
      <sheetName val="SU-origin"/>
      <sheetName val="U-note-1"/>
      <sheetName val="note to U"/>
      <sheetName val="U-Note-predict-benz"/>
      <sheetName val="Depreciation-ann P"/>
      <sheetName val="Drepreciation-ori"/>
      <sheetName val="U-Note-detail"/>
      <sheetName val="U-Note"/>
      <sheetName val="U-Note (2)"/>
      <sheetName val="PGM_TOTAL"/>
      <sheetName val="PGM_CARTON"/>
      <sheetName val="CARTON_BT"/>
      <sheetName val="LINK"/>
      <sheetName val="PGM_SB"/>
      <sheetName val="SB_BT"/>
      <sheetName val="PGM_HI"/>
      <sheetName val="HI_BT"/>
      <sheetName val="BALANCE"/>
      <sheetName val="FCF"/>
      <sheetName val="GIVTR00P"/>
      <sheetName val="IntDec00TespM&amp;B"/>
      <sheetName val="Age311299TESP"/>
      <sheetName val="P4DDBFTESP"/>
      <sheetName val="DEP12"/>
      <sheetName val="DEP99"/>
      <sheetName val="AGING-BO Mar-06"/>
      <sheetName val="AGING"/>
      <sheetName val="AGING1"/>
      <sheetName val="fomat"/>
      <sheetName val="FG import-NOT USE"/>
      <sheetName val="surell"/>
      <sheetName val="Customer"/>
      <sheetName val="X303"/>
      <sheetName val="group-expense"/>
      <sheetName val="DEPSYS47"/>
      <sheetName val="Dec15"/>
      <sheetName val="DEC31"/>
      <sheetName val="M03"/>
      <sheetName val="M01"/>
      <sheetName val="個別(FS-311）"/>
      <sheetName val="科目（FS-311）"/>
      <sheetName val="F_OH"/>
      <sheetName val="เงินกู้ธนชาติ"/>
      <sheetName val="CST1198"/>
      <sheetName val="aa piping"/>
      <sheetName val="px civil"/>
      <sheetName val="CIVIL UP"/>
      <sheetName val="SEA"/>
      <sheetName val="ALL-CPW"/>
      <sheetName val="เครื่องมือ"/>
      <sheetName val="OfficeMC-Master"/>
      <sheetName val="OfficeMC-Adj"/>
      <sheetName val="Date"/>
      <sheetName val="PL-D1"/>
      <sheetName val="PBK"/>
      <sheetName val="入り数計算"/>
      <sheetName val="成形プレスリスト"/>
      <sheetName val="管理率リスト"/>
      <sheetName val="材料リスト"/>
      <sheetName val="MATERIAL"/>
      <sheetName val="油リスト"/>
      <sheetName val="パックリスト"/>
      <sheetName val="送り先リスト"/>
      <sheetName val="焼結単価リスト"/>
      <sheetName val="加工リスト"/>
      <sheetName val="ＳＩＮＴＥＲ"/>
      <sheetName val="プレス計算"/>
      <sheetName val="MASTER"/>
      <sheetName val="งบกำไรฯ_48(1)"/>
      <sheetName val="TMS2000"/>
      <sheetName val="DealerData"/>
      <sheetName val="CustomerData"/>
      <sheetName val="comm_FCD"/>
      <sheetName val="Com_Paid_FCD"/>
      <sheetName val="comm_THB"/>
      <sheetName val="Comm_Paid_THB"/>
      <sheetName val="comm_EUR"/>
      <sheetName val="Tickmark"/>
      <sheetName val="note"/>
      <sheetName val="RY1"/>
      <sheetName val="RY2"/>
      <sheetName val="RY3"/>
      <sheetName val="BP1"/>
      <sheetName val="BP2"/>
      <sheetName val="BP"/>
      <sheetName val="Work-in-Process"/>
      <sheetName val="Work-in-Process (2)"/>
      <sheetName val="FG-1"/>
      <sheetName val="FG-2"/>
      <sheetName val="frptolocal"/>
      <sheetName val="RJE"/>
      <sheetName val="detailadjust"/>
      <sheetName val="Disposed"/>
      <sheetName val="CPO"/>
      <sheetName val="Curren FA Local"/>
      <sheetName val="U-1"/>
      <sheetName val="S33"/>
      <sheetName val="S33 (3 months)"/>
      <sheetName val="S33 (3 months)-note"/>
      <sheetName val="S33 (6 months)"/>
      <sheetName val="S33 (6 months)-note"/>
      <sheetName val="34-note-mar"/>
      <sheetName val="macro"/>
      <sheetName val="front"/>
      <sheetName val="Input"/>
      <sheetName val="Input_forecast"/>
      <sheetName val="Input_BS Spec"/>
      <sheetName val="Analysis"/>
      <sheetName val="Narrative"/>
      <sheetName val="M0"/>
      <sheetName val="M2"/>
      <sheetName val="Overview M2"/>
      <sheetName val="Overview forecast"/>
      <sheetName val="M3"/>
      <sheetName val="M4"/>
      <sheetName val="M5"/>
      <sheetName val="M6"/>
      <sheetName val="M7"/>
      <sheetName val="M8"/>
      <sheetName val="M8_2"/>
      <sheetName val="M21"/>
      <sheetName val="Overview M21"/>
      <sheetName val="M9"/>
      <sheetName val="Overview M9"/>
      <sheetName val="M17"/>
      <sheetName val="Overview M17"/>
      <sheetName val="M18"/>
      <sheetName val="noa"/>
      <sheetName val="CF_A"/>
      <sheetName val="CF_B"/>
      <sheetName val="CF_P"/>
      <sheetName val="Overview M18"/>
      <sheetName val="M19"/>
      <sheetName val="M14"/>
      <sheetName val="M15"/>
      <sheetName val="STD"/>
      <sheetName val="C (4)"/>
      <sheetName val="Direct Mat 1"/>
      <sheetName val="fac S"/>
      <sheetName val="fAC S2"/>
      <sheetName val="FAC S 4"/>
      <sheetName val="faC S 5"/>
      <sheetName val="Packing 2"/>
      <sheetName val="FG1"/>
      <sheetName val="C (2)"/>
      <sheetName val="C (3)"/>
      <sheetName val="Co info"/>
      <sheetName val="TBCS-PL"/>
      <sheetName val="TBCS-BS"/>
      <sheetName val="Adjustments"/>
      <sheetName val="Reclassifications"/>
      <sheetName val="TBS"/>
      <sheetName val="TPL"/>
      <sheetName val="CF"/>
      <sheetName val="TRecon"/>
      <sheetName val="DPLA"/>
      <sheetName val="B1"/>
      <sheetName val="B1-1"/>
      <sheetName val="B1-2"/>
      <sheetName val="B2"/>
      <sheetName val="C1"/>
      <sheetName val="C1-1"/>
      <sheetName val="C2"/>
      <sheetName val="C4"/>
      <sheetName val="Eprog"/>
      <sheetName val="E1"/>
      <sheetName val="E2"/>
      <sheetName val="F1"/>
      <sheetName val="F1-1"/>
      <sheetName val="F2"/>
      <sheetName val="G1"/>
      <sheetName val="G1-1"/>
      <sheetName val="G2"/>
      <sheetName val="G3"/>
      <sheetName val="G4"/>
      <sheetName val="H1"/>
      <sheetName val="H1-1"/>
      <sheetName val="LI"/>
      <sheetName val="L1-1"/>
      <sheetName val="M1"/>
      <sheetName val="M1-1"/>
      <sheetName val="N1"/>
      <sheetName val="P4"/>
      <sheetName val="TASintDec00"/>
      <sheetName val="Age311299TAS"/>
      <sheetName val="P4DDBFTAS"/>
      <sheetName val="CJEs"/>
      <sheetName val="CRJE"/>
      <sheetName val="Summary of Adj"/>
      <sheetName val="FAMsia BS"/>
      <sheetName val="Msia PL"/>
      <sheetName val="FAWuxi BS"/>
      <sheetName val="FAMW PL"/>
      <sheetName val="FAMW BS"/>
      <sheetName val="Forex"/>
      <sheetName val="CONSOL MPL"/>
      <sheetName val="FAS MPL"/>
      <sheetName val="FAM MPL"/>
      <sheetName val="FAMW MPL"/>
      <sheetName val="371-Crate deposit"/>
      <sheetName val="371-contract deposit"/>
      <sheetName val="ตัวเช็ค"/>
      <sheetName val="G แบบอย่าง"/>
      <sheetName val="step"/>
      <sheetName val="Sheet1 (2)"/>
      <sheetName val="G"/>
      <sheetName val="G-1"/>
      <sheetName val="G-2"/>
      <sheetName val="vou"/>
      <sheetName val="dep"/>
      <sheetName val="สรุปรวม"/>
      <sheetName val="INFO"/>
      <sheetName val="WIP(PS)"/>
      <sheetName val="Other"/>
      <sheetName val="Pro-Shaft1"/>
      <sheetName val="Pro-Shaft2 "/>
      <sheetName val="BS1198"/>
      <sheetName val="AT1_1198"/>
      <sheetName val="AT2_1198"/>
      <sheetName val="AT3_1198"/>
      <sheetName val="PLX1198"/>
      <sheetName val="PL1198"/>
      <sheetName val="Q310"/>
      <sheetName val="Q311"/>
      <sheetName val="Q312"/>
      <sheetName val="Q313"/>
      <sheetName val="Q314"/>
      <sheetName val="Q320"/>
      <sheetName val="Payment Schedule1"/>
      <sheetName val="Payment Schedule2"/>
      <sheetName val="Payment Schedule3"/>
      <sheetName val="Payment Schedule4"/>
      <sheetName val="R 301"/>
      <sheetName val="R 302"/>
      <sheetName val="R 303"/>
      <sheetName val="FS-1"/>
      <sheetName val="V-300"/>
      <sheetName val="K300"/>
      <sheetName val="rev"/>
      <sheetName val="fwd"/>
      <sheetName val="jbic"/>
      <sheetName val="unreal"/>
      <sheetName val="loan"/>
      <sheetName val="Part O(A1-D1)"/>
      <sheetName val="ACCODE"/>
      <sheetName val="ต้นฉบับเงินสดจ่าย"/>
      <sheetName val="ต้นฉบับคืนเงินยืม"/>
      <sheetName val="ต้นฉบับเงินสดรับ"/>
      <sheetName val="ต้นฉบับรายวันขาย"/>
      <sheetName val="ต้นฉบับรายวัน"/>
      <sheetName val="กระดาษทำการ"/>
      <sheetName val="KPMG"/>
      <sheetName val="ประมาณ"/>
      <sheetName val="Point  (2)"/>
      <sheetName val="30(U) (2)"/>
      <sheetName val="KK (2)"/>
      <sheetName val="cut-sales(local) (2)"/>
      <sheetName val="cut-sale(expt) (2)"/>
      <sheetName val="Analytical"/>
      <sheetName val="L310"/>
      <sheetName val="L311 AR ratio"/>
      <sheetName val="L312 Allowance"/>
      <sheetName val="retire45"/>
      <sheetName val="U-(fixed asset)"/>
      <sheetName val="G300"/>
      <sheetName val="G310"/>
      <sheetName val="Additional"/>
      <sheetName val="Transfer"/>
      <sheetName val="Disposal"/>
      <sheetName val="G400"/>
      <sheetName val="Build"/>
      <sheetName val="Equipment"/>
      <sheetName val="Tools"/>
      <sheetName val="Machine"/>
      <sheetName val="Vehicle"/>
      <sheetName val="Furniture"/>
      <sheetName val="Computer"/>
      <sheetName val="Tetephone"/>
      <sheetName val="Software"/>
      <sheetName val="Asset Verification"/>
      <sheetName val="Additions"/>
      <sheetName val="อาคาร"/>
      <sheetName val="เครื่องจักร"/>
      <sheetName val="เครื่องตกแต่ง"/>
      <sheetName val="predict"/>
      <sheetName val="รวมสินทรัพย์"/>
      <sheetName val="ยานพาหนะ"/>
      <sheetName val="depre ยาน"/>
      <sheetName val="รวม"/>
      <sheetName val="BB (2)"/>
      <sheetName val="BB-1 (2)"/>
      <sheetName val="BB-2 (2)"/>
      <sheetName val="Main"/>
      <sheetName val="Related"/>
      <sheetName val="งบBS"/>
      <sheetName val="งบPL"/>
      <sheetName val="งบADM"/>
      <sheetName val="ส่วนของผู้ถือ"/>
      <sheetName val="งบดุลARAP"/>
      <sheetName val="งบดุลARAP(oth)"/>
      <sheetName val="งบดุล_CACL"/>
      <sheetName val="AgingAR"/>
      <sheetName val="AgingAP"/>
      <sheetName val="งบกำไรฯ_48 (M1)"/>
      <sheetName val="งบกำไรฯ_48 (M2)"/>
      <sheetName val="งบกำไรฯ_48(M3)"/>
      <sheetName val="งบกำไรฯ_48(2)"/>
      <sheetName val="งบกำไรฯ_48(3)"/>
      <sheetName val="สินค้า-สุรา48(1)"/>
      <sheetName val="สินค้า-เบียร์48(2)"/>
      <sheetName val="สินค้า-อื่นๆ48(3)"/>
      <sheetName val="ทั่วไป"/>
      <sheetName val="นโยบาย"/>
      <sheetName val="1.Board"/>
      <sheetName val="2.%share"/>
      <sheetName val="2.1 EBITDA"/>
      <sheetName val="3.เงินสดและรายการเทียบเท่าเงินส"/>
      <sheetName val="3.1.เงินฝากธ.ติดภาระผูกพัน"/>
      <sheetName val="3.2 ตั๋วสัญญาฯติดภาระผูกพัน"/>
      <sheetName val="4.AR-trade"/>
      <sheetName val="5.AR-trade-related"/>
      <sheetName val="5.1OPEN AR"/>
      <sheetName val="6.AR-other-related"/>
      <sheetName val="7.สินค้าคงเหลือและพัสดุคงเหลือ"/>
      <sheetName val="8.สินทรัพย์หมุนเวียนอื่น"/>
      <sheetName val="9.เงินลงทุน-ยาว"/>
      <sheetName val="10.PPE-S-Tเปลี่ยนทันที"/>
      <sheetName val="10.1PPE-S-T เปลี่ยนตั้งแต่ต้น"/>
      <sheetName val="11.สินทรัพย์ไม่มีตัวตนเปลี่ยนทั"/>
      <sheetName val="11.1สินทรัพย์ไม่มีตัวตน S-T(ตั้"/>
      <sheetName val="12.สินทรัพย์ไม่หมุนเวียนอื่น"/>
      <sheetName val="13.1 AP-trade-related"/>
      <sheetName val="OPEN AP"/>
      <sheetName val="13.2 AP-trade-บริษัทอื่น"/>
      <sheetName val="13.3AP-related"/>
      <sheetName val="14.หนี้สินหมุนเวียนอื่น"/>
      <sheetName val="15.1 เงินกู้ระยะยาว"/>
      <sheetName val="15.2mm เงินกู้"/>
      <sheetName val="15.3กำหนดชำระเงินกู้"/>
      <sheetName val="16.หนี้สินไม่หมุนเวียนอื่น"/>
      <sheetName val="17 Commitment"/>
      <sheetName val="18.กำไรจากการดำเนินงาน"/>
      <sheetName val="19รายได้จากการขาย"/>
      <sheetName val="19.1 รายได้อื่น"/>
      <sheetName val="20.ดอกเบี้ยรับ-จ่าย"/>
      <sheetName val="21.Fx"/>
      <sheetName val="22.รายการในCF"/>
      <sheetName val="23.employee ค่าตอบแทนกรรมการ"/>
      <sheetName val="24.forward "/>
      <sheetName val="25.BOI"/>
      <sheetName val="26.ภาษีเงินได้รอตัด"/>
      <sheetName val="27.ภาษีในงบ PL"/>
      <sheetName val="28.รายละเอียดภาษีรอตัด"/>
      <sheetName val="29.Purchase fr.PTT(crude+FT+NG)"/>
      <sheetName val="29.Purchase fr.PTT(crude+FT+NG"/>
      <sheetName val="29.Purchase fr.PTT crude+FT+NG"/>
      <sheetName val="29.1 Nat gas, demurrage,oth"/>
      <sheetName val="30.Purchase-related"/>
      <sheetName val="31.Sale to PTT"/>
      <sheetName val="32.Sale - related"/>
      <sheetName val="33.other expense - PTT"/>
      <sheetName val="34.other expense-related"/>
      <sheetName val="Realized-Un"/>
      <sheetName val="W-T"/>
      <sheetName val="35.Margin (12)"/>
      <sheetName val="35.Margin (11)"/>
      <sheetName val="35.Margin (10)"/>
      <sheetName val="RRC"/>
      <sheetName val="งบPOS'ช้าง"/>
      <sheetName val="MA"/>
      <sheetName val="OUTSOURCE"/>
      <sheetName val="L - 120"/>
      <sheetName val="L - 121"/>
      <sheetName val="U_Rec(GL-PND1)"/>
      <sheetName val="U_Rec_note1"/>
      <sheetName val="U_WT_Thai)"/>
      <sheetName val="U_WT_Jap"/>
      <sheetName val="U_Test_Exist"/>
      <sheetName val="U_Exist_Note"/>
      <sheetName val="ZD312(Test resign)"/>
      <sheetName val="ZD313(resign note)"/>
      <sheetName val="RM-ID"/>
      <sheetName val="RM-Clock"/>
      <sheetName val="FG-Clock"/>
      <sheetName val="FG-Shutter"/>
      <sheetName val="FG-Time too"/>
      <sheetName val="FG-ID"/>
      <sheetName val="WIP-Clock"/>
      <sheetName val="WIP-Shutter"/>
      <sheetName val="RM-Shutter"/>
      <sheetName val="RM-Time"/>
      <sheetName val="WIP-ID"/>
      <sheetName val="Physical variance"/>
      <sheetName val="Note 3"/>
      <sheetName val="Note 4"/>
      <sheetName val="Note 5"/>
      <sheetName val="Note 7"/>
      <sheetName val="Note 8"/>
      <sheetName val="Note 11"/>
      <sheetName val="Note 13"/>
      <sheetName val="Note 18 PL"/>
      <sheetName val="Note 18 Y'04"/>
      <sheetName val="Note 18 BS"/>
      <sheetName val="int.-cash"/>
      <sheetName val="LOAN04"/>
      <sheetName val="FX-AR-AP"/>
      <sheetName val="FX-AR-AP 2004"/>
      <sheetName val="Note 6"/>
      <sheetName val="Note 9"/>
      <sheetName val="Note 16 PL"/>
      <sheetName val="Note 16 Y'04"/>
      <sheetName val="Note 16 BS"/>
      <sheetName val="LOAN05"/>
      <sheetName val="FX-AR-AP2005"/>
      <sheetName val="NAME"/>
      <sheetName val="期首ﾃﾞｰﾀ"/>
      <sheetName val="前期ﾃﾞｰﾀBS用"/>
      <sheetName val="前年同期ﾃﾞｰﾀPL用"/>
      <sheetName val="前年同期ﾃﾞｰﾀSGA用"/>
      <sheetName val="前年同期ﾃﾞｰﾀCOST用"/>
      <sheetName val="member list"/>
      <sheetName val="BASIC"/>
      <sheetName val="The checking sheet"/>
      <sheetName val="No.001-002"/>
      <sheetName val="No.003"/>
      <sheetName val="No.004"/>
      <sheetName val="No.005"/>
      <sheetName val="No.006"/>
      <sheetName val="No.007"/>
      <sheetName val="No.010"/>
      <sheetName val="No.015"/>
      <sheetName val="No.020"/>
      <sheetName val="No.021"/>
      <sheetName val="No.023"/>
      <sheetName val="No.027"/>
      <sheetName val="No.028"/>
      <sheetName val="No.029"/>
      <sheetName val="No.031"/>
      <sheetName val="No.040"/>
      <sheetName val="No.041"/>
      <sheetName val="No.042"/>
      <sheetName val="No.43"/>
      <sheetName val="No.050"/>
      <sheetName val="No.051"/>
      <sheetName val="No.056"/>
      <sheetName val="No.060"/>
      <sheetName val="No.061"/>
      <sheetName val="No.065"/>
      <sheetName val="No.070"/>
      <sheetName val="No.071"/>
      <sheetName val="No.072"/>
      <sheetName val="No.075"/>
      <sheetName val="No.078"/>
      <sheetName val="No.080"/>
      <sheetName val="No.090"/>
      <sheetName val="No.092"/>
      <sheetName val="No.093"/>
      <sheetName val="No.094"/>
      <sheetName val="No.099"/>
      <sheetName val="No.100"/>
      <sheetName val="No.105"/>
      <sheetName val="No.100-(1)"/>
      <sheetName val="No.100-(2)"/>
      <sheetName val="No.144"/>
      <sheetName val="No.145"/>
      <sheetName val="No.146"/>
      <sheetName val="No.147"/>
      <sheetName val="No.150-151"/>
      <sheetName val="No.152"/>
      <sheetName val="No.153"/>
      <sheetName val="No.154"/>
      <sheetName val="Z"/>
      <sheetName val="10.1"/>
      <sheetName val="10.2"/>
      <sheetName val="10.3"/>
      <sheetName val="10.4"/>
      <sheetName val="10.5"/>
      <sheetName val="10.5.1"/>
      <sheetName val="10-TICK"/>
      <sheetName val="MA-CC"/>
      <sheetName val="OUTSOURCE-CC"/>
      <sheetName val="L to 20"/>
      <sheetName val="sale-narrative"/>
      <sheetName val="INFOTECH1"/>
      <sheetName val="INFOTECH2"/>
      <sheetName val="WT IFT1"/>
      <sheetName val="WT IFT2"/>
      <sheetName val="WT IFT3"/>
      <sheetName val="Salaries (by month)"/>
      <sheetName val="Budget-Bal"/>
      <sheetName val="Budget-Profit"/>
      <sheetName val="RATIO"/>
      <sheetName val="DUPONT"/>
      <sheetName val=" F-1"/>
      <sheetName val=" F-2"/>
      <sheetName val=" F-3"/>
      <sheetName val="F-1-note"/>
      <sheetName val="F-2-note"/>
      <sheetName val="LINE"/>
      <sheetName val="Work'n Process"/>
      <sheetName val="ISO"/>
      <sheetName val="Master Data"/>
      <sheetName val="Signature Block"/>
      <sheetName val="Av.Measures"/>
      <sheetName val="sheet 1"/>
      <sheetName val="设备部房屋"/>
      <sheetName val="Attachment-4(2)"/>
      <sheetName val="综合成本分析01.01-0205"/>
      <sheetName val="Hidden"/>
      <sheetName val="Panel"/>
      <sheetName val="8月"/>
      <sheetName val="9月"/>
      <sheetName val="10月"/>
      <sheetName val="蓄水明细"/>
      <sheetName val="10月 (2)"/>
      <sheetName val="Funnel"/>
      <sheetName val="Planet_Ame"/>
      <sheetName val="Planet_AP"/>
      <sheetName val="Planet_EMEA"/>
      <sheetName val="Planet_OG"/>
      <sheetName val="Planet_WW"/>
      <sheetName val="mcs"/>
      <sheetName val="Original"/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SUM14ZC1"/>
      <sheetName val="③节前到位"/>
      <sheetName val="审核总览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RecoveredExternalLink1"/>
      <sheetName val="201912系数"/>
      <sheetName val="项目日程安排"/>
      <sheetName val="Recap"/>
      <sheetName val="항공"/>
      <sheetName val="해상"/>
      <sheetName val="미국현지비용"/>
      <sheetName val="Ref1"/>
      <sheetName val="Ref3"/>
      <sheetName val="Ref4"/>
      <sheetName val="DBFROM"/>
      <sheetName val="Quantum PO Std"/>
      <sheetName val="Leap PO Std."/>
      <sheetName val="MTL1"/>
      <sheetName val="Summary Data"/>
      <sheetName val="数字视频并帐"/>
      <sheetName val="Oct FW42 BaaN for G-Line"/>
      <sheetName val="GE 2001"/>
      <sheetName val="HTP 2001"/>
      <sheetName val="LOV"/>
      <sheetName val=""/>
      <sheetName val="spp"/>
      <sheetName val="Sales Units (3)"/>
      <sheetName val="1.1-产品结构"/>
      <sheetName val="数据输入"/>
      <sheetName val="行动计划"/>
      <sheetName val="Basic PMM"/>
      <sheetName val="Full PMM"/>
      <sheetName val="量具重复性和再现性数据收集表"/>
      <sheetName val="量具重复性和再现性报告"/>
      <sheetName val="BaaN FW47"/>
      <sheetName val="Sep BaaN"/>
      <sheetName val="Optimize"/>
      <sheetName val="评价矩阵"/>
      <sheetName val="po list"/>
      <sheetName val="工厂"/>
      <sheetName val="Spec"/>
      <sheetName val="costos fw 52"/>
      <sheetName val="Restate"/>
      <sheetName val="目标体系横轴矩阵"/>
      <sheetName val="公司"/>
      <sheetName val="经营体"/>
      <sheetName val="供应商"/>
      <sheetName val="2019年发生未支付"/>
      <sheetName val="FA-LISTING"/>
      <sheetName val="请勿删除"/>
      <sheetName val="INPUT - Data Table"/>
      <sheetName val="FY02"/>
      <sheetName val="TOTAL"/>
      <sheetName val="Global variables"/>
      <sheetName val="基础数据"/>
      <sheetName val="未闭环"/>
      <sheetName val="3.用人规划-汇"/>
      <sheetName val="论证逻辑"/>
      <sheetName val="0定单规划"/>
      <sheetName val="效率瓶颈能力"/>
      <sheetName val="1.1日产能与定编-期初"/>
      <sheetName val="1.2定编优化"/>
      <sheetName val="1.3到月定编"/>
      <sheetName val="2.1 省人目标承接-到月到工厂"/>
      <sheetName val="1日产能与定编-工厂"/>
      <sheetName val="2工作日规划"/>
      <sheetName val="到线体产能规划"/>
      <sheetName val="3用人规划-工厂"/>
      <sheetName val="4自制回移用人规划"/>
      <sheetName val="24年自然台"/>
      <sheetName val="24年标准台 "/>
      <sheetName val="24年工作日"/>
      <sheetName val="24年班次"/>
      <sheetName val="24年管理"/>
      <sheetName val="24年单班产量"/>
      <sheetName val="24年月底人数-绩效大数据"/>
      <sheetName val="论证节奏"/>
      <sheetName val="中心-冰箱"/>
      <sheetName val="中心-冷柜"/>
      <sheetName val="Tﾁｬｰﾄ"/>
      <sheetName val="ＴＦ関連Ｐｒｊ日程表"/>
      <sheetName val="PO File 2002"/>
      <sheetName val="PO File 2002 Final"/>
      <sheetName val="Histogram"/>
      <sheetName val="POSM"/>
      <sheetName val="KAM"/>
      <sheetName val="Mobile Measures"/>
      <sheetName val="Vis.M F"/>
      <sheetName val="Vis.M M"/>
      <sheetName val="Cab MAT F"/>
      <sheetName val="Cab MAT M"/>
      <sheetName val="Av_Measures"/>
      <sheetName val="FINAL (2)"/>
      <sheetName val="Revenue Plan_2019"/>
      <sheetName val="Machine Cost"/>
      <sheetName val="Assmptns"/>
      <sheetName val="Present Value"/>
      <sheetName val="Meas Acceptance Template"/>
      <sheetName val="Batch Comparison Template"/>
      <sheetName val="Meas Indv Template"/>
      <sheetName val="原始数据"/>
      <sheetName val="数据"/>
      <sheetName val="MC3(main)"/>
      <sheetName val="M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Tﾁｬｰﾄ"/>
      <sheetName val="未闭环"/>
      <sheetName val="Sheet1"/>
      <sheetName val="已闭环"/>
      <sheetName val="Sheet4"/>
      <sheetName val="GE 2001"/>
      <sheetName val="HTP 2001"/>
      <sheetName val="目标体系横轴矩阵"/>
      <sheetName val="Original"/>
      <sheetName val="FCG"/>
      <sheetName val="审核总览"/>
      <sheetName val="Total Financials"/>
      <sheetName val="Tables"/>
      <sheetName val="Oct FW42 BaaN for G-Line"/>
      <sheetName val="po list"/>
      <sheetName val="Meas Acceptance Template"/>
      <sheetName val="Batch Comparison Template"/>
      <sheetName val="Meas Indv Template"/>
      <sheetName val="Quantum PO Std"/>
      <sheetName val="Leap PO Std."/>
      <sheetName val="Histogram"/>
      <sheetName val="produccion"/>
      <sheetName val="produccion Nov"/>
      <sheetName val="Oct Production"/>
      <sheetName val="Oct FW42 BaaN"/>
      <sheetName val="Quantum Stds 12-3-01"/>
      <sheetName val="Quantum Stds prev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2021.11.15日天猫中差评"/>
      <sheetName val="產品基本信息"/>
      <sheetName val="工厂"/>
      <sheetName val="AR Signature Page"/>
      <sheetName val="PO File 2002"/>
      <sheetName val="PO File 2002 Final"/>
      <sheetName val="Quantum Stds 12-4-01"/>
      <sheetName val="Raw materials"/>
      <sheetName val="PLALL"/>
      <sheetName val="5+7 plan"/>
      <sheetName val="abbr"/>
      <sheetName val="APJSum"/>
      <sheetName val="AmeSum"/>
      <sheetName val="EMEASum"/>
      <sheetName val="HPCoSum"/>
      <sheetName val="OGSum"/>
      <sheetName val="WWSum"/>
      <sheetName val="Kautex 4WD St.IV P&amp;D"/>
      <sheetName val="Sachs FL WHL"/>
      <sheetName val="NEW003"/>
      <sheetName val="数据输入"/>
      <sheetName val="评价矩阵"/>
      <sheetName val="行动计划"/>
      <sheetName val="Q4 CURRENCY"/>
      <sheetName val="Sheet3"/>
      <sheetName val="ＴＦ関連Ｐｒｊ日程表"/>
      <sheetName val="Spec"/>
      <sheetName val="분리멀티형"/>
      <sheetName val="Sales Units (3)"/>
      <sheetName val="Restate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NVA-300T返品リスト"/>
      <sheetName val="Summary Data"/>
      <sheetName val="PLALL2"/>
      <sheetName val="SPals"/>
      <sheetName val="FA-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未闭环"/>
      <sheetName val="Sheet1"/>
      <sheetName val="已闭环"/>
      <sheetName val="Sheet4"/>
      <sheetName val="Sheet2"/>
      <sheetName val="sum14zc1"/>
      <sheetName val="SPals"/>
      <sheetName val="tables"/>
      <sheetName val="#BEZ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72HX"/>
      <sheetName val="75EX"/>
      <sheetName val="72HY"/>
      <sheetName val="75EY"/>
      <sheetName val="表2-角色汇总（自动生成）"/>
      <sheetName val="PLALL"/>
      <sheetName val="XL4Poppy"/>
      <sheetName val="mcs"/>
      <sheetName val="Comet Q202 Flash"/>
      <sheetName val="Summary"/>
      <sheetName val="SPals"/>
      <sheetName val="UPPER BLOCK"/>
      <sheetName val="假设"/>
      <sheetName val="HDa16"/>
      <sheetName val="聘用明细信息模板1207（波轮）"/>
      <sheetName val="FCG"/>
      <sheetName val="MTL1"/>
      <sheetName val="Tﾁｬｰﾄ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3D ASPIRE Table"/>
      <sheetName val="Q4 CURRENCY"/>
      <sheetName val="Kautex 4WD St.IV P&amp;D"/>
      <sheetName val="Sachs FL WHL"/>
      <sheetName val="Planet_Ame"/>
      <sheetName val="Planet_AP"/>
      <sheetName val="Planet_EMEA"/>
      <sheetName val="Planet_OG"/>
      <sheetName val="Planet_WW"/>
      <sheetName val="Oct FW42 BaaN for G-Line"/>
      <sheetName val="po list"/>
      <sheetName val="#ofclose .xl"/>
      <sheetName val="Original"/>
      <sheetName val="FA-LISTING"/>
      <sheetName val="Chart"/>
      <sheetName val="분리멀티형"/>
      <sheetName val="Instructions"/>
      <sheetName val="costos fw 52"/>
      <sheetName val="5+7 plan"/>
      <sheetName val="FY03CostStructure"/>
      <sheetName val="Launch Costs TMNF"/>
      <sheetName val="April Antonio"/>
      <sheetName val="產品基本信息"/>
      <sheetName val="AmeSum"/>
      <sheetName val="LOV"/>
      <sheetName val="Spec"/>
      <sheetName val="目标体系横轴矩阵"/>
      <sheetName val="未闭环"/>
      <sheetName val="LRR Summary"/>
      <sheetName val="sheet900"/>
      <sheetName val="sheet6"/>
      <sheetName val="公司"/>
      <sheetName val="工厂"/>
      <sheetName val="经营体"/>
      <sheetName val="供应商"/>
      <sheetName val="sheet4"/>
      <sheetName val="sheet96"/>
      <sheetName val="sheet100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改善路径"/>
      <sheetName val="NEW003"/>
      <sheetName val="数据"/>
      <sheetName val="系统代码"/>
      <sheetName val="0-中德"/>
      <sheetName val="EPR &amp; LRR"/>
      <sheetName val="Histogram"/>
      <sheetName val="Sales Units (3)"/>
      <sheetName val="中心-冰箱"/>
      <sheetName val="中心-冷柜"/>
      <sheetName val="MC3(main)"/>
      <sheetName val="MC1"/>
      <sheetName val="Tables"/>
      <sheetName val="Quantum Stds 12-4-01"/>
      <sheetName val="Raw materials"/>
      <sheetName val="SUM14ZC1"/>
      <sheetName val="NVA-300T返品リスト"/>
      <sheetName val="Summary Data"/>
      <sheetName val="4 审核发现描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価格政連"/>
      <sheetName val="提出見積(B)"/>
      <sheetName val="新事推見積(B)"/>
      <sheetName val="条件(B)"/>
      <sheetName val="構成図(B)"/>
      <sheetName val="原価(B)"/>
      <sheetName val="顧客から入手"/>
      <sheetName val="提出見積(A)"/>
      <sheetName val="新事推見積(A)"/>
      <sheetName val="条件(A)"/>
      <sheetName val="構成図(A)"/>
      <sheetName val="原価(A)"/>
      <sheetName val="2003.9.1"/>
      <sheetName val="提出見積"/>
      <sheetName val="新事推見積"/>
      <sheetName val="条件"/>
      <sheetName val="構成図"/>
      <sheetName val="原価"/>
      <sheetName val="納品10"/>
      <sheetName val="3f Volume, Mix &amp; Option rate"/>
      <sheetName val="P.2 Price Strategy"/>
      <sheetName val="2f Pricing Strategy"/>
      <sheetName val="2003_9_1"/>
      <sheetName val="装備比較"/>
      <sheetName val="LX-I4"/>
      <sheetName val="#REF!"/>
      <sheetName val="SUM14ZC1"/>
      <sheetName val="価格政連.XLS"/>
      <sheetName val="%E4%BE%A1%E6%A0%BC%E6%94%BF%E9%"/>
      <sheetName val="RecoveredExternalLink2"/>
      <sheetName val="目标体系横轴矩阵"/>
      <sheetName val="未闭环"/>
      <sheetName val="F-0002-024A"/>
      <sheetName val="F-0002-024B"/>
      <sheetName val="Change Log"/>
      <sheetName val="LOV"/>
      <sheetName val="Original"/>
      <sheetName val="Restate"/>
      <sheetName val="Histogram"/>
      <sheetName val="Spec"/>
      <sheetName val="spp"/>
      <sheetName val="GE 2001"/>
      <sheetName val="HTP 2001"/>
      <sheetName val="Tables"/>
      <sheetName val="Sheet2"/>
      <sheetName val="AR Signature Page"/>
      <sheetName val="2.2-5500台效率"/>
      <sheetName val="9100-PO"/>
      <sheetName val="Kautex 4WD St.IV P&amp;D"/>
      <sheetName val="Sachs FL WHL"/>
      <sheetName val="72HX"/>
      <sheetName val="75EX"/>
      <sheetName val="Total Financials"/>
      <sheetName val="72HY"/>
      <sheetName val="75EY"/>
      <sheetName val="自制件材料价格"/>
      <sheetName val="XL4Poppy"/>
      <sheetName val="분리멀티형"/>
      <sheetName val="PLALL"/>
      <sheetName val="Raw materials"/>
      <sheetName val="工厂"/>
      <sheetName val="Original Instructions"/>
      <sheetName val="Instructions"/>
      <sheetName val="Report Index"/>
      <sheetName val="Criteria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公司"/>
      <sheetName val="经营体"/>
      <sheetName val="供应商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1"/>
      <sheetName val="TSG.AP.OvH.Flash"/>
      <sheetName val="FA-LISTING"/>
      <sheetName val="POSM"/>
      <sheetName val="Av.Measures"/>
      <sheetName val="KAM"/>
      <sheetName val="Mobile Measures"/>
      <sheetName val="Vis.M F"/>
      <sheetName val="Vis.M M"/>
      <sheetName val="Cab MAT F"/>
      <sheetName val="Cab MAT M"/>
      <sheetName val="Av_Measures"/>
      <sheetName val="评价矩阵"/>
      <sheetName val="数据输入"/>
      <sheetName val="#BEZ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Renta CK TOTAL_2026"/>
      <sheetName val="Cooking 2026 CK Actual Cost mar"/>
      <sheetName val="RecoveredExternalLink57"/>
    </sheetNames>
    <definedNames>
      <definedName name="営業用取得税" refersTo="='#REF!'!#REF!"/>
      <definedName name="営業用重量税" refersTo="='#REF!'!#REF!"/>
      <definedName name="自家用取得税" refersTo="='#REF!'!#REF!"/>
      <definedName name="自家用重量税" refersTo="='#REF!'!#REF!"/>
    </defined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U220"/>
  <sheetViews>
    <sheetView zoomScale="60" zoomScaleNormal="60" topLeftCell="A2" workbookViewId="0">
      <selection activeCell="A1" sqref="A1:U25"/>
    </sheetView>
  </sheetViews>
  <sheetFormatPr defaultColWidth="8.88888888888889" defaultRowHeight="14.4"/>
  <cols>
    <col min="1" max="1" width="35.7777777777778" style="2" customWidth="1"/>
    <col min="2" max="2" width="28.3333333333333" style="2" customWidth="1"/>
    <col min="3" max="3" width="35.4444444444444" style="2" customWidth="1"/>
    <col min="4" max="5" width="22.4444444444444" style="2" customWidth="1"/>
    <col min="6" max="6" width="23.4444444444444" style="2" customWidth="1"/>
    <col min="7" max="7" width="49.4444444444444" style="2" customWidth="1"/>
    <col min="8" max="8" width="30.6666666666667" style="2" customWidth="1"/>
    <col min="9" max="9" width="57.1111111111111" style="2" customWidth="1"/>
    <col min="10" max="11" width="54.7777777777778" style="2" hidden="1" customWidth="1"/>
    <col min="12" max="12" width="23.3333333333333" style="2" customWidth="1"/>
    <col min="13" max="13" width="35.3333333333333" style="390" customWidth="1"/>
    <col min="14" max="14" width="41" style="390" customWidth="1"/>
    <col min="15" max="16" width="23.3333333333333" style="391" customWidth="1"/>
    <col min="17" max="17" width="23.3333333333333" style="390" customWidth="1"/>
    <col min="18" max="18" width="31.2222222222222" style="390" customWidth="1"/>
    <col min="19" max="19" width="45.1111111111111" style="2" customWidth="1"/>
    <col min="20" max="20" width="27.7777777777778" style="2" customWidth="1"/>
    <col min="21" max="21" width="8.77777777777778" style="2" customWidth="1"/>
    <col min="22" max="22" width="8.88888888888889" style="2" customWidth="1"/>
    <col min="23" max="16384" width="8.88888888888889" style="2"/>
  </cols>
  <sheetData>
    <row r="1" ht="132" hidden="1" customHeight="1" spans="1:17">
      <c r="A1" s="392" t="s">
        <v>0</v>
      </c>
    </row>
    <row r="2" ht="18" customHeight="1" spans="1:17">
      <c r="A2" s="393" t="s">
        <v>1</v>
      </c>
      <c r="B2" s="393" t="s">
        <v>2</v>
      </c>
      <c r="C2" s="393" t="s">
        <v>3</v>
      </c>
      <c r="D2" s="393" t="s">
        <v>4</v>
      </c>
      <c r="E2" s="393" t="s">
        <v>5</v>
      </c>
      <c r="F2" s="393" t="s">
        <v>6</v>
      </c>
      <c r="G2" s="393" t="s">
        <v>7</v>
      </c>
      <c r="H2" s="394"/>
      <c r="I2" s="395"/>
      <c r="J2" s="396"/>
      <c r="K2" s="397"/>
      <c r="L2" s="398"/>
      <c r="M2" s="397"/>
      <c r="N2" s="397"/>
      <c r="O2" s="397"/>
      <c r="P2" s="397"/>
      <c r="Q2" s="397"/>
    </row>
    <row r="3" ht="18" customHeight="1" spans="1:17">
      <c r="A3" s="73"/>
      <c r="B3" s="73"/>
      <c r="C3" s="73"/>
      <c r="D3" s="73"/>
      <c r="E3" s="73"/>
      <c r="F3" s="73"/>
      <c r="G3" s="73"/>
      <c r="I3" s="395"/>
      <c r="J3" s="396"/>
      <c r="K3" s="397"/>
      <c r="L3" s="398"/>
      <c r="M3" s="397"/>
      <c r="N3" s="397"/>
      <c r="O3" s="397"/>
      <c r="P3" s="397"/>
      <c r="Q3" s="397"/>
    </row>
    <row r="4" ht="18" customHeight="1" spans="1:17">
      <c r="A4" s="399" t="s">
        <v>8</v>
      </c>
      <c r="B4" s="400">
        <v>478100</v>
      </c>
      <c r="C4" s="400">
        <v>565020</v>
      </c>
      <c r="D4" s="401">
        <f t="shared" ref="D4:D26" si="0">C4-B4</f>
        <v>86920</v>
      </c>
      <c r="E4" s="400"/>
      <c r="F4" s="401"/>
      <c r="G4" s="399"/>
      <c r="H4" s="402"/>
      <c r="I4" s="402"/>
      <c r="J4" s="396"/>
      <c r="K4" s="397"/>
      <c r="L4" s="398"/>
      <c r="M4" s="397"/>
      <c r="N4" s="397"/>
      <c r="O4" s="397"/>
      <c r="P4" s="397"/>
      <c r="Q4" s="397"/>
    </row>
    <row r="5" ht="18" customHeight="1" spans="1:17">
      <c r="A5" s="399" t="s">
        <v>9</v>
      </c>
      <c r="B5" s="400">
        <v>237</v>
      </c>
      <c r="C5" s="400">
        <v>220</v>
      </c>
      <c r="D5" s="401">
        <f t="shared" si="0"/>
        <v>-17</v>
      </c>
      <c r="E5" s="403"/>
      <c r="F5" s="401"/>
      <c r="G5" s="399"/>
      <c r="H5" s="402"/>
      <c r="I5" s="402"/>
      <c r="J5" s="396"/>
      <c r="K5" s="397"/>
      <c r="L5" s="398"/>
      <c r="M5" s="397"/>
      <c r="N5" s="397"/>
      <c r="O5" s="397"/>
      <c r="P5" s="397"/>
      <c r="Q5" s="397"/>
    </row>
    <row r="6" ht="18" customHeight="1" spans="1:17">
      <c r="A6" s="399" t="s">
        <v>10</v>
      </c>
      <c r="B6" s="400">
        <v>2372</v>
      </c>
      <c r="C6" s="400">
        <v>2969</v>
      </c>
      <c r="D6" s="401">
        <f t="shared" si="0"/>
        <v>597</v>
      </c>
      <c r="E6" s="403"/>
      <c r="F6" s="401"/>
      <c r="G6" s="399"/>
      <c r="J6" s="404"/>
      <c r="K6" s="397"/>
      <c r="L6" s="398"/>
      <c r="M6" s="397"/>
      <c r="N6" s="397"/>
      <c r="O6" s="397"/>
      <c r="P6" s="397"/>
      <c r="Q6" s="397"/>
    </row>
    <row r="7" ht="38.1" customHeight="1" spans="1:17">
      <c r="A7" s="399" t="s">
        <v>11</v>
      </c>
      <c r="B7" s="405">
        <f>0.114397955970597*1000</f>
        <v>114.397955970597</v>
      </c>
      <c r="C7" s="405">
        <f>0.113723208386452*1000</f>
        <v>113.723208386452</v>
      </c>
      <c r="D7" s="401">
        <f t="shared" si="0"/>
        <v>-0.674747584144995</v>
      </c>
      <c r="E7" s="406"/>
      <c r="F7" s="399"/>
      <c r="G7" s="407" t="s">
        <v>12</v>
      </c>
      <c r="H7" s="402"/>
      <c r="I7" s="402"/>
      <c r="J7" s="396"/>
      <c r="K7" s="397"/>
      <c r="L7" s="398"/>
      <c r="M7" s="397"/>
      <c r="N7" s="397"/>
      <c r="O7" s="397"/>
      <c r="P7" s="397"/>
      <c r="Q7" s="397"/>
    </row>
    <row r="8" ht="18" customHeight="1" spans="1:17">
      <c r="A8" s="399" t="s">
        <v>13</v>
      </c>
      <c r="B8" s="408">
        <v>1000</v>
      </c>
      <c r="C8" s="408">
        <v>1020</v>
      </c>
      <c r="D8" s="401">
        <f t="shared" si="0"/>
        <v>20</v>
      </c>
      <c r="E8" s="403"/>
      <c r="F8" s="401"/>
      <c r="G8" s="399"/>
      <c r="H8" s="402"/>
      <c r="I8" s="402"/>
      <c r="J8" s="396"/>
      <c r="K8" s="397"/>
      <c r="L8" s="398"/>
      <c r="M8" s="397"/>
      <c r="N8" s="397"/>
      <c r="O8" s="397"/>
      <c r="P8" s="397"/>
      <c r="Q8" s="397"/>
    </row>
    <row r="9" ht="18" customHeight="1" spans="1:17">
      <c r="A9" s="399" t="s">
        <v>14</v>
      </c>
      <c r="B9" s="409">
        <f>2575/B8*1000</f>
        <v>2575</v>
      </c>
      <c r="C9" s="409">
        <f>2701/C8*1000</f>
        <v>2648.03921568627</v>
      </c>
      <c r="D9" s="401">
        <f t="shared" si="0"/>
        <v>73.0392156862745</v>
      </c>
      <c r="E9" s="410"/>
      <c r="F9" s="401"/>
      <c r="G9" s="399"/>
      <c r="H9" s="402"/>
      <c r="I9" s="402"/>
      <c r="J9" s="396"/>
      <c r="K9" s="397"/>
      <c r="L9" s="398"/>
      <c r="M9" s="397"/>
      <c r="N9" s="397"/>
      <c r="O9" s="397"/>
      <c r="P9" s="397"/>
      <c r="Q9" s="397"/>
    </row>
    <row r="10" ht="18" customHeight="1" spans="1:17">
      <c r="A10" s="399" t="s">
        <v>15</v>
      </c>
      <c r="B10" s="408">
        <v>293</v>
      </c>
      <c r="C10" s="408">
        <v>323</v>
      </c>
      <c r="D10" s="401">
        <f t="shared" si="0"/>
        <v>30</v>
      </c>
      <c r="E10" s="411"/>
      <c r="F10" s="401"/>
      <c r="G10" s="399"/>
      <c r="H10" s="402"/>
      <c r="I10" s="402"/>
      <c r="J10" s="396"/>
      <c r="K10" s="397"/>
      <c r="L10" s="398"/>
      <c r="M10" s="397"/>
      <c r="N10" s="397"/>
      <c r="O10" s="397"/>
      <c r="P10" s="397"/>
      <c r="Q10" s="397"/>
    </row>
    <row r="11" ht="33.9" customHeight="1" spans="1:17">
      <c r="A11" s="399" t="s">
        <v>16</v>
      </c>
      <c r="B11" s="412">
        <f>1047/B10*1000</f>
        <v>3573.37883959044</v>
      </c>
      <c r="C11" s="412">
        <f>1249/C10*1000</f>
        <v>3866.87306501548</v>
      </c>
      <c r="D11" s="401">
        <f t="shared" si="0"/>
        <v>293.494225425036</v>
      </c>
      <c r="E11" s="412"/>
      <c r="F11" s="401"/>
      <c r="G11" s="407" t="s">
        <v>17</v>
      </c>
      <c r="H11" s="402"/>
      <c r="I11" s="402"/>
      <c r="J11" s="396"/>
      <c r="K11" s="397"/>
      <c r="L11" s="398"/>
      <c r="M11" s="397"/>
      <c r="N11" s="397"/>
      <c r="O11" s="397"/>
      <c r="P11" s="397"/>
      <c r="Q11" s="397"/>
    </row>
    <row r="12" ht="18" customHeight="1" spans="1:17">
      <c r="A12" s="399" t="s">
        <v>18</v>
      </c>
      <c r="B12" s="413">
        <v>10.3047997728102</v>
      </c>
      <c r="C12" s="413">
        <v>10.4007477935901</v>
      </c>
      <c r="D12" s="401">
        <f t="shared" si="0"/>
        <v>0.0959480207798986</v>
      </c>
      <c r="E12" s="414"/>
      <c r="F12" s="401"/>
      <c r="G12" s="399"/>
      <c r="H12" s="402"/>
      <c r="I12" s="402"/>
      <c r="J12" s="396"/>
      <c r="K12" s="397"/>
      <c r="L12" s="398"/>
      <c r="M12" s="397"/>
      <c r="N12" s="397"/>
      <c r="O12" s="397"/>
      <c r="P12" s="397"/>
      <c r="Q12" s="397"/>
    </row>
    <row r="13" ht="18" customHeight="1" spans="1:17">
      <c r="A13" s="399" t="s">
        <v>19</v>
      </c>
      <c r="B13" s="413">
        <f>SUM(B14:B26)</f>
        <v>42.4960332064333</v>
      </c>
      <c r="C13" s="413">
        <f>SUM(C14:C26)</f>
        <v>39.9750457805096</v>
      </c>
      <c r="D13" s="401">
        <f t="shared" si="0"/>
        <v>-2.52098742592366</v>
      </c>
      <c r="E13" s="413"/>
      <c r="F13" s="401"/>
      <c r="G13" s="399"/>
      <c r="H13" s="402"/>
      <c r="I13" s="402"/>
      <c r="J13" s="396"/>
      <c r="K13" s="397"/>
      <c r="L13" s="398"/>
      <c r="M13" s="397"/>
      <c r="N13" s="397"/>
      <c r="O13" s="397"/>
      <c r="P13" s="397"/>
      <c r="Q13" s="397"/>
    </row>
    <row r="14" ht="27" customHeight="1" spans="1:17">
      <c r="A14" s="415" t="s">
        <v>20</v>
      </c>
      <c r="B14" s="413">
        <v>13.9552047502341</v>
      </c>
      <c r="C14" s="413">
        <v>12.3959244064833</v>
      </c>
      <c r="D14" s="401">
        <f t="shared" si="0"/>
        <v>-1.5592803437508</v>
      </c>
      <c r="E14" s="414"/>
      <c r="F14" s="401"/>
      <c r="G14" s="399"/>
      <c r="H14" s="416"/>
      <c r="I14" s="417"/>
      <c r="J14" s="418"/>
      <c r="K14" s="419"/>
      <c r="L14" s="420"/>
      <c r="M14" s="419"/>
      <c r="N14" s="419"/>
      <c r="O14" s="419"/>
      <c r="P14" s="419"/>
      <c r="Q14" s="419"/>
    </row>
    <row r="15" ht="33" customHeight="1" spans="1:17">
      <c r="A15" s="421" t="s">
        <v>21</v>
      </c>
      <c r="B15" s="414">
        <v>1.00826315801836</v>
      </c>
      <c r="C15" s="414">
        <v>1.1921553650566</v>
      </c>
      <c r="D15" s="401">
        <f t="shared" si="0"/>
        <v>0.18389220703824</v>
      </c>
      <c r="E15" s="414"/>
      <c r="F15" s="401"/>
      <c r="G15" s="407" t="s">
        <v>22</v>
      </c>
      <c r="H15" s="416"/>
      <c r="I15" s="417"/>
      <c r="J15" s="418"/>
      <c r="K15" s="419"/>
      <c r="L15" s="420"/>
      <c r="M15" s="419"/>
      <c r="N15" s="419"/>
      <c r="O15" s="419"/>
      <c r="P15" s="419"/>
      <c r="Q15" s="419"/>
    </row>
    <row r="16" ht="16.2" customHeight="1" spans="1:17">
      <c r="A16" s="421" t="s">
        <v>23</v>
      </c>
      <c r="B16" s="414">
        <v>0.509540708988416</v>
      </c>
      <c r="C16" s="414">
        <v>0.176985464409426</v>
      </c>
      <c r="D16" s="401">
        <f t="shared" si="0"/>
        <v>-0.33255524457899</v>
      </c>
      <c r="E16" s="414"/>
      <c r="F16" s="401"/>
      <c r="G16" s="422"/>
      <c r="H16" s="416"/>
      <c r="I16" s="417"/>
      <c r="J16" s="418"/>
      <c r="K16" s="419"/>
      <c r="L16" s="420"/>
      <c r="M16" s="419"/>
      <c r="N16" s="419"/>
      <c r="O16" s="419"/>
      <c r="P16" s="419"/>
      <c r="Q16" s="419"/>
    </row>
    <row r="17" ht="16.2" customHeight="1" spans="1:18">
      <c r="A17" s="421" t="s">
        <v>24</v>
      </c>
      <c r="B17" s="414">
        <v>0.153805236739788</v>
      </c>
      <c r="C17" s="414">
        <v>0.115970965377298</v>
      </c>
      <c r="D17" s="401">
        <f t="shared" si="0"/>
        <v>-0.03783427136249</v>
      </c>
      <c r="E17" s="414"/>
      <c r="F17" s="401"/>
      <c r="G17" s="422"/>
      <c r="H17" s="416"/>
      <c r="I17" s="417"/>
      <c r="J17" s="418"/>
      <c r="K17" s="419"/>
      <c r="L17" s="420"/>
      <c r="M17" s="419"/>
      <c r="N17" s="419"/>
      <c r="O17" s="419"/>
      <c r="P17" s="419"/>
      <c r="Q17" s="419"/>
    </row>
    <row r="18" ht="16.2" customHeight="1" spans="1:18">
      <c r="A18" s="421" t="s">
        <v>25</v>
      </c>
      <c r="B18" s="414">
        <v>5.51511069792992</v>
      </c>
      <c r="C18" s="414">
        <v>4.78092677163892</v>
      </c>
      <c r="D18" s="401">
        <f t="shared" si="0"/>
        <v>-0.734183926291</v>
      </c>
      <c r="E18" s="414"/>
      <c r="F18" s="401"/>
      <c r="G18" s="399"/>
      <c r="H18" s="416"/>
      <c r="I18" s="417"/>
      <c r="J18" s="418"/>
      <c r="K18" s="419"/>
      <c r="L18" s="420"/>
      <c r="M18" s="419"/>
      <c r="N18" s="419"/>
      <c r="O18" s="419"/>
      <c r="P18" s="419"/>
      <c r="Q18" s="419"/>
    </row>
    <row r="19" ht="16.2" customHeight="1" spans="1:18">
      <c r="A19" s="421" t="s">
        <v>15</v>
      </c>
      <c r="B19" s="414">
        <v>2.24331777395774</v>
      </c>
      <c r="C19" s="414">
        <v>2.21128417422864</v>
      </c>
      <c r="D19" s="401">
        <f t="shared" si="0"/>
        <v>-0.0320335997290999</v>
      </c>
      <c r="E19" s="414"/>
      <c r="F19" s="401"/>
      <c r="G19" s="422"/>
      <c r="H19" s="416"/>
      <c r="I19" s="417"/>
      <c r="J19" s="418"/>
      <c r="K19" s="419"/>
      <c r="L19" s="420"/>
      <c r="M19" s="419"/>
      <c r="N19" s="419"/>
      <c r="O19" s="419"/>
      <c r="P19" s="419"/>
      <c r="Q19" s="419"/>
    </row>
    <row r="20" ht="44.1" customHeight="1" spans="1:18">
      <c r="A20" s="421" t="s">
        <v>26</v>
      </c>
      <c r="B20" s="414">
        <v>3.3250590240261</v>
      </c>
      <c r="C20" s="414">
        <v>3.81544435437912</v>
      </c>
      <c r="D20" s="401">
        <f t="shared" si="0"/>
        <v>0.49038533035302</v>
      </c>
      <c r="E20" s="414"/>
      <c r="F20" s="401"/>
      <c r="G20" s="407" t="s">
        <v>27</v>
      </c>
      <c r="H20" s="416"/>
      <c r="I20" s="417"/>
      <c r="J20" s="418"/>
      <c r="K20" s="419"/>
      <c r="L20" s="420"/>
      <c r="M20" s="419"/>
      <c r="N20" s="419"/>
      <c r="O20" s="419"/>
      <c r="P20" s="419"/>
      <c r="Q20" s="419"/>
    </row>
    <row r="21" ht="16.2" customHeight="1" spans="1:18">
      <c r="A21" s="421" t="s">
        <v>28</v>
      </c>
      <c r="B21" s="413">
        <v>11.0957446037039</v>
      </c>
      <c r="C21" s="413">
        <v>10.7559775080972</v>
      </c>
      <c r="D21" s="401">
        <f t="shared" si="0"/>
        <v>-0.3397670956067</v>
      </c>
      <c r="E21" s="414"/>
      <c r="F21" s="401"/>
      <c r="G21" s="422"/>
      <c r="H21" s="416"/>
      <c r="I21" s="417"/>
      <c r="J21" s="418"/>
      <c r="K21" s="419"/>
      <c r="L21" s="420"/>
      <c r="M21" s="419"/>
      <c r="N21" s="419"/>
      <c r="O21" s="419"/>
      <c r="P21" s="419"/>
      <c r="Q21" s="419"/>
    </row>
    <row r="22" ht="16.2" customHeight="1" spans="1:18">
      <c r="A22" s="421" t="s">
        <v>29</v>
      </c>
      <c r="B22" s="413">
        <v>0.581966370299484</v>
      </c>
      <c r="C22" s="413">
        <v>0.440011780624342</v>
      </c>
      <c r="D22" s="401">
        <f t="shared" si="0"/>
        <v>-0.141954589675142</v>
      </c>
      <c r="E22" s="414"/>
      <c r="F22" s="401"/>
      <c r="G22" s="422"/>
      <c r="H22" s="416"/>
      <c r="I22" s="417"/>
      <c r="J22" s="418"/>
      <c r="K22" s="419"/>
      <c r="L22" s="420"/>
      <c r="M22" s="419"/>
      <c r="N22" s="419"/>
      <c r="O22" s="419"/>
      <c r="P22" s="419"/>
      <c r="Q22" s="419"/>
    </row>
    <row r="23" ht="16.2" customHeight="1" spans="1:18">
      <c r="A23" s="421" t="s">
        <v>30</v>
      </c>
      <c r="B23" s="413">
        <v>0.293115599378773</v>
      </c>
      <c r="C23" s="413">
        <v>0.327477071689244</v>
      </c>
      <c r="D23" s="401">
        <f t="shared" si="0"/>
        <v>0.034361472310471</v>
      </c>
      <c r="E23" s="414"/>
      <c r="F23" s="401"/>
      <c r="G23" s="422"/>
      <c r="H23" s="416"/>
      <c r="I23" s="417"/>
      <c r="J23" s="418"/>
      <c r="K23" s="419"/>
      <c r="L23" s="420"/>
      <c r="M23" s="419"/>
      <c r="N23" s="419"/>
      <c r="O23" s="419"/>
      <c r="P23" s="419"/>
      <c r="Q23" s="419"/>
    </row>
    <row r="24" ht="16.2" customHeight="1" spans="1:18">
      <c r="A24" s="421" t="s">
        <v>31</v>
      </c>
      <c r="B24" s="413">
        <v>-1.36290030614803</v>
      </c>
      <c r="C24" s="413">
        <v>-1.03651564218825</v>
      </c>
      <c r="D24" s="401">
        <f t="shared" si="0"/>
        <v>0.32638466395978</v>
      </c>
      <c r="E24" s="414"/>
      <c r="F24" s="401"/>
      <c r="G24" s="422"/>
      <c r="H24" s="416"/>
      <c r="I24" s="417"/>
      <c r="J24" s="418"/>
      <c r="K24" s="419"/>
      <c r="L24" s="420"/>
      <c r="M24" s="419"/>
      <c r="N24" s="419"/>
      <c r="O24" s="419"/>
      <c r="P24" s="419"/>
      <c r="Q24" s="419"/>
    </row>
    <row r="25" ht="16.2" customHeight="1" spans="1:18">
      <c r="A25" s="421" t="s">
        <v>32</v>
      </c>
      <c r="B25" s="413">
        <v>0.642020608158948</v>
      </c>
      <c r="C25" s="413">
        <v>0.717356256966</v>
      </c>
      <c r="D25" s="401">
        <f t="shared" si="0"/>
        <v>0.075335648807052</v>
      </c>
      <c r="E25" s="414"/>
      <c r="F25" s="401"/>
      <c r="G25" s="422"/>
      <c r="H25" s="416"/>
      <c r="I25" s="417"/>
      <c r="J25" s="418"/>
      <c r="K25" s="419"/>
      <c r="L25" s="420"/>
      <c r="M25" s="419"/>
      <c r="N25" s="419"/>
      <c r="O25" s="419"/>
      <c r="P25" s="419"/>
      <c r="Q25" s="419"/>
    </row>
    <row r="26" ht="16.2" customHeight="1" spans="1:18">
      <c r="A26" s="423" t="s">
        <v>33</v>
      </c>
      <c r="B26" s="413">
        <v>4.53578498114577</v>
      </c>
      <c r="C26" s="413">
        <v>4.08204730374777</v>
      </c>
      <c r="D26" s="401">
        <f t="shared" si="0"/>
        <v>-0.453737677397999</v>
      </c>
      <c r="E26" s="414"/>
      <c r="F26" s="401"/>
      <c r="G26" s="399"/>
      <c r="H26" s="416"/>
      <c r="I26" s="417"/>
      <c r="J26" s="418"/>
      <c r="K26" s="419"/>
      <c r="L26" s="420"/>
      <c r="M26" s="419"/>
      <c r="N26" s="419"/>
      <c r="O26" s="419"/>
      <c r="P26" s="419"/>
      <c r="Q26" s="419"/>
    </row>
    <row r="27" ht="16.2" hidden="1" customHeight="1" spans="1:18">
      <c r="A27" s="423" t="s">
        <v>34</v>
      </c>
      <c r="B27" s="413">
        <v>2.05989170492681</v>
      </c>
      <c r="C27" s="413">
        <v>1.79730143867784</v>
      </c>
      <c r="D27" s="424">
        <v>-0.127477704590446</v>
      </c>
      <c r="E27" s="414"/>
      <c r="F27" s="424">
        <f>(E27/B27)-1</f>
        <v>-1</v>
      </c>
      <c r="G27" s="424"/>
      <c r="H27" s="422"/>
      <c r="I27" s="416"/>
      <c r="J27" s="417"/>
      <c r="K27" s="418"/>
      <c r="L27" s="419"/>
      <c r="M27" s="420"/>
      <c r="N27" s="420"/>
      <c r="O27" s="425"/>
      <c r="P27" s="419"/>
      <c r="Q27" s="419"/>
      <c r="R27" s="419"/>
    </row>
    <row r="28" ht="16.2" hidden="1" customHeight="1" spans="1:18">
      <c r="A28" s="423" t="s">
        <v>35</v>
      </c>
      <c r="B28" s="413">
        <v>0.103648061600544</v>
      </c>
      <c r="C28" s="413">
        <v>0.129311954978468</v>
      </c>
      <c r="D28" s="424">
        <v>0.247606110347068</v>
      </c>
      <c r="E28" s="414"/>
      <c r="F28" s="424">
        <f>(E28/B28)-1</f>
        <v>-1</v>
      </c>
      <c r="G28" s="424"/>
      <c r="H28" s="422"/>
      <c r="I28" s="416"/>
      <c r="J28" s="417"/>
      <c r="K28" s="418"/>
      <c r="L28" s="419"/>
      <c r="M28" s="420"/>
      <c r="N28" s="420"/>
      <c r="O28" s="425"/>
      <c r="P28" s="419"/>
      <c r="Q28" s="419"/>
      <c r="R28" s="419"/>
    </row>
    <row r="29" ht="16.2" hidden="1" customHeight="1" spans="1:18">
      <c r="A29" s="423" t="s">
        <v>36</v>
      </c>
      <c r="B29" s="413">
        <v>1.43729344670688</v>
      </c>
      <c r="C29" s="413">
        <v>1.8673517613264</v>
      </c>
      <c r="D29" s="424">
        <v>0.299213995308242</v>
      </c>
      <c r="E29" s="414"/>
      <c r="F29" s="424">
        <f>(E29/B29)-1</f>
        <v>-1</v>
      </c>
      <c r="G29" s="424"/>
      <c r="H29" s="422"/>
      <c r="I29" s="426"/>
      <c r="J29" s="417"/>
      <c r="K29" s="418"/>
      <c r="L29" s="419"/>
      <c r="M29" s="420"/>
      <c r="N29" s="420"/>
      <c r="O29" s="425"/>
      <c r="P29" s="419"/>
      <c r="Q29" s="419"/>
      <c r="R29" s="419"/>
    </row>
    <row r="30" ht="15.6" customHeight="1" spans="1:18">
      <c r="A30" s="427" t="s">
        <v>37</v>
      </c>
      <c r="B30" s="428" t="s">
        <v>38</v>
      </c>
      <c r="C30" s="427" t="s">
        <v>39</v>
      </c>
      <c r="D30" s="427" t="s">
        <v>40</v>
      </c>
      <c r="E30" s="429" t="s">
        <v>41</v>
      </c>
      <c r="F30" s="430" t="s">
        <v>42</v>
      </c>
      <c r="G30" s="431">
        <v>478100</v>
      </c>
      <c r="H30" s="432" t="s">
        <v>43</v>
      </c>
      <c r="I30" s="433">
        <v>565020</v>
      </c>
      <c r="J30" s="434" t="s">
        <v>44</v>
      </c>
      <c r="K30" s="429"/>
      <c r="L30" s="432"/>
      <c r="M30" s="432"/>
      <c r="N30" s="432"/>
    </row>
    <row r="31" ht="16.2" customHeight="1" spans="1:18">
      <c r="A31" s="73"/>
      <c r="B31" s="302"/>
      <c r="C31" s="73"/>
      <c r="D31" s="73"/>
      <c r="E31" s="435" t="s">
        <v>45</v>
      </c>
      <c r="F31" s="435" t="s">
        <v>46</v>
      </c>
      <c r="G31" s="435" t="s">
        <v>47</v>
      </c>
      <c r="H31" s="436" t="s">
        <v>48</v>
      </c>
      <c r="I31" s="436" t="s">
        <v>49</v>
      </c>
      <c r="J31" s="436" t="s">
        <v>50</v>
      </c>
      <c r="K31" s="436" t="s">
        <v>51</v>
      </c>
      <c r="L31" s="436" t="s">
        <v>52</v>
      </c>
      <c r="M31" s="427" t="s">
        <v>53</v>
      </c>
      <c r="N31" s="427" t="s">
        <v>54</v>
      </c>
    </row>
    <row r="32" ht="15.6" customHeight="1" spans="1:18">
      <c r="A32" s="15" t="s">
        <v>55</v>
      </c>
      <c r="B32" s="437">
        <v>6666110101</v>
      </c>
      <c r="C32" s="438" t="s">
        <v>56</v>
      </c>
      <c r="D32" s="439" t="s">
        <v>57</v>
      </c>
      <c r="E32" s="440">
        <v>364.298498773134</v>
      </c>
      <c r="F32" s="441">
        <v>0.761971342340796</v>
      </c>
      <c r="G32" s="435">
        <v>383.103182333333</v>
      </c>
      <c r="H32" s="436">
        <v>0.67803472856418</v>
      </c>
      <c r="I32" s="442"/>
      <c r="J32" s="442"/>
      <c r="K32" s="436"/>
      <c r="L32" s="436">
        <f t="shared" ref="L32:L95" si="1">H32-F32</f>
        <v>-0.083936613776616</v>
      </c>
      <c r="M32" s="443"/>
      <c r="N32" s="443"/>
    </row>
    <row r="33" ht="15.6" customHeight="1" spans="1:14">
      <c r="A33" s="87"/>
      <c r="B33" s="437">
        <v>6666110106</v>
      </c>
      <c r="C33" s="438" t="s">
        <v>58</v>
      </c>
      <c r="D33" s="439" t="s">
        <v>59</v>
      </c>
      <c r="E33" s="440">
        <v>0</v>
      </c>
      <c r="F33" s="441">
        <v>0</v>
      </c>
      <c r="G33" s="435">
        <v>0</v>
      </c>
      <c r="H33" s="436">
        <v>0</v>
      </c>
      <c r="I33" s="442"/>
      <c r="J33" s="442"/>
      <c r="K33" s="436"/>
      <c r="L33" s="436">
        <f t="shared" si="1"/>
        <v>0</v>
      </c>
      <c r="M33" s="444"/>
      <c r="N33" s="444"/>
    </row>
    <row r="34" ht="15.6" customHeight="1" spans="1:14">
      <c r="A34" s="87"/>
      <c r="B34" s="437">
        <v>6666110107</v>
      </c>
      <c r="C34" s="438" t="s">
        <v>60</v>
      </c>
      <c r="D34" s="439" t="s">
        <v>61</v>
      </c>
      <c r="E34" s="440">
        <v>2576.67936579903</v>
      </c>
      <c r="F34" s="441">
        <v>5.38941511357253</v>
      </c>
      <c r="G34" s="435">
        <v>2795.03284890579</v>
      </c>
      <c r="H34" s="436">
        <v>4.94678568706557</v>
      </c>
      <c r="I34" s="442"/>
      <c r="J34" s="442"/>
      <c r="K34" s="436"/>
      <c r="L34" s="436">
        <f t="shared" si="1"/>
        <v>-0.44262942650696</v>
      </c>
      <c r="M34" s="399"/>
      <c r="N34" s="399"/>
    </row>
    <row r="35" ht="15.6" customHeight="1" spans="1:14">
      <c r="A35" s="87"/>
      <c r="B35" s="437">
        <v>6666110110</v>
      </c>
      <c r="C35" s="438" t="s">
        <v>62</v>
      </c>
      <c r="D35" s="439" t="s">
        <v>63</v>
      </c>
      <c r="E35" s="440">
        <v>3385.45859129937</v>
      </c>
      <c r="F35" s="441">
        <v>7.08106795921223</v>
      </c>
      <c r="G35" s="435">
        <v>3606.35980409421</v>
      </c>
      <c r="H35" s="436">
        <v>6.38271176966162</v>
      </c>
      <c r="I35" s="442"/>
      <c r="J35" s="442"/>
      <c r="K35" s="436"/>
      <c r="L35" s="436">
        <f t="shared" si="1"/>
        <v>-0.698356189550609</v>
      </c>
      <c r="M35" s="399"/>
      <c r="N35" s="399"/>
    </row>
    <row r="36" ht="15.6" customHeight="1" spans="1:14">
      <c r="A36" s="87"/>
      <c r="B36" s="437">
        <v>6666110112</v>
      </c>
      <c r="C36" s="438" t="s">
        <v>64</v>
      </c>
      <c r="D36" s="439" t="s">
        <v>65</v>
      </c>
      <c r="E36" s="440">
        <v>116.108767871472</v>
      </c>
      <c r="F36" s="441">
        <v>0.242854565721547</v>
      </c>
      <c r="G36" s="435">
        <v>175.224786666667</v>
      </c>
      <c r="H36" s="436">
        <v>0.310121388033463</v>
      </c>
      <c r="I36" s="442"/>
      <c r="J36" s="442"/>
      <c r="K36" s="436"/>
      <c r="L36" s="436">
        <f t="shared" si="1"/>
        <v>0.067266822311916</v>
      </c>
      <c r="M36" s="443"/>
      <c r="N36" s="443"/>
    </row>
    <row r="37" ht="15.6" customHeight="1" spans="1:14">
      <c r="A37" s="87"/>
      <c r="B37" s="437">
        <v>6666110204</v>
      </c>
      <c r="C37" s="438" t="s">
        <v>66</v>
      </c>
      <c r="D37" s="439" t="s">
        <v>67</v>
      </c>
      <c r="E37" s="440">
        <v>2.83637163629499</v>
      </c>
      <c r="F37" s="441">
        <v>0.00593259074732271</v>
      </c>
      <c r="G37" s="435">
        <v>3.0302</v>
      </c>
      <c r="H37" s="436">
        <v>0.00536299600014159</v>
      </c>
      <c r="I37" s="442"/>
      <c r="J37" s="442"/>
      <c r="K37" s="436"/>
      <c r="L37" s="436">
        <f t="shared" si="1"/>
        <v>-0.00056959474718112</v>
      </c>
      <c r="M37" s="444"/>
      <c r="N37" s="444"/>
    </row>
    <row r="38" ht="15.6" customHeight="1" spans="1:14">
      <c r="A38" s="87"/>
      <c r="B38" s="437">
        <v>6666110207</v>
      </c>
      <c r="C38" s="438" t="s">
        <v>68</v>
      </c>
      <c r="D38" s="439" t="s">
        <v>69</v>
      </c>
      <c r="E38" s="440">
        <v>60.9715589458831</v>
      </c>
      <c r="F38" s="441">
        <v>0.127528882965662</v>
      </c>
      <c r="G38" s="435">
        <v>41.219178</v>
      </c>
      <c r="H38" s="436">
        <v>0.0729517149835404</v>
      </c>
      <c r="I38" s="445"/>
      <c r="J38" s="442"/>
      <c r="K38" s="436"/>
      <c r="L38" s="436">
        <f t="shared" si="1"/>
        <v>-0.0545771679821216</v>
      </c>
      <c r="M38" s="443"/>
      <c r="N38" s="443"/>
    </row>
    <row r="39" ht="15.6" customHeight="1" spans="1:14">
      <c r="A39" s="87"/>
      <c r="B39" s="437">
        <v>6666110506</v>
      </c>
      <c r="C39" s="438" t="s">
        <v>70</v>
      </c>
      <c r="D39" s="439" t="s">
        <v>71</v>
      </c>
      <c r="E39" s="440">
        <v>7.5633707716324</v>
      </c>
      <c r="F39" s="441">
        <v>0.0158196418565831</v>
      </c>
      <c r="G39" s="435">
        <v>0</v>
      </c>
      <c r="H39" s="436">
        <v>0</v>
      </c>
      <c r="I39" s="442"/>
      <c r="J39" s="442"/>
      <c r="K39" s="436"/>
      <c r="L39" s="436">
        <f t="shared" si="1"/>
        <v>-0.0158196418565831</v>
      </c>
      <c r="M39" s="444"/>
      <c r="N39" s="444"/>
    </row>
    <row r="40" ht="15.6" customHeight="1" spans="1:14">
      <c r="A40" s="87"/>
      <c r="B40" s="437" t="s">
        <v>72</v>
      </c>
      <c r="C40" s="438" t="s">
        <v>73</v>
      </c>
      <c r="D40" s="439" t="s">
        <v>74</v>
      </c>
      <c r="E40" s="446"/>
      <c r="F40" s="441">
        <v>0</v>
      </c>
      <c r="G40" s="435">
        <v>0</v>
      </c>
      <c r="H40" s="436">
        <v>0</v>
      </c>
      <c r="I40" s="442"/>
      <c r="J40" s="442"/>
      <c r="K40" s="436"/>
      <c r="L40" s="436">
        <f t="shared" si="1"/>
        <v>0</v>
      </c>
      <c r="M40" s="444"/>
      <c r="N40" s="444"/>
    </row>
    <row r="41" ht="16.2" customHeight="1" spans="1:14">
      <c r="A41" s="73"/>
      <c r="B41" s="437" t="s">
        <v>75</v>
      </c>
      <c r="C41" s="447" t="s">
        <v>76</v>
      </c>
      <c r="D41" s="448" t="s">
        <v>77</v>
      </c>
      <c r="E41" s="449">
        <v>6513.91652509681</v>
      </c>
      <c r="F41" s="441">
        <v>13.6245900964167</v>
      </c>
      <c r="G41" s="449">
        <v>7003.97</v>
      </c>
      <c r="H41" s="450">
        <v>12.3959682843085</v>
      </c>
      <c r="I41" s="451"/>
      <c r="J41" s="451"/>
      <c r="K41" s="436"/>
      <c r="L41" s="436">
        <f t="shared" si="1"/>
        <v>-1.2286218121082</v>
      </c>
      <c r="M41" s="444"/>
      <c r="N41" s="399"/>
    </row>
    <row r="42" ht="15.6" customHeight="1" spans="1:14">
      <c r="A42" s="15" t="s">
        <v>78</v>
      </c>
      <c r="B42" s="437">
        <v>5001010205</v>
      </c>
      <c r="C42" s="438" t="s">
        <v>79</v>
      </c>
      <c r="D42" s="439" t="s">
        <v>80</v>
      </c>
      <c r="E42" s="446">
        <v>82.58064</v>
      </c>
      <c r="F42" s="441">
        <v>0.172726709893328</v>
      </c>
      <c r="G42" s="435">
        <v>110.381669927713</v>
      </c>
      <c r="H42" s="436">
        <v>0.195358872124373</v>
      </c>
      <c r="I42" s="442"/>
      <c r="J42" s="442"/>
      <c r="K42" s="436"/>
      <c r="L42" s="436">
        <f t="shared" si="1"/>
        <v>0.022632162231045</v>
      </c>
      <c r="M42" s="444"/>
      <c r="N42" s="444"/>
    </row>
    <row r="43" ht="62.1" customHeight="1" spans="1:14">
      <c r="A43" s="87"/>
      <c r="B43" s="437">
        <v>6666010380</v>
      </c>
      <c r="C43" s="438" t="s">
        <v>81</v>
      </c>
      <c r="D43" s="439" t="s">
        <v>82</v>
      </c>
      <c r="E43" s="446">
        <v>6.35019</v>
      </c>
      <c r="F43" s="441">
        <v>0.0132821376281113</v>
      </c>
      <c r="G43" s="435">
        <v>-287.172619841871</v>
      </c>
      <c r="H43" s="436">
        <v>-0.508252132388006</v>
      </c>
      <c r="I43" s="442"/>
      <c r="J43" s="442"/>
      <c r="K43" s="436"/>
      <c r="L43" s="436">
        <f t="shared" si="1"/>
        <v>-0.521534270016117</v>
      </c>
      <c r="M43" s="444"/>
      <c r="N43" s="452" t="s">
        <v>83</v>
      </c>
    </row>
    <row r="44" ht="96" customHeight="1" spans="1:14">
      <c r="A44" s="87"/>
      <c r="B44" s="437">
        <v>6666010019</v>
      </c>
      <c r="C44" s="438" t="s">
        <v>84</v>
      </c>
      <c r="D44" s="439"/>
      <c r="E44" s="446">
        <v>659.07762</v>
      </c>
      <c r="F44" s="441">
        <v>1.37853507634386</v>
      </c>
      <c r="G44" s="435">
        <v>1145.20982550002</v>
      </c>
      <c r="H44" s="436">
        <v>2.02684829829036</v>
      </c>
      <c r="I44" s="442"/>
      <c r="J44" s="442"/>
      <c r="K44" s="436"/>
      <c r="L44" s="436">
        <f t="shared" si="1"/>
        <v>0.6483132219465</v>
      </c>
      <c r="M44" s="399"/>
      <c r="N44" s="452" t="s">
        <v>85</v>
      </c>
    </row>
    <row r="45" ht="26.1" customHeight="1" spans="1:14">
      <c r="A45" s="87"/>
      <c r="B45" s="437">
        <v>6666010183</v>
      </c>
      <c r="C45" s="438" t="s">
        <v>86</v>
      </c>
      <c r="D45" s="439" t="s">
        <v>87</v>
      </c>
      <c r="E45" s="446">
        <v>317.14723</v>
      </c>
      <c r="F45" s="441">
        <v>0.663349152896883</v>
      </c>
      <c r="G45" s="435">
        <v>0</v>
      </c>
      <c r="H45" s="436">
        <v>0</v>
      </c>
      <c r="I45" s="442"/>
      <c r="J45" s="442"/>
      <c r="K45" s="436"/>
      <c r="L45" s="436">
        <f t="shared" si="1"/>
        <v>-0.663349152896883</v>
      </c>
      <c r="M45" s="444"/>
      <c r="N45" s="453"/>
    </row>
    <row r="46" ht="15.6" customHeight="1" spans="1:14">
      <c r="A46" s="87"/>
      <c r="B46" s="437">
        <v>6666010229</v>
      </c>
      <c r="C46" s="438" t="s">
        <v>88</v>
      </c>
      <c r="D46" s="439" t="s">
        <v>89</v>
      </c>
      <c r="E46" s="454">
        <v>108.11015</v>
      </c>
      <c r="F46" s="441">
        <v>0.226124555532315</v>
      </c>
      <c r="G46" s="455">
        <v>101.51214499312</v>
      </c>
      <c r="H46" s="436">
        <v>0.179661153575307</v>
      </c>
      <c r="I46" s="442"/>
      <c r="J46" s="442"/>
      <c r="K46" s="436"/>
      <c r="L46" s="436">
        <f t="shared" si="1"/>
        <v>-0.046463401957008</v>
      </c>
      <c r="M46" s="444"/>
      <c r="N46" s="453"/>
    </row>
    <row r="47" ht="33.9" customHeight="1" spans="1:14">
      <c r="A47" s="87"/>
      <c r="B47" s="437">
        <v>6666010188</v>
      </c>
      <c r="C47" s="438" t="s">
        <v>90</v>
      </c>
      <c r="D47" s="439" t="s">
        <v>91</v>
      </c>
      <c r="E47" s="456">
        <v>4063.17884</v>
      </c>
      <c r="F47" s="441">
        <v>8.49859619326501</v>
      </c>
      <c r="G47" s="455">
        <v>5007.43290300111</v>
      </c>
      <c r="H47" s="436">
        <v>8.86239938940411</v>
      </c>
      <c r="I47" s="442"/>
      <c r="J47" s="442"/>
      <c r="K47" s="436"/>
      <c r="L47" s="436">
        <f t="shared" si="1"/>
        <v>0.3638031961391</v>
      </c>
      <c r="M47" s="16"/>
      <c r="N47" s="453"/>
    </row>
    <row r="48" ht="15.6" customHeight="1" spans="1:14">
      <c r="A48" s="87"/>
      <c r="B48" s="437">
        <v>5102040406</v>
      </c>
      <c r="C48" s="438" t="s">
        <v>92</v>
      </c>
      <c r="D48" s="439" t="s">
        <v>93</v>
      </c>
      <c r="E48" s="446">
        <v>0</v>
      </c>
      <c r="F48" s="441">
        <v>0</v>
      </c>
      <c r="G48" s="435">
        <v>0</v>
      </c>
      <c r="H48" s="436">
        <v>0</v>
      </c>
      <c r="I48" s="442"/>
      <c r="J48" s="442"/>
      <c r="K48" s="436"/>
      <c r="L48" s="436">
        <f t="shared" si="1"/>
        <v>0</v>
      </c>
      <c r="M48" s="444"/>
      <c r="N48" s="453"/>
    </row>
    <row r="49" ht="15.6" customHeight="1" spans="1:14">
      <c r="A49" s="87"/>
      <c r="B49" s="437">
        <v>6666010115</v>
      </c>
      <c r="C49" s="438" t="s">
        <v>94</v>
      </c>
      <c r="D49" s="439" t="s">
        <v>95</v>
      </c>
      <c r="E49" s="446">
        <v>-55.43767</v>
      </c>
      <c r="F49" s="441">
        <v>-0.115954130934951</v>
      </c>
      <c r="G49" s="435">
        <v>0</v>
      </c>
      <c r="H49" s="436">
        <v>0</v>
      </c>
      <c r="I49" s="442"/>
      <c r="J49" s="442"/>
      <c r="K49" s="436"/>
      <c r="L49" s="436">
        <f t="shared" si="1"/>
        <v>0.115954130934951</v>
      </c>
      <c r="M49" s="444"/>
      <c r="N49" s="453"/>
    </row>
    <row r="50" ht="16.2" customHeight="1" spans="1:14">
      <c r="A50" s="73"/>
      <c r="B50" s="437" t="s">
        <v>96</v>
      </c>
      <c r="C50" s="447" t="s">
        <v>97</v>
      </c>
      <c r="D50" s="448" t="s">
        <v>98</v>
      </c>
      <c r="E50" s="449">
        <v>5181.007</v>
      </c>
      <c r="F50" s="441">
        <v>10.8366596946246</v>
      </c>
      <c r="G50" s="449">
        <v>6077.3639235801</v>
      </c>
      <c r="H50" s="450">
        <v>10.7560155810062</v>
      </c>
      <c r="I50" s="451"/>
      <c r="J50" s="451"/>
      <c r="K50" s="436"/>
      <c r="L50" s="436">
        <f t="shared" si="1"/>
        <v>-0.0806441136184013</v>
      </c>
      <c r="M50" s="444"/>
      <c r="N50" s="453"/>
    </row>
    <row r="51" ht="15.6" customHeight="1" spans="1:14">
      <c r="A51" s="15" t="s">
        <v>99</v>
      </c>
      <c r="B51" s="437">
        <v>8701530201</v>
      </c>
      <c r="C51" s="438" t="s">
        <v>100</v>
      </c>
      <c r="D51" s="439" t="s">
        <v>101</v>
      </c>
      <c r="E51" s="446">
        <v>0</v>
      </c>
      <c r="F51" s="441">
        <v>0</v>
      </c>
      <c r="G51" s="435">
        <v>0</v>
      </c>
      <c r="H51" s="436">
        <v>0</v>
      </c>
      <c r="I51" s="442"/>
      <c r="J51" s="442"/>
      <c r="K51" s="436"/>
      <c r="L51" s="436">
        <f t="shared" si="1"/>
        <v>0</v>
      </c>
      <c r="M51" s="444"/>
      <c r="N51" s="453"/>
    </row>
    <row r="52" ht="15.6" customHeight="1" spans="1:14">
      <c r="A52" s="87"/>
      <c r="B52" s="437">
        <v>6666050309</v>
      </c>
      <c r="C52" s="438" t="s">
        <v>102</v>
      </c>
      <c r="D52" s="439" t="s">
        <v>103</v>
      </c>
      <c r="E52" s="446">
        <v>124.32366</v>
      </c>
      <c r="F52" s="441">
        <v>0.260036937879105</v>
      </c>
      <c r="G52" s="435">
        <v>248.616336311927</v>
      </c>
      <c r="H52" s="436">
        <v>0.440013338133034</v>
      </c>
      <c r="I52" s="442"/>
      <c r="J52" s="442"/>
      <c r="K52" s="436"/>
      <c r="L52" s="436">
        <f t="shared" si="1"/>
        <v>0.179976400253929</v>
      </c>
      <c r="M52" s="444"/>
      <c r="N52" s="453"/>
    </row>
    <row r="53" ht="78" customHeight="1" spans="1:14">
      <c r="A53" s="87"/>
      <c r="B53" s="437">
        <v>6666050308</v>
      </c>
      <c r="C53" s="438" t="s">
        <v>104</v>
      </c>
      <c r="D53" s="439" t="s">
        <v>105</v>
      </c>
      <c r="E53" s="446">
        <v>145.2031</v>
      </c>
      <c r="F53" s="441">
        <v>0.303708638360176</v>
      </c>
      <c r="G53" s="435">
        <v>0</v>
      </c>
      <c r="H53" s="436">
        <v>0</v>
      </c>
      <c r="I53" s="442"/>
      <c r="J53" s="442"/>
      <c r="K53" s="436"/>
      <c r="L53" s="436">
        <f t="shared" si="1"/>
        <v>-0.303708638360176</v>
      </c>
      <c r="M53" s="444"/>
      <c r="N53" s="457" t="s">
        <v>106</v>
      </c>
    </row>
    <row r="54" ht="15.6" customHeight="1" spans="1:14">
      <c r="A54" s="87"/>
      <c r="B54" s="437">
        <v>6666050306</v>
      </c>
      <c r="C54" s="438" t="s">
        <v>107</v>
      </c>
      <c r="D54" s="439" t="s">
        <v>108</v>
      </c>
      <c r="E54" s="446">
        <v>2.86061</v>
      </c>
      <c r="F54" s="441">
        <v>0.00598328801505961</v>
      </c>
      <c r="G54" s="435">
        <v>0</v>
      </c>
      <c r="H54" s="436">
        <v>0</v>
      </c>
      <c r="I54" s="442"/>
      <c r="J54" s="442"/>
      <c r="K54" s="436"/>
      <c r="L54" s="436">
        <f t="shared" si="1"/>
        <v>-0.00598328801505961</v>
      </c>
      <c r="M54" s="444"/>
      <c r="N54" s="453"/>
    </row>
    <row r="55" ht="16.2" customHeight="1" spans="1:14">
      <c r="A55" s="73"/>
      <c r="B55" s="437" t="s">
        <v>96</v>
      </c>
      <c r="C55" s="447" t="s">
        <v>109</v>
      </c>
      <c r="D55" s="448" t="s">
        <v>110</v>
      </c>
      <c r="E55" s="449">
        <v>272.38737</v>
      </c>
      <c r="F55" s="441">
        <v>0.56972886425434</v>
      </c>
      <c r="G55" s="449">
        <v>248.616336311927</v>
      </c>
      <c r="H55" s="450">
        <v>0.440013338133034</v>
      </c>
      <c r="I55" s="451"/>
      <c r="J55" s="451"/>
      <c r="K55" s="436"/>
      <c r="L55" s="436">
        <f t="shared" si="1"/>
        <v>-0.129715526121306</v>
      </c>
      <c r="M55" s="444"/>
      <c r="N55" s="453"/>
    </row>
    <row r="56" ht="15.6" customHeight="1" spans="1:14">
      <c r="A56" s="15" t="s">
        <v>111</v>
      </c>
      <c r="B56" s="437">
        <v>5102010151</v>
      </c>
      <c r="C56" s="438" t="s">
        <v>112</v>
      </c>
      <c r="D56" s="439" t="s">
        <v>113</v>
      </c>
      <c r="E56" s="446">
        <v>0</v>
      </c>
      <c r="F56" s="441">
        <v>0</v>
      </c>
      <c r="G56" s="435">
        <v>0</v>
      </c>
      <c r="H56" s="436">
        <v>0</v>
      </c>
      <c r="I56" s="442"/>
      <c r="J56" s="442"/>
      <c r="K56" s="436"/>
      <c r="L56" s="436">
        <f t="shared" si="1"/>
        <v>0</v>
      </c>
      <c r="M56" s="444"/>
      <c r="N56" s="453"/>
    </row>
    <row r="57" ht="15.6" customHeight="1" spans="1:14">
      <c r="A57" s="87"/>
      <c r="B57" s="437">
        <v>5001010200</v>
      </c>
      <c r="C57" s="438" t="s">
        <v>114</v>
      </c>
      <c r="D57" s="439" t="s">
        <v>115</v>
      </c>
      <c r="E57" s="446">
        <v>0.22851</v>
      </c>
      <c r="F57" s="441">
        <v>0.000477954402844593</v>
      </c>
      <c r="G57" s="435">
        <v>0</v>
      </c>
      <c r="H57" s="436">
        <v>0</v>
      </c>
      <c r="I57" s="442"/>
      <c r="J57" s="442"/>
      <c r="K57" s="436"/>
      <c r="L57" s="436">
        <f t="shared" si="1"/>
        <v>-0.000477954402844593</v>
      </c>
      <c r="M57" s="444"/>
      <c r="N57" s="453"/>
    </row>
    <row r="58" ht="15.6" customHeight="1" spans="1:14">
      <c r="A58" s="87"/>
      <c r="B58" s="437">
        <v>5001010201</v>
      </c>
      <c r="C58" s="438" t="s">
        <v>116</v>
      </c>
      <c r="D58" s="439" t="s">
        <v>117</v>
      </c>
      <c r="E58" s="446">
        <v>0.18324</v>
      </c>
      <c r="F58" s="441">
        <v>0.000383267098933277</v>
      </c>
      <c r="G58" s="435">
        <v>0</v>
      </c>
      <c r="H58" s="436">
        <v>0</v>
      </c>
      <c r="I58" s="442"/>
      <c r="J58" s="442"/>
      <c r="K58" s="436"/>
      <c r="L58" s="436">
        <f t="shared" si="1"/>
        <v>-0.000383267098933277</v>
      </c>
      <c r="M58" s="444"/>
      <c r="N58" s="453"/>
    </row>
    <row r="59" ht="15.6" customHeight="1" spans="1:14">
      <c r="A59" s="87"/>
      <c r="B59" s="437">
        <v>5207000011</v>
      </c>
      <c r="C59" s="438" t="s">
        <v>118</v>
      </c>
      <c r="D59" s="439" t="s">
        <v>119</v>
      </c>
      <c r="E59" s="446">
        <v>0</v>
      </c>
      <c r="F59" s="441">
        <v>0</v>
      </c>
      <c r="G59" s="435">
        <v>0</v>
      </c>
      <c r="H59" s="436">
        <v>0</v>
      </c>
      <c r="I59" s="442"/>
      <c r="J59" s="442"/>
      <c r="K59" s="436"/>
      <c r="L59" s="436">
        <f t="shared" si="1"/>
        <v>0</v>
      </c>
      <c r="M59" s="444"/>
      <c r="N59" s="453"/>
    </row>
    <row r="60" ht="15.6" customHeight="1" spans="1:14">
      <c r="A60" s="87"/>
      <c r="B60" s="437">
        <v>5207000012</v>
      </c>
      <c r="C60" s="438" t="s">
        <v>120</v>
      </c>
      <c r="D60" s="439" t="s">
        <v>121</v>
      </c>
      <c r="E60" s="446">
        <v>0</v>
      </c>
      <c r="F60" s="441">
        <v>0</v>
      </c>
      <c r="G60" s="435">
        <v>0</v>
      </c>
      <c r="H60" s="436">
        <v>0</v>
      </c>
      <c r="I60" s="442"/>
      <c r="J60" s="442"/>
      <c r="K60" s="436"/>
      <c r="L60" s="436">
        <f t="shared" si="1"/>
        <v>0</v>
      </c>
      <c r="M60" s="444"/>
      <c r="N60" s="453"/>
    </row>
    <row r="61" ht="15.6" customHeight="1" spans="1:14">
      <c r="A61" s="87"/>
      <c r="B61" s="437">
        <v>5207000022</v>
      </c>
      <c r="C61" s="438" t="s">
        <v>122</v>
      </c>
      <c r="D61" s="439" t="s">
        <v>123</v>
      </c>
      <c r="E61" s="446">
        <v>0</v>
      </c>
      <c r="F61" s="441">
        <v>0</v>
      </c>
      <c r="G61" s="435">
        <v>0</v>
      </c>
      <c r="H61" s="436">
        <v>0</v>
      </c>
      <c r="I61" s="442"/>
      <c r="J61" s="442"/>
      <c r="K61" s="436"/>
      <c r="L61" s="436">
        <f t="shared" si="1"/>
        <v>0</v>
      </c>
      <c r="M61" s="444"/>
      <c r="N61" s="453"/>
    </row>
    <row r="62" ht="15.6" customHeight="1" spans="1:14">
      <c r="A62" s="87"/>
      <c r="B62" s="437">
        <v>5301060000</v>
      </c>
      <c r="C62" s="438" t="s">
        <v>124</v>
      </c>
      <c r="D62" s="439" t="s">
        <v>125</v>
      </c>
      <c r="E62" s="446">
        <v>0</v>
      </c>
      <c r="F62" s="441">
        <v>0</v>
      </c>
      <c r="G62" s="435">
        <v>0</v>
      </c>
      <c r="H62" s="436">
        <v>0</v>
      </c>
      <c r="I62" s="442"/>
      <c r="J62" s="442"/>
      <c r="K62" s="436"/>
      <c r="L62" s="436">
        <f t="shared" si="1"/>
        <v>0</v>
      </c>
      <c r="M62" s="444"/>
      <c r="N62" s="453"/>
    </row>
    <row r="63" ht="15.6" customHeight="1" spans="1:14">
      <c r="A63" s="87"/>
      <c r="B63" s="437">
        <v>5301999999</v>
      </c>
      <c r="C63" s="438" t="s">
        <v>126</v>
      </c>
      <c r="D63" s="439" t="s">
        <v>127</v>
      </c>
      <c r="E63" s="446">
        <v>-0.06594</v>
      </c>
      <c r="F63" s="441">
        <v>-0.00013792093704246</v>
      </c>
      <c r="G63" s="435">
        <v>0</v>
      </c>
      <c r="H63" s="436">
        <v>0</v>
      </c>
      <c r="I63" s="442"/>
      <c r="J63" s="442"/>
      <c r="K63" s="436"/>
      <c r="L63" s="436">
        <f t="shared" si="1"/>
        <v>0.00013792093704246</v>
      </c>
      <c r="M63" s="444"/>
      <c r="N63" s="453"/>
    </row>
    <row r="64" ht="15.6" customHeight="1" spans="1:14">
      <c r="A64" s="87"/>
      <c r="B64" s="437">
        <v>5405030000</v>
      </c>
      <c r="C64" s="438" t="s">
        <v>128</v>
      </c>
      <c r="D64" s="439" t="s">
        <v>129</v>
      </c>
      <c r="E64" s="446">
        <v>1.47277</v>
      </c>
      <c r="F64" s="441">
        <v>0.0030804643380046</v>
      </c>
      <c r="G64" s="435">
        <v>0</v>
      </c>
      <c r="H64" s="436">
        <v>0</v>
      </c>
      <c r="I64" s="442"/>
      <c r="J64" s="442"/>
      <c r="K64" s="436"/>
      <c r="L64" s="436">
        <f t="shared" si="1"/>
        <v>-0.0030804643380046</v>
      </c>
      <c r="M64" s="444"/>
      <c r="N64" s="453"/>
    </row>
    <row r="65" ht="15.6" customHeight="1" spans="1:14">
      <c r="A65" s="87"/>
      <c r="B65" s="437">
        <v>5601050000</v>
      </c>
      <c r="C65" s="438" t="s">
        <v>130</v>
      </c>
      <c r="D65" s="439" t="s">
        <v>131</v>
      </c>
      <c r="E65" s="446">
        <v>0.06526</v>
      </c>
      <c r="F65" s="441">
        <v>0.000136498640451788</v>
      </c>
      <c r="G65" s="435">
        <v>0</v>
      </c>
      <c r="H65" s="436">
        <v>0</v>
      </c>
      <c r="I65" s="442"/>
      <c r="J65" s="442"/>
      <c r="K65" s="436"/>
      <c r="L65" s="436">
        <f t="shared" si="1"/>
        <v>-0.000136498640451788</v>
      </c>
      <c r="M65" s="444"/>
      <c r="N65" s="453"/>
    </row>
    <row r="66" ht="15.6" customHeight="1" spans="1:14">
      <c r="A66" s="87"/>
      <c r="B66" s="437">
        <v>5601050100</v>
      </c>
      <c r="C66" s="438" t="s">
        <v>132</v>
      </c>
      <c r="D66" s="439" t="s">
        <v>133</v>
      </c>
      <c r="E66" s="446">
        <v>0.05161</v>
      </c>
      <c r="F66" s="441">
        <v>0.000107948128006693</v>
      </c>
      <c r="G66" s="435">
        <v>0</v>
      </c>
      <c r="H66" s="436">
        <v>0</v>
      </c>
      <c r="I66" s="442"/>
      <c r="J66" s="442"/>
      <c r="K66" s="436"/>
      <c r="L66" s="436">
        <f t="shared" si="1"/>
        <v>-0.000107948128006693</v>
      </c>
      <c r="M66" s="444"/>
      <c r="N66" s="453"/>
    </row>
    <row r="67" ht="15.6" customHeight="1" spans="1:14">
      <c r="A67" s="87"/>
      <c r="B67" s="437">
        <v>5102040893</v>
      </c>
      <c r="C67" s="438" t="s">
        <v>134</v>
      </c>
      <c r="D67" s="439" t="s">
        <v>135</v>
      </c>
      <c r="E67" s="446">
        <v>0</v>
      </c>
      <c r="F67" s="441">
        <v>0</v>
      </c>
      <c r="G67" s="435">
        <v>0</v>
      </c>
      <c r="H67" s="436">
        <v>0</v>
      </c>
      <c r="I67" s="442"/>
      <c r="J67" s="442"/>
      <c r="K67" s="436"/>
      <c r="L67" s="436">
        <f t="shared" si="1"/>
        <v>0</v>
      </c>
      <c r="M67" s="444"/>
      <c r="N67" s="453"/>
    </row>
    <row r="68" ht="15.6" customHeight="1" spans="1:14">
      <c r="A68" s="87"/>
      <c r="B68" s="437">
        <v>5801000041</v>
      </c>
      <c r="C68" s="438" t="s">
        <v>136</v>
      </c>
      <c r="D68" s="439" t="s">
        <v>137</v>
      </c>
      <c r="E68" s="446">
        <v>0</v>
      </c>
      <c r="F68" s="441">
        <v>0</v>
      </c>
      <c r="G68" s="435">
        <v>0</v>
      </c>
      <c r="H68" s="436">
        <v>0</v>
      </c>
      <c r="I68" s="442"/>
      <c r="J68" s="442"/>
      <c r="K68" s="436"/>
      <c r="L68" s="436">
        <f t="shared" si="1"/>
        <v>0</v>
      </c>
      <c r="M68" s="444"/>
      <c r="N68" s="453"/>
    </row>
    <row r="69" ht="15.6" customHeight="1" spans="1:14">
      <c r="A69" s="87"/>
      <c r="B69" s="437">
        <v>6666010322</v>
      </c>
      <c r="C69" s="438" t="s">
        <v>138</v>
      </c>
      <c r="D69" s="439" t="s">
        <v>139</v>
      </c>
      <c r="E69" s="446">
        <v>16.08902</v>
      </c>
      <c r="F69" s="441">
        <v>0.0336519974900648</v>
      </c>
      <c r="G69" s="435">
        <v>22.4521322025001</v>
      </c>
      <c r="H69" s="436">
        <v>0.0397368804688331</v>
      </c>
      <c r="I69" s="442"/>
      <c r="J69" s="442"/>
      <c r="K69" s="436"/>
      <c r="L69" s="436">
        <f t="shared" si="1"/>
        <v>0.0060848829787683</v>
      </c>
      <c r="M69" s="444"/>
      <c r="N69" s="453"/>
    </row>
    <row r="70" ht="62.4" customHeight="1" spans="1:14">
      <c r="A70" s="87"/>
      <c r="B70" s="437">
        <v>6666020101</v>
      </c>
      <c r="C70" s="438" t="s">
        <v>140</v>
      </c>
      <c r="D70" s="439" t="s">
        <v>141</v>
      </c>
      <c r="E70" s="446">
        <v>-7.82509</v>
      </c>
      <c r="F70" s="441">
        <v>-0.0163670571010249</v>
      </c>
      <c r="G70" s="435">
        <v>52.1104091470782</v>
      </c>
      <c r="H70" s="436">
        <v>0.0922275479577328</v>
      </c>
      <c r="I70" s="442"/>
      <c r="J70" s="442"/>
      <c r="K70" s="436"/>
      <c r="L70" s="436">
        <f t="shared" si="1"/>
        <v>0.108594605058758</v>
      </c>
      <c r="M70" s="444"/>
      <c r="N70" s="458" t="s">
        <v>142</v>
      </c>
    </row>
    <row r="71" ht="15.6" customHeight="1" spans="1:14">
      <c r="A71" s="87"/>
      <c r="B71" s="437">
        <v>6666020201</v>
      </c>
      <c r="C71" s="438" t="s">
        <v>143</v>
      </c>
      <c r="D71" s="439" t="s">
        <v>144</v>
      </c>
      <c r="E71" s="446">
        <v>9.49769</v>
      </c>
      <c r="F71" s="441">
        <v>0.0198654883915499</v>
      </c>
      <c r="G71" s="435">
        <v>28.3071385414335</v>
      </c>
      <c r="H71" s="436">
        <v>0.0500993567332723</v>
      </c>
      <c r="I71" s="442"/>
      <c r="J71" s="442"/>
      <c r="K71" s="436"/>
      <c r="L71" s="436">
        <f t="shared" si="1"/>
        <v>0.0302338683417224</v>
      </c>
      <c r="M71" s="444"/>
      <c r="N71" s="459" t="s">
        <v>145</v>
      </c>
    </row>
    <row r="72" ht="15.6" customHeight="1" spans="1:14">
      <c r="A72" s="87"/>
      <c r="B72" s="437">
        <v>6666020202</v>
      </c>
      <c r="C72" s="438" t="s">
        <v>146</v>
      </c>
      <c r="D72" s="439" t="s">
        <v>147</v>
      </c>
      <c r="E72" s="446">
        <v>1.38056</v>
      </c>
      <c r="F72" s="441">
        <v>0.00288759673708429</v>
      </c>
      <c r="G72" s="435">
        <v>0</v>
      </c>
      <c r="H72" s="436">
        <v>0</v>
      </c>
      <c r="I72" s="442"/>
      <c r="J72" s="442"/>
      <c r="K72" s="436"/>
      <c r="L72" s="436">
        <f t="shared" si="1"/>
        <v>-0.00288759673708429</v>
      </c>
      <c r="M72" s="444"/>
      <c r="N72" s="453"/>
    </row>
    <row r="73" ht="15.6" customHeight="1" spans="1:14">
      <c r="A73" s="87"/>
      <c r="B73" s="437">
        <v>6666020204</v>
      </c>
      <c r="C73" s="438" t="s">
        <v>148</v>
      </c>
      <c r="D73" s="439" t="s">
        <v>149</v>
      </c>
      <c r="E73" s="446">
        <v>4.52682</v>
      </c>
      <c r="F73" s="441">
        <v>0.00946835390085756</v>
      </c>
      <c r="G73" s="435">
        <v>0</v>
      </c>
      <c r="H73" s="436">
        <v>0</v>
      </c>
      <c r="I73" s="442"/>
      <c r="J73" s="442"/>
      <c r="K73" s="436"/>
      <c r="L73" s="436">
        <f t="shared" si="1"/>
        <v>-0.00946835390085756</v>
      </c>
      <c r="M73" s="444"/>
      <c r="N73" s="453"/>
    </row>
    <row r="74" ht="15.6" customHeight="1" spans="1:14">
      <c r="A74" s="87"/>
      <c r="B74" s="437">
        <v>6666020205</v>
      </c>
      <c r="C74" s="438" t="s">
        <v>150</v>
      </c>
      <c r="D74" s="439" t="s">
        <v>151</v>
      </c>
      <c r="E74" s="446">
        <v>-0.18314</v>
      </c>
      <c r="F74" s="441">
        <v>-0.000383057937669943</v>
      </c>
      <c r="G74" s="435">
        <v>0</v>
      </c>
      <c r="H74" s="436">
        <v>0</v>
      </c>
      <c r="I74" s="442"/>
      <c r="J74" s="442"/>
      <c r="K74" s="436"/>
      <c r="L74" s="436">
        <f t="shared" si="1"/>
        <v>0.000383057937669943</v>
      </c>
      <c r="M74" s="444"/>
      <c r="N74" s="453"/>
    </row>
    <row r="75" ht="15.6" customHeight="1" spans="1:14">
      <c r="A75" s="87"/>
      <c r="B75" s="437">
        <v>6666020301</v>
      </c>
      <c r="C75" s="438" t="s">
        <v>152</v>
      </c>
      <c r="D75" s="439" t="s">
        <v>153</v>
      </c>
      <c r="E75" s="446">
        <v>4.75334</v>
      </c>
      <c r="F75" s="441">
        <v>0.00994214599456181</v>
      </c>
      <c r="G75" s="435">
        <v>4.19587768840606</v>
      </c>
      <c r="H75" s="436">
        <v>0.00742606932215861</v>
      </c>
      <c r="I75" s="442"/>
      <c r="J75" s="442"/>
      <c r="K75" s="436"/>
      <c r="L75" s="436">
        <f t="shared" si="1"/>
        <v>-0.0025160766724032</v>
      </c>
      <c r="M75" s="444"/>
      <c r="N75" s="453"/>
    </row>
    <row r="76" ht="15.6" customHeight="1" spans="1:14">
      <c r="A76" s="87"/>
      <c r="B76" s="437">
        <v>6666020302</v>
      </c>
      <c r="C76" s="438" t="s">
        <v>154</v>
      </c>
      <c r="D76" s="439" t="s">
        <v>155</v>
      </c>
      <c r="E76" s="446">
        <v>0</v>
      </c>
      <c r="F76" s="441">
        <v>0</v>
      </c>
      <c r="G76" s="435">
        <v>0.478509496167952</v>
      </c>
      <c r="H76" s="436">
        <v>0.000846889483855354</v>
      </c>
      <c r="I76" s="442"/>
      <c r="J76" s="442"/>
      <c r="K76" s="436"/>
      <c r="L76" s="436">
        <f t="shared" si="1"/>
        <v>0.000846889483855354</v>
      </c>
      <c r="M76" s="444"/>
      <c r="N76" s="453"/>
    </row>
    <row r="77" ht="15.6" customHeight="1" spans="1:14">
      <c r="A77" s="87"/>
      <c r="B77" s="437" t="s">
        <v>156</v>
      </c>
      <c r="C77" s="438" t="s">
        <v>157</v>
      </c>
      <c r="D77" s="439" t="s">
        <v>158</v>
      </c>
      <c r="E77" s="436"/>
      <c r="F77" s="441">
        <v>0</v>
      </c>
      <c r="G77" s="435">
        <v>0</v>
      </c>
      <c r="H77" s="436">
        <v>0</v>
      </c>
      <c r="I77" s="442"/>
      <c r="J77" s="442"/>
      <c r="K77" s="436"/>
      <c r="L77" s="436">
        <f t="shared" si="1"/>
        <v>0</v>
      </c>
      <c r="M77" s="444"/>
      <c r="N77" s="453"/>
    </row>
    <row r="78" ht="15.6" customHeight="1" spans="1:14">
      <c r="A78" s="87"/>
      <c r="B78" s="437">
        <v>6666020405</v>
      </c>
      <c r="C78" s="438" t="s">
        <v>159</v>
      </c>
      <c r="D78" s="439" t="s">
        <v>160</v>
      </c>
      <c r="E78" s="446">
        <v>0</v>
      </c>
      <c r="F78" s="441">
        <v>0</v>
      </c>
      <c r="G78" s="435">
        <v>0</v>
      </c>
      <c r="H78" s="436">
        <v>0</v>
      </c>
      <c r="I78" s="442"/>
      <c r="J78" s="442"/>
      <c r="K78" s="436"/>
      <c r="L78" s="436">
        <f t="shared" si="1"/>
        <v>0</v>
      </c>
      <c r="M78" s="444"/>
      <c r="N78" s="453"/>
    </row>
    <row r="79" ht="15.6" customHeight="1" spans="1:14">
      <c r="A79" s="87"/>
      <c r="B79" s="437">
        <v>6666020495</v>
      </c>
      <c r="C79" s="438" t="s">
        <v>161</v>
      </c>
      <c r="D79" s="439" t="s">
        <v>162</v>
      </c>
      <c r="E79" s="446">
        <v>3.21211</v>
      </c>
      <c r="F79" s="441">
        <v>0.00671848985567873</v>
      </c>
      <c r="G79" s="435">
        <v>0</v>
      </c>
      <c r="H79" s="436">
        <v>0</v>
      </c>
      <c r="I79" s="442"/>
      <c r="J79" s="442"/>
      <c r="K79" s="436"/>
      <c r="L79" s="436">
        <f t="shared" si="1"/>
        <v>-0.00671848985567873</v>
      </c>
      <c r="M79" s="444"/>
      <c r="N79" s="453"/>
    </row>
    <row r="80" ht="15.6" customHeight="1" spans="1:14">
      <c r="A80" s="87"/>
      <c r="B80" s="437">
        <v>6666020504</v>
      </c>
      <c r="C80" s="438" t="s">
        <v>163</v>
      </c>
      <c r="D80" s="439" t="s">
        <v>164</v>
      </c>
      <c r="E80" s="446">
        <v>0.29938</v>
      </c>
      <c r="F80" s="441">
        <v>0.000626186990169421</v>
      </c>
      <c r="G80" s="435">
        <v>0.594036378998367</v>
      </c>
      <c r="H80" s="436">
        <v>0.00105135460514383</v>
      </c>
      <c r="I80" s="442"/>
      <c r="J80" s="442"/>
      <c r="K80" s="436"/>
      <c r="L80" s="436">
        <f t="shared" si="1"/>
        <v>0.000425167614974409</v>
      </c>
      <c r="M80" s="444"/>
      <c r="N80" s="453"/>
    </row>
    <row r="81" ht="15.6" customHeight="1" spans="1:14">
      <c r="A81" s="87"/>
      <c r="B81" s="437">
        <v>6666020508</v>
      </c>
      <c r="C81" s="438" t="s">
        <v>165</v>
      </c>
      <c r="D81" s="439" t="s">
        <v>166</v>
      </c>
      <c r="E81" s="446">
        <v>0.04867</v>
      </c>
      <c r="F81" s="441">
        <v>0.000101798786864673</v>
      </c>
      <c r="G81" s="435">
        <v>4.86532196364509</v>
      </c>
      <c r="H81" s="436">
        <v>0.00861088450611499</v>
      </c>
      <c r="I81" s="442"/>
      <c r="J81" s="442"/>
      <c r="K81" s="436"/>
      <c r="L81" s="436">
        <f t="shared" si="1"/>
        <v>0.00850908571925032</v>
      </c>
      <c r="M81" s="444"/>
      <c r="N81" s="453"/>
    </row>
    <row r="82" ht="31.2" customHeight="1" spans="1:14">
      <c r="A82" s="87"/>
      <c r="B82" s="437">
        <v>6666020602</v>
      </c>
      <c r="C82" s="438" t="s">
        <v>167</v>
      </c>
      <c r="D82" s="439" t="s">
        <v>168</v>
      </c>
      <c r="E82" s="446">
        <v>4.70704</v>
      </c>
      <c r="F82" s="441">
        <v>0.00984530432963815</v>
      </c>
      <c r="G82" s="435">
        <v>22.1623050663864</v>
      </c>
      <c r="H82" s="436">
        <v>0.0392239302438611</v>
      </c>
      <c r="I82" s="442"/>
      <c r="J82" s="442"/>
      <c r="K82" s="436"/>
      <c r="L82" s="436">
        <f t="shared" si="1"/>
        <v>0.029378625914223</v>
      </c>
      <c r="M82" s="444"/>
      <c r="N82" s="458" t="s">
        <v>169</v>
      </c>
    </row>
    <row r="83" ht="15.6" customHeight="1" spans="1:14">
      <c r="A83" s="87"/>
      <c r="B83" s="437">
        <v>6666020701</v>
      </c>
      <c r="C83" s="438" t="s">
        <v>170</v>
      </c>
      <c r="D83" s="439" t="s">
        <v>171</v>
      </c>
      <c r="E83" s="446">
        <v>0</v>
      </c>
      <c r="F83" s="441">
        <v>0</v>
      </c>
      <c r="G83" s="435">
        <v>0</v>
      </c>
      <c r="H83" s="436">
        <v>0</v>
      </c>
      <c r="I83" s="442"/>
      <c r="J83" s="442"/>
      <c r="K83" s="436"/>
      <c r="L83" s="436">
        <f t="shared" si="1"/>
        <v>0</v>
      </c>
      <c r="M83" s="444"/>
      <c r="N83" s="453"/>
    </row>
    <row r="84" ht="15.6" customHeight="1" spans="1:14">
      <c r="A84" s="87"/>
      <c r="B84" s="437">
        <v>6666020802</v>
      </c>
      <c r="C84" s="438" t="s">
        <v>172</v>
      </c>
      <c r="D84" s="439" t="s">
        <v>173</v>
      </c>
      <c r="E84" s="446">
        <v>133.42406</v>
      </c>
      <c r="F84" s="441">
        <v>0.279071449487555</v>
      </c>
      <c r="G84" s="435">
        <v>156.396</v>
      </c>
      <c r="H84" s="436">
        <v>0.276797281512159</v>
      </c>
      <c r="I84" s="442"/>
      <c r="J84" s="442"/>
      <c r="K84" s="436"/>
      <c r="L84" s="436">
        <f t="shared" si="1"/>
        <v>-0.00227416797539604</v>
      </c>
      <c r="M84" s="444"/>
      <c r="N84" s="453"/>
    </row>
    <row r="85" ht="15.6" customHeight="1" spans="1:14">
      <c r="A85" s="87"/>
      <c r="B85" s="437">
        <v>6666020803</v>
      </c>
      <c r="C85" s="438" t="s">
        <v>174</v>
      </c>
      <c r="D85" s="439" t="s">
        <v>175</v>
      </c>
      <c r="E85" s="446">
        <v>50.53832</v>
      </c>
      <c r="F85" s="441">
        <v>0.105706588579795</v>
      </c>
      <c r="G85" s="435">
        <v>43.2175105894033</v>
      </c>
      <c r="H85" s="436">
        <v>0.0764884616286208</v>
      </c>
      <c r="I85" s="442"/>
      <c r="J85" s="442"/>
      <c r="K85" s="436"/>
      <c r="L85" s="436">
        <f t="shared" si="1"/>
        <v>-0.0292181269511742</v>
      </c>
      <c r="M85" s="444"/>
      <c r="N85" s="453"/>
    </row>
    <row r="86" ht="15.6" customHeight="1" spans="1:14">
      <c r="A86" s="87"/>
      <c r="B86" s="437">
        <v>6666021100</v>
      </c>
      <c r="C86" s="438" t="s">
        <v>176</v>
      </c>
      <c r="D86" s="439" t="s">
        <v>177</v>
      </c>
      <c r="E86" s="446">
        <v>72.90402</v>
      </c>
      <c r="F86" s="441">
        <v>0.152486969253294</v>
      </c>
      <c r="G86" s="435">
        <v>65.3757794066215</v>
      </c>
      <c r="H86" s="436">
        <v>0.115705248321513</v>
      </c>
      <c r="I86" s="442"/>
      <c r="J86" s="442"/>
      <c r="K86" s="436"/>
      <c r="L86" s="436">
        <f t="shared" si="1"/>
        <v>-0.036781720931781</v>
      </c>
      <c r="M86" s="444"/>
      <c r="N86" s="453"/>
    </row>
    <row r="87" ht="15.6" customHeight="1" spans="1:14">
      <c r="A87" s="87"/>
      <c r="B87" s="437">
        <v>6666021104</v>
      </c>
      <c r="C87" s="438" t="s">
        <v>178</v>
      </c>
      <c r="D87" s="439" t="s">
        <v>179</v>
      </c>
      <c r="E87" s="446">
        <v>-0.03701</v>
      </c>
      <c r="F87" s="441">
        <v>-7.74105835599247e-5</v>
      </c>
      <c r="G87" s="435">
        <v>0</v>
      </c>
      <c r="H87" s="436">
        <v>0</v>
      </c>
      <c r="I87" s="442"/>
      <c r="J87" s="442"/>
      <c r="K87" s="436"/>
      <c r="L87" s="436">
        <f t="shared" si="1"/>
        <v>7.74105835599247e-5</v>
      </c>
      <c r="M87" s="444"/>
      <c r="N87" s="453"/>
    </row>
    <row r="88" ht="15.6" customHeight="1" spans="1:14">
      <c r="A88" s="87"/>
      <c r="B88" s="437">
        <v>6666021902</v>
      </c>
      <c r="C88" s="438" t="s">
        <v>180</v>
      </c>
      <c r="D88" s="439" t="s">
        <v>181</v>
      </c>
      <c r="E88" s="446">
        <v>83.46437</v>
      </c>
      <c r="F88" s="441">
        <v>0.17457513072579</v>
      </c>
      <c r="G88" s="435">
        <v>90.4630717006786</v>
      </c>
      <c r="H88" s="436">
        <v>0.160105963860887</v>
      </c>
      <c r="I88" s="442"/>
      <c r="J88" s="442"/>
      <c r="K88" s="436"/>
      <c r="L88" s="436">
        <f t="shared" si="1"/>
        <v>-0.014469166864903</v>
      </c>
      <c r="M88" s="444"/>
      <c r="N88" s="453"/>
    </row>
    <row r="89" ht="15.6" customHeight="1" spans="1:14">
      <c r="A89" s="87"/>
      <c r="B89" s="437">
        <v>6666022100</v>
      </c>
      <c r="C89" s="438" t="s">
        <v>182</v>
      </c>
      <c r="D89" s="439" t="s">
        <v>183</v>
      </c>
      <c r="E89" s="446">
        <v>13.81918</v>
      </c>
      <c r="F89" s="441">
        <v>0.0289043714704037</v>
      </c>
      <c r="G89" s="435">
        <v>16.7532871142013</v>
      </c>
      <c r="H89" s="436">
        <v>0.0296507860150106</v>
      </c>
      <c r="I89" s="442"/>
      <c r="J89" s="442"/>
      <c r="K89" s="436"/>
      <c r="L89" s="436">
        <f t="shared" si="1"/>
        <v>0.000746414544606899</v>
      </c>
      <c r="M89" s="444"/>
      <c r="N89" s="453"/>
    </row>
    <row r="90" ht="15.6" customHeight="1" spans="1:14">
      <c r="A90" s="87"/>
      <c r="B90" s="437">
        <v>6666022300</v>
      </c>
      <c r="C90" s="438" t="s">
        <v>184</v>
      </c>
      <c r="D90" s="439" t="s">
        <v>185</v>
      </c>
      <c r="E90" s="446">
        <v>0</v>
      </c>
      <c r="F90" s="441">
        <v>0</v>
      </c>
      <c r="G90" s="435">
        <v>0</v>
      </c>
      <c r="H90" s="436">
        <v>0</v>
      </c>
      <c r="I90" s="442"/>
      <c r="J90" s="442"/>
      <c r="K90" s="436"/>
      <c r="L90" s="436">
        <f t="shared" si="1"/>
        <v>0</v>
      </c>
      <c r="M90" s="444"/>
      <c r="N90" s="453"/>
    </row>
    <row r="91" ht="15.6" customHeight="1" spans="1:14">
      <c r="A91" s="87"/>
      <c r="B91" s="437">
        <v>6666029700</v>
      </c>
      <c r="C91" s="438" t="s">
        <v>186</v>
      </c>
      <c r="D91" s="439" t="s">
        <v>187</v>
      </c>
      <c r="E91" s="446">
        <v>0</v>
      </c>
      <c r="F91" s="441">
        <v>0</v>
      </c>
      <c r="G91" s="435">
        <v>0</v>
      </c>
      <c r="H91" s="436">
        <v>0</v>
      </c>
      <c r="I91" s="442"/>
      <c r="J91" s="442"/>
      <c r="K91" s="436"/>
      <c r="L91" s="436">
        <f t="shared" si="1"/>
        <v>0</v>
      </c>
      <c r="M91" s="444"/>
      <c r="N91" s="453"/>
    </row>
    <row r="92" ht="15.6" customHeight="1" spans="1:14">
      <c r="A92" s="87"/>
      <c r="B92" s="437">
        <v>6666029900</v>
      </c>
      <c r="C92" s="438" t="s">
        <v>188</v>
      </c>
      <c r="D92" s="439" t="s">
        <v>189</v>
      </c>
      <c r="E92" s="446">
        <v>0.07586</v>
      </c>
      <c r="F92" s="441">
        <v>0.000158669734365196</v>
      </c>
      <c r="G92" s="435">
        <v>0</v>
      </c>
      <c r="H92" s="436">
        <v>0</v>
      </c>
      <c r="I92" s="442"/>
      <c r="J92" s="442"/>
      <c r="K92" s="436"/>
      <c r="L92" s="436">
        <f t="shared" si="1"/>
        <v>-0.000158669734365196</v>
      </c>
      <c r="M92" s="444"/>
      <c r="N92" s="453"/>
    </row>
    <row r="93" ht="15.6" customHeight="1" spans="1:14">
      <c r="A93" s="87"/>
      <c r="B93" s="437">
        <v>6666029996</v>
      </c>
      <c r="C93" s="438" t="s">
        <v>190</v>
      </c>
      <c r="D93" s="439" t="s">
        <v>162</v>
      </c>
      <c r="E93" s="446">
        <v>0.17373</v>
      </c>
      <c r="F93" s="441">
        <v>0.000363375862790211</v>
      </c>
      <c r="G93" s="435">
        <v>0</v>
      </c>
      <c r="H93" s="436">
        <v>0</v>
      </c>
      <c r="I93" s="442"/>
      <c r="J93" s="442"/>
      <c r="K93" s="436"/>
      <c r="L93" s="436">
        <f t="shared" si="1"/>
        <v>-0.000363375862790211</v>
      </c>
      <c r="M93" s="444"/>
      <c r="N93" s="453"/>
    </row>
    <row r="94" ht="15.6" customHeight="1" spans="1:14">
      <c r="A94" s="87"/>
      <c r="B94" s="437">
        <v>6666029997</v>
      </c>
      <c r="C94" s="438" t="s">
        <v>191</v>
      </c>
      <c r="D94" s="439" t="s">
        <v>192</v>
      </c>
      <c r="E94" s="446">
        <v>14.93904</v>
      </c>
      <c r="F94" s="441">
        <v>0.0312466847939762</v>
      </c>
      <c r="G94" s="435">
        <v>8.25195598743002</v>
      </c>
      <c r="H94" s="436">
        <v>0.0146047148551025</v>
      </c>
      <c r="I94" s="442"/>
      <c r="J94" s="442"/>
      <c r="K94" s="436"/>
      <c r="L94" s="436">
        <f t="shared" si="1"/>
        <v>-0.0166419699388737</v>
      </c>
      <c r="M94" s="444"/>
      <c r="N94" s="453"/>
    </row>
    <row r="95" ht="15.6" customHeight="1" spans="1:14">
      <c r="A95" s="87"/>
      <c r="B95" s="437">
        <v>6666030702</v>
      </c>
      <c r="C95" s="438" t="s">
        <v>193</v>
      </c>
      <c r="D95" s="439" t="s">
        <v>194</v>
      </c>
      <c r="E95" s="446">
        <v>0</v>
      </c>
      <c r="F95" s="441">
        <v>0</v>
      </c>
      <c r="G95" s="435">
        <v>0</v>
      </c>
      <c r="H95" s="436">
        <v>0</v>
      </c>
      <c r="I95" s="442"/>
      <c r="J95" s="442"/>
      <c r="K95" s="436"/>
      <c r="L95" s="436">
        <f t="shared" si="1"/>
        <v>0</v>
      </c>
      <c r="M95" s="444"/>
      <c r="N95" s="453"/>
    </row>
    <row r="96" ht="15.6" customHeight="1" spans="1:14">
      <c r="A96" s="87"/>
      <c r="B96" s="437">
        <v>6666031200</v>
      </c>
      <c r="C96" s="438" t="s">
        <v>195</v>
      </c>
      <c r="D96" s="439" t="s">
        <v>196</v>
      </c>
      <c r="E96" s="446">
        <v>-0.0089</v>
      </c>
      <c r="F96" s="441">
        <v>-1.86153524367287e-5</v>
      </c>
      <c r="G96" s="435">
        <v>0</v>
      </c>
      <c r="H96" s="436">
        <v>0</v>
      </c>
      <c r="I96" s="442"/>
      <c r="J96" s="442"/>
      <c r="K96" s="436"/>
      <c r="L96" s="436">
        <f t="shared" ref="L96:L159" si="2">H96-F96</f>
        <v>1.86153524367287e-5</v>
      </c>
      <c r="M96" s="444"/>
      <c r="N96" s="453"/>
    </row>
    <row r="97" ht="15.6" customHeight="1" spans="1:14">
      <c r="A97" s="87"/>
      <c r="B97" s="437">
        <v>6666050107</v>
      </c>
      <c r="C97" s="438" t="s">
        <v>197</v>
      </c>
      <c r="D97" s="439" t="s">
        <v>198</v>
      </c>
      <c r="E97" s="446">
        <v>-3.46944695195361e-18</v>
      </c>
      <c r="F97" s="441">
        <v>-7.25673907541019e-21</v>
      </c>
      <c r="G97" s="435">
        <v>0</v>
      </c>
      <c r="H97" s="436">
        <v>0</v>
      </c>
      <c r="I97" s="442"/>
      <c r="J97" s="442"/>
      <c r="K97" s="436"/>
      <c r="L97" s="436">
        <f t="shared" si="2"/>
        <v>7.25673907541019e-21</v>
      </c>
      <c r="M97" s="444"/>
      <c r="N97" s="453"/>
    </row>
    <row r="98" ht="15.6" customHeight="1" spans="1:14">
      <c r="A98" s="87"/>
      <c r="B98" s="437">
        <v>6666070100</v>
      </c>
      <c r="C98" s="438" t="s">
        <v>199</v>
      </c>
      <c r="D98" s="439" t="s">
        <v>200</v>
      </c>
      <c r="E98" s="446">
        <v>0</v>
      </c>
      <c r="F98" s="441">
        <v>0</v>
      </c>
      <c r="G98" s="435">
        <v>0</v>
      </c>
      <c r="H98" s="436">
        <v>0</v>
      </c>
      <c r="I98" s="442"/>
      <c r="J98" s="442"/>
      <c r="K98" s="436"/>
      <c r="L98" s="436">
        <f t="shared" si="2"/>
        <v>0</v>
      </c>
      <c r="M98" s="444"/>
      <c r="N98" s="453"/>
    </row>
    <row r="99" ht="15.6" customHeight="1" spans="1:14">
      <c r="A99" s="87"/>
      <c r="B99" s="437">
        <v>6666070300</v>
      </c>
      <c r="C99" s="438" t="s">
        <v>201</v>
      </c>
      <c r="D99" s="439" t="s">
        <v>202</v>
      </c>
      <c r="E99" s="446">
        <v>0</v>
      </c>
      <c r="F99" s="441">
        <v>0</v>
      </c>
      <c r="G99" s="435">
        <v>0</v>
      </c>
      <c r="H99" s="436">
        <v>0</v>
      </c>
      <c r="I99" s="442"/>
      <c r="J99" s="442"/>
      <c r="K99" s="436"/>
      <c r="L99" s="436">
        <f t="shared" si="2"/>
        <v>0</v>
      </c>
      <c r="M99" s="444"/>
      <c r="N99" s="453"/>
    </row>
    <row r="100" ht="46.8" customHeight="1" spans="1:14">
      <c r="A100" s="87"/>
      <c r="B100" s="437">
        <v>6666070400</v>
      </c>
      <c r="C100" s="438" t="s">
        <v>203</v>
      </c>
      <c r="D100" s="439" t="s">
        <v>204</v>
      </c>
      <c r="E100" s="460">
        <v>62.40957</v>
      </c>
      <c r="F100" s="461">
        <v>0.130536645053336</v>
      </c>
      <c r="G100" s="462">
        <v>145.015185078192</v>
      </c>
      <c r="H100" s="463">
        <v>0.256654959254879</v>
      </c>
      <c r="I100" s="464"/>
      <c r="J100" s="464"/>
      <c r="K100" s="436"/>
      <c r="L100" s="436">
        <f t="shared" si="2"/>
        <v>0.126118314201543</v>
      </c>
      <c r="M100" s="444"/>
      <c r="N100" s="458" t="s">
        <v>205</v>
      </c>
    </row>
    <row r="101" ht="15.6" customHeight="1" spans="1:14">
      <c r="A101" s="87"/>
      <c r="B101" s="437">
        <v>5401050201</v>
      </c>
      <c r="C101" s="438" t="s">
        <v>206</v>
      </c>
      <c r="D101" s="439" t="s">
        <v>207</v>
      </c>
      <c r="E101" s="446">
        <v>0.02369</v>
      </c>
      <c r="F101" s="441">
        <v>4.95503032838318e-5</v>
      </c>
      <c r="G101" s="435">
        <v>0</v>
      </c>
      <c r="H101" s="436">
        <v>0</v>
      </c>
      <c r="I101" s="442"/>
      <c r="J101" s="442"/>
      <c r="K101" s="436"/>
      <c r="L101" s="436">
        <f t="shared" si="2"/>
        <v>-4.95503032838318e-5</v>
      </c>
      <c r="M101" s="444"/>
      <c r="N101" s="453"/>
    </row>
    <row r="102" ht="15.6" customHeight="1" spans="1:14">
      <c r="A102" s="87"/>
      <c r="B102" s="437">
        <v>5401020212</v>
      </c>
      <c r="C102" s="438" t="s">
        <v>208</v>
      </c>
      <c r="D102" s="439" t="s">
        <v>209</v>
      </c>
      <c r="E102" s="446">
        <v>-0.14776</v>
      </c>
      <c r="F102" s="441">
        <v>-0.000309056682702363</v>
      </c>
      <c r="G102" s="435">
        <v>0</v>
      </c>
      <c r="H102" s="436">
        <v>0</v>
      </c>
      <c r="I102" s="442"/>
      <c r="J102" s="442"/>
      <c r="K102" s="436"/>
      <c r="L102" s="436">
        <f t="shared" si="2"/>
        <v>0.000309056682702363</v>
      </c>
      <c r="M102" s="444"/>
      <c r="N102" s="453"/>
    </row>
    <row r="103" ht="15.6" customHeight="1" spans="1:14">
      <c r="A103" s="73"/>
      <c r="B103" s="437">
        <v>6666020801</v>
      </c>
      <c r="C103" s="438" t="s">
        <v>210</v>
      </c>
      <c r="D103" s="439" t="s">
        <v>211</v>
      </c>
      <c r="E103" s="446"/>
      <c r="F103" s="441">
        <v>0</v>
      </c>
      <c r="G103" s="435">
        <v>12.9554883138695</v>
      </c>
      <c r="H103" s="436">
        <v>0.0229292561570732</v>
      </c>
      <c r="I103" s="442"/>
      <c r="J103" s="442"/>
      <c r="K103" s="436"/>
      <c r="L103" s="436">
        <f t="shared" si="2"/>
        <v>0.0229292561570732</v>
      </c>
      <c r="M103" s="444"/>
      <c r="N103" s="453"/>
    </row>
    <row r="104" ht="16.2" customHeight="1" spans="1:14">
      <c r="A104" s="15" t="s">
        <v>212</v>
      </c>
      <c r="B104" s="437" t="s">
        <v>75</v>
      </c>
      <c r="C104" s="447" t="s">
        <v>213</v>
      </c>
      <c r="D104" s="448" t="s">
        <v>214</v>
      </c>
      <c r="E104" s="465">
        <v>470.02002</v>
      </c>
      <c r="F104" s="441">
        <v>0.983099811754863</v>
      </c>
      <c r="G104" s="449">
        <v>673.594008675012</v>
      </c>
      <c r="H104" s="450">
        <v>1.19215958492622</v>
      </c>
      <c r="I104" s="451"/>
      <c r="J104" s="451"/>
      <c r="K104" s="436"/>
      <c r="L104" s="436">
        <f t="shared" si="2"/>
        <v>0.209059773171357</v>
      </c>
      <c r="M104" s="444"/>
      <c r="N104" s="453"/>
    </row>
    <row r="105" ht="15.6" customHeight="1" spans="1:14">
      <c r="A105" s="87"/>
      <c r="B105" s="437">
        <v>6666110203</v>
      </c>
      <c r="C105" s="438" t="s">
        <v>215</v>
      </c>
      <c r="D105" s="439" t="s">
        <v>216</v>
      </c>
      <c r="E105" s="446">
        <v>145.49291</v>
      </c>
      <c r="F105" s="441">
        <v>0.304314808617444</v>
      </c>
      <c r="G105" s="435">
        <v>185.03175</v>
      </c>
      <c r="H105" s="436">
        <v>0.327478230859085</v>
      </c>
      <c r="I105" s="442"/>
      <c r="J105" s="442"/>
      <c r="K105" s="436"/>
      <c r="L105" s="436">
        <f t="shared" si="2"/>
        <v>0.023163422241641</v>
      </c>
      <c r="M105" s="444"/>
      <c r="N105" s="453"/>
    </row>
    <row r="106" ht="15.6" customHeight="1" spans="1:14">
      <c r="A106" s="87"/>
      <c r="B106" s="437">
        <v>5102040000</v>
      </c>
      <c r="C106" s="438" t="s">
        <v>217</v>
      </c>
      <c r="D106" s="439" t="s">
        <v>218</v>
      </c>
      <c r="E106" s="446">
        <v>-0.64556</v>
      </c>
      <c r="F106" s="441">
        <v>-0.00135026145157917</v>
      </c>
      <c r="G106" s="435">
        <v>0</v>
      </c>
      <c r="H106" s="436">
        <v>0</v>
      </c>
      <c r="I106" s="442"/>
      <c r="J106" s="442"/>
      <c r="K106" s="436"/>
      <c r="L106" s="436">
        <f t="shared" si="2"/>
        <v>0.00135026145157917</v>
      </c>
      <c r="M106" s="444"/>
      <c r="N106" s="453"/>
    </row>
    <row r="107" ht="15.6" customHeight="1" spans="1:14">
      <c r="A107" s="87"/>
      <c r="B107" s="437">
        <v>6666050307</v>
      </c>
      <c r="C107" s="438" t="s">
        <v>219</v>
      </c>
      <c r="D107" s="439" t="s">
        <v>220</v>
      </c>
      <c r="E107" s="446">
        <v>-69.74854</v>
      </c>
      <c r="F107" s="441">
        <v>-0.145886927421042</v>
      </c>
      <c r="G107" s="435">
        <v>0</v>
      </c>
      <c r="H107" s="436">
        <v>0</v>
      </c>
      <c r="I107" s="442"/>
      <c r="J107" s="442"/>
      <c r="K107" s="436"/>
      <c r="L107" s="436">
        <f t="shared" si="2"/>
        <v>0.145886927421042</v>
      </c>
      <c r="M107" s="444"/>
      <c r="N107" s="453"/>
    </row>
    <row r="108" ht="15.6" customHeight="1" spans="1:14">
      <c r="A108" s="73"/>
      <c r="B108" s="437">
        <v>6666050312</v>
      </c>
      <c r="C108" s="438" t="s">
        <v>221</v>
      </c>
      <c r="D108" s="439" t="s">
        <v>222</v>
      </c>
      <c r="E108" s="446">
        <v>60.27341</v>
      </c>
      <c r="F108" s="441">
        <v>0.1260686258105</v>
      </c>
      <c r="G108" s="435">
        <v>0</v>
      </c>
      <c r="H108" s="436">
        <v>0</v>
      </c>
      <c r="I108" s="442"/>
      <c r="J108" s="442"/>
      <c r="K108" s="436"/>
      <c r="L108" s="436">
        <f t="shared" si="2"/>
        <v>-0.1260686258105</v>
      </c>
      <c r="M108" s="444"/>
      <c r="N108" s="453"/>
    </row>
    <row r="109" ht="16.2" customHeight="1" spans="1:14">
      <c r="A109" s="15" t="s">
        <v>223</v>
      </c>
      <c r="B109" s="437" t="s">
        <v>96</v>
      </c>
      <c r="C109" s="447" t="s">
        <v>224</v>
      </c>
      <c r="D109" s="448" t="s">
        <v>225</v>
      </c>
      <c r="E109" s="449">
        <v>135.37222</v>
      </c>
      <c r="F109" s="441">
        <v>0.283146245555323</v>
      </c>
      <c r="G109" s="449">
        <v>185.03175</v>
      </c>
      <c r="H109" s="450">
        <v>0.327478230859085</v>
      </c>
      <c r="I109" s="451"/>
      <c r="J109" s="451"/>
      <c r="K109" s="436"/>
      <c r="L109" s="436">
        <f t="shared" si="2"/>
        <v>0.044331985303762</v>
      </c>
      <c r="M109" s="444"/>
      <c r="N109" s="453"/>
    </row>
    <row r="110" ht="15.6" customHeight="1" spans="1:14">
      <c r="A110" s="73"/>
      <c r="B110" s="437">
        <v>6666100203</v>
      </c>
      <c r="C110" s="438" t="s">
        <v>226</v>
      </c>
      <c r="D110" s="439" t="s">
        <v>227</v>
      </c>
      <c r="E110" s="446">
        <v>238.79033</v>
      </c>
      <c r="F110" s="441">
        <v>0.499456870947501</v>
      </c>
      <c r="G110" s="435">
        <v>100.000681071543</v>
      </c>
      <c r="H110" s="436">
        <v>0.17698609088447</v>
      </c>
      <c r="I110" s="442"/>
      <c r="J110" s="442"/>
      <c r="K110" s="436"/>
      <c r="L110" s="436">
        <f t="shared" si="2"/>
        <v>-0.322470780063031</v>
      </c>
      <c r="M110" s="444"/>
      <c r="N110" s="453"/>
    </row>
    <row r="111" ht="16.2" customHeight="1" spans="1:14">
      <c r="A111" s="15" t="s">
        <v>228</v>
      </c>
      <c r="B111" s="437" t="s">
        <v>75</v>
      </c>
      <c r="C111" s="447" t="s">
        <v>229</v>
      </c>
      <c r="D111" s="448" t="s">
        <v>230</v>
      </c>
      <c r="E111" s="449">
        <v>238.79033</v>
      </c>
      <c r="F111" s="441">
        <v>0.499456870947501</v>
      </c>
      <c r="G111" s="449">
        <v>100.000681071543</v>
      </c>
      <c r="H111" s="450">
        <v>0.17698609088447</v>
      </c>
      <c r="I111" s="451"/>
      <c r="J111" s="451"/>
      <c r="K111" s="436"/>
      <c r="L111" s="436">
        <f t="shared" si="2"/>
        <v>-0.322470780063031</v>
      </c>
      <c r="M111" s="444"/>
      <c r="N111" s="453"/>
    </row>
    <row r="112" ht="46.8" customHeight="1" spans="1:14">
      <c r="A112" s="73"/>
      <c r="B112" s="437">
        <v>5301070000</v>
      </c>
      <c r="C112" s="438" t="s">
        <v>231</v>
      </c>
      <c r="D112" s="439" t="s">
        <v>232</v>
      </c>
      <c r="E112" s="446">
        <v>-636.57822</v>
      </c>
      <c r="F112" s="441">
        <v>-1.33147504706128</v>
      </c>
      <c r="G112" s="435">
        <v>-585.654141180491</v>
      </c>
      <c r="H112" s="436">
        <v>-1.0365193111403</v>
      </c>
      <c r="I112" s="442"/>
      <c r="J112" s="442"/>
      <c r="K112" s="436"/>
      <c r="L112" s="436">
        <f t="shared" si="2"/>
        <v>0.29495573592098</v>
      </c>
      <c r="M112" s="444"/>
      <c r="N112" s="466" t="s">
        <v>233</v>
      </c>
    </row>
    <row r="113" ht="16.2" customHeight="1" spans="1:14">
      <c r="A113" s="467" t="s">
        <v>234</v>
      </c>
      <c r="B113" s="437" t="s">
        <v>96</v>
      </c>
      <c r="C113" s="447" t="s">
        <v>235</v>
      </c>
      <c r="D113" s="448" t="s">
        <v>236</v>
      </c>
      <c r="E113" s="449">
        <v>-636.57822</v>
      </c>
      <c r="F113" s="441">
        <v>-1.33147504706128</v>
      </c>
      <c r="G113" s="449">
        <v>-585.654141180491</v>
      </c>
      <c r="H113" s="450">
        <v>-1.0365193111403</v>
      </c>
      <c r="I113" s="451"/>
      <c r="J113" s="451"/>
      <c r="K113" s="436"/>
      <c r="L113" s="436">
        <f t="shared" si="2"/>
        <v>0.29495573592098</v>
      </c>
      <c r="M113" s="444"/>
      <c r="N113" s="453"/>
    </row>
    <row r="114" ht="15.6" customHeight="1" spans="1:14">
      <c r="A114" s="87"/>
      <c r="B114" s="437">
        <v>6666021602</v>
      </c>
      <c r="C114" s="468" t="s">
        <v>237</v>
      </c>
      <c r="D114" s="469" t="s">
        <v>238</v>
      </c>
      <c r="E114" s="446">
        <v>58.2384</v>
      </c>
      <c r="F114" s="441">
        <v>0.121812173185526</v>
      </c>
      <c r="G114" s="435">
        <v>48.5245293290605</v>
      </c>
      <c r="H114" s="436">
        <v>0.0858810826679772</v>
      </c>
      <c r="I114" s="442"/>
      <c r="J114" s="442"/>
      <c r="K114" s="436"/>
      <c r="L114" s="436">
        <f t="shared" si="2"/>
        <v>-0.0359310905175488</v>
      </c>
      <c r="M114" s="444"/>
      <c r="N114" s="453"/>
    </row>
    <row r="115" ht="15.6" customHeight="1" spans="1:14">
      <c r="A115" s="87"/>
      <c r="B115" s="437">
        <v>6666021603</v>
      </c>
      <c r="C115" s="468" t="s">
        <v>239</v>
      </c>
      <c r="D115" s="469" t="s">
        <v>240</v>
      </c>
      <c r="E115" s="446">
        <v>9.29013</v>
      </c>
      <c r="F115" s="441">
        <v>0.0194313532733738</v>
      </c>
      <c r="G115" s="435">
        <v>12.5232943458888</v>
      </c>
      <c r="H115" s="436">
        <v>0.0221643381577445</v>
      </c>
      <c r="I115" s="442"/>
      <c r="J115" s="442"/>
      <c r="K115" s="436"/>
      <c r="L115" s="436">
        <f t="shared" si="2"/>
        <v>0.0027329848843707</v>
      </c>
      <c r="M115" s="444"/>
      <c r="N115" s="453"/>
    </row>
    <row r="116" ht="15.6" customHeight="1" spans="1:14">
      <c r="A116" s="73"/>
      <c r="B116" s="437">
        <v>6666021604</v>
      </c>
      <c r="C116" s="470" t="s">
        <v>241</v>
      </c>
      <c r="D116" s="471" t="s">
        <v>242</v>
      </c>
      <c r="E116" s="446">
        <v>23</v>
      </c>
      <c r="F116" s="441">
        <v>0.048107090566827</v>
      </c>
      <c r="G116" s="435">
        <v>4.47832312446251</v>
      </c>
      <c r="H116" s="436">
        <v>0.00792595505373705</v>
      </c>
      <c r="I116" s="442"/>
      <c r="J116" s="442"/>
      <c r="K116" s="436"/>
      <c r="L116" s="436">
        <f t="shared" si="2"/>
        <v>-0.04018113551309</v>
      </c>
      <c r="M116" s="444"/>
      <c r="N116" s="453"/>
    </row>
    <row r="117" ht="16.2" customHeight="1" spans="1:14">
      <c r="A117" s="467" t="s">
        <v>243</v>
      </c>
      <c r="B117" s="437" t="s">
        <v>75</v>
      </c>
      <c r="C117" s="447" t="s">
        <v>244</v>
      </c>
      <c r="D117" s="448" t="s">
        <v>245</v>
      </c>
      <c r="E117" s="449">
        <v>90.52853</v>
      </c>
      <c r="F117" s="441">
        <v>0.189350617025727</v>
      </c>
      <c r="G117" s="449">
        <v>65.5261467994118</v>
      </c>
      <c r="H117" s="450">
        <v>0.115971375879459</v>
      </c>
      <c r="I117" s="451"/>
      <c r="J117" s="451"/>
      <c r="K117" s="436"/>
      <c r="L117" s="436">
        <f t="shared" si="2"/>
        <v>-0.073379241146268</v>
      </c>
      <c r="M117" s="444"/>
      <c r="N117" s="453"/>
    </row>
    <row r="118" ht="15.6" customHeight="1" spans="1:14">
      <c r="A118" s="87"/>
      <c r="B118" s="437">
        <v>6666021600</v>
      </c>
      <c r="C118" s="438" t="s">
        <v>246</v>
      </c>
      <c r="D118" s="439" t="s">
        <v>247</v>
      </c>
      <c r="E118" s="446">
        <v>269.13172</v>
      </c>
      <c r="F118" s="441">
        <v>0.562919305584606</v>
      </c>
      <c r="G118" s="435">
        <v>336.528414730881</v>
      </c>
      <c r="H118" s="436">
        <v>0.595604429455384</v>
      </c>
      <c r="I118" s="442"/>
      <c r="J118" s="442"/>
      <c r="K118" s="436"/>
      <c r="L118" s="436">
        <f t="shared" si="2"/>
        <v>0.032685123870778</v>
      </c>
      <c r="M118" s="444"/>
      <c r="N118" s="453"/>
    </row>
    <row r="119" ht="15.6" customHeight="1" spans="1:14">
      <c r="A119" s="73"/>
      <c r="B119" s="437">
        <v>6666021604</v>
      </c>
      <c r="C119" s="438" t="s">
        <v>248</v>
      </c>
      <c r="D119" s="439" t="s">
        <v>249</v>
      </c>
      <c r="E119" s="446">
        <v>14.71514</v>
      </c>
      <c r="F119" s="441">
        <v>0.0307783727253713</v>
      </c>
      <c r="G119" s="435">
        <v>68.7936522925622</v>
      </c>
      <c r="H119" s="436">
        <v>0.121754366734916</v>
      </c>
      <c r="I119" s="442"/>
      <c r="J119" s="442"/>
      <c r="K119" s="436"/>
      <c r="L119" s="436">
        <f t="shared" si="2"/>
        <v>0.0909759940095447</v>
      </c>
      <c r="M119" s="444"/>
      <c r="N119" s="453"/>
    </row>
    <row r="120" ht="16.2" customHeight="1" spans="1:14">
      <c r="A120" s="15" t="s">
        <v>250</v>
      </c>
      <c r="B120" s="437" t="s">
        <v>96</v>
      </c>
      <c r="C120" s="447" t="s">
        <v>251</v>
      </c>
      <c r="D120" s="448" t="s">
        <v>252</v>
      </c>
      <c r="E120" s="449">
        <v>283.84686</v>
      </c>
      <c r="F120" s="441">
        <v>0.593697678309977</v>
      </c>
      <c r="G120" s="449">
        <v>405.322067023443</v>
      </c>
      <c r="H120" s="450">
        <v>0.7173587961903</v>
      </c>
      <c r="I120" s="451"/>
      <c r="J120" s="451"/>
      <c r="K120" s="436"/>
      <c r="L120" s="436">
        <f t="shared" si="2"/>
        <v>0.123661117880323</v>
      </c>
      <c r="M120" s="444"/>
      <c r="N120" s="453"/>
    </row>
    <row r="121" ht="15.6" customHeight="1" spans="1:14">
      <c r="A121" s="87"/>
      <c r="B121" s="437">
        <v>5001010206</v>
      </c>
      <c r="C121" s="438" t="s">
        <v>253</v>
      </c>
      <c r="D121" s="439" t="s">
        <v>254</v>
      </c>
      <c r="E121" s="446">
        <v>36.4622</v>
      </c>
      <c r="F121" s="441">
        <v>0.0762647981593809</v>
      </c>
      <c r="G121" s="435">
        <v>41.7069971485281</v>
      </c>
      <c r="H121" s="436">
        <v>0.073815081144965</v>
      </c>
      <c r="I121" s="442"/>
      <c r="J121" s="442"/>
      <c r="K121" s="436"/>
      <c r="L121" s="436">
        <f t="shared" si="2"/>
        <v>-0.0024497170144159</v>
      </c>
      <c r="M121" s="444"/>
      <c r="N121" s="453"/>
    </row>
    <row r="122" ht="31.2" customHeight="1" spans="1:14">
      <c r="A122" s="87"/>
      <c r="B122" s="437">
        <v>6666010184</v>
      </c>
      <c r="C122" s="438" t="s">
        <v>255</v>
      </c>
      <c r="D122" s="439" t="s">
        <v>256</v>
      </c>
      <c r="E122" s="446">
        <v>-1.76551</v>
      </c>
      <c r="F122" s="441">
        <v>-0.00369276302028864</v>
      </c>
      <c r="G122" s="435">
        <v>-104.359984791084</v>
      </c>
      <c r="H122" s="436">
        <v>-0.184701399580695</v>
      </c>
      <c r="I122" s="442"/>
      <c r="J122" s="442"/>
      <c r="K122" s="436"/>
      <c r="L122" s="436">
        <f t="shared" si="2"/>
        <v>-0.181008636560406</v>
      </c>
      <c r="M122" s="444"/>
      <c r="N122" s="472" t="s">
        <v>257</v>
      </c>
    </row>
    <row r="123" ht="15.6" customHeight="1" spans="1:14">
      <c r="A123" s="87"/>
      <c r="B123" s="437">
        <v>6666010186</v>
      </c>
      <c r="C123" s="438" t="s">
        <v>258</v>
      </c>
      <c r="D123" s="439" t="s">
        <v>259</v>
      </c>
      <c r="E123" s="446">
        <v>175.42799</v>
      </c>
      <c r="F123" s="441">
        <v>0.366927400125497</v>
      </c>
      <c r="G123" s="435">
        <v>65.5536011346778</v>
      </c>
      <c r="H123" s="436">
        <v>0.116019965903292</v>
      </c>
      <c r="I123" s="442"/>
      <c r="J123" s="442"/>
      <c r="K123" s="436"/>
      <c r="L123" s="436">
        <f t="shared" si="2"/>
        <v>-0.250907434222205</v>
      </c>
      <c r="M123" s="444"/>
      <c r="N123" s="453"/>
    </row>
    <row r="124" ht="15.6" customHeight="1" spans="1:14">
      <c r="A124" s="87"/>
      <c r="B124" s="437">
        <v>6666010189</v>
      </c>
      <c r="C124" s="438" t="s">
        <v>260</v>
      </c>
      <c r="D124" s="439" t="s">
        <v>261</v>
      </c>
      <c r="E124" s="446">
        <v>131.52929</v>
      </c>
      <c r="F124" s="441">
        <v>0.275108324618281</v>
      </c>
      <c r="G124" s="435">
        <v>160.2540113491</v>
      </c>
      <c r="H124" s="436">
        <v>0.283625378480585</v>
      </c>
      <c r="I124" s="442"/>
      <c r="J124" s="442"/>
      <c r="K124" s="436"/>
      <c r="L124" s="436">
        <f t="shared" si="2"/>
        <v>0.008517053862304</v>
      </c>
      <c r="M124" s="399"/>
      <c r="N124" s="453"/>
    </row>
    <row r="125" ht="15.6" customHeight="1" spans="1:14">
      <c r="A125" s="87"/>
      <c r="B125" s="437">
        <v>6666010012</v>
      </c>
      <c r="C125" s="438" t="s">
        <v>262</v>
      </c>
      <c r="D125" s="439" t="s">
        <v>263</v>
      </c>
      <c r="E125" s="446">
        <v>327.10203</v>
      </c>
      <c r="F125" s="441">
        <v>0.684170738339259</v>
      </c>
      <c r="G125" s="435">
        <v>432.710095415979</v>
      </c>
      <c r="H125" s="436">
        <v>0.765831466879011</v>
      </c>
      <c r="I125" s="442"/>
      <c r="J125" s="442"/>
      <c r="K125" s="436"/>
      <c r="L125" s="436">
        <f t="shared" si="2"/>
        <v>0.081660728539752</v>
      </c>
      <c r="M125" s="444"/>
      <c r="N125" s="453"/>
    </row>
    <row r="126" ht="15.6" customHeight="1" spans="1:14">
      <c r="A126" s="87"/>
      <c r="B126" s="437">
        <v>6666010226</v>
      </c>
      <c r="C126" s="438" t="s">
        <v>264</v>
      </c>
      <c r="D126" s="439" t="s">
        <v>265</v>
      </c>
      <c r="E126" s="446">
        <v>38.83729</v>
      </c>
      <c r="F126" s="441">
        <v>0.0812325664087011</v>
      </c>
      <c r="G126" s="435">
        <v>55.3263349424469</v>
      </c>
      <c r="H126" s="436">
        <v>0.0979192505441345</v>
      </c>
      <c r="I126" s="442"/>
      <c r="J126" s="442"/>
      <c r="K126" s="436"/>
      <c r="L126" s="436">
        <f t="shared" si="2"/>
        <v>0.0166866841354334</v>
      </c>
      <c r="M126" s="444"/>
      <c r="N126" s="453"/>
    </row>
    <row r="127" ht="15.6" customHeight="1" spans="1:14">
      <c r="A127" s="73"/>
      <c r="B127" s="437">
        <v>6666010102</v>
      </c>
      <c r="C127" s="438" t="s">
        <v>266</v>
      </c>
      <c r="D127" s="439" t="s">
        <v>267</v>
      </c>
      <c r="E127" s="446">
        <v>1867.34463</v>
      </c>
      <c r="F127" s="441">
        <v>3.90576161890818</v>
      </c>
      <c r="G127" s="435">
        <v>2050.13775116532</v>
      </c>
      <c r="H127" s="436">
        <v>3.62843395130317</v>
      </c>
      <c r="I127" s="442"/>
      <c r="J127" s="442"/>
      <c r="K127" s="436"/>
      <c r="L127" s="436">
        <f t="shared" si="2"/>
        <v>-0.27732766760501</v>
      </c>
      <c r="M127" s="444"/>
      <c r="N127" s="453"/>
    </row>
    <row r="128" ht="16.2" customHeight="1" spans="1:14">
      <c r="A128" s="15" t="s">
        <v>268</v>
      </c>
      <c r="B128" s="437" t="s">
        <v>269</v>
      </c>
      <c r="C128" s="447" t="s">
        <v>270</v>
      </c>
      <c r="D128" s="448" t="s">
        <v>271</v>
      </c>
      <c r="E128" s="449">
        <v>2574.93792</v>
      </c>
      <c r="F128" s="441">
        <v>5.38577268353901</v>
      </c>
      <c r="G128" s="449">
        <v>2701.32880636497</v>
      </c>
      <c r="H128" s="450">
        <v>4.78094369467447</v>
      </c>
      <c r="I128" s="451"/>
      <c r="J128" s="451"/>
      <c r="K128" s="436"/>
      <c r="L128" s="436">
        <f t="shared" si="2"/>
        <v>-0.60482898886454</v>
      </c>
      <c r="M128" s="444"/>
      <c r="N128" s="453"/>
    </row>
    <row r="129" ht="15.6" customHeight="1" spans="1:14">
      <c r="A129" s="87"/>
      <c r="B129" s="437">
        <v>6666010196</v>
      </c>
      <c r="C129" s="438" t="s">
        <v>272</v>
      </c>
      <c r="D129" s="439" t="s">
        <v>273</v>
      </c>
      <c r="E129" s="446">
        <v>136.18887</v>
      </c>
      <c r="F129" s="441">
        <v>0.284854361012341</v>
      </c>
      <c r="G129" s="435">
        <v>190.557656186689</v>
      </c>
      <c r="H129" s="436">
        <v>0.337258249595924</v>
      </c>
      <c r="I129" s="442"/>
      <c r="J129" s="442"/>
      <c r="K129" s="436"/>
      <c r="L129" s="436">
        <f t="shared" si="2"/>
        <v>0.052403888583583</v>
      </c>
      <c r="M129" s="444"/>
      <c r="N129" s="453"/>
    </row>
    <row r="130" ht="15.6" customHeight="1" spans="1:14">
      <c r="A130" s="87"/>
      <c r="B130" s="437">
        <v>6666010101</v>
      </c>
      <c r="C130" s="438" t="s">
        <v>274</v>
      </c>
      <c r="D130" s="439" t="s">
        <v>275</v>
      </c>
      <c r="E130" s="446">
        <v>877.73175</v>
      </c>
      <c r="F130" s="441">
        <v>1.83587481698389</v>
      </c>
      <c r="G130" s="435">
        <v>1073.1871854306</v>
      </c>
      <c r="H130" s="436">
        <v>1.89937911123606</v>
      </c>
      <c r="I130" s="442"/>
      <c r="J130" s="442"/>
      <c r="K130" s="436"/>
      <c r="L130" s="436">
        <f t="shared" si="2"/>
        <v>0.06350429425217</v>
      </c>
      <c r="M130" s="444"/>
      <c r="N130" s="453"/>
    </row>
    <row r="131" ht="15.6" customHeight="1" spans="1:14">
      <c r="A131" s="87"/>
      <c r="B131" s="437">
        <v>6666010199</v>
      </c>
      <c r="C131" s="438" t="s">
        <v>276</v>
      </c>
      <c r="D131" s="439" t="s">
        <v>277</v>
      </c>
      <c r="E131" s="446">
        <v>7.82294999999999</v>
      </c>
      <c r="F131" s="441">
        <v>0.0163625810499895</v>
      </c>
      <c r="G131" s="435">
        <v>0</v>
      </c>
      <c r="H131" s="436">
        <v>0</v>
      </c>
      <c r="I131" s="442"/>
      <c r="J131" s="442"/>
      <c r="K131" s="436"/>
      <c r="L131" s="436">
        <f t="shared" si="2"/>
        <v>-0.0163625810499895</v>
      </c>
      <c r="M131" s="444"/>
      <c r="N131" s="453"/>
    </row>
    <row r="132" ht="15.6" customHeight="1" spans="1:14">
      <c r="A132" s="87"/>
      <c r="B132" s="437">
        <v>6666010185</v>
      </c>
      <c r="C132" s="438" t="s">
        <v>278</v>
      </c>
      <c r="D132" s="439" t="s">
        <v>279</v>
      </c>
      <c r="E132" s="446">
        <v>-3.01285</v>
      </c>
      <c r="F132" s="441">
        <v>-0.00630171512235934</v>
      </c>
      <c r="G132" s="435">
        <v>-49.9870080347595</v>
      </c>
      <c r="H132" s="436">
        <v>-0.0884694489305856</v>
      </c>
      <c r="I132" s="442"/>
      <c r="J132" s="442"/>
      <c r="K132" s="436"/>
      <c r="L132" s="436">
        <f t="shared" si="2"/>
        <v>-0.0821677338082263</v>
      </c>
      <c r="M132" s="444"/>
      <c r="N132" s="453"/>
    </row>
    <row r="133" ht="15.6" customHeight="1" spans="1:14">
      <c r="A133" s="87"/>
      <c r="B133" s="437">
        <v>6666010207</v>
      </c>
      <c r="C133" s="438" t="s">
        <v>280</v>
      </c>
      <c r="D133" s="439" t="s">
        <v>281</v>
      </c>
      <c r="E133" s="446">
        <v>11.46886</v>
      </c>
      <c r="F133" s="441">
        <v>0.0239884124660113</v>
      </c>
      <c r="G133" s="435">
        <v>18.367003005946</v>
      </c>
      <c r="H133" s="436">
        <v>0.0325068192381615</v>
      </c>
      <c r="I133" s="442"/>
      <c r="J133" s="442"/>
      <c r="K133" s="436"/>
      <c r="L133" s="436">
        <f t="shared" si="2"/>
        <v>0.0085184067721502</v>
      </c>
      <c r="M133" s="444"/>
      <c r="N133" s="453"/>
    </row>
    <row r="134" ht="15.6" customHeight="1" spans="1:14">
      <c r="A134" s="87"/>
      <c r="B134" s="437">
        <v>5102040406</v>
      </c>
      <c r="C134" s="438" t="s">
        <v>92</v>
      </c>
      <c r="D134" s="439" t="s">
        <v>282</v>
      </c>
      <c r="E134" s="446">
        <v>0</v>
      </c>
      <c r="F134" s="441">
        <v>0</v>
      </c>
      <c r="G134" s="435">
        <v>0</v>
      </c>
      <c r="H134" s="436">
        <v>0</v>
      </c>
      <c r="I134" s="442"/>
      <c r="J134" s="442"/>
      <c r="K134" s="436"/>
      <c r="L134" s="436">
        <f t="shared" si="2"/>
        <v>0</v>
      </c>
      <c r="M134" s="444"/>
      <c r="N134" s="453"/>
    </row>
    <row r="135" ht="15.6" customHeight="1" spans="1:14">
      <c r="A135" s="73"/>
      <c r="B135" s="437">
        <v>6666010227</v>
      </c>
      <c r="C135" s="438" t="s">
        <v>283</v>
      </c>
      <c r="D135" s="439" t="s">
        <v>284</v>
      </c>
      <c r="E135" s="446">
        <v>16.47136</v>
      </c>
      <c r="F135" s="441">
        <v>0.0344517046642962</v>
      </c>
      <c r="G135" s="435">
        <v>17.2993701025381</v>
      </c>
      <c r="H135" s="436">
        <v>0.0306172703666031</v>
      </c>
      <c r="I135" s="442"/>
      <c r="J135" s="442"/>
      <c r="K135" s="436"/>
      <c r="L135" s="436">
        <f t="shared" si="2"/>
        <v>-0.0038344342976931</v>
      </c>
      <c r="M135" s="444"/>
      <c r="N135" s="453"/>
    </row>
    <row r="136" ht="16.2" customHeight="1" spans="1:14">
      <c r="A136" s="15" t="s">
        <v>285</v>
      </c>
      <c r="B136" s="437" t="s">
        <v>269</v>
      </c>
      <c r="C136" s="447" t="s">
        <v>286</v>
      </c>
      <c r="D136" s="448" t="s">
        <v>287</v>
      </c>
      <c r="E136" s="449">
        <v>1046.67094</v>
      </c>
      <c r="F136" s="441">
        <v>2.18923016105417</v>
      </c>
      <c r="G136" s="449">
        <v>1249.42420669101</v>
      </c>
      <c r="H136" s="450">
        <v>2.21129200150616</v>
      </c>
      <c r="I136" s="451"/>
      <c r="J136" s="451"/>
      <c r="K136" s="436"/>
      <c r="L136" s="436">
        <f t="shared" si="2"/>
        <v>0.0220618404519901</v>
      </c>
      <c r="M136" s="444"/>
      <c r="N136" s="453"/>
    </row>
    <row r="137" ht="15.6" customHeight="1" spans="1:14">
      <c r="A137" s="87"/>
      <c r="B137" s="437">
        <v>6666010302</v>
      </c>
      <c r="C137" s="438" t="s">
        <v>288</v>
      </c>
      <c r="D137" s="439" t="s">
        <v>289</v>
      </c>
      <c r="E137" s="446">
        <v>69.39378</v>
      </c>
      <c r="F137" s="441">
        <v>0.145144906923238</v>
      </c>
      <c r="G137" s="435">
        <v>53.1764060998101</v>
      </c>
      <c r="H137" s="436">
        <v>0.0941142014438606</v>
      </c>
      <c r="I137" s="442"/>
      <c r="J137" s="442"/>
      <c r="K137" s="436"/>
      <c r="L137" s="436">
        <f t="shared" si="2"/>
        <v>-0.0510307054793774</v>
      </c>
      <c r="M137" s="444"/>
      <c r="N137" s="453"/>
    </row>
    <row r="138" ht="15.6" customHeight="1" spans="1:14">
      <c r="A138" s="87"/>
      <c r="B138" s="437">
        <v>6666010314</v>
      </c>
      <c r="C138" s="438" t="s">
        <v>290</v>
      </c>
      <c r="D138" s="439" t="s">
        <v>291</v>
      </c>
      <c r="E138" s="446">
        <v>131.58787</v>
      </c>
      <c r="F138" s="441">
        <v>0.275230851286342</v>
      </c>
      <c r="G138" s="435">
        <v>57.1869187155708</v>
      </c>
      <c r="H138" s="436">
        <v>0.101212202604458</v>
      </c>
      <c r="I138" s="442"/>
      <c r="J138" s="442"/>
      <c r="K138" s="436"/>
      <c r="L138" s="436">
        <f t="shared" si="2"/>
        <v>-0.174018648681884</v>
      </c>
      <c r="M138" s="444"/>
      <c r="N138" s="453"/>
    </row>
    <row r="139" ht="62.4" customHeight="1" spans="1:14">
      <c r="A139" s="87"/>
      <c r="B139" s="437">
        <v>6666010315</v>
      </c>
      <c r="C139" s="438" t="s">
        <v>292</v>
      </c>
      <c r="D139" s="439" t="s">
        <v>293</v>
      </c>
      <c r="E139" s="446"/>
      <c r="F139" s="441">
        <v>0</v>
      </c>
      <c r="G139" s="435">
        <v>129.826064793171</v>
      </c>
      <c r="H139" s="436">
        <v>0.229772512111378</v>
      </c>
      <c r="I139" s="442"/>
      <c r="J139" s="442"/>
      <c r="K139" s="436"/>
      <c r="L139" s="436">
        <f t="shared" si="2"/>
        <v>0.229772512111378</v>
      </c>
      <c r="M139" s="444"/>
      <c r="N139" s="473" t="s">
        <v>294</v>
      </c>
    </row>
    <row r="140" ht="15.6" customHeight="1" spans="1:14">
      <c r="A140" s="87"/>
      <c r="B140" s="437">
        <v>6666020401</v>
      </c>
      <c r="C140" s="438" t="s">
        <v>295</v>
      </c>
      <c r="D140" s="439" t="s">
        <v>296</v>
      </c>
      <c r="E140" s="446">
        <v>359.63645</v>
      </c>
      <c r="F140" s="441">
        <v>0.752220142229659</v>
      </c>
      <c r="G140" s="435">
        <v>433.524219246447</v>
      </c>
      <c r="H140" s="436">
        <v>0.767272343008118</v>
      </c>
      <c r="I140" s="442"/>
      <c r="J140" s="442"/>
      <c r="K140" s="436"/>
      <c r="L140" s="436">
        <f t="shared" si="2"/>
        <v>0.0150522007784589</v>
      </c>
      <c r="M140" s="444"/>
      <c r="N140" s="474"/>
    </row>
    <row r="141" ht="15.6" customHeight="1" spans="1:14">
      <c r="A141" s="87"/>
      <c r="B141" s="437">
        <v>6666020502</v>
      </c>
      <c r="C141" s="438" t="s">
        <v>297</v>
      </c>
      <c r="D141" s="439" t="s">
        <v>298</v>
      </c>
      <c r="E141" s="446">
        <v>376.65979</v>
      </c>
      <c r="F141" s="441">
        <v>0.787826375235307</v>
      </c>
      <c r="G141" s="435">
        <v>401.653630632393</v>
      </c>
      <c r="H141" s="436">
        <v>0.710866218244298</v>
      </c>
      <c r="I141" s="442"/>
      <c r="J141" s="442"/>
      <c r="K141" s="436"/>
      <c r="L141" s="436">
        <f t="shared" si="2"/>
        <v>-0.076960156991009</v>
      </c>
      <c r="M141" s="444"/>
      <c r="N141" s="474"/>
    </row>
    <row r="142" ht="15.6" customHeight="1" spans="1:14">
      <c r="A142" s="87"/>
      <c r="B142" s="437">
        <v>6666020503</v>
      </c>
      <c r="C142" s="438" t="s">
        <v>299</v>
      </c>
      <c r="D142" s="439" t="s">
        <v>300</v>
      </c>
      <c r="E142" s="446">
        <v>4.96508</v>
      </c>
      <c r="F142" s="441">
        <v>0.0103850240535453</v>
      </c>
      <c r="G142" s="435">
        <v>19.6965877869246</v>
      </c>
      <c r="H142" s="436">
        <v>0.0348599833402793</v>
      </c>
      <c r="I142" s="442"/>
      <c r="J142" s="442"/>
      <c r="K142" s="436"/>
      <c r="L142" s="436">
        <f t="shared" si="2"/>
        <v>0.024474959286734</v>
      </c>
      <c r="M142" s="444"/>
      <c r="N142" s="474"/>
    </row>
    <row r="143" ht="78" customHeight="1" spans="1:14">
      <c r="A143" s="87"/>
      <c r="B143" s="437">
        <v>6666021502</v>
      </c>
      <c r="C143" s="438" t="s">
        <v>301</v>
      </c>
      <c r="D143" s="439" t="s">
        <v>302</v>
      </c>
      <c r="E143" s="446">
        <v>105.03852</v>
      </c>
      <c r="F143" s="441">
        <v>0.219699895419368</v>
      </c>
      <c r="G143" s="435">
        <v>371.507457556916</v>
      </c>
      <c r="H143" s="436">
        <v>0.657512048346813</v>
      </c>
      <c r="I143" s="442"/>
      <c r="J143" s="442"/>
      <c r="K143" s="436"/>
      <c r="L143" s="436">
        <f t="shared" si="2"/>
        <v>0.437812152927445</v>
      </c>
      <c r="M143" s="399"/>
      <c r="N143" s="473" t="s">
        <v>303</v>
      </c>
    </row>
    <row r="144" ht="15.6" customHeight="1" spans="1:14">
      <c r="A144" s="87"/>
      <c r="B144" s="437">
        <v>6666021503</v>
      </c>
      <c r="C144" s="438" t="s">
        <v>304</v>
      </c>
      <c r="D144" s="439" t="s">
        <v>305</v>
      </c>
      <c r="E144" s="446">
        <v>42.95258</v>
      </c>
      <c r="F144" s="441">
        <v>0.0898401589625601</v>
      </c>
      <c r="G144" s="435">
        <v>90</v>
      </c>
      <c r="H144" s="436">
        <v>0.159286396941701</v>
      </c>
      <c r="I144" s="442"/>
      <c r="J144" s="442"/>
      <c r="K144" s="436"/>
      <c r="L144" s="436">
        <f t="shared" si="2"/>
        <v>0.0694462379791409</v>
      </c>
      <c r="M144" s="444"/>
      <c r="N144" s="453"/>
    </row>
    <row r="145" ht="15.6" customHeight="1" spans="1:14">
      <c r="A145" s="87"/>
      <c r="B145" s="437">
        <v>6666021506</v>
      </c>
      <c r="C145" s="438" t="s">
        <v>306</v>
      </c>
      <c r="D145" s="439" t="s">
        <v>307</v>
      </c>
      <c r="E145" s="460">
        <v>301.29591</v>
      </c>
      <c r="F145" s="461">
        <v>0.630194331729763</v>
      </c>
      <c r="G145" s="462">
        <v>512.745386048473</v>
      </c>
      <c r="H145" s="463">
        <v>0.907481834357143</v>
      </c>
      <c r="I145" s="464"/>
      <c r="J145" s="464"/>
      <c r="K145" s="436"/>
      <c r="L145" s="436">
        <f t="shared" si="2"/>
        <v>0.27728750262738</v>
      </c>
      <c r="M145" s="399"/>
      <c r="N145" s="453"/>
    </row>
    <row r="146" ht="15.6" customHeight="1" spans="1:14">
      <c r="A146" s="87"/>
      <c r="B146" s="437">
        <v>6666030300</v>
      </c>
      <c r="C146" s="438" t="s">
        <v>308</v>
      </c>
      <c r="D146" s="439" t="s">
        <v>309</v>
      </c>
      <c r="E146" s="446">
        <v>65.17352</v>
      </c>
      <c r="F146" s="441">
        <v>0.136317757791257</v>
      </c>
      <c r="G146" s="435">
        <v>79.08327</v>
      </c>
      <c r="H146" s="436">
        <v>0.139965434851864</v>
      </c>
      <c r="I146" s="442"/>
      <c r="J146" s="442"/>
      <c r="K146" s="436"/>
      <c r="L146" s="436">
        <f t="shared" si="2"/>
        <v>0.00364767706060701</v>
      </c>
      <c r="M146" s="444"/>
      <c r="N146" s="453"/>
    </row>
    <row r="147" ht="18.9" customHeight="1" spans="1:14">
      <c r="A147" s="87"/>
      <c r="B147" s="437">
        <v>6666091600</v>
      </c>
      <c r="C147" s="438" t="s">
        <v>310</v>
      </c>
      <c r="D147" s="439" t="s">
        <v>311</v>
      </c>
      <c r="E147" s="446">
        <v>5.79807</v>
      </c>
      <c r="F147" s="441">
        <v>0.0121273164609914</v>
      </c>
      <c r="G147" s="435">
        <v>7.41005912029328</v>
      </c>
      <c r="H147" s="436">
        <v>0.0131146846488501</v>
      </c>
      <c r="I147" s="442"/>
      <c r="J147" s="442"/>
      <c r="K147" s="436"/>
      <c r="L147" s="436">
        <f t="shared" si="2"/>
        <v>0.0009873681878587</v>
      </c>
      <c r="M147" s="444"/>
      <c r="N147" s="453"/>
    </row>
    <row r="148" ht="15.6" customHeight="1" spans="1:14">
      <c r="A148" s="87"/>
      <c r="B148" s="437">
        <v>6666021500</v>
      </c>
      <c r="C148" s="93" t="s">
        <v>312</v>
      </c>
      <c r="D148" s="93" t="s">
        <v>312</v>
      </c>
      <c r="E148" s="460">
        <v>89.72055</v>
      </c>
      <c r="F148" s="461">
        <v>0.187660635850241</v>
      </c>
      <c r="G148" s="462"/>
      <c r="H148" s="463">
        <v>0</v>
      </c>
      <c r="I148" s="464"/>
      <c r="J148" s="464"/>
      <c r="K148" s="436"/>
      <c r="L148" s="436">
        <f t="shared" si="2"/>
        <v>-0.187660635850241</v>
      </c>
      <c r="M148" s="399"/>
      <c r="N148" s="453"/>
    </row>
    <row r="149" ht="16.2" customHeight="1" spans="1:14">
      <c r="A149" s="73"/>
      <c r="B149" s="437" t="s">
        <v>269</v>
      </c>
      <c r="C149" s="447" t="s">
        <v>313</v>
      </c>
      <c r="D149" s="448" t="s">
        <v>314</v>
      </c>
      <c r="E149" s="449">
        <v>1552.22212</v>
      </c>
      <c r="F149" s="441">
        <v>3.24664739594227</v>
      </c>
      <c r="G149" s="449">
        <v>2155.81</v>
      </c>
      <c r="H149" s="450">
        <v>3.81545785989876</v>
      </c>
      <c r="I149" s="442"/>
      <c r="J149" s="442"/>
      <c r="K149" s="436"/>
      <c r="L149" s="436">
        <f t="shared" si="2"/>
        <v>0.56881046395649</v>
      </c>
      <c r="M149" s="444"/>
      <c r="N149" s="453"/>
    </row>
    <row r="150" ht="16.2" customHeight="1" spans="1:14">
      <c r="A150" s="444"/>
      <c r="B150" s="475"/>
      <c r="C150" s="475"/>
      <c r="D150" s="476"/>
      <c r="E150" s="477">
        <f>SUM(E149,E136,E128,E120,E117,E113,E111,E109,E104,E55,E50,E41)</f>
        <v>17723.1216150968</v>
      </c>
      <c r="F150" s="478">
        <f>SUM(F149,F136,F128,F120,F117,F113,F111,F109,F104,F55,F50,F41)</f>
        <v>37.0699050723632</v>
      </c>
      <c r="G150" s="477">
        <f>SUM(G149,G136,G128,G120,G117,G113,G111,G109,G104,G55,G50,G41)</f>
        <v>20280.3337853369</v>
      </c>
      <c r="H150" s="478">
        <f>SUM(H149,H136,H128,H120,H117,H113,H111,H109,H104,H55,H50,H41)</f>
        <v>35.8931255271264</v>
      </c>
      <c r="I150" s="479"/>
      <c r="J150" s="479"/>
      <c r="K150" s="436"/>
      <c r="L150" s="436">
        <f t="shared" si="2"/>
        <v>-1.17677954523684</v>
      </c>
      <c r="M150" s="444"/>
      <c r="N150" s="453"/>
    </row>
    <row r="151" ht="15.6" customHeight="1" spans="1:14">
      <c r="A151" s="444"/>
      <c r="B151" s="444"/>
      <c r="C151" s="444"/>
      <c r="D151" s="480"/>
      <c r="E151" s="444"/>
      <c r="F151" s="441"/>
      <c r="G151" s="444"/>
      <c r="H151" s="481"/>
      <c r="I151" s="482"/>
      <c r="J151" s="482"/>
      <c r="K151" s="436"/>
      <c r="L151" s="436">
        <f t="shared" si="2"/>
        <v>0</v>
      </c>
      <c r="M151" s="444"/>
      <c r="N151" s="453"/>
    </row>
    <row r="152" ht="15.6" customHeight="1" spans="1:14">
      <c r="A152" s="483" t="s">
        <v>55</v>
      </c>
      <c r="B152" s="437">
        <v>6666110110</v>
      </c>
      <c r="C152" s="438" t="s">
        <v>62</v>
      </c>
      <c r="D152" s="439" t="s">
        <v>315</v>
      </c>
      <c r="E152" s="484">
        <v>0.70595</v>
      </c>
      <c r="F152" s="441">
        <v>0.00147657393850659</v>
      </c>
      <c r="G152" s="485">
        <v>0</v>
      </c>
      <c r="H152" s="486">
        <v>0</v>
      </c>
      <c r="I152" s="487"/>
      <c r="J152" s="487"/>
      <c r="K152" s="436"/>
      <c r="L152" s="436">
        <f t="shared" si="2"/>
        <v>-0.00147657393850659</v>
      </c>
      <c r="M152" s="444"/>
      <c r="N152" s="453"/>
    </row>
    <row r="153" ht="15.6" customHeight="1" spans="1:14">
      <c r="A153" s="87"/>
      <c r="B153" s="437">
        <v>6666110112</v>
      </c>
      <c r="C153" s="438" t="s">
        <v>64</v>
      </c>
      <c r="D153" s="439" t="s">
        <v>316</v>
      </c>
      <c r="E153" s="484">
        <v>0.69771</v>
      </c>
      <c r="F153" s="441">
        <v>0.00145933905040786</v>
      </c>
      <c r="G153" s="488">
        <v>3.35874174354766</v>
      </c>
      <c r="H153" s="489">
        <v>0.00594446522874882</v>
      </c>
      <c r="I153" s="442"/>
      <c r="J153" s="442"/>
      <c r="K153" s="436"/>
      <c r="L153" s="436">
        <f t="shared" si="2"/>
        <v>0.00448512617834096</v>
      </c>
      <c r="M153" s="444"/>
      <c r="N153" s="453"/>
    </row>
    <row r="154" ht="15.6" customHeight="1" spans="1:14">
      <c r="A154" s="87"/>
      <c r="B154" s="437">
        <v>6666110207</v>
      </c>
      <c r="C154" s="438" t="s">
        <v>68</v>
      </c>
      <c r="D154" s="439" t="s">
        <v>317</v>
      </c>
      <c r="E154" s="484">
        <v>0.12211</v>
      </c>
      <c r="F154" s="441">
        <v>0.000255406818657185</v>
      </c>
      <c r="G154" s="435">
        <v>0</v>
      </c>
      <c r="H154" s="436">
        <v>0</v>
      </c>
      <c r="I154" s="442"/>
      <c r="J154" s="442"/>
      <c r="K154" s="436"/>
      <c r="L154" s="436">
        <f t="shared" si="2"/>
        <v>-0.000255406818657185</v>
      </c>
      <c r="M154" s="444"/>
      <c r="N154" s="453"/>
    </row>
    <row r="155" ht="15.6" customHeight="1" spans="1:14">
      <c r="A155" s="87"/>
      <c r="B155" s="437">
        <v>6666110506</v>
      </c>
      <c r="C155" s="438" t="s">
        <v>70</v>
      </c>
      <c r="D155" s="439" t="s">
        <v>318</v>
      </c>
      <c r="E155" s="484">
        <v>0.74828</v>
      </c>
      <c r="F155" s="441">
        <v>0.00156511190127588</v>
      </c>
      <c r="G155" s="435">
        <v>0</v>
      </c>
      <c r="H155" s="436">
        <v>0</v>
      </c>
      <c r="I155" s="442"/>
      <c r="J155" s="442"/>
      <c r="K155" s="436"/>
      <c r="L155" s="436">
        <f t="shared" si="2"/>
        <v>-0.00156511190127588</v>
      </c>
      <c r="M155" s="444"/>
      <c r="N155" s="453"/>
    </row>
    <row r="156" ht="16.2" customHeight="1" spans="1:14">
      <c r="A156" s="73"/>
      <c r="B156" s="437" t="s">
        <v>319</v>
      </c>
      <c r="C156" s="447" t="s">
        <v>76</v>
      </c>
      <c r="D156" s="448" t="s">
        <v>320</v>
      </c>
      <c r="E156" s="490">
        <v>2.27405</v>
      </c>
      <c r="F156" s="441">
        <v>0.00475643170884752</v>
      </c>
      <c r="G156" s="449">
        <v>3.35874174354766</v>
      </c>
      <c r="H156" s="436">
        <v>0.00594446522874882</v>
      </c>
      <c r="I156" s="491"/>
      <c r="J156" s="491"/>
      <c r="K156" s="436"/>
      <c r="L156" s="436">
        <f t="shared" si="2"/>
        <v>0.0011880335199013</v>
      </c>
      <c r="M156" s="444"/>
      <c r="N156" s="453"/>
    </row>
    <row r="157" ht="16.2" customHeight="1" spans="1:14">
      <c r="A157" s="483" t="s">
        <v>78</v>
      </c>
      <c r="B157" s="437">
        <v>6666010380</v>
      </c>
      <c r="C157" s="438" t="s">
        <v>81</v>
      </c>
      <c r="D157" s="439" t="s">
        <v>321</v>
      </c>
      <c r="E157" s="490">
        <v>0.22763</v>
      </c>
      <c r="F157" s="441">
        <v>0.000476113783727254</v>
      </c>
      <c r="G157" s="435">
        <v>0</v>
      </c>
      <c r="H157" s="450">
        <v>0</v>
      </c>
      <c r="I157" s="442"/>
      <c r="J157" s="442"/>
      <c r="K157" s="436"/>
      <c r="L157" s="436">
        <f t="shared" si="2"/>
        <v>-0.000476113783727254</v>
      </c>
      <c r="M157" s="444"/>
      <c r="N157" s="453"/>
    </row>
    <row r="158" ht="15.6" customHeight="1" spans="1:14">
      <c r="A158" s="87"/>
      <c r="B158" s="437">
        <v>5102040406</v>
      </c>
      <c r="C158" s="438" t="s">
        <v>322</v>
      </c>
      <c r="D158" s="439" t="s">
        <v>323</v>
      </c>
      <c r="E158" s="484">
        <v>0.00378</v>
      </c>
      <c r="F158" s="441">
        <v>7.90629575402635e-6</v>
      </c>
      <c r="G158" s="435">
        <v>0</v>
      </c>
      <c r="H158" s="436">
        <v>0</v>
      </c>
      <c r="I158" s="442"/>
      <c r="J158" s="442"/>
      <c r="K158" s="436"/>
      <c r="L158" s="436">
        <f t="shared" si="2"/>
        <v>-7.90629575402635e-6</v>
      </c>
      <c r="M158" s="444"/>
      <c r="N158" s="453"/>
    </row>
    <row r="159" ht="16.2" customHeight="1" spans="1:14">
      <c r="A159" s="73"/>
      <c r="B159" s="437" t="s">
        <v>324</v>
      </c>
      <c r="C159" s="447" t="s">
        <v>97</v>
      </c>
      <c r="D159" s="448" t="s">
        <v>325</v>
      </c>
      <c r="E159" s="490">
        <v>0.23141</v>
      </c>
      <c r="F159" s="441">
        <v>0.00048402007948128</v>
      </c>
      <c r="G159" s="449">
        <v>0</v>
      </c>
      <c r="H159" s="436">
        <v>0</v>
      </c>
      <c r="I159" s="491"/>
      <c r="J159" s="491"/>
      <c r="K159" s="436"/>
      <c r="L159" s="436">
        <f t="shared" si="2"/>
        <v>-0.00048402007948128</v>
      </c>
      <c r="M159" s="444"/>
      <c r="N159" s="453"/>
    </row>
    <row r="160" ht="16.2" customHeight="1" spans="1:14">
      <c r="A160" s="483" t="s">
        <v>111</v>
      </c>
      <c r="B160" s="437">
        <v>6666029996</v>
      </c>
      <c r="C160" s="438" t="s">
        <v>190</v>
      </c>
      <c r="D160" s="439" t="s">
        <v>326</v>
      </c>
      <c r="E160" s="484">
        <v>0.10118</v>
      </c>
      <c r="F160" s="441">
        <v>0.000211629366241372</v>
      </c>
      <c r="G160" s="435">
        <v>0</v>
      </c>
      <c r="H160" s="450">
        <v>0</v>
      </c>
      <c r="I160" s="442"/>
      <c r="J160" s="442"/>
      <c r="K160" s="436"/>
      <c r="L160" s="436">
        <f t="shared" ref="L160:L220" si="3">H160-F160</f>
        <v>-0.000211629366241372</v>
      </c>
      <c r="M160" s="444"/>
      <c r="N160" s="453"/>
    </row>
    <row r="161" ht="15.6" customHeight="1" spans="1:14">
      <c r="A161" s="87"/>
      <c r="B161" s="437">
        <v>6666029700</v>
      </c>
      <c r="C161" s="438" t="s">
        <v>186</v>
      </c>
      <c r="D161" s="439" t="s">
        <v>327</v>
      </c>
      <c r="E161" s="484">
        <v>550.02765</v>
      </c>
      <c r="F161" s="441">
        <v>1.15044478142648</v>
      </c>
      <c r="G161" s="435">
        <v>62.8890116181854</v>
      </c>
      <c r="H161" s="436">
        <v>0.111304045198728</v>
      </c>
      <c r="I161" s="442"/>
      <c r="J161" s="442"/>
      <c r="K161" s="436"/>
      <c r="L161" s="436">
        <f t="shared" si="3"/>
        <v>-1.03914073622775</v>
      </c>
      <c r="M161" s="399"/>
      <c r="N161" s="453"/>
    </row>
    <row r="162" ht="15.6" customHeight="1" spans="1:14">
      <c r="A162" s="87"/>
      <c r="B162" s="437">
        <v>6666010322</v>
      </c>
      <c r="C162" s="438" t="s">
        <v>138</v>
      </c>
      <c r="D162" s="439" t="s">
        <v>328</v>
      </c>
      <c r="E162" s="484">
        <v>1.7172</v>
      </c>
      <c r="F162" s="441">
        <v>0.00359171721397197</v>
      </c>
      <c r="G162" s="435">
        <v>35.2387653774168</v>
      </c>
      <c r="H162" s="436">
        <v>0.0623672885515854</v>
      </c>
      <c r="I162" s="442"/>
      <c r="J162" s="442"/>
      <c r="K162" s="436"/>
      <c r="L162" s="436">
        <f t="shared" si="3"/>
        <v>0.0587755713376134</v>
      </c>
      <c r="M162" s="444"/>
      <c r="N162" s="453"/>
    </row>
    <row r="163" ht="15.6" customHeight="1" spans="1:14">
      <c r="A163" s="87"/>
      <c r="B163" s="437">
        <v>6666020495</v>
      </c>
      <c r="C163" s="438" t="s">
        <v>161</v>
      </c>
      <c r="D163" s="439" t="s">
        <v>329</v>
      </c>
      <c r="E163" s="484">
        <v>4.46831</v>
      </c>
      <c r="F163" s="441">
        <v>0.00934597364568082</v>
      </c>
      <c r="G163" s="435">
        <v>0</v>
      </c>
      <c r="H163" s="436">
        <v>0</v>
      </c>
      <c r="I163" s="442"/>
      <c r="J163" s="442"/>
      <c r="K163" s="436"/>
      <c r="L163" s="436">
        <f t="shared" si="3"/>
        <v>-0.00934597364568082</v>
      </c>
      <c r="M163" s="444"/>
      <c r="N163" s="453"/>
    </row>
    <row r="164" ht="15.6" customHeight="1" spans="1:14">
      <c r="A164" s="87"/>
      <c r="B164" s="437">
        <v>5301060000</v>
      </c>
      <c r="C164" s="438" t="s">
        <v>124</v>
      </c>
      <c r="D164" s="439" t="s">
        <v>330</v>
      </c>
      <c r="E164" s="484">
        <v>-0.01509</v>
      </c>
      <c r="F164" s="441">
        <v>-3.15624346371052e-5</v>
      </c>
      <c r="G164" s="435">
        <v>0</v>
      </c>
      <c r="H164" s="436">
        <v>0</v>
      </c>
      <c r="I164" s="442"/>
      <c r="J164" s="442"/>
      <c r="K164" s="436"/>
      <c r="L164" s="436">
        <f t="shared" si="3"/>
        <v>3.15624346371052e-5</v>
      </c>
      <c r="M164" s="444"/>
      <c r="N164" s="453"/>
    </row>
    <row r="165" ht="15.6" customHeight="1" spans="1:14">
      <c r="A165" s="87"/>
      <c r="B165" s="437">
        <v>5601050000</v>
      </c>
      <c r="C165" s="438" t="s">
        <v>130</v>
      </c>
      <c r="D165" s="439" t="s">
        <v>331</v>
      </c>
      <c r="E165" s="484">
        <v>-0.03349</v>
      </c>
      <c r="F165" s="441">
        <v>-7.00481070905668e-5</v>
      </c>
      <c r="G165" s="435">
        <v>0</v>
      </c>
      <c r="H165" s="436">
        <v>0</v>
      </c>
      <c r="I165" s="442"/>
      <c r="J165" s="442"/>
      <c r="K165" s="436"/>
      <c r="L165" s="436">
        <f t="shared" si="3"/>
        <v>7.00481070905668e-5</v>
      </c>
      <c r="M165" s="444"/>
      <c r="N165" s="453"/>
    </row>
    <row r="166" ht="15.6" customHeight="1" spans="1:14">
      <c r="A166" s="87"/>
      <c r="B166" s="437">
        <v>5601050100</v>
      </c>
      <c r="C166" s="438" t="s">
        <v>132</v>
      </c>
      <c r="D166" s="439" t="s">
        <v>332</v>
      </c>
      <c r="E166" s="484">
        <v>0.47204</v>
      </c>
      <c r="F166" s="441">
        <v>0.000987324827441958</v>
      </c>
      <c r="G166" s="435">
        <v>0</v>
      </c>
      <c r="H166" s="436">
        <v>0</v>
      </c>
      <c r="I166" s="442"/>
      <c r="J166" s="442"/>
      <c r="K166" s="436"/>
      <c r="L166" s="436">
        <f t="shared" si="3"/>
        <v>-0.000987324827441958</v>
      </c>
      <c r="M166" s="444"/>
      <c r="N166" s="453"/>
    </row>
    <row r="167" ht="15.6" customHeight="1" spans="1:14">
      <c r="A167" s="87"/>
      <c r="B167" s="437">
        <v>5601080000</v>
      </c>
      <c r="C167" s="438" t="s">
        <v>333</v>
      </c>
      <c r="D167" s="439" t="s">
        <v>334</v>
      </c>
      <c r="E167" s="484">
        <v>1.14888</v>
      </c>
      <c r="F167" s="441">
        <v>0.00240301192219201</v>
      </c>
      <c r="G167" s="435">
        <v>0</v>
      </c>
      <c r="H167" s="436">
        <v>0</v>
      </c>
      <c r="I167" s="442"/>
      <c r="J167" s="442"/>
      <c r="K167" s="436"/>
      <c r="L167" s="436">
        <f t="shared" si="3"/>
        <v>-0.00240301192219201</v>
      </c>
      <c r="M167" s="444"/>
      <c r="N167" s="453"/>
    </row>
    <row r="168" ht="15.6" customHeight="1" spans="1:14">
      <c r="A168" s="87"/>
      <c r="B168" s="437">
        <v>6666020101</v>
      </c>
      <c r="C168" s="438" t="s">
        <v>140</v>
      </c>
      <c r="D168" s="439" t="s">
        <v>335</v>
      </c>
      <c r="E168" s="484">
        <v>4.05204</v>
      </c>
      <c r="F168" s="441">
        <v>0.00847529805480025</v>
      </c>
      <c r="G168" s="435">
        <v>9.06197575591308</v>
      </c>
      <c r="H168" s="436">
        <v>0.0160383274148049</v>
      </c>
      <c r="I168" s="442"/>
      <c r="J168" s="442"/>
      <c r="K168" s="436"/>
      <c r="L168" s="436">
        <f t="shared" si="3"/>
        <v>0.00756302936000465</v>
      </c>
      <c r="M168" s="444"/>
      <c r="N168" s="453"/>
    </row>
    <row r="169" ht="15.6" customHeight="1" spans="1:14">
      <c r="A169" s="87"/>
      <c r="B169" s="437">
        <v>6666021200</v>
      </c>
      <c r="C169" s="438" t="s">
        <v>336</v>
      </c>
      <c r="D169" s="439" t="s">
        <v>337</v>
      </c>
      <c r="E169" s="484">
        <v>1.14543</v>
      </c>
      <c r="F169" s="441">
        <v>0.00239579585860699</v>
      </c>
      <c r="G169" s="435">
        <v>30.9328657363231</v>
      </c>
      <c r="H169" s="436">
        <v>0.0547464970024479</v>
      </c>
      <c r="I169" s="442"/>
      <c r="J169" s="442"/>
      <c r="K169" s="436"/>
      <c r="L169" s="436">
        <f t="shared" si="3"/>
        <v>0.0523507011438409</v>
      </c>
      <c r="M169" s="444"/>
      <c r="N169" s="453"/>
    </row>
    <row r="170" ht="15.6" customHeight="1" spans="1:14">
      <c r="A170" s="87"/>
      <c r="B170" s="437">
        <v>6666020201</v>
      </c>
      <c r="C170" s="438" t="s">
        <v>143</v>
      </c>
      <c r="D170" s="439" t="s">
        <v>338</v>
      </c>
      <c r="E170" s="484">
        <v>1.69556</v>
      </c>
      <c r="F170" s="441">
        <v>0.00354645471658649</v>
      </c>
      <c r="G170" s="435">
        <v>0</v>
      </c>
      <c r="H170" s="436">
        <v>0</v>
      </c>
      <c r="I170" s="442"/>
      <c r="J170" s="442"/>
      <c r="K170" s="436"/>
      <c r="L170" s="436">
        <f t="shared" si="3"/>
        <v>-0.00354645471658649</v>
      </c>
      <c r="M170" s="444"/>
      <c r="N170" s="453"/>
    </row>
    <row r="171" ht="15.6" customHeight="1" spans="1:14">
      <c r="A171" s="87"/>
      <c r="B171" s="437">
        <v>6666020202</v>
      </c>
      <c r="C171" s="438" t="s">
        <v>146</v>
      </c>
      <c r="D171" s="439" t="s">
        <v>339</v>
      </c>
      <c r="E171" s="484">
        <v>0.16744</v>
      </c>
      <c r="F171" s="441">
        <v>0.000350219619326501</v>
      </c>
      <c r="G171" s="435">
        <v>11.1347442710329</v>
      </c>
      <c r="H171" s="436">
        <v>0.0197068143977787</v>
      </c>
      <c r="I171" s="442"/>
      <c r="J171" s="442"/>
      <c r="K171" s="436"/>
      <c r="L171" s="436">
        <f t="shared" si="3"/>
        <v>0.0193565947784522</v>
      </c>
      <c r="M171" s="444"/>
      <c r="N171" s="453"/>
    </row>
    <row r="172" ht="15.6" customHeight="1" spans="1:14">
      <c r="A172" s="87"/>
      <c r="B172" s="437">
        <v>6666020204</v>
      </c>
      <c r="C172" s="438" t="s">
        <v>148</v>
      </c>
      <c r="D172" s="439" t="s">
        <v>340</v>
      </c>
      <c r="E172" s="484">
        <v>1.01065</v>
      </c>
      <c r="F172" s="441">
        <v>0.00211388830788538</v>
      </c>
      <c r="G172" s="435">
        <v>6.1530131471924</v>
      </c>
      <c r="H172" s="436">
        <v>0.0108899032727911</v>
      </c>
      <c r="I172" s="442"/>
      <c r="J172" s="442"/>
      <c r="K172" s="436"/>
      <c r="L172" s="436">
        <f t="shared" si="3"/>
        <v>0.00877601496490572</v>
      </c>
      <c r="M172" s="444"/>
      <c r="N172" s="453"/>
    </row>
    <row r="173" ht="15.6" customHeight="1" spans="1:14">
      <c r="A173" s="87"/>
      <c r="B173" s="437">
        <v>6666020301</v>
      </c>
      <c r="C173" s="438" t="s">
        <v>341</v>
      </c>
      <c r="D173" s="439" t="s">
        <v>342</v>
      </c>
      <c r="E173" s="484">
        <v>1.27884</v>
      </c>
      <c r="F173" s="441">
        <v>0.00267483790002092</v>
      </c>
      <c r="G173" s="435">
        <v>4.08495201603791</v>
      </c>
      <c r="H173" s="436">
        <v>0.00722974764793797</v>
      </c>
      <c r="I173" s="442"/>
      <c r="J173" s="442"/>
      <c r="K173" s="436"/>
      <c r="L173" s="436">
        <f t="shared" si="3"/>
        <v>0.00455490974791705</v>
      </c>
      <c r="M173" s="444"/>
      <c r="N173" s="453"/>
    </row>
    <row r="174" ht="15.6" customHeight="1" spans="1:14">
      <c r="A174" s="87"/>
      <c r="B174" s="437">
        <v>6666020403</v>
      </c>
      <c r="C174" s="438" t="s">
        <v>157</v>
      </c>
      <c r="D174" s="439" t="s">
        <v>343</v>
      </c>
      <c r="E174" s="484">
        <v>2e-5</v>
      </c>
      <c r="F174" s="441">
        <v>4.18322526668061e-8</v>
      </c>
      <c r="G174" s="435">
        <v>0</v>
      </c>
      <c r="H174" s="436">
        <v>0</v>
      </c>
      <c r="I174" s="442"/>
      <c r="J174" s="442"/>
      <c r="K174" s="436"/>
      <c r="L174" s="436">
        <f t="shared" si="3"/>
        <v>-4.18322526668061e-8</v>
      </c>
      <c r="M174" s="444"/>
      <c r="N174" s="453"/>
    </row>
    <row r="175" ht="15.6" customHeight="1" spans="1:14">
      <c r="A175" s="87"/>
      <c r="B175" s="437">
        <v>6666020504</v>
      </c>
      <c r="C175" s="438" t="s">
        <v>163</v>
      </c>
      <c r="D175" s="439" t="s">
        <v>344</v>
      </c>
      <c r="E175" s="484">
        <v>0.09444</v>
      </c>
      <c r="F175" s="441">
        <v>0.000197531897092658</v>
      </c>
      <c r="G175" s="435">
        <v>0</v>
      </c>
      <c r="H175" s="436">
        <v>0</v>
      </c>
      <c r="I175" s="442"/>
      <c r="J175" s="442"/>
      <c r="K175" s="436"/>
      <c r="L175" s="436">
        <f t="shared" si="3"/>
        <v>-0.000197531897092658</v>
      </c>
      <c r="M175" s="444"/>
      <c r="N175" s="453"/>
    </row>
    <row r="176" ht="15.6" customHeight="1" spans="1:14">
      <c r="A176" s="87"/>
      <c r="B176" s="437">
        <v>6666020508</v>
      </c>
      <c r="C176" s="438" t="s">
        <v>165</v>
      </c>
      <c r="D176" s="439" t="s">
        <v>345</v>
      </c>
      <c r="E176" s="484">
        <v>0.5563</v>
      </c>
      <c r="F176" s="441">
        <v>0.00116356410792721</v>
      </c>
      <c r="G176" s="435">
        <v>0.251556046472741</v>
      </c>
      <c r="H176" s="436">
        <v>0.000445216180794912</v>
      </c>
      <c r="I176" s="442"/>
      <c r="J176" s="442"/>
      <c r="K176" s="436"/>
      <c r="L176" s="436">
        <f t="shared" si="3"/>
        <v>-0.000718347927132298</v>
      </c>
      <c r="M176" s="444"/>
      <c r="N176" s="453"/>
    </row>
    <row r="177" ht="15.6" customHeight="1" spans="1:14">
      <c r="A177" s="87"/>
      <c r="B177" s="437">
        <v>6666020601</v>
      </c>
      <c r="C177" s="438" t="s">
        <v>346</v>
      </c>
      <c r="D177" s="439" t="s">
        <v>347</v>
      </c>
      <c r="E177" s="484">
        <v>0.02884</v>
      </c>
      <c r="F177" s="441">
        <v>6.03221083455344e-5</v>
      </c>
      <c r="G177" s="435">
        <v>9.12909885929183</v>
      </c>
      <c r="H177" s="436">
        <v>0.0161571251624577</v>
      </c>
      <c r="I177" s="442"/>
      <c r="J177" s="442"/>
      <c r="K177" s="436"/>
      <c r="L177" s="436">
        <f t="shared" si="3"/>
        <v>0.0160968030541122</v>
      </c>
      <c r="M177" s="444"/>
      <c r="N177" s="453"/>
    </row>
    <row r="178" ht="15.6" customHeight="1" spans="1:14">
      <c r="A178" s="87"/>
      <c r="B178" s="437">
        <v>6666020701</v>
      </c>
      <c r="C178" s="438" t="s">
        <v>170</v>
      </c>
      <c r="D178" s="439" t="s">
        <v>348</v>
      </c>
      <c r="E178" s="484">
        <v>232.20731</v>
      </c>
      <c r="F178" s="441">
        <v>0.485687743149969</v>
      </c>
      <c r="G178" s="435">
        <v>230.77532</v>
      </c>
      <c r="H178" s="436">
        <v>0.408437435842979</v>
      </c>
      <c r="I178" s="442"/>
      <c r="J178" s="442"/>
      <c r="K178" s="436"/>
      <c r="L178" s="436">
        <f t="shared" si="3"/>
        <v>-0.07725030730699</v>
      </c>
      <c r="M178" s="444"/>
      <c r="N178" s="453"/>
    </row>
    <row r="179" ht="15.6" customHeight="1" spans="1:14">
      <c r="A179" s="87"/>
      <c r="B179" s="437">
        <v>6666020801</v>
      </c>
      <c r="C179" s="438" t="s">
        <v>349</v>
      </c>
      <c r="D179" s="439" t="s">
        <v>350</v>
      </c>
      <c r="E179" s="484">
        <v>1.16442</v>
      </c>
      <c r="F179" s="441">
        <v>0.00243551558251412</v>
      </c>
      <c r="G179" s="435">
        <v>11.069</v>
      </c>
      <c r="H179" s="436">
        <v>0.0195904569749743</v>
      </c>
      <c r="I179" s="442"/>
      <c r="J179" s="442"/>
      <c r="K179" s="436"/>
      <c r="L179" s="436">
        <f t="shared" si="3"/>
        <v>0.0171549413924602</v>
      </c>
      <c r="M179" s="444"/>
      <c r="N179" s="453"/>
    </row>
    <row r="180" ht="15.6" customHeight="1" spans="1:14">
      <c r="A180" s="87"/>
      <c r="B180" s="437">
        <v>6666020803</v>
      </c>
      <c r="C180" s="438" t="s">
        <v>174</v>
      </c>
      <c r="D180" s="439" t="s">
        <v>351</v>
      </c>
      <c r="E180" s="484">
        <v>3.01462</v>
      </c>
      <c r="F180" s="441">
        <v>0.00630541727672035</v>
      </c>
      <c r="G180" s="435">
        <v>0</v>
      </c>
      <c r="H180" s="436">
        <v>0</v>
      </c>
      <c r="I180" s="442"/>
      <c r="J180" s="442"/>
      <c r="K180" s="436"/>
      <c r="L180" s="436">
        <f t="shared" si="3"/>
        <v>-0.00630541727672035</v>
      </c>
      <c r="M180" s="444"/>
      <c r="N180" s="453"/>
    </row>
    <row r="181" ht="15.6" customHeight="1" spans="1:14">
      <c r="A181" s="87"/>
      <c r="B181" s="437">
        <v>6666021100</v>
      </c>
      <c r="C181" s="438" t="s">
        <v>176</v>
      </c>
      <c r="D181" s="439" t="s">
        <v>352</v>
      </c>
      <c r="E181" s="484">
        <v>13.63092</v>
      </c>
      <c r="F181" s="441">
        <v>0.028510604476051</v>
      </c>
      <c r="G181" s="435">
        <v>12.6764155363061</v>
      </c>
      <c r="H181" s="436">
        <v>0.0224353395212667</v>
      </c>
      <c r="I181" s="442"/>
      <c r="J181" s="442"/>
      <c r="K181" s="436"/>
      <c r="L181" s="436">
        <f t="shared" si="3"/>
        <v>-0.0060752649547843</v>
      </c>
      <c r="M181" s="444"/>
      <c r="N181" s="453"/>
    </row>
    <row r="182" ht="15.6" customHeight="1" spans="1:14">
      <c r="A182" s="87"/>
      <c r="B182" s="437">
        <v>6666021102</v>
      </c>
      <c r="C182" s="438" t="s">
        <v>353</v>
      </c>
      <c r="D182" s="439" t="s">
        <v>354</v>
      </c>
      <c r="E182" s="484">
        <v>29.47999</v>
      </c>
      <c r="F182" s="441">
        <v>0.0616607195147459</v>
      </c>
      <c r="G182" s="435">
        <v>34.1983825283733</v>
      </c>
      <c r="H182" s="436">
        <v>0.0605259681575401</v>
      </c>
      <c r="I182" s="442"/>
      <c r="J182" s="442"/>
      <c r="K182" s="436"/>
      <c r="L182" s="436">
        <f t="shared" si="3"/>
        <v>-0.0011347513572058</v>
      </c>
      <c r="M182" s="444"/>
      <c r="N182" s="453"/>
    </row>
    <row r="183" ht="15.6" customHeight="1" spans="1:14">
      <c r="A183" s="87"/>
      <c r="B183" s="437">
        <v>6666021104</v>
      </c>
      <c r="C183" s="438" t="s">
        <v>178</v>
      </c>
      <c r="D183" s="439" t="s">
        <v>355</v>
      </c>
      <c r="E183" s="484">
        <v>0.35245</v>
      </c>
      <c r="F183" s="441">
        <v>0.000737188872620791</v>
      </c>
      <c r="G183" s="435">
        <v>6.49184393838594</v>
      </c>
      <c r="H183" s="436">
        <v>0.0114895825605924</v>
      </c>
      <c r="I183" s="442"/>
      <c r="J183" s="442"/>
      <c r="K183" s="436"/>
      <c r="L183" s="436">
        <f t="shared" si="3"/>
        <v>0.0107523936879716</v>
      </c>
      <c r="M183" s="444"/>
      <c r="N183" s="453"/>
    </row>
    <row r="184" ht="15.6" customHeight="1" spans="1:14">
      <c r="A184" s="87"/>
      <c r="B184" s="437">
        <v>6666021103</v>
      </c>
      <c r="C184" s="438" t="s">
        <v>356</v>
      </c>
      <c r="D184" s="439" t="s">
        <v>357</v>
      </c>
      <c r="E184" s="484">
        <v>5.2446</v>
      </c>
      <c r="F184" s="441">
        <v>0.0109696716168166</v>
      </c>
      <c r="G184" s="435">
        <v>44.1182708892639</v>
      </c>
      <c r="H184" s="436">
        <v>0.0780826712138754</v>
      </c>
      <c r="I184" s="442"/>
      <c r="J184" s="442"/>
      <c r="K184" s="436"/>
      <c r="L184" s="436">
        <f t="shared" si="3"/>
        <v>0.0671129995970588</v>
      </c>
      <c r="M184" s="444"/>
      <c r="N184" s="453"/>
    </row>
    <row r="185" ht="15.6" customHeight="1" spans="1:14">
      <c r="A185" s="87"/>
      <c r="B185" s="437">
        <v>6666021300</v>
      </c>
      <c r="C185" s="438" t="s">
        <v>358</v>
      </c>
      <c r="D185" s="439" t="s">
        <v>359</v>
      </c>
      <c r="E185" s="484">
        <v>0.75437</v>
      </c>
      <c r="F185" s="441">
        <v>0.00157784982221293</v>
      </c>
      <c r="G185" s="435">
        <v>42.1215409915668</v>
      </c>
      <c r="H185" s="436">
        <v>0.0745487610908761</v>
      </c>
      <c r="I185" s="442"/>
      <c r="J185" s="442"/>
      <c r="K185" s="436"/>
      <c r="L185" s="436">
        <f t="shared" si="3"/>
        <v>0.0729709112686632</v>
      </c>
      <c r="M185" s="444"/>
      <c r="N185" s="453"/>
    </row>
    <row r="186" ht="15.6" customHeight="1" spans="1:14">
      <c r="A186" s="87"/>
      <c r="B186" s="437">
        <v>6666021902</v>
      </c>
      <c r="C186" s="438" t="s">
        <v>180</v>
      </c>
      <c r="D186" s="439" t="s">
        <v>360</v>
      </c>
      <c r="E186" s="484">
        <v>0.65037</v>
      </c>
      <c r="F186" s="441">
        <v>0.00136032210834553</v>
      </c>
      <c r="G186" s="435">
        <v>48.1857692829478</v>
      </c>
      <c r="H186" s="436">
        <v>0.0852815285882762</v>
      </c>
      <c r="I186" s="442"/>
      <c r="J186" s="442"/>
      <c r="K186" s="436"/>
      <c r="L186" s="436">
        <f t="shared" si="3"/>
        <v>0.0839212064799307</v>
      </c>
      <c r="M186" s="444"/>
      <c r="N186" s="453"/>
    </row>
    <row r="187" ht="15.6" customHeight="1" spans="1:14">
      <c r="A187" s="87"/>
      <c r="B187" s="437">
        <v>6666022100</v>
      </c>
      <c r="C187" s="438" t="s">
        <v>182</v>
      </c>
      <c r="D187" s="439" t="s">
        <v>361</v>
      </c>
      <c r="E187" s="484">
        <v>54.98485</v>
      </c>
      <c r="F187" s="441">
        <v>0.115007006902322</v>
      </c>
      <c r="G187" s="435">
        <v>6.53144428340827</v>
      </c>
      <c r="H187" s="436">
        <v>0.0115596691858842</v>
      </c>
      <c r="I187" s="442"/>
      <c r="J187" s="442"/>
      <c r="K187" s="436"/>
      <c r="L187" s="436">
        <f t="shared" si="3"/>
        <v>-0.103447337716438</v>
      </c>
      <c r="M187" s="444"/>
      <c r="N187" s="453"/>
    </row>
    <row r="188" ht="15.6" customHeight="1" spans="1:14">
      <c r="A188" s="87"/>
      <c r="B188" s="437">
        <v>6666022300</v>
      </c>
      <c r="C188" s="438" t="s">
        <v>184</v>
      </c>
      <c r="D188" s="439" t="s">
        <v>362</v>
      </c>
      <c r="E188" s="484">
        <v>0.91028</v>
      </c>
      <c r="F188" s="441">
        <v>0.00190395314787701</v>
      </c>
      <c r="G188" s="435">
        <v>83.695830298746</v>
      </c>
      <c r="H188" s="436">
        <v>0.148128969414792</v>
      </c>
      <c r="I188" s="442"/>
      <c r="J188" s="442"/>
      <c r="K188" s="436"/>
      <c r="L188" s="436">
        <f t="shared" si="3"/>
        <v>0.146225016266915</v>
      </c>
      <c r="M188" s="444"/>
      <c r="N188" s="453"/>
    </row>
    <row r="189" ht="15.6" customHeight="1" spans="1:14">
      <c r="A189" s="87"/>
      <c r="B189" s="437">
        <v>6666029900</v>
      </c>
      <c r="C189" s="438" t="s">
        <v>188</v>
      </c>
      <c r="D189" s="439" t="s">
        <v>363</v>
      </c>
      <c r="E189" s="484">
        <v>3.82707</v>
      </c>
      <c r="F189" s="441">
        <v>0.00800474796067768</v>
      </c>
      <c r="G189" s="435">
        <v>0</v>
      </c>
      <c r="H189" s="436">
        <v>0</v>
      </c>
      <c r="I189" s="442"/>
      <c r="J189" s="442"/>
      <c r="K189" s="436"/>
      <c r="L189" s="436">
        <f t="shared" si="3"/>
        <v>-0.00800474796067768</v>
      </c>
      <c r="M189" s="444"/>
      <c r="N189" s="453"/>
    </row>
    <row r="190" ht="15.6" customHeight="1" spans="1:14">
      <c r="A190" s="87"/>
      <c r="B190" s="437">
        <v>6666029997</v>
      </c>
      <c r="C190" s="438" t="s">
        <v>191</v>
      </c>
      <c r="D190" s="439" t="s">
        <v>364</v>
      </c>
      <c r="E190" s="484">
        <v>0.00354</v>
      </c>
      <c r="F190" s="441">
        <v>7.40430872202468e-6</v>
      </c>
      <c r="G190" s="435">
        <v>0</v>
      </c>
      <c r="H190" s="436">
        <v>0</v>
      </c>
      <c r="I190" s="442"/>
      <c r="J190" s="442"/>
      <c r="K190" s="436"/>
      <c r="L190" s="436">
        <f t="shared" si="3"/>
        <v>-7.40430872202468e-6</v>
      </c>
      <c r="M190" s="444"/>
      <c r="N190" s="453"/>
    </row>
    <row r="191" ht="15.6" customHeight="1" spans="1:14">
      <c r="A191" s="87"/>
      <c r="B191" s="437">
        <v>6666031100</v>
      </c>
      <c r="C191" s="438" t="s">
        <v>365</v>
      </c>
      <c r="D191" s="439" t="s">
        <v>366</v>
      </c>
      <c r="E191" s="484">
        <v>0</v>
      </c>
      <c r="F191" s="441">
        <v>0</v>
      </c>
      <c r="G191" s="435">
        <v>0</v>
      </c>
      <c r="H191" s="436">
        <v>0</v>
      </c>
      <c r="I191" s="442"/>
      <c r="J191" s="442"/>
      <c r="K191" s="436"/>
      <c r="L191" s="436">
        <f t="shared" si="3"/>
        <v>0</v>
      </c>
      <c r="M191" s="444"/>
      <c r="N191" s="453"/>
    </row>
    <row r="192" ht="15.6" customHeight="1" spans="1:14">
      <c r="A192" s="87"/>
      <c r="B192" s="437">
        <v>6666050107</v>
      </c>
      <c r="C192" s="438" t="s">
        <v>197</v>
      </c>
      <c r="D192" s="439" t="s">
        <v>367</v>
      </c>
      <c r="E192" s="484">
        <v>0.15551</v>
      </c>
      <c r="F192" s="441">
        <v>0.000325266680610751</v>
      </c>
      <c r="G192" s="435">
        <v>0</v>
      </c>
      <c r="H192" s="436">
        <v>0</v>
      </c>
      <c r="I192" s="442"/>
      <c r="J192" s="442"/>
      <c r="K192" s="436"/>
      <c r="L192" s="436">
        <f t="shared" si="3"/>
        <v>-0.000325266680610751</v>
      </c>
      <c r="M192" s="444"/>
      <c r="N192" s="453"/>
    </row>
    <row r="193" ht="15.6" customHeight="1" spans="1:14">
      <c r="A193" s="87"/>
      <c r="B193" s="437">
        <v>6666079999</v>
      </c>
      <c r="C193" s="438" t="s">
        <v>368</v>
      </c>
      <c r="D193" s="439" t="s">
        <v>369</v>
      </c>
      <c r="E193" s="484">
        <v>1012.03863</v>
      </c>
      <c r="F193" s="441">
        <v>2.11679278393641</v>
      </c>
      <c r="G193" s="435">
        <v>1088.36667</v>
      </c>
      <c r="H193" s="436">
        <v>1.92624450461931</v>
      </c>
      <c r="I193" s="442"/>
      <c r="J193" s="442"/>
      <c r="K193" s="436"/>
      <c r="L193" s="436">
        <f t="shared" si="3"/>
        <v>-0.1905482793171</v>
      </c>
      <c r="M193" s="444"/>
      <c r="N193" s="453"/>
    </row>
    <row r="194" ht="15.6" customHeight="1" spans="1:14">
      <c r="A194" s="87"/>
      <c r="B194" s="437">
        <v>6666090100</v>
      </c>
      <c r="C194" s="438" t="s">
        <v>370</v>
      </c>
      <c r="D194" s="439" t="s">
        <v>371</v>
      </c>
      <c r="E194" s="484">
        <v>4.39202</v>
      </c>
      <c r="F194" s="441">
        <v>0.00918640451788329</v>
      </c>
      <c r="G194" s="435">
        <v>0</v>
      </c>
      <c r="H194" s="436">
        <v>0</v>
      </c>
      <c r="I194" s="442"/>
      <c r="J194" s="442"/>
      <c r="K194" s="436"/>
      <c r="L194" s="436">
        <f t="shared" si="3"/>
        <v>-0.00918640451788329</v>
      </c>
      <c r="M194" s="444"/>
      <c r="N194" s="453"/>
    </row>
    <row r="195" ht="15.6" customHeight="1" spans="1:14">
      <c r="A195" s="87"/>
      <c r="B195" s="437">
        <v>6666093800</v>
      </c>
      <c r="C195" s="438" t="s">
        <v>372</v>
      </c>
      <c r="D195" s="439" t="s">
        <v>373</v>
      </c>
      <c r="E195" s="484">
        <v>0.47517</v>
      </c>
      <c r="F195" s="441">
        <v>0.000993871574984313</v>
      </c>
      <c r="G195" s="435">
        <v>0</v>
      </c>
      <c r="H195" s="436">
        <v>0</v>
      </c>
      <c r="I195" s="442"/>
      <c r="J195" s="442"/>
      <c r="K195" s="436"/>
      <c r="L195" s="436">
        <f t="shared" si="3"/>
        <v>-0.000993871574984313</v>
      </c>
      <c r="M195" s="444"/>
      <c r="N195" s="453"/>
    </row>
    <row r="196" ht="15.6" customHeight="1" spans="1:14">
      <c r="A196" s="87"/>
      <c r="B196" s="437">
        <v>6666021400</v>
      </c>
      <c r="C196" s="438" t="s">
        <v>374</v>
      </c>
      <c r="D196" s="439" t="s">
        <v>375</v>
      </c>
      <c r="E196" s="484">
        <v>0.01758</v>
      </c>
      <c r="F196" s="441">
        <v>3.67705500941226e-5</v>
      </c>
      <c r="G196" s="435">
        <v>7.75101533961113</v>
      </c>
      <c r="H196" s="436">
        <v>0.0137181256231835</v>
      </c>
      <c r="I196" s="442"/>
      <c r="J196" s="442"/>
      <c r="K196" s="436"/>
      <c r="L196" s="436">
        <f t="shared" si="3"/>
        <v>0.0136813550730894</v>
      </c>
      <c r="M196" s="444"/>
      <c r="N196" s="453"/>
    </row>
    <row r="197" ht="16.2" customHeight="1" spans="1:14">
      <c r="A197" s="73"/>
      <c r="B197" s="437" t="s">
        <v>376</v>
      </c>
      <c r="C197" s="447" t="s">
        <v>213</v>
      </c>
      <c r="D197" s="448" t="s">
        <v>377</v>
      </c>
      <c r="E197" s="490">
        <v>1931.21994</v>
      </c>
      <c r="F197" s="441">
        <v>4.03936402426271</v>
      </c>
      <c r="G197" s="449">
        <v>1784.85748591648</v>
      </c>
      <c r="H197" s="436">
        <v>3.15892797762288</v>
      </c>
      <c r="I197" s="491"/>
      <c r="J197" s="491"/>
      <c r="K197" s="436"/>
      <c r="L197" s="436">
        <f t="shared" si="3"/>
        <v>-0.88043604663983</v>
      </c>
      <c r="M197" s="444"/>
      <c r="N197" s="453"/>
    </row>
    <row r="198" ht="15.6" customHeight="1" spans="1:14">
      <c r="A198" s="483" t="s">
        <v>212</v>
      </c>
      <c r="B198" s="437">
        <v>5102040000</v>
      </c>
      <c r="C198" s="437" t="s">
        <v>217</v>
      </c>
      <c r="D198" s="492" t="s">
        <v>378</v>
      </c>
      <c r="E198" s="484">
        <v>-0.5459</v>
      </c>
      <c r="F198" s="441">
        <v>-0.00114181133654047</v>
      </c>
      <c r="G198" s="435">
        <v>0</v>
      </c>
      <c r="H198" s="436">
        <v>0</v>
      </c>
      <c r="I198" s="442"/>
      <c r="J198" s="442"/>
      <c r="K198" s="436"/>
      <c r="L198" s="436">
        <f t="shared" si="3"/>
        <v>0.00114181133654047</v>
      </c>
      <c r="M198" s="444"/>
      <c r="N198" s="453"/>
    </row>
    <row r="199" ht="16.2" customHeight="1" spans="1:14">
      <c r="A199" s="73"/>
      <c r="B199" s="437" t="s">
        <v>379</v>
      </c>
      <c r="C199" s="447" t="s">
        <v>224</v>
      </c>
      <c r="D199" s="448" t="s">
        <v>380</v>
      </c>
      <c r="E199" s="490">
        <v>-0.5459</v>
      </c>
      <c r="F199" s="441">
        <v>-0.00114181133654047</v>
      </c>
      <c r="G199" s="449">
        <v>0</v>
      </c>
      <c r="H199" s="450">
        <v>0</v>
      </c>
      <c r="I199" s="491"/>
      <c r="J199" s="491"/>
      <c r="K199" s="436"/>
      <c r="L199" s="436">
        <f t="shared" si="3"/>
        <v>0.00114181133654047</v>
      </c>
      <c r="M199" s="444"/>
      <c r="N199" s="453"/>
    </row>
    <row r="200" ht="15.6" customHeight="1" spans="1:14">
      <c r="A200" s="483" t="s">
        <v>243</v>
      </c>
      <c r="B200" s="437">
        <v>6666021600</v>
      </c>
      <c r="C200" s="437" t="s">
        <v>246</v>
      </c>
      <c r="D200" s="492" t="s">
        <v>247</v>
      </c>
      <c r="E200" s="484">
        <v>16.41377</v>
      </c>
      <c r="F200" s="441">
        <v>0.0343312486927421</v>
      </c>
      <c r="G200" s="435">
        <v>16.3511430207282</v>
      </c>
      <c r="H200" s="436">
        <v>0.0289390517516693</v>
      </c>
      <c r="I200" s="442"/>
      <c r="J200" s="442"/>
      <c r="K200" s="436"/>
      <c r="L200" s="436">
        <f t="shared" si="3"/>
        <v>-0.0053921969410728</v>
      </c>
      <c r="M200" s="444"/>
      <c r="N200" s="453"/>
    </row>
    <row r="201" ht="15.6" customHeight="1" spans="1:14">
      <c r="A201" s="87"/>
      <c r="B201" s="437">
        <v>6666021604</v>
      </c>
      <c r="C201" s="437" t="s">
        <v>248</v>
      </c>
      <c r="D201" s="492" t="s">
        <v>381</v>
      </c>
      <c r="E201" s="484">
        <v>0.13074</v>
      </c>
      <c r="F201" s="441">
        <v>0.000273457435682912</v>
      </c>
      <c r="G201" s="435">
        <v>0</v>
      </c>
      <c r="H201" s="436">
        <v>0</v>
      </c>
      <c r="I201" s="442"/>
      <c r="J201" s="442"/>
      <c r="K201" s="436"/>
      <c r="L201" s="436">
        <f t="shared" si="3"/>
        <v>-0.000273457435682912</v>
      </c>
      <c r="M201" s="444"/>
      <c r="N201" s="453"/>
    </row>
    <row r="202" ht="16.2" customHeight="1" spans="1:14">
      <c r="A202" s="73"/>
      <c r="B202" s="437" t="s">
        <v>379</v>
      </c>
      <c r="C202" s="447" t="s">
        <v>251</v>
      </c>
      <c r="D202" s="448" t="s">
        <v>382</v>
      </c>
      <c r="E202" s="490">
        <v>16.54451</v>
      </c>
      <c r="F202" s="441">
        <v>0.034604706128425</v>
      </c>
      <c r="G202" s="449">
        <v>16.3511430207282</v>
      </c>
      <c r="H202" s="450">
        <v>0.0289390517516693</v>
      </c>
      <c r="I202" s="491"/>
      <c r="J202" s="491"/>
      <c r="K202" s="436"/>
      <c r="L202" s="436">
        <f t="shared" si="3"/>
        <v>-0.0056656543767557</v>
      </c>
      <c r="M202" s="444"/>
      <c r="N202" s="453"/>
    </row>
    <row r="203" ht="15.6" customHeight="1" spans="1:14">
      <c r="A203" s="483" t="s">
        <v>250</v>
      </c>
      <c r="B203" s="437">
        <v>6666010012</v>
      </c>
      <c r="C203" s="437" t="s">
        <v>262</v>
      </c>
      <c r="D203" s="492" t="s">
        <v>383</v>
      </c>
      <c r="E203" s="484">
        <v>0.07561</v>
      </c>
      <c r="F203" s="441">
        <v>0.00015814683120686</v>
      </c>
      <c r="G203" s="435">
        <v>0</v>
      </c>
      <c r="H203" s="436">
        <v>0</v>
      </c>
      <c r="I203" s="442"/>
      <c r="J203" s="442"/>
      <c r="K203" s="436"/>
      <c r="L203" s="436">
        <f t="shared" si="3"/>
        <v>-0.00015814683120686</v>
      </c>
      <c r="M203" s="444"/>
      <c r="N203" s="453"/>
    </row>
    <row r="204" ht="15.6" customHeight="1" spans="1:14">
      <c r="A204" s="87"/>
      <c r="B204" s="437">
        <v>6666010102</v>
      </c>
      <c r="C204" s="437" t="s">
        <v>384</v>
      </c>
      <c r="D204" s="492" t="s">
        <v>385</v>
      </c>
      <c r="E204" s="484">
        <v>0.6094</v>
      </c>
      <c r="F204" s="441">
        <v>0.00127462873875758</v>
      </c>
      <c r="G204" s="435">
        <v>0</v>
      </c>
      <c r="H204" s="436">
        <v>0</v>
      </c>
      <c r="I204" s="442"/>
      <c r="J204" s="442"/>
      <c r="K204" s="436"/>
      <c r="L204" s="436">
        <f t="shared" si="3"/>
        <v>-0.00127462873875758</v>
      </c>
      <c r="M204" s="444"/>
      <c r="N204" s="453"/>
    </row>
    <row r="205" ht="16.2" customHeight="1" spans="1:14">
      <c r="A205" s="73"/>
      <c r="B205" s="437" t="s">
        <v>386</v>
      </c>
      <c r="C205" s="447" t="s">
        <v>270</v>
      </c>
      <c r="D205" s="448" t="s">
        <v>387</v>
      </c>
      <c r="E205" s="490">
        <v>0.68501</v>
      </c>
      <c r="F205" s="441">
        <v>0.00143277556996444</v>
      </c>
      <c r="G205" s="449">
        <v>0</v>
      </c>
      <c r="H205" s="450">
        <v>0</v>
      </c>
      <c r="I205" s="491"/>
      <c r="J205" s="491"/>
      <c r="K205" s="436"/>
      <c r="L205" s="436">
        <f t="shared" si="3"/>
        <v>-0.00143277556996444</v>
      </c>
      <c r="M205" s="444"/>
      <c r="N205" s="453"/>
    </row>
    <row r="206" ht="15.6" customHeight="1" spans="1:14">
      <c r="A206" s="483" t="s">
        <v>388</v>
      </c>
      <c r="B206" s="437">
        <v>6666010196</v>
      </c>
      <c r="C206" s="437" t="s">
        <v>272</v>
      </c>
      <c r="D206" s="492" t="s">
        <v>389</v>
      </c>
      <c r="E206" s="484">
        <v>17.32253</v>
      </c>
      <c r="F206" s="441">
        <v>0.0362320225894164</v>
      </c>
      <c r="G206" s="435">
        <v>0</v>
      </c>
      <c r="H206" s="436">
        <v>0</v>
      </c>
      <c r="I206" s="442"/>
      <c r="J206" s="442"/>
      <c r="K206" s="436"/>
      <c r="L206" s="436">
        <f t="shared" si="3"/>
        <v>-0.0362320225894164</v>
      </c>
      <c r="M206" s="444"/>
      <c r="N206" s="453"/>
    </row>
    <row r="207" ht="15.6" customHeight="1" spans="1:14">
      <c r="A207" s="87"/>
      <c r="B207" s="437">
        <v>6666010101</v>
      </c>
      <c r="C207" s="437" t="s">
        <v>274</v>
      </c>
      <c r="D207" s="492" t="s">
        <v>390</v>
      </c>
      <c r="E207" s="484">
        <v>130.90701</v>
      </c>
      <c r="F207" s="441">
        <v>0.273806755908806</v>
      </c>
      <c r="G207" s="435">
        <v>444.79</v>
      </c>
      <c r="H207" s="436">
        <v>0.787211072174436</v>
      </c>
      <c r="I207" s="442"/>
      <c r="J207" s="442"/>
      <c r="K207" s="436"/>
      <c r="L207" s="436">
        <f t="shared" si="3"/>
        <v>0.51340431626563</v>
      </c>
      <c r="M207" s="399"/>
      <c r="N207" s="493" t="s">
        <v>391</v>
      </c>
    </row>
    <row r="208" ht="15.6" customHeight="1" spans="1:14">
      <c r="A208" s="87"/>
      <c r="B208" s="437">
        <v>6666010199</v>
      </c>
      <c r="C208" s="437" t="s">
        <v>276</v>
      </c>
      <c r="D208" s="492" t="s">
        <v>392</v>
      </c>
      <c r="E208" s="484">
        <v>5.25921</v>
      </c>
      <c r="F208" s="441">
        <v>0.0110002300773897</v>
      </c>
      <c r="G208" s="435">
        <v>0</v>
      </c>
      <c r="H208" s="436">
        <v>0</v>
      </c>
      <c r="I208" s="442"/>
      <c r="J208" s="442"/>
      <c r="K208" s="436"/>
      <c r="L208" s="436">
        <f t="shared" si="3"/>
        <v>-0.0110002300773897</v>
      </c>
      <c r="M208" s="444"/>
      <c r="N208" s="453"/>
    </row>
    <row r="209" ht="15.6" customHeight="1" spans="1:14">
      <c r="A209" s="87"/>
      <c r="B209" s="437">
        <v>6666010207</v>
      </c>
      <c r="C209" s="437" t="s">
        <v>280</v>
      </c>
      <c r="D209" s="492" t="s">
        <v>393</v>
      </c>
      <c r="E209" s="484">
        <v>1.8143</v>
      </c>
      <c r="F209" s="441">
        <v>0.00379481280066932</v>
      </c>
      <c r="G209" s="435">
        <v>0</v>
      </c>
      <c r="H209" s="436">
        <v>0</v>
      </c>
      <c r="I209" s="442"/>
      <c r="J209" s="442"/>
      <c r="K209" s="436"/>
      <c r="L209" s="436">
        <f t="shared" si="3"/>
        <v>-0.00379481280066932</v>
      </c>
      <c r="M209" s="444"/>
      <c r="N209" s="453"/>
    </row>
    <row r="210" ht="15.6" customHeight="1" spans="1:14">
      <c r="A210" s="87"/>
      <c r="B210" s="437">
        <v>6666010227</v>
      </c>
      <c r="C210" s="437" t="s">
        <v>394</v>
      </c>
      <c r="D210" s="492" t="s">
        <v>395</v>
      </c>
      <c r="E210" s="484">
        <v>1.85876</v>
      </c>
      <c r="F210" s="441">
        <v>0.00388780589834763</v>
      </c>
      <c r="G210" s="435">
        <v>0</v>
      </c>
      <c r="H210" s="436">
        <v>0</v>
      </c>
      <c r="I210" s="442"/>
      <c r="J210" s="442"/>
      <c r="K210" s="436"/>
      <c r="L210" s="436">
        <f t="shared" si="3"/>
        <v>-0.00388780589834763</v>
      </c>
      <c r="M210" s="444"/>
      <c r="N210" s="453"/>
    </row>
    <row r="211" ht="16.2" customHeight="1" spans="1:14">
      <c r="A211" s="73"/>
      <c r="B211" s="437" t="s">
        <v>396</v>
      </c>
      <c r="C211" s="447" t="s">
        <v>286</v>
      </c>
      <c r="D211" s="448" t="s">
        <v>397</v>
      </c>
      <c r="E211" s="490">
        <v>157.16181</v>
      </c>
      <c r="F211" s="441">
        <v>0.328721627274629</v>
      </c>
      <c r="G211" s="449">
        <v>444.79</v>
      </c>
      <c r="H211" s="450">
        <v>0.787211072174436</v>
      </c>
      <c r="I211" s="491"/>
      <c r="J211" s="491"/>
      <c r="K211" s="436"/>
      <c r="L211" s="436">
        <f t="shared" si="3"/>
        <v>0.458489444899807</v>
      </c>
      <c r="M211" s="399"/>
      <c r="N211" s="453"/>
    </row>
    <row r="212" ht="46.8" customHeight="1" spans="1:14">
      <c r="A212" s="483" t="s">
        <v>285</v>
      </c>
      <c r="B212" s="437">
        <v>6666010314</v>
      </c>
      <c r="C212" s="437" t="s">
        <v>290</v>
      </c>
      <c r="D212" s="492" t="s">
        <v>291</v>
      </c>
      <c r="E212" s="484">
        <v>1.22372</v>
      </c>
      <c r="F212" s="441">
        <v>0.0025595482116712</v>
      </c>
      <c r="G212" s="435">
        <v>5.63656794628852</v>
      </c>
      <c r="H212" s="436">
        <v>0.0099758733253487</v>
      </c>
      <c r="I212" s="442"/>
      <c r="J212" s="442"/>
      <c r="K212" s="436"/>
      <c r="L212" s="436">
        <f t="shared" si="3"/>
        <v>0.0074163251136775</v>
      </c>
      <c r="M212" s="444"/>
      <c r="N212" s="494" t="s">
        <v>398</v>
      </c>
    </row>
    <row r="213" ht="15.6" customHeight="1" spans="1:14">
      <c r="A213" s="87"/>
      <c r="B213" s="437">
        <v>6666020401</v>
      </c>
      <c r="C213" s="437" t="s">
        <v>295</v>
      </c>
      <c r="D213" s="492" t="s">
        <v>399</v>
      </c>
      <c r="E213" s="484">
        <v>-0.61828</v>
      </c>
      <c r="F213" s="441">
        <v>-0.00129320225894164</v>
      </c>
      <c r="G213" s="435">
        <v>19.1861598237021</v>
      </c>
      <c r="H213" s="436">
        <v>0.033956602994057</v>
      </c>
      <c r="I213" s="442"/>
      <c r="J213" s="442"/>
      <c r="K213" s="436"/>
      <c r="L213" s="436">
        <f t="shared" si="3"/>
        <v>0.0352498052529986</v>
      </c>
      <c r="M213" s="444"/>
      <c r="N213" s="444" t="s">
        <v>400</v>
      </c>
    </row>
    <row r="214" ht="15.6" customHeight="1" spans="1:14">
      <c r="A214" s="87"/>
      <c r="B214" s="437">
        <v>6666020502</v>
      </c>
      <c r="C214" s="437" t="s">
        <v>297</v>
      </c>
      <c r="D214" s="492" t="s">
        <v>298</v>
      </c>
      <c r="E214" s="484">
        <v>0.38349</v>
      </c>
      <c r="F214" s="441">
        <v>0.000802112528759674</v>
      </c>
      <c r="G214" s="435">
        <v>27.4924776004558</v>
      </c>
      <c r="H214" s="436">
        <v>0.0486575299997448</v>
      </c>
      <c r="I214" s="442"/>
      <c r="J214" s="442"/>
      <c r="K214" s="436"/>
      <c r="L214" s="436">
        <f t="shared" si="3"/>
        <v>0.0478554174709851</v>
      </c>
      <c r="M214" s="444"/>
      <c r="N214" s="444" t="s">
        <v>401</v>
      </c>
    </row>
    <row r="215" ht="15.6" customHeight="1" spans="1:14">
      <c r="A215" s="87"/>
      <c r="B215" s="437">
        <v>6666020503</v>
      </c>
      <c r="C215" s="437" t="s">
        <v>299</v>
      </c>
      <c r="D215" s="492" t="s">
        <v>300</v>
      </c>
      <c r="E215" s="484">
        <v>0.18809</v>
      </c>
      <c r="F215" s="441">
        <v>0.000393411420204978</v>
      </c>
      <c r="G215" s="435">
        <v>0</v>
      </c>
      <c r="H215" s="436">
        <v>0</v>
      </c>
      <c r="I215" s="442"/>
      <c r="J215" s="442"/>
      <c r="K215" s="436"/>
      <c r="L215" s="436">
        <f t="shared" si="3"/>
        <v>-0.000393411420204978</v>
      </c>
      <c r="M215" s="444"/>
      <c r="N215" s="453"/>
    </row>
    <row r="216" ht="15.6" customHeight="1" spans="1:14">
      <c r="A216" s="87"/>
      <c r="B216" s="437">
        <v>6666021502</v>
      </c>
      <c r="C216" s="437" t="s">
        <v>301</v>
      </c>
      <c r="D216" s="492" t="s">
        <v>402</v>
      </c>
      <c r="E216" s="484">
        <v>2.3225</v>
      </c>
      <c r="F216" s="441">
        <v>0.00485777034093286</v>
      </c>
      <c r="G216" s="435">
        <v>0</v>
      </c>
      <c r="H216" s="436">
        <v>0</v>
      </c>
      <c r="I216" s="442"/>
      <c r="J216" s="442"/>
      <c r="K216" s="436"/>
      <c r="L216" s="436">
        <f t="shared" si="3"/>
        <v>-0.00485777034093286</v>
      </c>
      <c r="M216" s="444"/>
      <c r="N216" s="453"/>
    </row>
    <row r="217" ht="15.6" customHeight="1" spans="1:14">
      <c r="A217" s="87"/>
      <c r="B217" s="437">
        <v>6666021505</v>
      </c>
      <c r="C217" s="437" t="s">
        <v>403</v>
      </c>
      <c r="D217" s="492" t="s">
        <v>404</v>
      </c>
      <c r="E217" s="484">
        <v>0.03857</v>
      </c>
      <c r="F217" s="441">
        <v>8.06734992679356e-5</v>
      </c>
      <c r="G217" s="435">
        <v>0</v>
      </c>
      <c r="H217" s="436">
        <v>0</v>
      </c>
      <c r="I217" s="442"/>
      <c r="J217" s="442"/>
      <c r="K217" s="436"/>
      <c r="L217" s="436">
        <f t="shared" si="3"/>
        <v>-8.06734992679356e-5</v>
      </c>
      <c r="M217" s="444"/>
      <c r="N217" s="453"/>
    </row>
    <row r="218" ht="15.6" customHeight="1" spans="1:14">
      <c r="A218" s="87"/>
      <c r="B218" s="437">
        <v>6666091600</v>
      </c>
      <c r="C218" s="437" t="s">
        <v>310</v>
      </c>
      <c r="D218" s="492" t="s">
        <v>311</v>
      </c>
      <c r="E218" s="484">
        <v>0.02523</v>
      </c>
      <c r="F218" s="441">
        <v>5.27713867391759e-5</v>
      </c>
      <c r="G218" s="435">
        <v>4.77395560697687</v>
      </c>
      <c r="H218" s="436">
        <v>0.00844917986438864</v>
      </c>
      <c r="I218" s="442"/>
      <c r="J218" s="442"/>
      <c r="K218" s="436"/>
      <c r="L218" s="436">
        <f t="shared" si="3"/>
        <v>0.00839640847764946</v>
      </c>
      <c r="M218" s="444"/>
      <c r="N218" s="493" t="s">
        <v>405</v>
      </c>
    </row>
    <row r="219" ht="16.2" customHeight="1" spans="1:14">
      <c r="A219" s="73"/>
      <c r="B219" s="437" t="s">
        <v>26</v>
      </c>
      <c r="C219" s="447" t="s">
        <v>313</v>
      </c>
      <c r="D219" s="448" t="s">
        <v>406</v>
      </c>
      <c r="E219" s="490">
        <v>3.56332</v>
      </c>
      <c r="F219" s="441">
        <v>0.00745308512863418</v>
      </c>
      <c r="G219" s="449">
        <v>57.0891609774233</v>
      </c>
      <c r="H219" s="450">
        <v>0.101039186183539</v>
      </c>
      <c r="I219" s="491"/>
      <c r="J219" s="491"/>
      <c r="K219" s="436"/>
      <c r="L219" s="436">
        <f t="shared" si="3"/>
        <v>0.0935861010549048</v>
      </c>
      <c r="M219" s="399"/>
      <c r="N219" s="399"/>
    </row>
    <row r="220" ht="16.2" customHeight="1" spans="1:14">
      <c r="B220" s="495" t="s">
        <v>407</v>
      </c>
      <c r="C220" s="495"/>
      <c r="D220" s="495"/>
      <c r="E220" s="477">
        <f>SUM(E219,E211,E205,E202,E199,E197,E159,E156)</f>
        <v>2111.13415</v>
      </c>
      <c r="F220" s="478">
        <f>SUM(F219,F211,F205,F202,F199,F197,F159,F156)</f>
        <v>4.41567485881615</v>
      </c>
      <c r="G220" s="477">
        <f>SUM(G219,G211,G205,G202,G199,G197,G159,G156)</f>
        <v>2306.44653165818</v>
      </c>
      <c r="H220" s="478">
        <f>SUM(H219,H211,H205,H202,H199,H197,H159,H156)</f>
        <v>4.08206175296127</v>
      </c>
      <c r="I220" s="479"/>
      <c r="J220" s="479">
        <f>J219+J149</f>
        <v>0</v>
      </c>
      <c r="K220" s="436"/>
      <c r="L220" s="436">
        <f t="shared" si="3"/>
        <v>-0.333613105854878</v>
      </c>
      <c r="M220" s="444"/>
      <c r="N220" s="444"/>
    </row>
  </sheetData>
  <autoFilter xmlns:etc="http://www.wps.cn/officeDocument/2017/etCustomData" ref="A31:M220" etc:filterBottomFollowUsedRange="0">
    <extLst/>
  </autoFilter>
  <mergeCells count="33">
    <mergeCell ref="A1:U1"/>
    <mergeCell ref="A2:A3"/>
    <mergeCell ref="A30:A31"/>
    <mergeCell ref="A32:A41"/>
    <mergeCell ref="A42:A50"/>
    <mergeCell ref="A51:A55"/>
    <mergeCell ref="A56:A103"/>
    <mergeCell ref="A104:A108"/>
    <mergeCell ref="A109:A110"/>
    <mergeCell ref="A111:A112"/>
    <mergeCell ref="A113:A116"/>
    <mergeCell ref="A117:A119"/>
    <mergeCell ref="A120:A127"/>
    <mergeCell ref="A128:A135"/>
    <mergeCell ref="A136:A149"/>
    <mergeCell ref="A152:A156"/>
    <mergeCell ref="A157:A159"/>
    <mergeCell ref="A160:A197"/>
    <mergeCell ref="A198:A199"/>
    <mergeCell ref="A200:A202"/>
    <mergeCell ref="A203:A205"/>
    <mergeCell ref="A206:A211"/>
    <mergeCell ref="A212:A219"/>
    <mergeCell ref="B2:B3"/>
    <mergeCell ref="B30:B31"/>
    <mergeCell ref="C2:C3"/>
    <mergeCell ref="C30:C31"/>
    <mergeCell ref="D2:D3"/>
    <mergeCell ref="D30:D31"/>
    <mergeCell ref="E2:E3"/>
    <mergeCell ref="F2:F3"/>
    <mergeCell ref="G2:G3"/>
    <mergeCell ref="H2:H3"/>
  </mergeCells>
  <conditionalFormatting sqref="D4:D29">
    <cfRule type="cellIs" dxfId="0" priority="3" operator="equal">
      <formula>0</formula>
    </cfRule>
  </conditionalFormatting>
  <conditionalFormatting sqref="D27:D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6 F8:F26">
    <cfRule type="cellIs" dxfId="0" priority="1" operator="equal">
      <formula>0</formula>
    </cfRule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63"/>
  <sheetViews>
    <sheetView zoomScale="80" zoomScaleNormal="80" workbookViewId="0">
      <pane ySplit="1" topLeftCell="A2" activePane="bottomLeft" state="frozen"/>
      <selection/>
      <selection pane="bottomLeft" activeCell="F37" sqref="F37"/>
    </sheetView>
  </sheetViews>
  <sheetFormatPr defaultColWidth="8.88888888888889" defaultRowHeight="16.2"/>
  <cols>
    <col min="1" max="1" width="27" style="368" customWidth="1"/>
    <col min="2" max="2" width="22.7777777777778" style="2" customWidth="1"/>
    <col min="3" max="3" width="20.8888888888889" style="2" customWidth="1"/>
    <col min="4" max="4" width="17.7777777777778" style="2" customWidth="1"/>
    <col min="5" max="5" width="15.7777777777778" style="2" customWidth="1"/>
    <col min="6" max="6" width="15.6666666666667" style="2" customWidth="1"/>
    <col min="7" max="7" width="17" style="2" customWidth="1"/>
    <col min="8" max="8" width="14.1111111111111" style="2" customWidth="1"/>
    <col min="9" max="15" width="16.1111111111111" style="2" customWidth="1"/>
    <col min="16" max="16" width="16" style="2" customWidth="1"/>
    <col min="17" max="17" width="8.88888888888889" style="2" customWidth="1"/>
    <col min="18" max="16384" width="8.88888888888889" style="2"/>
  </cols>
  <sheetData>
    <row r="1" spans="1:16">
      <c r="A1" s="369" t="s">
        <v>408</v>
      </c>
      <c r="B1" s="370" t="s">
        <v>409</v>
      </c>
      <c r="C1" s="355" t="s">
        <v>410</v>
      </c>
      <c r="D1" s="355" t="s">
        <v>411</v>
      </c>
      <c r="E1" s="355" t="s">
        <v>412</v>
      </c>
      <c r="F1" s="355" t="s">
        <v>413</v>
      </c>
      <c r="G1" s="355" t="s">
        <v>414</v>
      </c>
      <c r="H1" s="355" t="s">
        <v>415</v>
      </c>
      <c r="I1" s="355" t="s">
        <v>416</v>
      </c>
      <c r="J1" s="355" t="s">
        <v>417</v>
      </c>
      <c r="K1" s="355" t="s">
        <v>418</v>
      </c>
      <c r="L1" s="355" t="s">
        <v>419</v>
      </c>
      <c r="M1" s="355" t="s">
        <v>420</v>
      </c>
      <c r="N1" s="355" t="s">
        <v>421</v>
      </c>
      <c r="O1" s="355" t="s">
        <v>422</v>
      </c>
      <c r="P1" s="355" t="s">
        <v>423</v>
      </c>
    </row>
    <row r="2" ht="15.6" customHeight="1" spans="1:16">
      <c r="A2" s="371" t="s">
        <v>424</v>
      </c>
      <c r="B2" s="372" t="s">
        <v>424</v>
      </c>
      <c r="C2" s="296" t="s">
        <v>425</v>
      </c>
      <c r="D2" s="326">
        <v>79712</v>
      </c>
      <c r="E2" s="326">
        <v>82105</v>
      </c>
      <c r="F2" s="326">
        <v>92657</v>
      </c>
      <c r="G2" s="326">
        <v>98687</v>
      </c>
      <c r="H2" s="326">
        <v>93353</v>
      </c>
      <c r="I2" s="326">
        <v>75092</v>
      </c>
      <c r="J2" s="326">
        <v>77799</v>
      </c>
      <c r="K2" s="326">
        <v>58812</v>
      </c>
      <c r="L2" s="326">
        <v>90826</v>
      </c>
      <c r="M2" s="326">
        <v>111572</v>
      </c>
      <c r="N2" s="326">
        <v>111625</v>
      </c>
      <c r="O2" s="332">
        <v>75554</v>
      </c>
      <c r="P2" s="326">
        <v>1047794</v>
      </c>
    </row>
    <row r="3" ht="15.6" customHeight="1" spans="1:16">
      <c r="A3" s="87"/>
      <c r="B3" s="372" t="s">
        <v>424</v>
      </c>
      <c r="C3" s="299" t="s">
        <v>426</v>
      </c>
      <c r="D3" s="334">
        <v>116704</v>
      </c>
      <c r="E3" s="334">
        <v>116204</v>
      </c>
      <c r="F3" s="334">
        <v>106704</v>
      </c>
      <c r="G3" s="334">
        <v>104704</v>
      </c>
      <c r="H3" s="334">
        <v>71805</v>
      </c>
      <c r="I3" s="334">
        <v>110105</v>
      </c>
      <c r="J3" s="334">
        <v>86206</v>
      </c>
      <c r="K3" s="334">
        <v>81605</v>
      </c>
      <c r="L3" s="334">
        <v>117305</v>
      </c>
      <c r="M3" s="334">
        <v>121005</v>
      </c>
      <c r="N3" s="334">
        <v>130155</v>
      </c>
      <c r="O3" s="334">
        <v>91305</v>
      </c>
      <c r="P3" s="327">
        <v>1253807</v>
      </c>
    </row>
    <row r="4" ht="15.6" customHeight="1" spans="1:16">
      <c r="A4" s="73"/>
      <c r="B4" s="372" t="s">
        <v>424</v>
      </c>
      <c r="C4" s="303" t="s">
        <v>427</v>
      </c>
      <c r="D4" s="328">
        <v>97611</v>
      </c>
      <c r="E4" s="328">
        <v>106294</v>
      </c>
      <c r="F4" s="328">
        <f>厨电3月!L28</f>
        <v>107376</v>
      </c>
      <c r="G4" s="328">
        <f>'26年厨电费用指标到月测算汇总表 '!G49</f>
        <v>110370</v>
      </c>
      <c r="H4" s="328">
        <f>'厨电5月 '!L27</f>
        <v>67531</v>
      </c>
      <c r="I4" s="328">
        <f>'26年厨电费用指标到月测算汇总表 '!I49</f>
        <v>102272</v>
      </c>
      <c r="J4" s="328">
        <v>86967</v>
      </c>
      <c r="K4" s="328">
        <v>81560.001</v>
      </c>
      <c r="L4" s="328">
        <v>117158</v>
      </c>
      <c r="M4" s="328">
        <v>117404</v>
      </c>
      <c r="N4" s="328">
        <v>113634</v>
      </c>
      <c r="O4" s="328">
        <v>76893</v>
      </c>
      <c r="P4" s="328">
        <f>SUM(D4:O4)</f>
        <v>1185070.001</v>
      </c>
    </row>
    <row r="5" ht="15.6" customHeight="1" spans="1:16">
      <c r="A5" s="371" t="s">
        <v>428</v>
      </c>
      <c r="B5" s="372" t="s">
        <v>428</v>
      </c>
      <c r="C5" s="296" t="s">
        <v>425</v>
      </c>
      <c r="D5" s="326">
        <f>D2</f>
        <v>79712</v>
      </c>
      <c r="E5" s="326">
        <f t="shared" ref="E5:O5" si="0">D5+E2</f>
        <v>161817</v>
      </c>
      <c r="F5" s="326">
        <f t="shared" si="0"/>
        <v>254474</v>
      </c>
      <c r="G5" s="326">
        <f t="shared" si="0"/>
        <v>353161</v>
      </c>
      <c r="H5" s="326">
        <f t="shared" si="0"/>
        <v>446514</v>
      </c>
      <c r="I5" s="326">
        <f t="shared" si="0"/>
        <v>521606</v>
      </c>
      <c r="J5" s="326">
        <f t="shared" si="0"/>
        <v>599405</v>
      </c>
      <c r="K5" s="326">
        <f t="shared" si="0"/>
        <v>658217</v>
      </c>
      <c r="L5" s="326">
        <f t="shared" si="0"/>
        <v>749043</v>
      </c>
      <c r="M5" s="326">
        <f t="shared" si="0"/>
        <v>860615</v>
      </c>
      <c r="N5" s="326">
        <f t="shared" si="0"/>
        <v>972240</v>
      </c>
      <c r="O5" s="326">
        <f t="shared" si="0"/>
        <v>1047794</v>
      </c>
      <c r="P5" s="326">
        <f>O5</f>
        <v>1047794</v>
      </c>
    </row>
    <row r="6" ht="15.6" customHeight="1" spans="1:16">
      <c r="A6" s="87"/>
      <c r="B6" s="372" t="s">
        <v>428</v>
      </c>
      <c r="C6" s="299" t="s">
        <v>426</v>
      </c>
      <c r="D6" s="327">
        <f>D3</f>
        <v>116704</v>
      </c>
      <c r="E6" s="327">
        <f t="shared" ref="E6:O6" si="1">D6+E3</f>
        <v>232908</v>
      </c>
      <c r="F6" s="327">
        <f t="shared" si="1"/>
        <v>339612</v>
      </c>
      <c r="G6" s="327">
        <f t="shared" si="1"/>
        <v>444316</v>
      </c>
      <c r="H6" s="327">
        <f t="shared" si="1"/>
        <v>516121</v>
      </c>
      <c r="I6" s="327">
        <f t="shared" si="1"/>
        <v>626226</v>
      </c>
      <c r="J6" s="327">
        <f t="shared" si="1"/>
        <v>712432</v>
      </c>
      <c r="K6" s="327">
        <f t="shared" si="1"/>
        <v>794037</v>
      </c>
      <c r="L6" s="327">
        <f t="shared" si="1"/>
        <v>911342</v>
      </c>
      <c r="M6" s="327">
        <f t="shared" si="1"/>
        <v>1032347</v>
      </c>
      <c r="N6" s="327">
        <f t="shared" si="1"/>
        <v>1162502</v>
      </c>
      <c r="O6" s="340">
        <f t="shared" si="1"/>
        <v>1253807</v>
      </c>
      <c r="P6" s="327">
        <f>O6</f>
        <v>1253807</v>
      </c>
    </row>
    <row r="7" ht="15.6" customHeight="1" spans="1:16">
      <c r="A7" s="73"/>
      <c r="B7" s="372" t="s">
        <v>428</v>
      </c>
      <c r="C7" s="303" t="s">
        <v>427</v>
      </c>
      <c r="D7" s="328">
        <f>D4</f>
        <v>97611</v>
      </c>
      <c r="E7" s="328">
        <f t="shared" ref="E7:O7" si="2">D7+E4</f>
        <v>203905</v>
      </c>
      <c r="F7" s="328">
        <f t="shared" si="2"/>
        <v>311281</v>
      </c>
      <c r="G7" s="328">
        <f t="shared" si="2"/>
        <v>421651</v>
      </c>
      <c r="H7" s="328">
        <f t="shared" si="2"/>
        <v>489182</v>
      </c>
      <c r="I7" s="328">
        <f t="shared" si="2"/>
        <v>591454</v>
      </c>
      <c r="J7" s="328">
        <f t="shared" si="2"/>
        <v>678421</v>
      </c>
      <c r="K7" s="328">
        <f t="shared" si="2"/>
        <v>759981.001</v>
      </c>
      <c r="L7" s="328">
        <f t="shared" si="2"/>
        <v>877139.001</v>
      </c>
      <c r="M7" s="328">
        <f t="shared" si="2"/>
        <v>994543.001</v>
      </c>
      <c r="N7" s="328">
        <f t="shared" si="2"/>
        <v>1108177.001</v>
      </c>
      <c r="O7" s="328">
        <f t="shared" si="2"/>
        <v>1185070.001</v>
      </c>
      <c r="P7" s="328">
        <f>O7</f>
        <v>1185070.001</v>
      </c>
    </row>
    <row r="8" ht="15.6" customHeight="1" spans="1:16">
      <c r="A8" s="371" t="s">
        <v>429</v>
      </c>
      <c r="B8" s="372" t="s">
        <v>429</v>
      </c>
      <c r="C8" s="296" t="s">
        <v>425</v>
      </c>
      <c r="D8" s="326">
        <v>2786.37243</v>
      </c>
      <c r="E8" s="326">
        <v>2692.30781</v>
      </c>
      <c r="F8" s="326">
        <v>2979.4464</v>
      </c>
      <c r="G8" s="326">
        <v>2556.69212</v>
      </c>
      <c r="H8" s="326">
        <v>2816.08827</v>
      </c>
      <c r="I8" s="326">
        <v>2742.94486</v>
      </c>
      <c r="J8" s="326">
        <v>2368.5937</v>
      </c>
      <c r="K8" s="326">
        <v>2153.77898</v>
      </c>
      <c r="L8" s="326">
        <v>1237.78529</v>
      </c>
      <c r="M8" s="326">
        <v>2317.46366</v>
      </c>
      <c r="N8" s="326">
        <v>2618.46488</v>
      </c>
      <c r="O8" s="326">
        <v>1590.43882</v>
      </c>
      <c r="P8" s="326">
        <v>28860.37722</v>
      </c>
    </row>
    <row r="9" ht="15.6" customHeight="1" spans="1:16">
      <c r="A9" s="87"/>
      <c r="B9" s="372" t="s">
        <v>429</v>
      </c>
      <c r="C9" s="299" t="s">
        <v>426</v>
      </c>
      <c r="D9" s="327">
        <v>2628.64168769614</v>
      </c>
      <c r="E9" s="327">
        <v>2650.37871511848</v>
      </c>
      <c r="F9" s="327">
        <v>2640.90328164571</v>
      </c>
      <c r="G9" s="327">
        <v>2463.98812901056</v>
      </c>
      <c r="H9" s="327">
        <v>2562.05867813143</v>
      </c>
      <c r="I9" s="327">
        <v>2548.97688290519</v>
      </c>
      <c r="J9" s="327">
        <v>2516.49416259478</v>
      </c>
      <c r="K9" s="327">
        <v>2516.2379517037</v>
      </c>
      <c r="L9" s="327">
        <v>2799.53286144573</v>
      </c>
      <c r="M9" s="327">
        <v>2751.36989985319</v>
      </c>
      <c r="N9" s="327">
        <v>2807.11808207754</v>
      </c>
      <c r="O9" s="340">
        <v>2894.19291920263</v>
      </c>
      <c r="P9" s="327">
        <v>31779.8932513851</v>
      </c>
    </row>
    <row r="10" ht="15.6" customHeight="1" spans="1:16">
      <c r="A10" s="73"/>
      <c r="B10" s="372" t="s">
        <v>429</v>
      </c>
      <c r="C10" s="303" t="s">
        <v>427</v>
      </c>
      <c r="D10" s="328">
        <v>2493.41061</v>
      </c>
      <c r="E10" s="328">
        <v>2350.45499</v>
      </c>
      <c r="F10" s="328">
        <f>厨电3月!J238</f>
        <v>2592.02488</v>
      </c>
      <c r="G10" s="328">
        <f>'26年厨电费用指标到月测算汇总表 '!G39</f>
        <v>2091.30381970365</v>
      </c>
      <c r="H10" s="328">
        <f>'厨电5月 '!J245</f>
        <v>2105.32238</v>
      </c>
      <c r="I10" s="328">
        <f>'26年厨电费用指标到月测算汇总表 '!I39</f>
        <v>2233.86588</v>
      </c>
      <c r="J10" s="328">
        <v>2322.22994254739</v>
      </c>
      <c r="K10" s="328">
        <v>2326.71215725827</v>
      </c>
      <c r="L10" s="328">
        <v>2612.49023263475</v>
      </c>
      <c r="M10" s="328">
        <v>2584.00244870873</v>
      </c>
      <c r="N10" s="328">
        <v>2628.56953913348</v>
      </c>
      <c r="O10" s="328">
        <v>2703.54359324887</v>
      </c>
      <c r="P10" s="328">
        <f>SUM(D10:O10)</f>
        <v>29043.9304732351</v>
      </c>
    </row>
    <row r="11" ht="15.6" customHeight="1" spans="1:16">
      <c r="A11" s="371" t="s">
        <v>430</v>
      </c>
      <c r="B11" s="372" t="s">
        <v>430</v>
      </c>
      <c r="C11" s="296" t="s">
        <v>425</v>
      </c>
      <c r="D11" s="326">
        <f>D8</f>
        <v>2786.37243</v>
      </c>
      <c r="E11" s="326">
        <f t="shared" ref="E11:O11" si="3">D11+E8</f>
        <v>5478.68024</v>
      </c>
      <c r="F11" s="326">
        <f t="shared" si="3"/>
        <v>8458.12664</v>
      </c>
      <c r="G11" s="326">
        <f t="shared" si="3"/>
        <v>11014.81876</v>
      </c>
      <c r="H11" s="326">
        <f t="shared" si="3"/>
        <v>13830.90703</v>
      </c>
      <c r="I11" s="326">
        <f t="shared" si="3"/>
        <v>16573.85189</v>
      </c>
      <c r="J11" s="326">
        <f t="shared" si="3"/>
        <v>18942.44559</v>
      </c>
      <c r="K11" s="326">
        <f t="shared" si="3"/>
        <v>21096.22457</v>
      </c>
      <c r="L11" s="326">
        <f t="shared" si="3"/>
        <v>22334.00986</v>
      </c>
      <c r="M11" s="326">
        <f t="shared" si="3"/>
        <v>24651.47352</v>
      </c>
      <c r="N11" s="326">
        <f t="shared" si="3"/>
        <v>27269.9384</v>
      </c>
      <c r="O11" s="326">
        <f t="shared" si="3"/>
        <v>28860.37722</v>
      </c>
      <c r="P11" s="326">
        <f>O11</f>
        <v>28860.37722</v>
      </c>
    </row>
    <row r="12" ht="15.6" customHeight="1" spans="1:16">
      <c r="A12" s="87"/>
      <c r="B12" s="372" t="s">
        <v>430</v>
      </c>
      <c r="C12" s="299" t="s">
        <v>426</v>
      </c>
      <c r="D12" s="327">
        <f>D9</f>
        <v>2628.64168769614</v>
      </c>
      <c r="E12" s="327">
        <f t="shared" ref="E12:O12" si="4">D12+E9</f>
        <v>5279.02040281462</v>
      </c>
      <c r="F12" s="327">
        <f t="shared" si="4"/>
        <v>7919.92368446033</v>
      </c>
      <c r="G12" s="327">
        <f t="shared" si="4"/>
        <v>10383.9118134709</v>
      </c>
      <c r="H12" s="327">
        <f t="shared" si="4"/>
        <v>12945.9704916023</v>
      </c>
      <c r="I12" s="327">
        <f t="shared" si="4"/>
        <v>15494.9473745075</v>
      </c>
      <c r="J12" s="327">
        <f t="shared" si="4"/>
        <v>18011.4415371023</v>
      </c>
      <c r="K12" s="327">
        <f t="shared" si="4"/>
        <v>20527.679488806</v>
      </c>
      <c r="L12" s="327">
        <f t="shared" si="4"/>
        <v>23327.2123502517</v>
      </c>
      <c r="M12" s="327">
        <f t="shared" si="4"/>
        <v>26078.5822501049</v>
      </c>
      <c r="N12" s="327">
        <f t="shared" si="4"/>
        <v>28885.7003321825</v>
      </c>
      <c r="O12" s="327">
        <f t="shared" si="4"/>
        <v>31779.8932513851</v>
      </c>
      <c r="P12" s="327">
        <f>O12</f>
        <v>31779.8932513851</v>
      </c>
    </row>
    <row r="13" ht="15.6" customHeight="1" spans="1:16">
      <c r="A13" s="73"/>
      <c r="B13" s="372" t="s">
        <v>430</v>
      </c>
      <c r="C13" s="303" t="s">
        <v>427</v>
      </c>
      <c r="D13" s="328">
        <f>D10</f>
        <v>2493.41061</v>
      </c>
      <c r="E13" s="328">
        <f t="shared" ref="E13:O13" si="5">D13+E10</f>
        <v>4843.8656</v>
      </c>
      <c r="F13" s="328">
        <f t="shared" si="5"/>
        <v>7435.89048</v>
      </c>
      <c r="G13" s="328">
        <f t="shared" si="5"/>
        <v>9527.19429970365</v>
      </c>
      <c r="H13" s="328">
        <f t="shared" si="5"/>
        <v>11632.5166797036</v>
      </c>
      <c r="I13" s="328">
        <f t="shared" si="5"/>
        <v>13866.3825597036</v>
      </c>
      <c r="J13" s="328">
        <f t="shared" si="5"/>
        <v>16188.612502251</v>
      </c>
      <c r="K13" s="328">
        <f t="shared" si="5"/>
        <v>18515.3246595093</v>
      </c>
      <c r="L13" s="328">
        <f t="shared" si="5"/>
        <v>21127.814892144</v>
      </c>
      <c r="M13" s="328">
        <f t="shared" si="5"/>
        <v>23711.8173408527</v>
      </c>
      <c r="N13" s="328">
        <f t="shared" si="5"/>
        <v>26340.3868799862</v>
      </c>
      <c r="O13" s="328">
        <f t="shared" si="5"/>
        <v>29043.9304732351</v>
      </c>
      <c r="P13" s="328">
        <f>O13</f>
        <v>29043.9304732351</v>
      </c>
    </row>
    <row r="14" ht="15.6" customHeight="1" spans="1:16">
      <c r="A14" s="373" t="s">
        <v>431</v>
      </c>
      <c r="B14" s="372" t="s">
        <v>431</v>
      </c>
      <c r="C14" s="374" t="s">
        <v>425</v>
      </c>
      <c r="D14" s="296">
        <v>34.9554951575672</v>
      </c>
      <c r="E14" s="296">
        <v>32.7910335545947</v>
      </c>
      <c r="F14" s="296">
        <v>32.1556536473229</v>
      </c>
      <c r="G14" s="296">
        <v>25.9070811758388</v>
      </c>
      <c r="H14" s="296">
        <v>30.1660179105117</v>
      </c>
      <c r="I14" s="296">
        <v>36.5277907100623</v>
      </c>
      <c r="J14" s="296">
        <v>30.4450404246841</v>
      </c>
      <c r="K14" s="296">
        <v>36.6214204584098</v>
      </c>
      <c r="L14" s="296">
        <v>13.6280942681611</v>
      </c>
      <c r="M14" s="296">
        <v>20.771014770731</v>
      </c>
      <c r="N14" s="296">
        <v>23.4688351916251</v>
      </c>
      <c r="O14" s="296">
        <v>14.2548203850428</v>
      </c>
      <c r="P14" s="296">
        <v>27.5439420534952</v>
      </c>
    </row>
    <row r="15" ht="15.6" customHeight="1" spans="1:16">
      <c r="A15" s="87"/>
      <c r="B15" s="372" t="s">
        <v>431</v>
      </c>
      <c r="C15" s="375" t="s">
        <v>426</v>
      </c>
      <c r="D15" s="337">
        <v>22.5240067837961</v>
      </c>
      <c r="E15" s="337">
        <v>22.8079817830581</v>
      </c>
      <c r="F15" s="337">
        <v>24.7498058333868</v>
      </c>
      <c r="G15" s="337">
        <v>23.5328939583068</v>
      </c>
      <c r="H15" s="337">
        <v>35.6807837634068</v>
      </c>
      <c r="I15" s="337">
        <v>23.1504189901021</v>
      </c>
      <c r="J15" s="337">
        <v>29.1916358791126</v>
      </c>
      <c r="K15" s="337">
        <v>30.8343600478365</v>
      </c>
      <c r="L15" s="337">
        <v>23.8654180251969</v>
      </c>
      <c r="M15" s="337">
        <v>22.7376546411569</v>
      </c>
      <c r="N15" s="337">
        <v>21.5675009187318</v>
      </c>
      <c r="O15" s="337">
        <v>31.6980769859551</v>
      </c>
      <c r="P15" s="323">
        <v>25.3467186348338</v>
      </c>
    </row>
    <row r="16" ht="15.6" customHeight="1" spans="1:16">
      <c r="A16" s="87"/>
      <c r="B16" s="372" t="s">
        <v>431</v>
      </c>
      <c r="C16" s="376" t="s">
        <v>427</v>
      </c>
      <c r="D16" s="317">
        <v>25.5481477497413</v>
      </c>
      <c r="E16" s="317">
        <v>22.1159330724218</v>
      </c>
      <c r="F16" s="317">
        <f t="shared" ref="F16:P16" si="6">F10/F4*1000</f>
        <v>24.1397042169572</v>
      </c>
      <c r="G16" s="317">
        <f t="shared" si="6"/>
        <v>18.9481183265711</v>
      </c>
      <c r="H16" s="317">
        <f t="shared" si="6"/>
        <v>31.1756434822526</v>
      </c>
      <c r="I16" s="317">
        <f t="shared" si="6"/>
        <v>21.8423994837297</v>
      </c>
      <c r="J16" s="317">
        <f t="shared" si="6"/>
        <v>26.702426696878</v>
      </c>
      <c r="K16" s="317">
        <f t="shared" si="6"/>
        <v>28.5276131526564</v>
      </c>
      <c r="L16" s="317">
        <f t="shared" si="6"/>
        <v>22.2988633523511</v>
      </c>
      <c r="M16" s="317">
        <f t="shared" si="6"/>
        <v>22.009492425375</v>
      </c>
      <c r="N16" s="317">
        <f t="shared" si="6"/>
        <v>23.1318930877508</v>
      </c>
      <c r="O16" s="317">
        <f t="shared" si="6"/>
        <v>35.1598141995873</v>
      </c>
      <c r="P16" s="317">
        <f t="shared" si="6"/>
        <v>24.5081982066266</v>
      </c>
    </row>
    <row r="17" ht="15.6" customHeight="1" spans="1:16">
      <c r="A17" s="87"/>
      <c r="B17" s="372" t="s">
        <v>431</v>
      </c>
      <c r="C17" s="376" t="s">
        <v>432</v>
      </c>
      <c r="D17" s="328">
        <f t="shared" ref="D17:P17" si="7">(D16-D14)*D4</f>
        <v>-918260.587825294</v>
      </c>
      <c r="E17" s="328">
        <f t="shared" si="7"/>
        <v>-1134699.13065209</v>
      </c>
      <c r="F17" s="328">
        <f t="shared" si="7"/>
        <v>-860720.586034944</v>
      </c>
      <c r="G17" s="328">
        <f t="shared" si="7"/>
        <v>-768060.729673678</v>
      </c>
      <c r="H17" s="328">
        <f t="shared" si="7"/>
        <v>68181.0244852343</v>
      </c>
      <c r="I17" s="328">
        <f t="shared" si="7"/>
        <v>-1501904.33149949</v>
      </c>
      <c r="J17" s="328">
        <f t="shared" si="7"/>
        <v>-325483.888066113</v>
      </c>
      <c r="K17" s="328">
        <f t="shared" si="7"/>
        <v>-660130.931951054</v>
      </c>
      <c r="L17" s="328">
        <f t="shared" si="7"/>
        <v>1015849.96436553</v>
      </c>
      <c r="M17" s="328">
        <f t="shared" si="7"/>
        <v>145402.230565828</v>
      </c>
      <c r="N17" s="328">
        <f t="shared" si="7"/>
        <v>-38288.0790316465</v>
      </c>
      <c r="O17" s="328">
        <f t="shared" si="7"/>
        <v>1607447.68938177</v>
      </c>
      <c r="P17" s="328">
        <f t="shared" si="7"/>
        <v>-3597568.96364436</v>
      </c>
    </row>
    <row r="18" ht="15.6" customHeight="1" spans="1:16">
      <c r="A18" s="87"/>
      <c r="B18" s="372" t="s">
        <v>431</v>
      </c>
      <c r="C18" s="376" t="s">
        <v>433</v>
      </c>
      <c r="D18" s="377">
        <f t="shared" ref="D18:P18" si="8">2-D16/D15</f>
        <v>0.865736989205633</v>
      </c>
      <c r="E18" s="377">
        <f t="shared" si="8"/>
        <v>1.0303423914145</v>
      </c>
      <c r="F18" s="377">
        <f t="shared" si="8"/>
        <v>1.02465076374888</v>
      </c>
      <c r="G18" s="377">
        <f t="shared" si="8"/>
        <v>1.19482413169662</v>
      </c>
      <c r="H18" s="377">
        <f t="shared" si="8"/>
        <v>1.12626236887135</v>
      </c>
      <c r="I18" s="377">
        <f t="shared" si="8"/>
        <v>1.05650089991597</v>
      </c>
      <c r="J18" s="377">
        <f t="shared" si="8"/>
        <v>1.08527131513091</v>
      </c>
      <c r="K18" s="377">
        <f t="shared" si="8"/>
        <v>1.07481092169909</v>
      </c>
      <c r="L18" s="377">
        <f t="shared" si="8"/>
        <v>1.06564119979763</v>
      </c>
      <c r="M18" s="377">
        <f t="shared" si="8"/>
        <v>1.03202450856404</v>
      </c>
      <c r="N18" s="377">
        <f t="shared" si="8"/>
        <v>0.927465301848656</v>
      </c>
      <c r="O18" s="377">
        <f t="shared" si="8"/>
        <v>0.890790308346904</v>
      </c>
      <c r="P18" s="377">
        <f t="shared" si="8"/>
        <v>1.03308201113871</v>
      </c>
    </row>
    <row r="19" ht="15.6" customHeight="1" spans="1:16">
      <c r="A19" s="87"/>
      <c r="B19" s="372" t="s">
        <v>431</v>
      </c>
      <c r="C19" s="376" t="s">
        <v>434</v>
      </c>
      <c r="D19" s="322">
        <f t="shared" ref="D19:P19" si="9">(D14-D16)/D14</f>
        <v>0.269123563131372</v>
      </c>
      <c r="E19" s="322">
        <f t="shared" si="9"/>
        <v>0.325549375087541</v>
      </c>
      <c r="F19" s="322">
        <f t="shared" si="9"/>
        <v>0.249285849334088</v>
      </c>
      <c r="G19" s="322">
        <f t="shared" si="9"/>
        <v>0.268612384468757</v>
      </c>
      <c r="H19" s="322">
        <f t="shared" si="9"/>
        <v>-0.0334689707715475</v>
      </c>
      <c r="I19" s="322">
        <f t="shared" si="9"/>
        <v>0.402033381731112</v>
      </c>
      <c r="J19" s="322">
        <f t="shared" si="9"/>
        <v>0.122930161221651</v>
      </c>
      <c r="K19" s="322">
        <f t="shared" si="9"/>
        <v>0.221012926435919</v>
      </c>
      <c r="L19" s="322">
        <f t="shared" si="9"/>
        <v>-0.636242229733269</v>
      </c>
      <c r="M19" s="322">
        <f t="shared" si="9"/>
        <v>-0.0596252839986037</v>
      </c>
      <c r="N19" s="322">
        <f t="shared" si="9"/>
        <v>0.0143570015777557</v>
      </c>
      <c r="O19" s="322">
        <f t="shared" si="9"/>
        <v>-1.46652102586151</v>
      </c>
      <c r="P19" s="322">
        <f t="shared" si="9"/>
        <v>0.11021457426002</v>
      </c>
    </row>
    <row r="20" ht="15.6" customHeight="1" spans="1:16">
      <c r="A20" s="373" t="s">
        <v>435</v>
      </c>
      <c r="B20" s="372" t="s">
        <v>435</v>
      </c>
      <c r="C20" s="296" t="s">
        <v>425</v>
      </c>
      <c r="D20" s="296">
        <f t="shared" ref="D20:P20" si="10">D11/D5*1000</f>
        <v>34.9554951575672</v>
      </c>
      <c r="E20" s="296">
        <f t="shared" si="10"/>
        <v>33.8572599912247</v>
      </c>
      <c r="F20" s="296">
        <f t="shared" si="10"/>
        <v>33.2376849501324</v>
      </c>
      <c r="G20" s="296">
        <f t="shared" si="10"/>
        <v>31.1892274628286</v>
      </c>
      <c r="H20" s="296">
        <f t="shared" si="10"/>
        <v>30.9753043129667</v>
      </c>
      <c r="I20" s="296">
        <f t="shared" si="10"/>
        <v>31.7746572892183</v>
      </c>
      <c r="J20" s="296">
        <f t="shared" si="10"/>
        <v>31.6020813807025</v>
      </c>
      <c r="K20" s="296">
        <f t="shared" si="10"/>
        <v>32.0505616992572</v>
      </c>
      <c r="L20" s="296">
        <f t="shared" si="10"/>
        <v>29.8167259556527</v>
      </c>
      <c r="M20" s="296">
        <f t="shared" si="10"/>
        <v>28.6440202878174</v>
      </c>
      <c r="N20" s="296">
        <f t="shared" si="10"/>
        <v>28.0485666090677</v>
      </c>
      <c r="O20" s="296">
        <f t="shared" si="10"/>
        <v>27.5439420534952</v>
      </c>
      <c r="P20" s="296">
        <f t="shared" si="10"/>
        <v>27.5439420534952</v>
      </c>
    </row>
    <row r="21" ht="15.6" customHeight="1" spans="1:16">
      <c r="A21" s="87"/>
      <c r="B21" s="372" t="s">
        <v>435</v>
      </c>
      <c r="C21" s="323" t="s">
        <v>426</v>
      </c>
      <c r="D21" s="323">
        <f t="shared" ref="D21:P21" si="11">D12/D6*1000</f>
        <v>22.5240067837961</v>
      </c>
      <c r="E21" s="323">
        <f t="shared" si="11"/>
        <v>22.6656894688659</v>
      </c>
      <c r="F21" s="323">
        <f t="shared" si="11"/>
        <v>23.3205060023213</v>
      </c>
      <c r="G21" s="323">
        <f t="shared" si="11"/>
        <v>23.3705556708984</v>
      </c>
      <c r="H21" s="323">
        <f t="shared" si="11"/>
        <v>25.0832081849069</v>
      </c>
      <c r="I21" s="323">
        <f t="shared" si="11"/>
        <v>24.7433791865996</v>
      </c>
      <c r="J21" s="323">
        <f t="shared" si="11"/>
        <v>25.2816290356164</v>
      </c>
      <c r="K21" s="323">
        <f t="shared" si="11"/>
        <v>25.852295911659</v>
      </c>
      <c r="L21" s="323">
        <f t="shared" si="11"/>
        <v>25.5965514046886</v>
      </c>
      <c r="M21" s="323">
        <f t="shared" si="11"/>
        <v>25.261450122977</v>
      </c>
      <c r="N21" s="323">
        <f t="shared" si="11"/>
        <v>24.8478715152167</v>
      </c>
      <c r="O21" s="323">
        <f t="shared" si="11"/>
        <v>25.3467186348338</v>
      </c>
      <c r="P21" s="323">
        <f t="shared" si="11"/>
        <v>25.3467186348338</v>
      </c>
    </row>
    <row r="22" ht="15.6" customHeight="1" spans="1:16">
      <c r="A22" s="87"/>
      <c r="B22" s="372" t="s">
        <v>435</v>
      </c>
      <c r="C22" s="364" t="s">
        <v>427</v>
      </c>
      <c r="D22" s="364">
        <f t="shared" ref="D22:P22" si="12">D13/D7*1000</f>
        <v>25.544360881458</v>
      </c>
      <c r="E22" s="364">
        <f t="shared" si="12"/>
        <v>23.7555018268311</v>
      </c>
      <c r="F22" s="364">
        <f t="shared" si="12"/>
        <v>23.8880319711129</v>
      </c>
      <c r="G22" s="364">
        <f t="shared" si="12"/>
        <v>22.5949761762777</v>
      </c>
      <c r="H22" s="364">
        <f t="shared" si="12"/>
        <v>23.7795272101256</v>
      </c>
      <c r="I22" s="364">
        <f t="shared" si="12"/>
        <v>23.4445663732152</v>
      </c>
      <c r="J22" s="364">
        <f t="shared" si="12"/>
        <v>23.8621925062034</v>
      </c>
      <c r="K22" s="364">
        <f t="shared" si="12"/>
        <v>24.3628783287298</v>
      </c>
      <c r="L22" s="364">
        <f t="shared" si="12"/>
        <v>24.0871912753359</v>
      </c>
      <c r="M22" s="364">
        <f t="shared" si="12"/>
        <v>23.8419226891254</v>
      </c>
      <c r="N22" s="364">
        <f t="shared" si="12"/>
        <v>23.7691152732976</v>
      </c>
      <c r="O22" s="364">
        <f t="shared" si="12"/>
        <v>24.5081982066265</v>
      </c>
      <c r="P22" s="364">
        <f t="shared" si="12"/>
        <v>24.5081982066265</v>
      </c>
    </row>
    <row r="23" ht="15.6" customHeight="1" spans="1:16">
      <c r="A23" s="87"/>
      <c r="B23" s="372" t="s">
        <v>435</v>
      </c>
      <c r="C23" s="376" t="s">
        <v>432</v>
      </c>
      <c r="D23" s="378">
        <f t="shared" ref="D23:P23" si="13">(D22-D20)*D7</f>
        <v>-918630.227825296</v>
      </c>
      <c r="E23" s="378">
        <f t="shared" si="13"/>
        <v>-2059798.99851067</v>
      </c>
      <c r="F23" s="378">
        <f t="shared" si="13"/>
        <v>-2910369.32896216</v>
      </c>
      <c r="G23" s="378">
        <f t="shared" si="13"/>
        <v>-3623774.64922549</v>
      </c>
      <c r="H23" s="378">
        <f t="shared" si="13"/>
        <v>-3520044.63472203</v>
      </c>
      <c r="I23" s="378">
        <f t="shared" si="13"/>
        <v>-4926865.59263372</v>
      </c>
      <c r="J23" s="378">
        <f t="shared" si="13"/>
        <v>-5250903.15012658</v>
      </c>
      <c r="K23" s="378">
        <f t="shared" si="13"/>
        <v>-5842493.30330449</v>
      </c>
      <c r="L23" s="378">
        <f t="shared" si="13"/>
        <v>-5025598.32568797</v>
      </c>
      <c r="M23" s="378">
        <f t="shared" si="13"/>
        <v>-4775892.55689806</v>
      </c>
      <c r="N23" s="378">
        <f t="shared" si="13"/>
        <v>-4742389.54719916</v>
      </c>
      <c r="O23" s="378">
        <f t="shared" si="13"/>
        <v>-3597568.96364441</v>
      </c>
      <c r="P23" s="378">
        <f t="shared" si="13"/>
        <v>-3597568.96364441</v>
      </c>
    </row>
    <row r="24" ht="15.6" customHeight="1" spans="1:16">
      <c r="A24" s="87"/>
      <c r="B24" s="372" t="s">
        <v>435</v>
      </c>
      <c r="C24" s="376" t="s">
        <v>433</v>
      </c>
      <c r="D24" s="377">
        <f t="shared" ref="D24:P24" si="14">2-D22/D21</f>
        <v>0.865905115077714</v>
      </c>
      <c r="E24" s="377">
        <f t="shared" si="14"/>
        <v>0.951917970134453</v>
      </c>
      <c r="F24" s="377">
        <f t="shared" si="14"/>
        <v>0.97566407998458</v>
      </c>
      <c r="G24" s="377">
        <f t="shared" si="14"/>
        <v>1.03318618117354</v>
      </c>
      <c r="H24" s="377">
        <f t="shared" si="14"/>
        <v>1.05197425166553</v>
      </c>
      <c r="I24" s="377">
        <f t="shared" si="14"/>
        <v>1.05249132721887</v>
      </c>
      <c r="J24" s="377">
        <f t="shared" si="14"/>
        <v>1.05614497892574</v>
      </c>
      <c r="K24" s="377">
        <f t="shared" si="14"/>
        <v>1.05761258450773</v>
      </c>
      <c r="L24" s="377">
        <f t="shared" si="14"/>
        <v>1.05896732358548</v>
      </c>
      <c r="M24" s="377">
        <f t="shared" si="14"/>
        <v>1.05619342622617</v>
      </c>
      <c r="N24" s="377">
        <f t="shared" si="14"/>
        <v>1.04341443255043</v>
      </c>
      <c r="O24" s="377">
        <f t="shared" si="14"/>
        <v>1.03308201113871</v>
      </c>
      <c r="P24" s="377">
        <f t="shared" si="14"/>
        <v>1.03308201113871</v>
      </c>
    </row>
    <row r="25" ht="15.6" customHeight="1" spans="1:16">
      <c r="A25" s="87"/>
      <c r="B25" s="372" t="s">
        <v>435</v>
      </c>
      <c r="C25" s="376" t="s">
        <v>436</v>
      </c>
      <c r="D25" s="322">
        <f t="shared" ref="D25:P25" si="15">(D20-D22)/D20</f>
        <v>0.269231897121957</v>
      </c>
      <c r="E25" s="322">
        <f t="shared" si="15"/>
        <v>0.298363132959129</v>
      </c>
      <c r="F25" s="322">
        <f t="shared" si="15"/>
        <v>0.281296756770126</v>
      </c>
      <c r="G25" s="322">
        <f t="shared" si="15"/>
        <v>0.275551912813281</v>
      </c>
      <c r="H25" s="322">
        <f t="shared" si="15"/>
        <v>0.232306905854315</v>
      </c>
      <c r="I25" s="322">
        <f t="shared" si="15"/>
        <v>0.262161471646452</v>
      </c>
      <c r="J25" s="322">
        <f t="shared" si="15"/>
        <v>0.244917060406832</v>
      </c>
      <c r="K25" s="322">
        <f t="shared" si="15"/>
        <v>0.239861112034913</v>
      </c>
      <c r="L25" s="322">
        <f t="shared" si="15"/>
        <v>0.192158410981761</v>
      </c>
      <c r="M25" s="322">
        <f t="shared" si="15"/>
        <v>0.167647472332451</v>
      </c>
      <c r="N25" s="322">
        <f t="shared" si="15"/>
        <v>0.152572906680608</v>
      </c>
      <c r="O25" s="322">
        <f t="shared" si="15"/>
        <v>0.110214574260022</v>
      </c>
      <c r="P25" s="322">
        <f t="shared" si="15"/>
        <v>0.110214574260022</v>
      </c>
    </row>
    <row r="26" ht="15.6" customHeight="1" spans="1:16">
      <c r="A26" s="371" t="s">
        <v>437</v>
      </c>
      <c r="B26" s="372" t="s">
        <v>437</v>
      </c>
      <c r="C26" s="296" t="s">
        <v>425</v>
      </c>
      <c r="D26" s="326">
        <v>770</v>
      </c>
      <c r="E26" s="326">
        <v>741</v>
      </c>
      <c r="F26" s="326">
        <v>764</v>
      </c>
      <c r="G26" s="326">
        <v>766</v>
      </c>
      <c r="H26" s="326">
        <v>832</v>
      </c>
      <c r="I26" s="326">
        <v>824</v>
      </c>
      <c r="J26" s="326">
        <v>839</v>
      </c>
      <c r="K26" s="326">
        <v>583</v>
      </c>
      <c r="L26" s="326">
        <v>793</v>
      </c>
      <c r="M26" s="326">
        <v>590</v>
      </c>
      <c r="N26" s="326">
        <v>801</v>
      </c>
      <c r="O26" s="326">
        <v>816</v>
      </c>
      <c r="P26" s="326">
        <f>SUM(D26:O26)</f>
        <v>9119</v>
      </c>
    </row>
    <row r="27" ht="15.6" customHeight="1" spans="1:16">
      <c r="A27" s="87"/>
      <c r="B27" s="372" t="s">
        <v>437</v>
      </c>
      <c r="C27" s="299" t="s">
        <v>426</v>
      </c>
      <c r="D27" s="334">
        <v>816</v>
      </c>
      <c r="E27" s="334">
        <v>780</v>
      </c>
      <c r="F27" s="334">
        <v>827</v>
      </c>
      <c r="G27" s="334">
        <v>816</v>
      </c>
      <c r="H27" s="334">
        <v>828</v>
      </c>
      <c r="I27" s="334">
        <v>822</v>
      </c>
      <c r="J27" s="334">
        <v>884</v>
      </c>
      <c r="K27" s="334">
        <v>894</v>
      </c>
      <c r="L27" s="334">
        <v>882</v>
      </c>
      <c r="M27" s="334">
        <v>898</v>
      </c>
      <c r="N27" s="334">
        <v>886</v>
      </c>
      <c r="O27" s="334">
        <v>897</v>
      </c>
      <c r="P27" s="327">
        <f>SUM(D27:O27)</f>
        <v>10230</v>
      </c>
    </row>
    <row r="28" ht="15.6" customHeight="1" spans="1:16">
      <c r="A28" s="73"/>
      <c r="B28" s="372" t="s">
        <v>437</v>
      </c>
      <c r="C28" s="303" t="s">
        <v>427</v>
      </c>
      <c r="D28" s="328">
        <v>818</v>
      </c>
      <c r="E28" s="328">
        <f>363+250</f>
        <v>613</v>
      </c>
      <c r="F28" s="328">
        <f>厨电3月!J39</f>
        <v>798.62406</v>
      </c>
      <c r="G28" s="328">
        <f>厨电4月!I37</f>
        <v>466.69395</v>
      </c>
      <c r="H28" s="328">
        <f>'厨电5月 '!J38</f>
        <v>254.33901</v>
      </c>
      <c r="I28" s="328">
        <f>厨电6月!J38</f>
        <v>585.96471</v>
      </c>
      <c r="J28" s="328">
        <v>657.377896617212</v>
      </c>
      <c r="K28" s="328">
        <v>667.436133283878</v>
      </c>
      <c r="L28" s="328">
        <v>659.223718058308</v>
      </c>
      <c r="M28" s="328">
        <v>671.711803283878</v>
      </c>
      <c r="N28" s="328">
        <v>662.568078058307</v>
      </c>
      <c r="O28" s="328">
        <v>669.686113283878</v>
      </c>
      <c r="P28" s="328">
        <f>SUM(D28:O28)</f>
        <v>7524.62547258546</v>
      </c>
    </row>
    <row r="29" ht="15.6" customHeight="1" spans="1:16">
      <c r="A29" s="371" t="s">
        <v>438</v>
      </c>
      <c r="B29" s="372" t="s">
        <v>438</v>
      </c>
      <c r="C29" s="379" t="s">
        <v>425</v>
      </c>
      <c r="D29" s="326">
        <f>D26</f>
        <v>770</v>
      </c>
      <c r="E29" s="326">
        <f t="shared" ref="E29:O29" si="16">D29+E26</f>
        <v>1511</v>
      </c>
      <c r="F29" s="326">
        <f t="shared" si="16"/>
        <v>2275</v>
      </c>
      <c r="G29" s="326">
        <f t="shared" si="16"/>
        <v>3041</v>
      </c>
      <c r="H29" s="326">
        <f t="shared" si="16"/>
        <v>3873</v>
      </c>
      <c r="I29" s="326">
        <f t="shared" si="16"/>
        <v>4697</v>
      </c>
      <c r="J29" s="326">
        <f t="shared" si="16"/>
        <v>5536</v>
      </c>
      <c r="K29" s="326">
        <f t="shared" si="16"/>
        <v>6119</v>
      </c>
      <c r="L29" s="326">
        <f t="shared" si="16"/>
        <v>6912</v>
      </c>
      <c r="M29" s="326">
        <f t="shared" si="16"/>
        <v>7502</v>
      </c>
      <c r="N29" s="326">
        <f t="shared" si="16"/>
        <v>8303</v>
      </c>
      <c r="O29" s="326">
        <f t="shared" si="16"/>
        <v>9119</v>
      </c>
      <c r="P29" s="326">
        <f>O29</f>
        <v>9119</v>
      </c>
    </row>
    <row r="30" ht="15.6" customHeight="1" spans="1:16">
      <c r="A30" s="87"/>
      <c r="B30" s="372" t="s">
        <v>438</v>
      </c>
      <c r="C30" s="380" t="s">
        <v>426</v>
      </c>
      <c r="D30" s="334">
        <f>D27</f>
        <v>816</v>
      </c>
      <c r="E30" s="334">
        <f t="shared" ref="E30:O30" si="17">D30+E27</f>
        <v>1596</v>
      </c>
      <c r="F30" s="334">
        <f t="shared" si="17"/>
        <v>2423</v>
      </c>
      <c r="G30" s="334">
        <f t="shared" si="17"/>
        <v>3239</v>
      </c>
      <c r="H30" s="334">
        <f t="shared" si="17"/>
        <v>4067</v>
      </c>
      <c r="I30" s="334">
        <f t="shared" si="17"/>
        <v>4889</v>
      </c>
      <c r="J30" s="334">
        <f t="shared" si="17"/>
        <v>5773</v>
      </c>
      <c r="K30" s="334">
        <f t="shared" si="17"/>
        <v>6667</v>
      </c>
      <c r="L30" s="334">
        <f t="shared" si="17"/>
        <v>7549</v>
      </c>
      <c r="M30" s="334">
        <f t="shared" si="17"/>
        <v>8447</v>
      </c>
      <c r="N30" s="334">
        <f t="shared" si="17"/>
        <v>9333</v>
      </c>
      <c r="O30" s="334">
        <f t="shared" si="17"/>
        <v>10230</v>
      </c>
      <c r="P30" s="327">
        <f>O30</f>
        <v>10230</v>
      </c>
    </row>
    <row r="31" ht="15.6" customHeight="1" spans="1:16">
      <c r="A31" s="73"/>
      <c r="B31" s="372" t="s">
        <v>438</v>
      </c>
      <c r="C31" s="381" t="s">
        <v>427</v>
      </c>
      <c r="D31" s="328">
        <f>D28</f>
        <v>818</v>
      </c>
      <c r="E31" s="328">
        <f t="shared" ref="E31:O31" si="18">D31+E28</f>
        <v>1431</v>
      </c>
      <c r="F31" s="328">
        <f t="shared" si="18"/>
        <v>2229.62406</v>
      </c>
      <c r="G31" s="328">
        <f t="shared" si="18"/>
        <v>2696.31801</v>
      </c>
      <c r="H31" s="328">
        <f t="shared" si="18"/>
        <v>2950.65702</v>
      </c>
      <c r="I31" s="328">
        <f t="shared" si="18"/>
        <v>3536.62173</v>
      </c>
      <c r="J31" s="328">
        <f t="shared" si="18"/>
        <v>4193.99962661721</v>
      </c>
      <c r="K31" s="328">
        <f t="shared" si="18"/>
        <v>4861.43575990109</v>
      </c>
      <c r="L31" s="328">
        <f t="shared" si="18"/>
        <v>5520.6594779594</v>
      </c>
      <c r="M31" s="328">
        <f t="shared" si="18"/>
        <v>6192.37128124328</v>
      </c>
      <c r="N31" s="328">
        <f t="shared" si="18"/>
        <v>6854.93935930158</v>
      </c>
      <c r="O31" s="328">
        <f t="shared" si="18"/>
        <v>7524.62547258546</v>
      </c>
      <c r="P31" s="328">
        <f>O31</f>
        <v>7524.62547258546</v>
      </c>
    </row>
    <row r="32" ht="15.6" customHeight="1" spans="1:16">
      <c r="A32" s="373" t="s">
        <v>439</v>
      </c>
      <c r="B32" s="372" t="s">
        <v>439</v>
      </c>
      <c r="C32" s="296" t="s">
        <v>425</v>
      </c>
      <c r="D32" s="296">
        <f t="shared" ref="D32:O32" si="19">D26/D2*1000</f>
        <v>9.65977519068647</v>
      </c>
      <c r="E32" s="296">
        <f t="shared" si="19"/>
        <v>9.02502892637476</v>
      </c>
      <c r="F32" s="296">
        <f t="shared" si="19"/>
        <v>8.24546445492515</v>
      </c>
      <c r="G32" s="296">
        <f t="shared" si="19"/>
        <v>7.76191392989958</v>
      </c>
      <c r="H32" s="296">
        <f t="shared" si="19"/>
        <v>8.91240774265423</v>
      </c>
      <c r="I32" s="296">
        <f t="shared" si="19"/>
        <v>10.9732062003942</v>
      </c>
      <c r="J32" s="296">
        <f t="shared" si="19"/>
        <v>10.784200311058</v>
      </c>
      <c r="K32" s="296">
        <f t="shared" si="19"/>
        <v>9.91294293681562</v>
      </c>
      <c r="L32" s="296">
        <f t="shared" si="19"/>
        <v>8.73098011582587</v>
      </c>
      <c r="M32" s="296">
        <f t="shared" si="19"/>
        <v>5.28806510594056</v>
      </c>
      <c r="N32" s="296">
        <f t="shared" si="19"/>
        <v>7.17581187010078</v>
      </c>
      <c r="O32" s="296">
        <f t="shared" si="19"/>
        <v>10.8002223575191</v>
      </c>
      <c r="P32" s="296">
        <f>P29/P2*1000</f>
        <v>8.70304659121927</v>
      </c>
    </row>
    <row r="33" ht="15.6" customHeight="1" spans="1:16">
      <c r="A33" s="87"/>
      <c r="B33" s="372" t="s">
        <v>439</v>
      </c>
      <c r="C33" s="299" t="s">
        <v>426</v>
      </c>
      <c r="D33" s="323">
        <f t="shared" ref="D33:O33" si="20">D27/D3*1000</f>
        <v>6.99204825884288</v>
      </c>
      <c r="E33" s="323">
        <f t="shared" si="20"/>
        <v>6.7123334824963</v>
      </c>
      <c r="F33" s="323">
        <f t="shared" si="20"/>
        <v>7.75041235567551</v>
      </c>
      <c r="G33" s="323">
        <f t="shared" si="20"/>
        <v>7.79339853300733</v>
      </c>
      <c r="H33" s="323">
        <f t="shared" si="20"/>
        <v>11.5312304157092</v>
      </c>
      <c r="I33" s="323">
        <f t="shared" si="20"/>
        <v>7.46560101721084</v>
      </c>
      <c r="J33" s="323">
        <f t="shared" si="20"/>
        <v>10.2545066468691</v>
      </c>
      <c r="K33" s="323">
        <f t="shared" si="20"/>
        <v>10.9552110777526</v>
      </c>
      <c r="L33" s="323">
        <f t="shared" si="20"/>
        <v>7.51886108861515</v>
      </c>
      <c r="M33" s="323">
        <f t="shared" si="20"/>
        <v>7.42118094293624</v>
      </c>
      <c r="N33" s="323">
        <f t="shared" si="20"/>
        <v>6.8072682570781</v>
      </c>
      <c r="O33" s="323">
        <f t="shared" si="20"/>
        <v>9.82421554131756</v>
      </c>
      <c r="P33" s="323">
        <f>P30/P3*1000</f>
        <v>8.15915049126381</v>
      </c>
    </row>
    <row r="34" ht="15.6" customHeight="1" spans="1:16">
      <c r="A34" s="87"/>
      <c r="B34" s="372" t="s">
        <v>439</v>
      </c>
      <c r="C34" s="303" t="s">
        <v>427</v>
      </c>
      <c r="D34" s="324">
        <f t="shared" ref="D34:O34" si="21">D28/D4*1000</f>
        <v>8.38020305088566</v>
      </c>
      <c r="E34" s="324">
        <f t="shared" si="21"/>
        <v>5.76702353848759</v>
      </c>
      <c r="F34" s="324">
        <f t="shared" si="21"/>
        <v>7.43764025480554</v>
      </c>
      <c r="G34" s="324">
        <f t="shared" si="21"/>
        <v>4.22844930687687</v>
      </c>
      <c r="H34" s="324">
        <f t="shared" si="21"/>
        <v>3.76625564555537</v>
      </c>
      <c r="I34" s="324">
        <f t="shared" si="21"/>
        <v>5.7294734629224</v>
      </c>
      <c r="J34" s="324">
        <f t="shared" si="21"/>
        <v>7.55893495943533</v>
      </c>
      <c r="K34" s="324">
        <f t="shared" si="21"/>
        <v>8.18337573688698</v>
      </c>
      <c r="L34" s="324">
        <f t="shared" si="21"/>
        <v>5.62679217858198</v>
      </c>
      <c r="M34" s="324">
        <f t="shared" si="21"/>
        <v>5.7213706797373</v>
      </c>
      <c r="N34" s="324">
        <f t="shared" si="21"/>
        <v>5.83072036589671</v>
      </c>
      <c r="O34" s="324">
        <f t="shared" si="21"/>
        <v>8.70932481869452</v>
      </c>
      <c r="P34" s="324">
        <f>P31/P4*1000</f>
        <v>6.34951983109516</v>
      </c>
    </row>
    <row r="35" ht="15.6" customHeight="1" spans="1:16">
      <c r="A35" s="87"/>
      <c r="B35" s="372" t="s">
        <v>439</v>
      </c>
      <c r="C35" s="376" t="s">
        <v>432</v>
      </c>
      <c r="D35" s="365">
        <f t="shared" ref="D35:P35" si="22">(D34-D32)*D4</f>
        <v>-124900.316138097</v>
      </c>
      <c r="E35" s="365">
        <f t="shared" si="22"/>
        <v>-346306.424700079</v>
      </c>
      <c r="F35" s="365">
        <f t="shared" si="22"/>
        <v>-86740.9313120431</v>
      </c>
      <c r="G35" s="365">
        <f t="shared" si="22"/>
        <v>-389988.490443017</v>
      </c>
      <c r="H35" s="365">
        <f t="shared" si="22"/>
        <v>-347524.797269183</v>
      </c>
      <c r="I35" s="365">
        <f t="shared" si="22"/>
        <v>-536287.034526716</v>
      </c>
      <c r="J35" s="365">
        <f t="shared" si="22"/>
        <v>-280491.651834567</v>
      </c>
      <c r="K35" s="365">
        <f t="shared" si="22"/>
        <v>-141063.502555747</v>
      </c>
      <c r="L35" s="365">
        <f t="shared" si="22"/>
        <v>-363680.450351619</v>
      </c>
      <c r="M35" s="365">
        <f t="shared" si="22"/>
        <v>50871.8075860327</v>
      </c>
      <c r="N35" s="365">
        <f t="shared" si="22"/>
        <v>-152848.127988725</v>
      </c>
      <c r="O35" s="365">
        <f t="shared" si="22"/>
        <v>-160775.38445284</v>
      </c>
      <c r="P35" s="365">
        <f t="shared" si="22"/>
        <v>-2789093.95997381</v>
      </c>
    </row>
    <row r="36" ht="15.6" customHeight="1" spans="1:16">
      <c r="A36" s="371" t="s">
        <v>440</v>
      </c>
      <c r="B36" s="372" t="s">
        <v>440</v>
      </c>
      <c r="C36" s="296" t="s">
        <v>425</v>
      </c>
      <c r="D36" s="326">
        <f t="shared" ref="D36:P36" si="23">D8-D26</f>
        <v>2016.37243</v>
      </c>
      <c r="E36" s="326">
        <f t="shared" si="23"/>
        <v>1951.30781</v>
      </c>
      <c r="F36" s="326">
        <f t="shared" si="23"/>
        <v>2215.4464</v>
      </c>
      <c r="G36" s="326">
        <f t="shared" si="23"/>
        <v>1790.69212</v>
      </c>
      <c r="H36" s="326">
        <f t="shared" si="23"/>
        <v>1984.08827</v>
      </c>
      <c r="I36" s="326">
        <f t="shared" si="23"/>
        <v>1918.94486</v>
      </c>
      <c r="J36" s="326">
        <f t="shared" si="23"/>
        <v>1529.5937</v>
      </c>
      <c r="K36" s="326">
        <f t="shared" si="23"/>
        <v>1570.77898</v>
      </c>
      <c r="L36" s="326">
        <f t="shared" si="23"/>
        <v>444.78529</v>
      </c>
      <c r="M36" s="326">
        <f t="shared" si="23"/>
        <v>1727.46366</v>
      </c>
      <c r="N36" s="326">
        <f t="shared" si="23"/>
        <v>1817.46488</v>
      </c>
      <c r="O36" s="326">
        <f t="shared" si="23"/>
        <v>774.43882</v>
      </c>
      <c r="P36" s="326">
        <f t="shared" si="23"/>
        <v>19741.37722</v>
      </c>
    </row>
    <row r="37" ht="15.6" customHeight="1" spans="1:16">
      <c r="A37" s="87"/>
      <c r="B37" s="372" t="s">
        <v>440</v>
      </c>
      <c r="C37" s="299" t="s">
        <v>426</v>
      </c>
      <c r="D37" s="327">
        <f t="shared" ref="D37:P37" si="24">D9-D27</f>
        <v>1812.64168769614</v>
      </c>
      <c r="E37" s="327">
        <f t="shared" si="24"/>
        <v>1870.37871511848</v>
      </c>
      <c r="F37" s="382">
        <f t="shared" si="24"/>
        <v>1813.90328164571</v>
      </c>
      <c r="G37" s="327">
        <f t="shared" si="24"/>
        <v>1647.98812901056</v>
      </c>
      <c r="H37" s="327">
        <f t="shared" si="24"/>
        <v>1734.05867813143</v>
      </c>
      <c r="I37" s="327">
        <f t="shared" si="24"/>
        <v>1726.97688290519</v>
      </c>
      <c r="J37" s="327">
        <f t="shared" si="24"/>
        <v>1632.49416259478</v>
      </c>
      <c r="K37" s="327">
        <f t="shared" si="24"/>
        <v>1622.2379517037</v>
      </c>
      <c r="L37" s="327">
        <f t="shared" si="24"/>
        <v>1917.53286144573</v>
      </c>
      <c r="M37" s="327">
        <f t="shared" si="24"/>
        <v>1853.36989985319</v>
      </c>
      <c r="N37" s="327">
        <f t="shared" si="24"/>
        <v>1921.11808207754</v>
      </c>
      <c r="O37" s="327">
        <f t="shared" si="24"/>
        <v>1997.19291920263</v>
      </c>
      <c r="P37" s="327">
        <f t="shared" si="24"/>
        <v>21549.8932513851</v>
      </c>
    </row>
    <row r="38" ht="15.6" customHeight="1" spans="1:16">
      <c r="A38" s="73"/>
      <c r="B38" s="372" t="s">
        <v>440</v>
      </c>
      <c r="C38" s="303" t="s">
        <v>427</v>
      </c>
      <c r="D38" s="365">
        <f t="shared" ref="D38:P38" si="25">D10-D28</f>
        <v>1675.41061</v>
      </c>
      <c r="E38" s="365">
        <f t="shared" si="25"/>
        <v>1737.45499</v>
      </c>
      <c r="F38" s="365">
        <f t="shared" si="25"/>
        <v>1793.40082</v>
      </c>
      <c r="G38" s="365">
        <f t="shared" si="25"/>
        <v>1624.60986970365</v>
      </c>
      <c r="H38" s="365">
        <f t="shared" si="25"/>
        <v>1850.98337</v>
      </c>
      <c r="I38" s="365">
        <f t="shared" si="25"/>
        <v>1647.90117</v>
      </c>
      <c r="J38" s="365">
        <f t="shared" si="25"/>
        <v>1664.85204593018</v>
      </c>
      <c r="K38" s="365">
        <f t="shared" si="25"/>
        <v>1659.27602397439</v>
      </c>
      <c r="L38" s="365">
        <f t="shared" si="25"/>
        <v>1953.26651457644</v>
      </c>
      <c r="M38" s="365">
        <f t="shared" si="25"/>
        <v>1912.29064542485</v>
      </c>
      <c r="N38" s="365">
        <f t="shared" si="25"/>
        <v>1966.00146107517</v>
      </c>
      <c r="O38" s="365">
        <f t="shared" si="25"/>
        <v>2033.85747996499</v>
      </c>
      <c r="P38" s="365">
        <f t="shared" si="25"/>
        <v>21519.3050006497</v>
      </c>
    </row>
    <row r="39" ht="15.6" customHeight="1" spans="1:16">
      <c r="A39" s="371" t="s">
        <v>441</v>
      </c>
      <c r="B39" s="372" t="s">
        <v>441</v>
      </c>
      <c r="C39" s="379" t="s">
        <v>425</v>
      </c>
      <c r="D39" s="326">
        <f>D36</f>
        <v>2016.37243</v>
      </c>
      <c r="E39" s="326">
        <f t="shared" ref="E39:O39" si="26">D39+E36</f>
        <v>3967.68024</v>
      </c>
      <c r="F39" s="326">
        <f t="shared" si="26"/>
        <v>6183.12664</v>
      </c>
      <c r="G39" s="326">
        <f t="shared" si="26"/>
        <v>7973.81876</v>
      </c>
      <c r="H39" s="326">
        <f t="shared" si="26"/>
        <v>9957.90703</v>
      </c>
      <c r="I39" s="326">
        <f t="shared" si="26"/>
        <v>11876.85189</v>
      </c>
      <c r="J39" s="326">
        <f t="shared" si="26"/>
        <v>13406.44559</v>
      </c>
      <c r="K39" s="326">
        <f t="shared" si="26"/>
        <v>14977.22457</v>
      </c>
      <c r="L39" s="326">
        <f t="shared" si="26"/>
        <v>15422.00986</v>
      </c>
      <c r="M39" s="326">
        <f t="shared" si="26"/>
        <v>17149.47352</v>
      </c>
      <c r="N39" s="326">
        <f t="shared" si="26"/>
        <v>18966.9384</v>
      </c>
      <c r="O39" s="326">
        <f t="shared" si="26"/>
        <v>19741.37722</v>
      </c>
      <c r="P39" s="326">
        <f>O39</f>
        <v>19741.37722</v>
      </c>
    </row>
    <row r="40" ht="15.6" customHeight="1" spans="1:16">
      <c r="A40" s="87"/>
      <c r="B40" s="372" t="s">
        <v>441</v>
      </c>
      <c r="C40" s="380" t="s">
        <v>426</v>
      </c>
      <c r="D40" s="334">
        <f>D37</f>
        <v>1812.64168769614</v>
      </c>
      <c r="E40" s="334">
        <f t="shared" ref="E40:O40" si="27">D40+E37</f>
        <v>3683.02040281462</v>
      </c>
      <c r="F40" s="334">
        <f t="shared" si="27"/>
        <v>5496.92368446033</v>
      </c>
      <c r="G40" s="334">
        <f t="shared" si="27"/>
        <v>7144.91181347089</v>
      </c>
      <c r="H40" s="334">
        <f t="shared" si="27"/>
        <v>8878.97049160232</v>
      </c>
      <c r="I40" s="334">
        <f t="shared" si="27"/>
        <v>10605.9473745075</v>
      </c>
      <c r="J40" s="334">
        <f t="shared" si="27"/>
        <v>12238.4415371023</v>
      </c>
      <c r="K40" s="334">
        <f t="shared" si="27"/>
        <v>13860.679488806</v>
      </c>
      <c r="L40" s="334">
        <f t="shared" si="27"/>
        <v>15778.2123502517</v>
      </c>
      <c r="M40" s="334">
        <f t="shared" si="27"/>
        <v>17631.5822501049</v>
      </c>
      <c r="N40" s="334">
        <f t="shared" si="27"/>
        <v>19552.7003321825</v>
      </c>
      <c r="O40" s="334">
        <f t="shared" si="27"/>
        <v>21549.8932513851</v>
      </c>
      <c r="P40" s="327">
        <f>O40</f>
        <v>21549.8932513851</v>
      </c>
    </row>
    <row r="41" ht="15.6" customHeight="1" spans="1:16">
      <c r="A41" s="73"/>
      <c r="B41" s="372" t="s">
        <v>441</v>
      </c>
      <c r="C41" s="381" t="s">
        <v>427</v>
      </c>
      <c r="D41" s="328">
        <f>D38</f>
        <v>1675.41061</v>
      </c>
      <c r="E41" s="328">
        <f t="shared" ref="E41:O41" si="28">D41+E38</f>
        <v>3412.8656</v>
      </c>
      <c r="F41" s="328">
        <f t="shared" si="28"/>
        <v>5206.26642</v>
      </c>
      <c r="G41" s="328">
        <f t="shared" si="28"/>
        <v>6830.87628970365</v>
      </c>
      <c r="H41" s="328">
        <f t="shared" si="28"/>
        <v>8681.85965970365</v>
      </c>
      <c r="I41" s="328">
        <f t="shared" si="28"/>
        <v>10329.7608297037</v>
      </c>
      <c r="J41" s="328">
        <f t="shared" si="28"/>
        <v>11994.6128756338</v>
      </c>
      <c r="K41" s="328">
        <f t="shared" si="28"/>
        <v>13653.8888996082</v>
      </c>
      <c r="L41" s="328">
        <f t="shared" si="28"/>
        <v>15607.1554141847</v>
      </c>
      <c r="M41" s="328">
        <f t="shared" si="28"/>
        <v>17519.4460596095</v>
      </c>
      <c r="N41" s="328">
        <f t="shared" si="28"/>
        <v>19485.4475206847</v>
      </c>
      <c r="O41" s="328">
        <f t="shared" si="28"/>
        <v>21519.3050006497</v>
      </c>
      <c r="P41" s="328">
        <f>O41</f>
        <v>21519.3050006497</v>
      </c>
    </row>
    <row r="42" ht="15.6" customHeight="1" spans="1:16">
      <c r="A42" s="373" t="s">
        <v>442</v>
      </c>
      <c r="B42" s="372" t="s">
        <v>442</v>
      </c>
      <c r="C42" s="296" t="s">
        <v>425</v>
      </c>
      <c r="D42" s="296">
        <f t="shared" ref="D42:P42" si="29">D36/D2*1000</f>
        <v>25.2957199668808</v>
      </c>
      <c r="E42" s="296">
        <f t="shared" si="29"/>
        <v>23.76600462822</v>
      </c>
      <c r="F42" s="296">
        <f t="shared" si="29"/>
        <v>23.9101891923978</v>
      </c>
      <c r="G42" s="296">
        <f t="shared" si="29"/>
        <v>18.1451672459392</v>
      </c>
      <c r="H42" s="296">
        <f t="shared" si="29"/>
        <v>21.2536101678575</v>
      </c>
      <c r="I42" s="296">
        <f t="shared" si="29"/>
        <v>25.5545845096681</v>
      </c>
      <c r="J42" s="296">
        <f t="shared" si="29"/>
        <v>19.6608401136261</v>
      </c>
      <c r="K42" s="296">
        <f t="shared" si="29"/>
        <v>26.7084775215942</v>
      </c>
      <c r="L42" s="296">
        <f t="shared" si="29"/>
        <v>4.89711415233524</v>
      </c>
      <c r="M42" s="296">
        <f t="shared" si="29"/>
        <v>15.4829496647904</v>
      </c>
      <c r="N42" s="296">
        <f t="shared" si="29"/>
        <v>16.2818802239642</v>
      </c>
      <c r="O42" s="296">
        <f t="shared" si="29"/>
        <v>10.2501365910475</v>
      </c>
      <c r="P42" s="296">
        <f t="shared" si="29"/>
        <v>18.840895462276</v>
      </c>
    </row>
    <row r="43" ht="15.6" customHeight="1" spans="1:16">
      <c r="A43" s="87"/>
      <c r="B43" s="372" t="s">
        <v>442</v>
      </c>
      <c r="C43" s="299" t="s">
        <v>426</v>
      </c>
      <c r="D43" s="323">
        <f t="shared" ref="D43:P43" si="30">D37/D3*1000</f>
        <v>15.5319585249532</v>
      </c>
      <c r="E43" s="323">
        <f t="shared" si="30"/>
        <v>16.0956483005618</v>
      </c>
      <c r="F43" s="323">
        <f t="shared" si="30"/>
        <v>16.9993934777113</v>
      </c>
      <c r="G43" s="323">
        <f t="shared" si="30"/>
        <v>15.7394954252995</v>
      </c>
      <c r="H43" s="323">
        <f t="shared" si="30"/>
        <v>24.1495533476977</v>
      </c>
      <c r="I43" s="323">
        <f t="shared" si="30"/>
        <v>15.6848179728912</v>
      </c>
      <c r="J43" s="323">
        <f t="shared" si="30"/>
        <v>18.9371292322435</v>
      </c>
      <c r="K43" s="323">
        <f t="shared" si="30"/>
        <v>19.8791489700839</v>
      </c>
      <c r="L43" s="323">
        <f t="shared" si="30"/>
        <v>16.3465569365818</v>
      </c>
      <c r="M43" s="323">
        <f t="shared" si="30"/>
        <v>15.3164736982207</v>
      </c>
      <c r="N43" s="323">
        <f t="shared" si="30"/>
        <v>14.7602326616537</v>
      </c>
      <c r="O43" s="323">
        <f t="shared" si="30"/>
        <v>21.8738614446375</v>
      </c>
      <c r="P43" s="323">
        <f t="shared" si="30"/>
        <v>17.18756814357</v>
      </c>
    </row>
    <row r="44" ht="15.6" customHeight="1" spans="1:16">
      <c r="A44" s="87"/>
      <c r="B44" s="372" t="s">
        <v>442</v>
      </c>
      <c r="C44" s="303" t="s">
        <v>427</v>
      </c>
      <c r="D44" s="324">
        <f t="shared" ref="D44:P44" si="31">D38/D4*1000</f>
        <v>17.1641578305724</v>
      </c>
      <c r="E44" s="324">
        <f t="shared" si="31"/>
        <v>16.3457484900371</v>
      </c>
      <c r="F44" s="324">
        <f t="shared" si="31"/>
        <v>16.7020639621517</v>
      </c>
      <c r="G44" s="324">
        <f t="shared" si="31"/>
        <v>14.7196690196942</v>
      </c>
      <c r="H44" s="324">
        <f t="shared" si="31"/>
        <v>27.4093878366972</v>
      </c>
      <c r="I44" s="324">
        <f t="shared" si="31"/>
        <v>16.1129260208073</v>
      </c>
      <c r="J44" s="324">
        <f t="shared" si="31"/>
        <v>19.1434917374427</v>
      </c>
      <c r="K44" s="324">
        <f t="shared" si="31"/>
        <v>20.3442374157694</v>
      </c>
      <c r="L44" s="324">
        <f t="shared" si="31"/>
        <v>16.6720711737691</v>
      </c>
      <c r="M44" s="324">
        <f t="shared" si="31"/>
        <v>16.2881217456377</v>
      </c>
      <c r="N44" s="324">
        <f t="shared" si="31"/>
        <v>17.3011727218541</v>
      </c>
      <c r="O44" s="324">
        <f t="shared" si="31"/>
        <v>26.4504893808928</v>
      </c>
      <c r="P44" s="324">
        <f t="shared" si="31"/>
        <v>18.1586783755314</v>
      </c>
    </row>
    <row r="45" ht="15.6" customHeight="1" spans="1:16">
      <c r="A45" s="87"/>
      <c r="B45" s="372" t="s">
        <v>442</v>
      </c>
      <c r="C45" s="376" t="s">
        <v>432</v>
      </c>
      <c r="D45" s="324">
        <f t="shared" ref="D45:P45" si="32">D44-D42</f>
        <v>-8.13156213630842</v>
      </c>
      <c r="E45" s="324">
        <f t="shared" si="32"/>
        <v>-7.42025613818293</v>
      </c>
      <c r="F45" s="324">
        <f t="shared" si="32"/>
        <v>-7.20812523024611</v>
      </c>
      <c r="G45" s="324">
        <f t="shared" si="32"/>
        <v>-3.42549822624499</v>
      </c>
      <c r="H45" s="324">
        <f t="shared" si="32"/>
        <v>6.15577766883972</v>
      </c>
      <c r="I45" s="324">
        <f t="shared" si="32"/>
        <v>-9.44165848886083</v>
      </c>
      <c r="J45" s="324">
        <f t="shared" si="32"/>
        <v>-0.517348376183421</v>
      </c>
      <c r="K45" s="324">
        <f t="shared" si="32"/>
        <v>-6.36424010582477</v>
      </c>
      <c r="L45" s="324">
        <f t="shared" si="32"/>
        <v>11.7749570214339</v>
      </c>
      <c r="M45" s="324">
        <f t="shared" si="32"/>
        <v>0.805172080847328</v>
      </c>
      <c r="N45" s="324">
        <f t="shared" si="32"/>
        <v>1.01929249788994</v>
      </c>
      <c r="O45" s="324">
        <f t="shared" si="32"/>
        <v>16.2003527898453</v>
      </c>
      <c r="P45" s="324">
        <f t="shared" si="32"/>
        <v>-0.6822170867446</v>
      </c>
    </row>
    <row r="46" ht="15.6" customHeight="1" spans="1:16">
      <c r="A46" s="371" t="s">
        <v>443</v>
      </c>
      <c r="B46" s="383" t="s">
        <v>443</v>
      </c>
      <c r="C46" s="296" t="s">
        <v>425</v>
      </c>
      <c r="D46" s="296">
        <f t="shared" ref="D46:P46" si="33">D39/D5*1000</f>
        <v>25.2957199668808</v>
      </c>
      <c r="E46" s="296">
        <f t="shared" si="33"/>
        <v>24.5195513450379</v>
      </c>
      <c r="F46" s="296">
        <f t="shared" si="33"/>
        <v>24.2976753617265</v>
      </c>
      <c r="G46" s="296">
        <f t="shared" si="33"/>
        <v>22.5784238916528</v>
      </c>
      <c r="H46" s="296">
        <f t="shared" si="33"/>
        <v>22.3014441428488</v>
      </c>
      <c r="I46" s="296">
        <f t="shared" si="33"/>
        <v>22.7697762103964</v>
      </c>
      <c r="J46" s="296">
        <f t="shared" si="33"/>
        <v>22.3662558537216</v>
      </c>
      <c r="K46" s="296">
        <f t="shared" si="33"/>
        <v>22.7542354117259</v>
      </c>
      <c r="L46" s="296">
        <f t="shared" si="33"/>
        <v>20.5889513152115</v>
      </c>
      <c r="M46" s="296">
        <f t="shared" si="33"/>
        <v>19.9269981582938</v>
      </c>
      <c r="N46" s="296">
        <f t="shared" si="33"/>
        <v>19.5084941989632</v>
      </c>
      <c r="O46" s="296">
        <f t="shared" si="33"/>
        <v>18.840895462276</v>
      </c>
      <c r="P46" s="296">
        <f t="shared" si="33"/>
        <v>18.840895462276</v>
      </c>
    </row>
    <row r="47" ht="15.6" customHeight="1" spans="1:16">
      <c r="A47" s="87"/>
      <c r="B47" s="383" t="s">
        <v>443</v>
      </c>
      <c r="C47" s="299" t="s">
        <v>426</v>
      </c>
      <c r="D47" s="323">
        <f t="shared" ref="D47:P47" si="34">D40/D6*1000</f>
        <v>15.5319585249532</v>
      </c>
      <c r="E47" s="323">
        <f t="shared" si="34"/>
        <v>15.8131983564954</v>
      </c>
      <c r="F47" s="323">
        <f t="shared" si="34"/>
        <v>16.1858935622426</v>
      </c>
      <c r="G47" s="323">
        <f t="shared" si="34"/>
        <v>16.0806989022923</v>
      </c>
      <c r="H47" s="323">
        <f t="shared" si="34"/>
        <v>17.2032730534164</v>
      </c>
      <c r="I47" s="323">
        <f t="shared" si="34"/>
        <v>16.9362935657534</v>
      </c>
      <c r="J47" s="323">
        <f t="shared" si="34"/>
        <v>17.1783995344149</v>
      </c>
      <c r="K47" s="323">
        <f t="shared" si="34"/>
        <v>17.4559617357957</v>
      </c>
      <c r="L47" s="323">
        <f t="shared" si="34"/>
        <v>17.3131627317206</v>
      </c>
      <c r="M47" s="323">
        <f t="shared" si="34"/>
        <v>17.0791238315265</v>
      </c>
      <c r="N47" s="323">
        <f t="shared" si="34"/>
        <v>16.8194982306976</v>
      </c>
      <c r="O47" s="323">
        <f t="shared" si="34"/>
        <v>17.18756814357</v>
      </c>
      <c r="P47" s="323">
        <f t="shared" si="34"/>
        <v>17.18756814357</v>
      </c>
    </row>
    <row r="48" ht="15.6" customHeight="1" spans="1:16">
      <c r="A48" s="87"/>
      <c r="B48" s="383" t="s">
        <v>443</v>
      </c>
      <c r="C48" s="364" t="s">
        <v>427</v>
      </c>
      <c r="D48" s="324">
        <f t="shared" ref="D48:P48" si="35">D41/D7*1000</f>
        <v>17.1641578305724</v>
      </c>
      <c r="E48" s="324">
        <f t="shared" si="35"/>
        <v>16.7375277702852</v>
      </c>
      <c r="F48" s="324">
        <f t="shared" si="35"/>
        <v>16.7252945730706</v>
      </c>
      <c r="G48" s="324">
        <f t="shared" si="35"/>
        <v>16.2003085245942</v>
      </c>
      <c r="H48" s="324">
        <f t="shared" si="35"/>
        <v>17.7477087458321</v>
      </c>
      <c r="I48" s="324">
        <f t="shared" si="35"/>
        <v>17.4650282688149</v>
      </c>
      <c r="J48" s="324">
        <f t="shared" si="35"/>
        <v>17.6801910253866</v>
      </c>
      <c r="K48" s="324">
        <f t="shared" si="35"/>
        <v>17.966092417629</v>
      </c>
      <c r="L48" s="324">
        <f t="shared" si="35"/>
        <v>17.7932521486234</v>
      </c>
      <c r="M48" s="324">
        <f t="shared" si="35"/>
        <v>17.6155742305702</v>
      </c>
      <c r="N48" s="324">
        <f t="shared" si="35"/>
        <v>17.5833350656992</v>
      </c>
      <c r="O48" s="324">
        <f t="shared" si="35"/>
        <v>18.1586783755314</v>
      </c>
      <c r="P48" s="324">
        <f t="shared" si="35"/>
        <v>18.1586783755314</v>
      </c>
    </row>
    <row r="49" ht="15.6" customHeight="1" spans="1:16">
      <c r="A49" s="87"/>
      <c r="B49" s="383" t="s">
        <v>443</v>
      </c>
      <c r="C49" s="376" t="s">
        <v>432</v>
      </c>
      <c r="D49" s="324">
        <f t="shared" ref="D49:P49" si="36">D48-D46</f>
        <v>-8.13156213630842</v>
      </c>
      <c r="E49" s="324">
        <f t="shared" si="36"/>
        <v>-7.78202357475272</v>
      </c>
      <c r="F49" s="324">
        <f t="shared" si="36"/>
        <v>-7.57238078865587</v>
      </c>
      <c r="G49" s="324">
        <f t="shared" si="36"/>
        <v>-6.37811536705864</v>
      </c>
      <c r="H49" s="324">
        <f t="shared" si="36"/>
        <v>-4.55373539701667</v>
      </c>
      <c r="I49" s="324">
        <f t="shared" si="36"/>
        <v>-5.3047479415815</v>
      </c>
      <c r="J49" s="324">
        <f t="shared" si="36"/>
        <v>-4.68606482833496</v>
      </c>
      <c r="K49" s="324">
        <f t="shared" si="36"/>
        <v>-4.78814299409687</v>
      </c>
      <c r="L49" s="324">
        <f t="shared" si="36"/>
        <v>-2.79569916658807</v>
      </c>
      <c r="M49" s="324">
        <f t="shared" si="36"/>
        <v>-2.31142392772364</v>
      </c>
      <c r="N49" s="324">
        <f t="shared" si="36"/>
        <v>-1.925159133264</v>
      </c>
      <c r="O49" s="324">
        <f t="shared" si="36"/>
        <v>-0.6822170867446</v>
      </c>
      <c r="P49" s="324">
        <f t="shared" si="36"/>
        <v>-0.6822170867446</v>
      </c>
    </row>
    <row r="50" ht="15.6" customHeight="1" spans="1:16">
      <c r="A50" s="87"/>
      <c r="B50" s="383" t="s">
        <v>443</v>
      </c>
      <c r="C50" s="376" t="s">
        <v>433</v>
      </c>
      <c r="D50" s="377">
        <f t="shared" ref="D50:P50" si="37">2-D48/D47</f>
        <v>0.894913490594446</v>
      </c>
      <c r="E50" s="377">
        <f t="shared" si="37"/>
        <v>0.941546966467406</v>
      </c>
      <c r="F50" s="377">
        <f t="shared" si="37"/>
        <v>0.966674622642625</v>
      </c>
      <c r="G50" s="377">
        <f t="shared" si="37"/>
        <v>0.992561913942384</v>
      </c>
      <c r="H50" s="377">
        <f t="shared" si="37"/>
        <v>0.968352784337885</v>
      </c>
      <c r="I50" s="377">
        <f t="shared" si="37"/>
        <v>0.96878096727547</v>
      </c>
      <c r="J50" s="377">
        <f t="shared" si="37"/>
        <v>0.970789392226764</v>
      </c>
      <c r="K50" s="377">
        <f t="shared" si="37"/>
        <v>0.970776134276965</v>
      </c>
      <c r="L50" s="377">
        <f t="shared" si="37"/>
        <v>0.972270264864823</v>
      </c>
      <c r="M50" s="377">
        <f t="shared" si="37"/>
        <v>0.968590285758487</v>
      </c>
      <c r="N50" s="377">
        <f t="shared" si="37"/>
        <v>0.954586229355671</v>
      </c>
      <c r="O50" s="377">
        <f t="shared" si="37"/>
        <v>0.943499265058932</v>
      </c>
      <c r="P50" s="377">
        <f t="shared" si="37"/>
        <v>0.943499265058932</v>
      </c>
    </row>
    <row r="51" ht="15.6" customHeight="1" spans="1:16">
      <c r="A51" s="73"/>
      <c r="B51" s="383" t="s">
        <v>443</v>
      </c>
      <c r="C51" s="376" t="s">
        <v>436</v>
      </c>
      <c r="D51" s="322">
        <f t="shared" ref="D51:P51" si="38">(D46-D48)/D46</f>
        <v>0.321459999832182</v>
      </c>
      <c r="E51" s="322">
        <f t="shared" si="38"/>
        <v>0.317380341313937</v>
      </c>
      <c r="F51" s="322">
        <f t="shared" si="38"/>
        <v>0.311650422352083</v>
      </c>
      <c r="G51" s="322">
        <f t="shared" si="38"/>
        <v>0.282487183235878</v>
      </c>
      <c r="H51" s="322">
        <f t="shared" si="38"/>
        <v>0.204190157724691</v>
      </c>
      <c r="I51" s="322">
        <f t="shared" si="38"/>
        <v>0.232973213814873</v>
      </c>
      <c r="J51" s="322">
        <f t="shared" si="38"/>
        <v>0.209514943358534</v>
      </c>
      <c r="K51" s="322">
        <f t="shared" si="38"/>
        <v>0.210428648005874</v>
      </c>
      <c r="L51" s="322">
        <f t="shared" si="38"/>
        <v>0.135786379975679</v>
      </c>
      <c r="M51" s="322">
        <f t="shared" si="38"/>
        <v>0.115994587311266</v>
      </c>
      <c r="N51" s="322">
        <f t="shared" si="38"/>
        <v>0.0986831230350065</v>
      </c>
      <c r="O51" s="322">
        <f t="shared" si="38"/>
        <v>0.0362093769964683</v>
      </c>
      <c r="P51" s="322">
        <f t="shared" si="38"/>
        <v>0.0362093769964683</v>
      </c>
    </row>
    <row r="52" ht="15.6" customHeight="1" spans="1:16">
      <c r="A52" s="371" t="s">
        <v>444</v>
      </c>
      <c r="B52" s="384" t="s">
        <v>445</v>
      </c>
      <c r="C52" s="296" t="s">
        <v>425</v>
      </c>
      <c r="D52" s="326">
        <v>10544377.9034513</v>
      </c>
      <c r="E52" s="326">
        <v>10387949.5733718</v>
      </c>
      <c r="F52" s="326">
        <v>11538095.280158</v>
      </c>
      <c r="G52" s="326">
        <v>12383605.2055499</v>
      </c>
      <c r="H52" s="326">
        <v>11202173.1566347</v>
      </c>
      <c r="I52" s="326">
        <v>8802515.52256996</v>
      </c>
      <c r="J52" s="326">
        <v>8308933.2</v>
      </c>
      <c r="K52" s="326">
        <v>7184333.1040441</v>
      </c>
      <c r="L52" s="326">
        <v>10320822.7777176</v>
      </c>
      <c r="M52" s="326">
        <v>13320748.5144919</v>
      </c>
      <c r="N52" s="326">
        <v>13370724.514754</v>
      </c>
      <c r="O52" s="332">
        <v>9406887.69303595</v>
      </c>
      <c r="P52" s="326">
        <v>126809339.781052</v>
      </c>
    </row>
    <row r="53" ht="15.6" customHeight="1" spans="1:16">
      <c r="A53" s="87"/>
      <c r="B53" s="384" t="s">
        <v>445</v>
      </c>
      <c r="C53" s="299" t="s">
        <v>426</v>
      </c>
      <c r="D53" s="327">
        <v>14121184</v>
      </c>
      <c r="E53" s="327">
        <v>14060684</v>
      </c>
      <c r="F53" s="327">
        <v>12911184</v>
      </c>
      <c r="G53" s="327">
        <v>12669184</v>
      </c>
      <c r="H53" s="327">
        <v>8688405</v>
      </c>
      <c r="I53" s="327">
        <v>13322705</v>
      </c>
      <c r="J53" s="327">
        <v>10430926</v>
      </c>
      <c r="K53" s="327">
        <v>9874205</v>
      </c>
      <c r="L53" s="327">
        <v>14193905</v>
      </c>
      <c r="M53" s="327">
        <v>14641605</v>
      </c>
      <c r="N53" s="327">
        <v>15748755</v>
      </c>
      <c r="O53" s="340">
        <v>11047905</v>
      </c>
      <c r="P53" s="327">
        <v>151710647</v>
      </c>
    </row>
    <row r="54" ht="15.6" customHeight="1" spans="1:16">
      <c r="A54" s="87"/>
      <c r="B54" s="384" t="s">
        <v>445</v>
      </c>
      <c r="C54" s="364" t="s">
        <v>427</v>
      </c>
      <c r="D54" s="365">
        <v>12201375</v>
      </c>
      <c r="E54" s="365">
        <v>12330104</v>
      </c>
      <c r="F54" s="365">
        <f>117*F4</f>
        <v>12562992</v>
      </c>
      <c r="G54" s="328">
        <v>12754770.8361875</v>
      </c>
      <c r="H54" s="365">
        <f>117*H4</f>
        <v>7901127</v>
      </c>
      <c r="I54" s="365">
        <f>117*I4</f>
        <v>11965824</v>
      </c>
      <c r="J54" s="365"/>
      <c r="K54" s="365"/>
      <c r="L54" s="365"/>
      <c r="M54" s="365"/>
      <c r="N54" s="365"/>
      <c r="O54" s="385"/>
      <c r="P54" s="365"/>
    </row>
    <row r="55" ht="15.6" customHeight="1" spans="1:16">
      <c r="A55" s="87"/>
      <c r="B55" s="384" t="s">
        <v>446</v>
      </c>
      <c r="C55" s="296" t="s">
        <v>425</v>
      </c>
      <c r="D55" s="326">
        <f>D52</f>
        <v>10544377.9034513</v>
      </c>
      <c r="E55" s="326">
        <f t="shared" ref="E55:O55" si="39">D55+E52</f>
        <v>20932327.4768231</v>
      </c>
      <c r="F55" s="326">
        <f t="shared" si="39"/>
        <v>32470422.7569811</v>
      </c>
      <c r="G55" s="326">
        <f t="shared" si="39"/>
        <v>44854027.962531</v>
      </c>
      <c r="H55" s="326">
        <f t="shared" si="39"/>
        <v>56056201.1191657</v>
      </c>
      <c r="I55" s="326">
        <f t="shared" si="39"/>
        <v>64858716.6417357</v>
      </c>
      <c r="J55" s="326">
        <f t="shared" si="39"/>
        <v>73167649.8417357</v>
      </c>
      <c r="K55" s="326">
        <f t="shared" si="39"/>
        <v>80351982.9457798</v>
      </c>
      <c r="L55" s="326">
        <f t="shared" si="39"/>
        <v>90672805.7234974</v>
      </c>
      <c r="M55" s="326">
        <f t="shared" si="39"/>
        <v>103993554.237989</v>
      </c>
      <c r="N55" s="326">
        <f t="shared" si="39"/>
        <v>117364278.752743</v>
      </c>
      <c r="O55" s="326">
        <f t="shared" si="39"/>
        <v>126771166.445779</v>
      </c>
      <c r="P55" s="326">
        <f>O55</f>
        <v>126771166.445779</v>
      </c>
    </row>
    <row r="56" ht="15.6" customHeight="1" spans="1:16">
      <c r="A56" s="87"/>
      <c r="B56" s="384" t="s">
        <v>446</v>
      </c>
      <c r="C56" s="299" t="s">
        <v>426</v>
      </c>
      <c r="D56" s="327">
        <f>D53</f>
        <v>14121184</v>
      </c>
      <c r="E56" s="327">
        <f t="shared" ref="E56:O56" si="40">D56+E53</f>
        <v>28181868</v>
      </c>
      <c r="F56" s="327">
        <f t="shared" si="40"/>
        <v>41093052</v>
      </c>
      <c r="G56" s="327">
        <f t="shared" si="40"/>
        <v>53762236</v>
      </c>
      <c r="H56" s="327">
        <f t="shared" si="40"/>
        <v>62450641</v>
      </c>
      <c r="I56" s="327">
        <f t="shared" si="40"/>
        <v>75773346</v>
      </c>
      <c r="J56" s="327">
        <f t="shared" si="40"/>
        <v>86204272</v>
      </c>
      <c r="K56" s="327">
        <f t="shared" si="40"/>
        <v>96078477</v>
      </c>
      <c r="L56" s="327">
        <f t="shared" si="40"/>
        <v>110272382</v>
      </c>
      <c r="M56" s="327">
        <f t="shared" si="40"/>
        <v>124913987</v>
      </c>
      <c r="N56" s="327">
        <f t="shared" si="40"/>
        <v>140662742</v>
      </c>
      <c r="O56" s="340">
        <f t="shared" si="40"/>
        <v>151710647</v>
      </c>
      <c r="P56" s="327">
        <f>O56</f>
        <v>151710647</v>
      </c>
    </row>
    <row r="57" ht="15.6" customHeight="1" spans="1:16">
      <c r="A57" s="87"/>
      <c r="B57" s="384" t="s">
        <v>446</v>
      </c>
      <c r="C57" s="364" t="s">
        <v>427</v>
      </c>
      <c r="D57" s="328">
        <f>D54</f>
        <v>12201375</v>
      </c>
      <c r="E57" s="328">
        <f>D57+E54</f>
        <v>24531479</v>
      </c>
      <c r="F57" s="328">
        <f>E57+F54</f>
        <v>37094471</v>
      </c>
      <c r="G57" s="328">
        <f>F57+G54</f>
        <v>49849241.8361875</v>
      </c>
      <c r="H57" s="328">
        <f>G57+H54</f>
        <v>57750368.8361875</v>
      </c>
      <c r="I57" s="328">
        <f>H57+I54</f>
        <v>69716192.8361875</v>
      </c>
      <c r="J57" s="328"/>
      <c r="K57" s="328"/>
      <c r="L57" s="328"/>
      <c r="M57" s="328"/>
      <c r="N57" s="328"/>
      <c r="O57" s="328"/>
      <c r="P57" s="328"/>
    </row>
    <row r="58" ht="15.6" customHeight="1" spans="1:16">
      <c r="A58" s="87"/>
      <c r="B58" s="384" t="s">
        <v>444</v>
      </c>
      <c r="C58" s="296" t="s">
        <v>425</v>
      </c>
      <c r="D58" s="386">
        <f t="shared" ref="D58:P58" si="41">D8/D52*1000</f>
        <v>0.264251950709011</v>
      </c>
      <c r="E58" s="386">
        <f t="shared" si="41"/>
        <v>0.259176056928635</v>
      </c>
      <c r="F58" s="386">
        <f t="shared" si="41"/>
        <v>0.25822688473753</v>
      </c>
      <c r="G58" s="386">
        <f t="shared" si="41"/>
        <v>0.206457818830834</v>
      </c>
      <c r="H58" s="386">
        <f t="shared" si="41"/>
        <v>0.251387675464748</v>
      </c>
      <c r="I58" s="386">
        <f t="shared" si="41"/>
        <v>0.311609204546927</v>
      </c>
      <c r="J58" s="386">
        <f t="shared" si="41"/>
        <v>0.285065921579439</v>
      </c>
      <c r="K58" s="386">
        <f t="shared" si="41"/>
        <v>0.299788296117231</v>
      </c>
      <c r="L58" s="386">
        <f t="shared" si="41"/>
        <v>0.11993087340598</v>
      </c>
      <c r="M58" s="386">
        <f t="shared" si="41"/>
        <v>0.173973981828332</v>
      </c>
      <c r="N58" s="386">
        <f t="shared" si="41"/>
        <v>0.195835676451986</v>
      </c>
      <c r="O58" s="386">
        <f t="shared" si="41"/>
        <v>0.169071734658576</v>
      </c>
      <c r="P58" s="386">
        <f t="shared" si="41"/>
        <v>0.227588734945155</v>
      </c>
    </row>
    <row r="59" ht="15.6" customHeight="1" spans="1:16">
      <c r="A59" s="87"/>
      <c r="B59" s="384" t="s">
        <v>444</v>
      </c>
      <c r="C59" s="299" t="s">
        <v>426</v>
      </c>
      <c r="D59" s="387">
        <f t="shared" ref="D59:P59" si="42">D9/D53*1000</f>
        <v>0.186148816395009</v>
      </c>
      <c r="E59" s="387">
        <f t="shared" si="42"/>
        <v>0.188495717215356</v>
      </c>
      <c r="F59" s="387">
        <f t="shared" si="42"/>
        <v>0.204543849862701</v>
      </c>
      <c r="G59" s="387">
        <f t="shared" si="42"/>
        <v>0.194486726928156</v>
      </c>
      <c r="H59" s="387">
        <f t="shared" si="42"/>
        <v>0.294882510441379</v>
      </c>
      <c r="I59" s="387">
        <f t="shared" si="42"/>
        <v>0.191325776777703</v>
      </c>
      <c r="J59" s="387">
        <f t="shared" si="42"/>
        <v>0.241253189083575</v>
      </c>
      <c r="K59" s="387">
        <f t="shared" si="42"/>
        <v>0.254829421882947</v>
      </c>
      <c r="L59" s="387">
        <f t="shared" si="42"/>
        <v>0.197234859712372</v>
      </c>
      <c r="M59" s="387">
        <f t="shared" si="42"/>
        <v>0.187914501166586</v>
      </c>
      <c r="N59" s="387">
        <f t="shared" si="42"/>
        <v>0.178243809245718</v>
      </c>
      <c r="O59" s="387">
        <f t="shared" si="42"/>
        <v>0.261967578396323</v>
      </c>
      <c r="P59" s="387">
        <f t="shared" si="42"/>
        <v>0.209477013511023</v>
      </c>
    </row>
    <row r="60" ht="15.6" customHeight="1" spans="1:16">
      <c r="A60" s="87"/>
      <c r="B60" s="384" t="s">
        <v>444</v>
      </c>
      <c r="C60" s="364" t="s">
        <v>427</v>
      </c>
      <c r="D60" s="388">
        <f t="shared" ref="D60:I60" si="43">D10/D54*1000</f>
        <v>0.204354887051664</v>
      </c>
      <c r="E60" s="388">
        <f t="shared" si="43"/>
        <v>0.190627345073488</v>
      </c>
      <c r="F60" s="388">
        <f t="shared" si="43"/>
        <v>0.206322258264592</v>
      </c>
      <c r="G60" s="388">
        <f t="shared" si="43"/>
        <v>0.163962476987062</v>
      </c>
      <c r="H60" s="388">
        <f t="shared" si="43"/>
        <v>0.266458491301304</v>
      </c>
      <c r="I60" s="388">
        <f t="shared" si="43"/>
        <v>0.186687175074613</v>
      </c>
      <c r="J60" s="388"/>
      <c r="K60" s="388"/>
      <c r="L60" s="388"/>
      <c r="M60" s="388"/>
      <c r="N60" s="388"/>
      <c r="O60" s="388"/>
      <c r="P60" s="388"/>
    </row>
    <row r="61" ht="15.6" customHeight="1" spans="1:16">
      <c r="A61" s="87"/>
      <c r="B61" s="384" t="s">
        <v>447</v>
      </c>
      <c r="C61" s="296" t="s">
        <v>425</v>
      </c>
      <c r="D61" s="386">
        <f t="shared" ref="D61:P61" si="44">D11/D55*1000</f>
        <v>0.264251950709011</v>
      </c>
      <c r="E61" s="386">
        <f t="shared" si="44"/>
        <v>0.261732970022859</v>
      </c>
      <c r="F61" s="386">
        <f t="shared" si="44"/>
        <v>0.260487111710965</v>
      </c>
      <c r="G61" s="386">
        <f t="shared" si="44"/>
        <v>0.245570336942789</v>
      </c>
      <c r="H61" s="386">
        <f t="shared" si="44"/>
        <v>0.246732863695096</v>
      </c>
      <c r="I61" s="386">
        <f t="shared" si="44"/>
        <v>0.255537771145705</v>
      </c>
      <c r="J61" s="386">
        <f t="shared" si="44"/>
        <v>0.258890993915661</v>
      </c>
      <c r="K61" s="386">
        <f t="shared" si="44"/>
        <v>0.262547653419274</v>
      </c>
      <c r="L61" s="386">
        <f t="shared" si="44"/>
        <v>0.246314313115076</v>
      </c>
      <c r="M61" s="386">
        <f t="shared" si="44"/>
        <v>0.23704809111135</v>
      </c>
      <c r="N61" s="386">
        <f t="shared" si="44"/>
        <v>0.232352967102118</v>
      </c>
      <c r="O61" s="386">
        <f t="shared" si="44"/>
        <v>0.227657266467953</v>
      </c>
      <c r="P61" s="386">
        <f t="shared" si="44"/>
        <v>0.227657266467953</v>
      </c>
    </row>
    <row r="62" ht="15.6" customHeight="1" spans="1:16">
      <c r="A62" s="87"/>
      <c r="B62" s="372" t="s">
        <v>447</v>
      </c>
      <c r="C62" s="299" t="s">
        <v>426</v>
      </c>
      <c r="D62" s="387">
        <f t="shared" ref="D62:P62" si="45">D12/D56*1000</f>
        <v>0.186148816395009</v>
      </c>
      <c r="E62" s="387">
        <f t="shared" si="45"/>
        <v>0.187319747676578</v>
      </c>
      <c r="F62" s="387">
        <f t="shared" si="45"/>
        <v>0.192731454564639</v>
      </c>
      <c r="G62" s="387">
        <f t="shared" si="45"/>
        <v>0.193145088189243</v>
      </c>
      <c r="H62" s="387">
        <f t="shared" si="45"/>
        <v>0.207299241197577</v>
      </c>
      <c r="I62" s="387">
        <f t="shared" si="45"/>
        <v>0.204490737079335</v>
      </c>
      <c r="J62" s="387">
        <f t="shared" si="45"/>
        <v>0.208939082938979</v>
      </c>
      <c r="K62" s="387">
        <f t="shared" si="45"/>
        <v>0.213655338112884</v>
      </c>
      <c r="L62" s="387">
        <f t="shared" si="45"/>
        <v>0.211541747146187</v>
      </c>
      <c r="M62" s="387">
        <f t="shared" si="45"/>
        <v>0.208772315065925</v>
      </c>
      <c r="N62" s="387">
        <f t="shared" si="45"/>
        <v>0.205354310043113</v>
      </c>
      <c r="O62" s="387">
        <f t="shared" si="45"/>
        <v>0.209477013511023</v>
      </c>
      <c r="P62" s="387">
        <f t="shared" si="45"/>
        <v>0.209477013511023</v>
      </c>
    </row>
    <row r="63" ht="15.6" customHeight="1" spans="1:16">
      <c r="A63" s="73"/>
      <c r="B63" s="372" t="s">
        <v>447</v>
      </c>
      <c r="C63" s="364" t="s">
        <v>427</v>
      </c>
      <c r="D63" s="389">
        <f t="shared" ref="D63:I63" si="46">D13/D57*1000</f>
        <v>0.204354887051664</v>
      </c>
      <c r="E63" s="389">
        <f t="shared" si="46"/>
        <v>0.197455098406419</v>
      </c>
      <c r="F63" s="389">
        <f t="shared" si="46"/>
        <v>0.200458189038469</v>
      </c>
      <c r="G63" s="389">
        <f t="shared" si="46"/>
        <v>0.191120144434925</v>
      </c>
      <c r="H63" s="389">
        <f t="shared" si="46"/>
        <v>0.201427573782256</v>
      </c>
      <c r="I63" s="389">
        <f t="shared" si="46"/>
        <v>0.198897587426862</v>
      </c>
      <c r="J63" s="388"/>
      <c r="K63" s="388"/>
      <c r="L63" s="388"/>
      <c r="M63" s="388"/>
      <c r="N63" s="388"/>
      <c r="O63" s="388"/>
      <c r="P63" s="388"/>
    </row>
  </sheetData>
  <mergeCells count="14">
    <mergeCell ref="A2:A4"/>
    <mergeCell ref="A5:A7"/>
    <mergeCell ref="A8:A10"/>
    <mergeCell ref="A11:A13"/>
    <mergeCell ref="A14:A19"/>
    <mergeCell ref="A20:A25"/>
    <mergeCell ref="A26:A28"/>
    <mergeCell ref="A29:A31"/>
    <mergeCell ref="A32:A35"/>
    <mergeCell ref="A36:A38"/>
    <mergeCell ref="A39:A41"/>
    <mergeCell ref="A42:A45"/>
    <mergeCell ref="A46:A51"/>
    <mergeCell ref="A52:A6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101"/>
  <sheetViews>
    <sheetView zoomScale="85" zoomScaleNormal="85" topLeftCell="F60" workbookViewId="0">
      <selection activeCell="P67" sqref="P62:P67"/>
    </sheetView>
  </sheetViews>
  <sheetFormatPr defaultColWidth="8.88888888888889" defaultRowHeight="14.4"/>
  <cols>
    <col min="1" max="1" width="4.33333333333333" style="104" customWidth="1"/>
    <col min="2" max="2" width="24.6666666666667" style="104" customWidth="1"/>
    <col min="3" max="3" width="24.4444444444444" style="104" customWidth="1"/>
    <col min="4" max="16" width="18.7777777777778" style="104" customWidth="1"/>
    <col min="17" max="17" width="10.7777777777778" style="104" hidden="1" customWidth="1"/>
    <col min="18" max="19" width="12.2222222222222" style="104" customWidth="1"/>
    <col min="20" max="20" width="8.88888888888889" style="104" customWidth="1"/>
    <col min="21" max="16384" width="8.88888888888889" style="104"/>
  </cols>
  <sheetData>
    <row r="1" s="281" customFormat="1" ht="37.8" customHeight="1" spans="1:17">
      <c r="B1" s="284" t="s">
        <v>448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/>
    </row>
    <row r="2" s="281" customFormat="1" ht="165" customHeight="1" spans="1:17">
      <c r="B2" s="285" t="s">
        <v>449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286"/>
    </row>
    <row r="3" s="281" customFormat="1" ht="16.2" customHeight="1" spans="1:17">
      <c r="A3" s="287" t="s">
        <v>450</v>
      </c>
      <c r="B3" s="288" t="s">
        <v>451</v>
      </c>
      <c r="C3" s="288" t="s">
        <v>410</v>
      </c>
      <c r="D3" s="289" t="s">
        <v>411</v>
      </c>
      <c r="E3" s="289" t="s">
        <v>412</v>
      </c>
      <c r="F3" s="289" t="s">
        <v>413</v>
      </c>
      <c r="G3" s="289" t="s">
        <v>414</v>
      </c>
      <c r="H3" s="289" t="s">
        <v>415</v>
      </c>
      <c r="I3" s="289" t="s">
        <v>416</v>
      </c>
      <c r="J3" s="289" t="s">
        <v>417</v>
      </c>
      <c r="K3" s="289" t="s">
        <v>418</v>
      </c>
      <c r="L3" s="289" t="s">
        <v>419</v>
      </c>
      <c r="M3" s="289" t="s">
        <v>420</v>
      </c>
      <c r="N3" s="289" t="s">
        <v>421</v>
      </c>
      <c r="O3" s="289" t="s">
        <v>422</v>
      </c>
      <c r="P3" s="289" t="s">
        <v>423</v>
      </c>
    </row>
    <row r="4" s="281" customFormat="1" ht="19.95" hidden="1" customHeight="1" spans="1:17">
      <c r="A4" s="87"/>
      <c r="B4" s="290" t="s">
        <v>452</v>
      </c>
      <c r="C4" s="291" t="s">
        <v>453</v>
      </c>
      <c r="D4" s="292">
        <v>11387.7930815451</v>
      </c>
      <c r="E4" s="292">
        <v>11383.9567562694</v>
      </c>
      <c r="F4" s="292">
        <v>11384.1824224621</v>
      </c>
      <c r="G4" s="292">
        <v>10843.2605585923</v>
      </c>
      <c r="H4" s="292">
        <v>8301.80789655553</v>
      </c>
      <c r="I4" s="292">
        <v>12020.109753453</v>
      </c>
      <c r="J4" s="292">
        <v>9489.03773627986</v>
      </c>
      <c r="K4" s="292">
        <v>8834.83144368133</v>
      </c>
      <c r="L4" s="292">
        <v>12125.4958654377</v>
      </c>
      <c r="M4" s="292">
        <v>10955.6423225502</v>
      </c>
      <c r="N4" s="292">
        <v>11601.047633634</v>
      </c>
      <c r="O4" s="292">
        <v>9179.19805372112</v>
      </c>
      <c r="P4" s="292">
        <v>127506.363524182</v>
      </c>
    </row>
    <row r="5" s="281" customFormat="1" ht="19.95" hidden="1" customHeight="1" spans="1:17">
      <c r="A5" s="87"/>
      <c r="B5" s="293"/>
      <c r="C5" s="291" t="s">
        <v>454</v>
      </c>
      <c r="D5" s="292">
        <v>11599.1904627147</v>
      </c>
      <c r="E5" s="292">
        <v>10318.4590779781</v>
      </c>
      <c r="F5" s="292">
        <v>10279.8157623576</v>
      </c>
      <c r="G5" s="292">
        <v>10804.9911396273</v>
      </c>
      <c r="H5" s="292">
        <v>11868.1838017311</v>
      </c>
      <c r="I5" s="292">
        <v>6637.89743744387</v>
      </c>
      <c r="J5" s="292">
        <v>9550.82107886083</v>
      </c>
      <c r="K5" s="292">
        <v>7188.57938086822</v>
      </c>
      <c r="L5" s="292">
        <v>5817.77264692603</v>
      </c>
      <c r="M5" s="292">
        <v>5854.6234748209</v>
      </c>
      <c r="N5" s="292">
        <v>7485.28</v>
      </c>
      <c r="O5" s="292">
        <v>8923.716</v>
      </c>
      <c r="P5" s="292">
        <v>106138.644</v>
      </c>
    </row>
    <row r="6" s="281" customFormat="1" ht="19.95" hidden="1" customHeight="1" spans="1:17">
      <c r="A6" s="87"/>
      <c r="B6" s="293"/>
      <c r="C6" s="291" t="s">
        <v>455</v>
      </c>
      <c r="D6" s="292">
        <v>238.808969605622</v>
      </c>
      <c r="E6" s="292">
        <v>224.153521994614</v>
      </c>
      <c r="F6" s="292">
        <v>221.84897085175</v>
      </c>
      <c r="G6" s="292">
        <v>218.888461795825</v>
      </c>
      <c r="H6" s="292">
        <v>220.992548073349</v>
      </c>
      <c r="I6" s="292">
        <v>223.769465933248</v>
      </c>
      <c r="J6" s="292">
        <v>228.177391567977</v>
      </c>
      <c r="K6" s="292">
        <v>224.80468401877</v>
      </c>
      <c r="L6" s="292">
        <v>205.807720635561</v>
      </c>
      <c r="M6" s="292">
        <v>223.365131998813</v>
      </c>
      <c r="N6" s="292">
        <v>220</v>
      </c>
      <c r="O6" s="292">
        <v>212</v>
      </c>
      <c r="P6" s="292">
        <v>222</v>
      </c>
    </row>
    <row r="7" s="281" customFormat="1" ht="19.95" hidden="1" customHeight="1" spans="1:17">
      <c r="A7" s="87"/>
      <c r="B7" s="293"/>
      <c r="C7" s="291" t="s">
        <v>456</v>
      </c>
      <c r="D7" s="292">
        <v>225.666192686624</v>
      </c>
      <c r="E7" s="292">
        <v>225.666192686624</v>
      </c>
      <c r="F7" s="292">
        <v>225.666192686624</v>
      </c>
      <c r="G7" s="292">
        <v>225.666192686624</v>
      </c>
      <c r="H7" s="292">
        <v>225.666192686624</v>
      </c>
      <c r="I7" s="292">
        <v>225.666192686624</v>
      </c>
      <c r="J7" s="292">
        <v>225.666192686624</v>
      </c>
      <c r="K7" s="292">
        <v>225.666192686624</v>
      </c>
      <c r="L7" s="292">
        <v>225.666192686624</v>
      </c>
      <c r="M7" s="292">
        <v>225.666192686624</v>
      </c>
      <c r="N7" s="292">
        <v>225.666192686624</v>
      </c>
      <c r="O7" s="292">
        <v>225.666192686624</v>
      </c>
      <c r="P7" s="292">
        <v>225.666192686624</v>
      </c>
    </row>
    <row r="8" s="281" customFormat="1" ht="19.95" hidden="1" customHeight="1" spans="1:17">
      <c r="A8" s="87"/>
      <c r="B8" s="293"/>
      <c r="C8" s="291" t="s">
        <v>457</v>
      </c>
      <c r="D8" s="294">
        <v>1838.25562589263</v>
      </c>
      <c r="E8" s="294">
        <v>1852.39235597551</v>
      </c>
      <c r="F8" s="294">
        <v>1893.03651095637</v>
      </c>
      <c r="G8" s="294">
        <v>1849.66731083101</v>
      </c>
      <c r="H8" s="294">
        <v>1928.86884185175</v>
      </c>
      <c r="I8" s="294">
        <v>1870.43255354125</v>
      </c>
      <c r="J8" s="294">
        <v>1859.23509922568</v>
      </c>
      <c r="K8" s="294">
        <v>1842.16734103215</v>
      </c>
      <c r="L8" s="294">
        <v>1948.68678955627</v>
      </c>
      <c r="M8" s="294">
        <v>1894.92463260729</v>
      </c>
      <c r="N8" s="294">
        <v>1861.96276515168</v>
      </c>
      <c r="O8" s="294">
        <v>1947.15049037351</v>
      </c>
      <c r="P8" s="295">
        <v>22586.7803169951</v>
      </c>
    </row>
    <row r="9" s="281" customFormat="1" ht="19.95" hidden="1" customHeight="1" spans="1:17">
      <c r="A9" s="87"/>
      <c r="B9" s="293"/>
      <c r="C9" s="291" t="s">
        <v>458</v>
      </c>
      <c r="D9" s="294">
        <v>1702.22127577778</v>
      </c>
      <c r="E9" s="294">
        <v>1632.23341011</v>
      </c>
      <c r="F9" s="294">
        <v>1827.89985</v>
      </c>
      <c r="G9" s="294">
        <v>1591.59675947</v>
      </c>
      <c r="H9" s="294">
        <v>1866.98700931903</v>
      </c>
      <c r="I9" s="294">
        <v>1737.90001</v>
      </c>
      <c r="J9" s="294">
        <v>1637.4123</v>
      </c>
      <c r="K9" s="294">
        <v>1533.5455277507</v>
      </c>
      <c r="L9" s="294">
        <v>1597.85532</v>
      </c>
      <c r="M9" s="294">
        <v>1443.0898</v>
      </c>
      <c r="N9" s="294">
        <v>1758.5060736739</v>
      </c>
      <c r="O9" s="294">
        <v>1502.30284</v>
      </c>
      <c r="P9" s="295">
        <v>19831.5501761014</v>
      </c>
    </row>
    <row r="10" s="281" customFormat="1" ht="19.95" hidden="1" customHeight="1" spans="1:17">
      <c r="A10" s="87"/>
      <c r="B10" s="293"/>
      <c r="C10" s="296" t="s">
        <v>425</v>
      </c>
      <c r="D10" s="297">
        <v>0.146753455014773</v>
      </c>
      <c r="E10" s="297">
        <v>0.158185771516365</v>
      </c>
      <c r="F10" s="297">
        <v>0.177814456236985</v>
      </c>
      <c r="G10" s="297">
        <v>0.147301995800147</v>
      </c>
      <c r="H10" s="297">
        <v>0.157310254080048</v>
      </c>
      <c r="I10" s="297">
        <v>0.26181483314229</v>
      </c>
      <c r="J10" s="297">
        <v>0.17144204529432</v>
      </c>
      <c r="K10" s="297">
        <v>0.213330819136824</v>
      </c>
      <c r="L10" s="297">
        <v>0.274650698295037</v>
      </c>
      <c r="M10" s="297">
        <v>0.246487208990694</v>
      </c>
      <c r="N10" s="297">
        <v>0.234928562949402</v>
      </c>
      <c r="O10" s="297">
        <v>0.168349467867422</v>
      </c>
      <c r="P10" s="298">
        <v>0.186845708864543</v>
      </c>
    </row>
    <row r="11" s="281" customFormat="1" ht="19.95" hidden="1" customHeight="1" spans="1:17">
      <c r="A11" s="87"/>
      <c r="B11" s="293"/>
      <c r="C11" s="299" t="s">
        <v>426</v>
      </c>
      <c r="D11" s="300">
        <v>0.161423342760915</v>
      </c>
      <c r="E11" s="300">
        <v>0.162719553107521</v>
      </c>
      <c r="F11" s="300">
        <v>0.166286558024687</v>
      </c>
      <c r="G11" s="300">
        <v>0.170582206416253</v>
      </c>
      <c r="H11" s="300">
        <v>0.232343227630219</v>
      </c>
      <c r="I11" s="300">
        <v>0.155608608565652</v>
      </c>
      <c r="J11" s="300">
        <v>0.195935051677282</v>
      </c>
      <c r="K11" s="300">
        <v>0.208511883081784</v>
      </c>
      <c r="L11" s="300">
        <v>0.160709863842416</v>
      </c>
      <c r="M11" s="300">
        <v>0.172963353203575</v>
      </c>
      <c r="N11" s="300">
        <v>0.160499536244765</v>
      </c>
      <c r="O11" s="300">
        <v>0.212126427491578</v>
      </c>
      <c r="P11" s="301">
        <v>0.177142376997611</v>
      </c>
    </row>
    <row r="12" s="281" customFormat="1" ht="19.95" hidden="1" customHeight="1" spans="1:17">
      <c r="A12" s="87"/>
      <c r="B12" s="302"/>
      <c r="C12" s="303" t="s">
        <v>427</v>
      </c>
      <c r="D12" s="304">
        <f t="shared" ref="D12:P12" si="0">D8/D4</f>
        <v>0.161423342760915</v>
      </c>
      <c r="E12" s="304">
        <f t="shared" si="0"/>
        <v>0.162719553107522</v>
      </c>
      <c r="F12" s="304">
        <f t="shared" si="0"/>
        <v>0.166286558024687</v>
      </c>
      <c r="G12" s="304">
        <f t="shared" si="0"/>
        <v>0.170582206416253</v>
      </c>
      <c r="H12" s="304">
        <f t="shared" si="0"/>
        <v>0.232343227630219</v>
      </c>
      <c r="I12" s="304">
        <f t="shared" si="0"/>
        <v>0.155608608565653</v>
      </c>
      <c r="J12" s="304">
        <f t="shared" si="0"/>
        <v>0.195935051677283</v>
      </c>
      <c r="K12" s="304">
        <f t="shared" si="0"/>
        <v>0.208511883081784</v>
      </c>
      <c r="L12" s="304">
        <f t="shared" si="0"/>
        <v>0.160709863842416</v>
      </c>
      <c r="M12" s="304">
        <f t="shared" si="0"/>
        <v>0.172963353203575</v>
      </c>
      <c r="N12" s="304">
        <f t="shared" si="0"/>
        <v>0.160499536244765</v>
      </c>
      <c r="O12" s="304">
        <f t="shared" si="0"/>
        <v>0.212126427491578</v>
      </c>
      <c r="P12" s="304">
        <f t="shared" si="0"/>
        <v>0.177142376997611</v>
      </c>
    </row>
    <row r="13" s="281" customFormat="1" ht="19.95" hidden="1" customHeight="1" spans="1:17">
      <c r="A13" s="87"/>
      <c r="B13" s="305" t="s">
        <v>459</v>
      </c>
      <c r="C13" s="8"/>
      <c r="D13" s="306">
        <f t="shared" ref="D13:P13" si="1">(D10-D12)/D10</f>
        <v>-0.0999628100385449</v>
      </c>
      <c r="E13" s="306">
        <f t="shared" si="1"/>
        <v>-0.0286611213366162</v>
      </c>
      <c r="F13" s="306">
        <f t="shared" si="1"/>
        <v>0.0648310517393122</v>
      </c>
      <c r="G13" s="306">
        <f t="shared" si="1"/>
        <v>-0.158044094987633</v>
      </c>
      <c r="H13" s="306">
        <f t="shared" si="1"/>
        <v>-0.476974460367917</v>
      </c>
      <c r="I13" s="306">
        <f t="shared" si="1"/>
        <v>0.405653962771914</v>
      </c>
      <c r="J13" s="306">
        <f t="shared" si="1"/>
        <v>-0.14286464175643</v>
      </c>
      <c r="K13" s="306">
        <f t="shared" si="1"/>
        <v>0.0225890289763962</v>
      </c>
      <c r="L13" s="306">
        <f t="shared" si="1"/>
        <v>0.414857253813434</v>
      </c>
      <c r="M13" s="306">
        <f t="shared" si="1"/>
        <v>0.298286698478924</v>
      </c>
      <c r="N13" s="306">
        <f t="shared" si="1"/>
        <v>0.316815570530126</v>
      </c>
      <c r="O13" s="306">
        <f t="shared" si="1"/>
        <v>-0.260036222143757</v>
      </c>
      <c r="P13" s="306">
        <f t="shared" si="1"/>
        <v>0.0519323238724549</v>
      </c>
    </row>
    <row r="14" s="281" customFormat="1" ht="19.95" hidden="1" customHeight="1" spans="1:17">
      <c r="A14" s="87"/>
      <c r="B14" s="305" t="s">
        <v>460</v>
      </c>
      <c r="C14" s="8"/>
      <c r="D14" s="307">
        <f t="shared" ref="D14:O14" si="2">2-D12/D11</f>
        <v>1</v>
      </c>
      <c r="E14" s="307">
        <f t="shared" si="2"/>
        <v>0.999999999999995</v>
      </c>
      <c r="F14" s="307">
        <f t="shared" si="2"/>
        <v>0.999999999999998</v>
      </c>
      <c r="G14" s="307">
        <f t="shared" si="2"/>
        <v>0.999999999999998</v>
      </c>
      <c r="H14" s="307">
        <f t="shared" si="2"/>
        <v>1</v>
      </c>
      <c r="I14" s="307">
        <f t="shared" si="2"/>
        <v>0.999999999999997</v>
      </c>
      <c r="J14" s="307">
        <f t="shared" si="2"/>
        <v>0.999999999999997</v>
      </c>
      <c r="K14" s="307">
        <f t="shared" si="2"/>
        <v>1</v>
      </c>
      <c r="L14" s="307">
        <f t="shared" si="2"/>
        <v>1</v>
      </c>
      <c r="M14" s="307">
        <f t="shared" si="2"/>
        <v>0.999999999999997</v>
      </c>
      <c r="N14" s="307">
        <f t="shared" si="2"/>
        <v>1</v>
      </c>
      <c r="O14" s="307">
        <f t="shared" si="2"/>
        <v>0.999999999999999</v>
      </c>
      <c r="P14" s="308"/>
    </row>
    <row r="15" s="281" customFormat="1" ht="19.95" hidden="1" customHeight="1" spans="1:17">
      <c r="A15" s="87"/>
      <c r="B15" s="290" t="s">
        <v>461</v>
      </c>
      <c r="C15" s="291" t="s">
        <v>462</v>
      </c>
      <c r="D15" s="292">
        <f>D4</f>
        <v>11387.7930815451</v>
      </c>
      <c r="E15" s="309">
        <f t="shared" ref="E15:O15" si="3">D15+E4</f>
        <v>22771.7498378145</v>
      </c>
      <c r="F15" s="309">
        <f t="shared" si="3"/>
        <v>34155.9322602766</v>
      </c>
      <c r="G15" s="309">
        <f t="shared" si="3"/>
        <v>44999.1928188689</v>
      </c>
      <c r="H15" s="309">
        <f t="shared" si="3"/>
        <v>53301.0007154244</v>
      </c>
      <c r="I15" s="309">
        <f t="shared" si="3"/>
        <v>65321.1104688774</v>
      </c>
      <c r="J15" s="309">
        <f t="shared" si="3"/>
        <v>74810.1482051573</v>
      </c>
      <c r="K15" s="309">
        <f t="shared" si="3"/>
        <v>83644.9796488386</v>
      </c>
      <c r="L15" s="309">
        <f t="shared" si="3"/>
        <v>95770.4755142763</v>
      </c>
      <c r="M15" s="309">
        <f t="shared" si="3"/>
        <v>106726.117836827</v>
      </c>
      <c r="N15" s="309">
        <f t="shared" si="3"/>
        <v>118327.165470461</v>
      </c>
      <c r="O15" s="309">
        <f t="shared" si="3"/>
        <v>127506.363524182</v>
      </c>
      <c r="P15" s="292">
        <f>O15</f>
        <v>127506.363524182</v>
      </c>
    </row>
    <row r="16" s="281" customFormat="1" ht="19.95" hidden="1" customHeight="1" spans="1:17">
      <c r="A16" s="87"/>
      <c r="B16" s="293"/>
      <c r="C16" s="291" t="s">
        <v>463</v>
      </c>
      <c r="D16" s="292">
        <f>D5</f>
        <v>11599.1904627147</v>
      </c>
      <c r="E16" s="309">
        <f t="shared" ref="E16:O16" si="4">D16+E5</f>
        <v>21917.6495406928</v>
      </c>
      <c r="F16" s="309">
        <f t="shared" si="4"/>
        <v>32197.4653030504</v>
      </c>
      <c r="G16" s="309">
        <f t="shared" si="4"/>
        <v>43002.4564426777</v>
      </c>
      <c r="H16" s="309">
        <f t="shared" si="4"/>
        <v>54870.6402444088</v>
      </c>
      <c r="I16" s="309">
        <f t="shared" si="4"/>
        <v>61508.5376818527</v>
      </c>
      <c r="J16" s="309">
        <f t="shared" si="4"/>
        <v>71059.3587607135</v>
      </c>
      <c r="K16" s="309">
        <f t="shared" si="4"/>
        <v>78247.9381415817</v>
      </c>
      <c r="L16" s="309">
        <f t="shared" si="4"/>
        <v>84065.7107885077</v>
      </c>
      <c r="M16" s="309">
        <f t="shared" si="4"/>
        <v>89920.3342633286</v>
      </c>
      <c r="N16" s="309">
        <f t="shared" si="4"/>
        <v>97405.6142633286</v>
      </c>
      <c r="O16" s="309">
        <f t="shared" si="4"/>
        <v>106329.330263329</v>
      </c>
      <c r="P16" s="292">
        <f>O16</f>
        <v>106329.330263329</v>
      </c>
    </row>
    <row r="17" s="281" customFormat="1" ht="19.95" hidden="1" customHeight="1" spans="1:18">
      <c r="A17" s="87"/>
      <c r="B17" s="293"/>
      <c r="C17" s="291" t="s">
        <v>464</v>
      </c>
      <c r="D17" s="309">
        <f>D8</f>
        <v>1838.25562589263</v>
      </c>
      <c r="E17" s="309">
        <f t="shared" ref="E17:O17" si="5">D17+E8</f>
        <v>3690.64798186814</v>
      </c>
      <c r="F17" s="309">
        <f t="shared" si="5"/>
        <v>5583.68449282451</v>
      </c>
      <c r="G17" s="309">
        <f t="shared" si="5"/>
        <v>7433.35180365552</v>
      </c>
      <c r="H17" s="309">
        <f t="shared" si="5"/>
        <v>9362.22064550727</v>
      </c>
      <c r="I17" s="309">
        <f t="shared" si="5"/>
        <v>11232.6531990485</v>
      </c>
      <c r="J17" s="309">
        <f t="shared" si="5"/>
        <v>13091.8882982742</v>
      </c>
      <c r="K17" s="309">
        <f t="shared" si="5"/>
        <v>14934.0556393063</v>
      </c>
      <c r="L17" s="309">
        <f t="shared" si="5"/>
        <v>16882.7424288626</v>
      </c>
      <c r="M17" s="309">
        <f t="shared" si="5"/>
        <v>18777.6670614699</v>
      </c>
      <c r="N17" s="309">
        <f t="shared" si="5"/>
        <v>20639.6298266216</v>
      </c>
      <c r="O17" s="309">
        <f t="shared" si="5"/>
        <v>22586.7803169951</v>
      </c>
      <c r="P17" s="292">
        <f>O17</f>
        <v>22586.7803169951</v>
      </c>
    </row>
    <row r="18" s="281" customFormat="1" ht="19.95" hidden="1" customHeight="1" spans="1:18">
      <c r="A18" s="87"/>
      <c r="B18" s="293"/>
      <c r="C18" s="291" t="s">
        <v>465</v>
      </c>
      <c r="D18" s="309">
        <f>D9</f>
        <v>1702.22127577778</v>
      </c>
      <c r="E18" s="309">
        <f t="shared" ref="E18:O18" si="6">D18+E9</f>
        <v>3334.45468588778</v>
      </c>
      <c r="F18" s="309">
        <f t="shared" si="6"/>
        <v>5162.35453588778</v>
      </c>
      <c r="G18" s="309">
        <f t="shared" si="6"/>
        <v>6753.95129535778</v>
      </c>
      <c r="H18" s="309">
        <f t="shared" si="6"/>
        <v>8620.93830467681</v>
      </c>
      <c r="I18" s="309">
        <f t="shared" si="6"/>
        <v>10358.8383146768</v>
      </c>
      <c r="J18" s="309">
        <f t="shared" si="6"/>
        <v>11996.2506146768</v>
      </c>
      <c r="K18" s="309">
        <f t="shared" si="6"/>
        <v>13529.7961424275</v>
      </c>
      <c r="L18" s="309">
        <f t="shared" si="6"/>
        <v>15127.6514624275</v>
      </c>
      <c r="M18" s="309">
        <f t="shared" si="6"/>
        <v>16570.7412624275</v>
      </c>
      <c r="N18" s="309">
        <f t="shared" si="6"/>
        <v>18329.2473361014</v>
      </c>
      <c r="O18" s="309">
        <f t="shared" si="6"/>
        <v>19831.5501761014</v>
      </c>
      <c r="P18" s="292">
        <f>O18</f>
        <v>19831.5501761014</v>
      </c>
    </row>
    <row r="19" s="281" customFormat="1" ht="19.95" hidden="1" customHeight="1" spans="1:18">
      <c r="A19" s="87"/>
      <c r="B19" s="293"/>
      <c r="C19" s="296" t="s">
        <v>425</v>
      </c>
      <c r="D19" s="310">
        <f t="shared" ref="D19:P19" si="7">D18/D16</f>
        <v>0.146753455014772</v>
      </c>
      <c r="E19" s="310">
        <f t="shared" si="7"/>
        <v>0.152135596460604</v>
      </c>
      <c r="F19" s="310">
        <f t="shared" si="7"/>
        <v>0.160334190511534</v>
      </c>
      <c r="G19" s="310">
        <f t="shared" si="7"/>
        <v>0.157059662495346</v>
      </c>
      <c r="H19" s="310">
        <f t="shared" si="7"/>
        <v>0.157113863922068</v>
      </c>
      <c r="I19" s="310">
        <f t="shared" si="7"/>
        <v>0.168413015576097</v>
      </c>
      <c r="J19" s="310">
        <f t="shared" si="7"/>
        <v>0.168820136065021</v>
      </c>
      <c r="K19" s="310">
        <f t="shared" si="7"/>
        <v>0.172909299129987</v>
      </c>
      <c r="L19" s="310">
        <f t="shared" si="7"/>
        <v>0.179950318870028</v>
      </c>
      <c r="M19" s="310">
        <f t="shared" si="7"/>
        <v>0.184282469568014</v>
      </c>
      <c r="N19" s="310">
        <f t="shared" si="7"/>
        <v>0.1881744443041</v>
      </c>
      <c r="O19" s="310">
        <f t="shared" si="7"/>
        <v>0.18651062813043</v>
      </c>
      <c r="P19" s="310">
        <f t="shared" si="7"/>
        <v>0.18651062813043</v>
      </c>
    </row>
    <row r="20" s="281" customFormat="1" ht="19.95" hidden="1" customHeight="1" spans="1:18">
      <c r="A20" s="87"/>
      <c r="B20" s="293"/>
      <c r="C20" s="299" t="s">
        <v>426</v>
      </c>
      <c r="D20" s="300">
        <v>0.161423342760915</v>
      </c>
      <c r="E20" s="300">
        <v>0.162071338748834</v>
      </c>
      <c r="F20" s="300">
        <v>0.163476272592282</v>
      </c>
      <c r="G20" s="300">
        <v>0.165188558683181</v>
      </c>
      <c r="H20" s="300">
        <v>0.175648121420692</v>
      </c>
      <c r="I20" s="300">
        <v>0.171960536470064</v>
      </c>
      <c r="J20" s="300">
        <v>0.17500150196697</v>
      </c>
      <c r="K20" s="300">
        <v>0.178540968053349</v>
      </c>
      <c r="L20" s="300">
        <v>0.176283372701286</v>
      </c>
      <c r="M20" s="300">
        <v>0.175942566281471</v>
      </c>
      <c r="N20" s="300">
        <v>0.174428498684641</v>
      </c>
      <c r="O20" s="300">
        <v>0.177142376997611</v>
      </c>
      <c r="P20" s="300">
        <v>0.177142376997611</v>
      </c>
    </row>
    <row r="21" s="281" customFormat="1" ht="19.95" hidden="1" customHeight="1" spans="1:18">
      <c r="A21" s="87"/>
      <c r="B21" s="302"/>
      <c r="C21" s="303" t="s">
        <v>427</v>
      </c>
      <c r="D21" s="311">
        <f t="shared" ref="D21:P21" si="8">D17/D15</f>
        <v>0.161423342760915</v>
      </c>
      <c r="E21" s="311">
        <f t="shared" si="8"/>
        <v>0.162071338748834</v>
      </c>
      <c r="F21" s="311">
        <f t="shared" si="8"/>
        <v>0.163476272592282</v>
      </c>
      <c r="G21" s="311">
        <f t="shared" si="8"/>
        <v>0.165188558683181</v>
      </c>
      <c r="H21" s="311">
        <f t="shared" si="8"/>
        <v>0.175648121420692</v>
      </c>
      <c r="I21" s="311">
        <f t="shared" si="8"/>
        <v>0.171960536470065</v>
      </c>
      <c r="J21" s="311">
        <f t="shared" si="8"/>
        <v>0.175001501966971</v>
      </c>
      <c r="K21" s="311">
        <f t="shared" si="8"/>
        <v>0.178540968053349</v>
      </c>
      <c r="L21" s="311">
        <f t="shared" si="8"/>
        <v>0.176283372701287</v>
      </c>
      <c r="M21" s="311">
        <f t="shared" si="8"/>
        <v>0.175942566281471</v>
      </c>
      <c r="N21" s="311">
        <f t="shared" si="8"/>
        <v>0.174428498684642</v>
      </c>
      <c r="O21" s="311">
        <f t="shared" si="8"/>
        <v>0.177142376997612</v>
      </c>
      <c r="P21" s="311">
        <f t="shared" si="8"/>
        <v>0.177142376997612</v>
      </c>
    </row>
    <row r="22" s="281" customFormat="1" ht="19.95" hidden="1" customHeight="1" spans="1:18">
      <c r="A22" s="87"/>
      <c r="B22" s="305" t="s">
        <v>459</v>
      </c>
      <c r="C22" s="8"/>
      <c r="D22" s="312">
        <f t="shared" ref="D22:O22" si="9">(D19-D21)/D19</f>
        <v>-0.0999628100385486</v>
      </c>
      <c r="E22" s="312">
        <f t="shared" si="9"/>
        <v>-0.0653084650757788</v>
      </c>
      <c r="F22" s="312">
        <f t="shared" si="9"/>
        <v>-0.0195970807643968</v>
      </c>
      <c r="G22" s="312">
        <f t="shared" si="9"/>
        <v>-0.0517567404557246</v>
      </c>
      <c r="H22" s="312">
        <f t="shared" si="9"/>
        <v>-0.117967040183145</v>
      </c>
      <c r="I22" s="312">
        <f t="shared" si="9"/>
        <v>-0.0210644105019582</v>
      </c>
      <c r="J22" s="312">
        <f t="shared" si="9"/>
        <v>-0.0366150984475497</v>
      </c>
      <c r="K22" s="312">
        <f t="shared" si="9"/>
        <v>-0.0325700754771332</v>
      </c>
      <c r="L22" s="312">
        <f t="shared" si="9"/>
        <v>0.0203775474907031</v>
      </c>
      <c r="M22" s="312">
        <f t="shared" si="9"/>
        <v>0.0452560859754769</v>
      </c>
      <c r="N22" s="312">
        <f t="shared" si="9"/>
        <v>0.0730489502455736</v>
      </c>
      <c r="O22" s="312">
        <f t="shared" si="9"/>
        <v>0.0502290471418466</v>
      </c>
      <c r="P22" s="312"/>
    </row>
    <row r="23" s="281" customFormat="1" ht="16.2" customHeight="1" spans="1:18">
      <c r="A23" s="87"/>
      <c r="B23" s="305" t="s">
        <v>460</v>
      </c>
      <c r="C23" s="8"/>
      <c r="D23" s="307">
        <f t="shared" ref="D23:J23" si="10">2-D21/D20</f>
        <v>1</v>
      </c>
      <c r="E23" s="307">
        <f t="shared" si="10"/>
        <v>1</v>
      </c>
      <c r="F23" s="307">
        <f t="shared" si="10"/>
        <v>0.999999999999998</v>
      </c>
      <c r="G23" s="307">
        <f t="shared" si="10"/>
        <v>0.999999999999998</v>
      </c>
      <c r="H23" s="307">
        <f t="shared" si="10"/>
        <v>0.999999999999999</v>
      </c>
      <c r="I23" s="307">
        <f t="shared" si="10"/>
        <v>0.999999999999996</v>
      </c>
      <c r="J23" s="307">
        <f t="shared" si="10"/>
        <v>0.999999999999996</v>
      </c>
      <c r="K23" s="307">
        <v>0.06</v>
      </c>
      <c r="L23" s="307">
        <f>2-L21/L20</f>
        <v>0.999999999999996</v>
      </c>
      <c r="M23" s="307">
        <f>2-M21/M20</f>
        <v>1</v>
      </c>
      <c r="N23" s="307">
        <f>2-N21/N20</f>
        <v>0.999999999999997</v>
      </c>
      <c r="O23" s="307">
        <f>2-O21/O20</f>
        <v>0.999999999999996</v>
      </c>
      <c r="P23" s="307">
        <f>2-P21/P20</f>
        <v>0.999999999999996</v>
      </c>
    </row>
    <row r="24" s="281" customFormat="1" ht="16.2" customHeight="1" spans="1:18">
      <c r="A24" s="87"/>
      <c r="B24" s="313" t="s">
        <v>466</v>
      </c>
      <c r="C24" s="296" t="s">
        <v>425</v>
      </c>
      <c r="D24" s="296">
        <v>34.9554951575672</v>
      </c>
      <c r="E24" s="296">
        <v>32.7910335545947</v>
      </c>
      <c r="F24" s="296">
        <v>32.1556536473229</v>
      </c>
      <c r="G24" s="296">
        <v>25.9070811758388</v>
      </c>
      <c r="H24" s="296">
        <v>30.1660179105117</v>
      </c>
      <c r="I24" s="296">
        <v>36.5277907100623</v>
      </c>
      <c r="J24" s="296">
        <v>30.4450404246841</v>
      </c>
      <c r="K24" s="296">
        <v>36.6214204584098</v>
      </c>
      <c r="L24" s="296">
        <v>13.6280942681611</v>
      </c>
      <c r="M24" s="296">
        <v>20.771014770731</v>
      </c>
      <c r="N24" s="296">
        <v>23.4688351916251</v>
      </c>
      <c r="O24" s="296">
        <v>14.2548203850428</v>
      </c>
      <c r="P24" s="296">
        <v>27.5439420534952</v>
      </c>
    </row>
    <row r="25" s="281" customFormat="1" ht="16.2" customHeight="1" spans="1:18">
      <c r="A25" s="87"/>
      <c r="B25" s="87"/>
      <c r="C25" s="299" t="s">
        <v>426</v>
      </c>
      <c r="D25" s="314">
        <v>22.5240067837961</v>
      </c>
      <c r="E25" s="314">
        <v>22.8079817830581</v>
      </c>
      <c r="F25" s="314">
        <v>24.7498058333868</v>
      </c>
      <c r="G25" s="314">
        <v>23.5328939583068</v>
      </c>
      <c r="H25" s="314">
        <v>35.6807837634068</v>
      </c>
      <c r="I25" s="314">
        <v>23.1504189901021</v>
      </c>
      <c r="J25" s="314">
        <v>29.1916358791126</v>
      </c>
      <c r="K25" s="314">
        <v>30.8343600478365</v>
      </c>
      <c r="L25" s="314">
        <v>23.8654180251969</v>
      </c>
      <c r="M25" s="314">
        <v>22.7376546411569</v>
      </c>
      <c r="N25" s="314">
        <v>21.5675009187318</v>
      </c>
      <c r="O25" s="314">
        <v>31.6980769859551</v>
      </c>
      <c r="P25" s="315">
        <v>25.3467186348338</v>
      </c>
    </row>
    <row r="26" s="281" customFormat="1" ht="15.6" customHeight="1" spans="1:18">
      <c r="A26" s="87"/>
      <c r="B26" s="87"/>
      <c r="C26" s="303" t="s">
        <v>427</v>
      </c>
      <c r="D26" s="316">
        <f>'厨电1月 '!E11</f>
        <v>25.5481477497413</v>
      </c>
      <c r="E26" s="316">
        <f>'厨电2月 '!E12</f>
        <v>22.1159330724218</v>
      </c>
      <c r="F26" s="316">
        <f>厨电3月!F11</f>
        <v>24.1397042169572</v>
      </c>
      <c r="G26" s="316">
        <f>厨电4月!E12</f>
        <v>18.9481183265711</v>
      </c>
      <c r="H26" s="316">
        <f>'厨电5月 '!K245</f>
        <v>31.1756434822526</v>
      </c>
      <c r="I26" s="316">
        <f>厨电6月!E12</f>
        <v>21.8423994837297</v>
      </c>
      <c r="J26" s="316">
        <v>26.7024266968781</v>
      </c>
      <c r="K26" s="316">
        <v>28.5276131526564</v>
      </c>
      <c r="L26" s="316">
        <v>22.2988633523511</v>
      </c>
      <c r="M26" s="316">
        <v>22.009492425375</v>
      </c>
      <c r="N26" s="316">
        <v>23.1318930877508</v>
      </c>
      <c r="O26" s="316">
        <v>35.1598141995874</v>
      </c>
      <c r="P26" s="316">
        <v>24.2317397892131</v>
      </c>
      <c r="Q26" s="317"/>
    </row>
    <row r="27" s="281" customFormat="1" ht="16.2" customHeight="1" spans="1:18">
      <c r="A27" s="87"/>
      <c r="B27" s="318" t="s">
        <v>467</v>
      </c>
      <c r="C27" s="8"/>
      <c r="D27" s="319">
        <f t="shared" ref="D27:P27" si="11">2-D26/D25</f>
        <v>0.865736989205633</v>
      </c>
      <c r="E27" s="319">
        <f t="shared" si="11"/>
        <v>1.0303423914145</v>
      </c>
      <c r="F27" s="319">
        <f t="shared" si="11"/>
        <v>1.02465076374888</v>
      </c>
      <c r="G27" s="319">
        <f t="shared" si="11"/>
        <v>1.19482413169662</v>
      </c>
      <c r="H27" s="319">
        <f t="shared" si="11"/>
        <v>1.12626236887135</v>
      </c>
      <c r="I27" s="319">
        <f t="shared" si="11"/>
        <v>1.05650089991597</v>
      </c>
      <c r="J27" s="319">
        <f t="shared" si="11"/>
        <v>1.08527131513091</v>
      </c>
      <c r="K27" s="319">
        <f t="shared" si="11"/>
        <v>1.07481092169909</v>
      </c>
      <c r="L27" s="319">
        <f t="shared" si="11"/>
        <v>1.06564119979763</v>
      </c>
      <c r="M27" s="319">
        <f t="shared" si="11"/>
        <v>1.03202450856404</v>
      </c>
      <c r="N27" s="319">
        <f t="shared" si="11"/>
        <v>0.927465301848658</v>
      </c>
      <c r="O27" s="319">
        <f t="shared" si="11"/>
        <v>0.890790308346903</v>
      </c>
      <c r="P27" s="319">
        <f t="shared" si="11"/>
        <v>1.04398908046773</v>
      </c>
    </row>
    <row r="28" s="282" customFormat="1" ht="19.95" hidden="1" customHeight="1" spans="1:18">
      <c r="A28" s="87"/>
      <c r="B28" s="320" t="s">
        <v>468</v>
      </c>
      <c r="C28" s="8"/>
      <c r="D28" s="321">
        <f t="shared" ref="D28:O28" si="12">D25/D24-1</f>
        <v>-0.355637599116656</v>
      </c>
      <c r="E28" s="321">
        <f t="shared" si="12"/>
        <v>-0.304444559666457</v>
      </c>
      <c r="F28" s="321">
        <f t="shared" si="12"/>
        <v>-0.230312463716708</v>
      </c>
      <c r="G28" s="321">
        <f t="shared" si="12"/>
        <v>-0.0916424046930532</v>
      </c>
      <c r="H28" s="321">
        <f t="shared" si="12"/>
        <v>0.18281384932061</v>
      </c>
      <c r="I28" s="321">
        <f t="shared" si="12"/>
        <v>-0.36622449537511</v>
      </c>
      <c r="J28" s="321">
        <f t="shared" si="12"/>
        <v>-0.041169416367576</v>
      </c>
      <c r="K28" s="321">
        <f t="shared" si="12"/>
        <v>-0.158023919829804</v>
      </c>
      <c r="L28" s="321">
        <f t="shared" si="12"/>
        <v>0.751192613992475</v>
      </c>
      <c r="M28" s="321">
        <f t="shared" si="12"/>
        <v>0.0946819350009391</v>
      </c>
      <c r="N28" s="321">
        <f t="shared" si="12"/>
        <v>-0.0810152807912595</v>
      </c>
      <c r="O28" s="321">
        <f t="shared" si="12"/>
        <v>1.22367424700876</v>
      </c>
      <c r="P28" s="320"/>
    </row>
    <row r="29" s="281" customFormat="1" ht="15.6" customHeight="1" spans="1:18">
      <c r="A29" s="87"/>
      <c r="B29" s="318" t="s">
        <v>469</v>
      </c>
      <c r="C29" s="8"/>
      <c r="D29" s="322">
        <f t="shared" ref="D29:P29" si="13">(D24-D26)/D24</f>
        <v>0.269123563131371</v>
      </c>
      <c r="E29" s="322">
        <f t="shared" si="13"/>
        <v>0.325549375087542</v>
      </c>
      <c r="F29" s="322">
        <f t="shared" si="13"/>
        <v>0.249285849334088</v>
      </c>
      <c r="G29" s="322">
        <f t="shared" si="13"/>
        <v>0.268612384468758</v>
      </c>
      <c r="H29" s="322">
        <f t="shared" si="13"/>
        <v>-0.0334689707715471</v>
      </c>
      <c r="I29" s="322">
        <f t="shared" si="13"/>
        <v>0.402033381731112</v>
      </c>
      <c r="J29" s="322">
        <f t="shared" si="13"/>
        <v>0.122930161221648</v>
      </c>
      <c r="K29" s="322">
        <f t="shared" si="13"/>
        <v>0.221012926435919</v>
      </c>
      <c r="L29" s="322">
        <f t="shared" si="13"/>
        <v>-0.636242229733269</v>
      </c>
      <c r="M29" s="322">
        <f t="shared" si="13"/>
        <v>-0.0596252839986024</v>
      </c>
      <c r="N29" s="322">
        <f t="shared" si="13"/>
        <v>0.0143570015777578</v>
      </c>
      <c r="O29" s="322">
        <f t="shared" si="13"/>
        <v>-1.46652102586152</v>
      </c>
      <c r="P29" s="322">
        <f t="shared" si="13"/>
        <v>0.120251569577413</v>
      </c>
    </row>
    <row r="30" s="281" customFormat="1" ht="19.95" hidden="1" customHeight="1" spans="1:18">
      <c r="A30" s="87"/>
      <c r="B30" s="318" t="s">
        <v>470</v>
      </c>
      <c r="C30" s="8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318"/>
    </row>
    <row r="31" s="281" customFormat="1" ht="15" customHeight="1" spans="1:18">
      <c r="A31" s="87"/>
      <c r="B31" s="313" t="s">
        <v>471</v>
      </c>
      <c r="C31" s="296" t="s">
        <v>425</v>
      </c>
      <c r="D31" s="296">
        <f t="shared" ref="D31:P31" si="14">D40/D59*1000</f>
        <v>34.9554951575672</v>
      </c>
      <c r="E31" s="296">
        <f t="shared" si="14"/>
        <v>33.8572599912247</v>
      </c>
      <c r="F31" s="296">
        <f t="shared" si="14"/>
        <v>33.2376849501324</v>
      </c>
      <c r="G31" s="296">
        <f t="shared" si="14"/>
        <v>31.1892274628286</v>
      </c>
      <c r="H31" s="296">
        <f t="shared" si="14"/>
        <v>30.9753043129667</v>
      </c>
      <c r="I31" s="296">
        <f t="shared" si="14"/>
        <v>31.7746572892183</v>
      </c>
      <c r="J31" s="296">
        <f t="shared" si="14"/>
        <v>31.6020813807025</v>
      </c>
      <c r="K31" s="296">
        <f t="shared" si="14"/>
        <v>32.0505616992572</v>
      </c>
      <c r="L31" s="296">
        <f t="shared" si="14"/>
        <v>29.8167259556527</v>
      </c>
      <c r="M31" s="296">
        <f t="shared" si="14"/>
        <v>28.6440202878174</v>
      </c>
      <c r="N31" s="296">
        <f t="shared" si="14"/>
        <v>28.0485666090677</v>
      </c>
      <c r="O31" s="296">
        <f t="shared" si="14"/>
        <v>27.5439420534952</v>
      </c>
      <c r="P31" s="296">
        <f t="shared" si="14"/>
        <v>27.5439420534952</v>
      </c>
    </row>
    <row r="32" s="281" customFormat="1" ht="15.6" customHeight="1" spans="1:18">
      <c r="A32" s="87"/>
      <c r="B32" s="87"/>
      <c r="C32" s="299" t="s">
        <v>426</v>
      </c>
      <c r="D32" s="323">
        <f t="shared" ref="D32:P32" si="15">D41/D60*1000</f>
        <v>22.5240067837961</v>
      </c>
      <c r="E32" s="323">
        <f t="shared" si="15"/>
        <v>22.6656894688659</v>
      </c>
      <c r="F32" s="323">
        <f t="shared" si="15"/>
        <v>23.3205060023213</v>
      </c>
      <c r="G32" s="323">
        <f t="shared" si="15"/>
        <v>23.3705556708984</v>
      </c>
      <c r="H32" s="323">
        <f t="shared" si="15"/>
        <v>25.0832081849069</v>
      </c>
      <c r="I32" s="323">
        <f t="shared" si="15"/>
        <v>24.7433791865996</v>
      </c>
      <c r="J32" s="323">
        <f t="shared" si="15"/>
        <v>25.2816290356164</v>
      </c>
      <c r="K32" s="323">
        <f t="shared" si="15"/>
        <v>25.852295911659</v>
      </c>
      <c r="L32" s="323">
        <f t="shared" si="15"/>
        <v>25.5965514046886</v>
      </c>
      <c r="M32" s="323">
        <f t="shared" si="15"/>
        <v>25.261450122977</v>
      </c>
      <c r="N32" s="323">
        <f t="shared" si="15"/>
        <v>24.8478715152167</v>
      </c>
      <c r="O32" s="323">
        <f t="shared" si="15"/>
        <v>25.3467186348338</v>
      </c>
      <c r="P32" s="323">
        <f t="shared" si="15"/>
        <v>25.3467186348338</v>
      </c>
      <c r="R32" s="281">
        <f>31.19-23.78</f>
        <v>7.41</v>
      </c>
    </row>
    <row r="33" s="281" customFormat="1" ht="15.6" customHeight="1" spans="1:21">
      <c r="A33" s="87"/>
      <c r="B33" s="87"/>
      <c r="C33" s="303" t="s">
        <v>427</v>
      </c>
      <c r="D33" s="324">
        <f t="shared" ref="D33:P33" si="16">D42/D61*1000</f>
        <v>25.544360881458</v>
      </c>
      <c r="E33" s="324">
        <f t="shared" si="16"/>
        <v>23.7555018268311</v>
      </c>
      <c r="F33" s="324">
        <f t="shared" si="16"/>
        <v>23.8880319711129</v>
      </c>
      <c r="G33" s="324">
        <f t="shared" si="16"/>
        <v>22.5949761762777</v>
      </c>
      <c r="H33" s="324">
        <f t="shared" si="16"/>
        <v>23.7795272101256</v>
      </c>
      <c r="I33" s="324">
        <f t="shared" si="16"/>
        <v>23.4445663732152</v>
      </c>
      <c r="J33" s="324">
        <f t="shared" si="16"/>
        <v>23.8621925062034</v>
      </c>
      <c r="K33" s="324">
        <f t="shared" si="16"/>
        <v>24.3628783287298</v>
      </c>
      <c r="L33" s="324">
        <f t="shared" si="16"/>
        <v>24.0871912753359</v>
      </c>
      <c r="M33" s="324">
        <f t="shared" si="16"/>
        <v>23.8419226891254</v>
      </c>
      <c r="N33" s="324">
        <f t="shared" si="16"/>
        <v>23.7691152732976</v>
      </c>
      <c r="O33" s="324">
        <f t="shared" si="16"/>
        <v>24.5081982066265</v>
      </c>
      <c r="P33" s="324">
        <f t="shared" si="16"/>
        <v>24.5081982066265</v>
      </c>
    </row>
    <row r="34" ht="15.6" customHeight="1" spans="1:21">
      <c r="A34" s="87"/>
      <c r="B34" s="318" t="s">
        <v>472</v>
      </c>
      <c r="C34" s="8"/>
      <c r="D34" s="319">
        <f t="shared" ref="D34:O34" si="17">2-D33/D32</f>
        <v>0.865905115077714</v>
      </c>
      <c r="E34" s="319">
        <f t="shared" si="17"/>
        <v>0.951917970134453</v>
      </c>
      <c r="F34" s="319">
        <f t="shared" si="17"/>
        <v>0.975664079984578</v>
      </c>
      <c r="G34" s="319">
        <f t="shared" si="17"/>
        <v>1.03318618117354</v>
      </c>
      <c r="H34" s="319">
        <f t="shared" si="17"/>
        <v>1.05197425166553</v>
      </c>
      <c r="I34" s="319">
        <f t="shared" si="17"/>
        <v>1.05249132721887</v>
      </c>
      <c r="J34" s="319">
        <f t="shared" si="17"/>
        <v>1.05614497892574</v>
      </c>
      <c r="K34" s="319">
        <f t="shared" si="17"/>
        <v>1.05761258450773</v>
      </c>
      <c r="L34" s="319">
        <f t="shared" si="17"/>
        <v>1.05896732358548</v>
      </c>
      <c r="M34" s="319">
        <f t="shared" si="17"/>
        <v>1.05619342622617</v>
      </c>
      <c r="N34" s="319">
        <f t="shared" si="17"/>
        <v>1.04341443255043</v>
      </c>
      <c r="O34" s="319">
        <f t="shared" si="17"/>
        <v>1.03308201113871</v>
      </c>
      <c r="P34" s="319">
        <f>O34</f>
        <v>1.03308201113871</v>
      </c>
      <c r="Q34" s="281"/>
      <c r="R34" s="281"/>
    </row>
    <row r="35" ht="15.6" customHeight="1" spans="1:21">
      <c r="A35" s="87"/>
      <c r="B35" s="318" t="s">
        <v>473</v>
      </c>
      <c r="C35" s="8"/>
      <c r="D35" s="322">
        <f t="shared" ref="D35:O35" si="18">(D31-D33)/D31</f>
        <v>0.269231897121957</v>
      </c>
      <c r="E35" s="322">
        <f t="shared" si="18"/>
        <v>0.298363132959128</v>
      </c>
      <c r="F35" s="322">
        <f t="shared" si="18"/>
        <v>0.281296756770127</v>
      </c>
      <c r="G35" s="322">
        <f t="shared" si="18"/>
        <v>0.275551912813281</v>
      </c>
      <c r="H35" s="322">
        <f t="shared" si="18"/>
        <v>0.232306905854315</v>
      </c>
      <c r="I35" s="322">
        <f t="shared" si="18"/>
        <v>0.262161471646452</v>
      </c>
      <c r="J35" s="322">
        <f t="shared" si="18"/>
        <v>0.244917060406832</v>
      </c>
      <c r="K35" s="322">
        <f t="shared" si="18"/>
        <v>0.239861112034913</v>
      </c>
      <c r="L35" s="322">
        <f t="shared" si="18"/>
        <v>0.192158410981761</v>
      </c>
      <c r="M35" s="322">
        <f t="shared" si="18"/>
        <v>0.167647472332451</v>
      </c>
      <c r="N35" s="322">
        <f t="shared" si="18"/>
        <v>0.152572906680608</v>
      </c>
      <c r="O35" s="322">
        <f t="shared" si="18"/>
        <v>0.110214574260022</v>
      </c>
      <c r="P35" s="322">
        <f>O35</f>
        <v>0.110214574260022</v>
      </c>
      <c r="Q35" s="281"/>
      <c r="R35" s="281"/>
    </row>
    <row r="36" ht="19.95" hidden="1" customHeight="1" spans="1:21">
      <c r="A36" s="87"/>
      <c r="B36" s="318" t="s">
        <v>474</v>
      </c>
      <c r="C36" s="8"/>
      <c r="D36" s="292">
        <f t="shared" ref="D36:O36" si="19">D42</f>
        <v>2493.41061</v>
      </c>
      <c r="E36" s="292">
        <f t="shared" si="19"/>
        <v>4843.8656</v>
      </c>
      <c r="F36" s="292">
        <f t="shared" si="19"/>
        <v>7435.89048</v>
      </c>
      <c r="G36" s="292">
        <f t="shared" si="19"/>
        <v>9527.19429970365</v>
      </c>
      <c r="H36" s="292">
        <f t="shared" si="19"/>
        <v>11632.5166797036</v>
      </c>
      <c r="I36" s="292">
        <f t="shared" si="19"/>
        <v>13866.3825597036</v>
      </c>
      <c r="J36" s="292">
        <f t="shared" si="19"/>
        <v>16188.612502251</v>
      </c>
      <c r="K36" s="292">
        <f t="shared" si="19"/>
        <v>18515.3246595093</v>
      </c>
      <c r="L36" s="292">
        <f t="shared" si="19"/>
        <v>21127.814892144</v>
      </c>
      <c r="M36" s="292">
        <f t="shared" si="19"/>
        <v>23711.8173408527</v>
      </c>
      <c r="N36" s="292">
        <f t="shared" si="19"/>
        <v>26340.3868799862</v>
      </c>
      <c r="O36" s="292">
        <f t="shared" si="19"/>
        <v>29043.9304732351</v>
      </c>
      <c r="P36" s="325"/>
      <c r="Q36" s="281"/>
      <c r="R36" s="281"/>
    </row>
    <row r="37" s="281" customFormat="1" ht="15.6" customHeight="1" spans="1:21">
      <c r="A37" s="87"/>
      <c r="B37" s="313" t="s">
        <v>475</v>
      </c>
      <c r="C37" s="296" t="s">
        <v>425</v>
      </c>
      <c r="D37" s="326">
        <v>2786.37243</v>
      </c>
      <c r="E37" s="326">
        <v>2692.30781</v>
      </c>
      <c r="F37" s="326">
        <v>2979.4464</v>
      </c>
      <c r="G37" s="326">
        <v>2556.69212</v>
      </c>
      <c r="H37" s="326">
        <v>2816.08827</v>
      </c>
      <c r="I37" s="326">
        <v>2742.94486</v>
      </c>
      <c r="J37" s="326">
        <v>2368.5937</v>
      </c>
      <c r="K37" s="326">
        <v>2153.77898</v>
      </c>
      <c r="L37" s="326">
        <v>1237.78529</v>
      </c>
      <c r="M37" s="326">
        <v>2317.46366</v>
      </c>
      <c r="N37" s="326">
        <v>2618.46488</v>
      </c>
      <c r="O37" s="326">
        <v>1590.43882</v>
      </c>
      <c r="P37" s="326">
        <v>28860.37722</v>
      </c>
    </row>
    <row r="38" s="281" customFormat="1" ht="15.6" customHeight="1" spans="1:21">
      <c r="A38" s="87"/>
      <c r="B38" s="87"/>
      <c r="C38" s="299" t="s">
        <v>426</v>
      </c>
      <c r="D38" s="327">
        <v>2628.64168769614</v>
      </c>
      <c r="E38" s="327">
        <v>2650.37871511848</v>
      </c>
      <c r="F38" s="327">
        <v>2640.90328164571</v>
      </c>
      <c r="G38" s="327">
        <v>2463.98812901056</v>
      </c>
      <c r="H38" s="327">
        <v>2562.05867813143</v>
      </c>
      <c r="I38" s="327">
        <v>2548.97688290519</v>
      </c>
      <c r="J38" s="327">
        <v>2516.49416259478</v>
      </c>
      <c r="K38" s="327">
        <v>2516.2379517037</v>
      </c>
      <c r="L38" s="327">
        <v>2799.53286144573</v>
      </c>
      <c r="M38" s="327">
        <v>2751.36989985319</v>
      </c>
      <c r="N38" s="327">
        <v>2807.11808207754</v>
      </c>
      <c r="O38" s="327">
        <v>2894.19291920263</v>
      </c>
      <c r="P38" s="327">
        <v>31779.8932513851</v>
      </c>
    </row>
    <row r="39" s="281" customFormat="1" ht="15.6" customHeight="1" spans="1:21">
      <c r="A39" s="87"/>
      <c r="B39" s="87"/>
      <c r="C39" s="303" t="s">
        <v>427</v>
      </c>
      <c r="D39" s="328">
        <v>2493.41061</v>
      </c>
      <c r="E39" s="328">
        <v>2350.45499</v>
      </c>
      <c r="F39" s="328">
        <f>厨电3月!J238</f>
        <v>2592.02488</v>
      </c>
      <c r="G39" s="328">
        <f>厨电4月!I235</f>
        <v>2091.30381970365</v>
      </c>
      <c r="H39" s="328">
        <f>'厨电5月 '!J245</f>
        <v>2105.32238</v>
      </c>
      <c r="I39" s="328">
        <f>厨电6月!J246</f>
        <v>2233.86588</v>
      </c>
      <c r="J39" s="328">
        <v>2322.22994254739</v>
      </c>
      <c r="K39" s="328">
        <v>2326.71215725827</v>
      </c>
      <c r="L39" s="328">
        <v>2612.49023263475</v>
      </c>
      <c r="M39" s="328">
        <v>2584.00244870873</v>
      </c>
      <c r="N39" s="328">
        <v>2628.56953913348</v>
      </c>
      <c r="O39" s="328">
        <v>2703.54359324887</v>
      </c>
      <c r="P39" s="328">
        <v>29058.5085255377</v>
      </c>
      <c r="Q39" s="283"/>
      <c r="R39" s="283"/>
    </row>
    <row r="40" s="281" customFormat="1" ht="15.6" customHeight="1" spans="1:21">
      <c r="A40" s="87"/>
      <c r="B40" s="313" t="s">
        <v>476</v>
      </c>
      <c r="C40" s="296" t="s">
        <v>425</v>
      </c>
      <c r="D40" s="326">
        <f>D37</f>
        <v>2786.37243</v>
      </c>
      <c r="E40" s="326">
        <f t="shared" ref="E40:O40" si="20">D40+E37</f>
        <v>5478.68024</v>
      </c>
      <c r="F40" s="326">
        <f t="shared" si="20"/>
        <v>8458.12664</v>
      </c>
      <c r="G40" s="326">
        <f t="shared" si="20"/>
        <v>11014.81876</v>
      </c>
      <c r="H40" s="326">
        <f t="shared" si="20"/>
        <v>13830.90703</v>
      </c>
      <c r="I40" s="326">
        <f t="shared" si="20"/>
        <v>16573.85189</v>
      </c>
      <c r="J40" s="326">
        <f t="shared" si="20"/>
        <v>18942.44559</v>
      </c>
      <c r="K40" s="326">
        <f t="shared" si="20"/>
        <v>21096.22457</v>
      </c>
      <c r="L40" s="326">
        <f t="shared" si="20"/>
        <v>22334.00986</v>
      </c>
      <c r="M40" s="326">
        <f t="shared" si="20"/>
        <v>24651.47352</v>
      </c>
      <c r="N40" s="326">
        <f t="shared" si="20"/>
        <v>27269.9384</v>
      </c>
      <c r="O40" s="326">
        <f t="shared" si="20"/>
        <v>28860.37722</v>
      </c>
      <c r="P40" s="326">
        <f>O40</f>
        <v>28860.37722</v>
      </c>
      <c r="Q40" s="283"/>
      <c r="R40" s="283"/>
    </row>
    <row r="41" s="281" customFormat="1" ht="15.6" customHeight="1" spans="1:21">
      <c r="A41" s="87"/>
      <c r="B41" s="87"/>
      <c r="C41" s="299" t="s">
        <v>426</v>
      </c>
      <c r="D41" s="327">
        <f>D38</f>
        <v>2628.64168769614</v>
      </c>
      <c r="E41" s="327">
        <f t="shared" ref="E41:O41" si="21">D41+E38</f>
        <v>5279.02040281462</v>
      </c>
      <c r="F41" s="327">
        <f t="shared" si="21"/>
        <v>7919.92368446033</v>
      </c>
      <c r="G41" s="327">
        <f t="shared" si="21"/>
        <v>10383.9118134709</v>
      </c>
      <c r="H41" s="327">
        <f t="shared" si="21"/>
        <v>12945.9704916023</v>
      </c>
      <c r="I41" s="327">
        <f t="shared" si="21"/>
        <v>15494.9473745075</v>
      </c>
      <c r="J41" s="327">
        <f t="shared" si="21"/>
        <v>18011.4415371023</v>
      </c>
      <c r="K41" s="327">
        <f t="shared" si="21"/>
        <v>20527.679488806</v>
      </c>
      <c r="L41" s="327">
        <f t="shared" si="21"/>
        <v>23327.2123502517</v>
      </c>
      <c r="M41" s="327">
        <f t="shared" si="21"/>
        <v>26078.5822501049</v>
      </c>
      <c r="N41" s="327">
        <f t="shared" si="21"/>
        <v>28885.7003321825</v>
      </c>
      <c r="O41" s="327">
        <f t="shared" si="21"/>
        <v>31779.8932513851</v>
      </c>
      <c r="P41" s="327">
        <f>O41</f>
        <v>31779.8932513851</v>
      </c>
      <c r="Q41" s="104"/>
      <c r="R41" s="104"/>
    </row>
    <row r="42" s="281" customFormat="1" ht="15.6" customHeight="1" spans="1:21">
      <c r="A42" s="87"/>
      <c r="B42" s="87"/>
      <c r="C42" s="303" t="s">
        <v>427</v>
      </c>
      <c r="D42" s="328">
        <f>D39</f>
        <v>2493.41061</v>
      </c>
      <c r="E42" s="328">
        <f t="shared" ref="E42:O42" si="22">D42+E39</f>
        <v>4843.8656</v>
      </c>
      <c r="F42" s="328">
        <f t="shared" si="22"/>
        <v>7435.89048</v>
      </c>
      <c r="G42" s="328">
        <f t="shared" si="22"/>
        <v>9527.19429970365</v>
      </c>
      <c r="H42" s="328">
        <f t="shared" si="22"/>
        <v>11632.5166797036</v>
      </c>
      <c r="I42" s="328">
        <f t="shared" si="22"/>
        <v>13866.3825597036</v>
      </c>
      <c r="J42" s="328">
        <f t="shared" si="22"/>
        <v>16188.612502251</v>
      </c>
      <c r="K42" s="328">
        <f t="shared" si="22"/>
        <v>18515.3246595093</v>
      </c>
      <c r="L42" s="328">
        <f t="shared" si="22"/>
        <v>21127.814892144</v>
      </c>
      <c r="M42" s="328">
        <f t="shared" si="22"/>
        <v>23711.8173408527</v>
      </c>
      <c r="N42" s="328">
        <f t="shared" si="22"/>
        <v>26340.3868799862</v>
      </c>
      <c r="O42" s="328">
        <f t="shared" si="22"/>
        <v>29043.9304732351</v>
      </c>
      <c r="P42" s="328">
        <f>O42</f>
        <v>29043.9304732351</v>
      </c>
      <c r="Q42" s="329"/>
      <c r="R42" s="104"/>
    </row>
    <row r="43" s="281" customFormat="1" ht="92.4" hidden="1" customHeight="1" outlineLevel="1" spans="1:21">
      <c r="A43" s="87"/>
      <c r="B43" s="318" t="s">
        <v>477</v>
      </c>
      <c r="C43" s="318" t="s">
        <v>478</v>
      </c>
      <c r="D43" s="330" t="s">
        <v>479</v>
      </c>
      <c r="E43" s="330" t="s">
        <v>479</v>
      </c>
      <c r="F43" s="330" t="s">
        <v>479</v>
      </c>
      <c r="G43" s="330" t="s">
        <v>480</v>
      </c>
      <c r="H43" s="330" t="s">
        <v>481</v>
      </c>
      <c r="I43" s="330" t="s">
        <v>482</v>
      </c>
      <c r="J43" s="330" t="s">
        <v>483</v>
      </c>
      <c r="K43" s="330" t="s">
        <v>484</v>
      </c>
      <c r="L43" s="330" t="s">
        <v>485</v>
      </c>
      <c r="M43" s="330" t="s">
        <v>486</v>
      </c>
      <c r="N43" s="330" t="s">
        <v>486</v>
      </c>
      <c r="O43" s="330" t="s">
        <v>487</v>
      </c>
      <c r="P43" s="318" t="s">
        <v>410</v>
      </c>
      <c r="Q43" s="329"/>
      <c r="R43" s="104"/>
    </row>
    <row r="44" s="281" customFormat="1" ht="15.6" hidden="1" customHeight="1" outlineLevel="1" spans="1:21">
      <c r="A44" s="87"/>
      <c r="B44" s="73"/>
      <c r="C44" s="318" t="s">
        <v>488</v>
      </c>
      <c r="D44" s="317">
        <v>115.152718658454</v>
      </c>
      <c r="E44" s="317">
        <v>115.152718658454</v>
      </c>
      <c r="F44" s="317">
        <v>115.152718658454</v>
      </c>
      <c r="G44" s="317">
        <v>55.3286488240479</v>
      </c>
      <c r="H44" s="317">
        <v>57.5991188486589</v>
      </c>
      <c r="I44" s="317">
        <v>59.5585348601179</v>
      </c>
      <c r="J44" s="317">
        <v>63.2325024117404</v>
      </c>
      <c r="K44" s="317">
        <v>66.0208504943363</v>
      </c>
      <c r="L44" s="317">
        <v>72.3958504943363</v>
      </c>
      <c r="M44" s="317">
        <v>97.9291838276696</v>
      </c>
      <c r="N44" s="317">
        <v>97.9291838276696</v>
      </c>
      <c r="O44" s="317">
        <v>88.6263620556463</v>
      </c>
      <c r="P44" s="317">
        <f>SUM(D44:O44)</f>
        <v>1004.07839161959</v>
      </c>
      <c r="Q44" s="329"/>
      <c r="R44" s="104"/>
    </row>
    <row r="45" s="281" customFormat="1" ht="19.95" hidden="1" customHeight="1" outlineLevel="1" spans="1:21">
      <c r="A45" s="87"/>
      <c r="B45" s="318" t="s">
        <v>489</v>
      </c>
      <c r="C45" s="318" t="s">
        <v>478</v>
      </c>
      <c r="D45" s="331" t="s">
        <v>490</v>
      </c>
      <c r="E45" s="331" t="s">
        <v>491</v>
      </c>
      <c r="F45" s="331" t="s">
        <v>492</v>
      </c>
      <c r="G45" s="331" t="s">
        <v>493</v>
      </c>
      <c r="H45" s="331" t="s">
        <v>494</v>
      </c>
      <c r="I45" s="331" t="s">
        <v>495</v>
      </c>
      <c r="J45" s="331" t="s">
        <v>496</v>
      </c>
      <c r="K45" s="331" t="s">
        <v>497</v>
      </c>
      <c r="L45" s="331" t="s">
        <v>498</v>
      </c>
      <c r="M45" s="331" t="s">
        <v>499</v>
      </c>
      <c r="N45" s="331" t="s">
        <v>499</v>
      </c>
      <c r="O45" s="331" t="s">
        <v>500</v>
      </c>
      <c r="P45" s="318" t="s">
        <v>410</v>
      </c>
      <c r="Q45" s="329"/>
      <c r="R45" s="104"/>
    </row>
    <row r="46" s="281" customFormat="1" ht="19.95" hidden="1" customHeight="1" outlineLevel="1" spans="1:21">
      <c r="A46" s="73"/>
      <c r="B46" s="73"/>
      <c r="C46" s="318" t="s">
        <v>488</v>
      </c>
      <c r="D46" s="317" t="e">
        <f>#REF!</f>
        <v>#REF!</v>
      </c>
      <c r="E46" s="317" t="e">
        <f>#REF!</f>
        <v>#REF!</v>
      </c>
      <c r="F46" s="317" t="e">
        <f>#REF!</f>
        <v>#REF!</v>
      </c>
      <c r="G46" s="317" t="e">
        <f>#REF!</f>
        <v>#REF!</v>
      </c>
      <c r="H46" s="317" t="e">
        <f>#REF!</f>
        <v>#REF!</v>
      </c>
      <c r="I46" s="317" t="e">
        <f>#REF!</f>
        <v>#REF!</v>
      </c>
      <c r="J46" s="317" t="e">
        <f>#REF!</f>
        <v>#REF!</v>
      </c>
      <c r="K46" s="317" t="e">
        <f>#REF!</f>
        <v>#REF!</v>
      </c>
      <c r="L46" s="317" t="e">
        <f>#REF!</f>
        <v>#REF!</v>
      </c>
      <c r="M46" s="317" t="e">
        <f>#REF!</f>
        <v>#REF!</v>
      </c>
      <c r="N46" s="317" t="e">
        <f>#REF!</f>
        <v>#REF!</v>
      </c>
      <c r="O46" s="317" t="e">
        <f>#REF!</f>
        <v>#REF!</v>
      </c>
      <c r="P46" s="317" t="e">
        <f>SUM(D46:O46)</f>
        <v>#REF!</v>
      </c>
      <c r="Q46" s="329"/>
      <c r="R46" s="104"/>
    </row>
    <row r="47" s="281" customFormat="1" ht="15.6" customHeight="1" collapsed="1" spans="1:21">
      <c r="A47" s="287" t="s">
        <v>501</v>
      </c>
      <c r="B47" s="313" t="s">
        <v>502</v>
      </c>
      <c r="C47" s="296" t="s">
        <v>425</v>
      </c>
      <c r="D47" s="326">
        <v>79712</v>
      </c>
      <c r="E47" s="326">
        <v>82105</v>
      </c>
      <c r="F47" s="326">
        <v>92657</v>
      </c>
      <c r="G47" s="326">
        <v>98687</v>
      </c>
      <c r="H47" s="326">
        <v>93353</v>
      </c>
      <c r="I47" s="326">
        <v>75092</v>
      </c>
      <c r="J47" s="326">
        <v>77799</v>
      </c>
      <c r="K47" s="326">
        <v>58812</v>
      </c>
      <c r="L47" s="326">
        <v>90826</v>
      </c>
      <c r="M47" s="326">
        <v>111572</v>
      </c>
      <c r="N47" s="326">
        <v>111625</v>
      </c>
      <c r="O47" s="332">
        <v>75554</v>
      </c>
      <c r="P47" s="326">
        <v>1047794</v>
      </c>
      <c r="Q47" s="104"/>
      <c r="R47" s="104"/>
      <c r="S47" s="333"/>
      <c r="T47" s="333"/>
      <c r="U47" s="333"/>
    </row>
    <row r="48" s="281" customFormat="1" ht="15.6" customHeight="1" spans="1:21">
      <c r="A48" s="87"/>
      <c r="B48" s="87"/>
      <c r="C48" s="299" t="s">
        <v>426</v>
      </c>
      <c r="D48" s="334">
        <v>116704</v>
      </c>
      <c r="E48" s="334">
        <v>116204</v>
      </c>
      <c r="F48" s="334">
        <v>106704</v>
      </c>
      <c r="G48" s="334">
        <v>104704</v>
      </c>
      <c r="H48" s="334">
        <v>71805</v>
      </c>
      <c r="I48" s="334">
        <v>110105</v>
      </c>
      <c r="J48" s="334">
        <v>86206</v>
      </c>
      <c r="K48" s="334">
        <v>81605</v>
      </c>
      <c r="L48" s="334">
        <v>117305</v>
      </c>
      <c r="M48" s="334">
        <v>121005</v>
      </c>
      <c r="N48" s="334">
        <v>130155</v>
      </c>
      <c r="O48" s="334">
        <v>91305</v>
      </c>
      <c r="P48" s="327">
        <v>1253807</v>
      </c>
      <c r="Q48" s="104"/>
      <c r="R48" s="104"/>
    </row>
    <row r="49" s="281" customFormat="1" ht="15.6" customHeight="1" spans="1:18">
      <c r="A49" s="87"/>
      <c r="B49" s="87"/>
      <c r="C49" s="303" t="s">
        <v>427</v>
      </c>
      <c r="D49" s="328">
        <v>97611</v>
      </c>
      <c r="E49" s="328">
        <v>106294</v>
      </c>
      <c r="F49" s="328">
        <f>厨电3月!L28</f>
        <v>107376</v>
      </c>
      <c r="G49" s="328">
        <f>厨电4月!K26</f>
        <v>110370</v>
      </c>
      <c r="H49" s="328">
        <f>'厨电5月 '!L27</f>
        <v>67531</v>
      </c>
      <c r="I49" s="328">
        <f>厨电6月!L26</f>
        <v>102272</v>
      </c>
      <c r="J49" s="328">
        <v>86967</v>
      </c>
      <c r="K49" s="328">
        <v>81560.001</v>
      </c>
      <c r="L49" s="328">
        <v>117158</v>
      </c>
      <c r="M49" s="328">
        <v>117404</v>
      </c>
      <c r="N49" s="328">
        <v>113634</v>
      </c>
      <c r="O49" s="328">
        <v>76893</v>
      </c>
      <c r="P49" s="328">
        <v>1199192.001</v>
      </c>
      <c r="Q49" s="104"/>
      <c r="R49" s="104"/>
    </row>
    <row r="50" s="281" customFormat="1" ht="15.6" customHeight="1" spans="1:18">
      <c r="A50" s="87"/>
      <c r="B50" s="87"/>
      <c r="C50" s="335" t="s">
        <v>503</v>
      </c>
      <c r="D50" s="336">
        <f t="shared" ref="D50:P50" si="23">(D49-D47)/D47</f>
        <v>0.224545865114412</v>
      </c>
      <c r="E50" s="336">
        <f t="shared" si="23"/>
        <v>0.29461055964923</v>
      </c>
      <c r="F50" s="336">
        <f t="shared" si="23"/>
        <v>0.158854700670214</v>
      </c>
      <c r="G50" s="336">
        <f t="shared" si="23"/>
        <v>0.118384387001327</v>
      </c>
      <c r="H50" s="336">
        <f t="shared" si="23"/>
        <v>-0.276606000878386</v>
      </c>
      <c r="I50" s="336">
        <f t="shared" si="23"/>
        <v>0.361956000639216</v>
      </c>
      <c r="J50" s="336">
        <f t="shared" si="23"/>
        <v>0.117842131646936</v>
      </c>
      <c r="K50" s="336">
        <f t="shared" si="23"/>
        <v>0.386791828198327</v>
      </c>
      <c r="L50" s="336">
        <f t="shared" si="23"/>
        <v>0.289916984123489</v>
      </c>
      <c r="M50" s="336">
        <f t="shared" si="23"/>
        <v>0.0522711791488904</v>
      </c>
      <c r="N50" s="336">
        <f t="shared" si="23"/>
        <v>0.0179977603583427</v>
      </c>
      <c r="O50" s="336">
        <f t="shared" si="23"/>
        <v>0.0177224236969585</v>
      </c>
      <c r="P50" s="336">
        <f t="shared" si="23"/>
        <v>0.144492143493855</v>
      </c>
      <c r="Q50" s="104"/>
      <c r="R50" s="104"/>
    </row>
    <row r="51" s="281" customFormat="1" ht="15.6" hidden="1" customHeight="1" spans="1:18">
      <c r="A51" s="87"/>
      <c r="B51" s="318" t="s">
        <v>504</v>
      </c>
      <c r="C51" s="296" t="s">
        <v>425</v>
      </c>
      <c r="D51" s="326">
        <v>79712</v>
      </c>
      <c r="E51" s="326">
        <v>82105</v>
      </c>
      <c r="F51" s="326">
        <v>92657</v>
      </c>
      <c r="G51" s="326">
        <v>98687</v>
      </c>
      <c r="H51" s="326">
        <v>93353</v>
      </c>
      <c r="I51" s="326">
        <v>75092</v>
      </c>
      <c r="J51" s="326">
        <v>77799</v>
      </c>
      <c r="K51" s="326">
        <v>58812</v>
      </c>
      <c r="L51" s="326">
        <v>90826</v>
      </c>
      <c r="M51" s="326">
        <v>111572</v>
      </c>
      <c r="N51" s="326">
        <v>111625</v>
      </c>
      <c r="O51" s="332">
        <v>75554</v>
      </c>
      <c r="P51" s="326">
        <f>SUM(D51:O51)</f>
        <v>1047794</v>
      </c>
      <c r="Q51" s="104"/>
      <c r="R51" s="104"/>
    </row>
    <row r="52" s="281" customFormat="1" ht="15.6" hidden="1" customHeight="1" spans="1:18">
      <c r="A52" s="87"/>
      <c r="B52" s="87"/>
      <c r="C52" s="299" t="s">
        <v>426</v>
      </c>
      <c r="D52" s="334">
        <v>116704</v>
      </c>
      <c r="E52" s="334">
        <v>116204</v>
      </c>
      <c r="F52" s="334">
        <v>106704</v>
      </c>
      <c r="G52" s="334">
        <v>104704</v>
      </c>
      <c r="H52" s="334">
        <v>71805</v>
      </c>
      <c r="I52" s="334">
        <v>110105</v>
      </c>
      <c r="J52" s="334">
        <v>86206</v>
      </c>
      <c r="K52" s="334">
        <v>81605</v>
      </c>
      <c r="L52" s="334">
        <v>117305</v>
      </c>
      <c r="M52" s="334">
        <v>121005</v>
      </c>
      <c r="N52" s="334">
        <v>130155</v>
      </c>
      <c r="O52" s="334">
        <v>91305</v>
      </c>
      <c r="P52" s="327">
        <f>SUM(D52:O52)</f>
        <v>1253807</v>
      </c>
      <c r="Q52" s="104"/>
      <c r="R52" s="104"/>
    </row>
    <row r="53" s="281" customFormat="1" ht="15.6" hidden="1" customHeight="1" spans="1:18">
      <c r="A53" s="87"/>
      <c r="B53" s="87"/>
      <c r="C53" s="303" t="s">
        <v>427</v>
      </c>
      <c r="D53" s="328">
        <v>97611</v>
      </c>
      <c r="E53" s="328">
        <v>106294</v>
      </c>
      <c r="F53" s="328">
        <v>105459</v>
      </c>
      <c r="G53" s="328">
        <f t="shared" ref="G53:P53" si="24">G52</f>
        <v>104704</v>
      </c>
      <c r="H53" s="328">
        <f t="shared" si="24"/>
        <v>71805</v>
      </c>
      <c r="I53" s="328">
        <f t="shared" si="24"/>
        <v>110105</v>
      </c>
      <c r="J53" s="328">
        <f t="shared" si="24"/>
        <v>86206</v>
      </c>
      <c r="K53" s="328">
        <f t="shared" si="24"/>
        <v>81605</v>
      </c>
      <c r="L53" s="328">
        <f t="shared" si="24"/>
        <v>117305</v>
      </c>
      <c r="M53" s="328">
        <f t="shared" si="24"/>
        <v>121005</v>
      </c>
      <c r="N53" s="328">
        <f t="shared" si="24"/>
        <v>130155</v>
      </c>
      <c r="O53" s="328">
        <f t="shared" si="24"/>
        <v>91305</v>
      </c>
      <c r="P53" s="328">
        <f t="shared" si="24"/>
        <v>1253807</v>
      </c>
      <c r="Q53" s="104"/>
      <c r="R53" s="104"/>
    </row>
    <row r="54" s="281" customFormat="1" ht="15.6" hidden="1" customHeight="1" spans="1:18">
      <c r="A54" s="87"/>
      <c r="B54" s="73"/>
      <c r="C54" s="335" t="s">
        <v>503</v>
      </c>
      <c r="D54" s="336">
        <f t="shared" ref="D54:P54" si="25">(D53-D51)/D51</f>
        <v>0.224545865114412</v>
      </c>
      <c r="E54" s="336">
        <f t="shared" si="25"/>
        <v>0.29461055964923</v>
      </c>
      <c r="F54" s="336">
        <f t="shared" si="25"/>
        <v>0.138165492083707</v>
      </c>
      <c r="G54" s="336">
        <f t="shared" si="25"/>
        <v>0.0609705432326446</v>
      </c>
      <c r="H54" s="336">
        <f t="shared" si="25"/>
        <v>-0.230822790911915</v>
      </c>
      <c r="I54" s="336">
        <f t="shared" si="25"/>
        <v>0.466268044532041</v>
      </c>
      <c r="J54" s="336">
        <f t="shared" si="25"/>
        <v>0.108060514916644</v>
      </c>
      <c r="K54" s="336">
        <f t="shared" si="25"/>
        <v>0.387556961164388</v>
      </c>
      <c r="L54" s="336">
        <f t="shared" si="25"/>
        <v>0.29153546341356</v>
      </c>
      <c r="M54" s="336">
        <f t="shared" si="25"/>
        <v>0.0845463019395547</v>
      </c>
      <c r="N54" s="336">
        <f t="shared" si="25"/>
        <v>0.166002239641657</v>
      </c>
      <c r="O54" s="336">
        <f t="shared" si="25"/>
        <v>0.208473409746671</v>
      </c>
      <c r="P54" s="336">
        <f t="shared" si="25"/>
        <v>0.196615937865649</v>
      </c>
      <c r="Q54" s="104"/>
      <c r="R54" s="104"/>
    </row>
    <row r="55" s="281" customFormat="1" ht="19.95" hidden="1" customHeight="1" outlineLevel="1" spans="1:18">
      <c r="A55" s="87"/>
      <c r="B55" s="317" t="s">
        <v>505</v>
      </c>
      <c r="C55" s="296" t="s">
        <v>425</v>
      </c>
      <c r="D55" s="296">
        <v>1</v>
      </c>
      <c r="E55" s="296">
        <v>1</v>
      </c>
      <c r="F55" s="296">
        <v>1</v>
      </c>
      <c r="G55" s="296">
        <v>1</v>
      </c>
      <c r="H55" s="296">
        <v>1</v>
      </c>
      <c r="I55" s="296">
        <v>1</v>
      </c>
      <c r="J55" s="296">
        <v>1</v>
      </c>
      <c r="K55" s="296">
        <v>1</v>
      </c>
      <c r="L55" s="296">
        <v>1</v>
      </c>
      <c r="M55" s="296">
        <v>1</v>
      </c>
      <c r="N55" s="296">
        <v>1</v>
      </c>
      <c r="O55" s="296">
        <v>1</v>
      </c>
      <c r="P55" s="296">
        <v>1</v>
      </c>
      <c r="Q55" s="104"/>
      <c r="R55" s="104"/>
    </row>
    <row r="56" s="281" customFormat="1" ht="19.95" hidden="1" customHeight="1" outlineLevel="1" spans="1:18">
      <c r="A56" s="87"/>
      <c r="B56" s="87"/>
      <c r="C56" s="299" t="s">
        <v>426</v>
      </c>
      <c r="D56" s="337">
        <v>1</v>
      </c>
      <c r="E56" s="337">
        <v>1</v>
      </c>
      <c r="F56" s="337">
        <v>1</v>
      </c>
      <c r="G56" s="337">
        <v>1</v>
      </c>
      <c r="H56" s="337">
        <v>1</v>
      </c>
      <c r="I56" s="337">
        <v>1</v>
      </c>
      <c r="J56" s="337">
        <v>1</v>
      </c>
      <c r="K56" s="337">
        <v>1</v>
      </c>
      <c r="L56" s="337">
        <v>1</v>
      </c>
      <c r="M56" s="337">
        <v>1</v>
      </c>
      <c r="N56" s="337">
        <v>1</v>
      </c>
      <c r="O56" s="337">
        <v>1</v>
      </c>
      <c r="P56" s="323">
        <v>1</v>
      </c>
      <c r="Q56" s="104"/>
      <c r="R56" s="104"/>
    </row>
    <row r="57" s="281" customFormat="1" ht="19.95" hidden="1" customHeight="1" outlineLevel="1" spans="1:18">
      <c r="A57" s="87"/>
      <c r="B57" s="87"/>
      <c r="C57" s="303" t="s">
        <v>506</v>
      </c>
      <c r="D57" s="303">
        <v>1</v>
      </c>
      <c r="E57" s="303">
        <v>1</v>
      </c>
      <c r="F57" s="303">
        <v>1</v>
      </c>
      <c r="G57" s="303">
        <v>1</v>
      </c>
      <c r="H57" s="303">
        <v>1</v>
      </c>
      <c r="I57" s="303">
        <v>1</v>
      </c>
      <c r="J57" s="303">
        <v>1</v>
      </c>
      <c r="K57" s="303">
        <v>1</v>
      </c>
      <c r="L57" s="303">
        <v>1</v>
      </c>
      <c r="M57" s="303">
        <v>1</v>
      </c>
      <c r="N57" s="303">
        <v>1</v>
      </c>
      <c r="O57" s="303">
        <v>1</v>
      </c>
      <c r="P57" s="317">
        <v>1</v>
      </c>
      <c r="Q57" s="104"/>
      <c r="R57" s="104"/>
    </row>
    <row r="58" s="281" customFormat="1" ht="19.95" hidden="1" customHeight="1" outlineLevel="1" spans="1:18">
      <c r="A58" s="87"/>
      <c r="B58" s="73"/>
      <c r="C58" s="303" t="s">
        <v>459</v>
      </c>
      <c r="D58" s="338">
        <f t="shared" ref="D58:P58" si="26">(D57-D55)/D55</f>
        <v>0</v>
      </c>
      <c r="E58" s="338">
        <f t="shared" si="26"/>
        <v>0</v>
      </c>
      <c r="F58" s="338">
        <f t="shared" si="26"/>
        <v>0</v>
      </c>
      <c r="G58" s="338">
        <f t="shared" si="26"/>
        <v>0</v>
      </c>
      <c r="H58" s="338">
        <f t="shared" si="26"/>
        <v>0</v>
      </c>
      <c r="I58" s="338">
        <f t="shared" si="26"/>
        <v>0</v>
      </c>
      <c r="J58" s="338">
        <f t="shared" si="26"/>
        <v>0</v>
      </c>
      <c r="K58" s="338">
        <f t="shared" si="26"/>
        <v>0</v>
      </c>
      <c r="L58" s="338">
        <f t="shared" si="26"/>
        <v>0</v>
      </c>
      <c r="M58" s="338">
        <f t="shared" si="26"/>
        <v>0</v>
      </c>
      <c r="N58" s="338">
        <f t="shared" si="26"/>
        <v>0</v>
      </c>
      <c r="O58" s="338">
        <f t="shared" si="26"/>
        <v>0</v>
      </c>
      <c r="P58" s="339">
        <f t="shared" si="26"/>
        <v>0</v>
      </c>
      <c r="Q58" s="104"/>
      <c r="R58" s="104"/>
    </row>
    <row r="59" s="281" customFormat="1" ht="15" customHeight="1" collapsed="1" spans="1:18">
      <c r="A59" s="87"/>
      <c r="B59" s="313" t="s">
        <v>507</v>
      </c>
      <c r="C59" s="296" t="s">
        <v>425</v>
      </c>
      <c r="D59" s="326">
        <f>D47</f>
        <v>79712</v>
      </c>
      <c r="E59" s="326">
        <f t="shared" ref="E59:O59" si="27">D59+E47</f>
        <v>161817</v>
      </c>
      <c r="F59" s="326">
        <f t="shared" si="27"/>
        <v>254474</v>
      </c>
      <c r="G59" s="326">
        <f t="shared" si="27"/>
        <v>353161</v>
      </c>
      <c r="H59" s="326">
        <f t="shared" si="27"/>
        <v>446514</v>
      </c>
      <c r="I59" s="326">
        <f t="shared" si="27"/>
        <v>521606</v>
      </c>
      <c r="J59" s="326">
        <f t="shared" si="27"/>
        <v>599405</v>
      </c>
      <c r="K59" s="326">
        <f t="shared" si="27"/>
        <v>658217</v>
      </c>
      <c r="L59" s="326">
        <f t="shared" si="27"/>
        <v>749043</v>
      </c>
      <c r="M59" s="326">
        <f t="shared" si="27"/>
        <v>860615</v>
      </c>
      <c r="N59" s="326">
        <f t="shared" si="27"/>
        <v>972240</v>
      </c>
      <c r="O59" s="326">
        <f t="shared" si="27"/>
        <v>1047794</v>
      </c>
      <c r="P59" s="326">
        <f>O59</f>
        <v>1047794</v>
      </c>
      <c r="Q59" s="104"/>
      <c r="R59" s="104"/>
    </row>
    <row r="60" s="281" customFormat="1" ht="15.6" customHeight="1" spans="1:18">
      <c r="A60" s="87"/>
      <c r="B60" s="87"/>
      <c r="C60" s="299" t="s">
        <v>426</v>
      </c>
      <c r="D60" s="327">
        <f>D48</f>
        <v>116704</v>
      </c>
      <c r="E60" s="327">
        <f t="shared" ref="E60:O60" si="28">D60+E48</f>
        <v>232908</v>
      </c>
      <c r="F60" s="327">
        <f t="shared" si="28"/>
        <v>339612</v>
      </c>
      <c r="G60" s="327">
        <f t="shared" si="28"/>
        <v>444316</v>
      </c>
      <c r="H60" s="327">
        <f t="shared" si="28"/>
        <v>516121</v>
      </c>
      <c r="I60" s="327">
        <f t="shared" si="28"/>
        <v>626226</v>
      </c>
      <c r="J60" s="327">
        <f t="shared" si="28"/>
        <v>712432</v>
      </c>
      <c r="K60" s="327">
        <f t="shared" si="28"/>
        <v>794037</v>
      </c>
      <c r="L60" s="327">
        <f t="shared" si="28"/>
        <v>911342</v>
      </c>
      <c r="M60" s="327">
        <f t="shared" si="28"/>
        <v>1032347</v>
      </c>
      <c r="N60" s="327">
        <f t="shared" si="28"/>
        <v>1162502</v>
      </c>
      <c r="O60" s="340">
        <f t="shared" si="28"/>
        <v>1253807</v>
      </c>
      <c r="P60" s="327">
        <f>O60</f>
        <v>1253807</v>
      </c>
      <c r="Q60" s="104"/>
      <c r="R60" s="104"/>
    </row>
    <row r="61" s="281" customFormat="1" ht="15.6" customHeight="1" spans="1:18">
      <c r="A61" s="87"/>
      <c r="B61" s="87"/>
      <c r="C61" s="303" t="s">
        <v>427</v>
      </c>
      <c r="D61" s="328">
        <f>D49</f>
        <v>97611</v>
      </c>
      <c r="E61" s="328">
        <f t="shared" ref="E61:O61" si="29">D61+E49</f>
        <v>203905</v>
      </c>
      <c r="F61" s="328">
        <f t="shared" si="29"/>
        <v>311281</v>
      </c>
      <c r="G61" s="328">
        <f t="shared" si="29"/>
        <v>421651</v>
      </c>
      <c r="H61" s="328">
        <f t="shared" si="29"/>
        <v>489182</v>
      </c>
      <c r="I61" s="328">
        <f t="shared" si="29"/>
        <v>591454</v>
      </c>
      <c r="J61" s="328">
        <f t="shared" si="29"/>
        <v>678421</v>
      </c>
      <c r="K61" s="328">
        <f t="shared" si="29"/>
        <v>759981.001</v>
      </c>
      <c r="L61" s="328">
        <f t="shared" si="29"/>
        <v>877139.001</v>
      </c>
      <c r="M61" s="328">
        <f t="shared" si="29"/>
        <v>994543.001</v>
      </c>
      <c r="N61" s="328">
        <f t="shared" si="29"/>
        <v>1108177.001</v>
      </c>
      <c r="O61" s="328">
        <f t="shared" si="29"/>
        <v>1185070.001</v>
      </c>
      <c r="P61" s="328">
        <f>O61</f>
        <v>1185070.001</v>
      </c>
      <c r="Q61" s="104">
        <v>0</v>
      </c>
      <c r="R61" s="104"/>
    </row>
    <row r="62" s="281" customFormat="1" ht="15.6" customHeight="1" spans="1:18">
      <c r="A62" s="87"/>
      <c r="B62" s="87"/>
      <c r="C62" s="335" t="s">
        <v>503</v>
      </c>
      <c r="D62" s="341">
        <f t="shared" ref="D62:P62" si="30">(D61-D59)/D59</f>
        <v>0.224545865114412</v>
      </c>
      <c r="E62" s="341">
        <f t="shared" si="30"/>
        <v>0.260096281602057</v>
      </c>
      <c r="F62" s="341">
        <f t="shared" si="30"/>
        <v>0.223233021841131</v>
      </c>
      <c r="G62" s="341">
        <f t="shared" si="30"/>
        <v>0.193934211308723</v>
      </c>
      <c r="H62" s="341">
        <f t="shared" si="30"/>
        <v>0.095558034014611</v>
      </c>
      <c r="I62" s="341">
        <f t="shared" si="30"/>
        <v>0.13390950257474</v>
      </c>
      <c r="J62" s="341">
        <f t="shared" si="30"/>
        <v>0.131824058858368</v>
      </c>
      <c r="K62" s="341">
        <f t="shared" si="30"/>
        <v>0.154605549537615</v>
      </c>
      <c r="L62" s="341">
        <f t="shared" si="30"/>
        <v>0.171012880435436</v>
      </c>
      <c r="M62" s="341">
        <f t="shared" si="30"/>
        <v>0.155618948077828</v>
      </c>
      <c r="N62" s="341">
        <f t="shared" si="30"/>
        <v>0.139818358635728</v>
      </c>
      <c r="O62" s="341">
        <f t="shared" si="30"/>
        <v>0.131014303384062</v>
      </c>
      <c r="P62" s="341">
        <f t="shared" si="30"/>
        <v>0.131014303384062</v>
      </c>
      <c r="Q62" s="104"/>
      <c r="R62" s="104"/>
    </row>
    <row r="63" s="281" customFormat="1" ht="19.95" hidden="1" customHeight="1" spans="1:18">
      <c r="A63" s="87"/>
      <c r="B63" s="318" t="s">
        <v>508</v>
      </c>
      <c r="C63" s="296" t="s">
        <v>425</v>
      </c>
      <c r="D63" s="326">
        <f>D51</f>
        <v>79712</v>
      </c>
      <c r="E63" s="326">
        <f t="shared" ref="E63:O63" si="31">D63+E51</f>
        <v>161817</v>
      </c>
      <c r="F63" s="326">
        <f t="shared" si="31"/>
        <v>254474</v>
      </c>
      <c r="G63" s="326">
        <f t="shared" si="31"/>
        <v>353161</v>
      </c>
      <c r="H63" s="326">
        <f t="shared" si="31"/>
        <v>446514</v>
      </c>
      <c r="I63" s="326">
        <f t="shared" si="31"/>
        <v>521606</v>
      </c>
      <c r="J63" s="326">
        <f t="shared" si="31"/>
        <v>599405</v>
      </c>
      <c r="K63" s="326">
        <f t="shared" si="31"/>
        <v>658217</v>
      </c>
      <c r="L63" s="326">
        <f t="shared" si="31"/>
        <v>749043</v>
      </c>
      <c r="M63" s="326">
        <f t="shared" si="31"/>
        <v>860615</v>
      </c>
      <c r="N63" s="326">
        <f t="shared" si="31"/>
        <v>972240</v>
      </c>
      <c r="O63" s="326">
        <f t="shared" si="31"/>
        <v>1047794</v>
      </c>
      <c r="P63" s="326">
        <f>O63</f>
        <v>1047794</v>
      </c>
      <c r="Q63" s="104"/>
      <c r="R63" s="104"/>
    </row>
    <row r="64" s="281" customFormat="1" ht="15.6" hidden="1" customHeight="1" spans="1:18">
      <c r="A64" s="87"/>
      <c r="B64" s="87"/>
      <c r="C64" s="299" t="s">
        <v>426</v>
      </c>
      <c r="D64" s="327">
        <f>D52</f>
        <v>116704</v>
      </c>
      <c r="E64" s="327">
        <f t="shared" ref="E64:O64" si="32">D64+E52</f>
        <v>232908</v>
      </c>
      <c r="F64" s="327">
        <f t="shared" si="32"/>
        <v>339612</v>
      </c>
      <c r="G64" s="327">
        <f t="shared" si="32"/>
        <v>444316</v>
      </c>
      <c r="H64" s="327">
        <f t="shared" si="32"/>
        <v>516121</v>
      </c>
      <c r="I64" s="327">
        <f t="shared" si="32"/>
        <v>626226</v>
      </c>
      <c r="J64" s="327">
        <f t="shared" si="32"/>
        <v>712432</v>
      </c>
      <c r="K64" s="327">
        <f t="shared" si="32"/>
        <v>794037</v>
      </c>
      <c r="L64" s="327">
        <f t="shared" si="32"/>
        <v>911342</v>
      </c>
      <c r="M64" s="327">
        <f t="shared" si="32"/>
        <v>1032347</v>
      </c>
      <c r="N64" s="327">
        <f t="shared" si="32"/>
        <v>1162502</v>
      </c>
      <c r="O64" s="340">
        <f t="shared" si="32"/>
        <v>1253807</v>
      </c>
      <c r="P64" s="327">
        <f>O64</f>
        <v>1253807</v>
      </c>
      <c r="Q64" s="104"/>
      <c r="R64" s="104"/>
    </row>
    <row r="65" s="281" customFormat="1" ht="15.6" hidden="1" customHeight="1" spans="1:18">
      <c r="A65" s="87"/>
      <c r="B65" s="87"/>
      <c r="C65" s="303" t="s">
        <v>427</v>
      </c>
      <c r="D65" s="328">
        <f>D53</f>
        <v>97611</v>
      </c>
      <c r="E65" s="328">
        <f t="shared" ref="E65:O65" si="33">D65+E53</f>
        <v>203905</v>
      </c>
      <c r="F65" s="328">
        <f t="shared" si="33"/>
        <v>309364</v>
      </c>
      <c r="G65" s="328">
        <f t="shared" si="33"/>
        <v>414068</v>
      </c>
      <c r="H65" s="328">
        <f t="shared" si="33"/>
        <v>485873</v>
      </c>
      <c r="I65" s="328">
        <f t="shared" si="33"/>
        <v>595978</v>
      </c>
      <c r="J65" s="328">
        <f t="shared" si="33"/>
        <v>682184</v>
      </c>
      <c r="K65" s="328">
        <f t="shared" si="33"/>
        <v>763789</v>
      </c>
      <c r="L65" s="328">
        <f t="shared" si="33"/>
        <v>881094</v>
      </c>
      <c r="M65" s="328">
        <f t="shared" si="33"/>
        <v>1002099</v>
      </c>
      <c r="N65" s="328">
        <f t="shared" si="33"/>
        <v>1132254</v>
      </c>
      <c r="O65" s="328">
        <f t="shared" si="33"/>
        <v>1223559</v>
      </c>
      <c r="P65" s="328">
        <f>O65</f>
        <v>1223559</v>
      </c>
      <c r="Q65" s="104"/>
      <c r="R65" s="104"/>
    </row>
    <row r="66" s="281" customFormat="1" ht="15.6" hidden="1" customHeight="1" spans="1:18">
      <c r="A66" s="73"/>
      <c r="B66" s="73"/>
      <c r="C66" s="335" t="s">
        <v>503</v>
      </c>
      <c r="D66" s="336">
        <f t="shared" ref="D66:P66" si="34">(D65-D63)/D63</f>
        <v>0.224545865114412</v>
      </c>
      <c r="E66" s="336">
        <f t="shared" si="34"/>
        <v>0.260096281602057</v>
      </c>
      <c r="F66" s="336">
        <f t="shared" si="34"/>
        <v>0.215699835739604</v>
      </c>
      <c r="G66" s="336">
        <f t="shared" si="34"/>
        <v>0.172462417990661</v>
      </c>
      <c r="H66" s="336">
        <f t="shared" si="34"/>
        <v>0.0881472921341772</v>
      </c>
      <c r="I66" s="336">
        <f t="shared" si="34"/>
        <v>0.14258271568962</v>
      </c>
      <c r="J66" s="336">
        <f t="shared" si="34"/>
        <v>0.138101951101509</v>
      </c>
      <c r="K66" s="336">
        <f t="shared" si="34"/>
        <v>0.160390874134214</v>
      </c>
      <c r="L66" s="336">
        <f t="shared" si="34"/>
        <v>0.17629294980395</v>
      </c>
      <c r="M66" s="336">
        <f t="shared" si="34"/>
        <v>0.164398714872504</v>
      </c>
      <c r="N66" s="336">
        <f t="shared" si="34"/>
        <v>0.164582819057023</v>
      </c>
      <c r="O66" s="336">
        <f t="shared" si="34"/>
        <v>0.167747667957633</v>
      </c>
      <c r="P66" s="336">
        <f t="shared" si="34"/>
        <v>0.167747667957633</v>
      </c>
      <c r="Q66" s="104"/>
      <c r="R66" s="104"/>
    </row>
    <row r="67" ht="15.6" customHeight="1" spans="1:18">
      <c r="A67" s="342" t="s">
        <v>509</v>
      </c>
      <c r="B67" s="343"/>
      <c r="C67" s="344" t="s">
        <v>425</v>
      </c>
      <c r="D67" s="345">
        <v>20</v>
      </c>
      <c r="E67" s="345">
        <v>20</v>
      </c>
      <c r="F67" s="345">
        <v>20</v>
      </c>
      <c r="G67" s="345">
        <v>20</v>
      </c>
      <c r="H67" s="345">
        <v>20</v>
      </c>
      <c r="I67" s="345">
        <v>18</v>
      </c>
      <c r="J67" s="345">
        <v>18</v>
      </c>
      <c r="K67" s="345">
        <v>15</v>
      </c>
      <c r="L67" s="345">
        <v>22</v>
      </c>
      <c r="M67" s="345">
        <v>24</v>
      </c>
      <c r="N67" s="345">
        <v>24</v>
      </c>
      <c r="O67" s="345">
        <v>15</v>
      </c>
      <c r="P67" s="345">
        <f>SUM(D67:O67)</f>
        <v>236</v>
      </c>
    </row>
    <row r="68" ht="15.6" customHeight="1" spans="1:18">
      <c r="A68" s="302"/>
      <c r="B68" s="346"/>
      <c r="C68" s="303" t="s">
        <v>427</v>
      </c>
      <c r="D68" s="328">
        <v>20</v>
      </c>
      <c r="E68" s="328">
        <v>20</v>
      </c>
      <c r="F68" s="328">
        <v>23</v>
      </c>
      <c r="G68" s="328">
        <v>21</v>
      </c>
      <c r="H68" s="328">
        <v>14</v>
      </c>
      <c r="I68" s="328">
        <f>厨电6月!E4</f>
        <v>22</v>
      </c>
      <c r="J68" s="328">
        <v>17</v>
      </c>
      <c r="K68" s="328">
        <v>16</v>
      </c>
      <c r="L68" s="328">
        <v>22</v>
      </c>
      <c r="M68" s="328">
        <v>20</v>
      </c>
      <c r="N68" s="328">
        <v>21</v>
      </c>
      <c r="O68" s="328">
        <v>14</v>
      </c>
      <c r="P68" s="328">
        <f>SUM(D68:O68)</f>
        <v>230</v>
      </c>
    </row>
    <row r="69" ht="15.6" customHeight="1" spans="1:18">
      <c r="A69" s="342" t="s">
        <v>510</v>
      </c>
      <c r="B69" s="343"/>
      <c r="C69" s="296" t="s">
        <v>425</v>
      </c>
      <c r="D69" s="326">
        <v>507</v>
      </c>
      <c r="E69" s="326">
        <v>535</v>
      </c>
      <c r="F69" s="326">
        <v>528.5</v>
      </c>
      <c r="G69" s="326">
        <v>532.5</v>
      </c>
      <c r="H69" s="326">
        <v>524</v>
      </c>
      <c r="I69" s="326">
        <v>446.29</v>
      </c>
      <c r="J69" s="326">
        <v>407.96</v>
      </c>
      <c r="K69" s="326">
        <v>404.3333333</v>
      </c>
      <c r="L69" s="326">
        <v>401</v>
      </c>
      <c r="M69" s="326">
        <v>473</v>
      </c>
      <c r="N69" s="326">
        <v>475</v>
      </c>
      <c r="O69" s="326">
        <v>444</v>
      </c>
      <c r="P69" s="326">
        <f>AVERAGE(D69:O69)</f>
        <v>473.215277775</v>
      </c>
    </row>
    <row r="70" ht="15.6" hidden="1" customHeight="1" spans="1:18">
      <c r="A70" s="293"/>
      <c r="B70" s="347"/>
      <c r="C70" s="348" t="s">
        <v>511</v>
      </c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</row>
    <row r="71" ht="15.6" hidden="1" customHeight="1" spans="1:18">
      <c r="A71" s="293"/>
      <c r="B71" s="347"/>
      <c r="C71" s="349" t="s">
        <v>512</v>
      </c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</row>
    <row r="72" ht="15.6" hidden="1" customHeight="1" spans="1:18">
      <c r="A72" s="293"/>
      <c r="B72" s="347"/>
      <c r="C72" s="349" t="s">
        <v>513</v>
      </c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</row>
    <row r="73" ht="15.6" hidden="1" customHeight="1" spans="1:18">
      <c r="A73" s="293"/>
      <c r="B73" s="347"/>
      <c r="C73" s="349" t="s">
        <v>514</v>
      </c>
      <c r="D73" s="350"/>
      <c r="E73" s="350"/>
      <c r="F73" s="350"/>
      <c r="G73" s="350"/>
      <c r="H73" s="350"/>
      <c r="I73" s="350"/>
      <c r="J73" s="350"/>
      <c r="K73" s="350"/>
      <c r="L73" s="350"/>
      <c r="M73" s="350"/>
      <c r="N73" s="350"/>
      <c r="O73" s="350"/>
      <c r="P73" s="328"/>
    </row>
    <row r="74" ht="15.6" hidden="1" customHeight="1" spans="1:18">
      <c r="A74" s="293"/>
      <c r="B74" s="347"/>
      <c r="C74" s="349" t="s">
        <v>515</v>
      </c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</row>
    <row r="75" ht="15.6" customHeight="1" spans="1:18">
      <c r="A75" s="302"/>
      <c r="B75" s="346"/>
      <c r="C75" s="303" t="s">
        <v>427</v>
      </c>
      <c r="D75" s="328">
        <v>452</v>
      </c>
      <c r="E75" s="328">
        <v>452</v>
      </c>
      <c r="F75" s="328">
        <f>厨电3月!F4+厨电3月!F6+厨电3月!F8</f>
        <v>452</v>
      </c>
      <c r="G75" s="328">
        <f>厨电4月!E5+厨电4月!E7+厨电4月!E9</f>
        <v>419</v>
      </c>
      <c r="H75" s="328">
        <v>452</v>
      </c>
      <c r="I75" s="328">
        <v>407</v>
      </c>
      <c r="J75" s="328">
        <v>412</v>
      </c>
      <c r="K75" s="328">
        <v>411</v>
      </c>
      <c r="L75" s="328">
        <v>411</v>
      </c>
      <c r="M75" s="328">
        <v>411</v>
      </c>
      <c r="N75" s="328">
        <v>430</v>
      </c>
      <c r="O75" s="328">
        <v>430</v>
      </c>
      <c r="P75" s="328">
        <v>430</v>
      </c>
    </row>
    <row r="76" ht="15.6" customHeight="1" spans="1:18">
      <c r="A76" s="351" t="s">
        <v>516</v>
      </c>
      <c r="B76" s="343"/>
      <c r="C76" s="296" t="s">
        <v>425</v>
      </c>
      <c r="D76" s="296">
        <f t="shared" ref="D76:P76" si="35">D47/D67/D69</f>
        <v>7.86114398422091</v>
      </c>
      <c r="E76" s="296">
        <f t="shared" si="35"/>
        <v>7.67336448598131</v>
      </c>
      <c r="F76" s="296">
        <f t="shared" si="35"/>
        <v>8.76603595080416</v>
      </c>
      <c r="G76" s="296">
        <f t="shared" si="35"/>
        <v>9.26638497652582</v>
      </c>
      <c r="H76" s="296">
        <f t="shared" si="35"/>
        <v>8.90772900763359</v>
      </c>
      <c r="I76" s="296">
        <f t="shared" si="35"/>
        <v>9.34768374325613</v>
      </c>
      <c r="J76" s="296">
        <f t="shared" si="35"/>
        <v>10.5945844363827</v>
      </c>
      <c r="K76" s="296">
        <f t="shared" si="35"/>
        <v>9.69694971225861</v>
      </c>
      <c r="L76" s="296">
        <f t="shared" si="35"/>
        <v>10.295397868964</v>
      </c>
      <c r="M76" s="296">
        <f t="shared" si="35"/>
        <v>9.82840028188865</v>
      </c>
      <c r="N76" s="296">
        <f t="shared" si="35"/>
        <v>9.79166666666667</v>
      </c>
      <c r="O76" s="296">
        <f t="shared" si="35"/>
        <v>11.3444444444444</v>
      </c>
      <c r="P76" s="296">
        <f t="shared" si="35"/>
        <v>9.38220994389949</v>
      </c>
    </row>
    <row r="77" ht="15.6" customHeight="1" spans="1:18">
      <c r="A77" s="293"/>
      <c r="B77" s="347"/>
      <c r="C77" s="303" t="s">
        <v>427</v>
      </c>
      <c r="D77" s="317">
        <f t="shared" ref="D77:P77" si="36">D49/D68/D75</f>
        <v>10.7976769911504</v>
      </c>
      <c r="E77" s="317">
        <f t="shared" si="36"/>
        <v>11.758185840708</v>
      </c>
      <c r="F77" s="317">
        <f t="shared" si="36"/>
        <v>10.3285879184302</v>
      </c>
      <c r="G77" s="317">
        <f t="shared" si="36"/>
        <v>12.5434708489601</v>
      </c>
      <c r="H77" s="317">
        <f t="shared" si="36"/>
        <v>10.6717762326169</v>
      </c>
      <c r="I77" s="317">
        <f t="shared" si="36"/>
        <v>11.4219343310252</v>
      </c>
      <c r="J77" s="317">
        <f t="shared" si="36"/>
        <v>12.4167618503712</v>
      </c>
      <c r="K77" s="317">
        <f t="shared" si="36"/>
        <v>12.4026765510949</v>
      </c>
      <c r="L77" s="317">
        <f t="shared" si="36"/>
        <v>12.9570891395709</v>
      </c>
      <c r="M77" s="317">
        <f t="shared" si="36"/>
        <v>14.2827250608272</v>
      </c>
      <c r="N77" s="317">
        <f t="shared" si="36"/>
        <v>12.5840531561462</v>
      </c>
      <c r="O77" s="317">
        <f t="shared" si="36"/>
        <v>12.7729235880399</v>
      </c>
      <c r="P77" s="317">
        <f t="shared" si="36"/>
        <v>12.1252982912032</v>
      </c>
    </row>
    <row r="78" ht="15.6" customHeight="1" spans="1:18">
      <c r="A78" s="293"/>
      <c r="B78" s="347"/>
      <c r="C78" s="303" t="s">
        <v>503</v>
      </c>
      <c r="D78" s="352">
        <f t="shared" ref="D78:P78" si="37">(D77/D76)-1</f>
        <v>0.373550339851785</v>
      </c>
      <c r="E78" s="352">
        <f t="shared" si="37"/>
        <v>0.5323377199388</v>
      </c>
      <c r="F78" s="352">
        <f t="shared" si="37"/>
        <v>0.178250691235491</v>
      </c>
      <c r="G78" s="352">
        <f t="shared" si="37"/>
        <v>0.353653110758511</v>
      </c>
      <c r="H78" s="352">
        <f t="shared" si="37"/>
        <v>0.198035573766516</v>
      </c>
      <c r="I78" s="352">
        <f t="shared" si="37"/>
        <v>0.221899953479446</v>
      </c>
      <c r="J78" s="352">
        <f t="shared" si="37"/>
        <v>0.171991400411238</v>
      </c>
      <c r="K78" s="352">
        <f t="shared" si="37"/>
        <v>0.279028655311657</v>
      </c>
      <c r="L78" s="352">
        <f t="shared" si="37"/>
        <v>0.25853214266063</v>
      </c>
      <c r="M78" s="352">
        <f t="shared" si="37"/>
        <v>0.453209540839198</v>
      </c>
      <c r="N78" s="352">
        <f t="shared" si="37"/>
        <v>0.285179896797908</v>
      </c>
      <c r="O78" s="352">
        <f t="shared" si="37"/>
        <v>0.12591882754514</v>
      </c>
      <c r="P78" s="352">
        <f t="shared" si="37"/>
        <v>0.292371239154306</v>
      </c>
    </row>
    <row r="79" s="283" customFormat="1" ht="15.6" hidden="1" customHeight="1" outlineLevel="1" spans="1:18">
      <c r="A79" s="353" t="s">
        <v>517</v>
      </c>
      <c r="B79" s="7"/>
      <c r="C79" s="8"/>
      <c r="D79" s="354">
        <f t="shared" ref="D79:O79" si="38">D25-D26</f>
        <v>-3.02414096594521</v>
      </c>
      <c r="E79" s="354">
        <f t="shared" si="38"/>
        <v>0.692048710636318</v>
      </c>
      <c r="F79" s="354">
        <f t="shared" si="38"/>
        <v>0.610101616429564</v>
      </c>
      <c r="G79" s="354">
        <f t="shared" si="38"/>
        <v>4.58477563173575</v>
      </c>
      <c r="H79" s="354">
        <f t="shared" si="38"/>
        <v>4.50514028115422</v>
      </c>
      <c r="I79" s="354">
        <f t="shared" si="38"/>
        <v>1.30801950637244</v>
      </c>
      <c r="J79" s="354">
        <f t="shared" si="38"/>
        <v>2.4892091822345</v>
      </c>
      <c r="K79" s="354">
        <f t="shared" si="38"/>
        <v>2.3067468951801</v>
      </c>
      <c r="L79" s="354">
        <f t="shared" si="38"/>
        <v>1.5665546728458</v>
      </c>
      <c r="M79" s="354">
        <f t="shared" si="38"/>
        <v>0.7281622157819</v>
      </c>
      <c r="N79" s="354">
        <f t="shared" si="38"/>
        <v>-1.564392169019</v>
      </c>
      <c r="O79" s="354">
        <f t="shared" si="38"/>
        <v>-3.4617372136323</v>
      </c>
      <c r="P79" s="318"/>
      <c r="Q79" s="104"/>
      <c r="R79" s="104"/>
    </row>
    <row r="80" s="283" customFormat="1" ht="15.6" hidden="1" customHeight="1" outlineLevel="1" spans="1:18">
      <c r="A80" s="353" t="s">
        <v>518</v>
      </c>
      <c r="B80" s="7"/>
      <c r="C80" s="8"/>
      <c r="D80" s="354">
        <f t="shared" ref="D80:O80" si="39">D79*D53</f>
        <v>-295189.423826878</v>
      </c>
      <c r="E80" s="354">
        <f t="shared" si="39"/>
        <v>73560.6256483767</v>
      </c>
      <c r="F80" s="354">
        <f t="shared" si="39"/>
        <v>64340.7063670453</v>
      </c>
      <c r="G80" s="354">
        <f t="shared" si="39"/>
        <v>480044.347745259</v>
      </c>
      <c r="H80" s="354">
        <f t="shared" si="39"/>
        <v>323491.597888278</v>
      </c>
      <c r="I80" s="354">
        <f t="shared" si="39"/>
        <v>144019.487749137</v>
      </c>
      <c r="J80" s="354">
        <f t="shared" si="39"/>
        <v>214584.766763707</v>
      </c>
      <c r="K80" s="354">
        <f t="shared" si="39"/>
        <v>188242.080381172</v>
      </c>
      <c r="L80" s="354">
        <f t="shared" si="39"/>
        <v>183764.695898177</v>
      </c>
      <c r="M80" s="354">
        <f t="shared" si="39"/>
        <v>88111.2689206888</v>
      </c>
      <c r="N80" s="354">
        <f t="shared" si="39"/>
        <v>-203613.462758668</v>
      </c>
      <c r="O80" s="354">
        <f t="shared" si="39"/>
        <v>-316073.916290697</v>
      </c>
      <c r="P80" s="318"/>
      <c r="Q80" s="104"/>
      <c r="R80" s="104"/>
    </row>
    <row r="81" s="283" customFormat="1" ht="15.6" hidden="1" customHeight="1" outlineLevel="1" spans="1:18">
      <c r="A81" s="353" t="s">
        <v>519</v>
      </c>
      <c r="B81" s="7"/>
      <c r="C81" s="8"/>
      <c r="D81" s="354">
        <f t="shared" ref="D81:O81" si="40">D32-D33</f>
        <v>-3.02035409766193</v>
      </c>
      <c r="E81" s="354">
        <f t="shared" si="40"/>
        <v>-1.08981235796522</v>
      </c>
      <c r="F81" s="354">
        <f t="shared" si="40"/>
        <v>-0.567525968791649</v>
      </c>
      <c r="G81" s="354">
        <f t="shared" si="40"/>
        <v>0.775579494620739</v>
      </c>
      <c r="H81" s="354">
        <f t="shared" si="40"/>
        <v>1.3036809747813</v>
      </c>
      <c r="I81" s="354">
        <f t="shared" si="40"/>
        <v>1.29881281338444</v>
      </c>
      <c r="J81" s="354">
        <f t="shared" si="40"/>
        <v>1.41943652941304</v>
      </c>
      <c r="K81" s="354">
        <f t="shared" si="40"/>
        <v>1.48941758292922</v>
      </c>
      <c r="L81" s="354">
        <f t="shared" si="40"/>
        <v>1.50936012935274</v>
      </c>
      <c r="M81" s="354">
        <f t="shared" si="40"/>
        <v>1.41952743385163</v>
      </c>
      <c r="N81" s="354">
        <f t="shared" si="40"/>
        <v>1.07875624191911</v>
      </c>
      <c r="O81" s="354">
        <f t="shared" si="40"/>
        <v>0.838520428207278</v>
      </c>
      <c r="P81" s="318"/>
      <c r="Q81" s="104"/>
      <c r="R81" s="104"/>
    </row>
    <row r="82" s="283" customFormat="1" ht="15.6" hidden="1" customHeight="1" outlineLevel="1" spans="1:18">
      <c r="A82" s="353" t="s">
        <v>520</v>
      </c>
      <c r="B82" s="7"/>
      <c r="C82" s="8"/>
      <c r="D82" s="354">
        <f t="shared" ref="D82:O82" si="41">D81*D65</f>
        <v>-294819.783826879</v>
      </c>
      <c r="E82" s="354">
        <f t="shared" si="41"/>
        <v>-222218.188850898</v>
      </c>
      <c r="F82" s="354">
        <f t="shared" si="41"/>
        <v>-175572.10380926</v>
      </c>
      <c r="G82" s="354">
        <f t="shared" si="41"/>
        <v>321142.65017862</v>
      </c>
      <c r="H82" s="354">
        <f t="shared" si="41"/>
        <v>633423.386259915</v>
      </c>
      <c r="I82" s="354">
        <f t="shared" si="41"/>
        <v>774063.86289523</v>
      </c>
      <c r="J82" s="354">
        <f t="shared" si="41"/>
        <v>968316.889381106</v>
      </c>
      <c r="K82" s="354">
        <f t="shared" si="41"/>
        <v>1137600.76624793</v>
      </c>
      <c r="L82" s="354">
        <f t="shared" si="41"/>
        <v>1329888.15381193</v>
      </c>
      <c r="M82" s="354">
        <f t="shared" si="41"/>
        <v>1422507.02193528</v>
      </c>
      <c r="N82" s="354">
        <f t="shared" si="41"/>
        <v>1221426.06993788</v>
      </c>
      <c r="O82" s="354">
        <f t="shared" si="41"/>
        <v>1025979.21661687</v>
      </c>
      <c r="P82" s="318"/>
      <c r="Q82" s="104"/>
      <c r="R82" s="104"/>
    </row>
    <row r="83" ht="15.6" hidden="1" customHeight="1" collapsed="1" spans="1:18">
      <c r="A83" s="342" t="s">
        <v>55</v>
      </c>
      <c r="B83" s="343"/>
      <c r="C83" s="296" t="s">
        <v>425</v>
      </c>
      <c r="D83" s="296">
        <v>770.36882</v>
      </c>
      <c r="E83" s="296">
        <v>741.42854</v>
      </c>
      <c r="F83" s="296">
        <v>763.50516</v>
      </c>
      <c r="G83" s="296">
        <v>766.01624</v>
      </c>
      <c r="H83" s="296">
        <v>831.68695</v>
      </c>
      <c r="I83" s="296">
        <v>824.01968</v>
      </c>
      <c r="J83" s="296">
        <v>839.2091</v>
      </c>
      <c r="K83" s="296">
        <v>583.2903</v>
      </c>
      <c r="L83" s="296">
        <v>793.0073</v>
      </c>
      <c r="M83" s="296">
        <v>589.92044</v>
      </c>
      <c r="N83" s="296">
        <v>801.39809</v>
      </c>
      <c r="O83" s="296">
        <v>815.91192</v>
      </c>
      <c r="P83" s="296">
        <f t="shared" ref="P83:P88" si="42">SUM(D83:O83)</f>
        <v>9119.76254</v>
      </c>
    </row>
    <row r="84" ht="15.6" hidden="1" customHeight="1" spans="1:18">
      <c r="A84" s="293"/>
      <c r="B84" s="347"/>
      <c r="C84" s="303" t="s">
        <v>427</v>
      </c>
      <c r="D84" s="317">
        <v>818.33241</v>
      </c>
      <c r="E84" s="317">
        <v>613.15617</v>
      </c>
      <c r="F84" s="317">
        <v>735</v>
      </c>
      <c r="G84" s="317"/>
      <c r="H84" s="317"/>
      <c r="I84" s="317"/>
      <c r="J84" s="317"/>
      <c r="K84" s="317"/>
      <c r="L84" s="317"/>
      <c r="M84" s="317"/>
      <c r="N84" s="317"/>
      <c r="O84" s="317"/>
      <c r="P84" s="317"/>
    </row>
    <row r="85" ht="15.6" hidden="1" customHeight="1" spans="1:18">
      <c r="A85" s="302"/>
      <c r="B85" s="346"/>
      <c r="C85" s="320" t="s">
        <v>521</v>
      </c>
      <c r="D85" s="355">
        <f t="shared" ref="D85:O85" si="43">D84-D83</f>
        <v>47.96359</v>
      </c>
      <c r="E85" s="355">
        <f t="shared" si="43"/>
        <v>-128.27237</v>
      </c>
      <c r="F85" s="355">
        <f t="shared" si="43"/>
        <v>-28.50516</v>
      </c>
      <c r="G85" s="355">
        <f t="shared" si="43"/>
        <v>-766.01624</v>
      </c>
      <c r="H85" s="355">
        <f t="shared" si="43"/>
        <v>-831.68695</v>
      </c>
      <c r="I85" s="355">
        <f t="shared" si="43"/>
        <v>-824.01968</v>
      </c>
      <c r="J85" s="355">
        <f t="shared" si="43"/>
        <v>-839.2091</v>
      </c>
      <c r="K85" s="355">
        <f t="shared" si="43"/>
        <v>-583.2903</v>
      </c>
      <c r="L85" s="355">
        <f t="shared" si="43"/>
        <v>-793.0073</v>
      </c>
      <c r="M85" s="355">
        <f t="shared" si="43"/>
        <v>-589.92044</v>
      </c>
      <c r="N85" s="355">
        <f t="shared" si="43"/>
        <v>-801.39809</v>
      </c>
      <c r="O85" s="355">
        <f t="shared" si="43"/>
        <v>-815.91192</v>
      </c>
      <c r="P85" s="355">
        <f t="shared" si="42"/>
        <v>-6953.27396</v>
      </c>
    </row>
    <row r="86" ht="15.6" customHeight="1" spans="1:18">
      <c r="A86" s="342" t="s">
        <v>522</v>
      </c>
      <c r="B86" s="343"/>
      <c r="C86" s="296" t="s">
        <v>425</v>
      </c>
      <c r="D86" s="326">
        <f t="shared" ref="D86:P86" si="44">D47/D67</f>
        <v>3985.6</v>
      </c>
      <c r="E86" s="326">
        <f t="shared" si="44"/>
        <v>4105.25</v>
      </c>
      <c r="F86" s="326">
        <f t="shared" si="44"/>
        <v>4632.85</v>
      </c>
      <c r="G86" s="326">
        <f t="shared" si="44"/>
        <v>4934.35</v>
      </c>
      <c r="H86" s="326">
        <f t="shared" si="44"/>
        <v>4667.65</v>
      </c>
      <c r="I86" s="326">
        <f t="shared" si="44"/>
        <v>4171.77777777778</v>
      </c>
      <c r="J86" s="326">
        <f t="shared" si="44"/>
        <v>4322.16666666667</v>
      </c>
      <c r="K86" s="326">
        <f t="shared" si="44"/>
        <v>3920.8</v>
      </c>
      <c r="L86" s="326">
        <f t="shared" si="44"/>
        <v>4128.45454545455</v>
      </c>
      <c r="M86" s="326">
        <f t="shared" si="44"/>
        <v>4648.83333333333</v>
      </c>
      <c r="N86" s="326">
        <f t="shared" si="44"/>
        <v>4651.04166666667</v>
      </c>
      <c r="O86" s="326">
        <f t="shared" si="44"/>
        <v>5036.93333333333</v>
      </c>
      <c r="P86" s="326">
        <f t="shared" si="44"/>
        <v>4439.80508474576</v>
      </c>
    </row>
    <row r="87" ht="15.6" customHeight="1" spans="1:18">
      <c r="A87" s="302"/>
      <c r="B87" s="346"/>
      <c r="C87" s="303" t="s">
        <v>427</v>
      </c>
      <c r="D87" s="356">
        <f t="shared" ref="D87:P87" si="45">D49/D68</f>
        <v>4880.55</v>
      </c>
      <c r="E87" s="356">
        <f t="shared" si="45"/>
        <v>5314.7</v>
      </c>
      <c r="F87" s="356">
        <f t="shared" si="45"/>
        <v>4668.52173913043</v>
      </c>
      <c r="G87" s="356">
        <f t="shared" si="45"/>
        <v>5255.71428571429</v>
      </c>
      <c r="H87" s="356">
        <f t="shared" si="45"/>
        <v>4823.64285714286</v>
      </c>
      <c r="I87" s="356">
        <f t="shared" si="45"/>
        <v>4648.72727272727</v>
      </c>
      <c r="J87" s="356">
        <f t="shared" si="45"/>
        <v>5115.70588235294</v>
      </c>
      <c r="K87" s="356">
        <f t="shared" si="45"/>
        <v>5097.5000625</v>
      </c>
      <c r="L87" s="356">
        <f t="shared" si="45"/>
        <v>5325.36363636364</v>
      </c>
      <c r="M87" s="356">
        <f t="shared" si="45"/>
        <v>5870.2</v>
      </c>
      <c r="N87" s="356">
        <f t="shared" si="45"/>
        <v>5411.14285714286</v>
      </c>
      <c r="O87" s="356">
        <f t="shared" si="45"/>
        <v>5492.35714285714</v>
      </c>
      <c r="P87" s="356">
        <f t="shared" si="45"/>
        <v>5213.87826521739</v>
      </c>
    </row>
    <row r="88" ht="15.6" spans="1:18">
      <c r="A88" s="358" t="s">
        <v>523</v>
      </c>
      <c r="B88" s="359"/>
      <c r="C88" s="296" t="s">
        <v>425</v>
      </c>
      <c r="D88" s="326">
        <v>279</v>
      </c>
      <c r="E88" s="326">
        <v>296</v>
      </c>
      <c r="F88" s="326">
        <v>293</v>
      </c>
      <c r="G88" s="326">
        <v>296</v>
      </c>
      <c r="H88" s="326">
        <v>293</v>
      </c>
      <c r="I88" s="326">
        <v>281</v>
      </c>
      <c r="J88" s="326">
        <v>247</v>
      </c>
      <c r="K88" s="326">
        <v>239</v>
      </c>
      <c r="L88" s="326">
        <v>248</v>
      </c>
      <c r="M88" s="326">
        <v>310</v>
      </c>
      <c r="N88" s="326">
        <v>310</v>
      </c>
      <c r="O88" s="326">
        <v>280</v>
      </c>
      <c r="P88" s="326">
        <f t="shared" si="42"/>
        <v>3372</v>
      </c>
    </row>
    <row r="89" ht="15.6" spans="1:18">
      <c r="A89" s="360"/>
      <c r="B89" s="361"/>
      <c r="C89" s="303" t="s">
        <v>427</v>
      </c>
      <c r="D89" s="328">
        <v>294</v>
      </c>
      <c r="E89" s="328">
        <v>294</v>
      </c>
      <c r="F89" s="328">
        <v>325</v>
      </c>
      <c r="G89" s="328">
        <v>265</v>
      </c>
      <c r="H89" s="328">
        <v>265</v>
      </c>
      <c r="I89" s="328">
        <v>265</v>
      </c>
      <c r="J89" s="328"/>
      <c r="K89" s="328"/>
      <c r="L89" s="328"/>
      <c r="M89" s="328"/>
      <c r="N89" s="328"/>
      <c r="O89" s="328"/>
      <c r="P89" s="328"/>
    </row>
    <row r="90" ht="15.6" spans="1:18">
      <c r="A90" s="358" t="s">
        <v>524</v>
      </c>
      <c r="B90" s="359"/>
      <c r="C90" s="296" t="s">
        <v>425</v>
      </c>
      <c r="D90" s="326">
        <v>170</v>
      </c>
      <c r="E90" s="326">
        <v>181</v>
      </c>
      <c r="F90" s="326">
        <v>180</v>
      </c>
      <c r="G90" s="326">
        <v>182</v>
      </c>
      <c r="H90" s="326">
        <v>178</v>
      </c>
      <c r="I90" s="326">
        <v>141</v>
      </c>
      <c r="J90" s="326">
        <v>126</v>
      </c>
      <c r="K90" s="326">
        <v>127</v>
      </c>
      <c r="L90" s="326">
        <v>120</v>
      </c>
      <c r="M90" s="326">
        <v>132</v>
      </c>
      <c r="N90" s="326">
        <v>134</v>
      </c>
      <c r="O90" s="326">
        <v>133</v>
      </c>
      <c r="P90" s="326">
        <f>SUM(D90:O90)</f>
        <v>1804</v>
      </c>
    </row>
    <row r="91" ht="15.6" spans="1:18">
      <c r="A91" s="360"/>
      <c r="B91" s="361"/>
      <c r="C91" s="303" t="s">
        <v>427</v>
      </c>
      <c r="D91" s="328">
        <v>127</v>
      </c>
      <c r="E91" s="328">
        <v>127</v>
      </c>
      <c r="F91" s="328">
        <v>125</v>
      </c>
      <c r="G91" s="328">
        <v>113</v>
      </c>
      <c r="H91" s="328">
        <v>114</v>
      </c>
      <c r="I91" s="328">
        <v>114</v>
      </c>
      <c r="J91" s="328"/>
      <c r="K91" s="328"/>
      <c r="L91" s="328"/>
      <c r="M91" s="328"/>
      <c r="N91" s="328"/>
      <c r="O91" s="328"/>
      <c r="P91" s="328"/>
    </row>
    <row r="92" ht="15.6" spans="1:18">
      <c r="A92" s="358" t="s">
        <v>525</v>
      </c>
      <c r="B92" s="359"/>
      <c r="C92" s="296" t="s">
        <v>425</v>
      </c>
      <c r="D92" s="326">
        <f t="shared" ref="D92:P92" si="46">D90+D88</f>
        <v>449</v>
      </c>
      <c r="E92" s="326">
        <f t="shared" si="46"/>
        <v>477</v>
      </c>
      <c r="F92" s="326">
        <f t="shared" si="46"/>
        <v>473</v>
      </c>
      <c r="G92" s="326">
        <f t="shared" si="46"/>
        <v>478</v>
      </c>
      <c r="H92" s="326">
        <f t="shared" si="46"/>
        <v>471</v>
      </c>
      <c r="I92" s="326">
        <f t="shared" si="46"/>
        <v>422</v>
      </c>
      <c r="J92" s="326">
        <f t="shared" si="46"/>
        <v>373</v>
      </c>
      <c r="K92" s="326">
        <f t="shared" si="46"/>
        <v>366</v>
      </c>
      <c r="L92" s="326">
        <f t="shared" si="46"/>
        <v>368</v>
      </c>
      <c r="M92" s="326">
        <f t="shared" si="46"/>
        <v>442</v>
      </c>
      <c r="N92" s="326">
        <f t="shared" si="46"/>
        <v>444</v>
      </c>
      <c r="O92" s="326">
        <f t="shared" si="46"/>
        <v>413</v>
      </c>
      <c r="P92" s="326">
        <f t="shared" si="46"/>
        <v>5176</v>
      </c>
    </row>
    <row r="93" ht="15.6" spans="1:18">
      <c r="A93" s="362"/>
      <c r="B93" s="363"/>
      <c r="C93" s="303" t="s">
        <v>427</v>
      </c>
      <c r="D93" s="356">
        <f t="shared" ref="D93:I93" si="47">D91+D89</f>
        <v>421</v>
      </c>
      <c r="E93" s="356">
        <f t="shared" si="47"/>
        <v>421</v>
      </c>
      <c r="F93" s="356">
        <f t="shared" si="47"/>
        <v>450</v>
      </c>
      <c r="G93" s="356">
        <f t="shared" si="47"/>
        <v>378</v>
      </c>
      <c r="H93" s="356">
        <f t="shared" si="47"/>
        <v>379</v>
      </c>
      <c r="I93" s="356">
        <f t="shared" si="47"/>
        <v>379</v>
      </c>
      <c r="J93" s="356"/>
      <c r="K93" s="356"/>
      <c r="L93" s="356"/>
      <c r="M93" s="356"/>
      <c r="N93" s="356"/>
      <c r="O93" s="356"/>
      <c r="P93" s="356"/>
    </row>
    <row r="94" ht="15.6" spans="1:18">
      <c r="A94" s="342" t="s">
        <v>526</v>
      </c>
      <c r="B94" s="342"/>
      <c r="C94" s="296" t="s">
        <v>425</v>
      </c>
      <c r="D94" s="326">
        <f>D92</f>
        <v>449</v>
      </c>
      <c r="E94" s="326">
        <f t="shared" ref="E94:O94" si="48">D94+E92</f>
        <v>926</v>
      </c>
      <c r="F94" s="326">
        <f t="shared" si="48"/>
        <v>1399</v>
      </c>
      <c r="G94" s="326">
        <f t="shared" si="48"/>
        <v>1877</v>
      </c>
      <c r="H94" s="326">
        <f t="shared" si="48"/>
        <v>2348</v>
      </c>
      <c r="I94" s="326">
        <f t="shared" si="48"/>
        <v>2770</v>
      </c>
      <c r="J94" s="326">
        <f t="shared" si="48"/>
        <v>3143</v>
      </c>
      <c r="K94" s="326">
        <f t="shared" si="48"/>
        <v>3509</v>
      </c>
      <c r="L94" s="326">
        <f t="shared" si="48"/>
        <v>3877</v>
      </c>
      <c r="M94" s="326">
        <f t="shared" si="48"/>
        <v>4319</v>
      </c>
      <c r="N94" s="326">
        <f t="shared" si="48"/>
        <v>4763</v>
      </c>
      <c r="O94" s="326">
        <f t="shared" si="48"/>
        <v>5176</v>
      </c>
      <c r="P94" s="296"/>
    </row>
    <row r="95" ht="15.6" spans="1:18">
      <c r="A95" s="342"/>
      <c r="B95" s="342"/>
      <c r="C95" s="364" t="s">
        <v>427</v>
      </c>
      <c r="D95" s="365">
        <f>D93</f>
        <v>421</v>
      </c>
      <c r="E95" s="365">
        <f t="shared" ref="E95:I95" si="49">D95+E93</f>
        <v>842</v>
      </c>
      <c r="F95" s="365">
        <f t="shared" si="49"/>
        <v>1292</v>
      </c>
      <c r="G95" s="365">
        <f t="shared" si="49"/>
        <v>1670</v>
      </c>
      <c r="H95" s="365">
        <f t="shared" si="49"/>
        <v>2049</v>
      </c>
      <c r="I95" s="365">
        <f t="shared" si="49"/>
        <v>2428</v>
      </c>
      <c r="J95" s="365"/>
      <c r="K95" s="365"/>
      <c r="L95" s="365"/>
      <c r="M95" s="365"/>
      <c r="N95" s="365"/>
      <c r="O95" s="365"/>
      <c r="P95" s="324"/>
    </row>
    <row r="96" ht="15.6" spans="1:18">
      <c r="A96" s="342" t="s">
        <v>527</v>
      </c>
      <c r="B96" s="342"/>
      <c r="C96" s="296" t="s">
        <v>425</v>
      </c>
      <c r="D96" s="296">
        <f t="shared" ref="D96:O96" si="50">D47/D92/D67/7.5</f>
        <v>1.18354862657758</v>
      </c>
      <c r="E96" s="296">
        <f t="shared" si="50"/>
        <v>1.14751921733054</v>
      </c>
      <c r="F96" s="296">
        <f t="shared" si="50"/>
        <v>1.30594785059901</v>
      </c>
      <c r="G96" s="296">
        <f t="shared" si="50"/>
        <v>1.37638772663877</v>
      </c>
      <c r="H96" s="296">
        <f t="shared" si="50"/>
        <v>1.32134465675867</v>
      </c>
      <c r="I96" s="296">
        <f t="shared" si="50"/>
        <v>1.31809724416359</v>
      </c>
      <c r="J96" s="296">
        <f t="shared" si="50"/>
        <v>1.54501042597557</v>
      </c>
      <c r="K96" s="296">
        <f t="shared" si="50"/>
        <v>1.42834244080146</v>
      </c>
      <c r="L96" s="296">
        <f t="shared" si="50"/>
        <v>1.49581686429513</v>
      </c>
      <c r="M96" s="296">
        <f t="shared" si="50"/>
        <v>1.40236299648064</v>
      </c>
      <c r="N96" s="296">
        <f t="shared" si="50"/>
        <v>1.39670920920921</v>
      </c>
      <c r="O96" s="296">
        <f t="shared" si="50"/>
        <v>1.62612859833199</v>
      </c>
      <c r="P96" s="296">
        <f>P48/P92/20/7.5</f>
        <v>1.61489824832561</v>
      </c>
    </row>
    <row r="97" ht="15.6" spans="1:18">
      <c r="A97" s="342"/>
      <c r="B97" s="342"/>
      <c r="C97" s="303" t="s">
        <v>427</v>
      </c>
      <c r="D97" s="324">
        <f t="shared" ref="D97:I97" si="51">D49/D93/D68/7.5</f>
        <v>1.54570071258907</v>
      </c>
      <c r="E97" s="324">
        <f t="shared" si="51"/>
        <v>1.68319873317498</v>
      </c>
      <c r="F97" s="324">
        <f t="shared" si="51"/>
        <v>1.38326570048309</v>
      </c>
      <c r="G97" s="324">
        <f t="shared" si="51"/>
        <v>1.85386747291509</v>
      </c>
      <c r="H97" s="324">
        <f t="shared" si="51"/>
        <v>1.6969719814047</v>
      </c>
      <c r="I97" s="324">
        <f t="shared" si="51"/>
        <v>1.63543615575278</v>
      </c>
      <c r="J97" s="324"/>
      <c r="K97" s="324"/>
      <c r="L97" s="324"/>
      <c r="M97" s="324"/>
      <c r="N97" s="324"/>
      <c r="O97" s="324"/>
      <c r="P97" s="324"/>
    </row>
    <row r="98" s="281" customFormat="1" ht="15.6" spans="1:18">
      <c r="A98" s="342"/>
      <c r="B98" s="342"/>
      <c r="C98" s="366" t="s">
        <v>503</v>
      </c>
      <c r="D98" s="367">
        <f t="shared" ref="D98:I98" si="52">(D97-D96)/D96</f>
        <v>0.305988345454563</v>
      </c>
      <c r="E98" s="367">
        <f t="shared" si="52"/>
        <v>0.46681528967383</v>
      </c>
      <c r="F98" s="367">
        <f t="shared" si="52"/>
        <v>0.0592043930763501</v>
      </c>
      <c r="G98" s="367">
        <f t="shared" si="52"/>
        <v>0.346907878525156</v>
      </c>
      <c r="H98" s="367">
        <f t="shared" si="52"/>
        <v>0.284276568361402</v>
      </c>
      <c r="I98" s="367">
        <f t="shared" si="52"/>
        <v>0.240755310728655</v>
      </c>
      <c r="J98" s="367"/>
      <c r="K98" s="367"/>
      <c r="L98" s="367"/>
      <c r="M98" s="367"/>
      <c r="N98" s="367"/>
      <c r="O98" s="367"/>
      <c r="P98" s="367"/>
      <c r="Q98" s="104"/>
      <c r="R98" s="104"/>
    </row>
    <row r="99" ht="15.6" spans="1:18">
      <c r="A99" s="358" t="s">
        <v>528</v>
      </c>
      <c r="B99" s="359"/>
      <c r="C99" s="296" t="s">
        <v>425</v>
      </c>
      <c r="D99" s="296">
        <f t="shared" ref="D99:O99" si="53">D59/D94/D67/7.5</f>
        <v>1.18354862657758</v>
      </c>
      <c r="E99" s="296">
        <f t="shared" si="53"/>
        <v>1.16498920086393</v>
      </c>
      <c r="F99" s="296">
        <f t="shared" si="53"/>
        <v>1.2126471289016</v>
      </c>
      <c r="G99" s="296">
        <f t="shared" si="53"/>
        <v>1.2543455869295</v>
      </c>
      <c r="H99" s="296">
        <f t="shared" si="53"/>
        <v>1.26778534923339</v>
      </c>
      <c r="I99" s="296">
        <f t="shared" si="53"/>
        <v>1.3948549271293</v>
      </c>
      <c r="J99" s="296">
        <f t="shared" si="53"/>
        <v>1.41267484474611</v>
      </c>
      <c r="K99" s="296">
        <f t="shared" si="53"/>
        <v>1.66737468731199</v>
      </c>
      <c r="L99" s="296">
        <f t="shared" si="53"/>
        <v>1.1709194081647</v>
      </c>
      <c r="M99" s="296">
        <f t="shared" si="53"/>
        <v>1.10701422654421</v>
      </c>
      <c r="N99" s="296">
        <f t="shared" si="53"/>
        <v>1.13401917558961</v>
      </c>
      <c r="O99" s="296">
        <f t="shared" si="53"/>
        <v>1.79940580456809</v>
      </c>
      <c r="P99" s="296">
        <v>1.8</v>
      </c>
    </row>
    <row r="100" ht="15.6" spans="1:18">
      <c r="A100" s="362"/>
      <c r="B100" s="363"/>
      <c r="C100" s="303" t="s">
        <v>427</v>
      </c>
      <c r="D100" s="324">
        <f t="shared" ref="D100:G100" si="54">D61/D95/D68/7.5</f>
        <v>1.54570071258907</v>
      </c>
      <c r="E100" s="324">
        <f t="shared" si="54"/>
        <v>1.61444972288203</v>
      </c>
      <c r="F100" s="324">
        <f t="shared" si="54"/>
        <v>1.39669313949836</v>
      </c>
      <c r="G100" s="324">
        <f t="shared" si="54"/>
        <v>1.60308335709533</v>
      </c>
      <c r="H100" s="324">
        <f>H61/H95/19/7.5</f>
        <v>1.67538123003947</v>
      </c>
      <c r="I100" s="324">
        <f>I61/I95/19/7.5</f>
        <v>1.70945403046331</v>
      </c>
      <c r="J100" s="324"/>
      <c r="K100" s="324"/>
      <c r="L100" s="324"/>
      <c r="M100" s="324"/>
      <c r="N100" s="324"/>
      <c r="O100" s="324"/>
      <c r="P100" s="324"/>
    </row>
    <row r="101" s="281" customFormat="1" ht="15.6" spans="1:18">
      <c r="A101" s="360"/>
      <c r="B101" s="361"/>
      <c r="C101" s="366" t="s">
        <v>503</v>
      </c>
      <c r="D101" s="367">
        <f t="shared" ref="D101:I101" si="55">(D100-D99)/D99</f>
        <v>0.305988345454559</v>
      </c>
      <c r="E101" s="367">
        <f t="shared" si="55"/>
        <v>0.385806599481601</v>
      </c>
      <c r="F101" s="367">
        <f t="shared" si="55"/>
        <v>0.151772107656303</v>
      </c>
      <c r="G101" s="367">
        <f t="shared" si="55"/>
        <v>0.278023675293108</v>
      </c>
      <c r="H101" s="367">
        <f t="shared" si="55"/>
        <v>0.321502280376207</v>
      </c>
      <c r="I101" s="367">
        <f t="shared" si="55"/>
        <v>0.225542525760348</v>
      </c>
      <c r="J101" s="367"/>
      <c r="K101" s="367"/>
      <c r="L101" s="367"/>
      <c r="M101" s="367"/>
      <c r="N101" s="367"/>
      <c r="O101" s="367"/>
      <c r="P101" s="367"/>
      <c r="Q101" s="104"/>
      <c r="R101" s="104"/>
    </row>
  </sheetData>
  <mergeCells count="44">
    <mergeCell ref="B1:P1"/>
    <mergeCell ref="B2:P2"/>
    <mergeCell ref="Q2:R2"/>
    <mergeCell ref="B13:C13"/>
    <mergeCell ref="B14:C14"/>
    <mergeCell ref="B22:C22"/>
    <mergeCell ref="B23:C23"/>
    <mergeCell ref="B27:C27"/>
    <mergeCell ref="B28:C28"/>
    <mergeCell ref="B29:C29"/>
    <mergeCell ref="B30:C30"/>
    <mergeCell ref="B34:C34"/>
    <mergeCell ref="B35:C35"/>
    <mergeCell ref="B36:C36"/>
    <mergeCell ref="A79:C79"/>
    <mergeCell ref="A80:C80"/>
    <mergeCell ref="A81:C81"/>
    <mergeCell ref="A82:C82"/>
    <mergeCell ref="A3:A46"/>
    <mergeCell ref="A47:A66"/>
    <mergeCell ref="B4:B12"/>
    <mergeCell ref="B15:B21"/>
    <mergeCell ref="B24:B26"/>
    <mergeCell ref="B31:B33"/>
    <mergeCell ref="B37:B39"/>
    <mergeCell ref="B40:B42"/>
    <mergeCell ref="B43:B44"/>
    <mergeCell ref="B45:B46"/>
    <mergeCell ref="B47:B50"/>
    <mergeCell ref="B51:B54"/>
    <mergeCell ref="B55:B58"/>
    <mergeCell ref="B59:B62"/>
    <mergeCell ref="B63:B66"/>
    <mergeCell ref="A90:B91"/>
    <mergeCell ref="A92:B93"/>
    <mergeCell ref="A94:B95"/>
    <mergeCell ref="A96:B98"/>
    <mergeCell ref="A99:B101"/>
    <mergeCell ref="A83:B85"/>
    <mergeCell ref="A67:B68"/>
    <mergeCell ref="A69:B75"/>
    <mergeCell ref="A86:B87"/>
    <mergeCell ref="A88:B89"/>
    <mergeCell ref="A76:B78"/>
  </mergeCells>
  <conditionalFormatting sqref="D13:P13">
    <cfRule type="cellIs" dxfId="0" priority="2" operator="lessThan">
      <formula>0</formula>
    </cfRule>
  </conditionalFormatting>
  <conditionalFormatting sqref="D22:P22">
    <cfRule type="cellIs" dxfId="0" priority="1" operator="lessThan">
      <formula>0</formula>
    </cfRule>
  </conditionalFormatting>
  <pageMargins left="0.7" right="0.7" top="0.75" bottom="0.75" header="0.3" footer="0.3"/>
  <pageSetup paperSize="256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3"/>
  <sheetViews>
    <sheetView zoomScale="70" zoomScaleNormal="70" topLeftCell="A24" workbookViewId="0">
      <selection activeCell="A1" sqref="A1:P46"/>
    </sheetView>
  </sheetViews>
  <sheetFormatPr defaultColWidth="8.88888888888889" defaultRowHeight="14.4"/>
  <cols>
    <col min="1" max="1" width="4.33333333333333" style="104" customWidth="1"/>
    <col min="2" max="2" width="24.6666666666667" style="104" customWidth="1"/>
    <col min="3" max="3" width="24.4444444444444" style="104" customWidth="1"/>
    <col min="4" max="16" width="18.7777777777778" style="104" customWidth="1"/>
    <col min="17" max="17" width="10.7777777777778" style="104" hidden="1" customWidth="1"/>
    <col min="18" max="19" width="12.2222222222222" style="104" customWidth="1"/>
    <col min="20" max="20" width="8.88888888888889" style="104" customWidth="1"/>
    <col min="21" max="16384" width="8.88888888888889" style="104"/>
  </cols>
  <sheetData>
    <row r="1" s="281" customFormat="1" ht="37.8" customHeight="1" spans="1:17">
      <c r="B1" s="284" t="s">
        <v>448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/>
    </row>
    <row r="2" s="281" customFormat="1" ht="165" customHeight="1" spans="1:17">
      <c r="B2" s="285" t="s">
        <v>529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286"/>
    </row>
    <row r="3" s="281" customFormat="1" ht="16.2" customHeight="1" spans="1:17">
      <c r="A3" s="287" t="s">
        <v>450</v>
      </c>
      <c r="B3" s="288" t="s">
        <v>451</v>
      </c>
      <c r="C3" s="288" t="s">
        <v>410</v>
      </c>
      <c r="D3" s="289" t="s">
        <v>411</v>
      </c>
      <c r="E3" s="289" t="s">
        <v>412</v>
      </c>
      <c r="F3" s="289" t="s">
        <v>413</v>
      </c>
      <c r="G3" s="289" t="s">
        <v>414</v>
      </c>
      <c r="H3" s="289" t="s">
        <v>415</v>
      </c>
      <c r="I3" s="289" t="s">
        <v>416</v>
      </c>
      <c r="J3" s="289" t="s">
        <v>417</v>
      </c>
      <c r="K3" s="289" t="s">
        <v>418</v>
      </c>
      <c r="L3" s="289" t="s">
        <v>419</v>
      </c>
      <c r="M3" s="289" t="s">
        <v>420</v>
      </c>
      <c r="N3" s="289" t="s">
        <v>421</v>
      </c>
      <c r="O3" s="289" t="s">
        <v>422</v>
      </c>
      <c r="P3" s="289" t="s">
        <v>423</v>
      </c>
    </row>
    <row r="4" s="281" customFormat="1" ht="19.95" hidden="1" customHeight="1" spans="1:17">
      <c r="A4" s="87"/>
      <c r="B4" s="290" t="s">
        <v>452</v>
      </c>
      <c r="C4" s="291" t="s">
        <v>530</v>
      </c>
      <c r="D4" s="292">
        <v>11387.7930815451</v>
      </c>
      <c r="E4" s="292">
        <v>11383.9567562694</v>
      </c>
      <c r="F4" s="292">
        <v>11384.1824224621</v>
      </c>
      <c r="G4" s="292">
        <v>10843.2605585923</v>
      </c>
      <c r="H4" s="292">
        <v>8301.80789655553</v>
      </c>
      <c r="I4" s="292">
        <v>12020.109753453</v>
      </c>
      <c r="J4" s="292">
        <v>9489.03773627986</v>
      </c>
      <c r="K4" s="292">
        <v>8834.83144368133</v>
      </c>
      <c r="L4" s="292">
        <v>12125.4958654377</v>
      </c>
      <c r="M4" s="292">
        <v>10955.6423225502</v>
      </c>
      <c r="N4" s="292">
        <v>11601.047633634</v>
      </c>
      <c r="O4" s="292">
        <v>9179.19805372112</v>
      </c>
      <c r="P4" s="292">
        <v>127506.363524182</v>
      </c>
    </row>
    <row r="5" s="281" customFormat="1" ht="19.95" hidden="1" customHeight="1" spans="1:17">
      <c r="A5" s="87"/>
      <c r="B5" s="293"/>
      <c r="C5" s="291" t="s">
        <v>454</v>
      </c>
      <c r="D5" s="292">
        <v>11599.1904627147</v>
      </c>
      <c r="E5" s="292">
        <v>10318.4590779781</v>
      </c>
      <c r="F5" s="292">
        <v>10279.8157623576</v>
      </c>
      <c r="G5" s="292">
        <v>10804.9911396273</v>
      </c>
      <c r="H5" s="292">
        <v>11868.1838017311</v>
      </c>
      <c r="I5" s="292">
        <v>6637.89743744387</v>
      </c>
      <c r="J5" s="292">
        <v>9550.82107886083</v>
      </c>
      <c r="K5" s="292">
        <v>7188.57938086822</v>
      </c>
      <c r="L5" s="292">
        <v>5817.77264692603</v>
      </c>
      <c r="M5" s="292">
        <v>5854.6234748209</v>
      </c>
      <c r="N5" s="292">
        <v>7485.28</v>
      </c>
      <c r="O5" s="292">
        <v>8923.716</v>
      </c>
      <c r="P5" s="292">
        <v>106138.644</v>
      </c>
    </row>
    <row r="6" s="281" customFormat="1" ht="19.95" hidden="1" customHeight="1" spans="1:17">
      <c r="A6" s="87"/>
      <c r="B6" s="293"/>
      <c r="C6" s="291" t="s">
        <v>455</v>
      </c>
      <c r="D6" s="292">
        <v>238.808969605622</v>
      </c>
      <c r="E6" s="292">
        <v>224.153521994614</v>
      </c>
      <c r="F6" s="292">
        <v>221.84897085175</v>
      </c>
      <c r="G6" s="292">
        <v>218.888461795825</v>
      </c>
      <c r="H6" s="292">
        <v>220.992548073349</v>
      </c>
      <c r="I6" s="292">
        <v>223.769465933248</v>
      </c>
      <c r="J6" s="292">
        <v>228.177391567977</v>
      </c>
      <c r="K6" s="292">
        <v>224.80468401877</v>
      </c>
      <c r="L6" s="292">
        <v>205.807720635561</v>
      </c>
      <c r="M6" s="292">
        <v>223.365131998813</v>
      </c>
      <c r="N6" s="292">
        <v>220</v>
      </c>
      <c r="O6" s="292">
        <v>212</v>
      </c>
      <c r="P6" s="292">
        <v>222</v>
      </c>
    </row>
    <row r="7" s="281" customFormat="1" ht="19.95" hidden="1" customHeight="1" spans="1:17">
      <c r="A7" s="87"/>
      <c r="B7" s="293"/>
      <c r="C7" s="291" t="s">
        <v>456</v>
      </c>
      <c r="D7" s="292">
        <v>225.666192686624</v>
      </c>
      <c r="E7" s="292">
        <v>225.666192686624</v>
      </c>
      <c r="F7" s="292">
        <v>225.666192686624</v>
      </c>
      <c r="G7" s="292">
        <v>225.666192686624</v>
      </c>
      <c r="H7" s="292">
        <v>225.666192686624</v>
      </c>
      <c r="I7" s="292">
        <v>225.666192686624</v>
      </c>
      <c r="J7" s="292">
        <v>225.666192686624</v>
      </c>
      <c r="K7" s="292">
        <v>225.666192686624</v>
      </c>
      <c r="L7" s="292">
        <v>225.666192686624</v>
      </c>
      <c r="M7" s="292">
        <v>225.666192686624</v>
      </c>
      <c r="N7" s="292">
        <v>225.666192686624</v>
      </c>
      <c r="O7" s="292">
        <v>225.666192686624</v>
      </c>
      <c r="P7" s="292">
        <v>225.666192686624</v>
      </c>
    </row>
    <row r="8" s="281" customFormat="1" ht="19.95" hidden="1" customHeight="1" spans="1:17">
      <c r="A8" s="87"/>
      <c r="B8" s="293"/>
      <c r="C8" s="291" t="s">
        <v>531</v>
      </c>
      <c r="D8" s="294">
        <v>1838.25562589263</v>
      </c>
      <c r="E8" s="294">
        <v>1852.39235597551</v>
      </c>
      <c r="F8" s="294">
        <v>1893.03651095637</v>
      </c>
      <c r="G8" s="294">
        <v>1849.66731083101</v>
      </c>
      <c r="H8" s="294">
        <v>1928.86884185175</v>
      </c>
      <c r="I8" s="294">
        <v>1870.43255354125</v>
      </c>
      <c r="J8" s="294">
        <v>1859.23509922568</v>
      </c>
      <c r="K8" s="294">
        <v>1842.16734103215</v>
      </c>
      <c r="L8" s="294">
        <v>1948.68678955627</v>
      </c>
      <c r="M8" s="294">
        <v>1894.92463260729</v>
      </c>
      <c r="N8" s="294">
        <v>1861.96276515168</v>
      </c>
      <c r="O8" s="294">
        <v>1947.15049037351</v>
      </c>
      <c r="P8" s="295">
        <v>22586.7803169951</v>
      </c>
    </row>
    <row r="9" s="281" customFormat="1" ht="19.95" hidden="1" customHeight="1" spans="1:17">
      <c r="A9" s="87"/>
      <c r="B9" s="293"/>
      <c r="C9" s="291" t="s">
        <v>458</v>
      </c>
      <c r="D9" s="294">
        <v>1702.22127577778</v>
      </c>
      <c r="E9" s="294">
        <v>1632.23341011</v>
      </c>
      <c r="F9" s="294">
        <v>1827.89985</v>
      </c>
      <c r="G9" s="294">
        <v>1591.59675947</v>
      </c>
      <c r="H9" s="294">
        <v>1866.98700931903</v>
      </c>
      <c r="I9" s="294">
        <v>1737.90001</v>
      </c>
      <c r="J9" s="294">
        <v>1637.4123</v>
      </c>
      <c r="K9" s="294">
        <v>1533.5455277507</v>
      </c>
      <c r="L9" s="294">
        <v>1597.85532</v>
      </c>
      <c r="M9" s="294">
        <v>1443.0898</v>
      </c>
      <c r="N9" s="294">
        <v>1758.5060736739</v>
      </c>
      <c r="O9" s="294">
        <v>1502.30284</v>
      </c>
      <c r="P9" s="295">
        <v>19831.5501761014</v>
      </c>
    </row>
    <row r="10" s="281" customFormat="1" ht="19.95" hidden="1" customHeight="1" spans="1:17">
      <c r="A10" s="87"/>
      <c r="B10" s="293"/>
      <c r="C10" s="296" t="s">
        <v>425</v>
      </c>
      <c r="D10" s="297">
        <v>0.146753455014773</v>
      </c>
      <c r="E10" s="297">
        <v>0.158185771516365</v>
      </c>
      <c r="F10" s="297">
        <v>0.177814456236985</v>
      </c>
      <c r="G10" s="297">
        <v>0.147301995800147</v>
      </c>
      <c r="H10" s="297">
        <v>0.157310254080048</v>
      </c>
      <c r="I10" s="297">
        <v>0.26181483314229</v>
      </c>
      <c r="J10" s="297">
        <v>0.17144204529432</v>
      </c>
      <c r="K10" s="297">
        <v>0.213330819136824</v>
      </c>
      <c r="L10" s="297">
        <v>0.274650698295037</v>
      </c>
      <c r="M10" s="297">
        <v>0.246487208990694</v>
      </c>
      <c r="N10" s="297">
        <v>0.234928562949402</v>
      </c>
      <c r="O10" s="297">
        <v>0.168349467867422</v>
      </c>
      <c r="P10" s="298">
        <v>0.186845708864543</v>
      </c>
    </row>
    <row r="11" s="281" customFormat="1" ht="19.95" hidden="1" customHeight="1" spans="1:17">
      <c r="A11" s="87"/>
      <c r="B11" s="293"/>
      <c r="C11" s="299" t="s">
        <v>426</v>
      </c>
      <c r="D11" s="300">
        <v>0.161423342760915</v>
      </c>
      <c r="E11" s="300">
        <v>0.162719553107521</v>
      </c>
      <c r="F11" s="300">
        <v>0.166286558024687</v>
      </c>
      <c r="G11" s="300">
        <v>0.170582206416253</v>
      </c>
      <c r="H11" s="300">
        <v>0.232343227630219</v>
      </c>
      <c r="I11" s="300">
        <v>0.155608608565652</v>
      </c>
      <c r="J11" s="300">
        <v>0.195935051677282</v>
      </c>
      <c r="K11" s="300">
        <v>0.208511883081784</v>
      </c>
      <c r="L11" s="300">
        <v>0.160709863842416</v>
      </c>
      <c r="M11" s="300">
        <v>0.172963353203575</v>
      </c>
      <c r="N11" s="300">
        <v>0.160499536244765</v>
      </c>
      <c r="O11" s="300">
        <v>0.212126427491578</v>
      </c>
      <c r="P11" s="301">
        <v>0.177142376997611</v>
      </c>
    </row>
    <row r="12" s="281" customFormat="1" ht="19.95" hidden="1" customHeight="1" spans="1:17">
      <c r="A12" s="87"/>
      <c r="B12" s="302"/>
      <c r="C12" s="303" t="s">
        <v>532</v>
      </c>
      <c r="D12" s="304">
        <f t="shared" ref="D12:P12" si="0">D8/D4</f>
        <v>0.161423342760915</v>
      </c>
      <c r="E12" s="304">
        <f t="shared" si="0"/>
        <v>0.162719553107522</v>
      </c>
      <c r="F12" s="304">
        <f t="shared" si="0"/>
        <v>0.166286558024687</v>
      </c>
      <c r="G12" s="304">
        <f t="shared" si="0"/>
        <v>0.170582206416253</v>
      </c>
      <c r="H12" s="304">
        <f t="shared" si="0"/>
        <v>0.232343227630219</v>
      </c>
      <c r="I12" s="304">
        <f t="shared" si="0"/>
        <v>0.155608608565653</v>
      </c>
      <c r="J12" s="304">
        <f t="shared" si="0"/>
        <v>0.195935051677283</v>
      </c>
      <c r="K12" s="304">
        <f t="shared" si="0"/>
        <v>0.208511883081784</v>
      </c>
      <c r="L12" s="304">
        <f t="shared" si="0"/>
        <v>0.160709863842416</v>
      </c>
      <c r="M12" s="304">
        <f t="shared" si="0"/>
        <v>0.172963353203575</v>
      </c>
      <c r="N12" s="304">
        <f t="shared" si="0"/>
        <v>0.160499536244765</v>
      </c>
      <c r="O12" s="304">
        <f t="shared" si="0"/>
        <v>0.212126427491578</v>
      </c>
      <c r="P12" s="304">
        <f t="shared" si="0"/>
        <v>0.177142376997611</v>
      </c>
    </row>
    <row r="13" s="281" customFormat="1" ht="19.95" hidden="1" customHeight="1" spans="1:17">
      <c r="A13" s="87"/>
      <c r="B13" s="305" t="s">
        <v>459</v>
      </c>
      <c r="C13" s="8"/>
      <c r="D13" s="306">
        <f t="shared" ref="D13:P13" si="1">(D10-D12)/D10</f>
        <v>-0.0999628100385449</v>
      </c>
      <c r="E13" s="306">
        <f t="shared" si="1"/>
        <v>-0.0286611213366162</v>
      </c>
      <c r="F13" s="306">
        <f t="shared" si="1"/>
        <v>0.0648310517393122</v>
      </c>
      <c r="G13" s="306">
        <f t="shared" si="1"/>
        <v>-0.158044094987633</v>
      </c>
      <c r="H13" s="306">
        <f t="shared" si="1"/>
        <v>-0.476974460367917</v>
      </c>
      <c r="I13" s="306">
        <f t="shared" si="1"/>
        <v>0.405653962771914</v>
      </c>
      <c r="J13" s="306">
        <f t="shared" si="1"/>
        <v>-0.14286464175643</v>
      </c>
      <c r="K13" s="306">
        <f t="shared" si="1"/>
        <v>0.0225890289763962</v>
      </c>
      <c r="L13" s="306">
        <f t="shared" si="1"/>
        <v>0.414857253813434</v>
      </c>
      <c r="M13" s="306">
        <f t="shared" si="1"/>
        <v>0.298286698478924</v>
      </c>
      <c r="N13" s="306">
        <f t="shared" si="1"/>
        <v>0.316815570530126</v>
      </c>
      <c r="O13" s="306">
        <f t="shared" si="1"/>
        <v>-0.260036222143757</v>
      </c>
      <c r="P13" s="306">
        <f t="shared" si="1"/>
        <v>0.0519323238724549</v>
      </c>
    </row>
    <row r="14" s="281" customFormat="1" ht="19.95" hidden="1" customHeight="1" spans="1:17">
      <c r="A14" s="87"/>
      <c r="B14" s="305" t="s">
        <v>460</v>
      </c>
      <c r="C14" s="8"/>
      <c r="D14" s="307">
        <f t="shared" ref="D14:O14" si="2">2-D12/D11</f>
        <v>1</v>
      </c>
      <c r="E14" s="307">
        <f t="shared" si="2"/>
        <v>0.999999999999995</v>
      </c>
      <c r="F14" s="307">
        <f t="shared" si="2"/>
        <v>0.999999999999998</v>
      </c>
      <c r="G14" s="307">
        <f t="shared" si="2"/>
        <v>0.999999999999998</v>
      </c>
      <c r="H14" s="307">
        <f t="shared" si="2"/>
        <v>1</v>
      </c>
      <c r="I14" s="307">
        <f t="shared" si="2"/>
        <v>0.999999999999997</v>
      </c>
      <c r="J14" s="307">
        <f t="shared" si="2"/>
        <v>0.999999999999997</v>
      </c>
      <c r="K14" s="307">
        <f t="shared" si="2"/>
        <v>1</v>
      </c>
      <c r="L14" s="307">
        <f t="shared" si="2"/>
        <v>1</v>
      </c>
      <c r="M14" s="307">
        <f t="shared" si="2"/>
        <v>0.999999999999997</v>
      </c>
      <c r="N14" s="307">
        <f t="shared" si="2"/>
        <v>1</v>
      </c>
      <c r="O14" s="307">
        <f t="shared" si="2"/>
        <v>0.999999999999999</v>
      </c>
      <c r="P14" s="308"/>
    </row>
    <row r="15" s="281" customFormat="1" ht="19.95" hidden="1" customHeight="1" spans="1:17">
      <c r="A15" s="87"/>
      <c r="B15" s="290" t="s">
        <v>461</v>
      </c>
      <c r="C15" s="291" t="s">
        <v>533</v>
      </c>
      <c r="D15" s="292">
        <f>D4</f>
        <v>11387.7930815451</v>
      </c>
      <c r="E15" s="309">
        <f t="shared" ref="E15:O15" si="3">D15+E4</f>
        <v>22771.7498378145</v>
      </c>
      <c r="F15" s="309">
        <f t="shared" si="3"/>
        <v>34155.9322602766</v>
      </c>
      <c r="G15" s="309">
        <f t="shared" si="3"/>
        <v>44999.1928188689</v>
      </c>
      <c r="H15" s="309">
        <f t="shared" si="3"/>
        <v>53301.0007154244</v>
      </c>
      <c r="I15" s="309">
        <f t="shared" si="3"/>
        <v>65321.1104688774</v>
      </c>
      <c r="J15" s="309">
        <f t="shared" si="3"/>
        <v>74810.1482051573</v>
      </c>
      <c r="K15" s="309">
        <f t="shared" si="3"/>
        <v>83644.9796488386</v>
      </c>
      <c r="L15" s="309">
        <f t="shared" si="3"/>
        <v>95770.4755142763</v>
      </c>
      <c r="M15" s="309">
        <f t="shared" si="3"/>
        <v>106726.117836827</v>
      </c>
      <c r="N15" s="309">
        <f t="shared" si="3"/>
        <v>118327.165470461</v>
      </c>
      <c r="O15" s="309">
        <f t="shared" si="3"/>
        <v>127506.363524182</v>
      </c>
      <c r="P15" s="292">
        <f>O15</f>
        <v>127506.363524182</v>
      </c>
    </row>
    <row r="16" s="281" customFormat="1" ht="19.95" hidden="1" customHeight="1" spans="1:17">
      <c r="A16" s="87"/>
      <c r="B16" s="293"/>
      <c r="C16" s="291" t="s">
        <v>463</v>
      </c>
      <c r="D16" s="292">
        <f>D5</f>
        <v>11599.1904627147</v>
      </c>
      <c r="E16" s="309">
        <f t="shared" ref="E16:O16" si="4">D16+E5</f>
        <v>21917.6495406928</v>
      </c>
      <c r="F16" s="309">
        <f t="shared" si="4"/>
        <v>32197.4653030504</v>
      </c>
      <c r="G16" s="309">
        <f t="shared" si="4"/>
        <v>43002.4564426777</v>
      </c>
      <c r="H16" s="309">
        <f t="shared" si="4"/>
        <v>54870.6402444088</v>
      </c>
      <c r="I16" s="309">
        <f t="shared" si="4"/>
        <v>61508.5376818527</v>
      </c>
      <c r="J16" s="309">
        <f t="shared" si="4"/>
        <v>71059.3587607135</v>
      </c>
      <c r="K16" s="309">
        <f t="shared" si="4"/>
        <v>78247.9381415817</v>
      </c>
      <c r="L16" s="309">
        <f t="shared" si="4"/>
        <v>84065.7107885077</v>
      </c>
      <c r="M16" s="309">
        <f t="shared" si="4"/>
        <v>89920.3342633286</v>
      </c>
      <c r="N16" s="309">
        <f t="shared" si="4"/>
        <v>97405.6142633286</v>
      </c>
      <c r="O16" s="309">
        <f t="shared" si="4"/>
        <v>106329.330263329</v>
      </c>
      <c r="P16" s="292">
        <f>O16</f>
        <v>106329.330263329</v>
      </c>
    </row>
    <row r="17" s="281" customFormat="1" ht="19.95" hidden="1" customHeight="1" spans="1:17">
      <c r="A17" s="87"/>
      <c r="B17" s="293"/>
      <c r="C17" s="291" t="s">
        <v>534</v>
      </c>
      <c r="D17" s="309">
        <f>D8</f>
        <v>1838.25562589263</v>
      </c>
      <c r="E17" s="309">
        <f t="shared" ref="E17:O17" si="5">D17+E8</f>
        <v>3690.64798186814</v>
      </c>
      <c r="F17" s="309">
        <f t="shared" si="5"/>
        <v>5583.68449282451</v>
      </c>
      <c r="G17" s="309">
        <f t="shared" si="5"/>
        <v>7433.35180365552</v>
      </c>
      <c r="H17" s="309">
        <f t="shared" si="5"/>
        <v>9362.22064550727</v>
      </c>
      <c r="I17" s="309">
        <f t="shared" si="5"/>
        <v>11232.6531990485</v>
      </c>
      <c r="J17" s="309">
        <f t="shared" si="5"/>
        <v>13091.8882982742</v>
      </c>
      <c r="K17" s="309">
        <f t="shared" si="5"/>
        <v>14934.0556393063</v>
      </c>
      <c r="L17" s="309">
        <f t="shared" si="5"/>
        <v>16882.7424288626</v>
      </c>
      <c r="M17" s="309">
        <f t="shared" si="5"/>
        <v>18777.6670614699</v>
      </c>
      <c r="N17" s="309">
        <f t="shared" si="5"/>
        <v>20639.6298266216</v>
      </c>
      <c r="O17" s="309">
        <f t="shared" si="5"/>
        <v>22586.7803169951</v>
      </c>
      <c r="P17" s="292">
        <f>O17</f>
        <v>22586.7803169951</v>
      </c>
    </row>
    <row r="18" s="281" customFormat="1" ht="19.95" hidden="1" customHeight="1" spans="1:17">
      <c r="A18" s="87"/>
      <c r="B18" s="293"/>
      <c r="C18" s="291" t="s">
        <v>465</v>
      </c>
      <c r="D18" s="309">
        <f>D9</f>
        <v>1702.22127577778</v>
      </c>
      <c r="E18" s="309">
        <f t="shared" ref="E18:O18" si="6">D18+E9</f>
        <v>3334.45468588778</v>
      </c>
      <c r="F18" s="309">
        <f t="shared" si="6"/>
        <v>5162.35453588778</v>
      </c>
      <c r="G18" s="309">
        <f t="shared" si="6"/>
        <v>6753.95129535778</v>
      </c>
      <c r="H18" s="309">
        <f t="shared" si="6"/>
        <v>8620.93830467681</v>
      </c>
      <c r="I18" s="309">
        <f t="shared" si="6"/>
        <v>10358.8383146768</v>
      </c>
      <c r="J18" s="309">
        <f t="shared" si="6"/>
        <v>11996.2506146768</v>
      </c>
      <c r="K18" s="309">
        <f t="shared" si="6"/>
        <v>13529.7961424275</v>
      </c>
      <c r="L18" s="309">
        <f t="shared" si="6"/>
        <v>15127.6514624275</v>
      </c>
      <c r="M18" s="309">
        <f t="shared" si="6"/>
        <v>16570.7412624275</v>
      </c>
      <c r="N18" s="309">
        <f t="shared" si="6"/>
        <v>18329.2473361014</v>
      </c>
      <c r="O18" s="309">
        <f t="shared" si="6"/>
        <v>19831.5501761014</v>
      </c>
      <c r="P18" s="292">
        <f>O18</f>
        <v>19831.5501761014</v>
      </c>
    </row>
    <row r="19" s="281" customFormat="1" ht="19.95" hidden="1" customHeight="1" spans="1:17">
      <c r="A19" s="87"/>
      <c r="B19" s="293"/>
      <c r="C19" s="296" t="s">
        <v>425</v>
      </c>
      <c r="D19" s="310">
        <f t="shared" ref="D19:P19" si="7">D18/D16</f>
        <v>0.146753455014772</v>
      </c>
      <c r="E19" s="310">
        <f t="shared" si="7"/>
        <v>0.152135596460604</v>
      </c>
      <c r="F19" s="310">
        <f t="shared" si="7"/>
        <v>0.160334190511534</v>
      </c>
      <c r="G19" s="310">
        <f t="shared" si="7"/>
        <v>0.157059662495346</v>
      </c>
      <c r="H19" s="310">
        <f t="shared" si="7"/>
        <v>0.157113863922068</v>
      </c>
      <c r="I19" s="310">
        <f t="shared" si="7"/>
        <v>0.168413015576097</v>
      </c>
      <c r="J19" s="310">
        <f t="shared" si="7"/>
        <v>0.168820136065021</v>
      </c>
      <c r="K19" s="310">
        <f t="shared" si="7"/>
        <v>0.172909299129987</v>
      </c>
      <c r="L19" s="310">
        <f t="shared" si="7"/>
        <v>0.179950318870028</v>
      </c>
      <c r="M19" s="310">
        <f t="shared" si="7"/>
        <v>0.184282469568014</v>
      </c>
      <c r="N19" s="310">
        <f t="shared" si="7"/>
        <v>0.1881744443041</v>
      </c>
      <c r="O19" s="310">
        <f t="shared" si="7"/>
        <v>0.18651062813043</v>
      </c>
      <c r="P19" s="310">
        <f t="shared" si="7"/>
        <v>0.18651062813043</v>
      </c>
    </row>
    <row r="20" s="281" customFormat="1" ht="19.95" hidden="1" customHeight="1" spans="1:17">
      <c r="A20" s="87"/>
      <c r="B20" s="293"/>
      <c r="C20" s="299" t="s">
        <v>426</v>
      </c>
      <c r="D20" s="300">
        <v>0.161423342760915</v>
      </c>
      <c r="E20" s="300">
        <v>0.162071338748834</v>
      </c>
      <c r="F20" s="300">
        <v>0.163476272592282</v>
      </c>
      <c r="G20" s="300">
        <v>0.165188558683181</v>
      </c>
      <c r="H20" s="300">
        <v>0.175648121420692</v>
      </c>
      <c r="I20" s="300">
        <v>0.171960536470064</v>
      </c>
      <c r="J20" s="300">
        <v>0.17500150196697</v>
      </c>
      <c r="K20" s="300">
        <v>0.178540968053349</v>
      </c>
      <c r="L20" s="300">
        <v>0.176283372701286</v>
      </c>
      <c r="M20" s="300">
        <v>0.175942566281471</v>
      </c>
      <c r="N20" s="300">
        <v>0.174428498684641</v>
      </c>
      <c r="O20" s="300">
        <v>0.177142376997611</v>
      </c>
      <c r="P20" s="300">
        <v>0.177142376997611</v>
      </c>
    </row>
    <row r="21" s="281" customFormat="1" ht="19.95" hidden="1" customHeight="1" spans="1:17">
      <c r="A21" s="87"/>
      <c r="B21" s="302"/>
      <c r="C21" s="303" t="s">
        <v>532</v>
      </c>
      <c r="D21" s="311">
        <f t="shared" ref="D21:P21" si="8">D17/D15</f>
        <v>0.161423342760915</v>
      </c>
      <c r="E21" s="311">
        <f t="shared" si="8"/>
        <v>0.162071338748834</v>
      </c>
      <c r="F21" s="311">
        <f t="shared" si="8"/>
        <v>0.163476272592282</v>
      </c>
      <c r="G21" s="311">
        <f t="shared" si="8"/>
        <v>0.165188558683181</v>
      </c>
      <c r="H21" s="311">
        <f t="shared" si="8"/>
        <v>0.175648121420692</v>
      </c>
      <c r="I21" s="311">
        <f t="shared" si="8"/>
        <v>0.171960536470065</v>
      </c>
      <c r="J21" s="311">
        <f t="shared" si="8"/>
        <v>0.175001501966971</v>
      </c>
      <c r="K21" s="311">
        <f t="shared" si="8"/>
        <v>0.178540968053349</v>
      </c>
      <c r="L21" s="311">
        <f t="shared" si="8"/>
        <v>0.176283372701287</v>
      </c>
      <c r="M21" s="311">
        <f t="shared" si="8"/>
        <v>0.175942566281471</v>
      </c>
      <c r="N21" s="311">
        <f t="shared" si="8"/>
        <v>0.174428498684642</v>
      </c>
      <c r="O21" s="311">
        <f t="shared" si="8"/>
        <v>0.177142376997612</v>
      </c>
      <c r="P21" s="311">
        <f t="shared" si="8"/>
        <v>0.177142376997612</v>
      </c>
    </row>
    <row r="22" s="281" customFormat="1" ht="19.95" hidden="1" customHeight="1" spans="1:17">
      <c r="A22" s="87"/>
      <c r="B22" s="305" t="s">
        <v>459</v>
      </c>
      <c r="C22" s="8"/>
      <c r="D22" s="312">
        <f t="shared" ref="D22:O22" si="9">(D19-D21)/D19</f>
        <v>-0.0999628100385486</v>
      </c>
      <c r="E22" s="312">
        <f t="shared" si="9"/>
        <v>-0.0653084650757788</v>
      </c>
      <c r="F22" s="312">
        <f t="shared" si="9"/>
        <v>-0.0195970807643968</v>
      </c>
      <c r="G22" s="312">
        <f t="shared" si="9"/>
        <v>-0.0517567404557246</v>
      </c>
      <c r="H22" s="312">
        <f t="shared" si="9"/>
        <v>-0.117967040183145</v>
      </c>
      <c r="I22" s="312">
        <f t="shared" si="9"/>
        <v>-0.0210644105019582</v>
      </c>
      <c r="J22" s="312">
        <f t="shared" si="9"/>
        <v>-0.0366150984475497</v>
      </c>
      <c r="K22" s="312">
        <f t="shared" si="9"/>
        <v>-0.0325700754771332</v>
      </c>
      <c r="L22" s="312">
        <f t="shared" si="9"/>
        <v>0.0203775474907031</v>
      </c>
      <c r="M22" s="312">
        <f t="shared" si="9"/>
        <v>0.0452560859754769</v>
      </c>
      <c r="N22" s="312">
        <f t="shared" si="9"/>
        <v>0.0730489502455736</v>
      </c>
      <c r="O22" s="312">
        <f t="shared" si="9"/>
        <v>0.0502290471418466</v>
      </c>
      <c r="P22" s="312"/>
    </row>
    <row r="23" s="281" customFormat="1" ht="16.2" customHeight="1" spans="1:17">
      <c r="A23" s="87"/>
      <c r="B23" s="305" t="s">
        <v>460</v>
      </c>
      <c r="C23" s="8"/>
      <c r="D23" s="307">
        <f t="shared" ref="D23:J23" si="10">2-D21/D20</f>
        <v>1</v>
      </c>
      <c r="E23" s="307">
        <f t="shared" si="10"/>
        <v>1</v>
      </c>
      <c r="F23" s="307">
        <f t="shared" si="10"/>
        <v>0.999999999999998</v>
      </c>
      <c r="G23" s="307">
        <f t="shared" si="10"/>
        <v>0.999999999999998</v>
      </c>
      <c r="H23" s="307">
        <f t="shared" si="10"/>
        <v>0.999999999999999</v>
      </c>
      <c r="I23" s="307">
        <f t="shared" si="10"/>
        <v>0.999999999999996</v>
      </c>
      <c r="J23" s="307">
        <f t="shared" si="10"/>
        <v>0.999999999999996</v>
      </c>
      <c r="K23" s="307">
        <v>0.06</v>
      </c>
      <c r="L23" s="307">
        <f>2-L21/L20</f>
        <v>0.999999999999996</v>
      </c>
      <c r="M23" s="307">
        <f>2-M21/M20</f>
        <v>1</v>
      </c>
      <c r="N23" s="307">
        <f>2-N21/N20</f>
        <v>0.999999999999997</v>
      </c>
      <c r="O23" s="307">
        <f>2-O21/O20</f>
        <v>0.999999999999996</v>
      </c>
      <c r="P23" s="307">
        <f>2-P21/P20</f>
        <v>0.999999999999996</v>
      </c>
    </row>
    <row r="24" s="281" customFormat="1" ht="16.2" customHeight="1" spans="1:17">
      <c r="A24" s="87"/>
      <c r="B24" s="313" t="s">
        <v>466</v>
      </c>
      <c r="C24" s="296" t="s">
        <v>425</v>
      </c>
      <c r="D24" s="296">
        <v>29.694717362208</v>
      </c>
      <c r="E24" s="296">
        <v>27.6820206296191</v>
      </c>
      <c r="F24" s="296">
        <v>29.102663778305</v>
      </c>
      <c r="G24" s="296">
        <v>31.1229667500823</v>
      </c>
      <c r="H24" s="296">
        <v>23.0334082203312</v>
      </c>
      <c r="I24" s="296">
        <v>30.2457964092316</v>
      </c>
      <c r="J24" s="296">
        <v>31.123388843442</v>
      </c>
      <c r="K24" s="296">
        <v>66.7913695449611</v>
      </c>
      <c r="L24" s="296">
        <v>34.2874636427066</v>
      </c>
      <c r="M24" s="296">
        <v>34.7914399579328</v>
      </c>
      <c r="N24" s="296">
        <v>37.6496265461252</v>
      </c>
      <c r="O24" s="296">
        <v>48.8406817634608</v>
      </c>
      <c r="P24" s="296">
        <v>33.2603065752387</v>
      </c>
    </row>
    <row r="25" s="281" customFormat="1" ht="16.2" customHeight="1" spans="1:17">
      <c r="A25" s="87"/>
      <c r="B25" s="87"/>
      <c r="C25" s="299" t="s">
        <v>426</v>
      </c>
      <c r="D25" s="314">
        <v>40.0449920163892</v>
      </c>
      <c r="E25" s="314">
        <v>37.9964933664923</v>
      </c>
      <c r="F25" s="314">
        <v>32.6978167602652</v>
      </c>
      <c r="G25" s="314">
        <v>28.580160844213</v>
      </c>
      <c r="H25" s="314">
        <v>32.6225752574154</v>
      </c>
      <c r="I25" s="314">
        <v>27.6481120696316</v>
      </c>
      <c r="J25" s="314">
        <v>26.507382121303</v>
      </c>
      <c r="K25" s="314">
        <v>34.6683292566935</v>
      </c>
      <c r="L25" s="314">
        <v>22.8335954008801</v>
      </c>
      <c r="M25" s="314">
        <v>28.5187121672751</v>
      </c>
      <c r="N25" s="314">
        <v>30.9479580899339</v>
      </c>
      <c r="O25" s="314">
        <v>33.5923135909516</v>
      </c>
      <c r="P25" s="315">
        <v>30.71978370569</v>
      </c>
    </row>
    <row r="26" s="281" customFormat="1" ht="15.6" customHeight="1" spans="1:17">
      <c r="A26" s="87"/>
      <c r="B26" s="87"/>
      <c r="C26" s="303" t="s">
        <v>532</v>
      </c>
      <c r="D26" s="316">
        <v>34.9554951575672</v>
      </c>
      <c r="E26" s="316">
        <v>32.7910305097132</v>
      </c>
      <c r="F26" s="316">
        <v>32.1556536473229</v>
      </c>
      <c r="G26" s="316">
        <v>25.9070811758388</v>
      </c>
      <c r="H26" s="316">
        <v>30.1653256992277</v>
      </c>
      <c r="I26" s="316">
        <v>36.5277907100623</v>
      </c>
      <c r="J26" s="316">
        <v>30.4450404246841</v>
      </c>
      <c r="K26" s="316">
        <v>36.6214204584098</v>
      </c>
      <c r="L26" s="316">
        <v>13.6287438618898</v>
      </c>
      <c r="M26" s="316">
        <v>20.771014770731</v>
      </c>
      <c r="N26" s="316">
        <v>23.4580335946249</v>
      </c>
      <c r="O26" s="316">
        <v>21.0503589485666</v>
      </c>
      <c r="P26" s="316">
        <v>27.5439728324461</v>
      </c>
      <c r="Q26" s="317"/>
    </row>
    <row r="27" s="281" customFormat="1" ht="16.2" customHeight="1" spans="1:17">
      <c r="A27" s="87"/>
      <c r="B27" s="318" t="s">
        <v>467</v>
      </c>
      <c r="C27" s="8"/>
      <c r="D27" s="319">
        <f t="shared" ref="D27:P27" si="11">2-D26/D25</f>
        <v>1.12709446556361</v>
      </c>
      <c r="E27" s="319">
        <f t="shared" si="11"/>
        <v>1.13699850685089</v>
      </c>
      <c r="F27" s="319">
        <f t="shared" si="11"/>
        <v>1.01658101875478</v>
      </c>
      <c r="G27" s="319">
        <f t="shared" si="11"/>
        <v>1.09352920310508</v>
      </c>
      <c r="H27" s="319">
        <f t="shared" si="11"/>
        <v>1.07532359229148</v>
      </c>
      <c r="I27" s="319">
        <f t="shared" si="11"/>
        <v>0.678832369527898</v>
      </c>
      <c r="J27" s="319">
        <f t="shared" si="11"/>
        <v>0.851450502152132</v>
      </c>
      <c r="K27" s="319">
        <f t="shared" si="11"/>
        <v>0.943663532578824</v>
      </c>
      <c r="L27" s="319">
        <f t="shared" si="11"/>
        <v>1.40312755732877</v>
      </c>
      <c r="M27" s="319">
        <f t="shared" si="11"/>
        <v>1.27167066139243</v>
      </c>
      <c r="N27" s="319">
        <f t="shared" si="11"/>
        <v>1.24201675837687</v>
      </c>
      <c r="O27" s="319">
        <f t="shared" si="11"/>
        <v>1.37335786975278</v>
      </c>
      <c r="P27" s="319">
        <f t="shared" si="11"/>
        <v>1.1033799880777</v>
      </c>
    </row>
    <row r="28" s="282" customFormat="1" ht="19.95" hidden="1" customHeight="1" spans="1:17">
      <c r="A28" s="87"/>
      <c r="B28" s="320" t="s">
        <v>468</v>
      </c>
      <c r="C28" s="8"/>
      <c r="D28" s="321">
        <f t="shared" ref="D28:O28" si="12">D25/D24-1</f>
        <v>0.348556092584799</v>
      </c>
      <c r="E28" s="321">
        <f t="shared" si="12"/>
        <v>0.372605485519975</v>
      </c>
      <c r="F28" s="321">
        <f t="shared" si="12"/>
        <v>0.123533467910256</v>
      </c>
      <c r="G28" s="321">
        <f t="shared" si="12"/>
        <v>-0.0817019124907998</v>
      </c>
      <c r="H28" s="321">
        <f t="shared" si="12"/>
        <v>0.416315594520658</v>
      </c>
      <c r="I28" s="321">
        <f t="shared" si="12"/>
        <v>-0.0858857973006502</v>
      </c>
      <c r="J28" s="321">
        <f t="shared" si="12"/>
        <v>-0.148313114145719</v>
      </c>
      <c r="K28" s="321">
        <f t="shared" si="12"/>
        <v>-0.48094597411487</v>
      </c>
      <c r="L28" s="321">
        <f t="shared" si="12"/>
        <v>-0.334054112639588</v>
      </c>
      <c r="M28" s="321">
        <f t="shared" si="12"/>
        <v>-0.180295147261574</v>
      </c>
      <c r="N28" s="321">
        <f t="shared" si="12"/>
        <v>-0.178000927790903</v>
      </c>
      <c r="O28" s="321">
        <f t="shared" si="12"/>
        <v>-0.31220629241742</v>
      </c>
      <c r="P28" s="320"/>
    </row>
    <row r="29" s="281" customFormat="1" ht="15.6" customHeight="1" spans="1:17">
      <c r="A29" s="87"/>
      <c r="B29" s="318" t="s">
        <v>469</v>
      </c>
      <c r="C29" s="8"/>
      <c r="D29" s="322">
        <f t="shared" ref="D29:P29" si="13">(D24-D26)/D24</f>
        <v>-0.177162076715184</v>
      </c>
      <c r="E29" s="322">
        <f t="shared" si="13"/>
        <v>-0.184560583508401</v>
      </c>
      <c r="F29" s="322">
        <f t="shared" si="13"/>
        <v>-0.104904138407213</v>
      </c>
      <c r="G29" s="322">
        <f t="shared" si="13"/>
        <v>0.167589600828453</v>
      </c>
      <c r="H29" s="322">
        <f t="shared" si="13"/>
        <v>-0.309633616122918</v>
      </c>
      <c r="I29" s="322">
        <f t="shared" si="13"/>
        <v>-0.207698095161195</v>
      </c>
      <c r="J29" s="322">
        <f t="shared" si="13"/>
        <v>0.0217954549284511</v>
      </c>
      <c r="K29" s="322">
        <f t="shared" si="13"/>
        <v>0.451704303895763</v>
      </c>
      <c r="L29" s="322">
        <f t="shared" si="13"/>
        <v>0.602515251524333</v>
      </c>
      <c r="M29" s="322">
        <f t="shared" si="13"/>
        <v>0.40298490675161</v>
      </c>
      <c r="N29" s="322">
        <f t="shared" si="13"/>
        <v>0.376938478635743</v>
      </c>
      <c r="O29" s="322">
        <f t="shared" si="13"/>
        <v>0.568999485909818</v>
      </c>
      <c r="P29" s="322">
        <f t="shared" si="13"/>
        <v>0.171866537966557</v>
      </c>
    </row>
    <row r="30" s="281" customFormat="1" ht="19.95" hidden="1" customHeight="1" spans="1:17">
      <c r="A30" s="87"/>
      <c r="B30" s="318" t="s">
        <v>470</v>
      </c>
      <c r="C30" s="8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318"/>
    </row>
    <row r="31" s="281" customFormat="1" ht="15" customHeight="1" spans="1:17">
      <c r="A31" s="87"/>
      <c r="B31" s="313" t="s">
        <v>471</v>
      </c>
      <c r="C31" s="296" t="s">
        <v>425</v>
      </c>
      <c r="D31" s="296">
        <f t="shared" ref="D31:P31" si="14">D40/D59*1000</f>
        <v>29.694717362208</v>
      </c>
      <c r="E31" s="296">
        <f t="shared" si="14"/>
        <v>28.5718398366721</v>
      </c>
      <c r="F31" s="296">
        <f t="shared" si="14"/>
        <v>28.7656709644683</v>
      </c>
      <c r="G31" s="296">
        <f t="shared" si="14"/>
        <v>29.3797544911131</v>
      </c>
      <c r="H31" s="296">
        <f t="shared" si="14"/>
        <v>27.6799992440281</v>
      </c>
      <c r="I31" s="296">
        <f t="shared" si="14"/>
        <v>28.1269402277187</v>
      </c>
      <c r="J31" s="296">
        <f t="shared" si="14"/>
        <v>28.5935256487531</v>
      </c>
      <c r="K31" s="296">
        <f t="shared" si="14"/>
        <v>31.1186413434468</v>
      </c>
      <c r="L31" s="296">
        <f t="shared" si="14"/>
        <v>31.4695269832806</v>
      </c>
      <c r="M31" s="296">
        <f t="shared" si="14"/>
        <v>31.817413865385</v>
      </c>
      <c r="N31" s="296">
        <f t="shared" si="14"/>
        <v>32.3262754961326</v>
      </c>
      <c r="O31" s="296">
        <f t="shared" si="14"/>
        <v>33.2603065752387</v>
      </c>
      <c r="P31" s="296">
        <f t="shared" si="14"/>
        <v>33.2603065752387</v>
      </c>
    </row>
    <row r="32" s="281" customFormat="1" ht="15.6" customHeight="1" spans="1:17">
      <c r="A32" s="87"/>
      <c r="B32" s="87"/>
      <c r="C32" s="299" t="s">
        <v>426</v>
      </c>
      <c r="D32" s="323">
        <f t="shared" ref="D32:P32" si="15">D41/D60*1000</f>
        <v>40.5446166386464</v>
      </c>
      <c r="E32" s="323">
        <f t="shared" si="15"/>
        <v>79.6588461051414</v>
      </c>
      <c r="F32" s="323">
        <f t="shared" si="15"/>
        <v>94.4259724630152</v>
      </c>
      <c r="G32" s="323">
        <f t="shared" si="15"/>
        <v>115.158053344125</v>
      </c>
      <c r="H32" s="323">
        <f t="shared" si="15"/>
        <v>164.173253270978</v>
      </c>
      <c r="I32" s="323">
        <f t="shared" si="15"/>
        <v>176.237156266301</v>
      </c>
      <c r="J32" s="323">
        <f t="shared" si="15"/>
        <v>204.365991107275</v>
      </c>
      <c r="K32" s="323">
        <f t="shared" si="15"/>
        <v>300.007099470337</v>
      </c>
      <c r="L32" s="323">
        <f t="shared" si="15"/>
        <v>206.20889265721</v>
      </c>
      <c r="M32" s="323">
        <f t="shared" si="15"/>
        <v>286.47666750237</v>
      </c>
      <c r="N32" s="323">
        <f t="shared" si="15"/>
        <v>342.956420532809</v>
      </c>
      <c r="O32" s="323">
        <f t="shared" si="15"/>
        <v>379.473119542806</v>
      </c>
      <c r="P32" s="323">
        <f t="shared" si="15"/>
        <v>30.4701916072173</v>
      </c>
    </row>
    <row r="33" s="281" customFormat="1" ht="15.6" customHeight="1" spans="1:21">
      <c r="A33" s="87"/>
      <c r="B33" s="87"/>
      <c r="C33" s="303" t="s">
        <v>532</v>
      </c>
      <c r="D33" s="324">
        <f t="shared" ref="D33:P33" si="16">D42/D61*1000</f>
        <v>39.5542947109595</v>
      </c>
      <c r="E33" s="324">
        <f t="shared" si="16"/>
        <v>75.1734421100352</v>
      </c>
      <c r="F33" s="324">
        <f t="shared" si="16"/>
        <v>103.28810871158</v>
      </c>
      <c r="G33" s="324">
        <f t="shared" si="16"/>
        <v>126.510676110666</v>
      </c>
      <c r="H33" s="324">
        <f t="shared" si="16"/>
        <v>167.756696825822</v>
      </c>
      <c r="I33" s="324">
        <f t="shared" si="16"/>
        <v>252.857094460336</v>
      </c>
      <c r="J33" s="324">
        <f t="shared" si="16"/>
        <v>279.548167344257</v>
      </c>
      <c r="K33" s="324">
        <f t="shared" si="16"/>
        <v>413.322749455317</v>
      </c>
      <c r="L33" s="324">
        <f t="shared" si="16"/>
        <v>285.441680356466</v>
      </c>
      <c r="M33" s="324">
        <f t="shared" si="16"/>
        <v>256.590995052196</v>
      </c>
      <c r="N33" s="324">
        <f t="shared" si="16"/>
        <v>283.339669396531</v>
      </c>
      <c r="O33" s="324">
        <f t="shared" si="16"/>
        <v>444.902514930474</v>
      </c>
      <c r="P33" s="324">
        <f t="shared" si="16"/>
        <v>32.0808905310176</v>
      </c>
    </row>
    <row r="34" ht="15.6" customHeight="1" spans="1:21">
      <c r="A34" s="87"/>
      <c r="B34" s="318" t="s">
        <v>472</v>
      </c>
      <c r="C34" s="8"/>
      <c r="D34" s="319">
        <f t="shared" ref="D34:O34" si="17">2-D33/D32</f>
        <v>1.024425485053</v>
      </c>
      <c r="E34" s="319">
        <f t="shared" si="17"/>
        <v>1.05630766969918</v>
      </c>
      <c r="F34" s="319">
        <f t="shared" si="17"/>
        <v>0.906147259939144</v>
      </c>
      <c r="G34" s="319">
        <f t="shared" si="17"/>
        <v>0.901417031315943</v>
      </c>
      <c r="H34" s="319">
        <f t="shared" si="17"/>
        <v>0.978172793171559</v>
      </c>
      <c r="I34" s="319">
        <f t="shared" si="17"/>
        <v>0.565245264861976</v>
      </c>
      <c r="J34" s="319">
        <f t="shared" si="17"/>
        <v>0.632119924505847</v>
      </c>
      <c r="K34" s="319">
        <f t="shared" si="17"/>
        <v>0.622290105184048</v>
      </c>
      <c r="L34" s="319">
        <f t="shared" si="17"/>
        <v>0.615764447991256</v>
      </c>
      <c r="M34" s="319">
        <f t="shared" si="17"/>
        <v>1.10432148876462</v>
      </c>
      <c r="N34" s="319">
        <f t="shared" si="17"/>
        <v>1.17383185608148</v>
      </c>
      <c r="O34" s="319">
        <f t="shared" si="17"/>
        <v>0.827578313145085</v>
      </c>
      <c r="P34" s="319">
        <f>O34</f>
        <v>0.827578313145085</v>
      </c>
      <c r="Q34" s="281"/>
      <c r="R34" s="281"/>
    </row>
    <row r="35" ht="15.6" customHeight="1" spans="1:21">
      <c r="A35" s="87"/>
      <c r="B35" s="318" t="s">
        <v>473</v>
      </c>
      <c r="C35" s="8"/>
      <c r="D35" s="322">
        <f t="shared" ref="D35:O35" si="18">(D31-D33)/D31</f>
        <v>-0.33203135859106</v>
      </c>
      <c r="E35" s="322">
        <f t="shared" si="18"/>
        <v>-1.631032602022</v>
      </c>
      <c r="F35" s="322">
        <f t="shared" si="18"/>
        <v>-2.59067267504947</v>
      </c>
      <c r="G35" s="322">
        <f t="shared" si="18"/>
        <v>-3.30604946508092</v>
      </c>
      <c r="H35" s="322">
        <f t="shared" si="18"/>
        <v>-5.06057447281235</v>
      </c>
      <c r="I35" s="322">
        <f t="shared" si="18"/>
        <v>-7.98985429674105</v>
      </c>
      <c r="J35" s="322">
        <f t="shared" si="18"/>
        <v>-8.77662463797806</v>
      </c>
      <c r="K35" s="322">
        <f t="shared" si="18"/>
        <v>-12.2821592335476</v>
      </c>
      <c r="L35" s="322">
        <f t="shared" si="18"/>
        <v>-8.07041534205829</v>
      </c>
      <c r="M35" s="322">
        <f t="shared" si="18"/>
        <v>-7.06448305754191</v>
      </c>
      <c r="N35" s="322">
        <f t="shared" si="18"/>
        <v>-7.76499581371285</v>
      </c>
      <c r="O35" s="322">
        <f t="shared" si="18"/>
        <v>-12.3763804589129</v>
      </c>
      <c r="P35" s="322">
        <f>O35</f>
        <v>-12.3763804589129</v>
      </c>
      <c r="Q35" s="281"/>
      <c r="R35" s="281"/>
    </row>
    <row r="36" ht="19.95" hidden="1" customHeight="1" spans="1:21">
      <c r="A36" s="87"/>
      <c r="B36" s="318" t="s">
        <v>474</v>
      </c>
      <c r="C36" s="8"/>
      <c r="D36" s="292">
        <f t="shared" ref="D36:O36" si="19">D42</f>
        <v>3152.95194</v>
      </c>
      <c r="E36" s="292">
        <f t="shared" si="19"/>
        <v>6172.11546444444</v>
      </c>
      <c r="F36" s="292">
        <f t="shared" si="19"/>
        <v>9570.36628888888</v>
      </c>
      <c r="G36" s="292">
        <f t="shared" si="19"/>
        <v>12484.9590933333</v>
      </c>
      <c r="H36" s="292">
        <f t="shared" si="19"/>
        <v>15660.590918781</v>
      </c>
      <c r="I36" s="292">
        <f t="shared" si="19"/>
        <v>18987.5449372155</v>
      </c>
      <c r="J36" s="292">
        <f t="shared" si="19"/>
        <v>21748.5678712159</v>
      </c>
      <c r="K36" s="292">
        <f t="shared" si="19"/>
        <v>24308.3375409661</v>
      </c>
      <c r="L36" s="292">
        <f t="shared" si="19"/>
        <v>25925.5260600563</v>
      </c>
      <c r="M36" s="292">
        <f t="shared" si="19"/>
        <v>28628.3704999636</v>
      </c>
      <c r="N36" s="292">
        <f t="shared" si="19"/>
        <v>31627.7905963877</v>
      </c>
      <c r="O36" s="292">
        <f t="shared" si="19"/>
        <v>33614.164613057</v>
      </c>
      <c r="P36" s="325"/>
      <c r="Q36" s="281"/>
      <c r="R36" s="281"/>
    </row>
    <row r="37" s="281" customFormat="1" ht="15.6" customHeight="1" spans="1:21">
      <c r="A37" s="87"/>
      <c r="B37" s="313" t="s">
        <v>475</v>
      </c>
      <c r="C37" s="296" t="s">
        <v>425</v>
      </c>
      <c r="D37" s="326">
        <v>2593.44753026316</v>
      </c>
      <c r="E37" s="326">
        <v>3050.89085763158</v>
      </c>
      <c r="F37" s="326">
        <v>3306.81927447368</v>
      </c>
      <c r="G37" s="326">
        <v>3411.63736921053</v>
      </c>
      <c r="H37" s="326">
        <v>3545.50949394737</v>
      </c>
      <c r="I37" s="326">
        <v>3666.66765289474</v>
      </c>
      <c r="J37" s="326">
        <v>3994.842575</v>
      </c>
      <c r="K37" s="326">
        <v>3897.20962157894</v>
      </c>
      <c r="L37" s="326">
        <v>3768.43226657895</v>
      </c>
      <c r="M37" s="326">
        <v>4039.46013631579</v>
      </c>
      <c r="N37" s="326">
        <v>3990.03212210525</v>
      </c>
      <c r="O37" s="326">
        <v>3556.43192396993</v>
      </c>
      <c r="P37" s="326">
        <v>42821.3808239699</v>
      </c>
    </row>
    <row r="38" s="281" customFormat="1" ht="15.6" customHeight="1" spans="1:21">
      <c r="A38" s="87"/>
      <c r="B38" s="87"/>
      <c r="C38" s="299" t="s">
        <v>426</v>
      </c>
      <c r="D38" s="327">
        <v>3085.85077236738</v>
      </c>
      <c r="E38" s="327">
        <v>2924.01087203501</v>
      </c>
      <c r="F38" s="327">
        <v>3243.60037905571</v>
      </c>
      <c r="G38" s="327">
        <v>3113.47648322087</v>
      </c>
      <c r="H38" s="327">
        <v>3114.59927677428</v>
      </c>
      <c r="I38" s="327">
        <v>2879.02539352629</v>
      </c>
      <c r="J38" s="327">
        <v>2712.43163005604</v>
      </c>
      <c r="K38" s="327">
        <v>2722.66830165315</v>
      </c>
      <c r="L38" s="327">
        <v>2938.9074065333</v>
      </c>
      <c r="M38" s="327">
        <v>2864.19877112287</v>
      </c>
      <c r="N38" s="327">
        <v>2851.76722446954</v>
      </c>
      <c r="O38" s="327">
        <v>2848.05306905739</v>
      </c>
      <c r="P38" s="327">
        <v>35298.5895798718</v>
      </c>
    </row>
    <row r="39" s="281" customFormat="1" ht="15.6" customHeight="1" spans="1:21">
      <c r="A39" s="87"/>
      <c r="B39" s="87"/>
      <c r="C39" s="303" t="s">
        <v>532</v>
      </c>
      <c r="D39" s="328">
        <v>3152.95194</v>
      </c>
      <c r="E39" s="328">
        <v>3019.16352444444</v>
      </c>
      <c r="F39" s="328">
        <v>3398.25082444444</v>
      </c>
      <c r="G39" s="328">
        <v>2914.59280444444</v>
      </c>
      <c r="H39" s="328">
        <v>3175.63182544763</v>
      </c>
      <c r="I39" s="328">
        <v>3326.95401843457</v>
      </c>
      <c r="J39" s="328">
        <v>2761.02293400034</v>
      </c>
      <c r="K39" s="328">
        <v>2559.76966975024</v>
      </c>
      <c r="L39" s="328">
        <v>1617.18851909025</v>
      </c>
      <c r="M39" s="328">
        <v>2702.84443990727</v>
      </c>
      <c r="N39" s="328">
        <v>2999.42009642411</v>
      </c>
      <c r="O39" s="328">
        <v>1986.37401666927</v>
      </c>
      <c r="P39" s="328">
        <v>33614.306683057</v>
      </c>
      <c r="Q39" s="283"/>
      <c r="R39" s="283"/>
    </row>
    <row r="40" s="281" customFormat="1" ht="15.6" customHeight="1" spans="1:21">
      <c r="A40" s="87"/>
      <c r="B40" s="313" t="s">
        <v>476</v>
      </c>
      <c r="C40" s="296" t="s">
        <v>425</v>
      </c>
      <c r="D40" s="326">
        <f>D37</f>
        <v>2593.44753026316</v>
      </c>
      <c r="E40" s="326">
        <f t="shared" ref="E40:O40" si="20">D40+E37</f>
        <v>5644.33838789474</v>
      </c>
      <c r="F40" s="326">
        <f t="shared" si="20"/>
        <v>8951.15766236842</v>
      </c>
      <c r="G40" s="326">
        <f t="shared" si="20"/>
        <v>12362.7950315789</v>
      </c>
      <c r="H40" s="326">
        <f t="shared" si="20"/>
        <v>15908.3045255263</v>
      </c>
      <c r="I40" s="326">
        <f t="shared" si="20"/>
        <v>19574.9721784211</v>
      </c>
      <c r="J40" s="326">
        <f t="shared" si="20"/>
        <v>23569.8147534211</v>
      </c>
      <c r="K40" s="326">
        <f t="shared" si="20"/>
        <v>27467.024375</v>
      </c>
      <c r="L40" s="326">
        <f t="shared" si="20"/>
        <v>31235.4566415789</v>
      </c>
      <c r="M40" s="326">
        <f t="shared" si="20"/>
        <v>35274.9167778947</v>
      </c>
      <c r="N40" s="326">
        <f t="shared" si="20"/>
        <v>39264.9489</v>
      </c>
      <c r="O40" s="326">
        <f t="shared" si="20"/>
        <v>42821.3808239699</v>
      </c>
      <c r="P40" s="326">
        <f>O40</f>
        <v>42821.3808239699</v>
      </c>
      <c r="Q40" s="283"/>
      <c r="R40" s="283"/>
    </row>
    <row r="41" s="281" customFormat="1" ht="15.6" customHeight="1" spans="1:21">
      <c r="A41" s="87"/>
      <c r="B41" s="87"/>
      <c r="C41" s="299" t="s">
        <v>426</v>
      </c>
      <c r="D41" s="327">
        <f>D38</f>
        <v>3085.85077236738</v>
      </c>
      <c r="E41" s="327">
        <f t="shared" ref="E41:O41" si="21">D41+E38</f>
        <v>6009.86164440239</v>
      </c>
      <c r="F41" s="327">
        <f t="shared" si="21"/>
        <v>9253.4620234581</v>
      </c>
      <c r="G41" s="327">
        <f t="shared" si="21"/>
        <v>12366.938506679</v>
      </c>
      <c r="H41" s="327">
        <f t="shared" si="21"/>
        <v>15481.5377834532</v>
      </c>
      <c r="I41" s="327">
        <f t="shared" si="21"/>
        <v>18360.5631769795</v>
      </c>
      <c r="J41" s="327">
        <f t="shared" si="21"/>
        <v>21072.9948070356</v>
      </c>
      <c r="K41" s="327">
        <f t="shared" si="21"/>
        <v>23795.6631086887</v>
      </c>
      <c r="L41" s="327">
        <f t="shared" si="21"/>
        <v>26734.570515222</v>
      </c>
      <c r="M41" s="327">
        <f t="shared" si="21"/>
        <v>29598.7692863449</v>
      </c>
      <c r="N41" s="327">
        <f t="shared" si="21"/>
        <v>32450.5365108144</v>
      </c>
      <c r="O41" s="327">
        <f t="shared" si="21"/>
        <v>35298.5895798718</v>
      </c>
      <c r="P41" s="327">
        <f>O41</f>
        <v>35298.5895798718</v>
      </c>
      <c r="Q41" s="104"/>
      <c r="R41" s="104"/>
    </row>
    <row r="42" s="281" customFormat="1" ht="15.6" customHeight="1" spans="1:21">
      <c r="A42" s="87"/>
      <c r="B42" s="87"/>
      <c r="C42" s="303" t="s">
        <v>532</v>
      </c>
      <c r="D42" s="328">
        <f>D39</f>
        <v>3152.95194</v>
      </c>
      <c r="E42" s="328">
        <f t="shared" ref="E42:O42" si="22">D42+E39</f>
        <v>6172.11546444444</v>
      </c>
      <c r="F42" s="328">
        <f t="shared" si="22"/>
        <v>9570.36628888888</v>
      </c>
      <c r="G42" s="328">
        <f t="shared" si="22"/>
        <v>12484.9590933333</v>
      </c>
      <c r="H42" s="328">
        <f t="shared" si="22"/>
        <v>15660.590918781</v>
      </c>
      <c r="I42" s="328">
        <f t="shared" si="22"/>
        <v>18987.5449372155</v>
      </c>
      <c r="J42" s="328">
        <f t="shared" si="22"/>
        <v>21748.5678712159</v>
      </c>
      <c r="K42" s="328">
        <f t="shared" si="22"/>
        <v>24308.3375409661</v>
      </c>
      <c r="L42" s="328">
        <f t="shared" si="22"/>
        <v>25925.5260600563</v>
      </c>
      <c r="M42" s="328">
        <f t="shared" si="22"/>
        <v>28628.3704999636</v>
      </c>
      <c r="N42" s="328">
        <f t="shared" si="22"/>
        <v>31627.7905963877</v>
      </c>
      <c r="O42" s="328">
        <f t="shared" si="22"/>
        <v>33614.164613057</v>
      </c>
      <c r="P42" s="328">
        <f>O42</f>
        <v>33614.164613057</v>
      </c>
      <c r="Q42" s="329"/>
      <c r="R42" s="104"/>
    </row>
    <row r="43" s="281" customFormat="1" ht="92.4" hidden="1" customHeight="1" outlineLevel="1" spans="1:21">
      <c r="A43" s="87"/>
      <c r="B43" s="318" t="s">
        <v>477</v>
      </c>
      <c r="C43" s="318" t="s">
        <v>478</v>
      </c>
      <c r="D43" s="330" t="s">
        <v>479</v>
      </c>
      <c r="E43" s="330" t="s">
        <v>479</v>
      </c>
      <c r="F43" s="330" t="s">
        <v>479</v>
      </c>
      <c r="G43" s="330" t="s">
        <v>480</v>
      </c>
      <c r="H43" s="330" t="s">
        <v>481</v>
      </c>
      <c r="I43" s="330" t="s">
        <v>482</v>
      </c>
      <c r="J43" s="330" t="s">
        <v>483</v>
      </c>
      <c r="K43" s="330" t="s">
        <v>484</v>
      </c>
      <c r="L43" s="330" t="s">
        <v>485</v>
      </c>
      <c r="M43" s="330" t="s">
        <v>486</v>
      </c>
      <c r="N43" s="330" t="s">
        <v>486</v>
      </c>
      <c r="O43" s="330" t="s">
        <v>487</v>
      </c>
      <c r="P43" s="318" t="s">
        <v>410</v>
      </c>
      <c r="Q43" s="329"/>
      <c r="R43" s="104"/>
    </row>
    <row r="44" s="281" customFormat="1" ht="15.6" hidden="1" customHeight="1" outlineLevel="1" spans="1:21">
      <c r="A44" s="87"/>
      <c r="B44" s="73"/>
      <c r="C44" s="318" t="s">
        <v>488</v>
      </c>
      <c r="D44" s="317">
        <v>115.152718658454</v>
      </c>
      <c r="E44" s="317">
        <v>115.152718658454</v>
      </c>
      <c r="F44" s="317">
        <v>115.152718658454</v>
      </c>
      <c r="G44" s="317">
        <v>55.3286488240479</v>
      </c>
      <c r="H44" s="317">
        <v>57.5991188486589</v>
      </c>
      <c r="I44" s="317">
        <v>59.5585348601179</v>
      </c>
      <c r="J44" s="317">
        <v>63.2325024117404</v>
      </c>
      <c r="K44" s="317">
        <v>66.0208504943363</v>
      </c>
      <c r="L44" s="317">
        <v>72.3958504943363</v>
      </c>
      <c r="M44" s="317">
        <v>97.9291838276696</v>
      </c>
      <c r="N44" s="317">
        <v>97.9291838276696</v>
      </c>
      <c r="O44" s="317">
        <v>88.6263620556463</v>
      </c>
      <c r="P44" s="317">
        <f>SUM(D44:O44)</f>
        <v>1004.07839161959</v>
      </c>
      <c r="Q44" s="329"/>
      <c r="R44" s="104"/>
    </row>
    <row r="45" s="281" customFormat="1" ht="19.95" hidden="1" customHeight="1" outlineLevel="1" spans="1:21">
      <c r="A45" s="87"/>
      <c r="B45" s="318" t="s">
        <v>489</v>
      </c>
      <c r="C45" s="318" t="s">
        <v>478</v>
      </c>
      <c r="D45" s="331" t="s">
        <v>490</v>
      </c>
      <c r="E45" s="331" t="s">
        <v>491</v>
      </c>
      <c r="F45" s="331" t="s">
        <v>492</v>
      </c>
      <c r="G45" s="331" t="s">
        <v>493</v>
      </c>
      <c r="H45" s="331" t="s">
        <v>494</v>
      </c>
      <c r="I45" s="331" t="s">
        <v>495</v>
      </c>
      <c r="J45" s="331" t="s">
        <v>496</v>
      </c>
      <c r="K45" s="331" t="s">
        <v>497</v>
      </c>
      <c r="L45" s="331" t="s">
        <v>498</v>
      </c>
      <c r="M45" s="331" t="s">
        <v>499</v>
      </c>
      <c r="N45" s="331" t="s">
        <v>499</v>
      </c>
      <c r="O45" s="331" t="s">
        <v>500</v>
      </c>
      <c r="P45" s="318" t="s">
        <v>410</v>
      </c>
      <c r="Q45" s="329"/>
      <c r="R45" s="104"/>
    </row>
    <row r="46" s="281" customFormat="1" ht="19.95" hidden="1" customHeight="1" outlineLevel="1" spans="1:21">
      <c r="A46" s="73"/>
      <c r="B46" s="73"/>
      <c r="C46" s="318" t="s">
        <v>488</v>
      </c>
      <c r="D46" s="317" t="e">
        <f>#REF!</f>
        <v>#REF!</v>
      </c>
      <c r="E46" s="317" t="e">
        <f>#REF!</f>
        <v>#REF!</v>
      </c>
      <c r="F46" s="317" t="e">
        <f>#REF!</f>
        <v>#REF!</v>
      </c>
      <c r="G46" s="317" t="e">
        <f>#REF!</f>
        <v>#REF!</v>
      </c>
      <c r="H46" s="317" t="e">
        <f>#REF!</f>
        <v>#REF!</v>
      </c>
      <c r="I46" s="317" t="e">
        <f>#REF!</f>
        <v>#REF!</v>
      </c>
      <c r="J46" s="317" t="e">
        <f>#REF!</f>
        <v>#REF!</v>
      </c>
      <c r="K46" s="317" t="e">
        <f>#REF!</f>
        <v>#REF!</v>
      </c>
      <c r="L46" s="317" t="e">
        <f>#REF!</f>
        <v>#REF!</v>
      </c>
      <c r="M46" s="317" t="e">
        <f>#REF!</f>
        <v>#REF!</v>
      </c>
      <c r="N46" s="317" t="e">
        <f>#REF!</f>
        <v>#REF!</v>
      </c>
      <c r="O46" s="317" t="e">
        <f>#REF!</f>
        <v>#REF!</v>
      </c>
      <c r="P46" s="317" t="e">
        <f>SUM(D46:O46)</f>
        <v>#REF!</v>
      </c>
      <c r="Q46" s="329"/>
      <c r="R46" s="104"/>
    </row>
    <row r="47" s="281" customFormat="1" ht="15.6" customHeight="1" collapsed="1" spans="1:21">
      <c r="A47" s="287" t="s">
        <v>501</v>
      </c>
      <c r="B47" s="313" t="s">
        <v>502</v>
      </c>
      <c r="C47" s="296" t="s">
        <v>425</v>
      </c>
      <c r="D47" s="326">
        <v>87337</v>
      </c>
      <c r="E47" s="326">
        <v>110212</v>
      </c>
      <c r="F47" s="326">
        <v>113626</v>
      </c>
      <c r="G47" s="326">
        <v>109618</v>
      </c>
      <c r="H47" s="326">
        <v>153929</v>
      </c>
      <c r="I47" s="326">
        <v>121229</v>
      </c>
      <c r="J47" s="326">
        <v>128355</v>
      </c>
      <c r="K47" s="326">
        <v>58349</v>
      </c>
      <c r="L47" s="326">
        <v>109907</v>
      </c>
      <c r="M47" s="326">
        <v>116105</v>
      </c>
      <c r="N47" s="326">
        <v>105978</v>
      </c>
      <c r="O47" s="332">
        <v>72817</v>
      </c>
      <c r="P47" s="326">
        <v>1287462</v>
      </c>
      <c r="Q47" s="104"/>
      <c r="R47" s="104"/>
      <c r="S47" s="333"/>
      <c r="T47" s="333"/>
      <c r="U47" s="333"/>
    </row>
    <row r="48" s="281" customFormat="1" ht="15.6" customHeight="1" spans="1:21">
      <c r="A48" s="87"/>
      <c r="B48" s="87"/>
      <c r="C48" s="299" t="s">
        <v>426</v>
      </c>
      <c r="D48" s="334">
        <v>116704</v>
      </c>
      <c r="E48" s="334">
        <v>116204</v>
      </c>
      <c r="F48" s="334">
        <v>106704</v>
      </c>
      <c r="G48" s="334">
        <v>104704</v>
      </c>
      <c r="H48" s="334">
        <v>71805</v>
      </c>
      <c r="I48" s="334">
        <v>110105</v>
      </c>
      <c r="J48" s="334">
        <v>86206</v>
      </c>
      <c r="K48" s="334">
        <v>81605</v>
      </c>
      <c r="L48" s="334">
        <v>117305</v>
      </c>
      <c r="M48" s="334">
        <v>121005</v>
      </c>
      <c r="N48" s="334">
        <v>130155</v>
      </c>
      <c r="O48" s="334">
        <v>91305</v>
      </c>
      <c r="P48" s="327">
        <v>1253807</v>
      </c>
      <c r="Q48" s="104"/>
      <c r="R48" s="104"/>
    </row>
    <row r="49" s="281" customFormat="1" ht="15.6" customHeight="1" spans="1:18">
      <c r="A49" s="87"/>
      <c r="B49" s="87"/>
      <c r="C49" s="303" t="s">
        <v>532</v>
      </c>
      <c r="D49" s="328">
        <v>97611</v>
      </c>
      <c r="E49" s="328">
        <v>106294</v>
      </c>
      <c r="F49" s="328">
        <f>厨电3月!L28</f>
        <v>107376</v>
      </c>
      <c r="G49" s="328">
        <v>106859</v>
      </c>
      <c r="H49" s="328">
        <v>67759</v>
      </c>
      <c r="I49" s="328">
        <v>105659</v>
      </c>
      <c r="J49" s="328">
        <v>82859</v>
      </c>
      <c r="K49" s="328">
        <v>77945</v>
      </c>
      <c r="L49" s="328">
        <v>112964</v>
      </c>
      <c r="M49" s="328">
        <v>115460</v>
      </c>
      <c r="N49" s="328">
        <v>112944</v>
      </c>
      <c r="O49" s="328">
        <v>77504</v>
      </c>
      <c r="P49" s="328">
        <v>1168817</v>
      </c>
      <c r="Q49" s="104"/>
      <c r="R49" s="104"/>
    </row>
    <row r="50" s="281" customFormat="1" ht="15.6" customHeight="1" spans="1:18">
      <c r="A50" s="87"/>
      <c r="B50" s="87"/>
      <c r="C50" s="335" t="s">
        <v>503</v>
      </c>
      <c r="D50" s="336">
        <f t="shared" ref="D50:P50" si="23">(D49-D47)/D47</f>
        <v>0.117636282446157</v>
      </c>
      <c r="E50" s="336">
        <f t="shared" si="23"/>
        <v>-0.03554966791275</v>
      </c>
      <c r="F50" s="336">
        <f t="shared" si="23"/>
        <v>-0.0550050164575009</v>
      </c>
      <c r="G50" s="336">
        <f t="shared" si="23"/>
        <v>-0.0251692240325494</v>
      </c>
      <c r="H50" s="336">
        <f t="shared" si="23"/>
        <v>-0.559803545790592</v>
      </c>
      <c r="I50" s="336">
        <f t="shared" si="23"/>
        <v>-0.128434615479794</v>
      </c>
      <c r="J50" s="336">
        <f t="shared" si="23"/>
        <v>-0.354454442756418</v>
      </c>
      <c r="K50" s="336">
        <f t="shared" si="23"/>
        <v>0.335841231212189</v>
      </c>
      <c r="L50" s="336">
        <f t="shared" si="23"/>
        <v>0.0278144249228894</v>
      </c>
      <c r="M50" s="336">
        <f t="shared" si="23"/>
        <v>-0.00555531630851384</v>
      </c>
      <c r="N50" s="336">
        <f t="shared" si="23"/>
        <v>0.065730623336919</v>
      </c>
      <c r="O50" s="336">
        <f t="shared" si="23"/>
        <v>0.0643668374143401</v>
      </c>
      <c r="P50" s="336">
        <f t="shared" si="23"/>
        <v>-0.0921541762009287</v>
      </c>
      <c r="Q50" s="104"/>
      <c r="R50" s="104"/>
    </row>
    <row r="51" s="281" customFormat="1" ht="15.6" hidden="1" customHeight="1" spans="1:18">
      <c r="A51" s="87"/>
      <c r="B51" s="318" t="s">
        <v>504</v>
      </c>
      <c r="C51" s="296" t="s">
        <v>425</v>
      </c>
      <c r="D51" s="326">
        <v>79712</v>
      </c>
      <c r="E51" s="326">
        <v>82105</v>
      </c>
      <c r="F51" s="326">
        <v>92657</v>
      </c>
      <c r="G51" s="326">
        <v>98687</v>
      </c>
      <c r="H51" s="326">
        <v>93353</v>
      </c>
      <c r="I51" s="326">
        <v>75092</v>
      </c>
      <c r="J51" s="326">
        <v>77799</v>
      </c>
      <c r="K51" s="326">
        <v>58812</v>
      </c>
      <c r="L51" s="326">
        <v>90826</v>
      </c>
      <c r="M51" s="326">
        <v>111572</v>
      </c>
      <c r="N51" s="326">
        <v>111625</v>
      </c>
      <c r="O51" s="332">
        <v>75554</v>
      </c>
      <c r="P51" s="326">
        <f>SUM(D51:O51)</f>
        <v>1047794</v>
      </c>
      <c r="Q51" s="104"/>
      <c r="R51" s="104"/>
    </row>
    <row r="52" s="281" customFormat="1" ht="15.6" hidden="1" customHeight="1" spans="1:18">
      <c r="A52" s="87"/>
      <c r="B52" s="87"/>
      <c r="C52" s="299" t="s">
        <v>426</v>
      </c>
      <c r="D52" s="334">
        <v>116704</v>
      </c>
      <c r="E52" s="334">
        <v>116204</v>
      </c>
      <c r="F52" s="334">
        <v>106704</v>
      </c>
      <c r="G52" s="334">
        <v>104704</v>
      </c>
      <c r="H52" s="334">
        <v>71805</v>
      </c>
      <c r="I52" s="334">
        <v>110105</v>
      </c>
      <c r="J52" s="334">
        <v>86206</v>
      </c>
      <c r="K52" s="334">
        <v>81605</v>
      </c>
      <c r="L52" s="334">
        <v>117305</v>
      </c>
      <c r="M52" s="334">
        <v>121005</v>
      </c>
      <c r="N52" s="334">
        <v>130155</v>
      </c>
      <c r="O52" s="334">
        <v>91305</v>
      </c>
      <c r="P52" s="327">
        <f>SUM(D52:O52)</f>
        <v>1253807</v>
      </c>
      <c r="Q52" s="104"/>
      <c r="R52" s="104"/>
    </row>
    <row r="53" s="281" customFormat="1" ht="15.6" hidden="1" customHeight="1" spans="1:18">
      <c r="A53" s="87"/>
      <c r="B53" s="87"/>
      <c r="C53" s="303" t="s">
        <v>532</v>
      </c>
      <c r="D53" s="328">
        <v>97611</v>
      </c>
      <c r="E53" s="328">
        <v>106294</v>
      </c>
      <c r="F53" s="328">
        <v>105459</v>
      </c>
      <c r="G53" s="328">
        <f t="shared" ref="G53:P53" si="24">G52</f>
        <v>104704</v>
      </c>
      <c r="H53" s="328">
        <f t="shared" si="24"/>
        <v>71805</v>
      </c>
      <c r="I53" s="328">
        <f t="shared" si="24"/>
        <v>110105</v>
      </c>
      <c r="J53" s="328">
        <f t="shared" si="24"/>
        <v>86206</v>
      </c>
      <c r="K53" s="328">
        <f t="shared" si="24"/>
        <v>81605</v>
      </c>
      <c r="L53" s="328">
        <f t="shared" si="24"/>
        <v>117305</v>
      </c>
      <c r="M53" s="328">
        <f t="shared" si="24"/>
        <v>121005</v>
      </c>
      <c r="N53" s="328">
        <f t="shared" si="24"/>
        <v>130155</v>
      </c>
      <c r="O53" s="328">
        <f t="shared" si="24"/>
        <v>91305</v>
      </c>
      <c r="P53" s="328">
        <f t="shared" si="24"/>
        <v>1253807</v>
      </c>
      <c r="Q53" s="104"/>
      <c r="R53" s="104"/>
    </row>
    <row r="54" s="281" customFormat="1" ht="15.6" hidden="1" customHeight="1" spans="1:18">
      <c r="A54" s="87"/>
      <c r="B54" s="73"/>
      <c r="C54" s="335" t="s">
        <v>503</v>
      </c>
      <c r="D54" s="336">
        <f t="shared" ref="D54:P54" si="25">(D53-D51)/D51</f>
        <v>0.224545865114412</v>
      </c>
      <c r="E54" s="336">
        <f t="shared" si="25"/>
        <v>0.29461055964923</v>
      </c>
      <c r="F54" s="336">
        <f t="shared" si="25"/>
        <v>0.138165492083707</v>
      </c>
      <c r="G54" s="336">
        <f t="shared" si="25"/>
        <v>0.0609705432326446</v>
      </c>
      <c r="H54" s="336">
        <f t="shared" si="25"/>
        <v>-0.230822790911915</v>
      </c>
      <c r="I54" s="336">
        <f t="shared" si="25"/>
        <v>0.466268044532041</v>
      </c>
      <c r="J54" s="336">
        <f t="shared" si="25"/>
        <v>0.108060514916644</v>
      </c>
      <c r="K54" s="336">
        <f t="shared" si="25"/>
        <v>0.387556961164388</v>
      </c>
      <c r="L54" s="336">
        <f t="shared" si="25"/>
        <v>0.29153546341356</v>
      </c>
      <c r="M54" s="336">
        <f t="shared" si="25"/>
        <v>0.0845463019395547</v>
      </c>
      <c r="N54" s="336">
        <f t="shared" si="25"/>
        <v>0.166002239641657</v>
      </c>
      <c r="O54" s="336">
        <f t="shared" si="25"/>
        <v>0.208473409746671</v>
      </c>
      <c r="P54" s="336">
        <f t="shared" si="25"/>
        <v>0.196615937865649</v>
      </c>
      <c r="Q54" s="104"/>
      <c r="R54" s="104"/>
    </row>
    <row r="55" s="281" customFormat="1" ht="19.95" hidden="1" customHeight="1" outlineLevel="1" spans="1:18">
      <c r="A55" s="87"/>
      <c r="B55" s="317" t="s">
        <v>505</v>
      </c>
      <c r="C55" s="296" t="s">
        <v>425</v>
      </c>
      <c r="D55" s="296">
        <v>1</v>
      </c>
      <c r="E55" s="296">
        <v>1</v>
      </c>
      <c r="F55" s="296">
        <v>1</v>
      </c>
      <c r="G55" s="296">
        <v>1</v>
      </c>
      <c r="H55" s="296">
        <v>1</v>
      </c>
      <c r="I55" s="296">
        <v>1</v>
      </c>
      <c r="J55" s="296">
        <v>1</v>
      </c>
      <c r="K55" s="296">
        <v>1</v>
      </c>
      <c r="L55" s="296">
        <v>1</v>
      </c>
      <c r="M55" s="296">
        <v>1</v>
      </c>
      <c r="N55" s="296">
        <v>1</v>
      </c>
      <c r="O55" s="296">
        <v>1</v>
      </c>
      <c r="P55" s="296">
        <v>1</v>
      </c>
      <c r="Q55" s="104"/>
      <c r="R55" s="104"/>
    </row>
    <row r="56" s="281" customFormat="1" ht="19.95" hidden="1" customHeight="1" outlineLevel="1" spans="1:18">
      <c r="A56" s="87"/>
      <c r="B56" s="87"/>
      <c r="C56" s="299" t="s">
        <v>426</v>
      </c>
      <c r="D56" s="337">
        <v>1</v>
      </c>
      <c r="E56" s="337">
        <v>1</v>
      </c>
      <c r="F56" s="337">
        <v>1</v>
      </c>
      <c r="G56" s="337">
        <v>1</v>
      </c>
      <c r="H56" s="337">
        <v>1</v>
      </c>
      <c r="I56" s="337">
        <v>1</v>
      </c>
      <c r="J56" s="337">
        <v>1</v>
      </c>
      <c r="K56" s="337">
        <v>1</v>
      </c>
      <c r="L56" s="337">
        <v>1</v>
      </c>
      <c r="M56" s="337">
        <v>1</v>
      </c>
      <c r="N56" s="337">
        <v>1</v>
      </c>
      <c r="O56" s="337">
        <v>1</v>
      </c>
      <c r="P56" s="323">
        <v>1</v>
      </c>
      <c r="Q56" s="104"/>
      <c r="R56" s="104"/>
    </row>
    <row r="57" s="281" customFormat="1" ht="19.95" hidden="1" customHeight="1" outlineLevel="1" spans="1:18">
      <c r="A57" s="87"/>
      <c r="B57" s="87"/>
      <c r="C57" s="303" t="s">
        <v>506</v>
      </c>
      <c r="D57" s="303">
        <v>1</v>
      </c>
      <c r="E57" s="303">
        <v>1</v>
      </c>
      <c r="F57" s="303">
        <v>1</v>
      </c>
      <c r="G57" s="303">
        <v>1</v>
      </c>
      <c r="H57" s="303">
        <v>1</v>
      </c>
      <c r="I57" s="303">
        <v>1</v>
      </c>
      <c r="J57" s="303">
        <v>1</v>
      </c>
      <c r="K57" s="303">
        <v>1</v>
      </c>
      <c r="L57" s="303">
        <v>1</v>
      </c>
      <c r="M57" s="303">
        <v>1</v>
      </c>
      <c r="N57" s="303">
        <v>1</v>
      </c>
      <c r="O57" s="303">
        <v>1</v>
      </c>
      <c r="P57" s="317">
        <v>1</v>
      </c>
      <c r="Q57" s="104"/>
      <c r="R57" s="104"/>
    </row>
    <row r="58" s="281" customFormat="1" ht="19.95" hidden="1" customHeight="1" outlineLevel="1" spans="1:18">
      <c r="A58" s="87"/>
      <c r="B58" s="73"/>
      <c r="C58" s="303" t="s">
        <v>459</v>
      </c>
      <c r="D58" s="338">
        <f t="shared" ref="D58:P58" si="26">(D57-D55)/D55</f>
        <v>0</v>
      </c>
      <c r="E58" s="338">
        <f t="shared" si="26"/>
        <v>0</v>
      </c>
      <c r="F58" s="338">
        <f t="shared" si="26"/>
        <v>0</v>
      </c>
      <c r="G58" s="338">
        <f t="shared" si="26"/>
        <v>0</v>
      </c>
      <c r="H58" s="338">
        <f t="shared" si="26"/>
        <v>0</v>
      </c>
      <c r="I58" s="338">
        <f t="shared" si="26"/>
        <v>0</v>
      </c>
      <c r="J58" s="338">
        <f t="shared" si="26"/>
        <v>0</v>
      </c>
      <c r="K58" s="338">
        <f t="shared" si="26"/>
        <v>0</v>
      </c>
      <c r="L58" s="338">
        <f t="shared" si="26"/>
        <v>0</v>
      </c>
      <c r="M58" s="338">
        <f t="shared" si="26"/>
        <v>0</v>
      </c>
      <c r="N58" s="338">
        <f t="shared" si="26"/>
        <v>0</v>
      </c>
      <c r="O58" s="338">
        <f t="shared" si="26"/>
        <v>0</v>
      </c>
      <c r="P58" s="339">
        <f t="shared" si="26"/>
        <v>0</v>
      </c>
      <c r="Q58" s="104"/>
      <c r="R58" s="104"/>
    </row>
    <row r="59" s="281" customFormat="1" ht="15" customHeight="1" collapsed="1" spans="1:18">
      <c r="A59" s="87"/>
      <c r="B59" s="313" t="s">
        <v>507</v>
      </c>
      <c r="C59" s="296" t="s">
        <v>425</v>
      </c>
      <c r="D59" s="326">
        <f>D47</f>
        <v>87337</v>
      </c>
      <c r="E59" s="326">
        <f t="shared" ref="E59:O59" si="27">D59+E47</f>
        <v>197549</v>
      </c>
      <c r="F59" s="326">
        <f t="shared" si="27"/>
        <v>311175</v>
      </c>
      <c r="G59" s="326">
        <f t="shared" si="27"/>
        <v>420793</v>
      </c>
      <c r="H59" s="326">
        <f t="shared" si="27"/>
        <v>574722</v>
      </c>
      <c r="I59" s="326">
        <f t="shared" si="27"/>
        <v>695951</v>
      </c>
      <c r="J59" s="326">
        <f t="shared" si="27"/>
        <v>824306</v>
      </c>
      <c r="K59" s="326">
        <f t="shared" si="27"/>
        <v>882655</v>
      </c>
      <c r="L59" s="326">
        <f t="shared" si="27"/>
        <v>992562</v>
      </c>
      <c r="M59" s="326">
        <f t="shared" si="27"/>
        <v>1108667</v>
      </c>
      <c r="N59" s="326">
        <f t="shared" si="27"/>
        <v>1214645</v>
      </c>
      <c r="O59" s="326">
        <f t="shared" si="27"/>
        <v>1287462</v>
      </c>
      <c r="P59" s="326">
        <f>O59</f>
        <v>1287462</v>
      </c>
      <c r="Q59" s="104"/>
      <c r="R59" s="104"/>
    </row>
    <row r="60" s="281" customFormat="1" ht="15.6" customHeight="1" spans="1:18">
      <c r="A60" s="87"/>
      <c r="B60" s="87"/>
      <c r="C60" s="299" t="s">
        <v>426</v>
      </c>
      <c r="D60" s="327">
        <v>76110</v>
      </c>
      <c r="E60" s="327">
        <v>75445</v>
      </c>
      <c r="F60" s="327">
        <v>97997</v>
      </c>
      <c r="G60" s="327">
        <v>107391</v>
      </c>
      <c r="H60" s="327">
        <v>94300</v>
      </c>
      <c r="I60" s="327">
        <v>104181</v>
      </c>
      <c r="J60" s="327">
        <v>103114</v>
      </c>
      <c r="K60" s="327">
        <v>79317</v>
      </c>
      <c r="L60" s="327">
        <v>129648</v>
      </c>
      <c r="M60" s="327">
        <v>103320</v>
      </c>
      <c r="N60" s="327">
        <v>94620</v>
      </c>
      <c r="O60" s="340">
        <v>93020</v>
      </c>
      <c r="P60" s="327">
        <v>1158463</v>
      </c>
      <c r="Q60" s="104"/>
      <c r="R60" s="104"/>
    </row>
    <row r="61" s="281" customFormat="1" ht="15.6" customHeight="1" spans="1:18">
      <c r="A61" s="87"/>
      <c r="B61" s="87"/>
      <c r="C61" s="303" t="s">
        <v>532</v>
      </c>
      <c r="D61" s="328">
        <v>79712</v>
      </c>
      <c r="E61" s="328">
        <v>82105</v>
      </c>
      <c r="F61" s="328">
        <v>92657</v>
      </c>
      <c r="G61" s="328">
        <v>98687</v>
      </c>
      <c r="H61" s="328">
        <v>93353</v>
      </c>
      <c r="I61" s="328">
        <v>75092</v>
      </c>
      <c r="J61" s="328">
        <v>77799</v>
      </c>
      <c r="K61" s="328">
        <v>58812</v>
      </c>
      <c r="L61" s="328">
        <v>90826</v>
      </c>
      <c r="M61" s="328">
        <v>111572</v>
      </c>
      <c r="N61" s="328">
        <v>111625</v>
      </c>
      <c r="O61" s="328">
        <v>75554</v>
      </c>
      <c r="P61" s="328">
        <v>1047794</v>
      </c>
      <c r="Q61" s="104">
        <v>0</v>
      </c>
      <c r="R61" s="104"/>
    </row>
    <row r="62" s="281" customFormat="1" ht="15.6" customHeight="1" spans="1:18">
      <c r="A62" s="87"/>
      <c r="B62" s="87"/>
      <c r="C62" s="335" t="s">
        <v>503</v>
      </c>
      <c r="D62" s="341">
        <f t="shared" ref="D62:P62" si="28">(D61-D59)/D59</f>
        <v>-0.0873054948074699</v>
      </c>
      <c r="E62" s="341">
        <f t="shared" si="28"/>
        <v>-0.584381596464675</v>
      </c>
      <c r="F62" s="341">
        <f t="shared" si="28"/>
        <v>-0.702235076725315</v>
      </c>
      <c r="G62" s="341">
        <f t="shared" si="28"/>
        <v>-0.765473760257419</v>
      </c>
      <c r="H62" s="341">
        <f t="shared" si="28"/>
        <v>-0.837568424386051</v>
      </c>
      <c r="I62" s="341">
        <f t="shared" si="28"/>
        <v>-0.892101599106834</v>
      </c>
      <c r="J62" s="341">
        <f t="shared" si="28"/>
        <v>-0.905618787197958</v>
      </c>
      <c r="K62" s="341">
        <f t="shared" si="28"/>
        <v>-0.933369209940464</v>
      </c>
      <c r="L62" s="341">
        <f t="shared" si="28"/>
        <v>-0.908493373713682</v>
      </c>
      <c r="M62" s="341">
        <f t="shared" si="28"/>
        <v>-0.899363830618211</v>
      </c>
      <c r="N62" s="341">
        <f t="shared" si="28"/>
        <v>-0.908100720786732</v>
      </c>
      <c r="O62" s="341">
        <f t="shared" si="28"/>
        <v>-0.941315549507481</v>
      </c>
      <c r="P62" s="341">
        <f t="shared" si="28"/>
        <v>-0.18615539720784</v>
      </c>
      <c r="Q62" s="104"/>
      <c r="R62" s="104"/>
    </row>
    <row r="63" s="281" customFormat="1" ht="19.95" hidden="1" customHeight="1" spans="1:18">
      <c r="A63" s="87"/>
      <c r="B63" s="318" t="s">
        <v>508</v>
      </c>
      <c r="C63" s="296" t="s">
        <v>425</v>
      </c>
      <c r="D63" s="326">
        <f>D51</f>
        <v>79712</v>
      </c>
      <c r="E63" s="326">
        <f t="shared" ref="E63:O63" si="29">D63+E51</f>
        <v>161817</v>
      </c>
      <c r="F63" s="326">
        <f t="shared" si="29"/>
        <v>254474</v>
      </c>
      <c r="G63" s="326">
        <f t="shared" si="29"/>
        <v>353161</v>
      </c>
      <c r="H63" s="326">
        <f t="shared" si="29"/>
        <v>446514</v>
      </c>
      <c r="I63" s="326">
        <f t="shared" si="29"/>
        <v>521606</v>
      </c>
      <c r="J63" s="326">
        <f t="shared" si="29"/>
        <v>599405</v>
      </c>
      <c r="K63" s="326">
        <f t="shared" si="29"/>
        <v>658217</v>
      </c>
      <c r="L63" s="326">
        <f t="shared" si="29"/>
        <v>749043</v>
      </c>
      <c r="M63" s="326">
        <f t="shared" si="29"/>
        <v>860615</v>
      </c>
      <c r="N63" s="326">
        <f t="shared" si="29"/>
        <v>972240</v>
      </c>
      <c r="O63" s="326">
        <f t="shared" si="29"/>
        <v>1047794</v>
      </c>
      <c r="P63" s="326">
        <f>O63</f>
        <v>1047794</v>
      </c>
      <c r="Q63" s="104"/>
      <c r="R63" s="104"/>
    </row>
    <row r="64" s="281" customFormat="1" ht="15.6" hidden="1" customHeight="1" spans="1:18">
      <c r="A64" s="87"/>
      <c r="B64" s="87"/>
      <c r="C64" s="299" t="s">
        <v>426</v>
      </c>
      <c r="D64" s="327">
        <f>D52</f>
        <v>116704</v>
      </c>
      <c r="E64" s="327">
        <f t="shared" ref="E64:O64" si="30">D64+E52</f>
        <v>232908</v>
      </c>
      <c r="F64" s="327">
        <f t="shared" si="30"/>
        <v>339612</v>
      </c>
      <c r="G64" s="327">
        <f t="shared" si="30"/>
        <v>444316</v>
      </c>
      <c r="H64" s="327">
        <f t="shared" si="30"/>
        <v>516121</v>
      </c>
      <c r="I64" s="327">
        <f t="shared" si="30"/>
        <v>626226</v>
      </c>
      <c r="J64" s="327">
        <f t="shared" si="30"/>
        <v>712432</v>
      </c>
      <c r="K64" s="327">
        <f t="shared" si="30"/>
        <v>794037</v>
      </c>
      <c r="L64" s="327">
        <f t="shared" si="30"/>
        <v>911342</v>
      </c>
      <c r="M64" s="327">
        <f t="shared" si="30"/>
        <v>1032347</v>
      </c>
      <c r="N64" s="327">
        <f t="shared" si="30"/>
        <v>1162502</v>
      </c>
      <c r="O64" s="340">
        <f t="shared" si="30"/>
        <v>1253807</v>
      </c>
      <c r="P64" s="327">
        <f>O64</f>
        <v>1253807</v>
      </c>
      <c r="Q64" s="104"/>
      <c r="R64" s="104"/>
    </row>
    <row r="65" s="281" customFormat="1" ht="15.6" hidden="1" customHeight="1" spans="1:18">
      <c r="A65" s="87"/>
      <c r="B65" s="87"/>
      <c r="C65" s="303" t="s">
        <v>532</v>
      </c>
      <c r="D65" s="328">
        <f>D53</f>
        <v>97611</v>
      </c>
      <c r="E65" s="328">
        <f t="shared" ref="E65:O65" si="31">D65+E53</f>
        <v>203905</v>
      </c>
      <c r="F65" s="328">
        <f t="shared" si="31"/>
        <v>309364</v>
      </c>
      <c r="G65" s="328">
        <f t="shared" si="31"/>
        <v>414068</v>
      </c>
      <c r="H65" s="328">
        <f t="shared" si="31"/>
        <v>485873</v>
      </c>
      <c r="I65" s="328">
        <f t="shared" si="31"/>
        <v>595978</v>
      </c>
      <c r="J65" s="328">
        <f t="shared" si="31"/>
        <v>682184</v>
      </c>
      <c r="K65" s="328">
        <f t="shared" si="31"/>
        <v>763789</v>
      </c>
      <c r="L65" s="328">
        <f t="shared" si="31"/>
        <v>881094</v>
      </c>
      <c r="M65" s="328">
        <f t="shared" si="31"/>
        <v>1002099</v>
      </c>
      <c r="N65" s="328">
        <f t="shared" si="31"/>
        <v>1132254</v>
      </c>
      <c r="O65" s="328">
        <f t="shared" si="31"/>
        <v>1223559</v>
      </c>
      <c r="P65" s="328">
        <f>O65</f>
        <v>1223559</v>
      </c>
      <c r="Q65" s="104"/>
      <c r="R65" s="104"/>
    </row>
    <row r="66" s="281" customFormat="1" ht="15.6" hidden="1" customHeight="1" spans="1:18">
      <c r="A66" s="73"/>
      <c r="B66" s="73"/>
      <c r="C66" s="335" t="s">
        <v>503</v>
      </c>
      <c r="D66" s="336">
        <f t="shared" ref="D66:P66" si="32">(D65-D63)/D63</f>
        <v>0.224545865114412</v>
      </c>
      <c r="E66" s="336">
        <f t="shared" si="32"/>
        <v>0.260096281602057</v>
      </c>
      <c r="F66" s="336">
        <f t="shared" si="32"/>
        <v>0.215699835739604</v>
      </c>
      <c r="G66" s="336">
        <f t="shared" si="32"/>
        <v>0.172462417990661</v>
      </c>
      <c r="H66" s="336">
        <f t="shared" si="32"/>
        <v>0.0881472921341772</v>
      </c>
      <c r="I66" s="336">
        <f t="shared" si="32"/>
        <v>0.14258271568962</v>
      </c>
      <c r="J66" s="336">
        <f t="shared" si="32"/>
        <v>0.138101951101509</v>
      </c>
      <c r="K66" s="336">
        <f t="shared" si="32"/>
        <v>0.160390874134214</v>
      </c>
      <c r="L66" s="336">
        <f t="shared" si="32"/>
        <v>0.17629294980395</v>
      </c>
      <c r="M66" s="336">
        <f t="shared" si="32"/>
        <v>0.164398714872504</v>
      </c>
      <c r="N66" s="336">
        <f t="shared" si="32"/>
        <v>0.164582819057023</v>
      </c>
      <c r="O66" s="336">
        <f t="shared" si="32"/>
        <v>0.167747667957633</v>
      </c>
      <c r="P66" s="336">
        <f t="shared" si="32"/>
        <v>0.167747667957633</v>
      </c>
      <c r="Q66" s="104"/>
      <c r="R66" s="104"/>
    </row>
    <row r="67" ht="15.6" customHeight="1" spans="1:18">
      <c r="A67" s="342" t="s">
        <v>509</v>
      </c>
      <c r="B67" s="343"/>
      <c r="C67" s="344" t="s">
        <v>425</v>
      </c>
      <c r="D67" s="345">
        <v>20</v>
      </c>
      <c r="E67" s="345">
        <v>20</v>
      </c>
      <c r="F67" s="345">
        <v>20</v>
      </c>
      <c r="G67" s="345">
        <v>20</v>
      </c>
      <c r="H67" s="345">
        <v>20</v>
      </c>
      <c r="I67" s="345">
        <v>18</v>
      </c>
      <c r="J67" s="345">
        <v>18</v>
      </c>
      <c r="K67" s="345">
        <v>15</v>
      </c>
      <c r="L67" s="345">
        <v>22</v>
      </c>
      <c r="M67" s="345">
        <v>24</v>
      </c>
      <c r="N67" s="345">
        <v>24</v>
      </c>
      <c r="O67" s="345">
        <v>15</v>
      </c>
      <c r="P67" s="345">
        <f>SUM(D67:O67)</f>
        <v>236</v>
      </c>
    </row>
    <row r="68" ht="15.6" customHeight="1" spans="1:18">
      <c r="A68" s="302"/>
      <c r="B68" s="346"/>
      <c r="C68" s="303" t="s">
        <v>532</v>
      </c>
      <c r="D68" s="328">
        <v>20</v>
      </c>
      <c r="E68" s="328">
        <v>20</v>
      </c>
      <c r="F68" s="328">
        <v>23</v>
      </c>
      <c r="G68" s="328">
        <v>21</v>
      </c>
      <c r="H68" s="328">
        <v>14</v>
      </c>
      <c r="I68" s="328">
        <v>22</v>
      </c>
      <c r="J68" s="328">
        <v>17</v>
      </c>
      <c r="K68" s="328">
        <v>16</v>
      </c>
      <c r="L68" s="328">
        <v>22</v>
      </c>
      <c r="M68" s="328">
        <v>20</v>
      </c>
      <c r="N68" s="328">
        <v>21</v>
      </c>
      <c r="O68" s="328">
        <v>14</v>
      </c>
      <c r="P68" s="328">
        <f>SUM(D68:O68)</f>
        <v>230</v>
      </c>
    </row>
    <row r="69" ht="15.6" customHeight="1" spans="1:18">
      <c r="A69" s="342" t="s">
        <v>510</v>
      </c>
      <c r="B69" s="343"/>
      <c r="C69" s="296" t="s">
        <v>425</v>
      </c>
      <c r="D69" s="326">
        <v>544.38</v>
      </c>
      <c r="E69" s="326">
        <v>547</v>
      </c>
      <c r="F69" s="326">
        <v>601</v>
      </c>
      <c r="G69" s="326">
        <v>743</v>
      </c>
      <c r="H69" s="326">
        <v>737</v>
      </c>
      <c r="I69" s="326">
        <v>727</v>
      </c>
      <c r="J69" s="326">
        <v>716.5</v>
      </c>
      <c r="K69" s="326">
        <v>684</v>
      </c>
      <c r="L69" s="326">
        <v>595</v>
      </c>
      <c r="M69" s="326">
        <v>595.5</v>
      </c>
      <c r="N69" s="326">
        <v>577.5</v>
      </c>
      <c r="O69" s="326">
        <v>543.5</v>
      </c>
      <c r="P69" s="326">
        <f>AVERAGE(D69:O69)</f>
        <v>634.281666666667</v>
      </c>
    </row>
    <row r="70" ht="15.6" hidden="1" customHeight="1" spans="1:18">
      <c r="A70" s="293"/>
      <c r="B70" s="347"/>
      <c r="C70" s="348" t="s">
        <v>511</v>
      </c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</row>
    <row r="71" ht="15.6" hidden="1" customHeight="1" spans="1:18">
      <c r="A71" s="293"/>
      <c r="B71" s="347"/>
      <c r="C71" s="349" t="s">
        <v>512</v>
      </c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</row>
    <row r="72" ht="15.6" hidden="1" customHeight="1" spans="1:18">
      <c r="A72" s="293"/>
      <c r="B72" s="347"/>
      <c r="C72" s="349" t="s">
        <v>513</v>
      </c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</row>
    <row r="73" ht="15.6" hidden="1" customHeight="1" spans="1:18">
      <c r="A73" s="293"/>
      <c r="B73" s="347"/>
      <c r="C73" s="349" t="s">
        <v>514</v>
      </c>
      <c r="D73" s="350"/>
      <c r="E73" s="350"/>
      <c r="F73" s="350"/>
      <c r="G73" s="350"/>
      <c r="H73" s="350"/>
      <c r="I73" s="350"/>
      <c r="J73" s="350"/>
      <c r="K73" s="350"/>
      <c r="L73" s="350"/>
      <c r="M73" s="350"/>
      <c r="N73" s="350"/>
      <c r="O73" s="350"/>
      <c r="P73" s="328"/>
    </row>
    <row r="74" ht="15.6" hidden="1" customHeight="1" spans="1:18">
      <c r="A74" s="293"/>
      <c r="B74" s="347"/>
      <c r="C74" s="349" t="s">
        <v>515</v>
      </c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</row>
    <row r="75" ht="15.6" customHeight="1" spans="1:18">
      <c r="A75" s="302"/>
      <c r="B75" s="346"/>
      <c r="C75" s="303" t="s">
        <v>532</v>
      </c>
      <c r="D75" s="328">
        <v>507</v>
      </c>
      <c r="E75" s="328">
        <v>535</v>
      </c>
      <c r="F75" s="328">
        <v>528.5</v>
      </c>
      <c r="G75" s="328">
        <v>532.75</v>
      </c>
      <c r="H75" s="328">
        <v>525</v>
      </c>
      <c r="I75" s="328">
        <v>460</v>
      </c>
      <c r="J75" s="328">
        <v>408</v>
      </c>
      <c r="K75" s="328">
        <v>404</v>
      </c>
      <c r="L75" s="328">
        <v>401</v>
      </c>
      <c r="M75" s="328">
        <v>474</v>
      </c>
      <c r="N75" s="328">
        <v>475</v>
      </c>
      <c r="O75" s="328">
        <v>444</v>
      </c>
      <c r="P75" s="328">
        <v>452</v>
      </c>
    </row>
    <row r="76" ht="15.6" customHeight="1" spans="1:18">
      <c r="A76" s="351" t="s">
        <v>516</v>
      </c>
      <c r="B76" s="343"/>
      <c r="C76" s="296" t="s">
        <v>425</v>
      </c>
      <c r="D76" s="296">
        <f t="shared" ref="D76:P76" si="33">D47/D67/D69</f>
        <v>8.02169440464382</v>
      </c>
      <c r="E76" s="296">
        <f t="shared" si="33"/>
        <v>10.0742230347349</v>
      </c>
      <c r="F76" s="296">
        <f t="shared" si="33"/>
        <v>9.45307820299501</v>
      </c>
      <c r="G76" s="296">
        <f t="shared" si="33"/>
        <v>7.37671601615074</v>
      </c>
      <c r="H76" s="296">
        <f t="shared" si="33"/>
        <v>10.4429443690638</v>
      </c>
      <c r="I76" s="296">
        <f t="shared" si="33"/>
        <v>9.26402261959346</v>
      </c>
      <c r="J76" s="296">
        <f t="shared" si="33"/>
        <v>9.95231449174227</v>
      </c>
      <c r="K76" s="296">
        <f t="shared" si="33"/>
        <v>5.68703703703704</v>
      </c>
      <c r="L76" s="296">
        <f t="shared" si="33"/>
        <v>8.39625668449198</v>
      </c>
      <c r="M76" s="296">
        <f t="shared" si="33"/>
        <v>8.12377553876294</v>
      </c>
      <c r="N76" s="296">
        <f t="shared" si="33"/>
        <v>7.64632034632035</v>
      </c>
      <c r="O76" s="296">
        <f t="shared" si="33"/>
        <v>8.93186139221098</v>
      </c>
      <c r="P76" s="296">
        <f t="shared" si="33"/>
        <v>8.60082790394454</v>
      </c>
    </row>
    <row r="77" ht="15.6" customHeight="1" spans="1:18">
      <c r="A77" s="293"/>
      <c r="B77" s="347"/>
      <c r="C77" s="303" t="s">
        <v>532</v>
      </c>
      <c r="D77" s="317">
        <f t="shared" ref="D77:P77" si="34">D49/D68/D75</f>
        <v>9.62633136094675</v>
      </c>
      <c r="E77" s="317">
        <f t="shared" si="34"/>
        <v>9.93401869158878</v>
      </c>
      <c r="F77" s="317">
        <f t="shared" si="34"/>
        <v>8.83353214594217</v>
      </c>
      <c r="G77" s="317">
        <f t="shared" si="34"/>
        <v>9.55142901834596</v>
      </c>
      <c r="H77" s="317">
        <f t="shared" si="34"/>
        <v>9.21891156462585</v>
      </c>
      <c r="I77" s="317">
        <f t="shared" si="34"/>
        <v>10.4406126482213</v>
      </c>
      <c r="J77" s="317">
        <f t="shared" si="34"/>
        <v>11.9462226066897</v>
      </c>
      <c r="K77" s="317">
        <f t="shared" si="34"/>
        <v>12.058323019802</v>
      </c>
      <c r="L77" s="317">
        <f t="shared" si="34"/>
        <v>12.8048061664022</v>
      </c>
      <c r="M77" s="317">
        <f t="shared" si="34"/>
        <v>12.1793248945148</v>
      </c>
      <c r="N77" s="317">
        <f t="shared" si="34"/>
        <v>11.3227067669173</v>
      </c>
      <c r="O77" s="317">
        <f t="shared" si="34"/>
        <v>12.4684684684685</v>
      </c>
      <c r="P77" s="317">
        <f t="shared" si="34"/>
        <v>11.2429492112351</v>
      </c>
    </row>
    <row r="78" ht="15.6" customHeight="1" spans="1:18">
      <c r="A78" s="293"/>
      <c r="B78" s="347"/>
      <c r="C78" s="303" t="s">
        <v>503</v>
      </c>
      <c r="D78" s="352">
        <f t="shared" ref="D78:P78" si="35">(D77/D76)-1</f>
        <v>0.200037158654909</v>
      </c>
      <c r="E78" s="352">
        <f t="shared" si="35"/>
        <v>-0.0139171370995782</v>
      </c>
      <c r="F78" s="352">
        <f t="shared" si="35"/>
        <v>-0.065539080894999</v>
      </c>
      <c r="G78" s="352">
        <f t="shared" si="35"/>
        <v>0.294807743368981</v>
      </c>
      <c r="H78" s="352">
        <f t="shared" si="35"/>
        <v>-0.1172114646195</v>
      </c>
      <c r="I78" s="352">
        <f t="shared" si="35"/>
        <v>0.127006385556463</v>
      </c>
      <c r="J78" s="352">
        <f t="shared" si="35"/>
        <v>0.200346172400588</v>
      </c>
      <c r="K78" s="352">
        <f t="shared" si="35"/>
        <v>1.12031730077925</v>
      </c>
      <c r="L78" s="352">
        <f t="shared" si="35"/>
        <v>0.525061303813265</v>
      </c>
      <c r="M78" s="352">
        <f t="shared" si="35"/>
        <v>0.499219769970329</v>
      </c>
      <c r="N78" s="352">
        <f t="shared" si="35"/>
        <v>0.48080465558393</v>
      </c>
      <c r="O78" s="352">
        <f t="shared" si="35"/>
        <v>0.395954092989126</v>
      </c>
      <c r="P78" s="352">
        <f t="shared" si="35"/>
        <v>0.307193834918939</v>
      </c>
    </row>
    <row r="79" s="283" customFormat="1" ht="15.6" hidden="1" customHeight="1" outlineLevel="1" spans="1:18">
      <c r="A79" s="353" t="s">
        <v>517</v>
      </c>
      <c r="B79" s="7"/>
      <c r="C79" s="8"/>
      <c r="D79" s="354">
        <f t="shared" ref="D79:O79" si="36">D25-D26</f>
        <v>5.089496858822</v>
      </c>
      <c r="E79" s="354">
        <f t="shared" si="36"/>
        <v>5.2054628567791</v>
      </c>
      <c r="F79" s="354">
        <f t="shared" si="36"/>
        <v>0.542163112942298</v>
      </c>
      <c r="G79" s="354">
        <f t="shared" si="36"/>
        <v>2.6730796683742</v>
      </c>
      <c r="H79" s="354">
        <f t="shared" si="36"/>
        <v>2.4572495581877</v>
      </c>
      <c r="I79" s="354">
        <f t="shared" si="36"/>
        <v>-8.8796786404307</v>
      </c>
      <c r="J79" s="354">
        <f t="shared" si="36"/>
        <v>-3.9376583033811</v>
      </c>
      <c r="K79" s="354">
        <f t="shared" si="36"/>
        <v>-1.9530912017163</v>
      </c>
      <c r="L79" s="354">
        <f t="shared" si="36"/>
        <v>9.2048515389903</v>
      </c>
      <c r="M79" s="354">
        <f t="shared" si="36"/>
        <v>7.7476973965441</v>
      </c>
      <c r="N79" s="354">
        <f t="shared" si="36"/>
        <v>7.489924495309</v>
      </c>
      <c r="O79" s="354">
        <f t="shared" si="36"/>
        <v>12.541954642385</v>
      </c>
      <c r="P79" s="318"/>
      <c r="Q79" s="104"/>
      <c r="R79" s="104"/>
    </row>
    <row r="80" s="283" customFormat="1" ht="15.6" hidden="1" customHeight="1" outlineLevel="1" spans="1:18">
      <c r="A80" s="353" t="s">
        <v>518</v>
      </c>
      <c r="B80" s="7"/>
      <c r="C80" s="8"/>
      <c r="D80" s="354">
        <f t="shared" ref="D80:O80" si="37">D79*D53</f>
        <v>496790.877886474</v>
      </c>
      <c r="E80" s="354">
        <f t="shared" si="37"/>
        <v>553309.468898478</v>
      </c>
      <c r="F80" s="354">
        <f t="shared" si="37"/>
        <v>57175.9797277818</v>
      </c>
      <c r="G80" s="354">
        <f t="shared" si="37"/>
        <v>279882.133597452</v>
      </c>
      <c r="H80" s="354">
        <f t="shared" si="37"/>
        <v>176442.804525668</v>
      </c>
      <c r="I80" s="354">
        <f t="shared" si="37"/>
        <v>-977697.016704622</v>
      </c>
      <c r="J80" s="354">
        <f t="shared" si="37"/>
        <v>-339449.771701271</v>
      </c>
      <c r="K80" s="354">
        <f t="shared" si="37"/>
        <v>-159382.007516059</v>
      </c>
      <c r="L80" s="354">
        <f t="shared" si="37"/>
        <v>1079775.10978126</v>
      </c>
      <c r="M80" s="354">
        <f t="shared" si="37"/>
        <v>937510.123468819</v>
      </c>
      <c r="N80" s="354">
        <f t="shared" si="37"/>
        <v>974851.122686943</v>
      </c>
      <c r="O80" s="354">
        <f t="shared" si="37"/>
        <v>1145143.16862296</v>
      </c>
      <c r="P80" s="318"/>
      <c r="Q80" s="104"/>
      <c r="R80" s="104"/>
    </row>
    <row r="81" s="283" customFormat="1" ht="15.6" hidden="1" customHeight="1" outlineLevel="1" spans="1:18">
      <c r="A81" s="353" t="s">
        <v>519</v>
      </c>
      <c r="B81" s="7"/>
      <c r="C81" s="8"/>
      <c r="D81" s="354">
        <f t="shared" ref="D81:O81" si="38">D32-D33</f>
        <v>0.990321927686978</v>
      </c>
      <c r="E81" s="354">
        <f t="shared" si="38"/>
        <v>4.48540399510617</v>
      </c>
      <c r="F81" s="354">
        <f t="shared" si="38"/>
        <v>-8.86213624856492</v>
      </c>
      <c r="G81" s="354">
        <f t="shared" si="38"/>
        <v>-11.3526227665409</v>
      </c>
      <c r="H81" s="354">
        <f t="shared" si="38"/>
        <v>-3.58344355484368</v>
      </c>
      <c r="I81" s="354">
        <f t="shared" si="38"/>
        <v>-76.6199381940343</v>
      </c>
      <c r="J81" s="354">
        <f t="shared" si="38"/>
        <v>-75.1821762369819</v>
      </c>
      <c r="K81" s="354">
        <f t="shared" si="38"/>
        <v>-113.31564998498</v>
      </c>
      <c r="L81" s="354">
        <f t="shared" si="38"/>
        <v>-79.2327876992552</v>
      </c>
      <c r="M81" s="354">
        <f t="shared" si="38"/>
        <v>29.8856724501741</v>
      </c>
      <c r="N81" s="354">
        <f t="shared" si="38"/>
        <v>59.6167511362788</v>
      </c>
      <c r="O81" s="354">
        <f t="shared" si="38"/>
        <v>-65.4293953876675</v>
      </c>
      <c r="P81" s="318"/>
      <c r="Q81" s="104"/>
      <c r="R81" s="104"/>
    </row>
    <row r="82" s="283" customFormat="1" ht="15.6" hidden="1" customHeight="1" outlineLevel="1" spans="1:18">
      <c r="A82" s="353" t="s">
        <v>520</v>
      </c>
      <c r="B82" s="7"/>
      <c r="C82" s="8"/>
      <c r="D82" s="354">
        <f t="shared" ref="D82:O82" si="39">D81*D65</f>
        <v>96666.3136834536</v>
      </c>
      <c r="E82" s="354">
        <f t="shared" si="39"/>
        <v>914596.301622123</v>
      </c>
      <c r="F82" s="354">
        <f t="shared" si="39"/>
        <v>-2741625.91840104</v>
      </c>
      <c r="G82" s="354">
        <f t="shared" si="39"/>
        <v>-4700757.80369604</v>
      </c>
      <c r="H82" s="354">
        <f t="shared" si="39"/>
        <v>-1741098.47032256</v>
      </c>
      <c r="I82" s="354">
        <f t="shared" si="39"/>
        <v>-45663797.5250042</v>
      </c>
      <c r="J82" s="354">
        <f t="shared" si="39"/>
        <v>-51288077.7140492</v>
      </c>
      <c r="K82" s="354">
        <f t="shared" si="39"/>
        <v>-86549246.9863778</v>
      </c>
      <c r="L82" s="354">
        <f t="shared" si="39"/>
        <v>-69811533.8450875</v>
      </c>
      <c r="M82" s="354">
        <f t="shared" si="39"/>
        <v>29948402.476647</v>
      </c>
      <c r="N82" s="354">
        <f t="shared" si="39"/>
        <v>67501304.9410562</v>
      </c>
      <c r="O82" s="354">
        <f t="shared" si="39"/>
        <v>-80056725.5911391</v>
      </c>
      <c r="P82" s="318"/>
      <c r="Q82" s="104"/>
      <c r="R82" s="104"/>
    </row>
    <row r="83" ht="15.6" hidden="1" customHeight="1" collapsed="1" spans="1:18">
      <c r="A83" s="342" t="s">
        <v>55</v>
      </c>
      <c r="B83" s="343"/>
      <c r="C83" s="296" t="s">
        <v>425</v>
      </c>
      <c r="D83" s="296">
        <v>770.36882</v>
      </c>
      <c r="E83" s="296">
        <v>741.42854</v>
      </c>
      <c r="F83" s="296">
        <v>763.50516</v>
      </c>
      <c r="G83" s="296">
        <v>766.01624</v>
      </c>
      <c r="H83" s="296">
        <v>831.68695</v>
      </c>
      <c r="I83" s="296">
        <v>824.01968</v>
      </c>
      <c r="J83" s="296">
        <v>839.2091</v>
      </c>
      <c r="K83" s="296">
        <v>583.2903</v>
      </c>
      <c r="L83" s="296">
        <v>793.0073</v>
      </c>
      <c r="M83" s="296">
        <v>589.92044</v>
      </c>
      <c r="N83" s="296">
        <v>801.39809</v>
      </c>
      <c r="O83" s="296">
        <v>815.91192</v>
      </c>
      <c r="P83" s="296">
        <f>SUM(D83:O83)</f>
        <v>9119.76254</v>
      </c>
    </row>
    <row r="84" ht="15.6" hidden="1" customHeight="1" spans="1:18">
      <c r="A84" s="293"/>
      <c r="B84" s="347"/>
      <c r="C84" s="303" t="s">
        <v>532</v>
      </c>
      <c r="D84" s="317">
        <v>818.33241</v>
      </c>
      <c r="E84" s="317">
        <v>613.15617</v>
      </c>
      <c r="F84" s="317">
        <v>735</v>
      </c>
      <c r="G84" s="317"/>
      <c r="H84" s="317"/>
      <c r="I84" s="317"/>
      <c r="J84" s="317"/>
      <c r="K84" s="317"/>
      <c r="L84" s="317"/>
      <c r="M84" s="317"/>
      <c r="N84" s="317"/>
      <c r="O84" s="317"/>
      <c r="P84" s="317"/>
    </row>
    <row r="85" ht="15.6" hidden="1" customHeight="1" spans="1:18">
      <c r="A85" s="302"/>
      <c r="B85" s="346"/>
      <c r="C85" s="320" t="s">
        <v>521</v>
      </c>
      <c r="D85" s="355">
        <f t="shared" ref="D85:O85" si="40">D84-D83</f>
        <v>47.96359</v>
      </c>
      <c r="E85" s="355">
        <f t="shared" si="40"/>
        <v>-128.27237</v>
      </c>
      <c r="F85" s="355">
        <f t="shared" si="40"/>
        <v>-28.50516</v>
      </c>
      <c r="G85" s="355">
        <f t="shared" si="40"/>
        <v>-766.01624</v>
      </c>
      <c r="H85" s="355">
        <f t="shared" si="40"/>
        <v>-831.68695</v>
      </c>
      <c r="I85" s="355">
        <f t="shared" si="40"/>
        <v>-824.01968</v>
      </c>
      <c r="J85" s="355">
        <f t="shared" si="40"/>
        <v>-839.2091</v>
      </c>
      <c r="K85" s="355">
        <f t="shared" si="40"/>
        <v>-583.2903</v>
      </c>
      <c r="L85" s="355">
        <f t="shared" si="40"/>
        <v>-793.0073</v>
      </c>
      <c r="M85" s="355">
        <f t="shared" si="40"/>
        <v>-589.92044</v>
      </c>
      <c r="N85" s="355">
        <f t="shared" si="40"/>
        <v>-801.39809</v>
      </c>
      <c r="O85" s="355">
        <f t="shared" si="40"/>
        <v>-815.91192</v>
      </c>
      <c r="P85" s="355">
        <f>SUM(D85:O85)</f>
        <v>-6953.27396</v>
      </c>
    </row>
    <row r="86" ht="15.6" customHeight="1" spans="1:18">
      <c r="A86" s="342" t="s">
        <v>522</v>
      </c>
      <c r="B86" s="343"/>
      <c r="C86" s="296" t="s">
        <v>425</v>
      </c>
      <c r="D86" s="326">
        <f t="shared" ref="D86:P86" si="41">D47/D67</f>
        <v>4366.85</v>
      </c>
      <c r="E86" s="326">
        <f t="shared" si="41"/>
        <v>5510.6</v>
      </c>
      <c r="F86" s="326">
        <f t="shared" si="41"/>
        <v>5681.3</v>
      </c>
      <c r="G86" s="326">
        <f t="shared" si="41"/>
        <v>5480.9</v>
      </c>
      <c r="H86" s="326">
        <f t="shared" si="41"/>
        <v>7696.45</v>
      </c>
      <c r="I86" s="326">
        <f t="shared" si="41"/>
        <v>6734.94444444444</v>
      </c>
      <c r="J86" s="326">
        <f t="shared" si="41"/>
        <v>7130.83333333333</v>
      </c>
      <c r="K86" s="326">
        <f t="shared" si="41"/>
        <v>3889.93333333333</v>
      </c>
      <c r="L86" s="326">
        <f t="shared" si="41"/>
        <v>4995.77272727273</v>
      </c>
      <c r="M86" s="326">
        <f t="shared" si="41"/>
        <v>4837.70833333333</v>
      </c>
      <c r="N86" s="326">
        <f t="shared" si="41"/>
        <v>4415.75</v>
      </c>
      <c r="O86" s="326">
        <f t="shared" si="41"/>
        <v>4854.46666666667</v>
      </c>
      <c r="P86" s="326">
        <f t="shared" si="41"/>
        <v>5455.34745762712</v>
      </c>
    </row>
    <row r="87" ht="15.6" customHeight="1" spans="1:18">
      <c r="A87" s="302"/>
      <c r="B87" s="346"/>
      <c r="C87" s="303" t="s">
        <v>532</v>
      </c>
      <c r="D87" s="356">
        <f t="shared" ref="D87:P87" si="42">D49/D68</f>
        <v>4880.55</v>
      </c>
      <c r="E87" s="356">
        <f t="shared" si="42"/>
        <v>5314.7</v>
      </c>
      <c r="F87" s="356">
        <f t="shared" si="42"/>
        <v>4668.52173913043</v>
      </c>
      <c r="G87" s="356">
        <f t="shared" si="42"/>
        <v>5088.52380952381</v>
      </c>
      <c r="H87" s="356">
        <f t="shared" si="42"/>
        <v>4839.92857142857</v>
      </c>
      <c r="I87" s="356">
        <f t="shared" si="42"/>
        <v>4802.68181818182</v>
      </c>
      <c r="J87" s="356">
        <f t="shared" si="42"/>
        <v>4874.05882352941</v>
      </c>
      <c r="K87" s="356">
        <f t="shared" si="42"/>
        <v>4871.5625</v>
      </c>
      <c r="L87" s="356">
        <f t="shared" si="42"/>
        <v>5134.72727272727</v>
      </c>
      <c r="M87" s="356">
        <f t="shared" si="42"/>
        <v>5773</v>
      </c>
      <c r="N87" s="356">
        <f t="shared" si="42"/>
        <v>5378.28571428571</v>
      </c>
      <c r="O87" s="356">
        <f t="shared" si="42"/>
        <v>5536</v>
      </c>
      <c r="P87" s="356">
        <f t="shared" si="42"/>
        <v>5081.81304347826</v>
      </c>
    </row>
    <row r="93" spans="1:18">
      <c r="D93" s="357"/>
    </row>
  </sheetData>
  <mergeCells count="38">
    <mergeCell ref="B1:P1"/>
    <mergeCell ref="B2:P2"/>
    <mergeCell ref="Q2:R2"/>
    <mergeCell ref="B13:C13"/>
    <mergeCell ref="B14:C14"/>
    <mergeCell ref="B22:C22"/>
    <mergeCell ref="B23:C23"/>
    <mergeCell ref="B27:C27"/>
    <mergeCell ref="B28:C28"/>
    <mergeCell ref="B29:C29"/>
    <mergeCell ref="B30:C30"/>
    <mergeCell ref="B34:C34"/>
    <mergeCell ref="B35:C35"/>
    <mergeCell ref="B36:C36"/>
    <mergeCell ref="A79:C79"/>
    <mergeCell ref="A80:C80"/>
    <mergeCell ref="A81:C81"/>
    <mergeCell ref="A82:C82"/>
    <mergeCell ref="A3:A46"/>
    <mergeCell ref="A47:A66"/>
    <mergeCell ref="B4:B12"/>
    <mergeCell ref="B15:B21"/>
    <mergeCell ref="B24:B26"/>
    <mergeCell ref="B31:B33"/>
    <mergeCell ref="B37:B39"/>
    <mergeCell ref="B40:B42"/>
    <mergeCell ref="B43:B44"/>
    <mergeCell ref="B45:B46"/>
    <mergeCell ref="B47:B50"/>
    <mergeCell ref="B51:B54"/>
    <mergeCell ref="B55:B58"/>
    <mergeCell ref="B59:B62"/>
    <mergeCell ref="B63:B66"/>
    <mergeCell ref="A86:B87"/>
    <mergeCell ref="A83:B85"/>
    <mergeCell ref="A69:B75"/>
    <mergeCell ref="A67:B68"/>
    <mergeCell ref="A76:B78"/>
  </mergeCells>
  <conditionalFormatting sqref="D13:P13">
    <cfRule type="cellIs" dxfId="0" priority="2" operator="lessThan">
      <formula>0</formula>
    </cfRule>
  </conditionalFormatting>
  <conditionalFormatting sqref="D22:P22">
    <cfRule type="cellIs" dxfId="0" priority="1" operator="lessThan">
      <formula>0</formula>
    </cfRule>
  </conditionalFormatting>
  <pageMargins left="0.7" right="0.7" top="0.75" bottom="0.75" header="0.3" footer="0.3"/>
  <pageSetup paperSize="256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3"/>
  <sheetViews>
    <sheetView zoomScale="85" zoomScaleNormal="85" topLeftCell="E2" workbookViewId="0">
      <selection activeCell="A1" sqref="A1:P46"/>
    </sheetView>
  </sheetViews>
  <sheetFormatPr defaultColWidth="8.88888888888889" defaultRowHeight="14.4"/>
  <cols>
    <col min="1" max="1" width="4.33333333333333" style="104" customWidth="1"/>
    <col min="2" max="2" width="24.6666666666667" style="104" customWidth="1"/>
    <col min="3" max="3" width="24.4444444444444" style="104" customWidth="1"/>
    <col min="4" max="16" width="18.7777777777778" style="104" customWidth="1"/>
    <col min="17" max="17" width="10.7777777777778" style="104" hidden="1" customWidth="1"/>
    <col min="18" max="19" width="12.2222222222222" style="104" customWidth="1"/>
    <col min="20" max="20" width="8.88888888888889" style="104" customWidth="1"/>
    <col min="21" max="16384" width="8.88888888888889" style="104"/>
  </cols>
  <sheetData>
    <row r="1" s="281" customFormat="1" ht="37.8" customHeight="1" spans="1:17">
      <c r="B1" s="284" t="s">
        <v>448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/>
    </row>
    <row r="2" s="281" customFormat="1" ht="165" customHeight="1" spans="1:17">
      <c r="B2" s="285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286"/>
    </row>
    <row r="3" s="281" customFormat="1" ht="16.2" customHeight="1" spans="1:17">
      <c r="A3" s="287" t="s">
        <v>450</v>
      </c>
      <c r="B3" s="288" t="s">
        <v>451</v>
      </c>
      <c r="C3" s="288" t="s">
        <v>410</v>
      </c>
      <c r="D3" s="289" t="s">
        <v>411</v>
      </c>
      <c r="E3" s="289" t="s">
        <v>412</v>
      </c>
      <c r="F3" s="289" t="s">
        <v>413</v>
      </c>
      <c r="G3" s="289" t="s">
        <v>414</v>
      </c>
      <c r="H3" s="289" t="s">
        <v>415</v>
      </c>
      <c r="I3" s="289" t="s">
        <v>416</v>
      </c>
      <c r="J3" s="289" t="s">
        <v>417</v>
      </c>
      <c r="K3" s="289" t="s">
        <v>418</v>
      </c>
      <c r="L3" s="289" t="s">
        <v>419</v>
      </c>
      <c r="M3" s="289" t="s">
        <v>420</v>
      </c>
      <c r="N3" s="289" t="s">
        <v>421</v>
      </c>
      <c r="O3" s="289" t="s">
        <v>422</v>
      </c>
      <c r="P3" s="289" t="s">
        <v>423</v>
      </c>
    </row>
    <row r="4" s="281" customFormat="1" ht="19.95" hidden="1" customHeight="1" spans="1:17">
      <c r="A4" s="87"/>
      <c r="B4" s="290" t="s">
        <v>452</v>
      </c>
      <c r="C4" s="291" t="s">
        <v>530</v>
      </c>
      <c r="D4" s="292">
        <v>11387.7930815451</v>
      </c>
      <c r="E4" s="292">
        <v>11383.9567562694</v>
      </c>
      <c r="F4" s="292">
        <v>11384.1824224621</v>
      </c>
      <c r="G4" s="292">
        <v>10843.2605585923</v>
      </c>
      <c r="H4" s="292">
        <v>8301.80789655553</v>
      </c>
      <c r="I4" s="292">
        <v>12020.109753453</v>
      </c>
      <c r="J4" s="292">
        <v>9489.03773627986</v>
      </c>
      <c r="K4" s="292">
        <v>8834.83144368133</v>
      </c>
      <c r="L4" s="292">
        <v>12125.4958654377</v>
      </c>
      <c r="M4" s="292">
        <v>10955.6423225502</v>
      </c>
      <c r="N4" s="292">
        <v>11601.047633634</v>
      </c>
      <c r="O4" s="292">
        <v>9179.19805372112</v>
      </c>
      <c r="P4" s="292">
        <v>127506.363524182</v>
      </c>
    </row>
    <row r="5" s="281" customFormat="1" ht="19.95" hidden="1" customHeight="1" spans="1:17">
      <c r="A5" s="87"/>
      <c r="B5" s="293"/>
      <c r="C5" s="291" t="s">
        <v>454</v>
      </c>
      <c r="D5" s="292">
        <v>11599.1904627147</v>
      </c>
      <c r="E5" s="292">
        <v>10318.4590779781</v>
      </c>
      <c r="F5" s="292">
        <v>10279.8157623576</v>
      </c>
      <c r="G5" s="292">
        <v>10804.9911396273</v>
      </c>
      <c r="H5" s="292">
        <v>11868.1838017311</v>
      </c>
      <c r="I5" s="292">
        <v>6637.89743744387</v>
      </c>
      <c r="J5" s="292">
        <v>9550.82107886083</v>
      </c>
      <c r="K5" s="292">
        <v>7188.57938086822</v>
      </c>
      <c r="L5" s="292">
        <v>5817.77264692603</v>
      </c>
      <c r="M5" s="292">
        <v>5854.6234748209</v>
      </c>
      <c r="N5" s="292">
        <v>7485.28</v>
      </c>
      <c r="O5" s="292">
        <v>8923.716</v>
      </c>
      <c r="P5" s="292">
        <v>106138.644</v>
      </c>
    </row>
    <row r="6" s="281" customFormat="1" ht="19.95" hidden="1" customHeight="1" spans="1:17">
      <c r="A6" s="87"/>
      <c r="B6" s="293"/>
      <c r="C6" s="291" t="s">
        <v>455</v>
      </c>
      <c r="D6" s="292">
        <v>238.808969605622</v>
      </c>
      <c r="E6" s="292">
        <v>224.153521994614</v>
      </c>
      <c r="F6" s="292">
        <v>221.84897085175</v>
      </c>
      <c r="G6" s="292">
        <v>218.888461795825</v>
      </c>
      <c r="H6" s="292">
        <v>220.992548073349</v>
      </c>
      <c r="I6" s="292">
        <v>223.769465933248</v>
      </c>
      <c r="J6" s="292">
        <v>228.177391567977</v>
      </c>
      <c r="K6" s="292">
        <v>224.80468401877</v>
      </c>
      <c r="L6" s="292">
        <v>205.807720635561</v>
      </c>
      <c r="M6" s="292">
        <v>223.365131998813</v>
      </c>
      <c r="N6" s="292">
        <v>220</v>
      </c>
      <c r="O6" s="292">
        <v>212</v>
      </c>
      <c r="P6" s="292">
        <v>222</v>
      </c>
    </row>
    <row r="7" s="281" customFormat="1" ht="19.95" hidden="1" customHeight="1" spans="1:17">
      <c r="A7" s="87"/>
      <c r="B7" s="293"/>
      <c r="C7" s="291" t="s">
        <v>456</v>
      </c>
      <c r="D7" s="292">
        <v>225.666192686624</v>
      </c>
      <c r="E7" s="292">
        <v>225.666192686624</v>
      </c>
      <c r="F7" s="292">
        <v>225.666192686624</v>
      </c>
      <c r="G7" s="292">
        <v>225.666192686624</v>
      </c>
      <c r="H7" s="292">
        <v>225.666192686624</v>
      </c>
      <c r="I7" s="292">
        <v>225.666192686624</v>
      </c>
      <c r="J7" s="292">
        <v>225.666192686624</v>
      </c>
      <c r="K7" s="292">
        <v>225.666192686624</v>
      </c>
      <c r="L7" s="292">
        <v>225.666192686624</v>
      </c>
      <c r="M7" s="292">
        <v>225.666192686624</v>
      </c>
      <c r="N7" s="292">
        <v>225.666192686624</v>
      </c>
      <c r="O7" s="292">
        <v>225.666192686624</v>
      </c>
      <c r="P7" s="292">
        <v>225.666192686624</v>
      </c>
    </row>
    <row r="8" s="281" customFormat="1" ht="19.95" hidden="1" customHeight="1" spans="1:17">
      <c r="A8" s="87"/>
      <c r="B8" s="293"/>
      <c r="C8" s="291" t="s">
        <v>531</v>
      </c>
      <c r="D8" s="294">
        <v>1838.25562589263</v>
      </c>
      <c r="E8" s="294">
        <v>1852.39235597551</v>
      </c>
      <c r="F8" s="294">
        <v>1893.03651095637</v>
      </c>
      <c r="G8" s="294">
        <v>1849.66731083101</v>
      </c>
      <c r="H8" s="294">
        <v>1928.86884185175</v>
      </c>
      <c r="I8" s="294">
        <v>1870.43255354125</v>
      </c>
      <c r="J8" s="294">
        <v>1859.23509922568</v>
      </c>
      <c r="K8" s="294">
        <v>1842.16734103215</v>
      </c>
      <c r="L8" s="294">
        <v>1948.68678955627</v>
      </c>
      <c r="M8" s="294">
        <v>1894.92463260729</v>
      </c>
      <c r="N8" s="294">
        <v>1861.96276515168</v>
      </c>
      <c r="O8" s="294">
        <v>1947.15049037351</v>
      </c>
      <c r="P8" s="295">
        <v>22586.7803169951</v>
      </c>
    </row>
    <row r="9" s="281" customFormat="1" ht="19.95" hidden="1" customHeight="1" spans="1:17">
      <c r="A9" s="87"/>
      <c r="B9" s="293"/>
      <c r="C9" s="291" t="s">
        <v>458</v>
      </c>
      <c r="D9" s="294">
        <v>1702.22127577778</v>
      </c>
      <c r="E9" s="294">
        <v>1632.23341011</v>
      </c>
      <c r="F9" s="294">
        <v>1827.89985</v>
      </c>
      <c r="G9" s="294">
        <v>1591.59675947</v>
      </c>
      <c r="H9" s="294">
        <v>1866.98700931903</v>
      </c>
      <c r="I9" s="294">
        <v>1737.90001</v>
      </c>
      <c r="J9" s="294">
        <v>1637.4123</v>
      </c>
      <c r="K9" s="294">
        <v>1533.5455277507</v>
      </c>
      <c r="L9" s="294">
        <v>1597.85532</v>
      </c>
      <c r="M9" s="294">
        <v>1443.0898</v>
      </c>
      <c r="N9" s="294">
        <v>1758.5060736739</v>
      </c>
      <c r="O9" s="294">
        <v>1502.30284</v>
      </c>
      <c r="P9" s="295">
        <v>19831.5501761014</v>
      </c>
    </row>
    <row r="10" s="281" customFormat="1" ht="19.95" hidden="1" customHeight="1" spans="1:17">
      <c r="A10" s="87"/>
      <c r="B10" s="293"/>
      <c r="C10" s="296" t="s">
        <v>425</v>
      </c>
      <c r="D10" s="297">
        <v>0.146753455014773</v>
      </c>
      <c r="E10" s="297">
        <v>0.158185771516365</v>
      </c>
      <c r="F10" s="297">
        <v>0.177814456236985</v>
      </c>
      <c r="G10" s="297">
        <v>0.147301995800147</v>
      </c>
      <c r="H10" s="297">
        <v>0.157310254080048</v>
      </c>
      <c r="I10" s="297">
        <v>0.26181483314229</v>
      </c>
      <c r="J10" s="297">
        <v>0.17144204529432</v>
      </c>
      <c r="K10" s="297">
        <v>0.213330819136824</v>
      </c>
      <c r="L10" s="297">
        <v>0.274650698295037</v>
      </c>
      <c r="M10" s="297">
        <v>0.246487208990694</v>
      </c>
      <c r="N10" s="297">
        <v>0.234928562949402</v>
      </c>
      <c r="O10" s="297">
        <v>0.168349467867422</v>
      </c>
      <c r="P10" s="298">
        <v>0.186845708864543</v>
      </c>
    </row>
    <row r="11" s="281" customFormat="1" ht="19.95" hidden="1" customHeight="1" spans="1:17">
      <c r="A11" s="87"/>
      <c r="B11" s="293"/>
      <c r="C11" s="299" t="s">
        <v>426</v>
      </c>
      <c r="D11" s="300">
        <v>0.161423342760915</v>
      </c>
      <c r="E11" s="300">
        <v>0.162719553107521</v>
      </c>
      <c r="F11" s="300">
        <v>0.166286558024687</v>
      </c>
      <c r="G11" s="300">
        <v>0.170582206416253</v>
      </c>
      <c r="H11" s="300">
        <v>0.232343227630219</v>
      </c>
      <c r="I11" s="300">
        <v>0.155608608565652</v>
      </c>
      <c r="J11" s="300">
        <v>0.195935051677282</v>
      </c>
      <c r="K11" s="300">
        <v>0.208511883081784</v>
      </c>
      <c r="L11" s="300">
        <v>0.160709863842416</v>
      </c>
      <c r="M11" s="300">
        <v>0.172963353203575</v>
      </c>
      <c r="N11" s="300">
        <v>0.160499536244765</v>
      </c>
      <c r="O11" s="300">
        <v>0.212126427491578</v>
      </c>
      <c r="P11" s="301">
        <v>0.177142376997611</v>
      </c>
    </row>
    <row r="12" s="281" customFormat="1" ht="19.95" hidden="1" customHeight="1" spans="1:17">
      <c r="A12" s="87"/>
      <c r="B12" s="302"/>
      <c r="C12" s="303" t="s">
        <v>532</v>
      </c>
      <c r="D12" s="304">
        <f t="shared" ref="D12:P12" si="0">D8/D4</f>
        <v>0.161423342760915</v>
      </c>
      <c r="E12" s="304">
        <f t="shared" si="0"/>
        <v>0.162719553107522</v>
      </c>
      <c r="F12" s="304">
        <f t="shared" si="0"/>
        <v>0.166286558024687</v>
      </c>
      <c r="G12" s="304">
        <f t="shared" si="0"/>
        <v>0.170582206416253</v>
      </c>
      <c r="H12" s="304">
        <f t="shared" si="0"/>
        <v>0.232343227630219</v>
      </c>
      <c r="I12" s="304">
        <f t="shared" si="0"/>
        <v>0.155608608565653</v>
      </c>
      <c r="J12" s="304">
        <f t="shared" si="0"/>
        <v>0.195935051677283</v>
      </c>
      <c r="K12" s="304">
        <f t="shared" si="0"/>
        <v>0.208511883081784</v>
      </c>
      <c r="L12" s="304">
        <f t="shared" si="0"/>
        <v>0.160709863842416</v>
      </c>
      <c r="M12" s="304">
        <f t="shared" si="0"/>
        <v>0.172963353203575</v>
      </c>
      <c r="N12" s="304">
        <f t="shared" si="0"/>
        <v>0.160499536244765</v>
      </c>
      <c r="O12" s="304">
        <f t="shared" si="0"/>
        <v>0.212126427491578</v>
      </c>
      <c r="P12" s="304">
        <f t="shared" si="0"/>
        <v>0.177142376997611</v>
      </c>
    </row>
    <row r="13" s="281" customFormat="1" ht="19.95" hidden="1" customHeight="1" spans="1:17">
      <c r="A13" s="87"/>
      <c r="B13" s="305" t="s">
        <v>459</v>
      </c>
      <c r="C13" s="8"/>
      <c r="D13" s="306">
        <f t="shared" ref="D13:P13" si="1">(D10-D12)/D10</f>
        <v>-0.0999628100385449</v>
      </c>
      <c r="E13" s="306">
        <f t="shared" si="1"/>
        <v>-0.0286611213366162</v>
      </c>
      <c r="F13" s="306">
        <f t="shared" si="1"/>
        <v>0.0648310517393122</v>
      </c>
      <c r="G13" s="306">
        <f t="shared" si="1"/>
        <v>-0.158044094987633</v>
      </c>
      <c r="H13" s="306">
        <f t="shared" si="1"/>
        <v>-0.476974460367917</v>
      </c>
      <c r="I13" s="306">
        <f t="shared" si="1"/>
        <v>0.405653962771914</v>
      </c>
      <c r="J13" s="306">
        <f t="shared" si="1"/>
        <v>-0.14286464175643</v>
      </c>
      <c r="K13" s="306">
        <f t="shared" si="1"/>
        <v>0.0225890289763962</v>
      </c>
      <c r="L13" s="306">
        <f t="shared" si="1"/>
        <v>0.414857253813434</v>
      </c>
      <c r="M13" s="306">
        <f t="shared" si="1"/>
        <v>0.298286698478924</v>
      </c>
      <c r="N13" s="306">
        <f t="shared" si="1"/>
        <v>0.316815570530126</v>
      </c>
      <c r="O13" s="306">
        <f t="shared" si="1"/>
        <v>-0.260036222143757</v>
      </c>
      <c r="P13" s="306">
        <f t="shared" si="1"/>
        <v>0.0519323238724549</v>
      </c>
    </row>
    <row r="14" s="281" customFormat="1" ht="19.95" hidden="1" customHeight="1" spans="1:17">
      <c r="A14" s="87"/>
      <c r="B14" s="305" t="s">
        <v>460</v>
      </c>
      <c r="C14" s="8"/>
      <c r="D14" s="307">
        <f t="shared" ref="D14:O14" si="2">2-D12/D11</f>
        <v>1</v>
      </c>
      <c r="E14" s="307">
        <f t="shared" si="2"/>
        <v>0.999999999999995</v>
      </c>
      <c r="F14" s="307">
        <f t="shared" si="2"/>
        <v>0.999999999999998</v>
      </c>
      <c r="G14" s="307">
        <f t="shared" si="2"/>
        <v>0.999999999999998</v>
      </c>
      <c r="H14" s="307">
        <f t="shared" si="2"/>
        <v>1</v>
      </c>
      <c r="I14" s="307">
        <f t="shared" si="2"/>
        <v>0.999999999999997</v>
      </c>
      <c r="J14" s="307">
        <f t="shared" si="2"/>
        <v>0.999999999999997</v>
      </c>
      <c r="K14" s="307">
        <f t="shared" si="2"/>
        <v>1</v>
      </c>
      <c r="L14" s="307">
        <f t="shared" si="2"/>
        <v>1</v>
      </c>
      <c r="M14" s="307">
        <f t="shared" si="2"/>
        <v>0.999999999999997</v>
      </c>
      <c r="N14" s="307">
        <f t="shared" si="2"/>
        <v>1</v>
      </c>
      <c r="O14" s="307">
        <f t="shared" si="2"/>
        <v>0.999999999999999</v>
      </c>
      <c r="P14" s="308"/>
    </row>
    <row r="15" s="281" customFormat="1" ht="19.95" hidden="1" customHeight="1" spans="1:17">
      <c r="A15" s="87"/>
      <c r="B15" s="290" t="s">
        <v>461</v>
      </c>
      <c r="C15" s="291" t="s">
        <v>533</v>
      </c>
      <c r="D15" s="292">
        <f>D4</f>
        <v>11387.7930815451</v>
      </c>
      <c r="E15" s="309">
        <f t="shared" ref="E15:O15" si="3">D15+E4</f>
        <v>22771.7498378145</v>
      </c>
      <c r="F15" s="309">
        <f t="shared" si="3"/>
        <v>34155.9322602766</v>
      </c>
      <c r="G15" s="309">
        <f t="shared" si="3"/>
        <v>44999.1928188689</v>
      </c>
      <c r="H15" s="309">
        <f t="shared" si="3"/>
        <v>53301.0007154244</v>
      </c>
      <c r="I15" s="309">
        <f t="shared" si="3"/>
        <v>65321.1104688774</v>
      </c>
      <c r="J15" s="309">
        <f t="shared" si="3"/>
        <v>74810.1482051573</v>
      </c>
      <c r="K15" s="309">
        <f t="shared" si="3"/>
        <v>83644.9796488386</v>
      </c>
      <c r="L15" s="309">
        <f t="shared" si="3"/>
        <v>95770.4755142763</v>
      </c>
      <c r="M15" s="309">
        <f t="shared" si="3"/>
        <v>106726.117836827</v>
      </c>
      <c r="N15" s="309">
        <f t="shared" si="3"/>
        <v>118327.165470461</v>
      </c>
      <c r="O15" s="309">
        <f t="shared" si="3"/>
        <v>127506.363524182</v>
      </c>
      <c r="P15" s="292">
        <f>O15</f>
        <v>127506.363524182</v>
      </c>
    </row>
    <row r="16" s="281" customFormat="1" ht="19.95" hidden="1" customHeight="1" spans="1:17">
      <c r="A16" s="87"/>
      <c r="B16" s="293"/>
      <c r="C16" s="291" t="s">
        <v>463</v>
      </c>
      <c r="D16" s="292">
        <f>D5</f>
        <v>11599.1904627147</v>
      </c>
      <c r="E16" s="309">
        <f t="shared" ref="E16:O16" si="4">D16+E5</f>
        <v>21917.6495406928</v>
      </c>
      <c r="F16" s="309">
        <f t="shared" si="4"/>
        <v>32197.4653030504</v>
      </c>
      <c r="G16" s="309">
        <f t="shared" si="4"/>
        <v>43002.4564426777</v>
      </c>
      <c r="H16" s="309">
        <f t="shared" si="4"/>
        <v>54870.6402444088</v>
      </c>
      <c r="I16" s="309">
        <f t="shared" si="4"/>
        <v>61508.5376818527</v>
      </c>
      <c r="J16" s="309">
        <f t="shared" si="4"/>
        <v>71059.3587607135</v>
      </c>
      <c r="K16" s="309">
        <f t="shared" si="4"/>
        <v>78247.9381415817</v>
      </c>
      <c r="L16" s="309">
        <f t="shared" si="4"/>
        <v>84065.7107885077</v>
      </c>
      <c r="M16" s="309">
        <f t="shared" si="4"/>
        <v>89920.3342633286</v>
      </c>
      <c r="N16" s="309">
        <f t="shared" si="4"/>
        <v>97405.6142633286</v>
      </c>
      <c r="O16" s="309">
        <f t="shared" si="4"/>
        <v>106329.330263329</v>
      </c>
      <c r="P16" s="292">
        <f>O16</f>
        <v>106329.330263329</v>
      </c>
    </row>
    <row r="17" s="281" customFormat="1" ht="19.95" hidden="1" customHeight="1" spans="1:17">
      <c r="A17" s="87"/>
      <c r="B17" s="293"/>
      <c r="C17" s="291" t="s">
        <v>534</v>
      </c>
      <c r="D17" s="309">
        <f>D8</f>
        <v>1838.25562589263</v>
      </c>
      <c r="E17" s="309">
        <f t="shared" ref="E17:O17" si="5">D17+E8</f>
        <v>3690.64798186814</v>
      </c>
      <c r="F17" s="309">
        <f t="shared" si="5"/>
        <v>5583.68449282451</v>
      </c>
      <c r="G17" s="309">
        <f t="shared" si="5"/>
        <v>7433.35180365552</v>
      </c>
      <c r="H17" s="309">
        <f t="shared" si="5"/>
        <v>9362.22064550727</v>
      </c>
      <c r="I17" s="309">
        <f t="shared" si="5"/>
        <v>11232.6531990485</v>
      </c>
      <c r="J17" s="309">
        <f t="shared" si="5"/>
        <v>13091.8882982742</v>
      </c>
      <c r="K17" s="309">
        <f t="shared" si="5"/>
        <v>14934.0556393063</v>
      </c>
      <c r="L17" s="309">
        <f t="shared" si="5"/>
        <v>16882.7424288626</v>
      </c>
      <c r="M17" s="309">
        <f t="shared" si="5"/>
        <v>18777.6670614699</v>
      </c>
      <c r="N17" s="309">
        <f t="shared" si="5"/>
        <v>20639.6298266216</v>
      </c>
      <c r="O17" s="309">
        <f t="shared" si="5"/>
        <v>22586.7803169951</v>
      </c>
      <c r="P17" s="292">
        <f>O17</f>
        <v>22586.7803169951</v>
      </c>
    </row>
    <row r="18" s="281" customFormat="1" ht="19.95" hidden="1" customHeight="1" spans="1:17">
      <c r="A18" s="87"/>
      <c r="B18" s="293"/>
      <c r="C18" s="291" t="s">
        <v>465</v>
      </c>
      <c r="D18" s="309">
        <f>D9</f>
        <v>1702.22127577778</v>
      </c>
      <c r="E18" s="309">
        <f t="shared" ref="E18:O18" si="6">D18+E9</f>
        <v>3334.45468588778</v>
      </c>
      <c r="F18" s="309">
        <f t="shared" si="6"/>
        <v>5162.35453588778</v>
      </c>
      <c r="G18" s="309">
        <f t="shared" si="6"/>
        <v>6753.95129535778</v>
      </c>
      <c r="H18" s="309">
        <f t="shared" si="6"/>
        <v>8620.93830467681</v>
      </c>
      <c r="I18" s="309">
        <f t="shared" si="6"/>
        <v>10358.8383146768</v>
      </c>
      <c r="J18" s="309">
        <f t="shared" si="6"/>
        <v>11996.2506146768</v>
      </c>
      <c r="K18" s="309">
        <f t="shared" si="6"/>
        <v>13529.7961424275</v>
      </c>
      <c r="L18" s="309">
        <f t="shared" si="6"/>
        <v>15127.6514624275</v>
      </c>
      <c r="M18" s="309">
        <f t="shared" si="6"/>
        <v>16570.7412624275</v>
      </c>
      <c r="N18" s="309">
        <f t="shared" si="6"/>
        <v>18329.2473361014</v>
      </c>
      <c r="O18" s="309">
        <f t="shared" si="6"/>
        <v>19831.5501761014</v>
      </c>
      <c r="P18" s="292">
        <f>O18</f>
        <v>19831.5501761014</v>
      </c>
    </row>
    <row r="19" s="281" customFormat="1" ht="19.95" hidden="1" customHeight="1" spans="1:17">
      <c r="A19" s="87"/>
      <c r="B19" s="293"/>
      <c r="C19" s="296" t="s">
        <v>425</v>
      </c>
      <c r="D19" s="310">
        <f t="shared" ref="D19:P19" si="7">D18/D16</f>
        <v>0.146753455014772</v>
      </c>
      <c r="E19" s="310">
        <f t="shared" si="7"/>
        <v>0.152135596460604</v>
      </c>
      <c r="F19" s="310">
        <f t="shared" si="7"/>
        <v>0.160334190511534</v>
      </c>
      <c r="G19" s="310">
        <f t="shared" si="7"/>
        <v>0.157059662495346</v>
      </c>
      <c r="H19" s="310">
        <f t="shared" si="7"/>
        <v>0.157113863922068</v>
      </c>
      <c r="I19" s="310">
        <f t="shared" si="7"/>
        <v>0.168413015576097</v>
      </c>
      <c r="J19" s="310">
        <f t="shared" si="7"/>
        <v>0.168820136065021</v>
      </c>
      <c r="K19" s="310">
        <f t="shared" si="7"/>
        <v>0.172909299129987</v>
      </c>
      <c r="L19" s="310">
        <f t="shared" si="7"/>
        <v>0.179950318870028</v>
      </c>
      <c r="M19" s="310">
        <f t="shared" si="7"/>
        <v>0.184282469568014</v>
      </c>
      <c r="N19" s="310">
        <f t="shared" si="7"/>
        <v>0.1881744443041</v>
      </c>
      <c r="O19" s="310">
        <f t="shared" si="7"/>
        <v>0.18651062813043</v>
      </c>
      <c r="P19" s="310">
        <f t="shared" si="7"/>
        <v>0.18651062813043</v>
      </c>
    </row>
    <row r="20" s="281" customFormat="1" ht="19.95" hidden="1" customHeight="1" spans="1:17">
      <c r="A20" s="87"/>
      <c r="B20" s="293"/>
      <c r="C20" s="299" t="s">
        <v>426</v>
      </c>
      <c r="D20" s="300">
        <v>0.161423342760915</v>
      </c>
      <c r="E20" s="300">
        <v>0.162071338748834</v>
      </c>
      <c r="F20" s="300">
        <v>0.163476272592282</v>
      </c>
      <c r="G20" s="300">
        <v>0.165188558683181</v>
      </c>
      <c r="H20" s="300">
        <v>0.175648121420692</v>
      </c>
      <c r="I20" s="300">
        <v>0.171960536470064</v>
      </c>
      <c r="J20" s="300">
        <v>0.17500150196697</v>
      </c>
      <c r="K20" s="300">
        <v>0.178540968053349</v>
      </c>
      <c r="L20" s="300">
        <v>0.176283372701286</v>
      </c>
      <c r="M20" s="300">
        <v>0.175942566281471</v>
      </c>
      <c r="N20" s="300">
        <v>0.174428498684641</v>
      </c>
      <c r="O20" s="300">
        <v>0.177142376997611</v>
      </c>
      <c r="P20" s="300">
        <v>0.177142376997611</v>
      </c>
    </row>
    <row r="21" s="281" customFormat="1" ht="19.95" hidden="1" customHeight="1" spans="1:17">
      <c r="A21" s="87"/>
      <c r="B21" s="302"/>
      <c r="C21" s="303" t="s">
        <v>532</v>
      </c>
      <c r="D21" s="311">
        <f t="shared" ref="D21:P21" si="8">D17/D15</f>
        <v>0.161423342760915</v>
      </c>
      <c r="E21" s="311">
        <f t="shared" si="8"/>
        <v>0.162071338748834</v>
      </c>
      <c r="F21" s="311">
        <f t="shared" si="8"/>
        <v>0.163476272592282</v>
      </c>
      <c r="G21" s="311">
        <f t="shared" si="8"/>
        <v>0.165188558683181</v>
      </c>
      <c r="H21" s="311">
        <f t="shared" si="8"/>
        <v>0.175648121420692</v>
      </c>
      <c r="I21" s="311">
        <f t="shared" si="8"/>
        <v>0.171960536470065</v>
      </c>
      <c r="J21" s="311">
        <f t="shared" si="8"/>
        <v>0.175001501966971</v>
      </c>
      <c r="K21" s="311">
        <f t="shared" si="8"/>
        <v>0.178540968053349</v>
      </c>
      <c r="L21" s="311">
        <f t="shared" si="8"/>
        <v>0.176283372701287</v>
      </c>
      <c r="M21" s="311">
        <f t="shared" si="8"/>
        <v>0.175942566281471</v>
      </c>
      <c r="N21" s="311">
        <f t="shared" si="8"/>
        <v>0.174428498684642</v>
      </c>
      <c r="O21" s="311">
        <f t="shared" si="8"/>
        <v>0.177142376997612</v>
      </c>
      <c r="P21" s="311">
        <f t="shared" si="8"/>
        <v>0.177142376997612</v>
      </c>
    </row>
    <row r="22" s="281" customFormat="1" ht="19.95" hidden="1" customHeight="1" spans="1:17">
      <c r="A22" s="87"/>
      <c r="B22" s="305" t="s">
        <v>459</v>
      </c>
      <c r="C22" s="8"/>
      <c r="D22" s="312">
        <f t="shared" ref="D22:O22" si="9">(D19-D21)/D19</f>
        <v>-0.0999628100385486</v>
      </c>
      <c r="E22" s="312">
        <f t="shared" si="9"/>
        <v>-0.0653084650757788</v>
      </c>
      <c r="F22" s="312">
        <f t="shared" si="9"/>
        <v>-0.0195970807643968</v>
      </c>
      <c r="G22" s="312">
        <f t="shared" si="9"/>
        <v>-0.0517567404557246</v>
      </c>
      <c r="H22" s="312">
        <f t="shared" si="9"/>
        <v>-0.117967040183145</v>
      </c>
      <c r="I22" s="312">
        <f t="shared" si="9"/>
        <v>-0.0210644105019582</v>
      </c>
      <c r="J22" s="312">
        <f t="shared" si="9"/>
        <v>-0.0366150984475497</v>
      </c>
      <c r="K22" s="312">
        <f t="shared" si="9"/>
        <v>-0.0325700754771332</v>
      </c>
      <c r="L22" s="312">
        <f t="shared" si="9"/>
        <v>0.0203775474907031</v>
      </c>
      <c r="M22" s="312">
        <f t="shared" si="9"/>
        <v>0.0452560859754769</v>
      </c>
      <c r="N22" s="312">
        <f t="shared" si="9"/>
        <v>0.0730489502455736</v>
      </c>
      <c r="O22" s="312">
        <f t="shared" si="9"/>
        <v>0.0502290471418466</v>
      </c>
      <c r="P22" s="312"/>
    </row>
    <row r="23" s="281" customFormat="1" ht="16.2" customHeight="1" spans="1:17">
      <c r="A23" s="87"/>
      <c r="B23" s="305" t="s">
        <v>460</v>
      </c>
      <c r="C23" s="8"/>
      <c r="D23" s="307">
        <f t="shared" ref="D23:J23" si="10">2-D21/D20</f>
        <v>1</v>
      </c>
      <c r="E23" s="307">
        <f t="shared" si="10"/>
        <v>1</v>
      </c>
      <c r="F23" s="307">
        <f t="shared" si="10"/>
        <v>0.999999999999998</v>
      </c>
      <c r="G23" s="307">
        <f t="shared" si="10"/>
        <v>0.999999999999998</v>
      </c>
      <c r="H23" s="307">
        <f t="shared" si="10"/>
        <v>0.999999999999999</v>
      </c>
      <c r="I23" s="307">
        <f t="shared" si="10"/>
        <v>0.999999999999996</v>
      </c>
      <c r="J23" s="307">
        <f t="shared" si="10"/>
        <v>0.999999999999996</v>
      </c>
      <c r="K23" s="307">
        <v>0.06</v>
      </c>
      <c r="L23" s="307">
        <f>2-L21/L20</f>
        <v>0.999999999999996</v>
      </c>
      <c r="M23" s="307">
        <f>2-M21/M20</f>
        <v>1</v>
      </c>
      <c r="N23" s="307">
        <f>2-N21/N20</f>
        <v>0.999999999999997</v>
      </c>
      <c r="O23" s="307">
        <f>2-O21/O20</f>
        <v>0.999999999999996</v>
      </c>
      <c r="P23" s="307">
        <f>2-P21/P20</f>
        <v>0.999999999999996</v>
      </c>
    </row>
    <row r="24" s="281" customFormat="1" ht="16.2" customHeight="1" spans="1:17">
      <c r="A24" s="87"/>
      <c r="B24" s="313" t="s">
        <v>466</v>
      </c>
      <c r="C24" s="296" t="s">
        <v>425</v>
      </c>
      <c r="D24" s="296">
        <v>29.694717362208</v>
      </c>
      <c r="E24" s="296">
        <v>27.6820206296191</v>
      </c>
      <c r="F24" s="296">
        <v>29.102663778305</v>
      </c>
      <c r="G24" s="296">
        <v>31.1229667500823</v>
      </c>
      <c r="H24" s="296">
        <v>23.0334082203312</v>
      </c>
      <c r="I24" s="296">
        <v>30.2457964092316</v>
      </c>
      <c r="J24" s="296">
        <v>31.123388843442</v>
      </c>
      <c r="K24" s="296">
        <v>66.7913695449611</v>
      </c>
      <c r="L24" s="296">
        <v>34.2874636427066</v>
      </c>
      <c r="M24" s="296">
        <v>34.7914399579328</v>
      </c>
      <c r="N24" s="296">
        <v>37.6496265461252</v>
      </c>
      <c r="O24" s="296">
        <v>48.8406817634608</v>
      </c>
      <c r="P24" s="296">
        <v>33.2603065752387</v>
      </c>
    </row>
    <row r="25" s="281" customFormat="1" ht="16.2" customHeight="1" spans="1:17">
      <c r="A25" s="87"/>
      <c r="B25" s="87"/>
      <c r="C25" s="299" t="s">
        <v>426</v>
      </c>
      <c r="D25" s="314">
        <v>40.0449920163892</v>
      </c>
      <c r="E25" s="314">
        <v>37.9964933664923</v>
      </c>
      <c r="F25" s="314">
        <v>32.6978167602652</v>
      </c>
      <c r="G25" s="314">
        <v>28.580160844213</v>
      </c>
      <c r="H25" s="314">
        <v>32.6225752574154</v>
      </c>
      <c r="I25" s="314">
        <v>27.6481120696316</v>
      </c>
      <c r="J25" s="314">
        <v>26.507382121303</v>
      </c>
      <c r="K25" s="314">
        <v>34.6683292566935</v>
      </c>
      <c r="L25" s="314">
        <v>22.8335954008801</v>
      </c>
      <c r="M25" s="314">
        <v>28.5187121672751</v>
      </c>
      <c r="N25" s="314">
        <v>30.9479580899339</v>
      </c>
      <c r="O25" s="314">
        <v>33.5923135909516</v>
      </c>
      <c r="P25" s="315">
        <v>30.71978370569</v>
      </c>
    </row>
    <row r="26" s="281" customFormat="1" ht="15.6" customHeight="1" spans="1:17">
      <c r="A26" s="87"/>
      <c r="B26" s="87"/>
      <c r="C26" s="303" t="s">
        <v>532</v>
      </c>
      <c r="D26" s="316">
        <v>34.9554951575672</v>
      </c>
      <c r="E26" s="316">
        <v>32.7910305097132</v>
      </c>
      <c r="F26" s="316">
        <v>32.1556536473229</v>
      </c>
      <c r="G26" s="316">
        <v>25.9070811758388</v>
      </c>
      <c r="H26" s="316">
        <v>30.1653256992277</v>
      </c>
      <c r="I26" s="316">
        <v>36.5277907100623</v>
      </c>
      <c r="J26" s="316">
        <v>30.4450404246841</v>
      </c>
      <c r="K26" s="316">
        <v>36.6214204584098</v>
      </c>
      <c r="L26" s="316">
        <v>13.6287438618898</v>
      </c>
      <c r="M26" s="316">
        <v>20.771014770731</v>
      </c>
      <c r="N26" s="316">
        <v>23.4580335946249</v>
      </c>
      <c r="O26" s="316">
        <v>21.0503589485666</v>
      </c>
      <c r="P26" s="316">
        <v>27.5439728324461</v>
      </c>
      <c r="Q26" s="317"/>
    </row>
    <row r="27" s="281" customFormat="1" ht="16.2" customHeight="1" spans="1:17">
      <c r="A27" s="87"/>
      <c r="B27" s="318" t="s">
        <v>467</v>
      </c>
      <c r="C27" s="8"/>
      <c r="D27" s="319">
        <f t="shared" ref="D27:P27" si="11">2-D26/D25</f>
        <v>1.12709446556361</v>
      </c>
      <c r="E27" s="319">
        <f t="shared" si="11"/>
        <v>1.13699850685089</v>
      </c>
      <c r="F27" s="319">
        <f t="shared" si="11"/>
        <v>1.01658101875478</v>
      </c>
      <c r="G27" s="319">
        <f t="shared" si="11"/>
        <v>1.09352920310508</v>
      </c>
      <c r="H27" s="319">
        <f t="shared" si="11"/>
        <v>1.07532359229148</v>
      </c>
      <c r="I27" s="319">
        <f t="shared" si="11"/>
        <v>0.678832369527898</v>
      </c>
      <c r="J27" s="319">
        <f t="shared" si="11"/>
        <v>0.851450502152132</v>
      </c>
      <c r="K27" s="319">
        <f t="shared" si="11"/>
        <v>0.943663532578824</v>
      </c>
      <c r="L27" s="319">
        <f t="shared" si="11"/>
        <v>1.40312755732877</v>
      </c>
      <c r="M27" s="319">
        <f t="shared" si="11"/>
        <v>1.27167066139243</v>
      </c>
      <c r="N27" s="319">
        <f t="shared" si="11"/>
        <v>1.24201675837687</v>
      </c>
      <c r="O27" s="319">
        <f t="shared" si="11"/>
        <v>1.37335786975278</v>
      </c>
      <c r="P27" s="319">
        <f t="shared" si="11"/>
        <v>1.1033799880777</v>
      </c>
    </row>
    <row r="28" s="282" customFormat="1" ht="19.95" hidden="1" customHeight="1" spans="1:17">
      <c r="A28" s="87"/>
      <c r="B28" s="320" t="s">
        <v>468</v>
      </c>
      <c r="C28" s="8"/>
      <c r="D28" s="321">
        <f t="shared" ref="D28:O28" si="12">D25/D24-1</f>
        <v>0.348556092584799</v>
      </c>
      <c r="E28" s="321">
        <f t="shared" si="12"/>
        <v>0.372605485519975</v>
      </c>
      <c r="F28" s="321">
        <f t="shared" si="12"/>
        <v>0.123533467910256</v>
      </c>
      <c r="G28" s="321">
        <f t="shared" si="12"/>
        <v>-0.0817019124907998</v>
      </c>
      <c r="H28" s="321">
        <f t="shared" si="12"/>
        <v>0.416315594520658</v>
      </c>
      <c r="I28" s="321">
        <f t="shared" si="12"/>
        <v>-0.0858857973006502</v>
      </c>
      <c r="J28" s="321">
        <f t="shared" si="12"/>
        <v>-0.148313114145719</v>
      </c>
      <c r="K28" s="321">
        <f t="shared" si="12"/>
        <v>-0.48094597411487</v>
      </c>
      <c r="L28" s="321">
        <f t="shared" si="12"/>
        <v>-0.334054112639588</v>
      </c>
      <c r="M28" s="321">
        <f t="shared" si="12"/>
        <v>-0.180295147261574</v>
      </c>
      <c r="N28" s="321">
        <f t="shared" si="12"/>
        <v>-0.178000927790903</v>
      </c>
      <c r="O28" s="321">
        <f t="shared" si="12"/>
        <v>-0.31220629241742</v>
      </c>
      <c r="P28" s="320"/>
    </row>
    <row r="29" s="281" customFormat="1" ht="15.6" customHeight="1" spans="1:17">
      <c r="A29" s="87"/>
      <c r="B29" s="318" t="s">
        <v>469</v>
      </c>
      <c r="C29" s="8"/>
      <c r="D29" s="322">
        <f t="shared" ref="D29:P29" si="13">(D24-D26)/D24</f>
        <v>-0.177162076715184</v>
      </c>
      <c r="E29" s="322">
        <f t="shared" si="13"/>
        <v>-0.184560583508401</v>
      </c>
      <c r="F29" s="322">
        <f t="shared" si="13"/>
        <v>-0.104904138407213</v>
      </c>
      <c r="G29" s="322">
        <f t="shared" si="13"/>
        <v>0.167589600828453</v>
      </c>
      <c r="H29" s="322">
        <f t="shared" si="13"/>
        <v>-0.309633616122918</v>
      </c>
      <c r="I29" s="322">
        <f t="shared" si="13"/>
        <v>-0.207698095161195</v>
      </c>
      <c r="J29" s="322">
        <f t="shared" si="13"/>
        <v>0.0217954549284511</v>
      </c>
      <c r="K29" s="322">
        <f t="shared" si="13"/>
        <v>0.451704303895763</v>
      </c>
      <c r="L29" s="322">
        <f t="shared" si="13"/>
        <v>0.602515251524333</v>
      </c>
      <c r="M29" s="322">
        <f t="shared" si="13"/>
        <v>0.40298490675161</v>
      </c>
      <c r="N29" s="322">
        <f t="shared" si="13"/>
        <v>0.376938478635743</v>
      </c>
      <c r="O29" s="322">
        <f t="shared" si="13"/>
        <v>0.568999485909818</v>
      </c>
      <c r="P29" s="322">
        <f t="shared" si="13"/>
        <v>0.171866537966557</v>
      </c>
    </row>
    <row r="30" s="281" customFormat="1" ht="19.95" hidden="1" customHeight="1" spans="1:17">
      <c r="A30" s="87"/>
      <c r="B30" s="318" t="s">
        <v>470</v>
      </c>
      <c r="C30" s="8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318"/>
    </row>
    <row r="31" s="281" customFormat="1" ht="15" customHeight="1" spans="1:17">
      <c r="A31" s="87"/>
      <c r="B31" s="313" t="s">
        <v>471</v>
      </c>
      <c r="C31" s="296" t="s">
        <v>425</v>
      </c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</row>
    <row r="32" s="281" customFormat="1" ht="15.6" customHeight="1" spans="1:17">
      <c r="A32" s="87"/>
      <c r="B32" s="87"/>
      <c r="C32" s="299" t="s">
        <v>426</v>
      </c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</row>
    <row r="33" s="281" customFormat="1" ht="15.6" customHeight="1" spans="1:21">
      <c r="A33" s="87"/>
      <c r="B33" s="87"/>
      <c r="C33" s="303" t="s">
        <v>532</v>
      </c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</row>
    <row r="34" ht="15.6" customHeight="1" spans="1:21">
      <c r="A34" s="87"/>
      <c r="B34" s="318" t="s">
        <v>472</v>
      </c>
      <c r="C34" s="8"/>
      <c r="D34" s="319" t="e">
        <f t="shared" ref="D34:O34" si="14">2-D33/D32</f>
        <v>#DIV/0!</v>
      </c>
      <c r="E34" s="319" t="e">
        <f t="shared" si="14"/>
        <v>#DIV/0!</v>
      </c>
      <c r="F34" s="319" t="e">
        <f t="shared" si="14"/>
        <v>#DIV/0!</v>
      </c>
      <c r="G34" s="319" t="e">
        <f t="shared" si="14"/>
        <v>#DIV/0!</v>
      </c>
      <c r="H34" s="319" t="e">
        <f t="shared" si="14"/>
        <v>#DIV/0!</v>
      </c>
      <c r="I34" s="319" t="e">
        <f t="shared" si="14"/>
        <v>#DIV/0!</v>
      </c>
      <c r="J34" s="319" t="e">
        <f t="shared" si="14"/>
        <v>#DIV/0!</v>
      </c>
      <c r="K34" s="319" t="e">
        <f t="shared" si="14"/>
        <v>#DIV/0!</v>
      </c>
      <c r="L34" s="319" t="e">
        <f t="shared" si="14"/>
        <v>#DIV/0!</v>
      </c>
      <c r="M34" s="319" t="e">
        <f t="shared" si="14"/>
        <v>#DIV/0!</v>
      </c>
      <c r="N34" s="319" t="e">
        <f t="shared" si="14"/>
        <v>#DIV/0!</v>
      </c>
      <c r="O34" s="319" t="e">
        <f t="shared" si="14"/>
        <v>#DIV/0!</v>
      </c>
      <c r="P34" s="319" t="e">
        <f>O34</f>
        <v>#DIV/0!</v>
      </c>
      <c r="Q34" s="281"/>
      <c r="R34" s="281"/>
    </row>
    <row r="35" ht="15.6" customHeight="1" spans="1:21">
      <c r="A35" s="87"/>
      <c r="B35" s="318" t="s">
        <v>473</v>
      </c>
      <c r="C35" s="8"/>
      <c r="D35" s="322" t="e">
        <f t="shared" ref="D35:O35" si="15">(D31-D33)/D31</f>
        <v>#DIV/0!</v>
      </c>
      <c r="E35" s="322" t="e">
        <f t="shared" si="15"/>
        <v>#DIV/0!</v>
      </c>
      <c r="F35" s="322" t="e">
        <f t="shared" si="15"/>
        <v>#DIV/0!</v>
      </c>
      <c r="G35" s="322" t="e">
        <f t="shared" si="15"/>
        <v>#DIV/0!</v>
      </c>
      <c r="H35" s="322" t="e">
        <f t="shared" si="15"/>
        <v>#DIV/0!</v>
      </c>
      <c r="I35" s="322" t="e">
        <f t="shared" si="15"/>
        <v>#DIV/0!</v>
      </c>
      <c r="J35" s="322" t="e">
        <f t="shared" si="15"/>
        <v>#DIV/0!</v>
      </c>
      <c r="K35" s="322" t="e">
        <f t="shared" si="15"/>
        <v>#DIV/0!</v>
      </c>
      <c r="L35" s="322" t="e">
        <f t="shared" si="15"/>
        <v>#DIV/0!</v>
      </c>
      <c r="M35" s="322" t="e">
        <f t="shared" si="15"/>
        <v>#DIV/0!</v>
      </c>
      <c r="N35" s="322" t="e">
        <f t="shared" si="15"/>
        <v>#DIV/0!</v>
      </c>
      <c r="O35" s="322" t="e">
        <f t="shared" si="15"/>
        <v>#DIV/0!</v>
      </c>
      <c r="P35" s="322" t="e">
        <f>O35</f>
        <v>#DIV/0!</v>
      </c>
      <c r="Q35" s="281"/>
      <c r="R35" s="281"/>
    </row>
    <row r="36" ht="19.95" hidden="1" customHeight="1" spans="1:21">
      <c r="A36" s="87"/>
      <c r="B36" s="318" t="s">
        <v>474</v>
      </c>
      <c r="C36" s="8"/>
      <c r="D36" s="292">
        <f t="shared" ref="D36:O36" si="16">D42</f>
        <v>0</v>
      </c>
      <c r="E36" s="292">
        <f t="shared" si="16"/>
        <v>0</v>
      </c>
      <c r="F36" s="292">
        <f t="shared" si="16"/>
        <v>0</v>
      </c>
      <c r="G36" s="292">
        <f t="shared" si="16"/>
        <v>0</v>
      </c>
      <c r="H36" s="292">
        <f t="shared" si="16"/>
        <v>0</v>
      </c>
      <c r="I36" s="292">
        <f t="shared" si="16"/>
        <v>0</v>
      </c>
      <c r="J36" s="292">
        <f t="shared" si="16"/>
        <v>0</v>
      </c>
      <c r="K36" s="292">
        <f t="shared" si="16"/>
        <v>0</v>
      </c>
      <c r="L36" s="292">
        <f t="shared" si="16"/>
        <v>0</v>
      </c>
      <c r="M36" s="292">
        <f t="shared" si="16"/>
        <v>0</v>
      </c>
      <c r="N36" s="292">
        <f t="shared" si="16"/>
        <v>0</v>
      </c>
      <c r="O36" s="292">
        <f t="shared" si="16"/>
        <v>0</v>
      </c>
      <c r="P36" s="325"/>
      <c r="Q36" s="281"/>
      <c r="R36" s="281"/>
    </row>
    <row r="37" s="281" customFormat="1" ht="15.6" customHeight="1" spans="1:21">
      <c r="A37" s="87"/>
      <c r="B37" s="313" t="s">
        <v>475</v>
      </c>
      <c r="C37" s="296" t="s">
        <v>425</v>
      </c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</row>
    <row r="38" s="281" customFormat="1" ht="15.6" customHeight="1" spans="1:21">
      <c r="A38" s="87"/>
      <c r="B38" s="87"/>
      <c r="C38" s="299" t="s">
        <v>426</v>
      </c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</row>
    <row r="39" s="281" customFormat="1" ht="15.6" customHeight="1" spans="1:21">
      <c r="A39" s="87"/>
      <c r="B39" s="87"/>
      <c r="C39" s="303" t="s">
        <v>532</v>
      </c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283"/>
      <c r="R39" s="283"/>
    </row>
    <row r="40" s="281" customFormat="1" ht="15.6" customHeight="1" spans="1:21">
      <c r="A40" s="87"/>
      <c r="B40" s="313" t="s">
        <v>476</v>
      </c>
      <c r="C40" s="296" t="s">
        <v>425</v>
      </c>
      <c r="D40" s="326">
        <f>D37</f>
        <v>0</v>
      </c>
      <c r="E40" s="326">
        <f t="shared" ref="E40:O40" si="17">D40+E37</f>
        <v>0</v>
      </c>
      <c r="F40" s="326">
        <f t="shared" si="17"/>
        <v>0</v>
      </c>
      <c r="G40" s="326">
        <f t="shared" si="17"/>
        <v>0</v>
      </c>
      <c r="H40" s="326">
        <f t="shared" si="17"/>
        <v>0</v>
      </c>
      <c r="I40" s="326">
        <f t="shared" si="17"/>
        <v>0</v>
      </c>
      <c r="J40" s="326">
        <f t="shared" si="17"/>
        <v>0</v>
      </c>
      <c r="K40" s="326">
        <f t="shared" si="17"/>
        <v>0</v>
      </c>
      <c r="L40" s="326">
        <f t="shared" si="17"/>
        <v>0</v>
      </c>
      <c r="M40" s="326">
        <f t="shared" si="17"/>
        <v>0</v>
      </c>
      <c r="N40" s="326">
        <f t="shared" si="17"/>
        <v>0</v>
      </c>
      <c r="O40" s="326">
        <f t="shared" si="17"/>
        <v>0</v>
      </c>
      <c r="P40" s="326">
        <f>O40</f>
        <v>0</v>
      </c>
      <c r="Q40" s="283"/>
      <c r="R40" s="283"/>
    </row>
    <row r="41" s="281" customFormat="1" ht="15.6" customHeight="1" spans="1:21">
      <c r="A41" s="87"/>
      <c r="B41" s="87"/>
      <c r="C41" s="299" t="s">
        <v>426</v>
      </c>
      <c r="D41" s="327">
        <f>D38</f>
        <v>0</v>
      </c>
      <c r="E41" s="327">
        <f t="shared" ref="E41:O41" si="18">D41+E38</f>
        <v>0</v>
      </c>
      <c r="F41" s="327">
        <f t="shared" si="18"/>
        <v>0</v>
      </c>
      <c r="G41" s="327">
        <f t="shared" si="18"/>
        <v>0</v>
      </c>
      <c r="H41" s="327">
        <f t="shared" si="18"/>
        <v>0</v>
      </c>
      <c r="I41" s="327">
        <f t="shared" si="18"/>
        <v>0</v>
      </c>
      <c r="J41" s="327">
        <f t="shared" si="18"/>
        <v>0</v>
      </c>
      <c r="K41" s="327">
        <f t="shared" si="18"/>
        <v>0</v>
      </c>
      <c r="L41" s="327">
        <f t="shared" si="18"/>
        <v>0</v>
      </c>
      <c r="M41" s="327">
        <f t="shared" si="18"/>
        <v>0</v>
      </c>
      <c r="N41" s="327">
        <f t="shared" si="18"/>
        <v>0</v>
      </c>
      <c r="O41" s="327">
        <f t="shared" si="18"/>
        <v>0</v>
      </c>
      <c r="P41" s="327">
        <f>O41</f>
        <v>0</v>
      </c>
      <c r="Q41" s="104"/>
      <c r="R41" s="104"/>
    </row>
    <row r="42" s="281" customFormat="1" ht="15.6" customHeight="1" spans="1:21">
      <c r="A42" s="87"/>
      <c r="B42" s="87"/>
      <c r="C42" s="303" t="s">
        <v>532</v>
      </c>
      <c r="D42" s="328">
        <f>D39</f>
        <v>0</v>
      </c>
      <c r="E42" s="328">
        <f t="shared" ref="E42:O42" si="19">D42+E39</f>
        <v>0</v>
      </c>
      <c r="F42" s="328">
        <f t="shared" si="19"/>
        <v>0</v>
      </c>
      <c r="G42" s="328">
        <f t="shared" si="19"/>
        <v>0</v>
      </c>
      <c r="H42" s="328">
        <f t="shared" si="19"/>
        <v>0</v>
      </c>
      <c r="I42" s="328">
        <f t="shared" si="19"/>
        <v>0</v>
      </c>
      <c r="J42" s="328">
        <f t="shared" si="19"/>
        <v>0</v>
      </c>
      <c r="K42" s="328">
        <f t="shared" si="19"/>
        <v>0</v>
      </c>
      <c r="L42" s="328">
        <f t="shared" si="19"/>
        <v>0</v>
      </c>
      <c r="M42" s="328">
        <f t="shared" si="19"/>
        <v>0</v>
      </c>
      <c r="N42" s="328">
        <f t="shared" si="19"/>
        <v>0</v>
      </c>
      <c r="O42" s="328">
        <f t="shared" si="19"/>
        <v>0</v>
      </c>
      <c r="P42" s="328">
        <f>O42</f>
        <v>0</v>
      </c>
      <c r="Q42" s="329"/>
      <c r="R42" s="104"/>
    </row>
    <row r="43" s="281" customFormat="1" ht="92.4" hidden="1" customHeight="1" outlineLevel="1" spans="1:21">
      <c r="A43" s="87"/>
      <c r="B43" s="318" t="s">
        <v>477</v>
      </c>
      <c r="C43" s="318" t="s">
        <v>478</v>
      </c>
      <c r="D43" s="330" t="s">
        <v>479</v>
      </c>
      <c r="E43" s="330" t="s">
        <v>479</v>
      </c>
      <c r="F43" s="330" t="s">
        <v>479</v>
      </c>
      <c r="G43" s="330" t="s">
        <v>480</v>
      </c>
      <c r="H43" s="330" t="s">
        <v>481</v>
      </c>
      <c r="I43" s="330" t="s">
        <v>482</v>
      </c>
      <c r="J43" s="330" t="s">
        <v>483</v>
      </c>
      <c r="K43" s="330" t="s">
        <v>484</v>
      </c>
      <c r="L43" s="330" t="s">
        <v>485</v>
      </c>
      <c r="M43" s="330" t="s">
        <v>486</v>
      </c>
      <c r="N43" s="330" t="s">
        <v>486</v>
      </c>
      <c r="O43" s="330" t="s">
        <v>487</v>
      </c>
      <c r="P43" s="318" t="s">
        <v>410</v>
      </c>
      <c r="Q43" s="329"/>
      <c r="R43" s="104"/>
    </row>
    <row r="44" s="281" customFormat="1" ht="15.6" hidden="1" customHeight="1" outlineLevel="1" spans="1:21">
      <c r="A44" s="87"/>
      <c r="B44" s="73"/>
      <c r="C44" s="318" t="s">
        <v>488</v>
      </c>
      <c r="D44" s="317">
        <v>115.152718658454</v>
      </c>
      <c r="E44" s="317">
        <v>115.152718658454</v>
      </c>
      <c r="F44" s="317">
        <v>115.152718658454</v>
      </c>
      <c r="G44" s="317">
        <v>55.3286488240479</v>
      </c>
      <c r="H44" s="317">
        <v>57.5991188486589</v>
      </c>
      <c r="I44" s="317">
        <v>59.5585348601179</v>
      </c>
      <c r="J44" s="317">
        <v>63.2325024117404</v>
      </c>
      <c r="K44" s="317">
        <v>66.0208504943363</v>
      </c>
      <c r="L44" s="317">
        <v>72.3958504943363</v>
      </c>
      <c r="M44" s="317">
        <v>97.9291838276696</v>
      </c>
      <c r="N44" s="317">
        <v>97.9291838276696</v>
      </c>
      <c r="O44" s="317">
        <v>88.6263620556463</v>
      </c>
      <c r="P44" s="317">
        <f>SUM(D44:O44)</f>
        <v>1004.07839161959</v>
      </c>
      <c r="Q44" s="329"/>
      <c r="R44" s="104"/>
    </row>
    <row r="45" s="281" customFormat="1" ht="19.95" hidden="1" customHeight="1" outlineLevel="1" spans="1:21">
      <c r="A45" s="87"/>
      <c r="B45" s="318" t="s">
        <v>489</v>
      </c>
      <c r="C45" s="318" t="s">
        <v>478</v>
      </c>
      <c r="D45" s="331" t="s">
        <v>490</v>
      </c>
      <c r="E45" s="331" t="s">
        <v>491</v>
      </c>
      <c r="F45" s="331" t="s">
        <v>492</v>
      </c>
      <c r="G45" s="331" t="s">
        <v>493</v>
      </c>
      <c r="H45" s="331" t="s">
        <v>494</v>
      </c>
      <c r="I45" s="331" t="s">
        <v>495</v>
      </c>
      <c r="J45" s="331" t="s">
        <v>496</v>
      </c>
      <c r="K45" s="331" t="s">
        <v>497</v>
      </c>
      <c r="L45" s="331" t="s">
        <v>498</v>
      </c>
      <c r="M45" s="331" t="s">
        <v>499</v>
      </c>
      <c r="N45" s="331" t="s">
        <v>499</v>
      </c>
      <c r="O45" s="331" t="s">
        <v>500</v>
      </c>
      <c r="P45" s="318" t="s">
        <v>410</v>
      </c>
      <c r="Q45" s="329"/>
      <c r="R45" s="104"/>
    </row>
    <row r="46" s="281" customFormat="1" ht="19.95" hidden="1" customHeight="1" outlineLevel="1" spans="1:21">
      <c r="A46" s="73"/>
      <c r="B46" s="73"/>
      <c r="C46" s="318" t="s">
        <v>488</v>
      </c>
      <c r="D46" s="317" t="e">
        <f>#REF!</f>
        <v>#REF!</v>
      </c>
      <c r="E46" s="317" t="e">
        <f>#REF!</f>
        <v>#REF!</v>
      </c>
      <c r="F46" s="317" t="e">
        <f>#REF!</f>
        <v>#REF!</v>
      </c>
      <c r="G46" s="317" t="e">
        <f>#REF!</f>
        <v>#REF!</v>
      </c>
      <c r="H46" s="317" t="e">
        <f>#REF!</f>
        <v>#REF!</v>
      </c>
      <c r="I46" s="317" t="e">
        <f>#REF!</f>
        <v>#REF!</v>
      </c>
      <c r="J46" s="317" t="e">
        <f>#REF!</f>
        <v>#REF!</v>
      </c>
      <c r="K46" s="317" t="e">
        <f>#REF!</f>
        <v>#REF!</v>
      </c>
      <c r="L46" s="317" t="e">
        <f>#REF!</f>
        <v>#REF!</v>
      </c>
      <c r="M46" s="317" t="e">
        <f>#REF!</f>
        <v>#REF!</v>
      </c>
      <c r="N46" s="317" t="e">
        <f>#REF!</f>
        <v>#REF!</v>
      </c>
      <c r="O46" s="317" t="e">
        <f>#REF!</f>
        <v>#REF!</v>
      </c>
      <c r="P46" s="317" t="e">
        <f>SUM(D46:O46)</f>
        <v>#REF!</v>
      </c>
      <c r="Q46" s="329"/>
      <c r="R46" s="104"/>
    </row>
    <row r="47" s="281" customFormat="1" ht="15.6" customHeight="1" collapsed="1" spans="1:21">
      <c r="A47" s="287" t="s">
        <v>501</v>
      </c>
      <c r="B47" s="313" t="s">
        <v>502</v>
      </c>
      <c r="C47" s="296" t="s">
        <v>425</v>
      </c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32"/>
      <c r="P47" s="326"/>
      <c r="Q47" s="104"/>
      <c r="R47" s="104"/>
      <c r="S47" s="333"/>
      <c r="T47" s="333"/>
      <c r="U47" s="333"/>
    </row>
    <row r="48" s="281" customFormat="1" ht="15.6" customHeight="1" spans="1:21">
      <c r="A48" s="87"/>
      <c r="B48" s="87"/>
      <c r="C48" s="299" t="s">
        <v>426</v>
      </c>
      <c r="D48" s="334"/>
      <c r="E48" s="334"/>
      <c r="F48" s="334"/>
      <c r="G48" s="334"/>
      <c r="H48" s="334"/>
      <c r="I48" s="334"/>
      <c r="J48" s="334"/>
      <c r="K48" s="334"/>
      <c r="L48" s="334"/>
      <c r="M48" s="334"/>
      <c r="N48" s="334"/>
      <c r="O48" s="334"/>
      <c r="P48" s="327"/>
      <c r="Q48" s="104"/>
      <c r="R48" s="104"/>
    </row>
    <row r="49" s="281" customFormat="1" ht="15.6" customHeight="1" spans="1:18">
      <c r="A49" s="87"/>
      <c r="B49" s="87"/>
      <c r="C49" s="303" t="s">
        <v>532</v>
      </c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104"/>
      <c r="R49" s="104"/>
    </row>
    <row r="50" s="281" customFormat="1" ht="15.6" customHeight="1" spans="1:18">
      <c r="A50" s="87"/>
      <c r="B50" s="87"/>
      <c r="C50" s="335" t="s">
        <v>503</v>
      </c>
      <c r="D50" s="336" t="e">
        <f t="shared" ref="D50:P50" si="20">(D49-D47)/D47</f>
        <v>#DIV/0!</v>
      </c>
      <c r="E50" s="336" t="e">
        <f t="shared" si="20"/>
        <v>#DIV/0!</v>
      </c>
      <c r="F50" s="336" t="e">
        <f t="shared" si="20"/>
        <v>#DIV/0!</v>
      </c>
      <c r="G50" s="336" t="e">
        <f t="shared" si="20"/>
        <v>#DIV/0!</v>
      </c>
      <c r="H50" s="336" t="e">
        <f t="shared" si="20"/>
        <v>#DIV/0!</v>
      </c>
      <c r="I50" s="336" t="e">
        <f t="shared" si="20"/>
        <v>#DIV/0!</v>
      </c>
      <c r="J50" s="336" t="e">
        <f t="shared" si="20"/>
        <v>#DIV/0!</v>
      </c>
      <c r="K50" s="336" t="e">
        <f t="shared" si="20"/>
        <v>#DIV/0!</v>
      </c>
      <c r="L50" s="336" t="e">
        <f t="shared" si="20"/>
        <v>#DIV/0!</v>
      </c>
      <c r="M50" s="336" t="e">
        <f t="shared" si="20"/>
        <v>#DIV/0!</v>
      </c>
      <c r="N50" s="336" t="e">
        <f t="shared" si="20"/>
        <v>#DIV/0!</v>
      </c>
      <c r="O50" s="336" t="e">
        <f t="shared" si="20"/>
        <v>#DIV/0!</v>
      </c>
      <c r="P50" s="336" t="e">
        <f t="shared" si="20"/>
        <v>#DIV/0!</v>
      </c>
      <c r="Q50" s="104"/>
      <c r="R50" s="104"/>
    </row>
    <row r="51" s="281" customFormat="1" ht="15.6" hidden="1" customHeight="1" spans="1:18">
      <c r="A51" s="87"/>
      <c r="B51" s="318" t="s">
        <v>504</v>
      </c>
      <c r="C51" s="296" t="s">
        <v>425</v>
      </c>
      <c r="D51" s="326">
        <v>79712</v>
      </c>
      <c r="E51" s="326">
        <v>82105</v>
      </c>
      <c r="F51" s="326">
        <v>92657</v>
      </c>
      <c r="G51" s="326">
        <v>98687</v>
      </c>
      <c r="H51" s="326">
        <v>93353</v>
      </c>
      <c r="I51" s="326">
        <v>75092</v>
      </c>
      <c r="J51" s="326">
        <v>77799</v>
      </c>
      <c r="K51" s="326">
        <v>58812</v>
      </c>
      <c r="L51" s="326">
        <v>90826</v>
      </c>
      <c r="M51" s="326">
        <v>111572</v>
      </c>
      <c r="N51" s="326">
        <v>111625</v>
      </c>
      <c r="O51" s="332">
        <v>75554</v>
      </c>
      <c r="P51" s="326">
        <f>SUM(D51:O51)</f>
        <v>1047794</v>
      </c>
      <c r="Q51" s="104"/>
      <c r="R51" s="104"/>
    </row>
    <row r="52" s="281" customFormat="1" ht="15.6" hidden="1" customHeight="1" spans="1:18">
      <c r="A52" s="87"/>
      <c r="B52" s="87"/>
      <c r="C52" s="299" t="s">
        <v>426</v>
      </c>
      <c r="D52" s="334">
        <v>116704</v>
      </c>
      <c r="E52" s="334">
        <v>116204</v>
      </c>
      <c r="F52" s="334">
        <v>106704</v>
      </c>
      <c r="G52" s="334">
        <v>104704</v>
      </c>
      <c r="H52" s="334">
        <v>71805</v>
      </c>
      <c r="I52" s="334">
        <v>110105</v>
      </c>
      <c r="J52" s="334">
        <v>86206</v>
      </c>
      <c r="K52" s="334">
        <v>81605</v>
      </c>
      <c r="L52" s="334">
        <v>117305</v>
      </c>
      <c r="M52" s="334">
        <v>121005</v>
      </c>
      <c r="N52" s="334">
        <v>130155</v>
      </c>
      <c r="O52" s="334">
        <v>91305</v>
      </c>
      <c r="P52" s="327">
        <f>SUM(D52:O52)</f>
        <v>1253807</v>
      </c>
      <c r="Q52" s="104"/>
      <c r="R52" s="104"/>
    </row>
    <row r="53" s="281" customFormat="1" ht="15.6" hidden="1" customHeight="1" spans="1:18">
      <c r="A53" s="87"/>
      <c r="B53" s="87"/>
      <c r="C53" s="303" t="s">
        <v>532</v>
      </c>
      <c r="D53" s="328">
        <v>97611</v>
      </c>
      <c r="E53" s="328">
        <v>106294</v>
      </c>
      <c r="F53" s="328">
        <v>105459</v>
      </c>
      <c r="G53" s="328">
        <f t="shared" ref="G53:P53" si="21">G52</f>
        <v>104704</v>
      </c>
      <c r="H53" s="328">
        <f t="shared" si="21"/>
        <v>71805</v>
      </c>
      <c r="I53" s="328">
        <f t="shared" si="21"/>
        <v>110105</v>
      </c>
      <c r="J53" s="328">
        <f t="shared" si="21"/>
        <v>86206</v>
      </c>
      <c r="K53" s="328">
        <f t="shared" si="21"/>
        <v>81605</v>
      </c>
      <c r="L53" s="328">
        <f t="shared" si="21"/>
        <v>117305</v>
      </c>
      <c r="M53" s="328">
        <f t="shared" si="21"/>
        <v>121005</v>
      </c>
      <c r="N53" s="328">
        <f t="shared" si="21"/>
        <v>130155</v>
      </c>
      <c r="O53" s="328">
        <f t="shared" si="21"/>
        <v>91305</v>
      </c>
      <c r="P53" s="328">
        <f t="shared" si="21"/>
        <v>1253807</v>
      </c>
      <c r="Q53" s="104"/>
      <c r="R53" s="104"/>
    </row>
    <row r="54" s="281" customFormat="1" ht="15.6" hidden="1" customHeight="1" spans="1:18">
      <c r="A54" s="87"/>
      <c r="B54" s="73"/>
      <c r="C54" s="335" t="s">
        <v>503</v>
      </c>
      <c r="D54" s="336">
        <f t="shared" ref="D54:P54" si="22">(D53-D51)/D51</f>
        <v>0.224545865114412</v>
      </c>
      <c r="E54" s="336">
        <f t="shared" si="22"/>
        <v>0.29461055964923</v>
      </c>
      <c r="F54" s="336">
        <f t="shared" si="22"/>
        <v>0.138165492083707</v>
      </c>
      <c r="G54" s="336">
        <f t="shared" si="22"/>
        <v>0.0609705432326446</v>
      </c>
      <c r="H54" s="336">
        <f t="shared" si="22"/>
        <v>-0.230822790911915</v>
      </c>
      <c r="I54" s="336">
        <f t="shared" si="22"/>
        <v>0.466268044532041</v>
      </c>
      <c r="J54" s="336">
        <f t="shared" si="22"/>
        <v>0.108060514916644</v>
      </c>
      <c r="K54" s="336">
        <f t="shared" si="22"/>
        <v>0.387556961164388</v>
      </c>
      <c r="L54" s="336">
        <f t="shared" si="22"/>
        <v>0.29153546341356</v>
      </c>
      <c r="M54" s="336">
        <f t="shared" si="22"/>
        <v>0.0845463019395547</v>
      </c>
      <c r="N54" s="336">
        <f t="shared" si="22"/>
        <v>0.166002239641657</v>
      </c>
      <c r="O54" s="336">
        <f t="shared" si="22"/>
        <v>0.208473409746671</v>
      </c>
      <c r="P54" s="336">
        <f t="shared" si="22"/>
        <v>0.196615937865649</v>
      </c>
      <c r="Q54" s="104"/>
      <c r="R54" s="104"/>
    </row>
    <row r="55" s="281" customFormat="1" ht="19.95" hidden="1" customHeight="1" outlineLevel="1" spans="1:18">
      <c r="A55" s="87"/>
      <c r="B55" s="317" t="s">
        <v>505</v>
      </c>
      <c r="C55" s="296" t="s">
        <v>425</v>
      </c>
      <c r="D55" s="296">
        <v>1</v>
      </c>
      <c r="E55" s="296">
        <v>1</v>
      </c>
      <c r="F55" s="296">
        <v>1</v>
      </c>
      <c r="G55" s="296">
        <v>1</v>
      </c>
      <c r="H55" s="296">
        <v>1</v>
      </c>
      <c r="I55" s="296">
        <v>1</v>
      </c>
      <c r="J55" s="296">
        <v>1</v>
      </c>
      <c r="K55" s="296">
        <v>1</v>
      </c>
      <c r="L55" s="296">
        <v>1</v>
      </c>
      <c r="M55" s="296">
        <v>1</v>
      </c>
      <c r="N55" s="296">
        <v>1</v>
      </c>
      <c r="O55" s="296">
        <v>1</v>
      </c>
      <c r="P55" s="296">
        <v>1</v>
      </c>
      <c r="Q55" s="104"/>
      <c r="R55" s="104"/>
    </row>
    <row r="56" s="281" customFormat="1" ht="19.95" hidden="1" customHeight="1" outlineLevel="1" spans="1:18">
      <c r="A56" s="87"/>
      <c r="B56" s="87"/>
      <c r="C56" s="299" t="s">
        <v>426</v>
      </c>
      <c r="D56" s="337">
        <v>1</v>
      </c>
      <c r="E56" s="337">
        <v>1</v>
      </c>
      <c r="F56" s="337">
        <v>1</v>
      </c>
      <c r="G56" s="337">
        <v>1</v>
      </c>
      <c r="H56" s="337">
        <v>1</v>
      </c>
      <c r="I56" s="337">
        <v>1</v>
      </c>
      <c r="J56" s="337">
        <v>1</v>
      </c>
      <c r="K56" s="337">
        <v>1</v>
      </c>
      <c r="L56" s="337">
        <v>1</v>
      </c>
      <c r="M56" s="337">
        <v>1</v>
      </c>
      <c r="N56" s="337">
        <v>1</v>
      </c>
      <c r="O56" s="337">
        <v>1</v>
      </c>
      <c r="P56" s="323">
        <v>1</v>
      </c>
      <c r="Q56" s="104"/>
      <c r="R56" s="104"/>
    </row>
    <row r="57" s="281" customFormat="1" ht="19.95" hidden="1" customHeight="1" outlineLevel="1" spans="1:18">
      <c r="A57" s="87"/>
      <c r="B57" s="87"/>
      <c r="C57" s="303" t="s">
        <v>506</v>
      </c>
      <c r="D57" s="303">
        <v>1</v>
      </c>
      <c r="E57" s="303">
        <v>1</v>
      </c>
      <c r="F57" s="303">
        <v>1</v>
      </c>
      <c r="G57" s="303">
        <v>1</v>
      </c>
      <c r="H57" s="303">
        <v>1</v>
      </c>
      <c r="I57" s="303">
        <v>1</v>
      </c>
      <c r="J57" s="303">
        <v>1</v>
      </c>
      <c r="K57" s="303">
        <v>1</v>
      </c>
      <c r="L57" s="303">
        <v>1</v>
      </c>
      <c r="M57" s="303">
        <v>1</v>
      </c>
      <c r="N57" s="303">
        <v>1</v>
      </c>
      <c r="O57" s="303">
        <v>1</v>
      </c>
      <c r="P57" s="317">
        <v>1</v>
      </c>
      <c r="Q57" s="104"/>
      <c r="R57" s="104"/>
    </row>
    <row r="58" s="281" customFormat="1" ht="19.95" hidden="1" customHeight="1" outlineLevel="1" spans="1:18">
      <c r="A58" s="87"/>
      <c r="B58" s="73"/>
      <c r="C58" s="303" t="s">
        <v>459</v>
      </c>
      <c r="D58" s="338">
        <f t="shared" ref="D58:P58" si="23">(D57-D55)/D55</f>
        <v>0</v>
      </c>
      <c r="E58" s="338">
        <f t="shared" si="23"/>
        <v>0</v>
      </c>
      <c r="F58" s="338">
        <f t="shared" si="23"/>
        <v>0</v>
      </c>
      <c r="G58" s="338">
        <f t="shared" si="23"/>
        <v>0</v>
      </c>
      <c r="H58" s="338">
        <f t="shared" si="23"/>
        <v>0</v>
      </c>
      <c r="I58" s="338">
        <f t="shared" si="23"/>
        <v>0</v>
      </c>
      <c r="J58" s="338">
        <f t="shared" si="23"/>
        <v>0</v>
      </c>
      <c r="K58" s="338">
        <f t="shared" si="23"/>
        <v>0</v>
      </c>
      <c r="L58" s="338">
        <f t="shared" si="23"/>
        <v>0</v>
      </c>
      <c r="M58" s="338">
        <f t="shared" si="23"/>
        <v>0</v>
      </c>
      <c r="N58" s="338">
        <f t="shared" si="23"/>
        <v>0</v>
      </c>
      <c r="O58" s="338">
        <f t="shared" si="23"/>
        <v>0</v>
      </c>
      <c r="P58" s="339">
        <f t="shared" si="23"/>
        <v>0</v>
      </c>
      <c r="Q58" s="104"/>
      <c r="R58" s="104"/>
    </row>
    <row r="59" s="281" customFormat="1" ht="15" customHeight="1" collapsed="1" spans="1:18">
      <c r="A59" s="87"/>
      <c r="B59" s="313" t="s">
        <v>507</v>
      </c>
      <c r="C59" s="296" t="s">
        <v>425</v>
      </c>
      <c r="D59" s="326">
        <f>D47</f>
        <v>0</v>
      </c>
      <c r="E59" s="326">
        <f t="shared" ref="E59:O59" si="24">D59+E47</f>
        <v>0</v>
      </c>
      <c r="F59" s="326">
        <f t="shared" si="24"/>
        <v>0</v>
      </c>
      <c r="G59" s="326">
        <f t="shared" si="24"/>
        <v>0</v>
      </c>
      <c r="H59" s="326">
        <f t="shared" si="24"/>
        <v>0</v>
      </c>
      <c r="I59" s="326">
        <f t="shared" si="24"/>
        <v>0</v>
      </c>
      <c r="J59" s="326">
        <f t="shared" si="24"/>
        <v>0</v>
      </c>
      <c r="K59" s="326">
        <f t="shared" si="24"/>
        <v>0</v>
      </c>
      <c r="L59" s="326">
        <f t="shared" si="24"/>
        <v>0</v>
      </c>
      <c r="M59" s="326">
        <f t="shared" si="24"/>
        <v>0</v>
      </c>
      <c r="N59" s="326">
        <f t="shared" si="24"/>
        <v>0</v>
      </c>
      <c r="O59" s="326">
        <f t="shared" si="24"/>
        <v>0</v>
      </c>
      <c r="P59" s="326">
        <f>O59</f>
        <v>0</v>
      </c>
      <c r="Q59" s="104"/>
      <c r="R59" s="104"/>
    </row>
    <row r="60" s="281" customFormat="1" ht="15.6" customHeight="1" spans="1:18">
      <c r="A60" s="87"/>
      <c r="B60" s="87"/>
      <c r="C60" s="299" t="s">
        <v>426</v>
      </c>
      <c r="D60" s="327">
        <f>D48</f>
        <v>0</v>
      </c>
      <c r="E60" s="327">
        <f t="shared" ref="E60:O60" si="25">D60+E48</f>
        <v>0</v>
      </c>
      <c r="F60" s="327">
        <f t="shared" si="25"/>
        <v>0</v>
      </c>
      <c r="G60" s="327">
        <f t="shared" si="25"/>
        <v>0</v>
      </c>
      <c r="H60" s="327">
        <f t="shared" si="25"/>
        <v>0</v>
      </c>
      <c r="I60" s="327">
        <f t="shared" si="25"/>
        <v>0</v>
      </c>
      <c r="J60" s="327">
        <f t="shared" si="25"/>
        <v>0</v>
      </c>
      <c r="K60" s="327">
        <f t="shared" si="25"/>
        <v>0</v>
      </c>
      <c r="L60" s="327">
        <f t="shared" si="25"/>
        <v>0</v>
      </c>
      <c r="M60" s="327">
        <f t="shared" si="25"/>
        <v>0</v>
      </c>
      <c r="N60" s="327">
        <f t="shared" si="25"/>
        <v>0</v>
      </c>
      <c r="O60" s="340">
        <f t="shared" si="25"/>
        <v>0</v>
      </c>
      <c r="P60" s="327">
        <f>O60</f>
        <v>0</v>
      </c>
      <c r="Q60" s="104"/>
      <c r="R60" s="104"/>
    </row>
    <row r="61" s="281" customFormat="1" ht="15.6" customHeight="1" spans="1:18">
      <c r="A61" s="87"/>
      <c r="B61" s="87"/>
      <c r="C61" s="303" t="s">
        <v>532</v>
      </c>
      <c r="D61" s="328">
        <f>D49</f>
        <v>0</v>
      </c>
      <c r="E61" s="328">
        <f t="shared" ref="E61:O61" si="26">D61+E49</f>
        <v>0</v>
      </c>
      <c r="F61" s="328">
        <f t="shared" si="26"/>
        <v>0</v>
      </c>
      <c r="G61" s="328">
        <f t="shared" si="26"/>
        <v>0</v>
      </c>
      <c r="H61" s="328">
        <f t="shared" si="26"/>
        <v>0</v>
      </c>
      <c r="I61" s="328">
        <f t="shared" si="26"/>
        <v>0</v>
      </c>
      <c r="J61" s="328">
        <f t="shared" si="26"/>
        <v>0</v>
      </c>
      <c r="K61" s="328">
        <f t="shared" si="26"/>
        <v>0</v>
      </c>
      <c r="L61" s="328">
        <f t="shared" si="26"/>
        <v>0</v>
      </c>
      <c r="M61" s="328">
        <f t="shared" si="26"/>
        <v>0</v>
      </c>
      <c r="N61" s="328">
        <f t="shared" si="26"/>
        <v>0</v>
      </c>
      <c r="O61" s="328">
        <f t="shared" si="26"/>
        <v>0</v>
      </c>
      <c r="P61" s="328">
        <f>O61</f>
        <v>0</v>
      </c>
      <c r="Q61" s="104">
        <v>0</v>
      </c>
      <c r="R61" s="104"/>
    </row>
    <row r="62" s="281" customFormat="1" ht="15.6" customHeight="1" spans="1:18">
      <c r="A62" s="87"/>
      <c r="B62" s="87"/>
      <c r="C62" s="335" t="s">
        <v>503</v>
      </c>
      <c r="D62" s="341" t="e">
        <f t="shared" ref="D62:P62" si="27">(D61-D59)/D59</f>
        <v>#DIV/0!</v>
      </c>
      <c r="E62" s="341" t="e">
        <f t="shared" si="27"/>
        <v>#DIV/0!</v>
      </c>
      <c r="F62" s="341" t="e">
        <f t="shared" si="27"/>
        <v>#DIV/0!</v>
      </c>
      <c r="G62" s="341" t="e">
        <f t="shared" si="27"/>
        <v>#DIV/0!</v>
      </c>
      <c r="H62" s="341" t="e">
        <f t="shared" si="27"/>
        <v>#DIV/0!</v>
      </c>
      <c r="I62" s="341" t="e">
        <f t="shared" si="27"/>
        <v>#DIV/0!</v>
      </c>
      <c r="J62" s="341" t="e">
        <f t="shared" si="27"/>
        <v>#DIV/0!</v>
      </c>
      <c r="K62" s="341" t="e">
        <f t="shared" si="27"/>
        <v>#DIV/0!</v>
      </c>
      <c r="L62" s="341" t="e">
        <f t="shared" si="27"/>
        <v>#DIV/0!</v>
      </c>
      <c r="M62" s="341" t="e">
        <f t="shared" si="27"/>
        <v>#DIV/0!</v>
      </c>
      <c r="N62" s="341" t="e">
        <f t="shared" si="27"/>
        <v>#DIV/0!</v>
      </c>
      <c r="O62" s="341" t="e">
        <f t="shared" si="27"/>
        <v>#DIV/0!</v>
      </c>
      <c r="P62" s="341" t="e">
        <f t="shared" si="27"/>
        <v>#DIV/0!</v>
      </c>
      <c r="Q62" s="104"/>
      <c r="R62" s="104"/>
    </row>
    <row r="63" s="281" customFormat="1" ht="19.95" hidden="1" customHeight="1" spans="1:18">
      <c r="A63" s="87"/>
      <c r="B63" s="318" t="s">
        <v>508</v>
      </c>
      <c r="C63" s="296" t="s">
        <v>425</v>
      </c>
      <c r="D63" s="326">
        <f>D51</f>
        <v>79712</v>
      </c>
      <c r="E63" s="326">
        <f t="shared" ref="E63:O63" si="28">D63+E51</f>
        <v>161817</v>
      </c>
      <c r="F63" s="326">
        <f t="shared" si="28"/>
        <v>254474</v>
      </c>
      <c r="G63" s="326">
        <f t="shared" si="28"/>
        <v>353161</v>
      </c>
      <c r="H63" s="326">
        <f t="shared" si="28"/>
        <v>446514</v>
      </c>
      <c r="I63" s="326">
        <f t="shared" si="28"/>
        <v>521606</v>
      </c>
      <c r="J63" s="326">
        <f t="shared" si="28"/>
        <v>599405</v>
      </c>
      <c r="K63" s="326">
        <f t="shared" si="28"/>
        <v>658217</v>
      </c>
      <c r="L63" s="326">
        <f t="shared" si="28"/>
        <v>749043</v>
      </c>
      <c r="M63" s="326">
        <f t="shared" si="28"/>
        <v>860615</v>
      </c>
      <c r="N63" s="326">
        <f t="shared" si="28"/>
        <v>972240</v>
      </c>
      <c r="O63" s="326">
        <f t="shared" si="28"/>
        <v>1047794</v>
      </c>
      <c r="P63" s="326">
        <f>O63</f>
        <v>1047794</v>
      </c>
      <c r="Q63" s="104"/>
      <c r="R63" s="104"/>
    </row>
    <row r="64" s="281" customFormat="1" ht="15.6" hidden="1" customHeight="1" spans="1:18">
      <c r="A64" s="87"/>
      <c r="B64" s="87"/>
      <c r="C64" s="299" t="s">
        <v>426</v>
      </c>
      <c r="D64" s="327">
        <f>D52</f>
        <v>116704</v>
      </c>
      <c r="E64" s="327">
        <f t="shared" ref="E64:O64" si="29">D64+E52</f>
        <v>232908</v>
      </c>
      <c r="F64" s="327">
        <f t="shared" si="29"/>
        <v>339612</v>
      </c>
      <c r="G64" s="327">
        <f t="shared" si="29"/>
        <v>444316</v>
      </c>
      <c r="H64" s="327">
        <f t="shared" si="29"/>
        <v>516121</v>
      </c>
      <c r="I64" s="327">
        <f t="shared" si="29"/>
        <v>626226</v>
      </c>
      <c r="J64" s="327">
        <f t="shared" si="29"/>
        <v>712432</v>
      </c>
      <c r="K64" s="327">
        <f t="shared" si="29"/>
        <v>794037</v>
      </c>
      <c r="L64" s="327">
        <f t="shared" si="29"/>
        <v>911342</v>
      </c>
      <c r="M64" s="327">
        <f t="shared" si="29"/>
        <v>1032347</v>
      </c>
      <c r="N64" s="327">
        <f t="shared" si="29"/>
        <v>1162502</v>
      </c>
      <c r="O64" s="340">
        <f t="shared" si="29"/>
        <v>1253807</v>
      </c>
      <c r="P64" s="327">
        <f>O64</f>
        <v>1253807</v>
      </c>
      <c r="Q64" s="104"/>
      <c r="R64" s="104"/>
    </row>
    <row r="65" s="281" customFormat="1" ht="15.6" hidden="1" customHeight="1" spans="1:18">
      <c r="A65" s="87"/>
      <c r="B65" s="87"/>
      <c r="C65" s="303" t="s">
        <v>532</v>
      </c>
      <c r="D65" s="328">
        <f>D53</f>
        <v>97611</v>
      </c>
      <c r="E65" s="328">
        <f t="shared" ref="E65:O65" si="30">D65+E53</f>
        <v>203905</v>
      </c>
      <c r="F65" s="328">
        <f t="shared" si="30"/>
        <v>309364</v>
      </c>
      <c r="G65" s="328">
        <f t="shared" si="30"/>
        <v>414068</v>
      </c>
      <c r="H65" s="328">
        <f t="shared" si="30"/>
        <v>485873</v>
      </c>
      <c r="I65" s="328">
        <f t="shared" si="30"/>
        <v>595978</v>
      </c>
      <c r="J65" s="328">
        <f t="shared" si="30"/>
        <v>682184</v>
      </c>
      <c r="K65" s="328">
        <f t="shared" si="30"/>
        <v>763789</v>
      </c>
      <c r="L65" s="328">
        <f t="shared" si="30"/>
        <v>881094</v>
      </c>
      <c r="M65" s="328">
        <f t="shared" si="30"/>
        <v>1002099</v>
      </c>
      <c r="N65" s="328">
        <f t="shared" si="30"/>
        <v>1132254</v>
      </c>
      <c r="O65" s="328">
        <f t="shared" si="30"/>
        <v>1223559</v>
      </c>
      <c r="P65" s="328">
        <f>O65</f>
        <v>1223559</v>
      </c>
      <c r="Q65" s="104"/>
      <c r="R65" s="104"/>
    </row>
    <row r="66" s="281" customFormat="1" ht="15.6" hidden="1" customHeight="1" spans="1:18">
      <c r="A66" s="73"/>
      <c r="B66" s="73"/>
      <c r="C66" s="335" t="s">
        <v>503</v>
      </c>
      <c r="D66" s="336">
        <f t="shared" ref="D66:P66" si="31">(D65-D63)/D63</f>
        <v>0.224545865114412</v>
      </c>
      <c r="E66" s="336">
        <f t="shared" si="31"/>
        <v>0.260096281602057</v>
      </c>
      <c r="F66" s="336">
        <f t="shared" si="31"/>
        <v>0.215699835739604</v>
      </c>
      <c r="G66" s="336">
        <f t="shared" si="31"/>
        <v>0.172462417990661</v>
      </c>
      <c r="H66" s="336">
        <f t="shared" si="31"/>
        <v>0.0881472921341772</v>
      </c>
      <c r="I66" s="336">
        <f t="shared" si="31"/>
        <v>0.14258271568962</v>
      </c>
      <c r="J66" s="336">
        <f t="shared" si="31"/>
        <v>0.138101951101509</v>
      </c>
      <c r="K66" s="336">
        <f t="shared" si="31"/>
        <v>0.160390874134214</v>
      </c>
      <c r="L66" s="336">
        <f t="shared" si="31"/>
        <v>0.17629294980395</v>
      </c>
      <c r="M66" s="336">
        <f t="shared" si="31"/>
        <v>0.164398714872504</v>
      </c>
      <c r="N66" s="336">
        <f t="shared" si="31"/>
        <v>0.164582819057023</v>
      </c>
      <c r="O66" s="336">
        <f t="shared" si="31"/>
        <v>0.167747667957633</v>
      </c>
      <c r="P66" s="336">
        <f t="shared" si="31"/>
        <v>0.167747667957633</v>
      </c>
      <c r="Q66" s="104"/>
      <c r="R66" s="104"/>
    </row>
    <row r="67" ht="15.6" customHeight="1" spans="1:18">
      <c r="A67" s="342" t="s">
        <v>509</v>
      </c>
      <c r="B67" s="343"/>
      <c r="C67" s="344" t="s">
        <v>425</v>
      </c>
      <c r="D67" s="345">
        <v>20</v>
      </c>
      <c r="E67" s="345">
        <v>20</v>
      </c>
      <c r="F67" s="345">
        <v>20</v>
      </c>
      <c r="G67" s="345">
        <v>20</v>
      </c>
      <c r="H67" s="345">
        <v>20</v>
      </c>
      <c r="I67" s="345">
        <v>18</v>
      </c>
      <c r="J67" s="345">
        <v>18</v>
      </c>
      <c r="K67" s="345">
        <v>15</v>
      </c>
      <c r="L67" s="345">
        <v>22</v>
      </c>
      <c r="M67" s="345">
        <v>24</v>
      </c>
      <c r="N67" s="345">
        <v>24</v>
      </c>
      <c r="O67" s="345">
        <v>15</v>
      </c>
      <c r="P67" s="345">
        <f>SUM(D67:O67)</f>
        <v>236</v>
      </c>
    </row>
    <row r="68" ht="15.6" customHeight="1" spans="1:18">
      <c r="A68" s="302"/>
      <c r="B68" s="346"/>
      <c r="C68" s="303" t="s">
        <v>532</v>
      </c>
      <c r="D68" s="328">
        <v>20</v>
      </c>
      <c r="E68" s="328">
        <v>20</v>
      </c>
      <c r="F68" s="328">
        <v>23</v>
      </c>
      <c r="G68" s="328">
        <v>21</v>
      </c>
      <c r="H68" s="328">
        <v>14</v>
      </c>
      <c r="I68" s="328">
        <v>22</v>
      </c>
      <c r="J68" s="328">
        <v>17</v>
      </c>
      <c r="K68" s="328">
        <v>16</v>
      </c>
      <c r="L68" s="328">
        <v>22</v>
      </c>
      <c r="M68" s="328">
        <v>20</v>
      </c>
      <c r="N68" s="328">
        <v>21</v>
      </c>
      <c r="O68" s="328">
        <v>14</v>
      </c>
      <c r="P68" s="328">
        <f>SUM(D68:O68)</f>
        <v>230</v>
      </c>
    </row>
    <row r="69" ht="15.6" customHeight="1" spans="1:18">
      <c r="A69" s="342" t="s">
        <v>510</v>
      </c>
      <c r="B69" s="343"/>
      <c r="C69" s="296" t="s">
        <v>425</v>
      </c>
      <c r="D69" s="326">
        <v>507</v>
      </c>
      <c r="E69" s="326">
        <v>535</v>
      </c>
      <c r="F69" s="326">
        <v>528.5</v>
      </c>
      <c r="G69" s="326">
        <v>532.5</v>
      </c>
      <c r="H69" s="326">
        <v>524</v>
      </c>
      <c r="I69" s="326">
        <v>446.29</v>
      </c>
      <c r="J69" s="326">
        <v>407.96</v>
      </c>
      <c r="K69" s="326">
        <v>404.3333333</v>
      </c>
      <c r="L69" s="326">
        <v>401</v>
      </c>
      <c r="M69" s="326">
        <v>473</v>
      </c>
      <c r="N69" s="326">
        <v>475</v>
      </c>
      <c r="O69" s="326">
        <v>444</v>
      </c>
      <c r="P69" s="326">
        <f>AVERAGE(D69:O69)</f>
        <v>473.215277775</v>
      </c>
    </row>
    <row r="70" ht="15.6" hidden="1" customHeight="1" spans="1:18">
      <c r="A70" s="293"/>
      <c r="B70" s="347"/>
      <c r="C70" s="348" t="s">
        <v>511</v>
      </c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</row>
    <row r="71" ht="15.6" hidden="1" customHeight="1" spans="1:18">
      <c r="A71" s="293"/>
      <c r="B71" s="347"/>
      <c r="C71" s="349" t="s">
        <v>512</v>
      </c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</row>
    <row r="72" ht="15.6" hidden="1" customHeight="1" spans="1:18">
      <c r="A72" s="293"/>
      <c r="B72" s="347"/>
      <c r="C72" s="349" t="s">
        <v>513</v>
      </c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</row>
    <row r="73" ht="15.6" hidden="1" customHeight="1" spans="1:18">
      <c r="A73" s="293"/>
      <c r="B73" s="347"/>
      <c r="C73" s="349" t="s">
        <v>514</v>
      </c>
      <c r="D73" s="350"/>
      <c r="E73" s="350"/>
      <c r="F73" s="350"/>
      <c r="G73" s="350"/>
      <c r="H73" s="350"/>
      <c r="I73" s="350"/>
      <c r="J73" s="350"/>
      <c r="K73" s="350"/>
      <c r="L73" s="350"/>
      <c r="M73" s="350"/>
      <c r="N73" s="350"/>
      <c r="O73" s="350"/>
      <c r="P73" s="328"/>
    </row>
    <row r="74" ht="15.6" hidden="1" customHeight="1" spans="1:18">
      <c r="A74" s="293"/>
      <c r="B74" s="347"/>
      <c r="C74" s="349" t="s">
        <v>515</v>
      </c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</row>
    <row r="75" ht="15.6" customHeight="1" spans="1:18">
      <c r="A75" s="302"/>
      <c r="B75" s="346"/>
      <c r="C75" s="303" t="s">
        <v>532</v>
      </c>
      <c r="D75" s="328">
        <v>452</v>
      </c>
      <c r="E75" s="328">
        <v>452</v>
      </c>
      <c r="F75" s="328">
        <f>厨电3月!F4+厨电3月!F6+厨电3月!F8</f>
        <v>452</v>
      </c>
      <c r="G75" s="328">
        <v>452</v>
      </c>
      <c r="H75" s="328">
        <v>452</v>
      </c>
      <c r="I75" s="328">
        <v>452</v>
      </c>
      <c r="J75" s="328">
        <v>452</v>
      </c>
      <c r="K75" s="328">
        <v>452</v>
      </c>
      <c r="L75" s="328">
        <v>452</v>
      </c>
      <c r="M75" s="328">
        <v>452</v>
      </c>
      <c r="N75" s="328">
        <v>452</v>
      </c>
      <c r="O75" s="328">
        <v>452</v>
      </c>
      <c r="P75" s="328">
        <v>452</v>
      </c>
    </row>
    <row r="76" ht="15.6" customHeight="1" spans="1:18">
      <c r="A76" s="351" t="s">
        <v>516</v>
      </c>
      <c r="B76" s="343"/>
      <c r="C76" s="296" t="s">
        <v>425</v>
      </c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</row>
    <row r="77" ht="15.6" customHeight="1" spans="1:18">
      <c r="A77" s="293"/>
      <c r="B77" s="347"/>
      <c r="C77" s="303" t="s">
        <v>532</v>
      </c>
      <c r="D77" s="317"/>
      <c r="E77" s="317"/>
      <c r="F77" s="317"/>
      <c r="G77" s="317"/>
      <c r="H77" s="317"/>
      <c r="I77" s="317"/>
      <c r="J77" s="317"/>
      <c r="K77" s="317"/>
      <c r="L77" s="317"/>
      <c r="M77" s="317"/>
      <c r="N77" s="317"/>
      <c r="O77" s="317"/>
      <c r="P77" s="317"/>
    </row>
    <row r="78" ht="15.6" customHeight="1" spans="1:18">
      <c r="A78" s="293"/>
      <c r="B78" s="347"/>
      <c r="C78" s="303" t="s">
        <v>503</v>
      </c>
      <c r="D78" s="352" t="e">
        <f t="shared" ref="D78:P78" si="32">(D77/D76)-1</f>
        <v>#DIV/0!</v>
      </c>
      <c r="E78" s="352" t="e">
        <f t="shared" si="32"/>
        <v>#DIV/0!</v>
      </c>
      <c r="F78" s="352" t="e">
        <f t="shared" si="32"/>
        <v>#DIV/0!</v>
      </c>
      <c r="G78" s="352" t="e">
        <f t="shared" si="32"/>
        <v>#DIV/0!</v>
      </c>
      <c r="H78" s="352" t="e">
        <f t="shared" si="32"/>
        <v>#DIV/0!</v>
      </c>
      <c r="I78" s="352" t="e">
        <f t="shared" si="32"/>
        <v>#DIV/0!</v>
      </c>
      <c r="J78" s="352" t="e">
        <f t="shared" si="32"/>
        <v>#DIV/0!</v>
      </c>
      <c r="K78" s="352" t="e">
        <f t="shared" si="32"/>
        <v>#DIV/0!</v>
      </c>
      <c r="L78" s="352" t="e">
        <f t="shared" si="32"/>
        <v>#DIV/0!</v>
      </c>
      <c r="M78" s="352" t="e">
        <f t="shared" si="32"/>
        <v>#DIV/0!</v>
      </c>
      <c r="N78" s="352" t="e">
        <f t="shared" si="32"/>
        <v>#DIV/0!</v>
      </c>
      <c r="O78" s="352" t="e">
        <f t="shared" si="32"/>
        <v>#DIV/0!</v>
      </c>
      <c r="P78" s="352" t="e">
        <f t="shared" si="32"/>
        <v>#DIV/0!</v>
      </c>
    </row>
    <row r="79" s="283" customFormat="1" ht="15.6" hidden="1" customHeight="1" outlineLevel="1" spans="1:18">
      <c r="A79" s="353" t="s">
        <v>517</v>
      </c>
      <c r="B79" s="7"/>
      <c r="C79" s="8"/>
      <c r="D79" s="354">
        <f t="shared" ref="D79:O79" si="33">D25-D26</f>
        <v>5.089496858822</v>
      </c>
      <c r="E79" s="354">
        <f t="shared" si="33"/>
        <v>5.2054628567791</v>
      </c>
      <c r="F79" s="354">
        <f t="shared" si="33"/>
        <v>0.542163112942298</v>
      </c>
      <c r="G79" s="354">
        <f t="shared" si="33"/>
        <v>2.6730796683742</v>
      </c>
      <c r="H79" s="354">
        <f t="shared" si="33"/>
        <v>2.4572495581877</v>
      </c>
      <c r="I79" s="354">
        <f t="shared" si="33"/>
        <v>-8.8796786404307</v>
      </c>
      <c r="J79" s="354">
        <f t="shared" si="33"/>
        <v>-3.9376583033811</v>
      </c>
      <c r="K79" s="354">
        <f t="shared" si="33"/>
        <v>-1.9530912017163</v>
      </c>
      <c r="L79" s="354">
        <f t="shared" si="33"/>
        <v>9.2048515389903</v>
      </c>
      <c r="M79" s="354">
        <f t="shared" si="33"/>
        <v>7.7476973965441</v>
      </c>
      <c r="N79" s="354">
        <f t="shared" si="33"/>
        <v>7.489924495309</v>
      </c>
      <c r="O79" s="354">
        <f t="shared" si="33"/>
        <v>12.541954642385</v>
      </c>
      <c r="P79" s="318"/>
      <c r="Q79" s="104"/>
      <c r="R79" s="104"/>
    </row>
    <row r="80" s="283" customFormat="1" ht="15.6" hidden="1" customHeight="1" outlineLevel="1" spans="1:18">
      <c r="A80" s="353" t="s">
        <v>518</v>
      </c>
      <c r="B80" s="7"/>
      <c r="C80" s="8"/>
      <c r="D80" s="354">
        <f t="shared" ref="D80:O80" si="34">D79*D53</f>
        <v>496790.877886474</v>
      </c>
      <c r="E80" s="354">
        <f t="shared" si="34"/>
        <v>553309.468898478</v>
      </c>
      <c r="F80" s="354">
        <f t="shared" si="34"/>
        <v>57175.9797277818</v>
      </c>
      <c r="G80" s="354">
        <f t="shared" si="34"/>
        <v>279882.133597452</v>
      </c>
      <c r="H80" s="354">
        <f t="shared" si="34"/>
        <v>176442.804525668</v>
      </c>
      <c r="I80" s="354">
        <f t="shared" si="34"/>
        <v>-977697.016704622</v>
      </c>
      <c r="J80" s="354">
        <f t="shared" si="34"/>
        <v>-339449.771701271</v>
      </c>
      <c r="K80" s="354">
        <f t="shared" si="34"/>
        <v>-159382.007516059</v>
      </c>
      <c r="L80" s="354">
        <f t="shared" si="34"/>
        <v>1079775.10978126</v>
      </c>
      <c r="M80" s="354">
        <f t="shared" si="34"/>
        <v>937510.123468819</v>
      </c>
      <c r="N80" s="354">
        <f t="shared" si="34"/>
        <v>974851.122686943</v>
      </c>
      <c r="O80" s="354">
        <f t="shared" si="34"/>
        <v>1145143.16862296</v>
      </c>
      <c r="P80" s="318"/>
      <c r="Q80" s="104"/>
      <c r="R80" s="104"/>
    </row>
    <row r="81" s="283" customFormat="1" ht="15.6" hidden="1" customHeight="1" outlineLevel="1" spans="1:18">
      <c r="A81" s="353" t="s">
        <v>519</v>
      </c>
      <c r="B81" s="7"/>
      <c r="C81" s="8"/>
      <c r="D81" s="354">
        <f t="shared" ref="D81:O81" si="35">D32-D33</f>
        <v>0</v>
      </c>
      <c r="E81" s="354">
        <f t="shared" si="35"/>
        <v>0</v>
      </c>
      <c r="F81" s="354">
        <f t="shared" si="35"/>
        <v>0</v>
      </c>
      <c r="G81" s="354">
        <f t="shared" si="35"/>
        <v>0</v>
      </c>
      <c r="H81" s="354">
        <f t="shared" si="35"/>
        <v>0</v>
      </c>
      <c r="I81" s="354">
        <f t="shared" si="35"/>
        <v>0</v>
      </c>
      <c r="J81" s="354">
        <f t="shared" si="35"/>
        <v>0</v>
      </c>
      <c r="K81" s="354">
        <f t="shared" si="35"/>
        <v>0</v>
      </c>
      <c r="L81" s="354">
        <f t="shared" si="35"/>
        <v>0</v>
      </c>
      <c r="M81" s="354">
        <f t="shared" si="35"/>
        <v>0</v>
      </c>
      <c r="N81" s="354">
        <f t="shared" si="35"/>
        <v>0</v>
      </c>
      <c r="O81" s="354">
        <f t="shared" si="35"/>
        <v>0</v>
      </c>
      <c r="P81" s="318"/>
      <c r="Q81" s="104"/>
      <c r="R81" s="104"/>
    </row>
    <row r="82" s="283" customFormat="1" ht="15.6" hidden="1" customHeight="1" outlineLevel="1" spans="1:18">
      <c r="A82" s="353" t="s">
        <v>520</v>
      </c>
      <c r="B82" s="7"/>
      <c r="C82" s="8"/>
      <c r="D82" s="354">
        <f t="shared" ref="D82:O82" si="36">D81*D65</f>
        <v>0</v>
      </c>
      <c r="E82" s="354">
        <f t="shared" si="36"/>
        <v>0</v>
      </c>
      <c r="F82" s="354">
        <f t="shared" si="36"/>
        <v>0</v>
      </c>
      <c r="G82" s="354">
        <f t="shared" si="36"/>
        <v>0</v>
      </c>
      <c r="H82" s="354">
        <f t="shared" si="36"/>
        <v>0</v>
      </c>
      <c r="I82" s="354">
        <f t="shared" si="36"/>
        <v>0</v>
      </c>
      <c r="J82" s="354">
        <f t="shared" si="36"/>
        <v>0</v>
      </c>
      <c r="K82" s="354">
        <f t="shared" si="36"/>
        <v>0</v>
      </c>
      <c r="L82" s="354">
        <f t="shared" si="36"/>
        <v>0</v>
      </c>
      <c r="M82" s="354">
        <f t="shared" si="36"/>
        <v>0</v>
      </c>
      <c r="N82" s="354">
        <f t="shared" si="36"/>
        <v>0</v>
      </c>
      <c r="O82" s="354">
        <f t="shared" si="36"/>
        <v>0</v>
      </c>
      <c r="P82" s="318"/>
      <c r="Q82" s="104"/>
      <c r="R82" s="104"/>
    </row>
    <row r="83" ht="15.6" hidden="1" customHeight="1" collapsed="1" spans="1:18">
      <c r="A83" s="342" t="s">
        <v>55</v>
      </c>
      <c r="B83" s="343"/>
      <c r="C83" s="296" t="s">
        <v>425</v>
      </c>
      <c r="D83" s="296">
        <v>770.36882</v>
      </c>
      <c r="E83" s="296">
        <v>741.42854</v>
      </c>
      <c r="F83" s="296">
        <v>763.50516</v>
      </c>
      <c r="G83" s="296">
        <v>766.01624</v>
      </c>
      <c r="H83" s="296">
        <v>831.68695</v>
      </c>
      <c r="I83" s="296">
        <v>824.01968</v>
      </c>
      <c r="J83" s="296">
        <v>839.2091</v>
      </c>
      <c r="K83" s="296">
        <v>583.2903</v>
      </c>
      <c r="L83" s="296">
        <v>793.0073</v>
      </c>
      <c r="M83" s="296">
        <v>589.92044</v>
      </c>
      <c r="N83" s="296">
        <v>801.39809</v>
      </c>
      <c r="O83" s="296">
        <v>815.91192</v>
      </c>
      <c r="P83" s="296">
        <f>SUM(D83:O83)</f>
        <v>9119.76254</v>
      </c>
    </row>
    <row r="84" ht="15.6" hidden="1" customHeight="1" spans="1:18">
      <c r="A84" s="293"/>
      <c r="B84" s="347"/>
      <c r="C84" s="303" t="s">
        <v>532</v>
      </c>
      <c r="D84" s="317">
        <v>818.33241</v>
      </c>
      <c r="E84" s="317">
        <v>613.15617</v>
      </c>
      <c r="F84" s="317">
        <v>735</v>
      </c>
      <c r="G84" s="317"/>
      <c r="H84" s="317"/>
      <c r="I84" s="317"/>
      <c r="J84" s="317"/>
      <c r="K84" s="317"/>
      <c r="L84" s="317"/>
      <c r="M84" s="317"/>
      <c r="N84" s="317"/>
      <c r="O84" s="317"/>
      <c r="P84" s="317"/>
    </row>
    <row r="85" ht="15.6" hidden="1" customHeight="1" spans="1:18">
      <c r="A85" s="302"/>
      <c r="B85" s="346"/>
      <c r="C85" s="320" t="s">
        <v>521</v>
      </c>
      <c r="D85" s="355">
        <f t="shared" ref="D85:O85" si="37">D84-D83</f>
        <v>47.96359</v>
      </c>
      <c r="E85" s="355">
        <f t="shared" si="37"/>
        <v>-128.27237</v>
      </c>
      <c r="F85" s="355">
        <f t="shared" si="37"/>
        <v>-28.50516</v>
      </c>
      <c r="G85" s="355">
        <f t="shared" si="37"/>
        <v>-766.01624</v>
      </c>
      <c r="H85" s="355">
        <f t="shared" si="37"/>
        <v>-831.68695</v>
      </c>
      <c r="I85" s="355">
        <f t="shared" si="37"/>
        <v>-824.01968</v>
      </c>
      <c r="J85" s="355">
        <f t="shared" si="37"/>
        <v>-839.2091</v>
      </c>
      <c r="K85" s="355">
        <f t="shared" si="37"/>
        <v>-583.2903</v>
      </c>
      <c r="L85" s="355">
        <f t="shared" si="37"/>
        <v>-793.0073</v>
      </c>
      <c r="M85" s="355">
        <f t="shared" si="37"/>
        <v>-589.92044</v>
      </c>
      <c r="N85" s="355">
        <f t="shared" si="37"/>
        <v>-801.39809</v>
      </c>
      <c r="O85" s="355">
        <f t="shared" si="37"/>
        <v>-815.91192</v>
      </c>
      <c r="P85" s="355">
        <f>SUM(D85:O85)</f>
        <v>-6953.27396</v>
      </c>
    </row>
    <row r="86" ht="15.6" customHeight="1" spans="1:18">
      <c r="A86" s="342" t="s">
        <v>522</v>
      </c>
      <c r="B86" s="343"/>
      <c r="C86" s="296" t="s">
        <v>425</v>
      </c>
      <c r="D86" s="326">
        <f t="shared" ref="D86:P86" si="38">D47/D67</f>
        <v>0</v>
      </c>
      <c r="E86" s="326">
        <f t="shared" si="38"/>
        <v>0</v>
      </c>
      <c r="F86" s="326">
        <f t="shared" si="38"/>
        <v>0</v>
      </c>
      <c r="G86" s="326">
        <f t="shared" si="38"/>
        <v>0</v>
      </c>
      <c r="H86" s="326">
        <f t="shared" si="38"/>
        <v>0</v>
      </c>
      <c r="I86" s="326">
        <f t="shared" si="38"/>
        <v>0</v>
      </c>
      <c r="J86" s="326">
        <f t="shared" si="38"/>
        <v>0</v>
      </c>
      <c r="K86" s="326">
        <f t="shared" si="38"/>
        <v>0</v>
      </c>
      <c r="L86" s="326">
        <f t="shared" si="38"/>
        <v>0</v>
      </c>
      <c r="M86" s="326">
        <f t="shared" si="38"/>
        <v>0</v>
      </c>
      <c r="N86" s="326">
        <f t="shared" si="38"/>
        <v>0</v>
      </c>
      <c r="O86" s="326">
        <f t="shared" si="38"/>
        <v>0</v>
      </c>
      <c r="P86" s="326">
        <f t="shared" si="38"/>
        <v>0</v>
      </c>
    </row>
    <row r="87" ht="15.6" customHeight="1" spans="1:18">
      <c r="A87" s="302"/>
      <c r="B87" s="346"/>
      <c r="C87" s="303" t="s">
        <v>532</v>
      </c>
      <c r="D87" s="356">
        <f t="shared" ref="D87:P87" si="39">D49/D68</f>
        <v>0</v>
      </c>
      <c r="E87" s="356">
        <f t="shared" si="39"/>
        <v>0</v>
      </c>
      <c r="F87" s="356">
        <f t="shared" si="39"/>
        <v>0</v>
      </c>
      <c r="G87" s="356">
        <f t="shared" si="39"/>
        <v>0</v>
      </c>
      <c r="H87" s="356">
        <f t="shared" si="39"/>
        <v>0</v>
      </c>
      <c r="I87" s="356">
        <f t="shared" si="39"/>
        <v>0</v>
      </c>
      <c r="J87" s="356">
        <f t="shared" si="39"/>
        <v>0</v>
      </c>
      <c r="K87" s="356">
        <f t="shared" si="39"/>
        <v>0</v>
      </c>
      <c r="L87" s="356">
        <f t="shared" si="39"/>
        <v>0</v>
      </c>
      <c r="M87" s="356">
        <f t="shared" si="39"/>
        <v>0</v>
      </c>
      <c r="N87" s="356">
        <f t="shared" si="39"/>
        <v>0</v>
      </c>
      <c r="O87" s="356">
        <f t="shared" si="39"/>
        <v>0</v>
      </c>
      <c r="P87" s="356">
        <f t="shared" si="39"/>
        <v>0</v>
      </c>
    </row>
    <row r="93" spans="1:18">
      <c r="D93" s="357"/>
    </row>
  </sheetData>
  <mergeCells count="38">
    <mergeCell ref="B1:P1"/>
    <mergeCell ref="B2:P2"/>
    <mergeCell ref="Q2:R2"/>
    <mergeCell ref="B13:C13"/>
    <mergeCell ref="B14:C14"/>
    <mergeCell ref="B22:C22"/>
    <mergeCell ref="B23:C23"/>
    <mergeCell ref="B27:C27"/>
    <mergeCell ref="B28:C28"/>
    <mergeCell ref="B29:C29"/>
    <mergeCell ref="B30:C30"/>
    <mergeCell ref="B34:C34"/>
    <mergeCell ref="B35:C35"/>
    <mergeCell ref="B36:C36"/>
    <mergeCell ref="A79:C79"/>
    <mergeCell ref="A80:C80"/>
    <mergeCell ref="A81:C81"/>
    <mergeCell ref="A82:C82"/>
    <mergeCell ref="A3:A46"/>
    <mergeCell ref="A47:A66"/>
    <mergeCell ref="B4:B12"/>
    <mergeCell ref="B15:B21"/>
    <mergeCell ref="B24:B26"/>
    <mergeCell ref="B31:B33"/>
    <mergeCell ref="B37:B39"/>
    <mergeCell ref="B40:B42"/>
    <mergeCell ref="B43:B44"/>
    <mergeCell ref="B45:B46"/>
    <mergeCell ref="B47:B50"/>
    <mergeCell ref="B51:B54"/>
    <mergeCell ref="B55:B58"/>
    <mergeCell ref="B59:B62"/>
    <mergeCell ref="B63:B66"/>
    <mergeCell ref="A86:B87"/>
    <mergeCell ref="A83:B85"/>
    <mergeCell ref="A69:B75"/>
    <mergeCell ref="A67:B68"/>
    <mergeCell ref="A76:B78"/>
  </mergeCells>
  <conditionalFormatting sqref="D13:P13">
    <cfRule type="cellIs" dxfId="0" priority="2" operator="lessThan">
      <formula>0</formula>
    </cfRule>
  </conditionalFormatting>
  <conditionalFormatting sqref="D22:P22">
    <cfRule type="cellIs" dxfId="0" priority="1" operator="lessThan">
      <formula>0</formula>
    </cfRule>
  </conditionalFormatting>
  <pageMargins left="0.7" right="0.7" top="0.75" bottom="0.75" header="0.3" footer="0.3"/>
  <pageSetup paperSize="256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238"/>
  <sheetViews>
    <sheetView zoomScale="80" zoomScaleNormal="80" topLeftCell="C28" workbookViewId="0">
      <selection activeCell="A1" sqref="A1:I25"/>
    </sheetView>
  </sheetViews>
  <sheetFormatPr defaultColWidth="9" defaultRowHeight="14.4"/>
  <cols>
    <col min="1" max="1" width="9" style="172" customWidth="1"/>
    <col min="2" max="2" width="29.2222222222222" style="173" customWidth="1"/>
    <col min="3" max="3" width="11.6666666666667" style="172" customWidth="1"/>
    <col min="4" max="4" width="60.6666666666667" style="172" customWidth="1"/>
    <col min="5" max="5" width="24.1111111111111" style="172" customWidth="1"/>
    <col min="6" max="6" width="20.4444444444444" style="172" customWidth="1"/>
    <col min="7" max="7" width="15.2222222222222" style="172" customWidth="1"/>
    <col min="8" max="8" width="24.6666666666667" style="172" customWidth="1"/>
    <col min="9" max="9" width="17.1111111111111" style="172" customWidth="1"/>
    <col min="10" max="10" width="18.8888888888889" style="172" customWidth="1"/>
    <col min="11" max="11" width="14.2222222222222" style="172" customWidth="1"/>
    <col min="12" max="12" width="22.2222222222222" style="233" customWidth="1"/>
    <col min="13" max="13" width="40.1111111111111" style="172" customWidth="1"/>
    <col min="14" max="14" width="50.6666666666667" style="172" customWidth="1"/>
    <col min="15" max="15" width="21.4444444444444" style="172" customWidth="1"/>
    <col min="16" max="16" width="9" style="172" customWidth="1"/>
    <col min="17" max="16384" width="9" style="172"/>
  </cols>
  <sheetData>
    <row r="1" hidden="1" spans="1:9">
      <c r="A1" s="174" t="s">
        <v>535</v>
      </c>
      <c r="B1" s="174" t="s">
        <v>1</v>
      </c>
      <c r="C1" s="174" t="s">
        <v>536</v>
      </c>
      <c r="D1" s="174" t="s">
        <v>537</v>
      </c>
      <c r="E1" s="174" t="s">
        <v>538</v>
      </c>
      <c r="F1" s="174" t="s">
        <v>539</v>
      </c>
      <c r="G1" s="174" t="s">
        <v>540</v>
      </c>
      <c r="H1" s="174" t="s">
        <v>541</v>
      </c>
      <c r="I1" s="174" t="s">
        <v>542</v>
      </c>
    </row>
    <row r="2" hidden="1" spans="1:9">
      <c r="A2" s="151" t="s">
        <v>501</v>
      </c>
      <c r="B2" s="234" t="s">
        <v>543</v>
      </c>
      <c r="C2" s="110">
        <v>79712</v>
      </c>
      <c r="D2" s="110">
        <v>116704</v>
      </c>
      <c r="E2" s="235">
        <v>97611</v>
      </c>
      <c r="F2" s="235">
        <f t="shared" ref="F2:F24" si="0">E2-D2</f>
        <v>-19093</v>
      </c>
      <c r="G2" s="235">
        <f t="shared" ref="G2:G24" si="1">E2-C2</f>
        <v>17899</v>
      </c>
      <c r="H2" s="236" t="s">
        <v>410</v>
      </c>
      <c r="I2" s="110"/>
    </row>
    <row r="3" hidden="1" spans="1:9">
      <c r="A3" s="151" t="s">
        <v>544</v>
      </c>
      <c r="B3" s="234" t="s">
        <v>545</v>
      </c>
      <c r="C3" s="110">
        <v>20</v>
      </c>
      <c r="D3" s="110">
        <v>25</v>
      </c>
      <c r="E3" s="235">
        <v>20</v>
      </c>
      <c r="F3" s="235">
        <f t="shared" si="0"/>
        <v>-5</v>
      </c>
      <c r="G3" s="235">
        <f t="shared" si="1"/>
        <v>0</v>
      </c>
      <c r="H3" s="87"/>
      <c r="I3" s="110"/>
    </row>
    <row r="4" hidden="1" spans="1:9">
      <c r="A4" s="151" t="s">
        <v>546</v>
      </c>
      <c r="B4" s="234" t="s">
        <v>547</v>
      </c>
      <c r="C4" s="110">
        <v>279</v>
      </c>
      <c r="D4" s="110">
        <v>286</v>
      </c>
      <c r="E4" s="235">
        <v>294</v>
      </c>
      <c r="F4" s="235">
        <f t="shared" si="0"/>
        <v>8</v>
      </c>
      <c r="G4" s="235">
        <f t="shared" si="1"/>
        <v>15</v>
      </c>
      <c r="H4" s="87"/>
      <c r="I4" s="110"/>
    </row>
    <row r="5" hidden="1" spans="1:9">
      <c r="A5" s="87"/>
      <c r="B5" s="234" t="s">
        <v>548</v>
      </c>
      <c r="C5" s="178">
        <f>E48*1000/C4</f>
        <v>1950.38867383513</v>
      </c>
      <c r="D5" s="178">
        <v>2117.668</v>
      </c>
      <c r="E5" s="235">
        <v>2008.20431972789</v>
      </c>
      <c r="F5" s="235">
        <f t="shared" si="0"/>
        <v>-109.46368027211</v>
      </c>
      <c r="G5" s="235">
        <f t="shared" si="1"/>
        <v>57.8156458927642</v>
      </c>
      <c r="H5" s="87"/>
      <c r="I5" s="110"/>
    </row>
    <row r="6" hidden="1" spans="1:9">
      <c r="A6" s="87"/>
      <c r="B6" s="234" t="s">
        <v>250</v>
      </c>
      <c r="C6" s="110">
        <v>170</v>
      </c>
      <c r="D6" s="110">
        <v>133</v>
      </c>
      <c r="E6" s="235">
        <v>127</v>
      </c>
      <c r="F6" s="235">
        <f t="shared" si="0"/>
        <v>-6</v>
      </c>
      <c r="G6" s="235">
        <f t="shared" si="1"/>
        <v>-43</v>
      </c>
      <c r="H6" s="87"/>
      <c r="I6" s="110"/>
    </row>
    <row r="7" hidden="1" spans="1:9">
      <c r="A7" s="87"/>
      <c r="B7" s="234" t="s">
        <v>549</v>
      </c>
      <c r="C7" s="178">
        <f>E133*1000/C6</f>
        <v>2269.84311764706</v>
      </c>
      <c r="D7" s="235">
        <f>G133*1000/D6</f>
        <v>2373.66406911579</v>
      </c>
      <c r="E7" s="235">
        <f>I133*1000/E6</f>
        <v>2579.72818897638</v>
      </c>
      <c r="F7" s="235">
        <f t="shared" si="0"/>
        <v>206.064119860588</v>
      </c>
      <c r="G7" s="235">
        <f t="shared" si="1"/>
        <v>309.885071329319</v>
      </c>
      <c r="H7" s="87"/>
      <c r="I7" s="110"/>
    </row>
    <row r="8" hidden="1" spans="1:9">
      <c r="A8" s="87"/>
      <c r="B8" s="234" t="s">
        <v>550</v>
      </c>
      <c r="C8" s="110">
        <v>58</v>
      </c>
      <c r="D8" s="110">
        <v>34</v>
      </c>
      <c r="E8" s="235">
        <v>31</v>
      </c>
      <c r="F8" s="235">
        <f t="shared" si="0"/>
        <v>-3</v>
      </c>
      <c r="G8" s="235">
        <f t="shared" si="1"/>
        <v>-27</v>
      </c>
      <c r="H8" s="87"/>
      <c r="I8" s="110"/>
    </row>
    <row r="9" hidden="1" spans="1:9">
      <c r="A9" s="73"/>
      <c r="B9" s="234" t="s">
        <v>551</v>
      </c>
      <c r="C9" s="178">
        <f>E141*1000/C8</f>
        <v>4761.5475862069</v>
      </c>
      <c r="D9" s="178">
        <f>G141*1000/D8</f>
        <v>4538.87675904832</v>
      </c>
      <c r="E9" s="235">
        <f>I141*1000/E8</f>
        <v>5496.66806451613</v>
      </c>
      <c r="F9" s="235">
        <f t="shared" si="0"/>
        <v>957.791305467806</v>
      </c>
      <c r="G9" s="235">
        <f t="shared" si="1"/>
        <v>735.120478309233</v>
      </c>
      <c r="H9" s="87"/>
      <c r="I9" s="110"/>
    </row>
    <row r="10" ht="16.2" hidden="1" customHeight="1" spans="1:9">
      <c r="A10" s="156" t="s">
        <v>552</v>
      </c>
      <c r="B10" s="237" t="s">
        <v>527</v>
      </c>
      <c r="C10" s="180">
        <f>C2/C3/C4</f>
        <v>14.2853046594982</v>
      </c>
      <c r="D10" s="180">
        <f>D2/D3/D4</f>
        <v>16.3222377622378</v>
      </c>
      <c r="E10" s="180">
        <f>E2/E3/E4</f>
        <v>16.6005102040816</v>
      </c>
      <c r="F10" s="182">
        <f t="shared" si="0"/>
        <v>0.278272441843871</v>
      </c>
      <c r="G10" s="238">
        <f t="shared" si="1"/>
        <v>2.31520554458343</v>
      </c>
      <c r="H10" s="73"/>
      <c r="I10" s="110"/>
    </row>
    <row r="11" hidden="1" spans="1:9">
      <c r="A11" s="151" t="s">
        <v>450</v>
      </c>
      <c r="B11" s="239" t="s">
        <v>553</v>
      </c>
      <c r="C11" s="180">
        <f>SUM(C12:C24)</f>
        <v>34.951093060016</v>
      </c>
      <c r="D11" s="180">
        <f>SUM(D12:D24)</f>
        <v>22.5240067837961</v>
      </c>
      <c r="E11" s="180">
        <f>SUM(E12:E24)</f>
        <v>25.5481477497413</v>
      </c>
      <c r="F11" s="235">
        <f t="shared" si="0"/>
        <v>3.02414096594524</v>
      </c>
      <c r="G11" s="235">
        <f t="shared" si="1"/>
        <v>-9.40294531027473</v>
      </c>
      <c r="H11" s="184">
        <f t="shared" ref="H11:H24" si="2">G11*$E$2</f>
        <v>-917830.894681227</v>
      </c>
      <c r="I11" s="110"/>
    </row>
    <row r="12" hidden="1" spans="1:9">
      <c r="A12" s="87"/>
      <c r="B12" s="240" t="s">
        <v>55</v>
      </c>
      <c r="C12" s="180">
        <v>9.66</v>
      </c>
      <c r="D12" s="180">
        <v>6.98919428117908</v>
      </c>
      <c r="E12" s="180">
        <v>8.38360850723791</v>
      </c>
      <c r="F12" s="182">
        <f t="shared" si="0"/>
        <v>1.39441422605883</v>
      </c>
      <c r="G12" s="182">
        <f t="shared" si="1"/>
        <v>-1.27639149276209</v>
      </c>
      <c r="H12" s="184">
        <f t="shared" si="2"/>
        <v>-124589.85</v>
      </c>
      <c r="I12" s="110"/>
    </row>
    <row r="13" ht="16.2" hidden="1" customHeight="1" spans="1:9">
      <c r="A13" s="87"/>
      <c r="B13" s="185" t="s">
        <v>554</v>
      </c>
      <c r="C13" s="180">
        <v>1.20159674829386</v>
      </c>
      <c r="D13" s="180">
        <v>0.836832882640815</v>
      </c>
      <c r="E13" s="180">
        <v>0.736782739650244</v>
      </c>
      <c r="F13" s="182">
        <f t="shared" si="0"/>
        <v>-0.100050142990571</v>
      </c>
      <c r="G13" s="182">
        <f t="shared" si="1"/>
        <v>-0.464814008643616</v>
      </c>
      <c r="H13" s="184">
        <f t="shared" si="2"/>
        <v>-45370.960197712</v>
      </c>
      <c r="I13" s="110"/>
    </row>
    <row r="14" ht="16.2" hidden="1" customHeight="1" spans="1:9">
      <c r="A14" s="87"/>
      <c r="B14" s="185" t="s">
        <v>223</v>
      </c>
      <c r="C14" s="180">
        <v>0.437119003412284</v>
      </c>
      <c r="D14" s="180">
        <v>0.10710858239649</v>
      </c>
      <c r="E14" s="180">
        <v>0.128059337574659</v>
      </c>
      <c r="F14" s="182">
        <f t="shared" si="0"/>
        <v>0.020950755178169</v>
      </c>
      <c r="G14" s="182">
        <f t="shared" si="1"/>
        <v>-0.309059665837625</v>
      </c>
      <c r="H14" s="184">
        <f t="shared" si="2"/>
        <v>-30167.6230420764</v>
      </c>
      <c r="I14" s="110"/>
    </row>
    <row r="15" ht="16.2" hidden="1" customHeight="1" spans="1:9">
      <c r="A15" s="87"/>
      <c r="B15" s="185" t="s">
        <v>555</v>
      </c>
      <c r="C15" s="180">
        <v>0.591421868727419</v>
      </c>
      <c r="D15" s="180">
        <v>0.281913528361276</v>
      </c>
      <c r="E15" s="180">
        <v>0.354467017037014</v>
      </c>
      <c r="F15" s="182">
        <f t="shared" si="0"/>
        <v>0.072553488675738</v>
      </c>
      <c r="G15" s="182">
        <f t="shared" si="1"/>
        <v>-0.236954851690405</v>
      </c>
      <c r="H15" s="184">
        <f t="shared" si="2"/>
        <v>-23129.4000283521</v>
      </c>
      <c r="I15" s="110"/>
    </row>
    <row r="16" ht="16.2" hidden="1" customHeight="1" spans="1:9">
      <c r="A16" s="87"/>
      <c r="B16" s="218" t="s">
        <v>556</v>
      </c>
      <c r="C16" s="180">
        <v>4.84084366218386</v>
      </c>
      <c r="D16" s="180">
        <v>2.70511140314299</v>
      </c>
      <c r="E16" s="180">
        <v>3.35644015531036</v>
      </c>
      <c r="F16" s="182">
        <f t="shared" si="0"/>
        <v>0.65132875216737</v>
      </c>
      <c r="G16" s="182">
        <f t="shared" si="1"/>
        <v>-1.4844035068735</v>
      </c>
      <c r="H16" s="184">
        <f t="shared" si="2"/>
        <v>-144894.110709429</v>
      </c>
      <c r="I16" s="110"/>
    </row>
    <row r="17" ht="16.2" hidden="1" customHeight="1" spans="1:14">
      <c r="A17" s="87"/>
      <c r="B17" s="185" t="s">
        <v>557</v>
      </c>
      <c r="C17" s="180">
        <v>3.46459454034524</v>
      </c>
      <c r="D17" s="180">
        <v>1.3223352225086</v>
      </c>
      <c r="E17" s="180">
        <v>1.7456711846001</v>
      </c>
      <c r="F17" s="182">
        <f t="shared" si="0"/>
        <v>0.4233359620915</v>
      </c>
      <c r="G17" s="182">
        <f t="shared" si="1"/>
        <v>-1.71892335574514</v>
      </c>
      <c r="H17" s="184">
        <f t="shared" si="2"/>
        <v>-167785.827677639</v>
      </c>
      <c r="I17" s="110"/>
    </row>
    <row r="18" ht="16.2" hidden="1" customHeight="1" spans="1:14">
      <c r="A18" s="87"/>
      <c r="B18" s="218" t="s">
        <v>558</v>
      </c>
      <c r="C18" s="180">
        <v>2.75639188578884</v>
      </c>
      <c r="D18" s="180">
        <v>2.77244496592092</v>
      </c>
      <c r="E18" s="180">
        <v>1.65197283093094</v>
      </c>
      <c r="F18" s="182">
        <f t="shared" si="0"/>
        <v>-1.12047213498998</v>
      </c>
      <c r="G18" s="182">
        <f t="shared" si="1"/>
        <v>-1.1044190548579</v>
      </c>
      <c r="H18" s="184">
        <f t="shared" si="2"/>
        <v>-107803.448363734</v>
      </c>
      <c r="I18" s="110"/>
    </row>
    <row r="19" ht="16.2" hidden="1" customHeight="1" spans="1:14">
      <c r="A19" s="87"/>
      <c r="B19" s="218" t="s">
        <v>78</v>
      </c>
      <c r="C19" s="180">
        <v>6.82655610196708</v>
      </c>
      <c r="D19" s="180">
        <v>4.95035601912474</v>
      </c>
      <c r="E19" s="180">
        <v>6.04862228642264</v>
      </c>
      <c r="F19" s="182">
        <f t="shared" si="0"/>
        <v>1.0982662672979</v>
      </c>
      <c r="G19" s="182">
        <f t="shared" si="1"/>
        <v>-0.77793381554444</v>
      </c>
      <c r="H19" s="184">
        <f t="shared" si="2"/>
        <v>-75934.8976691083</v>
      </c>
      <c r="I19" s="110"/>
    </row>
    <row r="20" ht="16.2" hidden="1" customHeight="1" spans="1:14">
      <c r="A20" s="87"/>
      <c r="B20" s="186" t="s">
        <v>99</v>
      </c>
      <c r="C20" s="180">
        <v>0.37641910879165</v>
      </c>
      <c r="D20" s="180">
        <v>0.494508897268234</v>
      </c>
      <c r="E20" s="180">
        <v>0.486703957545768</v>
      </c>
      <c r="F20" s="182">
        <f t="shared" si="0"/>
        <v>-0.00780493972246599</v>
      </c>
      <c r="G20" s="182">
        <f t="shared" si="1"/>
        <v>0.110284848754118</v>
      </c>
      <c r="H20" s="184">
        <f t="shared" si="2"/>
        <v>10765.0143717382</v>
      </c>
      <c r="I20" s="110"/>
    </row>
    <row r="21" ht="16.2" hidden="1" customHeight="1" spans="1:14">
      <c r="A21" s="87"/>
      <c r="B21" s="186" t="s">
        <v>559</v>
      </c>
      <c r="C21" s="180">
        <v>-0.0775337464873545</v>
      </c>
      <c r="D21" s="180">
        <v>0.353039188011227</v>
      </c>
      <c r="E21" s="180">
        <v>0.0928048068352952</v>
      </c>
      <c r="F21" s="182">
        <f t="shared" si="0"/>
        <v>-0.260234381175932</v>
      </c>
      <c r="G21" s="182">
        <f t="shared" si="1"/>
        <v>0.17033855332265</v>
      </c>
      <c r="H21" s="184">
        <f t="shared" si="2"/>
        <v>16626.9165283772</v>
      </c>
      <c r="I21" s="110"/>
    </row>
    <row r="22" ht="16.2" hidden="1" customHeight="1" spans="1:14">
      <c r="A22" s="87"/>
      <c r="B22" s="186" t="s">
        <v>228</v>
      </c>
      <c r="C22" s="180">
        <v>-0.456782165796869</v>
      </c>
      <c r="D22" s="180">
        <v>-0.743284088398281</v>
      </c>
      <c r="E22" s="180">
        <v>-0.673643134482794</v>
      </c>
      <c r="F22" s="182">
        <f t="shared" si="0"/>
        <v>0.069640953915487</v>
      </c>
      <c r="G22" s="182">
        <f t="shared" si="1"/>
        <v>-0.216860968685925</v>
      </c>
      <c r="H22" s="184">
        <f t="shared" si="2"/>
        <v>-21168.0160144018</v>
      </c>
      <c r="I22" s="110"/>
    </row>
    <row r="23" ht="16.2" hidden="1" customHeight="1" spans="1:14">
      <c r="A23" s="87"/>
      <c r="B23" s="186" t="s">
        <v>560</v>
      </c>
      <c r="C23" s="180">
        <v>0.338805700521879</v>
      </c>
      <c r="D23" s="180">
        <v>0.611376914102598</v>
      </c>
      <c r="E23" s="180">
        <v>0.394889715298481</v>
      </c>
      <c r="F23" s="182">
        <f t="shared" si="0"/>
        <v>-0.216487198804117</v>
      </c>
      <c r="G23" s="182">
        <f t="shared" si="1"/>
        <v>0.056084014776602</v>
      </c>
      <c r="H23" s="184">
        <f t="shared" si="2"/>
        <v>5474.41676635889</v>
      </c>
      <c r="I23" s="110"/>
    </row>
    <row r="24" ht="16.2" hidden="1" customHeight="1" spans="1:14">
      <c r="A24" s="73"/>
      <c r="B24" s="186" t="s">
        <v>561</v>
      </c>
      <c r="C24" s="180">
        <v>4.99166035226816</v>
      </c>
      <c r="D24" s="180">
        <v>1.84306898753739</v>
      </c>
      <c r="E24" s="180">
        <v>2.8417683457807</v>
      </c>
      <c r="F24" s="182">
        <f t="shared" si="0"/>
        <v>0.99869935824331</v>
      </c>
      <c r="G24" s="182">
        <f t="shared" si="1"/>
        <v>-2.14989200648746</v>
      </c>
      <c r="H24" s="184">
        <f t="shared" si="2"/>
        <v>-209853.108645247</v>
      </c>
      <c r="I24" s="110"/>
    </row>
    <row r="25" hidden="1" spans="1:14">
      <c r="B25" s="110" t="s">
        <v>34</v>
      </c>
      <c r="C25" s="180">
        <v>3.17177037334404</v>
      </c>
      <c r="D25" s="180">
        <v>0.813767308746915</v>
      </c>
      <c r="E25" s="180">
        <v>0.969411131942097</v>
      </c>
      <c r="F25" s="182">
        <v>0.155643823195182</v>
      </c>
      <c r="G25" s="182">
        <v>-2.20235924140194</v>
      </c>
      <c r="H25" s="110"/>
      <c r="K25" s="233"/>
      <c r="L25" s="172"/>
    </row>
    <row r="26" hidden="1" spans="1:14">
      <c r="B26" s="110" t="s">
        <v>35</v>
      </c>
      <c r="C26" s="180">
        <v>0.106528502609394</v>
      </c>
      <c r="D26" s="180">
        <v>0.0547697861389795</v>
      </c>
      <c r="E26" s="180">
        <v>0.0509268422616304</v>
      </c>
      <c r="F26" s="182">
        <v>-0.0038429438773491</v>
      </c>
      <c r="G26" s="182">
        <v>-0.0556016603477636</v>
      </c>
      <c r="H26" s="110"/>
      <c r="K26" s="233"/>
      <c r="L26" s="172"/>
    </row>
    <row r="27" hidden="1" spans="1:14">
      <c r="B27" s="110" t="s">
        <v>36</v>
      </c>
      <c r="C27" s="180">
        <v>1.71336147631473</v>
      </c>
      <c r="D27" s="180">
        <v>0.974531892651495</v>
      </c>
      <c r="E27" s="180">
        <v>1.82032772945672</v>
      </c>
      <c r="F27" s="182">
        <v>0.845795836805225</v>
      </c>
      <c r="G27" s="182">
        <v>0.10696625314199</v>
      </c>
      <c r="H27" s="110" t="s">
        <v>562</v>
      </c>
      <c r="K27" s="233"/>
      <c r="L27" s="172"/>
    </row>
    <row r="28" ht="15.6" customHeight="1" spans="1:14">
      <c r="A28" s="241" t="s">
        <v>563</v>
      </c>
      <c r="B28" s="241" t="s">
        <v>564</v>
      </c>
      <c r="C28" s="241" t="s">
        <v>565</v>
      </c>
      <c r="D28" s="241" t="s">
        <v>566</v>
      </c>
      <c r="E28" s="219" t="s">
        <v>567</v>
      </c>
      <c r="F28" s="120" t="s">
        <v>568</v>
      </c>
      <c r="G28" s="187">
        <v>79712</v>
      </c>
      <c r="H28" s="120" t="s">
        <v>569</v>
      </c>
      <c r="I28" s="120">
        <v>116704.083333333</v>
      </c>
      <c r="J28" s="120" t="s">
        <v>570</v>
      </c>
      <c r="K28" s="242">
        <v>97611</v>
      </c>
      <c r="L28" s="120"/>
      <c r="M28" s="120"/>
      <c r="N28" s="120"/>
    </row>
    <row r="29" ht="48.6" customHeight="1" spans="1:14">
      <c r="A29" s="73"/>
      <c r="B29" s="73"/>
      <c r="C29" s="73"/>
      <c r="D29" s="73"/>
      <c r="E29" s="243" t="s">
        <v>571</v>
      </c>
      <c r="F29" s="243" t="s">
        <v>572</v>
      </c>
      <c r="G29" s="243" t="s">
        <v>573</v>
      </c>
      <c r="H29" s="243" t="s">
        <v>574</v>
      </c>
      <c r="I29" s="243" t="s">
        <v>575</v>
      </c>
      <c r="J29" s="243" t="s">
        <v>576</v>
      </c>
      <c r="K29" s="244" t="s">
        <v>577</v>
      </c>
      <c r="L29" s="243" t="s">
        <v>578</v>
      </c>
      <c r="M29" s="245" t="s">
        <v>579</v>
      </c>
      <c r="N29" s="246" t="s">
        <v>580</v>
      </c>
    </row>
    <row r="30" spans="1:14">
      <c r="A30" s="158" t="s">
        <v>55</v>
      </c>
      <c r="B30" s="131">
        <v>6666110101</v>
      </c>
      <c r="C30" s="131" t="s">
        <v>56</v>
      </c>
      <c r="D30" s="131" t="s">
        <v>57</v>
      </c>
      <c r="E30" s="184">
        <v>73.06366</v>
      </c>
      <c r="F30" s="191">
        <f t="shared" ref="F30:F38" si="3">E30*1000/$G$28</f>
        <v>0.916595493777599</v>
      </c>
      <c r="G30" s="184">
        <v>73.4377955833334</v>
      </c>
      <c r="H30" s="191">
        <v>0.62926500500911</v>
      </c>
      <c r="I30" s="247">
        <v>75.41415</v>
      </c>
      <c r="J30" s="179">
        <v>0.772598887420475</v>
      </c>
      <c r="K30" s="248">
        <f t="shared" ref="K30:K93" si="4">J30-F30</f>
        <v>-0.143996606357124</v>
      </c>
      <c r="L30" s="249">
        <v>0.143333882411365</v>
      </c>
      <c r="M30" s="250"/>
      <c r="N30" s="251"/>
    </row>
    <row r="31" spans="1:14">
      <c r="A31" s="87"/>
      <c r="B31" s="131">
        <v>6666110106</v>
      </c>
      <c r="C31" s="131" t="s">
        <v>58</v>
      </c>
      <c r="D31" s="131" t="s">
        <v>59</v>
      </c>
      <c r="E31" s="184">
        <v>0</v>
      </c>
      <c r="F31" s="191">
        <f t="shared" si="3"/>
        <v>0</v>
      </c>
      <c r="G31" s="184">
        <v>0</v>
      </c>
      <c r="H31" s="191">
        <v>0</v>
      </c>
      <c r="I31" s="247">
        <v>0</v>
      </c>
      <c r="J31" s="179">
        <v>0</v>
      </c>
      <c r="K31" s="248">
        <f t="shared" si="4"/>
        <v>0</v>
      </c>
      <c r="L31" s="249">
        <v>0</v>
      </c>
      <c r="M31" s="250"/>
      <c r="N31" s="251"/>
    </row>
    <row r="32" spans="1:14">
      <c r="A32" s="87"/>
      <c r="B32" s="131">
        <v>6666110107</v>
      </c>
      <c r="C32" s="131" t="s">
        <v>60</v>
      </c>
      <c r="D32" s="131" t="s">
        <v>61</v>
      </c>
      <c r="E32" s="184">
        <v>211.90984</v>
      </c>
      <c r="F32" s="191">
        <f t="shared" si="3"/>
        <v>2.65844339622641</v>
      </c>
      <c r="G32" s="184">
        <v>204.715834916667</v>
      </c>
      <c r="H32" s="191">
        <v>1.75414457720346</v>
      </c>
      <c r="I32" s="247">
        <v>204.24196</v>
      </c>
      <c r="J32" s="179">
        <v>2.09240720820399</v>
      </c>
      <c r="K32" s="248">
        <f t="shared" si="4"/>
        <v>-0.566036188022425</v>
      </c>
      <c r="L32" s="249">
        <v>0.338262631000531</v>
      </c>
      <c r="M32" s="250"/>
      <c r="N32" s="251"/>
    </row>
    <row r="33" spans="1:20">
      <c r="A33" s="87"/>
      <c r="B33" s="131">
        <v>6666110110</v>
      </c>
      <c r="C33" s="131" t="s">
        <v>62</v>
      </c>
      <c r="D33" s="131" t="s">
        <v>581</v>
      </c>
      <c r="E33" s="184">
        <v>407.33455</v>
      </c>
      <c r="F33" s="191">
        <f t="shared" si="3"/>
        <v>5.11007815636291</v>
      </c>
      <c r="G33" s="184">
        <v>446.500440418501</v>
      </c>
      <c r="H33" s="191">
        <v>3.82591960508525</v>
      </c>
      <c r="I33" s="247">
        <v>447.68976</v>
      </c>
      <c r="J33" s="179">
        <v>4.58646832836463</v>
      </c>
      <c r="K33" s="248">
        <f t="shared" si="4"/>
        <v>-0.523609827998277</v>
      </c>
      <c r="L33" s="249">
        <v>0.760548723279385</v>
      </c>
      <c r="M33" s="250"/>
      <c r="N33" s="251" t="s">
        <v>582</v>
      </c>
    </row>
    <row r="34" spans="1:20">
      <c r="A34" s="87"/>
      <c r="B34" s="131">
        <v>6666110112</v>
      </c>
      <c r="C34" s="131" t="s">
        <v>64</v>
      </c>
      <c r="D34" s="131" t="s">
        <v>316</v>
      </c>
      <c r="E34" s="184">
        <v>36.9678</v>
      </c>
      <c r="F34" s="191">
        <f t="shared" si="3"/>
        <v>0.463767061421116</v>
      </c>
      <c r="G34" s="184">
        <v>58.8558284722222</v>
      </c>
      <c r="H34" s="191">
        <v>0.504316788163417</v>
      </c>
      <c r="I34" s="247">
        <v>58.82951</v>
      </c>
      <c r="J34" s="179">
        <v>0.60269344643534</v>
      </c>
      <c r="K34" s="248">
        <f t="shared" si="4"/>
        <v>0.138926385014224</v>
      </c>
      <c r="L34" s="249">
        <v>0.0983766582719238</v>
      </c>
      <c r="M34" s="250"/>
      <c r="N34" s="251"/>
    </row>
    <row r="35" spans="1:20">
      <c r="A35" s="87"/>
      <c r="B35" s="131">
        <v>6666110204</v>
      </c>
      <c r="C35" s="131" t="s">
        <v>66</v>
      </c>
      <c r="D35" s="131" t="s">
        <v>583</v>
      </c>
      <c r="E35" s="184">
        <v>2.81415</v>
      </c>
      <c r="F35" s="191">
        <f t="shared" si="3"/>
        <v>0.035303969289442</v>
      </c>
      <c r="G35" s="184">
        <v>32.15703</v>
      </c>
      <c r="H35" s="191">
        <v>0.275543315036821</v>
      </c>
      <c r="I35" s="247">
        <v>2.81415</v>
      </c>
      <c r="J35" s="179">
        <v>0.028830254786858</v>
      </c>
      <c r="K35" s="248">
        <f t="shared" si="4"/>
        <v>-0.006473714502584</v>
      </c>
      <c r="L35" s="249">
        <v>-0.246713060249963</v>
      </c>
      <c r="M35" s="250"/>
      <c r="N35" s="251"/>
    </row>
    <row r="36" spans="1:20">
      <c r="A36" s="87"/>
      <c r="B36" s="131">
        <v>6666110207</v>
      </c>
      <c r="C36" s="131" t="s">
        <v>68</v>
      </c>
      <c r="D36" s="131" t="s">
        <v>317</v>
      </c>
      <c r="E36" s="184">
        <v>35.04763</v>
      </c>
      <c r="F36" s="191">
        <f t="shared" si="3"/>
        <v>0.439678216579687</v>
      </c>
      <c r="G36" s="184">
        <v>0</v>
      </c>
      <c r="H36" s="191">
        <v>0</v>
      </c>
      <c r="I36" s="247">
        <v>26.11824</v>
      </c>
      <c r="J36" s="179">
        <v>0.267574761041276</v>
      </c>
      <c r="K36" s="248">
        <f t="shared" si="4"/>
        <v>-0.172103455538411</v>
      </c>
      <c r="L36" s="249">
        <v>0.267574761041276</v>
      </c>
      <c r="M36" s="250"/>
      <c r="N36" s="251"/>
    </row>
    <row r="37" spans="1:20">
      <c r="A37" s="87"/>
      <c r="B37" s="131">
        <v>6666110506</v>
      </c>
      <c r="C37" s="131" t="s">
        <v>70</v>
      </c>
      <c r="D37" s="131" t="s">
        <v>584</v>
      </c>
      <c r="E37" s="184">
        <v>3.15121</v>
      </c>
      <c r="F37" s="191">
        <f t="shared" si="3"/>
        <v>0.0395324417904456</v>
      </c>
      <c r="G37" s="184">
        <v>0</v>
      </c>
      <c r="H37" s="191">
        <v>0</v>
      </c>
      <c r="I37" s="247">
        <v>3.08533</v>
      </c>
      <c r="J37" s="179">
        <v>0.0316084252799377</v>
      </c>
      <c r="K37" s="248">
        <f t="shared" si="4"/>
        <v>-0.00792401651050791</v>
      </c>
      <c r="L37" s="249">
        <v>0.0316084252799377</v>
      </c>
      <c r="M37" s="250"/>
      <c r="N37" s="251"/>
    </row>
    <row r="38" spans="1:20">
      <c r="A38" s="87"/>
      <c r="B38" s="131" t="s">
        <v>72</v>
      </c>
      <c r="C38" s="131" t="s">
        <v>73</v>
      </c>
      <c r="D38" s="131" t="s">
        <v>585</v>
      </c>
      <c r="E38" s="184">
        <v>0.07998</v>
      </c>
      <c r="F38" s="191">
        <f t="shared" si="3"/>
        <v>0.00100336210357286</v>
      </c>
      <c r="G38" s="184">
        <v>0</v>
      </c>
      <c r="H38" s="191">
        <v>0</v>
      </c>
      <c r="I38" s="247">
        <v>0.13931</v>
      </c>
      <c r="J38" s="179">
        <v>0.00142719570540206</v>
      </c>
      <c r="K38" s="248">
        <f t="shared" si="4"/>
        <v>0.000423833601829198</v>
      </c>
      <c r="L38" s="249">
        <v>0.00142719570540206</v>
      </c>
      <c r="M38" s="250"/>
      <c r="N38" s="251"/>
    </row>
    <row r="39" spans="1:20">
      <c r="A39" s="73"/>
      <c r="B39" s="193" t="s">
        <v>75</v>
      </c>
      <c r="C39" s="193" t="s">
        <v>76</v>
      </c>
      <c r="D39" s="193" t="s">
        <v>77</v>
      </c>
      <c r="E39" s="194">
        <f>SUM(E30:E38)</f>
        <v>770.36882</v>
      </c>
      <c r="F39" s="252">
        <f>SUM(F30:F38)</f>
        <v>9.66440209755118</v>
      </c>
      <c r="G39" s="194">
        <v>815.666929390724</v>
      </c>
      <c r="H39" s="195">
        <v>6.98918929049806</v>
      </c>
      <c r="I39" s="253">
        <v>818.33241</v>
      </c>
      <c r="J39" s="254">
        <v>8.38360850723791</v>
      </c>
      <c r="K39" s="255">
        <f t="shared" si="4"/>
        <v>-1.28079359031327</v>
      </c>
      <c r="L39" s="256">
        <v>1.39441921673986</v>
      </c>
      <c r="M39" s="257"/>
      <c r="N39" s="258"/>
    </row>
    <row r="40" spans="1:20">
      <c r="A40" s="158" t="s">
        <v>78</v>
      </c>
      <c r="B40" s="131">
        <v>5001010205</v>
      </c>
      <c r="C40" s="131" t="s">
        <v>79</v>
      </c>
      <c r="D40" s="131" t="s">
        <v>586</v>
      </c>
      <c r="E40" s="184">
        <v>8.97535</v>
      </c>
      <c r="F40" s="191">
        <v>0.112597225010036</v>
      </c>
      <c r="G40" s="184">
        <v>9.37760305622184</v>
      </c>
      <c r="H40" s="191">
        <v>0.0803536841931855</v>
      </c>
      <c r="I40" s="178">
        <v>9.61211</v>
      </c>
      <c r="J40" s="179">
        <v>0.0984736351435801</v>
      </c>
      <c r="K40" s="248">
        <f t="shared" si="4"/>
        <v>-0.0141235898664559</v>
      </c>
      <c r="L40" s="249">
        <v>0.0181199509503946</v>
      </c>
      <c r="M40" s="250"/>
      <c r="N40" s="251"/>
    </row>
    <row r="41" spans="1:20">
      <c r="A41" s="87"/>
      <c r="B41" s="131">
        <v>6666010380</v>
      </c>
      <c r="C41" s="131" t="s">
        <v>81</v>
      </c>
      <c r="D41" s="131" t="s">
        <v>587</v>
      </c>
      <c r="E41" s="184">
        <v>-1.30793</v>
      </c>
      <c r="F41" s="191">
        <v>-0.0164081945002007</v>
      </c>
      <c r="G41" s="184">
        <v>-24.9169347391352</v>
      </c>
      <c r="H41" s="191">
        <v>-0.213505252151005</v>
      </c>
      <c r="I41" s="178">
        <v>-2.29638</v>
      </c>
      <c r="J41" s="179">
        <v>-0.0235258321295756</v>
      </c>
      <c r="K41" s="248">
        <f t="shared" si="4"/>
        <v>-0.0071176376293749</v>
      </c>
      <c r="L41" s="249">
        <v>0.18997942002143</v>
      </c>
      <c r="M41" s="250"/>
      <c r="N41" s="251"/>
    </row>
    <row r="42" spans="1:20">
      <c r="A42" s="87"/>
      <c r="B42" s="131">
        <v>6666010019</v>
      </c>
      <c r="C42" s="131" t="s">
        <v>84</v>
      </c>
      <c r="D42" s="131" t="s">
        <v>588</v>
      </c>
      <c r="E42" s="184">
        <v>72.82026</v>
      </c>
      <c r="F42" s="191">
        <v>0.913542001204336</v>
      </c>
      <c r="G42" s="184">
        <v>97.2926317083015</v>
      </c>
      <c r="H42" s="191">
        <v>0.833669473504299</v>
      </c>
      <c r="I42" s="178">
        <v>82.346</v>
      </c>
      <c r="J42" s="179">
        <v>0.843613936953827</v>
      </c>
      <c r="K42" s="248">
        <f t="shared" si="4"/>
        <v>-0.069928064250509</v>
      </c>
      <c r="L42" s="249">
        <v>0.00994446344952837</v>
      </c>
      <c r="M42" s="250"/>
      <c r="N42" s="251"/>
    </row>
    <row r="43" spans="1:20">
      <c r="A43" s="87"/>
      <c r="B43" s="131">
        <v>6666010183</v>
      </c>
      <c r="C43" s="131" t="s">
        <v>86</v>
      </c>
      <c r="D43" s="131" t="s">
        <v>589</v>
      </c>
      <c r="E43" s="184">
        <v>2.7937</v>
      </c>
      <c r="F43" s="191">
        <v>0.0350474207145725</v>
      </c>
      <c r="G43" s="184">
        <v>0</v>
      </c>
      <c r="H43" s="191">
        <v>0</v>
      </c>
      <c r="I43" s="178">
        <v>13.27255</v>
      </c>
      <c r="J43" s="179">
        <v>0.135973916874123</v>
      </c>
      <c r="K43" s="248">
        <f t="shared" si="4"/>
        <v>0.10092649615955</v>
      </c>
      <c r="L43" s="249">
        <v>0.135973916874123</v>
      </c>
      <c r="M43" s="250"/>
      <c r="N43" s="251"/>
    </row>
    <row r="44" spans="1:20">
      <c r="A44" s="87"/>
      <c r="B44" s="131">
        <v>6666010229</v>
      </c>
      <c r="C44" s="131" t="s">
        <v>88</v>
      </c>
      <c r="D44" s="131" t="s">
        <v>590</v>
      </c>
      <c r="E44" s="184">
        <v>42.73546</v>
      </c>
      <c r="F44" s="191">
        <v>0.536123293857888</v>
      </c>
      <c r="G44" s="184">
        <v>18.3543930009948</v>
      </c>
      <c r="H44" s="191">
        <v>0.1572729289049</v>
      </c>
      <c r="I44" s="178">
        <v>23.0706</v>
      </c>
      <c r="J44" s="179">
        <v>0.236352460275993</v>
      </c>
      <c r="K44" s="248">
        <f t="shared" si="4"/>
        <v>-0.299770833581895</v>
      </c>
      <c r="L44" s="249">
        <v>0.0790795313710935</v>
      </c>
      <c r="M44" s="250"/>
      <c r="N44" s="251"/>
      <c r="O44" s="259"/>
      <c r="P44" s="259"/>
      <c r="Q44" s="259"/>
      <c r="R44" s="259"/>
      <c r="S44" s="259"/>
      <c r="T44" s="259"/>
    </row>
    <row r="45" spans="1:20">
      <c r="A45" s="87"/>
      <c r="B45" s="131">
        <v>6666010188</v>
      </c>
      <c r="C45" s="131" t="s">
        <v>90</v>
      </c>
      <c r="D45" s="131" t="s">
        <v>591</v>
      </c>
      <c r="E45" s="184">
        <v>420.61737</v>
      </c>
      <c r="F45" s="191">
        <v>5.27671329285428</v>
      </c>
      <c r="G45" s="184">
        <v>477.618655829551</v>
      </c>
      <c r="H45" s="191">
        <v>4.09256164983846</v>
      </c>
      <c r="I45" s="178">
        <v>465.92913</v>
      </c>
      <c r="J45" s="179">
        <v>4.77332605956296</v>
      </c>
      <c r="K45" s="248">
        <f t="shared" si="4"/>
        <v>-0.503387233291321</v>
      </c>
      <c r="L45" s="249">
        <v>0.680764409724494</v>
      </c>
      <c r="M45" s="250"/>
      <c r="N45" s="251" t="s">
        <v>592</v>
      </c>
      <c r="O45" s="259"/>
      <c r="P45" s="259"/>
      <c r="Q45" s="260"/>
      <c r="R45" s="259"/>
      <c r="S45" s="259"/>
      <c r="T45" s="260"/>
    </row>
    <row r="46" spans="1:20">
      <c r="A46" s="87"/>
      <c r="B46" s="131">
        <v>5102040406</v>
      </c>
      <c r="C46" s="131" t="s">
        <v>92</v>
      </c>
      <c r="D46" s="131" t="s">
        <v>593</v>
      </c>
      <c r="E46" s="184">
        <v>0</v>
      </c>
      <c r="F46" s="191">
        <v>0</v>
      </c>
      <c r="G46" s="184">
        <v>0</v>
      </c>
      <c r="H46" s="191">
        <v>0</v>
      </c>
      <c r="I46" s="178">
        <v>0</v>
      </c>
      <c r="J46" s="179">
        <v>0</v>
      </c>
      <c r="K46" s="248">
        <f t="shared" si="4"/>
        <v>0</v>
      </c>
      <c r="L46" s="249">
        <v>0</v>
      </c>
      <c r="M46" s="250"/>
      <c r="N46" s="251"/>
    </row>
    <row r="47" spans="1:20">
      <c r="A47" s="87"/>
      <c r="B47" s="131">
        <v>6666010115</v>
      </c>
      <c r="C47" s="131" t="s">
        <v>94</v>
      </c>
      <c r="D47" s="131" t="s">
        <v>594</v>
      </c>
      <c r="E47" s="184">
        <v>-2.47577</v>
      </c>
      <c r="F47" s="191">
        <v>-0.0310589371738258</v>
      </c>
      <c r="G47" s="184">
        <v>0</v>
      </c>
      <c r="H47" s="191">
        <v>0</v>
      </c>
      <c r="I47" s="178">
        <v>-1.52194</v>
      </c>
      <c r="J47" s="179">
        <v>-0.0155918902582701</v>
      </c>
      <c r="K47" s="248">
        <f t="shared" si="4"/>
        <v>0.0154670469155557</v>
      </c>
      <c r="L47" s="249">
        <v>-0.0155918902582701</v>
      </c>
      <c r="M47" s="250"/>
      <c r="N47" s="251"/>
    </row>
    <row r="48" spans="1:20">
      <c r="A48" s="73"/>
      <c r="B48" s="193" t="s">
        <v>96</v>
      </c>
      <c r="C48" s="193" t="s">
        <v>97</v>
      </c>
      <c r="D48" s="193" t="s">
        <v>98</v>
      </c>
      <c r="E48" s="194">
        <v>544.15844</v>
      </c>
      <c r="F48" s="195">
        <v>6.82655610196708</v>
      </c>
      <c r="G48" s="194">
        <v>577.726348855934</v>
      </c>
      <c r="H48" s="195">
        <v>4.95035248428984</v>
      </c>
      <c r="I48" s="261">
        <v>590.41207</v>
      </c>
      <c r="J48" s="254">
        <v>6.04862228642264</v>
      </c>
      <c r="K48" s="255">
        <f t="shared" si="4"/>
        <v>-0.77793381554444</v>
      </c>
      <c r="L48" s="256">
        <v>1.09826980213279</v>
      </c>
      <c r="M48" s="257"/>
      <c r="N48" s="258"/>
    </row>
    <row r="49" spans="1:14">
      <c r="A49" s="158" t="s">
        <v>99</v>
      </c>
      <c r="B49" s="131">
        <v>8701530201</v>
      </c>
      <c r="C49" s="131" t="s">
        <v>100</v>
      </c>
      <c r="D49" s="131" t="s">
        <v>595</v>
      </c>
      <c r="E49" s="184">
        <v>0</v>
      </c>
      <c r="F49" s="191">
        <v>0</v>
      </c>
      <c r="G49" s="184">
        <v>0</v>
      </c>
      <c r="H49" s="191">
        <v>0</v>
      </c>
      <c r="I49" s="178">
        <v>0</v>
      </c>
      <c r="J49" s="179">
        <v>0</v>
      </c>
      <c r="K49" s="248">
        <f t="shared" si="4"/>
        <v>0</v>
      </c>
      <c r="L49" s="249">
        <v>0</v>
      </c>
      <c r="M49" s="250"/>
      <c r="N49" s="251"/>
    </row>
    <row r="50" spans="1:14">
      <c r="A50" s="87"/>
      <c r="B50" s="131">
        <v>6666050309</v>
      </c>
      <c r="C50" s="131" t="s">
        <v>102</v>
      </c>
      <c r="D50" s="131" t="s">
        <v>596</v>
      </c>
      <c r="E50" s="184">
        <v>22.80459</v>
      </c>
      <c r="F50" s="191">
        <v>0.286087289241269</v>
      </c>
      <c r="G50" s="184">
        <v>0</v>
      </c>
      <c r="H50" s="191">
        <v>0</v>
      </c>
      <c r="I50" s="178">
        <v>39.44239</v>
      </c>
      <c r="J50" s="179">
        <v>0.404077306860907</v>
      </c>
      <c r="K50" s="248">
        <f t="shared" si="4"/>
        <v>0.117990017619638</v>
      </c>
      <c r="L50" s="249">
        <v>0.404077306860907</v>
      </c>
      <c r="M50" s="250"/>
      <c r="N50" s="251"/>
    </row>
    <row r="51" spans="1:14">
      <c r="A51" s="87"/>
      <c r="B51" s="131">
        <v>6666050308</v>
      </c>
      <c r="C51" s="131" t="s">
        <v>104</v>
      </c>
      <c r="D51" s="131" t="s">
        <v>597</v>
      </c>
      <c r="E51" s="184">
        <v>7.00864</v>
      </c>
      <c r="F51" s="191">
        <v>0.0879245283018868</v>
      </c>
      <c r="G51" s="184">
        <v>57.711166346792</v>
      </c>
      <c r="H51" s="191">
        <v>0.494508544160841</v>
      </c>
      <c r="I51" s="178">
        <v>7.41281</v>
      </c>
      <c r="J51" s="179">
        <v>0.0759423630533444</v>
      </c>
      <c r="K51" s="248">
        <f t="shared" si="4"/>
        <v>-0.0119821652485424</v>
      </c>
      <c r="L51" s="249">
        <v>-0.418566181107497</v>
      </c>
      <c r="M51" s="250"/>
      <c r="N51" s="251"/>
    </row>
    <row r="52" spans="1:14">
      <c r="A52" s="87"/>
      <c r="B52" s="131">
        <v>6666050306</v>
      </c>
      <c r="C52" s="131" t="s">
        <v>107</v>
      </c>
      <c r="D52" s="131" t="s">
        <v>598</v>
      </c>
      <c r="E52" s="184">
        <v>0.19189</v>
      </c>
      <c r="F52" s="191">
        <v>0.00240729124849458</v>
      </c>
      <c r="G52" s="184">
        <v>0</v>
      </c>
      <c r="H52" s="191">
        <v>0</v>
      </c>
      <c r="I52" s="178">
        <v>0.65246</v>
      </c>
      <c r="J52" s="179">
        <v>0.00668428763151694</v>
      </c>
      <c r="K52" s="248">
        <f t="shared" si="4"/>
        <v>0.00427699638302236</v>
      </c>
      <c r="L52" s="249">
        <v>0.00668428763151694</v>
      </c>
      <c r="M52" s="250"/>
      <c r="N52" s="251"/>
    </row>
    <row r="53" spans="1:14">
      <c r="A53" s="73"/>
      <c r="B53" s="193" t="s">
        <v>96</v>
      </c>
      <c r="C53" s="193" t="s">
        <v>109</v>
      </c>
      <c r="D53" s="193" t="s">
        <v>599</v>
      </c>
      <c r="E53" s="194">
        <v>30.00512</v>
      </c>
      <c r="F53" s="195">
        <v>0.37641910879165</v>
      </c>
      <c r="G53" s="194">
        <v>57.711166346792</v>
      </c>
      <c r="H53" s="195">
        <v>0.494508544160841</v>
      </c>
      <c r="I53" s="261">
        <v>47.50766</v>
      </c>
      <c r="J53" s="254">
        <v>0.486703957545768</v>
      </c>
      <c r="K53" s="255">
        <f t="shared" si="4"/>
        <v>0.110284848754118</v>
      </c>
      <c r="L53" s="256">
        <v>-0.00780458661507277</v>
      </c>
      <c r="M53" s="257"/>
      <c r="N53" s="258"/>
    </row>
    <row r="54" spans="1:14">
      <c r="A54" s="158" t="s">
        <v>111</v>
      </c>
      <c r="B54" s="131">
        <v>5102010151</v>
      </c>
      <c r="C54" s="131" t="s">
        <v>112</v>
      </c>
      <c r="D54" s="131" t="s">
        <v>600</v>
      </c>
      <c r="E54" s="184">
        <v>-8.9625</v>
      </c>
      <c r="F54" s="191">
        <v>-0.112436019670815</v>
      </c>
      <c r="G54" s="184">
        <v>0</v>
      </c>
      <c r="H54" s="191">
        <v>0</v>
      </c>
      <c r="I54" s="178">
        <v>0</v>
      </c>
      <c r="J54" s="179">
        <v>0</v>
      </c>
      <c r="K54" s="248">
        <f t="shared" si="4"/>
        <v>0.112436019670815</v>
      </c>
      <c r="L54" s="249">
        <v>0</v>
      </c>
      <c r="M54" s="250"/>
      <c r="N54" s="251"/>
    </row>
    <row r="55" spans="1:14">
      <c r="A55" s="87"/>
      <c r="B55" s="131">
        <v>5001010200</v>
      </c>
      <c r="C55" s="131" t="s">
        <v>114</v>
      </c>
      <c r="D55" s="131" t="s">
        <v>601</v>
      </c>
      <c r="E55" s="184">
        <v>0.36849</v>
      </c>
      <c r="F55" s="191">
        <v>0.00462276696105981</v>
      </c>
      <c r="G55" s="184">
        <v>0</v>
      </c>
      <c r="H55" s="191">
        <v>0</v>
      </c>
      <c r="I55" s="178">
        <v>0</v>
      </c>
      <c r="J55" s="179">
        <v>0</v>
      </c>
      <c r="K55" s="248">
        <f t="shared" si="4"/>
        <v>-0.00462276696105981</v>
      </c>
      <c r="L55" s="249">
        <v>0</v>
      </c>
      <c r="M55" s="250"/>
      <c r="N55" s="251"/>
    </row>
    <row r="56" spans="1:14">
      <c r="A56" s="87"/>
      <c r="B56" s="131">
        <v>5001010201</v>
      </c>
      <c r="C56" s="131" t="s">
        <v>116</v>
      </c>
      <c r="D56" s="131" t="s">
        <v>602</v>
      </c>
      <c r="E56" s="184">
        <v>0.0012</v>
      </c>
      <c r="F56" s="191">
        <v>1.50541951023685e-5</v>
      </c>
      <c r="G56" s="184">
        <v>0</v>
      </c>
      <c r="H56" s="191">
        <v>0</v>
      </c>
      <c r="I56" s="178">
        <v>0</v>
      </c>
      <c r="J56" s="179">
        <v>0</v>
      </c>
      <c r="K56" s="248">
        <f t="shared" si="4"/>
        <v>-1.50541951023685e-5</v>
      </c>
      <c r="L56" s="249">
        <v>0</v>
      </c>
      <c r="M56" s="250"/>
      <c r="N56" s="251"/>
    </row>
    <row r="57" spans="1:14">
      <c r="A57" s="87"/>
      <c r="B57" s="131">
        <v>5207000011</v>
      </c>
      <c r="C57" s="131" t="s">
        <v>118</v>
      </c>
      <c r="D57" s="131" t="s">
        <v>603</v>
      </c>
      <c r="E57" s="184">
        <v>0</v>
      </c>
      <c r="F57" s="191">
        <v>0</v>
      </c>
      <c r="G57" s="184">
        <v>0</v>
      </c>
      <c r="H57" s="191">
        <v>0</v>
      </c>
      <c r="I57" s="178">
        <v>0</v>
      </c>
      <c r="J57" s="179">
        <v>0</v>
      </c>
      <c r="K57" s="248">
        <f t="shared" si="4"/>
        <v>0</v>
      </c>
      <c r="L57" s="249">
        <v>0</v>
      </c>
      <c r="M57" s="250"/>
      <c r="N57" s="251"/>
    </row>
    <row r="58" spans="1:14">
      <c r="A58" s="87"/>
      <c r="B58" s="131">
        <v>5207000012</v>
      </c>
      <c r="C58" s="131" t="s">
        <v>120</v>
      </c>
      <c r="D58" s="131" t="s">
        <v>604</v>
      </c>
      <c r="E58" s="184">
        <v>0</v>
      </c>
      <c r="F58" s="191">
        <v>0</v>
      </c>
      <c r="G58" s="184">
        <v>0</v>
      </c>
      <c r="H58" s="191">
        <v>0</v>
      </c>
      <c r="I58" s="178">
        <v>0</v>
      </c>
      <c r="J58" s="179">
        <v>0</v>
      </c>
      <c r="K58" s="248">
        <f t="shared" si="4"/>
        <v>0</v>
      </c>
      <c r="L58" s="249">
        <v>0</v>
      </c>
      <c r="M58" s="250"/>
      <c r="N58" s="251"/>
    </row>
    <row r="59" spans="1:14">
      <c r="A59" s="87"/>
      <c r="B59" s="131">
        <v>5207000022</v>
      </c>
      <c r="C59" s="131" t="s">
        <v>122</v>
      </c>
      <c r="D59" s="131" t="s">
        <v>605</v>
      </c>
      <c r="E59" s="184">
        <v>0</v>
      </c>
      <c r="F59" s="191">
        <v>0</v>
      </c>
      <c r="G59" s="184">
        <v>0</v>
      </c>
      <c r="H59" s="191">
        <v>0</v>
      </c>
      <c r="I59" s="178">
        <v>0</v>
      </c>
      <c r="J59" s="179">
        <v>0</v>
      </c>
      <c r="K59" s="248">
        <f t="shared" si="4"/>
        <v>0</v>
      </c>
      <c r="L59" s="249">
        <v>0</v>
      </c>
      <c r="M59" s="250"/>
      <c r="N59" s="251"/>
    </row>
    <row r="60" spans="1:14">
      <c r="A60" s="87"/>
      <c r="B60" s="131">
        <v>5301060000</v>
      </c>
      <c r="C60" s="131" t="s">
        <v>124</v>
      </c>
      <c r="D60" s="131" t="s">
        <v>330</v>
      </c>
      <c r="E60" s="184">
        <v>-1.44101</v>
      </c>
      <c r="F60" s="191">
        <v>-0.0180777047370534</v>
      </c>
      <c r="G60" s="184">
        <v>0</v>
      </c>
      <c r="H60" s="191">
        <v>0</v>
      </c>
      <c r="I60" s="178">
        <v>-2.60045</v>
      </c>
      <c r="J60" s="179">
        <v>-0.0266409523516817</v>
      </c>
      <c r="K60" s="248">
        <f t="shared" si="4"/>
        <v>-0.0085632476146283</v>
      </c>
      <c r="L60" s="249">
        <v>-0.0266409523516817</v>
      </c>
      <c r="M60" s="250"/>
      <c r="N60" s="251"/>
    </row>
    <row r="61" spans="1:14">
      <c r="A61" s="87"/>
      <c r="B61" s="131">
        <v>5301999999</v>
      </c>
      <c r="C61" s="131" t="s">
        <v>126</v>
      </c>
      <c r="D61" s="131" t="s">
        <v>606</v>
      </c>
      <c r="E61" s="184">
        <v>0</v>
      </c>
      <c r="F61" s="191">
        <v>0</v>
      </c>
      <c r="G61" s="184">
        <v>0</v>
      </c>
      <c r="H61" s="191">
        <v>0</v>
      </c>
      <c r="I61" s="178">
        <v>0</v>
      </c>
      <c r="J61" s="179">
        <v>0</v>
      </c>
      <c r="K61" s="248">
        <f t="shared" si="4"/>
        <v>0</v>
      </c>
      <c r="L61" s="249">
        <v>0</v>
      </c>
      <c r="M61" s="250"/>
      <c r="N61" s="251"/>
    </row>
    <row r="62" spans="1:14">
      <c r="A62" s="87"/>
      <c r="B62" s="131">
        <v>5405030000</v>
      </c>
      <c r="C62" s="131" t="s">
        <v>128</v>
      </c>
      <c r="D62" s="131" t="s">
        <v>607</v>
      </c>
      <c r="E62" s="184">
        <v>0.04414</v>
      </c>
      <c r="F62" s="191">
        <v>0.000553743476515456</v>
      </c>
      <c r="G62" s="184">
        <v>0</v>
      </c>
      <c r="H62" s="191">
        <v>0</v>
      </c>
      <c r="I62" s="178">
        <v>0.000219999999999745</v>
      </c>
      <c r="J62" s="179">
        <v>2.25384434131138e-6</v>
      </c>
      <c r="K62" s="248">
        <f t="shared" si="4"/>
        <v>-0.000551489632174145</v>
      </c>
      <c r="L62" s="249">
        <v>2.25384434131138e-6</v>
      </c>
      <c r="M62" s="250"/>
      <c r="N62" s="251"/>
    </row>
    <row r="63" spans="1:14">
      <c r="A63" s="87"/>
      <c r="B63" s="131">
        <v>5601050000</v>
      </c>
      <c r="C63" s="131" t="s">
        <v>130</v>
      </c>
      <c r="D63" s="131" t="s">
        <v>331</v>
      </c>
      <c r="E63" s="184">
        <v>0</v>
      </c>
      <c r="F63" s="191">
        <v>0</v>
      </c>
      <c r="G63" s="184">
        <v>0</v>
      </c>
      <c r="H63" s="191">
        <v>0</v>
      </c>
      <c r="I63" s="178">
        <v>0</v>
      </c>
      <c r="J63" s="179">
        <v>0</v>
      </c>
      <c r="K63" s="248">
        <f t="shared" si="4"/>
        <v>0</v>
      </c>
      <c r="L63" s="249">
        <v>0</v>
      </c>
      <c r="M63" s="250"/>
      <c r="N63" s="251"/>
    </row>
    <row r="64" spans="1:14">
      <c r="A64" s="87"/>
      <c r="B64" s="131">
        <v>5601050100</v>
      </c>
      <c r="C64" s="131" t="s">
        <v>132</v>
      </c>
      <c r="D64" s="131" t="s">
        <v>332</v>
      </c>
      <c r="E64" s="184">
        <v>0.03604</v>
      </c>
      <c r="F64" s="191">
        <v>0.000452127659574468</v>
      </c>
      <c r="G64" s="184">
        <v>0</v>
      </c>
      <c r="H64" s="191">
        <v>0</v>
      </c>
      <c r="I64" s="178">
        <v>0</v>
      </c>
      <c r="J64" s="179">
        <v>0</v>
      </c>
      <c r="K64" s="248">
        <f t="shared" si="4"/>
        <v>-0.000452127659574468</v>
      </c>
      <c r="L64" s="249">
        <v>0</v>
      </c>
      <c r="M64" s="250"/>
      <c r="N64" s="251"/>
    </row>
    <row r="65" spans="1:14">
      <c r="A65" s="87"/>
      <c r="B65" s="131">
        <v>5102040893</v>
      </c>
      <c r="C65" s="131" t="s">
        <v>134</v>
      </c>
      <c r="D65" s="131" t="s">
        <v>608</v>
      </c>
      <c r="E65" s="184">
        <v>0</v>
      </c>
      <c r="F65" s="191">
        <v>0</v>
      </c>
      <c r="G65" s="184">
        <v>0</v>
      </c>
      <c r="H65" s="191">
        <v>0</v>
      </c>
      <c r="I65" s="178">
        <v>0</v>
      </c>
      <c r="J65" s="179">
        <v>0</v>
      </c>
      <c r="K65" s="248">
        <f t="shared" si="4"/>
        <v>0</v>
      </c>
      <c r="L65" s="249">
        <v>0</v>
      </c>
      <c r="M65" s="250"/>
      <c r="N65" s="251"/>
    </row>
    <row r="66" spans="1:14">
      <c r="A66" s="87"/>
      <c r="B66" s="131">
        <v>5801000041</v>
      </c>
      <c r="C66" s="131" t="s">
        <v>136</v>
      </c>
      <c r="D66" s="131" t="s">
        <v>609</v>
      </c>
      <c r="E66" s="184">
        <v>0</v>
      </c>
      <c r="F66" s="191">
        <v>0</v>
      </c>
      <c r="G66" s="184">
        <v>0</v>
      </c>
      <c r="H66" s="191">
        <v>0</v>
      </c>
      <c r="I66" s="178">
        <v>0</v>
      </c>
      <c r="J66" s="179">
        <v>0</v>
      </c>
      <c r="K66" s="248">
        <f t="shared" si="4"/>
        <v>0</v>
      </c>
      <c r="L66" s="249">
        <v>0</v>
      </c>
      <c r="M66" s="250"/>
      <c r="N66" s="251"/>
    </row>
    <row r="67" spans="1:14">
      <c r="A67" s="87"/>
      <c r="B67" s="131">
        <v>6666010322</v>
      </c>
      <c r="C67" s="131" t="s">
        <v>138</v>
      </c>
      <c r="D67" s="131" t="s">
        <v>328</v>
      </c>
      <c r="E67" s="184">
        <v>4.79189</v>
      </c>
      <c r="F67" s="191">
        <v>0.0601150391409073</v>
      </c>
      <c r="G67" s="184">
        <v>3.24056739651914</v>
      </c>
      <c r="H67" s="191">
        <v>0.0277673865726134</v>
      </c>
      <c r="I67" s="178">
        <v>0.86378</v>
      </c>
      <c r="J67" s="179">
        <v>0.00884920756881909</v>
      </c>
      <c r="K67" s="248">
        <f t="shared" si="4"/>
        <v>-0.0512658315720882</v>
      </c>
      <c r="L67" s="249">
        <v>-0.0189181790037943</v>
      </c>
      <c r="M67" s="250"/>
      <c r="N67" s="251"/>
    </row>
    <row r="68" spans="1:14">
      <c r="A68" s="87"/>
      <c r="B68" s="131">
        <v>6666020101</v>
      </c>
      <c r="C68" s="131" t="s">
        <v>140</v>
      </c>
      <c r="D68" s="131" t="s">
        <v>335</v>
      </c>
      <c r="E68" s="184">
        <v>0</v>
      </c>
      <c r="F68" s="191">
        <v>0</v>
      </c>
      <c r="G68" s="184">
        <v>7.85938837490515</v>
      </c>
      <c r="H68" s="191">
        <v>0.0673445876992751</v>
      </c>
      <c r="I68" s="178">
        <v>0</v>
      </c>
      <c r="J68" s="179">
        <v>0</v>
      </c>
      <c r="K68" s="248">
        <f t="shared" si="4"/>
        <v>0</v>
      </c>
      <c r="L68" s="249">
        <v>-0.0673445876992751</v>
      </c>
      <c r="M68" s="250"/>
      <c r="N68" s="251"/>
    </row>
    <row r="69" spans="1:14">
      <c r="A69" s="87"/>
      <c r="B69" s="131">
        <v>6666020201</v>
      </c>
      <c r="C69" s="131" t="s">
        <v>143</v>
      </c>
      <c r="D69" s="131" t="s">
        <v>610</v>
      </c>
      <c r="E69" s="184">
        <v>0.00558</v>
      </c>
      <c r="F69" s="191">
        <v>7.00020072260136e-5</v>
      </c>
      <c r="G69" s="184">
        <v>0</v>
      </c>
      <c r="H69" s="191">
        <v>0</v>
      </c>
      <c r="I69" s="178">
        <v>-0.06933</v>
      </c>
      <c r="J69" s="179">
        <v>-0.000710268309924086</v>
      </c>
      <c r="K69" s="248">
        <f t="shared" si="4"/>
        <v>-0.0007802703171501</v>
      </c>
      <c r="L69" s="249">
        <v>-0.000710268309924086</v>
      </c>
      <c r="M69" s="250"/>
      <c r="N69" s="251"/>
    </row>
    <row r="70" spans="1:14">
      <c r="A70" s="87"/>
      <c r="B70" s="131">
        <v>6666020202</v>
      </c>
      <c r="C70" s="131" t="s">
        <v>146</v>
      </c>
      <c r="D70" s="131" t="s">
        <v>611</v>
      </c>
      <c r="E70" s="184">
        <v>0</v>
      </c>
      <c r="F70" s="191">
        <v>0</v>
      </c>
      <c r="G70" s="184">
        <v>0</v>
      </c>
      <c r="H70" s="191">
        <v>0</v>
      </c>
      <c r="I70" s="178">
        <v>0</v>
      </c>
      <c r="J70" s="179">
        <v>0</v>
      </c>
      <c r="K70" s="248">
        <f t="shared" si="4"/>
        <v>0</v>
      </c>
      <c r="L70" s="249">
        <v>0</v>
      </c>
      <c r="M70" s="250"/>
      <c r="N70" s="251"/>
    </row>
    <row r="71" spans="1:14">
      <c r="A71" s="87"/>
      <c r="B71" s="131">
        <v>6666020204</v>
      </c>
      <c r="C71" s="131" t="s">
        <v>148</v>
      </c>
      <c r="D71" s="131" t="s">
        <v>612</v>
      </c>
      <c r="E71" s="184">
        <v>0.04626</v>
      </c>
      <c r="F71" s="191">
        <v>0.000580339221196307</v>
      </c>
      <c r="G71" s="184">
        <v>3.82137978767653</v>
      </c>
      <c r="H71" s="191">
        <v>0.0327441823673111</v>
      </c>
      <c r="I71" s="178">
        <v>0</v>
      </c>
      <c r="J71" s="179">
        <v>0</v>
      </c>
      <c r="K71" s="248">
        <f t="shared" si="4"/>
        <v>-0.000580339221196307</v>
      </c>
      <c r="L71" s="249">
        <v>-0.0327441823673111</v>
      </c>
      <c r="M71" s="250"/>
      <c r="N71" s="251"/>
    </row>
    <row r="72" spans="1:14">
      <c r="A72" s="87"/>
      <c r="B72" s="131">
        <v>6666020205</v>
      </c>
      <c r="C72" s="131" t="s">
        <v>150</v>
      </c>
      <c r="D72" s="131" t="s">
        <v>613</v>
      </c>
      <c r="E72" s="184">
        <v>0</v>
      </c>
      <c r="F72" s="191">
        <v>0</v>
      </c>
      <c r="G72" s="184">
        <v>0</v>
      </c>
      <c r="H72" s="191">
        <v>0</v>
      </c>
      <c r="I72" s="178">
        <v>0</v>
      </c>
      <c r="J72" s="179">
        <v>0</v>
      </c>
      <c r="K72" s="248">
        <f t="shared" si="4"/>
        <v>0</v>
      </c>
      <c r="L72" s="249">
        <v>0</v>
      </c>
      <c r="M72" s="250"/>
      <c r="N72" s="251"/>
    </row>
    <row r="73" spans="1:14">
      <c r="A73" s="87"/>
      <c r="B73" s="131">
        <v>6666020301</v>
      </c>
      <c r="C73" s="131" t="s">
        <v>152</v>
      </c>
      <c r="D73" s="131" t="s">
        <v>614</v>
      </c>
      <c r="E73" s="184">
        <v>0</v>
      </c>
      <c r="F73" s="191">
        <v>0</v>
      </c>
      <c r="G73" s="184">
        <v>0</v>
      </c>
      <c r="H73" s="191">
        <v>0</v>
      </c>
      <c r="I73" s="178">
        <v>0.47978</v>
      </c>
      <c r="J73" s="179">
        <v>0.00491522471852558</v>
      </c>
      <c r="K73" s="248">
        <f t="shared" si="4"/>
        <v>0.00491522471852558</v>
      </c>
      <c r="L73" s="249">
        <v>0.00491522471852558</v>
      </c>
      <c r="M73" s="250"/>
      <c r="N73" s="251"/>
    </row>
    <row r="74" spans="1:14">
      <c r="A74" s="87"/>
      <c r="B74" s="131">
        <v>6666020302</v>
      </c>
      <c r="C74" s="131" t="s">
        <v>154</v>
      </c>
      <c r="D74" s="131" t="s">
        <v>615</v>
      </c>
      <c r="E74" s="184">
        <v>0</v>
      </c>
      <c r="F74" s="191">
        <v>0</v>
      </c>
      <c r="G74" s="184">
        <v>1.23071785559899</v>
      </c>
      <c r="H74" s="191">
        <v>0.0105456280572787</v>
      </c>
      <c r="I74" s="178">
        <v>0</v>
      </c>
      <c r="J74" s="179">
        <v>0</v>
      </c>
      <c r="K74" s="248">
        <f t="shared" si="4"/>
        <v>0</v>
      </c>
      <c r="L74" s="249">
        <v>-0.0105456280572787</v>
      </c>
      <c r="M74" s="250"/>
      <c r="N74" s="251"/>
    </row>
    <row r="75" spans="1:14">
      <c r="A75" s="87"/>
      <c r="B75" s="131" t="s">
        <v>156</v>
      </c>
      <c r="C75" s="131" t="s">
        <v>157</v>
      </c>
      <c r="D75" s="131" t="s">
        <v>343</v>
      </c>
      <c r="E75" s="184">
        <v>0</v>
      </c>
      <c r="F75" s="191">
        <v>0</v>
      </c>
      <c r="G75" s="184">
        <v>0</v>
      </c>
      <c r="H75" s="191">
        <v>0</v>
      </c>
      <c r="I75" s="178">
        <v>0</v>
      </c>
      <c r="J75" s="179">
        <v>0</v>
      </c>
      <c r="K75" s="248">
        <f t="shared" si="4"/>
        <v>0</v>
      </c>
      <c r="L75" s="249">
        <v>0</v>
      </c>
      <c r="M75" s="250"/>
      <c r="N75" s="251"/>
    </row>
    <row r="76" spans="1:14">
      <c r="A76" s="87"/>
      <c r="B76" s="131">
        <v>6666020405</v>
      </c>
      <c r="C76" s="131" t="s">
        <v>159</v>
      </c>
      <c r="D76" s="131" t="s">
        <v>616</v>
      </c>
      <c r="E76" s="184">
        <v>0</v>
      </c>
      <c r="F76" s="191">
        <v>0</v>
      </c>
      <c r="G76" s="184">
        <v>0</v>
      </c>
      <c r="H76" s="191">
        <v>0</v>
      </c>
      <c r="I76" s="178">
        <v>0</v>
      </c>
      <c r="J76" s="179">
        <v>0</v>
      </c>
      <c r="K76" s="248">
        <f t="shared" si="4"/>
        <v>0</v>
      </c>
      <c r="L76" s="249">
        <v>0</v>
      </c>
      <c r="M76" s="250"/>
      <c r="N76" s="251"/>
    </row>
    <row r="77" spans="1:14">
      <c r="A77" s="87"/>
      <c r="B77" s="131">
        <v>6666020495</v>
      </c>
      <c r="C77" s="131" t="s">
        <v>161</v>
      </c>
      <c r="D77" s="131" t="s">
        <v>617</v>
      </c>
      <c r="E77" s="184">
        <v>0.07849</v>
      </c>
      <c r="F77" s="191">
        <v>0.000984669811320755</v>
      </c>
      <c r="G77" s="184">
        <v>0</v>
      </c>
      <c r="H77" s="191">
        <v>0</v>
      </c>
      <c r="I77" s="178">
        <v>0.14395</v>
      </c>
      <c r="J77" s="179">
        <v>0.00147473133150977</v>
      </c>
      <c r="K77" s="248">
        <f t="shared" si="4"/>
        <v>0.000490061520189015</v>
      </c>
      <c r="L77" s="249">
        <v>0.00147473133150977</v>
      </c>
      <c r="M77" s="250"/>
      <c r="N77" s="251"/>
    </row>
    <row r="78" spans="1:14">
      <c r="A78" s="87"/>
      <c r="B78" s="131">
        <v>6666020504</v>
      </c>
      <c r="C78" s="131" t="s">
        <v>163</v>
      </c>
      <c r="D78" s="131" t="s">
        <v>344</v>
      </c>
      <c r="E78" s="184">
        <v>0</v>
      </c>
      <c r="F78" s="191">
        <v>0</v>
      </c>
      <c r="G78" s="184">
        <v>0</v>
      </c>
      <c r="H78" s="191">
        <v>0</v>
      </c>
      <c r="I78" s="178">
        <v>0</v>
      </c>
      <c r="J78" s="179">
        <v>0</v>
      </c>
      <c r="K78" s="248">
        <f t="shared" si="4"/>
        <v>0</v>
      </c>
      <c r="L78" s="249">
        <v>0</v>
      </c>
      <c r="M78" s="250"/>
      <c r="N78" s="251"/>
    </row>
    <row r="79" spans="1:14">
      <c r="A79" s="87"/>
      <c r="B79" s="131">
        <v>6666020508</v>
      </c>
      <c r="C79" s="131" t="s">
        <v>165</v>
      </c>
      <c r="D79" s="131" t="s">
        <v>345</v>
      </c>
      <c r="E79" s="184">
        <v>0</v>
      </c>
      <c r="F79" s="191">
        <v>0</v>
      </c>
      <c r="G79" s="184">
        <v>0</v>
      </c>
      <c r="H79" s="191">
        <v>0</v>
      </c>
      <c r="I79" s="178">
        <v>0</v>
      </c>
      <c r="J79" s="179">
        <v>0</v>
      </c>
      <c r="K79" s="248">
        <f t="shared" si="4"/>
        <v>0</v>
      </c>
      <c r="L79" s="249">
        <v>0</v>
      </c>
      <c r="M79" s="250"/>
      <c r="N79" s="251"/>
    </row>
    <row r="80" spans="1:14">
      <c r="A80" s="87"/>
      <c r="B80" s="131">
        <v>6666020602</v>
      </c>
      <c r="C80" s="131" t="s">
        <v>167</v>
      </c>
      <c r="D80" s="131" t="s">
        <v>618</v>
      </c>
      <c r="E80" s="184">
        <v>0</v>
      </c>
      <c r="F80" s="191">
        <v>0</v>
      </c>
      <c r="G80" s="184">
        <v>0.402729491924783</v>
      </c>
      <c r="H80" s="191">
        <v>0.00345086033343407</v>
      </c>
      <c r="I80" s="178">
        <v>0</v>
      </c>
      <c r="J80" s="179">
        <v>0</v>
      </c>
      <c r="K80" s="248">
        <f t="shared" si="4"/>
        <v>0</v>
      </c>
      <c r="L80" s="249">
        <v>-0.00345086033343407</v>
      </c>
      <c r="M80" s="250"/>
      <c r="N80" s="251"/>
    </row>
    <row r="81" spans="1:14">
      <c r="A81" s="87"/>
      <c r="B81" s="131">
        <v>6666020701</v>
      </c>
      <c r="C81" s="131" t="s">
        <v>170</v>
      </c>
      <c r="D81" s="131" t="s">
        <v>348</v>
      </c>
      <c r="E81" s="184">
        <v>0</v>
      </c>
      <c r="F81" s="191">
        <v>0</v>
      </c>
      <c r="G81" s="184">
        <v>0</v>
      </c>
      <c r="H81" s="191">
        <v>0</v>
      </c>
      <c r="I81" s="178">
        <v>0</v>
      </c>
      <c r="J81" s="179">
        <v>0</v>
      </c>
      <c r="K81" s="248">
        <f t="shared" si="4"/>
        <v>0</v>
      </c>
      <c r="L81" s="249">
        <v>0</v>
      </c>
      <c r="M81" s="250"/>
      <c r="N81" s="251"/>
    </row>
    <row r="82" spans="1:14">
      <c r="A82" s="87"/>
      <c r="B82" s="131">
        <v>6666020802</v>
      </c>
      <c r="C82" s="131" t="s">
        <v>172</v>
      </c>
      <c r="D82" s="131" t="s">
        <v>619</v>
      </c>
      <c r="E82" s="184">
        <v>23.481</v>
      </c>
      <c r="F82" s="191">
        <v>0.294572962665596</v>
      </c>
      <c r="G82" s="184">
        <v>20.409</v>
      </c>
      <c r="H82" s="191">
        <v>0.174878199777358</v>
      </c>
      <c r="I82" s="178">
        <v>21.109</v>
      </c>
      <c r="J82" s="179">
        <v>0.216256364549077</v>
      </c>
      <c r="K82" s="248">
        <f t="shared" si="4"/>
        <v>-0.078316598116519</v>
      </c>
      <c r="L82" s="249">
        <v>0.0413781647717198</v>
      </c>
      <c r="M82" s="250"/>
      <c r="N82" s="251"/>
    </row>
    <row r="83" spans="1:14">
      <c r="A83" s="87"/>
      <c r="B83" s="131">
        <v>6666020803</v>
      </c>
      <c r="C83" s="131" t="s">
        <v>174</v>
      </c>
      <c r="D83" s="131" t="s">
        <v>620</v>
      </c>
      <c r="E83" s="184">
        <v>9.5524</v>
      </c>
      <c r="F83" s="191">
        <v>0.119836411079888</v>
      </c>
      <c r="G83" s="184">
        <v>3.46246019856849</v>
      </c>
      <c r="H83" s="191">
        <v>0.0296687150926753</v>
      </c>
      <c r="I83" s="178">
        <v>6.59518</v>
      </c>
      <c r="J83" s="179">
        <v>0.067565950558851</v>
      </c>
      <c r="K83" s="248">
        <f t="shared" si="4"/>
        <v>-0.052270460521037</v>
      </c>
      <c r="L83" s="249">
        <v>0.0378972354661757</v>
      </c>
      <c r="M83" s="250"/>
      <c r="N83" s="251"/>
    </row>
    <row r="84" spans="1:14">
      <c r="A84" s="87"/>
      <c r="B84" s="131">
        <v>6666021100</v>
      </c>
      <c r="C84" s="131" t="s">
        <v>176</v>
      </c>
      <c r="D84" s="131" t="s">
        <v>352</v>
      </c>
      <c r="E84" s="184">
        <v>18.85796</v>
      </c>
      <c r="F84" s="191">
        <v>0.236576174227218</v>
      </c>
      <c r="G84" s="184">
        <v>17.6861510263767</v>
      </c>
      <c r="H84" s="191">
        <v>0.151546976945623</v>
      </c>
      <c r="I84" s="178">
        <v>7.22893</v>
      </c>
      <c r="J84" s="179">
        <v>0.0740585589738861</v>
      </c>
      <c r="K84" s="248">
        <f t="shared" si="4"/>
        <v>-0.162517615253332</v>
      </c>
      <c r="L84" s="249">
        <v>-0.077488417971737</v>
      </c>
      <c r="M84" s="250"/>
      <c r="N84" s="251"/>
    </row>
    <row r="85" spans="1:14">
      <c r="A85" s="87"/>
      <c r="B85" s="131">
        <v>6666021104</v>
      </c>
      <c r="C85" s="131" t="s">
        <v>178</v>
      </c>
      <c r="D85" s="131" t="s">
        <v>355</v>
      </c>
      <c r="E85" s="184">
        <v>0</v>
      </c>
      <c r="F85" s="191">
        <v>0</v>
      </c>
      <c r="G85" s="184">
        <v>0</v>
      </c>
      <c r="H85" s="191">
        <v>0</v>
      </c>
      <c r="I85" s="178">
        <v>0</v>
      </c>
      <c r="J85" s="179">
        <v>0</v>
      </c>
      <c r="K85" s="248">
        <f t="shared" si="4"/>
        <v>0</v>
      </c>
      <c r="L85" s="249">
        <v>0</v>
      </c>
      <c r="M85" s="250"/>
      <c r="N85" s="251"/>
    </row>
    <row r="86" spans="1:14">
      <c r="A86" s="87"/>
      <c r="B86" s="131">
        <v>6666021902</v>
      </c>
      <c r="C86" s="131" t="s">
        <v>180</v>
      </c>
      <c r="D86" s="131" t="s">
        <v>360</v>
      </c>
      <c r="E86" s="184">
        <v>17.23454</v>
      </c>
      <c r="F86" s="191">
        <v>0.216210106382979</v>
      </c>
      <c r="G86" s="184">
        <v>10.8825405290592</v>
      </c>
      <c r="H86" s="191">
        <v>0.0932490125300606</v>
      </c>
      <c r="I86" s="178">
        <v>7.84995</v>
      </c>
      <c r="J86" s="179">
        <v>0.0804207517595353</v>
      </c>
      <c r="K86" s="248">
        <f t="shared" si="4"/>
        <v>-0.135789354623444</v>
      </c>
      <c r="L86" s="249">
        <v>-0.0128282607705253</v>
      </c>
      <c r="M86" s="250"/>
      <c r="N86" s="251"/>
    </row>
    <row r="87" spans="1:14">
      <c r="A87" s="87"/>
      <c r="B87" s="131">
        <v>6666022100</v>
      </c>
      <c r="C87" s="131" t="s">
        <v>182</v>
      </c>
      <c r="D87" s="131" t="s">
        <v>361</v>
      </c>
      <c r="E87" s="184">
        <v>15.40124</v>
      </c>
      <c r="F87" s="191">
        <v>0.193211059815335</v>
      </c>
      <c r="G87" s="184">
        <v>13.7668100750848</v>
      </c>
      <c r="H87" s="191">
        <v>0.11796339666851</v>
      </c>
      <c r="I87" s="178">
        <v>14.06269</v>
      </c>
      <c r="J87" s="179">
        <v>0.144068701273422</v>
      </c>
      <c r="K87" s="248">
        <f t="shared" si="4"/>
        <v>-0.049142358541913</v>
      </c>
      <c r="L87" s="249">
        <v>0.0261053046049121</v>
      </c>
      <c r="M87" s="250"/>
      <c r="N87" s="251"/>
    </row>
    <row r="88" spans="1:14">
      <c r="A88" s="87"/>
      <c r="B88" s="131">
        <v>6666022300</v>
      </c>
      <c r="C88" s="131" t="s">
        <v>184</v>
      </c>
      <c r="D88" s="131" t="s">
        <v>362</v>
      </c>
      <c r="E88" s="184">
        <v>0</v>
      </c>
      <c r="F88" s="191">
        <v>0</v>
      </c>
      <c r="G88" s="184">
        <v>0</v>
      </c>
      <c r="H88" s="191">
        <v>0</v>
      </c>
      <c r="I88" s="178">
        <v>0</v>
      </c>
      <c r="J88" s="179">
        <v>0</v>
      </c>
      <c r="K88" s="248">
        <f t="shared" si="4"/>
        <v>0</v>
      </c>
      <c r="L88" s="249">
        <v>0</v>
      </c>
      <c r="M88" s="250"/>
      <c r="N88" s="251"/>
    </row>
    <row r="89" spans="1:14">
      <c r="A89" s="87"/>
      <c r="B89" s="131">
        <v>6666029700</v>
      </c>
      <c r="C89" s="131" t="s">
        <v>186</v>
      </c>
      <c r="D89" s="131" t="s">
        <v>621</v>
      </c>
      <c r="E89" s="184">
        <v>0</v>
      </c>
      <c r="F89" s="191">
        <v>0</v>
      </c>
      <c r="G89" s="184">
        <v>0</v>
      </c>
      <c r="H89" s="191">
        <v>0</v>
      </c>
      <c r="I89" s="178">
        <v>0</v>
      </c>
      <c r="J89" s="179">
        <v>0</v>
      </c>
      <c r="K89" s="248">
        <f t="shared" si="4"/>
        <v>0</v>
      </c>
      <c r="L89" s="249">
        <v>0</v>
      </c>
      <c r="M89" s="250"/>
      <c r="N89" s="251"/>
    </row>
    <row r="90" spans="1:14">
      <c r="A90" s="87"/>
      <c r="B90" s="131">
        <v>6666029900</v>
      </c>
      <c r="C90" s="131" t="s">
        <v>188</v>
      </c>
      <c r="D90" s="131" t="s">
        <v>363</v>
      </c>
      <c r="E90" s="184">
        <v>0</v>
      </c>
      <c r="F90" s="191">
        <v>0</v>
      </c>
      <c r="G90" s="184">
        <v>0</v>
      </c>
      <c r="H90" s="191">
        <v>0</v>
      </c>
      <c r="I90" s="178">
        <v>0</v>
      </c>
      <c r="J90" s="179">
        <v>0</v>
      </c>
      <c r="K90" s="248">
        <f t="shared" si="4"/>
        <v>0</v>
      </c>
      <c r="L90" s="249">
        <v>0</v>
      </c>
      <c r="M90" s="250"/>
      <c r="N90" s="251"/>
    </row>
    <row r="91" spans="1:14">
      <c r="A91" s="87"/>
      <c r="B91" s="131">
        <v>6666029996</v>
      </c>
      <c r="C91" s="131" t="s">
        <v>190</v>
      </c>
      <c r="D91" s="131" t="s">
        <v>622</v>
      </c>
      <c r="E91" s="184">
        <v>0</v>
      </c>
      <c r="F91" s="191">
        <v>0</v>
      </c>
      <c r="G91" s="184">
        <v>0</v>
      </c>
      <c r="H91" s="191">
        <v>0</v>
      </c>
      <c r="I91" s="178">
        <v>0.0037</v>
      </c>
      <c r="J91" s="179">
        <v>3.79055639220989e-5</v>
      </c>
      <c r="K91" s="248">
        <f t="shared" si="4"/>
        <v>3.79055639220989e-5</v>
      </c>
      <c r="L91" s="249">
        <v>3.79055639220989e-5</v>
      </c>
      <c r="M91" s="250"/>
      <c r="N91" s="251"/>
    </row>
    <row r="92" spans="1:14">
      <c r="A92" s="87"/>
      <c r="B92" s="131">
        <v>6666029997</v>
      </c>
      <c r="C92" s="131" t="s">
        <v>191</v>
      </c>
      <c r="D92" s="131" t="s">
        <v>364</v>
      </c>
      <c r="E92" s="184">
        <v>0</v>
      </c>
      <c r="F92" s="191">
        <v>0</v>
      </c>
      <c r="G92" s="184">
        <v>0</v>
      </c>
      <c r="H92" s="191">
        <v>0</v>
      </c>
      <c r="I92" s="178">
        <v>1.44756</v>
      </c>
      <c r="J92" s="179">
        <v>0.0148298859759658</v>
      </c>
      <c r="K92" s="248">
        <f t="shared" si="4"/>
        <v>0.0148298859759658</v>
      </c>
      <c r="L92" s="249">
        <v>0.0148298859759658</v>
      </c>
      <c r="M92" s="250"/>
      <c r="N92" s="251"/>
    </row>
    <row r="93" spans="1:14">
      <c r="A93" s="87"/>
      <c r="B93" s="131">
        <v>6666030702</v>
      </c>
      <c r="C93" s="131" t="s">
        <v>193</v>
      </c>
      <c r="D93" s="131" t="s">
        <v>623</v>
      </c>
      <c r="E93" s="184">
        <v>0</v>
      </c>
      <c r="F93" s="191">
        <v>0</v>
      </c>
      <c r="G93" s="184">
        <v>0</v>
      </c>
      <c r="H93" s="191">
        <v>0</v>
      </c>
      <c r="I93" s="178">
        <v>0</v>
      </c>
      <c r="J93" s="179">
        <v>0</v>
      </c>
      <c r="K93" s="248">
        <f t="shared" si="4"/>
        <v>0</v>
      </c>
      <c r="L93" s="249">
        <v>0</v>
      </c>
      <c r="M93" s="250"/>
      <c r="N93" s="251"/>
    </row>
    <row r="94" spans="1:14">
      <c r="A94" s="87"/>
      <c r="B94" s="131">
        <v>6666031200</v>
      </c>
      <c r="C94" s="131" t="s">
        <v>195</v>
      </c>
      <c r="D94" s="131" t="s">
        <v>624</v>
      </c>
      <c r="E94" s="184">
        <v>0</v>
      </c>
      <c r="F94" s="191">
        <v>0</v>
      </c>
      <c r="G94" s="184">
        <v>0</v>
      </c>
      <c r="H94" s="191">
        <v>0</v>
      </c>
      <c r="I94" s="178">
        <v>0</v>
      </c>
      <c r="J94" s="179">
        <v>0</v>
      </c>
      <c r="K94" s="248">
        <f t="shared" ref="K94:K157" si="5">J94-F94</f>
        <v>0</v>
      </c>
      <c r="L94" s="249">
        <v>0</v>
      </c>
      <c r="M94" s="250"/>
      <c r="N94" s="251"/>
    </row>
    <row r="95" spans="1:14">
      <c r="A95" s="87"/>
      <c r="B95" s="131">
        <v>6666050107</v>
      </c>
      <c r="C95" s="131" t="s">
        <v>197</v>
      </c>
      <c r="D95" s="131" t="s">
        <v>367</v>
      </c>
      <c r="E95" s="184">
        <v>0</v>
      </c>
      <c r="F95" s="191">
        <v>0</v>
      </c>
      <c r="G95" s="184">
        <v>0</v>
      </c>
      <c r="H95" s="191">
        <v>0</v>
      </c>
      <c r="I95" s="178">
        <v>0</v>
      </c>
      <c r="J95" s="179">
        <v>0</v>
      </c>
      <c r="K95" s="248">
        <f t="shared" si="5"/>
        <v>0</v>
      </c>
      <c r="L95" s="249">
        <v>0</v>
      </c>
      <c r="M95" s="250"/>
      <c r="N95" s="251"/>
    </row>
    <row r="96" spans="1:14">
      <c r="A96" s="87"/>
      <c r="B96" s="131">
        <v>6666070100</v>
      </c>
      <c r="C96" s="131" t="s">
        <v>199</v>
      </c>
      <c r="D96" s="131" t="s">
        <v>625</v>
      </c>
      <c r="E96" s="184">
        <v>0</v>
      </c>
      <c r="F96" s="191">
        <v>0</v>
      </c>
      <c r="G96" s="184">
        <v>0</v>
      </c>
      <c r="H96" s="191">
        <v>0</v>
      </c>
      <c r="I96" s="178">
        <v>0</v>
      </c>
      <c r="J96" s="179">
        <v>0</v>
      </c>
      <c r="K96" s="248">
        <f t="shared" si="5"/>
        <v>0</v>
      </c>
      <c r="L96" s="249">
        <v>0</v>
      </c>
      <c r="M96" s="250"/>
      <c r="N96" s="251"/>
    </row>
    <row r="97" spans="1:14">
      <c r="A97" s="87"/>
      <c r="B97" s="131">
        <v>6666070300</v>
      </c>
      <c r="C97" s="131" t="s">
        <v>201</v>
      </c>
      <c r="D97" s="131" t="s">
        <v>626</v>
      </c>
      <c r="E97" s="184">
        <v>0</v>
      </c>
      <c r="F97" s="191">
        <v>0</v>
      </c>
      <c r="G97" s="184">
        <v>0</v>
      </c>
      <c r="H97" s="191">
        <v>0</v>
      </c>
      <c r="I97" s="178">
        <v>0</v>
      </c>
      <c r="J97" s="179">
        <v>0</v>
      </c>
      <c r="K97" s="248">
        <f t="shared" si="5"/>
        <v>0</v>
      </c>
      <c r="L97" s="249">
        <v>0</v>
      </c>
      <c r="M97" s="250"/>
      <c r="N97" s="251"/>
    </row>
    <row r="98" spans="1:14">
      <c r="A98" s="87"/>
      <c r="B98" s="131">
        <v>6666070400</v>
      </c>
      <c r="C98" s="131" t="s">
        <v>203</v>
      </c>
      <c r="D98" s="131" t="s">
        <v>627</v>
      </c>
      <c r="E98" s="184">
        <v>16.31793</v>
      </c>
      <c r="F98" s="191">
        <v>0.20471108490566</v>
      </c>
      <c r="G98" s="184">
        <v>14.9</v>
      </c>
      <c r="H98" s="191">
        <v>0.127673339050548</v>
      </c>
      <c r="I98" s="178">
        <v>13.54113</v>
      </c>
      <c r="J98" s="179">
        <v>0.138725451024987</v>
      </c>
      <c r="K98" s="248">
        <f t="shared" si="5"/>
        <v>-0.065985633880673</v>
      </c>
      <c r="L98" s="249">
        <v>0.0110521119744392</v>
      </c>
      <c r="M98" s="250"/>
      <c r="N98" s="251"/>
    </row>
    <row r="99" spans="1:14">
      <c r="A99" s="87"/>
      <c r="B99" s="131">
        <v>5401050201</v>
      </c>
      <c r="C99" s="131" t="s">
        <v>206</v>
      </c>
      <c r="D99" s="131" t="s">
        <v>628</v>
      </c>
      <c r="E99" s="184">
        <v>0</v>
      </c>
      <c r="F99" s="191">
        <v>0</v>
      </c>
      <c r="G99" s="184">
        <v>0</v>
      </c>
      <c r="H99" s="191">
        <v>0</v>
      </c>
      <c r="I99" s="178">
        <v>0</v>
      </c>
      <c r="J99" s="179">
        <v>0</v>
      </c>
      <c r="K99" s="248">
        <f t="shared" si="5"/>
        <v>0</v>
      </c>
      <c r="L99" s="249">
        <v>0</v>
      </c>
      <c r="M99" s="250"/>
      <c r="N99" s="251"/>
    </row>
    <row r="100" spans="1:14">
      <c r="A100" s="87"/>
      <c r="B100" s="131">
        <v>5401020212</v>
      </c>
      <c r="C100" s="131" t="s">
        <v>208</v>
      </c>
      <c r="D100" s="131" t="s">
        <v>629</v>
      </c>
      <c r="E100" s="184">
        <v>0</v>
      </c>
      <c r="F100" s="191">
        <v>0</v>
      </c>
      <c r="G100" s="184">
        <v>0</v>
      </c>
      <c r="H100" s="191">
        <v>0</v>
      </c>
      <c r="I100" s="178">
        <v>0</v>
      </c>
      <c r="J100" s="179">
        <v>0</v>
      </c>
      <c r="K100" s="248">
        <f t="shared" si="5"/>
        <v>0</v>
      </c>
      <c r="L100" s="249">
        <v>0</v>
      </c>
      <c r="M100" s="250"/>
      <c r="N100" s="251"/>
    </row>
    <row r="101" spans="1:14">
      <c r="A101" s="87"/>
      <c r="B101" s="131" t="s">
        <v>630</v>
      </c>
      <c r="C101" s="131" t="s">
        <v>631</v>
      </c>
      <c r="D101" s="131" t="s">
        <v>632</v>
      </c>
      <c r="E101" s="184">
        <v>-0.03197</v>
      </c>
      <c r="F101" s="191"/>
      <c r="G101" s="184">
        <v>0</v>
      </c>
      <c r="H101" s="191"/>
      <c r="I101" s="178">
        <v>0</v>
      </c>
      <c r="J101" s="179">
        <v>0</v>
      </c>
      <c r="K101" s="248">
        <f t="shared" si="5"/>
        <v>0</v>
      </c>
      <c r="L101" s="249">
        <v>0</v>
      </c>
      <c r="M101" s="250"/>
      <c r="N101" s="251"/>
    </row>
    <row r="102" spans="1:14">
      <c r="A102" s="87"/>
      <c r="B102" s="131" t="s">
        <v>633</v>
      </c>
      <c r="C102" s="131" t="s">
        <v>372</v>
      </c>
      <c r="D102" s="131" t="s">
        <v>634</v>
      </c>
      <c r="E102" s="184">
        <v>0</v>
      </c>
      <c r="F102" s="191"/>
      <c r="G102" s="184">
        <v>0</v>
      </c>
      <c r="H102" s="191"/>
      <c r="I102" s="178">
        <v>0</v>
      </c>
      <c r="J102" s="179">
        <v>0</v>
      </c>
      <c r="K102" s="248">
        <f t="shared" si="5"/>
        <v>0</v>
      </c>
      <c r="L102" s="249">
        <v>0</v>
      </c>
      <c r="M102" s="250"/>
      <c r="N102" s="251"/>
    </row>
    <row r="103" spans="1:14">
      <c r="A103" s="87"/>
      <c r="B103" s="131" t="s">
        <v>635</v>
      </c>
      <c r="C103" s="131" t="s">
        <v>636</v>
      </c>
      <c r="D103" s="131" t="s">
        <v>637</v>
      </c>
      <c r="E103" s="184">
        <v>0</v>
      </c>
      <c r="F103" s="191"/>
      <c r="G103" s="184">
        <v>0</v>
      </c>
      <c r="H103" s="191"/>
      <c r="I103" s="178">
        <v>0</v>
      </c>
      <c r="J103" s="179">
        <v>0</v>
      </c>
      <c r="K103" s="248">
        <f t="shared" si="5"/>
        <v>0</v>
      </c>
      <c r="L103" s="249">
        <v>0</v>
      </c>
      <c r="M103" s="250"/>
      <c r="N103" s="251"/>
    </row>
    <row r="104" spans="1:14">
      <c r="A104" s="87"/>
      <c r="B104" s="131">
        <v>6666040215</v>
      </c>
      <c r="C104" s="131" t="s">
        <v>638</v>
      </c>
      <c r="D104" s="131" t="s">
        <v>639</v>
      </c>
      <c r="E104" s="184">
        <v>0</v>
      </c>
      <c r="F104" s="191"/>
      <c r="G104" s="184">
        <v>0</v>
      </c>
      <c r="H104" s="191"/>
      <c r="I104" s="178">
        <v>0</v>
      </c>
      <c r="J104" s="179">
        <v>0</v>
      </c>
      <c r="K104" s="248">
        <f t="shared" si="5"/>
        <v>0</v>
      </c>
      <c r="L104" s="249">
        <v>0</v>
      </c>
      <c r="M104" s="250"/>
      <c r="N104" s="251"/>
    </row>
    <row r="105" spans="1:14">
      <c r="A105" s="87"/>
      <c r="B105" s="131" t="s">
        <v>156</v>
      </c>
      <c r="C105" s="131" t="s">
        <v>157</v>
      </c>
      <c r="D105" s="131" t="s">
        <v>640</v>
      </c>
      <c r="E105" s="184">
        <v>0</v>
      </c>
      <c r="F105" s="191"/>
      <c r="G105" s="184">
        <v>0</v>
      </c>
      <c r="H105" s="191"/>
      <c r="I105" s="178">
        <v>0</v>
      </c>
      <c r="J105" s="179">
        <v>0</v>
      </c>
      <c r="K105" s="248">
        <f t="shared" si="5"/>
        <v>0</v>
      </c>
      <c r="L105" s="249">
        <v>0</v>
      </c>
      <c r="M105" s="250"/>
      <c r="N105" s="251"/>
    </row>
    <row r="106" spans="1:14">
      <c r="A106" s="87"/>
      <c r="B106" s="131" t="s">
        <v>641</v>
      </c>
      <c r="C106" s="131" t="s">
        <v>336</v>
      </c>
      <c r="D106" s="131" t="s">
        <v>642</v>
      </c>
      <c r="E106" s="184">
        <v>0</v>
      </c>
      <c r="F106" s="191"/>
      <c r="G106" s="184">
        <v>0</v>
      </c>
      <c r="H106" s="191"/>
      <c r="I106" s="178">
        <v>0</v>
      </c>
      <c r="J106" s="179">
        <v>0</v>
      </c>
      <c r="K106" s="248">
        <f t="shared" si="5"/>
        <v>0</v>
      </c>
      <c r="L106" s="249">
        <v>0</v>
      </c>
      <c r="M106" s="250"/>
      <c r="N106" s="251"/>
    </row>
    <row r="107" spans="1:14">
      <c r="A107" s="87"/>
      <c r="B107" s="131" t="s">
        <v>643</v>
      </c>
      <c r="C107" s="131" t="s">
        <v>644</v>
      </c>
      <c r="D107" s="131" t="s">
        <v>645</v>
      </c>
      <c r="E107" s="184">
        <v>0</v>
      </c>
      <c r="F107" s="191"/>
      <c r="G107" s="184">
        <v>0</v>
      </c>
      <c r="H107" s="191"/>
      <c r="I107" s="178">
        <v>0</v>
      </c>
      <c r="J107" s="179">
        <v>0</v>
      </c>
      <c r="K107" s="248">
        <f t="shared" si="5"/>
        <v>0</v>
      </c>
      <c r="L107" s="249">
        <v>0</v>
      </c>
      <c r="M107" s="250"/>
      <c r="N107" s="251"/>
    </row>
    <row r="108" spans="1:14">
      <c r="A108" s="87"/>
      <c r="B108" s="131" t="s">
        <v>646</v>
      </c>
      <c r="C108" s="131" t="s">
        <v>647</v>
      </c>
      <c r="D108" s="131" t="s">
        <v>648</v>
      </c>
      <c r="E108" s="184">
        <v>0</v>
      </c>
      <c r="F108" s="191"/>
      <c r="G108" s="184">
        <v>0</v>
      </c>
      <c r="H108" s="191"/>
      <c r="I108" s="178">
        <v>0</v>
      </c>
      <c r="J108" s="179">
        <v>0</v>
      </c>
      <c r="K108" s="248">
        <f t="shared" si="5"/>
        <v>0</v>
      </c>
      <c r="L108" s="249">
        <v>0</v>
      </c>
      <c r="M108" s="250"/>
      <c r="N108" s="251"/>
    </row>
    <row r="109" spans="1:14">
      <c r="A109" s="87"/>
      <c r="B109" s="131">
        <v>6666020801</v>
      </c>
      <c r="C109" s="131" t="s">
        <v>349</v>
      </c>
      <c r="D109" s="131" t="s">
        <v>649</v>
      </c>
      <c r="E109" s="184"/>
      <c r="F109" s="191"/>
      <c r="G109" s="184"/>
      <c r="H109" s="191"/>
      <c r="I109" s="178">
        <v>1</v>
      </c>
      <c r="J109" s="179">
        <v>0.0102447470059727</v>
      </c>
      <c r="K109" s="248">
        <f t="shared" si="5"/>
        <v>0.0102447470059727</v>
      </c>
      <c r="L109" s="249">
        <v>0.0102447470059727</v>
      </c>
      <c r="M109" s="250"/>
      <c r="N109" s="251"/>
    </row>
    <row r="110" spans="1:14">
      <c r="A110" s="73"/>
      <c r="B110" s="193" t="s">
        <v>75</v>
      </c>
      <c r="C110" s="193" t="s">
        <v>213</v>
      </c>
      <c r="D110" s="193" t="s">
        <v>650</v>
      </c>
      <c r="E110" s="194">
        <v>95.78168</v>
      </c>
      <c r="F110" s="195">
        <v>1.20159674829386</v>
      </c>
      <c r="G110" s="194">
        <v>97.6617447357138</v>
      </c>
      <c r="H110" s="195">
        <v>0.836832285094687</v>
      </c>
      <c r="I110" s="261">
        <v>71.65609</v>
      </c>
      <c r="J110" s="254">
        <v>0.73409851348721</v>
      </c>
      <c r="K110" s="255">
        <f t="shared" si="5"/>
        <v>-0.46749823480665</v>
      </c>
      <c r="L110" s="256">
        <v>-0.102733771607477</v>
      </c>
      <c r="M110" s="257">
        <f>E110-I110</f>
        <v>24.12559</v>
      </c>
      <c r="N110" s="258"/>
    </row>
    <row r="111" spans="1:14">
      <c r="A111" s="158" t="s">
        <v>212</v>
      </c>
      <c r="B111" s="131">
        <v>6666110203</v>
      </c>
      <c r="C111" s="131" t="s">
        <v>215</v>
      </c>
      <c r="D111" s="131" t="s">
        <v>651</v>
      </c>
      <c r="E111" s="184">
        <v>-3.03086</v>
      </c>
      <c r="F111" s="191">
        <v>-0.0380226314733039</v>
      </c>
      <c r="G111" s="184">
        <v>41.2010853976622</v>
      </c>
      <c r="H111" s="191">
        <v>0.353038935921228</v>
      </c>
      <c r="I111" s="178">
        <v>17.84576</v>
      </c>
      <c r="J111" s="179">
        <v>0.182825296329307</v>
      </c>
      <c r="K111" s="248">
        <f t="shared" si="5"/>
        <v>0.220847927802611</v>
      </c>
      <c r="L111" s="249">
        <v>-0.170213639591921</v>
      </c>
      <c r="M111" s="250"/>
      <c r="N111" s="251"/>
    </row>
    <row r="112" spans="1:14">
      <c r="A112" s="87"/>
      <c r="B112" s="131">
        <v>5102040000</v>
      </c>
      <c r="C112" s="131" t="s">
        <v>217</v>
      </c>
      <c r="D112" s="131" t="s">
        <v>378</v>
      </c>
      <c r="E112" s="184">
        <v>0</v>
      </c>
      <c r="F112" s="191">
        <v>0</v>
      </c>
      <c r="G112" s="184">
        <v>0</v>
      </c>
      <c r="H112" s="191">
        <v>0</v>
      </c>
      <c r="I112" s="178">
        <v>0</v>
      </c>
      <c r="J112" s="179">
        <v>0</v>
      </c>
      <c r="K112" s="248">
        <f t="shared" si="5"/>
        <v>0</v>
      </c>
      <c r="L112" s="249">
        <v>0</v>
      </c>
      <c r="M112" s="250"/>
      <c r="N112" s="251"/>
    </row>
    <row r="113" spans="1:14">
      <c r="A113" s="87"/>
      <c r="B113" s="131">
        <v>6666050307</v>
      </c>
      <c r="C113" s="131" t="s">
        <v>219</v>
      </c>
      <c r="D113" s="131" t="s">
        <v>652</v>
      </c>
      <c r="E113" s="184">
        <v>-5.93365</v>
      </c>
      <c r="F113" s="191">
        <v>-0.0744386039743075</v>
      </c>
      <c r="G113" s="184">
        <v>0</v>
      </c>
      <c r="H113" s="191">
        <v>0</v>
      </c>
      <c r="I113" s="178">
        <v>-10.07647</v>
      </c>
      <c r="J113" s="179">
        <v>-0.103230885863274</v>
      </c>
      <c r="K113" s="248">
        <f t="shared" si="5"/>
        <v>-0.0287922818889665</v>
      </c>
      <c r="L113" s="249">
        <v>-0.103230885863274</v>
      </c>
      <c r="M113" s="250"/>
      <c r="N113" s="251"/>
    </row>
    <row r="114" spans="1:14">
      <c r="A114" s="87"/>
      <c r="B114" s="131">
        <v>6666050312</v>
      </c>
      <c r="C114" s="131" t="s">
        <v>221</v>
      </c>
      <c r="D114" s="131" t="s">
        <v>653</v>
      </c>
      <c r="E114" s="184">
        <v>2.78414</v>
      </c>
      <c r="F114" s="191">
        <v>0.0349274889602569</v>
      </c>
      <c r="G114" s="184">
        <v>0</v>
      </c>
      <c r="H114" s="191">
        <v>0</v>
      </c>
      <c r="I114" s="178">
        <v>1.28948</v>
      </c>
      <c r="J114" s="179">
        <v>0.0132103963692617</v>
      </c>
      <c r="K114" s="248">
        <f t="shared" si="5"/>
        <v>-0.0217170925909952</v>
      </c>
      <c r="L114" s="249">
        <v>0.0132103963692617</v>
      </c>
      <c r="M114" s="250"/>
      <c r="N114" s="251"/>
    </row>
    <row r="115" spans="1:14">
      <c r="A115" s="73"/>
      <c r="B115" s="193" t="s">
        <v>96</v>
      </c>
      <c r="C115" s="193" t="s">
        <v>224</v>
      </c>
      <c r="D115" s="193" t="s">
        <v>654</v>
      </c>
      <c r="E115" s="194">
        <v>-6.18037</v>
      </c>
      <c r="F115" s="195">
        <v>-0.0775337464873545</v>
      </c>
      <c r="G115" s="194">
        <v>41.2010853976622</v>
      </c>
      <c r="H115" s="195">
        <v>0.353038935921228</v>
      </c>
      <c r="I115" s="261">
        <v>9.05877</v>
      </c>
      <c r="J115" s="254">
        <v>0.0928048068352952</v>
      </c>
      <c r="K115" s="255">
        <f t="shared" si="5"/>
        <v>0.17033855332265</v>
      </c>
      <c r="L115" s="256">
        <v>-0.260234129085933</v>
      </c>
      <c r="M115" s="257"/>
      <c r="N115" s="258"/>
    </row>
    <row r="116" spans="1:14">
      <c r="A116" s="158" t="s">
        <v>223</v>
      </c>
      <c r="B116" s="131">
        <v>6666100203</v>
      </c>
      <c r="C116" s="131" t="s">
        <v>226</v>
      </c>
      <c r="D116" s="131" t="s">
        <v>655</v>
      </c>
      <c r="E116" s="184">
        <v>34.84363</v>
      </c>
      <c r="F116" s="191">
        <v>0.437119003412284</v>
      </c>
      <c r="G116" s="184">
        <v>12.5</v>
      </c>
      <c r="H116" s="191">
        <v>0.107108505914889</v>
      </c>
      <c r="I116" s="178">
        <v>12.5</v>
      </c>
      <c r="J116" s="179">
        <v>0.128059337574659</v>
      </c>
      <c r="K116" s="248">
        <f t="shared" si="5"/>
        <v>-0.309059665837625</v>
      </c>
      <c r="L116" s="249">
        <v>0.0209508316597696</v>
      </c>
      <c r="M116" s="250"/>
      <c r="N116" s="251"/>
    </row>
    <row r="117" spans="1:14">
      <c r="A117" s="73"/>
      <c r="B117" s="193" t="s">
        <v>75</v>
      </c>
      <c r="C117" s="193" t="s">
        <v>229</v>
      </c>
      <c r="D117" s="193" t="s">
        <v>656</v>
      </c>
      <c r="E117" s="194">
        <v>34.84363</v>
      </c>
      <c r="F117" s="195">
        <v>0.437119003412284</v>
      </c>
      <c r="G117" s="194">
        <v>12.5</v>
      </c>
      <c r="H117" s="195">
        <v>0.107108505914889</v>
      </c>
      <c r="I117" s="261">
        <v>12.5</v>
      </c>
      <c r="J117" s="254">
        <v>0.128059337574659</v>
      </c>
      <c r="K117" s="255">
        <f t="shared" si="5"/>
        <v>-0.309059665837625</v>
      </c>
      <c r="L117" s="256">
        <v>0.0209508316597696</v>
      </c>
      <c r="M117" s="257"/>
      <c r="N117" s="258"/>
    </row>
    <row r="118" spans="1:14">
      <c r="A118" s="158" t="s">
        <v>228</v>
      </c>
      <c r="B118" s="131">
        <v>5301070000</v>
      </c>
      <c r="C118" s="131" t="s">
        <v>231</v>
      </c>
      <c r="D118" s="131" t="s">
        <v>657</v>
      </c>
      <c r="E118" s="184">
        <v>-36.41102</v>
      </c>
      <c r="F118" s="191">
        <v>-0.456782165796869</v>
      </c>
      <c r="G118" s="184">
        <v>-86.744226252433</v>
      </c>
      <c r="H118" s="191">
        <v>-0.743283557651295</v>
      </c>
      <c r="I118" s="178">
        <v>-65.75498</v>
      </c>
      <c r="J118" s="179">
        <v>-0.673643134482794</v>
      </c>
      <c r="K118" s="248">
        <f t="shared" si="5"/>
        <v>-0.216860968685925</v>
      </c>
      <c r="L118" s="249">
        <v>0.0696404231685013</v>
      </c>
      <c r="M118" s="250"/>
      <c r="N118" s="251"/>
    </row>
    <row r="119" spans="1:14">
      <c r="A119" s="73"/>
      <c r="B119" s="193" t="s">
        <v>96</v>
      </c>
      <c r="C119" s="193" t="s">
        <v>235</v>
      </c>
      <c r="D119" s="193" t="s">
        <v>658</v>
      </c>
      <c r="E119" s="194">
        <v>-36.41102</v>
      </c>
      <c r="F119" s="195">
        <v>-0.456782165796869</v>
      </c>
      <c r="G119" s="194">
        <v>-86.744226252433</v>
      </c>
      <c r="H119" s="195">
        <v>-0.743283557651295</v>
      </c>
      <c r="I119" s="261">
        <v>-65.75498</v>
      </c>
      <c r="J119" s="254">
        <v>-0.673643134482794</v>
      </c>
      <c r="K119" s="255">
        <f t="shared" si="5"/>
        <v>-0.216860968685925</v>
      </c>
      <c r="L119" s="256">
        <v>0.0696404231685013</v>
      </c>
      <c r="M119" s="257"/>
      <c r="N119" s="258"/>
    </row>
    <row r="120" spans="1:14">
      <c r="A120" s="158" t="s">
        <v>234</v>
      </c>
      <c r="B120" s="131">
        <v>6666021602</v>
      </c>
      <c r="C120" s="131" t="s">
        <v>237</v>
      </c>
      <c r="D120" s="131" t="s">
        <v>659</v>
      </c>
      <c r="E120" s="184">
        <v>47.14342</v>
      </c>
      <c r="F120" s="191">
        <v>0.591421868727419</v>
      </c>
      <c r="G120" s="184">
        <v>32.9004364138743</v>
      </c>
      <c r="H120" s="191">
        <v>0.281913327059031</v>
      </c>
      <c r="I120" s="178">
        <v>34.59988</v>
      </c>
      <c r="J120" s="179">
        <v>0.354467017037014</v>
      </c>
      <c r="K120" s="248">
        <f t="shared" si="5"/>
        <v>-0.236954851690405</v>
      </c>
      <c r="L120" s="249">
        <v>0.0725536899779833</v>
      </c>
      <c r="M120" s="250"/>
      <c r="N120" s="251"/>
    </row>
    <row r="121" spans="1:14">
      <c r="A121" s="73"/>
      <c r="B121" s="193" t="s">
        <v>75</v>
      </c>
      <c r="C121" s="193" t="s">
        <v>244</v>
      </c>
      <c r="D121" s="193" t="s">
        <v>245</v>
      </c>
      <c r="E121" s="194">
        <v>47.14342</v>
      </c>
      <c r="F121" s="195">
        <v>0.591421868727419</v>
      </c>
      <c r="G121" s="194">
        <v>32.9004364138743</v>
      </c>
      <c r="H121" s="195">
        <v>0.281913327059031</v>
      </c>
      <c r="I121" s="261">
        <v>34.59988</v>
      </c>
      <c r="J121" s="254">
        <v>0.354467017037014</v>
      </c>
      <c r="K121" s="255">
        <f t="shared" si="5"/>
        <v>-0.236954851690405</v>
      </c>
      <c r="L121" s="256">
        <v>0.0725536899779833</v>
      </c>
      <c r="M121" s="257"/>
      <c r="N121" s="258"/>
    </row>
    <row r="122" spans="1:14">
      <c r="A122" s="158" t="s">
        <v>243</v>
      </c>
      <c r="B122" s="131">
        <v>6666021600</v>
      </c>
      <c r="C122" s="131" t="s">
        <v>246</v>
      </c>
      <c r="D122" s="131" t="s">
        <v>660</v>
      </c>
      <c r="E122" s="184">
        <v>5.62171</v>
      </c>
      <c r="F122" s="191">
        <v>0.0705252659574468</v>
      </c>
      <c r="G122" s="184">
        <v>40.5899268031724</v>
      </c>
      <c r="H122" s="191">
        <v>0.3478021132066</v>
      </c>
      <c r="I122" s="178">
        <v>21.14338</v>
      </c>
      <c r="J122" s="179">
        <v>0.216608578951143</v>
      </c>
      <c r="K122" s="248">
        <f t="shared" si="5"/>
        <v>0.146083312993696</v>
      </c>
      <c r="L122" s="249">
        <v>-0.131193534255458</v>
      </c>
      <c r="M122" s="250"/>
      <c r="N122" s="251"/>
    </row>
    <row r="123" spans="1:14">
      <c r="A123" s="87"/>
      <c r="B123" s="131">
        <v>6666021603</v>
      </c>
      <c r="C123" s="131" t="s">
        <v>239</v>
      </c>
      <c r="D123" s="131" t="s">
        <v>661</v>
      </c>
      <c r="E123" s="184">
        <v>0.06764</v>
      </c>
      <c r="F123" s="191">
        <v>0.000848554797270173</v>
      </c>
      <c r="G123" s="184">
        <v>0.28353861650262</v>
      </c>
      <c r="H123" s="191">
        <v>0.00242955180662163</v>
      </c>
      <c r="I123" s="178">
        <v>0.89229</v>
      </c>
      <c r="J123" s="179">
        <v>0.00914128530595937</v>
      </c>
      <c r="K123" s="248">
        <f t="shared" si="5"/>
        <v>0.0082927305086892</v>
      </c>
      <c r="L123" s="249">
        <v>0.00671173349933774</v>
      </c>
      <c r="M123" s="250"/>
      <c r="N123" s="251"/>
    </row>
    <row r="124" spans="1:14">
      <c r="A124" s="87"/>
      <c r="B124" s="131">
        <v>6666021604</v>
      </c>
      <c r="C124" s="131" t="s">
        <v>248</v>
      </c>
      <c r="D124" s="131" t="s">
        <v>662</v>
      </c>
      <c r="E124" s="184">
        <v>21.31753</v>
      </c>
      <c r="F124" s="191">
        <v>0.267431879767162</v>
      </c>
      <c r="G124" s="184">
        <v>30.4766659637546</v>
      </c>
      <c r="H124" s="191">
        <v>0.261144812531593</v>
      </c>
      <c r="I124" s="178">
        <v>16.50991</v>
      </c>
      <c r="J124" s="179">
        <v>0.169139851041379</v>
      </c>
      <c r="K124" s="248">
        <f t="shared" si="5"/>
        <v>-0.098292028725783</v>
      </c>
      <c r="L124" s="249">
        <v>-0.092004961490214</v>
      </c>
      <c r="M124" s="250"/>
      <c r="N124" s="251"/>
    </row>
    <row r="125" spans="1:14">
      <c r="A125" s="73"/>
      <c r="B125" s="193" t="s">
        <v>96</v>
      </c>
      <c r="C125" s="193" t="s">
        <v>251</v>
      </c>
      <c r="D125" s="193" t="s">
        <v>663</v>
      </c>
      <c r="E125" s="194">
        <v>27.00688</v>
      </c>
      <c r="F125" s="195">
        <v>0.338805700521879</v>
      </c>
      <c r="G125" s="194">
        <v>71.3501313834296</v>
      </c>
      <c r="H125" s="195">
        <v>0.611376477544814</v>
      </c>
      <c r="I125" s="261">
        <v>38.54558</v>
      </c>
      <c r="J125" s="254">
        <v>0.394889715298481</v>
      </c>
      <c r="K125" s="255">
        <f t="shared" si="5"/>
        <v>0.056084014776602</v>
      </c>
      <c r="L125" s="256">
        <v>-0.216486762246334</v>
      </c>
      <c r="M125" s="257"/>
      <c r="N125" s="258"/>
    </row>
    <row r="126" spans="1:14">
      <c r="A126" s="158" t="s">
        <v>250</v>
      </c>
      <c r="B126" s="131">
        <v>5001010206</v>
      </c>
      <c r="C126" s="131" t="s">
        <v>253</v>
      </c>
      <c r="D126" s="131" t="s">
        <v>664</v>
      </c>
      <c r="E126" s="184">
        <v>5.87295</v>
      </c>
      <c r="F126" s="191">
        <v>0.0736771126053794</v>
      </c>
      <c r="G126" s="184">
        <v>5.14428104747324</v>
      </c>
      <c r="H126" s="191">
        <v>0.0440797005600911</v>
      </c>
      <c r="I126" s="178">
        <v>4.81497</v>
      </c>
      <c r="J126" s="179">
        <v>0.0493281494913483</v>
      </c>
      <c r="K126" s="248">
        <f t="shared" si="5"/>
        <v>-0.0243489631140311</v>
      </c>
      <c r="L126" s="249">
        <v>0.00524844893125718</v>
      </c>
      <c r="M126" s="250"/>
      <c r="N126" s="251"/>
    </row>
    <row r="127" spans="1:14">
      <c r="A127" s="87"/>
      <c r="B127" s="131">
        <v>6666010184</v>
      </c>
      <c r="C127" s="131" t="s">
        <v>255</v>
      </c>
      <c r="D127" s="131" t="s">
        <v>665</v>
      </c>
      <c r="E127" s="184">
        <v>-0.38939</v>
      </c>
      <c r="F127" s="191">
        <v>-0.00488496085909273</v>
      </c>
      <c r="G127" s="184">
        <v>0</v>
      </c>
      <c r="H127" s="191">
        <v>0</v>
      </c>
      <c r="I127" s="178">
        <v>-0.41167</v>
      </c>
      <c r="J127" s="179">
        <v>-0.00421745499994878</v>
      </c>
      <c r="K127" s="248">
        <f t="shared" si="5"/>
        <v>0.00066750585914395</v>
      </c>
      <c r="L127" s="249">
        <v>-0.00421745499994878</v>
      </c>
      <c r="M127" s="250"/>
      <c r="N127" s="251"/>
    </row>
    <row r="128" spans="1:14">
      <c r="A128" s="87"/>
      <c r="B128" s="131">
        <v>6666010186</v>
      </c>
      <c r="C128" s="131" t="s">
        <v>258</v>
      </c>
      <c r="D128" s="131" t="s">
        <v>666</v>
      </c>
      <c r="E128" s="184">
        <v>3.61155</v>
      </c>
      <c r="F128" s="191">
        <v>0.0453074819349659</v>
      </c>
      <c r="G128" s="184">
        <v>5.58414203545393</v>
      </c>
      <c r="H128" s="191">
        <v>0.0478487288187198</v>
      </c>
      <c r="I128" s="178">
        <v>8.53253</v>
      </c>
      <c r="J128" s="179">
        <v>0.0874136111708721</v>
      </c>
      <c r="K128" s="248">
        <f t="shared" si="5"/>
        <v>0.0421061292359062</v>
      </c>
      <c r="L128" s="249">
        <v>0.0395648823521523</v>
      </c>
      <c r="M128" s="250"/>
      <c r="N128" s="251"/>
    </row>
    <row r="129" spans="1:14">
      <c r="A129" s="87"/>
      <c r="B129" s="131">
        <v>6666010189</v>
      </c>
      <c r="C129" s="131" t="s">
        <v>260</v>
      </c>
      <c r="D129" s="131" t="s">
        <v>667</v>
      </c>
      <c r="E129" s="184">
        <v>15.75994</v>
      </c>
      <c r="F129" s="191">
        <v>0.197711009634685</v>
      </c>
      <c r="G129" s="184">
        <v>255.802705353668</v>
      </c>
      <c r="H129" s="191">
        <v>2.19189164635344</v>
      </c>
      <c r="I129" s="178">
        <v>15.46708</v>
      </c>
      <c r="J129" s="179">
        <v>0.15845632152114</v>
      </c>
      <c r="K129" s="248">
        <f t="shared" si="5"/>
        <v>-0.039254688113545</v>
      </c>
      <c r="L129" s="249">
        <v>-2.0334353248323</v>
      </c>
      <c r="M129" s="250"/>
      <c r="N129" s="262" t="s">
        <v>668</v>
      </c>
    </row>
    <row r="130" spans="1:14">
      <c r="A130" s="87"/>
      <c r="B130" s="131">
        <v>6666010012</v>
      </c>
      <c r="C130" s="131" t="s">
        <v>262</v>
      </c>
      <c r="D130" s="131" t="s">
        <v>669</v>
      </c>
      <c r="E130" s="184">
        <v>51.56572</v>
      </c>
      <c r="F130" s="191">
        <v>0.646900341228422</v>
      </c>
      <c r="G130" s="184">
        <v>53.3719158675349</v>
      </c>
      <c r="H130" s="191">
        <v>0.457326893310946</v>
      </c>
      <c r="I130" s="178">
        <v>43.67963</v>
      </c>
      <c r="J130" s="179">
        <v>0.447486758664495</v>
      </c>
      <c r="K130" s="248">
        <f t="shared" si="5"/>
        <v>-0.199413582563927</v>
      </c>
      <c r="L130" s="249">
        <v>-0.00984013464645095</v>
      </c>
      <c r="M130" s="250"/>
      <c r="N130" s="251"/>
    </row>
    <row r="131" spans="1:14">
      <c r="A131" s="87"/>
      <c r="B131" s="131">
        <v>6666010226</v>
      </c>
      <c r="C131" s="131" t="s">
        <v>264</v>
      </c>
      <c r="D131" s="131" t="s">
        <v>670</v>
      </c>
      <c r="E131" s="184">
        <v>11.87079</v>
      </c>
      <c r="F131" s="191">
        <v>0.148920990566038</v>
      </c>
      <c r="G131" s="184">
        <v>8.65497950695315</v>
      </c>
      <c r="H131" s="191">
        <v>0.0741617538970988</v>
      </c>
      <c r="I131" s="178">
        <v>5.36793</v>
      </c>
      <c r="J131" s="179">
        <v>0.054993084795771</v>
      </c>
      <c r="K131" s="248">
        <f t="shared" si="5"/>
        <v>-0.093927905770267</v>
      </c>
      <c r="L131" s="249">
        <v>-0.0191686691013278</v>
      </c>
      <c r="M131" s="250"/>
      <c r="N131" s="251"/>
    </row>
    <row r="132" spans="1:14">
      <c r="A132" s="87"/>
      <c r="B132" s="131">
        <v>6666010102</v>
      </c>
      <c r="C132" s="131" t="s">
        <v>266</v>
      </c>
      <c r="D132" s="131" t="s">
        <v>671</v>
      </c>
      <c r="E132" s="184">
        <v>297.58177</v>
      </c>
      <c r="F132" s="191">
        <v>3.73321168707346</v>
      </c>
      <c r="G132" s="184">
        <v>-12.8607026186831</v>
      </c>
      <c r="H132" s="191">
        <v>-0.110199251400228</v>
      </c>
      <c r="I132" s="178">
        <v>250.17501</v>
      </c>
      <c r="J132" s="179">
        <v>2.56297968466669</v>
      </c>
      <c r="K132" s="248">
        <f t="shared" si="5"/>
        <v>-1.17023200240677</v>
      </c>
      <c r="L132" s="249">
        <v>2.67317893606691</v>
      </c>
      <c r="M132" s="250"/>
      <c r="N132" s="262" t="s">
        <v>672</v>
      </c>
    </row>
    <row r="133" spans="1:14">
      <c r="A133" s="73"/>
      <c r="B133" s="193" t="s">
        <v>269</v>
      </c>
      <c r="C133" s="193" t="s">
        <v>270</v>
      </c>
      <c r="D133" s="193" t="s">
        <v>673</v>
      </c>
      <c r="E133" s="194">
        <v>385.87333</v>
      </c>
      <c r="F133" s="195">
        <v>4.84084366218386</v>
      </c>
      <c r="G133" s="194">
        <v>315.6973211924</v>
      </c>
      <c r="H133" s="195">
        <v>2.70510947154006</v>
      </c>
      <c r="I133" s="261">
        <v>327.62548</v>
      </c>
      <c r="J133" s="254">
        <v>3.35644015531036</v>
      </c>
      <c r="K133" s="255">
        <f t="shared" si="5"/>
        <v>-1.4844035068735</v>
      </c>
      <c r="L133" s="256">
        <v>0.651330683770299</v>
      </c>
      <c r="M133" s="257"/>
      <c r="N133" s="258"/>
    </row>
    <row r="134" spans="1:14">
      <c r="A134" s="158" t="s">
        <v>268</v>
      </c>
      <c r="B134" s="131">
        <v>6666010196</v>
      </c>
      <c r="C134" s="131" t="s">
        <v>272</v>
      </c>
      <c r="D134" s="131" t="s">
        <v>674</v>
      </c>
      <c r="E134" s="184">
        <v>31.19038</v>
      </c>
      <c r="F134" s="191">
        <v>0.391288388197511</v>
      </c>
      <c r="G134" s="184">
        <v>22.9006071956402</v>
      </c>
      <c r="H134" s="191">
        <v>0.196227985701502</v>
      </c>
      <c r="I134" s="178">
        <v>19.50069</v>
      </c>
      <c r="J134" s="179">
        <v>0.199779635491902</v>
      </c>
      <c r="K134" s="248">
        <f t="shared" si="5"/>
        <v>-0.191508752705609</v>
      </c>
      <c r="L134" s="249">
        <v>0.00355164979039918</v>
      </c>
      <c r="M134" s="250"/>
      <c r="N134" s="251"/>
    </row>
    <row r="135" spans="1:14">
      <c r="A135" s="87"/>
      <c r="B135" s="131">
        <v>6666010101</v>
      </c>
      <c r="C135" s="131" t="s">
        <v>274</v>
      </c>
      <c r="D135" s="131" t="s">
        <v>675</v>
      </c>
      <c r="E135" s="184">
        <v>206.51869</v>
      </c>
      <c r="F135" s="191">
        <v>2.59081054295464</v>
      </c>
      <c r="G135" s="184">
        <v>132.94448197567</v>
      </c>
      <c r="H135" s="191">
        <v>1.13915878672343</v>
      </c>
      <c r="I135" s="178">
        <v>111.61958</v>
      </c>
      <c r="J135" s="179">
        <v>1.14351435801293</v>
      </c>
      <c r="K135" s="248">
        <f t="shared" si="5"/>
        <v>-1.44729618494171</v>
      </c>
      <c r="L135" s="249">
        <v>0.00435557128949604</v>
      </c>
      <c r="M135" s="250"/>
      <c r="N135" s="251"/>
    </row>
    <row r="136" spans="1:14">
      <c r="A136" s="87"/>
      <c r="B136" s="131">
        <v>6666010199</v>
      </c>
      <c r="C136" s="131" t="s">
        <v>276</v>
      </c>
      <c r="D136" s="131" t="s">
        <v>676</v>
      </c>
      <c r="E136" s="184">
        <v>32.95469</v>
      </c>
      <c r="F136" s="191">
        <v>0.413421943998394</v>
      </c>
      <c r="G136" s="184">
        <v>0</v>
      </c>
      <c r="H136" s="191">
        <v>0</v>
      </c>
      <c r="I136" s="178">
        <v>27.76337</v>
      </c>
      <c r="J136" s="179">
        <v>0.284428701683212</v>
      </c>
      <c r="K136" s="248">
        <f t="shared" si="5"/>
        <v>-0.128993242315182</v>
      </c>
      <c r="L136" s="249">
        <v>0.284428701683212</v>
      </c>
      <c r="M136" s="250"/>
      <c r="N136" s="251"/>
    </row>
    <row r="137" spans="1:14">
      <c r="A137" s="87"/>
      <c r="B137" s="131">
        <v>6666010185</v>
      </c>
      <c r="C137" s="131" t="s">
        <v>278</v>
      </c>
      <c r="D137" s="131" t="s">
        <v>677</v>
      </c>
      <c r="E137" s="184">
        <v>-1.0645</v>
      </c>
      <c r="F137" s="191">
        <v>-0.0133543255720594</v>
      </c>
      <c r="G137" s="184">
        <v>-5.94362980884804</v>
      </c>
      <c r="H137" s="191">
        <v>-0.0509290646829529</v>
      </c>
      <c r="I137" s="178">
        <v>-0.40558</v>
      </c>
      <c r="J137" s="179">
        <v>-0.0041550644906824</v>
      </c>
      <c r="K137" s="248">
        <f t="shared" si="5"/>
        <v>0.009199261081377</v>
      </c>
      <c r="L137" s="249">
        <v>0.0467740001922705</v>
      </c>
      <c r="M137" s="250"/>
      <c r="N137" s="251"/>
    </row>
    <row r="138" spans="1:14">
      <c r="A138" s="87"/>
      <c r="B138" s="131">
        <v>6666010207</v>
      </c>
      <c r="C138" s="131" t="s">
        <v>280</v>
      </c>
      <c r="D138" s="131" t="s">
        <v>678</v>
      </c>
      <c r="E138" s="184">
        <v>3.05762</v>
      </c>
      <c r="F138" s="191">
        <v>0.0383583400240867</v>
      </c>
      <c r="G138" s="184">
        <v>2.20728744054363</v>
      </c>
      <c r="H138" s="191">
        <v>0.0189135407905062</v>
      </c>
      <c r="I138" s="178">
        <v>1.89538</v>
      </c>
      <c r="J138" s="179">
        <v>0.0194176885801805</v>
      </c>
      <c r="K138" s="248">
        <f t="shared" si="5"/>
        <v>-0.0189406514439062</v>
      </c>
      <c r="L138" s="249">
        <v>0.000504147789674298</v>
      </c>
      <c r="M138" s="250"/>
      <c r="N138" s="251"/>
    </row>
    <row r="139" spans="1:14">
      <c r="A139" s="87"/>
      <c r="B139" s="131">
        <v>5102040406</v>
      </c>
      <c r="C139" s="131" t="s">
        <v>92</v>
      </c>
      <c r="D139" s="131" t="s">
        <v>679</v>
      </c>
      <c r="E139" s="184">
        <v>0</v>
      </c>
      <c r="F139" s="191">
        <v>0</v>
      </c>
      <c r="G139" s="184">
        <v>0</v>
      </c>
      <c r="H139" s="191">
        <v>0</v>
      </c>
      <c r="I139" s="178">
        <v>0</v>
      </c>
      <c r="J139" s="179">
        <v>0</v>
      </c>
      <c r="K139" s="248">
        <f t="shared" si="5"/>
        <v>0</v>
      </c>
      <c r="L139" s="249">
        <v>0</v>
      </c>
      <c r="M139" s="250"/>
      <c r="N139" s="251"/>
    </row>
    <row r="140" spans="1:14">
      <c r="A140" s="87"/>
      <c r="B140" s="131">
        <v>6666010227</v>
      </c>
      <c r="C140" s="131" t="s">
        <v>283</v>
      </c>
      <c r="D140" s="131" t="s">
        <v>680</v>
      </c>
      <c r="E140" s="184">
        <v>3.51288</v>
      </c>
      <c r="F140" s="191">
        <v>0.0440696507426736</v>
      </c>
      <c r="G140" s="184">
        <v>2.21306300463761</v>
      </c>
      <c r="H140" s="191">
        <v>0.01896302975378</v>
      </c>
      <c r="I140" s="178">
        <v>10.02327</v>
      </c>
      <c r="J140" s="179">
        <v>0.102685865322556</v>
      </c>
      <c r="K140" s="248">
        <f t="shared" si="5"/>
        <v>0.0586162145798824</v>
      </c>
      <c r="L140" s="249">
        <v>0.0837228355687759</v>
      </c>
      <c r="M140" s="250"/>
      <c r="N140" s="251"/>
    </row>
    <row r="141" spans="1:14">
      <c r="A141" s="73"/>
      <c r="B141" s="193" t="s">
        <v>269</v>
      </c>
      <c r="C141" s="193" t="s">
        <v>286</v>
      </c>
      <c r="D141" s="193" t="s">
        <v>681</v>
      </c>
      <c r="E141" s="194">
        <v>276.16976</v>
      </c>
      <c r="F141" s="195">
        <v>3.46459454034524</v>
      </c>
      <c r="G141" s="263">
        <v>154.321809807643</v>
      </c>
      <c r="H141" s="264">
        <v>1.32233427828627</v>
      </c>
      <c r="I141" s="261">
        <v>170.39671</v>
      </c>
      <c r="J141" s="254">
        <v>1.7456711846001</v>
      </c>
      <c r="K141" s="255">
        <f t="shared" si="5"/>
        <v>-1.71892335574514</v>
      </c>
      <c r="L141" s="256">
        <v>0.423336906313828</v>
      </c>
      <c r="M141" s="257"/>
      <c r="N141" s="258"/>
    </row>
    <row r="142" spans="1:14">
      <c r="A142" s="158"/>
      <c r="B142" s="140">
        <v>6666020903</v>
      </c>
      <c r="C142" s="140" t="s">
        <v>682</v>
      </c>
      <c r="D142" s="140" t="s">
        <v>683</v>
      </c>
      <c r="E142" s="184">
        <v>0</v>
      </c>
      <c r="F142" s="191">
        <v>0</v>
      </c>
      <c r="G142" s="184">
        <v>0</v>
      </c>
      <c r="H142" s="191">
        <v>0</v>
      </c>
      <c r="I142" s="178">
        <v>0</v>
      </c>
      <c r="J142" s="179">
        <v>0</v>
      </c>
      <c r="K142" s="248">
        <f t="shared" si="5"/>
        <v>0</v>
      </c>
      <c r="L142" s="249">
        <v>0</v>
      </c>
      <c r="M142" s="250"/>
      <c r="N142" s="251"/>
    </row>
    <row r="143" spans="1:14">
      <c r="A143" s="158" t="s">
        <v>285</v>
      </c>
      <c r="B143" s="131">
        <v>6666010302</v>
      </c>
      <c r="C143" s="131" t="s">
        <v>288</v>
      </c>
      <c r="D143" s="131" t="s">
        <v>684</v>
      </c>
      <c r="E143" s="184">
        <v>0.22391</v>
      </c>
      <c r="F143" s="191">
        <v>0.00280898735447611</v>
      </c>
      <c r="G143" s="184">
        <v>0.509104384624997</v>
      </c>
      <c r="H143" s="191">
        <v>0.00436235279935219</v>
      </c>
      <c r="I143" s="178">
        <v>0</v>
      </c>
      <c r="J143" s="179">
        <v>0</v>
      </c>
      <c r="K143" s="248">
        <f t="shared" si="5"/>
        <v>-0.00280898735447611</v>
      </c>
      <c r="L143" s="249">
        <v>-0.00436235279935219</v>
      </c>
      <c r="M143" s="250"/>
      <c r="N143" s="251"/>
    </row>
    <row r="144" spans="1:14">
      <c r="A144" s="87"/>
      <c r="B144" s="131">
        <v>6666010314</v>
      </c>
      <c r="C144" s="131" t="s">
        <v>290</v>
      </c>
      <c r="D144" s="131" t="s">
        <v>685</v>
      </c>
      <c r="E144" s="184">
        <v>76.2209</v>
      </c>
      <c r="F144" s="191">
        <v>0.956203582898434</v>
      </c>
      <c r="G144" s="184">
        <v>15.9346910626938</v>
      </c>
      <c r="H144" s="191">
        <v>0.136539276155237</v>
      </c>
      <c r="I144" s="178">
        <v>16.26125</v>
      </c>
      <c r="J144" s="179">
        <v>0.166592392250873</v>
      </c>
      <c r="K144" s="248">
        <f t="shared" si="5"/>
        <v>-0.789611190647561</v>
      </c>
      <c r="L144" s="249">
        <v>0.0300531160956359</v>
      </c>
      <c r="M144" s="250"/>
      <c r="N144" s="251"/>
    </row>
    <row r="145" spans="1:14">
      <c r="A145" s="87"/>
      <c r="B145" s="131">
        <v>6666020401</v>
      </c>
      <c r="C145" s="131" t="s">
        <v>295</v>
      </c>
      <c r="D145" s="131" t="s">
        <v>686</v>
      </c>
      <c r="E145" s="184">
        <v>61.53231</v>
      </c>
      <c r="F145" s="191">
        <v>0.771932833199518</v>
      </c>
      <c r="G145" s="184">
        <v>55.7129493039358</v>
      </c>
      <c r="H145" s="191">
        <v>0.477386460804522</v>
      </c>
      <c r="I145" s="178">
        <v>41.08897</v>
      </c>
      <c r="J145" s="179">
        <v>0.420946102386002</v>
      </c>
      <c r="K145" s="248">
        <f t="shared" si="5"/>
        <v>-0.350986730813516</v>
      </c>
      <c r="L145" s="249">
        <v>-0.05644035841852</v>
      </c>
      <c r="M145" s="250">
        <f>K145*E2</f>
        <v>-34260.1657814381</v>
      </c>
      <c r="N145" s="251"/>
    </row>
    <row r="146" spans="1:14">
      <c r="A146" s="87"/>
      <c r="B146" s="131">
        <v>6666020402</v>
      </c>
      <c r="C146" s="131" t="s">
        <v>687</v>
      </c>
      <c r="D146" s="131" t="s">
        <v>688</v>
      </c>
      <c r="E146" s="184">
        <v>0</v>
      </c>
      <c r="F146" s="191">
        <v>0</v>
      </c>
      <c r="G146" s="184">
        <v>0</v>
      </c>
      <c r="H146" s="191">
        <v>0</v>
      </c>
      <c r="I146" s="178">
        <v>0</v>
      </c>
      <c r="J146" s="179">
        <v>0</v>
      </c>
      <c r="K146" s="248">
        <f t="shared" si="5"/>
        <v>0</v>
      </c>
      <c r="L146" s="249">
        <v>0</v>
      </c>
      <c r="M146" s="250"/>
      <c r="N146" s="251"/>
    </row>
    <row r="147" spans="1:14">
      <c r="A147" s="87"/>
      <c r="B147" s="131">
        <v>6666020502</v>
      </c>
      <c r="C147" s="131" t="s">
        <v>297</v>
      </c>
      <c r="D147" s="131" t="s">
        <v>689</v>
      </c>
      <c r="E147" s="184">
        <v>57.91739</v>
      </c>
      <c r="F147" s="191">
        <v>0.72658307406664</v>
      </c>
      <c r="G147" s="184">
        <v>51.2038463813951</v>
      </c>
      <c r="H147" s="191">
        <v>0.438749398640538</v>
      </c>
      <c r="I147" s="178">
        <v>37.20531</v>
      </c>
      <c r="J147" s="179">
        <v>0.381158988228786</v>
      </c>
      <c r="K147" s="248">
        <f t="shared" si="5"/>
        <v>-0.345424085837854</v>
      </c>
      <c r="L147" s="249">
        <v>-0.0575904104117525</v>
      </c>
      <c r="M147" s="250"/>
      <c r="N147" s="251"/>
    </row>
    <row r="148" spans="1:14">
      <c r="A148" s="87"/>
      <c r="B148" s="131">
        <v>6666020503</v>
      </c>
      <c r="C148" s="131" t="s">
        <v>299</v>
      </c>
      <c r="D148" s="131" t="s">
        <v>690</v>
      </c>
      <c r="E148" s="184">
        <v>0.36211</v>
      </c>
      <c r="F148" s="191">
        <v>0.00454272882376556</v>
      </c>
      <c r="G148" s="184">
        <v>0.549684131952998</v>
      </c>
      <c r="H148" s="191">
        <v>0.00471006768788867</v>
      </c>
      <c r="I148" s="178">
        <v>0</v>
      </c>
      <c r="J148" s="179">
        <v>0</v>
      </c>
      <c r="K148" s="248">
        <f t="shared" si="5"/>
        <v>-0.00454272882376556</v>
      </c>
      <c r="L148" s="249">
        <v>-0.00471006768788867</v>
      </c>
      <c r="M148" s="250"/>
      <c r="N148" s="251"/>
    </row>
    <row r="149" spans="1:14">
      <c r="A149" s="87"/>
      <c r="B149" s="131">
        <v>6666021500</v>
      </c>
      <c r="C149" s="131" t="s">
        <v>312</v>
      </c>
      <c r="D149" s="131" t="s">
        <v>691</v>
      </c>
      <c r="E149" s="184">
        <v>0</v>
      </c>
      <c r="F149" s="191">
        <v>0</v>
      </c>
      <c r="G149" s="184">
        <v>0</v>
      </c>
      <c r="H149" s="191">
        <v>0</v>
      </c>
      <c r="I149" s="178">
        <v>0</v>
      </c>
      <c r="J149" s="179">
        <v>0</v>
      </c>
      <c r="K149" s="248">
        <f t="shared" si="5"/>
        <v>0</v>
      </c>
      <c r="L149" s="249">
        <v>0</v>
      </c>
      <c r="M149" s="250"/>
      <c r="N149" s="251"/>
    </row>
    <row r="150" spans="1:14">
      <c r="A150" s="87"/>
      <c r="B150" s="131">
        <v>6666021502</v>
      </c>
      <c r="C150" s="131" t="s">
        <v>301</v>
      </c>
      <c r="D150" s="131" t="s">
        <v>692</v>
      </c>
      <c r="E150" s="184">
        <v>12.76097</v>
      </c>
      <c r="F150" s="191">
        <v>0.160088443396226</v>
      </c>
      <c r="G150" s="184">
        <v>102.558333333333</v>
      </c>
      <c r="H150" s="191">
        <v>0.878789588196357</v>
      </c>
      <c r="I150" s="178">
        <v>19.38023</v>
      </c>
      <c r="J150" s="179">
        <v>0.198545553267562</v>
      </c>
      <c r="K150" s="248">
        <f t="shared" si="5"/>
        <v>0.038457109871336</v>
      </c>
      <c r="L150" s="249">
        <v>-0.680244034928795</v>
      </c>
      <c r="M150" s="250"/>
      <c r="N150" s="251" t="s">
        <v>693</v>
      </c>
    </row>
    <row r="151" spans="1:14">
      <c r="A151" s="87"/>
      <c r="B151" s="131">
        <v>6666021503</v>
      </c>
      <c r="C151" s="131" t="s">
        <v>304</v>
      </c>
      <c r="D151" s="131" t="s">
        <v>694</v>
      </c>
      <c r="E151" s="184">
        <v>2.91185</v>
      </c>
      <c r="F151" s="191">
        <v>0.0365296316740265</v>
      </c>
      <c r="G151" s="184">
        <v>4.48196764753099</v>
      </c>
      <c r="H151" s="191">
        <v>0.0384045486628731</v>
      </c>
      <c r="I151" s="178">
        <v>22.53222</v>
      </c>
      <c r="J151" s="179">
        <v>0.230836893382918</v>
      </c>
      <c r="K151" s="248">
        <f t="shared" si="5"/>
        <v>0.194307261708891</v>
      </c>
      <c r="L151" s="249">
        <v>0.192432344720045</v>
      </c>
      <c r="M151" s="250"/>
      <c r="N151" s="251"/>
    </row>
    <row r="152" spans="1:14">
      <c r="A152" s="87"/>
      <c r="B152" s="131">
        <v>6666021505</v>
      </c>
      <c r="C152" s="131" t="s">
        <v>403</v>
      </c>
      <c r="D152" s="131" t="s">
        <v>695</v>
      </c>
      <c r="E152" s="184">
        <v>0</v>
      </c>
      <c r="F152" s="191">
        <v>0</v>
      </c>
      <c r="G152" s="184">
        <v>0</v>
      </c>
      <c r="H152" s="191">
        <v>0</v>
      </c>
      <c r="I152" s="178">
        <v>0</v>
      </c>
      <c r="J152" s="179">
        <v>0</v>
      </c>
      <c r="K152" s="248">
        <f t="shared" si="5"/>
        <v>0</v>
      </c>
      <c r="L152" s="249">
        <v>0</v>
      </c>
      <c r="M152" s="250"/>
      <c r="N152" s="251"/>
    </row>
    <row r="153" spans="1:14">
      <c r="A153" s="87"/>
      <c r="B153" s="131">
        <v>6666021506</v>
      </c>
      <c r="C153" s="131" t="s">
        <v>306</v>
      </c>
      <c r="D153" s="131" t="s">
        <v>696</v>
      </c>
      <c r="E153" s="184">
        <v>7.78807</v>
      </c>
      <c r="F153" s="191">
        <v>0.0977026043757527</v>
      </c>
      <c r="G153" s="184">
        <v>91.8633386</v>
      </c>
      <c r="H153" s="191">
        <v>0.787147595663964</v>
      </c>
      <c r="I153" s="178">
        <v>19.88897</v>
      </c>
      <c r="J153" s="179">
        <v>0.203757465859381</v>
      </c>
      <c r="K153" s="248">
        <f t="shared" si="5"/>
        <v>0.106054861483628</v>
      </c>
      <c r="L153" s="249">
        <v>-0.583390129804584</v>
      </c>
      <c r="M153" s="250"/>
      <c r="N153" s="251" t="s">
        <v>697</v>
      </c>
    </row>
    <row r="154" spans="1:14">
      <c r="A154" s="87"/>
      <c r="B154" s="131">
        <v>6666030300</v>
      </c>
      <c r="C154" s="131" t="s">
        <v>698</v>
      </c>
      <c r="D154" s="131" t="s">
        <v>309</v>
      </c>
      <c r="E154" s="184">
        <v>0</v>
      </c>
      <c r="F154" s="191">
        <v>0</v>
      </c>
      <c r="G154" s="184">
        <v>0</v>
      </c>
      <c r="H154" s="191">
        <v>0</v>
      </c>
      <c r="I154" s="178">
        <v>0</v>
      </c>
      <c r="J154" s="179">
        <v>0</v>
      </c>
      <c r="K154" s="248">
        <f t="shared" si="5"/>
        <v>0</v>
      </c>
      <c r="L154" s="249">
        <v>0</v>
      </c>
      <c r="M154" s="250"/>
      <c r="N154" s="251"/>
    </row>
    <row r="155" spans="1:14">
      <c r="A155" s="87"/>
      <c r="B155" s="131">
        <v>6666091600</v>
      </c>
      <c r="C155" s="131" t="s">
        <v>310</v>
      </c>
      <c r="D155" s="131" t="s">
        <v>699</v>
      </c>
      <c r="E155" s="184">
        <v>0</v>
      </c>
      <c r="F155" s="191">
        <v>0</v>
      </c>
      <c r="G155" s="184">
        <v>0.741502457368389</v>
      </c>
      <c r="H155" s="191">
        <v>0.00635369762727575</v>
      </c>
      <c r="I155" s="178">
        <v>4.89377</v>
      </c>
      <c r="J155" s="179">
        <v>0.050135435555419</v>
      </c>
      <c r="K155" s="248">
        <f t="shared" si="5"/>
        <v>0.050135435555419</v>
      </c>
      <c r="L155" s="249">
        <v>0.0437817379281432</v>
      </c>
      <c r="M155" s="250"/>
      <c r="N155" s="251"/>
    </row>
    <row r="156" spans="1:14">
      <c r="A156" s="73"/>
      <c r="B156" s="265" t="s">
        <v>269</v>
      </c>
      <c r="C156" s="265" t="s">
        <v>313</v>
      </c>
      <c r="D156" s="265" t="s">
        <v>700</v>
      </c>
      <c r="E156" s="263">
        <v>219.71751</v>
      </c>
      <c r="F156" s="264">
        <v>2.75639188578884</v>
      </c>
      <c r="G156" s="263">
        <v>323.555417302835</v>
      </c>
      <c r="H156" s="264">
        <v>2.77244298623801</v>
      </c>
      <c r="I156" s="261">
        <v>161.25072</v>
      </c>
      <c r="J156" s="254">
        <v>1.65197283093094</v>
      </c>
      <c r="K156" s="255">
        <f t="shared" si="5"/>
        <v>-1.1044190548579</v>
      </c>
      <c r="L156" s="256">
        <v>-1.12047015530707</v>
      </c>
      <c r="M156" s="257"/>
      <c r="N156" s="258"/>
    </row>
    <row r="157" spans="1:14">
      <c r="A157" s="158"/>
      <c r="B157" s="141"/>
      <c r="C157" s="141"/>
      <c r="D157" s="200" t="s">
        <v>701</v>
      </c>
      <c r="E157" s="266">
        <f>E156+E141+E133+E125+E121+E119+E117+E115+E110+E53+E48+E39</f>
        <v>2388.4772</v>
      </c>
      <c r="F157" s="267">
        <f>E157/G28*1000</f>
        <v>29.9638348052991</v>
      </c>
      <c r="G157" s="266">
        <v>2413.54816457457</v>
      </c>
      <c r="H157" s="267">
        <v>20.6809230288964</v>
      </c>
      <c r="I157" s="266">
        <v>2216.13039</v>
      </c>
      <c r="J157" s="268">
        <v>22.7036951777976</v>
      </c>
      <c r="K157" s="248">
        <f t="shared" si="5"/>
        <v>-7.26013962750148</v>
      </c>
      <c r="L157" s="269">
        <v>2.02277214890115</v>
      </c>
      <c r="M157" s="270"/>
      <c r="N157" s="271"/>
    </row>
    <row r="158" spans="1:14">
      <c r="A158" s="173"/>
      <c r="B158" s="172"/>
      <c r="E158" s="201"/>
      <c r="F158" s="201"/>
      <c r="G158" s="201"/>
      <c r="H158" s="201"/>
      <c r="I158" s="201"/>
      <c r="J158" s="272"/>
      <c r="K158" s="248"/>
      <c r="L158" s="273"/>
      <c r="M158" s="274"/>
      <c r="N158" s="201"/>
    </row>
    <row r="159" spans="1:14">
      <c r="A159" s="158" t="s">
        <v>55</v>
      </c>
      <c r="B159" s="131">
        <v>6666110110</v>
      </c>
      <c r="C159" s="131" t="s">
        <v>62</v>
      </c>
      <c r="D159" s="131" t="s">
        <v>702</v>
      </c>
      <c r="E159" s="184">
        <v>0.15655</v>
      </c>
      <c r="F159" s="191">
        <v>0.00196394520272983</v>
      </c>
      <c r="G159" s="184">
        <v>0</v>
      </c>
      <c r="H159" s="184">
        <v>0</v>
      </c>
      <c r="I159" s="178">
        <v>0.00743</v>
      </c>
      <c r="J159" s="275">
        <v>7.61184702543771e-5</v>
      </c>
      <c r="K159" s="248">
        <v>-0.00188782673247545</v>
      </c>
      <c r="L159" s="249">
        <v>7.61184702543771e-5</v>
      </c>
      <c r="M159" s="250"/>
      <c r="N159" s="276"/>
    </row>
    <row r="160" spans="1:14">
      <c r="A160" s="87"/>
      <c r="B160" s="131">
        <v>6666110112</v>
      </c>
      <c r="C160" s="131" t="s">
        <v>64</v>
      </c>
      <c r="D160" s="131" t="s">
        <v>316</v>
      </c>
      <c r="E160" s="184">
        <v>0.17087</v>
      </c>
      <c r="F160" s="191">
        <v>0.00214359193095143</v>
      </c>
      <c r="G160" s="184">
        <v>0.29308</v>
      </c>
      <c r="H160" s="184">
        <v>0.00251130887308285</v>
      </c>
      <c r="I160" s="178">
        <v>0.00414</v>
      </c>
      <c r="J160" s="275">
        <v>4.24132526047269e-5</v>
      </c>
      <c r="K160" s="248">
        <v>-0.0021011786783467</v>
      </c>
      <c r="L160" s="249">
        <v>-0.00246889562047813</v>
      </c>
      <c r="M160" s="250"/>
      <c r="N160" s="276"/>
    </row>
    <row r="161" spans="1:14">
      <c r="A161" s="87"/>
      <c r="B161" s="131">
        <v>6666110207</v>
      </c>
      <c r="C161" s="131" t="s">
        <v>68</v>
      </c>
      <c r="D161" s="131" t="s">
        <v>317</v>
      </c>
      <c r="E161" s="184">
        <v>0.14972</v>
      </c>
      <c r="F161" s="191">
        <v>0.00187826174227218</v>
      </c>
      <c r="G161" s="184">
        <v>0</v>
      </c>
      <c r="H161" s="184">
        <v>0</v>
      </c>
      <c r="I161" s="178">
        <v>0.00015</v>
      </c>
      <c r="J161" s="275">
        <v>1.5367120508959e-6</v>
      </c>
      <c r="K161" s="248">
        <v>-0.00187672503022128</v>
      </c>
      <c r="L161" s="249">
        <v>1.5367120508959e-6</v>
      </c>
      <c r="M161" s="250"/>
      <c r="N161" s="276"/>
    </row>
    <row r="162" spans="1:14">
      <c r="A162" s="87"/>
      <c r="B162" s="131">
        <v>6666110506</v>
      </c>
      <c r="C162" s="131" t="s">
        <v>70</v>
      </c>
      <c r="D162" s="131" t="s">
        <v>318</v>
      </c>
      <c r="E162" s="184">
        <v>0.16701</v>
      </c>
      <c r="F162" s="191">
        <v>0.00209516760337214</v>
      </c>
      <c r="G162" s="184">
        <v>0</v>
      </c>
      <c r="H162" s="184">
        <v>0</v>
      </c>
      <c r="I162" s="178">
        <v>0.00762</v>
      </c>
      <c r="J162" s="275">
        <v>7.80649721855119e-5</v>
      </c>
      <c r="K162" s="248">
        <v>-0.00201710263118663</v>
      </c>
      <c r="L162" s="249">
        <v>7.80649721855119e-5</v>
      </c>
      <c r="M162" s="250"/>
      <c r="N162" s="276"/>
    </row>
    <row r="163" spans="1:14">
      <c r="A163" s="73"/>
      <c r="B163" s="265" t="s">
        <v>319</v>
      </c>
      <c r="C163" s="265" t="s">
        <v>76</v>
      </c>
      <c r="D163" s="265" t="s">
        <v>320</v>
      </c>
      <c r="E163" s="263">
        <v>0.64415</v>
      </c>
      <c r="F163" s="264">
        <v>0.00808096647932557</v>
      </c>
      <c r="G163" s="263">
        <v>0.29308</v>
      </c>
      <c r="H163" s="263">
        <v>0.00251130887308285</v>
      </c>
      <c r="I163" s="261">
        <v>0.01934</v>
      </c>
      <c r="J163" s="277">
        <v>0.000198133407095512</v>
      </c>
      <c r="K163" s="255">
        <v>-0.00788283307223006</v>
      </c>
      <c r="L163" s="256">
        <v>-0.00231317546598734</v>
      </c>
      <c r="M163" s="257"/>
      <c r="N163" s="278"/>
    </row>
    <row r="164" spans="1:14">
      <c r="A164" s="158" t="s">
        <v>78</v>
      </c>
      <c r="B164" s="131">
        <v>6666010380</v>
      </c>
      <c r="C164" s="131" t="s">
        <v>81</v>
      </c>
      <c r="D164" s="131" t="s">
        <v>321</v>
      </c>
      <c r="E164" s="184">
        <v>0</v>
      </c>
      <c r="F164" s="191">
        <v>0</v>
      </c>
      <c r="G164" s="184">
        <v>0</v>
      </c>
      <c r="H164" s="184">
        <v>0</v>
      </c>
      <c r="I164" s="178">
        <v>0</v>
      </c>
      <c r="J164" s="275">
        <v>0</v>
      </c>
      <c r="K164" s="248">
        <v>0</v>
      </c>
      <c r="L164" s="249">
        <v>0</v>
      </c>
      <c r="M164" s="250"/>
      <c r="N164" s="276"/>
    </row>
    <row r="165" spans="1:14">
      <c r="A165" s="87"/>
      <c r="B165" s="131">
        <v>5102040406</v>
      </c>
      <c r="C165" s="131" t="s">
        <v>322</v>
      </c>
      <c r="D165" s="131" t="s">
        <v>323</v>
      </c>
      <c r="E165" s="184">
        <v>0.00964</v>
      </c>
      <c r="F165" s="191">
        <v>0.00012093536732236</v>
      </c>
      <c r="G165" s="184">
        <v>0</v>
      </c>
      <c r="H165" s="184">
        <v>0</v>
      </c>
      <c r="I165" s="178">
        <v>0</v>
      </c>
      <c r="J165" s="275">
        <v>0</v>
      </c>
      <c r="K165" s="248">
        <v>-0.00012093536732236</v>
      </c>
      <c r="L165" s="249">
        <v>0</v>
      </c>
      <c r="M165" s="250"/>
      <c r="N165" s="276"/>
    </row>
    <row r="166" spans="1:14">
      <c r="A166" s="73"/>
      <c r="B166" s="265" t="s">
        <v>324</v>
      </c>
      <c r="C166" s="265" t="s">
        <v>97</v>
      </c>
      <c r="D166" s="265" t="s">
        <v>325</v>
      </c>
      <c r="E166" s="263">
        <v>0</v>
      </c>
      <c r="F166" s="264">
        <v>0</v>
      </c>
      <c r="G166" s="263">
        <v>0</v>
      </c>
      <c r="H166" s="263">
        <v>0</v>
      </c>
      <c r="I166" s="261">
        <v>0</v>
      </c>
      <c r="J166" s="277">
        <v>0</v>
      </c>
      <c r="K166" s="255">
        <v>0</v>
      </c>
      <c r="L166" s="256">
        <v>0</v>
      </c>
      <c r="M166" s="257"/>
      <c r="N166" s="278"/>
    </row>
    <row r="167" spans="1:14">
      <c r="A167" s="158" t="s">
        <v>111</v>
      </c>
      <c r="B167" s="131">
        <v>6666029996</v>
      </c>
      <c r="C167" s="131" t="s">
        <v>190</v>
      </c>
      <c r="D167" s="131" t="s">
        <v>703</v>
      </c>
      <c r="E167" s="184">
        <v>0.01762</v>
      </c>
      <c r="F167" s="191">
        <v>0.000221045764753111</v>
      </c>
      <c r="G167" s="184">
        <v>0</v>
      </c>
      <c r="H167" s="184">
        <v>0</v>
      </c>
      <c r="I167" s="178">
        <v>0.08194</v>
      </c>
      <c r="J167" s="275">
        <v>0.000839454569669402</v>
      </c>
      <c r="K167" s="248">
        <v>0.000618408804916291</v>
      </c>
      <c r="L167" s="249">
        <v>0.000839454569669402</v>
      </c>
      <c r="M167" s="250"/>
      <c r="N167" s="276"/>
    </row>
    <row r="168" spans="1:14">
      <c r="A168" s="87"/>
      <c r="B168" s="131">
        <v>6666029700</v>
      </c>
      <c r="C168" s="131" t="s">
        <v>186</v>
      </c>
      <c r="D168" s="131" t="s">
        <v>704</v>
      </c>
      <c r="E168" s="184">
        <v>53.88711</v>
      </c>
      <c r="F168" s="191">
        <v>0.676022556202328</v>
      </c>
      <c r="G168" s="184">
        <v>5.48764</v>
      </c>
      <c r="H168" s="184">
        <v>0.0470218337119025</v>
      </c>
      <c r="I168" s="178">
        <v>90.40666</v>
      </c>
      <c r="J168" s="275">
        <v>0.926193359354991</v>
      </c>
      <c r="K168" s="248">
        <v>0.250170803152662</v>
      </c>
      <c r="L168" s="249">
        <v>0.879171525643088</v>
      </c>
      <c r="M168" s="250"/>
      <c r="N168" s="251" t="s">
        <v>705</v>
      </c>
    </row>
    <row r="169" spans="1:14">
      <c r="A169" s="87"/>
      <c r="B169" s="131">
        <v>6666010322</v>
      </c>
      <c r="C169" s="131" t="s">
        <v>138</v>
      </c>
      <c r="D169" s="131" t="s">
        <v>328</v>
      </c>
      <c r="E169" s="184">
        <v>0.04594</v>
      </c>
      <c r="F169" s="191">
        <v>0.000576324769169008</v>
      </c>
      <c r="G169" s="184">
        <v>3.07489</v>
      </c>
      <c r="H169" s="184">
        <v>0.0263477499002106</v>
      </c>
      <c r="I169" s="178">
        <v>0.28092</v>
      </c>
      <c r="J169" s="275">
        <v>0.00287795432891785</v>
      </c>
      <c r="K169" s="248">
        <v>0.00230162955974884</v>
      </c>
      <c r="L169" s="249">
        <v>-0.0234697955712928</v>
      </c>
      <c r="M169" s="250"/>
      <c r="N169" s="276"/>
    </row>
    <row r="170" spans="1:14">
      <c r="A170" s="87"/>
      <c r="B170" s="131">
        <v>6666020495</v>
      </c>
      <c r="C170" s="131" t="s">
        <v>161</v>
      </c>
      <c r="D170" s="131" t="s">
        <v>706</v>
      </c>
      <c r="E170" s="184">
        <v>0.00279</v>
      </c>
      <c r="F170" s="191">
        <v>3.50010036130068e-5</v>
      </c>
      <c r="G170" s="184">
        <v>0</v>
      </c>
      <c r="H170" s="184">
        <v>0</v>
      </c>
      <c r="I170" s="178">
        <v>0.01967</v>
      </c>
      <c r="J170" s="275">
        <v>0.000201514173607483</v>
      </c>
      <c r="K170" s="248">
        <v>0.000166513169994476</v>
      </c>
      <c r="L170" s="249">
        <v>0.000201514173607483</v>
      </c>
      <c r="M170" s="250"/>
      <c r="N170" s="276"/>
    </row>
    <row r="171" spans="1:14">
      <c r="A171" s="87"/>
      <c r="B171" s="131">
        <v>5301060000</v>
      </c>
      <c r="C171" s="131" t="s">
        <v>124</v>
      </c>
      <c r="D171" s="131" t="s">
        <v>330</v>
      </c>
      <c r="E171" s="184">
        <v>-0.0683</v>
      </c>
      <c r="F171" s="191">
        <v>-0.000856834604576475</v>
      </c>
      <c r="G171" s="184">
        <v>0</v>
      </c>
      <c r="H171" s="184">
        <v>0</v>
      </c>
      <c r="I171" s="178">
        <v>0</v>
      </c>
      <c r="J171" s="275">
        <v>0</v>
      </c>
      <c r="K171" s="248">
        <v>0.000856834604576475</v>
      </c>
      <c r="L171" s="249">
        <v>0</v>
      </c>
      <c r="M171" s="250"/>
      <c r="N171" s="276"/>
    </row>
    <row r="172" spans="1:14">
      <c r="A172" s="87"/>
      <c r="B172" s="131">
        <v>5601050000</v>
      </c>
      <c r="C172" s="131" t="s">
        <v>130</v>
      </c>
      <c r="D172" s="131" t="s">
        <v>707</v>
      </c>
      <c r="E172" s="184">
        <v>0</v>
      </c>
      <c r="F172" s="191">
        <v>0</v>
      </c>
      <c r="G172" s="184">
        <v>0</v>
      </c>
      <c r="H172" s="184">
        <v>0</v>
      </c>
      <c r="I172" s="178">
        <v>0.00474</v>
      </c>
      <c r="J172" s="275">
        <v>4.85601008083105e-5</v>
      </c>
      <c r="K172" s="248">
        <v>4.85601008083105e-5</v>
      </c>
      <c r="L172" s="249">
        <v>4.85601008083105e-5</v>
      </c>
      <c r="M172" s="250"/>
      <c r="N172" s="276"/>
    </row>
    <row r="173" spans="1:14">
      <c r="A173" s="87"/>
      <c r="B173" s="131">
        <v>5601050100</v>
      </c>
      <c r="C173" s="131" t="s">
        <v>132</v>
      </c>
      <c r="D173" s="131" t="s">
        <v>708</v>
      </c>
      <c r="E173" s="184">
        <v>0.08745</v>
      </c>
      <c r="F173" s="191">
        <v>0.00109707446808511</v>
      </c>
      <c r="G173" s="184">
        <v>0</v>
      </c>
      <c r="H173" s="184">
        <v>0</v>
      </c>
      <c r="I173" s="178">
        <v>0</v>
      </c>
      <c r="J173" s="275">
        <v>0</v>
      </c>
      <c r="K173" s="248">
        <v>-0.00109707446808511</v>
      </c>
      <c r="L173" s="249">
        <v>0</v>
      </c>
      <c r="M173" s="250"/>
      <c r="N173" s="276"/>
    </row>
    <row r="174" spans="1:14">
      <c r="A174" s="87"/>
      <c r="B174" s="131">
        <v>5601080000</v>
      </c>
      <c r="C174" s="131" t="s">
        <v>333</v>
      </c>
      <c r="D174" s="131" t="s">
        <v>709</v>
      </c>
      <c r="E174" s="184">
        <v>7.11734</v>
      </c>
      <c r="F174" s="191">
        <v>0.0892881874749097</v>
      </c>
      <c r="G174" s="184">
        <v>0</v>
      </c>
      <c r="H174" s="184">
        <v>0</v>
      </c>
      <c r="I174" s="178">
        <v>0.86777</v>
      </c>
      <c r="J174" s="275">
        <v>0.00889008410937292</v>
      </c>
      <c r="K174" s="248">
        <v>-0.0803981033655368</v>
      </c>
      <c r="L174" s="249">
        <v>0.00889008410937292</v>
      </c>
      <c r="M174" s="250"/>
      <c r="N174" s="276"/>
    </row>
    <row r="175" spans="1:14">
      <c r="A175" s="87"/>
      <c r="B175" s="131">
        <v>6666020101</v>
      </c>
      <c r="C175" s="131" t="s">
        <v>140</v>
      </c>
      <c r="D175" s="131" t="s">
        <v>335</v>
      </c>
      <c r="E175" s="184">
        <v>0</v>
      </c>
      <c r="F175" s="191">
        <v>0</v>
      </c>
      <c r="G175" s="184">
        <v>0.79074</v>
      </c>
      <c r="H175" s="184">
        <v>0.00677559839737115</v>
      </c>
      <c r="I175" s="178">
        <v>0</v>
      </c>
      <c r="J175" s="275">
        <v>0</v>
      </c>
      <c r="K175" s="248">
        <v>0</v>
      </c>
      <c r="L175" s="249">
        <v>-0.00677559839737115</v>
      </c>
      <c r="M175" s="250"/>
      <c r="N175" s="276"/>
    </row>
    <row r="176" spans="1:14">
      <c r="A176" s="87"/>
      <c r="B176" s="131">
        <v>6666021200</v>
      </c>
      <c r="C176" s="131" t="s">
        <v>336</v>
      </c>
      <c r="D176" s="131" t="s">
        <v>337</v>
      </c>
      <c r="E176" s="184">
        <v>0</v>
      </c>
      <c r="F176" s="191">
        <v>0</v>
      </c>
      <c r="G176" s="184">
        <v>2.69917</v>
      </c>
      <c r="H176" s="184">
        <v>0.0231283252728233</v>
      </c>
      <c r="I176" s="178">
        <v>0</v>
      </c>
      <c r="J176" s="275">
        <v>0</v>
      </c>
      <c r="K176" s="248">
        <v>0</v>
      </c>
      <c r="L176" s="249">
        <v>-0.0231283252728233</v>
      </c>
      <c r="M176" s="250"/>
      <c r="N176" s="276"/>
    </row>
    <row r="177" spans="1:14">
      <c r="A177" s="87"/>
      <c r="B177" s="131">
        <v>6666020201</v>
      </c>
      <c r="C177" s="131" t="s">
        <v>143</v>
      </c>
      <c r="D177" s="131" t="s">
        <v>610</v>
      </c>
      <c r="E177" s="184">
        <v>0.07189</v>
      </c>
      <c r="F177" s="191">
        <v>0.000901871738257728</v>
      </c>
      <c r="G177" s="184">
        <v>0</v>
      </c>
      <c r="H177" s="184">
        <v>0</v>
      </c>
      <c r="I177" s="178">
        <v>0.01142</v>
      </c>
      <c r="J177" s="275">
        <v>0.000116995010808208</v>
      </c>
      <c r="K177" s="248">
        <v>-0.00078487672744952</v>
      </c>
      <c r="L177" s="249">
        <v>0.000116995010808208</v>
      </c>
      <c r="M177" s="250"/>
      <c r="N177" s="276"/>
    </row>
    <row r="178" spans="1:14">
      <c r="A178" s="87"/>
      <c r="B178" s="131">
        <v>6666020202</v>
      </c>
      <c r="C178" s="131" t="s">
        <v>146</v>
      </c>
      <c r="D178" s="131" t="s">
        <v>611</v>
      </c>
      <c r="E178" s="184">
        <v>0</v>
      </c>
      <c r="F178" s="191">
        <v>0</v>
      </c>
      <c r="G178" s="184">
        <v>0.97161</v>
      </c>
      <c r="H178" s="184">
        <v>0.00832541563455723</v>
      </c>
      <c r="I178" s="178">
        <v>0</v>
      </c>
      <c r="J178" s="275">
        <v>0</v>
      </c>
      <c r="K178" s="248">
        <v>0</v>
      </c>
      <c r="L178" s="249">
        <v>-0.00832541563455723</v>
      </c>
      <c r="M178" s="250"/>
      <c r="N178" s="276"/>
    </row>
    <row r="179" spans="1:14">
      <c r="A179" s="87"/>
      <c r="B179" s="131">
        <v>6666020204</v>
      </c>
      <c r="C179" s="131" t="s">
        <v>148</v>
      </c>
      <c r="D179" s="131" t="s">
        <v>340</v>
      </c>
      <c r="E179" s="184">
        <v>0</v>
      </c>
      <c r="F179" s="191">
        <v>0</v>
      </c>
      <c r="G179" s="184">
        <v>0.53691</v>
      </c>
      <c r="H179" s="184">
        <v>0.00460061023286105</v>
      </c>
      <c r="I179" s="178">
        <v>0.12989</v>
      </c>
      <c r="J179" s="275">
        <v>0.00133069018860579</v>
      </c>
      <c r="K179" s="248">
        <v>0.00133069018860579</v>
      </c>
      <c r="L179" s="249">
        <v>-0.00326992004425525</v>
      </c>
      <c r="M179" s="250"/>
      <c r="N179" s="276"/>
    </row>
    <row r="180" spans="1:14">
      <c r="A180" s="87"/>
      <c r="B180" s="131">
        <v>6666020301</v>
      </c>
      <c r="C180" s="131" t="s">
        <v>341</v>
      </c>
      <c r="D180" s="131" t="s">
        <v>342</v>
      </c>
      <c r="E180" s="184">
        <v>0.00826</v>
      </c>
      <c r="F180" s="191">
        <v>0.000103623042954637</v>
      </c>
      <c r="G180" s="184">
        <v>0.35644</v>
      </c>
      <c r="H180" s="184">
        <v>0.00305422046786424</v>
      </c>
      <c r="I180" s="178">
        <v>0.01577</v>
      </c>
      <c r="J180" s="275">
        <v>0.000161559660284189</v>
      </c>
      <c r="K180" s="248">
        <v>5.79366173295526e-5</v>
      </c>
      <c r="L180" s="249">
        <v>-0.00289266080758005</v>
      </c>
      <c r="M180" s="250"/>
      <c r="N180" s="276"/>
    </row>
    <row r="181" spans="1:14">
      <c r="A181" s="87"/>
      <c r="B181" s="131">
        <v>6666020403</v>
      </c>
      <c r="C181" s="131" t="s">
        <v>157</v>
      </c>
      <c r="D181" s="131" t="s">
        <v>343</v>
      </c>
      <c r="E181" s="184">
        <v>0</v>
      </c>
      <c r="F181" s="191">
        <v>0</v>
      </c>
      <c r="G181" s="184">
        <v>0</v>
      </c>
      <c r="H181" s="184">
        <v>0</v>
      </c>
      <c r="I181" s="178">
        <v>0</v>
      </c>
      <c r="J181" s="275">
        <v>0</v>
      </c>
      <c r="K181" s="248">
        <v>0</v>
      </c>
      <c r="L181" s="249">
        <v>0</v>
      </c>
      <c r="M181" s="250"/>
      <c r="N181" s="276"/>
    </row>
    <row r="182" spans="1:14">
      <c r="A182" s="87"/>
      <c r="B182" s="131">
        <v>6666020504</v>
      </c>
      <c r="C182" s="131" t="s">
        <v>163</v>
      </c>
      <c r="D182" s="131" t="s">
        <v>344</v>
      </c>
      <c r="E182" s="184">
        <v>0</v>
      </c>
      <c r="F182" s="191">
        <v>0</v>
      </c>
      <c r="G182" s="184">
        <v>0</v>
      </c>
      <c r="H182" s="184">
        <v>0</v>
      </c>
      <c r="I182" s="178">
        <v>0</v>
      </c>
      <c r="J182" s="275">
        <v>0</v>
      </c>
      <c r="K182" s="248">
        <v>0</v>
      </c>
      <c r="L182" s="249">
        <v>0</v>
      </c>
      <c r="M182" s="250"/>
      <c r="N182" s="276"/>
    </row>
    <row r="183" spans="1:14">
      <c r="A183" s="87"/>
      <c r="B183" s="131">
        <v>6666020508</v>
      </c>
      <c r="C183" s="131" t="s">
        <v>165</v>
      </c>
      <c r="D183" s="131" t="s">
        <v>345</v>
      </c>
      <c r="E183" s="184">
        <v>0.03729</v>
      </c>
      <c r="F183" s="191">
        <v>0.000467809112806102</v>
      </c>
      <c r="G183" s="184">
        <v>0.02195</v>
      </c>
      <c r="H183" s="184">
        <v>0.000188082536386545</v>
      </c>
      <c r="I183" s="178">
        <v>0.01785</v>
      </c>
      <c r="J183" s="275">
        <v>0.000182868734056612</v>
      </c>
      <c r="K183" s="248">
        <v>-0.000284940378749489</v>
      </c>
      <c r="L183" s="249">
        <v>-5.21380232993264e-6</v>
      </c>
      <c r="M183" s="250"/>
      <c r="N183" s="276"/>
    </row>
    <row r="184" spans="1:14">
      <c r="A184" s="87"/>
      <c r="B184" s="131">
        <v>6666020601</v>
      </c>
      <c r="C184" s="131" t="s">
        <v>346</v>
      </c>
      <c r="D184" s="131" t="s">
        <v>710</v>
      </c>
      <c r="E184" s="184">
        <v>0</v>
      </c>
      <c r="F184" s="191">
        <v>0</v>
      </c>
      <c r="G184" s="184">
        <v>0.79658</v>
      </c>
      <c r="H184" s="184">
        <v>0.00682563949133458</v>
      </c>
      <c r="I184" s="178">
        <v>0</v>
      </c>
      <c r="J184" s="275">
        <v>0</v>
      </c>
      <c r="K184" s="248">
        <v>0</v>
      </c>
      <c r="L184" s="249">
        <v>-0.00682563949133458</v>
      </c>
      <c r="M184" s="250"/>
      <c r="N184" s="276"/>
    </row>
    <row r="185" spans="1:14">
      <c r="A185" s="87"/>
      <c r="B185" s="131">
        <v>6666020602</v>
      </c>
      <c r="C185" s="131" t="s">
        <v>167</v>
      </c>
      <c r="D185" s="131" t="s">
        <v>618</v>
      </c>
      <c r="E185" s="184">
        <v>0</v>
      </c>
      <c r="F185" s="191">
        <v>0</v>
      </c>
      <c r="G185" s="184">
        <v>0</v>
      </c>
      <c r="H185" s="184">
        <v>0</v>
      </c>
      <c r="I185" s="178">
        <v>-0.0234</v>
      </c>
      <c r="J185" s="275">
        <v>-0.000239727079939761</v>
      </c>
      <c r="K185" s="248">
        <v>-0.000239727079939761</v>
      </c>
      <c r="L185" s="249">
        <v>-0.000239727079939761</v>
      </c>
      <c r="M185" s="250"/>
      <c r="N185" s="276"/>
    </row>
    <row r="186" spans="1:14">
      <c r="A186" s="87"/>
      <c r="B186" s="131">
        <v>6666020701</v>
      </c>
      <c r="C186" s="131" t="s">
        <v>170</v>
      </c>
      <c r="D186" s="131" t="s">
        <v>348</v>
      </c>
      <c r="E186" s="184">
        <v>40.05955</v>
      </c>
      <c r="F186" s="191">
        <v>0.502553567844239</v>
      </c>
      <c r="G186" s="184">
        <v>20.13725</v>
      </c>
      <c r="H186" s="184">
        <v>0.172549660858768</v>
      </c>
      <c r="I186" s="178">
        <v>20.13725</v>
      </c>
      <c r="J186" s="275">
        <v>0.206301031646024</v>
      </c>
      <c r="K186" s="248">
        <v>-0.296252536198216</v>
      </c>
      <c r="L186" s="249">
        <v>0.0337513707872556</v>
      </c>
      <c r="M186" s="250"/>
      <c r="N186" s="276"/>
    </row>
    <row r="187" spans="1:14">
      <c r="A187" s="87"/>
      <c r="B187" s="131">
        <v>6666020801</v>
      </c>
      <c r="C187" s="131" t="s">
        <v>349</v>
      </c>
      <c r="D187" s="131" t="s">
        <v>711</v>
      </c>
      <c r="E187" s="184">
        <v>0</v>
      </c>
      <c r="F187" s="191">
        <v>0</v>
      </c>
      <c r="G187" s="184">
        <v>0.96587</v>
      </c>
      <c r="H187" s="184">
        <v>0.00827623140864111</v>
      </c>
      <c r="I187" s="178">
        <v>0.02908</v>
      </c>
      <c r="J187" s="275">
        <v>0.000297917242933686</v>
      </c>
      <c r="K187" s="248">
        <v>0.000297917242933686</v>
      </c>
      <c r="L187" s="249">
        <v>-0.00797831416570743</v>
      </c>
      <c r="M187" s="250"/>
      <c r="N187" s="276"/>
    </row>
    <row r="188" spans="1:14">
      <c r="A188" s="87"/>
      <c r="B188" s="131">
        <v>6666020803</v>
      </c>
      <c r="C188" s="131" t="s">
        <v>174</v>
      </c>
      <c r="D188" s="131" t="s">
        <v>620</v>
      </c>
      <c r="E188" s="184">
        <v>-0.01746</v>
      </c>
      <c r="F188" s="191">
        <v>-0.000219038538739462</v>
      </c>
      <c r="G188" s="184">
        <v>0</v>
      </c>
      <c r="H188" s="184">
        <v>0</v>
      </c>
      <c r="I188" s="178">
        <v>0.67089</v>
      </c>
      <c r="J188" s="275">
        <v>0.00687309831883702</v>
      </c>
      <c r="K188" s="248">
        <v>0.00709213685757648</v>
      </c>
      <c r="L188" s="249">
        <v>0.00687309831883702</v>
      </c>
      <c r="M188" s="250"/>
      <c r="N188" s="276"/>
    </row>
    <row r="189" spans="1:14">
      <c r="A189" s="87"/>
      <c r="B189" s="131">
        <v>6666021100</v>
      </c>
      <c r="C189" s="131" t="s">
        <v>176</v>
      </c>
      <c r="D189" s="131" t="s">
        <v>352</v>
      </c>
      <c r="E189" s="184">
        <v>0</v>
      </c>
      <c r="F189" s="191">
        <v>0</v>
      </c>
      <c r="G189" s="184">
        <v>1.10613</v>
      </c>
      <c r="H189" s="184">
        <v>0.0094780745318109</v>
      </c>
      <c r="I189" s="178">
        <v>1.48725</v>
      </c>
      <c r="J189" s="275">
        <v>0.0152364999846329</v>
      </c>
      <c r="K189" s="248">
        <v>0.0152364999846329</v>
      </c>
      <c r="L189" s="249">
        <v>0.00575842545282198</v>
      </c>
      <c r="M189" s="250"/>
      <c r="N189" s="276"/>
    </row>
    <row r="190" spans="1:14">
      <c r="A190" s="87"/>
      <c r="B190" s="131">
        <v>6666021102</v>
      </c>
      <c r="C190" s="131" t="s">
        <v>353</v>
      </c>
      <c r="D190" s="131" t="s">
        <v>712</v>
      </c>
      <c r="E190" s="184">
        <v>0.99229</v>
      </c>
      <c r="F190" s="191">
        <v>0.0124484393817744</v>
      </c>
      <c r="G190" s="184">
        <v>2.98412</v>
      </c>
      <c r="H190" s="184">
        <v>0.0255699707736591</v>
      </c>
      <c r="I190" s="178">
        <v>0.16977</v>
      </c>
      <c r="J190" s="275">
        <v>0.00173925069920398</v>
      </c>
      <c r="K190" s="248">
        <v>-0.0107091886825704</v>
      </c>
      <c r="L190" s="249">
        <v>-0.0238307200744551</v>
      </c>
      <c r="M190" s="250"/>
      <c r="N190" s="276"/>
    </row>
    <row r="191" spans="1:14">
      <c r="A191" s="87"/>
      <c r="B191" s="131">
        <v>6666021104</v>
      </c>
      <c r="C191" s="131" t="s">
        <v>178</v>
      </c>
      <c r="D191" s="131" t="s">
        <v>355</v>
      </c>
      <c r="E191" s="184">
        <v>0</v>
      </c>
      <c r="F191" s="191">
        <v>0</v>
      </c>
      <c r="G191" s="184">
        <v>0.56647</v>
      </c>
      <c r="H191" s="184">
        <v>0.00485390042764858</v>
      </c>
      <c r="I191" s="178">
        <v>-0.00161</v>
      </c>
      <c r="J191" s="275">
        <v>-1.6494042679616e-5</v>
      </c>
      <c r="K191" s="248">
        <v>-1.6494042679616e-5</v>
      </c>
      <c r="L191" s="249">
        <v>-0.00487039447032819</v>
      </c>
      <c r="M191" s="250"/>
      <c r="N191" s="276"/>
    </row>
    <row r="192" spans="1:14">
      <c r="A192" s="87"/>
      <c r="B192" s="131">
        <v>6666021103</v>
      </c>
      <c r="C192" s="131" t="s">
        <v>356</v>
      </c>
      <c r="D192" s="131" t="s">
        <v>357</v>
      </c>
      <c r="E192" s="184">
        <v>0</v>
      </c>
      <c r="F192" s="191">
        <v>0</v>
      </c>
      <c r="G192" s="184">
        <v>3.84972</v>
      </c>
      <c r="H192" s="184">
        <v>0.0329870205912533</v>
      </c>
      <c r="I192" s="178">
        <v>0</v>
      </c>
      <c r="J192" s="275">
        <v>0</v>
      </c>
      <c r="K192" s="248">
        <v>0</v>
      </c>
      <c r="L192" s="249">
        <v>-0.0329870205912533</v>
      </c>
      <c r="M192" s="250"/>
      <c r="N192" s="276"/>
    </row>
    <row r="193" spans="1:14">
      <c r="A193" s="87"/>
      <c r="B193" s="131">
        <v>6666021300</v>
      </c>
      <c r="C193" s="131" t="s">
        <v>358</v>
      </c>
      <c r="D193" s="131" t="s">
        <v>359</v>
      </c>
      <c r="E193" s="184">
        <v>1.16308</v>
      </c>
      <c r="F193" s="191">
        <v>0.014591027699719</v>
      </c>
      <c r="G193" s="184">
        <v>3.67549</v>
      </c>
      <c r="H193" s="184">
        <v>0.0314940993924092</v>
      </c>
      <c r="I193" s="178">
        <v>0.72306</v>
      </c>
      <c r="J193" s="275">
        <v>0.00740756677013861</v>
      </c>
      <c r="K193" s="248">
        <v>-0.00718346092958038</v>
      </c>
      <c r="L193" s="249">
        <v>-0.0240865326222706</v>
      </c>
      <c r="M193" s="250"/>
      <c r="N193" s="276"/>
    </row>
    <row r="194" spans="1:14">
      <c r="A194" s="87"/>
      <c r="B194" s="131">
        <v>6666021902</v>
      </c>
      <c r="C194" s="131" t="s">
        <v>180</v>
      </c>
      <c r="D194" s="131" t="s">
        <v>360</v>
      </c>
      <c r="E194" s="184">
        <v>0</v>
      </c>
      <c r="F194" s="191">
        <v>0</v>
      </c>
      <c r="G194" s="184">
        <v>4.20465</v>
      </c>
      <c r="H194" s="184">
        <v>0.0360283023516031</v>
      </c>
      <c r="I194" s="178">
        <v>0.08246</v>
      </c>
      <c r="J194" s="275">
        <v>0.000844781838112508</v>
      </c>
      <c r="K194" s="248">
        <v>0.000844781838112508</v>
      </c>
      <c r="L194" s="249">
        <v>-0.0351835205134905</v>
      </c>
      <c r="M194" s="250"/>
      <c r="N194" s="276"/>
    </row>
    <row r="195" spans="1:14">
      <c r="A195" s="87"/>
      <c r="B195" s="131">
        <v>6666022100</v>
      </c>
      <c r="C195" s="131" t="s">
        <v>182</v>
      </c>
      <c r="D195" s="131" t="s">
        <v>713</v>
      </c>
      <c r="E195" s="184">
        <v>0</v>
      </c>
      <c r="F195" s="191">
        <v>0</v>
      </c>
      <c r="G195" s="184">
        <v>0.56993</v>
      </c>
      <c r="H195" s="184">
        <v>0.00488354806208582</v>
      </c>
      <c r="I195" s="178">
        <v>0.0754</v>
      </c>
      <c r="J195" s="275">
        <v>0.000772453924250341</v>
      </c>
      <c r="K195" s="248">
        <v>0.000772453924250341</v>
      </c>
      <c r="L195" s="249">
        <v>-0.00411109413783548</v>
      </c>
      <c r="M195" s="250"/>
      <c r="N195" s="276"/>
    </row>
    <row r="196" spans="1:14">
      <c r="A196" s="87"/>
      <c r="B196" s="131">
        <v>6666022300</v>
      </c>
      <c r="C196" s="131" t="s">
        <v>184</v>
      </c>
      <c r="D196" s="131" t="s">
        <v>362</v>
      </c>
      <c r="E196" s="184">
        <v>8.4916</v>
      </c>
      <c r="F196" s="191">
        <v>0.106528502609394</v>
      </c>
      <c r="G196" s="184">
        <v>6.39185312156346</v>
      </c>
      <c r="H196" s="184">
        <v>0.0547697470302465</v>
      </c>
      <c r="I196" s="178">
        <v>4.97102</v>
      </c>
      <c r="J196" s="275">
        <v>0.0509268422616304</v>
      </c>
      <c r="K196" s="248">
        <v>-0.0556016603477635</v>
      </c>
      <c r="L196" s="249">
        <v>-0.00384290476861619</v>
      </c>
      <c r="M196" s="250"/>
      <c r="N196" s="276"/>
    </row>
    <row r="197" spans="1:14">
      <c r="A197" s="87"/>
      <c r="B197" s="131">
        <v>6666029900</v>
      </c>
      <c r="C197" s="131" t="s">
        <v>188</v>
      </c>
      <c r="D197" s="131" t="s">
        <v>714</v>
      </c>
      <c r="E197" s="184">
        <v>0.33198</v>
      </c>
      <c r="F197" s="191">
        <v>0.00416474307507025</v>
      </c>
      <c r="G197" s="184">
        <v>0</v>
      </c>
      <c r="H197" s="184">
        <v>0</v>
      </c>
      <c r="I197" s="178">
        <v>31.26699</v>
      </c>
      <c r="J197" s="275">
        <v>0.320322402188278</v>
      </c>
      <c r="K197" s="248">
        <v>0.316157659113208</v>
      </c>
      <c r="L197" s="249">
        <v>0.320322402188278</v>
      </c>
      <c r="M197" s="250"/>
      <c r="N197" s="276" t="s">
        <v>562</v>
      </c>
    </row>
    <row r="198" spans="1:14">
      <c r="A198" s="87"/>
      <c r="B198" s="131">
        <v>6666029997</v>
      </c>
      <c r="C198" s="131" t="s">
        <v>191</v>
      </c>
      <c r="D198" s="131" t="s">
        <v>364</v>
      </c>
      <c r="E198" s="184">
        <v>0</v>
      </c>
      <c r="F198" s="191">
        <v>0</v>
      </c>
      <c r="G198" s="184">
        <v>0</v>
      </c>
      <c r="H198" s="184">
        <v>0</v>
      </c>
      <c r="I198" s="178">
        <v>0</v>
      </c>
      <c r="J198" s="275">
        <v>0</v>
      </c>
      <c r="K198" s="248">
        <v>0</v>
      </c>
      <c r="L198" s="249">
        <v>0</v>
      </c>
      <c r="M198" s="250"/>
      <c r="N198" s="276"/>
    </row>
    <row r="199" spans="1:14">
      <c r="A199" s="87"/>
      <c r="B199" s="131">
        <v>6666031100</v>
      </c>
      <c r="C199" s="131" t="s">
        <v>365</v>
      </c>
      <c r="D199" s="131" t="s">
        <v>715</v>
      </c>
      <c r="E199" s="184">
        <v>0</v>
      </c>
      <c r="F199" s="191">
        <v>0</v>
      </c>
      <c r="G199" s="184">
        <v>0</v>
      </c>
      <c r="H199" s="184">
        <v>0</v>
      </c>
      <c r="I199" s="178">
        <v>0</v>
      </c>
      <c r="J199" s="275">
        <v>0</v>
      </c>
      <c r="K199" s="248">
        <v>0</v>
      </c>
      <c r="L199" s="249">
        <v>0</v>
      </c>
      <c r="M199" s="250"/>
      <c r="N199" s="276"/>
    </row>
    <row r="200" spans="1:14">
      <c r="A200" s="87"/>
      <c r="B200" s="131">
        <v>6666050107</v>
      </c>
      <c r="C200" s="131" t="s">
        <v>197</v>
      </c>
      <c r="D200" s="131" t="s">
        <v>367</v>
      </c>
      <c r="E200" s="184">
        <v>0</v>
      </c>
      <c r="F200" s="191">
        <v>0</v>
      </c>
      <c r="G200" s="184">
        <v>0</v>
      </c>
      <c r="H200" s="184">
        <v>0</v>
      </c>
      <c r="I200" s="178">
        <v>0</v>
      </c>
      <c r="J200" s="275">
        <v>0</v>
      </c>
      <c r="K200" s="248">
        <v>0</v>
      </c>
      <c r="L200" s="249">
        <v>0</v>
      </c>
      <c r="M200" s="250"/>
      <c r="N200" s="276"/>
    </row>
    <row r="201" spans="1:14">
      <c r="A201" s="87"/>
      <c r="B201" s="131">
        <v>6666079999</v>
      </c>
      <c r="C201" s="131" t="s">
        <v>368</v>
      </c>
      <c r="D201" s="131" t="s">
        <v>369</v>
      </c>
      <c r="E201" s="279">
        <v>252.82816</v>
      </c>
      <c r="F201" s="280">
        <v>3.17177037334404</v>
      </c>
      <c r="G201" s="279">
        <v>94.9699</v>
      </c>
      <c r="H201" s="279">
        <v>0.813766727670914</v>
      </c>
      <c r="I201" s="178">
        <v>94.62519</v>
      </c>
      <c r="J201" s="275">
        <v>0.969411131942097</v>
      </c>
      <c r="K201" s="248">
        <v>-2.20235924140194</v>
      </c>
      <c r="L201" s="249">
        <v>0.155644404271183</v>
      </c>
      <c r="M201" s="250"/>
      <c r="N201" s="276"/>
    </row>
    <row r="202" spans="1:14">
      <c r="A202" s="87"/>
      <c r="B202" s="131">
        <v>6666090100</v>
      </c>
      <c r="C202" s="131" t="s">
        <v>370</v>
      </c>
      <c r="D202" s="131" t="s">
        <v>371</v>
      </c>
      <c r="E202" s="184">
        <v>0</v>
      </c>
      <c r="F202" s="191">
        <v>0</v>
      </c>
      <c r="G202" s="184">
        <v>0</v>
      </c>
      <c r="H202" s="184">
        <v>0</v>
      </c>
      <c r="I202" s="178">
        <v>0</v>
      </c>
      <c r="J202" s="275">
        <v>0</v>
      </c>
      <c r="K202" s="248">
        <v>0</v>
      </c>
      <c r="L202" s="249">
        <v>0</v>
      </c>
      <c r="M202" s="250"/>
      <c r="N202" s="276"/>
    </row>
    <row r="203" spans="1:14">
      <c r="A203" s="87"/>
      <c r="B203" s="131">
        <v>6666093800</v>
      </c>
      <c r="C203" s="131" t="s">
        <v>372</v>
      </c>
      <c r="D203" s="131" t="s">
        <v>373</v>
      </c>
      <c r="E203" s="184">
        <v>0.15534</v>
      </c>
      <c r="F203" s="191">
        <v>0.00194876555600161</v>
      </c>
      <c r="G203" s="184">
        <v>0</v>
      </c>
      <c r="H203" s="184">
        <v>0</v>
      </c>
      <c r="I203" s="178">
        <v>0.13964</v>
      </c>
      <c r="J203" s="275">
        <v>0.00143057647191403</v>
      </c>
      <c r="K203" s="248">
        <v>-0.00051818908408758</v>
      </c>
      <c r="L203" s="249">
        <v>0.00143057647191403</v>
      </c>
      <c r="M203" s="250"/>
      <c r="N203" s="276"/>
    </row>
    <row r="204" spans="1:14">
      <c r="A204" s="87"/>
      <c r="B204" s="131">
        <v>6666021400</v>
      </c>
      <c r="C204" s="131" t="s">
        <v>374</v>
      </c>
      <c r="D204" s="131" t="s">
        <v>375</v>
      </c>
      <c r="E204" s="184">
        <v>0</v>
      </c>
      <c r="F204" s="191">
        <v>0</v>
      </c>
      <c r="G204" s="184">
        <v>0.67634</v>
      </c>
      <c r="H204" s="184">
        <v>0.00579534135123808</v>
      </c>
      <c r="I204" s="178">
        <v>0</v>
      </c>
      <c r="J204" s="275">
        <v>0</v>
      </c>
      <c r="K204" s="248">
        <v>0</v>
      </c>
      <c r="L204" s="249">
        <v>-0.00579534135123808</v>
      </c>
      <c r="M204" s="250"/>
      <c r="N204" s="276"/>
    </row>
    <row r="205" spans="1:14">
      <c r="A205" s="87"/>
      <c r="B205" s="131">
        <v>5401050201</v>
      </c>
      <c r="C205" s="131" t="s">
        <v>647</v>
      </c>
      <c r="D205" s="131" t="s">
        <v>716</v>
      </c>
      <c r="E205" s="184">
        <v>0</v>
      </c>
      <c r="F205" s="191">
        <v>0</v>
      </c>
      <c r="G205" s="184">
        <v>0</v>
      </c>
      <c r="H205" s="184">
        <v>0</v>
      </c>
      <c r="I205" s="178">
        <v>0</v>
      </c>
      <c r="J205" s="275">
        <v>0</v>
      </c>
      <c r="K205" s="248">
        <v>0</v>
      </c>
      <c r="L205" s="249">
        <v>0</v>
      </c>
      <c r="M205" s="250"/>
      <c r="N205" s="276"/>
    </row>
    <row r="206" spans="1:14">
      <c r="A206" s="87"/>
      <c r="B206" s="131">
        <v>5301070000</v>
      </c>
      <c r="C206" s="131" t="s">
        <v>231</v>
      </c>
      <c r="D206" s="131" t="s">
        <v>657</v>
      </c>
      <c r="E206" s="184">
        <v>0</v>
      </c>
      <c r="F206" s="191">
        <v>0</v>
      </c>
      <c r="G206" s="184">
        <v>0</v>
      </c>
      <c r="H206" s="184">
        <v>0</v>
      </c>
      <c r="I206" s="178">
        <v>-1.99782</v>
      </c>
      <c r="J206" s="275">
        <v>-0.0204671604634724</v>
      </c>
      <c r="K206" s="248">
        <v>-0.0204671604634724</v>
      </c>
      <c r="L206" s="249">
        <v>-0.0204671604634724</v>
      </c>
      <c r="M206" s="250"/>
      <c r="N206" s="276"/>
    </row>
    <row r="207" spans="1:14">
      <c r="A207" s="87"/>
      <c r="B207" s="131">
        <v>5207000011</v>
      </c>
      <c r="C207" s="131" t="s">
        <v>118</v>
      </c>
      <c r="D207" s="131" t="s">
        <v>603</v>
      </c>
      <c r="E207" s="184">
        <v>0</v>
      </c>
      <c r="F207" s="191">
        <v>0</v>
      </c>
      <c r="G207" s="184">
        <v>0</v>
      </c>
      <c r="H207" s="184">
        <v>0</v>
      </c>
      <c r="I207" s="178">
        <v>0</v>
      </c>
      <c r="J207" s="275">
        <v>0</v>
      </c>
      <c r="K207" s="248">
        <v>0</v>
      </c>
      <c r="L207" s="249">
        <v>0</v>
      </c>
      <c r="M207" s="250"/>
      <c r="N207" s="276"/>
    </row>
    <row r="208" spans="1:14">
      <c r="A208" s="87"/>
      <c r="B208" s="131">
        <v>5102040894</v>
      </c>
      <c r="C208" s="131" t="s">
        <v>717</v>
      </c>
      <c r="D208" s="131" t="s">
        <v>718</v>
      </c>
      <c r="E208" s="184">
        <v>0.19432</v>
      </c>
      <c r="F208" s="191">
        <v>0.00243777599357688</v>
      </c>
      <c r="G208" s="184">
        <v>0</v>
      </c>
      <c r="H208" s="184">
        <v>0</v>
      </c>
      <c r="I208" s="178">
        <v>0</v>
      </c>
      <c r="J208" s="275">
        <v>0</v>
      </c>
      <c r="K208" s="248">
        <v>-0.00243777599357688</v>
      </c>
      <c r="L208" s="249">
        <v>0</v>
      </c>
      <c r="M208" s="250"/>
      <c r="N208" s="276"/>
    </row>
    <row r="209" spans="1:14">
      <c r="A209" s="87"/>
      <c r="B209" s="131">
        <v>5207000012</v>
      </c>
      <c r="C209" s="131" t="s">
        <v>120</v>
      </c>
      <c r="D209" s="131" t="s">
        <v>604</v>
      </c>
      <c r="E209" s="184">
        <v>0</v>
      </c>
      <c r="F209" s="191">
        <v>0</v>
      </c>
      <c r="G209" s="184">
        <v>0</v>
      </c>
      <c r="H209" s="184">
        <v>0</v>
      </c>
      <c r="I209" s="178">
        <v>0</v>
      </c>
      <c r="J209" s="275">
        <v>0</v>
      </c>
      <c r="K209" s="248">
        <v>0</v>
      </c>
      <c r="L209" s="249">
        <v>0</v>
      </c>
      <c r="M209" s="250"/>
      <c r="N209" s="276"/>
    </row>
    <row r="210" spans="1:14">
      <c r="A210" s="87"/>
      <c r="B210" s="131">
        <v>5301999999</v>
      </c>
      <c r="C210" s="131" t="s">
        <v>126</v>
      </c>
      <c r="D210" s="131" t="s">
        <v>606</v>
      </c>
      <c r="E210" s="184">
        <v>0</v>
      </c>
      <c r="F210" s="191">
        <v>0</v>
      </c>
      <c r="G210" s="184">
        <v>0</v>
      </c>
      <c r="H210" s="184">
        <v>0</v>
      </c>
      <c r="I210" s="178">
        <v>-0.31312</v>
      </c>
      <c r="J210" s="275">
        <v>-0.00320783518251017</v>
      </c>
      <c r="K210" s="248">
        <v>-0.00320783518251017</v>
      </c>
      <c r="L210" s="249">
        <v>-0.00320783518251017</v>
      </c>
      <c r="M210" s="250"/>
      <c r="N210" s="276"/>
    </row>
    <row r="211" spans="1:14">
      <c r="A211" s="87"/>
      <c r="B211" s="131">
        <v>6666070400</v>
      </c>
      <c r="C211" s="131" t="s">
        <v>203</v>
      </c>
      <c r="D211" s="131" t="s">
        <v>627</v>
      </c>
      <c r="E211" s="184">
        <v>0</v>
      </c>
      <c r="F211" s="191">
        <v>0</v>
      </c>
      <c r="G211" s="184">
        <v>0</v>
      </c>
      <c r="H211" s="184">
        <v>0</v>
      </c>
      <c r="I211" s="178">
        <v>0</v>
      </c>
      <c r="J211" s="275">
        <v>0</v>
      </c>
      <c r="K211" s="248">
        <v>0</v>
      </c>
      <c r="L211" s="249">
        <v>0</v>
      </c>
      <c r="M211" s="250"/>
      <c r="N211" s="276"/>
    </row>
    <row r="212" spans="1:14">
      <c r="A212" s="87"/>
      <c r="B212" s="131">
        <v>5801000041</v>
      </c>
      <c r="C212" s="131" t="s">
        <v>719</v>
      </c>
      <c r="D212" s="131" t="s">
        <v>720</v>
      </c>
      <c r="E212" s="184">
        <v>0</v>
      </c>
      <c r="F212" s="191">
        <v>0</v>
      </c>
      <c r="G212" s="184">
        <v>0</v>
      </c>
      <c r="H212" s="184">
        <v>0</v>
      </c>
      <c r="I212" s="178">
        <v>0.00119</v>
      </c>
      <c r="J212" s="275">
        <v>1.21912489371075e-5</v>
      </c>
      <c r="K212" s="248">
        <v>1.21912489371075e-5</v>
      </c>
      <c r="L212" s="249">
        <v>1.21912489371075e-5</v>
      </c>
      <c r="M212" s="250"/>
      <c r="N212" s="276"/>
    </row>
    <row r="213" spans="1:14">
      <c r="A213" s="73"/>
      <c r="B213" s="265" t="s">
        <v>376</v>
      </c>
      <c r="C213" s="265" t="s">
        <v>213</v>
      </c>
      <c r="D213" s="265" t="s">
        <v>650</v>
      </c>
      <c r="E213" s="263">
        <v>365.40625</v>
      </c>
      <c r="F213" s="264">
        <v>4.58408081593737</v>
      </c>
      <c r="G213" s="263">
        <v>154.833653121563</v>
      </c>
      <c r="H213" s="263">
        <v>1.32672010009559</v>
      </c>
      <c r="I213" s="261">
        <v>243.87987</v>
      </c>
      <c r="J213" s="277">
        <v>2.49848756799951</v>
      </c>
      <c r="K213" s="255">
        <v>-2.08559324793787</v>
      </c>
      <c r="L213" s="256">
        <v>1.17176746790392</v>
      </c>
      <c r="M213" s="257"/>
      <c r="N213" s="278" t="s">
        <v>562</v>
      </c>
    </row>
    <row r="214" spans="1:14">
      <c r="A214" s="158" t="s">
        <v>212</v>
      </c>
      <c r="B214" s="146">
        <v>5102040000</v>
      </c>
      <c r="C214" s="146" t="s">
        <v>217</v>
      </c>
      <c r="D214" s="146" t="s">
        <v>721</v>
      </c>
      <c r="E214" s="184">
        <v>-0.04537</v>
      </c>
      <c r="F214" s="191">
        <v>-0.000569174026495383</v>
      </c>
      <c r="G214" s="184">
        <v>0</v>
      </c>
      <c r="H214" s="184">
        <v>0</v>
      </c>
      <c r="I214" s="178">
        <v>-0.05978</v>
      </c>
      <c r="J214" s="275">
        <v>-0.000612430976017047</v>
      </c>
      <c r="K214" s="248">
        <v>-4.32569495216639e-5</v>
      </c>
      <c r="L214" s="249">
        <v>-0.000612430976017047</v>
      </c>
      <c r="M214" s="250"/>
      <c r="N214" s="276"/>
    </row>
    <row r="215" spans="1:14">
      <c r="A215" s="73"/>
      <c r="B215" s="265" t="s">
        <v>379</v>
      </c>
      <c r="C215" s="265" t="s">
        <v>224</v>
      </c>
      <c r="D215" s="265" t="s">
        <v>722</v>
      </c>
      <c r="E215" s="263">
        <v>-0.04537</v>
      </c>
      <c r="F215" s="264">
        <v>-0.000569174026495383</v>
      </c>
      <c r="G215" s="263">
        <v>0</v>
      </c>
      <c r="H215" s="263">
        <v>0</v>
      </c>
      <c r="I215" s="261">
        <v>-0.05978</v>
      </c>
      <c r="J215" s="277">
        <v>-0.000612430976017047</v>
      </c>
      <c r="K215" s="255">
        <v>-4.32569495216639e-5</v>
      </c>
      <c r="L215" s="256">
        <v>-0.000612430976017047</v>
      </c>
      <c r="M215" s="257"/>
      <c r="N215" s="278"/>
    </row>
    <row r="216" spans="1:14">
      <c r="A216" s="158" t="s">
        <v>243</v>
      </c>
      <c r="B216" s="146">
        <v>6666021600</v>
      </c>
      <c r="C216" s="146" t="s">
        <v>246</v>
      </c>
      <c r="D216" s="146" t="s">
        <v>723</v>
      </c>
      <c r="E216" s="184">
        <v>0.75802</v>
      </c>
      <c r="F216" s="191">
        <v>0.00950948414291449</v>
      </c>
      <c r="G216" s="184">
        <v>1.42679</v>
      </c>
      <c r="H216" s="184">
        <v>0.0122257076123444</v>
      </c>
      <c r="I216" s="178">
        <v>-0.04813</v>
      </c>
      <c r="J216" s="275">
        <v>-0.000493079673397466</v>
      </c>
      <c r="K216" s="248">
        <v>-0.010002563816312</v>
      </c>
      <c r="L216" s="249">
        <v>-0.0127187872857418</v>
      </c>
      <c r="M216" s="250"/>
      <c r="N216" s="276"/>
    </row>
    <row r="217" spans="1:14">
      <c r="A217" s="87"/>
      <c r="B217" s="146">
        <v>6666021604</v>
      </c>
      <c r="C217" s="146" t="s">
        <v>248</v>
      </c>
      <c r="D217" s="146" t="s">
        <v>662</v>
      </c>
      <c r="E217" s="184">
        <v>0</v>
      </c>
      <c r="F217" s="191">
        <v>0</v>
      </c>
      <c r="G217" s="184">
        <v>0</v>
      </c>
      <c r="H217" s="184">
        <v>0</v>
      </c>
      <c r="I217" s="178">
        <v>0.00138</v>
      </c>
      <c r="J217" s="275">
        <v>1.41377508682423e-5</v>
      </c>
      <c r="K217" s="248">
        <v>1.41377508682423e-5</v>
      </c>
      <c r="L217" s="249">
        <v>1.41377508682423e-5</v>
      </c>
      <c r="M217" s="250"/>
      <c r="N217" s="276"/>
    </row>
    <row r="218" spans="1:14">
      <c r="A218" s="73"/>
      <c r="B218" s="232" t="s">
        <v>379</v>
      </c>
      <c r="C218" s="232" t="s">
        <v>251</v>
      </c>
      <c r="D218" s="232" t="s">
        <v>724</v>
      </c>
      <c r="E218" s="184">
        <v>0.75802</v>
      </c>
      <c r="F218" s="191">
        <v>0.00950948414291449</v>
      </c>
      <c r="G218" s="184">
        <v>1.42679</v>
      </c>
      <c r="H218" s="184">
        <v>0.0122257076123444</v>
      </c>
      <c r="I218" s="178">
        <v>-0.04675</v>
      </c>
      <c r="J218" s="275">
        <v>-0.000478941922529223</v>
      </c>
      <c r="K218" s="248">
        <v>-0.00998842606544372</v>
      </c>
      <c r="L218" s="249">
        <v>-0.0127046495348736</v>
      </c>
      <c r="M218" s="250"/>
      <c r="N218" s="276"/>
    </row>
    <row r="219" spans="1:14">
      <c r="A219" s="158" t="s">
        <v>250</v>
      </c>
      <c r="B219" s="146">
        <v>6666010012</v>
      </c>
      <c r="C219" s="146" t="s">
        <v>262</v>
      </c>
      <c r="D219" s="146" t="s">
        <v>725</v>
      </c>
      <c r="E219" s="184">
        <v>0.04355</v>
      </c>
      <c r="F219" s="191">
        <v>0.000546341830590124</v>
      </c>
      <c r="G219" s="184">
        <v>0</v>
      </c>
      <c r="H219" s="184">
        <v>0</v>
      </c>
      <c r="I219" s="178">
        <v>0</v>
      </c>
      <c r="J219" s="275">
        <v>0</v>
      </c>
      <c r="K219" s="248">
        <v>-0.000546341830590124</v>
      </c>
      <c r="L219" s="249">
        <v>0</v>
      </c>
      <c r="M219" s="250"/>
      <c r="N219" s="276"/>
    </row>
    <row r="220" spans="1:14">
      <c r="A220" s="87"/>
      <c r="B220" s="146">
        <v>6666010102</v>
      </c>
      <c r="C220" s="146" t="s">
        <v>384</v>
      </c>
      <c r="D220" s="146" t="s">
        <v>726</v>
      </c>
      <c r="E220" s="184">
        <v>0.25894</v>
      </c>
      <c r="F220" s="191">
        <v>0.00324844439983942</v>
      </c>
      <c r="G220" s="184">
        <v>0</v>
      </c>
      <c r="H220" s="184">
        <v>0</v>
      </c>
      <c r="I220" s="178">
        <v>0.05037</v>
      </c>
      <c r="J220" s="275">
        <v>0.000516027906690844</v>
      </c>
      <c r="K220" s="248">
        <v>-0.00273241649314858</v>
      </c>
      <c r="L220" s="249">
        <v>0.000516027906690844</v>
      </c>
      <c r="M220" s="250"/>
      <c r="N220" s="276"/>
    </row>
    <row r="221" spans="1:14">
      <c r="A221" s="73"/>
      <c r="B221" s="265" t="s">
        <v>386</v>
      </c>
      <c r="C221" s="265" t="s">
        <v>270</v>
      </c>
      <c r="D221" s="265" t="s">
        <v>673</v>
      </c>
      <c r="E221" s="263">
        <v>0</v>
      </c>
      <c r="F221" s="264">
        <v>0</v>
      </c>
      <c r="G221" s="263">
        <v>0</v>
      </c>
      <c r="H221" s="263">
        <v>0</v>
      </c>
      <c r="I221" s="261">
        <v>0.05037</v>
      </c>
      <c r="J221" s="277">
        <v>0.000516027906690844</v>
      </c>
      <c r="K221" s="255">
        <v>0.000516027906690844</v>
      </c>
      <c r="L221" s="256">
        <v>0.000516027906690844</v>
      </c>
      <c r="M221" s="257"/>
      <c r="N221" s="278"/>
    </row>
    <row r="222" spans="1:14">
      <c r="A222" s="158" t="s">
        <v>388</v>
      </c>
      <c r="B222" s="146">
        <v>6666010196</v>
      </c>
      <c r="C222" s="146" t="s">
        <v>272</v>
      </c>
      <c r="D222" s="146" t="s">
        <v>727</v>
      </c>
      <c r="E222" s="184">
        <v>3.32809</v>
      </c>
      <c r="F222" s="191">
        <v>0.0417514301485347</v>
      </c>
      <c r="G222" s="184">
        <v>0</v>
      </c>
      <c r="H222" s="184">
        <v>0</v>
      </c>
      <c r="I222" s="178">
        <v>3.97447</v>
      </c>
      <c r="J222" s="275">
        <v>0.0407174396328283</v>
      </c>
      <c r="K222" s="248">
        <v>-0.00103399051570646</v>
      </c>
      <c r="L222" s="249">
        <v>0.0407174396328283</v>
      </c>
      <c r="M222" s="250"/>
      <c r="N222" s="276"/>
    </row>
    <row r="223" spans="1:14">
      <c r="A223" s="87"/>
      <c r="B223" s="146">
        <v>6666010101</v>
      </c>
      <c r="C223" s="146" t="s">
        <v>274</v>
      </c>
      <c r="D223" s="146" t="s">
        <v>675</v>
      </c>
      <c r="E223" s="184">
        <v>22.6766</v>
      </c>
      <c r="F223" s="191">
        <v>0.284481633881975</v>
      </c>
      <c r="G223" s="184">
        <v>53.87238</v>
      </c>
      <c r="H223" s="184">
        <v>0.461615210550332</v>
      </c>
      <c r="I223" s="178">
        <v>22.2526</v>
      </c>
      <c r="J223" s="275">
        <v>0.227972257225108</v>
      </c>
      <c r="K223" s="248">
        <v>-0.0565093766568673</v>
      </c>
      <c r="L223" s="249">
        <v>-0.233642953325224</v>
      </c>
      <c r="M223" s="250"/>
      <c r="N223" s="276"/>
    </row>
    <row r="224" spans="1:14">
      <c r="A224" s="87"/>
      <c r="B224" s="146">
        <v>6666010199</v>
      </c>
      <c r="C224" s="146" t="s">
        <v>276</v>
      </c>
      <c r="D224" s="146" t="s">
        <v>728</v>
      </c>
      <c r="E224" s="184">
        <v>3.20792</v>
      </c>
      <c r="F224" s="191">
        <v>0.0402438779606584</v>
      </c>
      <c r="G224" s="184">
        <v>0</v>
      </c>
      <c r="H224" s="184">
        <v>0</v>
      </c>
      <c r="I224" s="178">
        <v>5.68963</v>
      </c>
      <c r="J224" s="275">
        <v>0.0582888199075924</v>
      </c>
      <c r="K224" s="248">
        <v>0.018044941946934</v>
      </c>
      <c r="L224" s="249">
        <v>0.0582888199075924</v>
      </c>
      <c r="M224" s="250"/>
      <c r="N224" s="276"/>
    </row>
    <row r="225" spans="1:14">
      <c r="A225" s="87"/>
      <c r="B225" s="146">
        <v>6666010207</v>
      </c>
      <c r="C225" s="146" t="s">
        <v>280</v>
      </c>
      <c r="D225" s="146" t="s">
        <v>729</v>
      </c>
      <c r="E225" s="184">
        <v>0.42262</v>
      </c>
      <c r="F225" s="191">
        <v>0.00530183661180249</v>
      </c>
      <c r="G225" s="184">
        <v>0</v>
      </c>
      <c r="H225" s="184">
        <v>0</v>
      </c>
      <c r="I225" s="178">
        <v>0.37677</v>
      </c>
      <c r="J225" s="275">
        <v>0.00385991332944033</v>
      </c>
      <c r="K225" s="248">
        <v>-0.00144192328236216</v>
      </c>
      <c r="L225" s="249">
        <v>0.00385991332944033</v>
      </c>
      <c r="M225" s="250"/>
      <c r="N225" s="276"/>
    </row>
    <row r="226" spans="1:14">
      <c r="A226" s="87"/>
      <c r="B226" s="146">
        <v>6666010227</v>
      </c>
      <c r="C226" s="146" t="s">
        <v>394</v>
      </c>
      <c r="D226" s="146" t="s">
        <v>730</v>
      </c>
      <c r="E226" s="184">
        <v>0.43668</v>
      </c>
      <c r="F226" s="191">
        <v>0.00547822159775191</v>
      </c>
      <c r="G226" s="184">
        <v>0</v>
      </c>
      <c r="H226" s="184">
        <v>0</v>
      </c>
      <c r="I226" s="178">
        <v>0.38571</v>
      </c>
      <c r="J226" s="275">
        <v>0.00395150136767373</v>
      </c>
      <c r="K226" s="248">
        <v>-0.00152672023007818</v>
      </c>
      <c r="L226" s="249">
        <v>0.00395150136767373</v>
      </c>
      <c r="M226" s="250"/>
      <c r="N226" s="276"/>
    </row>
    <row r="227" spans="1:14">
      <c r="A227" s="73"/>
      <c r="B227" s="265" t="s">
        <v>396</v>
      </c>
      <c r="C227" s="265" t="s">
        <v>286</v>
      </c>
      <c r="D227" s="265" t="s">
        <v>731</v>
      </c>
      <c r="E227" s="263">
        <v>30.07191</v>
      </c>
      <c r="F227" s="264">
        <v>0.377257000200723</v>
      </c>
      <c r="G227" s="263">
        <v>53.87238</v>
      </c>
      <c r="H227" s="263">
        <v>0.461615210550332</v>
      </c>
      <c r="I227" s="261">
        <v>32.67918</v>
      </c>
      <c r="J227" s="277">
        <v>0.334789931462643</v>
      </c>
      <c r="K227" s="255">
        <v>-0.04246706873808</v>
      </c>
      <c r="L227" s="256">
        <v>-0.126825279087689</v>
      </c>
      <c r="M227" s="257"/>
      <c r="N227" s="278"/>
    </row>
    <row r="228" spans="1:14">
      <c r="A228" s="158" t="s">
        <v>285</v>
      </c>
      <c r="B228" s="146">
        <v>6666010314</v>
      </c>
      <c r="C228" s="146" t="s">
        <v>290</v>
      </c>
      <c r="D228" s="146" t="s">
        <v>732</v>
      </c>
      <c r="E228" s="184">
        <v>0.20235</v>
      </c>
      <c r="F228" s="191">
        <v>0.00253851364913689</v>
      </c>
      <c r="G228" s="184">
        <v>0.49185</v>
      </c>
      <c r="H228" s="184">
        <v>0.00421450549073905</v>
      </c>
      <c r="I228" s="178">
        <v>0.66296</v>
      </c>
      <c r="J228" s="275">
        <v>0.00679185747507965</v>
      </c>
      <c r="K228" s="248">
        <v>0.00425334382594276</v>
      </c>
      <c r="L228" s="249">
        <v>0.0025773519843406</v>
      </c>
      <c r="M228" s="250"/>
      <c r="N228" s="276"/>
    </row>
    <row r="229" spans="1:14">
      <c r="A229" s="87"/>
      <c r="B229" s="146">
        <v>6666020401</v>
      </c>
      <c r="C229" s="146" t="s">
        <v>295</v>
      </c>
      <c r="D229" s="146" t="s">
        <v>733</v>
      </c>
      <c r="E229" s="184">
        <v>0</v>
      </c>
      <c r="F229" s="191">
        <v>0</v>
      </c>
      <c r="G229" s="184">
        <v>1.58314</v>
      </c>
      <c r="H229" s="184">
        <v>0.0135654208043278</v>
      </c>
      <c r="I229" s="178">
        <v>0</v>
      </c>
      <c r="J229" s="275">
        <v>0</v>
      </c>
      <c r="K229" s="248">
        <v>0</v>
      </c>
      <c r="L229" s="249">
        <v>-0.0135654208043278</v>
      </c>
      <c r="M229" s="250"/>
      <c r="N229" s="276"/>
    </row>
    <row r="230" spans="1:14">
      <c r="A230" s="87"/>
      <c r="B230" s="146">
        <v>6666020502</v>
      </c>
      <c r="C230" s="146" t="s">
        <v>297</v>
      </c>
      <c r="D230" s="146" t="s">
        <v>734</v>
      </c>
      <c r="E230" s="184">
        <v>0.54579</v>
      </c>
      <c r="F230" s="191">
        <v>0.00684702428743477</v>
      </c>
      <c r="G230" s="184">
        <v>2.17606</v>
      </c>
      <c r="H230" s="184">
        <v>0.0186459628304923</v>
      </c>
      <c r="I230" s="178">
        <v>0.03849</v>
      </c>
      <c r="J230" s="275">
        <v>0.000394320312259889</v>
      </c>
      <c r="K230" s="248">
        <v>-0.00645270397517488</v>
      </c>
      <c r="L230" s="249">
        <v>-0.0182516425182324</v>
      </c>
      <c r="M230" s="250"/>
      <c r="N230" s="276"/>
    </row>
    <row r="231" spans="1:14">
      <c r="A231" s="87"/>
      <c r="B231" s="146">
        <v>6666020503</v>
      </c>
      <c r="C231" s="146" t="s">
        <v>299</v>
      </c>
      <c r="D231" s="146" t="s">
        <v>735</v>
      </c>
      <c r="E231" s="184">
        <v>0</v>
      </c>
      <c r="F231" s="191">
        <v>0</v>
      </c>
      <c r="G231" s="184">
        <v>0</v>
      </c>
      <c r="H231" s="184">
        <v>0</v>
      </c>
      <c r="I231" s="178">
        <v>0.19639</v>
      </c>
      <c r="J231" s="275">
        <v>0.00201196586450298</v>
      </c>
      <c r="K231" s="248">
        <v>0.00201196586450298</v>
      </c>
      <c r="L231" s="249">
        <v>0.00201196586450298</v>
      </c>
      <c r="M231" s="250"/>
      <c r="N231" s="276"/>
    </row>
    <row r="232" spans="1:14">
      <c r="A232" s="87"/>
      <c r="B232" s="146">
        <v>6666021502</v>
      </c>
      <c r="C232" s="146" t="s">
        <v>301</v>
      </c>
      <c r="D232" s="146" t="s">
        <v>736</v>
      </c>
      <c r="E232" s="184">
        <v>0</v>
      </c>
      <c r="F232" s="191">
        <v>0</v>
      </c>
      <c r="G232" s="184">
        <v>0</v>
      </c>
      <c r="H232" s="184">
        <v>0</v>
      </c>
      <c r="I232" s="178">
        <v>-0.14171</v>
      </c>
      <c r="J232" s="275">
        <v>-0.00145178309821639</v>
      </c>
      <c r="K232" s="248">
        <v>-0.00145178309821639</v>
      </c>
      <c r="L232" s="249">
        <v>-0.00145178309821639</v>
      </c>
      <c r="M232" s="250"/>
      <c r="N232" s="276"/>
    </row>
    <row r="233" spans="1:14">
      <c r="A233" s="87"/>
      <c r="B233" s="146">
        <v>6666021505</v>
      </c>
      <c r="C233" s="146" t="s">
        <v>403</v>
      </c>
      <c r="D233" s="146" t="s">
        <v>737</v>
      </c>
      <c r="E233" s="184">
        <v>0</v>
      </c>
      <c r="F233" s="191">
        <v>0</v>
      </c>
      <c r="G233" s="184">
        <v>0</v>
      </c>
      <c r="H233" s="184">
        <v>0</v>
      </c>
      <c r="I233" s="178">
        <v>0</v>
      </c>
      <c r="J233" s="275">
        <v>0</v>
      </c>
      <c r="K233" s="248">
        <v>0</v>
      </c>
      <c r="L233" s="249">
        <v>0</v>
      </c>
      <c r="M233" s="250"/>
      <c r="N233" s="276"/>
    </row>
    <row r="234" spans="1:14">
      <c r="A234" s="87"/>
      <c r="B234" s="146">
        <v>6666091600</v>
      </c>
      <c r="C234" s="146" t="s">
        <v>310</v>
      </c>
      <c r="D234" s="146" t="s">
        <v>738</v>
      </c>
      <c r="E234" s="184">
        <v>0</v>
      </c>
      <c r="F234" s="191">
        <v>0</v>
      </c>
      <c r="G234" s="184">
        <v>0.41657</v>
      </c>
      <c r="H234" s="184">
        <v>0.00356945522471723</v>
      </c>
      <c r="I234" s="178">
        <v>0.00186</v>
      </c>
      <c r="J234" s="275">
        <v>1.90552294311092e-5</v>
      </c>
      <c r="K234" s="248">
        <v>1.90552294311092e-5</v>
      </c>
      <c r="L234" s="249">
        <v>-0.00355039999528612</v>
      </c>
      <c r="M234" s="250"/>
      <c r="N234" s="276"/>
    </row>
    <row r="235" spans="1:14">
      <c r="A235" s="73"/>
      <c r="B235" s="265" t="s">
        <v>26</v>
      </c>
      <c r="C235" s="265" t="s">
        <v>313</v>
      </c>
      <c r="D235" s="265" t="s">
        <v>314</v>
      </c>
      <c r="E235" s="263">
        <v>0.74814</v>
      </c>
      <c r="F235" s="264">
        <v>0.00938553793657166</v>
      </c>
      <c r="G235" s="263">
        <v>4.66762</v>
      </c>
      <c r="H235" s="263">
        <v>0.0399953443502764</v>
      </c>
      <c r="I235" s="261">
        <v>0.75799</v>
      </c>
      <c r="J235" s="277">
        <v>0.00776541578305724</v>
      </c>
      <c r="K235" s="255">
        <v>-0.00162012215351442</v>
      </c>
      <c r="L235" s="256">
        <v>-0.0322299285672191</v>
      </c>
      <c r="M235" s="257"/>
      <c r="N235" s="278"/>
    </row>
    <row r="236" spans="1:14">
      <c r="A236" s="158"/>
      <c r="B236" s="147"/>
      <c r="C236" s="147"/>
      <c r="D236" s="206" t="s">
        <v>739</v>
      </c>
      <c r="E236" s="184">
        <v>397.5831</v>
      </c>
      <c r="F236" s="191">
        <v>4.98774463067041</v>
      </c>
      <c r="G236" s="184">
        <v>215.093523121563</v>
      </c>
      <c r="H236" s="191">
        <v>1.84306767148162</v>
      </c>
      <c r="I236" s="178">
        <v>277.28022</v>
      </c>
      <c r="J236" s="179">
        <v>2.84066570366045</v>
      </c>
      <c r="K236" s="248">
        <f>J236-F236</f>
        <v>-2.14707892700996</v>
      </c>
      <c r="L236" s="249">
        <v>0.997598032178824</v>
      </c>
      <c r="M236" s="250"/>
      <c r="N236" s="251" t="s">
        <v>740</v>
      </c>
    </row>
    <row r="237" spans="1:14">
      <c r="A237" s="158"/>
      <c r="B237" s="110"/>
      <c r="C237" s="110"/>
      <c r="D237" s="110"/>
      <c r="E237" s="178"/>
      <c r="F237" s="178"/>
      <c r="G237" s="178"/>
      <c r="H237" s="178"/>
      <c r="I237" s="178"/>
      <c r="J237" s="179"/>
      <c r="K237" s="248"/>
      <c r="L237" s="249">
        <v>0</v>
      </c>
      <c r="M237" s="250"/>
      <c r="N237" s="178"/>
    </row>
    <row r="238" spans="1:14">
      <c r="A238" s="158"/>
      <c r="B238" s="147"/>
      <c r="C238" s="147"/>
      <c r="D238" s="208" t="s">
        <v>741</v>
      </c>
      <c r="E238" s="178">
        <f>E236+E157</f>
        <v>2786.0603</v>
      </c>
      <c r="F238" s="191">
        <f>E238/G28*1000</f>
        <v>34.9515794359695</v>
      </c>
      <c r="G238" s="178">
        <v>2628.64168769614</v>
      </c>
      <c r="H238" s="191">
        <v>22.5239907003781</v>
      </c>
      <c r="I238" s="178">
        <v>2493.41061</v>
      </c>
      <c r="J238" s="275">
        <v>25.544360881458</v>
      </c>
      <c r="K238" s="248">
        <f>J238-F238</f>
        <v>-9.40721855451149</v>
      </c>
      <c r="L238" s="249">
        <v>3.02037018107998</v>
      </c>
      <c r="M238" s="250"/>
      <c r="N238" s="276"/>
    </row>
  </sheetData>
  <mergeCells count="27">
    <mergeCell ref="A4:A9"/>
    <mergeCell ref="A11:A24"/>
    <mergeCell ref="A28:A29"/>
    <mergeCell ref="A30:A39"/>
    <mergeCell ref="A40:A48"/>
    <mergeCell ref="A49:A53"/>
    <mergeCell ref="A54:A110"/>
    <mergeCell ref="A111:A115"/>
    <mergeCell ref="A116:A117"/>
    <mergeCell ref="A118:A119"/>
    <mergeCell ref="A120:A121"/>
    <mergeCell ref="A122:A125"/>
    <mergeCell ref="A126:A133"/>
    <mergeCell ref="A134:A141"/>
    <mergeCell ref="A143:A156"/>
    <mergeCell ref="A159:A163"/>
    <mergeCell ref="A164:A166"/>
    <mergeCell ref="A167:A213"/>
    <mergeCell ref="A214:A215"/>
    <mergeCell ref="A216:A218"/>
    <mergeCell ref="A219:A221"/>
    <mergeCell ref="A222:A227"/>
    <mergeCell ref="A228:A235"/>
    <mergeCell ref="B28:B29"/>
    <mergeCell ref="C28:C29"/>
    <mergeCell ref="D28:D29"/>
    <mergeCell ref="H2:H10"/>
  </mergeCells>
  <conditionalFormatting sqref="G12:G27">
    <cfRule type="cellIs" dxfId="0" priority="2" operator="greaterThan">
      <formula>0</formula>
    </cfRule>
    <cfRule type="cellIs" dxfId="0" priority="3" operator="greaterThan">
      <formula>0.5</formula>
    </cfRule>
  </conditionalFormatting>
  <conditionalFormatting sqref="K30:K157">
    <cfRule type="cellIs" dxfId="0" priority="1" operator="greaterThan">
      <formula>0.5</formula>
    </cfRule>
  </conditionalFormatting>
  <conditionalFormatting sqref="B159:B214 B216:B235">
    <cfRule type="duplicateValues" dxfId="1" priority="4"/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O240"/>
  <sheetViews>
    <sheetView zoomScale="70" zoomScaleNormal="70" workbookViewId="0">
      <selection activeCell="A1" sqref="A1:I25"/>
    </sheetView>
  </sheetViews>
  <sheetFormatPr defaultColWidth="9" defaultRowHeight="14.4"/>
  <cols>
    <col min="1" max="1" width="9" style="172" customWidth="1"/>
    <col min="2" max="2" width="27.8888888888889" style="173" customWidth="1"/>
    <col min="3" max="3" width="11" style="172" customWidth="1"/>
    <col min="4" max="4" width="18.6666666666667" style="172" customWidth="1"/>
    <col min="5" max="5" width="45" style="172" customWidth="1"/>
    <col min="6" max="6" width="13.4444444444444" style="172" customWidth="1"/>
    <col min="7" max="7" width="10.6666666666667" style="172" customWidth="1"/>
    <col min="8" max="8" width="15" style="172" customWidth="1"/>
    <col min="9" max="9" width="13.7777777777778" style="172" customWidth="1"/>
    <col min="10" max="10" width="9" style="172" customWidth="1"/>
    <col min="11" max="11" width="12.7777777777778" style="172" customWidth="1"/>
    <col min="12" max="12" width="11.7777777777778" style="172" customWidth="1"/>
    <col min="13" max="13" width="10.6666666666667" style="172" customWidth="1"/>
    <col min="14" max="14" width="20.1111111111111" style="172" customWidth="1"/>
    <col min="15" max="15" width="48.8888888888889" style="172" customWidth="1"/>
    <col min="16" max="16" width="9" style="172" customWidth="1"/>
    <col min="17" max="16384" width="9" style="172"/>
  </cols>
  <sheetData>
    <row r="1" ht="211.05" customHeight="1" spans="1:10">
      <c r="A1" s="209" t="s">
        <v>742</v>
      </c>
      <c r="J1" s="210"/>
    </row>
    <row r="2" ht="14.25" hidden="1" customHeight="1" spans="1:10">
      <c r="A2" s="174" t="s">
        <v>535</v>
      </c>
      <c r="B2" s="174" t="s">
        <v>1</v>
      </c>
      <c r="C2" s="174" t="s">
        <v>536</v>
      </c>
      <c r="D2" s="174" t="s">
        <v>537</v>
      </c>
      <c r="E2" s="174" t="s">
        <v>538</v>
      </c>
      <c r="F2" s="174" t="s">
        <v>539</v>
      </c>
      <c r="G2" s="174" t="s">
        <v>540</v>
      </c>
      <c r="H2" s="174" t="s">
        <v>541</v>
      </c>
      <c r="I2" s="174" t="s">
        <v>542</v>
      </c>
    </row>
    <row r="3" hidden="1" spans="1:10">
      <c r="A3" s="151" t="s">
        <v>501</v>
      </c>
      <c r="B3" s="110" t="s">
        <v>543</v>
      </c>
      <c r="C3" s="211">
        <v>79712</v>
      </c>
      <c r="D3" s="211">
        <v>116204</v>
      </c>
      <c r="E3" s="211" t="s">
        <v>743</v>
      </c>
      <c r="F3" s="183">
        <f t="shared" ref="F3:F26" si="0">E3-D3</f>
        <v>-9910</v>
      </c>
      <c r="G3" s="183">
        <f t="shared" ref="G3:G26" si="1">E3-C3</f>
        <v>26582</v>
      </c>
      <c r="H3" s="212" t="s">
        <v>410</v>
      </c>
      <c r="I3" s="110"/>
      <c r="J3" s="172">
        <f>(E3-D3)/D3</f>
        <v>-0.0852810574506902</v>
      </c>
    </row>
    <row r="4" hidden="1" spans="1:10">
      <c r="A4" s="151" t="s">
        <v>544</v>
      </c>
      <c r="B4" s="110" t="s">
        <v>545</v>
      </c>
      <c r="C4" s="211">
        <v>20</v>
      </c>
      <c r="D4" s="211">
        <v>20</v>
      </c>
      <c r="E4" s="211">
        <v>20</v>
      </c>
      <c r="F4" s="183">
        <f t="shared" si="0"/>
        <v>0</v>
      </c>
      <c r="G4" s="183">
        <f t="shared" si="1"/>
        <v>0</v>
      </c>
      <c r="H4" s="87"/>
      <c r="I4" s="110"/>
    </row>
    <row r="5" ht="14.25" hidden="1" customHeight="1" spans="1:10">
      <c r="A5" s="151" t="s">
        <v>546</v>
      </c>
      <c r="B5" s="110" t="s">
        <v>78</v>
      </c>
      <c r="C5" s="211">
        <v>296</v>
      </c>
      <c r="D5" s="213">
        <v>317</v>
      </c>
      <c r="E5" s="213">
        <v>294</v>
      </c>
      <c r="F5" s="183">
        <f t="shared" si="0"/>
        <v>-23</v>
      </c>
      <c r="G5" s="183">
        <f t="shared" si="1"/>
        <v>-2</v>
      </c>
      <c r="H5" s="87"/>
      <c r="I5" s="110"/>
    </row>
    <row r="6" ht="14.25" hidden="1" customHeight="1" spans="1:10">
      <c r="A6" s="87"/>
      <c r="B6" s="110" t="s">
        <v>548</v>
      </c>
      <c r="C6" s="213">
        <f>F49*1000/C5</f>
        <v>1584.52739864865</v>
      </c>
      <c r="D6" s="214">
        <f>H49*1000/D5</f>
        <v>2122.1951139884</v>
      </c>
      <c r="E6" s="214">
        <f>618/E5*1000</f>
        <v>2102.04081632653</v>
      </c>
      <c r="F6" s="183">
        <f t="shared" si="0"/>
        <v>-20.1542976618698</v>
      </c>
      <c r="G6" s="183">
        <f t="shared" si="1"/>
        <v>517.513417677882</v>
      </c>
      <c r="H6" s="87"/>
      <c r="I6" s="110"/>
    </row>
    <row r="7" hidden="1" spans="1:10">
      <c r="A7" s="87"/>
      <c r="B7" s="110" t="s">
        <v>250</v>
      </c>
      <c r="C7" s="211">
        <v>181</v>
      </c>
      <c r="D7" s="213">
        <v>136</v>
      </c>
      <c r="E7" s="213">
        <v>127</v>
      </c>
      <c r="F7" s="183">
        <f t="shared" si="0"/>
        <v>-9</v>
      </c>
      <c r="G7" s="183">
        <f t="shared" si="1"/>
        <v>-54</v>
      </c>
      <c r="H7" s="87"/>
      <c r="I7" s="110"/>
    </row>
    <row r="8" hidden="1" spans="1:10">
      <c r="A8" s="87"/>
      <c r="B8" s="110" t="s">
        <v>549</v>
      </c>
      <c r="C8" s="213">
        <f>F134*1000/C7</f>
        <v>1979.03519337017</v>
      </c>
      <c r="D8" s="214">
        <f>H134*1000/D7</f>
        <v>2493.39630364721</v>
      </c>
      <c r="E8" s="213">
        <f>J134*1000/E7</f>
        <v>2437.89748031496</v>
      </c>
      <c r="F8" s="183">
        <f t="shared" si="0"/>
        <v>-55.4988233322529</v>
      </c>
      <c r="G8" s="183">
        <f t="shared" si="1"/>
        <v>458.862286944795</v>
      </c>
      <c r="H8" s="87"/>
      <c r="I8" s="110"/>
    </row>
    <row r="9" hidden="1" spans="1:10">
      <c r="A9" s="87"/>
      <c r="B9" s="110" t="s">
        <v>550</v>
      </c>
      <c r="C9" s="211">
        <v>58</v>
      </c>
      <c r="D9" s="211">
        <v>34</v>
      </c>
      <c r="E9" s="213">
        <v>31</v>
      </c>
      <c r="F9" s="183">
        <f t="shared" si="0"/>
        <v>-3</v>
      </c>
      <c r="G9" s="183">
        <f t="shared" si="1"/>
        <v>-27</v>
      </c>
      <c r="H9" s="87"/>
      <c r="I9" s="110"/>
    </row>
    <row r="10" hidden="1" spans="1:10">
      <c r="A10" s="73"/>
      <c r="B10" s="110" t="s">
        <v>551</v>
      </c>
      <c r="C10" s="213">
        <f>F142*1000/C9</f>
        <v>3333.62034482759</v>
      </c>
      <c r="D10" s="213">
        <f>H142*1000/D9</f>
        <v>4782.89240029985</v>
      </c>
      <c r="E10" s="213">
        <f>J142*1000/E9</f>
        <v>5013.64419354839</v>
      </c>
      <c r="F10" s="183">
        <f t="shared" si="0"/>
        <v>230.751793248534</v>
      </c>
      <c r="G10" s="183">
        <f t="shared" si="1"/>
        <v>1680.0238487208</v>
      </c>
      <c r="H10" s="87"/>
      <c r="I10" s="110"/>
    </row>
    <row r="11" ht="16.2" hidden="1" customHeight="1" spans="1:10">
      <c r="A11" s="156" t="s">
        <v>552</v>
      </c>
      <c r="B11" s="110" t="s">
        <v>527</v>
      </c>
      <c r="C11" s="215">
        <f>C3/C4/C5</f>
        <v>13.4648648648649</v>
      </c>
      <c r="D11" s="215">
        <f>D3/D4/D5</f>
        <v>18.3287066246057</v>
      </c>
      <c r="E11" s="215">
        <f>E3/E4/E5</f>
        <v>18.0772108843537</v>
      </c>
      <c r="F11" s="183">
        <f t="shared" si="0"/>
        <v>-0.251495740251936</v>
      </c>
      <c r="G11" s="183">
        <f t="shared" si="1"/>
        <v>4.61234601948888</v>
      </c>
      <c r="H11" s="87"/>
      <c r="I11" s="110"/>
    </row>
    <row r="12" hidden="1" spans="1:10">
      <c r="A12" s="151" t="s">
        <v>450</v>
      </c>
      <c r="B12" s="110" t="s">
        <v>553</v>
      </c>
      <c r="C12" s="216">
        <f>SUM(C13:C25)</f>
        <v>32.7907821691736</v>
      </c>
      <c r="D12" s="216">
        <f>SUM(D13:D25)</f>
        <v>22.8079817830581</v>
      </c>
      <c r="E12" s="216">
        <f>SUM(E13:E25)</f>
        <v>22.1159330724218</v>
      </c>
      <c r="F12" s="183">
        <f t="shared" si="0"/>
        <v>-0.692048710636293</v>
      </c>
      <c r="G12" s="183">
        <f t="shared" si="1"/>
        <v>-10.6748490967518</v>
      </c>
      <c r="H12" s="178">
        <f>G12*E3</f>
        <v>-1134672.40989014</v>
      </c>
      <c r="I12" s="110"/>
    </row>
    <row r="13" hidden="1" spans="1:10">
      <c r="A13" s="87"/>
      <c r="B13" s="110" t="s">
        <v>55</v>
      </c>
      <c r="C13" s="191">
        <v>9.03</v>
      </c>
      <c r="D13" s="180">
        <v>6.70920409751518</v>
      </c>
      <c r="E13" s="180">
        <v>5.76702353848759</v>
      </c>
      <c r="F13" s="180">
        <f t="shared" si="0"/>
        <v>-0.94218055902759</v>
      </c>
      <c r="G13" s="180">
        <f t="shared" si="1"/>
        <v>-3.26297646151241</v>
      </c>
      <c r="H13" s="178">
        <f t="shared" ref="H13:H25" si="2">G13*$E$3</f>
        <v>-346834.82</v>
      </c>
      <c r="I13" s="110"/>
      <c r="J13" s="217"/>
    </row>
    <row r="14" ht="16.2" hidden="1" customHeight="1" spans="1:10">
      <c r="A14" s="87"/>
      <c r="B14" s="185" t="s">
        <v>554</v>
      </c>
      <c r="C14" s="191">
        <v>1.32419450703368</v>
      </c>
      <c r="D14" s="180">
        <v>0.989590196414071</v>
      </c>
      <c r="E14" s="180">
        <v>0.950194742882947</v>
      </c>
      <c r="F14" s="180">
        <f t="shared" si="0"/>
        <v>-0.0393954535311239</v>
      </c>
      <c r="G14" s="180">
        <f t="shared" si="1"/>
        <v>-0.373999764150733</v>
      </c>
      <c r="H14" s="178">
        <f t="shared" si="2"/>
        <v>-39753.930930638</v>
      </c>
      <c r="I14" s="110"/>
      <c r="J14" s="217"/>
    </row>
    <row r="15" ht="16.2" hidden="1" customHeight="1" spans="1:10">
      <c r="A15" s="87"/>
      <c r="B15" s="185" t="s">
        <v>223</v>
      </c>
      <c r="C15" s="191">
        <v>0.351437549479325</v>
      </c>
      <c r="D15" s="180">
        <v>0.107569446834877</v>
      </c>
      <c r="E15" s="180">
        <v>0</v>
      </c>
      <c r="F15" s="180">
        <f t="shared" si="0"/>
        <v>-0.107569446834877</v>
      </c>
      <c r="G15" s="180">
        <f t="shared" si="1"/>
        <v>-0.351437549479325</v>
      </c>
      <c r="H15" s="178">
        <f t="shared" si="2"/>
        <v>-37355.7028843554</v>
      </c>
      <c r="I15" s="110"/>
      <c r="J15" s="217"/>
    </row>
    <row r="16" ht="16.2" hidden="1" customHeight="1" spans="1:10">
      <c r="A16" s="87"/>
      <c r="B16" s="185" t="s">
        <v>555</v>
      </c>
      <c r="C16" s="191">
        <v>0.428424700079167</v>
      </c>
      <c r="D16" s="180">
        <v>0.280573638514395</v>
      </c>
      <c r="E16" s="180">
        <v>0.254012456018214</v>
      </c>
      <c r="F16" s="180">
        <f t="shared" si="0"/>
        <v>-0.026561182496181</v>
      </c>
      <c r="G16" s="180">
        <f t="shared" si="1"/>
        <v>-0.174412244060953</v>
      </c>
      <c r="H16" s="178">
        <f t="shared" si="2"/>
        <v>-18538.9750702149</v>
      </c>
      <c r="I16" s="110"/>
      <c r="J16" s="217"/>
    </row>
    <row r="17" ht="16.2" hidden="1" customHeight="1" spans="1:15">
      <c r="A17" s="87"/>
      <c r="B17" s="186" t="s">
        <v>556</v>
      </c>
      <c r="C17" s="191">
        <v>4.36277169478107</v>
      </c>
      <c r="D17" s="180">
        <v>2.91816028102321</v>
      </c>
      <c r="E17" s="180">
        <v>2.91279827647845</v>
      </c>
      <c r="F17" s="180">
        <f t="shared" si="0"/>
        <v>-0.00536200454475999</v>
      </c>
      <c r="G17" s="180">
        <f t="shared" si="1"/>
        <v>-1.44997341830262</v>
      </c>
      <c r="H17" s="178">
        <f t="shared" si="2"/>
        <v>-154123.474525059</v>
      </c>
      <c r="I17" s="110"/>
      <c r="J17" s="217"/>
    </row>
    <row r="18" ht="16.2" hidden="1" customHeight="1" spans="1:15">
      <c r="A18" s="87"/>
      <c r="B18" s="185" t="s">
        <v>557</v>
      </c>
      <c r="C18" s="191">
        <v>2.35491115035625</v>
      </c>
      <c r="D18" s="180">
        <v>1.39942120417709</v>
      </c>
      <c r="E18" s="180">
        <v>1.46219890116093</v>
      </c>
      <c r="F18" s="180">
        <f t="shared" si="0"/>
        <v>0.0627776969838401</v>
      </c>
      <c r="G18" s="180">
        <f t="shared" si="1"/>
        <v>-0.89271224919532</v>
      </c>
      <c r="H18" s="178">
        <f t="shared" si="2"/>
        <v>-94889.9558159674</v>
      </c>
      <c r="I18" s="110"/>
      <c r="J18" s="217"/>
    </row>
    <row r="19" ht="16.2" hidden="1" customHeight="1" spans="1:15">
      <c r="A19" s="87"/>
      <c r="B19" s="185" t="s">
        <v>558</v>
      </c>
      <c r="C19" s="191">
        <v>2.68470288045795</v>
      </c>
      <c r="D19" s="180">
        <v>1.87868386685579</v>
      </c>
      <c r="E19" s="180">
        <v>2.84919308709805</v>
      </c>
      <c r="F19" s="180">
        <f t="shared" si="0"/>
        <v>0.97050922024226</v>
      </c>
      <c r="G19" s="180">
        <f t="shared" si="1"/>
        <v>0.1644902066401</v>
      </c>
      <c r="H19" s="178">
        <f t="shared" si="2"/>
        <v>17484.3220246028</v>
      </c>
      <c r="I19" s="110"/>
      <c r="J19" s="217"/>
    </row>
    <row r="20" ht="16.2" hidden="1" customHeight="1" spans="1:15">
      <c r="A20" s="87"/>
      <c r="B20" s="218" t="s">
        <v>78</v>
      </c>
      <c r="C20" s="191">
        <v>5.71244272577797</v>
      </c>
      <c r="D20" s="180">
        <v>5.78926586980072</v>
      </c>
      <c r="E20" s="180">
        <v>5.81406288219467</v>
      </c>
      <c r="F20" s="180">
        <f t="shared" si="0"/>
        <v>0.0247970123939503</v>
      </c>
      <c r="G20" s="180">
        <f t="shared" si="1"/>
        <v>0.1016201564167</v>
      </c>
      <c r="H20" s="178">
        <f t="shared" si="2"/>
        <v>10801.6129061567</v>
      </c>
      <c r="I20" s="110"/>
      <c r="J20" s="217"/>
    </row>
    <row r="21" ht="16.2" hidden="1" customHeight="1" spans="1:15">
      <c r="A21" s="87"/>
      <c r="B21" s="186" t="s">
        <v>99</v>
      </c>
      <c r="C21" s="191">
        <v>0.390807989769198</v>
      </c>
      <c r="D21" s="180">
        <v>0.606670085955033</v>
      </c>
      <c r="E21" s="180">
        <v>0.498617043295012</v>
      </c>
      <c r="F21" s="180">
        <f t="shared" si="0"/>
        <v>-0.108053042660021</v>
      </c>
      <c r="G21" s="180">
        <f t="shared" si="1"/>
        <v>0.107809053525814</v>
      </c>
      <c r="H21" s="178">
        <f t="shared" si="2"/>
        <v>11459.4555354729</v>
      </c>
      <c r="I21" s="110"/>
      <c r="J21" s="217"/>
    </row>
    <row r="22" ht="16.2" hidden="1" customHeight="1" spans="1:15">
      <c r="A22" s="87"/>
      <c r="B22" s="186" t="s">
        <v>559</v>
      </c>
      <c r="C22" s="191">
        <v>-0.0661857377748006</v>
      </c>
      <c r="D22" s="180">
        <v>0.27739662372396</v>
      </c>
      <c r="E22" s="180">
        <v>0.254012456018214</v>
      </c>
      <c r="F22" s="180">
        <f t="shared" si="0"/>
        <v>-0.023384167705746</v>
      </c>
      <c r="G22" s="180">
        <f t="shared" si="1"/>
        <v>0.320198193793015</v>
      </c>
      <c r="H22" s="178">
        <f t="shared" si="2"/>
        <v>34035.1468110347</v>
      </c>
      <c r="I22" s="110"/>
      <c r="J22" s="217"/>
    </row>
    <row r="23" ht="16.2" hidden="1" customHeight="1" spans="1:15">
      <c r="A23" s="87"/>
      <c r="B23" s="186" t="s">
        <v>228</v>
      </c>
      <c r="C23" s="191">
        <v>-0.466846111686255</v>
      </c>
      <c r="D23" s="180">
        <v>-0.749532901635683</v>
      </c>
      <c r="E23" s="180">
        <v>-0.809076711761717</v>
      </c>
      <c r="F23" s="180">
        <f t="shared" si="0"/>
        <v>-0.059543810126034</v>
      </c>
      <c r="G23" s="180">
        <f t="shared" si="1"/>
        <v>-0.342230600075462</v>
      </c>
      <c r="H23" s="178">
        <f t="shared" si="2"/>
        <v>-36377.0594044212</v>
      </c>
      <c r="I23" s="110"/>
      <c r="J23" s="217"/>
    </row>
    <row r="24" ht="16.2" hidden="1" customHeight="1" spans="1:15">
      <c r="A24" s="87"/>
      <c r="B24" s="186" t="s">
        <v>560</v>
      </c>
      <c r="C24" s="191">
        <v>0.502436757810121</v>
      </c>
      <c r="D24" s="180">
        <v>0.748948694027082</v>
      </c>
      <c r="E24" s="180">
        <v>0.43150732872975</v>
      </c>
      <c r="F24" s="180">
        <f t="shared" si="0"/>
        <v>-0.317441365297332</v>
      </c>
      <c r="G24" s="180">
        <f t="shared" si="1"/>
        <v>-0.070929429080371</v>
      </c>
      <c r="H24" s="178">
        <f t="shared" si="2"/>
        <v>-7539.37273466895</v>
      </c>
      <c r="I24" s="110"/>
      <c r="J24" s="217"/>
    </row>
    <row r="25" ht="16.2" hidden="1" customHeight="1" spans="1:15">
      <c r="A25" s="73"/>
      <c r="B25" s="186" t="s">
        <v>561</v>
      </c>
      <c r="C25" s="191">
        <v>6.18168406308995</v>
      </c>
      <c r="D25" s="180">
        <v>1.85203067985235</v>
      </c>
      <c r="E25" s="180">
        <v>1.73138907181967</v>
      </c>
      <c r="F25" s="180">
        <f t="shared" si="0"/>
        <v>-0.12064160803268</v>
      </c>
      <c r="G25" s="180">
        <f t="shared" si="1"/>
        <v>-4.45029499127028</v>
      </c>
      <c r="H25" s="178">
        <f t="shared" si="2"/>
        <v>-473039.655802083</v>
      </c>
      <c r="I25" s="110"/>
      <c r="J25" s="217"/>
    </row>
    <row r="26" hidden="1" spans="1:15">
      <c r="B26" s="110" t="s">
        <v>34</v>
      </c>
      <c r="C26" s="191">
        <v>3.0793272029718</v>
      </c>
      <c r="D26" s="180">
        <v>0.817268768717084</v>
      </c>
      <c r="E26" s="180">
        <v>0.89547697894519</v>
      </c>
      <c r="F26" s="180">
        <f t="shared" si="0"/>
        <v>0.078208210228106</v>
      </c>
      <c r="G26" s="180">
        <f t="shared" si="1"/>
        <v>-2.18385022402661</v>
      </c>
      <c r="H26" s="110"/>
      <c r="I26" s="217"/>
    </row>
    <row r="27" hidden="1" spans="1:15">
      <c r="B27" s="110" t="s">
        <v>35</v>
      </c>
      <c r="C27" s="191">
        <v>0.106004019243651</v>
      </c>
      <c r="D27" s="180">
        <v>0.0550054483629084</v>
      </c>
      <c r="E27" s="180">
        <v>0.0229964061941408</v>
      </c>
      <c r="F27" s="180">
        <v>-0.0320090421687676</v>
      </c>
      <c r="G27" s="180">
        <v>-0.0830076130495106</v>
      </c>
      <c r="H27" s="110"/>
      <c r="I27" s="217"/>
    </row>
    <row r="28" hidden="1" spans="1:15">
      <c r="B28" s="110" t="s">
        <v>36</v>
      </c>
      <c r="C28" s="191">
        <v>2.99635284087449</v>
      </c>
      <c r="D28" s="180">
        <v>0.979756462772366</v>
      </c>
      <c r="E28" s="180">
        <v>0.81291568668034</v>
      </c>
      <c r="F28" s="180">
        <v>-0.166840776092026</v>
      </c>
      <c r="G28" s="180">
        <v>-2.18343715419415</v>
      </c>
      <c r="H28" s="110"/>
      <c r="I28" s="217"/>
    </row>
    <row r="29" ht="15.6" hidden="1" customHeight="1" spans="1:15">
      <c r="B29" s="123" t="s">
        <v>563</v>
      </c>
      <c r="C29" s="123" t="s">
        <v>564</v>
      </c>
      <c r="D29" s="123" t="s">
        <v>565</v>
      </c>
      <c r="E29" s="123" t="s">
        <v>566</v>
      </c>
      <c r="F29" s="219" t="s">
        <v>567</v>
      </c>
      <c r="G29" s="120" t="s">
        <v>568</v>
      </c>
      <c r="H29" s="220">
        <v>82105</v>
      </c>
      <c r="I29" s="120" t="s">
        <v>569</v>
      </c>
      <c r="J29" s="189">
        <v>116204</v>
      </c>
      <c r="K29" s="120" t="s">
        <v>570</v>
      </c>
      <c r="L29" s="188">
        <v>106294</v>
      </c>
      <c r="M29" s="189"/>
      <c r="N29" s="189"/>
      <c r="O29" s="189"/>
    </row>
    <row r="30" ht="39.6" customHeight="1" spans="1:15">
      <c r="B30" s="73"/>
      <c r="C30" s="73"/>
      <c r="D30" s="73"/>
      <c r="E30" s="73"/>
      <c r="F30" s="125" t="s">
        <v>571</v>
      </c>
      <c r="G30" s="125" t="s">
        <v>572</v>
      </c>
      <c r="H30" s="125" t="s">
        <v>573</v>
      </c>
      <c r="I30" s="125" t="s">
        <v>574</v>
      </c>
      <c r="J30" s="125" t="s">
        <v>575</v>
      </c>
      <c r="K30" s="125" t="s">
        <v>576</v>
      </c>
      <c r="L30" s="127" t="s">
        <v>577</v>
      </c>
      <c r="M30" s="125" t="s">
        <v>744</v>
      </c>
      <c r="N30" s="129" t="s">
        <v>579</v>
      </c>
      <c r="O30" s="129" t="s">
        <v>580</v>
      </c>
    </row>
    <row r="31" spans="1:15">
      <c r="B31" s="158" t="s">
        <v>55</v>
      </c>
      <c r="C31" s="131">
        <v>6666110101</v>
      </c>
      <c r="D31" s="131" t="s">
        <v>56</v>
      </c>
      <c r="E31" s="131" t="s">
        <v>57</v>
      </c>
      <c r="F31" s="202">
        <v>66.46563</v>
      </c>
      <c r="G31" s="191">
        <f t="shared" ref="G31:G39" si="3">F31*1000/$H$29</f>
        <v>0.809519883076548</v>
      </c>
      <c r="H31" s="184">
        <v>67.0631255833333</v>
      </c>
      <c r="I31" s="191">
        <v>0.577115465761362</v>
      </c>
      <c r="J31" s="221">
        <v>61.69588</v>
      </c>
      <c r="K31" s="191">
        <v>0.580426740926111</v>
      </c>
      <c r="L31" s="180">
        <f t="shared" ref="L31:L94" si="4">K31-G31</f>
        <v>-0.229093142150437</v>
      </c>
      <c r="M31" s="180">
        <v>0.00331127516474872</v>
      </c>
      <c r="N31" s="110"/>
      <c r="O31" s="110"/>
    </row>
    <row r="32" spans="1:15">
      <c r="B32" s="87"/>
      <c r="C32" s="131">
        <v>6666110106</v>
      </c>
      <c r="D32" s="131" t="s">
        <v>58</v>
      </c>
      <c r="E32" s="131" t="s">
        <v>59</v>
      </c>
      <c r="F32" s="184">
        <v>0</v>
      </c>
      <c r="G32" s="191">
        <f t="shared" si="3"/>
        <v>0</v>
      </c>
      <c r="H32" s="184">
        <v>0</v>
      </c>
      <c r="I32" s="191">
        <v>0</v>
      </c>
      <c r="J32" s="221">
        <v>0</v>
      </c>
      <c r="K32" s="191">
        <v>0</v>
      </c>
      <c r="L32" s="180">
        <f t="shared" si="4"/>
        <v>0</v>
      </c>
      <c r="M32" s="180">
        <v>0</v>
      </c>
      <c r="N32" s="110"/>
      <c r="O32" s="110"/>
    </row>
    <row r="33" spans="2:15">
      <c r="B33" s="87"/>
      <c r="C33" s="131">
        <v>6666110107</v>
      </c>
      <c r="D33" s="131" t="s">
        <v>60</v>
      </c>
      <c r="E33" s="131" t="s">
        <v>61</v>
      </c>
      <c r="F33" s="184">
        <v>205.33288</v>
      </c>
      <c r="G33" s="191">
        <f t="shared" si="3"/>
        <v>2.50085719505511</v>
      </c>
      <c r="H33" s="184">
        <v>200.435464916667</v>
      </c>
      <c r="I33" s="191">
        <v>1.72485856697417</v>
      </c>
      <c r="J33" s="221">
        <v>138.62046</v>
      </c>
      <c r="K33" s="191">
        <v>1.30412309255461</v>
      </c>
      <c r="L33" s="180">
        <f t="shared" si="4"/>
        <v>-1.1967341025005</v>
      </c>
      <c r="M33" s="180">
        <v>-0.420735474419562</v>
      </c>
      <c r="N33" s="110"/>
      <c r="O33" s="110"/>
    </row>
    <row r="34" spans="2:15">
      <c r="B34" s="87"/>
      <c r="C34" s="131">
        <v>6666110110</v>
      </c>
      <c r="D34" s="131" t="s">
        <v>62</v>
      </c>
      <c r="E34" s="131" t="s">
        <v>581</v>
      </c>
      <c r="F34" s="184">
        <v>392.86982</v>
      </c>
      <c r="G34" s="191">
        <f t="shared" si="3"/>
        <v>4.78496827233421</v>
      </c>
      <c r="H34" s="184">
        <v>423.324633975431</v>
      </c>
      <c r="I34" s="191">
        <v>3.6429437366651</v>
      </c>
      <c r="J34" s="221">
        <v>331.395449999999</v>
      </c>
      <c r="K34" s="191">
        <v>3.11772489510226</v>
      </c>
      <c r="L34" s="180">
        <f t="shared" si="4"/>
        <v>-1.66724337723195</v>
      </c>
      <c r="M34" s="180">
        <v>-0.525218841562839</v>
      </c>
      <c r="N34" s="110"/>
      <c r="O34" s="110" t="s">
        <v>745</v>
      </c>
    </row>
    <row r="35" spans="2:15">
      <c r="B35" s="87"/>
      <c r="C35" s="131">
        <v>6666110112</v>
      </c>
      <c r="D35" s="131" t="s">
        <v>64</v>
      </c>
      <c r="E35" s="131" t="s">
        <v>316</v>
      </c>
      <c r="F35" s="184">
        <v>37.32028</v>
      </c>
      <c r="G35" s="191">
        <f t="shared" si="3"/>
        <v>0.454543328664515</v>
      </c>
      <c r="H35" s="184">
        <v>57.0299784722222</v>
      </c>
      <c r="I35" s="191">
        <v>0.490774658980949</v>
      </c>
      <c r="J35" s="221">
        <v>53.90234</v>
      </c>
      <c r="K35" s="191">
        <v>0.507106139575141</v>
      </c>
      <c r="L35" s="180">
        <f t="shared" si="4"/>
        <v>0.052562810910626</v>
      </c>
      <c r="M35" s="180">
        <v>0.0163314805941916</v>
      </c>
      <c r="N35" s="110"/>
      <c r="O35" s="110"/>
    </row>
    <row r="36" spans="2:15">
      <c r="B36" s="87"/>
      <c r="C36" s="131">
        <v>6666110204</v>
      </c>
      <c r="D36" s="131" t="s">
        <v>66</v>
      </c>
      <c r="E36" s="131" t="s">
        <v>583</v>
      </c>
      <c r="F36" s="184">
        <v>2.81412</v>
      </c>
      <c r="G36" s="191">
        <f t="shared" si="3"/>
        <v>0.0342746483161805</v>
      </c>
      <c r="H36" s="184">
        <v>31.78315</v>
      </c>
      <c r="I36" s="191">
        <v>0.273511669133593</v>
      </c>
      <c r="J36" s="221">
        <v>2.81412</v>
      </c>
      <c r="K36" s="191">
        <v>0.0264748715825917</v>
      </c>
      <c r="L36" s="180">
        <f t="shared" si="4"/>
        <v>-0.0077997767335888</v>
      </c>
      <c r="M36" s="180">
        <v>-0.247036797551001</v>
      </c>
      <c r="N36" s="110"/>
      <c r="O36" s="110"/>
    </row>
    <row r="37" spans="2:15">
      <c r="B37" s="87"/>
      <c r="C37" s="131">
        <v>6666110207</v>
      </c>
      <c r="D37" s="131" t="s">
        <v>68</v>
      </c>
      <c r="E37" s="131" t="s">
        <v>317</v>
      </c>
      <c r="F37" s="184">
        <v>33.76611</v>
      </c>
      <c r="G37" s="191">
        <f t="shared" si="3"/>
        <v>0.411255221971865</v>
      </c>
      <c r="H37" s="184">
        <v>0</v>
      </c>
      <c r="I37" s="191">
        <v>0</v>
      </c>
      <c r="J37" s="221">
        <v>27.8339</v>
      </c>
      <c r="K37" s="191">
        <v>0.26185767776168</v>
      </c>
      <c r="L37" s="180">
        <f t="shared" si="4"/>
        <v>-0.149397544210185</v>
      </c>
      <c r="M37" s="180">
        <v>0.26185767776168</v>
      </c>
      <c r="N37" s="110"/>
      <c r="O37" s="110"/>
    </row>
    <row r="38" spans="2:15">
      <c r="B38" s="87"/>
      <c r="C38" s="131">
        <v>6666110506</v>
      </c>
      <c r="D38" s="131" t="s">
        <v>70</v>
      </c>
      <c r="E38" s="131" t="s">
        <v>584</v>
      </c>
      <c r="F38" s="184">
        <v>2.8597</v>
      </c>
      <c r="G38" s="191">
        <f t="shared" si="3"/>
        <v>0.0348297911211254</v>
      </c>
      <c r="H38" s="184">
        <v>0</v>
      </c>
      <c r="I38" s="191">
        <v>0</v>
      </c>
      <c r="J38" s="221">
        <v>-3.08533</v>
      </c>
      <c r="K38" s="191">
        <v>-0.0290263796639509</v>
      </c>
      <c r="L38" s="180">
        <f t="shared" si="4"/>
        <v>-0.0638561707850763</v>
      </c>
      <c r="M38" s="180">
        <v>-0.0290263796639509</v>
      </c>
      <c r="N38" s="110"/>
      <c r="O38" s="110"/>
    </row>
    <row r="39" spans="2:15">
      <c r="B39" s="87"/>
      <c r="C39" s="131" t="s">
        <v>72</v>
      </c>
      <c r="D39" s="131" t="s">
        <v>73</v>
      </c>
      <c r="E39" s="131" t="s">
        <v>585</v>
      </c>
      <c r="F39" s="184"/>
      <c r="G39" s="191">
        <f t="shared" si="3"/>
        <v>0</v>
      </c>
      <c r="H39" s="184">
        <v>0</v>
      </c>
      <c r="I39" s="191">
        <v>0</v>
      </c>
      <c r="J39" s="221">
        <v>-0.02065</v>
      </c>
      <c r="K39" s="191">
        <v>-0.000194272489510226</v>
      </c>
      <c r="L39" s="180">
        <f t="shared" si="4"/>
        <v>-0.000194272489510226</v>
      </c>
      <c r="M39" s="180">
        <v>-0.000194272489510226</v>
      </c>
      <c r="N39" s="110"/>
      <c r="O39" s="110"/>
    </row>
    <row r="40" spans="2:15">
      <c r="B40" s="73"/>
      <c r="C40" s="193" t="s">
        <v>75</v>
      </c>
      <c r="D40" s="193" t="s">
        <v>76</v>
      </c>
      <c r="E40" s="193" t="s">
        <v>77</v>
      </c>
      <c r="F40" s="222">
        <f>SUM(F31:F39)</f>
        <v>741.42854</v>
      </c>
      <c r="G40" s="223">
        <f>SUM(G31:G39)</f>
        <v>9.03024834053955</v>
      </c>
      <c r="H40" s="222">
        <v>779.636352947653</v>
      </c>
      <c r="I40" s="223">
        <v>6.70920409751518</v>
      </c>
      <c r="J40" s="224">
        <v>613.156169999999</v>
      </c>
      <c r="K40" s="223">
        <v>5.76849276534893</v>
      </c>
      <c r="L40" s="225">
        <f t="shared" si="4"/>
        <v>-3.26175557519062</v>
      </c>
      <c r="M40" s="225">
        <v>-0.940711332166243</v>
      </c>
      <c r="N40" s="226"/>
      <c r="O40" s="226"/>
    </row>
    <row r="41" spans="2:15">
      <c r="B41" s="158" t="s">
        <v>78</v>
      </c>
      <c r="C41" s="131">
        <v>5001010205</v>
      </c>
      <c r="D41" s="131" t="s">
        <v>79</v>
      </c>
      <c r="E41" s="131" t="s">
        <v>586</v>
      </c>
      <c r="F41" s="184">
        <v>9.03413</v>
      </c>
      <c r="G41" s="191">
        <v>0.110031423177638</v>
      </c>
      <c r="H41" s="184">
        <v>10.9848046018103</v>
      </c>
      <c r="I41" s="191">
        <v>0.0945303483684753</v>
      </c>
      <c r="J41" s="178">
        <v>8.93104</v>
      </c>
      <c r="K41" s="191">
        <v>0.0840220520443299</v>
      </c>
      <c r="L41" s="180">
        <f t="shared" si="4"/>
        <v>-0.0260093711333081</v>
      </c>
      <c r="M41" s="180">
        <v>-0.0105082963241454</v>
      </c>
      <c r="N41" s="110"/>
      <c r="O41" s="110"/>
    </row>
    <row r="42" spans="2:15">
      <c r="B42" s="87"/>
      <c r="C42" s="131">
        <v>6666010380</v>
      </c>
      <c r="D42" s="131" t="s">
        <v>81</v>
      </c>
      <c r="E42" s="131" t="s">
        <v>587</v>
      </c>
      <c r="F42" s="184">
        <v>-1.74248</v>
      </c>
      <c r="G42" s="191">
        <v>-0.0212225808416053</v>
      </c>
      <c r="H42" s="184">
        <v>-28.8719166874249</v>
      </c>
      <c r="I42" s="191">
        <v>-0.248458888570315</v>
      </c>
      <c r="J42" s="178">
        <v>-2.19199</v>
      </c>
      <c r="K42" s="191">
        <v>-0.020621954202495</v>
      </c>
      <c r="L42" s="180">
        <f t="shared" si="4"/>
        <v>0.000600626639110299</v>
      </c>
      <c r="M42" s="180">
        <v>0.22783693436782</v>
      </c>
      <c r="N42" s="110"/>
      <c r="O42" s="110"/>
    </row>
    <row r="43" spans="2:15">
      <c r="B43" s="87"/>
      <c r="C43" s="131">
        <v>6666010019</v>
      </c>
      <c r="D43" s="131" t="s">
        <v>84</v>
      </c>
      <c r="E43" s="131" t="s">
        <v>588</v>
      </c>
      <c r="F43" s="184">
        <v>73.09674</v>
      </c>
      <c r="G43" s="191">
        <v>0.890283661165581</v>
      </c>
      <c r="H43" s="184">
        <v>113.967347743782</v>
      </c>
      <c r="I43" s="191">
        <v>0.980752364322932</v>
      </c>
      <c r="J43" s="178">
        <v>76.79845</v>
      </c>
      <c r="K43" s="191">
        <v>0.722509737144147</v>
      </c>
      <c r="L43" s="180">
        <f t="shared" si="4"/>
        <v>-0.167773924021434</v>
      </c>
      <c r="M43" s="180">
        <v>-0.258242627178785</v>
      </c>
      <c r="N43" s="110"/>
      <c r="O43" s="110"/>
    </row>
    <row r="44" spans="2:15">
      <c r="B44" s="87"/>
      <c r="C44" s="131">
        <v>6666010183</v>
      </c>
      <c r="D44" s="131" t="s">
        <v>86</v>
      </c>
      <c r="E44" s="131" t="s">
        <v>589</v>
      </c>
      <c r="F44" s="184">
        <v>5.75887</v>
      </c>
      <c r="G44" s="191">
        <v>0.0701403081420133</v>
      </c>
      <c r="H44" s="184">
        <v>0</v>
      </c>
      <c r="I44" s="191">
        <v>0</v>
      </c>
      <c r="J44" s="178">
        <v>22.61471</v>
      </c>
      <c r="K44" s="191">
        <v>0.212756223305172</v>
      </c>
      <c r="L44" s="180">
        <f t="shared" si="4"/>
        <v>0.142615915163159</v>
      </c>
      <c r="M44" s="180">
        <v>0.212756223305172</v>
      </c>
      <c r="N44" s="110"/>
      <c r="O44" s="110"/>
    </row>
    <row r="45" spans="2:15">
      <c r="B45" s="87"/>
      <c r="C45" s="131">
        <v>6666010229</v>
      </c>
      <c r="D45" s="131" t="s">
        <v>88</v>
      </c>
      <c r="E45" s="131" t="s">
        <v>590</v>
      </c>
      <c r="F45" s="184">
        <v>-48.92735</v>
      </c>
      <c r="G45" s="191">
        <v>-0.595911942025455</v>
      </c>
      <c r="H45" s="184">
        <v>18.0121619244306</v>
      </c>
      <c r="I45" s="191">
        <v>0.155004663560898</v>
      </c>
      <c r="J45" s="178">
        <v>116.24877</v>
      </c>
      <c r="K45" s="191">
        <v>1.09365316951098</v>
      </c>
      <c r="L45" s="180">
        <f t="shared" si="4"/>
        <v>1.68956511153643</v>
      </c>
      <c r="M45" s="180">
        <v>0.938648505950081</v>
      </c>
      <c r="N45" s="110" t="s">
        <v>746</v>
      </c>
      <c r="O45" s="110" t="s">
        <v>747</v>
      </c>
    </row>
    <row r="46" spans="2:15">
      <c r="B46" s="87"/>
      <c r="C46" s="131">
        <v>6666010188</v>
      </c>
      <c r="D46" s="131" t="s">
        <v>90</v>
      </c>
      <c r="E46" s="131" t="s">
        <v>591</v>
      </c>
      <c r="F46" s="184">
        <v>432.01008</v>
      </c>
      <c r="G46" s="191">
        <v>5.2616780951221</v>
      </c>
      <c r="H46" s="184">
        <v>558.643453551725</v>
      </c>
      <c r="I46" s="191">
        <v>4.80743738211873</v>
      </c>
      <c r="J46" s="178">
        <v>395.30928</v>
      </c>
      <c r="K46" s="191">
        <v>3.7190178185034</v>
      </c>
      <c r="L46" s="180">
        <f t="shared" si="4"/>
        <v>-1.5426602766187</v>
      </c>
      <c r="M46" s="180">
        <v>-1.08841956361533</v>
      </c>
      <c r="N46" s="110"/>
      <c r="O46" s="199" t="s">
        <v>748</v>
      </c>
    </row>
    <row r="47" spans="2:15">
      <c r="B47" s="87"/>
      <c r="C47" s="131">
        <v>5102040406</v>
      </c>
      <c r="D47" s="131" t="s">
        <v>92</v>
      </c>
      <c r="E47" s="131" t="s">
        <v>593</v>
      </c>
      <c r="F47" s="184">
        <v>0</v>
      </c>
      <c r="G47" s="191">
        <v>0</v>
      </c>
      <c r="H47" s="184">
        <v>0</v>
      </c>
      <c r="I47" s="191">
        <v>0</v>
      </c>
      <c r="J47" s="178">
        <v>0</v>
      </c>
      <c r="K47" s="191">
        <v>0</v>
      </c>
      <c r="L47" s="180">
        <f t="shared" si="4"/>
        <v>0</v>
      </c>
      <c r="M47" s="180">
        <v>0</v>
      </c>
      <c r="N47" s="110"/>
      <c r="O47" s="110"/>
    </row>
    <row r="48" spans="2:15">
      <c r="B48" s="87"/>
      <c r="C48" s="131">
        <v>6666010115</v>
      </c>
      <c r="D48" s="131" t="s">
        <v>94</v>
      </c>
      <c r="E48" s="131" t="s">
        <v>594</v>
      </c>
      <c r="F48" s="184">
        <v>-0.20988</v>
      </c>
      <c r="G48" s="191">
        <v>-0.00255623896230437</v>
      </c>
      <c r="H48" s="184">
        <v>0</v>
      </c>
      <c r="I48" s="191">
        <v>0</v>
      </c>
      <c r="J48" s="178">
        <v>0.18412</v>
      </c>
      <c r="K48" s="191">
        <v>0.00173217679266939</v>
      </c>
      <c r="L48" s="180">
        <f t="shared" si="4"/>
        <v>0.00428841575497376</v>
      </c>
      <c r="M48" s="180">
        <v>0.00173217679266939</v>
      </c>
      <c r="N48" s="110"/>
      <c r="O48" s="110"/>
    </row>
    <row r="49" spans="2:15">
      <c r="B49" s="73"/>
      <c r="C49" s="193" t="s">
        <v>96</v>
      </c>
      <c r="D49" s="193" t="s">
        <v>97</v>
      </c>
      <c r="E49" s="193" t="s">
        <v>98</v>
      </c>
      <c r="F49" s="222">
        <v>469.02011</v>
      </c>
      <c r="G49" s="223">
        <v>5.71244272577797</v>
      </c>
      <c r="H49" s="222">
        <v>672.735851134323</v>
      </c>
      <c r="I49" s="223">
        <v>5.78926586980072</v>
      </c>
      <c r="J49" s="224">
        <v>617.89438</v>
      </c>
      <c r="K49" s="223">
        <v>5.8130692230982</v>
      </c>
      <c r="L49" s="225">
        <f t="shared" si="4"/>
        <v>0.10062649732023</v>
      </c>
      <c r="M49" s="225">
        <v>0.0238033532974802</v>
      </c>
      <c r="N49" s="226"/>
      <c r="O49" s="226"/>
    </row>
    <row r="50" spans="2:15">
      <c r="B50" s="158" t="s">
        <v>99</v>
      </c>
      <c r="C50" s="131">
        <v>8701530201</v>
      </c>
      <c r="D50" s="131" t="s">
        <v>100</v>
      </c>
      <c r="E50" s="131" t="s">
        <v>595</v>
      </c>
      <c r="F50" s="184">
        <v>0</v>
      </c>
      <c r="G50" s="191">
        <v>0</v>
      </c>
      <c r="H50" s="184">
        <v>0</v>
      </c>
      <c r="I50" s="191">
        <v>0</v>
      </c>
      <c r="J50" s="178">
        <v>0</v>
      </c>
      <c r="K50" s="191">
        <v>0</v>
      </c>
      <c r="L50" s="180">
        <f t="shared" si="4"/>
        <v>0</v>
      </c>
      <c r="M50" s="180">
        <v>0</v>
      </c>
      <c r="N50" s="110"/>
      <c r="O50" s="110"/>
    </row>
    <row r="51" spans="2:15">
      <c r="B51" s="87"/>
      <c r="C51" s="131">
        <v>6666050309</v>
      </c>
      <c r="D51" s="131" t="s">
        <v>102</v>
      </c>
      <c r="E51" s="131" t="s">
        <v>596</v>
      </c>
      <c r="F51" s="184">
        <v>20.0357</v>
      </c>
      <c r="G51" s="191">
        <v>0.24402533341453</v>
      </c>
      <c r="H51" s="184">
        <v>0</v>
      </c>
      <c r="I51" s="191">
        <v>0</v>
      </c>
      <c r="J51" s="178">
        <v>36.98318</v>
      </c>
      <c r="K51" s="191">
        <v>0.347932903080136</v>
      </c>
      <c r="L51" s="180">
        <f t="shared" si="4"/>
        <v>0.103907569665606</v>
      </c>
      <c r="M51" s="180">
        <v>0.347932903080136</v>
      </c>
      <c r="N51" s="110"/>
      <c r="O51" s="110"/>
    </row>
    <row r="52" spans="2:15">
      <c r="B52" s="87"/>
      <c r="C52" s="131">
        <v>6666050308</v>
      </c>
      <c r="D52" s="131" t="s">
        <v>104</v>
      </c>
      <c r="E52" s="131" t="s">
        <v>597</v>
      </c>
      <c r="F52" s="184">
        <v>11.07537</v>
      </c>
      <c r="G52" s="191">
        <v>0.134892759271664</v>
      </c>
      <c r="H52" s="184">
        <v>70.4974906683187</v>
      </c>
      <c r="I52" s="191">
        <v>0.606670085955033</v>
      </c>
      <c r="J52" s="178">
        <v>16.07373</v>
      </c>
      <c r="K52" s="191">
        <v>0.15121954202495</v>
      </c>
      <c r="L52" s="180">
        <f t="shared" si="4"/>
        <v>0.016326782753286</v>
      </c>
      <c r="M52" s="180">
        <v>-0.455450543930084</v>
      </c>
      <c r="N52" s="110"/>
      <c r="O52" s="110"/>
    </row>
    <row r="53" spans="2:15">
      <c r="B53" s="87"/>
      <c r="C53" s="131">
        <v>6666050306</v>
      </c>
      <c r="D53" s="131" t="s">
        <v>107</v>
      </c>
      <c r="E53" s="131" t="s">
        <v>598</v>
      </c>
      <c r="F53" s="184">
        <v>0.97622</v>
      </c>
      <c r="G53" s="191">
        <v>0.0118898970830035</v>
      </c>
      <c r="H53" s="184">
        <v>0</v>
      </c>
      <c r="I53" s="191">
        <v>0</v>
      </c>
      <c r="J53" s="178">
        <v>0.08533</v>
      </c>
      <c r="K53" s="191">
        <v>0.000802773439704969</v>
      </c>
      <c r="L53" s="180">
        <f t="shared" si="4"/>
        <v>-0.0110871236432985</v>
      </c>
      <c r="M53" s="180">
        <v>0.000802773439704969</v>
      </c>
      <c r="N53" s="110"/>
      <c r="O53" s="110"/>
    </row>
    <row r="54" spans="2:15">
      <c r="B54" s="73"/>
      <c r="C54" s="193" t="s">
        <v>96</v>
      </c>
      <c r="D54" s="193" t="s">
        <v>109</v>
      </c>
      <c r="E54" s="193" t="s">
        <v>599</v>
      </c>
      <c r="F54" s="222">
        <v>32.08729</v>
      </c>
      <c r="G54" s="223">
        <v>0.390807989769198</v>
      </c>
      <c r="H54" s="222">
        <v>70.4974906683187</v>
      </c>
      <c r="I54" s="223">
        <v>0.606670085955033</v>
      </c>
      <c r="J54" s="224">
        <v>53.14224</v>
      </c>
      <c r="K54" s="223">
        <v>0.499955218544791</v>
      </c>
      <c r="L54" s="225">
        <f t="shared" si="4"/>
        <v>0.109147228775593</v>
      </c>
      <c r="M54" s="225">
        <v>-0.106714867410243</v>
      </c>
      <c r="N54" s="226"/>
      <c r="O54" s="226"/>
    </row>
    <row r="55" spans="2:15">
      <c r="B55" s="158" t="s">
        <v>111</v>
      </c>
      <c r="C55" s="131">
        <v>5102010151</v>
      </c>
      <c r="D55" s="131" t="s">
        <v>112</v>
      </c>
      <c r="E55" s="131" t="s">
        <v>600</v>
      </c>
      <c r="F55" s="184">
        <v>0</v>
      </c>
      <c r="G55" s="191">
        <v>0</v>
      </c>
      <c r="H55" s="184">
        <v>0</v>
      </c>
      <c r="I55" s="191">
        <v>0</v>
      </c>
      <c r="J55" s="178">
        <v>0</v>
      </c>
      <c r="K55" s="191">
        <v>0</v>
      </c>
      <c r="L55" s="180">
        <f t="shared" si="4"/>
        <v>0</v>
      </c>
      <c r="M55" s="180">
        <v>0</v>
      </c>
      <c r="N55" s="110"/>
      <c r="O55" s="110"/>
    </row>
    <row r="56" spans="2:15">
      <c r="B56" s="87"/>
      <c r="C56" s="131">
        <v>5001010200</v>
      </c>
      <c r="D56" s="131" t="s">
        <v>114</v>
      </c>
      <c r="E56" s="131" t="s">
        <v>601</v>
      </c>
      <c r="F56" s="184">
        <v>1.02854</v>
      </c>
      <c r="G56" s="191">
        <v>0.0125271298946471</v>
      </c>
      <c r="H56" s="184">
        <v>0</v>
      </c>
      <c r="I56" s="191">
        <v>0</v>
      </c>
      <c r="J56" s="178">
        <v>0</v>
      </c>
      <c r="K56" s="191">
        <v>0</v>
      </c>
      <c r="L56" s="180">
        <f t="shared" si="4"/>
        <v>-0.0125271298946471</v>
      </c>
      <c r="M56" s="180">
        <v>0</v>
      </c>
      <c r="N56" s="110"/>
      <c r="O56" s="110"/>
    </row>
    <row r="57" spans="2:15">
      <c r="B57" s="87"/>
      <c r="C57" s="131">
        <v>5001010201</v>
      </c>
      <c r="D57" s="131" t="s">
        <v>116</v>
      </c>
      <c r="E57" s="131" t="s">
        <v>602</v>
      </c>
      <c r="F57" s="184">
        <v>0</v>
      </c>
      <c r="G57" s="191">
        <v>0</v>
      </c>
      <c r="H57" s="184">
        <v>0</v>
      </c>
      <c r="I57" s="191">
        <v>0</v>
      </c>
      <c r="J57" s="178">
        <v>0</v>
      </c>
      <c r="K57" s="191">
        <v>0</v>
      </c>
      <c r="L57" s="180">
        <f t="shared" si="4"/>
        <v>0</v>
      </c>
      <c r="M57" s="180">
        <v>0</v>
      </c>
      <c r="N57" s="110"/>
      <c r="O57" s="110"/>
    </row>
    <row r="58" spans="2:15">
      <c r="B58" s="87"/>
      <c r="C58" s="131">
        <v>5207000011</v>
      </c>
      <c r="D58" s="131" t="s">
        <v>118</v>
      </c>
      <c r="E58" s="131" t="s">
        <v>603</v>
      </c>
      <c r="F58" s="184">
        <v>0</v>
      </c>
      <c r="G58" s="191">
        <v>0</v>
      </c>
      <c r="H58" s="184">
        <v>0</v>
      </c>
      <c r="I58" s="191">
        <v>0</v>
      </c>
      <c r="J58" s="178">
        <v>0</v>
      </c>
      <c r="K58" s="191">
        <v>0</v>
      </c>
      <c r="L58" s="180">
        <f t="shared" si="4"/>
        <v>0</v>
      </c>
      <c r="M58" s="180">
        <v>0</v>
      </c>
      <c r="N58" s="110"/>
      <c r="O58" s="110"/>
    </row>
    <row r="59" spans="2:15">
      <c r="B59" s="87"/>
      <c r="C59" s="131">
        <v>5207000012</v>
      </c>
      <c r="D59" s="131" t="s">
        <v>120</v>
      </c>
      <c r="E59" s="131" t="s">
        <v>604</v>
      </c>
      <c r="F59" s="184">
        <v>0</v>
      </c>
      <c r="G59" s="191">
        <v>0</v>
      </c>
      <c r="H59" s="184">
        <v>0</v>
      </c>
      <c r="I59" s="191">
        <v>0</v>
      </c>
      <c r="J59" s="178">
        <v>0</v>
      </c>
      <c r="K59" s="191">
        <v>0</v>
      </c>
      <c r="L59" s="180">
        <f t="shared" si="4"/>
        <v>0</v>
      </c>
      <c r="M59" s="180">
        <v>0</v>
      </c>
      <c r="N59" s="110"/>
      <c r="O59" s="110"/>
    </row>
    <row r="60" spans="2:15">
      <c r="B60" s="87"/>
      <c r="C60" s="131">
        <v>5207000022</v>
      </c>
      <c r="D60" s="131" t="s">
        <v>122</v>
      </c>
      <c r="E60" s="131" t="s">
        <v>605</v>
      </c>
      <c r="F60" s="184">
        <v>0</v>
      </c>
      <c r="G60" s="191">
        <v>0</v>
      </c>
      <c r="H60" s="184">
        <v>0</v>
      </c>
      <c r="I60" s="191">
        <v>0</v>
      </c>
      <c r="J60" s="178">
        <v>0</v>
      </c>
      <c r="K60" s="191">
        <v>0</v>
      </c>
      <c r="L60" s="180">
        <f t="shared" si="4"/>
        <v>0</v>
      </c>
      <c r="M60" s="180">
        <v>0</v>
      </c>
      <c r="N60" s="110"/>
      <c r="O60" s="110"/>
    </row>
    <row r="61" spans="2:15">
      <c r="B61" s="87"/>
      <c r="C61" s="131">
        <v>5301060000</v>
      </c>
      <c r="D61" s="131" t="s">
        <v>124</v>
      </c>
      <c r="E61" s="131" t="s">
        <v>330</v>
      </c>
      <c r="F61" s="184">
        <v>0</v>
      </c>
      <c r="G61" s="191">
        <v>0</v>
      </c>
      <c r="H61" s="184">
        <v>0</v>
      </c>
      <c r="I61" s="191">
        <v>0</v>
      </c>
      <c r="J61" s="178">
        <v>0</v>
      </c>
      <c r="K61" s="191">
        <v>0</v>
      </c>
      <c r="L61" s="180">
        <f t="shared" si="4"/>
        <v>0</v>
      </c>
      <c r="M61" s="180">
        <v>0</v>
      </c>
      <c r="N61" s="110"/>
      <c r="O61" s="110"/>
    </row>
    <row r="62" spans="2:15">
      <c r="B62" s="87"/>
      <c r="C62" s="131">
        <v>5301999999</v>
      </c>
      <c r="D62" s="131" t="s">
        <v>126</v>
      </c>
      <c r="E62" s="131" t="s">
        <v>606</v>
      </c>
      <c r="F62" s="184">
        <v>0</v>
      </c>
      <c r="G62" s="191">
        <v>0</v>
      </c>
      <c r="H62" s="184">
        <v>0</v>
      </c>
      <c r="I62" s="191">
        <v>0</v>
      </c>
      <c r="J62" s="178">
        <v>-0.44035</v>
      </c>
      <c r="K62" s="191">
        <v>-0.00414275500028224</v>
      </c>
      <c r="L62" s="180">
        <f t="shared" si="4"/>
        <v>-0.00414275500028224</v>
      </c>
      <c r="M62" s="180">
        <v>-0.00414275500028224</v>
      </c>
      <c r="N62" s="110"/>
      <c r="O62" s="110"/>
    </row>
    <row r="63" spans="2:15">
      <c r="B63" s="87"/>
      <c r="C63" s="131">
        <v>5405030000</v>
      </c>
      <c r="D63" s="131" t="s">
        <v>128</v>
      </c>
      <c r="E63" s="131" t="s">
        <v>607</v>
      </c>
      <c r="F63" s="184">
        <v>2e-5</v>
      </c>
      <c r="G63" s="191">
        <v>2.43590524328604e-7</v>
      </c>
      <c r="H63" s="184">
        <v>0</v>
      </c>
      <c r="I63" s="191">
        <v>0</v>
      </c>
      <c r="J63" s="178">
        <v>-0.00022</v>
      </c>
      <c r="K63" s="191">
        <v>-2.06973112311137e-6</v>
      </c>
      <c r="L63" s="180">
        <f t="shared" si="4"/>
        <v>-2.31332164743997e-6</v>
      </c>
      <c r="M63" s="180">
        <v>-2.06973112311137e-6</v>
      </c>
      <c r="N63" s="110"/>
      <c r="O63" s="110"/>
    </row>
    <row r="64" spans="2:15">
      <c r="B64" s="87"/>
      <c r="C64" s="131">
        <v>5601050000</v>
      </c>
      <c r="D64" s="131" t="s">
        <v>130</v>
      </c>
      <c r="E64" s="131" t="s">
        <v>331</v>
      </c>
      <c r="F64" s="184">
        <v>0</v>
      </c>
      <c r="G64" s="191">
        <v>0</v>
      </c>
      <c r="H64" s="184">
        <v>0</v>
      </c>
      <c r="I64" s="191">
        <v>0</v>
      </c>
      <c r="J64" s="178">
        <v>0</v>
      </c>
      <c r="K64" s="191">
        <v>0</v>
      </c>
      <c r="L64" s="180">
        <f t="shared" si="4"/>
        <v>0</v>
      </c>
      <c r="M64" s="180">
        <v>0</v>
      </c>
      <c r="N64" s="110"/>
      <c r="O64" s="110"/>
    </row>
    <row r="65" spans="2:15">
      <c r="B65" s="87"/>
      <c r="C65" s="131">
        <v>5601050100</v>
      </c>
      <c r="D65" s="131" t="s">
        <v>132</v>
      </c>
      <c r="E65" s="131" t="s">
        <v>332</v>
      </c>
      <c r="F65" s="184">
        <v>0</v>
      </c>
      <c r="G65" s="191">
        <v>0</v>
      </c>
      <c r="H65" s="184">
        <v>0</v>
      </c>
      <c r="I65" s="191">
        <v>0</v>
      </c>
      <c r="J65" s="178">
        <v>0</v>
      </c>
      <c r="K65" s="191">
        <v>0</v>
      </c>
      <c r="L65" s="180">
        <f t="shared" si="4"/>
        <v>0</v>
      </c>
      <c r="M65" s="180">
        <v>0</v>
      </c>
      <c r="N65" s="110"/>
      <c r="O65" s="110"/>
    </row>
    <row r="66" spans="2:15">
      <c r="B66" s="87"/>
      <c r="C66" s="131">
        <v>5102040893</v>
      </c>
      <c r="D66" s="131" t="s">
        <v>134</v>
      </c>
      <c r="E66" s="131" t="s">
        <v>608</v>
      </c>
      <c r="F66" s="184">
        <v>0</v>
      </c>
      <c r="G66" s="191">
        <v>0</v>
      </c>
      <c r="H66" s="184">
        <v>0</v>
      </c>
      <c r="I66" s="191">
        <v>0</v>
      </c>
      <c r="J66" s="178">
        <v>0</v>
      </c>
      <c r="K66" s="191">
        <v>0</v>
      </c>
      <c r="L66" s="180">
        <f t="shared" si="4"/>
        <v>0</v>
      </c>
      <c r="M66" s="180">
        <v>0</v>
      </c>
      <c r="N66" s="110"/>
      <c r="O66" s="110"/>
    </row>
    <row r="67" spans="2:15">
      <c r="B67" s="87"/>
      <c r="C67" s="131">
        <v>5801000041</v>
      </c>
      <c r="D67" s="131" t="s">
        <v>136</v>
      </c>
      <c r="E67" s="131" t="s">
        <v>609</v>
      </c>
      <c r="F67" s="184">
        <v>0</v>
      </c>
      <c r="G67" s="191">
        <v>0</v>
      </c>
      <c r="H67" s="184">
        <v>0</v>
      </c>
      <c r="I67" s="191">
        <v>0</v>
      </c>
      <c r="J67" s="178">
        <v>0</v>
      </c>
      <c r="K67" s="191">
        <v>0</v>
      </c>
      <c r="L67" s="180">
        <f t="shared" si="4"/>
        <v>0</v>
      </c>
      <c r="M67" s="180">
        <v>0</v>
      </c>
      <c r="N67" s="110"/>
      <c r="O67" s="110"/>
    </row>
    <row r="68" spans="2:15">
      <c r="B68" s="87"/>
      <c r="C68" s="131">
        <v>6666010322</v>
      </c>
      <c r="D68" s="131" t="s">
        <v>138</v>
      </c>
      <c r="E68" s="131" t="s">
        <v>328</v>
      </c>
      <c r="F68" s="184">
        <v>4.30247</v>
      </c>
      <c r="G68" s="191">
        <v>0.0524020461604044</v>
      </c>
      <c r="H68" s="184">
        <v>3.18014464820327</v>
      </c>
      <c r="I68" s="191">
        <v>0.0273669120529695</v>
      </c>
      <c r="J68" s="178">
        <v>2.41044</v>
      </c>
      <c r="K68" s="191">
        <v>0.0226771031290571</v>
      </c>
      <c r="L68" s="180">
        <f t="shared" si="4"/>
        <v>-0.0297249430313473</v>
      </c>
      <c r="M68" s="180">
        <v>-0.00468980892391238</v>
      </c>
      <c r="N68" s="110"/>
      <c r="O68" s="110"/>
    </row>
    <row r="69" spans="2:15">
      <c r="B69" s="87"/>
      <c r="C69" s="131">
        <v>6666020101</v>
      </c>
      <c r="D69" s="131" t="s">
        <v>140</v>
      </c>
      <c r="E69" s="131" t="s">
        <v>335</v>
      </c>
      <c r="F69" s="184">
        <v>0</v>
      </c>
      <c r="G69" s="191">
        <v>0</v>
      </c>
      <c r="H69" s="184">
        <v>7.71284433258601</v>
      </c>
      <c r="I69" s="191">
        <v>0.0663733118703832</v>
      </c>
      <c r="J69" s="178">
        <v>0</v>
      </c>
      <c r="K69" s="191">
        <v>0</v>
      </c>
      <c r="L69" s="180">
        <f t="shared" si="4"/>
        <v>0</v>
      </c>
      <c r="M69" s="180">
        <v>-0.0663733118703832</v>
      </c>
      <c r="N69" s="110"/>
      <c r="O69" s="110"/>
    </row>
    <row r="70" spans="2:15">
      <c r="B70" s="87"/>
      <c r="C70" s="131">
        <v>6666020201</v>
      </c>
      <c r="D70" s="131" t="s">
        <v>143</v>
      </c>
      <c r="E70" s="131" t="s">
        <v>610</v>
      </c>
      <c r="F70" s="184">
        <v>0.06539</v>
      </c>
      <c r="G70" s="191">
        <v>0.00079641921929237</v>
      </c>
      <c r="H70" s="184">
        <v>0</v>
      </c>
      <c r="I70" s="191">
        <v>0</v>
      </c>
      <c r="J70" s="178">
        <v>0.0316</v>
      </c>
      <c r="K70" s="191">
        <v>0.000297288652228724</v>
      </c>
      <c r="L70" s="180">
        <f t="shared" si="4"/>
        <v>-0.000499130567063646</v>
      </c>
      <c r="M70" s="180">
        <v>0.000297288652228724</v>
      </c>
      <c r="N70" s="110"/>
      <c r="O70" s="110"/>
    </row>
    <row r="71" spans="2:15">
      <c r="B71" s="87"/>
      <c r="C71" s="131">
        <v>6666020202</v>
      </c>
      <c r="D71" s="131" t="s">
        <v>146</v>
      </c>
      <c r="E71" s="131" t="s">
        <v>611</v>
      </c>
      <c r="F71" s="184">
        <v>0</v>
      </c>
      <c r="G71" s="191">
        <v>0</v>
      </c>
      <c r="H71" s="184">
        <v>0</v>
      </c>
      <c r="I71" s="191">
        <v>0</v>
      </c>
      <c r="J71" s="178">
        <v>0.4</v>
      </c>
      <c r="K71" s="191">
        <v>0.00376314749656613</v>
      </c>
      <c r="L71" s="180">
        <f t="shared" si="4"/>
        <v>0.00376314749656613</v>
      </c>
      <c r="M71" s="180">
        <v>0.00376314749656613</v>
      </c>
      <c r="N71" s="110"/>
      <c r="O71" s="110"/>
    </row>
    <row r="72" spans="2:15">
      <c r="B72" s="87"/>
      <c r="C72" s="131">
        <v>6666020204</v>
      </c>
      <c r="D72" s="131" t="s">
        <v>148</v>
      </c>
      <c r="E72" s="131" t="s">
        <v>612</v>
      </c>
      <c r="F72" s="184">
        <v>0.29915</v>
      </c>
      <c r="G72" s="191">
        <v>0.00364350526764509</v>
      </c>
      <c r="H72" s="184">
        <v>0.745334328323389</v>
      </c>
      <c r="I72" s="191">
        <v>0.0064140161123833</v>
      </c>
      <c r="J72" s="178">
        <v>0</v>
      </c>
      <c r="K72" s="191">
        <v>0</v>
      </c>
      <c r="L72" s="180">
        <f t="shared" si="4"/>
        <v>-0.00364350526764509</v>
      </c>
      <c r="M72" s="180">
        <v>-0.0064140161123833</v>
      </c>
      <c r="N72" s="110"/>
      <c r="O72" s="110"/>
    </row>
    <row r="73" spans="2:15">
      <c r="B73" s="87"/>
      <c r="C73" s="131">
        <v>6666020205</v>
      </c>
      <c r="D73" s="131" t="s">
        <v>150</v>
      </c>
      <c r="E73" s="131" t="s">
        <v>613</v>
      </c>
      <c r="F73" s="184">
        <v>0</v>
      </c>
      <c r="G73" s="191">
        <v>0</v>
      </c>
      <c r="H73" s="184">
        <v>0</v>
      </c>
      <c r="I73" s="191">
        <v>0</v>
      </c>
      <c r="J73" s="178">
        <v>0</v>
      </c>
      <c r="K73" s="191">
        <v>0</v>
      </c>
      <c r="L73" s="180">
        <f t="shared" si="4"/>
        <v>0</v>
      </c>
      <c r="M73" s="180">
        <v>0</v>
      </c>
      <c r="N73" s="110"/>
      <c r="O73" s="110"/>
    </row>
    <row r="74" spans="2:15">
      <c r="B74" s="87"/>
      <c r="C74" s="131">
        <v>6666020301</v>
      </c>
      <c r="D74" s="131" t="s">
        <v>152</v>
      </c>
      <c r="E74" s="131" t="s">
        <v>614</v>
      </c>
      <c r="F74" s="184">
        <v>0</v>
      </c>
      <c r="G74" s="191">
        <v>0</v>
      </c>
      <c r="H74" s="184">
        <v>0</v>
      </c>
      <c r="I74" s="191">
        <v>0</v>
      </c>
      <c r="J74" s="178">
        <v>-0.47367</v>
      </c>
      <c r="K74" s="191">
        <v>-0.00445622518674619</v>
      </c>
      <c r="L74" s="180">
        <f t="shared" si="4"/>
        <v>-0.00445622518674619</v>
      </c>
      <c r="M74" s="180">
        <v>-0.00445622518674619</v>
      </c>
      <c r="N74" s="110"/>
      <c r="O74" s="110"/>
    </row>
    <row r="75" spans="2:15">
      <c r="B75" s="87"/>
      <c r="C75" s="131">
        <v>6666020302</v>
      </c>
      <c r="D75" s="131" t="s">
        <v>154</v>
      </c>
      <c r="E75" s="131" t="s">
        <v>615</v>
      </c>
      <c r="F75" s="184">
        <v>0</v>
      </c>
      <c r="G75" s="191">
        <v>0</v>
      </c>
      <c r="H75" s="184">
        <v>1.20777022139253</v>
      </c>
      <c r="I75" s="191">
        <v>0.0103935339695065</v>
      </c>
      <c r="J75" s="178">
        <v>1.22327</v>
      </c>
      <c r="K75" s="191">
        <v>0.0115083635953111</v>
      </c>
      <c r="L75" s="180">
        <f t="shared" si="4"/>
        <v>0.0115083635953111</v>
      </c>
      <c r="M75" s="180">
        <v>0.00111482962580465</v>
      </c>
      <c r="N75" s="110"/>
      <c r="O75" s="110"/>
    </row>
    <row r="76" spans="2:15">
      <c r="B76" s="87"/>
      <c r="C76" s="131" t="s">
        <v>156</v>
      </c>
      <c r="D76" s="131" t="s">
        <v>157</v>
      </c>
      <c r="E76" s="131" t="s">
        <v>343</v>
      </c>
      <c r="F76" s="184">
        <v>0</v>
      </c>
      <c r="G76" s="191">
        <v>0</v>
      </c>
      <c r="H76" s="184">
        <v>0</v>
      </c>
      <c r="I76" s="191">
        <v>0</v>
      </c>
      <c r="J76" s="178">
        <v>0</v>
      </c>
      <c r="K76" s="191">
        <v>0</v>
      </c>
      <c r="L76" s="180">
        <f t="shared" si="4"/>
        <v>0</v>
      </c>
      <c r="M76" s="180">
        <v>0</v>
      </c>
      <c r="N76" s="110"/>
      <c r="O76" s="110"/>
    </row>
    <row r="77" spans="2:15">
      <c r="B77" s="87"/>
      <c r="C77" s="131">
        <v>6666020405</v>
      </c>
      <c r="D77" s="131" t="s">
        <v>159</v>
      </c>
      <c r="E77" s="131" t="s">
        <v>616</v>
      </c>
      <c r="F77" s="184">
        <v>0</v>
      </c>
      <c r="G77" s="191">
        <v>0</v>
      </c>
      <c r="H77" s="184">
        <v>0</v>
      </c>
      <c r="I77" s="191">
        <v>0</v>
      </c>
      <c r="J77" s="178">
        <v>0</v>
      </c>
      <c r="K77" s="191">
        <v>0</v>
      </c>
      <c r="L77" s="180">
        <f t="shared" si="4"/>
        <v>0</v>
      </c>
      <c r="M77" s="180">
        <v>0</v>
      </c>
      <c r="N77" s="110"/>
      <c r="O77" s="110"/>
    </row>
    <row r="78" spans="2:15">
      <c r="B78" s="87"/>
      <c r="C78" s="131">
        <v>6666020495</v>
      </c>
      <c r="D78" s="131" t="s">
        <v>161</v>
      </c>
      <c r="E78" s="131" t="s">
        <v>617</v>
      </c>
      <c r="F78" s="184">
        <v>0.12338</v>
      </c>
      <c r="G78" s="191">
        <v>0.00150270994458316</v>
      </c>
      <c r="H78" s="184">
        <v>0</v>
      </c>
      <c r="I78" s="191">
        <v>0</v>
      </c>
      <c r="J78" s="178">
        <v>0.09931</v>
      </c>
      <c r="K78" s="191">
        <v>0.000934295444709956</v>
      </c>
      <c r="L78" s="180">
        <f t="shared" si="4"/>
        <v>-0.000568414499873204</v>
      </c>
      <c r="M78" s="180">
        <v>0.000934295444709956</v>
      </c>
      <c r="N78" s="110"/>
      <c r="O78" s="110"/>
    </row>
    <row r="79" spans="2:15">
      <c r="B79" s="87"/>
      <c r="C79" s="131">
        <v>6666020504</v>
      </c>
      <c r="D79" s="131" t="s">
        <v>163</v>
      </c>
      <c r="E79" s="131" t="s">
        <v>344</v>
      </c>
      <c r="F79" s="184">
        <v>0</v>
      </c>
      <c r="G79" s="191">
        <v>0</v>
      </c>
      <c r="H79" s="184">
        <v>0</v>
      </c>
      <c r="I79" s="191">
        <v>0</v>
      </c>
      <c r="J79" s="178">
        <v>0</v>
      </c>
      <c r="K79" s="191">
        <v>0</v>
      </c>
      <c r="L79" s="180">
        <f t="shared" si="4"/>
        <v>0</v>
      </c>
      <c r="M79" s="180">
        <v>0</v>
      </c>
      <c r="N79" s="110"/>
      <c r="O79" s="110"/>
    </row>
    <row r="80" spans="2:15">
      <c r="B80" s="87"/>
      <c r="C80" s="131">
        <v>6666020508</v>
      </c>
      <c r="D80" s="131" t="s">
        <v>165</v>
      </c>
      <c r="E80" s="131" t="s">
        <v>345</v>
      </c>
      <c r="F80" s="184">
        <v>0</v>
      </c>
      <c r="G80" s="191">
        <v>0</v>
      </c>
      <c r="H80" s="184">
        <v>0</v>
      </c>
      <c r="I80" s="191">
        <v>0</v>
      </c>
      <c r="J80" s="178">
        <v>0.01908</v>
      </c>
      <c r="K80" s="191">
        <v>0.000179502135586204</v>
      </c>
      <c r="L80" s="180">
        <f t="shared" si="4"/>
        <v>0.000179502135586204</v>
      </c>
      <c r="M80" s="180">
        <v>0.000179502135586204</v>
      </c>
      <c r="N80" s="110"/>
      <c r="O80" s="110"/>
    </row>
    <row r="81" spans="2:15">
      <c r="B81" s="87"/>
      <c r="C81" s="131">
        <v>6666020602</v>
      </c>
      <c r="D81" s="131" t="s">
        <v>167</v>
      </c>
      <c r="E81" s="131" t="s">
        <v>618</v>
      </c>
      <c r="F81" s="184">
        <v>0</v>
      </c>
      <c r="G81" s="191">
        <v>0</v>
      </c>
      <c r="H81" s="184">
        <v>0.395220306108717</v>
      </c>
      <c r="I81" s="191">
        <v>0.00340109037648202</v>
      </c>
      <c r="J81" s="178">
        <v>0.10889</v>
      </c>
      <c r="K81" s="191">
        <v>0.00102442282725271</v>
      </c>
      <c r="L81" s="180">
        <f t="shared" si="4"/>
        <v>0.00102442282725271</v>
      </c>
      <c r="M81" s="180">
        <v>-0.00237666754922931</v>
      </c>
      <c r="N81" s="110"/>
      <c r="O81" s="110"/>
    </row>
    <row r="82" spans="2:15">
      <c r="B82" s="87"/>
      <c r="C82" s="131">
        <v>6666020701</v>
      </c>
      <c r="D82" s="131" t="s">
        <v>170</v>
      </c>
      <c r="E82" s="131" t="s">
        <v>348</v>
      </c>
      <c r="F82" s="184">
        <v>0</v>
      </c>
      <c r="G82" s="191">
        <v>0</v>
      </c>
      <c r="H82" s="184">
        <v>0</v>
      </c>
      <c r="I82" s="191">
        <v>0</v>
      </c>
      <c r="J82" s="178">
        <v>0</v>
      </c>
      <c r="K82" s="191">
        <v>0</v>
      </c>
      <c r="L82" s="180">
        <f t="shared" si="4"/>
        <v>0</v>
      </c>
      <c r="M82" s="180">
        <v>0</v>
      </c>
      <c r="N82" s="110"/>
      <c r="O82" s="110"/>
    </row>
    <row r="83" spans="2:15">
      <c r="B83" s="87"/>
      <c r="C83" s="131">
        <v>6666020802</v>
      </c>
      <c r="D83" s="131" t="s">
        <v>172</v>
      </c>
      <c r="E83" s="131" t="s">
        <v>619</v>
      </c>
      <c r="F83" s="184">
        <v>23.481</v>
      </c>
      <c r="G83" s="191">
        <v>0.285987455087997</v>
      </c>
      <c r="H83" s="184">
        <v>20.409</v>
      </c>
      <c r="I83" s="191">
        <v>0.17563078723624</v>
      </c>
      <c r="J83" s="178">
        <v>20.409</v>
      </c>
      <c r="K83" s="191">
        <v>0.192005193143545</v>
      </c>
      <c r="L83" s="180">
        <f t="shared" si="4"/>
        <v>-0.093982261944452</v>
      </c>
      <c r="M83" s="180">
        <v>0.0163744059073055</v>
      </c>
      <c r="N83" s="110"/>
      <c r="O83" s="110"/>
    </row>
    <row r="84" spans="2:15">
      <c r="B84" s="87"/>
      <c r="C84" s="131">
        <v>6666020803</v>
      </c>
      <c r="D84" s="131" t="s">
        <v>174</v>
      </c>
      <c r="E84" s="131" t="s">
        <v>620</v>
      </c>
      <c r="F84" s="184">
        <v>8.84227</v>
      </c>
      <c r="G84" s="191">
        <v>0.107694659277754</v>
      </c>
      <c r="H84" s="184">
        <v>3.39790009673061</v>
      </c>
      <c r="I84" s="191">
        <v>0.0292408187044388</v>
      </c>
      <c r="J84" s="178">
        <v>4.40212</v>
      </c>
      <c r="K84" s="191">
        <v>0.0414145671439592</v>
      </c>
      <c r="L84" s="180">
        <f t="shared" si="4"/>
        <v>-0.0662800921337948</v>
      </c>
      <c r="M84" s="180">
        <v>0.0121737484395204</v>
      </c>
      <c r="N84" s="110"/>
      <c r="O84" s="110"/>
    </row>
    <row r="85" spans="2:15">
      <c r="B85" s="87"/>
      <c r="C85" s="131">
        <v>6666021100</v>
      </c>
      <c r="D85" s="131" t="s">
        <v>176</v>
      </c>
      <c r="E85" s="131" t="s">
        <v>352</v>
      </c>
      <c r="F85" s="184">
        <v>10.97186</v>
      </c>
      <c r="G85" s="191">
        <v>0.133632056513002</v>
      </c>
      <c r="H85" s="184">
        <v>17.3563798099869</v>
      </c>
      <c r="I85" s="191">
        <v>0.149361294017305</v>
      </c>
      <c r="J85" s="178">
        <v>16.15981</v>
      </c>
      <c r="K85" s="191">
        <v>0.152029371366211</v>
      </c>
      <c r="L85" s="180">
        <f t="shared" si="4"/>
        <v>0.018397314853209</v>
      </c>
      <c r="M85" s="180">
        <v>0.00266807734890578</v>
      </c>
      <c r="N85" s="110"/>
      <c r="O85" s="110"/>
    </row>
    <row r="86" spans="2:15">
      <c r="B86" s="87"/>
      <c r="C86" s="131">
        <v>6666021104</v>
      </c>
      <c r="D86" s="131" t="s">
        <v>178</v>
      </c>
      <c r="E86" s="131" t="s">
        <v>355</v>
      </c>
      <c r="F86" s="184">
        <v>0</v>
      </c>
      <c r="G86" s="191">
        <v>0</v>
      </c>
      <c r="H86" s="184">
        <v>0</v>
      </c>
      <c r="I86" s="191">
        <v>0</v>
      </c>
      <c r="J86" s="178">
        <v>0</v>
      </c>
      <c r="K86" s="191">
        <v>0</v>
      </c>
      <c r="L86" s="180">
        <f t="shared" si="4"/>
        <v>0</v>
      </c>
      <c r="M86" s="180">
        <v>0</v>
      </c>
      <c r="N86" s="110"/>
      <c r="O86" s="110"/>
    </row>
    <row r="87" spans="2:15">
      <c r="B87" s="87"/>
      <c r="C87" s="131">
        <v>6666021902</v>
      </c>
      <c r="D87" s="131" t="s">
        <v>180</v>
      </c>
      <c r="E87" s="131" t="s">
        <v>360</v>
      </c>
      <c r="F87" s="184">
        <v>15.39197</v>
      </c>
      <c r="G87" s="191">
        <v>0.187466902137507</v>
      </c>
      <c r="H87" s="184">
        <v>10.6796276045723</v>
      </c>
      <c r="I87" s="191">
        <v>0.0919041307061056</v>
      </c>
      <c r="J87" s="178">
        <v>11.28762</v>
      </c>
      <c r="K87" s="191">
        <v>0.106192447362974</v>
      </c>
      <c r="L87" s="180">
        <f t="shared" si="4"/>
        <v>-0.081274454774533</v>
      </c>
      <c r="M87" s="180">
        <v>0.0142883166568687</v>
      </c>
      <c r="N87" s="110"/>
      <c r="O87" s="110"/>
    </row>
    <row r="88" spans="2:15">
      <c r="B88" s="87"/>
      <c r="C88" s="131">
        <v>6666022100</v>
      </c>
      <c r="D88" s="131" t="s">
        <v>182</v>
      </c>
      <c r="E88" s="131" t="s">
        <v>361</v>
      </c>
      <c r="F88" s="184">
        <v>17.93764</v>
      </c>
      <c r="G88" s="191">
        <v>0.218471956640887</v>
      </c>
      <c r="H88" s="184">
        <v>13.510117836197</v>
      </c>
      <c r="I88" s="191">
        <v>0.116262072185097</v>
      </c>
      <c r="J88" s="178">
        <v>12.28846</v>
      </c>
      <c r="K88" s="191">
        <v>0.115608218714132</v>
      </c>
      <c r="L88" s="180">
        <f t="shared" si="4"/>
        <v>-0.102863737926755</v>
      </c>
      <c r="M88" s="180">
        <v>-0.000653853470964416</v>
      </c>
      <c r="N88" s="110"/>
      <c r="O88" s="110"/>
    </row>
    <row r="89" spans="2:15">
      <c r="B89" s="87"/>
      <c r="C89" s="131">
        <v>6666022300</v>
      </c>
      <c r="D89" s="131" t="s">
        <v>184</v>
      </c>
      <c r="E89" s="131" t="s">
        <v>362</v>
      </c>
      <c r="F89" s="184">
        <v>0</v>
      </c>
      <c r="G89" s="191">
        <v>0</v>
      </c>
      <c r="H89" s="184">
        <v>0</v>
      </c>
      <c r="I89" s="191">
        <v>0</v>
      </c>
      <c r="J89" s="178">
        <v>0</v>
      </c>
      <c r="K89" s="191">
        <v>0</v>
      </c>
      <c r="L89" s="180">
        <f t="shared" si="4"/>
        <v>0</v>
      </c>
      <c r="M89" s="180">
        <v>0</v>
      </c>
      <c r="N89" s="110"/>
      <c r="O89" s="110"/>
    </row>
    <row r="90" spans="2:15">
      <c r="B90" s="87"/>
      <c r="C90" s="131">
        <v>6666029700</v>
      </c>
      <c r="D90" s="131" t="s">
        <v>186</v>
      </c>
      <c r="E90" s="131" t="s">
        <v>621</v>
      </c>
      <c r="F90" s="184">
        <v>0</v>
      </c>
      <c r="G90" s="191">
        <v>0</v>
      </c>
      <c r="H90" s="184">
        <v>0</v>
      </c>
      <c r="I90" s="191">
        <v>0</v>
      </c>
      <c r="J90" s="178">
        <v>0</v>
      </c>
      <c r="K90" s="191">
        <v>0</v>
      </c>
      <c r="L90" s="180">
        <f t="shared" si="4"/>
        <v>0</v>
      </c>
      <c r="M90" s="180">
        <v>0</v>
      </c>
      <c r="N90" s="110"/>
      <c r="O90" s="110"/>
    </row>
    <row r="91" spans="2:15">
      <c r="B91" s="87"/>
      <c r="C91" s="131">
        <v>6666029900</v>
      </c>
      <c r="D91" s="131" t="s">
        <v>188</v>
      </c>
      <c r="E91" s="131" t="s">
        <v>363</v>
      </c>
      <c r="F91" s="184">
        <v>0</v>
      </c>
      <c r="G91" s="191">
        <v>0</v>
      </c>
      <c r="H91" s="184">
        <v>0</v>
      </c>
      <c r="I91" s="191">
        <v>0</v>
      </c>
      <c r="J91" s="178">
        <v>0</v>
      </c>
      <c r="K91" s="191">
        <v>0</v>
      </c>
      <c r="L91" s="180">
        <f t="shared" si="4"/>
        <v>0</v>
      </c>
      <c r="M91" s="180">
        <v>0</v>
      </c>
      <c r="N91" s="110"/>
      <c r="O91" s="110"/>
    </row>
    <row r="92" spans="2:15">
      <c r="B92" s="87"/>
      <c r="C92" s="131">
        <v>6666029996</v>
      </c>
      <c r="D92" s="131" t="s">
        <v>190</v>
      </c>
      <c r="E92" s="131" t="s">
        <v>622</v>
      </c>
      <c r="F92" s="184">
        <v>0.0029</v>
      </c>
      <c r="G92" s="191">
        <v>3.53206260276475e-5</v>
      </c>
      <c r="H92" s="184">
        <v>0</v>
      </c>
      <c r="I92" s="191">
        <v>0</v>
      </c>
      <c r="J92" s="178">
        <v>-0.00319</v>
      </c>
      <c r="K92" s="191">
        <v>-3.00111012851149e-5</v>
      </c>
      <c r="L92" s="180">
        <f t="shared" si="4"/>
        <v>-6.53317273127624e-5</v>
      </c>
      <c r="M92" s="180">
        <v>-3.00111012851149e-5</v>
      </c>
      <c r="N92" s="110"/>
      <c r="O92" s="110"/>
    </row>
    <row r="93" spans="2:15">
      <c r="B93" s="87"/>
      <c r="C93" s="131">
        <v>6666029997</v>
      </c>
      <c r="D93" s="131" t="s">
        <v>191</v>
      </c>
      <c r="E93" s="131" t="s">
        <v>364</v>
      </c>
      <c r="F93" s="184">
        <v>27.61807</v>
      </c>
      <c r="G93" s="191">
        <v>0.336375007612204</v>
      </c>
      <c r="H93" s="184">
        <v>0</v>
      </c>
      <c r="I93" s="191">
        <v>0</v>
      </c>
      <c r="J93" s="178">
        <v>-2.69607</v>
      </c>
      <c r="K93" s="191">
        <v>-0.0253642726776676</v>
      </c>
      <c r="L93" s="180">
        <f t="shared" si="4"/>
        <v>-0.361739280289872</v>
      </c>
      <c r="M93" s="180">
        <v>-0.0253642726776676</v>
      </c>
      <c r="N93" s="110"/>
      <c r="O93" s="110"/>
    </row>
    <row r="94" spans="2:15">
      <c r="B94" s="87"/>
      <c r="C94" s="131">
        <v>6666030702</v>
      </c>
      <c r="D94" s="131" t="s">
        <v>193</v>
      </c>
      <c r="E94" s="131" t="s">
        <v>623</v>
      </c>
      <c r="F94" s="184">
        <v>0</v>
      </c>
      <c r="G94" s="191">
        <v>0</v>
      </c>
      <c r="H94" s="184">
        <v>0</v>
      </c>
      <c r="I94" s="191">
        <v>0</v>
      </c>
      <c r="J94" s="178">
        <v>0</v>
      </c>
      <c r="K94" s="191">
        <v>0</v>
      </c>
      <c r="L94" s="180">
        <f t="shared" si="4"/>
        <v>0</v>
      </c>
      <c r="M94" s="180">
        <v>0</v>
      </c>
      <c r="N94" s="110"/>
      <c r="O94" s="110"/>
    </row>
    <row r="95" spans="2:15">
      <c r="B95" s="87"/>
      <c r="C95" s="131">
        <v>6666031200</v>
      </c>
      <c r="D95" s="131" t="s">
        <v>195</v>
      </c>
      <c r="E95" s="131" t="s">
        <v>624</v>
      </c>
      <c r="F95" s="184">
        <v>0</v>
      </c>
      <c r="G95" s="191">
        <v>0</v>
      </c>
      <c r="H95" s="184">
        <v>0</v>
      </c>
      <c r="I95" s="191">
        <v>0</v>
      </c>
      <c r="J95" s="178">
        <v>0</v>
      </c>
      <c r="K95" s="191">
        <v>0</v>
      </c>
      <c r="L95" s="180">
        <f t="shared" ref="L95:L158" si="5">K95-G95</f>
        <v>0</v>
      </c>
      <c r="M95" s="180">
        <v>0</v>
      </c>
      <c r="N95" s="110"/>
      <c r="O95" s="110"/>
    </row>
    <row r="96" spans="2:15">
      <c r="B96" s="87"/>
      <c r="C96" s="131">
        <v>6666050107</v>
      </c>
      <c r="D96" s="131" t="s">
        <v>197</v>
      </c>
      <c r="E96" s="131" t="s">
        <v>367</v>
      </c>
      <c r="F96" s="184">
        <v>0</v>
      </c>
      <c r="G96" s="191">
        <v>0</v>
      </c>
      <c r="H96" s="184">
        <v>0</v>
      </c>
      <c r="I96" s="191">
        <v>0</v>
      </c>
      <c r="J96" s="178">
        <v>0</v>
      </c>
      <c r="K96" s="191">
        <v>0</v>
      </c>
      <c r="L96" s="180">
        <f t="shared" si="5"/>
        <v>0</v>
      </c>
      <c r="M96" s="180">
        <v>0</v>
      </c>
      <c r="N96" s="110"/>
      <c r="O96" s="110"/>
    </row>
    <row r="97" spans="2:15">
      <c r="B97" s="87"/>
      <c r="C97" s="131">
        <v>6666070100</v>
      </c>
      <c r="D97" s="131" t="s">
        <v>199</v>
      </c>
      <c r="E97" s="131" t="s">
        <v>625</v>
      </c>
      <c r="F97" s="184">
        <v>0</v>
      </c>
      <c r="G97" s="191">
        <v>0</v>
      </c>
      <c r="H97" s="184">
        <v>0</v>
      </c>
      <c r="I97" s="191">
        <v>0</v>
      </c>
      <c r="J97" s="178">
        <v>0</v>
      </c>
      <c r="K97" s="191">
        <v>0</v>
      </c>
      <c r="L97" s="180">
        <f t="shared" si="5"/>
        <v>0</v>
      </c>
      <c r="M97" s="180">
        <v>0</v>
      </c>
      <c r="N97" s="110"/>
      <c r="O97" s="110"/>
    </row>
    <row r="98" spans="2:15">
      <c r="B98" s="87"/>
      <c r="C98" s="131">
        <v>6666070300</v>
      </c>
      <c r="D98" s="131" t="s">
        <v>201</v>
      </c>
      <c r="E98" s="131" t="s">
        <v>626</v>
      </c>
      <c r="F98" s="184">
        <v>0.02194</v>
      </c>
      <c r="G98" s="191">
        <v>0.000267218805188478</v>
      </c>
      <c r="H98" s="184">
        <v>0</v>
      </c>
      <c r="I98" s="191">
        <v>0</v>
      </c>
      <c r="J98" s="178">
        <v>0</v>
      </c>
      <c r="K98" s="191">
        <v>0</v>
      </c>
      <c r="L98" s="180">
        <f t="shared" si="5"/>
        <v>-0.000267218805188478</v>
      </c>
      <c r="M98" s="180">
        <v>0</v>
      </c>
      <c r="N98" s="110"/>
      <c r="O98" s="110"/>
    </row>
    <row r="99" spans="2:15">
      <c r="B99" s="87"/>
      <c r="C99" s="131">
        <v>6666070400</v>
      </c>
      <c r="D99" s="131" t="s">
        <v>203</v>
      </c>
      <c r="E99" s="131" t="s">
        <v>627</v>
      </c>
      <c r="F99" s="184">
        <v>-1.31908</v>
      </c>
      <c r="G99" s="191">
        <v>-0.0160657694415687</v>
      </c>
      <c r="H99" s="184">
        <v>36.4</v>
      </c>
      <c r="I99" s="191">
        <v>0.313242229183161</v>
      </c>
      <c r="J99" s="178">
        <v>34.08523</v>
      </c>
      <c r="K99" s="191">
        <v>0.320669369860952</v>
      </c>
      <c r="L99" s="180">
        <f t="shared" si="5"/>
        <v>0.336735139302521</v>
      </c>
      <c r="M99" s="180">
        <v>0.0074271406777911</v>
      </c>
      <c r="N99" s="110"/>
      <c r="O99" s="110"/>
    </row>
    <row r="100" spans="2:15">
      <c r="B100" s="87"/>
      <c r="C100" s="131">
        <v>5401050201</v>
      </c>
      <c r="D100" s="131" t="s">
        <v>206</v>
      </c>
      <c r="E100" s="131" t="s">
        <v>628</v>
      </c>
      <c r="F100" s="184">
        <v>0</v>
      </c>
      <c r="G100" s="191">
        <v>0</v>
      </c>
      <c r="H100" s="184">
        <v>0</v>
      </c>
      <c r="I100" s="191">
        <v>0</v>
      </c>
      <c r="J100" s="178">
        <v>0</v>
      </c>
      <c r="K100" s="191">
        <v>0</v>
      </c>
      <c r="L100" s="180">
        <f t="shared" si="5"/>
        <v>0</v>
      </c>
      <c r="M100" s="180">
        <v>0</v>
      </c>
      <c r="N100" s="110"/>
      <c r="O100" s="110"/>
    </row>
    <row r="101" spans="2:15">
      <c r="B101" s="87"/>
      <c r="C101" s="131">
        <v>5401020212</v>
      </c>
      <c r="D101" s="131" t="s">
        <v>208</v>
      </c>
      <c r="E101" s="131" t="s">
        <v>629</v>
      </c>
      <c r="F101" s="184">
        <v>0</v>
      </c>
      <c r="G101" s="191">
        <v>0</v>
      </c>
      <c r="H101" s="184">
        <v>0</v>
      </c>
      <c r="I101" s="191">
        <v>0</v>
      </c>
      <c r="J101" s="178">
        <v>0</v>
      </c>
      <c r="K101" s="191">
        <v>0</v>
      </c>
      <c r="L101" s="180">
        <f t="shared" si="5"/>
        <v>0</v>
      </c>
      <c r="M101" s="180">
        <v>0</v>
      </c>
      <c r="N101" s="110"/>
      <c r="O101" s="110"/>
    </row>
    <row r="102" spans="2:15">
      <c r="B102" s="87"/>
      <c r="C102" s="131" t="s">
        <v>630</v>
      </c>
      <c r="D102" s="131" t="s">
        <v>631</v>
      </c>
      <c r="E102" s="131" t="s">
        <v>632</v>
      </c>
      <c r="F102" s="184">
        <v>-0.04453</v>
      </c>
      <c r="G102" s="191"/>
      <c r="H102" s="184">
        <v>0</v>
      </c>
      <c r="I102" s="191"/>
      <c r="J102" s="178">
        <v>0</v>
      </c>
      <c r="K102" s="191">
        <v>0</v>
      </c>
      <c r="L102" s="180">
        <f t="shared" si="5"/>
        <v>0</v>
      </c>
      <c r="M102" s="180">
        <v>0</v>
      </c>
      <c r="N102" s="110"/>
      <c r="O102" s="110"/>
    </row>
    <row r="103" spans="2:15">
      <c r="B103" s="87"/>
      <c r="C103" s="131" t="s">
        <v>633</v>
      </c>
      <c r="D103" s="131" t="s">
        <v>372</v>
      </c>
      <c r="E103" s="131" t="s">
        <v>634</v>
      </c>
      <c r="F103" s="184">
        <v>0</v>
      </c>
      <c r="G103" s="191"/>
      <c r="H103" s="184">
        <v>0</v>
      </c>
      <c r="I103" s="191"/>
      <c r="J103" s="178">
        <v>0</v>
      </c>
      <c r="K103" s="191">
        <v>0</v>
      </c>
      <c r="L103" s="180">
        <f t="shared" si="5"/>
        <v>0</v>
      </c>
      <c r="M103" s="180">
        <v>0</v>
      </c>
      <c r="N103" s="110"/>
      <c r="O103" s="110"/>
    </row>
    <row r="104" spans="2:15">
      <c r="B104" s="87"/>
      <c r="C104" s="131" t="s">
        <v>635</v>
      </c>
      <c r="D104" s="131" t="s">
        <v>636</v>
      </c>
      <c r="E104" s="131" t="s">
        <v>637</v>
      </c>
      <c r="F104" s="184">
        <v>0</v>
      </c>
      <c r="G104" s="191"/>
      <c r="H104" s="184">
        <v>0</v>
      </c>
      <c r="I104" s="191"/>
      <c r="J104" s="178">
        <v>0</v>
      </c>
      <c r="K104" s="191">
        <v>0</v>
      </c>
      <c r="L104" s="180">
        <f t="shared" si="5"/>
        <v>0</v>
      </c>
      <c r="M104" s="180">
        <v>0</v>
      </c>
      <c r="N104" s="110"/>
      <c r="O104" s="110"/>
    </row>
    <row r="105" spans="2:15">
      <c r="B105" s="87"/>
      <c r="C105" s="131">
        <v>6666040215</v>
      </c>
      <c r="D105" s="131" t="s">
        <v>638</v>
      </c>
      <c r="E105" s="131" t="s">
        <v>639</v>
      </c>
      <c r="F105" s="184">
        <v>0</v>
      </c>
      <c r="G105" s="191"/>
      <c r="H105" s="184">
        <v>0</v>
      </c>
      <c r="I105" s="191"/>
      <c r="J105" s="178">
        <v>0</v>
      </c>
      <c r="K105" s="191">
        <v>0</v>
      </c>
      <c r="L105" s="180">
        <f t="shared" si="5"/>
        <v>0</v>
      </c>
      <c r="M105" s="180">
        <v>0</v>
      </c>
      <c r="N105" s="110"/>
      <c r="O105" s="110"/>
    </row>
    <row r="106" spans="2:15">
      <c r="B106" s="87"/>
      <c r="C106" s="131" t="s">
        <v>156</v>
      </c>
      <c r="D106" s="131" t="s">
        <v>157</v>
      </c>
      <c r="E106" s="131" t="s">
        <v>640</v>
      </c>
      <c r="F106" s="184">
        <v>0</v>
      </c>
      <c r="G106" s="191"/>
      <c r="H106" s="184">
        <v>0</v>
      </c>
      <c r="I106" s="191"/>
      <c r="J106" s="178">
        <v>0</v>
      </c>
      <c r="K106" s="191">
        <v>0</v>
      </c>
      <c r="L106" s="180">
        <f t="shared" si="5"/>
        <v>0</v>
      </c>
      <c r="M106" s="180">
        <v>0</v>
      </c>
      <c r="N106" s="110"/>
      <c r="O106" s="110"/>
    </row>
    <row r="107" spans="2:15">
      <c r="B107" s="87"/>
      <c r="C107" s="131" t="s">
        <v>641</v>
      </c>
      <c r="D107" s="131" t="s">
        <v>336</v>
      </c>
      <c r="E107" s="131" t="s">
        <v>642</v>
      </c>
      <c r="F107" s="184">
        <v>0</v>
      </c>
      <c r="G107" s="191"/>
      <c r="H107" s="184">
        <v>0</v>
      </c>
      <c r="I107" s="191"/>
      <c r="J107" s="178">
        <v>0</v>
      </c>
      <c r="K107" s="191">
        <v>0</v>
      </c>
      <c r="L107" s="180">
        <f t="shared" si="5"/>
        <v>0</v>
      </c>
      <c r="M107" s="180">
        <v>0</v>
      </c>
      <c r="N107" s="110"/>
      <c r="O107" s="110"/>
    </row>
    <row r="108" spans="2:15">
      <c r="B108" s="87"/>
      <c r="C108" s="131" t="s">
        <v>643</v>
      </c>
      <c r="D108" s="131" t="s">
        <v>644</v>
      </c>
      <c r="E108" s="131" t="s">
        <v>645</v>
      </c>
      <c r="F108" s="184">
        <v>0</v>
      </c>
      <c r="G108" s="191"/>
      <c r="H108" s="184">
        <v>0</v>
      </c>
      <c r="I108" s="191"/>
      <c r="J108" s="178">
        <v>0.5999</v>
      </c>
      <c r="K108" s="191">
        <v>0.00564378045797505</v>
      </c>
      <c r="L108" s="180">
        <f t="shared" si="5"/>
        <v>0.00564378045797505</v>
      </c>
      <c r="M108" s="180">
        <v>0.00564378045797505</v>
      </c>
      <c r="N108" s="110"/>
      <c r="O108" s="110"/>
    </row>
    <row r="109" spans="2:15">
      <c r="B109" s="87"/>
      <c r="C109" s="131" t="s">
        <v>646</v>
      </c>
      <c r="D109" s="131" t="s">
        <v>647</v>
      </c>
      <c r="E109" s="131" t="s">
        <v>648</v>
      </c>
      <c r="F109" s="184">
        <v>0</v>
      </c>
      <c r="G109" s="191"/>
      <c r="H109" s="184">
        <v>0</v>
      </c>
      <c r="I109" s="191"/>
      <c r="J109" s="178">
        <v>0</v>
      </c>
      <c r="K109" s="191">
        <v>0</v>
      </c>
      <c r="L109" s="180">
        <f t="shared" si="5"/>
        <v>0</v>
      </c>
      <c r="M109" s="180">
        <v>0</v>
      </c>
      <c r="N109" s="110"/>
      <c r="O109" s="110"/>
    </row>
    <row r="110" spans="2:15">
      <c r="B110" s="87"/>
      <c r="C110" s="227">
        <v>6666020801</v>
      </c>
      <c r="D110" s="172" t="s">
        <v>349</v>
      </c>
      <c r="E110" s="131" t="s">
        <v>749</v>
      </c>
      <c r="F110" s="184"/>
      <c r="G110" s="191"/>
      <c r="H110" s="184"/>
      <c r="I110" s="191"/>
      <c r="J110" s="178">
        <v>1.56888</v>
      </c>
      <c r="K110" s="191"/>
      <c r="L110" s="180">
        <f t="shared" si="5"/>
        <v>0</v>
      </c>
      <c r="M110" s="180">
        <v>0</v>
      </c>
      <c r="N110" s="110"/>
      <c r="O110" s="110"/>
    </row>
    <row r="111" spans="2:15">
      <c r="B111" s="73"/>
      <c r="C111" s="193" t="s">
        <v>75</v>
      </c>
      <c r="D111" s="193" t="s">
        <v>213</v>
      </c>
      <c r="E111" s="193" t="s">
        <v>650</v>
      </c>
      <c r="F111" s="222">
        <v>108.72299</v>
      </c>
      <c r="G111" s="223">
        <v>1.32419450703368</v>
      </c>
      <c r="H111" s="222">
        <v>114.994339184101</v>
      </c>
      <c r="I111" s="223">
        <v>0.989590196414071</v>
      </c>
      <c r="J111" s="224">
        <v>101.48011</v>
      </c>
      <c r="K111" s="223">
        <v>0.954711554744388</v>
      </c>
      <c r="L111" s="225">
        <f t="shared" si="5"/>
        <v>-0.369482952289292</v>
      </c>
      <c r="M111" s="225">
        <v>-0.034878641669683</v>
      </c>
      <c r="N111" s="226">
        <f>F111-J111</f>
        <v>7.24288</v>
      </c>
      <c r="O111" s="226"/>
    </row>
    <row r="112" spans="2:15">
      <c r="B112" s="158" t="s">
        <v>212</v>
      </c>
      <c r="C112" s="131">
        <v>6666110203</v>
      </c>
      <c r="D112" s="131" t="s">
        <v>215</v>
      </c>
      <c r="E112" s="131" t="s">
        <v>651</v>
      </c>
      <c r="F112" s="184">
        <v>1.93814</v>
      </c>
      <c r="G112" s="191">
        <v>0.023605626941112</v>
      </c>
      <c r="H112" s="184">
        <v>32.2345972632191</v>
      </c>
      <c r="I112" s="191">
        <v>0.27739662372396</v>
      </c>
      <c r="J112" s="178">
        <v>35.95345</v>
      </c>
      <c r="K112" s="191">
        <v>0.338245338401039</v>
      </c>
      <c r="L112" s="180">
        <f t="shared" si="5"/>
        <v>0.314639711459927</v>
      </c>
      <c r="M112" s="180">
        <v>0.0608487146770781</v>
      </c>
      <c r="N112" s="110"/>
      <c r="O112" s="110"/>
    </row>
    <row r="113" spans="2:15">
      <c r="B113" s="87"/>
      <c r="C113" s="131">
        <v>5102040000</v>
      </c>
      <c r="D113" s="131" t="s">
        <v>217</v>
      </c>
      <c r="E113" s="131" t="s">
        <v>378</v>
      </c>
      <c r="F113" s="184">
        <v>0</v>
      </c>
      <c r="G113" s="191">
        <v>0</v>
      </c>
      <c r="H113" s="184">
        <v>0</v>
      </c>
      <c r="I113" s="191">
        <v>0</v>
      </c>
      <c r="J113" s="178">
        <v>0</v>
      </c>
      <c r="K113" s="191">
        <v>0</v>
      </c>
      <c r="L113" s="180">
        <f t="shared" si="5"/>
        <v>0</v>
      </c>
      <c r="M113" s="180">
        <v>0</v>
      </c>
      <c r="N113" s="110"/>
      <c r="O113" s="110"/>
    </row>
    <row r="114" spans="2:15">
      <c r="B114" s="87"/>
      <c r="C114" s="131">
        <v>6666050307</v>
      </c>
      <c r="D114" s="131" t="s">
        <v>219</v>
      </c>
      <c r="E114" s="131" t="s">
        <v>652</v>
      </c>
      <c r="F114" s="184">
        <v>-9.51008</v>
      </c>
      <c r="G114" s="191">
        <v>-0.115828268680348</v>
      </c>
      <c r="H114" s="184">
        <v>0</v>
      </c>
      <c r="I114" s="191">
        <v>0</v>
      </c>
      <c r="J114" s="178">
        <v>-9.13867</v>
      </c>
      <c r="K114" s="191">
        <v>-0.0859754078311099</v>
      </c>
      <c r="L114" s="180">
        <f t="shared" si="5"/>
        <v>0.0298528608492381</v>
      </c>
      <c r="M114" s="180">
        <v>-0.0859754078311099</v>
      </c>
      <c r="N114" s="110"/>
      <c r="O114" s="110"/>
    </row>
    <row r="115" spans="2:15">
      <c r="B115" s="87"/>
      <c r="C115" s="131">
        <v>6666050312</v>
      </c>
      <c r="D115" s="131" t="s">
        <v>221</v>
      </c>
      <c r="E115" s="131" t="s">
        <v>653</v>
      </c>
      <c r="F115" s="184">
        <v>2.13776</v>
      </c>
      <c r="G115" s="191">
        <v>0.0260369039644358</v>
      </c>
      <c r="H115" s="184">
        <v>0</v>
      </c>
      <c r="I115" s="191">
        <v>0</v>
      </c>
      <c r="J115" s="178">
        <v>0</v>
      </c>
      <c r="K115" s="191">
        <v>0</v>
      </c>
      <c r="L115" s="180">
        <f t="shared" si="5"/>
        <v>-0.0260369039644358</v>
      </c>
      <c r="M115" s="180">
        <v>0</v>
      </c>
      <c r="N115" s="110"/>
      <c r="O115" s="110"/>
    </row>
    <row r="116" spans="2:15">
      <c r="B116" s="73"/>
      <c r="C116" s="193" t="s">
        <v>96</v>
      </c>
      <c r="D116" s="193" t="s">
        <v>224</v>
      </c>
      <c r="E116" s="193" t="s">
        <v>654</v>
      </c>
      <c r="F116" s="222">
        <v>-5.43418</v>
      </c>
      <c r="G116" s="223">
        <v>-0.0661857377748006</v>
      </c>
      <c r="H116" s="222">
        <v>32.2345972632191</v>
      </c>
      <c r="I116" s="223">
        <v>0.27739662372396</v>
      </c>
      <c r="J116" s="224">
        <v>26.81478</v>
      </c>
      <c r="K116" s="223">
        <v>0.252269930569929</v>
      </c>
      <c r="L116" s="225">
        <f t="shared" si="5"/>
        <v>0.31845566834473</v>
      </c>
      <c r="M116" s="225">
        <v>-0.0251266931540318</v>
      </c>
      <c r="N116" s="226"/>
      <c r="O116" s="226"/>
    </row>
    <row r="117" spans="2:15">
      <c r="B117" s="158" t="s">
        <v>223</v>
      </c>
      <c r="C117" s="131">
        <v>6666100203</v>
      </c>
      <c r="D117" s="131" t="s">
        <v>226</v>
      </c>
      <c r="E117" s="131" t="s">
        <v>655</v>
      </c>
      <c r="F117" s="184">
        <v>28.85478</v>
      </c>
      <c r="G117" s="191">
        <v>0.351437549479325</v>
      </c>
      <c r="H117" s="184">
        <v>12.5</v>
      </c>
      <c r="I117" s="191">
        <v>0.107569446834877</v>
      </c>
      <c r="J117" s="178">
        <v>0</v>
      </c>
      <c r="K117" s="191">
        <v>0</v>
      </c>
      <c r="L117" s="180">
        <f t="shared" si="5"/>
        <v>-0.351437549479325</v>
      </c>
      <c r="M117" s="180">
        <v>-0.107569446834877</v>
      </c>
      <c r="N117" s="110"/>
      <c r="O117" s="110"/>
    </row>
    <row r="118" spans="2:15">
      <c r="B118" s="73"/>
      <c r="C118" s="193" t="s">
        <v>75</v>
      </c>
      <c r="D118" s="193" t="s">
        <v>229</v>
      </c>
      <c r="E118" s="193" t="s">
        <v>656</v>
      </c>
      <c r="F118" s="222">
        <v>28.85478</v>
      </c>
      <c r="G118" s="223">
        <v>0.351437549479325</v>
      </c>
      <c r="H118" s="222">
        <v>12.5</v>
      </c>
      <c r="I118" s="223">
        <v>0.107569446834877</v>
      </c>
      <c r="J118" s="224">
        <v>0</v>
      </c>
      <c r="K118" s="223">
        <v>0</v>
      </c>
      <c r="L118" s="225">
        <f t="shared" si="5"/>
        <v>-0.351437549479325</v>
      </c>
      <c r="M118" s="225">
        <v>-0.107569446834877</v>
      </c>
      <c r="N118" s="226"/>
      <c r="O118" s="226"/>
    </row>
    <row r="119" spans="2:15">
      <c r="B119" s="158" t="s">
        <v>228</v>
      </c>
      <c r="C119" s="131">
        <v>5301070000</v>
      </c>
      <c r="D119" s="131" t="s">
        <v>231</v>
      </c>
      <c r="E119" s="131" t="s">
        <v>657</v>
      </c>
      <c r="F119" s="184">
        <v>-38.3304</v>
      </c>
      <c r="G119" s="191">
        <v>-0.466846111686255</v>
      </c>
      <c r="H119" s="184">
        <v>-87.0987213016729</v>
      </c>
      <c r="I119" s="191">
        <v>-0.749532901635683</v>
      </c>
      <c r="J119" s="178">
        <v>-85.73821</v>
      </c>
      <c r="K119" s="191">
        <v>-0.806613825803902</v>
      </c>
      <c r="L119" s="180">
        <f t="shared" si="5"/>
        <v>-0.339767714117647</v>
      </c>
      <c r="M119" s="180">
        <v>-0.0570809241682195</v>
      </c>
      <c r="N119" s="110"/>
      <c r="O119" s="110"/>
    </row>
    <row r="120" spans="2:15">
      <c r="B120" s="73"/>
      <c r="C120" s="193" t="s">
        <v>96</v>
      </c>
      <c r="D120" s="193" t="s">
        <v>235</v>
      </c>
      <c r="E120" s="193" t="s">
        <v>658</v>
      </c>
      <c r="F120" s="222">
        <v>-38.3304</v>
      </c>
      <c r="G120" s="223">
        <v>-0.466846111686255</v>
      </c>
      <c r="H120" s="222">
        <v>-87.0987213016729</v>
      </c>
      <c r="I120" s="223">
        <v>-0.749532901635683</v>
      </c>
      <c r="J120" s="224">
        <v>-85.73821</v>
      </c>
      <c r="K120" s="223">
        <v>-0.806613825803902</v>
      </c>
      <c r="L120" s="225">
        <f t="shared" si="5"/>
        <v>-0.339767714117647</v>
      </c>
      <c r="M120" s="225">
        <v>-0.0570809241682195</v>
      </c>
      <c r="N120" s="226"/>
      <c r="O120" s="226"/>
    </row>
    <row r="121" spans="2:15">
      <c r="B121" s="158" t="s">
        <v>234</v>
      </c>
      <c r="C121" s="131">
        <v>6666021602</v>
      </c>
      <c r="D121" s="131" t="s">
        <v>237</v>
      </c>
      <c r="E121" s="131" t="s">
        <v>659</v>
      </c>
      <c r="F121" s="184">
        <v>35.17581</v>
      </c>
      <c r="G121" s="191">
        <v>0.428424700079167</v>
      </c>
      <c r="H121" s="184">
        <v>32.6037790899268</v>
      </c>
      <c r="I121" s="191">
        <v>0.280573638514395</v>
      </c>
      <c r="J121" s="178">
        <v>27.20591</v>
      </c>
      <c r="K121" s="191">
        <v>0.255949630270759</v>
      </c>
      <c r="L121" s="180">
        <f t="shared" si="5"/>
        <v>-0.172475069808408</v>
      </c>
      <c r="M121" s="180">
        <v>-0.0246240082436369</v>
      </c>
      <c r="N121" s="110"/>
      <c r="O121" s="110"/>
    </row>
    <row r="122" spans="2:15">
      <c r="B122" s="73"/>
      <c r="C122" s="193" t="s">
        <v>75</v>
      </c>
      <c r="D122" s="193" t="s">
        <v>244</v>
      </c>
      <c r="E122" s="193" t="s">
        <v>245</v>
      </c>
      <c r="F122" s="194">
        <v>35.17581</v>
      </c>
      <c r="G122" s="195">
        <v>0.428424700079167</v>
      </c>
      <c r="H122" s="194">
        <v>32.6037790899268</v>
      </c>
      <c r="I122" s="195">
        <v>0.280573638514395</v>
      </c>
      <c r="J122" s="197">
        <v>27.20591</v>
      </c>
      <c r="K122" s="191">
        <v>0.255949630270759</v>
      </c>
      <c r="L122" s="180">
        <f t="shared" si="5"/>
        <v>-0.172475069808408</v>
      </c>
      <c r="M122" s="180">
        <v>-0.0246240082436369</v>
      </c>
      <c r="N122" s="110"/>
      <c r="O122" s="110"/>
    </row>
    <row r="123" spans="2:15">
      <c r="B123" s="158" t="s">
        <v>243</v>
      </c>
      <c r="C123" s="131">
        <v>6666021600</v>
      </c>
      <c r="D123" s="131" t="s">
        <v>246</v>
      </c>
      <c r="E123" s="131" t="s">
        <v>660</v>
      </c>
      <c r="F123" s="184">
        <v>25.74967</v>
      </c>
      <c r="G123" s="191">
        <v>0.313618780829426</v>
      </c>
      <c r="H123" s="184">
        <v>49.2751055369116</v>
      </c>
      <c r="I123" s="191">
        <v>0.42403966762686</v>
      </c>
      <c r="J123" s="178">
        <v>17.14093</v>
      </c>
      <c r="K123" s="191">
        <v>0.161259619545788</v>
      </c>
      <c r="L123" s="180">
        <f t="shared" si="5"/>
        <v>-0.152359161283638</v>
      </c>
      <c r="M123" s="180">
        <v>-0.262780048081072</v>
      </c>
      <c r="N123" s="110"/>
      <c r="O123" s="110"/>
    </row>
    <row r="124" spans="2:15">
      <c r="B124" s="87"/>
      <c r="C124" s="131">
        <v>6666021603</v>
      </c>
      <c r="D124" s="131" t="s">
        <v>239</v>
      </c>
      <c r="E124" s="131" t="s">
        <v>661</v>
      </c>
      <c r="F124" s="184">
        <v>1.58225</v>
      </c>
      <c r="G124" s="191">
        <v>0.0192710553559467</v>
      </c>
      <c r="H124" s="184">
        <v>0.261288200607101</v>
      </c>
      <c r="I124" s="191">
        <v>0.00224853017630289</v>
      </c>
      <c r="J124" s="178">
        <v>0.88064</v>
      </c>
      <c r="K124" s="191">
        <v>0.00828494552843999</v>
      </c>
      <c r="L124" s="180">
        <f t="shared" si="5"/>
        <v>-0.0109861098275067</v>
      </c>
      <c r="M124" s="180">
        <v>0.0060364153521371</v>
      </c>
      <c r="N124" s="110"/>
      <c r="O124" s="110"/>
    </row>
    <row r="125" spans="2:15">
      <c r="B125" s="87"/>
      <c r="C125" s="131">
        <v>6666021604</v>
      </c>
      <c r="D125" s="131" t="s">
        <v>248</v>
      </c>
      <c r="E125" s="131" t="s">
        <v>662</v>
      </c>
      <c r="F125" s="184">
        <v>13.92065</v>
      </c>
      <c r="G125" s="191">
        <v>0.169546921624749</v>
      </c>
      <c r="H125" s="184">
        <v>37.4944403032043</v>
      </c>
      <c r="I125" s="191">
        <v>0.322660496223919</v>
      </c>
      <c r="J125" s="178">
        <v>27.84507</v>
      </c>
      <c r="K125" s="191">
        <v>0.261962763655521</v>
      </c>
      <c r="L125" s="180">
        <f t="shared" si="5"/>
        <v>0.092415842030772</v>
      </c>
      <c r="M125" s="180">
        <v>-0.0606977325683977</v>
      </c>
      <c r="N125" s="110">
        <f>F125-J125</f>
        <v>-13.92442</v>
      </c>
      <c r="O125" s="110"/>
    </row>
    <row r="126" spans="2:15">
      <c r="B126" s="73"/>
      <c r="C126" s="193" t="s">
        <v>96</v>
      </c>
      <c r="D126" s="193" t="s">
        <v>251</v>
      </c>
      <c r="E126" s="193" t="s">
        <v>663</v>
      </c>
      <c r="F126" s="222">
        <v>41.25257</v>
      </c>
      <c r="G126" s="223">
        <v>0.502436757810121</v>
      </c>
      <c r="H126" s="222">
        <v>87.030834040723</v>
      </c>
      <c r="I126" s="223">
        <v>0.748948694027082</v>
      </c>
      <c r="J126" s="224">
        <v>45.86664</v>
      </c>
      <c r="K126" s="223">
        <v>0.43150732872975</v>
      </c>
      <c r="L126" s="225">
        <f t="shared" si="5"/>
        <v>-0.070929429080371</v>
      </c>
      <c r="M126" s="225">
        <v>-0.317441365297332</v>
      </c>
      <c r="N126" s="226"/>
      <c r="O126" s="226"/>
    </row>
    <row r="127" spans="2:15">
      <c r="B127" s="158" t="s">
        <v>250</v>
      </c>
      <c r="C127" s="131">
        <v>5001010206</v>
      </c>
      <c r="D127" s="131" t="s">
        <v>253</v>
      </c>
      <c r="E127" s="131" t="s">
        <v>664</v>
      </c>
      <c r="F127" s="184">
        <v>5.63538</v>
      </c>
      <c r="G127" s="191">
        <v>0.0686362584495463</v>
      </c>
      <c r="H127" s="184">
        <v>5.54451312517744</v>
      </c>
      <c r="I127" s="191">
        <v>0.047713616787524</v>
      </c>
      <c r="J127" s="178">
        <v>4.23302</v>
      </c>
      <c r="K127" s="191">
        <v>0.0398236965397859</v>
      </c>
      <c r="L127" s="180">
        <f t="shared" si="5"/>
        <v>-0.0288125619097604</v>
      </c>
      <c r="M127" s="180">
        <v>-0.00788992024773813</v>
      </c>
      <c r="N127" s="110"/>
      <c r="O127" s="110"/>
    </row>
    <row r="128" spans="2:15">
      <c r="B128" s="87"/>
      <c r="C128" s="131">
        <v>6666010184</v>
      </c>
      <c r="D128" s="131" t="s">
        <v>255</v>
      </c>
      <c r="E128" s="131" t="s">
        <v>665</v>
      </c>
      <c r="F128" s="184">
        <v>-0.3253</v>
      </c>
      <c r="G128" s="191">
        <v>-0.00396199987820474</v>
      </c>
      <c r="H128" s="184">
        <v>0</v>
      </c>
      <c r="I128" s="191">
        <v>0</v>
      </c>
      <c r="J128" s="178">
        <v>-0.38145</v>
      </c>
      <c r="K128" s="191">
        <v>-0.00358863153141287</v>
      </c>
      <c r="L128" s="180">
        <f t="shared" si="5"/>
        <v>0.00037336834679187</v>
      </c>
      <c r="M128" s="180">
        <v>-0.00358863153141287</v>
      </c>
      <c r="N128" s="110"/>
      <c r="O128" s="110"/>
    </row>
    <row r="129" spans="2:15">
      <c r="B129" s="87"/>
      <c r="C129" s="131">
        <v>6666010186</v>
      </c>
      <c r="D129" s="131" t="s">
        <v>258</v>
      </c>
      <c r="E129" s="131" t="s">
        <v>666</v>
      </c>
      <c r="F129" s="184">
        <v>5.27742</v>
      </c>
      <c r="G129" s="191">
        <v>0.064276475245113</v>
      </c>
      <c r="H129" s="184">
        <v>5.42543736130172</v>
      </c>
      <c r="I129" s="191">
        <v>0.0466889036633999</v>
      </c>
      <c r="J129" s="178">
        <v>8.46017</v>
      </c>
      <c r="K129" s="191">
        <v>0.0795921688900596</v>
      </c>
      <c r="L129" s="180">
        <f t="shared" si="5"/>
        <v>0.0153156936449466</v>
      </c>
      <c r="M129" s="180">
        <v>0.0329032652266597</v>
      </c>
      <c r="N129" s="110"/>
      <c r="O129" s="110"/>
    </row>
    <row r="130" spans="2:15">
      <c r="B130" s="87"/>
      <c r="C130" s="131">
        <v>6666010189</v>
      </c>
      <c r="D130" s="131" t="s">
        <v>260</v>
      </c>
      <c r="E130" s="131" t="s">
        <v>667</v>
      </c>
      <c r="F130" s="184">
        <v>-0.239</v>
      </c>
      <c r="G130" s="191">
        <v>-0.00291090676572681</v>
      </c>
      <c r="H130" s="184">
        <v>275.975304862456</v>
      </c>
      <c r="I130" s="191">
        <v>2.37492087073127</v>
      </c>
      <c r="J130" s="178">
        <v>-93.76867</v>
      </c>
      <c r="K130" s="191">
        <v>-0.882163339417088</v>
      </c>
      <c r="L130" s="180">
        <f t="shared" si="5"/>
        <v>-0.879252432651361</v>
      </c>
      <c r="M130" s="180">
        <v>-3.25708421014835</v>
      </c>
      <c r="N130" s="110"/>
      <c r="O130" s="199" t="s">
        <v>750</v>
      </c>
    </row>
    <row r="131" spans="2:15">
      <c r="B131" s="87"/>
      <c r="C131" s="131">
        <v>6666010012</v>
      </c>
      <c r="D131" s="131" t="s">
        <v>262</v>
      </c>
      <c r="E131" s="131" t="s">
        <v>669</v>
      </c>
      <c r="F131" s="184">
        <v>49.09396</v>
      </c>
      <c r="G131" s="191">
        <v>0.597941172888375</v>
      </c>
      <c r="H131" s="184">
        <v>57.524323673716</v>
      </c>
      <c r="I131" s="191">
        <v>0.495028774170562</v>
      </c>
      <c r="J131" s="178">
        <v>38.54119</v>
      </c>
      <c r="K131" s="191">
        <v>0.362590456657949</v>
      </c>
      <c r="L131" s="180">
        <f t="shared" si="5"/>
        <v>-0.235350716230426</v>
      </c>
      <c r="M131" s="180">
        <v>-0.132438317512613</v>
      </c>
      <c r="N131" s="110"/>
      <c r="O131" s="110"/>
    </row>
    <row r="132" spans="2:15">
      <c r="B132" s="87"/>
      <c r="C132" s="131">
        <v>6666010226</v>
      </c>
      <c r="D132" s="131" t="s">
        <v>264</v>
      </c>
      <c r="E132" s="131" t="s">
        <v>670</v>
      </c>
      <c r="F132" s="184">
        <v>8.35819</v>
      </c>
      <c r="G132" s="191">
        <v>0.101798794226905</v>
      </c>
      <c r="H132" s="184">
        <v>8.4936010863132</v>
      </c>
      <c r="I132" s="191">
        <v>0.0730921576392654</v>
      </c>
      <c r="J132" s="178">
        <v>32.20957</v>
      </c>
      <c r="K132" s="191">
        <v>0.303023406777429</v>
      </c>
      <c r="L132" s="180">
        <f t="shared" si="5"/>
        <v>0.201224612550524</v>
      </c>
      <c r="M132" s="180">
        <v>0.229931249138163</v>
      </c>
      <c r="N132" s="110"/>
      <c r="O132" s="110"/>
    </row>
    <row r="133" spans="2:15">
      <c r="B133" s="87"/>
      <c r="C133" s="131">
        <v>6666010102</v>
      </c>
      <c r="D133" s="131" t="s">
        <v>266</v>
      </c>
      <c r="E133" s="131" t="s">
        <v>671</v>
      </c>
      <c r="F133" s="184">
        <v>290.40472</v>
      </c>
      <c r="G133" s="191">
        <v>3.53699190061507</v>
      </c>
      <c r="H133" s="184">
        <v>-13.8612828129436</v>
      </c>
      <c r="I133" s="191">
        <v>-0.11928404196881</v>
      </c>
      <c r="J133" s="178">
        <v>320.31915</v>
      </c>
      <c r="K133" s="191">
        <v>3.01352051856172</v>
      </c>
      <c r="L133" s="180">
        <f t="shared" si="5"/>
        <v>-0.52347138205335</v>
      </c>
      <c r="M133" s="180">
        <v>3.13280456053053</v>
      </c>
      <c r="N133" s="110"/>
      <c r="O133" s="199" t="s">
        <v>751</v>
      </c>
    </row>
    <row r="134" spans="2:15">
      <c r="B134" s="73"/>
      <c r="C134" s="193" t="s">
        <v>269</v>
      </c>
      <c r="D134" s="193" t="s">
        <v>270</v>
      </c>
      <c r="E134" s="193" t="s">
        <v>673</v>
      </c>
      <c r="F134" s="222">
        <v>358.20537</v>
      </c>
      <c r="G134" s="223">
        <v>4.36277169478107</v>
      </c>
      <c r="H134" s="222">
        <v>339.101897296021</v>
      </c>
      <c r="I134" s="223">
        <v>2.91816028102321</v>
      </c>
      <c r="J134" s="224">
        <v>309.61298</v>
      </c>
      <c r="K134" s="223">
        <v>2.91279827647845</v>
      </c>
      <c r="L134" s="225">
        <f t="shared" si="5"/>
        <v>-1.44997341830262</v>
      </c>
      <c r="M134" s="225">
        <v>-0.00536200454476088</v>
      </c>
      <c r="N134" s="226"/>
      <c r="O134" s="226"/>
    </row>
    <row r="135" spans="2:15">
      <c r="B135" s="158" t="s">
        <v>268</v>
      </c>
      <c r="C135" s="131">
        <v>6666010196</v>
      </c>
      <c r="D135" s="131" t="s">
        <v>272</v>
      </c>
      <c r="E135" s="131" t="s">
        <v>674</v>
      </c>
      <c r="F135" s="184">
        <v>27.03657</v>
      </c>
      <c r="G135" s="191">
        <v>0.32929261311735</v>
      </c>
      <c r="H135" s="184">
        <v>24.1838030275289</v>
      </c>
      <c r="I135" s="191">
        <v>0.208115065122792</v>
      </c>
      <c r="J135" s="178">
        <v>17.01533</v>
      </c>
      <c r="K135" s="191">
        <v>0.160077991231866</v>
      </c>
      <c r="L135" s="180">
        <f t="shared" si="5"/>
        <v>-0.169214621885484</v>
      </c>
      <c r="M135" s="180">
        <v>-0.0480370738909254</v>
      </c>
      <c r="N135" s="110"/>
      <c r="O135" s="110"/>
    </row>
    <row r="136" spans="2:15">
      <c r="B136" s="87"/>
      <c r="C136" s="131">
        <v>6666010101</v>
      </c>
      <c r="D136" s="131" t="s">
        <v>274</v>
      </c>
      <c r="E136" s="131" t="s">
        <v>675</v>
      </c>
      <c r="F136" s="184">
        <v>189.89515</v>
      </c>
      <c r="G136" s="191">
        <v>2.31283295779794</v>
      </c>
      <c r="H136" s="184">
        <v>140.254295897247</v>
      </c>
      <c r="I136" s="191">
        <v>1.20696616207056</v>
      </c>
      <c r="J136" s="178">
        <v>119.90986</v>
      </c>
      <c r="K136" s="191">
        <v>1.12809622368149</v>
      </c>
      <c r="L136" s="180">
        <f t="shared" si="5"/>
        <v>-1.18473673411645</v>
      </c>
      <c r="M136" s="180">
        <v>-0.0788699383890699</v>
      </c>
      <c r="N136" s="110"/>
      <c r="O136" s="110"/>
    </row>
    <row r="137" spans="2:15">
      <c r="B137" s="87"/>
      <c r="C137" s="131">
        <v>6666010199</v>
      </c>
      <c r="D137" s="131" t="s">
        <v>276</v>
      </c>
      <c r="E137" s="131" t="s">
        <v>676</v>
      </c>
      <c r="F137" s="184">
        <v>-5.79922</v>
      </c>
      <c r="G137" s="191">
        <v>-0.0706317520248462</v>
      </c>
      <c r="H137" s="184">
        <v>0</v>
      </c>
      <c r="I137" s="191">
        <v>0</v>
      </c>
      <c r="J137" s="178">
        <v>15.16257</v>
      </c>
      <c r="K137" s="191">
        <v>0.142647468342522</v>
      </c>
      <c r="L137" s="180">
        <f t="shared" si="5"/>
        <v>0.213279220367368</v>
      </c>
      <c r="M137" s="180">
        <v>0.142647468342522</v>
      </c>
      <c r="N137" s="110"/>
      <c r="O137" s="110"/>
    </row>
    <row r="138" spans="2:15">
      <c r="B138" s="87"/>
      <c r="C138" s="131">
        <v>6666010185</v>
      </c>
      <c r="D138" s="131" t="s">
        <v>278</v>
      </c>
      <c r="E138" s="131" t="s">
        <v>677</v>
      </c>
      <c r="F138" s="184">
        <v>-0.33527</v>
      </c>
      <c r="G138" s="191">
        <v>-0.00408342975458255</v>
      </c>
      <c r="H138" s="184">
        <v>-6.32248286790302</v>
      </c>
      <c r="I138" s="191">
        <v>-0.054408478777865</v>
      </c>
      <c r="J138" s="178">
        <v>-0.54748</v>
      </c>
      <c r="K138" s="191">
        <v>-0.00515061997855006</v>
      </c>
      <c r="L138" s="180">
        <f t="shared" si="5"/>
        <v>-0.00106719022396751</v>
      </c>
      <c r="M138" s="180">
        <v>0.0492578587993149</v>
      </c>
      <c r="N138" s="110"/>
      <c r="O138" s="110"/>
    </row>
    <row r="139" spans="2:15">
      <c r="B139" s="87"/>
      <c r="C139" s="131">
        <v>6666010207</v>
      </c>
      <c r="D139" s="131" t="s">
        <v>280</v>
      </c>
      <c r="E139" s="131" t="s">
        <v>678</v>
      </c>
      <c r="F139" s="184">
        <v>2.66342</v>
      </c>
      <c r="G139" s="191">
        <v>0.0324391937153645</v>
      </c>
      <c r="H139" s="184">
        <v>2.33096896650881</v>
      </c>
      <c r="I139" s="191">
        <v>0.0200592833853293</v>
      </c>
      <c r="J139" s="178">
        <v>1.68314</v>
      </c>
      <c r="K139" s="191">
        <v>0.0158347601934258</v>
      </c>
      <c r="L139" s="180">
        <f t="shared" si="5"/>
        <v>-0.0166044335219387</v>
      </c>
      <c r="M139" s="180">
        <v>-0.00422452319190356</v>
      </c>
      <c r="N139" s="110"/>
      <c r="O139" s="110"/>
    </row>
    <row r="140" spans="2:15">
      <c r="B140" s="87"/>
      <c r="C140" s="131">
        <v>5102040406</v>
      </c>
      <c r="D140" s="131" t="s">
        <v>92</v>
      </c>
      <c r="E140" s="131" t="s">
        <v>679</v>
      </c>
      <c r="F140" s="184">
        <v>0</v>
      </c>
      <c r="G140" s="191">
        <v>0</v>
      </c>
      <c r="H140" s="184">
        <v>0</v>
      </c>
      <c r="I140" s="191">
        <v>0</v>
      </c>
      <c r="J140" s="178">
        <v>0</v>
      </c>
      <c r="K140" s="191">
        <v>0</v>
      </c>
      <c r="L140" s="180">
        <f t="shared" si="5"/>
        <v>0</v>
      </c>
      <c r="M140" s="180">
        <v>0</v>
      </c>
      <c r="N140" s="110"/>
      <c r="O140" s="110"/>
    </row>
    <row r="141" spans="2:15">
      <c r="B141" s="87"/>
      <c r="C141" s="131">
        <v>6666010227</v>
      </c>
      <c r="D141" s="131" t="s">
        <v>283</v>
      </c>
      <c r="E141" s="131" t="s">
        <v>680</v>
      </c>
      <c r="F141" s="184">
        <v>-20.11067</v>
      </c>
      <c r="G141" s="191">
        <v>-0.244938432494976</v>
      </c>
      <c r="H141" s="184">
        <v>2.17175658681299</v>
      </c>
      <c r="I141" s="191">
        <v>0.0186891723762778</v>
      </c>
      <c r="J141" s="178">
        <v>2.19955</v>
      </c>
      <c r="K141" s="191">
        <v>0.0206930776901801</v>
      </c>
      <c r="L141" s="180">
        <f t="shared" si="5"/>
        <v>0.265631510185156</v>
      </c>
      <c r="M141" s="180">
        <v>0.00200390531390222</v>
      </c>
      <c r="N141" s="110"/>
      <c r="O141" s="110"/>
    </row>
    <row r="142" spans="2:15">
      <c r="B142" s="73"/>
      <c r="C142" s="193" t="s">
        <v>269</v>
      </c>
      <c r="D142" s="193" t="s">
        <v>286</v>
      </c>
      <c r="E142" s="193" t="s">
        <v>681</v>
      </c>
      <c r="F142" s="222">
        <v>193.34998</v>
      </c>
      <c r="G142" s="223">
        <v>2.35491115035625</v>
      </c>
      <c r="H142" s="222">
        <v>162.618341610195</v>
      </c>
      <c r="I142" s="223">
        <v>1.39942120417709</v>
      </c>
      <c r="J142" s="224">
        <v>155.42297</v>
      </c>
      <c r="K142" s="223">
        <v>1.46219890116093</v>
      </c>
      <c r="L142" s="225">
        <f t="shared" si="5"/>
        <v>-0.89271224919532</v>
      </c>
      <c r="M142" s="225">
        <v>0.0627776969838396</v>
      </c>
      <c r="N142" s="226"/>
      <c r="O142" s="226"/>
    </row>
    <row r="143" spans="2:15">
      <c r="B143" s="158"/>
      <c r="C143" s="140">
        <v>6666020903</v>
      </c>
      <c r="D143" s="140" t="s">
        <v>682</v>
      </c>
      <c r="E143" s="140" t="s">
        <v>683</v>
      </c>
      <c r="F143" s="184">
        <v>1.12874</v>
      </c>
      <c r="G143" s="191">
        <v>0.0137475184215334</v>
      </c>
      <c r="H143" s="184">
        <v>0</v>
      </c>
      <c r="I143" s="191">
        <v>0</v>
      </c>
      <c r="J143" s="178">
        <v>0</v>
      </c>
      <c r="K143" s="191">
        <v>0</v>
      </c>
      <c r="L143" s="180">
        <f t="shared" si="5"/>
        <v>-0.0137475184215334</v>
      </c>
      <c r="M143" s="180">
        <v>0</v>
      </c>
      <c r="N143" s="110"/>
      <c r="O143" s="110"/>
    </row>
    <row r="144" spans="2:15">
      <c r="B144" s="158" t="s">
        <v>285</v>
      </c>
      <c r="C144" s="131">
        <v>6666010302</v>
      </c>
      <c r="D144" s="131" t="s">
        <v>288</v>
      </c>
      <c r="E144" s="131" t="s">
        <v>684</v>
      </c>
      <c r="F144" s="184">
        <v>22.20432</v>
      </c>
      <c r="G144" s="191">
        <v>0.270438097558005</v>
      </c>
      <c r="H144" s="184">
        <v>0.499611761162902</v>
      </c>
      <c r="I144" s="191">
        <v>0.00429943686243935</v>
      </c>
      <c r="J144" s="178">
        <v>0</v>
      </c>
      <c r="K144" s="191">
        <v>0</v>
      </c>
      <c r="L144" s="180">
        <f t="shared" si="5"/>
        <v>-0.270438097558005</v>
      </c>
      <c r="M144" s="180">
        <v>-0.00429943686243935</v>
      </c>
      <c r="N144" s="110"/>
      <c r="O144" s="110"/>
    </row>
    <row r="145" spans="2:15">
      <c r="B145" s="87"/>
      <c r="C145" s="131">
        <v>6666010314</v>
      </c>
      <c r="D145" s="131" t="s">
        <v>290</v>
      </c>
      <c r="E145" s="131" t="s">
        <v>685</v>
      </c>
      <c r="F145" s="184">
        <v>80.67051</v>
      </c>
      <c r="G145" s="191">
        <v>0.982528591437793</v>
      </c>
      <c r="H145" s="184">
        <v>15.6375770978349</v>
      </c>
      <c r="I145" s="191">
        <v>0.134570041460147</v>
      </c>
      <c r="J145" s="178">
        <v>44.69796</v>
      </c>
      <c r="K145" s="191">
        <v>0.420512540689032</v>
      </c>
      <c r="L145" s="180">
        <f t="shared" si="5"/>
        <v>-0.562016050748761</v>
      </c>
      <c r="M145" s="180">
        <v>0.285942499228886</v>
      </c>
      <c r="N145" s="110"/>
      <c r="O145" s="110"/>
    </row>
    <row r="146" spans="2:15">
      <c r="B146" s="87"/>
      <c r="C146" s="131">
        <v>6666020401</v>
      </c>
      <c r="D146" s="131" t="s">
        <v>295</v>
      </c>
      <c r="E146" s="131" t="s">
        <v>686</v>
      </c>
      <c r="F146" s="228">
        <v>52.145</v>
      </c>
      <c r="G146" s="228">
        <v>0.635101394555752</v>
      </c>
      <c r="H146" s="228">
        <v>58.297983537101</v>
      </c>
      <c r="I146" s="228">
        <v>0.501686547253976</v>
      </c>
      <c r="J146" s="229">
        <v>50.95455</v>
      </c>
      <c r="K146" s="191">
        <v>0.479373718177884</v>
      </c>
      <c r="L146" s="180">
        <f t="shared" si="5"/>
        <v>-0.155727676377868</v>
      </c>
      <c r="M146" s="180">
        <v>-0.0223128290760918</v>
      </c>
      <c r="N146" s="110"/>
      <c r="O146" s="110"/>
    </row>
    <row r="147" spans="2:15">
      <c r="B147" s="87"/>
      <c r="C147" s="131">
        <v>6666020402</v>
      </c>
      <c r="D147" s="131" t="s">
        <v>687</v>
      </c>
      <c r="E147" s="131" t="s">
        <v>688</v>
      </c>
      <c r="F147" s="184">
        <v>0</v>
      </c>
      <c r="G147" s="191">
        <v>0</v>
      </c>
      <c r="H147" s="184">
        <v>0</v>
      </c>
      <c r="I147" s="191">
        <v>0</v>
      </c>
      <c r="J147" s="178">
        <v>0</v>
      </c>
      <c r="K147" s="191">
        <v>0</v>
      </c>
      <c r="L147" s="180">
        <f t="shared" si="5"/>
        <v>0</v>
      </c>
      <c r="M147" s="180">
        <v>0</v>
      </c>
      <c r="N147" s="110"/>
      <c r="O147" s="110"/>
    </row>
    <row r="148" spans="2:15">
      <c r="B148" s="87"/>
      <c r="C148" s="131">
        <v>6666020502</v>
      </c>
      <c r="D148" s="131" t="s">
        <v>297</v>
      </c>
      <c r="E148" s="131" t="s">
        <v>689</v>
      </c>
      <c r="F148" s="184">
        <v>51.85218</v>
      </c>
      <c r="G148" s="191">
        <v>0.631534985689057</v>
      </c>
      <c r="H148" s="184">
        <v>53.1122407935599</v>
      </c>
      <c r="I148" s="191">
        <v>0.45706034898592</v>
      </c>
      <c r="J148" s="178">
        <v>53.45986</v>
      </c>
      <c r="K148" s="191">
        <v>0.502943345814439</v>
      </c>
      <c r="L148" s="180">
        <f t="shared" si="5"/>
        <v>-0.128591639874618</v>
      </c>
      <c r="M148" s="180">
        <v>0.0458829968285188</v>
      </c>
      <c r="N148" s="110"/>
      <c r="O148" s="110"/>
    </row>
    <row r="149" spans="2:15">
      <c r="B149" s="87"/>
      <c r="C149" s="131">
        <v>6666020503</v>
      </c>
      <c r="D149" s="131" t="s">
        <v>299</v>
      </c>
      <c r="E149" s="131" t="s">
        <v>690</v>
      </c>
      <c r="F149" s="184">
        <v>0.00248</v>
      </c>
      <c r="G149" s="191">
        <v>3.02052250167468e-5</v>
      </c>
      <c r="H149" s="184">
        <v>0.539434869433757</v>
      </c>
      <c r="I149" s="191">
        <v>0.00464213684067465</v>
      </c>
      <c r="J149" s="178">
        <v>1.09993</v>
      </c>
      <c r="K149" s="191">
        <v>0.010347997064745</v>
      </c>
      <c r="L149" s="180">
        <f t="shared" si="5"/>
        <v>0.0103177918397283</v>
      </c>
      <c r="M149" s="180">
        <v>0.0057058602240703</v>
      </c>
      <c r="N149" s="110"/>
      <c r="O149" s="110"/>
    </row>
    <row r="150" spans="2:15">
      <c r="B150" s="87"/>
      <c r="C150" s="131">
        <v>6666021500</v>
      </c>
      <c r="D150" s="131" t="s">
        <v>312</v>
      </c>
      <c r="E150" s="131" t="s">
        <v>691</v>
      </c>
      <c r="F150" s="184">
        <v>0</v>
      </c>
      <c r="G150" s="191">
        <v>0</v>
      </c>
      <c r="H150" s="184">
        <v>0</v>
      </c>
      <c r="I150" s="191">
        <v>0</v>
      </c>
      <c r="J150" s="178">
        <v>0</v>
      </c>
      <c r="K150" s="191">
        <v>0</v>
      </c>
      <c r="L150" s="180">
        <f t="shared" si="5"/>
        <v>0</v>
      </c>
      <c r="M150" s="180">
        <v>0</v>
      </c>
      <c r="N150" s="110"/>
      <c r="O150" s="110"/>
    </row>
    <row r="151" spans="2:15">
      <c r="B151" s="87"/>
      <c r="C151" s="131">
        <v>6666021502</v>
      </c>
      <c r="D151" s="131" t="s">
        <v>301</v>
      </c>
      <c r="E151" s="131" t="s">
        <v>692</v>
      </c>
      <c r="F151" s="184">
        <v>4.25008</v>
      </c>
      <c r="G151" s="191">
        <v>0.0517639607819256</v>
      </c>
      <c r="H151" s="184">
        <v>36.3805555555555</v>
      </c>
      <c r="I151" s="191">
        <v>0.313074898932528</v>
      </c>
      <c r="J151" s="178">
        <v>15.6954</v>
      </c>
      <c r="K151" s="191">
        <v>0.14766026304401</v>
      </c>
      <c r="L151" s="180">
        <f t="shared" si="5"/>
        <v>0.0958963022620844</v>
      </c>
      <c r="M151" s="180">
        <v>-0.165414635888518</v>
      </c>
      <c r="N151" s="110"/>
      <c r="O151" s="110"/>
    </row>
    <row r="152" spans="2:15">
      <c r="B152" s="87"/>
      <c r="C152" s="131">
        <v>6666021503</v>
      </c>
      <c r="D152" s="131" t="s">
        <v>304</v>
      </c>
      <c r="E152" s="131" t="s">
        <v>694</v>
      </c>
      <c r="F152" s="184">
        <v>2.71027</v>
      </c>
      <c r="G152" s="191">
        <v>0.0330098045186042</v>
      </c>
      <c r="H152" s="184">
        <v>4.48196764753102</v>
      </c>
      <c r="I152" s="191">
        <v>0.038569822446138</v>
      </c>
      <c r="J152" s="178">
        <v>-7.34183</v>
      </c>
      <c r="K152" s="191">
        <v>-0.0690709729617852</v>
      </c>
      <c r="L152" s="180">
        <f t="shared" si="5"/>
        <v>-0.102080777480389</v>
      </c>
      <c r="M152" s="180">
        <v>-0.107640795407923</v>
      </c>
      <c r="N152" s="110"/>
      <c r="O152" s="110"/>
    </row>
    <row r="153" spans="2:15">
      <c r="B153" s="87"/>
      <c r="C153" s="131">
        <v>6666021505</v>
      </c>
      <c r="D153" s="131" t="s">
        <v>403</v>
      </c>
      <c r="E153" s="131" t="s">
        <v>695</v>
      </c>
      <c r="F153" s="184">
        <v>0</v>
      </c>
      <c r="G153" s="191">
        <v>0</v>
      </c>
      <c r="H153" s="184">
        <v>0</v>
      </c>
      <c r="I153" s="191">
        <v>0</v>
      </c>
      <c r="J153" s="178">
        <v>0</v>
      </c>
      <c r="K153" s="191">
        <v>0</v>
      </c>
      <c r="L153" s="180">
        <f t="shared" si="5"/>
        <v>0</v>
      </c>
      <c r="M153" s="180">
        <v>0</v>
      </c>
      <c r="N153" s="110"/>
      <c r="O153" s="110"/>
    </row>
    <row r="154" spans="2:15">
      <c r="B154" s="87"/>
      <c r="C154" s="131">
        <v>6666021506</v>
      </c>
      <c r="D154" s="131" t="s">
        <v>306</v>
      </c>
      <c r="E154" s="131" t="s">
        <v>696</v>
      </c>
      <c r="F154" s="184">
        <v>3.52757</v>
      </c>
      <c r="G154" s="191">
        <v>0.0429641312952926</v>
      </c>
      <c r="H154" s="184">
        <v>48.6335322</v>
      </c>
      <c r="I154" s="191">
        <v>0.418518572510413</v>
      </c>
      <c r="J154" s="178">
        <v>31.18008</v>
      </c>
      <c r="K154" s="191">
        <v>0.293338099986829</v>
      </c>
      <c r="L154" s="180">
        <f t="shared" si="5"/>
        <v>0.250373968691536</v>
      </c>
      <c r="M154" s="180">
        <v>-0.125180472523584</v>
      </c>
      <c r="N154" s="110"/>
      <c r="O154" s="110"/>
    </row>
    <row r="155" spans="2:15">
      <c r="B155" s="87"/>
      <c r="C155" s="131">
        <v>6666030300</v>
      </c>
      <c r="D155" s="131" t="s">
        <v>698</v>
      </c>
      <c r="E155" s="131" t="s">
        <v>309</v>
      </c>
      <c r="F155" s="184">
        <v>0</v>
      </c>
      <c r="G155" s="191">
        <v>0</v>
      </c>
      <c r="H155" s="184">
        <v>0</v>
      </c>
      <c r="I155" s="191">
        <v>0</v>
      </c>
      <c r="J155" s="178">
        <v>0</v>
      </c>
      <c r="K155" s="191">
        <v>0</v>
      </c>
      <c r="L155" s="180">
        <f t="shared" si="5"/>
        <v>0</v>
      </c>
      <c r="M155" s="180">
        <v>0</v>
      </c>
      <c r="N155" s="110"/>
      <c r="O155" s="110"/>
    </row>
    <row r="156" spans="2:15">
      <c r="B156" s="87"/>
      <c r="C156" s="131">
        <v>6666091600</v>
      </c>
      <c r="D156" s="131" t="s">
        <v>310</v>
      </c>
      <c r="E156" s="131" t="s">
        <v>699</v>
      </c>
      <c r="F156" s="184">
        <v>1.93638</v>
      </c>
      <c r="G156" s="191">
        <v>0.0235841909749711</v>
      </c>
      <c r="H156" s="184">
        <v>0.727676601931688</v>
      </c>
      <c r="I156" s="191">
        <v>0.00626206156355795</v>
      </c>
      <c r="J156" s="178">
        <v>0.79354</v>
      </c>
      <c r="K156" s="191">
        <v>0.00746552016106271</v>
      </c>
      <c r="L156" s="180">
        <f t="shared" si="5"/>
        <v>-0.0161186708139084</v>
      </c>
      <c r="M156" s="180">
        <v>0.00120345859750476</v>
      </c>
      <c r="N156" s="110"/>
      <c r="O156" s="110"/>
    </row>
    <row r="157" spans="2:15">
      <c r="B157" s="87"/>
      <c r="C157" s="227" t="s">
        <v>752</v>
      </c>
      <c r="D157" s="227" t="s">
        <v>753</v>
      </c>
      <c r="E157" s="227" t="s">
        <v>754</v>
      </c>
      <c r="F157" s="184"/>
      <c r="G157" s="191"/>
      <c r="H157" s="184"/>
      <c r="I157" s="191"/>
      <c r="J157" s="178">
        <v>112</v>
      </c>
      <c r="K157" s="191">
        <v>1.05368129903852</v>
      </c>
      <c r="L157" s="180">
        <f t="shared" si="5"/>
        <v>1.05368129903852</v>
      </c>
      <c r="M157" s="180">
        <v>1.05368129903852</v>
      </c>
      <c r="N157" s="110" t="s">
        <v>755</v>
      </c>
      <c r="O157" s="110" t="s">
        <v>756</v>
      </c>
    </row>
    <row r="158" spans="2:15">
      <c r="B158" s="73"/>
      <c r="C158" s="193" t="s">
        <v>269</v>
      </c>
      <c r="D158" s="193" t="s">
        <v>313</v>
      </c>
      <c r="E158" s="193" t="s">
        <v>700</v>
      </c>
      <c r="F158" s="222">
        <v>219.29879</v>
      </c>
      <c r="G158" s="223">
        <v>2.67095536203642</v>
      </c>
      <c r="H158" s="222">
        <v>218.310580064111</v>
      </c>
      <c r="I158" s="223">
        <v>1.87868386685579</v>
      </c>
      <c r="J158" s="224">
        <v>302.53949</v>
      </c>
      <c r="K158" s="223">
        <v>2.84625181101473</v>
      </c>
      <c r="L158" s="225">
        <f t="shared" si="5"/>
        <v>0.17529644897831</v>
      </c>
      <c r="M158" s="225">
        <v>0.967567944158939</v>
      </c>
      <c r="N158" s="226"/>
      <c r="O158" s="226"/>
    </row>
    <row r="159" spans="2:15">
      <c r="B159" s="158"/>
      <c r="C159" s="230" t="s">
        <v>757</v>
      </c>
      <c r="D159" s="7"/>
      <c r="E159" s="8"/>
      <c r="F159" s="178">
        <f>F158+F142+F134+F126+F122+F120+F118+F116+F111+F54+F49+F40</f>
        <v>2183.63165</v>
      </c>
      <c r="G159" s="231">
        <f>G158+G142+G134+G126+G122+G120+G118+G116+G111+G54+G49+G40</f>
        <v>26.5955989282017</v>
      </c>
      <c r="H159" s="178">
        <v>2435.16534199692</v>
      </c>
      <c r="I159" s="191">
        <v>20.9559511032057</v>
      </c>
      <c r="J159" s="178">
        <v>2167.39746</v>
      </c>
      <c r="K159" s="191">
        <v>20.390590814157</v>
      </c>
      <c r="L159" s="180">
        <v>-10.1853132030568</v>
      </c>
      <c r="M159" s="180">
        <v>-0.565360289048776</v>
      </c>
      <c r="N159" s="110"/>
      <c r="O159" s="110"/>
    </row>
    <row r="160" spans="2:15">
      <c r="F160" s="201"/>
      <c r="G160" s="201"/>
      <c r="H160" s="201"/>
      <c r="I160" s="201"/>
      <c r="J160" s="201"/>
    </row>
    <row r="161" spans="2:15">
      <c r="B161" s="158" t="s">
        <v>55</v>
      </c>
      <c r="C161" s="131">
        <v>6666110110</v>
      </c>
      <c r="D161" s="131" t="s">
        <v>62</v>
      </c>
      <c r="E161" s="131" t="s">
        <v>702</v>
      </c>
      <c r="F161" s="184">
        <v>0.14141</v>
      </c>
      <c r="G161" s="191">
        <v>0.00172230680226539</v>
      </c>
      <c r="H161" s="184">
        <v>0</v>
      </c>
      <c r="I161" s="184">
        <v>0</v>
      </c>
      <c r="J161" s="178">
        <v>0.09928</v>
      </c>
      <c r="K161" s="191">
        <v>0.000934013208647713</v>
      </c>
      <c r="L161" s="180">
        <f t="shared" ref="L161:L224" si="6">K161-G161</f>
        <v>-0.000788293593617677</v>
      </c>
      <c r="M161" s="191">
        <v>0.000934013208647713</v>
      </c>
      <c r="N161" s="110"/>
      <c r="O161" s="110"/>
    </row>
    <row r="162" spans="2:15">
      <c r="B162" s="87"/>
      <c r="C162" s="131">
        <v>6666110112</v>
      </c>
      <c r="D162" s="131" t="s">
        <v>64</v>
      </c>
      <c r="E162" s="131" t="s">
        <v>316</v>
      </c>
      <c r="F162" s="184">
        <v>0.1543</v>
      </c>
      <c r="G162" s="191">
        <v>0.00187930089519518</v>
      </c>
      <c r="H162" s="184">
        <v>0.29308</v>
      </c>
      <c r="I162" s="184">
        <v>0.00252211627826925</v>
      </c>
      <c r="J162" s="178">
        <v>0.05617</v>
      </c>
      <c r="K162" s="191">
        <v>0.000528439987205299</v>
      </c>
      <c r="L162" s="180">
        <f t="shared" si="6"/>
        <v>-0.00135086090798988</v>
      </c>
      <c r="M162" s="191">
        <v>-0.00199367629106395</v>
      </c>
      <c r="N162" s="110"/>
      <c r="O162" s="110"/>
    </row>
    <row r="163" spans="2:15">
      <c r="B163" s="87"/>
      <c r="C163" s="131">
        <v>6666110207</v>
      </c>
      <c r="D163" s="131" t="s">
        <v>68</v>
      </c>
      <c r="E163" s="131" t="s">
        <v>317</v>
      </c>
      <c r="F163" s="184">
        <v>0.13522</v>
      </c>
      <c r="G163" s="191">
        <v>0.00164691553498569</v>
      </c>
      <c r="H163" s="184">
        <v>0</v>
      </c>
      <c r="I163" s="184">
        <v>0</v>
      </c>
      <c r="J163" s="178">
        <v>0.00192</v>
      </c>
      <c r="K163" s="191">
        <v>1.80631079835174e-5</v>
      </c>
      <c r="L163" s="180">
        <f t="shared" si="6"/>
        <v>-0.00162885242700217</v>
      </c>
      <c r="M163" s="191">
        <v>1.80631079835174e-5</v>
      </c>
      <c r="N163" s="110"/>
      <c r="O163" s="110"/>
    </row>
    <row r="164" spans="2:15">
      <c r="B164" s="87"/>
      <c r="C164" s="131">
        <v>6666110506</v>
      </c>
      <c r="D164" s="131" t="s">
        <v>70</v>
      </c>
      <c r="E164" s="131" t="s">
        <v>318</v>
      </c>
      <c r="F164" s="184">
        <v>0.15084</v>
      </c>
      <c r="G164" s="191">
        <v>0.00183715973448633</v>
      </c>
      <c r="H164" s="184">
        <v>0</v>
      </c>
      <c r="I164" s="184">
        <v>0</v>
      </c>
      <c r="J164" s="178">
        <v>0.09801</v>
      </c>
      <c r="K164" s="191">
        <v>0.000922065215346116</v>
      </c>
      <c r="L164" s="180">
        <f t="shared" si="6"/>
        <v>-0.000915094519140214</v>
      </c>
      <c r="M164" s="191">
        <v>0.000922065215346116</v>
      </c>
      <c r="N164" s="110"/>
      <c r="O164" s="110"/>
    </row>
    <row r="165" spans="2:15">
      <c r="B165" s="73"/>
      <c r="C165" s="193" t="s">
        <v>319</v>
      </c>
      <c r="D165" s="193" t="s">
        <v>76</v>
      </c>
      <c r="E165" s="193" t="s">
        <v>320</v>
      </c>
      <c r="F165" s="222">
        <v>0.58177</v>
      </c>
      <c r="G165" s="223">
        <v>0.00708568296693259</v>
      </c>
      <c r="H165" s="222">
        <v>0.29308</v>
      </c>
      <c r="I165" s="222">
        <v>0.00252211627826925</v>
      </c>
      <c r="J165" s="224">
        <v>0.25538</v>
      </c>
      <c r="K165" s="223">
        <v>0.00240258151918264</v>
      </c>
      <c r="L165" s="225">
        <f t="shared" si="6"/>
        <v>-0.00468310144774995</v>
      </c>
      <c r="M165" s="223">
        <v>-0.000119534759086606</v>
      </c>
      <c r="N165" s="226"/>
      <c r="O165" s="226"/>
    </row>
    <row r="166" spans="2:15">
      <c r="B166" s="158" t="s">
        <v>78</v>
      </c>
      <c r="C166" s="131">
        <v>6666010380</v>
      </c>
      <c r="D166" s="131" t="s">
        <v>81</v>
      </c>
      <c r="E166" s="131" t="s">
        <v>321</v>
      </c>
      <c r="F166" s="184">
        <v>0</v>
      </c>
      <c r="G166" s="191">
        <v>0</v>
      </c>
      <c r="H166" s="184">
        <v>0</v>
      </c>
      <c r="I166" s="184">
        <v>0</v>
      </c>
      <c r="J166" s="178">
        <v>0</v>
      </c>
      <c r="K166" s="191">
        <v>0</v>
      </c>
      <c r="L166" s="180">
        <f t="shared" si="6"/>
        <v>0</v>
      </c>
      <c r="M166" s="191">
        <v>0</v>
      </c>
      <c r="N166" s="110"/>
      <c r="O166" s="110"/>
    </row>
    <row r="167" spans="2:15">
      <c r="B167" s="87"/>
      <c r="C167" s="131">
        <v>5102040406</v>
      </c>
      <c r="D167" s="131" t="s">
        <v>322</v>
      </c>
      <c r="E167" s="131" t="s">
        <v>323</v>
      </c>
      <c r="F167" s="184">
        <v>0</v>
      </c>
      <c r="G167" s="191">
        <v>0</v>
      </c>
      <c r="H167" s="184">
        <v>0</v>
      </c>
      <c r="I167" s="184">
        <v>0</v>
      </c>
      <c r="J167" s="178">
        <v>-2.39888</v>
      </c>
      <c r="K167" s="191">
        <v>-0.0225683481664064</v>
      </c>
      <c r="L167" s="180">
        <f t="shared" si="6"/>
        <v>-0.0225683481664064</v>
      </c>
      <c r="M167" s="191">
        <v>-0.0225683481664064</v>
      </c>
      <c r="N167" s="110"/>
      <c r="O167" s="110"/>
    </row>
    <row r="168" spans="2:15">
      <c r="B168" s="73"/>
      <c r="C168" s="193" t="s">
        <v>324</v>
      </c>
      <c r="D168" s="193" t="s">
        <v>97</v>
      </c>
      <c r="E168" s="193" t="s">
        <v>325</v>
      </c>
      <c r="F168" s="222">
        <v>0</v>
      </c>
      <c r="G168" s="223">
        <v>0</v>
      </c>
      <c r="H168" s="222">
        <v>0</v>
      </c>
      <c r="I168" s="222">
        <v>0</v>
      </c>
      <c r="J168" s="224">
        <v>-2.39888</v>
      </c>
      <c r="K168" s="223">
        <v>-0.0225683481664064</v>
      </c>
      <c r="L168" s="225">
        <f t="shared" si="6"/>
        <v>-0.0225683481664064</v>
      </c>
      <c r="M168" s="223">
        <v>-0.0225683481664064</v>
      </c>
      <c r="N168" s="226"/>
      <c r="O168" s="226"/>
    </row>
    <row r="169" spans="2:15">
      <c r="B169" s="158" t="s">
        <v>111</v>
      </c>
      <c r="C169" s="131">
        <v>6666029996</v>
      </c>
      <c r="D169" s="131" t="s">
        <v>190</v>
      </c>
      <c r="E169" s="131" t="s">
        <v>703</v>
      </c>
      <c r="F169" s="184">
        <v>0.01628</v>
      </c>
      <c r="G169" s="191">
        <v>0.000198282686803483</v>
      </c>
      <c r="H169" s="184">
        <v>0</v>
      </c>
      <c r="I169" s="184">
        <v>0</v>
      </c>
      <c r="J169" s="178">
        <v>0</v>
      </c>
      <c r="K169" s="191">
        <v>0</v>
      </c>
      <c r="L169" s="180">
        <f t="shared" si="6"/>
        <v>-0.000198282686803483</v>
      </c>
      <c r="M169" s="191">
        <v>0</v>
      </c>
      <c r="N169" s="110"/>
      <c r="O169" s="110"/>
    </row>
    <row r="170" spans="2:15">
      <c r="B170" s="87"/>
      <c r="C170" s="131">
        <v>6666029700</v>
      </c>
      <c r="D170" s="131" t="s">
        <v>186</v>
      </c>
      <c r="E170" s="131" t="s">
        <v>704</v>
      </c>
      <c r="F170" s="184">
        <v>122.14437</v>
      </c>
      <c r="G170" s="191">
        <v>1.48766055660435</v>
      </c>
      <c r="H170" s="184">
        <v>5.48764</v>
      </c>
      <c r="I170" s="184">
        <v>0.0472241919383154</v>
      </c>
      <c r="J170" s="178">
        <v>29.60842</v>
      </c>
      <c r="K170" s="191">
        <v>0.278552129000696</v>
      </c>
      <c r="L170" s="180">
        <f t="shared" si="6"/>
        <v>-1.20910842760365</v>
      </c>
      <c r="M170" s="191">
        <v>0.231327937062381</v>
      </c>
      <c r="N170" s="110"/>
      <c r="O170" s="110"/>
    </row>
    <row r="171" spans="2:15">
      <c r="B171" s="87"/>
      <c r="C171" s="131">
        <v>6666010322</v>
      </c>
      <c r="D171" s="131" t="s">
        <v>138</v>
      </c>
      <c r="E171" s="131" t="s">
        <v>328</v>
      </c>
      <c r="F171" s="184">
        <v>0.00277</v>
      </c>
      <c r="G171" s="191">
        <v>3.37372876195116e-5</v>
      </c>
      <c r="H171" s="184">
        <v>3.07489</v>
      </c>
      <c r="I171" s="184">
        <v>0.0264611373102475</v>
      </c>
      <c r="J171" s="178">
        <v>0.36588</v>
      </c>
      <c r="K171" s="191">
        <v>0.00344215101510904</v>
      </c>
      <c r="L171" s="180">
        <f t="shared" si="6"/>
        <v>0.00340841372748953</v>
      </c>
      <c r="M171" s="191">
        <v>-0.0230189862951385</v>
      </c>
      <c r="N171" s="110"/>
      <c r="O171" s="110"/>
    </row>
    <row r="172" spans="2:15">
      <c r="B172" s="87"/>
      <c r="C172" s="131">
        <v>6666020495</v>
      </c>
      <c r="D172" s="131" t="s">
        <v>161</v>
      </c>
      <c r="E172" s="131" t="s">
        <v>706</v>
      </c>
      <c r="F172" s="184">
        <v>10.74655</v>
      </c>
      <c r="G172" s="191">
        <v>0.130887887461178</v>
      </c>
      <c r="H172" s="184">
        <v>0</v>
      </c>
      <c r="I172" s="184">
        <v>0</v>
      </c>
      <c r="J172" s="178">
        <v>0.06932</v>
      </c>
      <c r="K172" s="191">
        <v>0.00065215346115491</v>
      </c>
      <c r="L172" s="180">
        <f t="shared" si="6"/>
        <v>-0.130235734000023</v>
      </c>
      <c r="M172" s="191">
        <v>0.00065215346115491</v>
      </c>
      <c r="N172" s="110"/>
      <c r="O172" s="110"/>
    </row>
    <row r="173" spans="2:15">
      <c r="B173" s="87"/>
      <c r="C173" s="131">
        <v>5301060000</v>
      </c>
      <c r="D173" s="131" t="s">
        <v>124</v>
      </c>
      <c r="E173" s="131" t="s">
        <v>330</v>
      </c>
      <c r="F173" s="184">
        <v>0</v>
      </c>
      <c r="G173" s="191">
        <v>0</v>
      </c>
      <c r="H173" s="184">
        <v>0</v>
      </c>
      <c r="I173" s="184">
        <v>0</v>
      </c>
      <c r="J173" s="178">
        <v>0</v>
      </c>
      <c r="K173" s="191">
        <v>0</v>
      </c>
      <c r="L173" s="180">
        <f t="shared" si="6"/>
        <v>0</v>
      </c>
      <c r="M173" s="191">
        <v>0</v>
      </c>
      <c r="N173" s="110"/>
      <c r="O173" s="110"/>
    </row>
    <row r="174" spans="2:15">
      <c r="B174" s="87"/>
      <c r="C174" s="131">
        <v>5601050000</v>
      </c>
      <c r="D174" s="131" t="s">
        <v>130</v>
      </c>
      <c r="E174" s="131" t="s">
        <v>707</v>
      </c>
      <c r="F174" s="184">
        <v>0.02009</v>
      </c>
      <c r="G174" s="191">
        <v>0.000244686681688082</v>
      </c>
      <c r="H174" s="184">
        <v>0</v>
      </c>
      <c r="I174" s="184">
        <v>0</v>
      </c>
      <c r="J174" s="178">
        <v>0</v>
      </c>
      <c r="K174" s="191">
        <v>0</v>
      </c>
      <c r="L174" s="180">
        <f t="shared" si="6"/>
        <v>-0.000244686681688082</v>
      </c>
      <c r="M174" s="191">
        <v>0</v>
      </c>
      <c r="N174" s="110"/>
      <c r="O174" s="110"/>
    </row>
    <row r="175" spans="2:15">
      <c r="B175" s="87"/>
      <c r="C175" s="131">
        <v>5601050100</v>
      </c>
      <c r="D175" s="131" t="s">
        <v>132</v>
      </c>
      <c r="E175" s="131" t="s">
        <v>708</v>
      </c>
      <c r="F175" s="184">
        <v>0.92271</v>
      </c>
      <c r="G175" s="191">
        <v>0.0112381706351623</v>
      </c>
      <c r="H175" s="184">
        <v>0</v>
      </c>
      <c r="I175" s="184">
        <v>0</v>
      </c>
      <c r="J175" s="178">
        <v>-2.63416</v>
      </c>
      <c r="K175" s="191">
        <v>-0.0247818315238866</v>
      </c>
      <c r="L175" s="180">
        <f t="shared" si="6"/>
        <v>-0.0360200021590489</v>
      </c>
      <c r="M175" s="191">
        <v>-0.0247818315238866</v>
      </c>
      <c r="N175" s="110"/>
      <c r="O175" s="110"/>
    </row>
    <row r="176" spans="2:15">
      <c r="B176" s="87"/>
      <c r="C176" s="131">
        <v>5601080000</v>
      </c>
      <c r="D176" s="131" t="s">
        <v>333</v>
      </c>
      <c r="E176" s="131" t="s">
        <v>709</v>
      </c>
      <c r="F176" s="184">
        <v>6e-5</v>
      </c>
      <c r="G176" s="191">
        <v>7.30771572985811e-7</v>
      </c>
      <c r="H176" s="184">
        <v>0</v>
      </c>
      <c r="I176" s="184">
        <v>0</v>
      </c>
      <c r="J176" s="178">
        <v>0</v>
      </c>
      <c r="K176" s="191">
        <v>0</v>
      </c>
      <c r="L176" s="180">
        <f t="shared" si="6"/>
        <v>-7.30771572985811e-7</v>
      </c>
      <c r="M176" s="191">
        <v>0</v>
      </c>
      <c r="N176" s="110"/>
      <c r="O176" s="110"/>
    </row>
    <row r="177" spans="2:15">
      <c r="B177" s="87"/>
      <c r="C177" s="131">
        <v>6666020101</v>
      </c>
      <c r="D177" s="131" t="s">
        <v>140</v>
      </c>
      <c r="E177" s="131" t="s">
        <v>335</v>
      </c>
      <c r="F177" s="184">
        <v>0</v>
      </c>
      <c r="G177" s="191">
        <v>0</v>
      </c>
      <c r="H177" s="184">
        <v>0.79074</v>
      </c>
      <c r="I177" s="184">
        <v>0.00680475715121683</v>
      </c>
      <c r="J177" s="178">
        <v>0.34689</v>
      </c>
      <c r="K177" s="191">
        <v>0.00326349558770956</v>
      </c>
      <c r="L177" s="180">
        <f t="shared" si="6"/>
        <v>0.00326349558770956</v>
      </c>
      <c r="M177" s="191">
        <v>-0.00354126156350727</v>
      </c>
      <c r="N177" s="110"/>
      <c r="O177" s="110"/>
    </row>
    <row r="178" spans="2:15">
      <c r="B178" s="87"/>
      <c r="C178" s="131">
        <v>6666021200</v>
      </c>
      <c r="D178" s="131" t="s">
        <v>336</v>
      </c>
      <c r="E178" s="131" t="s">
        <v>337</v>
      </c>
      <c r="F178" s="184">
        <v>0</v>
      </c>
      <c r="G178" s="191">
        <v>0</v>
      </c>
      <c r="H178" s="184">
        <v>2.69917</v>
      </c>
      <c r="I178" s="184">
        <v>0.0232278579050635</v>
      </c>
      <c r="J178" s="178">
        <v>2.4475</v>
      </c>
      <c r="K178" s="191">
        <v>0.023025758744614</v>
      </c>
      <c r="L178" s="180">
        <f t="shared" si="6"/>
        <v>0.023025758744614</v>
      </c>
      <c r="M178" s="191">
        <v>-0.000202099160449516</v>
      </c>
      <c r="N178" s="110"/>
      <c r="O178" s="110"/>
    </row>
    <row r="179" spans="2:15">
      <c r="B179" s="87"/>
      <c r="C179" s="131">
        <v>6666020201</v>
      </c>
      <c r="D179" s="131" t="s">
        <v>143</v>
      </c>
      <c r="E179" s="131" t="s">
        <v>610</v>
      </c>
      <c r="F179" s="184">
        <v>0.1187</v>
      </c>
      <c r="G179" s="191">
        <v>0.00144570976189026</v>
      </c>
      <c r="H179" s="184">
        <v>0</v>
      </c>
      <c r="I179" s="184">
        <v>0</v>
      </c>
      <c r="J179" s="178">
        <v>0.08765</v>
      </c>
      <c r="K179" s="191">
        <v>0.000824599695185053</v>
      </c>
      <c r="L179" s="180">
        <f t="shared" si="6"/>
        <v>-0.000621110066705207</v>
      </c>
      <c r="M179" s="191">
        <v>0.000824599695185053</v>
      </c>
      <c r="N179" s="110"/>
      <c r="O179" s="110"/>
    </row>
    <row r="180" spans="2:15">
      <c r="B180" s="87"/>
      <c r="C180" s="131">
        <v>6666020202</v>
      </c>
      <c r="D180" s="131" t="s">
        <v>146</v>
      </c>
      <c r="E180" s="131" t="s">
        <v>611</v>
      </c>
      <c r="F180" s="184">
        <v>0</v>
      </c>
      <c r="G180" s="191">
        <v>0</v>
      </c>
      <c r="H180" s="184">
        <v>0.97161</v>
      </c>
      <c r="I180" s="184">
        <v>0.00836124401913876</v>
      </c>
      <c r="J180" s="178">
        <v>0</v>
      </c>
      <c r="K180" s="191">
        <v>0</v>
      </c>
      <c r="L180" s="180">
        <f t="shared" si="6"/>
        <v>0</v>
      </c>
      <c r="M180" s="191">
        <v>-0.00836124401913876</v>
      </c>
      <c r="N180" s="110"/>
      <c r="O180" s="110"/>
    </row>
    <row r="181" spans="2:15">
      <c r="B181" s="87"/>
      <c r="C181" s="131">
        <v>6666020204</v>
      </c>
      <c r="D181" s="131" t="s">
        <v>148</v>
      </c>
      <c r="E181" s="131" t="s">
        <v>340</v>
      </c>
      <c r="F181" s="184">
        <v>0</v>
      </c>
      <c r="G181" s="191">
        <v>0</v>
      </c>
      <c r="H181" s="184">
        <v>0.53691</v>
      </c>
      <c r="I181" s="184">
        <v>0.00462040893600909</v>
      </c>
      <c r="J181" s="178">
        <v>1.65295</v>
      </c>
      <c r="K181" s="191">
        <v>0.0155507366361225</v>
      </c>
      <c r="L181" s="180">
        <f t="shared" si="6"/>
        <v>0.0155507366361225</v>
      </c>
      <c r="M181" s="191">
        <v>0.0109303277001134</v>
      </c>
      <c r="N181" s="110"/>
      <c r="O181" s="110"/>
    </row>
    <row r="182" spans="2:15">
      <c r="B182" s="87"/>
      <c r="C182" s="131">
        <v>6666020301</v>
      </c>
      <c r="D182" s="131" t="s">
        <v>341</v>
      </c>
      <c r="E182" s="131" t="s">
        <v>342</v>
      </c>
      <c r="F182" s="184">
        <v>0.1603</v>
      </c>
      <c r="G182" s="191">
        <v>0.00195237805249376</v>
      </c>
      <c r="H182" s="184">
        <v>0.35644</v>
      </c>
      <c r="I182" s="184">
        <v>0.00306736429038587</v>
      </c>
      <c r="J182" s="178">
        <v>0.06146</v>
      </c>
      <c r="K182" s="191">
        <v>0.000578207612847386</v>
      </c>
      <c r="L182" s="180">
        <f t="shared" si="6"/>
        <v>-0.00137417043964637</v>
      </c>
      <c r="M182" s="191">
        <v>-0.00248915667753849</v>
      </c>
      <c r="N182" s="110"/>
      <c r="O182" s="110"/>
    </row>
    <row r="183" spans="2:15">
      <c r="B183" s="87"/>
      <c r="C183" s="131">
        <v>6666020403</v>
      </c>
      <c r="D183" s="131" t="s">
        <v>157</v>
      </c>
      <c r="E183" s="131" t="s">
        <v>343</v>
      </c>
      <c r="F183" s="184">
        <v>0</v>
      </c>
      <c r="G183" s="191">
        <v>0</v>
      </c>
      <c r="H183" s="184">
        <v>0</v>
      </c>
      <c r="I183" s="184">
        <v>0</v>
      </c>
      <c r="J183" s="178">
        <v>0</v>
      </c>
      <c r="K183" s="191">
        <v>0</v>
      </c>
      <c r="L183" s="180">
        <f t="shared" si="6"/>
        <v>0</v>
      </c>
      <c r="M183" s="191">
        <v>0</v>
      </c>
      <c r="N183" s="110"/>
      <c r="O183" s="110"/>
    </row>
    <row r="184" spans="2:15">
      <c r="B184" s="87"/>
      <c r="C184" s="131">
        <v>6666020504</v>
      </c>
      <c r="D184" s="131" t="s">
        <v>163</v>
      </c>
      <c r="E184" s="131" t="s">
        <v>344</v>
      </c>
      <c r="F184" s="184">
        <v>0</v>
      </c>
      <c r="G184" s="191">
        <v>0</v>
      </c>
      <c r="H184" s="184">
        <v>0</v>
      </c>
      <c r="I184" s="184">
        <v>0</v>
      </c>
      <c r="J184" s="178">
        <v>0</v>
      </c>
      <c r="K184" s="191">
        <v>0</v>
      </c>
      <c r="L184" s="180">
        <f t="shared" si="6"/>
        <v>0</v>
      </c>
      <c r="M184" s="191">
        <v>0</v>
      </c>
      <c r="N184" s="110"/>
      <c r="O184" s="110"/>
    </row>
    <row r="185" spans="2:15">
      <c r="B185" s="87"/>
      <c r="C185" s="131">
        <v>6666020508</v>
      </c>
      <c r="D185" s="131" t="s">
        <v>165</v>
      </c>
      <c r="E185" s="131" t="s">
        <v>345</v>
      </c>
      <c r="F185" s="184">
        <v>0.00614</v>
      </c>
      <c r="G185" s="191">
        <v>7.47822909688813e-5</v>
      </c>
      <c r="H185" s="184">
        <v>0.02195</v>
      </c>
      <c r="I185" s="184">
        <v>0.000188891948642043</v>
      </c>
      <c r="J185" s="178">
        <v>0.06259</v>
      </c>
      <c r="K185" s="191">
        <v>0.000588838504525185</v>
      </c>
      <c r="L185" s="180">
        <f t="shared" si="6"/>
        <v>0.000514056213556304</v>
      </c>
      <c r="M185" s="191">
        <v>0.000399946555883142</v>
      </c>
      <c r="N185" s="110"/>
      <c r="O185" s="110"/>
    </row>
    <row r="186" spans="2:15">
      <c r="B186" s="87"/>
      <c r="C186" s="131">
        <v>6666020601</v>
      </c>
      <c r="D186" s="131" t="s">
        <v>346</v>
      </c>
      <c r="E186" s="131" t="s">
        <v>710</v>
      </c>
      <c r="F186" s="184">
        <v>0</v>
      </c>
      <c r="G186" s="191">
        <v>0</v>
      </c>
      <c r="H186" s="184">
        <v>0.79658</v>
      </c>
      <c r="I186" s="184">
        <v>0.00685501359677808</v>
      </c>
      <c r="J186" s="178">
        <v>0</v>
      </c>
      <c r="K186" s="191">
        <v>0</v>
      </c>
      <c r="L186" s="180">
        <f t="shared" si="6"/>
        <v>0</v>
      </c>
      <c r="M186" s="191">
        <v>-0.00685501359677808</v>
      </c>
      <c r="N186" s="110"/>
      <c r="O186" s="110"/>
    </row>
    <row r="187" spans="2:15">
      <c r="B187" s="87"/>
      <c r="C187" s="131">
        <v>6666020602</v>
      </c>
      <c r="D187" s="131" t="s">
        <v>167</v>
      </c>
      <c r="E187" s="131" t="s">
        <v>618</v>
      </c>
      <c r="F187" s="184">
        <v>0</v>
      </c>
      <c r="G187" s="191">
        <v>0</v>
      </c>
      <c r="H187" s="184">
        <v>0</v>
      </c>
      <c r="I187" s="184">
        <v>0</v>
      </c>
      <c r="J187" s="178">
        <v>0</v>
      </c>
      <c r="K187" s="191">
        <v>0</v>
      </c>
      <c r="L187" s="180">
        <f t="shared" si="6"/>
        <v>0</v>
      </c>
      <c r="M187" s="191">
        <v>0</v>
      </c>
      <c r="N187" s="110"/>
      <c r="O187" s="110"/>
    </row>
    <row r="188" spans="2:15">
      <c r="B188" s="87"/>
      <c r="C188" s="131">
        <v>6666020701</v>
      </c>
      <c r="D188" s="131" t="s">
        <v>170</v>
      </c>
      <c r="E188" s="131" t="s">
        <v>348</v>
      </c>
      <c r="F188" s="184">
        <v>35.60078</v>
      </c>
      <c r="G188" s="191">
        <v>0.433600633335363</v>
      </c>
      <c r="H188" s="184">
        <v>20.13725</v>
      </c>
      <c r="I188" s="184">
        <v>0.17329222746205</v>
      </c>
      <c r="J188" s="178">
        <v>20.22796</v>
      </c>
      <c r="K188" s="191">
        <v>0.190301992586599</v>
      </c>
      <c r="L188" s="180">
        <f t="shared" si="6"/>
        <v>-0.243298640748764</v>
      </c>
      <c r="M188" s="191">
        <v>0.0170097651245499</v>
      </c>
      <c r="N188" s="110"/>
      <c r="O188" s="110"/>
    </row>
    <row r="189" spans="2:15">
      <c r="B189" s="87"/>
      <c r="C189" s="131">
        <v>6666020801</v>
      </c>
      <c r="D189" s="131" t="s">
        <v>349</v>
      </c>
      <c r="E189" s="131" t="s">
        <v>711</v>
      </c>
      <c r="F189" s="184">
        <v>0</v>
      </c>
      <c r="G189" s="191">
        <v>0</v>
      </c>
      <c r="H189" s="184">
        <v>0.96587</v>
      </c>
      <c r="I189" s="184">
        <v>0.00831184812915218</v>
      </c>
      <c r="J189" s="178">
        <v>0.44198</v>
      </c>
      <c r="K189" s="191">
        <v>0.00415808982633074</v>
      </c>
      <c r="L189" s="180">
        <f t="shared" si="6"/>
        <v>0.00415808982633074</v>
      </c>
      <c r="M189" s="191">
        <v>-0.00415375830282144</v>
      </c>
      <c r="N189" s="110"/>
      <c r="O189" s="110"/>
    </row>
    <row r="190" spans="2:15">
      <c r="B190" s="87"/>
      <c r="C190" s="131">
        <v>6666020803</v>
      </c>
      <c r="D190" s="131" t="s">
        <v>174</v>
      </c>
      <c r="E190" s="131" t="s">
        <v>620</v>
      </c>
      <c r="F190" s="184">
        <v>0</v>
      </c>
      <c r="G190" s="191">
        <v>0</v>
      </c>
      <c r="H190" s="184">
        <v>0</v>
      </c>
      <c r="I190" s="184">
        <v>0</v>
      </c>
      <c r="J190" s="178">
        <v>0.34622</v>
      </c>
      <c r="K190" s="191">
        <v>0.00325719231565281</v>
      </c>
      <c r="L190" s="180">
        <f t="shared" si="6"/>
        <v>0.00325719231565281</v>
      </c>
      <c r="M190" s="191">
        <v>0.00325719231565281</v>
      </c>
      <c r="N190" s="110"/>
      <c r="O190" s="110"/>
    </row>
    <row r="191" spans="2:15">
      <c r="B191" s="87"/>
      <c r="C191" s="131">
        <v>6666021100</v>
      </c>
      <c r="D191" s="131" t="s">
        <v>176</v>
      </c>
      <c r="E191" s="131" t="s">
        <v>352</v>
      </c>
      <c r="F191" s="184">
        <v>0.65261</v>
      </c>
      <c r="G191" s="191">
        <v>0.0079484806041045</v>
      </c>
      <c r="H191" s="184">
        <v>1.10613</v>
      </c>
      <c r="I191" s="184">
        <v>0.00951886337819697</v>
      </c>
      <c r="J191" s="178">
        <v>0.74255</v>
      </c>
      <c r="K191" s="191">
        <v>0.00698581293393795</v>
      </c>
      <c r="L191" s="180">
        <f t="shared" si="6"/>
        <v>-0.00096266767016655</v>
      </c>
      <c r="M191" s="191">
        <v>-0.00253305044425902</v>
      </c>
      <c r="N191" s="110"/>
      <c r="O191" s="110"/>
    </row>
    <row r="192" spans="2:15">
      <c r="B192" s="87"/>
      <c r="C192" s="131">
        <v>6666021102</v>
      </c>
      <c r="D192" s="131" t="s">
        <v>353</v>
      </c>
      <c r="E192" s="131" t="s">
        <v>712</v>
      </c>
      <c r="F192" s="184">
        <v>15.53284</v>
      </c>
      <c r="G192" s="191">
        <v>0.189182631995615</v>
      </c>
      <c r="H192" s="184">
        <v>2.98412</v>
      </c>
      <c r="I192" s="184">
        <v>0.0256800110151114</v>
      </c>
      <c r="J192" s="178">
        <v>3.42527</v>
      </c>
      <c r="K192" s="191">
        <v>0.0322244905639077</v>
      </c>
      <c r="L192" s="180">
        <f t="shared" si="6"/>
        <v>-0.156958141431707</v>
      </c>
      <c r="M192" s="191">
        <v>0.0065444795487963</v>
      </c>
      <c r="N192" s="110"/>
      <c r="O192" s="110"/>
    </row>
    <row r="193" spans="2:15">
      <c r="B193" s="87"/>
      <c r="C193" s="131">
        <v>6666021104</v>
      </c>
      <c r="D193" s="131" t="s">
        <v>178</v>
      </c>
      <c r="E193" s="131" t="s">
        <v>355</v>
      </c>
      <c r="F193" s="184">
        <v>0</v>
      </c>
      <c r="G193" s="191">
        <v>0</v>
      </c>
      <c r="H193" s="184">
        <v>0.56647</v>
      </c>
      <c r="I193" s="184">
        <v>0.0048747891638842</v>
      </c>
      <c r="J193" s="178">
        <v>0.12801</v>
      </c>
      <c r="K193" s="191">
        <v>0.00120430127758858</v>
      </c>
      <c r="L193" s="180">
        <f t="shared" si="6"/>
        <v>0.00120430127758858</v>
      </c>
      <c r="M193" s="191">
        <v>-0.00367048788629563</v>
      </c>
      <c r="N193" s="110"/>
      <c r="O193" s="110"/>
    </row>
    <row r="194" spans="2:15">
      <c r="B194" s="87"/>
      <c r="C194" s="131">
        <v>6666021103</v>
      </c>
      <c r="D194" s="131" t="s">
        <v>356</v>
      </c>
      <c r="E194" s="131" t="s">
        <v>357</v>
      </c>
      <c r="F194" s="184">
        <v>0</v>
      </c>
      <c r="G194" s="191">
        <v>0</v>
      </c>
      <c r="H194" s="184">
        <v>3.84972</v>
      </c>
      <c r="I194" s="184">
        <v>0.0331289800695329</v>
      </c>
      <c r="J194" s="178">
        <v>0</v>
      </c>
      <c r="K194" s="191">
        <v>0</v>
      </c>
      <c r="L194" s="180">
        <f t="shared" si="6"/>
        <v>0</v>
      </c>
      <c r="M194" s="191">
        <v>-0.0331289800695329</v>
      </c>
      <c r="N194" s="110"/>
      <c r="O194" s="110"/>
    </row>
    <row r="195" spans="2:15">
      <c r="B195" s="87"/>
      <c r="C195" s="131">
        <v>6666021300</v>
      </c>
      <c r="D195" s="131" t="s">
        <v>358</v>
      </c>
      <c r="E195" s="131" t="s">
        <v>359</v>
      </c>
      <c r="F195" s="184">
        <v>0</v>
      </c>
      <c r="G195" s="191">
        <v>0</v>
      </c>
      <c r="H195" s="184">
        <v>3.67549</v>
      </c>
      <c r="I195" s="184">
        <v>0.0316296340917696</v>
      </c>
      <c r="J195" s="178">
        <v>0.108</v>
      </c>
      <c r="K195" s="191">
        <v>0.00101604982407285</v>
      </c>
      <c r="L195" s="180">
        <f t="shared" si="6"/>
        <v>0.00101604982407285</v>
      </c>
      <c r="M195" s="191">
        <v>-0.0306135842676968</v>
      </c>
      <c r="N195" s="110"/>
      <c r="O195" s="110"/>
    </row>
    <row r="196" spans="2:15">
      <c r="B196" s="87"/>
      <c r="C196" s="131">
        <v>6666021902</v>
      </c>
      <c r="D196" s="131" t="s">
        <v>180</v>
      </c>
      <c r="E196" s="131" t="s">
        <v>360</v>
      </c>
      <c r="F196" s="184">
        <v>-1e-5</v>
      </c>
      <c r="G196" s="191">
        <v>-1.21795262164302e-7</v>
      </c>
      <c r="H196" s="184">
        <v>4.20465</v>
      </c>
      <c r="I196" s="184">
        <v>0.0361833499707411</v>
      </c>
      <c r="J196" s="178">
        <v>-0.08246</v>
      </c>
      <c r="K196" s="191">
        <v>-0.000775772856417107</v>
      </c>
      <c r="L196" s="180">
        <f t="shared" si="6"/>
        <v>-0.000775651061154943</v>
      </c>
      <c r="M196" s="191">
        <v>-0.0369591228271582</v>
      </c>
      <c r="N196" s="110"/>
      <c r="O196" s="110"/>
    </row>
    <row r="197" spans="2:15">
      <c r="B197" s="87"/>
      <c r="C197" s="131">
        <v>6666022100</v>
      </c>
      <c r="D197" s="131" t="s">
        <v>182</v>
      </c>
      <c r="E197" s="131" t="s">
        <v>713</v>
      </c>
      <c r="F197" s="184">
        <v>0.0001</v>
      </c>
      <c r="G197" s="191">
        <v>1.21795262164302e-6</v>
      </c>
      <c r="H197" s="184">
        <v>0.56993</v>
      </c>
      <c r="I197" s="184">
        <v>0.0049045643867681</v>
      </c>
      <c r="J197" s="178">
        <v>-0.0754</v>
      </c>
      <c r="K197" s="191">
        <v>-0.000709353303102715</v>
      </c>
      <c r="L197" s="180">
        <f t="shared" si="6"/>
        <v>-0.000710571255724358</v>
      </c>
      <c r="M197" s="191">
        <v>-0.00561391768987081</v>
      </c>
      <c r="N197" s="110"/>
      <c r="O197" s="110"/>
    </row>
    <row r="198" spans="2:15">
      <c r="B198" s="87"/>
      <c r="C198" s="131">
        <v>6666022300</v>
      </c>
      <c r="D198" s="131" t="s">
        <v>184</v>
      </c>
      <c r="E198" s="131" t="s">
        <v>362</v>
      </c>
      <c r="F198" s="184">
        <v>8.70346</v>
      </c>
      <c r="G198" s="191">
        <v>0.106004019243651</v>
      </c>
      <c r="H198" s="184">
        <v>6.39185312156341</v>
      </c>
      <c r="I198" s="184">
        <v>0.0550054483629084</v>
      </c>
      <c r="J198" s="178">
        <v>2.44438</v>
      </c>
      <c r="K198" s="191">
        <v>0.0229964061941408</v>
      </c>
      <c r="L198" s="180">
        <f t="shared" si="6"/>
        <v>-0.0830076130495102</v>
      </c>
      <c r="M198" s="191">
        <v>-0.0320090421687676</v>
      </c>
      <c r="N198" s="110"/>
      <c r="O198" s="110"/>
    </row>
    <row r="199" spans="2:15">
      <c r="B199" s="87"/>
      <c r="C199" s="131">
        <v>6666029900</v>
      </c>
      <c r="D199" s="131" t="s">
        <v>188</v>
      </c>
      <c r="E199" s="131" t="s">
        <v>714</v>
      </c>
      <c r="F199" s="184">
        <v>0.22041</v>
      </c>
      <c r="G199" s="191">
        <v>0.00268448937336338</v>
      </c>
      <c r="H199" s="184">
        <v>0</v>
      </c>
      <c r="I199" s="184">
        <v>0</v>
      </c>
      <c r="J199" s="178">
        <v>0.0175</v>
      </c>
      <c r="K199" s="191">
        <v>0.000164637702974768</v>
      </c>
      <c r="L199" s="180">
        <f t="shared" si="6"/>
        <v>-0.00251985167038861</v>
      </c>
      <c r="M199" s="191">
        <v>0.000164637702974768</v>
      </c>
      <c r="N199" s="110"/>
      <c r="O199" s="110"/>
    </row>
    <row r="200" spans="2:15">
      <c r="B200" s="87"/>
      <c r="C200" s="131">
        <v>6666029997</v>
      </c>
      <c r="D200" s="131" t="s">
        <v>191</v>
      </c>
      <c r="E200" s="131" t="s">
        <v>364</v>
      </c>
      <c r="F200" s="184">
        <v>12.39654</v>
      </c>
      <c r="G200" s="191">
        <v>0.150983983923025</v>
      </c>
      <c r="H200" s="184">
        <v>0</v>
      </c>
      <c r="I200" s="184">
        <v>0</v>
      </c>
      <c r="J200" s="178">
        <v>2.60497</v>
      </c>
      <c r="K200" s="191">
        <v>0.0245072158353247</v>
      </c>
      <c r="L200" s="180">
        <f t="shared" si="6"/>
        <v>-0.1264767680877</v>
      </c>
      <c r="M200" s="191">
        <v>0.0245072158353247</v>
      </c>
      <c r="N200" s="110"/>
      <c r="O200" s="110"/>
    </row>
    <row r="201" spans="2:15">
      <c r="B201" s="87"/>
      <c r="C201" s="131">
        <v>6666031100</v>
      </c>
      <c r="D201" s="131" t="s">
        <v>365</v>
      </c>
      <c r="E201" s="131" t="s">
        <v>715</v>
      </c>
      <c r="F201" s="184">
        <v>0</v>
      </c>
      <c r="G201" s="191">
        <v>0</v>
      </c>
      <c r="H201" s="184">
        <v>0</v>
      </c>
      <c r="I201" s="184">
        <v>0</v>
      </c>
      <c r="J201" s="178">
        <v>0</v>
      </c>
      <c r="K201" s="191">
        <v>0</v>
      </c>
      <c r="L201" s="180">
        <f t="shared" si="6"/>
        <v>0</v>
      </c>
      <c r="M201" s="191">
        <v>0</v>
      </c>
      <c r="N201" s="110"/>
      <c r="O201" s="110"/>
    </row>
    <row r="202" spans="2:15">
      <c r="B202" s="87"/>
      <c r="C202" s="131">
        <v>6666050107</v>
      </c>
      <c r="D202" s="131" t="s">
        <v>197</v>
      </c>
      <c r="E202" s="131" t="s">
        <v>367</v>
      </c>
      <c r="F202" s="184">
        <v>0.01567</v>
      </c>
      <c r="G202" s="191">
        <v>0.000190853175811461</v>
      </c>
      <c r="H202" s="184">
        <v>0</v>
      </c>
      <c r="I202" s="184">
        <v>0</v>
      </c>
      <c r="J202" s="178">
        <v>0</v>
      </c>
      <c r="K202" s="191">
        <v>0</v>
      </c>
      <c r="L202" s="180">
        <f t="shared" si="6"/>
        <v>-0.000190853175811461</v>
      </c>
      <c r="M202" s="191">
        <v>0</v>
      </c>
      <c r="N202" s="110"/>
      <c r="O202" s="110"/>
    </row>
    <row r="203" spans="2:15">
      <c r="B203" s="87"/>
      <c r="C203" s="131">
        <v>6666079999</v>
      </c>
      <c r="D203" s="131" t="s">
        <v>368</v>
      </c>
      <c r="E203" s="131" t="s">
        <v>369</v>
      </c>
      <c r="F203" s="184">
        <v>252.82816</v>
      </c>
      <c r="G203" s="191">
        <v>3.0793272029718</v>
      </c>
      <c r="H203" s="184">
        <v>94.9699</v>
      </c>
      <c r="I203" s="184">
        <v>0.817268768717084</v>
      </c>
      <c r="J203" s="178">
        <v>95.18383</v>
      </c>
      <c r="K203" s="191">
        <v>0.89547697894519</v>
      </c>
      <c r="L203" s="180">
        <f t="shared" si="6"/>
        <v>-2.18385022402661</v>
      </c>
      <c r="M203" s="191">
        <v>0.0782082102281061</v>
      </c>
      <c r="N203" s="110"/>
      <c r="O203" s="110"/>
    </row>
    <row r="204" spans="2:15">
      <c r="B204" s="87"/>
      <c r="C204" s="131">
        <v>6666090100</v>
      </c>
      <c r="D204" s="131" t="s">
        <v>370</v>
      </c>
      <c r="E204" s="131" t="s">
        <v>371</v>
      </c>
      <c r="F204" s="184">
        <v>0</v>
      </c>
      <c r="G204" s="191">
        <v>0</v>
      </c>
      <c r="H204" s="184">
        <v>0</v>
      </c>
      <c r="I204" s="184">
        <v>0</v>
      </c>
      <c r="J204" s="178">
        <v>0</v>
      </c>
      <c r="K204" s="191">
        <v>0</v>
      </c>
      <c r="L204" s="180">
        <f t="shared" si="6"/>
        <v>0</v>
      </c>
      <c r="M204" s="191">
        <v>0</v>
      </c>
      <c r="N204" s="110"/>
      <c r="O204" s="110"/>
    </row>
    <row r="205" spans="2:15">
      <c r="B205" s="87"/>
      <c r="C205" s="131">
        <v>6666093800</v>
      </c>
      <c r="D205" s="131" t="s">
        <v>372</v>
      </c>
      <c r="E205" s="131" t="s">
        <v>373</v>
      </c>
      <c r="F205" s="184">
        <v>0.19259</v>
      </c>
      <c r="G205" s="191">
        <v>0.00234565495402229</v>
      </c>
      <c r="H205" s="184">
        <v>0</v>
      </c>
      <c r="I205" s="184">
        <v>0</v>
      </c>
      <c r="J205" s="178">
        <v>0.07926</v>
      </c>
      <c r="K205" s="191">
        <v>0.000745667676444578</v>
      </c>
      <c r="L205" s="180">
        <f t="shared" si="6"/>
        <v>-0.00159998727757771</v>
      </c>
      <c r="M205" s="191">
        <v>0.000745667676444578</v>
      </c>
      <c r="N205" s="110"/>
      <c r="O205" s="110"/>
    </row>
    <row r="206" spans="2:15">
      <c r="B206" s="87"/>
      <c r="C206" s="131">
        <v>6666021400</v>
      </c>
      <c r="D206" s="131" t="s">
        <v>374</v>
      </c>
      <c r="E206" s="131" t="s">
        <v>375</v>
      </c>
      <c r="F206" s="184">
        <v>0</v>
      </c>
      <c r="G206" s="191">
        <v>0</v>
      </c>
      <c r="H206" s="184">
        <v>0.67634</v>
      </c>
      <c r="I206" s="184">
        <v>0.00582028157378404</v>
      </c>
      <c r="J206" s="178">
        <v>0</v>
      </c>
      <c r="K206" s="191">
        <v>0</v>
      </c>
      <c r="L206" s="180">
        <f t="shared" si="6"/>
        <v>0</v>
      </c>
      <c r="M206" s="191">
        <v>-0.00582028157378404</v>
      </c>
      <c r="N206" s="110"/>
      <c r="O206" s="110"/>
    </row>
    <row r="207" spans="2:15">
      <c r="B207" s="87"/>
      <c r="C207" s="131">
        <v>5401050201</v>
      </c>
      <c r="D207" s="131" t="s">
        <v>647</v>
      </c>
      <c r="E207" s="131" t="s">
        <v>716</v>
      </c>
      <c r="F207" s="184">
        <v>0</v>
      </c>
      <c r="G207" s="191">
        <v>0</v>
      </c>
      <c r="H207" s="184">
        <v>0</v>
      </c>
      <c r="I207" s="184">
        <v>0</v>
      </c>
      <c r="J207" s="178">
        <v>0</v>
      </c>
      <c r="K207" s="191">
        <v>0</v>
      </c>
      <c r="L207" s="180">
        <f t="shared" si="6"/>
        <v>0</v>
      </c>
      <c r="M207" s="191">
        <v>0</v>
      </c>
      <c r="N207" s="110"/>
      <c r="O207" s="110"/>
    </row>
    <row r="208" spans="2:15">
      <c r="B208" s="87"/>
      <c r="C208" s="131">
        <v>5301070000</v>
      </c>
      <c r="D208" s="131" t="s">
        <v>231</v>
      </c>
      <c r="E208" s="131" t="s">
        <v>657</v>
      </c>
      <c r="F208" s="184">
        <v>0</v>
      </c>
      <c r="G208" s="191">
        <v>0</v>
      </c>
      <c r="H208" s="184">
        <v>0</v>
      </c>
      <c r="I208" s="184">
        <v>0</v>
      </c>
      <c r="J208" s="178">
        <v>0</v>
      </c>
      <c r="K208" s="191">
        <v>0</v>
      </c>
      <c r="L208" s="180">
        <f t="shared" si="6"/>
        <v>0</v>
      </c>
      <c r="M208" s="191">
        <v>0</v>
      </c>
      <c r="N208" s="110"/>
      <c r="O208" s="110"/>
    </row>
    <row r="209" spans="2:15">
      <c r="B209" s="87"/>
      <c r="C209" s="131">
        <v>5207000011</v>
      </c>
      <c r="D209" s="131" t="s">
        <v>118</v>
      </c>
      <c r="E209" s="131" t="s">
        <v>603</v>
      </c>
      <c r="F209" s="184">
        <v>0</v>
      </c>
      <c r="G209" s="191">
        <v>0</v>
      </c>
      <c r="H209" s="184">
        <v>0</v>
      </c>
      <c r="I209" s="184">
        <v>0</v>
      </c>
      <c r="J209" s="178">
        <v>0</v>
      </c>
      <c r="K209" s="191">
        <v>0</v>
      </c>
      <c r="L209" s="180">
        <f t="shared" si="6"/>
        <v>0</v>
      </c>
      <c r="M209" s="191">
        <v>0</v>
      </c>
      <c r="N209" s="110"/>
      <c r="O209" s="110"/>
    </row>
    <row r="210" spans="2:15">
      <c r="B210" s="87"/>
      <c r="C210" s="131">
        <v>5102040894</v>
      </c>
      <c r="D210" s="131" t="s">
        <v>717</v>
      </c>
      <c r="E210" s="131" t="s">
        <v>718</v>
      </c>
      <c r="F210" s="184">
        <v>0</v>
      </c>
      <c r="G210" s="191">
        <v>0</v>
      </c>
      <c r="H210" s="184">
        <v>0</v>
      </c>
      <c r="I210" s="184">
        <v>0</v>
      </c>
      <c r="J210" s="178">
        <v>0</v>
      </c>
      <c r="K210" s="191">
        <v>0</v>
      </c>
      <c r="L210" s="180">
        <f t="shared" si="6"/>
        <v>0</v>
      </c>
      <c r="M210" s="191">
        <v>0</v>
      </c>
      <c r="N210" s="110"/>
      <c r="O210" s="110"/>
    </row>
    <row r="211" spans="2:15">
      <c r="B211" s="87"/>
      <c r="C211" s="131">
        <v>5207000012</v>
      </c>
      <c r="D211" s="131" t="s">
        <v>120</v>
      </c>
      <c r="E211" s="131" t="s">
        <v>604</v>
      </c>
      <c r="F211" s="184">
        <v>0</v>
      </c>
      <c r="G211" s="191">
        <v>0</v>
      </c>
      <c r="H211" s="184">
        <v>0</v>
      </c>
      <c r="I211" s="184">
        <v>0</v>
      </c>
      <c r="J211" s="178">
        <v>0</v>
      </c>
      <c r="K211" s="191">
        <v>0</v>
      </c>
      <c r="L211" s="180">
        <f t="shared" si="6"/>
        <v>0</v>
      </c>
      <c r="M211" s="191">
        <v>0</v>
      </c>
      <c r="N211" s="110"/>
      <c r="O211" s="110"/>
    </row>
    <row r="212" spans="2:15">
      <c r="B212" s="87"/>
      <c r="C212" s="131">
        <v>5301999999</v>
      </c>
      <c r="D212" s="131" t="s">
        <v>126</v>
      </c>
      <c r="E212" s="131" t="s">
        <v>606</v>
      </c>
      <c r="F212" s="184">
        <v>0</v>
      </c>
      <c r="G212" s="191">
        <v>0</v>
      </c>
      <c r="H212" s="184">
        <v>0</v>
      </c>
      <c r="I212" s="184">
        <v>0</v>
      </c>
      <c r="J212" s="178">
        <v>0.28914</v>
      </c>
      <c r="K212" s="191">
        <v>0.00272019116789283</v>
      </c>
      <c r="L212" s="180">
        <f t="shared" si="6"/>
        <v>0.00272019116789283</v>
      </c>
      <c r="M212" s="191">
        <v>0.00272019116789283</v>
      </c>
      <c r="N212" s="110"/>
      <c r="O212" s="110"/>
    </row>
    <row r="213" spans="2:15">
      <c r="B213" s="87"/>
      <c r="C213" s="131">
        <v>6666070400</v>
      </c>
      <c r="D213" s="131" t="s">
        <v>203</v>
      </c>
      <c r="E213" s="131" t="s">
        <v>627</v>
      </c>
      <c r="F213" s="184">
        <v>0</v>
      </c>
      <c r="G213" s="191">
        <v>0</v>
      </c>
      <c r="H213" s="184">
        <v>0</v>
      </c>
      <c r="I213" s="184">
        <v>0</v>
      </c>
      <c r="J213" s="178">
        <v>0.0572</v>
      </c>
      <c r="K213" s="191">
        <v>0.000538130092008956</v>
      </c>
      <c r="L213" s="180">
        <f t="shared" si="6"/>
        <v>0.000538130092008956</v>
      </c>
      <c r="M213" s="191">
        <v>0.000538130092008956</v>
      </c>
      <c r="N213" s="110"/>
      <c r="O213" s="110"/>
    </row>
    <row r="214" spans="2:15">
      <c r="B214" s="87"/>
      <c r="C214" s="131">
        <v>5801000041</v>
      </c>
      <c r="D214" s="131" t="s">
        <v>719</v>
      </c>
      <c r="E214" s="131" t="s">
        <v>720</v>
      </c>
      <c r="F214" s="184">
        <v>0</v>
      </c>
      <c r="G214" s="191">
        <v>0</v>
      </c>
      <c r="H214" s="184">
        <v>0</v>
      </c>
      <c r="I214" s="184">
        <v>0</v>
      </c>
      <c r="J214" s="178">
        <v>0</v>
      </c>
      <c r="K214" s="191">
        <v>0</v>
      </c>
      <c r="L214" s="180">
        <f t="shared" si="6"/>
        <v>0</v>
      </c>
      <c r="M214" s="191">
        <v>0</v>
      </c>
      <c r="N214" s="110"/>
      <c r="O214" s="110"/>
    </row>
    <row r="215" spans="2:15">
      <c r="B215" s="73"/>
      <c r="C215" s="232" t="s">
        <v>376</v>
      </c>
      <c r="D215" s="232" t="s">
        <v>213</v>
      </c>
      <c r="E215" s="232" t="s">
        <v>650</v>
      </c>
      <c r="F215" s="184">
        <v>460.28112</v>
      </c>
      <c r="G215" s="191">
        <v>5.60600596796785</v>
      </c>
      <c r="H215" s="184">
        <v>154.833653121563</v>
      </c>
      <c r="I215" s="222">
        <v>1.33242963341678</v>
      </c>
      <c r="J215" s="224">
        <v>158.00691</v>
      </c>
      <c r="K215" s="223">
        <v>1.48650826951662</v>
      </c>
      <c r="L215" s="225">
        <f t="shared" si="6"/>
        <v>-4.11949769845123</v>
      </c>
      <c r="M215" s="223">
        <v>0.154078636099844</v>
      </c>
      <c r="N215" s="226"/>
      <c r="O215" s="226"/>
    </row>
    <row r="216" spans="2:15">
      <c r="B216" s="158" t="s">
        <v>212</v>
      </c>
      <c r="C216" s="146">
        <v>5102040000</v>
      </c>
      <c r="D216" s="146" t="s">
        <v>217</v>
      </c>
      <c r="E216" s="146" t="s">
        <v>721</v>
      </c>
      <c r="F216" s="184">
        <v>0</v>
      </c>
      <c r="G216" s="191">
        <v>0</v>
      </c>
      <c r="H216" s="184">
        <v>0</v>
      </c>
      <c r="I216" s="184">
        <v>0</v>
      </c>
      <c r="J216" s="178">
        <v>-2.22169</v>
      </c>
      <c r="K216" s="191">
        <v>-0.020901367904115</v>
      </c>
      <c r="L216" s="180">
        <f t="shared" si="6"/>
        <v>-0.020901367904115</v>
      </c>
      <c r="M216" s="191">
        <v>-0.020901367904115</v>
      </c>
      <c r="N216" s="110"/>
      <c r="O216" s="110"/>
    </row>
    <row r="217" spans="2:15">
      <c r="B217" s="73"/>
      <c r="C217" s="193" t="s">
        <v>379</v>
      </c>
      <c r="D217" s="193" t="s">
        <v>224</v>
      </c>
      <c r="E217" s="193" t="s">
        <v>722</v>
      </c>
      <c r="F217" s="222">
        <v>0</v>
      </c>
      <c r="G217" s="223">
        <v>0</v>
      </c>
      <c r="H217" s="222">
        <v>0</v>
      </c>
      <c r="I217" s="222">
        <v>0</v>
      </c>
      <c r="J217" s="224">
        <v>-2.22169</v>
      </c>
      <c r="K217" s="223">
        <v>-0.020901367904115</v>
      </c>
      <c r="L217" s="225">
        <f t="shared" si="6"/>
        <v>-0.020901367904115</v>
      </c>
      <c r="M217" s="223">
        <v>-0.020901367904115</v>
      </c>
      <c r="N217" s="226"/>
      <c r="O217" s="226"/>
    </row>
    <row r="218" spans="2:15">
      <c r="B218" s="158" t="s">
        <v>243</v>
      </c>
      <c r="C218" s="146">
        <v>6666021600</v>
      </c>
      <c r="D218" s="146" t="s">
        <v>246</v>
      </c>
      <c r="E218" s="146" t="s">
        <v>723</v>
      </c>
      <c r="F218" s="184">
        <v>5.757</v>
      </c>
      <c r="G218" s="191">
        <v>0.0701175324279885</v>
      </c>
      <c r="H218" s="184">
        <v>1.42679</v>
      </c>
      <c r="I218" s="184">
        <v>0.0122783208839627</v>
      </c>
      <c r="J218" s="178">
        <v>2.01026</v>
      </c>
      <c r="K218" s="191">
        <v>0.0189122622161176</v>
      </c>
      <c r="L218" s="180">
        <f t="shared" si="6"/>
        <v>-0.0512052702118709</v>
      </c>
      <c r="M218" s="191">
        <v>0.00663394133215488</v>
      </c>
      <c r="N218" s="110"/>
      <c r="O218" s="110"/>
    </row>
    <row r="219" spans="2:15">
      <c r="B219" s="87"/>
      <c r="C219" s="146">
        <v>6666021604</v>
      </c>
      <c r="D219" s="146" t="s">
        <v>248</v>
      </c>
      <c r="E219" s="146" t="s">
        <v>662</v>
      </c>
      <c r="F219" s="184">
        <v>0</v>
      </c>
      <c r="G219" s="191">
        <v>0</v>
      </c>
      <c r="H219" s="184">
        <v>0</v>
      </c>
      <c r="I219" s="184">
        <v>0</v>
      </c>
      <c r="J219" s="178">
        <v>0.4152</v>
      </c>
      <c r="K219" s="191">
        <v>0.00390614710143564</v>
      </c>
      <c r="L219" s="180">
        <f t="shared" si="6"/>
        <v>0.00390614710143564</v>
      </c>
      <c r="M219" s="191">
        <v>0.00390614710143564</v>
      </c>
      <c r="N219" s="110"/>
      <c r="O219" s="110"/>
    </row>
    <row r="220" spans="2:15">
      <c r="B220" s="73"/>
      <c r="C220" s="193" t="s">
        <v>379</v>
      </c>
      <c r="D220" s="193" t="s">
        <v>251</v>
      </c>
      <c r="E220" s="193" t="s">
        <v>724</v>
      </c>
      <c r="F220" s="222">
        <v>5.757</v>
      </c>
      <c r="G220" s="223">
        <v>0.0701175324279885</v>
      </c>
      <c r="H220" s="222">
        <v>1.42679</v>
      </c>
      <c r="I220" s="222">
        <v>0.0122783208839627</v>
      </c>
      <c r="J220" s="224">
        <v>2.42546</v>
      </c>
      <c r="K220" s="223">
        <v>0.0228184093175532</v>
      </c>
      <c r="L220" s="225">
        <f t="shared" si="6"/>
        <v>-0.0472991231104353</v>
      </c>
      <c r="M220" s="223">
        <v>0.0105400884335905</v>
      </c>
      <c r="N220" s="226"/>
      <c r="O220" s="226"/>
    </row>
    <row r="221" spans="2:15">
      <c r="B221" s="158" t="s">
        <v>250</v>
      </c>
      <c r="C221" s="146">
        <v>6666010012</v>
      </c>
      <c r="D221" s="146" t="s">
        <v>262</v>
      </c>
      <c r="E221" s="146" t="s">
        <v>725</v>
      </c>
      <c r="F221" s="184">
        <v>0.05136</v>
      </c>
      <c r="G221" s="191">
        <v>0.000625540466475854</v>
      </c>
      <c r="H221" s="184">
        <v>0</v>
      </c>
      <c r="I221" s="184">
        <v>0</v>
      </c>
      <c r="J221" s="178">
        <v>-0.00023</v>
      </c>
      <c r="K221" s="191">
        <v>-2.16380981052552e-6</v>
      </c>
      <c r="L221" s="180">
        <f t="shared" si="6"/>
        <v>-0.000627704276286379</v>
      </c>
      <c r="M221" s="191">
        <v>-2.16380981052552e-6</v>
      </c>
      <c r="N221" s="110"/>
      <c r="O221" s="110"/>
    </row>
    <row r="222" spans="2:15">
      <c r="B222" s="87"/>
      <c r="C222" s="146">
        <v>6666010102</v>
      </c>
      <c r="D222" s="146" t="s">
        <v>384</v>
      </c>
      <c r="E222" s="146" t="s">
        <v>726</v>
      </c>
      <c r="F222" s="184">
        <v>0.27833</v>
      </c>
      <c r="G222" s="191">
        <v>0.00338992753181901</v>
      </c>
      <c r="H222" s="184">
        <v>0</v>
      </c>
      <c r="I222" s="184">
        <v>0</v>
      </c>
      <c r="J222" s="178">
        <v>0.04275</v>
      </c>
      <c r="K222" s="191">
        <v>0.000402186388695505</v>
      </c>
      <c r="L222" s="180">
        <f t="shared" si="6"/>
        <v>-0.0029877411431235</v>
      </c>
      <c r="M222" s="191">
        <v>0.000402186388695505</v>
      </c>
      <c r="N222" s="110"/>
      <c r="O222" s="110"/>
    </row>
    <row r="223" spans="2:15">
      <c r="B223" s="73"/>
      <c r="C223" s="193" t="s">
        <v>386</v>
      </c>
      <c r="D223" s="193" t="s">
        <v>270</v>
      </c>
      <c r="E223" s="193" t="s">
        <v>673</v>
      </c>
      <c r="F223" s="194">
        <v>0</v>
      </c>
      <c r="G223" s="195">
        <v>0</v>
      </c>
      <c r="H223" s="194">
        <v>0</v>
      </c>
      <c r="I223" s="222">
        <v>0</v>
      </c>
      <c r="J223" s="224">
        <v>0.04252</v>
      </c>
      <c r="K223" s="223">
        <v>0.000400022578884979</v>
      </c>
      <c r="L223" s="225">
        <f t="shared" si="6"/>
        <v>0.000400022578884979</v>
      </c>
      <c r="M223" s="223">
        <v>0.000400022578884979</v>
      </c>
      <c r="N223" s="226"/>
      <c r="O223" s="226"/>
    </row>
    <row r="224" spans="2:15">
      <c r="B224" s="158" t="s">
        <v>388</v>
      </c>
      <c r="C224" s="146">
        <v>6666010196</v>
      </c>
      <c r="D224" s="146" t="s">
        <v>272</v>
      </c>
      <c r="E224" s="146" t="s">
        <v>727</v>
      </c>
      <c r="F224" s="184">
        <v>3.26004</v>
      </c>
      <c r="G224" s="191">
        <v>0.0397057426466111</v>
      </c>
      <c r="H224" s="184">
        <v>0</v>
      </c>
      <c r="I224" s="184">
        <v>0</v>
      </c>
      <c r="J224" s="178">
        <v>2.51259</v>
      </c>
      <c r="K224" s="191">
        <v>0.0236381169209927</v>
      </c>
      <c r="L224" s="180">
        <f t="shared" si="6"/>
        <v>-0.0160676257256184</v>
      </c>
      <c r="M224" s="191">
        <v>0.0236381169209927</v>
      </c>
      <c r="N224" s="110"/>
      <c r="O224" s="110"/>
    </row>
    <row r="225" spans="2:15">
      <c r="B225" s="87"/>
      <c r="C225" s="146">
        <v>6666010101</v>
      </c>
      <c r="D225" s="146" t="s">
        <v>274</v>
      </c>
      <c r="E225" s="146" t="s">
        <v>675</v>
      </c>
      <c r="F225" s="184">
        <v>36.39238</v>
      </c>
      <c r="G225" s="191">
        <v>0.443241946288289</v>
      </c>
      <c r="H225" s="184">
        <v>53.87238</v>
      </c>
      <c r="I225" s="184">
        <v>0.463601769302262</v>
      </c>
      <c r="J225" s="178">
        <v>46.72046</v>
      </c>
      <c r="K225" s="191">
        <v>0.439539955218545</v>
      </c>
      <c r="L225" s="180">
        <f t="shared" ref="L225:L238" si="7">K225-G225</f>
        <v>-0.003701991069744</v>
      </c>
      <c r="M225" s="191">
        <v>-0.0240618140837168</v>
      </c>
      <c r="N225" s="110"/>
      <c r="O225" s="110"/>
    </row>
    <row r="226" spans="2:15">
      <c r="B226" s="87"/>
      <c r="C226" s="146">
        <v>6666010199</v>
      </c>
      <c r="D226" s="146" t="s">
        <v>276</v>
      </c>
      <c r="E226" s="146" t="s">
        <v>728</v>
      </c>
      <c r="F226" s="184">
        <v>0.28257</v>
      </c>
      <c r="G226" s="191">
        <v>0.00344156872297668</v>
      </c>
      <c r="H226" s="184">
        <v>0</v>
      </c>
      <c r="I226" s="184">
        <v>0</v>
      </c>
      <c r="J226" s="178">
        <v>-25.87777</v>
      </c>
      <c r="K226" s="191">
        <v>-0.243454663480535</v>
      </c>
      <c r="L226" s="180">
        <f t="shared" si="7"/>
        <v>-0.246896232203512</v>
      </c>
      <c r="M226" s="191">
        <v>-0.243454663480535</v>
      </c>
      <c r="N226" s="110"/>
      <c r="O226" s="110"/>
    </row>
    <row r="227" spans="2:15">
      <c r="B227" s="87"/>
      <c r="C227" s="146">
        <v>6666010207</v>
      </c>
      <c r="D227" s="146" t="s">
        <v>280</v>
      </c>
      <c r="E227" s="146" t="s">
        <v>729</v>
      </c>
      <c r="F227" s="184">
        <v>0.40992</v>
      </c>
      <c r="G227" s="191">
        <v>0.00499263138663906</v>
      </c>
      <c r="H227" s="184">
        <v>0</v>
      </c>
      <c r="I227" s="184">
        <v>0</v>
      </c>
      <c r="J227" s="178">
        <v>0.24544</v>
      </c>
      <c r="K227" s="191">
        <v>0.00230906730389298</v>
      </c>
      <c r="L227" s="180">
        <f t="shared" si="7"/>
        <v>-0.00268356408274608</v>
      </c>
      <c r="M227" s="191">
        <v>0.00230906730389298</v>
      </c>
      <c r="N227" s="110"/>
      <c r="O227" s="110"/>
    </row>
    <row r="228" spans="2:15">
      <c r="B228" s="87"/>
      <c r="C228" s="146">
        <v>6666010227</v>
      </c>
      <c r="D228" s="146" t="s">
        <v>394</v>
      </c>
      <c r="E228" s="146" t="s">
        <v>730</v>
      </c>
      <c r="F228" s="184">
        <v>0.37803</v>
      </c>
      <c r="G228" s="191">
        <v>0.0046042262955971</v>
      </c>
      <c r="H228" s="184">
        <v>0</v>
      </c>
      <c r="I228" s="184">
        <v>0</v>
      </c>
      <c r="J228" s="178">
        <v>0.31477</v>
      </c>
      <c r="K228" s="191">
        <v>0.0029613148437353</v>
      </c>
      <c r="L228" s="180">
        <f t="shared" si="7"/>
        <v>-0.0016429114518618</v>
      </c>
      <c r="M228" s="191">
        <v>0.0029613148437353</v>
      </c>
      <c r="N228" s="110"/>
      <c r="O228" s="110"/>
    </row>
    <row r="229" spans="2:15">
      <c r="B229" s="73"/>
      <c r="C229" s="193" t="s">
        <v>396</v>
      </c>
      <c r="D229" s="193" t="s">
        <v>286</v>
      </c>
      <c r="E229" s="193" t="s">
        <v>731</v>
      </c>
      <c r="F229" s="194">
        <v>40.72294</v>
      </c>
      <c r="G229" s="195">
        <v>0.495986115340113</v>
      </c>
      <c r="H229" s="194">
        <v>53.87238</v>
      </c>
      <c r="I229" s="194">
        <v>0.463601769302262</v>
      </c>
      <c r="J229" s="224">
        <v>23.91549</v>
      </c>
      <c r="K229" s="223">
        <v>0.224993790806631</v>
      </c>
      <c r="L229" s="225">
        <f t="shared" si="7"/>
        <v>-0.270992324533482</v>
      </c>
      <c r="M229" s="223">
        <v>-0.238607978495631</v>
      </c>
      <c r="N229" s="226"/>
      <c r="O229" s="226"/>
    </row>
    <row r="230" spans="2:15">
      <c r="B230" s="158" t="s">
        <v>285</v>
      </c>
      <c r="C230" s="146">
        <v>6666010314</v>
      </c>
      <c r="D230" s="146" t="s">
        <v>290</v>
      </c>
      <c r="E230" s="146" t="s">
        <v>732</v>
      </c>
      <c r="F230" s="184">
        <v>0</v>
      </c>
      <c r="G230" s="191">
        <v>0</v>
      </c>
      <c r="H230" s="184">
        <v>0.49185</v>
      </c>
      <c r="I230" s="184">
        <v>0.00423264259405872</v>
      </c>
      <c r="J230" s="178">
        <v>2.01963</v>
      </c>
      <c r="K230" s="191">
        <v>0.0190004139462246</v>
      </c>
      <c r="L230" s="180">
        <f t="shared" si="7"/>
        <v>0.0190004139462246</v>
      </c>
      <c r="M230" s="191">
        <v>0.0147677713521659</v>
      </c>
      <c r="N230" s="110"/>
      <c r="O230" s="110"/>
    </row>
    <row r="231" spans="2:15">
      <c r="B231" s="87"/>
      <c r="C231" s="146">
        <v>6666020401</v>
      </c>
      <c r="D231" s="146" t="s">
        <v>295</v>
      </c>
      <c r="E231" s="146" t="s">
        <v>733</v>
      </c>
      <c r="F231" s="184">
        <v>0</v>
      </c>
      <c r="G231" s="191">
        <v>0</v>
      </c>
      <c r="H231" s="184">
        <v>1.59455</v>
      </c>
      <c r="I231" s="184">
        <v>0.0137219889160442</v>
      </c>
      <c r="J231" s="178">
        <v>0.19166</v>
      </c>
      <c r="K231" s="191">
        <v>0.00180311212297966</v>
      </c>
      <c r="L231" s="180">
        <f t="shared" si="7"/>
        <v>0.00180311212297966</v>
      </c>
      <c r="M231" s="191">
        <v>-0.0119188767930645</v>
      </c>
      <c r="N231" s="110"/>
      <c r="O231" s="110"/>
    </row>
    <row r="232" spans="2:15">
      <c r="B232" s="87"/>
      <c r="C232" s="146">
        <v>6666020502</v>
      </c>
      <c r="D232" s="146" t="s">
        <v>297</v>
      </c>
      <c r="E232" s="146" t="s">
        <v>734</v>
      </c>
      <c r="F232" s="184">
        <v>-1.23474</v>
      </c>
      <c r="G232" s="191">
        <v>-0.015038548200475</v>
      </c>
      <c r="H232" s="184">
        <v>2.2845</v>
      </c>
      <c r="I232" s="184">
        <v>0.019659392103542</v>
      </c>
      <c r="J232" s="178">
        <v>0.75081</v>
      </c>
      <c r="K232" s="191">
        <v>0.00706352192974204</v>
      </c>
      <c r="L232" s="180">
        <f t="shared" si="7"/>
        <v>0.022102070130217</v>
      </c>
      <c r="M232" s="191">
        <v>-0.0125958701738</v>
      </c>
      <c r="N232" s="110"/>
      <c r="O232" s="110"/>
    </row>
    <row r="233" spans="2:15">
      <c r="B233" s="87"/>
      <c r="C233" s="146">
        <v>6666020503</v>
      </c>
      <c r="D233" s="146" t="s">
        <v>299</v>
      </c>
      <c r="E233" s="146" t="s">
        <v>735</v>
      </c>
      <c r="F233" s="184">
        <v>0.00633</v>
      </c>
      <c r="G233" s="191">
        <v>7.7096400950003e-5</v>
      </c>
      <c r="H233" s="184">
        <v>0</v>
      </c>
      <c r="I233" s="184">
        <v>0</v>
      </c>
      <c r="J233" s="178">
        <v>0.02932</v>
      </c>
      <c r="K233" s="191">
        <v>0.000275838711498297</v>
      </c>
      <c r="L233" s="180">
        <f t="shared" si="7"/>
        <v>0.000198742310548294</v>
      </c>
      <c r="M233" s="191">
        <v>0.000275838711498297</v>
      </c>
      <c r="N233" s="110"/>
      <c r="O233" s="110"/>
    </row>
    <row r="234" spans="2:15">
      <c r="B234" s="87"/>
      <c r="C234" s="146">
        <v>6666021502</v>
      </c>
      <c r="D234" s="146" t="s">
        <v>301</v>
      </c>
      <c r="E234" s="146" t="s">
        <v>736</v>
      </c>
      <c r="F234" s="184">
        <v>1.10137</v>
      </c>
      <c r="G234" s="191">
        <v>0.0134141647889897</v>
      </c>
      <c r="H234" s="184">
        <v>0</v>
      </c>
      <c r="I234" s="184">
        <v>0</v>
      </c>
      <c r="J234" s="178">
        <v>0</v>
      </c>
      <c r="K234" s="191">
        <v>0</v>
      </c>
      <c r="L234" s="180">
        <f t="shared" si="7"/>
        <v>-0.0134141647889897</v>
      </c>
      <c r="M234" s="191">
        <v>0</v>
      </c>
      <c r="N234" s="110"/>
      <c r="O234" s="110"/>
    </row>
    <row r="235" spans="2:15">
      <c r="B235" s="87"/>
      <c r="C235" s="146">
        <v>6666021505</v>
      </c>
      <c r="D235" s="146" t="s">
        <v>403</v>
      </c>
      <c r="E235" s="146" t="s">
        <v>737</v>
      </c>
      <c r="F235" s="184">
        <v>0</v>
      </c>
      <c r="G235" s="191">
        <v>0</v>
      </c>
      <c r="H235" s="184">
        <v>0</v>
      </c>
      <c r="I235" s="184">
        <v>0</v>
      </c>
      <c r="J235" s="178">
        <v>0.00098</v>
      </c>
      <c r="K235" s="191">
        <v>9.21971136658701e-6</v>
      </c>
      <c r="L235" s="180">
        <f t="shared" si="7"/>
        <v>9.21971136658701e-6</v>
      </c>
      <c r="M235" s="191">
        <v>9.21971136658701e-6</v>
      </c>
      <c r="N235" s="110"/>
      <c r="O235" s="110"/>
    </row>
    <row r="236" spans="2:15">
      <c r="B236" s="87"/>
      <c r="C236" s="146">
        <v>6666091600</v>
      </c>
      <c r="D236" s="146" t="s">
        <v>310</v>
      </c>
      <c r="E236" s="146" t="s">
        <v>738</v>
      </c>
      <c r="F236" s="184">
        <v>0.00194</v>
      </c>
      <c r="G236" s="191">
        <v>2.36282808598746e-5</v>
      </c>
      <c r="H236" s="184">
        <v>0.41657</v>
      </c>
      <c r="I236" s="184">
        <v>0.00358481635744036</v>
      </c>
      <c r="J236" s="178">
        <v>0.03994</v>
      </c>
      <c r="K236" s="191">
        <v>0.000375750277532128</v>
      </c>
      <c r="L236" s="180">
        <f t="shared" si="7"/>
        <v>0.000352121996672253</v>
      </c>
      <c r="M236" s="191">
        <v>-0.00320906607990824</v>
      </c>
      <c r="N236" s="110"/>
      <c r="O236" s="110"/>
    </row>
    <row r="237" spans="2:15">
      <c r="B237" s="73"/>
      <c r="C237" s="193" t="s">
        <v>26</v>
      </c>
      <c r="D237" s="193" t="s">
        <v>313</v>
      </c>
      <c r="E237" s="193" t="s">
        <v>314</v>
      </c>
      <c r="F237" s="194">
        <v>-0.1251</v>
      </c>
      <c r="G237" s="195">
        <v>-0.00152365872967542</v>
      </c>
      <c r="H237" s="194">
        <v>4.78747</v>
      </c>
      <c r="I237" s="194">
        <v>0.0411988399710853</v>
      </c>
      <c r="J237" s="224">
        <v>3.03234</v>
      </c>
      <c r="K237" s="223">
        <v>0.0285278566993433</v>
      </c>
      <c r="L237" s="225">
        <f t="shared" si="7"/>
        <v>0.0300515154290187</v>
      </c>
      <c r="M237" s="223">
        <v>-0.012670983271742</v>
      </c>
      <c r="N237" s="226"/>
      <c r="O237" s="226"/>
    </row>
    <row r="238" spans="2:15">
      <c r="B238" s="158"/>
      <c r="C238" s="147"/>
      <c r="D238" s="147"/>
      <c r="E238" s="206" t="s">
        <v>739</v>
      </c>
      <c r="F238" s="184">
        <v>507.21773</v>
      </c>
      <c r="G238" s="191">
        <v>6.17767163997321</v>
      </c>
      <c r="H238" s="184">
        <v>215.213373121563</v>
      </c>
      <c r="I238" s="191">
        <v>1.85203067985236</v>
      </c>
      <c r="J238" s="178">
        <v>183.05753</v>
      </c>
      <c r="K238" s="191">
        <v>1.7221812143677</v>
      </c>
      <c r="L238" s="180">
        <f t="shared" si="7"/>
        <v>-4.45549042560551</v>
      </c>
      <c r="M238" s="191">
        <v>-0.129849465484661</v>
      </c>
      <c r="N238" s="110"/>
      <c r="O238" s="110"/>
    </row>
    <row r="239" spans="2:15">
      <c r="F239" s="201"/>
      <c r="G239" s="201"/>
      <c r="H239" s="201"/>
      <c r="I239" s="201"/>
      <c r="J239" s="201"/>
    </row>
    <row r="240" spans="2:15">
      <c r="B240" s="158"/>
      <c r="C240" s="147"/>
      <c r="D240" s="147"/>
      <c r="E240" s="208" t="s">
        <v>741</v>
      </c>
      <c r="F240" s="178">
        <f>F238+F159</f>
        <v>2690.84938</v>
      </c>
      <c r="G240" s="229">
        <f>G238+G159</f>
        <v>32.7732705681749</v>
      </c>
      <c r="H240" s="178">
        <f>H238+H159</f>
        <v>2650.37871511848</v>
      </c>
      <c r="I240" s="191">
        <v>22.8079817830581</v>
      </c>
      <c r="J240" s="178">
        <v>2350.45499</v>
      </c>
      <c r="K240" s="191">
        <v>22.1127720285246</v>
      </c>
      <c r="L240" s="191">
        <f>K240-G240</f>
        <v>-10.6604985396503</v>
      </c>
      <c r="M240" s="191">
        <v>-0.695209754533437</v>
      </c>
      <c r="N240" s="110"/>
      <c r="O240" s="110"/>
    </row>
  </sheetData>
  <mergeCells count="30">
    <mergeCell ref="A1:I1"/>
    <mergeCell ref="J1:O1"/>
    <mergeCell ref="C159:E159"/>
    <mergeCell ref="A5:A10"/>
    <mergeCell ref="A12:A25"/>
    <mergeCell ref="B29:B30"/>
    <mergeCell ref="B31:B40"/>
    <mergeCell ref="B41:B49"/>
    <mergeCell ref="B50:B54"/>
    <mergeCell ref="B55:B111"/>
    <mergeCell ref="B112:B116"/>
    <mergeCell ref="B117:B118"/>
    <mergeCell ref="B119:B120"/>
    <mergeCell ref="B121:B122"/>
    <mergeCell ref="B123:B126"/>
    <mergeCell ref="B127:B134"/>
    <mergeCell ref="B135:B142"/>
    <mergeCell ref="B144:B158"/>
    <mergeCell ref="B161:B165"/>
    <mergeCell ref="B166:B168"/>
    <mergeCell ref="B169:B215"/>
    <mergeCell ref="B216:B217"/>
    <mergeCell ref="B218:B220"/>
    <mergeCell ref="B221:B223"/>
    <mergeCell ref="B224:B229"/>
    <mergeCell ref="B230:B237"/>
    <mergeCell ref="C29:C30"/>
    <mergeCell ref="D29:D30"/>
    <mergeCell ref="E29:E30"/>
    <mergeCell ref="H3:H11"/>
  </mergeCells>
  <conditionalFormatting sqref="F28:G28">
    <cfRule type="cellIs" dxfId="0" priority="4" operator="greaterThan">
      <formula>0</formula>
    </cfRule>
  </conditionalFormatting>
  <conditionalFormatting sqref="H12:H25">
    <cfRule type="cellIs" dxfId="0" priority="5" operator="greaterThan">
      <formula>0.5</formula>
    </cfRule>
  </conditionalFormatting>
  <conditionalFormatting sqref="F13:G28">
    <cfRule type="cellIs" dxfId="0" priority="1" operator="greaterThan">
      <formula>0.5</formula>
    </cfRule>
  </conditionalFormatting>
  <conditionalFormatting sqref="L31:M159">
    <cfRule type="cellIs" dxfId="0" priority="2" operator="greaterThan">
      <formula>0.5</formula>
    </cfRule>
  </conditionalFormatting>
  <conditionalFormatting sqref="C161:C216 C218:C237">
    <cfRule type="duplicateValues" dxfId="1" priority="7"/>
  </conditionalFormatting>
  <conditionalFormatting sqref="L161:M238 M240">
    <cfRule type="cellIs" dxfId="0" priority="3" operator="greaterThan">
      <formula>0.5</formula>
    </cfRule>
  </conditionalFormatting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O243"/>
  <sheetViews>
    <sheetView zoomScale="70" zoomScaleNormal="70" workbookViewId="0">
      <selection activeCell="A1" sqref="A1:I25"/>
    </sheetView>
  </sheetViews>
  <sheetFormatPr defaultColWidth="9" defaultRowHeight="14.4"/>
  <cols>
    <col min="1" max="1" width="9" style="172" customWidth="1"/>
    <col min="2" max="2" width="33.8888888888889" style="173" customWidth="1"/>
    <col min="3" max="4" width="13.2222222222222" style="172" customWidth="1"/>
    <col min="5" max="5" width="48.7777777777778" style="172" customWidth="1"/>
    <col min="6" max="6" width="34.4444444444444" style="172" customWidth="1"/>
    <col min="7" max="7" width="20.7777777777778" style="172" customWidth="1"/>
    <col min="8" max="8" width="21.3333333333333" style="172" customWidth="1"/>
    <col min="9" max="9" width="30.1111111111111" style="172" customWidth="1"/>
    <col min="10" max="10" width="17.5555555555556" style="172" customWidth="1"/>
    <col min="11" max="11" width="14.3333333333333" style="172" customWidth="1"/>
    <col min="12" max="12" width="12.7777777777778" style="172" customWidth="1"/>
    <col min="13" max="13" width="14.1111111111111" style="172" customWidth="1"/>
    <col min="14" max="14" width="38.5555555555556" style="172" hidden="1" customWidth="1"/>
    <col min="15" max="15" width="58.6666666666667" style="172" customWidth="1"/>
    <col min="16" max="16" width="15.3333333333333" style="172" customWidth="1"/>
    <col min="17" max="17" width="9" style="172" customWidth="1"/>
    <col min="18" max="16384" width="9" style="172"/>
  </cols>
  <sheetData>
    <row r="1" ht="14.25" customHeight="1" spans="1:10">
      <c r="A1" s="174" t="s">
        <v>535</v>
      </c>
      <c r="B1" s="174" t="s">
        <v>1</v>
      </c>
      <c r="C1" s="174" t="s">
        <v>536</v>
      </c>
      <c r="D1" s="174"/>
      <c r="E1" s="174" t="s">
        <v>537</v>
      </c>
      <c r="F1" s="174" t="s">
        <v>538</v>
      </c>
      <c r="G1" s="174" t="s">
        <v>539</v>
      </c>
      <c r="H1" s="109" t="s">
        <v>540</v>
      </c>
      <c r="I1" s="109" t="s">
        <v>541</v>
      </c>
      <c r="J1" s="174" t="s">
        <v>542</v>
      </c>
    </row>
    <row r="2" spans="1:10">
      <c r="A2" s="151" t="s">
        <v>501</v>
      </c>
      <c r="B2" s="110" t="s">
        <v>543</v>
      </c>
      <c r="C2" s="110">
        <v>92657</v>
      </c>
      <c r="D2" s="110"/>
      <c r="E2" s="175">
        <v>116204.083333333</v>
      </c>
      <c r="F2" s="110">
        <f>L28</f>
        <v>107376</v>
      </c>
      <c r="G2" s="176">
        <f>F2-E2</f>
        <v>-8828.08333333299</v>
      </c>
      <c r="H2" s="177">
        <f t="shared" ref="H2:H24" si="0">F2-C2</f>
        <v>14719</v>
      </c>
      <c r="I2" s="158" t="s">
        <v>410</v>
      </c>
      <c r="J2" s="110"/>
    </row>
    <row r="3" spans="1:10">
      <c r="A3" s="151" t="s">
        <v>544</v>
      </c>
      <c r="B3" s="110" t="s">
        <v>545</v>
      </c>
      <c r="C3" s="110">
        <v>20</v>
      </c>
      <c r="D3" s="110"/>
      <c r="E3" s="110">
        <v>20</v>
      </c>
      <c r="F3" s="110">
        <v>23</v>
      </c>
      <c r="G3" s="110" t="s">
        <v>758</v>
      </c>
      <c r="H3" s="177">
        <f t="shared" si="0"/>
        <v>3</v>
      </c>
      <c r="I3" s="87"/>
      <c r="J3" s="110"/>
    </row>
    <row r="4" spans="1:10">
      <c r="A4" s="151" t="s">
        <v>546</v>
      </c>
      <c r="B4" s="110" t="s">
        <v>78</v>
      </c>
      <c r="C4" s="110">
        <v>279</v>
      </c>
      <c r="D4" s="110"/>
      <c r="E4" s="178">
        <v>293</v>
      </c>
      <c r="F4" s="178">
        <v>299</v>
      </c>
      <c r="G4" s="179">
        <f t="shared" ref="G4:G24" si="1">F4-E4</f>
        <v>6</v>
      </c>
      <c r="H4" s="177">
        <f t="shared" si="0"/>
        <v>20</v>
      </c>
      <c r="I4" s="87"/>
      <c r="J4" s="110"/>
    </row>
    <row r="5" spans="1:10">
      <c r="A5" s="87"/>
      <c r="B5" s="110" t="s">
        <v>548</v>
      </c>
      <c r="C5" s="178">
        <f>F48*1000/C4</f>
        <v>2469.90634408602</v>
      </c>
      <c r="D5" s="178"/>
      <c r="E5" s="178">
        <f>H48*1000/E4</f>
        <v>2291.49755783523</v>
      </c>
      <c r="F5" s="178">
        <f>J45/F4*1000</f>
        <v>3219.53969899666</v>
      </c>
      <c r="G5" s="179">
        <f t="shared" si="1"/>
        <v>928.042141161427</v>
      </c>
      <c r="H5" s="177">
        <f t="shared" si="0"/>
        <v>749.633354910634</v>
      </c>
      <c r="I5" s="87"/>
      <c r="J5" s="110"/>
    </row>
    <row r="6" spans="1:10">
      <c r="A6" s="87"/>
      <c r="B6" s="110" t="s">
        <v>250</v>
      </c>
      <c r="C6" s="110">
        <v>170</v>
      </c>
      <c r="D6" s="110"/>
      <c r="E6" s="178">
        <v>127</v>
      </c>
      <c r="F6" s="178">
        <v>122</v>
      </c>
      <c r="G6" s="179">
        <f t="shared" si="1"/>
        <v>-5</v>
      </c>
      <c r="H6" s="177">
        <f t="shared" si="0"/>
        <v>-48</v>
      </c>
      <c r="I6" s="87"/>
      <c r="J6" s="110"/>
    </row>
    <row r="7" spans="1:10">
      <c r="A7" s="87"/>
      <c r="B7" s="110" t="s">
        <v>549</v>
      </c>
      <c r="C7" s="178">
        <f>F132*1000/C6</f>
        <v>2892.94947058824</v>
      </c>
      <c r="D7" s="178"/>
      <c r="E7" s="180">
        <f>H132*1000/E6</f>
        <v>2737.78298011587</v>
      </c>
      <c r="F7" s="178">
        <f>(J128+J131)/F6*1000</f>
        <v>3218.11745901639</v>
      </c>
      <c r="G7" s="179">
        <f t="shared" si="1"/>
        <v>480.33447890052</v>
      </c>
      <c r="H7" s="177">
        <f t="shared" si="0"/>
        <v>325.167988428158</v>
      </c>
      <c r="I7" s="87"/>
      <c r="J7" s="110"/>
    </row>
    <row r="8" spans="1:10">
      <c r="A8" s="87"/>
      <c r="B8" s="110" t="s">
        <v>550</v>
      </c>
      <c r="C8" s="110">
        <v>58</v>
      </c>
      <c r="D8" s="110"/>
      <c r="E8" s="178">
        <v>31</v>
      </c>
      <c r="F8" s="178">
        <v>31</v>
      </c>
      <c r="G8" s="179">
        <f t="shared" si="1"/>
        <v>0</v>
      </c>
      <c r="H8" s="177">
        <f t="shared" si="0"/>
        <v>-27</v>
      </c>
      <c r="I8" s="87"/>
      <c r="J8" s="110"/>
    </row>
    <row r="9" spans="1:10">
      <c r="A9" s="73"/>
      <c r="B9" s="110" t="s">
        <v>551</v>
      </c>
      <c r="C9" s="178">
        <f>F140*1000/C8</f>
        <v>4367.34137931035</v>
      </c>
      <c r="D9" s="178"/>
      <c r="E9" s="178">
        <f>H140*1000/E8</f>
        <v>4794.21212566803</v>
      </c>
      <c r="F9" s="178">
        <f>(J134+J135)/F8*1000</f>
        <v>4345.5264516129</v>
      </c>
      <c r="G9" s="179">
        <f t="shared" si="1"/>
        <v>-448.68567405513</v>
      </c>
      <c r="H9" s="177">
        <f t="shared" si="0"/>
        <v>-21.8149276974427</v>
      </c>
      <c r="I9" s="87"/>
      <c r="J9" s="110"/>
    </row>
    <row r="10" ht="16.2" customHeight="1" spans="1:10">
      <c r="A10" s="156" t="s">
        <v>552</v>
      </c>
      <c r="B10" s="110" t="s">
        <v>527</v>
      </c>
      <c r="C10" s="181">
        <f>C2/C3/C4</f>
        <v>16.6051971326165</v>
      </c>
      <c r="D10" s="181"/>
      <c r="E10" s="181">
        <f>E2/E3/E4</f>
        <v>19.8300483503981</v>
      </c>
      <c r="F10" s="181">
        <f>F2/F3/F4</f>
        <v>15.6137850807038</v>
      </c>
      <c r="G10" s="179">
        <f t="shared" si="1"/>
        <v>-4.21626326969433</v>
      </c>
      <c r="H10" s="177">
        <f t="shared" si="0"/>
        <v>-0.991412051912693</v>
      </c>
      <c r="I10" s="73"/>
      <c r="J10" s="110"/>
    </row>
    <row r="11" spans="1:10">
      <c r="A11" s="151" t="s">
        <v>450</v>
      </c>
      <c r="B11" s="110" t="s">
        <v>553</v>
      </c>
      <c r="C11" s="182">
        <f>SUM(C12:C24)</f>
        <v>32.1621808390084</v>
      </c>
      <c r="D11" s="182"/>
      <c r="E11" s="180">
        <f>SUM(E12:E24)</f>
        <v>22.52</v>
      </c>
      <c r="F11" s="180">
        <f>SUM(F12:F24)</f>
        <v>24.1397042169572</v>
      </c>
      <c r="G11" s="180">
        <f t="shared" si="1"/>
        <v>1.61970421695724</v>
      </c>
      <c r="H11" s="180">
        <f t="shared" si="0"/>
        <v>-8.02247662205114</v>
      </c>
      <c r="I11" s="178">
        <f t="shared" ref="I11:I24" si="2">H11*$F$2</f>
        <v>-861421.449769363</v>
      </c>
      <c r="J11" s="110"/>
    </row>
    <row r="12" spans="1:10">
      <c r="A12" s="87"/>
      <c r="B12" s="110" t="s">
        <v>759</v>
      </c>
      <c r="C12" s="183">
        <f>G39</f>
        <v>8.24012389781668</v>
      </c>
      <c r="D12" s="184">
        <f t="shared" ref="D12:D24" si="3">C12*$C$2</f>
        <v>763505.16</v>
      </c>
      <c r="E12" s="180">
        <v>7.12</v>
      </c>
      <c r="F12" s="180">
        <f>K39</f>
        <v>7.43764025480554</v>
      </c>
      <c r="G12" s="180">
        <f t="shared" si="1"/>
        <v>0.317640254805544</v>
      </c>
      <c r="H12" s="180">
        <f t="shared" si="0"/>
        <v>-0.802483643011135</v>
      </c>
      <c r="I12" s="178">
        <f t="shared" si="2"/>
        <v>-86167.4836519636</v>
      </c>
      <c r="J12" s="110"/>
    </row>
    <row r="13" ht="16.2" customHeight="1" spans="1:10">
      <c r="A13" s="87"/>
      <c r="B13" s="185" t="s">
        <v>554</v>
      </c>
      <c r="C13" s="183">
        <v>2.02</v>
      </c>
      <c r="D13" s="184">
        <f t="shared" si="3"/>
        <v>187167.14</v>
      </c>
      <c r="E13" s="180">
        <v>0.97</v>
      </c>
      <c r="F13" s="180">
        <f>K109</f>
        <v>0.389167318581433</v>
      </c>
      <c r="G13" s="180">
        <f t="shared" si="1"/>
        <v>-0.580832681418566</v>
      </c>
      <c r="H13" s="180">
        <f t="shared" si="0"/>
        <v>-1.63083268141857</v>
      </c>
      <c r="I13" s="178">
        <f t="shared" si="2"/>
        <v>-175112.29</v>
      </c>
      <c r="J13" s="110"/>
    </row>
    <row r="14" ht="16.2" customHeight="1" spans="1:10">
      <c r="A14" s="87"/>
      <c r="B14" s="185" t="s">
        <v>223</v>
      </c>
      <c r="C14" s="183">
        <v>0.31141500372341</v>
      </c>
      <c r="D14" s="184">
        <f t="shared" si="3"/>
        <v>28854.78</v>
      </c>
      <c r="E14" s="180">
        <v>0.11</v>
      </c>
      <c r="F14" s="180">
        <f>K116</f>
        <v>0.116413351214424</v>
      </c>
      <c r="G14" s="180">
        <f t="shared" si="1"/>
        <v>0.00641335121442407</v>
      </c>
      <c r="H14" s="180">
        <f t="shared" si="0"/>
        <v>-0.195001652508986</v>
      </c>
      <c r="I14" s="178">
        <f t="shared" si="2"/>
        <v>-20938.4974398049</v>
      </c>
      <c r="J14" s="110"/>
    </row>
    <row r="15" ht="16.2" customHeight="1" spans="1:10">
      <c r="A15" s="87"/>
      <c r="B15" s="185" t="s">
        <v>555</v>
      </c>
      <c r="C15" s="183">
        <v>0.512841015789417</v>
      </c>
      <c r="D15" s="184">
        <f t="shared" si="3"/>
        <v>47518.31</v>
      </c>
      <c r="E15" s="180">
        <v>0.28</v>
      </c>
      <c r="F15" s="180">
        <f>K120</f>
        <v>0.306564036656236</v>
      </c>
      <c r="G15" s="180">
        <f t="shared" si="1"/>
        <v>0.026564036656236</v>
      </c>
      <c r="H15" s="180">
        <f t="shared" si="0"/>
        <v>-0.206276979133181</v>
      </c>
      <c r="I15" s="178">
        <f t="shared" si="2"/>
        <v>-22149.1969114044</v>
      </c>
      <c r="J15" s="110"/>
    </row>
    <row r="16" ht="16.2" customHeight="1" spans="1:10">
      <c r="A16" s="87"/>
      <c r="B16" s="186" t="s">
        <v>556</v>
      </c>
      <c r="C16" s="183">
        <v>5.30776314795428</v>
      </c>
      <c r="D16" s="184">
        <f t="shared" si="3"/>
        <v>491801.41</v>
      </c>
      <c r="E16" s="180">
        <v>2.99</v>
      </c>
      <c r="F16" s="180">
        <f>K132</f>
        <v>3.37999552972731</v>
      </c>
      <c r="G16" s="180">
        <f t="shared" si="1"/>
        <v>0.389995529727313</v>
      </c>
      <c r="H16" s="180">
        <f t="shared" si="0"/>
        <v>-1.92776761822697</v>
      </c>
      <c r="I16" s="178">
        <f t="shared" si="2"/>
        <v>-206995.975774739</v>
      </c>
      <c r="J16" s="110"/>
    </row>
    <row r="17" ht="16.2" customHeight="1" spans="1:15">
      <c r="A17" s="87"/>
      <c r="B17" s="185" t="s">
        <v>557</v>
      </c>
      <c r="C17" s="183">
        <v>2.73380100801882</v>
      </c>
      <c r="D17" s="184">
        <f t="shared" si="3"/>
        <v>253305.8</v>
      </c>
      <c r="E17" s="180">
        <v>1.28</v>
      </c>
      <c r="F17" s="180">
        <f>K140</f>
        <v>1.47675933169423</v>
      </c>
      <c r="G17" s="180">
        <f t="shared" si="1"/>
        <v>0.196759331694233</v>
      </c>
      <c r="H17" s="180">
        <f t="shared" si="0"/>
        <v>-1.25704167632459</v>
      </c>
      <c r="I17" s="178">
        <f t="shared" si="2"/>
        <v>-134976.107037029</v>
      </c>
      <c r="J17" s="110"/>
    </row>
    <row r="18" ht="16.2" customHeight="1" spans="1:15">
      <c r="A18" s="87"/>
      <c r="B18" s="185" t="s">
        <v>558</v>
      </c>
      <c r="C18" s="183">
        <v>1.7</v>
      </c>
      <c r="D18" s="184">
        <f t="shared" si="3"/>
        <v>157516.9</v>
      </c>
      <c r="E18" s="180">
        <v>1.7</v>
      </c>
      <c r="F18" s="180">
        <f>K156</f>
        <v>1.14546462896737</v>
      </c>
      <c r="G18" s="180">
        <f t="shared" si="1"/>
        <v>-0.554535371032633</v>
      </c>
      <c r="H18" s="180">
        <f t="shared" si="0"/>
        <v>-0.554535371032633</v>
      </c>
      <c r="I18" s="178">
        <f t="shared" si="2"/>
        <v>-59543.79</v>
      </c>
      <c r="J18" s="110"/>
    </row>
    <row r="19" ht="16.2" customHeight="1" spans="1:15">
      <c r="A19" s="87"/>
      <c r="B19" s="186" t="s">
        <v>78</v>
      </c>
      <c r="C19" s="183">
        <v>7.43714851549262</v>
      </c>
      <c r="D19" s="184">
        <f t="shared" si="3"/>
        <v>689103.87</v>
      </c>
      <c r="E19" s="180">
        <v>5.78</v>
      </c>
      <c r="F19" s="180">
        <f>K48</f>
        <v>7.54813068097154</v>
      </c>
      <c r="G19" s="180">
        <f t="shared" si="1"/>
        <v>1.76813068097154</v>
      </c>
      <c r="H19" s="180">
        <f t="shared" si="0"/>
        <v>0.11098216547892</v>
      </c>
      <c r="I19" s="178">
        <f t="shared" si="2"/>
        <v>11916.8210004645</v>
      </c>
      <c r="J19" s="110"/>
    </row>
    <row r="20" ht="16.2" customHeight="1" spans="1:15">
      <c r="A20" s="87"/>
      <c r="B20" s="186" t="s">
        <v>99</v>
      </c>
      <c r="C20" s="183">
        <v>0.36</v>
      </c>
      <c r="D20" s="184">
        <f t="shared" si="3"/>
        <v>33356.52</v>
      </c>
      <c r="E20" s="180">
        <v>0.54</v>
      </c>
      <c r="F20" s="180">
        <f>K53</f>
        <v>0.509692948144837</v>
      </c>
      <c r="G20" s="180">
        <f t="shared" si="1"/>
        <v>-0.0303070518551632</v>
      </c>
      <c r="H20" s="180">
        <f t="shared" si="0"/>
        <v>0.149692948144837</v>
      </c>
      <c r="I20" s="178">
        <f t="shared" si="2"/>
        <v>16073.43</v>
      </c>
      <c r="J20" s="110"/>
    </row>
    <row r="21" ht="16.2" customHeight="1" spans="1:15">
      <c r="A21" s="87"/>
      <c r="B21" s="186" t="s">
        <v>559</v>
      </c>
      <c r="C21" s="183">
        <v>-0.05</v>
      </c>
      <c r="D21" s="184">
        <f t="shared" si="3"/>
        <v>-4632.85</v>
      </c>
      <c r="E21" s="180">
        <v>0.29</v>
      </c>
      <c r="F21" s="180">
        <f>K114</f>
        <v>0.0424186037848309</v>
      </c>
      <c r="G21" s="180">
        <f t="shared" si="1"/>
        <v>-0.247581396215169</v>
      </c>
      <c r="H21" s="180">
        <f t="shared" si="0"/>
        <v>0.0924186037848309</v>
      </c>
      <c r="I21" s="178">
        <f t="shared" si="2"/>
        <v>9923.54</v>
      </c>
      <c r="J21" s="110"/>
    </row>
    <row r="22" ht="16.2" customHeight="1" spans="1:15">
      <c r="A22" s="87"/>
      <c r="B22" s="186" t="s">
        <v>228</v>
      </c>
      <c r="C22" s="183">
        <v>-0.9477360587975</v>
      </c>
      <c r="D22" s="184">
        <f t="shared" si="3"/>
        <v>-87814.38</v>
      </c>
      <c r="E22" s="180">
        <v>-0.68</v>
      </c>
      <c r="F22" s="180">
        <f>K118</f>
        <v>-0.723684156608553</v>
      </c>
      <c r="G22" s="180">
        <f t="shared" si="1"/>
        <v>-0.0436841566085531</v>
      </c>
      <c r="H22" s="180">
        <f t="shared" si="0"/>
        <v>0.224051902188947</v>
      </c>
      <c r="I22" s="178">
        <f t="shared" si="2"/>
        <v>24057.7970494404</v>
      </c>
      <c r="J22" s="110"/>
    </row>
    <row r="23" ht="16.2" customHeight="1" spans="1:15">
      <c r="A23" s="87"/>
      <c r="B23" s="186" t="s">
        <v>560</v>
      </c>
      <c r="C23" s="183">
        <v>0.467793582783815</v>
      </c>
      <c r="D23" s="184">
        <f t="shared" si="3"/>
        <v>43344.3499999999</v>
      </c>
      <c r="E23" s="180">
        <v>0.29</v>
      </c>
      <c r="F23" s="180">
        <f>K124</f>
        <v>0.243928624646103</v>
      </c>
      <c r="G23" s="180">
        <f t="shared" si="1"/>
        <v>-0.0460713753538965</v>
      </c>
      <c r="H23" s="180">
        <f t="shared" si="0"/>
        <v>-0.223864958137712</v>
      </c>
      <c r="I23" s="178">
        <f t="shared" si="2"/>
        <v>-24037.7237449949</v>
      </c>
      <c r="J23" s="110"/>
    </row>
    <row r="24" ht="16.2" customHeight="1" spans="1:15">
      <c r="A24" s="73"/>
      <c r="B24" s="186" t="s">
        <v>561</v>
      </c>
      <c r="C24" s="183">
        <v>4.06903072622684</v>
      </c>
      <c r="D24" s="184">
        <f t="shared" si="3"/>
        <v>377024.18</v>
      </c>
      <c r="E24" s="180">
        <v>1.85</v>
      </c>
      <c r="F24" s="180">
        <f>K236</f>
        <v>2.26721306437193</v>
      </c>
      <c r="G24" s="180">
        <f t="shared" si="1"/>
        <v>0.417213064371925</v>
      </c>
      <c r="H24" s="180">
        <f t="shared" si="0"/>
        <v>-1.80181766185491</v>
      </c>
      <c r="I24" s="178">
        <f t="shared" si="2"/>
        <v>-193471.973259333</v>
      </c>
      <c r="J24" s="110"/>
    </row>
    <row r="25" spans="1:15">
      <c r="B25" s="110" t="s">
        <v>34</v>
      </c>
      <c r="C25" s="110"/>
      <c r="D25" s="110"/>
      <c r="E25" s="180">
        <v>2.72820823035496</v>
      </c>
      <c r="F25" s="110"/>
      <c r="G25" s="110"/>
      <c r="H25" s="110"/>
      <c r="I25" s="110"/>
    </row>
    <row r="26" spans="1:15">
      <c r="B26" s="110" t="s">
        <v>35</v>
      </c>
      <c r="C26" s="110"/>
      <c r="D26" s="110"/>
      <c r="E26" s="180">
        <v>0.0980933982321897</v>
      </c>
      <c r="F26" s="110"/>
      <c r="G26" s="110"/>
      <c r="H26" s="110"/>
      <c r="I26" s="110"/>
    </row>
    <row r="27" spans="1:15">
      <c r="B27" s="110" t="s">
        <v>36</v>
      </c>
      <c r="C27" s="110"/>
      <c r="D27" s="110"/>
      <c r="E27" s="180">
        <v>1.24272909763968</v>
      </c>
      <c r="F27" s="110"/>
      <c r="G27" s="110"/>
      <c r="H27" s="110"/>
      <c r="I27" s="110"/>
    </row>
    <row r="28" ht="15.6" customHeight="1" spans="1:15">
      <c r="A28" s="123" t="s">
        <v>563</v>
      </c>
      <c r="B28" s="123" t="s">
        <v>564</v>
      </c>
      <c r="C28" s="123" t="s">
        <v>565</v>
      </c>
      <c r="D28" s="123"/>
      <c r="E28" s="123" t="s">
        <v>566</v>
      </c>
      <c r="F28" s="117" t="s">
        <v>760</v>
      </c>
      <c r="G28" s="118" t="s">
        <v>761</v>
      </c>
      <c r="H28" s="187">
        <v>92657</v>
      </c>
      <c r="I28" s="120" t="s">
        <v>762</v>
      </c>
      <c r="J28" s="118">
        <v>106704</v>
      </c>
      <c r="K28" s="120" t="s">
        <v>570</v>
      </c>
      <c r="L28" s="188">
        <v>107376</v>
      </c>
      <c r="M28" s="189"/>
      <c r="N28" s="189"/>
      <c r="O28" s="189"/>
    </row>
    <row r="29" ht="39.6" customHeight="1" spans="1:15">
      <c r="A29" s="73"/>
      <c r="B29" s="73"/>
      <c r="C29" s="73"/>
      <c r="D29" s="190"/>
      <c r="E29" s="73"/>
      <c r="F29" s="125" t="s">
        <v>571</v>
      </c>
      <c r="G29" s="125" t="s">
        <v>572</v>
      </c>
      <c r="H29" s="125" t="s">
        <v>573</v>
      </c>
      <c r="I29" s="126" t="s">
        <v>574</v>
      </c>
      <c r="J29" s="125" t="s">
        <v>575</v>
      </c>
      <c r="K29" s="125" t="s">
        <v>576</v>
      </c>
      <c r="L29" s="127" t="s">
        <v>577</v>
      </c>
      <c r="M29" s="125" t="s">
        <v>763</v>
      </c>
      <c r="N29" s="129" t="s">
        <v>764</v>
      </c>
      <c r="O29" s="129" t="s">
        <v>580</v>
      </c>
    </row>
    <row r="30" spans="1:15">
      <c r="A30" s="158" t="s">
        <v>55</v>
      </c>
      <c r="B30" s="131">
        <v>6666110101</v>
      </c>
      <c r="C30" s="131" t="s">
        <v>56</v>
      </c>
      <c r="D30" s="131"/>
      <c r="E30" s="131" t="s">
        <v>57</v>
      </c>
      <c r="F30" s="184">
        <v>73.6323</v>
      </c>
      <c r="G30" s="191">
        <f t="shared" ref="G30:G39" si="4">F30*1000/$H$28</f>
        <v>0.794676063330347</v>
      </c>
      <c r="H30" s="184">
        <v>73.9343418509899</v>
      </c>
      <c r="I30" s="192">
        <f t="shared" ref="I30:I38" si="5">H30*1000/$J$28</f>
        <v>0.692891942673095</v>
      </c>
      <c r="J30" s="178">
        <v>72.20683</v>
      </c>
      <c r="K30" s="180">
        <f t="shared" ref="K30:K93" si="6">J30*1000/$L$28</f>
        <v>0.672467124869617</v>
      </c>
      <c r="L30" s="180">
        <f t="shared" ref="L30:L93" si="7">K30-G30</f>
        <v>-0.12220893846073</v>
      </c>
      <c r="M30" s="180">
        <f t="shared" ref="M30:M93" si="8">K30-I30</f>
        <v>-0.0204248178034776</v>
      </c>
      <c r="N30" s="110"/>
      <c r="O30" s="110"/>
    </row>
    <row r="31" spans="1:15">
      <c r="A31" s="87"/>
      <c r="B31" s="131">
        <v>6666110106</v>
      </c>
      <c r="C31" s="131" t="s">
        <v>58</v>
      </c>
      <c r="D31" s="131"/>
      <c r="E31" s="131" t="s">
        <v>59</v>
      </c>
      <c r="F31" s="184">
        <v>0</v>
      </c>
      <c r="G31" s="191">
        <f t="shared" si="4"/>
        <v>0</v>
      </c>
      <c r="H31" s="184">
        <v>0</v>
      </c>
      <c r="I31" s="192">
        <f t="shared" si="5"/>
        <v>0</v>
      </c>
      <c r="J31" s="178">
        <v>0</v>
      </c>
      <c r="K31" s="180">
        <f t="shared" si="6"/>
        <v>0</v>
      </c>
      <c r="L31" s="180">
        <f t="shared" si="7"/>
        <v>0</v>
      </c>
      <c r="M31" s="180">
        <f t="shared" si="8"/>
        <v>0</v>
      </c>
      <c r="N31" s="110"/>
      <c r="O31" s="110"/>
    </row>
    <row r="32" spans="1:15">
      <c r="A32" s="87"/>
      <c r="B32" s="131">
        <v>6666110107</v>
      </c>
      <c r="C32" s="131" t="s">
        <v>60</v>
      </c>
      <c r="D32" s="131"/>
      <c r="E32" s="131" t="s">
        <v>61</v>
      </c>
      <c r="F32" s="184">
        <v>209.08411</v>
      </c>
      <c r="G32" s="191">
        <f t="shared" si="4"/>
        <v>2.2565387396527</v>
      </c>
      <c r="H32" s="184">
        <v>208.701252297127</v>
      </c>
      <c r="I32" s="192">
        <f t="shared" si="5"/>
        <v>1.95588967889795</v>
      </c>
      <c r="J32" s="178">
        <v>165.27585</v>
      </c>
      <c r="K32" s="180">
        <f t="shared" si="6"/>
        <v>1.539225245865</v>
      </c>
      <c r="L32" s="180">
        <f t="shared" si="7"/>
        <v>-0.7173134937877</v>
      </c>
      <c r="M32" s="180">
        <f t="shared" si="8"/>
        <v>-0.416664433032954</v>
      </c>
      <c r="N32" s="110"/>
      <c r="O32" s="110"/>
    </row>
    <row r="33" spans="1:15">
      <c r="A33" s="87"/>
      <c r="B33" s="131">
        <v>6666110110</v>
      </c>
      <c r="C33" s="131" t="s">
        <v>62</v>
      </c>
      <c r="D33" s="131"/>
      <c r="E33" s="131" t="s">
        <v>581</v>
      </c>
      <c r="F33" s="184">
        <v>416.22698</v>
      </c>
      <c r="G33" s="191">
        <f t="shared" si="4"/>
        <v>4.49212666069482</v>
      </c>
      <c r="H33" s="184">
        <v>451.366726578527</v>
      </c>
      <c r="I33" s="192">
        <f t="shared" si="5"/>
        <v>4.23008253278722</v>
      </c>
      <c r="J33" s="178">
        <v>471.04914</v>
      </c>
      <c r="K33" s="180">
        <f t="shared" si="6"/>
        <v>4.38691271792579</v>
      </c>
      <c r="L33" s="180">
        <f t="shared" si="7"/>
        <v>-0.105213942769028</v>
      </c>
      <c r="M33" s="180">
        <f t="shared" si="8"/>
        <v>0.156830185138578</v>
      </c>
      <c r="N33" s="110"/>
      <c r="O33" s="110"/>
    </row>
    <row r="34" spans="1:15">
      <c r="A34" s="87"/>
      <c r="B34" s="131">
        <v>6666110112</v>
      </c>
      <c r="C34" s="131" t="s">
        <v>64</v>
      </c>
      <c r="D34" s="131"/>
      <c r="E34" s="131" t="s">
        <v>316</v>
      </c>
      <c r="F34" s="184">
        <v>39.82187</v>
      </c>
      <c r="G34" s="191">
        <f t="shared" si="4"/>
        <v>0.429777242949804</v>
      </c>
      <c r="H34" s="184">
        <v>60.9329521419523</v>
      </c>
      <c r="I34" s="192">
        <f t="shared" si="5"/>
        <v>0.571046560034791</v>
      </c>
      <c r="J34" s="178">
        <v>58.92395</v>
      </c>
      <c r="K34" s="180">
        <f t="shared" si="6"/>
        <v>0.548762758903293</v>
      </c>
      <c r="L34" s="180">
        <f t="shared" si="7"/>
        <v>0.118985515953489</v>
      </c>
      <c r="M34" s="180">
        <f t="shared" si="8"/>
        <v>-0.0222838011314975</v>
      </c>
      <c r="N34" s="110"/>
      <c r="O34" s="110"/>
    </row>
    <row r="35" spans="1:15">
      <c r="A35" s="87"/>
      <c r="B35" s="131">
        <v>6666110204</v>
      </c>
      <c r="C35" s="131" t="s">
        <v>66</v>
      </c>
      <c r="D35" s="131"/>
      <c r="E35" s="131" t="s">
        <v>583</v>
      </c>
      <c r="F35" s="184">
        <v>2.81415</v>
      </c>
      <c r="G35" s="191">
        <f t="shared" si="4"/>
        <v>0.0303716934500362</v>
      </c>
      <c r="H35" s="184">
        <v>32.3153547605672</v>
      </c>
      <c r="I35" s="192">
        <f t="shared" si="5"/>
        <v>0.30285045322169</v>
      </c>
      <c r="J35" s="178">
        <v>2.81415</v>
      </c>
      <c r="K35" s="180">
        <f t="shared" si="6"/>
        <v>0.0262083705856057</v>
      </c>
      <c r="L35" s="180">
        <f t="shared" si="7"/>
        <v>-0.00416332286443043</v>
      </c>
      <c r="M35" s="180">
        <f t="shared" si="8"/>
        <v>-0.276642082636084</v>
      </c>
      <c r="N35" s="110"/>
      <c r="O35" s="110"/>
    </row>
    <row r="36" spans="1:15">
      <c r="A36" s="87"/>
      <c r="B36" s="131">
        <v>6666110207</v>
      </c>
      <c r="C36" s="131" t="s">
        <v>68</v>
      </c>
      <c r="D36" s="131"/>
      <c r="E36" s="131" t="s">
        <v>317</v>
      </c>
      <c r="F36" s="184">
        <v>18.69461</v>
      </c>
      <c r="G36" s="191">
        <f t="shared" si="4"/>
        <v>0.20176144274043</v>
      </c>
      <c r="H36" s="184">
        <v>0</v>
      </c>
      <c r="I36" s="192">
        <f t="shared" si="5"/>
        <v>0</v>
      </c>
      <c r="J36" s="178">
        <v>28.29481</v>
      </c>
      <c r="K36" s="180">
        <f t="shared" si="6"/>
        <v>0.263511492326032</v>
      </c>
      <c r="L36" s="180">
        <f t="shared" si="7"/>
        <v>0.0617500495856021</v>
      </c>
      <c r="M36" s="180">
        <f t="shared" si="8"/>
        <v>0.263511492326032</v>
      </c>
      <c r="N36" s="110"/>
      <c r="O36" s="110"/>
    </row>
    <row r="37" spans="1:15">
      <c r="A37" s="87"/>
      <c r="B37" s="131">
        <v>6666110506</v>
      </c>
      <c r="C37" s="131" t="s">
        <v>70</v>
      </c>
      <c r="D37" s="131"/>
      <c r="E37" s="131" t="s">
        <v>584</v>
      </c>
      <c r="F37" s="184">
        <v>3.15116</v>
      </c>
      <c r="G37" s="191">
        <f t="shared" si="4"/>
        <v>0.034008871429034</v>
      </c>
      <c r="H37" s="184">
        <v>0</v>
      </c>
      <c r="I37" s="192">
        <f t="shared" si="5"/>
        <v>0</v>
      </c>
      <c r="J37" s="178">
        <v>0</v>
      </c>
      <c r="K37" s="180">
        <f t="shared" si="6"/>
        <v>0</v>
      </c>
      <c r="L37" s="180">
        <f t="shared" si="7"/>
        <v>-0.034008871429034</v>
      </c>
      <c r="M37" s="180">
        <f t="shared" si="8"/>
        <v>0</v>
      </c>
      <c r="N37" s="110"/>
      <c r="O37" s="110"/>
    </row>
    <row r="38" spans="1:15">
      <c r="A38" s="87"/>
      <c r="B38" s="131" t="s">
        <v>72</v>
      </c>
      <c r="C38" s="131" t="s">
        <v>73</v>
      </c>
      <c r="D38" s="131"/>
      <c r="E38" s="131" t="s">
        <v>585</v>
      </c>
      <c r="F38" s="184">
        <v>0.07998</v>
      </c>
      <c r="G38" s="191">
        <f t="shared" si="4"/>
        <v>0.000863183569509049</v>
      </c>
      <c r="H38" s="184">
        <v>0</v>
      </c>
      <c r="I38" s="192">
        <f t="shared" si="5"/>
        <v>0</v>
      </c>
      <c r="J38" s="178">
        <v>0.05933</v>
      </c>
      <c r="K38" s="180">
        <f t="shared" si="6"/>
        <v>0.000552544330204142</v>
      </c>
      <c r="L38" s="180">
        <f t="shared" si="7"/>
        <v>-0.000310639239304907</v>
      </c>
      <c r="M38" s="180">
        <f t="shared" si="8"/>
        <v>0.000552544330204142</v>
      </c>
      <c r="N38" s="110"/>
      <c r="O38" s="110"/>
    </row>
    <row r="39" spans="1:15">
      <c r="A39" s="73"/>
      <c r="B39" s="193" t="s">
        <v>75</v>
      </c>
      <c r="C39" s="193" t="s">
        <v>76</v>
      </c>
      <c r="D39" s="193"/>
      <c r="E39" s="193" t="s">
        <v>77</v>
      </c>
      <c r="F39" s="194">
        <f>SUM(F30:F38)</f>
        <v>763.50516</v>
      </c>
      <c r="G39" s="195">
        <f t="shared" si="4"/>
        <v>8.24012389781668</v>
      </c>
      <c r="H39" s="194">
        <v>827.250627629163</v>
      </c>
      <c r="I39" s="196">
        <f>SUM(I30:I38)</f>
        <v>7.75276116761474</v>
      </c>
      <c r="J39" s="196">
        <f>SUM(J30:J38)</f>
        <v>798.62406</v>
      </c>
      <c r="K39" s="196">
        <f t="shared" si="6"/>
        <v>7.43764025480554</v>
      </c>
      <c r="L39" s="196">
        <f t="shared" si="7"/>
        <v>-0.802483643011135</v>
      </c>
      <c r="M39" s="196">
        <f t="shared" si="8"/>
        <v>-0.315120912809198</v>
      </c>
      <c r="N39" s="110"/>
      <c r="O39" s="110"/>
    </row>
    <row r="40" spans="1:15">
      <c r="A40" s="158" t="s">
        <v>78</v>
      </c>
      <c r="B40" s="131">
        <v>5001010205</v>
      </c>
      <c r="C40" s="131" t="s">
        <v>79</v>
      </c>
      <c r="D40" s="131"/>
      <c r="E40" s="131" t="s">
        <v>586</v>
      </c>
      <c r="F40" s="184">
        <v>11.19577</v>
      </c>
      <c r="G40" s="191">
        <f t="shared" ref="G40:G47" si="9">F40/$H$28*1000</f>
        <v>0.120830266466646</v>
      </c>
      <c r="H40" s="184">
        <v>10.9703920866633</v>
      </c>
      <c r="I40" s="192">
        <f t="shared" ref="I40:I47" si="10">H40*1000/$J$28</f>
        <v>0.102811441807836</v>
      </c>
      <c r="J40" s="178">
        <v>14.73509</v>
      </c>
      <c r="K40" s="180">
        <f t="shared" si="6"/>
        <v>0.137228896587692</v>
      </c>
      <c r="L40" s="180">
        <f t="shared" si="7"/>
        <v>0.0163986301210461</v>
      </c>
      <c r="M40" s="180">
        <f t="shared" si="8"/>
        <v>0.0344174547798562</v>
      </c>
      <c r="N40" s="110"/>
      <c r="O40" s="110"/>
    </row>
    <row r="41" spans="1:15">
      <c r="A41" s="87"/>
      <c r="B41" s="131">
        <v>6666010380</v>
      </c>
      <c r="C41" s="131" t="s">
        <v>81</v>
      </c>
      <c r="D41" s="131"/>
      <c r="E41" s="131" t="s">
        <v>587</v>
      </c>
      <c r="F41" s="184">
        <v>-1.73083</v>
      </c>
      <c r="G41" s="191">
        <f t="shared" si="9"/>
        <v>-0.01867997021272</v>
      </c>
      <c r="H41" s="184">
        <v>-28.8032353547264</v>
      </c>
      <c r="I41" s="192">
        <f t="shared" si="10"/>
        <v>-0.269935853901694</v>
      </c>
      <c r="J41" s="178">
        <v>-2.27971</v>
      </c>
      <c r="K41" s="180">
        <f t="shared" si="6"/>
        <v>-0.0212310944717628</v>
      </c>
      <c r="L41" s="180">
        <f t="shared" si="7"/>
        <v>-0.00255112425904274</v>
      </c>
      <c r="M41" s="180">
        <f t="shared" si="8"/>
        <v>0.248704759429932</v>
      </c>
      <c r="N41" s="110"/>
      <c r="O41" s="110"/>
    </row>
    <row r="42" spans="1:15">
      <c r="A42" s="87"/>
      <c r="B42" s="131">
        <v>6666010019</v>
      </c>
      <c r="C42" s="131" t="s">
        <v>84</v>
      </c>
      <c r="D42" s="131"/>
      <c r="E42" s="131" t="s">
        <v>588</v>
      </c>
      <c r="F42" s="184">
        <v>90.64247</v>
      </c>
      <c r="G42" s="191">
        <f t="shared" si="9"/>
        <v>0.978258199596361</v>
      </c>
      <c r="H42" s="184">
        <v>113.817817899131</v>
      </c>
      <c r="I42" s="192">
        <f t="shared" si="10"/>
        <v>1.06666870875629</v>
      </c>
      <c r="J42" s="178">
        <v>126.36555</v>
      </c>
      <c r="K42" s="180">
        <f t="shared" si="6"/>
        <v>1.17685097228431</v>
      </c>
      <c r="L42" s="180">
        <f t="shared" si="7"/>
        <v>0.198592772687949</v>
      </c>
      <c r="M42" s="180">
        <f t="shared" si="8"/>
        <v>0.110182263528021</v>
      </c>
      <c r="N42" s="110"/>
      <c r="O42" s="110"/>
    </row>
    <row r="43" spans="1:15">
      <c r="A43" s="87"/>
      <c r="B43" s="131">
        <v>6666010183</v>
      </c>
      <c r="C43" s="131" t="s">
        <v>86</v>
      </c>
      <c r="D43" s="131"/>
      <c r="E43" s="131" t="s">
        <v>589</v>
      </c>
      <c r="F43" s="184">
        <v>7.31958</v>
      </c>
      <c r="G43" s="191">
        <f t="shared" si="9"/>
        <v>0.0789965140248443</v>
      </c>
      <c r="H43" s="184">
        <v>0</v>
      </c>
      <c r="I43" s="192">
        <f t="shared" si="10"/>
        <v>0</v>
      </c>
      <c r="J43" s="178">
        <v>8.33574</v>
      </c>
      <c r="K43" s="180">
        <f t="shared" si="6"/>
        <v>0.0776313142601699</v>
      </c>
      <c r="L43" s="180">
        <f t="shared" si="7"/>
        <v>-0.00136519976467446</v>
      </c>
      <c r="M43" s="180">
        <f t="shared" si="8"/>
        <v>0.0776313142601699</v>
      </c>
      <c r="N43" s="110"/>
      <c r="O43" s="110"/>
    </row>
    <row r="44" spans="1:15">
      <c r="A44" s="87"/>
      <c r="B44" s="131">
        <v>6666010229</v>
      </c>
      <c r="C44" s="131" t="s">
        <v>88</v>
      </c>
      <c r="D44" s="131"/>
      <c r="E44" s="131" t="s">
        <v>590</v>
      </c>
      <c r="F44" s="184">
        <v>20.16124</v>
      </c>
      <c r="G44" s="191">
        <f t="shared" si="9"/>
        <v>0.217590036370701</v>
      </c>
      <c r="H44" s="184">
        <v>17.6763119964971</v>
      </c>
      <c r="I44" s="192">
        <f t="shared" si="10"/>
        <v>0.165657444861459</v>
      </c>
      <c r="J44" s="178">
        <v>-306.31482</v>
      </c>
      <c r="K44" s="180">
        <f t="shared" si="6"/>
        <v>-2.85273077782745</v>
      </c>
      <c r="L44" s="180">
        <f t="shared" si="7"/>
        <v>-3.07032081419815</v>
      </c>
      <c r="M44" s="180">
        <f t="shared" si="8"/>
        <v>-3.01838822268891</v>
      </c>
      <c r="N44" s="110"/>
      <c r="O44" s="110" t="s">
        <v>765</v>
      </c>
    </row>
    <row r="45" spans="1:15">
      <c r="A45" s="87"/>
      <c r="B45" s="131">
        <v>6666010188</v>
      </c>
      <c r="C45" s="131" t="s">
        <v>90</v>
      </c>
      <c r="D45" s="131"/>
      <c r="E45" s="131" t="s">
        <v>591</v>
      </c>
      <c r="F45" s="184">
        <v>556.2437</v>
      </c>
      <c r="G45" s="191">
        <f t="shared" si="9"/>
        <v>6.00325609506028</v>
      </c>
      <c r="H45" s="184">
        <v>557.747497818157</v>
      </c>
      <c r="I45" s="192">
        <f t="shared" si="10"/>
        <v>5.22705332338204</v>
      </c>
      <c r="J45" s="178">
        <v>962.64237</v>
      </c>
      <c r="K45" s="180">
        <f t="shared" si="6"/>
        <v>8.96515394501565</v>
      </c>
      <c r="L45" s="180">
        <f t="shared" si="7"/>
        <v>2.96189784995537</v>
      </c>
      <c r="M45" s="180">
        <f t="shared" si="8"/>
        <v>3.73810062163361</v>
      </c>
      <c r="N45" s="110"/>
      <c r="O45" s="110" t="s">
        <v>766</v>
      </c>
    </row>
    <row r="46" spans="1:15">
      <c r="A46" s="87"/>
      <c r="B46" s="131">
        <v>5102040406</v>
      </c>
      <c r="C46" s="131" t="s">
        <v>92</v>
      </c>
      <c r="D46" s="131"/>
      <c r="E46" s="131" t="s">
        <v>593</v>
      </c>
      <c r="F46" s="184">
        <v>0</v>
      </c>
      <c r="G46" s="191">
        <f t="shared" si="9"/>
        <v>0</v>
      </c>
      <c r="H46" s="184">
        <v>0</v>
      </c>
      <c r="I46" s="192">
        <f t="shared" si="10"/>
        <v>0</v>
      </c>
      <c r="J46" s="178">
        <v>0</v>
      </c>
      <c r="K46" s="180">
        <f t="shared" si="6"/>
        <v>0</v>
      </c>
      <c r="L46" s="180">
        <f t="shared" si="7"/>
        <v>0</v>
      </c>
      <c r="M46" s="180">
        <f t="shared" si="8"/>
        <v>0</v>
      </c>
      <c r="N46" s="110"/>
      <c r="O46" s="110"/>
    </row>
    <row r="47" spans="1:15">
      <c r="A47" s="87"/>
      <c r="B47" s="131">
        <v>6666010115</v>
      </c>
      <c r="C47" s="131" t="s">
        <v>94</v>
      </c>
      <c r="D47" s="131"/>
      <c r="E47" s="131" t="s">
        <v>594</v>
      </c>
      <c r="F47" s="184">
        <v>5.27194</v>
      </c>
      <c r="G47" s="191">
        <f t="shared" si="9"/>
        <v>0.0568973741865159</v>
      </c>
      <c r="H47" s="184">
        <v>0</v>
      </c>
      <c r="I47" s="192">
        <f t="shared" si="10"/>
        <v>0</v>
      </c>
      <c r="J47" s="178">
        <v>7.00386</v>
      </c>
      <c r="K47" s="180">
        <f t="shared" si="6"/>
        <v>0.0652274251229325</v>
      </c>
      <c r="L47" s="180">
        <f t="shared" si="7"/>
        <v>0.00833005093641664</v>
      </c>
      <c r="M47" s="180">
        <f t="shared" si="8"/>
        <v>0.0652274251229325</v>
      </c>
      <c r="N47" s="110"/>
      <c r="O47" s="110"/>
    </row>
    <row r="48" spans="1:15">
      <c r="A48" s="73"/>
      <c r="B48" s="193" t="s">
        <v>96</v>
      </c>
      <c r="C48" s="193" t="s">
        <v>97</v>
      </c>
      <c r="D48" s="193"/>
      <c r="E48" s="193" t="s">
        <v>98</v>
      </c>
      <c r="F48" s="194">
        <v>689.10387</v>
      </c>
      <c r="G48" s="195">
        <f>SUM(G40:G47)</f>
        <v>7.43714851549262</v>
      </c>
      <c r="H48" s="194">
        <v>671.408784445722</v>
      </c>
      <c r="I48" s="196">
        <f>SUM(I40:I47)</f>
        <v>6.29225506490593</v>
      </c>
      <c r="J48" s="197">
        <f>SUM(J40:J47)</f>
        <v>810.48808</v>
      </c>
      <c r="K48" s="198">
        <f t="shared" si="6"/>
        <v>7.54813068097154</v>
      </c>
      <c r="L48" s="198">
        <f t="shared" si="7"/>
        <v>0.110982165478918</v>
      </c>
      <c r="M48" s="198">
        <f t="shared" si="8"/>
        <v>1.25587561606561</v>
      </c>
      <c r="N48" s="110"/>
      <c r="O48" s="110"/>
    </row>
    <row r="49" spans="1:15">
      <c r="A49" s="158" t="s">
        <v>99</v>
      </c>
      <c r="B49" s="131">
        <v>8701530201</v>
      </c>
      <c r="C49" s="131" t="s">
        <v>100</v>
      </c>
      <c r="D49" s="131"/>
      <c r="E49" s="131" t="s">
        <v>595</v>
      </c>
      <c r="F49" s="184">
        <v>0</v>
      </c>
      <c r="G49" s="191">
        <f>F49/$H$28*1000</f>
        <v>0</v>
      </c>
      <c r="H49" s="184">
        <v>0</v>
      </c>
      <c r="I49" s="192">
        <f>H49*1000/$J$28</f>
        <v>0</v>
      </c>
      <c r="J49" s="178">
        <v>0</v>
      </c>
      <c r="K49" s="180">
        <f t="shared" si="6"/>
        <v>0</v>
      </c>
      <c r="L49" s="180">
        <f t="shared" si="7"/>
        <v>0</v>
      </c>
      <c r="M49" s="180">
        <f t="shared" si="8"/>
        <v>0</v>
      </c>
      <c r="N49" s="110"/>
      <c r="O49" s="110"/>
    </row>
    <row r="50" spans="1:15">
      <c r="A50" s="87"/>
      <c r="B50" s="131">
        <v>6666050309</v>
      </c>
      <c r="C50" s="131" t="s">
        <v>102</v>
      </c>
      <c r="D50" s="131"/>
      <c r="E50" s="131" t="s">
        <v>596</v>
      </c>
      <c r="F50" s="184">
        <v>18.94494</v>
      </c>
      <c r="G50" s="191">
        <f>F50/$H$28*1000</f>
        <v>0.204463127448547</v>
      </c>
      <c r="H50" s="184">
        <v>0</v>
      </c>
      <c r="I50" s="192">
        <f>H50*1000/$J$28</f>
        <v>0</v>
      </c>
      <c r="J50" s="178">
        <v>41.5444</v>
      </c>
      <c r="K50" s="180">
        <f t="shared" si="6"/>
        <v>0.386905826255402</v>
      </c>
      <c r="L50" s="180">
        <f t="shared" si="7"/>
        <v>0.182442698806855</v>
      </c>
      <c r="M50" s="180">
        <f t="shared" si="8"/>
        <v>0.386905826255402</v>
      </c>
      <c r="N50" s="110"/>
      <c r="O50" s="110"/>
    </row>
    <row r="51" spans="1:15">
      <c r="A51" s="87"/>
      <c r="B51" s="131">
        <v>6666050308</v>
      </c>
      <c r="C51" s="131" t="s">
        <v>104</v>
      </c>
      <c r="D51" s="131"/>
      <c r="E51" s="131" t="s">
        <v>597</v>
      </c>
      <c r="F51" s="184">
        <v>13.39109</v>
      </c>
      <c r="G51" s="191">
        <f>F51/$H$28*1000</f>
        <v>0.14452324163312</v>
      </c>
      <c r="H51" s="184">
        <v>62.4610197310306</v>
      </c>
      <c r="I51" s="192">
        <f>H51*1000/$J$28</f>
        <v>0.585367181464899</v>
      </c>
      <c r="J51" s="178">
        <v>12.28569</v>
      </c>
      <c r="K51" s="180">
        <f t="shared" si="6"/>
        <v>0.114417467590523</v>
      </c>
      <c r="L51" s="180">
        <f t="shared" si="7"/>
        <v>-0.030105774042597</v>
      </c>
      <c r="M51" s="180">
        <f t="shared" si="8"/>
        <v>-0.470949713874376</v>
      </c>
      <c r="N51" s="110"/>
      <c r="O51" s="110"/>
    </row>
    <row r="52" spans="1:15">
      <c r="A52" s="87"/>
      <c r="B52" s="131">
        <v>6666050306</v>
      </c>
      <c r="C52" s="131" t="s">
        <v>107</v>
      </c>
      <c r="D52" s="131"/>
      <c r="E52" s="131" t="s">
        <v>598</v>
      </c>
      <c r="F52" s="184">
        <v>1.00536</v>
      </c>
      <c r="G52" s="191">
        <f>F52/$H$28*1000</f>
        <v>0.010850340503146</v>
      </c>
      <c r="H52" s="184">
        <v>0</v>
      </c>
      <c r="I52" s="192">
        <f>H52*1000/$J$28</f>
        <v>0</v>
      </c>
      <c r="J52" s="178">
        <v>0.8987</v>
      </c>
      <c r="K52" s="180">
        <f t="shared" si="6"/>
        <v>0.00836965429891223</v>
      </c>
      <c r="L52" s="180">
        <f t="shared" si="7"/>
        <v>-0.00248068620423378</v>
      </c>
      <c r="M52" s="180">
        <f t="shared" si="8"/>
        <v>0.00836965429891223</v>
      </c>
      <c r="N52" s="110"/>
      <c r="O52" s="110"/>
    </row>
    <row r="53" spans="1:15">
      <c r="A53" s="73"/>
      <c r="B53" s="193" t="s">
        <v>96</v>
      </c>
      <c r="C53" s="193" t="s">
        <v>109</v>
      </c>
      <c r="D53" s="193"/>
      <c r="E53" s="193" t="s">
        <v>599</v>
      </c>
      <c r="F53" s="194">
        <v>33.34139</v>
      </c>
      <c r="G53" s="195">
        <f>SUM(G49:G52)</f>
        <v>0.359836709584813</v>
      </c>
      <c r="H53" s="194">
        <v>62.4610197310306</v>
      </c>
      <c r="I53" s="196">
        <f>SUM(I49:I52)</f>
        <v>0.585367181464899</v>
      </c>
      <c r="J53" s="197">
        <f>SUM(J49:J52)</f>
        <v>54.72879</v>
      </c>
      <c r="K53" s="198">
        <f t="shared" si="6"/>
        <v>0.509692948144837</v>
      </c>
      <c r="L53" s="198">
        <f t="shared" si="7"/>
        <v>0.149856238560024</v>
      </c>
      <c r="M53" s="198">
        <f t="shared" si="8"/>
        <v>-0.0756742333200624</v>
      </c>
      <c r="N53" s="110"/>
      <c r="O53" s="110"/>
    </row>
    <row r="54" spans="1:15">
      <c r="A54" s="158" t="s">
        <v>111</v>
      </c>
      <c r="B54" s="131">
        <v>5102010151</v>
      </c>
      <c r="C54" s="131" t="s">
        <v>112</v>
      </c>
      <c r="D54" s="131"/>
      <c r="E54" s="131" t="s">
        <v>600</v>
      </c>
      <c r="F54" s="184">
        <v>0</v>
      </c>
      <c r="G54" s="191">
        <f t="shared" ref="G54:G108" si="11">F54/$H$28*1000</f>
        <v>0</v>
      </c>
      <c r="H54" s="184">
        <v>0</v>
      </c>
      <c r="I54" s="192">
        <f t="shared" ref="I54:I108" si="12">H54*1000/$J$28</f>
        <v>0</v>
      </c>
      <c r="J54" s="178">
        <v>0</v>
      </c>
      <c r="K54" s="180">
        <f t="shared" si="6"/>
        <v>0</v>
      </c>
      <c r="L54" s="180">
        <f t="shared" si="7"/>
        <v>0</v>
      </c>
      <c r="M54" s="180">
        <f t="shared" si="8"/>
        <v>0</v>
      </c>
      <c r="N54" s="110"/>
      <c r="O54" s="110"/>
    </row>
    <row r="55" spans="1:15">
      <c r="A55" s="87"/>
      <c r="B55" s="131">
        <v>5001010200</v>
      </c>
      <c r="C55" s="131" t="s">
        <v>114</v>
      </c>
      <c r="D55" s="131"/>
      <c r="E55" s="131" t="s">
        <v>601</v>
      </c>
      <c r="F55" s="184">
        <v>2.94096</v>
      </c>
      <c r="G55" s="191">
        <f t="shared" si="11"/>
        <v>0.0317402894546553</v>
      </c>
      <c r="H55" s="184">
        <v>0</v>
      </c>
      <c r="I55" s="192">
        <f t="shared" si="12"/>
        <v>0</v>
      </c>
      <c r="J55" s="178">
        <v>0</v>
      </c>
      <c r="K55" s="180">
        <f t="shared" si="6"/>
        <v>0</v>
      </c>
      <c r="L55" s="180">
        <f t="shared" si="7"/>
        <v>-0.0317402894546553</v>
      </c>
      <c r="M55" s="180">
        <f t="shared" si="8"/>
        <v>0</v>
      </c>
      <c r="N55" s="110"/>
      <c r="O55" s="110"/>
    </row>
    <row r="56" spans="1:15">
      <c r="A56" s="87"/>
      <c r="B56" s="131">
        <v>5001010201</v>
      </c>
      <c r="C56" s="131" t="s">
        <v>116</v>
      </c>
      <c r="D56" s="131"/>
      <c r="E56" s="131" t="s">
        <v>602</v>
      </c>
      <c r="F56" s="184">
        <v>0</v>
      </c>
      <c r="G56" s="191">
        <f t="shared" si="11"/>
        <v>0</v>
      </c>
      <c r="H56" s="184">
        <v>0</v>
      </c>
      <c r="I56" s="192">
        <f t="shared" si="12"/>
        <v>0</v>
      </c>
      <c r="J56" s="178">
        <v>0</v>
      </c>
      <c r="K56" s="180">
        <f t="shared" si="6"/>
        <v>0</v>
      </c>
      <c r="L56" s="180">
        <f t="shared" si="7"/>
        <v>0</v>
      </c>
      <c r="M56" s="180">
        <f t="shared" si="8"/>
        <v>0</v>
      </c>
      <c r="N56" s="110"/>
      <c r="O56" s="110"/>
    </row>
    <row r="57" spans="1:15">
      <c r="A57" s="87"/>
      <c r="B57" s="131">
        <v>5207000011</v>
      </c>
      <c r="C57" s="131" t="s">
        <v>118</v>
      </c>
      <c r="D57" s="131"/>
      <c r="E57" s="131" t="s">
        <v>603</v>
      </c>
      <c r="F57" s="184">
        <v>-4.25402</v>
      </c>
      <c r="G57" s="191">
        <f t="shared" si="11"/>
        <v>-0.0459114799745297</v>
      </c>
      <c r="H57" s="184">
        <v>0</v>
      </c>
      <c r="I57" s="192">
        <f t="shared" si="12"/>
        <v>0</v>
      </c>
      <c r="J57" s="178">
        <v>0</v>
      </c>
      <c r="K57" s="180">
        <f t="shared" si="6"/>
        <v>0</v>
      </c>
      <c r="L57" s="180">
        <f t="shared" si="7"/>
        <v>0.0459114799745297</v>
      </c>
      <c r="M57" s="180">
        <f t="shared" si="8"/>
        <v>0</v>
      </c>
      <c r="N57" s="110"/>
      <c r="O57" s="110"/>
    </row>
    <row r="58" spans="1:15">
      <c r="A58" s="87"/>
      <c r="B58" s="131">
        <v>5207000012</v>
      </c>
      <c r="C58" s="131" t="s">
        <v>120</v>
      </c>
      <c r="D58" s="131"/>
      <c r="E58" s="131" t="s">
        <v>604</v>
      </c>
      <c r="F58" s="184">
        <v>95.99121</v>
      </c>
      <c r="G58" s="191">
        <f t="shared" si="11"/>
        <v>1.03598443722547</v>
      </c>
      <c r="H58" s="184">
        <v>0</v>
      </c>
      <c r="I58" s="192">
        <f t="shared" si="12"/>
        <v>0</v>
      </c>
      <c r="J58" s="178">
        <v>0</v>
      </c>
      <c r="K58" s="180">
        <f t="shared" si="6"/>
        <v>0</v>
      </c>
      <c r="L58" s="180">
        <f t="shared" si="7"/>
        <v>-1.03598443722547</v>
      </c>
      <c r="M58" s="180">
        <f t="shared" si="8"/>
        <v>0</v>
      </c>
      <c r="N58" s="110"/>
      <c r="O58" s="110"/>
    </row>
    <row r="59" spans="1:15">
      <c r="A59" s="87"/>
      <c r="B59" s="131">
        <v>5207000022</v>
      </c>
      <c r="C59" s="131" t="s">
        <v>122</v>
      </c>
      <c r="D59" s="131"/>
      <c r="E59" s="131" t="s">
        <v>605</v>
      </c>
      <c r="F59" s="184">
        <v>0</v>
      </c>
      <c r="G59" s="191">
        <f t="shared" si="11"/>
        <v>0</v>
      </c>
      <c r="H59" s="184">
        <v>0</v>
      </c>
      <c r="I59" s="192">
        <f t="shared" si="12"/>
        <v>0</v>
      </c>
      <c r="J59" s="178">
        <v>0</v>
      </c>
      <c r="K59" s="180">
        <f t="shared" si="6"/>
        <v>0</v>
      </c>
      <c r="L59" s="180">
        <f t="shared" si="7"/>
        <v>0</v>
      </c>
      <c r="M59" s="180">
        <f t="shared" si="8"/>
        <v>0</v>
      </c>
      <c r="N59" s="110"/>
      <c r="O59" s="110"/>
    </row>
    <row r="60" spans="1:15">
      <c r="A60" s="87"/>
      <c r="B60" s="131">
        <v>5301060000</v>
      </c>
      <c r="C60" s="131" t="s">
        <v>124</v>
      </c>
      <c r="D60" s="131"/>
      <c r="E60" s="131" t="s">
        <v>330</v>
      </c>
      <c r="F60" s="184">
        <v>0</v>
      </c>
      <c r="G60" s="191">
        <f t="shared" si="11"/>
        <v>0</v>
      </c>
      <c r="H60" s="184">
        <v>0</v>
      </c>
      <c r="I60" s="192">
        <f t="shared" si="12"/>
        <v>0</v>
      </c>
      <c r="J60" s="178">
        <v>-7.37667</v>
      </c>
      <c r="K60" s="180">
        <f t="shared" si="6"/>
        <v>-0.0686994300402324</v>
      </c>
      <c r="L60" s="180">
        <f t="shared" si="7"/>
        <v>-0.0686994300402324</v>
      </c>
      <c r="M60" s="180">
        <f t="shared" si="8"/>
        <v>-0.0686994300402324</v>
      </c>
      <c r="N60" s="110"/>
      <c r="O60" s="110"/>
    </row>
    <row r="61" spans="1:15">
      <c r="A61" s="87"/>
      <c r="B61" s="131">
        <v>5301999999</v>
      </c>
      <c r="C61" s="131" t="s">
        <v>126</v>
      </c>
      <c r="D61" s="131"/>
      <c r="E61" s="131" t="s">
        <v>606</v>
      </c>
      <c r="F61" s="184">
        <v>0</v>
      </c>
      <c r="G61" s="191">
        <f t="shared" si="11"/>
        <v>0</v>
      </c>
      <c r="H61" s="184">
        <v>0</v>
      </c>
      <c r="I61" s="192">
        <f t="shared" si="12"/>
        <v>0</v>
      </c>
      <c r="J61" s="178">
        <v>-4.57169</v>
      </c>
      <c r="K61" s="180">
        <f t="shared" si="6"/>
        <v>-0.0425764602890776</v>
      </c>
      <c r="L61" s="180">
        <f t="shared" si="7"/>
        <v>-0.0425764602890776</v>
      </c>
      <c r="M61" s="180">
        <f t="shared" si="8"/>
        <v>-0.0425764602890776</v>
      </c>
      <c r="N61" s="110"/>
      <c r="O61" s="110"/>
    </row>
    <row r="62" spans="1:15">
      <c r="A62" s="87"/>
      <c r="B62" s="131">
        <v>5405030000</v>
      </c>
      <c r="C62" s="131" t="s">
        <v>128</v>
      </c>
      <c r="D62" s="131"/>
      <c r="E62" s="131" t="s">
        <v>607</v>
      </c>
      <c r="F62" s="184">
        <v>6.83254</v>
      </c>
      <c r="G62" s="191">
        <f t="shared" si="11"/>
        <v>0.073740138359757</v>
      </c>
      <c r="H62" s="184">
        <v>0</v>
      </c>
      <c r="I62" s="192">
        <f t="shared" si="12"/>
        <v>0</v>
      </c>
      <c r="J62" s="178">
        <v>-9.99999999999091e-6</v>
      </c>
      <c r="K62" s="180">
        <f t="shared" si="6"/>
        <v>-9.31306809714546e-8</v>
      </c>
      <c r="L62" s="180">
        <f t="shared" si="7"/>
        <v>-0.0737402314904379</v>
      </c>
      <c r="M62" s="180">
        <f t="shared" si="8"/>
        <v>-9.31306809714546e-8</v>
      </c>
      <c r="N62" s="110"/>
      <c r="O62" s="110"/>
    </row>
    <row r="63" spans="1:15">
      <c r="A63" s="87"/>
      <c r="B63" s="131">
        <v>5601050000</v>
      </c>
      <c r="C63" s="131" t="s">
        <v>130</v>
      </c>
      <c r="D63" s="131"/>
      <c r="E63" s="131" t="s">
        <v>331</v>
      </c>
      <c r="F63" s="184">
        <v>0</v>
      </c>
      <c r="G63" s="191">
        <f t="shared" si="11"/>
        <v>0</v>
      </c>
      <c r="H63" s="184">
        <v>0</v>
      </c>
      <c r="I63" s="192">
        <f t="shared" si="12"/>
        <v>0</v>
      </c>
      <c r="J63" s="178">
        <v>0</v>
      </c>
      <c r="K63" s="180">
        <f t="shared" si="6"/>
        <v>0</v>
      </c>
      <c r="L63" s="180">
        <f t="shared" si="7"/>
        <v>0</v>
      </c>
      <c r="M63" s="180">
        <f t="shared" si="8"/>
        <v>0</v>
      </c>
      <c r="N63" s="110"/>
      <c r="O63" s="110"/>
    </row>
    <row r="64" spans="1:15">
      <c r="A64" s="87"/>
      <c r="B64" s="131">
        <v>5601050100</v>
      </c>
      <c r="C64" s="131" t="s">
        <v>132</v>
      </c>
      <c r="D64" s="131"/>
      <c r="E64" s="131" t="s">
        <v>332</v>
      </c>
      <c r="F64" s="184">
        <v>0</v>
      </c>
      <c r="G64" s="191">
        <f t="shared" si="11"/>
        <v>0</v>
      </c>
      <c r="H64" s="184">
        <v>0</v>
      </c>
      <c r="I64" s="192">
        <f t="shared" si="12"/>
        <v>0</v>
      </c>
      <c r="J64" s="178">
        <v>0</v>
      </c>
      <c r="K64" s="180">
        <f t="shared" si="6"/>
        <v>0</v>
      </c>
      <c r="L64" s="180">
        <f t="shared" si="7"/>
        <v>0</v>
      </c>
      <c r="M64" s="180">
        <f t="shared" si="8"/>
        <v>0</v>
      </c>
      <c r="N64" s="110"/>
      <c r="O64" s="110"/>
    </row>
    <row r="65" spans="1:15">
      <c r="A65" s="87"/>
      <c r="B65" s="131">
        <v>5102040893</v>
      </c>
      <c r="C65" s="131" t="s">
        <v>134</v>
      </c>
      <c r="D65" s="131"/>
      <c r="E65" s="131" t="s">
        <v>608</v>
      </c>
      <c r="F65" s="184">
        <v>0</v>
      </c>
      <c r="G65" s="191">
        <f t="shared" si="11"/>
        <v>0</v>
      </c>
      <c r="H65" s="184">
        <v>0</v>
      </c>
      <c r="I65" s="192">
        <f t="shared" si="12"/>
        <v>0</v>
      </c>
      <c r="J65" s="178">
        <v>0</v>
      </c>
      <c r="K65" s="180">
        <f t="shared" si="6"/>
        <v>0</v>
      </c>
      <c r="L65" s="180">
        <f t="shared" si="7"/>
        <v>0</v>
      </c>
      <c r="M65" s="180">
        <f t="shared" si="8"/>
        <v>0</v>
      </c>
      <c r="N65" s="110"/>
      <c r="O65" s="110"/>
    </row>
    <row r="66" spans="1:15">
      <c r="A66" s="87"/>
      <c r="B66" s="131">
        <v>5801000041</v>
      </c>
      <c r="C66" s="131" t="s">
        <v>136</v>
      </c>
      <c r="D66" s="131"/>
      <c r="E66" s="131" t="s">
        <v>609</v>
      </c>
      <c r="F66" s="184">
        <v>0</v>
      </c>
      <c r="G66" s="191">
        <f t="shared" si="11"/>
        <v>0</v>
      </c>
      <c r="H66" s="184">
        <v>0</v>
      </c>
      <c r="I66" s="192">
        <f t="shared" si="12"/>
        <v>0</v>
      </c>
      <c r="J66" s="178">
        <v>0</v>
      </c>
      <c r="K66" s="180">
        <f t="shared" si="6"/>
        <v>0</v>
      </c>
      <c r="L66" s="180">
        <f t="shared" si="7"/>
        <v>0</v>
      </c>
      <c r="M66" s="180">
        <f t="shared" si="8"/>
        <v>0</v>
      </c>
      <c r="N66" s="110"/>
      <c r="O66" s="110"/>
    </row>
    <row r="67" spans="1:15">
      <c r="A67" s="87"/>
      <c r="B67" s="131">
        <v>6666010322</v>
      </c>
      <c r="C67" s="131" t="s">
        <v>138</v>
      </c>
      <c r="D67" s="131"/>
      <c r="E67" s="131" t="s">
        <v>328</v>
      </c>
      <c r="F67" s="184">
        <v>-1.36945</v>
      </c>
      <c r="G67" s="191">
        <f t="shared" si="11"/>
        <v>-0.0147797791855985</v>
      </c>
      <c r="H67" s="184">
        <v>3.12084852620537</v>
      </c>
      <c r="I67" s="192">
        <f t="shared" si="12"/>
        <v>0.0292477182317942</v>
      </c>
      <c r="J67" s="178">
        <v>0.75366</v>
      </c>
      <c r="K67" s="180">
        <f t="shared" si="6"/>
        <v>0.00701888690210103</v>
      </c>
      <c r="L67" s="180">
        <f t="shared" si="7"/>
        <v>0.0217986660876995</v>
      </c>
      <c r="M67" s="180">
        <f t="shared" si="8"/>
        <v>-0.0222288313296932</v>
      </c>
      <c r="N67" s="110"/>
      <c r="O67" s="110"/>
    </row>
    <row r="68" spans="1:15">
      <c r="A68" s="87"/>
      <c r="B68" s="131">
        <v>6666020101</v>
      </c>
      <c r="C68" s="131" t="s">
        <v>140</v>
      </c>
      <c r="D68" s="131"/>
      <c r="E68" s="131" t="s">
        <v>335</v>
      </c>
      <c r="F68" s="184">
        <v>0.92708</v>
      </c>
      <c r="G68" s="191">
        <f t="shared" si="11"/>
        <v>0.0100055041712984</v>
      </c>
      <c r="H68" s="184">
        <v>7.56903271107558</v>
      </c>
      <c r="I68" s="192">
        <f t="shared" si="12"/>
        <v>0.07093485446727</v>
      </c>
      <c r="J68" s="178">
        <v>1.05206</v>
      </c>
      <c r="K68" s="180">
        <f t="shared" si="6"/>
        <v>0.00979790642229176</v>
      </c>
      <c r="L68" s="180">
        <f t="shared" si="7"/>
        <v>-0.000207597749006685</v>
      </c>
      <c r="M68" s="180">
        <f t="shared" si="8"/>
        <v>-0.0611369480449783</v>
      </c>
      <c r="N68" s="110"/>
      <c r="O68" s="110"/>
    </row>
    <row r="69" spans="1:15">
      <c r="A69" s="87"/>
      <c r="B69" s="131">
        <v>6666020201</v>
      </c>
      <c r="C69" s="131" t="s">
        <v>143</v>
      </c>
      <c r="D69" s="131"/>
      <c r="E69" s="131" t="s">
        <v>610</v>
      </c>
      <c r="F69" s="184">
        <v>0</v>
      </c>
      <c r="G69" s="191">
        <f t="shared" si="11"/>
        <v>0</v>
      </c>
      <c r="H69" s="184">
        <v>0</v>
      </c>
      <c r="I69" s="192">
        <f t="shared" si="12"/>
        <v>0</v>
      </c>
      <c r="J69" s="178">
        <v>0.17092</v>
      </c>
      <c r="K69" s="180">
        <f t="shared" si="6"/>
        <v>0.00159178959916555</v>
      </c>
      <c r="L69" s="180">
        <f t="shared" si="7"/>
        <v>0.00159178959916555</v>
      </c>
      <c r="M69" s="180">
        <f t="shared" si="8"/>
        <v>0.00159178959916555</v>
      </c>
      <c r="N69" s="110"/>
      <c r="O69" s="110"/>
    </row>
    <row r="70" spans="1:15">
      <c r="A70" s="87"/>
      <c r="B70" s="131">
        <v>6666020202</v>
      </c>
      <c r="C70" s="131" t="s">
        <v>146</v>
      </c>
      <c r="D70" s="131"/>
      <c r="E70" s="131" t="s">
        <v>611</v>
      </c>
      <c r="F70" s="184">
        <v>0</v>
      </c>
      <c r="G70" s="191">
        <f t="shared" si="11"/>
        <v>0</v>
      </c>
      <c r="H70" s="184">
        <v>0</v>
      </c>
      <c r="I70" s="192">
        <f t="shared" si="12"/>
        <v>0</v>
      </c>
      <c r="J70" s="178">
        <v>0</v>
      </c>
      <c r="K70" s="180">
        <f t="shared" si="6"/>
        <v>0</v>
      </c>
      <c r="L70" s="180">
        <f t="shared" si="7"/>
        <v>0</v>
      </c>
      <c r="M70" s="180">
        <f t="shared" si="8"/>
        <v>0</v>
      </c>
      <c r="N70" s="110"/>
      <c r="O70" s="110"/>
    </row>
    <row r="71" spans="1:15">
      <c r="A71" s="87"/>
      <c r="B71" s="131">
        <v>6666020204</v>
      </c>
      <c r="C71" s="131" t="s">
        <v>148</v>
      </c>
      <c r="D71" s="131"/>
      <c r="E71" s="131" t="s">
        <v>612</v>
      </c>
      <c r="F71" s="184">
        <v>0.01625</v>
      </c>
      <c r="G71" s="191">
        <f t="shared" si="11"/>
        <v>0.00017537800705829</v>
      </c>
      <c r="H71" s="184">
        <v>3.68020350116821</v>
      </c>
      <c r="I71" s="192">
        <f t="shared" si="12"/>
        <v>0.0344898363807187</v>
      </c>
      <c r="J71" s="178">
        <v>1.49391</v>
      </c>
      <c r="K71" s="180">
        <f t="shared" si="6"/>
        <v>0.0139128855610192</v>
      </c>
      <c r="L71" s="180">
        <f t="shared" si="7"/>
        <v>0.0137375075539609</v>
      </c>
      <c r="M71" s="180">
        <f t="shared" si="8"/>
        <v>-0.0205769508196995</v>
      </c>
      <c r="N71" s="110"/>
      <c r="O71" s="110"/>
    </row>
    <row r="72" spans="1:15">
      <c r="A72" s="87"/>
      <c r="B72" s="131">
        <v>6666020205</v>
      </c>
      <c r="C72" s="131" t="s">
        <v>150</v>
      </c>
      <c r="D72" s="131"/>
      <c r="E72" s="131" t="s">
        <v>613</v>
      </c>
      <c r="F72" s="184">
        <v>0</v>
      </c>
      <c r="G72" s="191">
        <f t="shared" si="11"/>
        <v>0</v>
      </c>
      <c r="H72" s="184">
        <v>0</v>
      </c>
      <c r="I72" s="192">
        <f t="shared" si="12"/>
        <v>0</v>
      </c>
      <c r="J72" s="178">
        <v>0</v>
      </c>
      <c r="K72" s="180">
        <f t="shared" si="6"/>
        <v>0</v>
      </c>
      <c r="L72" s="180">
        <f t="shared" si="7"/>
        <v>0</v>
      </c>
      <c r="M72" s="180">
        <f t="shared" si="8"/>
        <v>0</v>
      </c>
      <c r="N72" s="110"/>
      <c r="O72" s="110"/>
    </row>
    <row r="73" spans="1:15">
      <c r="A73" s="87"/>
      <c r="B73" s="131">
        <v>6666020301</v>
      </c>
      <c r="C73" s="131" t="s">
        <v>152</v>
      </c>
      <c r="D73" s="131"/>
      <c r="E73" s="131" t="s">
        <v>614</v>
      </c>
      <c r="F73" s="184">
        <v>0</v>
      </c>
      <c r="G73" s="191">
        <f t="shared" si="11"/>
        <v>0</v>
      </c>
      <c r="H73" s="184">
        <v>0</v>
      </c>
      <c r="I73" s="192">
        <f t="shared" si="12"/>
        <v>0</v>
      </c>
      <c r="J73" s="178">
        <v>0.09345</v>
      </c>
      <c r="K73" s="180">
        <f t="shared" si="6"/>
        <v>0.000870306213679034</v>
      </c>
      <c r="L73" s="180">
        <f t="shared" si="7"/>
        <v>0.000870306213679034</v>
      </c>
      <c r="M73" s="180">
        <f t="shared" si="8"/>
        <v>0.000870306213679034</v>
      </c>
      <c r="N73" s="110"/>
      <c r="O73" s="110"/>
    </row>
    <row r="74" spans="1:15">
      <c r="A74" s="87"/>
      <c r="B74" s="131">
        <v>6666020302</v>
      </c>
      <c r="C74" s="131" t="s">
        <v>154</v>
      </c>
      <c r="D74" s="131"/>
      <c r="E74" s="131" t="s">
        <v>615</v>
      </c>
      <c r="F74" s="184">
        <v>0</v>
      </c>
      <c r="G74" s="191">
        <f t="shared" si="11"/>
        <v>0</v>
      </c>
      <c r="H74" s="184">
        <v>1.18525046260307</v>
      </c>
      <c r="I74" s="192">
        <f t="shared" si="12"/>
        <v>0.0111078353445332</v>
      </c>
      <c r="J74" s="178">
        <v>-0.09788</v>
      </c>
      <c r="K74" s="180">
        <f t="shared" si="6"/>
        <v>-0.000911563105349426</v>
      </c>
      <c r="L74" s="180">
        <f t="shared" si="7"/>
        <v>-0.000911563105349426</v>
      </c>
      <c r="M74" s="180">
        <f t="shared" si="8"/>
        <v>-0.0120193984498826</v>
      </c>
      <c r="N74" s="110"/>
      <c r="O74" s="110"/>
    </row>
    <row r="75" spans="1:15">
      <c r="A75" s="87"/>
      <c r="B75" s="131" t="s">
        <v>156</v>
      </c>
      <c r="C75" s="131" t="s">
        <v>157</v>
      </c>
      <c r="D75" s="131"/>
      <c r="E75" s="131" t="s">
        <v>343</v>
      </c>
      <c r="F75" s="184">
        <v>0</v>
      </c>
      <c r="G75" s="191">
        <f t="shared" si="11"/>
        <v>0</v>
      </c>
      <c r="H75" s="184">
        <v>0</v>
      </c>
      <c r="I75" s="192">
        <f t="shared" si="12"/>
        <v>0</v>
      </c>
      <c r="J75" s="178">
        <v>0</v>
      </c>
      <c r="K75" s="180">
        <f t="shared" si="6"/>
        <v>0</v>
      </c>
      <c r="L75" s="180">
        <f t="shared" si="7"/>
        <v>0</v>
      </c>
      <c r="M75" s="180">
        <f t="shared" si="8"/>
        <v>0</v>
      </c>
      <c r="N75" s="110"/>
      <c r="O75" s="110"/>
    </row>
    <row r="76" spans="1:15">
      <c r="A76" s="87"/>
      <c r="B76" s="131">
        <v>6666020405</v>
      </c>
      <c r="C76" s="131" t="s">
        <v>159</v>
      </c>
      <c r="D76" s="131"/>
      <c r="E76" s="131" t="s">
        <v>616</v>
      </c>
      <c r="F76" s="184">
        <v>0</v>
      </c>
      <c r="G76" s="191">
        <f t="shared" si="11"/>
        <v>0</v>
      </c>
      <c r="H76" s="184">
        <v>0</v>
      </c>
      <c r="I76" s="192">
        <f t="shared" si="12"/>
        <v>0</v>
      </c>
      <c r="J76" s="178">
        <v>0</v>
      </c>
      <c r="K76" s="180">
        <f t="shared" si="6"/>
        <v>0</v>
      </c>
      <c r="L76" s="180">
        <f t="shared" si="7"/>
        <v>0</v>
      </c>
      <c r="M76" s="180">
        <f t="shared" si="8"/>
        <v>0</v>
      </c>
      <c r="N76" s="110"/>
      <c r="O76" s="110"/>
    </row>
    <row r="77" spans="1:15">
      <c r="A77" s="87"/>
      <c r="B77" s="131">
        <v>6666020495</v>
      </c>
      <c r="C77" s="131" t="s">
        <v>161</v>
      </c>
      <c r="D77" s="131"/>
      <c r="E77" s="131" t="s">
        <v>617</v>
      </c>
      <c r="F77" s="184">
        <v>0.36614</v>
      </c>
      <c r="G77" s="191">
        <f t="shared" si="11"/>
        <v>0.00395156329257369</v>
      </c>
      <c r="H77" s="184">
        <v>0</v>
      </c>
      <c r="I77" s="192">
        <f t="shared" si="12"/>
        <v>0</v>
      </c>
      <c r="J77" s="178">
        <v>0.48269</v>
      </c>
      <c r="K77" s="180">
        <f t="shared" si="6"/>
        <v>0.00449532483981523</v>
      </c>
      <c r="L77" s="180">
        <f t="shared" si="7"/>
        <v>0.000543761547241543</v>
      </c>
      <c r="M77" s="180">
        <f t="shared" si="8"/>
        <v>0.00449532483981523</v>
      </c>
      <c r="N77" s="110"/>
      <c r="O77" s="110"/>
    </row>
    <row r="78" spans="1:15">
      <c r="A78" s="87"/>
      <c r="B78" s="131">
        <v>6666020504</v>
      </c>
      <c r="C78" s="131" t="s">
        <v>163</v>
      </c>
      <c r="D78" s="131"/>
      <c r="E78" s="131" t="s">
        <v>344</v>
      </c>
      <c r="F78" s="184">
        <v>0</v>
      </c>
      <c r="G78" s="191">
        <f t="shared" si="11"/>
        <v>0</v>
      </c>
      <c r="H78" s="184">
        <v>0</v>
      </c>
      <c r="I78" s="192">
        <f t="shared" si="12"/>
        <v>0</v>
      </c>
      <c r="J78" s="178">
        <v>0</v>
      </c>
      <c r="K78" s="180">
        <f t="shared" si="6"/>
        <v>0</v>
      </c>
      <c r="L78" s="180">
        <f t="shared" si="7"/>
        <v>0</v>
      </c>
      <c r="M78" s="180">
        <f t="shared" si="8"/>
        <v>0</v>
      </c>
      <c r="N78" s="110"/>
      <c r="O78" s="110"/>
    </row>
    <row r="79" spans="1:15">
      <c r="A79" s="87"/>
      <c r="B79" s="131">
        <v>6666020508</v>
      </c>
      <c r="C79" s="131" t="s">
        <v>165</v>
      </c>
      <c r="D79" s="131"/>
      <c r="E79" s="131" t="s">
        <v>345</v>
      </c>
      <c r="F79" s="184">
        <v>0</v>
      </c>
      <c r="G79" s="191">
        <f t="shared" si="11"/>
        <v>0</v>
      </c>
      <c r="H79" s="184">
        <v>0</v>
      </c>
      <c r="I79" s="192">
        <f t="shared" si="12"/>
        <v>0</v>
      </c>
      <c r="J79" s="178">
        <v>-4e-5</v>
      </c>
      <c r="K79" s="180">
        <f t="shared" si="6"/>
        <v>-3.72522723886157e-7</v>
      </c>
      <c r="L79" s="180">
        <f t="shared" si="7"/>
        <v>-3.72522723886157e-7</v>
      </c>
      <c r="M79" s="180">
        <f t="shared" si="8"/>
        <v>-3.72522723886157e-7</v>
      </c>
      <c r="N79" s="110"/>
      <c r="O79" s="110"/>
    </row>
    <row r="80" spans="1:15">
      <c r="A80" s="87"/>
      <c r="B80" s="131">
        <v>6666020602</v>
      </c>
      <c r="C80" s="131" t="s">
        <v>167</v>
      </c>
      <c r="D80" s="131"/>
      <c r="E80" s="131" t="s">
        <v>618</v>
      </c>
      <c r="F80" s="184">
        <v>0.42307</v>
      </c>
      <c r="G80" s="191">
        <f t="shared" si="11"/>
        <v>0.00456597990437851</v>
      </c>
      <c r="H80" s="184">
        <v>0.387851134552225</v>
      </c>
      <c r="I80" s="192">
        <f t="shared" si="12"/>
        <v>0.0036348321951588</v>
      </c>
      <c r="J80" s="178">
        <v>0</v>
      </c>
      <c r="K80" s="180">
        <f t="shared" si="6"/>
        <v>0</v>
      </c>
      <c r="L80" s="180">
        <f t="shared" si="7"/>
        <v>-0.00456597990437851</v>
      </c>
      <c r="M80" s="180">
        <f t="shared" si="8"/>
        <v>-0.0036348321951588</v>
      </c>
      <c r="N80" s="110"/>
      <c r="O80" s="110"/>
    </row>
    <row r="81" spans="1:15">
      <c r="A81" s="87"/>
      <c r="B81" s="131">
        <v>6666020701</v>
      </c>
      <c r="C81" s="131" t="s">
        <v>170</v>
      </c>
      <c r="D81" s="131"/>
      <c r="E81" s="131" t="s">
        <v>348</v>
      </c>
      <c r="F81" s="184">
        <v>0</v>
      </c>
      <c r="G81" s="191">
        <f t="shared" si="11"/>
        <v>0</v>
      </c>
      <c r="H81" s="184">
        <v>0</v>
      </c>
      <c r="I81" s="192">
        <f t="shared" si="12"/>
        <v>0</v>
      </c>
      <c r="J81" s="178">
        <v>0</v>
      </c>
      <c r="K81" s="180">
        <f t="shared" si="6"/>
        <v>0</v>
      </c>
      <c r="L81" s="180">
        <f t="shared" si="7"/>
        <v>0</v>
      </c>
      <c r="M81" s="180">
        <f t="shared" si="8"/>
        <v>0</v>
      </c>
      <c r="N81" s="110"/>
      <c r="O81" s="110"/>
    </row>
    <row r="82" spans="1:15">
      <c r="A82" s="87"/>
      <c r="B82" s="131">
        <v>6666020802</v>
      </c>
      <c r="C82" s="131" t="s">
        <v>172</v>
      </c>
      <c r="D82" s="131"/>
      <c r="E82" s="131" t="s">
        <v>619</v>
      </c>
      <c r="F82" s="184">
        <v>23.481</v>
      </c>
      <c r="G82" s="191">
        <f t="shared" si="11"/>
        <v>0.253418522076044</v>
      </c>
      <c r="H82" s="184">
        <v>20.409</v>
      </c>
      <c r="I82" s="192">
        <f t="shared" si="12"/>
        <v>0.19126743139901</v>
      </c>
      <c r="J82" s="178">
        <v>20.409</v>
      </c>
      <c r="K82" s="180">
        <f t="shared" si="6"/>
        <v>0.190070406794814</v>
      </c>
      <c r="L82" s="180">
        <f t="shared" si="7"/>
        <v>-0.0633481152812294</v>
      </c>
      <c r="M82" s="180">
        <f t="shared" si="8"/>
        <v>-0.00119702460419585</v>
      </c>
      <c r="N82" s="110"/>
      <c r="O82" s="110"/>
    </row>
    <row r="83" spans="1:15">
      <c r="A83" s="87"/>
      <c r="B83" s="131">
        <v>6666020803</v>
      </c>
      <c r="C83" s="131" t="s">
        <v>174</v>
      </c>
      <c r="D83" s="131"/>
      <c r="E83" s="131" t="s">
        <v>620</v>
      </c>
      <c r="F83" s="184">
        <v>8.98448</v>
      </c>
      <c r="G83" s="191">
        <f t="shared" si="11"/>
        <v>0.0969649351910811</v>
      </c>
      <c r="H83" s="184">
        <v>3.33454376519196</v>
      </c>
      <c r="I83" s="192">
        <f t="shared" si="12"/>
        <v>0.0312504101551203</v>
      </c>
      <c r="J83" s="178">
        <v>4.19036</v>
      </c>
      <c r="K83" s="180">
        <f t="shared" si="6"/>
        <v>0.0390251080315899</v>
      </c>
      <c r="L83" s="180">
        <f t="shared" si="7"/>
        <v>-0.0579398271594912</v>
      </c>
      <c r="M83" s="180">
        <f t="shared" si="8"/>
        <v>0.00777469787646959</v>
      </c>
      <c r="N83" s="110"/>
      <c r="O83" s="110"/>
    </row>
    <row r="84" spans="1:15">
      <c r="A84" s="87"/>
      <c r="B84" s="131">
        <v>6666021100</v>
      </c>
      <c r="C84" s="131" t="s">
        <v>176</v>
      </c>
      <c r="D84" s="131"/>
      <c r="E84" s="131" t="s">
        <v>352</v>
      </c>
      <c r="F84" s="184">
        <v>9.52529</v>
      </c>
      <c r="G84" s="191">
        <f t="shared" si="11"/>
        <v>0.102801623190908</v>
      </c>
      <c r="H84" s="184">
        <v>17.0327574190254</v>
      </c>
      <c r="I84" s="192">
        <f t="shared" si="12"/>
        <v>0.159626231622295</v>
      </c>
      <c r="J84" s="178">
        <v>22.21719</v>
      </c>
      <c r="K84" s="180">
        <f t="shared" si="6"/>
        <v>0.206910203397407</v>
      </c>
      <c r="L84" s="180">
        <f t="shared" si="7"/>
        <v>0.104108580206499</v>
      </c>
      <c r="M84" s="180">
        <f t="shared" si="8"/>
        <v>0.0472839717751119</v>
      </c>
      <c r="N84" s="110"/>
      <c r="O84" s="110"/>
    </row>
    <row r="85" spans="1:15">
      <c r="A85" s="87"/>
      <c r="B85" s="131">
        <v>6666021104</v>
      </c>
      <c r="C85" s="131" t="s">
        <v>178</v>
      </c>
      <c r="D85" s="131"/>
      <c r="E85" s="131" t="s">
        <v>355</v>
      </c>
      <c r="F85" s="184">
        <v>0</v>
      </c>
      <c r="G85" s="191">
        <f t="shared" si="11"/>
        <v>0</v>
      </c>
      <c r="H85" s="184">
        <v>0</v>
      </c>
      <c r="I85" s="192">
        <f t="shared" si="12"/>
        <v>0</v>
      </c>
      <c r="J85" s="178">
        <v>0</v>
      </c>
      <c r="K85" s="180">
        <f t="shared" si="6"/>
        <v>0</v>
      </c>
      <c r="L85" s="180">
        <f t="shared" si="7"/>
        <v>0</v>
      </c>
      <c r="M85" s="180">
        <f t="shared" si="8"/>
        <v>0</v>
      </c>
      <c r="N85" s="110"/>
      <c r="O85" s="110"/>
    </row>
    <row r="86" spans="1:15">
      <c r="A86" s="87"/>
      <c r="B86" s="131">
        <v>6666021902</v>
      </c>
      <c r="C86" s="131" t="s">
        <v>180</v>
      </c>
      <c r="D86" s="131"/>
      <c r="E86" s="131" t="s">
        <v>360</v>
      </c>
      <c r="F86" s="184">
        <v>16.9796</v>
      </c>
      <c r="G86" s="191">
        <f t="shared" si="11"/>
        <v>0.183252209762889</v>
      </c>
      <c r="H86" s="184">
        <v>10.4804981399139</v>
      </c>
      <c r="I86" s="192">
        <f t="shared" si="12"/>
        <v>0.0982202929591571</v>
      </c>
      <c r="J86" s="178">
        <v>4.73683</v>
      </c>
      <c r="K86" s="180">
        <f t="shared" si="6"/>
        <v>0.0441144203546416</v>
      </c>
      <c r="L86" s="180">
        <f t="shared" si="7"/>
        <v>-0.139137789408247</v>
      </c>
      <c r="M86" s="180">
        <f t="shared" si="8"/>
        <v>-0.0541058726045155</v>
      </c>
      <c r="N86" s="110"/>
      <c r="O86" s="110"/>
    </row>
    <row r="87" spans="1:15">
      <c r="A87" s="87"/>
      <c r="B87" s="131">
        <v>6666022100</v>
      </c>
      <c r="C87" s="131" t="s">
        <v>182</v>
      </c>
      <c r="D87" s="131"/>
      <c r="E87" s="131" t="s">
        <v>361</v>
      </c>
      <c r="F87" s="184">
        <v>13.05481</v>
      </c>
      <c r="G87" s="191">
        <f t="shared" si="11"/>
        <v>0.140893942173824</v>
      </c>
      <c r="H87" s="184">
        <v>13.2582118117733</v>
      </c>
      <c r="I87" s="192">
        <f t="shared" si="12"/>
        <v>0.124252247448768</v>
      </c>
      <c r="J87" s="178">
        <v>13.94601</v>
      </c>
      <c r="K87" s="180">
        <f t="shared" si="6"/>
        <v>0.12988014081359</v>
      </c>
      <c r="L87" s="180">
        <f t="shared" si="7"/>
        <v>-0.0110138013602343</v>
      </c>
      <c r="M87" s="180">
        <f t="shared" si="8"/>
        <v>0.00562789336482199</v>
      </c>
      <c r="N87" s="110"/>
      <c r="O87" s="110"/>
    </row>
    <row r="88" spans="1:15">
      <c r="A88" s="87"/>
      <c r="B88" s="131">
        <v>6666022300</v>
      </c>
      <c r="C88" s="131" t="s">
        <v>184</v>
      </c>
      <c r="D88" s="131"/>
      <c r="E88" s="131" t="s">
        <v>362</v>
      </c>
      <c r="F88" s="184">
        <v>0</v>
      </c>
      <c r="G88" s="191">
        <f t="shared" si="11"/>
        <v>0</v>
      </c>
      <c r="H88" s="184">
        <v>0</v>
      </c>
      <c r="I88" s="192">
        <f t="shared" si="12"/>
        <v>0</v>
      </c>
      <c r="J88" s="178">
        <v>0</v>
      </c>
      <c r="K88" s="180">
        <f t="shared" si="6"/>
        <v>0</v>
      </c>
      <c r="L88" s="180">
        <f t="shared" si="7"/>
        <v>0</v>
      </c>
      <c r="M88" s="180">
        <f t="shared" si="8"/>
        <v>0</v>
      </c>
      <c r="N88" s="110"/>
      <c r="O88" s="110"/>
    </row>
    <row r="89" spans="1:15">
      <c r="A89" s="87"/>
      <c r="B89" s="131">
        <v>6666029700</v>
      </c>
      <c r="C89" s="131" t="s">
        <v>186</v>
      </c>
      <c r="D89" s="131"/>
      <c r="E89" s="131" t="s">
        <v>621</v>
      </c>
      <c r="F89" s="184">
        <v>0</v>
      </c>
      <c r="G89" s="191">
        <f t="shared" si="11"/>
        <v>0</v>
      </c>
      <c r="H89" s="184">
        <v>0</v>
      </c>
      <c r="I89" s="192">
        <f t="shared" si="12"/>
        <v>0</v>
      </c>
      <c r="J89" s="178">
        <v>0</v>
      </c>
      <c r="K89" s="180">
        <f t="shared" si="6"/>
        <v>0</v>
      </c>
      <c r="L89" s="180">
        <f t="shared" si="7"/>
        <v>0</v>
      </c>
      <c r="M89" s="180">
        <f t="shared" si="8"/>
        <v>0</v>
      </c>
      <c r="N89" s="110"/>
      <c r="O89" s="110"/>
    </row>
    <row r="90" spans="1:15">
      <c r="A90" s="87"/>
      <c r="B90" s="131">
        <v>6666029900</v>
      </c>
      <c r="C90" s="131" t="s">
        <v>188</v>
      </c>
      <c r="D90" s="131"/>
      <c r="E90" s="131" t="s">
        <v>363</v>
      </c>
      <c r="F90" s="184">
        <v>0</v>
      </c>
      <c r="G90" s="191">
        <f t="shared" si="11"/>
        <v>0</v>
      </c>
      <c r="H90" s="184">
        <v>0</v>
      </c>
      <c r="I90" s="192">
        <f t="shared" si="12"/>
        <v>0</v>
      </c>
      <c r="J90" s="178">
        <v>0</v>
      </c>
      <c r="K90" s="180">
        <f t="shared" si="6"/>
        <v>0</v>
      </c>
      <c r="L90" s="180">
        <f t="shared" si="7"/>
        <v>0</v>
      </c>
      <c r="M90" s="180">
        <f t="shared" si="8"/>
        <v>0</v>
      </c>
      <c r="N90" s="110"/>
      <c r="O90" s="110"/>
    </row>
    <row r="91" spans="1:15">
      <c r="A91" s="87"/>
      <c r="B91" s="131">
        <v>6666029996</v>
      </c>
      <c r="C91" s="131" t="s">
        <v>190</v>
      </c>
      <c r="D91" s="131"/>
      <c r="E91" s="131" t="s">
        <v>622</v>
      </c>
      <c r="F91" s="184">
        <v>0.00275</v>
      </c>
      <c r="G91" s="191">
        <f t="shared" si="11"/>
        <v>2.96793550406337e-5</v>
      </c>
      <c r="H91" s="184">
        <v>0</v>
      </c>
      <c r="I91" s="192">
        <f t="shared" si="12"/>
        <v>0</v>
      </c>
      <c r="J91" s="178">
        <v>0.0637</v>
      </c>
      <c r="K91" s="180">
        <f t="shared" si="6"/>
        <v>0.000593242437788705</v>
      </c>
      <c r="L91" s="180">
        <f t="shared" si="7"/>
        <v>0.000563563082748072</v>
      </c>
      <c r="M91" s="180">
        <f t="shared" si="8"/>
        <v>0.000593242437788705</v>
      </c>
      <c r="N91" s="110"/>
      <c r="O91" s="110"/>
    </row>
    <row r="92" spans="1:15">
      <c r="A92" s="87"/>
      <c r="B92" s="131">
        <v>6666029997</v>
      </c>
      <c r="C92" s="131" t="s">
        <v>191</v>
      </c>
      <c r="D92" s="131"/>
      <c r="E92" s="131" t="s">
        <v>364</v>
      </c>
      <c r="F92" s="184">
        <v>0</v>
      </c>
      <c r="G92" s="191">
        <f t="shared" si="11"/>
        <v>0</v>
      </c>
      <c r="H92" s="184">
        <v>0</v>
      </c>
      <c r="I92" s="192">
        <f t="shared" si="12"/>
        <v>0</v>
      </c>
      <c r="J92" s="178">
        <v>0</v>
      </c>
      <c r="K92" s="180">
        <f t="shared" si="6"/>
        <v>0</v>
      </c>
      <c r="L92" s="180">
        <f t="shared" si="7"/>
        <v>0</v>
      </c>
      <c r="M92" s="180">
        <f t="shared" si="8"/>
        <v>0</v>
      </c>
      <c r="N92" s="110"/>
      <c r="O92" s="110"/>
    </row>
    <row r="93" spans="1:15">
      <c r="A93" s="87"/>
      <c r="B93" s="131">
        <v>6666030702</v>
      </c>
      <c r="C93" s="131" t="s">
        <v>193</v>
      </c>
      <c r="D93" s="131"/>
      <c r="E93" s="131" t="s">
        <v>623</v>
      </c>
      <c r="F93" s="184">
        <v>0</v>
      </c>
      <c r="G93" s="191">
        <f t="shared" si="11"/>
        <v>0</v>
      </c>
      <c r="H93" s="184">
        <v>0</v>
      </c>
      <c r="I93" s="192">
        <f t="shared" si="12"/>
        <v>0</v>
      </c>
      <c r="J93" s="178">
        <v>0</v>
      </c>
      <c r="K93" s="180">
        <f t="shared" si="6"/>
        <v>0</v>
      </c>
      <c r="L93" s="180">
        <f t="shared" si="7"/>
        <v>0</v>
      </c>
      <c r="M93" s="180">
        <f t="shared" si="8"/>
        <v>0</v>
      </c>
      <c r="N93" s="110"/>
      <c r="O93" s="110"/>
    </row>
    <row r="94" spans="1:15">
      <c r="A94" s="87"/>
      <c r="B94" s="131">
        <v>6666031200</v>
      </c>
      <c r="C94" s="131" t="s">
        <v>195</v>
      </c>
      <c r="D94" s="131"/>
      <c r="E94" s="131" t="s">
        <v>624</v>
      </c>
      <c r="F94" s="184">
        <v>0</v>
      </c>
      <c r="G94" s="191">
        <f t="shared" si="11"/>
        <v>0</v>
      </c>
      <c r="H94" s="184">
        <v>0</v>
      </c>
      <c r="I94" s="192">
        <f t="shared" si="12"/>
        <v>0</v>
      </c>
      <c r="J94" s="178">
        <v>0</v>
      </c>
      <c r="K94" s="180">
        <f t="shared" ref="K94:K157" si="13">J94*1000/$L$28</f>
        <v>0</v>
      </c>
      <c r="L94" s="180">
        <f t="shared" ref="L94:L157" si="14">K94-G94</f>
        <v>0</v>
      </c>
      <c r="M94" s="180">
        <f t="shared" ref="M94:M157" si="15">K94-I94</f>
        <v>0</v>
      </c>
      <c r="N94" s="110"/>
      <c r="O94" s="110"/>
    </row>
    <row r="95" spans="1:15">
      <c r="A95" s="87"/>
      <c r="B95" s="131">
        <v>6666050107</v>
      </c>
      <c r="C95" s="131" t="s">
        <v>197</v>
      </c>
      <c r="D95" s="131"/>
      <c r="E95" s="131" t="s">
        <v>367</v>
      </c>
      <c r="F95" s="184">
        <v>0.01173</v>
      </c>
      <c r="G95" s="191">
        <f t="shared" si="11"/>
        <v>0.00012659593986423</v>
      </c>
      <c r="H95" s="184">
        <v>0</v>
      </c>
      <c r="I95" s="192">
        <f t="shared" si="12"/>
        <v>0</v>
      </c>
      <c r="J95" s="178">
        <v>0</v>
      </c>
      <c r="K95" s="180">
        <f t="shared" si="13"/>
        <v>0</v>
      </c>
      <c r="L95" s="180">
        <f t="shared" si="14"/>
        <v>-0.00012659593986423</v>
      </c>
      <c r="M95" s="180">
        <f t="shared" si="15"/>
        <v>0</v>
      </c>
      <c r="N95" s="110"/>
      <c r="O95" s="110"/>
    </row>
    <row r="96" spans="1:15">
      <c r="A96" s="87"/>
      <c r="B96" s="131">
        <v>6666070100</v>
      </c>
      <c r="C96" s="131" t="s">
        <v>199</v>
      </c>
      <c r="D96" s="131"/>
      <c r="E96" s="131" t="s">
        <v>625</v>
      </c>
      <c r="F96" s="184">
        <v>0.17233</v>
      </c>
      <c r="G96" s="191">
        <f t="shared" si="11"/>
        <v>0.00185987027423724</v>
      </c>
      <c r="H96" s="184">
        <v>0</v>
      </c>
      <c r="I96" s="192">
        <f t="shared" si="12"/>
        <v>0</v>
      </c>
      <c r="J96" s="178">
        <v>0</v>
      </c>
      <c r="K96" s="180">
        <f t="shared" si="13"/>
        <v>0</v>
      </c>
      <c r="L96" s="180">
        <f t="shared" si="14"/>
        <v>-0.00185987027423724</v>
      </c>
      <c r="M96" s="180">
        <f t="shared" si="15"/>
        <v>0</v>
      </c>
      <c r="N96" s="110"/>
      <c r="O96" s="110"/>
    </row>
    <row r="97" spans="1:15">
      <c r="A97" s="87"/>
      <c r="B97" s="131">
        <v>6666070300</v>
      </c>
      <c r="C97" s="131" t="s">
        <v>201</v>
      </c>
      <c r="D97" s="131"/>
      <c r="E97" s="131" t="s">
        <v>626</v>
      </c>
      <c r="F97" s="184">
        <v>0</v>
      </c>
      <c r="G97" s="191">
        <f t="shared" si="11"/>
        <v>0</v>
      </c>
      <c r="H97" s="184">
        <v>0</v>
      </c>
      <c r="I97" s="192">
        <f t="shared" si="12"/>
        <v>0</v>
      </c>
      <c r="J97" s="178">
        <v>0</v>
      </c>
      <c r="K97" s="180">
        <f t="shared" si="13"/>
        <v>0</v>
      </c>
      <c r="L97" s="180">
        <f t="shared" si="14"/>
        <v>0</v>
      </c>
      <c r="M97" s="180">
        <f t="shared" si="15"/>
        <v>0</v>
      </c>
      <c r="N97" s="110"/>
      <c r="O97" s="110"/>
    </row>
    <row r="98" spans="1:15">
      <c r="A98" s="87"/>
      <c r="B98" s="131">
        <v>6666070400</v>
      </c>
      <c r="C98" s="131" t="s">
        <v>203</v>
      </c>
      <c r="D98" s="131"/>
      <c r="E98" s="131" t="s">
        <v>627</v>
      </c>
      <c r="F98" s="184">
        <v>12.86308</v>
      </c>
      <c r="G98" s="191">
        <f t="shared" si="11"/>
        <v>0.138824697540391</v>
      </c>
      <c r="H98" s="184">
        <v>11.9</v>
      </c>
      <c r="I98" s="192">
        <f t="shared" si="12"/>
        <v>0.111523466786625</v>
      </c>
      <c r="J98" s="178">
        <v>-16.3657</v>
      </c>
      <c r="K98" s="180">
        <f t="shared" si="13"/>
        <v>-0.152414878557592</v>
      </c>
      <c r="L98" s="180">
        <f t="shared" si="14"/>
        <v>-0.291239576097983</v>
      </c>
      <c r="M98" s="180">
        <f t="shared" si="15"/>
        <v>-0.263938345344217</v>
      </c>
      <c r="N98" s="110"/>
      <c r="O98" s="110"/>
    </row>
    <row r="99" spans="1:15">
      <c r="A99" s="87"/>
      <c r="B99" s="131">
        <v>5401050201</v>
      </c>
      <c r="C99" s="131" t="s">
        <v>206</v>
      </c>
      <c r="D99" s="131"/>
      <c r="E99" s="131" t="s">
        <v>628</v>
      </c>
      <c r="F99" s="184">
        <v>0</v>
      </c>
      <c r="G99" s="191">
        <f t="shared" si="11"/>
        <v>0</v>
      </c>
      <c r="H99" s="184">
        <v>0</v>
      </c>
      <c r="I99" s="192">
        <f t="shared" si="12"/>
        <v>0</v>
      </c>
      <c r="J99" s="178">
        <v>0</v>
      </c>
      <c r="K99" s="180">
        <f t="shared" si="13"/>
        <v>0</v>
      </c>
      <c r="L99" s="180">
        <f t="shared" si="14"/>
        <v>0</v>
      </c>
      <c r="M99" s="180">
        <f t="shared" si="15"/>
        <v>0</v>
      </c>
      <c r="N99" s="110"/>
      <c r="O99" s="110"/>
    </row>
    <row r="100" spans="1:15">
      <c r="A100" s="87"/>
      <c r="B100" s="131">
        <v>5401020212</v>
      </c>
      <c r="C100" s="131" t="s">
        <v>208</v>
      </c>
      <c r="D100" s="131"/>
      <c r="E100" s="131" t="s">
        <v>629</v>
      </c>
      <c r="F100" s="184">
        <v>0</v>
      </c>
      <c r="G100" s="191">
        <f t="shared" si="11"/>
        <v>0</v>
      </c>
      <c r="H100" s="184">
        <v>0</v>
      </c>
      <c r="I100" s="192">
        <f t="shared" si="12"/>
        <v>0</v>
      </c>
      <c r="J100" s="178">
        <v>0</v>
      </c>
      <c r="K100" s="180">
        <f t="shared" si="13"/>
        <v>0</v>
      </c>
      <c r="L100" s="180">
        <f t="shared" si="14"/>
        <v>0</v>
      </c>
      <c r="M100" s="180">
        <f t="shared" si="15"/>
        <v>0</v>
      </c>
      <c r="N100" s="110"/>
      <c r="O100" s="110"/>
    </row>
    <row r="101" spans="1:15">
      <c r="A101" s="87"/>
      <c r="B101" s="131" t="s">
        <v>630</v>
      </c>
      <c r="C101" s="131" t="s">
        <v>631</v>
      </c>
      <c r="D101" s="131"/>
      <c r="E101" s="131" t="s">
        <v>632</v>
      </c>
      <c r="F101" s="184">
        <v>0</v>
      </c>
      <c r="G101" s="191">
        <f t="shared" si="11"/>
        <v>0</v>
      </c>
      <c r="H101" s="184">
        <v>0</v>
      </c>
      <c r="I101" s="192">
        <f t="shared" si="12"/>
        <v>0</v>
      </c>
      <c r="J101" s="178">
        <v>0</v>
      </c>
      <c r="K101" s="180">
        <f t="shared" si="13"/>
        <v>0</v>
      </c>
      <c r="L101" s="180">
        <f t="shared" si="14"/>
        <v>0</v>
      </c>
      <c r="M101" s="180">
        <f t="shared" si="15"/>
        <v>0</v>
      </c>
      <c r="N101" s="110"/>
      <c r="O101" s="110"/>
    </row>
    <row r="102" spans="1:15">
      <c r="A102" s="87"/>
      <c r="B102" s="131" t="s">
        <v>633</v>
      </c>
      <c r="C102" s="131" t="s">
        <v>372</v>
      </c>
      <c r="D102" s="131"/>
      <c r="E102" s="131" t="s">
        <v>634</v>
      </c>
      <c r="F102" s="184">
        <v>0</v>
      </c>
      <c r="G102" s="191">
        <f t="shared" si="11"/>
        <v>0</v>
      </c>
      <c r="H102" s="184">
        <v>0</v>
      </c>
      <c r="I102" s="192">
        <f t="shared" si="12"/>
        <v>0</v>
      </c>
      <c r="J102" s="178">
        <v>0</v>
      </c>
      <c r="K102" s="180">
        <f t="shared" si="13"/>
        <v>0</v>
      </c>
      <c r="L102" s="180">
        <f t="shared" si="14"/>
        <v>0</v>
      </c>
      <c r="M102" s="180">
        <f t="shared" si="15"/>
        <v>0</v>
      </c>
      <c r="N102" s="110"/>
      <c r="O102" s="110"/>
    </row>
    <row r="103" spans="1:15">
      <c r="A103" s="87"/>
      <c r="B103" s="131" t="s">
        <v>635</v>
      </c>
      <c r="C103" s="131" t="s">
        <v>636</v>
      </c>
      <c r="D103" s="131"/>
      <c r="E103" s="131" t="s">
        <v>637</v>
      </c>
      <c r="F103" s="184">
        <v>0</v>
      </c>
      <c r="G103" s="191">
        <f t="shared" si="11"/>
        <v>0</v>
      </c>
      <c r="H103" s="184">
        <v>0</v>
      </c>
      <c r="I103" s="192">
        <f t="shared" si="12"/>
        <v>0</v>
      </c>
      <c r="J103" s="178">
        <v>0</v>
      </c>
      <c r="K103" s="180">
        <f t="shared" si="13"/>
        <v>0</v>
      </c>
      <c r="L103" s="180">
        <f t="shared" si="14"/>
        <v>0</v>
      </c>
      <c r="M103" s="180">
        <f t="shared" si="15"/>
        <v>0</v>
      </c>
      <c r="N103" s="110"/>
      <c r="O103" s="110"/>
    </row>
    <row r="104" spans="1:15">
      <c r="A104" s="87"/>
      <c r="B104" s="131">
        <v>6666040215</v>
      </c>
      <c r="C104" s="131" t="s">
        <v>638</v>
      </c>
      <c r="D104" s="131"/>
      <c r="E104" s="131" t="s">
        <v>639</v>
      </c>
      <c r="F104" s="184">
        <v>0</v>
      </c>
      <c r="G104" s="191">
        <f t="shared" si="11"/>
        <v>0</v>
      </c>
      <c r="H104" s="184">
        <v>0</v>
      </c>
      <c r="I104" s="192">
        <f t="shared" si="12"/>
        <v>0</v>
      </c>
      <c r="J104" s="178">
        <v>0</v>
      </c>
      <c r="K104" s="180">
        <f t="shared" si="13"/>
        <v>0</v>
      </c>
      <c r="L104" s="180">
        <f t="shared" si="14"/>
        <v>0</v>
      </c>
      <c r="M104" s="180">
        <f t="shared" si="15"/>
        <v>0</v>
      </c>
      <c r="N104" s="110"/>
      <c r="O104" s="110"/>
    </row>
    <row r="105" spans="1:15">
      <c r="A105" s="87"/>
      <c r="B105" s="131" t="s">
        <v>156</v>
      </c>
      <c r="C105" s="131" t="s">
        <v>157</v>
      </c>
      <c r="D105" s="131"/>
      <c r="E105" s="131" t="s">
        <v>640</v>
      </c>
      <c r="F105" s="184">
        <v>0</v>
      </c>
      <c r="G105" s="191">
        <f t="shared" si="11"/>
        <v>0</v>
      </c>
      <c r="H105" s="184">
        <v>0</v>
      </c>
      <c r="I105" s="192">
        <f t="shared" si="12"/>
        <v>0</v>
      </c>
      <c r="J105" s="178">
        <v>0</v>
      </c>
      <c r="K105" s="180">
        <f t="shared" si="13"/>
        <v>0</v>
      </c>
      <c r="L105" s="180">
        <f t="shared" si="14"/>
        <v>0</v>
      </c>
      <c r="M105" s="180">
        <f t="shared" si="15"/>
        <v>0</v>
      </c>
      <c r="N105" s="110"/>
      <c r="O105" s="110"/>
    </row>
    <row r="106" spans="1:15">
      <c r="A106" s="87"/>
      <c r="B106" s="131" t="s">
        <v>641</v>
      </c>
      <c r="C106" s="131" t="s">
        <v>336</v>
      </c>
      <c r="D106" s="131"/>
      <c r="E106" s="131" t="s">
        <v>642</v>
      </c>
      <c r="F106" s="184">
        <v>0</v>
      </c>
      <c r="G106" s="191">
        <f t="shared" si="11"/>
        <v>0</v>
      </c>
      <c r="H106" s="184">
        <v>0</v>
      </c>
      <c r="I106" s="192">
        <f t="shared" si="12"/>
        <v>0</v>
      </c>
      <c r="J106" s="178">
        <v>0</v>
      </c>
      <c r="K106" s="180">
        <f t="shared" si="13"/>
        <v>0</v>
      </c>
      <c r="L106" s="180">
        <f t="shared" si="14"/>
        <v>0</v>
      </c>
      <c r="M106" s="180">
        <f t="shared" si="15"/>
        <v>0</v>
      </c>
      <c r="N106" s="110"/>
      <c r="O106" s="110"/>
    </row>
    <row r="107" spans="1:15">
      <c r="A107" s="87"/>
      <c r="B107" s="131" t="s">
        <v>643</v>
      </c>
      <c r="C107" s="131" t="s">
        <v>644</v>
      </c>
      <c r="D107" s="131"/>
      <c r="E107" s="131" t="s">
        <v>645</v>
      </c>
      <c r="F107" s="184">
        <v>0</v>
      </c>
      <c r="G107" s="191">
        <f t="shared" si="11"/>
        <v>0</v>
      </c>
      <c r="H107" s="184">
        <v>0</v>
      </c>
      <c r="I107" s="192">
        <f t="shared" si="12"/>
        <v>0</v>
      </c>
      <c r="J107" s="178">
        <v>0.58944</v>
      </c>
      <c r="K107" s="180">
        <f t="shared" si="13"/>
        <v>0.00548949485918641</v>
      </c>
      <c r="L107" s="180">
        <f t="shared" si="14"/>
        <v>0.00548949485918641</v>
      </c>
      <c r="M107" s="180">
        <f t="shared" si="15"/>
        <v>0.00548949485918641</v>
      </c>
      <c r="N107" s="110"/>
      <c r="O107" s="110"/>
    </row>
    <row r="108" spans="1:15">
      <c r="A108" s="87"/>
      <c r="B108" s="131" t="s">
        <v>646</v>
      </c>
      <c r="C108" s="131" t="s">
        <v>647</v>
      </c>
      <c r="D108" s="131"/>
      <c r="E108" s="131" t="s">
        <v>648</v>
      </c>
      <c r="F108" s="184">
        <v>0</v>
      </c>
      <c r="G108" s="191">
        <f t="shared" si="11"/>
        <v>0</v>
      </c>
      <c r="H108" s="184">
        <v>0</v>
      </c>
      <c r="I108" s="192">
        <f t="shared" si="12"/>
        <v>0</v>
      </c>
      <c r="J108" s="178">
        <v>0</v>
      </c>
      <c r="K108" s="180">
        <f t="shared" si="13"/>
        <v>0</v>
      </c>
      <c r="L108" s="180">
        <f t="shared" si="14"/>
        <v>0</v>
      </c>
      <c r="M108" s="180">
        <f t="shared" si="15"/>
        <v>0</v>
      </c>
      <c r="N108" s="110"/>
      <c r="O108" s="110"/>
    </row>
    <row r="109" spans="1:15">
      <c r="A109" s="73"/>
      <c r="B109" s="193" t="s">
        <v>75</v>
      </c>
      <c r="C109" s="193" t="s">
        <v>213</v>
      </c>
      <c r="D109" s="193"/>
      <c r="E109" s="193" t="s">
        <v>650</v>
      </c>
      <c r="F109" s="194">
        <v>186.94885</v>
      </c>
      <c r="G109" s="195">
        <f>SUM(G54:G108)</f>
        <v>2.01764410675934</v>
      </c>
      <c r="H109" s="194">
        <v>92.358197471509</v>
      </c>
      <c r="I109" s="196">
        <v>0.794793047044468</v>
      </c>
      <c r="J109" s="197">
        <f>SUM(J54:J108)</f>
        <v>41.78723</v>
      </c>
      <c r="K109" s="198">
        <f t="shared" si="13"/>
        <v>0.389167318581433</v>
      </c>
      <c r="L109" s="198">
        <f t="shared" si="14"/>
        <v>-1.6284767881779</v>
      </c>
      <c r="M109" s="198">
        <f t="shared" si="15"/>
        <v>-0.405625728463034</v>
      </c>
      <c r="N109" s="110"/>
      <c r="O109" s="110"/>
    </row>
    <row r="110" spans="1:15">
      <c r="A110" s="158" t="s">
        <v>212</v>
      </c>
      <c r="B110" s="131">
        <v>6666110203</v>
      </c>
      <c r="C110" s="131" t="s">
        <v>215</v>
      </c>
      <c r="D110" s="131"/>
      <c r="E110" s="131" t="s">
        <v>651</v>
      </c>
      <c r="F110" s="184">
        <v>7.80146</v>
      </c>
      <c r="G110" s="191">
        <f>F110/$H$28*1000</f>
        <v>0.0841972004273827</v>
      </c>
      <c r="H110" s="184">
        <v>33.6177054829041</v>
      </c>
      <c r="I110" s="192">
        <f>H110*1000/$J$28</f>
        <v>0.315055719400436</v>
      </c>
      <c r="J110" s="178">
        <v>23.86612</v>
      </c>
      <c r="K110" s="180">
        <f t="shared" si="13"/>
        <v>0.222266800774847</v>
      </c>
      <c r="L110" s="180">
        <f t="shared" si="14"/>
        <v>0.138069600347465</v>
      </c>
      <c r="M110" s="180">
        <f t="shared" si="15"/>
        <v>-0.0927889186255886</v>
      </c>
      <c r="N110" s="110"/>
      <c r="O110" s="110"/>
    </row>
    <row r="111" spans="1:15">
      <c r="A111" s="87"/>
      <c r="B111" s="131">
        <v>5102040000</v>
      </c>
      <c r="C111" s="131" t="s">
        <v>217</v>
      </c>
      <c r="D111" s="131"/>
      <c r="E111" s="131" t="s">
        <v>378</v>
      </c>
      <c r="F111" s="184">
        <v>0</v>
      </c>
      <c r="G111" s="191">
        <f>F111/$H$28*1000</f>
        <v>0</v>
      </c>
      <c r="H111" s="184">
        <v>0</v>
      </c>
      <c r="I111" s="192">
        <f>H111*1000/$J$28</f>
        <v>0</v>
      </c>
      <c r="J111" s="178">
        <v>-0.0402</v>
      </c>
      <c r="K111" s="180">
        <f t="shared" si="13"/>
        <v>-0.000374385337505588</v>
      </c>
      <c r="L111" s="180">
        <f t="shared" si="14"/>
        <v>-0.000374385337505588</v>
      </c>
      <c r="M111" s="180">
        <f t="shared" si="15"/>
        <v>-0.000374385337505588</v>
      </c>
      <c r="N111" s="110"/>
      <c r="O111" s="110"/>
    </row>
    <row r="112" spans="1:15">
      <c r="A112" s="87"/>
      <c r="B112" s="131">
        <v>6666050307</v>
      </c>
      <c r="C112" s="131" t="s">
        <v>219</v>
      </c>
      <c r="D112" s="131"/>
      <c r="E112" s="131" t="s">
        <v>652</v>
      </c>
      <c r="F112" s="184">
        <v>-46.7357</v>
      </c>
      <c r="G112" s="191">
        <f>F112/$H$28*1000</f>
        <v>-0.504394703044562</v>
      </c>
      <c r="H112" s="184">
        <v>0</v>
      </c>
      <c r="I112" s="192">
        <f>H112*1000/$J$28</f>
        <v>0</v>
      </c>
      <c r="J112" s="178">
        <v>-19.27118</v>
      </c>
      <c r="K112" s="180">
        <f t="shared" si="13"/>
        <v>-0.179473811652511</v>
      </c>
      <c r="L112" s="180">
        <f t="shared" si="14"/>
        <v>0.324920891392051</v>
      </c>
      <c r="M112" s="180">
        <f t="shared" si="15"/>
        <v>-0.179473811652511</v>
      </c>
      <c r="N112" s="110"/>
      <c r="O112" s="110"/>
    </row>
    <row r="113" spans="1:15">
      <c r="A113" s="87"/>
      <c r="B113" s="131">
        <v>6666050312</v>
      </c>
      <c r="C113" s="131" t="s">
        <v>221</v>
      </c>
      <c r="D113" s="131"/>
      <c r="E113" s="131" t="s">
        <v>653</v>
      </c>
      <c r="F113" s="184">
        <v>34.08546</v>
      </c>
      <c r="G113" s="191">
        <f>F113/$H$28*1000</f>
        <v>0.367867079659389</v>
      </c>
      <c r="H113" s="184">
        <v>0</v>
      </c>
      <c r="I113" s="192">
        <f>H113*1000/$J$28</f>
        <v>0</v>
      </c>
      <c r="J113" s="178">
        <v>0</v>
      </c>
      <c r="K113" s="180">
        <f t="shared" si="13"/>
        <v>0</v>
      </c>
      <c r="L113" s="180">
        <f t="shared" si="14"/>
        <v>-0.367867079659389</v>
      </c>
      <c r="M113" s="180">
        <f t="shared" si="15"/>
        <v>0</v>
      </c>
      <c r="N113" s="110"/>
      <c r="O113" s="110"/>
    </row>
    <row r="114" spans="1:15">
      <c r="A114" s="73"/>
      <c r="B114" s="193" t="s">
        <v>96</v>
      </c>
      <c r="C114" s="193" t="s">
        <v>224</v>
      </c>
      <c r="D114" s="193"/>
      <c r="E114" s="193" t="s">
        <v>654</v>
      </c>
      <c r="F114" s="194">
        <v>-4.84878</v>
      </c>
      <c r="G114" s="195">
        <f>SUM(G110:G113)</f>
        <v>-0.0523304229577906</v>
      </c>
      <c r="H114" s="194">
        <v>33.6177054829041</v>
      </c>
      <c r="I114" s="196">
        <v>0.289298831147536</v>
      </c>
      <c r="J114" s="197">
        <f>SUM(J110:J113)</f>
        <v>4.55474</v>
      </c>
      <c r="K114" s="198">
        <f t="shared" si="13"/>
        <v>0.0424186037848309</v>
      </c>
      <c r="L114" s="198">
        <f t="shared" si="14"/>
        <v>0.0947490267426215</v>
      </c>
      <c r="M114" s="198">
        <f t="shared" si="15"/>
        <v>-0.246880227362705</v>
      </c>
      <c r="N114" s="110"/>
      <c r="O114" s="110"/>
    </row>
    <row r="115" spans="1:15">
      <c r="A115" s="158" t="s">
        <v>223</v>
      </c>
      <c r="B115" s="131">
        <v>6666100203</v>
      </c>
      <c r="C115" s="131" t="s">
        <v>226</v>
      </c>
      <c r="D115" s="131"/>
      <c r="E115" s="131" t="s">
        <v>655</v>
      </c>
      <c r="F115" s="184">
        <v>28.85478</v>
      </c>
      <c r="G115" s="191">
        <f>F115/$H$28*1000</f>
        <v>0.31141500372341</v>
      </c>
      <c r="H115" s="184">
        <v>12.5</v>
      </c>
      <c r="I115" s="192">
        <f>H115*1000/$J$28</f>
        <v>0.117146498725446</v>
      </c>
      <c r="J115" s="178">
        <v>12.5</v>
      </c>
      <c r="K115" s="180">
        <f t="shared" si="13"/>
        <v>0.116413351214424</v>
      </c>
      <c r="L115" s="180">
        <f t="shared" si="14"/>
        <v>-0.195001652508986</v>
      </c>
      <c r="M115" s="180">
        <f t="shared" si="15"/>
        <v>-0.00073314751102202</v>
      </c>
      <c r="N115" s="110"/>
      <c r="O115" s="110"/>
    </row>
    <row r="116" spans="1:15">
      <c r="A116" s="73"/>
      <c r="B116" s="193" t="s">
        <v>75</v>
      </c>
      <c r="C116" s="193" t="s">
        <v>229</v>
      </c>
      <c r="D116" s="193"/>
      <c r="E116" s="193" t="s">
        <v>656</v>
      </c>
      <c r="F116" s="194">
        <v>28.85478</v>
      </c>
      <c r="G116" s="195">
        <f>G115</f>
        <v>0.31141500372341</v>
      </c>
      <c r="H116" s="194">
        <v>12.5</v>
      </c>
      <c r="I116" s="196">
        <v>0.107569369693693</v>
      </c>
      <c r="J116" s="197">
        <f>J115</f>
        <v>12.5</v>
      </c>
      <c r="K116" s="198">
        <f t="shared" si="13"/>
        <v>0.116413351214424</v>
      </c>
      <c r="L116" s="198">
        <f t="shared" si="14"/>
        <v>-0.195001652508986</v>
      </c>
      <c r="M116" s="198">
        <f t="shared" si="15"/>
        <v>0.00884398152073107</v>
      </c>
      <c r="N116" s="110"/>
      <c r="O116" s="110"/>
    </row>
    <row r="117" spans="1:15">
      <c r="A117" s="158" t="s">
        <v>228</v>
      </c>
      <c r="B117" s="131">
        <v>5301070000</v>
      </c>
      <c r="C117" s="131" t="s">
        <v>231</v>
      </c>
      <c r="D117" s="131"/>
      <c r="E117" s="131" t="s">
        <v>657</v>
      </c>
      <c r="F117" s="184">
        <v>-87.81438</v>
      </c>
      <c r="G117" s="191">
        <f>F117/$H$28*1000</f>
        <v>-0.9477360587975</v>
      </c>
      <c r="H117" s="184">
        <v>-78.9735176991816</v>
      </c>
      <c r="I117" s="192">
        <f>H117*1000/$J$28</f>
        <v>-0.740117687239294</v>
      </c>
      <c r="J117" s="178">
        <v>-77.70631</v>
      </c>
      <c r="K117" s="180">
        <f t="shared" si="13"/>
        <v>-0.723684156608553</v>
      </c>
      <c r="L117" s="180">
        <f t="shared" si="14"/>
        <v>0.224051902188947</v>
      </c>
      <c r="M117" s="180">
        <f t="shared" si="15"/>
        <v>0.0164335306307406</v>
      </c>
      <c r="N117" s="110"/>
      <c r="O117" s="110"/>
    </row>
    <row r="118" spans="1:15">
      <c r="A118" s="73"/>
      <c r="B118" s="193" t="s">
        <v>96</v>
      </c>
      <c r="C118" s="193" t="s">
        <v>235</v>
      </c>
      <c r="D118" s="193"/>
      <c r="E118" s="193" t="s">
        <v>658</v>
      </c>
      <c r="F118" s="194">
        <v>-87.81438</v>
      </c>
      <c r="G118" s="195">
        <f>G117</f>
        <v>-0.9477360587975</v>
      </c>
      <c r="H118" s="194">
        <v>-78.9735176991816</v>
      </c>
      <c r="I118" s="196">
        <v>-0.679610521711574</v>
      </c>
      <c r="J118" s="197">
        <f>J117</f>
        <v>-77.70631</v>
      </c>
      <c r="K118" s="180">
        <f t="shared" si="13"/>
        <v>-0.723684156608553</v>
      </c>
      <c r="L118" s="180">
        <f t="shared" si="14"/>
        <v>0.224051902188947</v>
      </c>
      <c r="M118" s="180">
        <f t="shared" si="15"/>
        <v>-0.0440736348969791</v>
      </c>
      <c r="N118" s="110"/>
      <c r="O118" s="110"/>
    </row>
    <row r="119" spans="1:15">
      <c r="A119" s="158" t="s">
        <v>234</v>
      </c>
      <c r="B119" s="131">
        <v>6666021602</v>
      </c>
      <c r="C119" s="131" t="s">
        <v>237</v>
      </c>
      <c r="D119" s="131"/>
      <c r="E119" s="131" t="s">
        <v>659</v>
      </c>
      <c r="F119" s="184">
        <v>47.51831</v>
      </c>
      <c r="G119" s="191">
        <f>F119/$H$28*1000</f>
        <v>0.512841015789417</v>
      </c>
      <c r="H119" s="184">
        <v>32.1610746618354</v>
      </c>
      <c r="I119" s="192">
        <f>H119*1000/$J$28</f>
        <v>0.301404583350534</v>
      </c>
      <c r="J119" s="178">
        <v>32.91762</v>
      </c>
      <c r="K119" s="180">
        <f t="shared" si="13"/>
        <v>0.306564036656236</v>
      </c>
      <c r="L119" s="180">
        <f t="shared" si="14"/>
        <v>-0.206276979133181</v>
      </c>
      <c r="M119" s="180">
        <f t="shared" si="15"/>
        <v>0.00515945330570189</v>
      </c>
      <c r="N119" s="110"/>
      <c r="O119" s="110"/>
    </row>
    <row r="120" spans="1:15">
      <c r="A120" s="73"/>
      <c r="B120" s="193" t="s">
        <v>75</v>
      </c>
      <c r="C120" s="193" t="s">
        <v>244</v>
      </c>
      <c r="D120" s="193"/>
      <c r="E120" s="193" t="s">
        <v>245</v>
      </c>
      <c r="F120" s="194">
        <v>47.51831</v>
      </c>
      <c r="G120" s="195">
        <f>G119</f>
        <v>0.512841015789417</v>
      </c>
      <c r="H120" s="194">
        <v>32.1610746618354</v>
      </c>
      <c r="I120" s="196">
        <v>0.276763722403635</v>
      </c>
      <c r="J120" s="197">
        <f>J119</f>
        <v>32.91762</v>
      </c>
      <c r="K120" s="196">
        <f t="shared" si="13"/>
        <v>0.306564036656236</v>
      </c>
      <c r="L120" s="196">
        <f t="shared" si="14"/>
        <v>-0.206276979133181</v>
      </c>
      <c r="M120" s="196">
        <f t="shared" si="15"/>
        <v>0.029800314252601</v>
      </c>
      <c r="N120" s="110"/>
      <c r="O120" s="110"/>
    </row>
    <row r="121" spans="1:15">
      <c r="A121" s="158" t="s">
        <v>243</v>
      </c>
      <c r="B121" s="131">
        <v>6666021600</v>
      </c>
      <c r="C121" s="131" t="s">
        <v>246</v>
      </c>
      <c r="D121" s="131"/>
      <c r="E121" s="131" t="s">
        <v>660</v>
      </c>
      <c r="F121" s="184">
        <v>23.27114</v>
      </c>
      <c r="G121" s="191">
        <f>F121/$H$28*1000</f>
        <v>0.251153609549198</v>
      </c>
      <c r="H121" s="184">
        <v>44.6536954886366</v>
      </c>
      <c r="I121" s="192">
        <f>H121*1000/$J$28</f>
        <v>0.418481926531682</v>
      </c>
      <c r="J121" s="178">
        <v>6.33573</v>
      </c>
      <c r="K121" s="180">
        <f t="shared" si="13"/>
        <v>0.059005084935181</v>
      </c>
      <c r="L121" s="180">
        <f t="shared" si="14"/>
        <v>-0.192148524614017</v>
      </c>
      <c r="M121" s="180">
        <f t="shared" si="15"/>
        <v>-0.359476841596501</v>
      </c>
      <c r="N121" s="110"/>
      <c r="O121" s="110"/>
    </row>
    <row r="122" spans="1:15">
      <c r="A122" s="87"/>
      <c r="B122" s="131">
        <v>6666021603</v>
      </c>
      <c r="C122" s="131" t="s">
        <v>239</v>
      </c>
      <c r="D122" s="131"/>
      <c r="E122" s="131" t="s">
        <v>661</v>
      </c>
      <c r="F122" s="184">
        <v>1.11357</v>
      </c>
      <c r="G122" s="191">
        <f>F122/$H$28*1000</f>
        <v>0.0120181961427631</v>
      </c>
      <c r="H122" s="184">
        <v>0.29456814828382</v>
      </c>
      <c r="I122" s="192">
        <f>H122*1000/$J$28</f>
        <v>0.002760610176599</v>
      </c>
      <c r="J122" s="178">
        <v>0.12418</v>
      </c>
      <c r="K122" s="180">
        <f t="shared" si="13"/>
        <v>0.00115649679630457</v>
      </c>
      <c r="L122" s="180">
        <f t="shared" si="14"/>
        <v>-0.0108616993464585</v>
      </c>
      <c r="M122" s="180">
        <f t="shared" si="15"/>
        <v>-0.00160411338029443</v>
      </c>
      <c r="N122" s="110"/>
      <c r="O122" s="110"/>
    </row>
    <row r="123" spans="1:15">
      <c r="A123" s="87"/>
      <c r="B123" s="131">
        <v>6666021604</v>
      </c>
      <c r="C123" s="131" t="s">
        <v>248</v>
      </c>
      <c r="D123" s="131"/>
      <c r="E123" s="131" t="s">
        <v>662</v>
      </c>
      <c r="F123" s="184">
        <v>18.95964</v>
      </c>
      <c r="G123" s="191">
        <f>F123/$H$28*1000</f>
        <v>0.204621777091855</v>
      </c>
      <c r="H123" s="184">
        <v>34.2704653722167</v>
      </c>
      <c r="I123" s="192">
        <f>H123*1000/$J$28</f>
        <v>0.321173202243746</v>
      </c>
      <c r="J123" s="178">
        <v>19.73217</v>
      </c>
      <c r="K123" s="180">
        <f t="shared" si="13"/>
        <v>0.183767042914618</v>
      </c>
      <c r="L123" s="180">
        <f t="shared" si="14"/>
        <v>-0.0208547341772372</v>
      </c>
      <c r="M123" s="180">
        <f t="shared" si="15"/>
        <v>-0.137406159329128</v>
      </c>
      <c r="N123" s="110"/>
      <c r="O123" s="110"/>
    </row>
    <row r="124" spans="1:15">
      <c r="A124" s="73"/>
      <c r="B124" s="193" t="s">
        <v>96</v>
      </c>
      <c r="C124" s="193" t="s">
        <v>251</v>
      </c>
      <c r="D124" s="193"/>
      <c r="E124" s="193" t="s">
        <v>663</v>
      </c>
      <c r="F124" s="194">
        <v>43.34435</v>
      </c>
      <c r="G124" s="195">
        <f>SUM(G121:G123)</f>
        <v>0.467793582783816</v>
      </c>
      <c r="H124" s="194">
        <v>79.2187290091371</v>
      </c>
      <c r="I124" s="196">
        <v>0.681720699795868</v>
      </c>
      <c r="J124" s="197">
        <f>SUM(J121:J123)</f>
        <v>26.19208</v>
      </c>
      <c r="K124" s="196">
        <f t="shared" si="13"/>
        <v>0.243928624646103</v>
      </c>
      <c r="L124" s="196">
        <f t="shared" si="14"/>
        <v>-0.223864958137712</v>
      </c>
      <c r="M124" s="196">
        <f t="shared" si="15"/>
        <v>-0.437792075149765</v>
      </c>
      <c r="N124" s="110"/>
      <c r="O124" s="110"/>
    </row>
    <row r="125" spans="1:15">
      <c r="A125" s="158" t="s">
        <v>250</v>
      </c>
      <c r="B125" s="131">
        <v>5001010206</v>
      </c>
      <c r="C125" s="131" t="s">
        <v>253</v>
      </c>
      <c r="D125" s="131"/>
      <c r="E125" s="131" t="s">
        <v>664</v>
      </c>
      <c r="F125" s="184">
        <v>7.36282</v>
      </c>
      <c r="G125" s="191">
        <f t="shared" ref="G125:G131" si="16">F125/$H$28*1000</f>
        <v>0.0794631814110105</v>
      </c>
      <c r="H125" s="184">
        <v>5.69453874065013</v>
      </c>
      <c r="I125" s="192">
        <f t="shared" ref="I125:I131" si="17">H125*1000/$J$28</f>
        <v>0.0533676220258859</v>
      </c>
      <c r="J125" s="178">
        <v>6.15067</v>
      </c>
      <c r="K125" s="180">
        <f t="shared" si="13"/>
        <v>0.0572816085531217</v>
      </c>
      <c r="L125" s="180">
        <f t="shared" si="14"/>
        <v>-0.0221815728578888</v>
      </c>
      <c r="M125" s="180">
        <f t="shared" si="15"/>
        <v>0.00391398652723583</v>
      </c>
      <c r="N125" s="110"/>
      <c r="O125" s="110"/>
    </row>
    <row r="126" spans="1:15">
      <c r="A126" s="87"/>
      <c r="B126" s="131">
        <v>6666010184</v>
      </c>
      <c r="C126" s="131" t="s">
        <v>255</v>
      </c>
      <c r="D126" s="131"/>
      <c r="E126" s="131" t="s">
        <v>665</v>
      </c>
      <c r="F126" s="184">
        <v>-0.38079</v>
      </c>
      <c r="G126" s="191">
        <f t="shared" si="16"/>
        <v>-0.0041096733112447</v>
      </c>
      <c r="H126" s="184">
        <v>0</v>
      </c>
      <c r="I126" s="192">
        <f t="shared" si="17"/>
        <v>0</v>
      </c>
      <c r="J126" s="178">
        <v>-0.58418</v>
      </c>
      <c r="K126" s="180">
        <f t="shared" si="13"/>
        <v>-0.00544050812099538</v>
      </c>
      <c r="L126" s="180">
        <f t="shared" si="14"/>
        <v>-0.00133083480975068</v>
      </c>
      <c r="M126" s="180">
        <f t="shared" si="15"/>
        <v>-0.00544050812099538</v>
      </c>
      <c r="N126" s="110"/>
      <c r="O126" s="110"/>
    </row>
    <row r="127" spans="1:15">
      <c r="A127" s="87"/>
      <c r="B127" s="131">
        <v>6666010186</v>
      </c>
      <c r="C127" s="131" t="s">
        <v>258</v>
      </c>
      <c r="D127" s="131"/>
      <c r="E127" s="131" t="s">
        <v>666</v>
      </c>
      <c r="F127" s="184">
        <v>10.36619</v>
      </c>
      <c r="G127" s="191">
        <f t="shared" si="16"/>
        <v>0.111877030337697</v>
      </c>
      <c r="H127" s="184">
        <v>6.05902621900035</v>
      </c>
      <c r="I127" s="192">
        <f t="shared" si="17"/>
        <v>0.0567834965793255</v>
      </c>
      <c r="J127" s="178">
        <v>-2.47154</v>
      </c>
      <c r="K127" s="180">
        <f t="shared" si="13"/>
        <v>-0.0230176203248398</v>
      </c>
      <c r="L127" s="180">
        <f t="shared" si="14"/>
        <v>-0.134894650662537</v>
      </c>
      <c r="M127" s="180">
        <f t="shared" si="15"/>
        <v>-0.0798011169041653</v>
      </c>
      <c r="N127" s="110"/>
      <c r="O127" s="110"/>
    </row>
    <row r="128" spans="1:15">
      <c r="A128" s="87"/>
      <c r="B128" s="131">
        <v>6666010189</v>
      </c>
      <c r="C128" s="131" t="s">
        <v>260</v>
      </c>
      <c r="D128" s="131"/>
      <c r="E128" s="131" t="s">
        <v>667</v>
      </c>
      <c r="F128" s="184">
        <v>0</v>
      </c>
      <c r="G128" s="191">
        <f t="shared" si="16"/>
        <v>0</v>
      </c>
      <c r="H128" s="184">
        <v>282.765149248134</v>
      </c>
      <c r="I128" s="192">
        <f t="shared" si="17"/>
        <v>2.64999577567977</v>
      </c>
      <c r="J128" s="178">
        <v>87.8422</v>
      </c>
      <c r="K128" s="180">
        <f t="shared" si="13"/>
        <v>0.818080390403815</v>
      </c>
      <c r="L128" s="180">
        <f t="shared" si="14"/>
        <v>0.818080390403815</v>
      </c>
      <c r="M128" s="180">
        <f t="shared" si="15"/>
        <v>-1.83191538527595</v>
      </c>
      <c r="N128" s="110"/>
      <c r="O128" s="110" t="s">
        <v>767</v>
      </c>
    </row>
    <row r="129" spans="1:15">
      <c r="A129" s="87"/>
      <c r="B129" s="131">
        <v>6666010012</v>
      </c>
      <c r="C129" s="131" t="s">
        <v>262</v>
      </c>
      <c r="D129" s="131"/>
      <c r="E129" s="131" t="s">
        <v>669</v>
      </c>
      <c r="F129" s="184">
        <v>64.32551</v>
      </c>
      <c r="G129" s="191">
        <f t="shared" si="16"/>
        <v>0.694232599803577</v>
      </c>
      <c r="H129" s="184">
        <v>59.0808394342451</v>
      </c>
      <c r="I129" s="192">
        <f t="shared" si="17"/>
        <v>0.553689078518566</v>
      </c>
      <c r="J129" s="178">
        <v>54.94762</v>
      </c>
      <c r="K129" s="180">
        <f t="shared" si="13"/>
        <v>0.511730926836537</v>
      </c>
      <c r="L129" s="180">
        <f t="shared" si="14"/>
        <v>-0.182501672967039</v>
      </c>
      <c r="M129" s="180">
        <f t="shared" si="15"/>
        <v>-0.0419581516820292</v>
      </c>
      <c r="N129" s="110"/>
      <c r="O129" s="110"/>
    </row>
    <row r="130" spans="1:15">
      <c r="A130" s="87"/>
      <c r="B130" s="131">
        <v>6666010226</v>
      </c>
      <c r="C130" s="131" t="s">
        <v>264</v>
      </c>
      <c r="D130" s="131"/>
      <c r="E130" s="131" t="s">
        <v>670</v>
      </c>
      <c r="F130" s="184">
        <v>9.81526</v>
      </c>
      <c r="G130" s="191">
        <f t="shared" si="16"/>
        <v>0.10593112231132</v>
      </c>
      <c r="H130" s="184">
        <v>8.33523168431129</v>
      </c>
      <c r="I130" s="192">
        <f t="shared" si="17"/>
        <v>0.0781154566305976</v>
      </c>
      <c r="J130" s="178">
        <v>-87.7225</v>
      </c>
      <c r="K130" s="180">
        <f t="shared" si="13"/>
        <v>-0.816965616152585</v>
      </c>
      <c r="L130" s="180">
        <f t="shared" si="14"/>
        <v>-0.922896738463906</v>
      </c>
      <c r="M130" s="180">
        <f t="shared" si="15"/>
        <v>-0.895081072783183</v>
      </c>
      <c r="N130" s="110"/>
      <c r="O130" s="199" t="s">
        <v>768</v>
      </c>
    </row>
    <row r="131" spans="1:15">
      <c r="A131" s="87"/>
      <c r="B131" s="131">
        <v>6666010102</v>
      </c>
      <c r="C131" s="131" t="s">
        <v>266</v>
      </c>
      <c r="D131" s="131"/>
      <c r="E131" s="131" t="s">
        <v>671</v>
      </c>
      <c r="F131" s="184">
        <v>400.31242</v>
      </c>
      <c r="G131" s="191">
        <f t="shared" si="16"/>
        <v>4.32036888740192</v>
      </c>
      <c r="H131" s="184">
        <v>-14.2363468516253</v>
      </c>
      <c r="I131" s="192">
        <f t="shared" si="17"/>
        <v>-0.133419055064715</v>
      </c>
      <c r="J131" s="178">
        <v>304.76813</v>
      </c>
      <c r="K131" s="180">
        <f t="shared" si="13"/>
        <v>2.83832634853226</v>
      </c>
      <c r="L131" s="180">
        <f t="shared" si="14"/>
        <v>-1.48204253886966</v>
      </c>
      <c r="M131" s="180">
        <f t="shared" si="15"/>
        <v>2.97174540359697</v>
      </c>
      <c r="N131" s="110"/>
      <c r="O131" s="110" t="s">
        <v>769</v>
      </c>
    </row>
    <row r="132" spans="1:15">
      <c r="A132" s="73"/>
      <c r="B132" s="193" t="s">
        <v>269</v>
      </c>
      <c r="C132" s="193" t="s">
        <v>270</v>
      </c>
      <c r="D132" s="193"/>
      <c r="E132" s="193" t="s">
        <v>673</v>
      </c>
      <c r="F132" s="194">
        <v>491.80141</v>
      </c>
      <c r="G132" s="195">
        <f>SUM(G125:G131)</f>
        <v>5.30776314795428</v>
      </c>
      <c r="H132" s="194">
        <v>347.698438474716</v>
      </c>
      <c r="I132" s="196">
        <v>2.99213614961651</v>
      </c>
      <c r="J132" s="197">
        <f>SUM(J125:J131)</f>
        <v>362.9304</v>
      </c>
      <c r="K132" s="196">
        <f t="shared" si="13"/>
        <v>3.37999552972731</v>
      </c>
      <c r="L132" s="196">
        <f t="shared" si="14"/>
        <v>-1.92776761822697</v>
      </c>
      <c r="M132" s="196">
        <f t="shared" si="15"/>
        <v>0.387859380110803</v>
      </c>
      <c r="N132" s="110"/>
      <c r="O132" s="110"/>
    </row>
    <row r="133" spans="1:15">
      <c r="A133" s="158" t="s">
        <v>268</v>
      </c>
      <c r="B133" s="131">
        <v>6666010196</v>
      </c>
      <c r="C133" s="131" t="s">
        <v>272</v>
      </c>
      <c r="D133" s="131"/>
      <c r="E133" s="131" t="s">
        <v>674</v>
      </c>
      <c r="F133" s="184">
        <v>28.31182</v>
      </c>
      <c r="G133" s="191">
        <f t="shared" ref="G133:G139" si="18">F133/$H$28*1000</f>
        <v>0.305555111864187</v>
      </c>
      <c r="H133" s="184">
        <v>22.0545717680462</v>
      </c>
      <c r="I133" s="192">
        <f t="shared" ref="I133:I139" si="19">H133*1000/$J$28</f>
        <v>0.206689269081255</v>
      </c>
      <c r="J133" s="178">
        <v>20.04276</v>
      </c>
      <c r="K133" s="180">
        <f t="shared" si="13"/>
        <v>0.186659588734913</v>
      </c>
      <c r="L133" s="180">
        <f t="shared" si="14"/>
        <v>-0.118895523129274</v>
      </c>
      <c r="M133" s="180">
        <f t="shared" si="15"/>
        <v>-0.0200296803463418</v>
      </c>
      <c r="N133" s="110"/>
      <c r="O133" s="110"/>
    </row>
    <row r="134" spans="1:15">
      <c r="A134" s="87"/>
      <c r="B134" s="131">
        <v>6666010101</v>
      </c>
      <c r="C134" s="131" t="s">
        <v>274</v>
      </c>
      <c r="D134" s="131"/>
      <c r="E134" s="131" t="s">
        <v>675</v>
      </c>
      <c r="F134" s="184">
        <v>182.28281</v>
      </c>
      <c r="G134" s="191">
        <f t="shared" si="18"/>
        <v>1.96728590392523</v>
      </c>
      <c r="H134" s="184">
        <v>128.033007764805</v>
      </c>
      <c r="I134" s="192">
        <f t="shared" si="19"/>
        <v>1.19988948647478</v>
      </c>
      <c r="J134" s="178">
        <v>110.92881</v>
      </c>
      <c r="K134" s="180">
        <f t="shared" si="13"/>
        <v>1.03308756146625</v>
      </c>
      <c r="L134" s="180">
        <f t="shared" si="14"/>
        <v>-0.934198342458981</v>
      </c>
      <c r="M134" s="180">
        <f t="shared" si="15"/>
        <v>-0.166801925008531</v>
      </c>
      <c r="N134" s="110"/>
      <c r="O134" s="110"/>
    </row>
    <row r="135" spans="1:15">
      <c r="A135" s="87"/>
      <c r="B135" s="131">
        <v>6666010199</v>
      </c>
      <c r="C135" s="131" t="s">
        <v>276</v>
      </c>
      <c r="D135" s="131"/>
      <c r="E135" s="131" t="s">
        <v>676</v>
      </c>
      <c r="F135" s="184">
        <v>15.6045</v>
      </c>
      <c r="G135" s="191">
        <f t="shared" si="18"/>
        <v>0.168411452993298</v>
      </c>
      <c r="H135" s="184">
        <v>0</v>
      </c>
      <c r="I135" s="192">
        <f t="shared" si="19"/>
        <v>0</v>
      </c>
      <c r="J135" s="178">
        <v>23.78251</v>
      </c>
      <c r="K135" s="180">
        <f t="shared" si="13"/>
        <v>0.221488135151244</v>
      </c>
      <c r="L135" s="180">
        <f t="shared" si="14"/>
        <v>0.0530766821579464</v>
      </c>
      <c r="M135" s="180">
        <f t="shared" si="15"/>
        <v>0.221488135151244</v>
      </c>
      <c r="N135" s="110"/>
      <c r="O135" s="110"/>
    </row>
    <row r="136" spans="1:15">
      <c r="A136" s="87"/>
      <c r="B136" s="131">
        <v>6666010185</v>
      </c>
      <c r="C136" s="131" t="s">
        <v>278</v>
      </c>
      <c r="D136" s="131"/>
      <c r="E136" s="131" t="s">
        <v>677</v>
      </c>
      <c r="F136" s="184">
        <v>-0.96572</v>
      </c>
      <c r="G136" s="191">
        <f t="shared" si="18"/>
        <v>-0.0104225260908512</v>
      </c>
      <c r="H136" s="184">
        <v>-5.72404954427992</v>
      </c>
      <c r="I136" s="192">
        <f t="shared" si="19"/>
        <v>-0.0536441890114702</v>
      </c>
      <c r="J136" s="178">
        <v>-0.5416</v>
      </c>
      <c r="K136" s="180">
        <f t="shared" si="13"/>
        <v>-0.00504395768141857</v>
      </c>
      <c r="L136" s="180">
        <f t="shared" si="14"/>
        <v>0.00537856840943264</v>
      </c>
      <c r="M136" s="180">
        <f t="shared" si="15"/>
        <v>0.0486002313300517</v>
      </c>
      <c r="N136" s="110"/>
      <c r="O136" s="110"/>
    </row>
    <row r="137" spans="1:15">
      <c r="A137" s="87"/>
      <c r="B137" s="131">
        <v>6666010207</v>
      </c>
      <c r="C137" s="131" t="s">
        <v>280</v>
      </c>
      <c r="D137" s="131"/>
      <c r="E137" s="131" t="s">
        <v>678</v>
      </c>
      <c r="F137" s="184">
        <v>2.78489</v>
      </c>
      <c r="G137" s="191">
        <f t="shared" si="18"/>
        <v>0.0300559051124038</v>
      </c>
      <c r="H137" s="184">
        <v>2.12574185716108</v>
      </c>
      <c r="I137" s="192">
        <f t="shared" si="19"/>
        <v>0.0199218572608438</v>
      </c>
      <c r="J137" s="178">
        <v>1.96209</v>
      </c>
      <c r="K137" s="180">
        <f t="shared" si="13"/>
        <v>0.0182730777827447</v>
      </c>
      <c r="L137" s="180">
        <f t="shared" si="14"/>
        <v>-0.0117828273296591</v>
      </c>
      <c r="M137" s="180">
        <f t="shared" si="15"/>
        <v>-0.00164877947809908</v>
      </c>
      <c r="N137" s="110"/>
      <c r="O137" s="110"/>
    </row>
    <row r="138" spans="1:15">
      <c r="A138" s="87"/>
      <c r="B138" s="131">
        <v>5102040406</v>
      </c>
      <c r="C138" s="131" t="s">
        <v>92</v>
      </c>
      <c r="D138" s="131"/>
      <c r="E138" s="131" t="s">
        <v>679</v>
      </c>
      <c r="F138" s="184">
        <v>0</v>
      </c>
      <c r="G138" s="191">
        <f t="shared" si="18"/>
        <v>0</v>
      </c>
      <c r="H138" s="184">
        <v>0</v>
      </c>
      <c r="I138" s="192">
        <f t="shared" si="19"/>
        <v>0</v>
      </c>
      <c r="J138" s="178">
        <v>0</v>
      </c>
      <c r="K138" s="180">
        <f t="shared" si="13"/>
        <v>0</v>
      </c>
      <c r="L138" s="180">
        <f t="shared" si="14"/>
        <v>0</v>
      </c>
      <c r="M138" s="180">
        <f t="shared" si="15"/>
        <v>0</v>
      </c>
      <c r="N138" s="110"/>
      <c r="O138" s="110"/>
    </row>
    <row r="139" spans="1:15">
      <c r="A139" s="87"/>
      <c r="B139" s="131">
        <v>6666010227</v>
      </c>
      <c r="C139" s="131" t="s">
        <v>283</v>
      </c>
      <c r="D139" s="131"/>
      <c r="E139" s="131" t="s">
        <v>680</v>
      </c>
      <c r="F139" s="184">
        <v>25.2875</v>
      </c>
      <c r="G139" s="191">
        <f t="shared" si="18"/>
        <v>0.272915160214555</v>
      </c>
      <c r="H139" s="184">
        <v>2.13130404997646</v>
      </c>
      <c r="I139" s="192">
        <f t="shared" si="19"/>
        <v>0.0199739845739284</v>
      </c>
      <c r="J139" s="178">
        <v>2.39394</v>
      </c>
      <c r="K139" s="180">
        <f t="shared" si="13"/>
        <v>0.0222949262405007</v>
      </c>
      <c r="L139" s="180">
        <f t="shared" si="14"/>
        <v>-0.250620233974054</v>
      </c>
      <c r="M139" s="180">
        <f t="shared" si="15"/>
        <v>0.00232094166657223</v>
      </c>
      <c r="N139" s="110"/>
      <c r="O139" s="110"/>
    </row>
    <row r="140" spans="1:15">
      <c r="A140" s="73"/>
      <c r="B140" s="193" t="s">
        <v>269</v>
      </c>
      <c r="C140" s="193" t="s">
        <v>286</v>
      </c>
      <c r="D140" s="193"/>
      <c r="E140" s="193" t="s">
        <v>681</v>
      </c>
      <c r="F140" s="194">
        <v>253.3058</v>
      </c>
      <c r="G140" s="195">
        <f>SUM(G133:G139)</f>
        <v>2.73380100801882</v>
      </c>
      <c r="H140" s="194">
        <v>148.620575895709</v>
      </c>
      <c r="I140" s="196">
        <v>1.2789617338092</v>
      </c>
      <c r="J140" s="197">
        <f>SUM(J133:J139)</f>
        <v>158.56851</v>
      </c>
      <c r="K140" s="196">
        <f t="shared" si="13"/>
        <v>1.47675933169423</v>
      </c>
      <c r="L140" s="196">
        <f t="shared" si="14"/>
        <v>-1.25704167632459</v>
      </c>
      <c r="M140" s="196">
        <f t="shared" si="15"/>
        <v>0.197797597885033</v>
      </c>
      <c r="N140" s="110"/>
      <c r="O140" s="110"/>
    </row>
    <row r="141" spans="1:15">
      <c r="A141" s="158"/>
      <c r="B141" s="140">
        <v>6666020903</v>
      </c>
      <c r="C141" s="140" t="s">
        <v>682</v>
      </c>
      <c r="D141" s="140"/>
      <c r="E141" s="140" t="s">
        <v>683</v>
      </c>
      <c r="F141" s="184">
        <v>0</v>
      </c>
      <c r="G141" s="191">
        <f t="shared" ref="G141:G154" si="20">F141/$H$28*1000</f>
        <v>0</v>
      </c>
      <c r="H141" s="184">
        <v>0</v>
      </c>
      <c r="I141" s="192">
        <f t="shared" ref="I141:I154" si="21">H141*1000/$J$28</f>
        <v>0</v>
      </c>
      <c r="J141" s="178">
        <v>0</v>
      </c>
      <c r="K141" s="180">
        <f t="shared" si="13"/>
        <v>0</v>
      </c>
      <c r="L141" s="180">
        <f t="shared" si="14"/>
        <v>0</v>
      </c>
      <c r="M141" s="180">
        <f t="shared" si="15"/>
        <v>0</v>
      </c>
      <c r="N141" s="110"/>
      <c r="O141" s="110"/>
    </row>
    <row r="142" spans="1:15">
      <c r="A142" s="158" t="s">
        <v>285</v>
      </c>
      <c r="B142" s="131">
        <v>6666010302</v>
      </c>
      <c r="C142" s="131" t="s">
        <v>288</v>
      </c>
      <c r="D142" s="131"/>
      <c r="E142" s="131" t="s">
        <v>684</v>
      </c>
      <c r="F142" s="184">
        <v>11.13421</v>
      </c>
      <c r="G142" s="191">
        <f t="shared" si="20"/>
        <v>0.120165880613445</v>
      </c>
      <c r="H142" s="184">
        <v>0.490296134605399</v>
      </c>
      <c r="I142" s="192">
        <f t="shared" si="21"/>
        <v>0.0045949180406114</v>
      </c>
      <c r="J142" s="178">
        <v>3.37659</v>
      </c>
      <c r="K142" s="180">
        <f t="shared" si="13"/>
        <v>0.031446412606169</v>
      </c>
      <c r="L142" s="180">
        <f t="shared" si="14"/>
        <v>-0.0887194680072763</v>
      </c>
      <c r="M142" s="180">
        <f t="shared" si="15"/>
        <v>0.0268514945655576</v>
      </c>
      <c r="N142" s="110"/>
      <c r="O142" s="110"/>
    </row>
    <row r="143" spans="1:15">
      <c r="A143" s="87"/>
      <c r="B143" s="131">
        <v>6666010314</v>
      </c>
      <c r="C143" s="131" t="s">
        <v>290</v>
      </c>
      <c r="D143" s="131"/>
      <c r="E143" s="131" t="s">
        <v>685</v>
      </c>
      <c r="F143" s="184">
        <v>0.54082</v>
      </c>
      <c r="G143" s="191">
        <f t="shared" si="20"/>
        <v>0.00583679592475474</v>
      </c>
      <c r="H143" s="184">
        <v>15.3460030400735</v>
      </c>
      <c r="I143" s="192">
        <f t="shared" si="21"/>
        <v>0.143818442045973</v>
      </c>
      <c r="J143" s="178">
        <v>0.16643</v>
      </c>
      <c r="K143" s="180">
        <f t="shared" si="13"/>
        <v>0.00154997392340933</v>
      </c>
      <c r="L143" s="180">
        <f t="shared" si="14"/>
        <v>-0.00428682200134541</v>
      </c>
      <c r="M143" s="180">
        <f t="shared" si="15"/>
        <v>-0.142268468122564</v>
      </c>
      <c r="N143" s="110"/>
      <c r="O143" s="110"/>
    </row>
    <row r="144" spans="1:15">
      <c r="A144" s="87"/>
      <c r="B144" s="131">
        <v>6666020401</v>
      </c>
      <c r="C144" s="131" t="s">
        <v>295</v>
      </c>
      <c r="D144" s="131"/>
      <c r="E144" s="131" t="s">
        <v>686</v>
      </c>
      <c r="F144" s="184">
        <v>56.66126</v>
      </c>
      <c r="G144" s="191">
        <f t="shared" si="20"/>
        <v>0.61151623730533</v>
      </c>
      <c r="H144" s="184">
        <v>52.503624363919</v>
      </c>
      <c r="I144" s="192">
        <f t="shared" si="21"/>
        <v>0.492049261170331</v>
      </c>
      <c r="J144" s="178">
        <v>44.44147</v>
      </c>
      <c r="K144" s="180">
        <f t="shared" si="13"/>
        <v>0.413886436447623</v>
      </c>
      <c r="L144" s="180">
        <f t="shared" si="14"/>
        <v>-0.197629800857707</v>
      </c>
      <c r="M144" s="180">
        <f t="shared" si="15"/>
        <v>-0.0781628247227077</v>
      </c>
      <c r="N144" s="110"/>
      <c r="O144" s="110"/>
    </row>
    <row r="145" spans="1:15">
      <c r="A145" s="87"/>
      <c r="B145" s="131">
        <v>6666020402</v>
      </c>
      <c r="C145" s="131" t="s">
        <v>687</v>
      </c>
      <c r="D145" s="131"/>
      <c r="E145" s="131" t="s">
        <v>688</v>
      </c>
      <c r="F145" s="184">
        <v>0</v>
      </c>
      <c r="G145" s="191">
        <f t="shared" si="20"/>
        <v>0</v>
      </c>
      <c r="H145" s="184">
        <v>0</v>
      </c>
      <c r="I145" s="192">
        <f t="shared" si="21"/>
        <v>0</v>
      </c>
      <c r="J145" s="178">
        <v>0</v>
      </c>
      <c r="K145" s="180">
        <f t="shared" si="13"/>
        <v>0</v>
      </c>
      <c r="L145" s="180">
        <f t="shared" si="14"/>
        <v>0</v>
      </c>
      <c r="M145" s="180">
        <f t="shared" si="15"/>
        <v>0</v>
      </c>
      <c r="N145" s="110"/>
      <c r="O145" s="110"/>
    </row>
    <row r="146" spans="1:15">
      <c r="A146" s="87"/>
      <c r="B146" s="131">
        <v>6666020502</v>
      </c>
      <c r="C146" s="131" t="s">
        <v>297</v>
      </c>
      <c r="D146" s="131"/>
      <c r="E146" s="131" t="s">
        <v>689</v>
      </c>
      <c r="F146" s="184">
        <v>59.6742</v>
      </c>
      <c r="G146" s="191">
        <f t="shared" si="20"/>
        <v>0.644033370387558</v>
      </c>
      <c r="H146" s="184">
        <v>48.3962608283301</v>
      </c>
      <c r="I146" s="192">
        <f t="shared" si="21"/>
        <v>0.453556200595386</v>
      </c>
      <c r="J146" s="178">
        <v>35.95003</v>
      </c>
      <c r="K146" s="180">
        <f t="shared" si="13"/>
        <v>0.334805077484727</v>
      </c>
      <c r="L146" s="180">
        <f t="shared" si="14"/>
        <v>-0.309228292902832</v>
      </c>
      <c r="M146" s="180">
        <f t="shared" si="15"/>
        <v>-0.11875112311066</v>
      </c>
      <c r="N146" s="110"/>
      <c r="O146" s="110"/>
    </row>
    <row r="147" spans="1:15">
      <c r="A147" s="87"/>
      <c r="B147" s="131">
        <v>6666020503</v>
      </c>
      <c r="C147" s="131" t="s">
        <v>299</v>
      </c>
      <c r="D147" s="131"/>
      <c r="E147" s="131" t="s">
        <v>690</v>
      </c>
      <c r="F147" s="184">
        <v>1.91032</v>
      </c>
      <c r="G147" s="191">
        <f t="shared" si="20"/>
        <v>0.0206171147349903</v>
      </c>
      <c r="H147" s="184">
        <v>0.529376711907514</v>
      </c>
      <c r="I147" s="192">
        <f t="shared" si="21"/>
        <v>0.00496117026454035</v>
      </c>
      <c r="J147" s="178">
        <v>0.52938</v>
      </c>
      <c r="K147" s="180">
        <f t="shared" si="13"/>
        <v>0.00493015198927135</v>
      </c>
      <c r="L147" s="180">
        <f t="shared" si="14"/>
        <v>-0.015686962745719</v>
      </c>
      <c r="M147" s="180">
        <f t="shared" si="15"/>
        <v>-3.10182752690097e-5</v>
      </c>
      <c r="N147" s="110"/>
      <c r="O147" s="110"/>
    </row>
    <row r="148" spans="1:15">
      <c r="A148" s="87"/>
      <c r="B148" s="131">
        <v>6666021500</v>
      </c>
      <c r="C148" s="131" t="s">
        <v>312</v>
      </c>
      <c r="D148" s="131"/>
      <c r="E148" s="131" t="s">
        <v>691</v>
      </c>
      <c r="F148" s="184">
        <v>0</v>
      </c>
      <c r="G148" s="191">
        <f t="shared" si="20"/>
        <v>0</v>
      </c>
      <c r="H148" s="184">
        <v>0</v>
      </c>
      <c r="I148" s="192">
        <f t="shared" si="21"/>
        <v>0</v>
      </c>
      <c r="J148" s="178">
        <v>0</v>
      </c>
      <c r="K148" s="180">
        <f t="shared" si="13"/>
        <v>0</v>
      </c>
      <c r="L148" s="180">
        <f t="shared" si="14"/>
        <v>0</v>
      </c>
      <c r="M148" s="180">
        <f t="shared" si="15"/>
        <v>0</v>
      </c>
      <c r="N148" s="110"/>
      <c r="O148" s="110"/>
    </row>
    <row r="149" spans="1:15">
      <c r="A149" s="87"/>
      <c r="B149" s="131">
        <v>6666021502</v>
      </c>
      <c r="C149" s="131" t="s">
        <v>301</v>
      </c>
      <c r="D149" s="131"/>
      <c r="E149" s="131" t="s">
        <v>692</v>
      </c>
      <c r="F149" s="184">
        <v>10.63796</v>
      </c>
      <c r="G149" s="191">
        <f t="shared" si="20"/>
        <v>0.114810106090204</v>
      </c>
      <c r="H149" s="184">
        <v>37.0805555555555</v>
      </c>
      <c r="I149" s="192">
        <f t="shared" si="21"/>
        <v>0.347508580330217</v>
      </c>
      <c r="J149" s="178">
        <v>10.47883</v>
      </c>
      <c r="K149" s="180">
        <f t="shared" si="13"/>
        <v>0.0975900573684995</v>
      </c>
      <c r="L149" s="180">
        <f t="shared" si="14"/>
        <v>-0.0172200487217042</v>
      </c>
      <c r="M149" s="180">
        <f t="shared" si="15"/>
        <v>-0.249918522961718</v>
      </c>
      <c r="N149" s="110"/>
      <c r="O149" s="110"/>
    </row>
    <row r="150" spans="1:15">
      <c r="A150" s="87"/>
      <c r="B150" s="131">
        <v>6666021503</v>
      </c>
      <c r="C150" s="131" t="s">
        <v>304</v>
      </c>
      <c r="D150" s="131"/>
      <c r="E150" s="131" t="s">
        <v>694</v>
      </c>
      <c r="F150" s="184">
        <v>15.26418</v>
      </c>
      <c r="G150" s="191">
        <f t="shared" si="20"/>
        <v>0.164738551863324</v>
      </c>
      <c r="H150" s="184">
        <v>4.48196764753105</v>
      </c>
      <c r="I150" s="192">
        <f t="shared" si="21"/>
        <v>0.0420037453847189</v>
      </c>
      <c r="J150" s="178">
        <v>4.3961</v>
      </c>
      <c r="K150" s="180">
        <f t="shared" si="13"/>
        <v>0.0409411786618984</v>
      </c>
      <c r="L150" s="180">
        <f t="shared" si="14"/>
        <v>-0.123797373201426</v>
      </c>
      <c r="M150" s="180">
        <f t="shared" si="15"/>
        <v>-0.00106256672282057</v>
      </c>
      <c r="N150" s="110"/>
      <c r="O150" s="110"/>
    </row>
    <row r="151" spans="1:15">
      <c r="A151" s="87"/>
      <c r="B151" s="131">
        <v>6666021505</v>
      </c>
      <c r="C151" s="131" t="s">
        <v>403</v>
      </c>
      <c r="D151" s="131"/>
      <c r="E151" s="131" t="s">
        <v>695</v>
      </c>
      <c r="F151" s="184">
        <v>0</v>
      </c>
      <c r="G151" s="191">
        <f t="shared" si="20"/>
        <v>0</v>
      </c>
      <c r="H151" s="184">
        <v>0</v>
      </c>
      <c r="I151" s="192">
        <f t="shared" si="21"/>
        <v>0</v>
      </c>
      <c r="J151" s="178">
        <v>0</v>
      </c>
      <c r="K151" s="180">
        <f t="shared" si="13"/>
        <v>0</v>
      </c>
      <c r="L151" s="180">
        <f t="shared" si="14"/>
        <v>0</v>
      </c>
      <c r="M151" s="180">
        <f t="shared" si="15"/>
        <v>0</v>
      </c>
      <c r="N151" s="110"/>
      <c r="O151" s="110"/>
    </row>
    <row r="152" spans="1:15">
      <c r="A152" s="87"/>
      <c r="B152" s="131">
        <v>6666021506</v>
      </c>
      <c r="C152" s="131" t="s">
        <v>306</v>
      </c>
      <c r="D152" s="131"/>
      <c r="E152" s="131" t="s">
        <v>696</v>
      </c>
      <c r="F152" s="184">
        <v>-1.38595</v>
      </c>
      <c r="G152" s="191">
        <f t="shared" si="20"/>
        <v>-0.0149578553158423</v>
      </c>
      <c r="H152" s="184">
        <v>37.8260806</v>
      </c>
      <c r="I152" s="192">
        <f t="shared" si="21"/>
        <v>0.354495432223722</v>
      </c>
      <c r="J152" s="178">
        <v>20.7109</v>
      </c>
      <c r="K152" s="180">
        <f t="shared" si="13"/>
        <v>0.192882022053345</v>
      </c>
      <c r="L152" s="180">
        <f t="shared" si="14"/>
        <v>0.207839877369188</v>
      </c>
      <c r="M152" s="180">
        <f t="shared" si="15"/>
        <v>-0.161613410170376</v>
      </c>
      <c r="N152" s="110"/>
      <c r="O152" s="110"/>
    </row>
    <row r="153" spans="1:15">
      <c r="A153" s="87"/>
      <c r="B153" s="131">
        <v>6666030300</v>
      </c>
      <c r="C153" s="131" t="s">
        <v>698</v>
      </c>
      <c r="D153" s="131"/>
      <c r="E153" s="131" t="s">
        <v>309</v>
      </c>
      <c r="F153" s="184">
        <v>2.37582</v>
      </c>
      <c r="G153" s="191">
        <f t="shared" si="20"/>
        <v>0.025641020106414</v>
      </c>
      <c r="H153" s="184">
        <v>0</v>
      </c>
      <c r="I153" s="192">
        <f t="shared" si="21"/>
        <v>0</v>
      </c>
      <c r="J153" s="178">
        <v>0</v>
      </c>
      <c r="K153" s="180">
        <f t="shared" si="13"/>
        <v>0</v>
      </c>
      <c r="L153" s="180">
        <f t="shared" si="14"/>
        <v>-0.025641020106414</v>
      </c>
      <c r="M153" s="180">
        <f t="shared" si="15"/>
        <v>0</v>
      </c>
      <c r="N153" s="110"/>
      <c r="O153" s="110"/>
    </row>
    <row r="154" spans="1:15">
      <c r="A154" s="87"/>
      <c r="B154" s="131">
        <v>6666091600</v>
      </c>
      <c r="C154" s="131" t="s">
        <v>310</v>
      </c>
      <c r="D154" s="131"/>
      <c r="E154" s="131" t="s">
        <v>699</v>
      </c>
      <c r="F154" s="184">
        <v>0.54864</v>
      </c>
      <c r="G154" s="191">
        <f t="shared" si="20"/>
        <v>0.00592119321799756</v>
      </c>
      <c r="H154" s="184">
        <v>0.714108539677809</v>
      </c>
      <c r="I154" s="192">
        <f t="shared" si="21"/>
        <v>0.00669242521065573</v>
      </c>
      <c r="J154" s="178">
        <v>-2.05432</v>
      </c>
      <c r="K154" s="180">
        <f t="shared" si="13"/>
        <v>-0.0191320220533453</v>
      </c>
      <c r="L154" s="180">
        <f t="shared" si="14"/>
        <v>-0.0250532152713428</v>
      </c>
      <c r="M154" s="180">
        <f t="shared" si="15"/>
        <v>-0.025824447264001</v>
      </c>
      <c r="N154" s="110"/>
      <c r="O154" s="110"/>
    </row>
    <row r="155" spans="1:15">
      <c r="A155" s="87"/>
      <c r="B155" s="131" t="s">
        <v>752</v>
      </c>
      <c r="C155" s="131" t="s">
        <v>753</v>
      </c>
      <c r="D155" s="131"/>
      <c r="E155" s="131" t="s">
        <v>770</v>
      </c>
      <c r="F155" s="184">
        <v>0</v>
      </c>
      <c r="G155" s="191">
        <v>0</v>
      </c>
      <c r="H155" s="184">
        <v>0</v>
      </c>
      <c r="I155" s="192">
        <v>0</v>
      </c>
      <c r="J155" s="178">
        <v>5</v>
      </c>
      <c r="K155" s="180">
        <f t="shared" si="13"/>
        <v>0.0465653404857696</v>
      </c>
      <c r="L155" s="180">
        <f t="shared" si="14"/>
        <v>0.0465653404857696</v>
      </c>
      <c r="M155" s="180">
        <f t="shared" si="15"/>
        <v>0.0465653404857696</v>
      </c>
      <c r="N155" s="110"/>
      <c r="O155" s="110"/>
    </row>
    <row r="156" spans="1:15">
      <c r="A156" s="73"/>
      <c r="B156" s="193" t="s">
        <v>269</v>
      </c>
      <c r="C156" s="193" t="s">
        <v>313</v>
      </c>
      <c r="D156" s="193"/>
      <c r="E156" s="193" t="s">
        <v>700</v>
      </c>
      <c r="F156" s="194">
        <v>157.36146</v>
      </c>
      <c r="G156" s="195">
        <f>SUM(G141:G154)</f>
        <v>1.69832241492818</v>
      </c>
      <c r="H156" s="194">
        <v>197.3682734216</v>
      </c>
      <c r="I156" s="196">
        <v>1.69846246155952</v>
      </c>
      <c r="J156" s="197">
        <f>SUM(J141:J155)</f>
        <v>122.99541</v>
      </c>
      <c r="K156" s="196">
        <f t="shared" si="13"/>
        <v>1.14546462896737</v>
      </c>
      <c r="L156" s="196">
        <f t="shared" si="14"/>
        <v>-0.552857785960809</v>
      </c>
      <c r="M156" s="196">
        <f t="shared" si="15"/>
        <v>-0.552997832592153</v>
      </c>
      <c r="N156" s="110"/>
      <c r="O156" s="110"/>
    </row>
    <row r="157" spans="1:15">
      <c r="A157" s="158"/>
      <c r="B157" s="141"/>
      <c r="C157" s="141"/>
      <c r="D157" s="141"/>
      <c r="E157" s="200" t="s">
        <v>757</v>
      </c>
      <c r="F157" s="178">
        <f>F156+F140+F132+F124+F120+F118+F116+F114+F109+F53+F48+F39</f>
        <v>2602.42222</v>
      </c>
      <c r="G157" s="191">
        <f>F157/H28*1000</f>
        <v>28.0866229210961</v>
      </c>
      <c r="H157" s="178">
        <v>2425.68990852414</v>
      </c>
      <c r="I157" s="192">
        <f>I156+I140+I132+I124+I120+I118+I116+I114+I109+I53+I48+I39</f>
        <v>22.0704789073444</v>
      </c>
      <c r="J157" s="178">
        <f>J156+J140+J132+J124+J120+J118+J116+J114+J109+J53+J48+J39</f>
        <v>2348.58061</v>
      </c>
      <c r="K157" s="180">
        <f t="shared" si="13"/>
        <v>21.8724911525853</v>
      </c>
      <c r="L157" s="180">
        <f t="shared" si="14"/>
        <v>-6.21413176851078</v>
      </c>
      <c r="M157" s="180">
        <f t="shared" si="15"/>
        <v>-0.197987754759119</v>
      </c>
      <c r="N157" s="110"/>
      <c r="O157" s="110"/>
    </row>
    <row r="158" spans="1:15">
      <c r="A158" s="173"/>
      <c r="B158" s="172"/>
      <c r="F158" s="201"/>
      <c r="G158" s="201"/>
      <c r="H158" s="201"/>
      <c r="I158" s="201"/>
      <c r="J158" s="178"/>
      <c r="K158" s="180"/>
      <c r="L158" s="180">
        <f t="shared" ref="L158:L221" si="22">K158-G158</f>
        <v>0</v>
      </c>
      <c r="M158" s="180">
        <f t="shared" ref="M158:M221" si="23">K158-I158</f>
        <v>0</v>
      </c>
      <c r="N158" s="110"/>
      <c r="O158" s="110"/>
    </row>
    <row r="159" spans="1:15">
      <c r="A159" s="158" t="s">
        <v>55</v>
      </c>
      <c r="B159" s="131">
        <v>6666110110</v>
      </c>
      <c r="C159" s="131" t="s">
        <v>62</v>
      </c>
      <c r="D159" s="131"/>
      <c r="E159" s="131" t="s">
        <v>702</v>
      </c>
      <c r="F159" s="184">
        <v>0.15655</v>
      </c>
      <c r="G159" s="191">
        <v>0.00190670482918214</v>
      </c>
      <c r="H159" s="184">
        <v>0</v>
      </c>
      <c r="I159" s="202">
        <v>0</v>
      </c>
      <c r="J159" s="178">
        <v>0.10992</v>
      </c>
      <c r="K159" s="180">
        <f t="shared" ref="K159:K222" si="24">J159*1000/$L$28</f>
        <v>0.00102369244523916</v>
      </c>
      <c r="L159" s="180">
        <f t="shared" si="22"/>
        <v>-0.00088301238394298</v>
      </c>
      <c r="M159" s="180">
        <f t="shared" si="23"/>
        <v>0.00102369244523916</v>
      </c>
      <c r="N159" s="110"/>
      <c r="O159" s="110"/>
    </row>
    <row r="160" spans="1:15">
      <c r="A160" s="87"/>
      <c r="B160" s="131">
        <v>6666110112</v>
      </c>
      <c r="C160" s="131" t="s">
        <v>64</v>
      </c>
      <c r="D160" s="131"/>
      <c r="E160" s="131" t="s">
        <v>316</v>
      </c>
      <c r="F160" s="184">
        <v>0.17087</v>
      </c>
      <c r="G160" s="191">
        <v>0.00208111564460142</v>
      </c>
      <c r="H160" s="184">
        <v>0.29308</v>
      </c>
      <c r="I160" s="202">
        <v>0.0025221144695862</v>
      </c>
      <c r="J160" s="178">
        <v>0.05991</v>
      </c>
      <c r="K160" s="180">
        <f t="shared" si="24"/>
        <v>0.000557945909700492</v>
      </c>
      <c r="L160" s="180">
        <f t="shared" si="22"/>
        <v>-0.00152316973490093</v>
      </c>
      <c r="M160" s="180">
        <f t="shared" si="23"/>
        <v>-0.00196416855988571</v>
      </c>
      <c r="N160" s="110"/>
      <c r="O160" s="110"/>
    </row>
    <row r="161" spans="1:15">
      <c r="A161" s="87"/>
      <c r="B161" s="131">
        <v>6666110207</v>
      </c>
      <c r="C161" s="131" t="s">
        <v>68</v>
      </c>
      <c r="D161" s="131"/>
      <c r="E161" s="131" t="s">
        <v>317</v>
      </c>
      <c r="F161" s="184">
        <v>0.00699</v>
      </c>
      <c r="G161" s="191">
        <v>8.5134888252847e-5</v>
      </c>
      <c r="H161" s="184">
        <v>0</v>
      </c>
      <c r="I161" s="202">
        <v>0</v>
      </c>
      <c r="J161" s="178">
        <v>0.00214</v>
      </c>
      <c r="K161" s="180">
        <f t="shared" si="24"/>
        <v>1.99299657279094e-5</v>
      </c>
      <c r="L161" s="180">
        <f t="shared" si="22"/>
        <v>-6.52049225249376e-5</v>
      </c>
      <c r="M161" s="180">
        <f t="shared" si="23"/>
        <v>1.99299657279094e-5</v>
      </c>
      <c r="N161" s="110"/>
      <c r="O161" s="110"/>
    </row>
    <row r="162" spans="1:15">
      <c r="A162" s="87"/>
      <c r="B162" s="131">
        <v>6666110506</v>
      </c>
      <c r="C162" s="131" t="s">
        <v>70</v>
      </c>
      <c r="D162" s="131"/>
      <c r="E162" s="131" t="s">
        <v>318</v>
      </c>
      <c r="F162" s="184">
        <v>0.16703</v>
      </c>
      <c r="G162" s="191">
        <v>0.00203434626393033</v>
      </c>
      <c r="H162" s="184">
        <v>0</v>
      </c>
      <c r="I162" s="202">
        <v>0</v>
      </c>
      <c r="J162" s="178">
        <v>0.10853</v>
      </c>
      <c r="K162" s="180">
        <f t="shared" si="24"/>
        <v>0.00101074728058412</v>
      </c>
      <c r="L162" s="180">
        <f t="shared" si="22"/>
        <v>-0.00102359898334621</v>
      </c>
      <c r="M162" s="180">
        <f t="shared" si="23"/>
        <v>0.00101074728058412</v>
      </c>
      <c r="N162" s="110"/>
      <c r="O162" s="110"/>
    </row>
    <row r="163" spans="1:15">
      <c r="A163" s="73"/>
      <c r="B163" s="193" t="s">
        <v>319</v>
      </c>
      <c r="C163" s="193" t="s">
        <v>76</v>
      </c>
      <c r="D163" s="193"/>
      <c r="E163" s="193" t="s">
        <v>320</v>
      </c>
      <c r="F163" s="194">
        <v>0.50144</v>
      </c>
      <c r="G163" s="195">
        <v>0.00610730162596675</v>
      </c>
      <c r="H163" s="194">
        <v>0.29308</v>
      </c>
      <c r="I163" s="203">
        <v>0.0025221144695862</v>
      </c>
      <c r="J163" s="197">
        <f>SUM(J159:J162)</f>
        <v>0.2805</v>
      </c>
      <c r="K163" s="203">
        <f t="shared" si="24"/>
        <v>0.00261231560125168</v>
      </c>
      <c r="L163" s="203">
        <f t="shared" si="22"/>
        <v>-0.00349498602471507</v>
      </c>
      <c r="M163" s="203">
        <f t="shared" si="23"/>
        <v>9.02011316654765e-5</v>
      </c>
      <c r="N163" s="110"/>
      <c r="O163" s="110"/>
    </row>
    <row r="164" spans="1:15">
      <c r="A164" s="158" t="s">
        <v>78</v>
      </c>
      <c r="B164" s="131">
        <v>6666010380</v>
      </c>
      <c r="C164" s="131" t="s">
        <v>81</v>
      </c>
      <c r="D164" s="131"/>
      <c r="E164" s="131" t="s">
        <v>321</v>
      </c>
      <c r="F164" s="184">
        <v>0</v>
      </c>
      <c r="G164" s="191">
        <v>0</v>
      </c>
      <c r="H164" s="184">
        <v>0</v>
      </c>
      <c r="I164" s="202">
        <v>0</v>
      </c>
      <c r="J164" s="178">
        <v>0</v>
      </c>
      <c r="K164" s="180">
        <f t="shared" si="24"/>
        <v>0</v>
      </c>
      <c r="L164" s="180">
        <f t="shared" si="22"/>
        <v>0</v>
      </c>
      <c r="M164" s="180">
        <f t="shared" si="23"/>
        <v>0</v>
      </c>
      <c r="N164" s="110"/>
      <c r="O164" s="110"/>
    </row>
    <row r="165" spans="1:15">
      <c r="A165" s="87"/>
      <c r="B165" s="131">
        <v>5102040406</v>
      </c>
      <c r="C165" s="131" t="s">
        <v>322</v>
      </c>
      <c r="D165" s="131"/>
      <c r="E165" s="131" t="s">
        <v>323</v>
      </c>
      <c r="F165" s="184">
        <v>0</v>
      </c>
      <c r="G165" s="191">
        <v>0</v>
      </c>
      <c r="H165" s="184">
        <v>0</v>
      </c>
      <c r="I165" s="202">
        <v>0</v>
      </c>
      <c r="J165" s="178">
        <v>-4.67161</v>
      </c>
      <c r="K165" s="180">
        <f t="shared" si="24"/>
        <v>-0.0435070220533453</v>
      </c>
      <c r="L165" s="180">
        <f t="shared" si="22"/>
        <v>-0.0435070220533453</v>
      </c>
      <c r="M165" s="180">
        <f t="shared" si="23"/>
        <v>-0.0435070220533453</v>
      </c>
      <c r="N165" s="110"/>
      <c r="O165" s="110"/>
    </row>
    <row r="166" spans="1:15">
      <c r="A166" s="73"/>
      <c r="B166" s="193" t="s">
        <v>324</v>
      </c>
      <c r="C166" s="193" t="s">
        <v>97</v>
      </c>
      <c r="D166" s="193"/>
      <c r="E166" s="193" t="s">
        <v>325</v>
      </c>
      <c r="F166" s="194">
        <f>SUM(F164:F165)</f>
        <v>0</v>
      </c>
      <c r="G166" s="195">
        <f>F166/H28</f>
        <v>0</v>
      </c>
      <c r="H166" s="194">
        <v>0</v>
      </c>
      <c r="I166" s="203">
        <v>0</v>
      </c>
      <c r="J166" s="197">
        <f>SUM(J164:J165)</f>
        <v>-4.67161</v>
      </c>
      <c r="K166" s="203">
        <f t="shared" si="24"/>
        <v>-0.0435070220533453</v>
      </c>
      <c r="L166" s="203">
        <f t="shared" si="22"/>
        <v>-0.0435070220533453</v>
      </c>
      <c r="M166" s="203">
        <f t="shared" si="23"/>
        <v>-0.0435070220533453</v>
      </c>
      <c r="N166" s="110"/>
      <c r="O166" s="110"/>
    </row>
    <row r="167" spans="1:15">
      <c r="A167" s="158" t="s">
        <v>111</v>
      </c>
      <c r="B167" s="131">
        <v>6666029996</v>
      </c>
      <c r="C167" s="131" t="s">
        <v>190</v>
      </c>
      <c r="D167" s="131"/>
      <c r="E167" s="131" t="s">
        <v>703</v>
      </c>
      <c r="F167" s="184">
        <v>0.01593</v>
      </c>
      <c r="G167" s="191">
        <v>0.000194019852627733</v>
      </c>
      <c r="H167" s="184">
        <v>0</v>
      </c>
      <c r="I167" s="202">
        <v>0</v>
      </c>
      <c r="J167" s="178">
        <v>0.01353</v>
      </c>
      <c r="K167" s="180">
        <f t="shared" si="24"/>
        <v>0.000126005811354493</v>
      </c>
      <c r="L167" s="180">
        <f t="shared" si="22"/>
        <v>-6.80140412732404e-5</v>
      </c>
      <c r="M167" s="180">
        <f t="shared" si="23"/>
        <v>0.000126005811354493</v>
      </c>
      <c r="N167" s="110"/>
      <c r="O167" s="110"/>
    </row>
    <row r="168" spans="1:15">
      <c r="A168" s="87"/>
      <c r="B168" s="131">
        <v>6666029700</v>
      </c>
      <c r="C168" s="131" t="s">
        <v>186</v>
      </c>
      <c r="D168" s="131"/>
      <c r="E168" s="131" t="s">
        <v>704</v>
      </c>
      <c r="F168" s="184">
        <v>86.51221</v>
      </c>
      <c r="G168" s="191">
        <v>1.05367772973631</v>
      </c>
      <c r="H168" s="184">
        <v>5.48764</v>
      </c>
      <c r="I168" s="202">
        <v>0.0472241580724718</v>
      </c>
      <c r="J168" s="178">
        <v>32.45997</v>
      </c>
      <c r="K168" s="180">
        <f t="shared" si="24"/>
        <v>0.302301911041574</v>
      </c>
      <c r="L168" s="180">
        <f t="shared" si="22"/>
        <v>-0.751375818694737</v>
      </c>
      <c r="M168" s="180">
        <f t="shared" si="23"/>
        <v>0.255077752969102</v>
      </c>
      <c r="N168" s="110"/>
      <c r="O168" s="110"/>
    </row>
    <row r="169" spans="1:15">
      <c r="A169" s="87"/>
      <c r="B169" s="131">
        <v>6666010322</v>
      </c>
      <c r="C169" s="131" t="s">
        <v>138</v>
      </c>
      <c r="D169" s="131"/>
      <c r="E169" s="131" t="s">
        <v>328</v>
      </c>
      <c r="F169" s="184">
        <v>0.43379</v>
      </c>
      <c r="G169" s="191">
        <v>0.00528335667742525</v>
      </c>
      <c r="H169" s="184">
        <v>3.07489</v>
      </c>
      <c r="I169" s="202">
        <v>0.0264611183341952</v>
      </c>
      <c r="J169" s="178">
        <v>0.14101</v>
      </c>
      <c r="K169" s="180">
        <f t="shared" si="24"/>
        <v>0.00131323573237967</v>
      </c>
      <c r="L169" s="180">
        <f t="shared" si="22"/>
        <v>-0.00397012094504558</v>
      </c>
      <c r="M169" s="180">
        <f t="shared" si="23"/>
        <v>-0.0251478826018155</v>
      </c>
      <c r="N169" s="110"/>
      <c r="O169" s="110"/>
    </row>
    <row r="170" spans="1:15">
      <c r="A170" s="87"/>
      <c r="B170" s="131">
        <v>6666020495</v>
      </c>
      <c r="C170" s="131" t="s">
        <v>161</v>
      </c>
      <c r="D170" s="131"/>
      <c r="E170" s="131" t="s">
        <v>706</v>
      </c>
      <c r="F170" s="184">
        <v>0.02636</v>
      </c>
      <c r="G170" s="191">
        <v>0.0003210523110651</v>
      </c>
      <c r="H170" s="184">
        <v>0</v>
      </c>
      <c r="I170" s="202">
        <v>0</v>
      </c>
      <c r="J170" s="178">
        <v>0.06235</v>
      </c>
      <c r="K170" s="180">
        <f t="shared" si="24"/>
        <v>0.000580669795857547</v>
      </c>
      <c r="L170" s="180">
        <f t="shared" si="22"/>
        <v>0.000259617484792447</v>
      </c>
      <c r="M170" s="180">
        <f t="shared" si="23"/>
        <v>0.000580669795857547</v>
      </c>
      <c r="N170" s="110"/>
      <c r="O170" s="110"/>
    </row>
    <row r="171" spans="1:15">
      <c r="A171" s="87"/>
      <c r="B171" s="131">
        <v>5301060000</v>
      </c>
      <c r="C171" s="131" t="s">
        <v>124</v>
      </c>
      <c r="D171" s="131"/>
      <c r="E171" s="131" t="s">
        <v>330</v>
      </c>
      <c r="F171" s="184">
        <v>0</v>
      </c>
      <c r="G171" s="191">
        <v>0</v>
      </c>
      <c r="H171" s="184">
        <v>0</v>
      </c>
      <c r="I171" s="202">
        <v>0</v>
      </c>
      <c r="J171" s="178">
        <v>0</v>
      </c>
      <c r="K171" s="180">
        <f t="shared" si="24"/>
        <v>0</v>
      </c>
      <c r="L171" s="180">
        <f t="shared" si="22"/>
        <v>0</v>
      </c>
      <c r="M171" s="180">
        <f t="shared" si="23"/>
        <v>0</v>
      </c>
      <c r="N171" s="110"/>
      <c r="O171" s="110"/>
    </row>
    <row r="172" spans="1:15">
      <c r="A172" s="87"/>
      <c r="B172" s="131">
        <v>5601050000</v>
      </c>
      <c r="C172" s="131" t="s">
        <v>130</v>
      </c>
      <c r="D172" s="131"/>
      <c r="E172" s="131" t="s">
        <v>707</v>
      </c>
      <c r="F172" s="184">
        <v>0</v>
      </c>
      <c r="G172" s="191">
        <v>0</v>
      </c>
      <c r="H172" s="184">
        <v>0</v>
      </c>
      <c r="I172" s="202">
        <v>0</v>
      </c>
      <c r="J172" s="178">
        <v>0</v>
      </c>
      <c r="K172" s="180">
        <f t="shared" si="24"/>
        <v>0</v>
      </c>
      <c r="L172" s="180">
        <f t="shared" si="22"/>
        <v>0</v>
      </c>
      <c r="M172" s="180">
        <f t="shared" si="23"/>
        <v>0</v>
      </c>
      <c r="N172" s="110"/>
      <c r="O172" s="110"/>
    </row>
    <row r="173" spans="1:15">
      <c r="A173" s="87"/>
      <c r="B173" s="131">
        <v>5601050100</v>
      </c>
      <c r="C173" s="131" t="s">
        <v>132</v>
      </c>
      <c r="D173" s="131"/>
      <c r="E173" s="131" t="s">
        <v>708</v>
      </c>
      <c r="F173" s="184">
        <v>0.82058</v>
      </c>
      <c r="G173" s="191">
        <v>0.00999427562267828</v>
      </c>
      <c r="H173" s="184">
        <v>0</v>
      </c>
      <c r="I173" s="202">
        <v>0</v>
      </c>
      <c r="J173" s="178">
        <v>0.17216</v>
      </c>
      <c r="K173" s="180">
        <f t="shared" si="24"/>
        <v>0.00160333780360602</v>
      </c>
      <c r="L173" s="180">
        <f t="shared" si="22"/>
        <v>-0.00839093781907226</v>
      </c>
      <c r="M173" s="180">
        <f t="shared" si="23"/>
        <v>0.00160333780360602</v>
      </c>
      <c r="N173" s="110"/>
      <c r="O173" s="110"/>
    </row>
    <row r="174" spans="1:15">
      <c r="A174" s="87"/>
      <c r="B174" s="131">
        <v>5601080000</v>
      </c>
      <c r="C174" s="131" t="s">
        <v>333</v>
      </c>
      <c r="D174" s="131"/>
      <c r="E174" s="131" t="s">
        <v>709</v>
      </c>
      <c r="F174" s="184">
        <v>0</v>
      </c>
      <c r="G174" s="191">
        <v>0</v>
      </c>
      <c r="H174" s="184">
        <v>0</v>
      </c>
      <c r="I174" s="202">
        <v>0</v>
      </c>
      <c r="J174" s="178">
        <v>0.62572</v>
      </c>
      <c r="K174" s="180">
        <f t="shared" si="24"/>
        <v>0.00582737296975116</v>
      </c>
      <c r="L174" s="180">
        <f t="shared" si="22"/>
        <v>0.00582737296975116</v>
      </c>
      <c r="M174" s="180">
        <f t="shared" si="23"/>
        <v>0.00582737296975116</v>
      </c>
      <c r="N174" s="110"/>
      <c r="O174" s="110"/>
    </row>
    <row r="175" spans="1:15">
      <c r="A175" s="87"/>
      <c r="B175" s="131">
        <v>6666020101</v>
      </c>
      <c r="C175" s="131" t="s">
        <v>140</v>
      </c>
      <c r="D175" s="131"/>
      <c r="E175" s="131" t="s">
        <v>335</v>
      </c>
      <c r="F175" s="184">
        <v>-0.12373</v>
      </c>
      <c r="G175" s="191">
        <v>-0.00150697277875891</v>
      </c>
      <c r="H175" s="184">
        <v>0.79074</v>
      </c>
      <c r="I175" s="202">
        <v>0.00680475227132726</v>
      </c>
      <c r="J175" s="178">
        <v>1.50016</v>
      </c>
      <c r="K175" s="180">
        <f t="shared" si="24"/>
        <v>0.0139710922366264</v>
      </c>
      <c r="L175" s="180">
        <f t="shared" si="22"/>
        <v>0.0154780650153853</v>
      </c>
      <c r="M175" s="180">
        <f t="shared" si="23"/>
        <v>0.00716633996529917</v>
      </c>
      <c r="N175" s="110"/>
      <c r="O175" s="110"/>
    </row>
    <row r="176" spans="1:15">
      <c r="A176" s="87"/>
      <c r="B176" s="145">
        <v>6666021200</v>
      </c>
      <c r="C176" s="145" t="s">
        <v>336</v>
      </c>
      <c r="D176" s="145"/>
      <c r="E176" s="145" t="s">
        <v>337</v>
      </c>
      <c r="F176" s="184">
        <v>0</v>
      </c>
      <c r="G176" s="191">
        <v>0</v>
      </c>
      <c r="H176" s="184">
        <v>2.69917</v>
      </c>
      <c r="I176" s="202">
        <v>0.02322784124769</v>
      </c>
      <c r="J176" s="178">
        <v>2.4475</v>
      </c>
      <c r="K176" s="180">
        <f t="shared" si="24"/>
        <v>0.0227937341677842</v>
      </c>
      <c r="L176" s="180">
        <f t="shared" si="22"/>
        <v>0.0227937341677842</v>
      </c>
      <c r="M176" s="180">
        <f t="shared" si="23"/>
        <v>-0.000434107079905766</v>
      </c>
      <c r="N176" s="110"/>
      <c r="O176" s="110"/>
    </row>
    <row r="177" spans="1:15">
      <c r="A177" s="87"/>
      <c r="B177" s="131">
        <v>6666020201</v>
      </c>
      <c r="C177" s="131" t="s">
        <v>143</v>
      </c>
      <c r="D177" s="131"/>
      <c r="E177" s="131" t="s">
        <v>610</v>
      </c>
      <c r="F177" s="184">
        <v>0.21122</v>
      </c>
      <c r="G177" s="191">
        <v>0.00257255952743438</v>
      </c>
      <c r="H177" s="184">
        <v>0</v>
      </c>
      <c r="I177" s="202">
        <v>0</v>
      </c>
      <c r="J177" s="178">
        <v>0.0053</v>
      </c>
      <c r="K177" s="180">
        <f t="shared" si="24"/>
        <v>4.93592609149158e-5</v>
      </c>
      <c r="L177" s="180">
        <f t="shared" si="22"/>
        <v>-0.00252320026651946</v>
      </c>
      <c r="M177" s="180">
        <f t="shared" si="23"/>
        <v>4.93592609149158e-5</v>
      </c>
      <c r="N177" s="110"/>
      <c r="O177" s="110"/>
    </row>
    <row r="178" spans="1:15">
      <c r="A178" s="87"/>
      <c r="B178" s="131">
        <v>6666020202</v>
      </c>
      <c r="C178" s="131" t="s">
        <v>146</v>
      </c>
      <c r="D178" s="131"/>
      <c r="E178" s="131" t="s">
        <v>611</v>
      </c>
      <c r="F178" s="184">
        <v>0</v>
      </c>
      <c r="G178" s="191">
        <v>0</v>
      </c>
      <c r="H178" s="184">
        <v>0.97161</v>
      </c>
      <c r="I178" s="202">
        <v>0.00836123802304712</v>
      </c>
      <c r="J178" s="178">
        <v>0</v>
      </c>
      <c r="K178" s="180">
        <f t="shared" si="24"/>
        <v>0</v>
      </c>
      <c r="L178" s="180">
        <f t="shared" si="22"/>
        <v>0</v>
      </c>
      <c r="M178" s="180">
        <f t="shared" si="23"/>
        <v>-0.00836123802304712</v>
      </c>
      <c r="N178" s="110"/>
      <c r="O178" s="110"/>
    </row>
    <row r="179" spans="1:15">
      <c r="A179" s="87"/>
      <c r="B179" s="131">
        <v>6666020204</v>
      </c>
      <c r="C179" s="131" t="s">
        <v>148</v>
      </c>
      <c r="D179" s="131"/>
      <c r="E179" s="131" t="s">
        <v>340</v>
      </c>
      <c r="F179" s="184">
        <v>0</v>
      </c>
      <c r="G179" s="191">
        <v>0</v>
      </c>
      <c r="H179" s="184">
        <v>0.53691</v>
      </c>
      <c r="I179" s="202">
        <v>0.00462040562257925</v>
      </c>
      <c r="J179" s="178">
        <v>-0.95597</v>
      </c>
      <c r="K179" s="180">
        <f t="shared" si="24"/>
        <v>-0.00890301370883624</v>
      </c>
      <c r="L179" s="180">
        <f t="shared" si="22"/>
        <v>-0.00890301370883624</v>
      </c>
      <c r="M179" s="180">
        <f t="shared" si="23"/>
        <v>-0.0135234193314155</v>
      </c>
      <c r="N179" s="110"/>
      <c r="O179" s="110"/>
    </row>
    <row r="180" spans="1:15">
      <c r="A180" s="87"/>
      <c r="B180" s="131">
        <v>6666020301</v>
      </c>
      <c r="C180" s="131" t="s">
        <v>341</v>
      </c>
      <c r="D180" s="131"/>
      <c r="E180" s="131" t="s">
        <v>342</v>
      </c>
      <c r="F180" s="184">
        <v>0.43201</v>
      </c>
      <c r="G180" s="191">
        <v>0.00526167712076</v>
      </c>
      <c r="H180" s="184">
        <v>0.35644</v>
      </c>
      <c r="I180" s="202">
        <v>0.00306736209068959</v>
      </c>
      <c r="J180" s="178">
        <v>0.13957</v>
      </c>
      <c r="K180" s="180">
        <f t="shared" si="24"/>
        <v>0.00129982491431977</v>
      </c>
      <c r="L180" s="180">
        <f t="shared" si="22"/>
        <v>-0.00396185220644023</v>
      </c>
      <c r="M180" s="180">
        <f t="shared" si="23"/>
        <v>-0.00176753717636982</v>
      </c>
      <c r="N180" s="110"/>
      <c r="O180" s="110"/>
    </row>
    <row r="181" spans="1:15">
      <c r="A181" s="87"/>
      <c r="B181" s="131">
        <v>6666020403</v>
      </c>
      <c r="C181" s="131" t="s">
        <v>157</v>
      </c>
      <c r="D181" s="131"/>
      <c r="E181" s="131" t="s">
        <v>343</v>
      </c>
      <c r="F181" s="184">
        <v>0</v>
      </c>
      <c r="G181" s="191">
        <v>0</v>
      </c>
      <c r="H181" s="184">
        <v>0</v>
      </c>
      <c r="I181" s="202">
        <v>0</v>
      </c>
      <c r="J181" s="178">
        <v>0</v>
      </c>
      <c r="K181" s="180">
        <f t="shared" si="24"/>
        <v>0</v>
      </c>
      <c r="L181" s="180">
        <f t="shared" si="22"/>
        <v>0</v>
      </c>
      <c r="M181" s="180">
        <f t="shared" si="23"/>
        <v>0</v>
      </c>
      <c r="N181" s="110"/>
      <c r="O181" s="110"/>
    </row>
    <row r="182" spans="1:15">
      <c r="A182" s="87"/>
      <c r="B182" s="131">
        <v>6666020504</v>
      </c>
      <c r="C182" s="131" t="s">
        <v>163</v>
      </c>
      <c r="D182" s="131"/>
      <c r="E182" s="131" t="s">
        <v>344</v>
      </c>
      <c r="F182" s="184">
        <v>0</v>
      </c>
      <c r="G182" s="191">
        <v>0</v>
      </c>
      <c r="H182" s="184">
        <v>0</v>
      </c>
      <c r="I182" s="202">
        <v>0</v>
      </c>
      <c r="J182" s="178">
        <v>0</v>
      </c>
      <c r="K182" s="180">
        <f t="shared" si="24"/>
        <v>0</v>
      </c>
      <c r="L182" s="180">
        <f t="shared" si="22"/>
        <v>0</v>
      </c>
      <c r="M182" s="180">
        <f t="shared" si="23"/>
        <v>0</v>
      </c>
      <c r="N182" s="110"/>
      <c r="O182" s="110"/>
    </row>
    <row r="183" spans="1:15">
      <c r="A183" s="87"/>
      <c r="B183" s="131">
        <v>6666020508</v>
      </c>
      <c r="C183" s="131" t="s">
        <v>165</v>
      </c>
      <c r="D183" s="131"/>
      <c r="E183" s="131" t="s">
        <v>345</v>
      </c>
      <c r="F183" s="184">
        <v>0.01584</v>
      </c>
      <c r="G183" s="191">
        <v>0.000192923695268254</v>
      </c>
      <c r="H183" s="184">
        <v>0.02195</v>
      </c>
      <c r="I183" s="202">
        <v>0.000188891813182125</v>
      </c>
      <c r="J183" s="178">
        <v>-0.01047</v>
      </c>
      <c r="K183" s="180">
        <f t="shared" si="24"/>
        <v>-9.75078229772016e-5</v>
      </c>
      <c r="L183" s="180">
        <f t="shared" si="22"/>
        <v>-0.000290431518245456</v>
      </c>
      <c r="M183" s="180">
        <f t="shared" si="23"/>
        <v>-0.000286399636159327</v>
      </c>
      <c r="N183" s="110"/>
      <c r="O183" s="110"/>
    </row>
    <row r="184" spans="1:15">
      <c r="A184" s="87"/>
      <c r="B184" s="145">
        <v>6666020601</v>
      </c>
      <c r="C184" s="145" t="s">
        <v>346</v>
      </c>
      <c r="D184" s="145"/>
      <c r="E184" s="145" t="s">
        <v>710</v>
      </c>
      <c r="F184" s="184">
        <v>0</v>
      </c>
      <c r="G184" s="191">
        <v>0</v>
      </c>
      <c r="H184" s="184">
        <v>0.79658</v>
      </c>
      <c r="I184" s="202">
        <v>0.00685500868084815</v>
      </c>
      <c r="J184" s="178">
        <v>0</v>
      </c>
      <c r="K184" s="180">
        <f t="shared" si="24"/>
        <v>0</v>
      </c>
      <c r="L184" s="180">
        <f t="shared" si="22"/>
        <v>0</v>
      </c>
      <c r="M184" s="180">
        <f t="shared" si="23"/>
        <v>-0.00685500868084815</v>
      </c>
      <c r="N184" s="110"/>
      <c r="O184" s="110"/>
    </row>
    <row r="185" spans="1:15">
      <c r="A185" s="87"/>
      <c r="B185" s="145">
        <v>6666020602</v>
      </c>
      <c r="C185" s="145" t="s">
        <v>167</v>
      </c>
      <c r="D185" s="145"/>
      <c r="E185" s="145" t="s">
        <v>618</v>
      </c>
      <c r="F185" s="184">
        <v>0.01514</v>
      </c>
      <c r="G185" s="191">
        <v>0.000184398026916753</v>
      </c>
      <c r="H185" s="184">
        <v>0</v>
      </c>
      <c r="I185" s="202">
        <v>0</v>
      </c>
      <c r="J185" s="178">
        <v>0</v>
      </c>
      <c r="K185" s="180">
        <f t="shared" si="24"/>
        <v>0</v>
      </c>
      <c r="L185" s="180">
        <f t="shared" si="22"/>
        <v>-0.000184398026916753</v>
      </c>
      <c r="M185" s="180">
        <f t="shared" si="23"/>
        <v>0</v>
      </c>
      <c r="N185" s="110"/>
      <c r="O185" s="110"/>
    </row>
    <row r="186" spans="1:15">
      <c r="A186" s="87"/>
      <c r="B186" s="131">
        <v>6666020701</v>
      </c>
      <c r="C186" s="131" t="s">
        <v>170</v>
      </c>
      <c r="D186" s="131"/>
      <c r="E186" s="131" t="s">
        <v>348</v>
      </c>
      <c r="F186" s="184">
        <v>7.91393</v>
      </c>
      <c r="G186" s="191">
        <v>0.0963879179099933</v>
      </c>
      <c r="H186" s="184">
        <v>20.13725</v>
      </c>
      <c r="I186" s="202">
        <v>0.173292103189145</v>
      </c>
      <c r="J186" s="178">
        <v>20.18261</v>
      </c>
      <c r="K186" s="180">
        <f t="shared" si="24"/>
        <v>0.1879620213083</v>
      </c>
      <c r="L186" s="180">
        <f t="shared" si="22"/>
        <v>0.0915741033983065</v>
      </c>
      <c r="M186" s="180">
        <f t="shared" si="23"/>
        <v>0.0146699181191548</v>
      </c>
      <c r="N186" s="110"/>
      <c r="O186" s="110"/>
    </row>
    <row r="187" spans="1:15">
      <c r="A187" s="87"/>
      <c r="B187" s="131">
        <v>6666020801</v>
      </c>
      <c r="C187" s="131" t="s">
        <v>349</v>
      </c>
      <c r="D187" s="131"/>
      <c r="E187" s="131" t="s">
        <v>711</v>
      </c>
      <c r="F187" s="184">
        <v>0.11768</v>
      </c>
      <c r="G187" s="191">
        <v>0.0014332866451495</v>
      </c>
      <c r="H187" s="184">
        <v>0.96587</v>
      </c>
      <c r="I187" s="202">
        <v>0.00831184216848378</v>
      </c>
      <c r="J187" s="178">
        <v>-0.12487</v>
      </c>
      <c r="K187" s="180">
        <f t="shared" si="24"/>
        <v>-0.00116292281329161</v>
      </c>
      <c r="L187" s="180">
        <f t="shared" si="22"/>
        <v>-0.00259620945844111</v>
      </c>
      <c r="M187" s="180">
        <f t="shared" si="23"/>
        <v>-0.00947476498177539</v>
      </c>
      <c r="N187" s="110"/>
      <c r="O187" s="110"/>
    </row>
    <row r="188" spans="1:15">
      <c r="A188" s="87"/>
      <c r="B188" s="131">
        <v>6666020803</v>
      </c>
      <c r="C188" s="131" t="s">
        <v>174</v>
      </c>
      <c r="D188" s="131"/>
      <c r="E188" s="131" t="s">
        <v>620</v>
      </c>
      <c r="F188" s="184">
        <v>0</v>
      </c>
      <c r="G188" s="191">
        <v>0</v>
      </c>
      <c r="H188" s="184">
        <v>0</v>
      </c>
      <c r="I188" s="202">
        <v>0</v>
      </c>
      <c r="J188" s="178">
        <v>0.27734</v>
      </c>
      <c r="K188" s="180">
        <f t="shared" si="24"/>
        <v>0.00258288630606467</v>
      </c>
      <c r="L188" s="180">
        <f t="shared" si="22"/>
        <v>0.00258288630606467</v>
      </c>
      <c r="M188" s="180">
        <f t="shared" si="23"/>
        <v>0.00258288630606467</v>
      </c>
      <c r="N188" s="110"/>
      <c r="O188" s="110"/>
    </row>
    <row r="189" spans="1:15">
      <c r="A189" s="87"/>
      <c r="B189" s="131">
        <v>6666021100</v>
      </c>
      <c r="C189" s="131" t="s">
        <v>176</v>
      </c>
      <c r="D189" s="131"/>
      <c r="E189" s="131" t="s">
        <v>352</v>
      </c>
      <c r="F189" s="184">
        <v>2.40823</v>
      </c>
      <c r="G189" s="191">
        <v>0.0293311004201937</v>
      </c>
      <c r="H189" s="184">
        <v>1.10613</v>
      </c>
      <c r="I189" s="202">
        <v>0.00951885655194277</v>
      </c>
      <c r="J189" s="178">
        <v>15.1066199999999</v>
      </c>
      <c r="K189" s="180">
        <f t="shared" si="24"/>
        <v>0.140688980777827</v>
      </c>
      <c r="L189" s="180">
        <f t="shared" si="22"/>
        <v>0.111357880357633</v>
      </c>
      <c r="M189" s="180">
        <f t="shared" si="23"/>
        <v>0.131170124225884</v>
      </c>
      <c r="N189" s="110"/>
      <c r="O189" s="110"/>
    </row>
    <row r="190" spans="1:15">
      <c r="A190" s="87"/>
      <c r="B190" s="131">
        <v>6666021102</v>
      </c>
      <c r="C190" s="131" t="s">
        <v>353</v>
      </c>
      <c r="D190" s="131"/>
      <c r="E190" s="131" t="s">
        <v>712</v>
      </c>
      <c r="F190" s="184">
        <v>10.21325</v>
      </c>
      <c r="G190" s="191">
        <v>0.124392546129956</v>
      </c>
      <c r="H190" s="184">
        <v>2.98412</v>
      </c>
      <c r="I190" s="202">
        <v>0.0256799925992274</v>
      </c>
      <c r="J190" s="178">
        <v>-2.1781</v>
      </c>
      <c r="K190" s="180">
        <f t="shared" si="24"/>
        <v>-0.020284793622411</v>
      </c>
      <c r="L190" s="180">
        <f t="shared" si="22"/>
        <v>-0.144677339752367</v>
      </c>
      <c r="M190" s="180">
        <f t="shared" si="23"/>
        <v>-0.0459647862216384</v>
      </c>
      <c r="N190" s="110"/>
      <c r="O190" s="110"/>
    </row>
    <row r="191" spans="1:15">
      <c r="A191" s="87"/>
      <c r="B191" s="131">
        <v>6666021104</v>
      </c>
      <c r="C191" s="131" t="s">
        <v>178</v>
      </c>
      <c r="D191" s="131"/>
      <c r="E191" s="131" t="s">
        <v>355</v>
      </c>
      <c r="F191" s="184">
        <v>0</v>
      </c>
      <c r="G191" s="191">
        <v>0</v>
      </c>
      <c r="H191" s="184">
        <v>0.56647</v>
      </c>
      <c r="I191" s="202">
        <v>0.0048747856680309</v>
      </c>
      <c r="J191" s="178">
        <v>0.25716</v>
      </c>
      <c r="K191" s="180">
        <f t="shared" si="24"/>
        <v>0.0023949485918641</v>
      </c>
      <c r="L191" s="180">
        <f t="shared" si="22"/>
        <v>0.0023949485918641</v>
      </c>
      <c r="M191" s="180">
        <f t="shared" si="23"/>
        <v>-0.0024798370761668</v>
      </c>
      <c r="N191" s="110"/>
      <c r="O191" s="110"/>
    </row>
    <row r="192" spans="1:15">
      <c r="A192" s="87"/>
      <c r="B192" s="145">
        <v>6666021103</v>
      </c>
      <c r="C192" s="145" t="s">
        <v>356</v>
      </c>
      <c r="D192" s="145"/>
      <c r="E192" s="145" t="s">
        <v>357</v>
      </c>
      <c r="F192" s="184">
        <v>0</v>
      </c>
      <c r="G192" s="191">
        <v>0</v>
      </c>
      <c r="H192" s="184">
        <v>3.84972</v>
      </c>
      <c r="I192" s="202">
        <v>0.0331289563117763</v>
      </c>
      <c r="J192" s="178">
        <v>0</v>
      </c>
      <c r="K192" s="180">
        <f t="shared" si="24"/>
        <v>0</v>
      </c>
      <c r="L192" s="180">
        <f t="shared" si="22"/>
        <v>0</v>
      </c>
      <c r="M192" s="180">
        <f t="shared" si="23"/>
        <v>-0.0331289563117763</v>
      </c>
      <c r="N192" s="110"/>
      <c r="O192" s="110"/>
    </row>
    <row r="193" spans="1:15">
      <c r="A193" s="87"/>
      <c r="B193" s="131">
        <v>6666021300</v>
      </c>
      <c r="C193" s="131" t="s">
        <v>358</v>
      </c>
      <c r="D193" s="131"/>
      <c r="E193" s="131" t="s">
        <v>359</v>
      </c>
      <c r="F193" s="184">
        <v>11.41003</v>
      </c>
      <c r="G193" s="191">
        <v>0.138968759515255</v>
      </c>
      <c r="H193" s="184">
        <v>3.67549</v>
      </c>
      <c r="I193" s="202">
        <v>0.0316296114092377</v>
      </c>
      <c r="J193" s="178">
        <v>0.11746</v>
      </c>
      <c r="K193" s="180">
        <f t="shared" si="24"/>
        <v>0.0010939129786917</v>
      </c>
      <c r="L193" s="180">
        <f t="shared" si="22"/>
        <v>-0.137874846536563</v>
      </c>
      <c r="M193" s="180">
        <f t="shared" si="23"/>
        <v>-0.030535698430546</v>
      </c>
      <c r="N193" s="110"/>
      <c r="O193" s="110"/>
    </row>
    <row r="194" spans="1:15">
      <c r="A194" s="87"/>
      <c r="B194" s="131">
        <v>6666021902</v>
      </c>
      <c r="C194" s="131" t="s">
        <v>180</v>
      </c>
      <c r="D194" s="131"/>
      <c r="E194" s="131" t="s">
        <v>360</v>
      </c>
      <c r="F194" s="184">
        <v>0.06841</v>
      </c>
      <c r="G194" s="191">
        <v>0.000833201388465989</v>
      </c>
      <c r="H194" s="184">
        <v>4.20465</v>
      </c>
      <c r="I194" s="202">
        <v>0.0361833240226069</v>
      </c>
      <c r="J194" s="178">
        <v>0</v>
      </c>
      <c r="K194" s="180">
        <f t="shared" si="24"/>
        <v>0</v>
      </c>
      <c r="L194" s="180">
        <f t="shared" si="22"/>
        <v>-0.000833201388465989</v>
      </c>
      <c r="M194" s="180">
        <f t="shared" si="23"/>
        <v>-0.0361833240226069</v>
      </c>
      <c r="N194" s="110"/>
      <c r="O194" s="110"/>
    </row>
    <row r="195" spans="1:15">
      <c r="A195" s="87"/>
      <c r="B195" s="131">
        <v>6666022100</v>
      </c>
      <c r="C195" s="131" t="s">
        <v>182</v>
      </c>
      <c r="D195" s="131"/>
      <c r="E195" s="131" t="s">
        <v>713</v>
      </c>
      <c r="F195" s="184">
        <v>0.27531</v>
      </c>
      <c r="G195" s="191">
        <v>0.00335314536264539</v>
      </c>
      <c r="H195" s="184">
        <v>0.56993</v>
      </c>
      <c r="I195" s="202">
        <v>0.00490456086956211</v>
      </c>
      <c r="J195" s="178">
        <v>0</v>
      </c>
      <c r="K195" s="180">
        <f t="shared" si="24"/>
        <v>0</v>
      </c>
      <c r="L195" s="180">
        <f t="shared" si="22"/>
        <v>-0.00335314536264539</v>
      </c>
      <c r="M195" s="180">
        <f t="shared" si="23"/>
        <v>-0.00490456086956211</v>
      </c>
      <c r="N195" s="110"/>
      <c r="O195" s="110"/>
    </row>
    <row r="196" spans="1:15">
      <c r="A196" s="87"/>
      <c r="B196" s="131">
        <v>6666022300</v>
      </c>
      <c r="C196" s="131" t="s">
        <v>184</v>
      </c>
      <c r="D196" s="131"/>
      <c r="E196" s="131" t="s">
        <v>362</v>
      </c>
      <c r="F196" s="184">
        <v>9.08904</v>
      </c>
      <c r="G196" s="191">
        <v>0.110700200962183</v>
      </c>
      <c r="H196" s="184">
        <v>6.39185312156344</v>
      </c>
      <c r="I196" s="202">
        <v>0.0550054089168994</v>
      </c>
      <c r="J196" s="178">
        <v>7.19221</v>
      </c>
      <c r="K196" s="180">
        <f t="shared" si="24"/>
        <v>0.0669815414990314</v>
      </c>
      <c r="L196" s="180">
        <f t="shared" si="22"/>
        <v>-0.0437186594631516</v>
      </c>
      <c r="M196" s="180">
        <f t="shared" si="23"/>
        <v>0.011976132582132</v>
      </c>
      <c r="N196" s="110"/>
      <c r="O196" s="110"/>
    </row>
    <row r="197" spans="1:15">
      <c r="A197" s="87"/>
      <c r="B197" s="131">
        <v>6666029900</v>
      </c>
      <c r="C197" s="131" t="s">
        <v>188</v>
      </c>
      <c r="D197" s="131"/>
      <c r="E197" s="131" t="s">
        <v>714</v>
      </c>
      <c r="F197" s="184">
        <v>0.46548</v>
      </c>
      <c r="G197" s="191">
        <v>0.00566932586322392</v>
      </c>
      <c r="H197" s="184">
        <v>0</v>
      </c>
      <c r="I197" s="202">
        <v>0</v>
      </c>
      <c r="J197" s="178">
        <v>0.09702</v>
      </c>
      <c r="K197" s="180">
        <f t="shared" si="24"/>
        <v>0.000903553866785874</v>
      </c>
      <c r="L197" s="180">
        <f t="shared" si="22"/>
        <v>-0.00476577199643805</v>
      </c>
      <c r="M197" s="180">
        <f t="shared" si="23"/>
        <v>0.000903553866785874</v>
      </c>
      <c r="N197" s="110"/>
      <c r="O197" s="110"/>
    </row>
    <row r="198" spans="1:15">
      <c r="A198" s="87"/>
      <c r="B198" s="131">
        <v>6666029997</v>
      </c>
      <c r="C198" s="131" t="s">
        <v>191</v>
      </c>
      <c r="D198" s="131"/>
      <c r="E198" s="131" t="s">
        <v>364</v>
      </c>
      <c r="F198" s="184">
        <v>0</v>
      </c>
      <c r="G198" s="191">
        <v>0</v>
      </c>
      <c r="H198" s="184">
        <v>0</v>
      </c>
      <c r="I198" s="202">
        <v>0</v>
      </c>
      <c r="J198" s="178">
        <v>-1.33799</v>
      </c>
      <c r="K198" s="180">
        <f t="shared" si="24"/>
        <v>-0.012460791983311</v>
      </c>
      <c r="L198" s="180">
        <f t="shared" si="22"/>
        <v>-0.012460791983311</v>
      </c>
      <c r="M198" s="180">
        <f t="shared" si="23"/>
        <v>-0.012460791983311</v>
      </c>
      <c r="N198" s="110"/>
      <c r="O198" s="110"/>
    </row>
    <row r="199" spans="1:15">
      <c r="A199" s="87"/>
      <c r="B199" s="131">
        <v>6666031100</v>
      </c>
      <c r="C199" s="131" t="s">
        <v>365</v>
      </c>
      <c r="D199" s="131"/>
      <c r="E199" s="131" t="s">
        <v>715</v>
      </c>
      <c r="F199" s="184">
        <v>0</v>
      </c>
      <c r="G199" s="191">
        <v>0</v>
      </c>
      <c r="H199" s="184">
        <v>0</v>
      </c>
      <c r="I199" s="202">
        <v>0</v>
      </c>
      <c r="J199" s="178">
        <v>0</v>
      </c>
      <c r="K199" s="180">
        <f t="shared" si="24"/>
        <v>0</v>
      </c>
      <c r="L199" s="180">
        <f t="shared" si="22"/>
        <v>0</v>
      </c>
      <c r="M199" s="180">
        <f t="shared" si="23"/>
        <v>0</v>
      </c>
      <c r="N199" s="110"/>
      <c r="O199" s="110"/>
    </row>
    <row r="200" spans="1:15">
      <c r="A200" s="87"/>
      <c r="B200" s="131">
        <v>6666050107</v>
      </c>
      <c r="C200" s="131" t="s">
        <v>197</v>
      </c>
      <c r="D200" s="131"/>
      <c r="E200" s="131" t="s">
        <v>367</v>
      </c>
      <c r="F200" s="184">
        <v>0.01704</v>
      </c>
      <c r="G200" s="191">
        <v>0.00020753912672797</v>
      </c>
      <c r="H200" s="184">
        <v>0</v>
      </c>
      <c r="I200" s="202">
        <v>0</v>
      </c>
      <c r="J200" s="178">
        <v>0</v>
      </c>
      <c r="K200" s="180">
        <f t="shared" si="24"/>
        <v>0</v>
      </c>
      <c r="L200" s="180">
        <f t="shared" si="22"/>
        <v>-0.00020753912672797</v>
      </c>
      <c r="M200" s="180">
        <f t="shared" si="23"/>
        <v>0</v>
      </c>
      <c r="N200" s="110"/>
      <c r="O200" s="110"/>
    </row>
    <row r="201" spans="1:15">
      <c r="A201" s="87"/>
      <c r="B201" s="131">
        <v>6666079999</v>
      </c>
      <c r="C201" s="131" t="s">
        <v>368</v>
      </c>
      <c r="D201" s="131"/>
      <c r="E201" s="131" t="s">
        <v>369</v>
      </c>
      <c r="F201" s="184">
        <v>252.78759</v>
      </c>
      <c r="G201" s="191">
        <v>3.0788330795932</v>
      </c>
      <c r="H201" s="184">
        <v>94.9699</v>
      </c>
      <c r="I201" s="202">
        <v>0.817268182629844</v>
      </c>
      <c r="J201" s="178">
        <v>95.18383</v>
      </c>
      <c r="K201" s="180">
        <f t="shared" si="24"/>
        <v>0.886453490537923</v>
      </c>
      <c r="L201" s="180">
        <f t="shared" si="22"/>
        <v>-2.19237958905528</v>
      </c>
      <c r="M201" s="180">
        <f t="shared" si="23"/>
        <v>0.0691853079080789</v>
      </c>
      <c r="N201" s="110"/>
      <c r="O201" s="110"/>
    </row>
    <row r="202" spans="1:15">
      <c r="A202" s="87"/>
      <c r="B202" s="131">
        <v>6666090100</v>
      </c>
      <c r="C202" s="131" t="s">
        <v>370</v>
      </c>
      <c r="D202" s="131"/>
      <c r="E202" s="131" t="s">
        <v>371</v>
      </c>
      <c r="F202" s="184">
        <v>0</v>
      </c>
      <c r="G202" s="191">
        <v>0</v>
      </c>
      <c r="H202" s="184">
        <v>0</v>
      </c>
      <c r="I202" s="202">
        <v>0</v>
      </c>
      <c r="J202" s="178">
        <v>0</v>
      </c>
      <c r="K202" s="180">
        <f t="shared" si="24"/>
        <v>0</v>
      </c>
      <c r="L202" s="180">
        <f t="shared" si="22"/>
        <v>0</v>
      </c>
      <c r="M202" s="180">
        <f t="shared" si="23"/>
        <v>0</v>
      </c>
      <c r="N202" s="110"/>
      <c r="O202" s="110"/>
    </row>
    <row r="203" spans="1:15">
      <c r="A203" s="87"/>
      <c r="B203" s="131">
        <v>6666093800</v>
      </c>
      <c r="C203" s="131" t="s">
        <v>372</v>
      </c>
      <c r="D203" s="131"/>
      <c r="E203" s="131" t="s">
        <v>373</v>
      </c>
      <c r="F203" s="184">
        <v>0.15887</v>
      </c>
      <c r="G203" s="191">
        <v>0.00193496133000426</v>
      </c>
      <c r="H203" s="184">
        <v>0</v>
      </c>
      <c r="I203" s="202">
        <v>0</v>
      </c>
      <c r="J203" s="178">
        <v>1.04126</v>
      </c>
      <c r="K203" s="180">
        <f t="shared" si="24"/>
        <v>0.0096973252868425</v>
      </c>
      <c r="L203" s="180">
        <f t="shared" si="22"/>
        <v>0.00776236395683824</v>
      </c>
      <c r="M203" s="180">
        <f t="shared" si="23"/>
        <v>0.0096973252868425</v>
      </c>
      <c r="N203" s="110"/>
      <c r="O203" s="110"/>
    </row>
    <row r="204" spans="1:15">
      <c r="A204" s="87"/>
      <c r="B204" s="131">
        <v>6666021400</v>
      </c>
      <c r="C204" s="131" t="s">
        <v>374</v>
      </c>
      <c r="D204" s="131"/>
      <c r="E204" s="131" t="s">
        <v>375</v>
      </c>
      <c r="F204" s="184">
        <v>0</v>
      </c>
      <c r="G204" s="191">
        <v>0</v>
      </c>
      <c r="H204" s="184">
        <v>0.67634</v>
      </c>
      <c r="I204" s="202">
        <v>0.00582027739989058</v>
      </c>
      <c r="J204" s="178">
        <v>0</v>
      </c>
      <c r="K204" s="180">
        <f t="shared" si="24"/>
        <v>0</v>
      </c>
      <c r="L204" s="180">
        <f t="shared" si="22"/>
        <v>0</v>
      </c>
      <c r="M204" s="180">
        <f t="shared" si="23"/>
        <v>-0.00582027739989058</v>
      </c>
      <c r="N204" s="110"/>
      <c r="O204" s="110"/>
    </row>
    <row r="205" spans="1:15">
      <c r="A205" s="87"/>
      <c r="B205" s="131">
        <v>5401050201</v>
      </c>
      <c r="C205" s="131" t="s">
        <v>647</v>
      </c>
      <c r="D205" s="131"/>
      <c r="E205" s="131" t="s">
        <v>716</v>
      </c>
      <c r="F205" s="184">
        <v>0</v>
      </c>
      <c r="G205" s="191">
        <v>0</v>
      </c>
      <c r="H205" s="184">
        <v>0</v>
      </c>
      <c r="I205" s="202">
        <v>0</v>
      </c>
      <c r="J205" s="178">
        <v>0</v>
      </c>
      <c r="K205" s="180">
        <f t="shared" si="24"/>
        <v>0</v>
      </c>
      <c r="L205" s="180">
        <f t="shared" si="22"/>
        <v>0</v>
      </c>
      <c r="M205" s="180">
        <f t="shared" si="23"/>
        <v>0</v>
      </c>
      <c r="N205" s="110"/>
      <c r="O205" s="110"/>
    </row>
    <row r="206" spans="1:15">
      <c r="A206" s="87"/>
      <c r="B206" s="131">
        <v>5301070000</v>
      </c>
      <c r="C206" s="131" t="s">
        <v>231</v>
      </c>
      <c r="D206" s="131"/>
      <c r="E206" s="131" t="s">
        <v>657</v>
      </c>
      <c r="F206" s="184">
        <v>-42.0087</v>
      </c>
      <c r="G206" s="191">
        <v>-0.511646062968151</v>
      </c>
      <c r="H206" s="184">
        <v>0</v>
      </c>
      <c r="I206" s="202">
        <v>0</v>
      </c>
      <c r="J206" s="204">
        <v>43.53442</v>
      </c>
      <c r="K206" s="180">
        <f t="shared" si="24"/>
        <v>0.4054390180301</v>
      </c>
      <c r="L206" s="180">
        <f t="shared" si="22"/>
        <v>0.917085080998251</v>
      </c>
      <c r="M206" s="180">
        <f t="shared" si="23"/>
        <v>0.4054390180301</v>
      </c>
      <c r="N206" s="110"/>
      <c r="O206" s="110"/>
    </row>
    <row r="207" spans="1:15">
      <c r="A207" s="87"/>
      <c r="B207" s="131">
        <v>5207000011</v>
      </c>
      <c r="C207" s="131" t="s">
        <v>118</v>
      </c>
      <c r="D207" s="131"/>
      <c r="E207" s="131" t="s">
        <v>603</v>
      </c>
      <c r="F207" s="184">
        <v>0</v>
      </c>
      <c r="G207" s="191">
        <v>0</v>
      </c>
      <c r="H207" s="184">
        <v>0</v>
      </c>
      <c r="I207" s="202">
        <v>0</v>
      </c>
      <c r="J207" s="178">
        <v>0</v>
      </c>
      <c r="K207" s="180">
        <f t="shared" si="24"/>
        <v>0</v>
      </c>
      <c r="L207" s="180">
        <f t="shared" si="22"/>
        <v>0</v>
      </c>
      <c r="M207" s="180">
        <f t="shared" si="23"/>
        <v>0</v>
      </c>
      <c r="N207" s="110"/>
      <c r="O207" s="110"/>
    </row>
    <row r="208" spans="1:15">
      <c r="A208" s="87"/>
      <c r="B208" s="131">
        <v>5102040894</v>
      </c>
      <c r="C208" s="131" t="s">
        <v>717</v>
      </c>
      <c r="D208" s="131"/>
      <c r="E208" s="131" t="s">
        <v>718</v>
      </c>
      <c r="F208" s="184">
        <v>0</v>
      </c>
      <c r="G208" s="191">
        <v>0</v>
      </c>
      <c r="H208" s="184">
        <v>0</v>
      </c>
      <c r="I208" s="202">
        <v>0</v>
      </c>
      <c r="J208" s="178">
        <v>0</v>
      </c>
      <c r="K208" s="180">
        <f t="shared" si="24"/>
        <v>0</v>
      </c>
      <c r="L208" s="180">
        <f t="shared" si="22"/>
        <v>0</v>
      </c>
      <c r="M208" s="180">
        <f t="shared" si="23"/>
        <v>0</v>
      </c>
      <c r="N208" s="110"/>
      <c r="O208" s="110"/>
    </row>
    <row r="209" spans="1:15">
      <c r="A209" s="87"/>
      <c r="B209" s="131">
        <v>5207000012</v>
      </c>
      <c r="C209" s="131" t="s">
        <v>120</v>
      </c>
      <c r="D209" s="131"/>
      <c r="E209" s="131" t="s">
        <v>604</v>
      </c>
      <c r="F209" s="184">
        <v>0</v>
      </c>
      <c r="G209" s="191">
        <v>0</v>
      </c>
      <c r="H209" s="184">
        <v>0</v>
      </c>
      <c r="I209" s="202">
        <v>0</v>
      </c>
      <c r="J209" s="178">
        <v>0</v>
      </c>
      <c r="K209" s="180">
        <f t="shared" si="24"/>
        <v>0</v>
      </c>
      <c r="L209" s="180">
        <f t="shared" si="22"/>
        <v>0</v>
      </c>
      <c r="M209" s="180">
        <f t="shared" si="23"/>
        <v>0</v>
      </c>
      <c r="N209" s="110"/>
      <c r="O209" s="110"/>
    </row>
    <row r="210" spans="1:15">
      <c r="A210" s="87"/>
      <c r="B210" s="131">
        <v>5301999999</v>
      </c>
      <c r="C210" s="131" t="s">
        <v>126</v>
      </c>
      <c r="D210" s="131"/>
      <c r="E210" s="131" t="s">
        <v>606</v>
      </c>
      <c r="F210" s="184">
        <v>0</v>
      </c>
      <c r="G210" s="191">
        <f>F210/$H$28</f>
        <v>0</v>
      </c>
      <c r="H210" s="184">
        <v>0</v>
      </c>
      <c r="I210" s="202">
        <v>0</v>
      </c>
      <c r="J210" s="178">
        <v>-0.09876</v>
      </c>
      <c r="K210" s="180">
        <f t="shared" si="24"/>
        <v>-0.000919758605274922</v>
      </c>
      <c r="L210" s="180">
        <f t="shared" si="22"/>
        <v>-0.000919758605274922</v>
      </c>
      <c r="M210" s="180">
        <f t="shared" si="23"/>
        <v>-0.000919758605274922</v>
      </c>
      <c r="N210" s="110"/>
      <c r="O210" s="110"/>
    </row>
    <row r="211" spans="1:15">
      <c r="A211" s="87"/>
      <c r="B211" s="131">
        <v>6666070400</v>
      </c>
      <c r="C211" s="131" t="s">
        <v>203</v>
      </c>
      <c r="D211" s="131"/>
      <c r="E211" s="131" t="s">
        <v>627</v>
      </c>
      <c r="F211" s="184">
        <v>0</v>
      </c>
      <c r="G211" s="191">
        <f>F211/$H$28</f>
        <v>0</v>
      </c>
      <c r="H211" s="184">
        <v>0</v>
      </c>
      <c r="I211" s="202">
        <v>0</v>
      </c>
      <c r="J211" s="178">
        <v>0.05826</v>
      </c>
      <c r="K211" s="180">
        <f t="shared" si="24"/>
        <v>0.000542579347340188</v>
      </c>
      <c r="L211" s="180">
        <f t="shared" si="22"/>
        <v>0.000542579347340188</v>
      </c>
      <c r="M211" s="180">
        <f t="shared" si="23"/>
        <v>0.000542579347340188</v>
      </c>
      <c r="N211" s="110"/>
      <c r="O211" s="110"/>
    </row>
    <row r="212" spans="1:15">
      <c r="A212" s="87"/>
      <c r="B212" s="131">
        <v>5801000041</v>
      </c>
      <c r="C212" s="131" t="s">
        <v>719</v>
      </c>
      <c r="D212" s="131"/>
      <c r="E212" s="131" t="s">
        <v>720</v>
      </c>
      <c r="F212" s="184">
        <v>0</v>
      </c>
      <c r="G212" s="191">
        <f>F212/$H$28</f>
        <v>0</v>
      </c>
      <c r="H212" s="184">
        <v>0</v>
      </c>
      <c r="I212" s="202">
        <v>0</v>
      </c>
      <c r="J212" s="178">
        <v>0</v>
      </c>
      <c r="K212" s="180">
        <f t="shared" si="24"/>
        <v>0</v>
      </c>
      <c r="L212" s="180">
        <f t="shared" si="22"/>
        <v>0</v>
      </c>
      <c r="M212" s="180">
        <f t="shared" si="23"/>
        <v>0</v>
      </c>
      <c r="N212" s="110"/>
      <c r="O212" s="110"/>
    </row>
    <row r="213" spans="1:15">
      <c r="A213" s="73"/>
      <c r="B213" s="193" t="s">
        <v>376</v>
      </c>
      <c r="C213" s="193" t="s">
        <v>213</v>
      </c>
      <c r="D213" s="193"/>
      <c r="E213" s="193" t="s">
        <v>650</v>
      </c>
      <c r="F213" s="194">
        <f>SUM(F167:F212)</f>
        <v>341.27551</v>
      </c>
      <c r="G213" s="195">
        <v>3.7</v>
      </c>
      <c r="H213" s="194">
        <v>154.833653121563</v>
      </c>
      <c r="I213" s="203">
        <v>1.33242867789268</v>
      </c>
      <c r="J213" s="197">
        <f>SUM(J167:J211)</f>
        <v>215.9093</v>
      </c>
      <c r="K213" s="196">
        <f t="shared" si="24"/>
        <v>2.01077801370884</v>
      </c>
      <c r="L213" s="196">
        <f t="shared" si="22"/>
        <v>-1.68922198629117</v>
      </c>
      <c r="M213" s="196">
        <f t="shared" si="23"/>
        <v>0.678349335816155</v>
      </c>
      <c r="N213" s="110"/>
      <c r="O213" s="110"/>
    </row>
    <row r="214" spans="1:15">
      <c r="A214" s="158" t="s">
        <v>212</v>
      </c>
      <c r="B214" s="146">
        <v>5102040000</v>
      </c>
      <c r="C214" s="146" t="s">
        <v>217</v>
      </c>
      <c r="D214" s="146"/>
      <c r="E214" s="146" t="s">
        <v>721</v>
      </c>
      <c r="F214" s="184">
        <v>-0.36507</v>
      </c>
      <c r="G214" s="191">
        <v>-0.00444637963583217</v>
      </c>
      <c r="H214" s="184">
        <v>0</v>
      </c>
      <c r="I214" s="202">
        <v>0</v>
      </c>
      <c r="J214" s="178">
        <v>-0.16414</v>
      </c>
      <c r="K214" s="180">
        <f t="shared" si="24"/>
        <v>-0.00152864699746685</v>
      </c>
      <c r="L214" s="180">
        <f t="shared" si="22"/>
        <v>0.00291773263836532</v>
      </c>
      <c r="M214" s="180">
        <f t="shared" si="23"/>
        <v>-0.00152864699746685</v>
      </c>
      <c r="N214" s="110"/>
      <c r="O214" s="110"/>
    </row>
    <row r="215" spans="1:15">
      <c r="A215" s="73"/>
      <c r="B215" s="193" t="s">
        <v>379</v>
      </c>
      <c r="C215" s="193" t="s">
        <v>224</v>
      </c>
      <c r="D215" s="193"/>
      <c r="E215" s="193" t="s">
        <v>722</v>
      </c>
      <c r="F215" s="194">
        <v>-0.36507</v>
      </c>
      <c r="G215" s="195">
        <v>-0.00444637963583217</v>
      </c>
      <c r="H215" s="194">
        <v>0</v>
      </c>
      <c r="I215" s="203">
        <v>0</v>
      </c>
      <c r="J215" s="197">
        <f>J214</f>
        <v>-0.16414</v>
      </c>
      <c r="K215" s="196">
        <f t="shared" si="24"/>
        <v>-0.00152864699746685</v>
      </c>
      <c r="L215" s="196">
        <f t="shared" si="22"/>
        <v>0.00291773263836532</v>
      </c>
      <c r="M215" s="196">
        <f t="shared" si="23"/>
        <v>-0.00152864699746685</v>
      </c>
      <c r="N215" s="110"/>
      <c r="O215" s="110"/>
    </row>
    <row r="216" spans="1:15">
      <c r="A216" s="158" t="s">
        <v>243</v>
      </c>
      <c r="B216" s="146">
        <v>6666021600</v>
      </c>
      <c r="C216" s="146" t="s">
        <v>246</v>
      </c>
      <c r="D216" s="146"/>
      <c r="E216" s="146" t="s">
        <v>723</v>
      </c>
      <c r="F216" s="184">
        <v>4.65923</v>
      </c>
      <c r="G216" s="191">
        <v>0.056747213933378</v>
      </c>
      <c r="H216" s="184">
        <v>1.42679</v>
      </c>
      <c r="I216" s="202">
        <v>0.0122783120788211</v>
      </c>
      <c r="J216" s="178">
        <v>1.70143</v>
      </c>
      <c r="K216" s="180">
        <f t="shared" si="24"/>
        <v>0.0158455334525406</v>
      </c>
      <c r="L216" s="180">
        <f t="shared" si="22"/>
        <v>-0.0409016804808374</v>
      </c>
      <c r="M216" s="180">
        <f t="shared" si="23"/>
        <v>0.0035672213737195</v>
      </c>
      <c r="N216" s="110"/>
      <c r="O216" s="110"/>
    </row>
    <row r="217" spans="1:15">
      <c r="A217" s="87"/>
      <c r="B217" s="146">
        <v>6666021604</v>
      </c>
      <c r="C217" s="146" t="s">
        <v>248</v>
      </c>
      <c r="D217" s="146"/>
      <c r="E217" s="146" t="s">
        <v>662</v>
      </c>
      <c r="F217" s="184">
        <v>0</v>
      </c>
      <c r="G217" s="191">
        <v>0</v>
      </c>
      <c r="H217" s="184">
        <v>0</v>
      </c>
      <c r="I217" s="202">
        <v>0</v>
      </c>
      <c r="J217" s="178">
        <v>0.26321</v>
      </c>
      <c r="K217" s="180">
        <f t="shared" si="24"/>
        <v>0.00245129265385188</v>
      </c>
      <c r="L217" s="180">
        <f t="shared" si="22"/>
        <v>0.00245129265385188</v>
      </c>
      <c r="M217" s="180">
        <f t="shared" si="23"/>
        <v>0.00245129265385188</v>
      </c>
      <c r="N217" s="110"/>
      <c r="O217" s="110"/>
    </row>
    <row r="218" spans="1:15">
      <c r="A218" s="73"/>
      <c r="B218" s="193" t="s">
        <v>379</v>
      </c>
      <c r="C218" s="193" t="s">
        <v>251</v>
      </c>
      <c r="D218" s="193"/>
      <c r="E218" s="193" t="s">
        <v>724</v>
      </c>
      <c r="F218" s="194">
        <v>4.65923</v>
      </c>
      <c r="G218" s="195">
        <v>0.056747213933378</v>
      </c>
      <c r="H218" s="194">
        <v>1.42679</v>
      </c>
      <c r="I218" s="203">
        <v>0.0122783120788211</v>
      </c>
      <c r="J218" s="197">
        <f>SUM(J216:J217)</f>
        <v>1.96464</v>
      </c>
      <c r="K218" s="203">
        <f t="shared" si="24"/>
        <v>0.0182968261063925</v>
      </c>
      <c r="L218" s="203">
        <f t="shared" si="22"/>
        <v>-0.0384503878269855</v>
      </c>
      <c r="M218" s="203">
        <f t="shared" si="23"/>
        <v>0.00601851402757139</v>
      </c>
      <c r="N218" s="110"/>
      <c r="O218" s="110"/>
    </row>
    <row r="219" spans="1:15">
      <c r="A219" s="158" t="s">
        <v>250</v>
      </c>
      <c r="B219" s="146">
        <v>6666010012</v>
      </c>
      <c r="C219" s="146" t="s">
        <v>262</v>
      </c>
      <c r="D219" s="146"/>
      <c r="E219" s="146" t="s">
        <v>725</v>
      </c>
      <c r="F219" s="184">
        <v>0.04357</v>
      </c>
      <c r="G219" s="191">
        <v>0.000530661957249863</v>
      </c>
      <c r="H219" s="184">
        <v>0</v>
      </c>
      <c r="I219" s="202">
        <v>0</v>
      </c>
      <c r="J219" s="178">
        <v>-0.00334</v>
      </c>
      <c r="K219" s="180">
        <f t="shared" si="24"/>
        <v>-3.11056474444941e-5</v>
      </c>
      <c r="L219" s="180">
        <f t="shared" si="22"/>
        <v>-0.000561767604694357</v>
      </c>
      <c r="M219" s="180">
        <f t="shared" si="23"/>
        <v>-3.11056474444941e-5</v>
      </c>
      <c r="N219" s="110"/>
      <c r="O219" s="110"/>
    </row>
    <row r="220" spans="1:15">
      <c r="A220" s="87"/>
      <c r="B220" s="146">
        <v>6666010102</v>
      </c>
      <c r="C220" s="146" t="s">
        <v>384</v>
      </c>
      <c r="D220" s="146"/>
      <c r="E220" s="146" t="s">
        <v>726</v>
      </c>
      <c r="F220" s="184">
        <v>0.2455</v>
      </c>
      <c r="G220" s="191">
        <v>0.00299007368613361</v>
      </c>
      <c r="H220" s="184">
        <v>0</v>
      </c>
      <c r="I220" s="202">
        <v>0</v>
      </c>
      <c r="J220" s="178">
        <v>0.00802</v>
      </c>
      <c r="K220" s="180">
        <f t="shared" si="24"/>
        <v>7.46908061391745e-5</v>
      </c>
      <c r="L220" s="180">
        <f t="shared" si="22"/>
        <v>-0.00291538287999444</v>
      </c>
      <c r="M220" s="180">
        <f t="shared" si="23"/>
        <v>7.46908061391745e-5</v>
      </c>
      <c r="N220" s="110"/>
      <c r="O220" s="110"/>
    </row>
    <row r="221" spans="1:15">
      <c r="A221" s="73"/>
      <c r="B221" s="193" t="s">
        <v>386</v>
      </c>
      <c r="C221" s="193" t="s">
        <v>270</v>
      </c>
      <c r="D221" s="193"/>
      <c r="E221" s="193" t="s">
        <v>673</v>
      </c>
      <c r="F221" s="194">
        <v>0</v>
      </c>
      <c r="G221" s="195">
        <v>0</v>
      </c>
      <c r="H221" s="194">
        <v>0</v>
      </c>
      <c r="I221" s="203">
        <v>0</v>
      </c>
      <c r="J221" s="197">
        <f>SUM(J219:J220)</f>
        <v>0.00468</v>
      </c>
      <c r="K221" s="203">
        <f t="shared" si="24"/>
        <v>4.35851586946804e-5</v>
      </c>
      <c r="L221" s="203">
        <f t="shared" si="22"/>
        <v>4.35851586946804e-5</v>
      </c>
      <c r="M221" s="203">
        <f t="shared" si="23"/>
        <v>4.35851586946804e-5</v>
      </c>
      <c r="N221" s="110"/>
      <c r="O221" s="110"/>
    </row>
    <row r="222" spans="1:15">
      <c r="A222" s="158" t="s">
        <v>388</v>
      </c>
      <c r="B222" s="146">
        <v>6666010196</v>
      </c>
      <c r="C222" s="146" t="s">
        <v>272</v>
      </c>
      <c r="D222" s="146"/>
      <c r="E222" s="146" t="s">
        <v>727</v>
      </c>
      <c r="F222" s="184">
        <v>3.61319</v>
      </c>
      <c r="G222" s="191">
        <v>0.0440069423299434</v>
      </c>
      <c r="H222" s="184">
        <v>0</v>
      </c>
      <c r="I222" s="202">
        <v>0</v>
      </c>
      <c r="J222" s="178">
        <v>3.92493</v>
      </c>
      <c r="K222" s="180">
        <f t="shared" si="24"/>
        <v>0.0365531403665624</v>
      </c>
      <c r="L222" s="180">
        <f t="shared" ref="L222:L236" si="25">K222-G222</f>
        <v>-0.00745380196338104</v>
      </c>
      <c r="M222" s="180">
        <f t="shared" ref="M222:M236" si="26">K222-I222</f>
        <v>0.0365531403665624</v>
      </c>
      <c r="N222" s="110"/>
      <c r="O222" s="110"/>
    </row>
    <row r="223" spans="1:15">
      <c r="A223" s="87"/>
      <c r="B223" s="146">
        <v>6666010101</v>
      </c>
      <c r="C223" s="146" t="s">
        <v>274</v>
      </c>
      <c r="D223" s="146"/>
      <c r="E223" s="146" t="s">
        <v>675</v>
      </c>
      <c r="F223" s="184">
        <v>24.05731</v>
      </c>
      <c r="G223" s="191">
        <v>0.293006637841788</v>
      </c>
      <c r="H223" s="184">
        <v>53.87238</v>
      </c>
      <c r="I223" s="202">
        <v>0.463601436839929</v>
      </c>
      <c r="J223" s="178">
        <v>22.2055</v>
      </c>
      <c r="K223" s="180">
        <f t="shared" ref="K223:K236" si="27">J223*1000/$L$28</f>
        <v>0.206801333631352</v>
      </c>
      <c r="L223" s="180">
        <f t="shared" si="25"/>
        <v>-0.0862053042104365</v>
      </c>
      <c r="M223" s="180">
        <f t="shared" si="26"/>
        <v>-0.256800103208577</v>
      </c>
      <c r="N223" s="110"/>
      <c r="O223" s="110"/>
    </row>
    <row r="224" spans="1:15">
      <c r="A224" s="87"/>
      <c r="B224" s="146">
        <v>6666010199</v>
      </c>
      <c r="C224" s="146" t="s">
        <v>276</v>
      </c>
      <c r="D224" s="146"/>
      <c r="E224" s="146" t="s">
        <v>728</v>
      </c>
      <c r="F224" s="184">
        <v>1.34141</v>
      </c>
      <c r="G224" s="191">
        <v>0.0163377382619816</v>
      </c>
      <c r="H224" s="184">
        <v>0</v>
      </c>
      <c r="I224" s="202">
        <v>0</v>
      </c>
      <c r="J224" s="178">
        <v>3.90598</v>
      </c>
      <c r="K224" s="180">
        <f t="shared" si="27"/>
        <v>0.0363766577261213</v>
      </c>
      <c r="L224" s="180">
        <f t="shared" si="25"/>
        <v>0.0200389194641397</v>
      </c>
      <c r="M224" s="180">
        <f t="shared" si="26"/>
        <v>0.0363766577261213</v>
      </c>
      <c r="N224" s="110"/>
      <c r="O224" s="110"/>
    </row>
    <row r="225" spans="1:15">
      <c r="A225" s="87"/>
      <c r="B225" s="146">
        <v>6666010207</v>
      </c>
      <c r="C225" s="146" t="s">
        <v>280</v>
      </c>
      <c r="D225" s="146"/>
      <c r="E225" s="146" t="s">
        <v>729</v>
      </c>
      <c r="F225" s="184">
        <v>0.41868</v>
      </c>
      <c r="G225" s="191">
        <v>0.00509932403629499</v>
      </c>
      <c r="H225" s="184">
        <v>0</v>
      </c>
      <c r="I225" s="202">
        <v>0</v>
      </c>
      <c r="J225" s="178">
        <v>0.3804</v>
      </c>
      <c r="K225" s="180">
        <f t="shared" si="27"/>
        <v>0.00354269110415735</v>
      </c>
      <c r="L225" s="180">
        <f t="shared" si="25"/>
        <v>-0.00155663293213764</v>
      </c>
      <c r="M225" s="180">
        <f t="shared" si="26"/>
        <v>0.00354269110415735</v>
      </c>
      <c r="N225" s="110"/>
      <c r="O225" s="110"/>
    </row>
    <row r="226" spans="1:15">
      <c r="A226" s="87"/>
      <c r="B226" s="146">
        <v>6666010227</v>
      </c>
      <c r="C226" s="146" t="s">
        <v>394</v>
      </c>
      <c r="D226" s="146"/>
      <c r="E226" s="146" t="s">
        <v>730</v>
      </c>
      <c r="F226" s="184">
        <v>0.39026</v>
      </c>
      <c r="G226" s="191">
        <v>0.00475318190122404</v>
      </c>
      <c r="H226" s="184">
        <v>0</v>
      </c>
      <c r="I226" s="202">
        <v>0</v>
      </c>
      <c r="J226" s="178">
        <v>0.34321</v>
      </c>
      <c r="K226" s="180">
        <f t="shared" si="27"/>
        <v>0.0031963381016242</v>
      </c>
      <c r="L226" s="180">
        <f t="shared" si="25"/>
        <v>-0.00155684379959984</v>
      </c>
      <c r="M226" s="180">
        <f t="shared" si="26"/>
        <v>0.0031963381016242</v>
      </c>
      <c r="N226" s="110"/>
      <c r="O226" s="110"/>
    </row>
    <row r="227" spans="1:15">
      <c r="A227" s="73"/>
      <c r="B227" s="193" t="s">
        <v>396</v>
      </c>
      <c r="C227" s="193" t="s">
        <v>286</v>
      </c>
      <c r="D227" s="193"/>
      <c r="E227" s="193" t="s">
        <v>731</v>
      </c>
      <c r="F227" s="194">
        <v>29.82085</v>
      </c>
      <c r="G227" s="195">
        <v>0.363203824371232</v>
      </c>
      <c r="H227" s="194">
        <v>53.87238</v>
      </c>
      <c r="I227" s="203">
        <v>0.463601436839929</v>
      </c>
      <c r="J227" s="197">
        <f>SUM(J222:J226)</f>
        <v>30.76002</v>
      </c>
      <c r="K227" s="196">
        <f t="shared" si="27"/>
        <v>0.286470160929817</v>
      </c>
      <c r="L227" s="196">
        <f t="shared" si="25"/>
        <v>-0.0767336634414153</v>
      </c>
      <c r="M227" s="196">
        <f t="shared" si="26"/>
        <v>-0.177131275910112</v>
      </c>
      <c r="N227" s="110"/>
      <c r="O227" s="110"/>
    </row>
    <row r="228" spans="1:15">
      <c r="A228" s="158" t="s">
        <v>285</v>
      </c>
      <c r="B228" s="146">
        <v>6666010314</v>
      </c>
      <c r="C228" s="146" t="s">
        <v>290</v>
      </c>
      <c r="D228" s="146"/>
      <c r="E228" s="146" t="s">
        <v>732</v>
      </c>
      <c r="F228" s="184">
        <v>0</v>
      </c>
      <c r="G228" s="191">
        <v>0</v>
      </c>
      <c r="H228" s="184">
        <v>0.49185</v>
      </c>
      <c r="I228" s="202">
        <v>0.00423263955870743</v>
      </c>
      <c r="J228" s="178">
        <v>-0.05871</v>
      </c>
      <c r="K228" s="180">
        <f t="shared" si="27"/>
        <v>-0.000546770227983907</v>
      </c>
      <c r="L228" s="180">
        <f t="shared" si="25"/>
        <v>-0.000546770227983907</v>
      </c>
      <c r="M228" s="180">
        <f t="shared" si="26"/>
        <v>-0.00477940978669134</v>
      </c>
      <c r="N228" s="110"/>
      <c r="O228" s="110"/>
    </row>
    <row r="229" spans="1:15">
      <c r="A229" s="87"/>
      <c r="B229" s="146">
        <v>6666020401</v>
      </c>
      <c r="C229" s="146" t="s">
        <v>295</v>
      </c>
      <c r="D229" s="146"/>
      <c r="E229" s="146" t="s">
        <v>733</v>
      </c>
      <c r="F229" s="184">
        <v>0.00013</v>
      </c>
      <c r="G229" s="191">
        <v>1.58333840813592e-6</v>
      </c>
      <c r="H229" s="184">
        <v>1.59455</v>
      </c>
      <c r="I229" s="202">
        <v>0.0137219790756062</v>
      </c>
      <c r="J229" s="178">
        <v>0.0929</v>
      </c>
      <c r="K229" s="180">
        <f t="shared" si="27"/>
        <v>0.0008651840262256</v>
      </c>
      <c r="L229" s="180">
        <f t="shared" si="25"/>
        <v>0.000863600687817464</v>
      </c>
      <c r="M229" s="180">
        <f t="shared" si="26"/>
        <v>-0.0128567950493806</v>
      </c>
      <c r="N229" s="110"/>
      <c r="O229" s="110"/>
    </row>
    <row r="230" spans="1:15">
      <c r="A230" s="87"/>
      <c r="B230" s="146">
        <v>6666020502</v>
      </c>
      <c r="C230" s="146" t="s">
        <v>297</v>
      </c>
      <c r="D230" s="146"/>
      <c r="E230" s="146" t="s">
        <v>734</v>
      </c>
      <c r="F230" s="184">
        <v>-1.15988</v>
      </c>
      <c r="G230" s="191">
        <v>-0.014126788867913</v>
      </c>
      <c r="H230" s="184">
        <v>2.2845</v>
      </c>
      <c r="I230" s="202">
        <v>0.0196593780052193</v>
      </c>
      <c r="J230" s="178">
        <v>-0.95128</v>
      </c>
      <c r="K230" s="180">
        <f t="shared" si="27"/>
        <v>-0.00885933541946059</v>
      </c>
      <c r="L230" s="180">
        <f t="shared" si="25"/>
        <v>0.00526745344845241</v>
      </c>
      <c r="M230" s="180">
        <f t="shared" si="26"/>
        <v>-0.0285187134246799</v>
      </c>
      <c r="N230" s="110"/>
      <c r="O230" s="110"/>
    </row>
    <row r="231" spans="1:15">
      <c r="A231" s="87"/>
      <c r="B231" s="146">
        <v>6666020503</v>
      </c>
      <c r="C231" s="146" t="s">
        <v>299</v>
      </c>
      <c r="D231" s="146"/>
      <c r="E231" s="146" t="s">
        <v>735</v>
      </c>
      <c r="F231" s="184">
        <v>0.00083</v>
      </c>
      <c r="G231" s="191">
        <v>1.01090067596371e-5</v>
      </c>
      <c r="H231" s="184">
        <v>0</v>
      </c>
      <c r="I231" s="202">
        <v>0</v>
      </c>
      <c r="J231" s="178">
        <v>0</v>
      </c>
      <c r="K231" s="180">
        <f t="shared" si="27"/>
        <v>0</v>
      </c>
      <c r="L231" s="180">
        <f t="shared" si="25"/>
        <v>-1.01090067596371e-5</v>
      </c>
      <c r="M231" s="180">
        <f t="shared" si="26"/>
        <v>0</v>
      </c>
      <c r="N231" s="110"/>
      <c r="O231" s="110"/>
    </row>
    <row r="232" spans="1:15">
      <c r="A232" s="87"/>
      <c r="B232" s="146">
        <v>6666021502</v>
      </c>
      <c r="C232" s="146" t="s">
        <v>301</v>
      </c>
      <c r="D232" s="146"/>
      <c r="E232" s="146" t="s">
        <v>736</v>
      </c>
      <c r="F232" s="184">
        <v>1.99846</v>
      </c>
      <c r="G232" s="191">
        <v>0.0243402959624871</v>
      </c>
      <c r="H232" s="184">
        <v>0</v>
      </c>
      <c r="I232" s="202">
        <v>0</v>
      </c>
      <c r="J232" s="178">
        <v>0.01551</v>
      </c>
      <c r="K232" s="180">
        <f t="shared" si="27"/>
        <v>0.000144445686186857</v>
      </c>
      <c r="L232" s="180">
        <f t="shared" si="25"/>
        <v>-0.0241958502763002</v>
      </c>
      <c r="M232" s="180">
        <f t="shared" si="26"/>
        <v>0.000144445686186857</v>
      </c>
      <c r="N232" s="110"/>
      <c r="O232" s="110"/>
    </row>
    <row r="233" spans="1:15">
      <c r="A233" s="87"/>
      <c r="B233" s="146">
        <v>6666021505</v>
      </c>
      <c r="C233" s="146" t="s">
        <v>403</v>
      </c>
      <c r="D233" s="146"/>
      <c r="E233" s="146" t="s">
        <v>737</v>
      </c>
      <c r="F233" s="184">
        <v>0</v>
      </c>
      <c r="G233" s="191">
        <v>0</v>
      </c>
      <c r="H233" s="184">
        <v>0</v>
      </c>
      <c r="I233" s="202">
        <v>0</v>
      </c>
      <c r="J233" s="178">
        <v>0</v>
      </c>
      <c r="K233" s="180">
        <f t="shared" si="27"/>
        <v>0</v>
      </c>
      <c r="L233" s="180">
        <f t="shared" si="25"/>
        <v>0</v>
      </c>
      <c r="M233" s="180">
        <f t="shared" si="26"/>
        <v>0</v>
      </c>
      <c r="N233" s="110"/>
      <c r="O233" s="110"/>
    </row>
    <row r="234" spans="1:15">
      <c r="A234" s="87"/>
      <c r="B234" s="146">
        <v>6666091600</v>
      </c>
      <c r="C234" s="146" t="s">
        <v>310</v>
      </c>
      <c r="D234" s="146"/>
      <c r="E234" s="146" t="s">
        <v>738</v>
      </c>
      <c r="F234" s="184">
        <v>0.00361</v>
      </c>
      <c r="G234" s="191">
        <v>4.3968089641313e-5</v>
      </c>
      <c r="H234" s="184">
        <v>0.41657</v>
      </c>
      <c r="I234" s="202">
        <v>0.00358481378666413</v>
      </c>
      <c r="J234" s="178">
        <v>0.26246</v>
      </c>
      <c r="K234" s="180">
        <f t="shared" si="27"/>
        <v>0.00244430785277902</v>
      </c>
      <c r="L234" s="180">
        <f t="shared" si="25"/>
        <v>0.00240033976313771</v>
      </c>
      <c r="M234" s="180">
        <f t="shared" si="26"/>
        <v>-0.00114050593388511</v>
      </c>
      <c r="N234" s="110"/>
      <c r="O234" s="110"/>
    </row>
    <row r="235" spans="1:15">
      <c r="A235" s="73"/>
      <c r="B235" s="193" t="s">
        <v>26</v>
      </c>
      <c r="C235" s="193" t="s">
        <v>313</v>
      </c>
      <c r="D235" s="193"/>
      <c r="E235" s="193" t="s">
        <v>314</v>
      </c>
      <c r="F235" s="194">
        <v>0.84315</v>
      </c>
      <c r="G235" s="195">
        <v>0.0102691675293831</v>
      </c>
      <c r="H235" s="194">
        <v>4.78747</v>
      </c>
      <c r="I235" s="203">
        <v>0.0411988104261971</v>
      </c>
      <c r="J235" s="197">
        <f>SUM(J228:J234)</f>
        <v>-0.63912</v>
      </c>
      <c r="K235" s="196">
        <f t="shared" si="27"/>
        <v>-0.00595216808225302</v>
      </c>
      <c r="L235" s="196">
        <f t="shared" si="25"/>
        <v>-0.0162213356116361</v>
      </c>
      <c r="M235" s="196">
        <f t="shared" si="26"/>
        <v>-0.0471509785084501</v>
      </c>
      <c r="N235" s="110"/>
      <c r="O235" s="110"/>
    </row>
    <row r="236" spans="1:15">
      <c r="A236" s="158"/>
      <c r="B236" s="147"/>
      <c r="C236" s="147"/>
      <c r="D236" s="205"/>
      <c r="E236" s="206" t="s">
        <v>739</v>
      </c>
      <c r="F236" s="184">
        <f>SUM(F235+F227+F221+F218+F215+F213+F166+F163)</f>
        <v>376.73511</v>
      </c>
      <c r="G236" s="207">
        <v>4.07</v>
      </c>
      <c r="H236" s="184">
        <v>215.213373121563</v>
      </c>
      <c r="I236" s="192">
        <f>I235+I227+I221+I218+I215+I213+I166+I163</f>
        <v>1.85202935170721</v>
      </c>
      <c r="J236" s="178">
        <f>SUM(J235+J227+J221+J218+J215+J213+J166+J163)</f>
        <v>243.44427</v>
      </c>
      <c r="K236" s="180">
        <f t="shared" si="27"/>
        <v>2.26721306437193</v>
      </c>
      <c r="L236" s="180">
        <f t="shared" si="25"/>
        <v>-1.80278693562807</v>
      </c>
      <c r="M236" s="180">
        <f t="shared" si="26"/>
        <v>0.415183712664712</v>
      </c>
      <c r="N236" s="110"/>
      <c r="O236" s="110"/>
    </row>
    <row r="237" spans="1:15">
      <c r="A237" s="173"/>
      <c r="B237" s="172"/>
      <c r="F237" s="201"/>
      <c r="G237" s="201"/>
      <c r="H237" s="201"/>
      <c r="I237" s="201"/>
      <c r="J237" s="201"/>
      <c r="K237" s="180"/>
      <c r="L237" s="180"/>
      <c r="M237" s="180"/>
    </row>
    <row r="238" spans="1:15">
      <c r="A238" s="158"/>
      <c r="B238" s="147"/>
      <c r="C238" s="147"/>
      <c r="D238" s="147"/>
      <c r="E238" s="208" t="s">
        <v>741</v>
      </c>
      <c r="F238" s="179">
        <f>F236+F157</f>
        <v>2979.15733</v>
      </c>
      <c r="G238" s="179">
        <f>G236+G157</f>
        <v>32.1566229210961</v>
      </c>
      <c r="H238" s="178">
        <v>2640.90328164571</v>
      </c>
      <c r="I238" s="191">
        <f>I236+I157</f>
        <v>23.9225082590516</v>
      </c>
      <c r="J238" s="179">
        <f>J236+J157</f>
        <v>2592.02488</v>
      </c>
      <c r="K238" s="180">
        <f>J238*1000/$L$28</f>
        <v>24.1397042169572</v>
      </c>
      <c r="L238" s="180">
        <f>K238-G238</f>
        <v>-8.01691870413885</v>
      </c>
      <c r="M238" s="180">
        <f>K238-I238</f>
        <v>0.217195957905595</v>
      </c>
      <c r="N238" s="110"/>
      <c r="O238" s="110"/>
    </row>
    <row r="239" spans="1:15">
      <c r="A239" s="173"/>
      <c r="B239" s="172"/>
    </row>
    <row r="240" spans="1:15">
      <c r="G240" s="172" t="s">
        <v>771</v>
      </c>
    </row>
    <row r="241" spans="9:13">
      <c r="L241" s="172">
        <v>92</v>
      </c>
      <c r="M241" s="172">
        <f>6.92*10.67</f>
        <v>73.8364</v>
      </c>
    </row>
    <row r="243" spans="9:13">
      <c r="I243" s="172">
        <f>J45-H45</f>
        <v>404.894872181843</v>
      </c>
    </row>
  </sheetData>
  <mergeCells count="27">
    <mergeCell ref="A4:A9"/>
    <mergeCell ref="A11:A24"/>
    <mergeCell ref="A28:A29"/>
    <mergeCell ref="A30:A39"/>
    <mergeCell ref="A40:A48"/>
    <mergeCell ref="A49:A53"/>
    <mergeCell ref="A54:A109"/>
    <mergeCell ref="A110:A114"/>
    <mergeCell ref="A115:A116"/>
    <mergeCell ref="A117:A118"/>
    <mergeCell ref="A119:A120"/>
    <mergeCell ref="A121:A124"/>
    <mergeCell ref="A125:A132"/>
    <mergeCell ref="A133:A140"/>
    <mergeCell ref="A142:A156"/>
    <mergeCell ref="A159:A163"/>
    <mergeCell ref="A164:A166"/>
    <mergeCell ref="A167:A213"/>
    <mergeCell ref="A214:A215"/>
    <mergeCell ref="A216:A218"/>
    <mergeCell ref="A219:A221"/>
    <mergeCell ref="A222:A227"/>
    <mergeCell ref="A228:A235"/>
    <mergeCell ref="B28:B29"/>
    <mergeCell ref="C28:C29"/>
    <mergeCell ref="E28:E29"/>
    <mergeCell ref="I2:I10"/>
  </mergeCells>
  <conditionalFormatting sqref="L30:L38 L40:L47 L49:L52 L54:L108 L110:L113 L115 L117:L119 L121:L123 L125:L131 L133:L139 L141:L155 L157:L162 L164:L165 L167:L212 L214 L216:L217 L219:L220 L222:L226 L228:L234 L236:L238">
    <cfRule type="cellIs" dxfId="0" priority="1" operator="greaterThan">
      <formula>0.5</formula>
    </cfRule>
  </conditionalFormatting>
  <conditionalFormatting sqref="B159:B214 B216:B235">
    <cfRule type="duplicateValues" dxfId="1" priority="2"/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235"/>
  <sheetViews>
    <sheetView zoomScale="85" zoomScaleNormal="85" workbookViewId="0">
      <selection activeCell="A1" sqref="A1:I25"/>
    </sheetView>
  </sheetViews>
  <sheetFormatPr defaultColWidth="9" defaultRowHeight="14.4"/>
  <cols>
    <col min="1" max="1" width="9" style="104" customWidth="1"/>
    <col min="2" max="2" width="13" style="105" customWidth="1"/>
    <col min="3" max="3" width="13.2222222222222" style="104" customWidth="1"/>
    <col min="4" max="4" width="42.4444444444444" style="104" customWidth="1"/>
    <col min="5" max="5" width="25.2222222222222" style="104" customWidth="1"/>
    <col min="6" max="6" width="13" style="104" customWidth="1"/>
    <col min="7" max="7" width="19.4444444444444" style="104" customWidth="1"/>
    <col min="8" max="8" width="10.3333333333333" style="104" customWidth="1"/>
    <col min="9" max="9" width="35" style="104" customWidth="1"/>
    <col min="10" max="10" width="14.3333333333333" style="104" customWidth="1"/>
    <col min="11" max="11" width="13.3333333333333" style="104" customWidth="1"/>
    <col min="12" max="12" width="9" style="104" customWidth="1"/>
    <col min="13" max="13" width="25.5555555555556" style="104" customWidth="1"/>
    <col min="14" max="14" width="9.77777777777778" style="104" customWidth="1"/>
    <col min="15" max="15" width="15" style="104" customWidth="1"/>
    <col min="16" max="16" width="9" style="104" customWidth="1"/>
    <col min="17" max="16384" width="9" style="104"/>
  </cols>
  <sheetData>
    <row r="1" ht="94.05" customHeight="1" spans="1:9">
      <c r="A1" s="150" t="s">
        <v>772</v>
      </c>
      <c r="B1" s="7"/>
      <c r="C1" s="7"/>
      <c r="D1" s="7"/>
      <c r="E1" s="7"/>
      <c r="F1" s="7"/>
      <c r="G1" s="7"/>
      <c r="H1" s="7"/>
      <c r="I1" s="8"/>
    </row>
    <row r="2" spans="1:9">
      <c r="A2" s="108" t="s">
        <v>535</v>
      </c>
      <c r="B2" s="108" t="s">
        <v>1</v>
      </c>
      <c r="C2" s="108" t="s">
        <v>425</v>
      </c>
      <c r="D2" s="108" t="s">
        <v>773</v>
      </c>
      <c r="E2" s="109" t="s">
        <v>538</v>
      </c>
      <c r="F2" s="109" t="s">
        <v>539</v>
      </c>
      <c r="G2" s="109" t="s">
        <v>540</v>
      </c>
      <c r="H2" s="109" t="s">
        <v>541</v>
      </c>
      <c r="I2" s="109" t="s">
        <v>542</v>
      </c>
    </row>
    <row r="3" spans="1:9">
      <c r="A3" s="151" t="s">
        <v>501</v>
      </c>
      <c r="B3" s="110" t="s">
        <v>543</v>
      </c>
      <c r="C3" s="112">
        <v>98687</v>
      </c>
      <c r="D3" s="112">
        <v>104704</v>
      </c>
      <c r="E3" s="152">
        <f>K26</f>
        <v>110370</v>
      </c>
      <c r="F3" s="153">
        <f t="shared" ref="F3:F25" si="0">E3-D3</f>
        <v>5666</v>
      </c>
      <c r="G3" s="154">
        <f t="shared" ref="G3:G25" si="1">E3-C3</f>
        <v>11683</v>
      </c>
      <c r="H3" s="112">
        <f>G3/C3</f>
        <v>0.118384387001327</v>
      </c>
      <c r="I3" s="112"/>
    </row>
    <row r="4" spans="1:9">
      <c r="A4" s="151" t="s">
        <v>544</v>
      </c>
      <c r="B4" s="110" t="s">
        <v>545</v>
      </c>
      <c r="C4" s="112">
        <v>20</v>
      </c>
      <c r="D4" s="112">
        <v>21</v>
      </c>
      <c r="E4" s="152">
        <v>21</v>
      </c>
      <c r="F4" s="113">
        <f t="shared" si="0"/>
        <v>0</v>
      </c>
      <c r="G4" s="113">
        <f t="shared" si="1"/>
        <v>1</v>
      </c>
      <c r="H4" s="112"/>
      <c r="I4" s="112"/>
    </row>
    <row r="5" spans="1:9">
      <c r="A5" s="151" t="s">
        <v>546</v>
      </c>
      <c r="B5" s="110" t="s">
        <v>547</v>
      </c>
      <c r="C5" s="114">
        <v>296</v>
      </c>
      <c r="D5" s="114">
        <v>258</v>
      </c>
      <c r="E5" s="152">
        <v>277</v>
      </c>
      <c r="F5" s="113">
        <f t="shared" si="0"/>
        <v>19</v>
      </c>
      <c r="G5" s="113">
        <f t="shared" si="1"/>
        <v>-19</v>
      </c>
      <c r="H5" s="112"/>
      <c r="I5" s="112"/>
    </row>
    <row r="6" spans="1:9">
      <c r="A6" s="87"/>
      <c r="B6" s="110" t="s">
        <v>548</v>
      </c>
      <c r="C6" s="114">
        <f>E43/C5*1000</f>
        <v>1532.6764527027</v>
      </c>
      <c r="D6" s="114">
        <f>G43*1000/D5</f>
        <v>1819.6340095596</v>
      </c>
      <c r="E6" s="155">
        <f>(I43+I45)*1000/E5</f>
        <v>1874.6191673982</v>
      </c>
      <c r="F6" s="113">
        <f t="shared" si="0"/>
        <v>54.985157838594</v>
      </c>
      <c r="G6" s="113">
        <f t="shared" si="1"/>
        <v>341.942714695496</v>
      </c>
      <c r="H6" s="112"/>
      <c r="I6" s="112"/>
    </row>
    <row r="7" spans="1:9">
      <c r="A7" s="87"/>
      <c r="B7" s="110" t="s">
        <v>250</v>
      </c>
      <c r="C7" s="114">
        <v>182</v>
      </c>
      <c r="D7" s="114">
        <v>127</v>
      </c>
      <c r="E7" s="152">
        <v>113</v>
      </c>
      <c r="F7" s="113">
        <f t="shared" si="0"/>
        <v>-14</v>
      </c>
      <c r="G7" s="113">
        <f t="shared" si="1"/>
        <v>-69</v>
      </c>
      <c r="H7" s="112"/>
      <c r="I7" s="112"/>
    </row>
    <row r="8" spans="1:9">
      <c r="A8" s="87"/>
      <c r="B8" s="110" t="s">
        <v>549</v>
      </c>
      <c r="C8" s="114">
        <f>E130*1000/C7</f>
        <v>2214.70703296703</v>
      </c>
      <c r="D8" s="114">
        <f>G130/D7*1000</f>
        <v>2547.46875750011</v>
      </c>
      <c r="E8" s="155">
        <f>(I129)*1000/E7</f>
        <v>2329.61920912123</v>
      </c>
      <c r="F8" s="113">
        <f t="shared" si="0"/>
        <v>-217.849548378882</v>
      </c>
      <c r="G8" s="113">
        <f t="shared" si="1"/>
        <v>114.912176154197</v>
      </c>
      <c r="H8" s="112"/>
      <c r="I8" s="112"/>
    </row>
    <row r="9" spans="1:9">
      <c r="A9" s="87"/>
      <c r="B9" s="110" t="s">
        <v>550</v>
      </c>
      <c r="C9" s="114">
        <v>55</v>
      </c>
      <c r="D9" s="114">
        <v>34</v>
      </c>
      <c r="E9" s="152">
        <v>29</v>
      </c>
      <c r="F9" s="113">
        <f t="shared" si="0"/>
        <v>-5</v>
      </c>
      <c r="G9" s="113">
        <f t="shared" si="1"/>
        <v>-26</v>
      </c>
      <c r="H9" s="112"/>
      <c r="I9" s="112"/>
    </row>
    <row r="10" spans="1:9">
      <c r="A10" s="73"/>
      <c r="B10" s="110" t="s">
        <v>551</v>
      </c>
      <c r="C10" s="114">
        <f>E138*1000/C9</f>
        <v>2713.68509090909</v>
      </c>
      <c r="D10" s="114">
        <f>G138*1000/D9</f>
        <v>4419.78379626128</v>
      </c>
      <c r="E10" s="155">
        <f>(I132+I133)*1000/E9</f>
        <v>2011.60068965517</v>
      </c>
      <c r="F10" s="113">
        <f t="shared" si="0"/>
        <v>-2408.18310660611</v>
      </c>
      <c r="G10" s="113">
        <f t="shared" si="1"/>
        <v>-702.084401253918</v>
      </c>
      <c r="H10" s="112"/>
      <c r="I10" s="112"/>
    </row>
    <row r="11" ht="16.2" customHeight="1" spans="1:9">
      <c r="A11" s="156" t="s">
        <v>552</v>
      </c>
      <c r="B11" s="110" t="s">
        <v>527</v>
      </c>
      <c r="C11" s="113">
        <f>C3/C4/C5/7.5</f>
        <v>2.22268018018018</v>
      </c>
      <c r="D11" s="113">
        <f>D3/D4/D5/7.5</f>
        <v>2.57669496739264</v>
      </c>
      <c r="E11" s="113">
        <f>E3/E4/E5/7.5</f>
        <v>2.52982637098161</v>
      </c>
      <c r="F11" s="113">
        <f t="shared" si="0"/>
        <v>-0.046868596411036</v>
      </c>
      <c r="G11" s="113">
        <f t="shared" si="1"/>
        <v>0.307146190801425</v>
      </c>
      <c r="H11" s="112"/>
      <c r="I11" s="112"/>
    </row>
    <row r="12" spans="1:9">
      <c r="A12" s="151" t="s">
        <v>450</v>
      </c>
      <c r="B12" s="110" t="s">
        <v>553</v>
      </c>
      <c r="C12" s="113">
        <f>SUM(C13:C25)</f>
        <v>25.9070811758388</v>
      </c>
      <c r="D12" s="113">
        <f>SUM(D13:D25)</f>
        <v>23.5328939583068</v>
      </c>
      <c r="E12" s="113">
        <f>J235</f>
        <v>18.9481183265711</v>
      </c>
      <c r="F12" s="113">
        <f t="shared" si="0"/>
        <v>-4.58477563173578</v>
      </c>
      <c r="G12" s="113">
        <f t="shared" si="1"/>
        <v>-6.9589628492677</v>
      </c>
      <c r="H12" s="111">
        <f t="shared" ref="H12:H25" si="2">G12*$E$3</f>
        <v>-768060.729673676</v>
      </c>
      <c r="I12" s="112">
        <f>F12/C12</f>
        <v>-0.176969979775707</v>
      </c>
    </row>
    <row r="13" spans="1:9">
      <c r="A13" s="87"/>
      <c r="B13" s="110" t="s">
        <v>759</v>
      </c>
      <c r="C13" s="113">
        <f>F37</f>
        <v>7.76207849058133</v>
      </c>
      <c r="D13" s="113">
        <v>7.79321252135758</v>
      </c>
      <c r="E13" s="113">
        <f>J37</f>
        <v>4.22844930687687</v>
      </c>
      <c r="F13" s="113">
        <f t="shared" si="0"/>
        <v>-3.56476321448071</v>
      </c>
      <c r="G13" s="113">
        <f t="shared" si="1"/>
        <v>-3.53362918370446</v>
      </c>
      <c r="H13" s="111">
        <f t="shared" si="2"/>
        <v>-390006.653005462</v>
      </c>
      <c r="I13" s="112"/>
    </row>
    <row r="14" spans="1:9">
      <c r="A14" s="87"/>
      <c r="B14" s="110" t="s">
        <v>554</v>
      </c>
      <c r="C14" s="113">
        <v>0.123229908701247</v>
      </c>
      <c r="D14" s="113">
        <v>0.883163689141683</v>
      </c>
      <c r="E14" s="113">
        <f>J107</f>
        <v>0.749061067319018</v>
      </c>
      <c r="F14" s="113">
        <f t="shared" si="0"/>
        <v>-0.134102621822665</v>
      </c>
      <c r="G14" s="113">
        <f t="shared" si="1"/>
        <v>0.625831158617771</v>
      </c>
      <c r="H14" s="111">
        <f t="shared" si="2"/>
        <v>69072.9849766434</v>
      </c>
      <c r="I14" s="112"/>
    </row>
    <row r="15" spans="1:9">
      <c r="A15" s="87"/>
      <c r="B15" s="110" t="s">
        <v>223</v>
      </c>
      <c r="C15" s="113">
        <v>0.292386839198679</v>
      </c>
      <c r="D15" s="113">
        <v>0.119384168704156</v>
      </c>
      <c r="E15" s="113">
        <f>J114</f>
        <v>0.11325541360877</v>
      </c>
      <c r="F15" s="113">
        <f t="shared" si="0"/>
        <v>-0.0061287550953855</v>
      </c>
      <c r="G15" s="113">
        <f t="shared" si="1"/>
        <v>-0.179131425589909</v>
      </c>
      <c r="H15" s="111">
        <f t="shared" si="2"/>
        <v>-19770.7354423582</v>
      </c>
      <c r="I15" s="112"/>
    </row>
    <row r="16" spans="1:9">
      <c r="A16" s="87"/>
      <c r="B16" s="110" t="s">
        <v>555</v>
      </c>
      <c r="C16" s="113">
        <v>0.0515728515407298</v>
      </c>
      <c r="D16" s="113">
        <v>0.272187655712453</v>
      </c>
      <c r="E16" s="113">
        <f>J118</f>
        <v>0.258602428196068</v>
      </c>
      <c r="F16" s="113">
        <f t="shared" si="0"/>
        <v>-0.0135852275163852</v>
      </c>
      <c r="G16" s="113">
        <f t="shared" si="1"/>
        <v>0.207029576655338</v>
      </c>
      <c r="H16" s="111">
        <f t="shared" si="2"/>
        <v>22849.8543754497</v>
      </c>
      <c r="I16" s="112"/>
    </row>
    <row r="17" spans="1:14">
      <c r="A17" s="87"/>
      <c r="B17" s="110" t="s">
        <v>556</v>
      </c>
      <c r="C17" s="113">
        <v>4.08439490510402</v>
      </c>
      <c r="D17" s="113">
        <v>3.08993478952585</v>
      </c>
      <c r="E17" s="113">
        <f>J130</f>
        <v>3.06690331030772</v>
      </c>
      <c r="F17" s="113">
        <f t="shared" si="0"/>
        <v>-0.0230314792181345</v>
      </c>
      <c r="G17" s="113">
        <f t="shared" si="1"/>
        <v>-1.0174915947963</v>
      </c>
      <c r="H17" s="111">
        <f t="shared" si="2"/>
        <v>-112300.547317668</v>
      </c>
      <c r="I17" s="112"/>
    </row>
    <row r="18" spans="1:14">
      <c r="A18" s="87"/>
      <c r="B18" s="110" t="s">
        <v>557</v>
      </c>
      <c r="C18" s="113">
        <v>1.51238440726742</v>
      </c>
      <c r="D18" s="113">
        <v>1.43521402308301</v>
      </c>
      <c r="E18" s="113">
        <f>J138</f>
        <v>0.722536377638851</v>
      </c>
      <c r="F18" s="113">
        <f t="shared" si="0"/>
        <v>-0.712677645444159</v>
      </c>
      <c r="G18" s="113">
        <f t="shared" si="1"/>
        <v>-0.789848029628569</v>
      </c>
      <c r="H18" s="111">
        <f t="shared" si="2"/>
        <v>-87175.5270301051</v>
      </c>
      <c r="I18" s="112"/>
    </row>
    <row r="19" spans="1:14">
      <c r="A19" s="87"/>
      <c r="B19" s="110" t="s">
        <v>558</v>
      </c>
      <c r="C19" s="113">
        <v>1.49553000901841</v>
      </c>
      <c r="D19" s="113">
        <v>1.4907827939481</v>
      </c>
      <c r="E19" s="113">
        <f>J153</f>
        <v>1.84585322098396</v>
      </c>
      <c r="F19" s="113">
        <f t="shared" si="0"/>
        <v>0.355070427035863</v>
      </c>
      <c r="G19" s="157">
        <f t="shared" si="1"/>
        <v>0.350323211965553</v>
      </c>
      <c r="H19" s="111">
        <f t="shared" si="2"/>
        <v>38665.1729046381</v>
      </c>
      <c r="I19" s="112" t="s">
        <v>774</v>
      </c>
    </row>
    <row r="20" spans="1:14">
      <c r="A20" s="87"/>
      <c r="B20" s="110" t="s">
        <v>78</v>
      </c>
      <c r="C20" s="113">
        <v>5.80669348546414</v>
      </c>
      <c r="D20" s="113">
        <v>5.42716972423975</v>
      </c>
      <c r="E20" s="113">
        <f>J46</f>
        <v>6.00411879446394</v>
      </c>
      <c r="F20" s="113">
        <f t="shared" si="0"/>
        <v>0.576949070224188</v>
      </c>
      <c r="G20" s="113">
        <f t="shared" si="1"/>
        <v>0.197425308999798</v>
      </c>
      <c r="H20" s="111">
        <f t="shared" si="2"/>
        <v>21789.8313543077</v>
      </c>
      <c r="I20" s="112"/>
    </row>
    <row r="21" spans="1:14">
      <c r="A21" s="87"/>
      <c r="B21" s="110" t="s">
        <v>99</v>
      </c>
      <c r="C21" s="113">
        <v>0.387625421788078</v>
      </c>
      <c r="D21" s="113">
        <v>0.568384992199415</v>
      </c>
      <c r="E21" s="113">
        <f>J51</f>
        <v>0.535785177131467</v>
      </c>
      <c r="F21" s="113">
        <f t="shared" si="0"/>
        <v>-0.0325998150679482</v>
      </c>
      <c r="G21" s="113">
        <f t="shared" si="1"/>
        <v>0.148159755343389</v>
      </c>
      <c r="H21" s="111">
        <f t="shared" si="2"/>
        <v>16352.3921972498</v>
      </c>
      <c r="I21" s="112"/>
    </row>
    <row r="22" spans="1:14">
      <c r="A22" s="87"/>
      <c r="B22" s="110" t="s">
        <v>559</v>
      </c>
      <c r="C22" s="113">
        <v>-0.101650065358153</v>
      </c>
      <c r="D22" s="113">
        <v>0.311415895150811</v>
      </c>
      <c r="E22" s="113">
        <f>J112</f>
        <v>0.108090332517894</v>
      </c>
      <c r="F22" s="113">
        <f t="shared" si="0"/>
        <v>-0.203325562632917</v>
      </c>
      <c r="G22" s="113">
        <f t="shared" si="1"/>
        <v>0.209740397876047</v>
      </c>
      <c r="H22" s="111">
        <f t="shared" si="2"/>
        <v>23149.0477135793</v>
      </c>
      <c r="I22" s="112"/>
    </row>
    <row r="23" spans="1:14">
      <c r="A23" s="87"/>
      <c r="B23" s="110" t="s">
        <v>228</v>
      </c>
      <c r="C23" s="113">
        <v>-0.85710944703963</v>
      </c>
      <c r="D23" s="113">
        <v>-0.669021410756794</v>
      </c>
      <c r="E23" s="113">
        <f>J116</f>
        <v>-0.763428649089426</v>
      </c>
      <c r="F23" s="113">
        <f t="shared" si="0"/>
        <v>-0.0944072383326324</v>
      </c>
      <c r="G23" s="113">
        <f t="shared" si="1"/>
        <v>0.0936807979502036</v>
      </c>
      <c r="H23" s="111">
        <f t="shared" si="2"/>
        <v>10339.549669764</v>
      </c>
      <c r="I23" s="112"/>
    </row>
    <row r="24" ht="22.05" customHeight="1" spans="1:14">
      <c r="A24" s="87"/>
      <c r="B24" s="110" t="s">
        <v>560</v>
      </c>
      <c r="C24" s="113">
        <v>0.742352184178261</v>
      </c>
      <c r="D24" s="113">
        <v>0.755619544469997</v>
      </c>
      <c r="E24" s="113">
        <f>J122</f>
        <v>0.311430732989037</v>
      </c>
      <c r="F24" s="113">
        <f t="shared" si="0"/>
        <v>-0.44418881148096</v>
      </c>
      <c r="G24" s="113">
        <f t="shared" si="1"/>
        <v>-0.430921451189224</v>
      </c>
      <c r="H24" s="111">
        <f t="shared" si="2"/>
        <v>-47560.8005677547</v>
      </c>
      <c r="I24" s="112"/>
    </row>
    <row r="25" ht="37.05" customHeight="1" spans="1:14">
      <c r="A25" s="73"/>
      <c r="B25" s="158" t="s">
        <v>775</v>
      </c>
      <c r="C25" s="159">
        <v>4.60759218539422</v>
      </c>
      <c r="D25" s="159">
        <v>2.05544557153082</v>
      </c>
      <c r="E25" s="159">
        <f>J233</f>
        <v>1.76746081362689</v>
      </c>
      <c r="F25" s="159">
        <f t="shared" si="0"/>
        <v>-0.287984757903927</v>
      </c>
      <c r="G25" s="159">
        <f t="shared" si="1"/>
        <v>-2.84013137176733</v>
      </c>
      <c r="H25" s="160">
        <f t="shared" si="2"/>
        <v>-313465.29950196</v>
      </c>
      <c r="I25" s="161"/>
    </row>
    <row r="26" ht="16.5" customHeight="1" spans="1:14">
      <c r="A26" s="123" t="s">
        <v>563</v>
      </c>
      <c r="B26" s="123" t="s">
        <v>564</v>
      </c>
      <c r="C26" s="123" t="s">
        <v>565</v>
      </c>
      <c r="D26" s="123" t="s">
        <v>566</v>
      </c>
      <c r="E26" s="117" t="s">
        <v>760</v>
      </c>
      <c r="F26" s="118" t="s">
        <v>761</v>
      </c>
      <c r="G26" s="119">
        <v>98687</v>
      </c>
      <c r="H26" s="120" t="s">
        <v>762</v>
      </c>
      <c r="I26" s="118">
        <v>104704.083333333</v>
      </c>
      <c r="J26" s="118" t="s">
        <v>776</v>
      </c>
      <c r="K26" s="118">
        <v>110370</v>
      </c>
      <c r="L26" s="118"/>
      <c r="M26" s="118"/>
      <c r="N26" s="118"/>
    </row>
    <row r="27" ht="52.8" customHeight="1" spans="1:14">
      <c r="A27" s="73"/>
      <c r="B27" s="73"/>
      <c r="C27" s="73"/>
      <c r="D27" s="73"/>
      <c r="E27" s="125" t="s">
        <v>571</v>
      </c>
      <c r="F27" s="125" t="s">
        <v>572</v>
      </c>
      <c r="G27" s="125" t="s">
        <v>573</v>
      </c>
      <c r="H27" s="126" t="s">
        <v>574</v>
      </c>
      <c r="I27" s="125" t="s">
        <v>575</v>
      </c>
      <c r="J27" s="125" t="s">
        <v>576</v>
      </c>
      <c r="K27" s="127" t="s">
        <v>577</v>
      </c>
      <c r="L27" s="125" t="s">
        <v>763</v>
      </c>
      <c r="M27" s="129" t="s">
        <v>764</v>
      </c>
      <c r="N27" s="129" t="s">
        <v>580</v>
      </c>
    </row>
    <row r="28" spans="1:14">
      <c r="A28" s="130" t="s">
        <v>55</v>
      </c>
      <c r="B28" s="131">
        <v>6666110101</v>
      </c>
      <c r="C28" s="131" t="s">
        <v>56</v>
      </c>
      <c r="D28" s="131" t="s">
        <v>57</v>
      </c>
      <c r="E28" s="134">
        <v>71.56655</v>
      </c>
      <c r="F28" s="135">
        <f t="shared" ref="F28:F91" si="3">E28/$G$26*1000</f>
        <v>0.725187208041586</v>
      </c>
      <c r="G28" s="134">
        <v>71.8093918509899</v>
      </c>
      <c r="H28" s="135">
        <f t="shared" ref="H28:H91" si="4">G28/$I$26*1000</f>
        <v>0.685831818252776</v>
      </c>
      <c r="I28" s="134">
        <v>70.89159</v>
      </c>
      <c r="J28" s="113">
        <f t="shared" ref="J28:J91" si="5">I28/$K$26*1000</f>
        <v>0.64230850774667</v>
      </c>
      <c r="K28" s="113">
        <f t="shared" ref="K28:K91" si="6">J28-F28</f>
        <v>-0.082878700294916</v>
      </c>
      <c r="L28" s="113">
        <f t="shared" ref="L28:L91" si="7">K28-H28</f>
        <v>-0.768710518547692</v>
      </c>
      <c r="M28" s="112"/>
      <c r="N28" s="112"/>
    </row>
    <row r="29" spans="1:14">
      <c r="A29" s="87"/>
      <c r="B29" s="131">
        <v>6666110106</v>
      </c>
      <c r="C29" s="131" t="s">
        <v>58</v>
      </c>
      <c r="D29" s="131" t="s">
        <v>59</v>
      </c>
      <c r="E29" s="134">
        <v>0</v>
      </c>
      <c r="F29" s="135">
        <f t="shared" si="3"/>
        <v>0</v>
      </c>
      <c r="G29" s="134">
        <v>0</v>
      </c>
      <c r="H29" s="135">
        <f t="shared" si="4"/>
        <v>0</v>
      </c>
      <c r="I29" s="134">
        <v>0</v>
      </c>
      <c r="J29" s="113">
        <f t="shared" si="5"/>
        <v>0</v>
      </c>
      <c r="K29" s="113">
        <f t="shared" si="6"/>
        <v>0</v>
      </c>
      <c r="L29" s="113">
        <f t="shared" si="7"/>
        <v>0</v>
      </c>
      <c r="M29" s="112"/>
      <c r="N29" s="112"/>
    </row>
    <row r="30" spans="1:14">
      <c r="A30" s="87"/>
      <c r="B30" s="131">
        <v>6666110107</v>
      </c>
      <c r="C30" s="131" t="s">
        <v>60</v>
      </c>
      <c r="D30" s="131" t="s">
        <v>61</v>
      </c>
      <c r="E30" s="134">
        <v>209.39447</v>
      </c>
      <c r="F30" s="135">
        <f t="shared" si="3"/>
        <v>2.12180398634065</v>
      </c>
      <c r="G30" s="134">
        <v>207.274442297127</v>
      </c>
      <c r="H30" s="135">
        <f t="shared" si="4"/>
        <v>1.97962138341113</v>
      </c>
      <c r="I30" s="134">
        <v>164.91769</v>
      </c>
      <c r="J30" s="113">
        <f t="shared" si="5"/>
        <v>1.49422569538824</v>
      </c>
      <c r="K30" s="113">
        <f t="shared" si="6"/>
        <v>-0.627578290952413</v>
      </c>
      <c r="L30" s="113">
        <f t="shared" si="7"/>
        <v>-2.60719967436354</v>
      </c>
      <c r="M30" s="112"/>
      <c r="N30" s="112"/>
    </row>
    <row r="31" spans="1:14">
      <c r="A31" s="87"/>
      <c r="B31" s="131">
        <v>6666110110</v>
      </c>
      <c r="C31" s="131" t="s">
        <v>62</v>
      </c>
      <c r="D31" s="131" t="s">
        <v>581</v>
      </c>
      <c r="E31" s="134">
        <v>408.33684</v>
      </c>
      <c r="F31" s="135">
        <f t="shared" si="3"/>
        <v>4.13769635311642</v>
      </c>
      <c r="G31" s="134">
        <v>444.210309452253</v>
      </c>
      <c r="H31" s="135">
        <f t="shared" si="4"/>
        <v>4.24253090529504</v>
      </c>
      <c r="I31" s="134">
        <v>154.5351</v>
      </c>
      <c r="J31" s="113">
        <f t="shared" si="5"/>
        <v>1.40015493340582</v>
      </c>
      <c r="K31" s="113">
        <f t="shared" si="6"/>
        <v>-2.7375414197106</v>
      </c>
      <c r="L31" s="113">
        <f t="shared" si="7"/>
        <v>-6.98007232500565</v>
      </c>
      <c r="M31" s="112"/>
      <c r="N31" s="112"/>
    </row>
    <row r="32" spans="1:14">
      <c r="A32" s="87"/>
      <c r="B32" s="131">
        <v>6666110112</v>
      </c>
      <c r="C32" s="131" t="s">
        <v>64</v>
      </c>
      <c r="D32" s="131" t="s">
        <v>316</v>
      </c>
      <c r="E32" s="134">
        <v>41.67962</v>
      </c>
      <c r="F32" s="135">
        <f t="shared" si="3"/>
        <v>0.422341544479009</v>
      </c>
      <c r="G32" s="134">
        <v>60.4956154752856</v>
      </c>
      <c r="H32" s="135">
        <f t="shared" si="4"/>
        <v>0.577777041251519</v>
      </c>
      <c r="I32" s="134">
        <v>43.61875</v>
      </c>
      <c r="J32" s="113">
        <f t="shared" si="5"/>
        <v>0.395204765787805</v>
      </c>
      <c r="K32" s="113">
        <f t="shared" si="6"/>
        <v>-0.0271367786912047</v>
      </c>
      <c r="L32" s="113">
        <f t="shared" si="7"/>
        <v>-0.604913819942724</v>
      </c>
      <c r="M32" s="112"/>
      <c r="N32" s="112"/>
    </row>
    <row r="33" spans="1:14">
      <c r="A33" s="87"/>
      <c r="B33" s="131">
        <v>6666110204</v>
      </c>
      <c r="C33" s="131" t="s">
        <v>66</v>
      </c>
      <c r="D33" s="131" t="s">
        <v>583</v>
      </c>
      <c r="E33" s="134">
        <v>2.81414</v>
      </c>
      <c r="F33" s="135">
        <f t="shared" si="3"/>
        <v>0.0285158126196966</v>
      </c>
      <c r="G33" s="134">
        <v>32.1907647605672</v>
      </c>
      <c r="H33" s="135">
        <f t="shared" si="4"/>
        <v>0.307445170577403</v>
      </c>
      <c r="I33" s="134">
        <v>2.81414</v>
      </c>
      <c r="J33" s="113">
        <f t="shared" si="5"/>
        <v>0.0254973271722388</v>
      </c>
      <c r="K33" s="113">
        <f t="shared" si="6"/>
        <v>-0.00301848544745778</v>
      </c>
      <c r="L33" s="113">
        <f t="shared" si="7"/>
        <v>-0.310463656024861</v>
      </c>
      <c r="M33" s="112"/>
      <c r="N33" s="112"/>
    </row>
    <row r="34" spans="1:14">
      <c r="A34" s="87"/>
      <c r="B34" s="131">
        <v>6666110207</v>
      </c>
      <c r="C34" s="131" t="s">
        <v>68</v>
      </c>
      <c r="D34" s="131" t="s">
        <v>317</v>
      </c>
      <c r="E34" s="134">
        <v>29.03388</v>
      </c>
      <c r="F34" s="135">
        <f t="shared" si="3"/>
        <v>0.294201667899521</v>
      </c>
      <c r="G34" s="134">
        <v>0</v>
      </c>
      <c r="H34" s="135">
        <f t="shared" si="4"/>
        <v>0</v>
      </c>
      <c r="I34" s="134">
        <v>29.85735</v>
      </c>
      <c r="J34" s="113">
        <f t="shared" si="5"/>
        <v>0.270520521880946</v>
      </c>
      <c r="K34" s="113">
        <f t="shared" si="6"/>
        <v>-0.0236811460185748</v>
      </c>
      <c r="L34" s="113">
        <f t="shared" si="7"/>
        <v>-0.0236811460185748</v>
      </c>
      <c r="M34" s="112"/>
      <c r="N34" s="112"/>
    </row>
    <row r="35" spans="1:14">
      <c r="A35" s="87"/>
      <c r="B35" s="131">
        <v>6666110506</v>
      </c>
      <c r="C35" s="131" t="s">
        <v>70</v>
      </c>
      <c r="D35" s="131" t="s">
        <v>584</v>
      </c>
      <c r="E35" s="134">
        <v>3.05401</v>
      </c>
      <c r="F35" s="135">
        <f t="shared" si="3"/>
        <v>0.0309464265810086</v>
      </c>
      <c r="G35" s="134">
        <v>0</v>
      </c>
      <c r="H35" s="135">
        <f t="shared" si="4"/>
        <v>0</v>
      </c>
      <c r="I35" s="134">
        <v>0</v>
      </c>
      <c r="J35" s="113">
        <f t="shared" si="5"/>
        <v>0</v>
      </c>
      <c r="K35" s="113">
        <f t="shared" si="6"/>
        <v>-0.0309464265810086</v>
      </c>
      <c r="L35" s="113">
        <f t="shared" si="7"/>
        <v>-0.0309464265810086</v>
      </c>
      <c r="M35" s="112"/>
      <c r="N35" s="112"/>
    </row>
    <row r="36" spans="1:14">
      <c r="A36" s="87"/>
      <c r="B36" s="131" t="s">
        <v>72</v>
      </c>
      <c r="C36" s="131" t="s">
        <v>73</v>
      </c>
      <c r="D36" s="131" t="s">
        <v>585</v>
      </c>
      <c r="E36" s="134">
        <v>0.13673</v>
      </c>
      <c r="F36" s="135">
        <f t="shared" si="3"/>
        <v>0.00138549150344017</v>
      </c>
      <c r="G36" s="134">
        <v>0</v>
      </c>
      <c r="H36" s="135">
        <f t="shared" si="4"/>
        <v>0</v>
      </c>
      <c r="I36" s="134">
        <v>0.05933</v>
      </c>
      <c r="J36" s="113">
        <f t="shared" si="5"/>
        <v>0.000537555495152668</v>
      </c>
      <c r="K36" s="113">
        <f t="shared" si="6"/>
        <v>-0.000847936008287501</v>
      </c>
      <c r="L36" s="113">
        <f t="shared" si="7"/>
        <v>-0.000847936008287501</v>
      </c>
      <c r="M36" s="112"/>
      <c r="N36" s="112"/>
    </row>
    <row r="37" spans="1:14">
      <c r="A37" s="73"/>
      <c r="B37" s="138" t="s">
        <v>75</v>
      </c>
      <c r="C37" s="138" t="s">
        <v>76</v>
      </c>
      <c r="D37" s="138" t="s">
        <v>77</v>
      </c>
      <c r="E37" s="134">
        <v>766.01624</v>
      </c>
      <c r="F37" s="135">
        <f t="shared" si="3"/>
        <v>7.76207849058133</v>
      </c>
      <c r="G37" s="134">
        <f>SUM(G28:G36)</f>
        <v>815.980523836223</v>
      </c>
      <c r="H37" s="135">
        <f t="shared" si="4"/>
        <v>7.79320631878787</v>
      </c>
      <c r="I37" s="114">
        <f>SUM(I28:I36)</f>
        <v>466.69395</v>
      </c>
      <c r="J37" s="113">
        <f t="shared" si="5"/>
        <v>4.22844930687687</v>
      </c>
      <c r="K37" s="113">
        <f t="shared" si="6"/>
        <v>-3.53362918370446</v>
      </c>
      <c r="L37" s="113">
        <f t="shared" si="7"/>
        <v>-11.3268355024923</v>
      </c>
      <c r="M37" s="112"/>
      <c r="N37" s="112"/>
    </row>
    <row r="38" spans="1:14">
      <c r="A38" s="130" t="s">
        <v>78</v>
      </c>
      <c r="B38" s="131">
        <v>5001010205</v>
      </c>
      <c r="C38" s="131" t="s">
        <v>79</v>
      </c>
      <c r="D38" s="131" t="s">
        <v>586</v>
      </c>
      <c r="E38" s="134">
        <v>9.43698</v>
      </c>
      <c r="F38" s="135">
        <f t="shared" si="3"/>
        <v>0.095625360989796</v>
      </c>
      <c r="G38" s="134">
        <v>9.2379410878654</v>
      </c>
      <c r="H38" s="135">
        <f t="shared" si="4"/>
        <v>0.0882290431640163</v>
      </c>
      <c r="I38" s="114">
        <v>11.4288253951368</v>
      </c>
      <c r="J38" s="113">
        <f t="shared" si="5"/>
        <v>0.103550107775091</v>
      </c>
      <c r="K38" s="113">
        <f t="shared" si="6"/>
        <v>0.00792474678529503</v>
      </c>
      <c r="L38" s="113">
        <f t="shared" si="7"/>
        <v>-0.0803042963787213</v>
      </c>
      <c r="M38" s="112"/>
      <c r="N38" s="112"/>
    </row>
    <row r="39" spans="1:14">
      <c r="A39" s="87"/>
      <c r="B39" s="131">
        <v>6666010380</v>
      </c>
      <c r="C39" s="131" t="s">
        <v>81</v>
      </c>
      <c r="D39" s="131" t="s">
        <v>587</v>
      </c>
      <c r="E39" s="134">
        <v>-1.59333</v>
      </c>
      <c r="F39" s="135">
        <f t="shared" si="3"/>
        <v>-0.0161452876265364</v>
      </c>
      <c r="G39" s="134">
        <v>-23.7158612448825</v>
      </c>
      <c r="H39" s="135">
        <f t="shared" si="4"/>
        <v>-0.226503690112843</v>
      </c>
      <c r="I39" s="114">
        <v>-2.39392</v>
      </c>
      <c r="J39" s="113">
        <f t="shared" si="5"/>
        <v>-0.0216899519797046</v>
      </c>
      <c r="K39" s="113">
        <f t="shared" si="6"/>
        <v>-0.00554466435316821</v>
      </c>
      <c r="L39" s="113">
        <f t="shared" si="7"/>
        <v>0.220959025759674</v>
      </c>
      <c r="M39" s="112"/>
      <c r="N39" s="112"/>
    </row>
    <row r="40" spans="1:14">
      <c r="A40" s="87"/>
      <c r="B40" s="131">
        <v>6666010019</v>
      </c>
      <c r="C40" s="131" t="s">
        <v>84</v>
      </c>
      <c r="D40" s="131" t="s">
        <v>588</v>
      </c>
      <c r="E40" s="134">
        <v>76.40214</v>
      </c>
      <c r="F40" s="135">
        <f t="shared" si="3"/>
        <v>0.774186468329162</v>
      </c>
      <c r="G40" s="134">
        <v>95.8436387866034</v>
      </c>
      <c r="H40" s="135">
        <f t="shared" si="4"/>
        <v>0.915376322826668</v>
      </c>
      <c r="I40" s="114">
        <v>91.9966761550152</v>
      </c>
      <c r="J40" s="113">
        <f t="shared" si="5"/>
        <v>0.833529728685469</v>
      </c>
      <c r="K40" s="113">
        <f t="shared" si="6"/>
        <v>0.0593432603563069</v>
      </c>
      <c r="L40" s="113">
        <f t="shared" si="7"/>
        <v>-0.856033062470361</v>
      </c>
      <c r="M40" s="112"/>
      <c r="N40" s="112"/>
    </row>
    <row r="41" spans="1:14">
      <c r="A41" s="87"/>
      <c r="B41" s="131">
        <v>6666010183</v>
      </c>
      <c r="C41" s="131" t="s">
        <v>86</v>
      </c>
      <c r="D41" s="131" t="s">
        <v>589</v>
      </c>
      <c r="E41" s="134">
        <v>13.90994</v>
      </c>
      <c r="F41" s="135">
        <f t="shared" si="3"/>
        <v>0.140950074477895</v>
      </c>
      <c r="G41" s="134">
        <v>0</v>
      </c>
      <c r="H41" s="135">
        <f t="shared" si="4"/>
        <v>0</v>
      </c>
      <c r="I41" s="114">
        <v>22.8376604255319</v>
      </c>
      <c r="J41" s="113">
        <f t="shared" si="5"/>
        <v>0.206919094188021</v>
      </c>
      <c r="K41" s="113">
        <f t="shared" si="6"/>
        <v>0.0659690197101265</v>
      </c>
      <c r="L41" s="113">
        <f t="shared" si="7"/>
        <v>0.0659690197101265</v>
      </c>
      <c r="M41" s="112"/>
      <c r="N41" s="112"/>
    </row>
    <row r="42" spans="1:14">
      <c r="A42" s="87"/>
      <c r="B42" s="131">
        <v>6666010229</v>
      </c>
      <c r="C42" s="131" t="s">
        <v>88</v>
      </c>
      <c r="D42" s="131" t="s">
        <v>590</v>
      </c>
      <c r="E42" s="134">
        <v>19.48446</v>
      </c>
      <c r="F42" s="135">
        <f t="shared" si="3"/>
        <v>0.197436947115628</v>
      </c>
      <c r="G42" s="134">
        <v>17.4150857108346</v>
      </c>
      <c r="H42" s="135">
        <f t="shared" si="4"/>
        <v>0.166326710061464</v>
      </c>
      <c r="I42" s="114">
        <v>19.53584</v>
      </c>
      <c r="J42" s="113">
        <f t="shared" si="5"/>
        <v>0.177003171151581</v>
      </c>
      <c r="K42" s="113">
        <f t="shared" si="6"/>
        <v>-0.0204337759640472</v>
      </c>
      <c r="L42" s="113">
        <f t="shared" si="7"/>
        <v>-0.186760486025511</v>
      </c>
      <c r="M42" s="112"/>
      <c r="N42" s="112"/>
    </row>
    <row r="43" spans="1:14">
      <c r="A43" s="87"/>
      <c r="B43" s="131">
        <v>6666010188</v>
      </c>
      <c r="C43" s="131" t="s">
        <v>90</v>
      </c>
      <c r="D43" s="131" t="s">
        <v>591</v>
      </c>
      <c r="E43" s="134">
        <v>453.67223</v>
      </c>
      <c r="F43" s="135">
        <f t="shared" si="3"/>
        <v>4.59708198648252</v>
      </c>
      <c r="G43" s="134">
        <v>469.465574466378</v>
      </c>
      <c r="H43" s="135">
        <f t="shared" si="4"/>
        <v>4.48373701884959</v>
      </c>
      <c r="I43" s="114">
        <v>514.787299369301</v>
      </c>
      <c r="J43" s="113">
        <f t="shared" si="5"/>
        <v>4.66419588084897</v>
      </c>
      <c r="K43" s="113">
        <f t="shared" si="6"/>
        <v>0.0671138943664555</v>
      </c>
      <c r="L43" s="113">
        <f t="shared" si="7"/>
        <v>-4.41662312448314</v>
      </c>
      <c r="M43" s="112"/>
      <c r="N43" s="112"/>
    </row>
    <row r="44" spans="1:14">
      <c r="A44" s="87"/>
      <c r="B44" s="131">
        <v>5102040406</v>
      </c>
      <c r="C44" s="131" t="s">
        <v>92</v>
      </c>
      <c r="D44" s="131" t="s">
        <v>593</v>
      </c>
      <c r="E44" s="134">
        <v>0</v>
      </c>
      <c r="F44" s="135">
        <f t="shared" si="3"/>
        <v>0</v>
      </c>
      <c r="G44" s="134">
        <v>0</v>
      </c>
      <c r="H44" s="135">
        <f t="shared" si="4"/>
        <v>0</v>
      </c>
      <c r="I44" s="114">
        <v>0</v>
      </c>
      <c r="J44" s="113">
        <f t="shared" si="5"/>
        <v>0</v>
      </c>
      <c r="K44" s="113">
        <f t="shared" si="6"/>
        <v>0</v>
      </c>
      <c r="L44" s="113">
        <f t="shared" si="7"/>
        <v>0</v>
      </c>
      <c r="M44" s="112"/>
      <c r="N44" s="112"/>
    </row>
    <row r="45" spans="1:14">
      <c r="A45" s="87"/>
      <c r="B45" s="131">
        <v>6666010115</v>
      </c>
      <c r="C45" s="131" t="s">
        <v>94</v>
      </c>
      <c r="D45" s="131" t="s">
        <v>594</v>
      </c>
      <c r="E45" s="134">
        <v>1.73274</v>
      </c>
      <c r="F45" s="135">
        <f t="shared" si="3"/>
        <v>0.0175579356956843</v>
      </c>
      <c r="G45" s="134">
        <v>0</v>
      </c>
      <c r="H45" s="135">
        <f t="shared" si="4"/>
        <v>0</v>
      </c>
      <c r="I45" s="114">
        <v>4.48221</v>
      </c>
      <c r="J45" s="113">
        <f t="shared" si="5"/>
        <v>0.0406107637945094</v>
      </c>
      <c r="K45" s="113">
        <f t="shared" si="6"/>
        <v>0.023052828098825</v>
      </c>
      <c r="L45" s="113">
        <f t="shared" si="7"/>
        <v>0.023052828098825</v>
      </c>
      <c r="M45" s="112"/>
      <c r="N45" s="112"/>
    </row>
    <row r="46" spans="1:14">
      <c r="A46" s="73"/>
      <c r="B46" s="138" t="s">
        <v>96</v>
      </c>
      <c r="C46" s="138" t="s">
        <v>97</v>
      </c>
      <c r="D46" s="138" t="s">
        <v>98</v>
      </c>
      <c r="E46" s="134">
        <f>SUM(E38:E45)</f>
        <v>573.04516</v>
      </c>
      <c r="F46" s="135">
        <f t="shared" si="3"/>
        <v>5.80669348546414</v>
      </c>
      <c r="G46" s="134">
        <f>SUM(G38:G45)</f>
        <v>568.246378806799</v>
      </c>
      <c r="H46" s="135">
        <f t="shared" si="4"/>
        <v>5.4271654047889</v>
      </c>
      <c r="I46" s="114">
        <f>SUM(I38:I45)</f>
        <v>662.674591344985</v>
      </c>
      <c r="J46" s="113">
        <f t="shared" si="5"/>
        <v>6.00411879446394</v>
      </c>
      <c r="K46" s="113">
        <f t="shared" si="6"/>
        <v>0.197425308999794</v>
      </c>
      <c r="L46" s="113">
        <f t="shared" si="7"/>
        <v>-5.22974009578911</v>
      </c>
      <c r="M46" s="112"/>
      <c r="N46" s="112"/>
    </row>
    <row r="47" spans="1:14">
      <c r="A47" s="130" t="s">
        <v>99</v>
      </c>
      <c r="B47" s="131">
        <v>8701530201</v>
      </c>
      <c r="C47" s="131" t="s">
        <v>100</v>
      </c>
      <c r="D47" s="131" t="s">
        <v>595</v>
      </c>
      <c r="E47" s="134">
        <v>0</v>
      </c>
      <c r="F47" s="135">
        <f t="shared" si="3"/>
        <v>0</v>
      </c>
      <c r="G47" s="134">
        <v>0</v>
      </c>
      <c r="H47" s="135">
        <f t="shared" si="4"/>
        <v>0</v>
      </c>
      <c r="I47" s="114">
        <v>0</v>
      </c>
      <c r="J47" s="113">
        <f t="shared" si="5"/>
        <v>0</v>
      </c>
      <c r="K47" s="113">
        <f t="shared" si="6"/>
        <v>0</v>
      </c>
      <c r="L47" s="113">
        <f t="shared" si="7"/>
        <v>0</v>
      </c>
      <c r="M47" s="112"/>
      <c r="N47" s="112"/>
    </row>
    <row r="48" spans="1:14">
      <c r="A48" s="87"/>
      <c r="B48" s="131">
        <v>6666050309</v>
      </c>
      <c r="C48" s="131" t="s">
        <v>102</v>
      </c>
      <c r="D48" s="131" t="s">
        <v>596</v>
      </c>
      <c r="E48" s="134">
        <v>33.41447</v>
      </c>
      <c r="F48" s="135">
        <f t="shared" si="3"/>
        <v>0.338590391844924</v>
      </c>
      <c r="G48" s="134">
        <v>0</v>
      </c>
      <c r="H48" s="135">
        <f t="shared" si="4"/>
        <v>0</v>
      </c>
      <c r="I48" s="114">
        <v>48.09227</v>
      </c>
      <c r="J48" s="113">
        <f t="shared" si="5"/>
        <v>0.435736794418773</v>
      </c>
      <c r="K48" s="113">
        <f t="shared" si="6"/>
        <v>0.0971464025738494</v>
      </c>
      <c r="L48" s="113">
        <f t="shared" si="7"/>
        <v>0.0971464025738494</v>
      </c>
      <c r="M48" s="112"/>
      <c r="N48" s="112"/>
    </row>
    <row r="49" spans="1:14">
      <c r="A49" s="87"/>
      <c r="B49" s="131">
        <v>6666050308</v>
      </c>
      <c r="C49" s="131" t="s">
        <v>104</v>
      </c>
      <c r="D49" s="131" t="s">
        <v>597</v>
      </c>
      <c r="E49" s="134">
        <v>4.83912</v>
      </c>
      <c r="F49" s="135">
        <f t="shared" si="3"/>
        <v>0.0490350299431536</v>
      </c>
      <c r="G49" s="134">
        <v>59.5121822232476</v>
      </c>
      <c r="H49" s="135">
        <f t="shared" si="4"/>
        <v>0.568384539825312</v>
      </c>
      <c r="I49" s="114">
        <v>10.61223</v>
      </c>
      <c r="J49" s="113">
        <f t="shared" si="5"/>
        <v>0.0961513998369122</v>
      </c>
      <c r="K49" s="113">
        <f t="shared" si="6"/>
        <v>0.0471163698937586</v>
      </c>
      <c r="L49" s="113">
        <f t="shared" si="7"/>
        <v>-0.521268169931554</v>
      </c>
      <c r="M49" s="112"/>
      <c r="N49" s="112"/>
    </row>
    <row r="50" spans="1:14">
      <c r="A50" s="87"/>
      <c r="B50" s="131">
        <v>6666050306</v>
      </c>
      <c r="C50" s="131" t="s">
        <v>107</v>
      </c>
      <c r="D50" s="131" t="s">
        <v>598</v>
      </c>
      <c r="E50" s="134">
        <v>0</v>
      </c>
      <c r="F50" s="135">
        <f t="shared" si="3"/>
        <v>0</v>
      </c>
      <c r="G50" s="134">
        <v>0</v>
      </c>
      <c r="H50" s="135">
        <f t="shared" si="4"/>
        <v>0</v>
      </c>
      <c r="I50" s="114">
        <v>0.43011</v>
      </c>
      <c r="J50" s="113">
        <f t="shared" si="5"/>
        <v>0.00389698287578146</v>
      </c>
      <c r="K50" s="113">
        <f t="shared" si="6"/>
        <v>0.00389698287578146</v>
      </c>
      <c r="L50" s="113">
        <f t="shared" si="7"/>
        <v>0.00389698287578146</v>
      </c>
      <c r="M50" s="112"/>
      <c r="N50" s="112"/>
    </row>
    <row r="51" spans="1:14">
      <c r="A51" s="73"/>
      <c r="B51" s="138" t="s">
        <v>96</v>
      </c>
      <c r="C51" s="138" t="s">
        <v>109</v>
      </c>
      <c r="D51" s="138" t="s">
        <v>599</v>
      </c>
      <c r="E51" s="134">
        <f>SUM(E47:E50)</f>
        <v>38.25359</v>
      </c>
      <c r="F51" s="135">
        <f t="shared" si="3"/>
        <v>0.387625421788078</v>
      </c>
      <c r="G51" s="134">
        <f>SUM(G47:G50)</f>
        <v>59.5121822232476</v>
      </c>
      <c r="H51" s="135">
        <f t="shared" si="4"/>
        <v>0.568384539825312</v>
      </c>
      <c r="I51" s="114">
        <f>SUM(I47:I50)</f>
        <v>59.13461</v>
      </c>
      <c r="J51" s="113">
        <f t="shared" si="5"/>
        <v>0.535785177131467</v>
      </c>
      <c r="K51" s="113">
        <f t="shared" si="6"/>
        <v>0.148159755343389</v>
      </c>
      <c r="L51" s="113">
        <f t="shared" si="7"/>
        <v>-0.420224784481923</v>
      </c>
      <c r="M51" s="112"/>
      <c r="N51" s="112"/>
    </row>
    <row r="52" spans="1:14">
      <c r="A52" s="130" t="s">
        <v>111</v>
      </c>
      <c r="B52" s="131">
        <v>5102010151</v>
      </c>
      <c r="C52" s="131" t="s">
        <v>112</v>
      </c>
      <c r="D52" s="131" t="s">
        <v>600</v>
      </c>
      <c r="E52" s="134">
        <v>0</v>
      </c>
      <c r="F52" s="135">
        <f t="shared" si="3"/>
        <v>0</v>
      </c>
      <c r="G52" s="134">
        <v>0</v>
      </c>
      <c r="H52" s="135">
        <f t="shared" si="4"/>
        <v>0</v>
      </c>
      <c r="I52" s="114">
        <v>0</v>
      </c>
      <c r="J52" s="113">
        <f t="shared" si="5"/>
        <v>0</v>
      </c>
      <c r="K52" s="113">
        <f t="shared" si="6"/>
        <v>0</v>
      </c>
      <c r="L52" s="113">
        <f t="shared" si="7"/>
        <v>0</v>
      </c>
      <c r="M52" s="112"/>
      <c r="N52" s="112"/>
    </row>
    <row r="53" spans="1:14">
      <c r="A53" s="87"/>
      <c r="B53" s="131">
        <v>5001010200</v>
      </c>
      <c r="C53" s="131" t="s">
        <v>114</v>
      </c>
      <c r="D53" s="131" t="s">
        <v>601</v>
      </c>
      <c r="E53" s="134">
        <v>6.86069</v>
      </c>
      <c r="F53" s="135">
        <f t="shared" si="3"/>
        <v>0.0695196935766616</v>
      </c>
      <c r="G53" s="134">
        <v>0</v>
      </c>
      <c r="H53" s="135">
        <f t="shared" si="4"/>
        <v>0</v>
      </c>
      <c r="I53" s="114">
        <v>0</v>
      </c>
      <c r="J53" s="113">
        <f t="shared" si="5"/>
        <v>0</v>
      </c>
      <c r="K53" s="113">
        <f t="shared" si="6"/>
        <v>-0.0695196935766616</v>
      </c>
      <c r="L53" s="113">
        <f t="shared" si="7"/>
        <v>-0.0695196935766616</v>
      </c>
      <c r="M53" s="112"/>
      <c r="N53" s="112"/>
    </row>
    <row r="54" spans="1:14">
      <c r="A54" s="87"/>
      <c r="B54" s="131">
        <v>5001010201</v>
      </c>
      <c r="C54" s="131" t="s">
        <v>116</v>
      </c>
      <c r="D54" s="131" t="s">
        <v>602</v>
      </c>
      <c r="E54" s="134">
        <v>0</v>
      </c>
      <c r="F54" s="135">
        <f t="shared" si="3"/>
        <v>0</v>
      </c>
      <c r="G54" s="134">
        <v>0</v>
      </c>
      <c r="H54" s="135">
        <f t="shared" si="4"/>
        <v>0</v>
      </c>
      <c r="I54" s="114">
        <v>0</v>
      </c>
      <c r="J54" s="113">
        <f t="shared" si="5"/>
        <v>0</v>
      </c>
      <c r="K54" s="113">
        <f t="shared" si="6"/>
        <v>0</v>
      </c>
      <c r="L54" s="113">
        <f t="shared" si="7"/>
        <v>0</v>
      </c>
      <c r="M54" s="112"/>
      <c r="N54" s="112"/>
    </row>
    <row r="55" spans="1:14">
      <c r="A55" s="87"/>
      <c r="B55" s="131">
        <v>5207000011</v>
      </c>
      <c r="C55" s="131" t="s">
        <v>118</v>
      </c>
      <c r="D55" s="131" t="s">
        <v>603</v>
      </c>
      <c r="E55" s="134">
        <v>4.25402</v>
      </c>
      <c r="F55" s="135">
        <f t="shared" si="3"/>
        <v>0.0431061841985267</v>
      </c>
      <c r="G55" s="134">
        <v>0</v>
      </c>
      <c r="H55" s="135">
        <f t="shared" si="4"/>
        <v>0</v>
      </c>
      <c r="I55" s="114">
        <v>-0.15632</v>
      </c>
      <c r="J55" s="113">
        <f t="shared" si="5"/>
        <v>-0.00141632690042584</v>
      </c>
      <c r="K55" s="113">
        <f t="shared" si="6"/>
        <v>-0.0445225110989525</v>
      </c>
      <c r="L55" s="113">
        <f t="shared" si="7"/>
        <v>-0.0445225110989525</v>
      </c>
      <c r="M55" s="112"/>
      <c r="N55" s="112"/>
    </row>
    <row r="56" spans="1:14">
      <c r="A56" s="87"/>
      <c r="B56" s="162">
        <v>5207000012</v>
      </c>
      <c r="C56" s="162" t="s">
        <v>120</v>
      </c>
      <c r="D56" s="162" t="s">
        <v>604</v>
      </c>
      <c r="E56" s="163">
        <v>-95.99121</v>
      </c>
      <c r="F56" s="164">
        <f t="shared" si="3"/>
        <v>-0.972683433481614</v>
      </c>
      <c r="G56" s="165">
        <v>0</v>
      </c>
      <c r="H56" s="164">
        <f t="shared" si="4"/>
        <v>0</v>
      </c>
      <c r="I56" s="166">
        <v>0</v>
      </c>
      <c r="J56" s="167">
        <f t="shared" si="5"/>
        <v>0</v>
      </c>
      <c r="K56" s="167">
        <f t="shared" si="6"/>
        <v>0.972683433481614</v>
      </c>
      <c r="L56" s="167">
        <f t="shared" si="7"/>
        <v>0.972683433481614</v>
      </c>
      <c r="M56" s="168"/>
      <c r="N56" s="168"/>
    </row>
    <row r="57" spans="1:14">
      <c r="A57" s="87"/>
      <c r="B57" s="131">
        <v>5207000022</v>
      </c>
      <c r="C57" s="131" t="s">
        <v>122</v>
      </c>
      <c r="D57" s="131" t="s">
        <v>605</v>
      </c>
      <c r="E57" s="134">
        <v>0</v>
      </c>
      <c r="F57" s="135">
        <f t="shared" si="3"/>
        <v>0</v>
      </c>
      <c r="G57" s="134">
        <v>0</v>
      </c>
      <c r="H57" s="135">
        <f t="shared" si="4"/>
        <v>0</v>
      </c>
      <c r="I57" s="114">
        <v>0</v>
      </c>
      <c r="J57" s="113">
        <f t="shared" si="5"/>
        <v>0</v>
      </c>
      <c r="K57" s="113">
        <f t="shared" si="6"/>
        <v>0</v>
      </c>
      <c r="L57" s="113">
        <f t="shared" si="7"/>
        <v>0</v>
      </c>
      <c r="M57" s="112"/>
      <c r="N57" s="112"/>
    </row>
    <row r="58" spans="1:14">
      <c r="A58" s="87"/>
      <c r="B58" s="131">
        <v>5301060000</v>
      </c>
      <c r="C58" s="131" t="s">
        <v>124</v>
      </c>
      <c r="D58" s="131" t="s">
        <v>330</v>
      </c>
      <c r="E58" s="134">
        <v>-1.96387</v>
      </c>
      <c r="F58" s="135">
        <f t="shared" si="3"/>
        <v>-0.019899986827039</v>
      </c>
      <c r="G58" s="134">
        <v>0</v>
      </c>
      <c r="H58" s="135">
        <f t="shared" si="4"/>
        <v>0</v>
      </c>
      <c r="I58" s="114">
        <v>-3.09566</v>
      </c>
      <c r="J58" s="113">
        <f t="shared" si="5"/>
        <v>-0.0280480202953701</v>
      </c>
      <c r="K58" s="113">
        <f t="shared" si="6"/>
        <v>-0.0081480334683311</v>
      </c>
      <c r="L58" s="113">
        <f t="shared" si="7"/>
        <v>-0.0081480334683311</v>
      </c>
      <c r="M58" s="112"/>
      <c r="N58" s="112"/>
    </row>
    <row r="59" spans="1:14">
      <c r="A59" s="87"/>
      <c r="B59" s="131">
        <v>5301999999</v>
      </c>
      <c r="C59" s="131" t="s">
        <v>126</v>
      </c>
      <c r="D59" s="131" t="s">
        <v>606</v>
      </c>
      <c r="E59" s="134">
        <v>0</v>
      </c>
      <c r="F59" s="135">
        <f t="shared" si="3"/>
        <v>0</v>
      </c>
      <c r="G59" s="134">
        <v>0</v>
      </c>
      <c r="H59" s="135">
        <f t="shared" si="4"/>
        <v>0</v>
      </c>
      <c r="I59" s="114">
        <v>-0.30976</v>
      </c>
      <c r="J59" s="113">
        <f t="shared" si="5"/>
        <v>-0.00280655975355622</v>
      </c>
      <c r="K59" s="113">
        <f t="shared" si="6"/>
        <v>-0.00280655975355622</v>
      </c>
      <c r="L59" s="113">
        <f t="shared" si="7"/>
        <v>-0.00280655975355622</v>
      </c>
      <c r="M59" s="112"/>
      <c r="N59" s="112"/>
    </row>
    <row r="60" spans="1:14">
      <c r="A60" s="87"/>
      <c r="B60" s="131">
        <v>5405030000</v>
      </c>
      <c r="C60" s="131" t="s">
        <v>128</v>
      </c>
      <c r="D60" s="131" t="s">
        <v>607</v>
      </c>
      <c r="E60" s="134">
        <v>-1.42682</v>
      </c>
      <c r="F60" s="135">
        <f t="shared" si="3"/>
        <v>-0.0144580339862393</v>
      </c>
      <c r="G60" s="134">
        <v>0</v>
      </c>
      <c r="H60" s="135">
        <f t="shared" si="4"/>
        <v>0</v>
      </c>
      <c r="I60" s="114">
        <v>-1.89004367712187e-15</v>
      </c>
      <c r="J60" s="113">
        <f t="shared" si="5"/>
        <v>-1.71246142712863e-17</v>
      </c>
      <c r="K60" s="113">
        <f t="shared" si="6"/>
        <v>0.0144580339862393</v>
      </c>
      <c r="L60" s="113">
        <f t="shared" si="7"/>
        <v>0.0144580339862393</v>
      </c>
      <c r="M60" s="112"/>
      <c r="N60" s="112"/>
    </row>
    <row r="61" spans="1:14">
      <c r="A61" s="87"/>
      <c r="B61" s="131">
        <v>5601050000</v>
      </c>
      <c r="C61" s="131" t="s">
        <v>130</v>
      </c>
      <c r="D61" s="131" t="s">
        <v>331</v>
      </c>
      <c r="E61" s="134">
        <v>0</v>
      </c>
      <c r="F61" s="135">
        <f t="shared" si="3"/>
        <v>0</v>
      </c>
      <c r="G61" s="134">
        <v>0</v>
      </c>
      <c r="H61" s="135">
        <f t="shared" si="4"/>
        <v>0</v>
      </c>
      <c r="I61" s="114">
        <v>0</v>
      </c>
      <c r="J61" s="113">
        <f t="shared" si="5"/>
        <v>0</v>
      </c>
      <c r="K61" s="113">
        <f t="shared" si="6"/>
        <v>0</v>
      </c>
      <c r="L61" s="113">
        <f t="shared" si="7"/>
        <v>0</v>
      </c>
      <c r="M61" s="112"/>
      <c r="N61" s="112"/>
    </row>
    <row r="62" spans="1:14">
      <c r="A62" s="87"/>
      <c r="B62" s="131">
        <v>5601050100</v>
      </c>
      <c r="C62" s="131" t="s">
        <v>132</v>
      </c>
      <c r="D62" s="131" t="s">
        <v>332</v>
      </c>
      <c r="E62" s="134">
        <v>0.00052</v>
      </c>
      <c r="F62" s="135">
        <f t="shared" si="3"/>
        <v>5.26918439105455e-6</v>
      </c>
      <c r="G62" s="134">
        <v>0</v>
      </c>
      <c r="H62" s="135">
        <f t="shared" si="4"/>
        <v>0</v>
      </c>
      <c r="I62" s="114">
        <v>0</v>
      </c>
      <c r="J62" s="113">
        <f t="shared" si="5"/>
        <v>0</v>
      </c>
      <c r="K62" s="113">
        <f t="shared" si="6"/>
        <v>-5.26918439105455e-6</v>
      </c>
      <c r="L62" s="113">
        <f t="shared" si="7"/>
        <v>-5.26918439105455e-6</v>
      </c>
      <c r="M62" s="112"/>
      <c r="N62" s="112"/>
    </row>
    <row r="63" spans="1:14">
      <c r="A63" s="87"/>
      <c r="B63" s="131">
        <v>5102040893</v>
      </c>
      <c r="C63" s="131" t="s">
        <v>134</v>
      </c>
      <c r="D63" s="131" t="s">
        <v>608</v>
      </c>
      <c r="E63" s="134">
        <v>0</v>
      </c>
      <c r="F63" s="135">
        <f t="shared" si="3"/>
        <v>0</v>
      </c>
      <c r="G63" s="134">
        <v>0</v>
      </c>
      <c r="H63" s="135">
        <f t="shared" si="4"/>
        <v>0</v>
      </c>
      <c r="I63" s="114">
        <v>0</v>
      </c>
      <c r="J63" s="113">
        <f t="shared" si="5"/>
        <v>0</v>
      </c>
      <c r="K63" s="113">
        <f t="shared" si="6"/>
        <v>0</v>
      </c>
      <c r="L63" s="113">
        <f t="shared" si="7"/>
        <v>0</v>
      </c>
      <c r="M63" s="112"/>
      <c r="N63" s="112"/>
    </row>
    <row r="64" spans="1:14">
      <c r="A64" s="87"/>
      <c r="B64" s="131">
        <v>5801000041</v>
      </c>
      <c r="C64" s="131" t="s">
        <v>136</v>
      </c>
      <c r="D64" s="131" t="s">
        <v>609</v>
      </c>
      <c r="E64" s="134">
        <v>0</v>
      </c>
      <c r="F64" s="135">
        <f t="shared" si="3"/>
        <v>0</v>
      </c>
      <c r="G64" s="134">
        <v>0</v>
      </c>
      <c r="H64" s="135">
        <f t="shared" si="4"/>
        <v>0</v>
      </c>
      <c r="I64" s="114">
        <v>0</v>
      </c>
      <c r="J64" s="113">
        <f t="shared" si="5"/>
        <v>0</v>
      </c>
      <c r="K64" s="113">
        <f t="shared" si="6"/>
        <v>0</v>
      </c>
      <c r="L64" s="113">
        <f t="shared" si="7"/>
        <v>0</v>
      </c>
      <c r="M64" s="112"/>
      <c r="N64" s="112"/>
    </row>
    <row r="65" spans="1:14">
      <c r="A65" s="87"/>
      <c r="B65" s="131">
        <v>6666010322</v>
      </c>
      <c r="C65" s="131" t="s">
        <v>138</v>
      </c>
      <c r="D65" s="131" t="s">
        <v>328</v>
      </c>
      <c r="E65" s="134">
        <v>2.91022</v>
      </c>
      <c r="F65" s="135">
        <f t="shared" si="3"/>
        <v>0.029489395766413</v>
      </c>
      <c r="G65" s="134">
        <v>3.074727612025</v>
      </c>
      <c r="H65" s="135">
        <f t="shared" si="4"/>
        <v>0.0293658806241241</v>
      </c>
      <c r="I65" s="114">
        <v>1.15027</v>
      </c>
      <c r="J65" s="113">
        <f t="shared" si="5"/>
        <v>0.0104219443689408</v>
      </c>
      <c r="K65" s="113">
        <f t="shared" si="6"/>
        <v>-0.0190674513974722</v>
      </c>
      <c r="L65" s="113">
        <f t="shared" si="7"/>
        <v>-0.0484333320215963</v>
      </c>
      <c r="M65" s="112"/>
      <c r="N65" s="112"/>
    </row>
    <row r="66" spans="1:14">
      <c r="A66" s="87"/>
      <c r="B66" s="131">
        <v>6666020101</v>
      </c>
      <c r="C66" s="131" t="s">
        <v>140</v>
      </c>
      <c r="D66" s="131" t="s">
        <v>335</v>
      </c>
      <c r="E66" s="134">
        <v>0</v>
      </c>
      <c r="F66" s="135">
        <f t="shared" si="3"/>
        <v>0</v>
      </c>
      <c r="G66" s="134">
        <v>7.45717508480353</v>
      </c>
      <c r="H66" s="135">
        <f t="shared" si="4"/>
        <v>0.071221435185704</v>
      </c>
      <c r="I66" s="114">
        <v>0.00434</v>
      </c>
      <c r="J66" s="113">
        <f t="shared" si="5"/>
        <v>3.93222796049651e-5</v>
      </c>
      <c r="K66" s="113">
        <f t="shared" si="6"/>
        <v>3.93222796049651e-5</v>
      </c>
      <c r="L66" s="113">
        <f t="shared" si="7"/>
        <v>-0.0711821129060991</v>
      </c>
      <c r="M66" s="112"/>
      <c r="N66" s="112"/>
    </row>
    <row r="67" spans="1:14">
      <c r="A67" s="87"/>
      <c r="B67" s="131">
        <v>6666020201</v>
      </c>
      <c r="C67" s="131" t="s">
        <v>143</v>
      </c>
      <c r="D67" s="131" t="s">
        <v>610</v>
      </c>
      <c r="E67" s="134">
        <v>0.26595</v>
      </c>
      <c r="F67" s="135">
        <f t="shared" si="3"/>
        <v>0.00269488382461722</v>
      </c>
      <c r="G67" s="134">
        <v>0</v>
      </c>
      <c r="H67" s="135">
        <f t="shared" si="4"/>
        <v>0</v>
      </c>
      <c r="I67" s="114">
        <v>0.07791</v>
      </c>
      <c r="J67" s="113">
        <f t="shared" si="5"/>
        <v>0.000705898341940745</v>
      </c>
      <c r="K67" s="113">
        <f t="shared" si="6"/>
        <v>-0.00198898548267648</v>
      </c>
      <c r="L67" s="113">
        <f t="shared" si="7"/>
        <v>-0.00198898548267648</v>
      </c>
      <c r="M67" s="112"/>
      <c r="N67" s="112"/>
    </row>
    <row r="68" spans="1:14">
      <c r="A68" s="87"/>
      <c r="B68" s="131">
        <v>6666020202</v>
      </c>
      <c r="C68" s="131" t="s">
        <v>146</v>
      </c>
      <c r="D68" s="131" t="s">
        <v>611</v>
      </c>
      <c r="E68" s="134">
        <v>0</v>
      </c>
      <c r="F68" s="135">
        <f t="shared" si="3"/>
        <v>0</v>
      </c>
      <c r="G68" s="134">
        <v>0</v>
      </c>
      <c r="H68" s="135">
        <f t="shared" si="4"/>
        <v>0</v>
      </c>
      <c r="I68" s="114">
        <v>0.35197</v>
      </c>
      <c r="J68" s="113">
        <f t="shared" si="5"/>
        <v>0.00318900063423032</v>
      </c>
      <c r="K68" s="113">
        <f t="shared" si="6"/>
        <v>0.00318900063423032</v>
      </c>
      <c r="L68" s="113">
        <f t="shared" si="7"/>
        <v>0.00318900063423032</v>
      </c>
      <c r="M68" s="112"/>
      <c r="N68" s="112"/>
    </row>
    <row r="69" spans="1:14">
      <c r="A69" s="87"/>
      <c r="B69" s="131">
        <v>6666020204</v>
      </c>
      <c r="C69" s="131" t="s">
        <v>148</v>
      </c>
      <c r="D69" s="131" t="s">
        <v>612</v>
      </c>
      <c r="E69" s="134">
        <v>0.02297</v>
      </c>
      <c r="F69" s="135">
        <f t="shared" si="3"/>
        <v>0.000232756087427929</v>
      </c>
      <c r="G69" s="134">
        <v>3.62581625730859</v>
      </c>
      <c r="H69" s="135">
        <f t="shared" si="4"/>
        <v>0.034629177219054</v>
      </c>
      <c r="I69" s="114">
        <v>4.86436</v>
      </c>
      <c r="J69" s="113">
        <f t="shared" si="5"/>
        <v>0.0440732082993567</v>
      </c>
      <c r="K69" s="113">
        <f t="shared" si="6"/>
        <v>0.0438404522119288</v>
      </c>
      <c r="L69" s="113">
        <f t="shared" si="7"/>
        <v>0.00921127499287475</v>
      </c>
      <c r="M69" s="112"/>
      <c r="N69" s="112"/>
    </row>
    <row r="70" spans="1:14">
      <c r="A70" s="87"/>
      <c r="B70" s="131">
        <v>6666020205</v>
      </c>
      <c r="C70" s="131" t="s">
        <v>150</v>
      </c>
      <c r="D70" s="131" t="s">
        <v>613</v>
      </c>
      <c r="E70" s="134">
        <v>0</v>
      </c>
      <c r="F70" s="135">
        <f t="shared" si="3"/>
        <v>0</v>
      </c>
      <c r="G70" s="134">
        <v>0</v>
      </c>
      <c r="H70" s="135">
        <f t="shared" si="4"/>
        <v>0</v>
      </c>
      <c r="I70" s="114">
        <v>0</v>
      </c>
      <c r="J70" s="113">
        <f t="shared" si="5"/>
        <v>0</v>
      </c>
      <c r="K70" s="113">
        <f t="shared" si="6"/>
        <v>0</v>
      </c>
      <c r="L70" s="113">
        <f t="shared" si="7"/>
        <v>0</v>
      </c>
      <c r="M70" s="112"/>
      <c r="N70" s="112"/>
    </row>
    <row r="71" spans="1:14">
      <c r="A71" s="87"/>
      <c r="B71" s="131">
        <v>6666020301</v>
      </c>
      <c r="C71" s="131" t="s">
        <v>152</v>
      </c>
      <c r="D71" s="131" t="s">
        <v>614</v>
      </c>
      <c r="E71" s="134">
        <v>3.55895</v>
      </c>
      <c r="F71" s="135">
        <f t="shared" si="3"/>
        <v>0.0360630072856607</v>
      </c>
      <c r="G71" s="134">
        <v>0</v>
      </c>
      <c r="H71" s="135">
        <f t="shared" si="4"/>
        <v>0</v>
      </c>
      <c r="I71" s="114">
        <v>0.99068</v>
      </c>
      <c r="J71" s="113">
        <f t="shared" si="5"/>
        <v>0.00897598985231494</v>
      </c>
      <c r="K71" s="113">
        <f t="shared" si="6"/>
        <v>-0.0270870174333458</v>
      </c>
      <c r="L71" s="113">
        <f t="shared" si="7"/>
        <v>-0.0270870174333458</v>
      </c>
      <c r="M71" s="112"/>
      <c r="N71" s="112"/>
    </row>
    <row r="72" spans="1:14">
      <c r="A72" s="87"/>
      <c r="B72" s="131">
        <v>6666020302</v>
      </c>
      <c r="C72" s="131" t="s">
        <v>154</v>
      </c>
      <c r="D72" s="131" t="s">
        <v>615</v>
      </c>
      <c r="E72" s="134">
        <v>0</v>
      </c>
      <c r="F72" s="135">
        <f t="shared" si="3"/>
        <v>0</v>
      </c>
      <c r="G72" s="134">
        <v>1.16773444591436</v>
      </c>
      <c r="H72" s="135">
        <f t="shared" si="4"/>
        <v>0.0111527116110342</v>
      </c>
      <c r="I72" s="114">
        <v>0</v>
      </c>
      <c r="J72" s="113">
        <f t="shared" si="5"/>
        <v>0</v>
      </c>
      <c r="K72" s="113">
        <f t="shared" si="6"/>
        <v>0</v>
      </c>
      <c r="L72" s="113">
        <f t="shared" si="7"/>
        <v>-0.0111527116110342</v>
      </c>
      <c r="M72" s="112"/>
      <c r="N72" s="112"/>
    </row>
    <row r="73" spans="1:14">
      <c r="A73" s="87"/>
      <c r="B73" s="131" t="s">
        <v>156</v>
      </c>
      <c r="C73" s="131" t="s">
        <v>157</v>
      </c>
      <c r="D73" s="131" t="s">
        <v>343</v>
      </c>
      <c r="E73" s="134">
        <v>0</v>
      </c>
      <c r="F73" s="135">
        <f t="shared" si="3"/>
        <v>0</v>
      </c>
      <c r="G73" s="134">
        <v>0</v>
      </c>
      <c r="H73" s="135">
        <f t="shared" si="4"/>
        <v>0</v>
      </c>
      <c r="I73" s="114">
        <v>0</v>
      </c>
      <c r="J73" s="113">
        <f t="shared" si="5"/>
        <v>0</v>
      </c>
      <c r="K73" s="113">
        <f t="shared" si="6"/>
        <v>0</v>
      </c>
      <c r="L73" s="113">
        <f t="shared" si="7"/>
        <v>0</v>
      </c>
      <c r="M73" s="112"/>
      <c r="N73" s="112"/>
    </row>
    <row r="74" spans="1:14">
      <c r="A74" s="87"/>
      <c r="B74" s="131">
        <v>6666020405</v>
      </c>
      <c r="C74" s="131" t="s">
        <v>159</v>
      </c>
      <c r="D74" s="131" t="s">
        <v>616</v>
      </c>
      <c r="E74" s="134">
        <v>0</v>
      </c>
      <c r="F74" s="135">
        <f t="shared" si="3"/>
        <v>0</v>
      </c>
      <c r="G74" s="134">
        <v>0</v>
      </c>
      <c r="H74" s="135">
        <f t="shared" si="4"/>
        <v>0</v>
      </c>
      <c r="I74" s="114">
        <v>0</v>
      </c>
      <c r="J74" s="113">
        <f t="shared" si="5"/>
        <v>0</v>
      </c>
      <c r="K74" s="113">
        <f t="shared" si="6"/>
        <v>0</v>
      </c>
      <c r="L74" s="113">
        <f t="shared" si="7"/>
        <v>0</v>
      </c>
      <c r="M74" s="112"/>
      <c r="N74" s="112"/>
    </row>
    <row r="75" spans="1:14">
      <c r="A75" s="87"/>
      <c r="B75" s="131">
        <v>6666020495</v>
      </c>
      <c r="C75" s="131" t="s">
        <v>161</v>
      </c>
      <c r="D75" s="131" t="s">
        <v>617</v>
      </c>
      <c r="E75" s="134">
        <v>0.44353</v>
      </c>
      <c r="F75" s="135">
        <f t="shared" si="3"/>
        <v>0.00449431029416235</v>
      </c>
      <c r="G75" s="134">
        <v>0</v>
      </c>
      <c r="H75" s="135">
        <f t="shared" si="4"/>
        <v>0</v>
      </c>
      <c r="I75" s="114">
        <v>0.25046</v>
      </c>
      <c r="J75" s="113">
        <f t="shared" si="5"/>
        <v>0.00226927607139621</v>
      </c>
      <c r="K75" s="113">
        <f t="shared" si="6"/>
        <v>-0.00222503422276614</v>
      </c>
      <c r="L75" s="113">
        <f t="shared" si="7"/>
        <v>-0.00222503422276614</v>
      </c>
      <c r="M75" s="112"/>
      <c r="N75" s="112"/>
    </row>
    <row r="76" spans="1:14">
      <c r="A76" s="87"/>
      <c r="B76" s="131">
        <v>6666020504</v>
      </c>
      <c r="C76" s="131" t="s">
        <v>163</v>
      </c>
      <c r="D76" s="131" t="s">
        <v>344</v>
      </c>
      <c r="E76" s="134">
        <v>0</v>
      </c>
      <c r="F76" s="135">
        <f t="shared" si="3"/>
        <v>0</v>
      </c>
      <c r="G76" s="134">
        <v>0</v>
      </c>
      <c r="H76" s="135">
        <f t="shared" si="4"/>
        <v>0</v>
      </c>
      <c r="I76" s="114">
        <v>0</v>
      </c>
      <c r="J76" s="113">
        <f t="shared" si="5"/>
        <v>0</v>
      </c>
      <c r="K76" s="113">
        <f t="shared" si="6"/>
        <v>0</v>
      </c>
      <c r="L76" s="113">
        <f t="shared" si="7"/>
        <v>0</v>
      </c>
      <c r="M76" s="112"/>
      <c r="N76" s="112"/>
    </row>
    <row r="77" spans="1:14">
      <c r="A77" s="87"/>
      <c r="B77" s="131">
        <v>6666020508</v>
      </c>
      <c r="C77" s="131" t="s">
        <v>165</v>
      </c>
      <c r="D77" s="131" t="s">
        <v>345</v>
      </c>
      <c r="E77" s="134">
        <v>0</v>
      </c>
      <c r="F77" s="135">
        <f t="shared" si="3"/>
        <v>0</v>
      </c>
      <c r="G77" s="134">
        <v>0</v>
      </c>
      <c r="H77" s="135">
        <f t="shared" si="4"/>
        <v>0</v>
      </c>
      <c r="I77" s="114">
        <v>0.00139</v>
      </c>
      <c r="J77" s="113">
        <f t="shared" si="5"/>
        <v>1.25940019932953e-5</v>
      </c>
      <c r="K77" s="113">
        <f t="shared" si="6"/>
        <v>1.25940019932953e-5</v>
      </c>
      <c r="L77" s="113">
        <f t="shared" si="7"/>
        <v>1.25940019932953e-5</v>
      </c>
      <c r="M77" s="112"/>
      <c r="N77" s="112"/>
    </row>
    <row r="78" spans="1:14">
      <c r="A78" s="87"/>
      <c r="B78" s="131">
        <v>6666020602</v>
      </c>
      <c r="C78" s="131" t="s">
        <v>167</v>
      </c>
      <c r="D78" s="131" t="s">
        <v>618</v>
      </c>
      <c r="E78" s="134">
        <v>2.05633</v>
      </c>
      <c r="F78" s="135">
        <f t="shared" si="3"/>
        <v>0.0208368883439561</v>
      </c>
      <c r="G78" s="134">
        <v>0.382119344386428</v>
      </c>
      <c r="H78" s="135">
        <f t="shared" si="4"/>
        <v>0.00364951711739764</v>
      </c>
      <c r="I78" s="114">
        <v>0</v>
      </c>
      <c r="J78" s="113">
        <f t="shared" si="5"/>
        <v>0</v>
      </c>
      <c r="K78" s="113">
        <f t="shared" si="6"/>
        <v>-0.0208368883439561</v>
      </c>
      <c r="L78" s="113">
        <f t="shared" si="7"/>
        <v>-0.0244864054613538</v>
      </c>
      <c r="M78" s="112"/>
      <c r="N78" s="112"/>
    </row>
    <row r="79" spans="1:14">
      <c r="A79" s="87"/>
      <c r="B79" s="131">
        <v>6666020701</v>
      </c>
      <c r="C79" s="131" t="s">
        <v>170</v>
      </c>
      <c r="D79" s="131" t="s">
        <v>348</v>
      </c>
      <c r="E79" s="134">
        <v>0</v>
      </c>
      <c r="F79" s="135">
        <f t="shared" si="3"/>
        <v>0</v>
      </c>
      <c r="G79" s="134">
        <v>0</v>
      </c>
      <c r="H79" s="135">
        <f t="shared" si="4"/>
        <v>0</v>
      </c>
      <c r="I79" s="114">
        <v>0</v>
      </c>
      <c r="J79" s="113">
        <f t="shared" si="5"/>
        <v>0</v>
      </c>
      <c r="K79" s="113">
        <f t="shared" si="6"/>
        <v>0</v>
      </c>
      <c r="L79" s="113">
        <f t="shared" si="7"/>
        <v>0</v>
      </c>
      <c r="M79" s="112"/>
      <c r="N79" s="112"/>
    </row>
    <row r="80" spans="1:14">
      <c r="A80" s="87"/>
      <c r="B80" s="131">
        <v>6666020802</v>
      </c>
      <c r="C80" s="131" t="s">
        <v>172</v>
      </c>
      <c r="D80" s="131" t="s">
        <v>619</v>
      </c>
      <c r="E80" s="134">
        <v>23.699</v>
      </c>
      <c r="F80" s="135">
        <f t="shared" si="3"/>
        <v>0.240143078622311</v>
      </c>
      <c r="G80" s="134">
        <v>20.409</v>
      </c>
      <c r="H80" s="135">
        <f t="shared" si="4"/>
        <v>0.194920764790295</v>
      </c>
      <c r="I80" s="114">
        <v>20.41218</v>
      </c>
      <c r="J80" s="113">
        <f t="shared" si="5"/>
        <v>0.184943191084534</v>
      </c>
      <c r="K80" s="113">
        <f t="shared" si="6"/>
        <v>-0.0551998875377771</v>
      </c>
      <c r="L80" s="113">
        <f t="shared" si="7"/>
        <v>-0.250120652328072</v>
      </c>
      <c r="M80" s="112" t="s">
        <v>777</v>
      </c>
      <c r="N80" s="112"/>
    </row>
    <row r="81" spans="1:14">
      <c r="A81" s="87"/>
      <c r="B81" s="131">
        <v>6666020803</v>
      </c>
      <c r="C81" s="131" t="s">
        <v>174</v>
      </c>
      <c r="D81" s="131" t="s">
        <v>620</v>
      </c>
      <c r="E81" s="134">
        <v>7.13547</v>
      </c>
      <c r="F81" s="135">
        <f t="shared" si="3"/>
        <v>0.0723040522054577</v>
      </c>
      <c r="G81" s="134">
        <v>3.28526479329258</v>
      </c>
      <c r="H81" s="135">
        <f t="shared" si="4"/>
        <v>0.0313766635331089</v>
      </c>
      <c r="I81" s="114">
        <v>4.45253</v>
      </c>
      <c r="J81" s="113">
        <f t="shared" si="5"/>
        <v>0.0403418501404367</v>
      </c>
      <c r="K81" s="113">
        <f t="shared" si="6"/>
        <v>-0.0319622020650209</v>
      </c>
      <c r="L81" s="113">
        <f t="shared" si="7"/>
        <v>-0.0633388655981298</v>
      </c>
      <c r="M81" s="112"/>
      <c r="N81" s="112"/>
    </row>
    <row r="82" spans="1:14">
      <c r="A82" s="87"/>
      <c r="B82" s="131">
        <v>6666021100</v>
      </c>
      <c r="C82" s="131" t="s">
        <v>176</v>
      </c>
      <c r="D82" s="131" t="s">
        <v>352</v>
      </c>
      <c r="E82" s="134">
        <v>8.48654</v>
      </c>
      <c r="F82" s="135">
        <f t="shared" si="3"/>
        <v>0.085994507888577</v>
      </c>
      <c r="G82" s="134">
        <v>16.7810417921433</v>
      </c>
      <c r="H82" s="135">
        <f t="shared" si="4"/>
        <v>0.160271130388675</v>
      </c>
      <c r="I82" s="114">
        <v>16.83585</v>
      </c>
      <c r="J82" s="113">
        <f t="shared" si="5"/>
        <v>0.152540092416417</v>
      </c>
      <c r="K82" s="113">
        <f t="shared" si="6"/>
        <v>0.0665455845278405</v>
      </c>
      <c r="L82" s="113">
        <f t="shared" si="7"/>
        <v>-0.0937255458608345</v>
      </c>
      <c r="M82" s="112" t="s">
        <v>778</v>
      </c>
      <c r="N82" s="112"/>
    </row>
    <row r="83" spans="1:14">
      <c r="A83" s="87"/>
      <c r="B83" s="131">
        <v>6666021104</v>
      </c>
      <c r="C83" s="131" t="s">
        <v>178</v>
      </c>
      <c r="D83" s="131" t="s">
        <v>355</v>
      </c>
      <c r="E83" s="134">
        <v>0</v>
      </c>
      <c r="F83" s="135">
        <f t="shared" si="3"/>
        <v>0</v>
      </c>
      <c r="G83" s="134">
        <v>0</v>
      </c>
      <c r="H83" s="135">
        <f t="shared" si="4"/>
        <v>0</v>
      </c>
      <c r="I83" s="114">
        <v>0</v>
      </c>
      <c r="J83" s="113">
        <f t="shared" si="5"/>
        <v>0</v>
      </c>
      <c r="K83" s="113">
        <f t="shared" si="6"/>
        <v>0</v>
      </c>
      <c r="L83" s="113">
        <f t="shared" si="7"/>
        <v>0</v>
      </c>
      <c r="M83" s="112"/>
      <c r="N83" s="112"/>
    </row>
    <row r="84" spans="1:14">
      <c r="A84" s="87"/>
      <c r="B84" s="131">
        <v>6666021902</v>
      </c>
      <c r="C84" s="131" t="s">
        <v>180</v>
      </c>
      <c r="D84" s="131" t="s">
        <v>360</v>
      </c>
      <c r="E84" s="134">
        <v>16.72079</v>
      </c>
      <c r="F84" s="135">
        <f t="shared" si="3"/>
        <v>0.169432549373271</v>
      </c>
      <c r="G84" s="134">
        <v>10.3256139309497</v>
      </c>
      <c r="H84" s="135">
        <f t="shared" si="4"/>
        <v>0.0986171083517093</v>
      </c>
      <c r="I84" s="114">
        <v>11.66625</v>
      </c>
      <c r="J84" s="113">
        <f t="shared" si="5"/>
        <v>0.105701277521066</v>
      </c>
      <c r="K84" s="113">
        <f t="shared" si="6"/>
        <v>-0.0637312718522056</v>
      </c>
      <c r="L84" s="113">
        <f t="shared" si="7"/>
        <v>-0.162348380203915</v>
      </c>
      <c r="M84" s="112" t="s">
        <v>779</v>
      </c>
      <c r="N84" s="112"/>
    </row>
    <row r="85" spans="1:14">
      <c r="A85" s="87"/>
      <c r="B85" s="131">
        <v>6666022100</v>
      </c>
      <c r="C85" s="131" t="s">
        <v>182</v>
      </c>
      <c r="D85" s="131" t="s">
        <v>361</v>
      </c>
      <c r="E85" s="134">
        <v>15.04888</v>
      </c>
      <c r="F85" s="135">
        <f t="shared" si="3"/>
        <v>0.152491006920871</v>
      </c>
      <c r="G85" s="134">
        <v>13.0622776470673</v>
      </c>
      <c r="H85" s="135">
        <f t="shared" si="4"/>
        <v>0.124754233371039</v>
      </c>
      <c r="I85" s="114">
        <v>13.37186</v>
      </c>
      <c r="J85" s="113">
        <f t="shared" si="5"/>
        <v>0.121154842801486</v>
      </c>
      <c r="K85" s="113">
        <f t="shared" si="6"/>
        <v>-0.0313361641193851</v>
      </c>
      <c r="L85" s="113">
        <f t="shared" si="7"/>
        <v>-0.156090397490424</v>
      </c>
      <c r="M85" s="112"/>
      <c r="N85" s="112"/>
    </row>
    <row r="86" spans="1:14">
      <c r="A86" s="87"/>
      <c r="B86" s="131">
        <v>6666022300</v>
      </c>
      <c r="C86" s="131" t="s">
        <v>184</v>
      </c>
      <c r="D86" s="131" t="s">
        <v>362</v>
      </c>
      <c r="E86" s="134">
        <v>0</v>
      </c>
      <c r="F86" s="135">
        <f t="shared" si="3"/>
        <v>0</v>
      </c>
      <c r="G86" s="134">
        <v>0</v>
      </c>
      <c r="H86" s="135">
        <f t="shared" si="4"/>
        <v>0</v>
      </c>
      <c r="I86" s="114">
        <v>0</v>
      </c>
      <c r="J86" s="113">
        <f t="shared" si="5"/>
        <v>0</v>
      </c>
      <c r="K86" s="113">
        <f t="shared" si="6"/>
        <v>0</v>
      </c>
      <c r="L86" s="113">
        <f t="shared" si="7"/>
        <v>0</v>
      </c>
      <c r="M86" s="112"/>
      <c r="N86" s="112"/>
    </row>
    <row r="87" spans="1:14">
      <c r="A87" s="87"/>
      <c r="B87" s="131">
        <v>6666029700</v>
      </c>
      <c r="C87" s="131" t="s">
        <v>186</v>
      </c>
      <c r="D87" s="131" t="s">
        <v>621</v>
      </c>
      <c r="E87" s="134">
        <v>0</v>
      </c>
      <c r="F87" s="135">
        <f t="shared" si="3"/>
        <v>0</v>
      </c>
      <c r="G87" s="134">
        <v>0</v>
      </c>
      <c r="H87" s="135">
        <f t="shared" si="4"/>
        <v>0</v>
      </c>
      <c r="I87" s="114">
        <v>0</v>
      </c>
      <c r="J87" s="113">
        <f t="shared" si="5"/>
        <v>0</v>
      </c>
      <c r="K87" s="113">
        <f t="shared" si="6"/>
        <v>0</v>
      </c>
      <c r="L87" s="113">
        <f t="shared" si="7"/>
        <v>0</v>
      </c>
      <c r="M87" s="112"/>
      <c r="N87" s="112"/>
    </row>
    <row r="88" spans="1:14">
      <c r="A88" s="87"/>
      <c r="B88" s="131">
        <v>6666029900</v>
      </c>
      <c r="C88" s="131" t="s">
        <v>188</v>
      </c>
      <c r="D88" s="131" t="s">
        <v>363</v>
      </c>
      <c r="E88" s="134">
        <v>0.00385</v>
      </c>
      <c r="F88" s="135">
        <f t="shared" si="3"/>
        <v>3.90122305876154e-5</v>
      </c>
      <c r="G88" s="134">
        <v>0</v>
      </c>
      <c r="H88" s="135">
        <f t="shared" si="4"/>
        <v>0</v>
      </c>
      <c r="I88" s="114">
        <v>-0.01671</v>
      </c>
      <c r="J88" s="113">
        <f t="shared" si="5"/>
        <v>-0.000151399836912204</v>
      </c>
      <c r="K88" s="113">
        <f t="shared" si="6"/>
        <v>-0.00019041206749982</v>
      </c>
      <c r="L88" s="113">
        <f t="shared" si="7"/>
        <v>-0.00019041206749982</v>
      </c>
      <c r="M88" s="112"/>
      <c r="N88" s="112"/>
    </row>
    <row r="89" spans="1:14">
      <c r="A89" s="87"/>
      <c r="B89" s="131">
        <v>6666029996</v>
      </c>
      <c r="C89" s="131" t="s">
        <v>190</v>
      </c>
      <c r="D89" s="131" t="s">
        <v>622</v>
      </c>
      <c r="E89" s="134">
        <v>0.18828</v>
      </c>
      <c r="F89" s="135">
        <f t="shared" si="3"/>
        <v>0.00190785007143798</v>
      </c>
      <c r="G89" s="134">
        <v>0</v>
      </c>
      <c r="H89" s="135">
        <f t="shared" si="4"/>
        <v>0</v>
      </c>
      <c r="I89" s="114">
        <v>0.0471</v>
      </c>
      <c r="J89" s="113">
        <f t="shared" si="5"/>
        <v>0.000426746398477847</v>
      </c>
      <c r="K89" s="113">
        <f t="shared" si="6"/>
        <v>-0.00148110367296013</v>
      </c>
      <c r="L89" s="113">
        <f t="shared" si="7"/>
        <v>-0.00148110367296013</v>
      </c>
      <c r="M89" s="112"/>
      <c r="N89" s="112"/>
    </row>
    <row r="90" spans="1:14">
      <c r="A90" s="87"/>
      <c r="B90" s="131">
        <v>6666029997</v>
      </c>
      <c r="C90" s="131" t="s">
        <v>191</v>
      </c>
      <c r="D90" s="131" t="s">
        <v>364</v>
      </c>
      <c r="E90" s="134">
        <v>0</v>
      </c>
      <c r="F90" s="135">
        <f t="shared" si="3"/>
        <v>0</v>
      </c>
      <c r="G90" s="134">
        <v>0</v>
      </c>
      <c r="H90" s="135">
        <f t="shared" si="4"/>
        <v>0</v>
      </c>
      <c r="I90" s="114">
        <v>6.84197</v>
      </c>
      <c r="J90" s="113">
        <f t="shared" si="5"/>
        <v>0.061991211379904</v>
      </c>
      <c r="K90" s="113">
        <f t="shared" si="6"/>
        <v>0.061991211379904</v>
      </c>
      <c r="L90" s="113">
        <f t="shared" si="7"/>
        <v>0.061991211379904</v>
      </c>
      <c r="M90" s="112"/>
      <c r="N90" s="112"/>
    </row>
    <row r="91" spans="1:14">
      <c r="A91" s="87"/>
      <c r="B91" s="131">
        <v>6666030702</v>
      </c>
      <c r="C91" s="131" t="s">
        <v>193</v>
      </c>
      <c r="D91" s="131" t="s">
        <v>623</v>
      </c>
      <c r="E91" s="134">
        <v>0</v>
      </c>
      <c r="F91" s="135">
        <f t="shared" si="3"/>
        <v>0</v>
      </c>
      <c r="G91" s="134">
        <v>0</v>
      </c>
      <c r="H91" s="135">
        <f t="shared" si="4"/>
        <v>0</v>
      </c>
      <c r="I91" s="114">
        <v>0</v>
      </c>
      <c r="J91" s="113">
        <f t="shared" si="5"/>
        <v>0</v>
      </c>
      <c r="K91" s="113">
        <f t="shared" si="6"/>
        <v>0</v>
      </c>
      <c r="L91" s="113">
        <f t="shared" si="7"/>
        <v>0</v>
      </c>
      <c r="M91" s="112"/>
      <c r="N91" s="112"/>
    </row>
    <row r="92" spans="1:14">
      <c r="A92" s="87"/>
      <c r="B92" s="131">
        <v>6666031200</v>
      </c>
      <c r="C92" s="131" t="s">
        <v>195</v>
      </c>
      <c r="D92" s="131" t="s">
        <v>624</v>
      </c>
      <c r="E92" s="134">
        <v>0</v>
      </c>
      <c r="F92" s="135">
        <f t="shared" ref="F92:F98" si="8">E92/$G$26*1000</f>
        <v>0</v>
      </c>
      <c r="G92" s="134">
        <v>0</v>
      </c>
      <c r="H92" s="135">
        <f t="shared" ref="H92:H98" si="9">G92/$I$26*1000</f>
        <v>0</v>
      </c>
      <c r="I92" s="114">
        <v>0</v>
      </c>
      <c r="J92" s="113">
        <f t="shared" ref="J92:J154" si="10">I92/$K$26*1000</f>
        <v>0</v>
      </c>
      <c r="K92" s="113">
        <f t="shared" ref="K92:K154" si="11">J92-F92</f>
        <v>0</v>
      </c>
      <c r="L92" s="113">
        <f t="shared" ref="L92:L154" si="12">K92-H92</f>
        <v>0</v>
      </c>
      <c r="M92" s="112"/>
      <c r="N92" s="112"/>
    </row>
    <row r="93" spans="1:14">
      <c r="A93" s="87"/>
      <c r="B93" s="131">
        <v>6666050107</v>
      </c>
      <c r="C93" s="131" t="s">
        <v>197</v>
      </c>
      <c r="D93" s="131" t="s">
        <v>367</v>
      </c>
      <c r="E93" s="134">
        <v>0</v>
      </c>
      <c r="F93" s="135">
        <f t="shared" si="8"/>
        <v>0</v>
      </c>
      <c r="G93" s="134">
        <v>0</v>
      </c>
      <c r="H93" s="135">
        <f t="shared" si="9"/>
        <v>0</v>
      </c>
      <c r="I93" s="114">
        <v>0</v>
      </c>
      <c r="J93" s="113">
        <f t="shared" si="10"/>
        <v>0</v>
      </c>
      <c r="K93" s="113">
        <f t="shared" si="11"/>
        <v>0</v>
      </c>
      <c r="L93" s="113">
        <f t="shared" si="12"/>
        <v>0</v>
      </c>
      <c r="M93" s="112"/>
      <c r="N93" s="112"/>
    </row>
    <row r="94" spans="1:14">
      <c r="A94" s="87"/>
      <c r="B94" s="131">
        <v>6666070100</v>
      </c>
      <c r="C94" s="131" t="s">
        <v>199</v>
      </c>
      <c r="D94" s="131" t="s">
        <v>625</v>
      </c>
      <c r="E94" s="134">
        <v>0</v>
      </c>
      <c r="F94" s="135">
        <f t="shared" si="8"/>
        <v>0</v>
      </c>
      <c r="G94" s="134">
        <v>0</v>
      </c>
      <c r="H94" s="135">
        <f t="shared" si="9"/>
        <v>0</v>
      </c>
      <c r="I94" s="114">
        <v>0</v>
      </c>
      <c r="J94" s="113">
        <f t="shared" si="10"/>
        <v>0</v>
      </c>
      <c r="K94" s="113">
        <f t="shared" si="11"/>
        <v>0</v>
      </c>
      <c r="L94" s="113">
        <f t="shared" si="12"/>
        <v>0</v>
      </c>
      <c r="M94" s="112"/>
      <c r="N94" s="112"/>
    </row>
    <row r="95" spans="1:14">
      <c r="A95" s="87"/>
      <c r="B95" s="131">
        <v>6666070300</v>
      </c>
      <c r="C95" s="131" t="s">
        <v>201</v>
      </c>
      <c r="D95" s="131" t="s">
        <v>626</v>
      </c>
      <c r="E95" s="134">
        <v>0</v>
      </c>
      <c r="F95" s="135">
        <f t="shared" si="8"/>
        <v>0</v>
      </c>
      <c r="G95" s="134">
        <v>0</v>
      </c>
      <c r="H95" s="135">
        <f t="shared" si="9"/>
        <v>0</v>
      </c>
      <c r="I95" s="114">
        <v>0</v>
      </c>
      <c r="J95" s="113">
        <f t="shared" si="10"/>
        <v>0</v>
      </c>
      <c r="K95" s="113">
        <f t="shared" si="11"/>
        <v>0</v>
      </c>
      <c r="L95" s="113">
        <f t="shared" si="12"/>
        <v>0</v>
      </c>
      <c r="M95" s="112"/>
      <c r="N95" s="112"/>
    </row>
    <row r="96" spans="1:14">
      <c r="A96" s="87"/>
      <c r="B96" s="131">
        <v>6666070400</v>
      </c>
      <c r="C96" s="131" t="s">
        <v>203</v>
      </c>
      <c r="D96" s="131" t="s">
        <v>627</v>
      </c>
      <c r="E96" s="134">
        <v>16.89738</v>
      </c>
      <c r="F96" s="135">
        <f t="shared" si="8"/>
        <v>0.171221944126379</v>
      </c>
      <c r="G96" s="134">
        <v>12.9</v>
      </c>
      <c r="H96" s="135">
        <f t="shared" si="9"/>
        <v>0.123204364045019</v>
      </c>
      <c r="I96" s="114">
        <v>4.97443</v>
      </c>
      <c r="J96" s="113">
        <f t="shared" si="10"/>
        <v>0.0450704901694301</v>
      </c>
      <c r="K96" s="113">
        <f t="shared" si="11"/>
        <v>-0.126151453956949</v>
      </c>
      <c r="L96" s="113">
        <f t="shared" si="12"/>
        <v>-0.249355818001969</v>
      </c>
      <c r="M96" s="112" t="s">
        <v>780</v>
      </c>
      <c r="N96" s="112"/>
    </row>
    <row r="97" spans="1:14">
      <c r="A97" s="87"/>
      <c r="B97" s="131">
        <v>5401050201</v>
      </c>
      <c r="C97" s="131" t="s">
        <v>206</v>
      </c>
      <c r="D97" s="131" t="s">
        <v>628</v>
      </c>
      <c r="E97" s="134">
        <v>0</v>
      </c>
      <c r="F97" s="135">
        <f t="shared" si="8"/>
        <v>0</v>
      </c>
      <c r="G97" s="134">
        <v>0</v>
      </c>
      <c r="H97" s="135">
        <f t="shared" si="9"/>
        <v>0</v>
      </c>
      <c r="I97" s="114">
        <v>0</v>
      </c>
      <c r="J97" s="113">
        <f t="shared" si="10"/>
        <v>0</v>
      </c>
      <c r="K97" s="113">
        <f t="shared" si="11"/>
        <v>0</v>
      </c>
      <c r="L97" s="113">
        <f t="shared" si="12"/>
        <v>0</v>
      </c>
      <c r="M97" s="112"/>
      <c r="N97" s="112"/>
    </row>
    <row r="98" spans="1:14">
      <c r="A98" s="87"/>
      <c r="B98" s="131">
        <v>5401020212</v>
      </c>
      <c r="C98" s="131" t="s">
        <v>208</v>
      </c>
      <c r="D98" s="131" t="s">
        <v>629</v>
      </c>
      <c r="E98" s="134">
        <v>0</v>
      </c>
      <c r="F98" s="135">
        <f t="shared" si="8"/>
        <v>0</v>
      </c>
      <c r="G98" s="134">
        <v>0</v>
      </c>
      <c r="H98" s="135">
        <f t="shared" si="9"/>
        <v>0</v>
      </c>
      <c r="I98" s="114">
        <v>0</v>
      </c>
      <c r="J98" s="113">
        <f t="shared" si="10"/>
        <v>0</v>
      </c>
      <c r="K98" s="113">
        <f t="shared" si="11"/>
        <v>0</v>
      </c>
      <c r="L98" s="113">
        <f t="shared" si="12"/>
        <v>0</v>
      </c>
      <c r="M98" s="112"/>
      <c r="N98" s="112"/>
    </row>
    <row r="99" spans="1:14">
      <c r="A99" s="87"/>
      <c r="B99" s="131" t="s">
        <v>630</v>
      </c>
      <c r="C99" s="131" t="s">
        <v>631</v>
      </c>
      <c r="D99" s="131" t="s">
        <v>632</v>
      </c>
      <c r="E99" s="134">
        <v>0.0765</v>
      </c>
      <c r="F99" s="135"/>
      <c r="G99" s="134">
        <v>0</v>
      </c>
      <c r="H99" s="135"/>
      <c r="I99" s="114">
        <v>0</v>
      </c>
      <c r="J99" s="113">
        <f t="shared" si="10"/>
        <v>0</v>
      </c>
      <c r="K99" s="113">
        <f t="shared" si="11"/>
        <v>0</v>
      </c>
      <c r="L99" s="113">
        <f t="shared" si="12"/>
        <v>0</v>
      </c>
      <c r="M99" s="112"/>
      <c r="N99" s="112"/>
    </row>
    <row r="100" spans="1:14">
      <c r="A100" s="87"/>
      <c r="B100" s="131" t="s">
        <v>633</v>
      </c>
      <c r="C100" s="131" t="s">
        <v>372</v>
      </c>
      <c r="D100" s="131" t="s">
        <v>634</v>
      </c>
      <c r="E100" s="134">
        <v>0</v>
      </c>
      <c r="F100" s="135"/>
      <c r="G100" s="134">
        <v>0</v>
      </c>
      <c r="H100" s="135"/>
      <c r="I100" s="114">
        <v>0</v>
      </c>
      <c r="J100" s="113">
        <f t="shared" si="10"/>
        <v>0</v>
      </c>
      <c r="K100" s="113">
        <f t="shared" si="11"/>
        <v>0</v>
      </c>
      <c r="L100" s="113">
        <f t="shared" si="12"/>
        <v>0</v>
      </c>
      <c r="M100" s="112"/>
      <c r="N100" s="112"/>
    </row>
    <row r="101" spans="1:14">
      <c r="A101" s="87"/>
      <c r="B101" s="131" t="s">
        <v>635</v>
      </c>
      <c r="C101" s="131" t="s">
        <v>636</v>
      </c>
      <c r="D101" s="131" t="s">
        <v>637</v>
      </c>
      <c r="E101" s="134">
        <v>3.03288</v>
      </c>
      <c r="F101" s="135"/>
      <c r="G101" s="134">
        <v>0</v>
      </c>
      <c r="H101" s="135"/>
      <c r="I101" s="114">
        <v>0</v>
      </c>
      <c r="J101" s="113">
        <f t="shared" si="10"/>
        <v>0</v>
      </c>
      <c r="K101" s="113">
        <f t="shared" si="11"/>
        <v>0</v>
      </c>
      <c r="L101" s="113">
        <f t="shared" si="12"/>
        <v>0</v>
      </c>
      <c r="M101" s="112"/>
      <c r="N101" s="112"/>
    </row>
    <row r="102" spans="1:14">
      <c r="A102" s="87"/>
      <c r="B102" s="131">
        <v>6666040215</v>
      </c>
      <c r="C102" s="131" t="s">
        <v>638</v>
      </c>
      <c r="D102" s="131" t="s">
        <v>639</v>
      </c>
      <c r="E102" s="134">
        <v>0</v>
      </c>
      <c r="F102" s="135"/>
      <c r="G102" s="134">
        <v>0</v>
      </c>
      <c r="H102" s="135"/>
      <c r="I102" s="114">
        <v>0</v>
      </c>
      <c r="J102" s="113">
        <f t="shared" si="10"/>
        <v>0</v>
      </c>
      <c r="K102" s="113">
        <f t="shared" si="11"/>
        <v>0</v>
      </c>
      <c r="L102" s="113">
        <f t="shared" si="12"/>
        <v>0</v>
      </c>
      <c r="M102" s="112"/>
      <c r="N102" s="112"/>
    </row>
    <row r="103" spans="1:14">
      <c r="A103" s="87"/>
      <c r="B103" s="131" t="s">
        <v>156</v>
      </c>
      <c r="C103" s="131" t="s">
        <v>157</v>
      </c>
      <c r="D103" s="131" t="s">
        <v>640</v>
      </c>
      <c r="E103" s="134">
        <v>0</v>
      </c>
      <c r="F103" s="135"/>
      <c r="G103" s="134">
        <v>0</v>
      </c>
      <c r="H103" s="135"/>
      <c r="I103" s="114">
        <v>0</v>
      </c>
      <c r="J103" s="113">
        <f t="shared" si="10"/>
        <v>0</v>
      </c>
      <c r="K103" s="113">
        <f t="shared" si="11"/>
        <v>0</v>
      </c>
      <c r="L103" s="113">
        <f t="shared" si="12"/>
        <v>0</v>
      </c>
      <c r="M103" s="112"/>
      <c r="N103" s="112"/>
    </row>
    <row r="104" spans="1:14">
      <c r="A104" s="87"/>
      <c r="B104" s="131" t="s">
        <v>641</v>
      </c>
      <c r="C104" s="131" t="s">
        <v>336</v>
      </c>
      <c r="D104" s="131" t="s">
        <v>642</v>
      </c>
      <c r="E104" s="134">
        <v>0</v>
      </c>
      <c r="F104" s="135"/>
      <c r="G104" s="134">
        <v>0</v>
      </c>
      <c r="H104" s="135"/>
      <c r="I104" s="114">
        <v>0</v>
      </c>
      <c r="J104" s="113">
        <f t="shared" si="10"/>
        <v>0</v>
      </c>
      <c r="K104" s="113">
        <f t="shared" si="11"/>
        <v>0</v>
      </c>
      <c r="L104" s="113">
        <f t="shared" si="12"/>
        <v>0</v>
      </c>
      <c r="M104" s="112"/>
      <c r="N104" s="112"/>
    </row>
    <row r="105" spans="1:14">
      <c r="A105" s="87"/>
      <c r="B105" s="131" t="s">
        <v>643</v>
      </c>
      <c r="C105" s="131" t="s">
        <v>644</v>
      </c>
      <c r="D105" s="131" t="s">
        <v>645</v>
      </c>
      <c r="E105" s="134">
        <v>0</v>
      </c>
      <c r="F105" s="135"/>
      <c r="G105" s="134">
        <v>0</v>
      </c>
      <c r="H105" s="135"/>
      <c r="I105" s="114">
        <v>-0.04123</v>
      </c>
      <c r="J105" s="113">
        <f t="shared" si="10"/>
        <v>-0.000373561656247169</v>
      </c>
      <c r="K105" s="113">
        <f t="shared" si="11"/>
        <v>-0.000373561656247169</v>
      </c>
      <c r="L105" s="113">
        <f t="shared" si="12"/>
        <v>-0.000373561656247169</v>
      </c>
      <c r="M105" s="112"/>
      <c r="N105" s="112"/>
    </row>
    <row r="106" spans="1:14">
      <c r="A106" s="87"/>
      <c r="B106" s="131" t="s">
        <v>646</v>
      </c>
      <c r="C106" s="131" t="s">
        <v>647</v>
      </c>
      <c r="D106" s="131" t="s">
        <v>648</v>
      </c>
      <c r="E106" s="134">
        <v>0</v>
      </c>
      <c r="F106" s="135"/>
      <c r="G106" s="134">
        <v>0</v>
      </c>
      <c r="H106" s="135"/>
      <c r="I106" s="114">
        <v>0</v>
      </c>
      <c r="J106" s="113">
        <f t="shared" si="10"/>
        <v>0</v>
      </c>
      <c r="K106" s="113">
        <f t="shared" si="11"/>
        <v>0</v>
      </c>
      <c r="L106" s="113">
        <f t="shared" si="12"/>
        <v>0</v>
      </c>
      <c r="M106" s="112"/>
      <c r="N106" s="112"/>
    </row>
    <row r="107" spans="1:14">
      <c r="A107" s="73"/>
      <c r="B107" s="138" t="s">
        <v>75</v>
      </c>
      <c r="C107" s="138" t="s">
        <v>213</v>
      </c>
      <c r="D107" s="138" t="s">
        <v>650</v>
      </c>
      <c r="E107" s="134">
        <f>SUM(E52:E106)</f>
        <v>12.28085</v>
      </c>
      <c r="F107" s="135">
        <f t="shared" ref="F107:F154" si="13">E107/$G$26*1000</f>
        <v>0.124442429094004</v>
      </c>
      <c r="G107" s="134">
        <f>SUM(G52:G106)</f>
        <v>92.4707709078908</v>
      </c>
      <c r="H107" s="135">
        <f t="shared" ref="H107:H154" si="14">G107/$I$26*1000</f>
        <v>0.88316298623716</v>
      </c>
      <c r="I107" s="114">
        <f>SUM(I52:I106)</f>
        <v>82.67387</v>
      </c>
      <c r="J107" s="113">
        <f t="shared" si="10"/>
        <v>0.749061067319018</v>
      </c>
      <c r="K107" s="113">
        <f t="shared" si="11"/>
        <v>0.624618638225014</v>
      </c>
      <c r="L107" s="113">
        <f t="shared" si="12"/>
        <v>-0.258544348012146</v>
      </c>
      <c r="M107" s="112"/>
      <c r="N107" s="112"/>
    </row>
    <row r="108" spans="1:14">
      <c r="A108" s="130" t="s">
        <v>212</v>
      </c>
      <c r="B108" s="131">
        <v>6666110203</v>
      </c>
      <c r="C108" s="131" t="s">
        <v>215</v>
      </c>
      <c r="D108" s="131" t="s">
        <v>651</v>
      </c>
      <c r="E108" s="134">
        <v>9.65541</v>
      </c>
      <c r="F108" s="135">
        <f t="shared" si="13"/>
        <v>0.0978387224254461</v>
      </c>
      <c r="G108" s="134">
        <v>32.6064898858705</v>
      </c>
      <c r="H108" s="135">
        <f t="shared" si="14"/>
        <v>0.311415647296824</v>
      </c>
      <c r="I108" s="114">
        <v>11.55802</v>
      </c>
      <c r="J108" s="113">
        <f t="shared" si="10"/>
        <v>0.104720666847875</v>
      </c>
      <c r="K108" s="113">
        <f t="shared" si="11"/>
        <v>0.00688194442242923</v>
      </c>
      <c r="L108" s="113">
        <f t="shared" si="12"/>
        <v>-0.304533702874395</v>
      </c>
      <c r="M108" s="112"/>
      <c r="N108" s="112"/>
    </row>
    <row r="109" spans="1:14">
      <c r="A109" s="87"/>
      <c r="B109" s="131">
        <v>5102040000</v>
      </c>
      <c r="C109" s="131" t="s">
        <v>217</v>
      </c>
      <c r="D109" s="131" t="s">
        <v>378</v>
      </c>
      <c r="E109" s="134">
        <v>0</v>
      </c>
      <c r="F109" s="135">
        <f t="shared" si="13"/>
        <v>0</v>
      </c>
      <c r="G109" s="134">
        <v>0</v>
      </c>
      <c r="H109" s="135">
        <f t="shared" si="14"/>
        <v>0</v>
      </c>
      <c r="I109" s="114">
        <v>0</v>
      </c>
      <c r="J109" s="113">
        <f t="shared" si="10"/>
        <v>0</v>
      </c>
      <c r="K109" s="113">
        <f t="shared" si="11"/>
        <v>0</v>
      </c>
      <c r="L109" s="113">
        <f t="shared" si="12"/>
        <v>0</v>
      </c>
      <c r="M109" s="112"/>
      <c r="N109" s="112"/>
    </row>
    <row r="110" spans="1:14">
      <c r="A110" s="87"/>
      <c r="B110" s="131">
        <v>6666050307</v>
      </c>
      <c r="C110" s="131" t="s">
        <v>219</v>
      </c>
      <c r="D110" s="131" t="s">
        <v>652</v>
      </c>
      <c r="E110" s="134">
        <v>-40.81931</v>
      </c>
      <c r="F110" s="135">
        <f t="shared" si="13"/>
        <v>-0.413623982895417</v>
      </c>
      <c r="G110" s="134">
        <v>0</v>
      </c>
      <c r="H110" s="135">
        <f t="shared" si="14"/>
        <v>0</v>
      </c>
      <c r="I110" s="114">
        <v>0.38446</v>
      </c>
      <c r="J110" s="113">
        <f t="shared" si="10"/>
        <v>0.00348337410528223</v>
      </c>
      <c r="K110" s="113">
        <f t="shared" si="11"/>
        <v>0.417107357000699</v>
      </c>
      <c r="L110" s="113">
        <f t="shared" si="12"/>
        <v>0.417107357000699</v>
      </c>
      <c r="M110" s="112"/>
      <c r="N110" s="112"/>
    </row>
    <row r="111" spans="1:14">
      <c r="A111" s="87"/>
      <c r="B111" s="131">
        <v>6666050312</v>
      </c>
      <c r="C111" s="131" t="s">
        <v>221</v>
      </c>
      <c r="D111" s="131" t="s">
        <v>653</v>
      </c>
      <c r="E111" s="134">
        <v>21.13236</v>
      </c>
      <c r="F111" s="135">
        <f t="shared" si="13"/>
        <v>0.214135195111818</v>
      </c>
      <c r="G111" s="134">
        <v>0</v>
      </c>
      <c r="H111" s="135">
        <f t="shared" si="14"/>
        <v>0</v>
      </c>
      <c r="I111" s="114">
        <v>-0.01255</v>
      </c>
      <c r="J111" s="113">
        <f t="shared" si="10"/>
        <v>-0.000113708435263206</v>
      </c>
      <c r="K111" s="113">
        <f t="shared" si="11"/>
        <v>-0.214248903547081</v>
      </c>
      <c r="L111" s="113">
        <f t="shared" si="12"/>
        <v>-0.214248903547081</v>
      </c>
      <c r="M111" s="112"/>
      <c r="N111" s="112"/>
    </row>
    <row r="112" spans="1:14">
      <c r="A112" s="73"/>
      <c r="B112" s="138" t="s">
        <v>96</v>
      </c>
      <c r="C112" s="138" t="s">
        <v>224</v>
      </c>
      <c r="D112" s="138" t="s">
        <v>654</v>
      </c>
      <c r="E112" s="134">
        <f>SUM(E108:E111)</f>
        <v>-10.03154</v>
      </c>
      <c r="F112" s="135">
        <f t="shared" si="13"/>
        <v>-0.101650065358153</v>
      </c>
      <c r="G112" s="134">
        <f>SUM(G108:G111)</f>
        <v>32.6064898858705</v>
      </c>
      <c r="H112" s="135">
        <f t="shared" si="14"/>
        <v>0.311415647296824</v>
      </c>
      <c r="I112" s="114">
        <f>SUM(I108:I111)</f>
        <v>11.92993</v>
      </c>
      <c r="J112" s="113">
        <f t="shared" si="10"/>
        <v>0.108090332517894</v>
      </c>
      <c r="K112" s="113">
        <f t="shared" si="11"/>
        <v>0.209740397876047</v>
      </c>
      <c r="L112" s="113">
        <f t="shared" si="12"/>
        <v>-0.101675249420777</v>
      </c>
      <c r="M112" s="112"/>
      <c r="N112" s="112"/>
    </row>
    <row r="113" spans="1:14">
      <c r="A113" s="130" t="s">
        <v>223</v>
      </c>
      <c r="B113" s="131">
        <v>6666100203</v>
      </c>
      <c r="C113" s="131" t="s">
        <v>226</v>
      </c>
      <c r="D113" s="131" t="s">
        <v>655</v>
      </c>
      <c r="E113" s="134">
        <v>28.85478</v>
      </c>
      <c r="F113" s="135">
        <f t="shared" si="13"/>
        <v>0.292386839198679</v>
      </c>
      <c r="G113" s="134">
        <v>12.5</v>
      </c>
      <c r="H113" s="135">
        <f t="shared" si="14"/>
        <v>0.119384073687034</v>
      </c>
      <c r="I113" s="114">
        <v>12.5</v>
      </c>
      <c r="J113" s="113">
        <f t="shared" si="10"/>
        <v>0.11325541360877</v>
      </c>
      <c r="K113" s="113">
        <f t="shared" si="11"/>
        <v>-0.179131425589908</v>
      </c>
      <c r="L113" s="113">
        <f t="shared" si="12"/>
        <v>-0.298515499276942</v>
      </c>
      <c r="M113" s="112"/>
      <c r="N113" s="112"/>
    </row>
    <row r="114" spans="1:14">
      <c r="A114" s="73"/>
      <c r="B114" s="138" t="s">
        <v>75</v>
      </c>
      <c r="C114" s="138" t="s">
        <v>229</v>
      </c>
      <c r="D114" s="138" t="s">
        <v>656</v>
      </c>
      <c r="E114" s="134">
        <f>E113</f>
        <v>28.85478</v>
      </c>
      <c r="F114" s="135">
        <f t="shared" si="13"/>
        <v>0.292386839198679</v>
      </c>
      <c r="G114" s="134">
        <f>G113</f>
        <v>12.5</v>
      </c>
      <c r="H114" s="135">
        <f t="shared" si="14"/>
        <v>0.119384073687034</v>
      </c>
      <c r="I114" s="114">
        <f>I113</f>
        <v>12.5</v>
      </c>
      <c r="J114" s="113">
        <f t="shared" si="10"/>
        <v>0.11325541360877</v>
      </c>
      <c r="K114" s="113">
        <f t="shared" si="11"/>
        <v>-0.179131425589908</v>
      </c>
      <c r="L114" s="113">
        <f t="shared" si="12"/>
        <v>-0.298515499276942</v>
      </c>
      <c r="M114" s="112"/>
      <c r="N114" s="112"/>
    </row>
    <row r="115" spans="1:14">
      <c r="A115" s="130" t="s">
        <v>228</v>
      </c>
      <c r="B115" s="131">
        <v>5301070000</v>
      </c>
      <c r="C115" s="131" t="s">
        <v>231</v>
      </c>
      <c r="D115" s="131" t="s">
        <v>657</v>
      </c>
      <c r="E115" s="134">
        <v>-84.58556</v>
      </c>
      <c r="F115" s="135">
        <f t="shared" si="13"/>
        <v>-0.85710944703963</v>
      </c>
      <c r="G115" s="134">
        <v>-70.0492177918793</v>
      </c>
      <c r="H115" s="135">
        <f t="shared" si="14"/>
        <v>-0.669020878286786</v>
      </c>
      <c r="I115" s="114">
        <v>-84.25962</v>
      </c>
      <c r="J115" s="113">
        <f t="shared" si="10"/>
        <v>-0.763428649089426</v>
      </c>
      <c r="K115" s="113">
        <f t="shared" si="11"/>
        <v>0.0936807979502039</v>
      </c>
      <c r="L115" s="113">
        <f t="shared" si="12"/>
        <v>0.76270167623699</v>
      </c>
      <c r="M115" s="112"/>
      <c r="N115" s="112"/>
    </row>
    <row r="116" spans="1:14">
      <c r="A116" s="73"/>
      <c r="B116" s="138" t="s">
        <v>96</v>
      </c>
      <c r="C116" s="138" t="s">
        <v>235</v>
      </c>
      <c r="D116" s="138" t="s">
        <v>658</v>
      </c>
      <c r="E116" s="134">
        <f>E115</f>
        <v>-84.58556</v>
      </c>
      <c r="F116" s="135">
        <f t="shared" si="13"/>
        <v>-0.85710944703963</v>
      </c>
      <c r="G116" s="134">
        <f>G115</f>
        <v>-70.0492177918793</v>
      </c>
      <c r="H116" s="135">
        <f t="shared" si="14"/>
        <v>-0.669020878286786</v>
      </c>
      <c r="I116" s="114">
        <f>I115</f>
        <v>-84.25962</v>
      </c>
      <c r="J116" s="113">
        <f t="shared" si="10"/>
        <v>-0.763428649089426</v>
      </c>
      <c r="K116" s="113">
        <f t="shared" si="11"/>
        <v>0.0936807979502039</v>
      </c>
      <c r="L116" s="113">
        <f t="shared" si="12"/>
        <v>0.76270167623699</v>
      </c>
      <c r="M116" s="112"/>
      <c r="N116" s="112"/>
    </row>
    <row r="117" spans="1:14">
      <c r="A117" s="130" t="s">
        <v>234</v>
      </c>
      <c r="B117" s="131">
        <v>6666021602</v>
      </c>
      <c r="C117" s="131" t="s">
        <v>237</v>
      </c>
      <c r="D117" s="131" t="s">
        <v>659</v>
      </c>
      <c r="E117" s="134">
        <v>32.83657</v>
      </c>
      <c r="F117" s="135">
        <f t="shared" si="13"/>
        <v>0.332734504038019</v>
      </c>
      <c r="G117" s="134">
        <v>28.4991363037167</v>
      </c>
      <c r="H117" s="135">
        <f t="shared" si="14"/>
        <v>0.27218743907998</v>
      </c>
      <c r="I117" s="114">
        <v>28.54195</v>
      </c>
      <c r="J117" s="113">
        <f t="shared" si="10"/>
        <v>0.258602428196068</v>
      </c>
      <c r="K117" s="113">
        <f t="shared" si="11"/>
        <v>-0.0741320758419515</v>
      </c>
      <c r="L117" s="113">
        <f t="shared" si="12"/>
        <v>-0.346319514921931</v>
      </c>
      <c r="M117" s="112"/>
      <c r="N117" s="112"/>
    </row>
    <row r="118" spans="1:14">
      <c r="A118" s="73"/>
      <c r="B118" s="138" t="s">
        <v>75</v>
      </c>
      <c r="C118" s="138" t="s">
        <v>244</v>
      </c>
      <c r="D118" s="138" t="s">
        <v>245</v>
      </c>
      <c r="E118" s="134">
        <f>E117</f>
        <v>32.83657</v>
      </c>
      <c r="F118" s="135">
        <f t="shared" si="13"/>
        <v>0.332734504038019</v>
      </c>
      <c r="G118" s="134">
        <f>G117</f>
        <v>28.4991363037167</v>
      </c>
      <c r="H118" s="135">
        <f t="shared" si="14"/>
        <v>0.27218743907998</v>
      </c>
      <c r="I118" s="114">
        <f>I117</f>
        <v>28.54195</v>
      </c>
      <c r="J118" s="113">
        <f t="shared" si="10"/>
        <v>0.258602428196068</v>
      </c>
      <c r="K118" s="113">
        <f t="shared" si="11"/>
        <v>-0.0741320758419515</v>
      </c>
      <c r="L118" s="113">
        <f t="shared" si="12"/>
        <v>-0.346319514921931</v>
      </c>
      <c r="M118" s="112"/>
      <c r="N118" s="112"/>
    </row>
    <row r="119" spans="1:14">
      <c r="A119" s="130" t="s">
        <v>243</v>
      </c>
      <c r="B119" s="131">
        <v>6666021600</v>
      </c>
      <c r="C119" s="131" t="s">
        <v>246</v>
      </c>
      <c r="D119" s="131" t="s">
        <v>660</v>
      </c>
      <c r="E119" s="134">
        <v>20.20406</v>
      </c>
      <c r="F119" s="135">
        <f t="shared" si="13"/>
        <v>0.204728687669095</v>
      </c>
      <c r="G119" s="134">
        <v>44.1471135569155</v>
      </c>
      <c r="H119" s="135">
        <f t="shared" si="14"/>
        <v>0.421636980635893</v>
      </c>
      <c r="I119" s="114">
        <v>10.54371</v>
      </c>
      <c r="J119" s="113">
        <f t="shared" si="10"/>
        <v>0.0955305789616744</v>
      </c>
      <c r="K119" s="113">
        <f t="shared" si="11"/>
        <v>-0.109198108707421</v>
      </c>
      <c r="L119" s="113">
        <f t="shared" si="12"/>
        <v>-0.530835089343314</v>
      </c>
      <c r="M119" s="112"/>
      <c r="N119" s="112"/>
    </row>
    <row r="120" spans="1:14">
      <c r="A120" s="87"/>
      <c r="B120" s="131">
        <v>6666021603</v>
      </c>
      <c r="C120" s="131" t="s">
        <v>239</v>
      </c>
      <c r="D120" s="131" t="s">
        <v>661</v>
      </c>
      <c r="E120" s="134">
        <v>0.94298</v>
      </c>
      <c r="F120" s="135">
        <f t="shared" si="13"/>
        <v>0.00955526057130118</v>
      </c>
      <c r="G120" s="134">
        <v>0.503899785114692</v>
      </c>
      <c r="H120" s="135">
        <f t="shared" si="14"/>
        <v>0.00481260872616105</v>
      </c>
      <c r="I120" s="114">
        <v>1.0838</v>
      </c>
      <c r="J120" s="113">
        <f t="shared" si="10"/>
        <v>0.00981969738153484</v>
      </c>
      <c r="K120" s="113">
        <f t="shared" si="11"/>
        <v>0.000264436810233653</v>
      </c>
      <c r="L120" s="113">
        <f t="shared" si="12"/>
        <v>-0.0045481719159274</v>
      </c>
      <c r="M120" s="112"/>
      <c r="N120" s="112"/>
    </row>
    <row r="121" spans="1:14">
      <c r="A121" s="87"/>
      <c r="B121" s="131">
        <v>6666021604</v>
      </c>
      <c r="C121" s="131" t="s">
        <v>248</v>
      </c>
      <c r="D121" s="131" t="s">
        <v>662</v>
      </c>
      <c r="E121" s="134">
        <v>24.36647</v>
      </c>
      <c r="F121" s="135">
        <f t="shared" si="13"/>
        <v>0.246906583440575</v>
      </c>
      <c r="G121" s="134">
        <v>34.4653754421564</v>
      </c>
      <c r="H121" s="135">
        <f t="shared" si="14"/>
        <v>0.329169353715016</v>
      </c>
      <c r="I121" s="114">
        <v>22.7451</v>
      </c>
      <c r="J121" s="113">
        <f t="shared" si="10"/>
        <v>0.206080456645828</v>
      </c>
      <c r="K121" s="113">
        <f t="shared" si="11"/>
        <v>-0.040826126794747</v>
      </c>
      <c r="L121" s="113">
        <f t="shared" si="12"/>
        <v>-0.369995480509763</v>
      </c>
      <c r="M121" s="112"/>
      <c r="N121" s="112"/>
    </row>
    <row r="122" spans="1:14">
      <c r="A122" s="73"/>
      <c r="B122" s="138" t="s">
        <v>96</v>
      </c>
      <c r="C122" s="138" t="s">
        <v>251</v>
      </c>
      <c r="D122" s="138" t="s">
        <v>663</v>
      </c>
      <c r="E122" s="134">
        <f>SUM(E119:E121)</f>
        <v>45.51351</v>
      </c>
      <c r="F122" s="135">
        <f t="shared" si="13"/>
        <v>0.461190531680971</v>
      </c>
      <c r="G122" s="134">
        <f>SUM(G119:G121)</f>
        <v>79.1163887841866</v>
      </c>
      <c r="H122" s="135">
        <f t="shared" si="14"/>
        <v>0.755618943077071</v>
      </c>
      <c r="I122" s="114">
        <f>SUM(I119:I121)</f>
        <v>34.37261</v>
      </c>
      <c r="J122" s="113">
        <f t="shared" si="10"/>
        <v>0.311430732989037</v>
      </c>
      <c r="K122" s="113">
        <f t="shared" si="11"/>
        <v>-0.149759798691934</v>
      </c>
      <c r="L122" s="113">
        <f t="shared" si="12"/>
        <v>-0.905378741769005</v>
      </c>
      <c r="M122" s="112"/>
      <c r="N122" s="112"/>
    </row>
    <row r="123" spans="1:14">
      <c r="A123" s="130" t="s">
        <v>250</v>
      </c>
      <c r="B123" s="131">
        <v>5001010206</v>
      </c>
      <c r="C123" s="131" t="s">
        <v>253</v>
      </c>
      <c r="D123" s="131" t="s">
        <v>781</v>
      </c>
      <c r="E123" s="134">
        <v>6.23479</v>
      </c>
      <c r="F123" s="135">
        <f t="shared" si="13"/>
        <v>0.063177419518275</v>
      </c>
      <c r="G123" s="134">
        <v>5.29107626827633</v>
      </c>
      <c r="H123" s="135">
        <f t="shared" si="14"/>
        <v>0.0505336191276496</v>
      </c>
      <c r="I123" s="114">
        <v>5.12614430851064</v>
      </c>
      <c r="J123" s="113">
        <f t="shared" si="10"/>
        <v>0.0464450875102894</v>
      </c>
      <c r="K123" s="113">
        <f t="shared" si="11"/>
        <v>-0.0167323320079856</v>
      </c>
      <c r="L123" s="113">
        <f t="shared" si="12"/>
        <v>-0.0672659511356351</v>
      </c>
      <c r="M123" s="112"/>
      <c r="N123" s="112"/>
    </row>
    <row r="124" spans="1:14">
      <c r="A124" s="87"/>
      <c r="B124" s="131">
        <v>6666010184</v>
      </c>
      <c r="C124" s="131" t="s">
        <v>255</v>
      </c>
      <c r="D124" s="131" t="s">
        <v>665</v>
      </c>
      <c r="E124" s="134">
        <v>-0.34636</v>
      </c>
      <c r="F124" s="135">
        <f t="shared" si="13"/>
        <v>-0.00350968212631856</v>
      </c>
      <c r="G124" s="134">
        <v>0</v>
      </c>
      <c r="H124" s="135">
        <f t="shared" si="14"/>
        <v>0</v>
      </c>
      <c r="I124" s="114">
        <v>0</v>
      </c>
      <c r="J124" s="113">
        <f t="shared" si="10"/>
        <v>0</v>
      </c>
      <c r="K124" s="113">
        <f t="shared" si="11"/>
        <v>0.00350968212631856</v>
      </c>
      <c r="L124" s="113">
        <f t="shared" si="12"/>
        <v>0.00350968212631856</v>
      </c>
      <c r="M124" s="112"/>
      <c r="N124" s="112"/>
    </row>
    <row r="125" spans="1:14">
      <c r="A125" s="87"/>
      <c r="B125" s="131">
        <v>6666010186</v>
      </c>
      <c r="C125" s="131" t="s">
        <v>258</v>
      </c>
      <c r="D125" s="131" t="s">
        <v>666</v>
      </c>
      <c r="E125" s="134">
        <v>11.68437</v>
      </c>
      <c r="F125" s="135">
        <f t="shared" si="13"/>
        <v>0.118398269275588</v>
      </c>
      <c r="G125" s="134">
        <v>6.46366106569507</v>
      </c>
      <c r="H125" s="135">
        <f t="shared" si="14"/>
        <v>0.0617326551163964</v>
      </c>
      <c r="I125" s="114">
        <v>15.4391295744681</v>
      </c>
      <c r="J125" s="113">
        <f t="shared" si="10"/>
        <v>0.139885200457263</v>
      </c>
      <c r="K125" s="113">
        <f t="shared" si="11"/>
        <v>0.0214869311816744</v>
      </c>
      <c r="L125" s="113">
        <f t="shared" si="12"/>
        <v>-0.040245723934722</v>
      </c>
      <c r="M125" s="112"/>
      <c r="N125" s="112"/>
    </row>
    <row r="126" spans="1:14">
      <c r="A126" s="87"/>
      <c r="B126" s="131">
        <v>6666010189</v>
      </c>
      <c r="C126" s="131" t="s">
        <v>260</v>
      </c>
      <c r="D126" s="131" t="s">
        <v>667</v>
      </c>
      <c r="E126" s="134">
        <v>0</v>
      </c>
      <c r="F126" s="135">
        <f t="shared" si="13"/>
        <v>0</v>
      </c>
      <c r="G126" s="134">
        <v>261.894518335363</v>
      </c>
      <c r="H126" s="135">
        <f t="shared" si="14"/>
        <v>2.50128275801435</v>
      </c>
      <c r="I126" s="114">
        <v>0</v>
      </c>
      <c r="J126" s="113">
        <f t="shared" si="10"/>
        <v>0</v>
      </c>
      <c r="K126" s="113">
        <f t="shared" si="11"/>
        <v>0</v>
      </c>
      <c r="L126" s="113">
        <f t="shared" si="12"/>
        <v>-2.50128275801435</v>
      </c>
      <c r="M126" s="112"/>
      <c r="N126" s="112"/>
    </row>
    <row r="127" spans="1:14">
      <c r="A127" s="87"/>
      <c r="B127" s="131">
        <v>6666010012</v>
      </c>
      <c r="C127" s="131" t="s">
        <v>262</v>
      </c>
      <c r="D127" s="131" t="s">
        <v>669</v>
      </c>
      <c r="E127" s="134">
        <v>50.81588</v>
      </c>
      <c r="F127" s="135">
        <f t="shared" si="13"/>
        <v>0.514919695603271</v>
      </c>
      <c r="G127" s="134">
        <v>54.894916283367</v>
      </c>
      <c r="H127" s="135">
        <f t="shared" si="14"/>
        <v>0.524286298449365</v>
      </c>
      <c r="I127" s="114">
        <v>46.7045438449848</v>
      </c>
      <c r="J127" s="113">
        <f t="shared" si="10"/>
        <v>0.423163394445817</v>
      </c>
      <c r="K127" s="113">
        <f t="shared" si="11"/>
        <v>-0.0917563011574541</v>
      </c>
      <c r="L127" s="113">
        <f t="shared" si="12"/>
        <v>-0.616042599606819</v>
      </c>
      <c r="M127" s="112"/>
      <c r="N127" s="112"/>
    </row>
    <row r="128" spans="1:14">
      <c r="A128" s="87"/>
      <c r="B128" s="131">
        <v>6666010226</v>
      </c>
      <c r="C128" s="131" t="s">
        <v>264</v>
      </c>
      <c r="D128" s="131" t="s">
        <v>670</v>
      </c>
      <c r="E128" s="134">
        <v>9.22797</v>
      </c>
      <c r="F128" s="135">
        <f t="shared" si="13"/>
        <v>0.0935074528559993</v>
      </c>
      <c r="G128" s="134">
        <v>8.21205092050374</v>
      </c>
      <c r="H128" s="135">
        <f t="shared" si="14"/>
        <v>0.0784310473772077</v>
      </c>
      <c r="I128" s="114">
        <v>7.97733</v>
      </c>
      <c r="J128" s="113">
        <f t="shared" si="10"/>
        <v>0.0722780646914923</v>
      </c>
      <c r="K128" s="113">
        <f t="shared" si="11"/>
        <v>-0.021229388164507</v>
      </c>
      <c r="L128" s="113">
        <f t="shared" si="12"/>
        <v>-0.0996604355417147</v>
      </c>
      <c r="M128" s="112"/>
      <c r="N128" s="112"/>
    </row>
    <row r="129" spans="1:14">
      <c r="A129" s="87"/>
      <c r="B129" s="131">
        <v>6666010102</v>
      </c>
      <c r="C129" s="131" t="s">
        <v>266</v>
      </c>
      <c r="D129" s="131" t="s">
        <v>671</v>
      </c>
      <c r="E129" s="134">
        <v>325.46003</v>
      </c>
      <c r="F129" s="135">
        <f t="shared" si="13"/>
        <v>3.2979017499772</v>
      </c>
      <c r="G129" s="134">
        <v>-13.2276906706908</v>
      </c>
      <c r="H129" s="135">
        <f t="shared" si="14"/>
        <v>-0.126334047819124</v>
      </c>
      <c r="I129" s="114">
        <v>263.246970630699</v>
      </c>
      <c r="J129" s="113">
        <f t="shared" si="10"/>
        <v>2.38513156320285</v>
      </c>
      <c r="K129" s="113">
        <f t="shared" si="11"/>
        <v>-0.912770186774347</v>
      </c>
      <c r="L129" s="113">
        <f t="shared" si="12"/>
        <v>-0.786436138955223</v>
      </c>
      <c r="M129" s="112"/>
      <c r="N129" s="112"/>
    </row>
    <row r="130" spans="1:14">
      <c r="A130" s="73"/>
      <c r="B130" s="138" t="s">
        <v>269</v>
      </c>
      <c r="C130" s="138" t="s">
        <v>270</v>
      </c>
      <c r="D130" s="138" t="s">
        <v>673</v>
      </c>
      <c r="E130" s="134">
        <f>SUM(E123:E129)</f>
        <v>403.07668</v>
      </c>
      <c r="F130" s="135">
        <f t="shared" si="13"/>
        <v>4.08439490510402</v>
      </c>
      <c r="G130" s="134">
        <f>SUM(G123:G129)</f>
        <v>323.528532202514</v>
      </c>
      <c r="H130" s="135">
        <f t="shared" si="14"/>
        <v>3.08993233026584</v>
      </c>
      <c r="I130" s="114">
        <f>SUM(I123:I129)</f>
        <v>338.494118358663</v>
      </c>
      <c r="J130" s="113">
        <f t="shared" si="10"/>
        <v>3.06690331030772</v>
      </c>
      <c r="K130" s="113">
        <f t="shared" si="11"/>
        <v>-1.0174915947963</v>
      </c>
      <c r="L130" s="113">
        <f t="shared" si="12"/>
        <v>-4.10742392506214</v>
      </c>
      <c r="M130" s="112"/>
      <c r="N130" s="112"/>
    </row>
    <row r="131" spans="1:14">
      <c r="A131" s="130" t="s">
        <v>268</v>
      </c>
      <c r="B131" s="131">
        <v>6666010196</v>
      </c>
      <c r="C131" s="131" t="s">
        <v>272</v>
      </c>
      <c r="D131" s="131" t="s">
        <v>674</v>
      </c>
      <c r="E131" s="134">
        <v>25.12441</v>
      </c>
      <c r="F131" s="135">
        <f t="shared" si="13"/>
        <v>0.254586825012413</v>
      </c>
      <c r="G131" s="134">
        <v>22.2013068394513</v>
      </c>
      <c r="H131" s="135">
        <f t="shared" si="14"/>
        <v>0.212038596133561</v>
      </c>
      <c r="I131" s="114">
        <v>17.60828</v>
      </c>
      <c r="J131" s="113">
        <f t="shared" si="10"/>
        <v>0.159538642747123</v>
      </c>
      <c r="K131" s="113">
        <f t="shared" si="11"/>
        <v>-0.0950481822652897</v>
      </c>
      <c r="L131" s="113">
        <f t="shared" si="12"/>
        <v>-0.307086778398851</v>
      </c>
      <c r="M131" s="112"/>
      <c r="N131" s="112"/>
    </row>
    <row r="132" spans="1:14">
      <c r="A132" s="87"/>
      <c r="B132" s="131">
        <v>6666010101</v>
      </c>
      <c r="C132" s="131" t="s">
        <v>274</v>
      </c>
      <c r="D132" s="131" t="s">
        <v>675</v>
      </c>
      <c r="E132" s="134">
        <v>269.13915</v>
      </c>
      <c r="F132" s="135">
        <f t="shared" si="13"/>
        <v>2.72719963115709</v>
      </c>
      <c r="G132" s="134">
        <v>129.636548431626</v>
      </c>
      <c r="H132" s="135">
        <f t="shared" si="14"/>
        <v>1.23812314003952</v>
      </c>
      <c r="I132" s="114">
        <v>137.05122</v>
      </c>
      <c r="J132" s="113">
        <f t="shared" si="10"/>
        <v>1.24174340853493</v>
      </c>
      <c r="K132" s="113">
        <f t="shared" si="11"/>
        <v>-1.48545622262216</v>
      </c>
      <c r="L132" s="113">
        <f t="shared" si="12"/>
        <v>-2.72357936266169</v>
      </c>
      <c r="M132" s="112"/>
      <c r="N132" s="112"/>
    </row>
    <row r="133" spans="1:14">
      <c r="A133" s="87"/>
      <c r="B133" s="131">
        <v>6666010199</v>
      </c>
      <c r="C133" s="131" t="s">
        <v>276</v>
      </c>
      <c r="D133" s="131" t="s">
        <v>676</v>
      </c>
      <c r="E133" s="134">
        <v>-152.87438</v>
      </c>
      <c r="F133" s="135">
        <f t="shared" si="13"/>
        <v>-1.54908326324643</v>
      </c>
      <c r="G133" s="134">
        <v>0</v>
      </c>
      <c r="H133" s="135">
        <f t="shared" si="14"/>
        <v>0</v>
      </c>
      <c r="I133" s="114">
        <v>-78.7148</v>
      </c>
      <c r="J133" s="113">
        <f t="shared" si="10"/>
        <v>-0.713190178490532</v>
      </c>
      <c r="K133" s="113">
        <f t="shared" si="11"/>
        <v>0.835893084755894</v>
      </c>
      <c r="L133" s="113">
        <f t="shared" si="12"/>
        <v>0.835893084755894</v>
      </c>
      <c r="M133" s="112"/>
      <c r="N133" s="112"/>
    </row>
    <row r="134" spans="1:14">
      <c r="A134" s="87"/>
      <c r="B134" s="131">
        <v>6666010185</v>
      </c>
      <c r="C134" s="131" t="s">
        <v>278</v>
      </c>
      <c r="D134" s="131" t="s">
        <v>677</v>
      </c>
      <c r="E134" s="134">
        <v>-0.8417</v>
      </c>
      <c r="F134" s="135">
        <f t="shared" si="13"/>
        <v>-0.00852898558067425</v>
      </c>
      <c r="G134" s="134">
        <v>-5.80489220662971</v>
      </c>
      <c r="H134" s="135">
        <f t="shared" si="14"/>
        <v>-0.0554409343153258</v>
      </c>
      <c r="I134" s="114">
        <v>-0.30649</v>
      </c>
      <c r="J134" s="113">
        <f t="shared" si="10"/>
        <v>-0.00277693213735617</v>
      </c>
      <c r="K134" s="113">
        <f t="shared" si="11"/>
        <v>0.00575205344331809</v>
      </c>
      <c r="L134" s="113">
        <f t="shared" si="12"/>
        <v>0.0611929877586439</v>
      </c>
      <c r="M134" s="112"/>
      <c r="N134" s="112"/>
    </row>
    <row r="135" spans="1:14">
      <c r="A135" s="87"/>
      <c r="B135" s="131">
        <v>6666010207</v>
      </c>
      <c r="C135" s="131" t="s">
        <v>280</v>
      </c>
      <c r="D135" s="131" t="s">
        <v>678</v>
      </c>
      <c r="E135" s="134">
        <v>2.44444</v>
      </c>
      <c r="F135" s="135">
        <f t="shared" si="13"/>
        <v>0.024769625178595</v>
      </c>
      <c r="G135" s="134">
        <v>2.13988499657362</v>
      </c>
      <c r="H135" s="135">
        <f t="shared" si="14"/>
        <v>0.0204374550490179</v>
      </c>
      <c r="I135" s="114">
        <v>1.78271</v>
      </c>
      <c r="J135" s="113">
        <f t="shared" si="10"/>
        <v>0.0161521246715593</v>
      </c>
      <c r="K135" s="113">
        <f t="shared" si="11"/>
        <v>-0.00861750050703565</v>
      </c>
      <c r="L135" s="113">
        <f t="shared" si="12"/>
        <v>-0.0290549555560536</v>
      </c>
      <c r="M135" s="112"/>
      <c r="N135" s="112"/>
    </row>
    <row r="136" spans="1:14">
      <c r="A136" s="87"/>
      <c r="B136" s="131">
        <v>5102040406</v>
      </c>
      <c r="C136" s="131" t="s">
        <v>92</v>
      </c>
      <c r="D136" s="131" t="s">
        <v>679</v>
      </c>
      <c r="E136" s="134">
        <v>0</v>
      </c>
      <c r="F136" s="135">
        <f t="shared" si="13"/>
        <v>0</v>
      </c>
      <c r="G136" s="134">
        <v>0</v>
      </c>
      <c r="H136" s="135">
        <f t="shared" si="14"/>
        <v>0</v>
      </c>
      <c r="I136" s="114">
        <v>0</v>
      </c>
      <c r="J136" s="113">
        <f t="shared" si="10"/>
        <v>0</v>
      </c>
      <c r="K136" s="113">
        <f t="shared" si="11"/>
        <v>0</v>
      </c>
      <c r="L136" s="113">
        <f t="shared" si="12"/>
        <v>0</v>
      </c>
      <c r="M136" s="112"/>
      <c r="N136" s="112"/>
    </row>
    <row r="137" spans="1:14">
      <c r="A137" s="87"/>
      <c r="B137" s="131">
        <v>6666010227</v>
      </c>
      <c r="C137" s="131" t="s">
        <v>283</v>
      </c>
      <c r="D137" s="131" t="s">
        <v>680</v>
      </c>
      <c r="E137" s="134">
        <v>6.26076</v>
      </c>
      <c r="F137" s="135">
        <f t="shared" si="13"/>
        <v>0.0634405747464205</v>
      </c>
      <c r="G137" s="134">
        <v>2.09980101186231</v>
      </c>
      <c r="H137" s="135">
        <f t="shared" si="14"/>
        <v>0.0200546238982623</v>
      </c>
      <c r="I137" s="114">
        <v>2.32542</v>
      </c>
      <c r="J137" s="113">
        <f t="shared" si="10"/>
        <v>0.0210693123131286</v>
      </c>
      <c r="K137" s="113">
        <f t="shared" si="11"/>
        <v>-0.0423712624332919</v>
      </c>
      <c r="L137" s="113">
        <f t="shared" si="12"/>
        <v>-0.0624258863315543</v>
      </c>
      <c r="M137" s="112"/>
      <c r="N137" s="112"/>
    </row>
    <row r="138" spans="1:14">
      <c r="A138" s="73"/>
      <c r="B138" s="138" t="s">
        <v>269</v>
      </c>
      <c r="C138" s="138" t="s">
        <v>286</v>
      </c>
      <c r="D138" s="138" t="s">
        <v>681</v>
      </c>
      <c r="E138" s="134">
        <f>SUM(E131:E137)</f>
        <v>149.25268</v>
      </c>
      <c r="F138" s="135">
        <f t="shared" si="13"/>
        <v>1.51238440726742</v>
      </c>
      <c r="G138" s="134">
        <f>SUM(G131:G137)</f>
        <v>150.272649072883</v>
      </c>
      <c r="H138" s="135">
        <f t="shared" si="14"/>
        <v>1.43521288080504</v>
      </c>
      <c r="I138" s="114">
        <f>SUM(I131:I137)</f>
        <v>79.74634</v>
      </c>
      <c r="J138" s="113">
        <f t="shared" si="10"/>
        <v>0.722536377638851</v>
      </c>
      <c r="K138" s="113">
        <f t="shared" si="11"/>
        <v>-0.78984802962857</v>
      </c>
      <c r="L138" s="113">
        <f t="shared" si="12"/>
        <v>-2.22506091043361</v>
      </c>
      <c r="M138" s="112"/>
      <c r="N138" s="112"/>
    </row>
    <row r="139" spans="1:14">
      <c r="A139" s="130"/>
      <c r="B139" s="140">
        <v>6666020903</v>
      </c>
      <c r="C139" s="140" t="s">
        <v>682</v>
      </c>
      <c r="D139" s="140" t="s">
        <v>683</v>
      </c>
      <c r="E139" s="134">
        <v>0</v>
      </c>
      <c r="F139" s="135">
        <f t="shared" si="13"/>
        <v>0</v>
      </c>
      <c r="G139" s="134">
        <v>0</v>
      </c>
      <c r="H139" s="135">
        <f t="shared" si="14"/>
        <v>0</v>
      </c>
      <c r="I139" s="114">
        <v>0</v>
      </c>
      <c r="J139" s="113">
        <f t="shared" si="10"/>
        <v>0</v>
      </c>
      <c r="K139" s="113">
        <f t="shared" si="11"/>
        <v>0</v>
      </c>
      <c r="L139" s="113">
        <f t="shared" si="12"/>
        <v>0</v>
      </c>
      <c r="M139" s="112"/>
      <c r="N139" s="112"/>
    </row>
    <row r="140" spans="1:14">
      <c r="A140" s="130" t="s">
        <v>285</v>
      </c>
      <c r="B140" s="131">
        <v>6666010302</v>
      </c>
      <c r="C140" s="131" t="s">
        <v>288</v>
      </c>
      <c r="D140" s="131" t="s">
        <v>684</v>
      </c>
      <c r="E140" s="169">
        <v>10.29627</v>
      </c>
      <c r="F140" s="135">
        <f t="shared" si="13"/>
        <v>0.104332586865545</v>
      </c>
      <c r="G140" s="134">
        <v>0.483050378921576</v>
      </c>
      <c r="H140" s="135">
        <f t="shared" si="14"/>
        <v>0.00461348176253786</v>
      </c>
      <c r="I140" s="170">
        <v>2.24267</v>
      </c>
      <c r="J140" s="113">
        <f t="shared" si="10"/>
        <v>0.0203195614750385</v>
      </c>
      <c r="K140" s="113">
        <f t="shared" si="11"/>
        <v>-0.0840130253905061</v>
      </c>
      <c r="L140" s="113">
        <f t="shared" si="12"/>
        <v>-0.0886265071530439</v>
      </c>
      <c r="M140" s="112"/>
      <c r="N140" s="112"/>
    </row>
    <row r="141" spans="1:14">
      <c r="A141" s="87"/>
      <c r="B141" s="131">
        <v>6666010314</v>
      </c>
      <c r="C141" s="131" t="s">
        <v>290</v>
      </c>
      <c r="D141" s="131" t="s">
        <v>685</v>
      </c>
      <c r="E141" s="169">
        <v>0.00046</v>
      </c>
      <c r="F141" s="135">
        <f t="shared" si="13"/>
        <v>4.6612015767021e-6</v>
      </c>
      <c r="G141" s="134">
        <v>15.1192148178064</v>
      </c>
      <c r="H141" s="135">
        <f t="shared" si="14"/>
        <v>0.144399476471928</v>
      </c>
      <c r="I141" s="170">
        <v>0.35212</v>
      </c>
      <c r="J141" s="113">
        <f t="shared" si="10"/>
        <v>0.00319035969919362</v>
      </c>
      <c r="K141" s="113">
        <f t="shared" si="11"/>
        <v>0.00318569849761692</v>
      </c>
      <c r="L141" s="113">
        <f t="shared" si="12"/>
        <v>-0.141213777974311</v>
      </c>
      <c r="M141" s="112"/>
      <c r="N141" s="112"/>
    </row>
    <row r="142" spans="1:14">
      <c r="A142" s="87"/>
      <c r="B142" s="131">
        <v>6666020401</v>
      </c>
      <c r="C142" s="131" t="s">
        <v>295</v>
      </c>
      <c r="D142" s="131" t="s">
        <v>686</v>
      </c>
      <c r="E142" s="169">
        <v>50.73545</v>
      </c>
      <c r="F142" s="135">
        <f t="shared" si="13"/>
        <v>0.514104694640631</v>
      </c>
      <c r="G142" s="134">
        <v>43.2773104005656</v>
      </c>
      <c r="H142" s="135">
        <f t="shared" si="14"/>
        <v>0.413329729107022</v>
      </c>
      <c r="I142" s="170">
        <v>55.36378</v>
      </c>
      <c r="J142" s="113">
        <f t="shared" si="10"/>
        <v>0.501619824227598</v>
      </c>
      <c r="K142" s="113">
        <f t="shared" si="11"/>
        <v>-0.0124848704130334</v>
      </c>
      <c r="L142" s="113">
        <f t="shared" si="12"/>
        <v>-0.425814599520056</v>
      </c>
      <c r="M142" s="112"/>
      <c r="N142" s="112"/>
    </row>
    <row r="143" spans="1:14">
      <c r="A143" s="87"/>
      <c r="B143" s="131">
        <v>6666020402</v>
      </c>
      <c r="C143" s="131" t="s">
        <v>687</v>
      </c>
      <c r="D143" s="131" t="s">
        <v>688</v>
      </c>
      <c r="E143" s="169">
        <v>0</v>
      </c>
      <c r="F143" s="135">
        <f t="shared" si="13"/>
        <v>0</v>
      </c>
      <c r="G143" s="134">
        <v>0</v>
      </c>
      <c r="H143" s="135">
        <f t="shared" si="14"/>
        <v>0</v>
      </c>
      <c r="I143" s="170">
        <v>0</v>
      </c>
      <c r="J143" s="113">
        <f t="shared" si="10"/>
        <v>0</v>
      </c>
      <c r="K143" s="113">
        <f t="shared" si="11"/>
        <v>0</v>
      </c>
      <c r="L143" s="113">
        <f t="shared" si="12"/>
        <v>0</v>
      </c>
      <c r="M143" s="112"/>
      <c r="N143" s="112"/>
    </row>
    <row r="144" spans="1:14">
      <c r="A144" s="87"/>
      <c r="B144" s="131">
        <v>6666020502</v>
      </c>
      <c r="C144" s="131" t="s">
        <v>297</v>
      </c>
      <c r="D144" s="131" t="s">
        <v>689</v>
      </c>
      <c r="E144" s="169">
        <v>57.44973</v>
      </c>
      <c r="F144" s="135">
        <f t="shared" si="13"/>
        <v>0.582140808819804</v>
      </c>
      <c r="G144" s="134">
        <v>41.00135943491</v>
      </c>
      <c r="H144" s="135">
        <f t="shared" si="14"/>
        <v>0.39159274528367</v>
      </c>
      <c r="I144" s="170">
        <v>60.90965</v>
      </c>
      <c r="J144" s="113">
        <f t="shared" si="10"/>
        <v>0.551867808281236</v>
      </c>
      <c r="K144" s="113">
        <f t="shared" si="11"/>
        <v>-0.0302730005385683</v>
      </c>
      <c r="L144" s="113">
        <f t="shared" si="12"/>
        <v>-0.421865745822238</v>
      </c>
      <c r="M144" s="112"/>
      <c r="N144" s="112"/>
    </row>
    <row r="145" spans="1:14">
      <c r="A145" s="87"/>
      <c r="B145" s="131">
        <v>6666020503</v>
      </c>
      <c r="C145" s="131" t="s">
        <v>299</v>
      </c>
      <c r="D145" s="131" t="s">
        <v>690</v>
      </c>
      <c r="E145" s="169">
        <v>0.31856</v>
      </c>
      <c r="F145" s="135">
        <f t="shared" si="13"/>
        <v>0.00322798342233526</v>
      </c>
      <c r="G145" s="134">
        <v>0.521553410746319</v>
      </c>
      <c r="H145" s="135">
        <f t="shared" si="14"/>
        <v>0.00498121366562101</v>
      </c>
      <c r="I145" s="170">
        <v>1.61493</v>
      </c>
      <c r="J145" s="113">
        <f t="shared" si="10"/>
        <v>0.0146319652079369</v>
      </c>
      <c r="K145" s="113">
        <f t="shared" si="11"/>
        <v>0.0114039817856017</v>
      </c>
      <c r="L145" s="113">
        <f t="shared" si="12"/>
        <v>0.00642276811998067</v>
      </c>
      <c r="M145" s="112"/>
      <c r="N145" s="112"/>
    </row>
    <row r="146" spans="1:14">
      <c r="A146" s="87"/>
      <c r="B146" s="131">
        <v>6666021500</v>
      </c>
      <c r="C146" s="131" t="s">
        <v>312</v>
      </c>
      <c r="D146" s="131" t="s">
        <v>691</v>
      </c>
      <c r="E146" s="169">
        <v>0</v>
      </c>
      <c r="F146" s="135">
        <f t="shared" si="13"/>
        <v>0</v>
      </c>
      <c r="G146" s="134">
        <v>0</v>
      </c>
      <c r="H146" s="135">
        <f t="shared" si="14"/>
        <v>0</v>
      </c>
      <c r="I146" s="170">
        <v>0</v>
      </c>
      <c r="J146" s="113">
        <f t="shared" si="10"/>
        <v>0</v>
      </c>
      <c r="K146" s="113">
        <f t="shared" si="11"/>
        <v>0</v>
      </c>
      <c r="L146" s="113">
        <f t="shared" si="12"/>
        <v>0</v>
      </c>
      <c r="M146" s="112"/>
      <c r="N146" s="112"/>
    </row>
    <row r="147" spans="1:14">
      <c r="A147" s="87"/>
      <c r="B147" s="131">
        <v>6666021502</v>
      </c>
      <c r="C147" s="131" t="s">
        <v>301</v>
      </c>
      <c r="D147" s="131" t="s">
        <v>692</v>
      </c>
      <c r="E147" s="169">
        <v>9.26858</v>
      </c>
      <c r="F147" s="135">
        <f t="shared" si="13"/>
        <v>0.0939189558908468</v>
      </c>
      <c r="G147" s="134">
        <v>18.0805555555556</v>
      </c>
      <c r="H147" s="135">
        <f t="shared" si="14"/>
        <v>0.172682430139757</v>
      </c>
      <c r="I147" s="171">
        <v>44.81751</v>
      </c>
      <c r="J147" s="113">
        <f t="shared" si="10"/>
        <v>0.406066050557217</v>
      </c>
      <c r="K147" s="113">
        <f t="shared" si="11"/>
        <v>0.31214709466637</v>
      </c>
      <c r="L147" s="113">
        <f t="shared" si="12"/>
        <v>0.139464664526613</v>
      </c>
      <c r="M147" s="112"/>
      <c r="N147" s="112"/>
    </row>
    <row r="148" spans="1:14">
      <c r="A148" s="87"/>
      <c r="B148" s="131">
        <v>6666021503</v>
      </c>
      <c r="C148" s="131" t="s">
        <v>304</v>
      </c>
      <c r="D148" s="131" t="s">
        <v>694</v>
      </c>
      <c r="E148" s="169">
        <v>2.11572</v>
      </c>
      <c r="F148" s="135">
        <f t="shared" si="13"/>
        <v>0.021438689999696</v>
      </c>
      <c r="G148" s="134">
        <v>4.48196764753105</v>
      </c>
      <c r="H148" s="135">
        <f t="shared" si="14"/>
        <v>0.04280604447166</v>
      </c>
      <c r="I148" s="171">
        <v>6.8613</v>
      </c>
      <c r="J148" s="113">
        <f t="shared" si="10"/>
        <v>0.0621663495515086</v>
      </c>
      <c r="K148" s="113">
        <f t="shared" si="11"/>
        <v>0.0407276595518126</v>
      </c>
      <c r="L148" s="113">
        <f t="shared" si="12"/>
        <v>-0.00207838491984748</v>
      </c>
      <c r="M148" s="112"/>
      <c r="N148" s="112"/>
    </row>
    <row r="149" spans="1:14">
      <c r="A149" s="87"/>
      <c r="B149" s="131">
        <v>6666021505</v>
      </c>
      <c r="C149" s="131" t="s">
        <v>403</v>
      </c>
      <c r="D149" s="131" t="s">
        <v>695</v>
      </c>
      <c r="E149" s="169">
        <v>0</v>
      </c>
      <c r="F149" s="135">
        <f t="shared" si="13"/>
        <v>0</v>
      </c>
      <c r="G149" s="134">
        <v>0</v>
      </c>
      <c r="H149" s="135">
        <f t="shared" si="14"/>
        <v>0</v>
      </c>
      <c r="I149" s="171">
        <v>0</v>
      </c>
      <c r="J149" s="113">
        <f t="shared" si="10"/>
        <v>0</v>
      </c>
      <c r="K149" s="113">
        <f t="shared" si="11"/>
        <v>0</v>
      </c>
      <c r="L149" s="113">
        <f t="shared" si="12"/>
        <v>0</v>
      </c>
      <c r="M149" s="112"/>
      <c r="N149" s="112"/>
    </row>
    <row r="150" spans="1:14">
      <c r="A150" s="87"/>
      <c r="B150" s="131">
        <v>6666021506</v>
      </c>
      <c r="C150" s="131" t="s">
        <v>306</v>
      </c>
      <c r="D150" s="131" t="s">
        <v>696</v>
      </c>
      <c r="E150" s="169">
        <v>15.3897</v>
      </c>
      <c r="F150" s="135">
        <f t="shared" si="13"/>
        <v>0.155944551967331</v>
      </c>
      <c r="G150" s="134">
        <v>32.4223548</v>
      </c>
      <c r="H150" s="135">
        <f t="shared" si="14"/>
        <v>0.309657023564029</v>
      </c>
      <c r="I150" s="171">
        <v>30.46183</v>
      </c>
      <c r="J150" s="113">
        <f t="shared" si="10"/>
        <v>0.275997372474404</v>
      </c>
      <c r="K150" s="113">
        <f t="shared" si="11"/>
        <v>0.120052820507073</v>
      </c>
      <c r="L150" s="113">
        <f t="shared" si="12"/>
        <v>-0.189604203056956</v>
      </c>
      <c r="M150" s="112"/>
      <c r="N150" s="112"/>
    </row>
    <row r="151" spans="1:14">
      <c r="A151" s="87"/>
      <c r="B151" s="131">
        <v>6666030300</v>
      </c>
      <c r="C151" s="131" t="s">
        <v>698</v>
      </c>
      <c r="D151" s="131" t="s">
        <v>309</v>
      </c>
      <c r="E151" s="169">
        <v>-0.11966</v>
      </c>
      <c r="F151" s="135">
        <f t="shared" si="13"/>
        <v>-0.0012125203927569</v>
      </c>
      <c r="G151" s="134">
        <v>0</v>
      </c>
      <c r="H151" s="135">
        <f t="shared" si="14"/>
        <v>0</v>
      </c>
      <c r="I151" s="170">
        <v>0</v>
      </c>
      <c r="J151" s="113">
        <f t="shared" si="10"/>
        <v>0</v>
      </c>
      <c r="K151" s="113">
        <f t="shared" si="11"/>
        <v>0.0012125203927569</v>
      </c>
      <c r="L151" s="113">
        <f t="shared" si="12"/>
        <v>0.0012125203927569</v>
      </c>
      <c r="M151" s="112"/>
      <c r="N151" s="112"/>
    </row>
    <row r="152" spans="1:14">
      <c r="A152" s="87"/>
      <c r="B152" s="131">
        <v>6666091600</v>
      </c>
      <c r="C152" s="131" t="s">
        <v>310</v>
      </c>
      <c r="D152" s="131" t="s">
        <v>699</v>
      </c>
      <c r="E152" s="169">
        <v>2.0149</v>
      </c>
      <c r="F152" s="135">
        <f t="shared" si="13"/>
        <v>0.0204170762106458</v>
      </c>
      <c r="G152" s="134">
        <v>0.703555211505231</v>
      </c>
      <c r="H152" s="135">
        <f t="shared" si="14"/>
        <v>0.006719462977059</v>
      </c>
      <c r="I152" s="170">
        <v>1.10303</v>
      </c>
      <c r="J152" s="113">
        <f t="shared" si="10"/>
        <v>0.00999392950983057</v>
      </c>
      <c r="K152" s="113">
        <f t="shared" si="11"/>
        <v>-0.0104231467008152</v>
      </c>
      <c r="L152" s="113">
        <f t="shared" si="12"/>
        <v>-0.0171426096778742</v>
      </c>
      <c r="M152" s="112"/>
      <c r="N152" s="112"/>
    </row>
    <row r="153" spans="1:14">
      <c r="A153" s="73"/>
      <c r="B153" s="138" t="s">
        <v>269</v>
      </c>
      <c r="C153" s="138" t="s">
        <v>313</v>
      </c>
      <c r="D153" s="138" t="s">
        <v>700</v>
      </c>
      <c r="E153" s="134">
        <f>SUM(E140:E152)</f>
        <v>147.46971</v>
      </c>
      <c r="F153" s="135">
        <f t="shared" si="13"/>
        <v>1.49431748862566</v>
      </c>
      <c r="G153" s="134">
        <f>SUM(G140:G152)</f>
        <v>156.090921657542</v>
      </c>
      <c r="H153" s="135">
        <f t="shared" si="14"/>
        <v>1.49078160744328</v>
      </c>
      <c r="I153" s="114">
        <f>SUM(I139:I152)</f>
        <v>203.72682</v>
      </c>
      <c r="J153" s="113">
        <f t="shared" si="10"/>
        <v>1.84585322098396</v>
      </c>
      <c r="K153" s="113">
        <f t="shared" si="11"/>
        <v>0.351535732358308</v>
      </c>
      <c r="L153" s="113">
        <f t="shared" si="12"/>
        <v>-1.13924587508498</v>
      </c>
      <c r="M153" s="112"/>
      <c r="N153" s="112"/>
    </row>
    <row r="154" spans="1:14">
      <c r="A154" s="130"/>
      <c r="B154" s="141"/>
      <c r="C154" s="141"/>
      <c r="D154" s="142" t="s">
        <v>757</v>
      </c>
      <c r="E154" s="114">
        <f>E37+E46+E51+E107+E112+E114+E116+E118+E122+E130+E138+E153</f>
        <v>2101.98267</v>
      </c>
      <c r="F154" s="135">
        <f t="shared" si="13"/>
        <v>21.2994889904445</v>
      </c>
      <c r="G154" s="114">
        <f>G37+G46+G51+G107+G112+G114+G116+G118+G122+G130+G138+G153</f>
        <v>2248.77475588899</v>
      </c>
      <c r="H154" s="135">
        <f t="shared" si="14"/>
        <v>21.4774312930075</v>
      </c>
      <c r="I154" s="114">
        <f>I37+I46+I51+I107+I112+I114+I116+I118+I122+I130+I138+I153</f>
        <v>1896.22916970365</v>
      </c>
      <c r="J154" s="113">
        <f t="shared" si="10"/>
        <v>17.1806575129442</v>
      </c>
      <c r="K154" s="113">
        <f t="shared" si="11"/>
        <v>-4.11883147750037</v>
      </c>
      <c r="L154" s="113">
        <f t="shared" si="12"/>
        <v>-25.5962627705079</v>
      </c>
      <c r="M154" s="112"/>
      <c r="N154" s="112"/>
    </row>
    <row r="155" spans="1:14">
      <c r="A155" s="105"/>
      <c r="B155" s="104"/>
      <c r="E155" s="143"/>
      <c r="F155" s="143"/>
      <c r="G155" s="143"/>
      <c r="H155" s="143"/>
      <c r="I155" s="143"/>
      <c r="J155" s="113"/>
      <c r="K155" s="113"/>
      <c r="L155" s="113"/>
    </row>
    <row r="156" spans="1:14">
      <c r="A156" s="130" t="s">
        <v>55</v>
      </c>
      <c r="B156" s="131">
        <v>6666110110</v>
      </c>
      <c r="C156" s="131" t="s">
        <v>62</v>
      </c>
      <c r="D156" s="131" t="s">
        <v>702</v>
      </c>
      <c r="E156" s="134">
        <v>0.1515</v>
      </c>
      <c r="F156" s="135">
        <f t="shared" ref="F156:F219" si="15">E156/$G$26*1000</f>
        <v>0.00153515660623993</v>
      </c>
      <c r="G156" s="134">
        <v>0</v>
      </c>
      <c r="H156" s="134">
        <f t="shared" ref="H156:H219" si="16">G156/$I$26*1000</f>
        <v>0</v>
      </c>
      <c r="I156" s="114">
        <v>0.10637</v>
      </c>
      <c r="J156" s="113">
        <f t="shared" ref="J156:J219" si="17">I156/$K$26*1000</f>
        <v>0.000963758267645194</v>
      </c>
      <c r="K156" s="113">
        <f t="shared" ref="K156:K219" si="18">J156-F156</f>
        <v>-0.000571398338594737</v>
      </c>
      <c r="L156" s="113">
        <f t="shared" ref="L156:L219" si="19">K156-H156</f>
        <v>-0.000571398338594737</v>
      </c>
      <c r="M156" s="112"/>
      <c r="N156" s="112"/>
    </row>
    <row r="157" spans="1:14">
      <c r="A157" s="87"/>
      <c r="B157" s="131">
        <v>6666110112</v>
      </c>
      <c r="C157" s="131" t="s">
        <v>64</v>
      </c>
      <c r="D157" s="131" t="s">
        <v>316</v>
      </c>
      <c r="E157" s="134">
        <v>0.16535</v>
      </c>
      <c r="F157" s="135">
        <f t="shared" si="15"/>
        <v>0.00167549930588629</v>
      </c>
      <c r="G157" s="134">
        <v>0.29308</v>
      </c>
      <c r="H157" s="134">
        <f t="shared" si="16"/>
        <v>0.00279912674529568</v>
      </c>
      <c r="I157" s="114">
        <v>0.05393</v>
      </c>
      <c r="J157" s="113">
        <f t="shared" si="17"/>
        <v>0.000488629156473679</v>
      </c>
      <c r="K157" s="113">
        <f t="shared" si="18"/>
        <v>-0.00118687014941261</v>
      </c>
      <c r="L157" s="113">
        <f t="shared" si="19"/>
        <v>-0.00398599689470829</v>
      </c>
      <c r="M157" s="112"/>
      <c r="N157" s="112"/>
    </row>
    <row r="158" spans="1:14">
      <c r="A158" s="87"/>
      <c r="B158" s="131">
        <v>6666110207</v>
      </c>
      <c r="C158" s="131" t="s">
        <v>68</v>
      </c>
      <c r="D158" s="131" t="s">
        <v>317</v>
      </c>
      <c r="E158" s="134">
        <v>0.00293</v>
      </c>
      <c r="F158" s="135">
        <f t="shared" si="15"/>
        <v>2.96898274342112e-5</v>
      </c>
      <c r="G158" s="134">
        <v>0</v>
      </c>
      <c r="H158" s="134">
        <f t="shared" si="16"/>
        <v>0</v>
      </c>
      <c r="I158" s="114">
        <v>0.00206</v>
      </c>
      <c r="J158" s="113">
        <f t="shared" si="17"/>
        <v>1.86644921627254e-5</v>
      </c>
      <c r="K158" s="113">
        <f t="shared" si="18"/>
        <v>-1.10253352714858e-5</v>
      </c>
      <c r="L158" s="113">
        <f t="shared" si="19"/>
        <v>-1.10253352714858e-5</v>
      </c>
      <c r="M158" s="112"/>
      <c r="N158" s="112"/>
    </row>
    <row r="159" spans="1:14">
      <c r="A159" s="87"/>
      <c r="B159" s="131">
        <v>6666110506</v>
      </c>
      <c r="C159" s="131" t="s">
        <v>70</v>
      </c>
      <c r="D159" s="131" t="s">
        <v>318</v>
      </c>
      <c r="E159" s="134">
        <v>0.1616</v>
      </c>
      <c r="F159" s="135">
        <f t="shared" si="15"/>
        <v>0.00163750037998926</v>
      </c>
      <c r="G159" s="134">
        <v>0</v>
      </c>
      <c r="H159" s="134">
        <f t="shared" si="16"/>
        <v>0</v>
      </c>
      <c r="I159" s="114">
        <v>0.105</v>
      </c>
      <c r="J159" s="113">
        <f t="shared" si="17"/>
        <v>0.000951345474313672</v>
      </c>
      <c r="K159" s="113">
        <f t="shared" si="18"/>
        <v>-0.000686154905675587</v>
      </c>
      <c r="L159" s="113">
        <f t="shared" si="19"/>
        <v>-0.000686154905675587</v>
      </c>
      <c r="M159" s="112"/>
      <c r="N159" s="112"/>
    </row>
    <row r="160" spans="1:14">
      <c r="A160" s="73"/>
      <c r="B160" s="138" t="s">
        <v>319</v>
      </c>
      <c r="C160" s="138" t="s">
        <v>76</v>
      </c>
      <c r="D160" s="138" t="s">
        <v>320</v>
      </c>
      <c r="E160" s="134">
        <f>SUM(E156:E159)</f>
        <v>0.48138</v>
      </c>
      <c r="F160" s="135">
        <f t="shared" si="15"/>
        <v>0.00487784611954969</v>
      </c>
      <c r="G160" s="134">
        <f>SUM(G156:G159)</f>
        <v>0.29308</v>
      </c>
      <c r="H160" s="134">
        <f t="shared" si="16"/>
        <v>0.00279912674529568</v>
      </c>
      <c r="I160" s="114">
        <f>SUM(I156:I159)</f>
        <v>0.26736</v>
      </c>
      <c r="J160" s="113">
        <f t="shared" si="17"/>
        <v>0.00242239739059527</v>
      </c>
      <c r="K160" s="113">
        <f t="shared" si="18"/>
        <v>-0.00245544872895442</v>
      </c>
      <c r="L160" s="113">
        <f t="shared" si="19"/>
        <v>-0.0052545754742501</v>
      </c>
      <c r="M160" s="112"/>
      <c r="N160" s="112"/>
    </row>
    <row r="161" spans="1:14">
      <c r="A161" s="130" t="s">
        <v>78</v>
      </c>
      <c r="B161" s="131">
        <v>6666010380</v>
      </c>
      <c r="C161" s="131" t="s">
        <v>81</v>
      </c>
      <c r="D161" s="131" t="s">
        <v>321</v>
      </c>
      <c r="E161" s="134">
        <v>0</v>
      </c>
      <c r="F161" s="135">
        <f t="shared" si="15"/>
        <v>0</v>
      </c>
      <c r="G161" s="134">
        <v>0</v>
      </c>
      <c r="H161" s="134">
        <f t="shared" si="16"/>
        <v>0</v>
      </c>
      <c r="I161" s="114">
        <v>0</v>
      </c>
      <c r="J161" s="113">
        <f t="shared" si="17"/>
        <v>0</v>
      </c>
      <c r="K161" s="113">
        <f t="shared" si="18"/>
        <v>0</v>
      </c>
      <c r="L161" s="113">
        <f t="shared" si="19"/>
        <v>0</v>
      </c>
      <c r="M161" s="112"/>
      <c r="N161" s="112"/>
    </row>
    <row r="162" spans="1:14">
      <c r="A162" s="87"/>
      <c r="B162" s="131">
        <v>5102040406</v>
      </c>
      <c r="C162" s="131" t="s">
        <v>322</v>
      </c>
      <c r="D162" s="131" t="s">
        <v>323</v>
      </c>
      <c r="E162" s="134">
        <v>0</v>
      </c>
      <c r="F162" s="135">
        <f t="shared" si="15"/>
        <v>0</v>
      </c>
      <c r="G162" s="134">
        <v>0</v>
      </c>
      <c r="H162" s="134">
        <f t="shared" si="16"/>
        <v>0</v>
      </c>
      <c r="I162" s="114">
        <v>-7.95819</v>
      </c>
      <c r="J162" s="113">
        <f t="shared" si="17"/>
        <v>-0.0721046480021745</v>
      </c>
      <c r="K162" s="113">
        <f t="shared" si="18"/>
        <v>-0.0721046480021745</v>
      </c>
      <c r="L162" s="113">
        <f t="shared" si="19"/>
        <v>-0.0721046480021745</v>
      </c>
      <c r="M162" s="112"/>
      <c r="N162" s="112"/>
    </row>
    <row r="163" spans="1:14">
      <c r="A163" s="73"/>
      <c r="B163" s="138" t="s">
        <v>324</v>
      </c>
      <c r="C163" s="138" t="s">
        <v>97</v>
      </c>
      <c r="D163" s="138" t="s">
        <v>325</v>
      </c>
      <c r="E163" s="134">
        <f>E162+E161</f>
        <v>0</v>
      </c>
      <c r="F163" s="135">
        <f t="shared" si="15"/>
        <v>0</v>
      </c>
      <c r="G163" s="134">
        <f>SUM(G161:G162)</f>
        <v>0</v>
      </c>
      <c r="H163" s="134">
        <f t="shared" si="16"/>
        <v>0</v>
      </c>
      <c r="I163" s="114">
        <f>SUM(I161:I162)</f>
        <v>-7.95819</v>
      </c>
      <c r="J163" s="113">
        <f t="shared" si="17"/>
        <v>-0.0721046480021745</v>
      </c>
      <c r="K163" s="113">
        <f t="shared" si="18"/>
        <v>-0.0721046480021745</v>
      </c>
      <c r="L163" s="113">
        <f t="shared" si="19"/>
        <v>-0.0721046480021745</v>
      </c>
      <c r="M163" s="112"/>
      <c r="N163" s="112"/>
    </row>
    <row r="164" spans="1:14">
      <c r="A164" s="130" t="s">
        <v>111</v>
      </c>
      <c r="B164" s="131">
        <v>6666029996</v>
      </c>
      <c r="C164" s="131" t="s">
        <v>190</v>
      </c>
      <c r="D164" s="131" t="s">
        <v>703</v>
      </c>
      <c r="E164" s="134">
        <v>-0.1195</v>
      </c>
      <c r="F164" s="135">
        <f t="shared" si="15"/>
        <v>-0.00121089910525196</v>
      </c>
      <c r="G164" s="134">
        <v>0</v>
      </c>
      <c r="H164" s="134">
        <f t="shared" si="16"/>
        <v>0</v>
      </c>
      <c r="I164" s="114">
        <v>0.00433</v>
      </c>
      <c r="J164" s="113">
        <f t="shared" si="17"/>
        <v>3.92316752740781e-5</v>
      </c>
      <c r="K164" s="113">
        <f t="shared" si="18"/>
        <v>0.00125013078052604</v>
      </c>
      <c r="L164" s="113">
        <f t="shared" si="19"/>
        <v>0.00125013078052604</v>
      </c>
      <c r="M164" s="112"/>
      <c r="N164" s="112"/>
    </row>
    <row r="165" spans="1:14">
      <c r="A165" s="87"/>
      <c r="B165" s="131">
        <v>6666029700</v>
      </c>
      <c r="C165" s="131" t="s">
        <v>186</v>
      </c>
      <c r="D165" s="131" t="s">
        <v>704</v>
      </c>
      <c r="E165" s="134">
        <v>20.24921</v>
      </c>
      <c r="F165" s="135">
        <f t="shared" si="15"/>
        <v>0.205186194736895</v>
      </c>
      <c r="G165" s="134">
        <v>5.48764</v>
      </c>
      <c r="H165" s="134">
        <f t="shared" si="16"/>
        <v>0.0524109454502333</v>
      </c>
      <c r="I165" s="114">
        <v>-11.4998399999998</v>
      </c>
      <c r="J165" s="113">
        <f t="shared" si="17"/>
        <v>-0.104193530850773</v>
      </c>
      <c r="K165" s="113">
        <f t="shared" si="18"/>
        <v>-0.309379725587668</v>
      </c>
      <c r="L165" s="113">
        <f t="shared" si="19"/>
        <v>-0.361790671037902</v>
      </c>
      <c r="M165" s="112"/>
      <c r="N165" s="112"/>
    </row>
    <row r="166" spans="1:14">
      <c r="A166" s="87"/>
      <c r="B166" s="131">
        <v>6666010322</v>
      </c>
      <c r="C166" s="131" t="s">
        <v>138</v>
      </c>
      <c r="D166" s="131" t="s">
        <v>328</v>
      </c>
      <c r="E166" s="134">
        <v>0.19369</v>
      </c>
      <c r="F166" s="135">
        <f t="shared" si="15"/>
        <v>0.00196266985519876</v>
      </c>
      <c r="G166" s="134">
        <v>3.07489</v>
      </c>
      <c r="H166" s="134">
        <f t="shared" si="16"/>
        <v>0.029367431547162</v>
      </c>
      <c r="I166" s="114">
        <v>-0.06473</v>
      </c>
      <c r="J166" s="113">
        <f t="shared" si="17"/>
        <v>-0.000586481833831657</v>
      </c>
      <c r="K166" s="113">
        <f t="shared" si="18"/>
        <v>-0.00254915168903042</v>
      </c>
      <c r="L166" s="113">
        <f t="shared" si="19"/>
        <v>-0.0319165832361924</v>
      </c>
      <c r="M166" s="112"/>
      <c r="N166" s="112"/>
    </row>
    <row r="167" spans="1:14">
      <c r="A167" s="87"/>
      <c r="B167" s="131">
        <v>6666020495</v>
      </c>
      <c r="C167" s="131" t="s">
        <v>161</v>
      </c>
      <c r="D167" s="131" t="s">
        <v>706</v>
      </c>
      <c r="E167" s="134">
        <v>0.01557</v>
      </c>
      <c r="F167" s="135">
        <f t="shared" si="15"/>
        <v>0.00015777154032446</v>
      </c>
      <c r="G167" s="134">
        <v>0</v>
      </c>
      <c r="H167" s="134">
        <f t="shared" si="16"/>
        <v>0</v>
      </c>
      <c r="I167" s="114">
        <v>0.06345</v>
      </c>
      <c r="J167" s="113">
        <f t="shared" si="17"/>
        <v>0.000574884479478119</v>
      </c>
      <c r="K167" s="113">
        <f t="shared" si="18"/>
        <v>0.000417112939153659</v>
      </c>
      <c r="L167" s="113">
        <f t="shared" si="19"/>
        <v>0.000417112939153659</v>
      </c>
      <c r="M167" s="112"/>
      <c r="N167" s="112"/>
    </row>
    <row r="168" spans="1:14">
      <c r="A168" s="87"/>
      <c r="B168" s="131">
        <v>5301060000</v>
      </c>
      <c r="C168" s="131" t="s">
        <v>124</v>
      </c>
      <c r="D168" s="131" t="s">
        <v>330</v>
      </c>
      <c r="E168" s="134">
        <v>0</v>
      </c>
      <c r="F168" s="135">
        <f t="shared" si="15"/>
        <v>0</v>
      </c>
      <c r="G168" s="134">
        <v>0</v>
      </c>
      <c r="H168" s="134">
        <f t="shared" si="16"/>
        <v>0</v>
      </c>
      <c r="I168" s="114">
        <v>0</v>
      </c>
      <c r="J168" s="113">
        <f t="shared" si="17"/>
        <v>0</v>
      </c>
      <c r="K168" s="113">
        <f t="shared" si="18"/>
        <v>0</v>
      </c>
      <c r="L168" s="113">
        <f t="shared" si="19"/>
        <v>0</v>
      </c>
      <c r="M168" s="112"/>
      <c r="N168" s="112"/>
    </row>
    <row r="169" spans="1:14">
      <c r="A169" s="87"/>
      <c r="B169" s="131">
        <v>5601050000</v>
      </c>
      <c r="C169" s="131" t="s">
        <v>130</v>
      </c>
      <c r="D169" s="131" t="s">
        <v>707</v>
      </c>
      <c r="E169" s="134">
        <v>0</v>
      </c>
      <c r="F169" s="135">
        <f t="shared" si="15"/>
        <v>0</v>
      </c>
      <c r="G169" s="134">
        <v>0</v>
      </c>
      <c r="H169" s="134">
        <f t="shared" si="16"/>
        <v>0</v>
      </c>
      <c r="I169" s="114">
        <v>0</v>
      </c>
      <c r="J169" s="113">
        <f t="shared" si="17"/>
        <v>0</v>
      </c>
      <c r="K169" s="113">
        <f t="shared" si="18"/>
        <v>0</v>
      </c>
      <c r="L169" s="113">
        <f t="shared" si="19"/>
        <v>0</v>
      </c>
      <c r="M169" s="112"/>
      <c r="N169" s="112"/>
    </row>
    <row r="170" spans="1:14">
      <c r="A170" s="87"/>
      <c r="B170" s="131">
        <v>5601050100</v>
      </c>
      <c r="C170" s="131" t="s">
        <v>132</v>
      </c>
      <c r="D170" s="131" t="s">
        <v>708</v>
      </c>
      <c r="E170" s="134">
        <v>0.0538</v>
      </c>
      <c r="F170" s="135">
        <f t="shared" si="15"/>
        <v>0.000545157923536028</v>
      </c>
      <c r="G170" s="134">
        <v>0</v>
      </c>
      <c r="H170" s="134">
        <f t="shared" si="16"/>
        <v>0</v>
      </c>
      <c r="I170" s="114">
        <v>2.81761</v>
      </c>
      <c r="J170" s="113">
        <f t="shared" si="17"/>
        <v>0.0255287668750566</v>
      </c>
      <c r="K170" s="113">
        <f t="shared" si="18"/>
        <v>0.0249836089515206</v>
      </c>
      <c r="L170" s="113">
        <f t="shared" si="19"/>
        <v>0.0249836089515206</v>
      </c>
      <c r="M170" s="112"/>
      <c r="N170" s="112"/>
    </row>
    <row r="171" spans="1:14">
      <c r="A171" s="87"/>
      <c r="B171" s="131">
        <v>5601080000</v>
      </c>
      <c r="C171" s="131" t="s">
        <v>333</v>
      </c>
      <c r="D171" s="131" t="s">
        <v>709</v>
      </c>
      <c r="E171" s="134">
        <v>0.61357</v>
      </c>
      <c r="F171" s="135">
        <f t="shared" si="15"/>
        <v>0.00621733359003719</v>
      </c>
      <c r="G171" s="134">
        <v>0</v>
      </c>
      <c r="H171" s="134">
        <f t="shared" si="16"/>
        <v>0</v>
      </c>
      <c r="I171" s="114">
        <v>0</v>
      </c>
      <c r="J171" s="113">
        <f t="shared" si="17"/>
        <v>0</v>
      </c>
      <c r="K171" s="113">
        <f t="shared" si="18"/>
        <v>-0.00621733359003719</v>
      </c>
      <c r="L171" s="113">
        <f t="shared" si="19"/>
        <v>-0.00621733359003719</v>
      </c>
      <c r="M171" s="112"/>
      <c r="N171" s="112"/>
    </row>
    <row r="172" spans="1:14">
      <c r="A172" s="87"/>
      <c r="B172" s="131">
        <v>6666020101</v>
      </c>
      <c r="C172" s="131" t="s">
        <v>140</v>
      </c>
      <c r="D172" s="131" t="s">
        <v>335</v>
      </c>
      <c r="E172" s="134">
        <v>0</v>
      </c>
      <c r="F172" s="135">
        <f t="shared" si="15"/>
        <v>0</v>
      </c>
      <c r="G172" s="134">
        <v>0.79074</v>
      </c>
      <c r="H172" s="134">
        <f t="shared" si="16"/>
        <v>0.00755214099418284</v>
      </c>
      <c r="I172" s="114">
        <v>0.53949</v>
      </c>
      <c r="J172" s="113">
        <f t="shared" si="17"/>
        <v>0.00488801304702365</v>
      </c>
      <c r="K172" s="113">
        <f t="shared" si="18"/>
        <v>0.00488801304702365</v>
      </c>
      <c r="L172" s="113">
        <f t="shared" si="19"/>
        <v>-0.00266412794715919</v>
      </c>
      <c r="M172" s="112"/>
      <c r="N172" s="112"/>
    </row>
    <row r="173" spans="1:14">
      <c r="A173" s="87"/>
      <c r="B173" s="145">
        <v>6666021200</v>
      </c>
      <c r="C173" s="145" t="s">
        <v>336</v>
      </c>
      <c r="D173" s="145" t="s">
        <v>337</v>
      </c>
      <c r="E173" s="134">
        <v>0</v>
      </c>
      <c r="F173" s="135">
        <f t="shared" si="15"/>
        <v>0</v>
      </c>
      <c r="G173" s="134">
        <v>2.69917</v>
      </c>
      <c r="H173" s="134">
        <f t="shared" si="16"/>
        <v>0.0257790328139066</v>
      </c>
      <c r="I173" s="114">
        <v>2.30999</v>
      </c>
      <c r="J173" s="113">
        <f t="shared" si="17"/>
        <v>0.0209295098305699</v>
      </c>
      <c r="K173" s="113">
        <f t="shared" si="18"/>
        <v>0.0209295098305699</v>
      </c>
      <c r="L173" s="113">
        <f t="shared" si="19"/>
        <v>-0.00484952298333668</v>
      </c>
      <c r="M173" s="112"/>
      <c r="N173" s="112"/>
    </row>
    <row r="174" spans="1:14">
      <c r="A174" s="87"/>
      <c r="B174" s="131">
        <v>6666020201</v>
      </c>
      <c r="C174" s="131" t="s">
        <v>143</v>
      </c>
      <c r="D174" s="131" t="s">
        <v>610</v>
      </c>
      <c r="E174" s="134">
        <v>0.55626</v>
      </c>
      <c r="F174" s="135">
        <f t="shared" si="15"/>
        <v>0.00563660867186154</v>
      </c>
      <c r="G174" s="134">
        <v>0</v>
      </c>
      <c r="H174" s="134">
        <f t="shared" si="16"/>
        <v>0</v>
      </c>
      <c r="I174" s="114">
        <v>0.0625</v>
      </c>
      <c r="J174" s="113">
        <f t="shared" si="17"/>
        <v>0.000566277068043852</v>
      </c>
      <c r="K174" s="113">
        <f t="shared" si="18"/>
        <v>-0.00507033160381769</v>
      </c>
      <c r="L174" s="113">
        <f t="shared" si="19"/>
        <v>-0.00507033160381769</v>
      </c>
      <c r="M174" s="112"/>
      <c r="N174" s="112"/>
    </row>
    <row r="175" spans="1:14">
      <c r="A175" s="87"/>
      <c r="B175" s="131">
        <v>6666020202</v>
      </c>
      <c r="C175" s="131" t="s">
        <v>146</v>
      </c>
      <c r="D175" s="131" t="s">
        <v>611</v>
      </c>
      <c r="E175" s="134">
        <v>0</v>
      </c>
      <c r="F175" s="135">
        <f t="shared" si="15"/>
        <v>0</v>
      </c>
      <c r="G175" s="134">
        <v>0.97161</v>
      </c>
      <c r="H175" s="134">
        <f t="shared" si="16"/>
        <v>0.00927958078680475</v>
      </c>
      <c r="I175" s="114">
        <v>0</v>
      </c>
      <c r="J175" s="113">
        <f t="shared" si="17"/>
        <v>0</v>
      </c>
      <c r="K175" s="113">
        <f t="shared" si="18"/>
        <v>0</v>
      </c>
      <c r="L175" s="113">
        <f t="shared" si="19"/>
        <v>-0.00927958078680475</v>
      </c>
      <c r="M175" s="112"/>
      <c r="N175" s="112"/>
    </row>
    <row r="176" spans="1:14">
      <c r="A176" s="87"/>
      <c r="B176" s="131">
        <v>6666020204</v>
      </c>
      <c r="C176" s="131" t="s">
        <v>148</v>
      </c>
      <c r="D176" s="131" t="s">
        <v>340</v>
      </c>
      <c r="E176" s="134">
        <v>0.00382</v>
      </c>
      <c r="F176" s="135">
        <f t="shared" si="15"/>
        <v>3.87082391804392e-5</v>
      </c>
      <c r="G176" s="134">
        <v>0.53691</v>
      </c>
      <c r="H176" s="134">
        <f t="shared" si="16"/>
        <v>0.00512788024026444</v>
      </c>
      <c r="I176" s="114">
        <v>0.04467</v>
      </c>
      <c r="J176" s="113">
        <f t="shared" si="17"/>
        <v>0.000404729546072302</v>
      </c>
      <c r="K176" s="113">
        <f t="shared" si="18"/>
        <v>0.000366021306891863</v>
      </c>
      <c r="L176" s="113">
        <f t="shared" si="19"/>
        <v>-0.00476185893337258</v>
      </c>
      <c r="M176" s="112"/>
      <c r="N176" s="112"/>
    </row>
    <row r="177" spans="1:14">
      <c r="A177" s="87"/>
      <c r="B177" s="131">
        <v>6666020301</v>
      </c>
      <c r="C177" s="131" t="s">
        <v>341</v>
      </c>
      <c r="D177" s="131" t="s">
        <v>342</v>
      </c>
      <c r="E177" s="134">
        <v>0.26648</v>
      </c>
      <c r="F177" s="135">
        <f t="shared" si="15"/>
        <v>0.00270025433947734</v>
      </c>
      <c r="G177" s="134">
        <v>0.35644</v>
      </c>
      <c r="H177" s="134">
        <f t="shared" si="16"/>
        <v>0.00340426073800052</v>
      </c>
      <c r="I177" s="114">
        <v>0.12807</v>
      </c>
      <c r="J177" s="113">
        <f t="shared" si="17"/>
        <v>0.00116036966567002</v>
      </c>
      <c r="K177" s="113">
        <f t="shared" si="18"/>
        <v>-0.00153988467380732</v>
      </c>
      <c r="L177" s="113">
        <f t="shared" si="19"/>
        <v>-0.00494414541180784</v>
      </c>
      <c r="M177" s="112"/>
      <c r="N177" s="112"/>
    </row>
    <row r="178" spans="1:14">
      <c r="A178" s="87"/>
      <c r="B178" s="131">
        <v>6666020403</v>
      </c>
      <c r="C178" s="131" t="s">
        <v>157</v>
      </c>
      <c r="D178" s="131" t="s">
        <v>343</v>
      </c>
      <c r="E178" s="134">
        <v>0</v>
      </c>
      <c r="F178" s="135">
        <f t="shared" si="15"/>
        <v>0</v>
      </c>
      <c r="G178" s="134">
        <v>0</v>
      </c>
      <c r="H178" s="134">
        <f t="shared" si="16"/>
        <v>0</v>
      </c>
      <c r="I178" s="114">
        <v>0</v>
      </c>
      <c r="J178" s="113">
        <f t="shared" si="17"/>
        <v>0</v>
      </c>
      <c r="K178" s="113">
        <f t="shared" si="18"/>
        <v>0</v>
      </c>
      <c r="L178" s="113">
        <f t="shared" si="19"/>
        <v>0</v>
      </c>
      <c r="M178" s="112"/>
      <c r="N178" s="112"/>
    </row>
    <row r="179" spans="1:14">
      <c r="A179" s="87"/>
      <c r="B179" s="131">
        <v>6666020504</v>
      </c>
      <c r="C179" s="131" t="s">
        <v>163</v>
      </c>
      <c r="D179" s="131" t="s">
        <v>344</v>
      </c>
      <c r="E179" s="134">
        <v>0</v>
      </c>
      <c r="F179" s="135">
        <f t="shared" si="15"/>
        <v>0</v>
      </c>
      <c r="G179" s="134">
        <v>0</v>
      </c>
      <c r="H179" s="134">
        <f t="shared" si="16"/>
        <v>0</v>
      </c>
      <c r="I179" s="114">
        <v>0</v>
      </c>
      <c r="J179" s="113">
        <f t="shared" si="17"/>
        <v>0</v>
      </c>
      <c r="K179" s="113">
        <f t="shared" si="18"/>
        <v>0</v>
      </c>
      <c r="L179" s="113">
        <f t="shared" si="19"/>
        <v>0</v>
      </c>
      <c r="M179" s="112"/>
      <c r="N179" s="112"/>
    </row>
    <row r="180" spans="1:14">
      <c r="A180" s="87"/>
      <c r="B180" s="131">
        <v>6666020508</v>
      </c>
      <c r="C180" s="131" t="s">
        <v>165</v>
      </c>
      <c r="D180" s="131" t="s">
        <v>345</v>
      </c>
      <c r="E180" s="134">
        <v>0.02996</v>
      </c>
      <c r="F180" s="135">
        <f t="shared" si="15"/>
        <v>0.000303586085299989</v>
      </c>
      <c r="G180" s="134">
        <v>0.02195</v>
      </c>
      <c r="H180" s="134">
        <f t="shared" si="16"/>
        <v>0.000209638433394432</v>
      </c>
      <c r="I180" s="114">
        <v>0.09314</v>
      </c>
      <c r="J180" s="113">
        <f t="shared" si="17"/>
        <v>0.000843888737881671</v>
      </c>
      <c r="K180" s="113">
        <f t="shared" si="18"/>
        <v>0.000540302652581682</v>
      </c>
      <c r="L180" s="113">
        <f t="shared" si="19"/>
        <v>0.00033066421918725</v>
      </c>
      <c r="M180" s="112"/>
      <c r="N180" s="112"/>
    </row>
    <row r="181" spans="1:14">
      <c r="A181" s="87"/>
      <c r="B181" s="145">
        <v>6666020601</v>
      </c>
      <c r="C181" s="145" t="s">
        <v>346</v>
      </c>
      <c r="D181" s="145" t="s">
        <v>710</v>
      </c>
      <c r="E181" s="134">
        <v>0</v>
      </c>
      <c r="F181" s="135">
        <f t="shared" si="15"/>
        <v>0</v>
      </c>
      <c r="G181" s="134">
        <v>0.79658</v>
      </c>
      <c r="H181" s="134">
        <f t="shared" si="16"/>
        <v>0.00760791723340942</v>
      </c>
      <c r="I181" s="114">
        <v>0</v>
      </c>
      <c r="J181" s="113">
        <f t="shared" si="17"/>
        <v>0</v>
      </c>
      <c r="K181" s="113">
        <f t="shared" si="18"/>
        <v>0</v>
      </c>
      <c r="L181" s="113">
        <f t="shared" si="19"/>
        <v>-0.00760791723340942</v>
      </c>
      <c r="M181" s="112"/>
      <c r="N181" s="112"/>
    </row>
    <row r="182" spans="1:14">
      <c r="A182" s="87"/>
      <c r="B182" s="145">
        <v>6666020602</v>
      </c>
      <c r="C182" s="145" t="s">
        <v>167</v>
      </c>
      <c r="D182" s="145" t="s">
        <v>618</v>
      </c>
      <c r="E182" s="134">
        <v>0</v>
      </c>
      <c r="F182" s="135">
        <f t="shared" si="15"/>
        <v>0</v>
      </c>
      <c r="G182" s="134">
        <v>0</v>
      </c>
      <c r="H182" s="134">
        <f t="shared" si="16"/>
        <v>0</v>
      </c>
      <c r="I182" s="114">
        <v>0</v>
      </c>
      <c r="J182" s="113">
        <f t="shared" si="17"/>
        <v>0</v>
      </c>
      <c r="K182" s="113">
        <f t="shared" si="18"/>
        <v>0</v>
      </c>
      <c r="L182" s="113">
        <f t="shared" si="19"/>
        <v>0</v>
      </c>
      <c r="M182" s="112"/>
      <c r="N182" s="112"/>
    </row>
    <row r="183" spans="1:14">
      <c r="A183" s="87"/>
      <c r="B183" s="131">
        <v>6666020701</v>
      </c>
      <c r="C183" s="131" t="s">
        <v>170</v>
      </c>
      <c r="D183" s="131" t="s">
        <v>348</v>
      </c>
      <c r="E183" s="134">
        <v>27.85808</v>
      </c>
      <c r="F183" s="135">
        <f t="shared" si="15"/>
        <v>0.282287231347594</v>
      </c>
      <c r="G183" s="134">
        <v>20.13725</v>
      </c>
      <c r="H183" s="134">
        <f t="shared" si="16"/>
        <v>0.192325355028338</v>
      </c>
      <c r="I183" s="114">
        <v>20.18262</v>
      </c>
      <c r="J183" s="113">
        <f t="shared" si="17"/>
        <v>0.182863278064691</v>
      </c>
      <c r="K183" s="113">
        <f t="shared" si="18"/>
        <v>-0.0994239532829024</v>
      </c>
      <c r="L183" s="113">
        <f t="shared" si="19"/>
        <v>-0.291749308311241</v>
      </c>
      <c r="M183" s="112"/>
      <c r="N183" s="112"/>
    </row>
    <row r="184" spans="1:14">
      <c r="A184" s="87"/>
      <c r="B184" s="131">
        <v>6666020801</v>
      </c>
      <c r="C184" s="131" t="s">
        <v>349</v>
      </c>
      <c r="D184" s="131" t="s">
        <v>711</v>
      </c>
      <c r="E184" s="134">
        <v>0</v>
      </c>
      <c r="F184" s="135">
        <f t="shared" si="15"/>
        <v>0</v>
      </c>
      <c r="G184" s="134">
        <v>0.96587</v>
      </c>
      <c r="H184" s="134">
        <f t="shared" si="16"/>
        <v>0.00922475962016766</v>
      </c>
      <c r="I184" s="114">
        <v>0</v>
      </c>
      <c r="J184" s="113">
        <f t="shared" si="17"/>
        <v>0</v>
      </c>
      <c r="K184" s="113">
        <f t="shared" si="18"/>
        <v>0</v>
      </c>
      <c r="L184" s="113">
        <f t="shared" si="19"/>
        <v>-0.00922475962016766</v>
      </c>
      <c r="M184" s="112"/>
      <c r="N184" s="112"/>
    </row>
    <row r="185" spans="1:14">
      <c r="A185" s="87"/>
      <c r="B185" s="131">
        <v>6666020803</v>
      </c>
      <c r="C185" s="131" t="s">
        <v>174</v>
      </c>
      <c r="D185" s="131" t="s">
        <v>620</v>
      </c>
      <c r="E185" s="134">
        <v>0.61953</v>
      </c>
      <c r="F185" s="135">
        <f t="shared" si="15"/>
        <v>0.0062777265495962</v>
      </c>
      <c r="G185" s="134">
        <v>0</v>
      </c>
      <c r="H185" s="134">
        <f t="shared" si="16"/>
        <v>0</v>
      </c>
      <c r="I185" s="114">
        <v>0.34756</v>
      </c>
      <c r="J185" s="113">
        <f t="shared" si="17"/>
        <v>0.00314904412430914</v>
      </c>
      <c r="K185" s="113">
        <f t="shared" si="18"/>
        <v>-0.00312868242528706</v>
      </c>
      <c r="L185" s="113">
        <f t="shared" si="19"/>
        <v>-0.00312868242528706</v>
      </c>
      <c r="M185" s="112"/>
      <c r="N185" s="112"/>
    </row>
    <row r="186" spans="1:14">
      <c r="A186" s="87"/>
      <c r="B186" s="131">
        <v>6666021100</v>
      </c>
      <c r="C186" s="131" t="s">
        <v>176</v>
      </c>
      <c r="D186" s="131" t="s">
        <v>352</v>
      </c>
      <c r="E186" s="134">
        <v>1.27477</v>
      </c>
      <c r="F186" s="135">
        <f t="shared" si="15"/>
        <v>0.0129173042042012</v>
      </c>
      <c r="G186" s="134">
        <v>1.10613</v>
      </c>
      <c r="H186" s="134">
        <f t="shared" si="16"/>
        <v>0.0105643444341951</v>
      </c>
      <c r="I186" s="114">
        <v>3.0725</v>
      </c>
      <c r="J186" s="113">
        <f t="shared" si="17"/>
        <v>0.0278381806650358</v>
      </c>
      <c r="K186" s="113">
        <f t="shared" si="18"/>
        <v>0.0149208764608346</v>
      </c>
      <c r="L186" s="113">
        <f t="shared" si="19"/>
        <v>0.00435653202663949</v>
      </c>
      <c r="M186" s="112"/>
      <c r="N186" s="112"/>
    </row>
    <row r="187" spans="1:14">
      <c r="A187" s="87"/>
      <c r="B187" s="131">
        <v>6666021102</v>
      </c>
      <c r="C187" s="131" t="s">
        <v>353</v>
      </c>
      <c r="D187" s="131" t="s">
        <v>712</v>
      </c>
      <c r="E187" s="134">
        <v>9.09129</v>
      </c>
      <c r="F187" s="135">
        <f t="shared" si="15"/>
        <v>0.0921224680049044</v>
      </c>
      <c r="G187" s="134">
        <v>2.98412</v>
      </c>
      <c r="H187" s="134">
        <f t="shared" si="16"/>
        <v>0.0285005121576762</v>
      </c>
      <c r="I187" s="114">
        <v>1.85812</v>
      </c>
      <c r="J187" s="113">
        <f t="shared" si="17"/>
        <v>0.0168353719307783</v>
      </c>
      <c r="K187" s="113">
        <f t="shared" si="18"/>
        <v>-0.0752870960741261</v>
      </c>
      <c r="L187" s="113">
        <f t="shared" si="19"/>
        <v>-0.103787608231802</v>
      </c>
      <c r="M187" s="112"/>
      <c r="N187" s="112"/>
    </row>
    <row r="188" spans="1:14">
      <c r="A188" s="87"/>
      <c r="B188" s="131">
        <v>6666021104</v>
      </c>
      <c r="C188" s="131" t="s">
        <v>178</v>
      </c>
      <c r="D188" s="131" t="s">
        <v>355</v>
      </c>
      <c r="E188" s="134">
        <v>0</v>
      </c>
      <c r="F188" s="135">
        <f t="shared" si="15"/>
        <v>0</v>
      </c>
      <c r="G188" s="134">
        <v>0.56647</v>
      </c>
      <c r="H188" s="134">
        <f t="shared" si="16"/>
        <v>0.00541019969771954</v>
      </c>
      <c r="I188" s="114">
        <v>-0.01158</v>
      </c>
      <c r="J188" s="113">
        <f t="shared" si="17"/>
        <v>-0.000104919815167165</v>
      </c>
      <c r="K188" s="113">
        <f t="shared" si="18"/>
        <v>-0.000104919815167165</v>
      </c>
      <c r="L188" s="113">
        <f t="shared" si="19"/>
        <v>-0.00551511951288671</v>
      </c>
      <c r="M188" s="112"/>
      <c r="N188" s="112"/>
    </row>
    <row r="189" spans="1:14">
      <c r="A189" s="87"/>
      <c r="B189" s="145">
        <v>6666021103</v>
      </c>
      <c r="C189" s="145" t="s">
        <v>356</v>
      </c>
      <c r="D189" s="145" t="s">
        <v>357</v>
      </c>
      <c r="E189" s="134">
        <v>0</v>
      </c>
      <c r="F189" s="135">
        <f t="shared" si="15"/>
        <v>0</v>
      </c>
      <c r="G189" s="134">
        <v>3.84972</v>
      </c>
      <c r="H189" s="134">
        <f t="shared" si="16"/>
        <v>0.036767620492356</v>
      </c>
      <c r="I189" s="114">
        <v>0</v>
      </c>
      <c r="J189" s="113">
        <f t="shared" si="17"/>
        <v>0</v>
      </c>
      <c r="K189" s="113">
        <f t="shared" si="18"/>
        <v>0</v>
      </c>
      <c r="L189" s="113">
        <f t="shared" si="19"/>
        <v>-0.036767620492356</v>
      </c>
      <c r="M189" s="112"/>
      <c r="N189" s="112"/>
    </row>
    <row r="190" spans="1:14">
      <c r="A190" s="87"/>
      <c r="B190" s="131">
        <v>6666021300</v>
      </c>
      <c r="C190" s="131" t="s">
        <v>358</v>
      </c>
      <c r="D190" s="131" t="s">
        <v>359</v>
      </c>
      <c r="E190" s="134">
        <v>2.08217</v>
      </c>
      <c r="F190" s="135">
        <f t="shared" si="15"/>
        <v>0.0210987262760039</v>
      </c>
      <c r="G190" s="134">
        <v>3.67549</v>
      </c>
      <c r="H190" s="134">
        <f t="shared" si="16"/>
        <v>0.0351035975196766</v>
      </c>
      <c r="I190" s="114">
        <v>0.3204</v>
      </c>
      <c r="J190" s="113">
        <f t="shared" si="17"/>
        <v>0.00290296276162001</v>
      </c>
      <c r="K190" s="113">
        <f t="shared" si="18"/>
        <v>-0.0181957635143839</v>
      </c>
      <c r="L190" s="113">
        <f t="shared" si="19"/>
        <v>-0.0532993610340605</v>
      </c>
      <c r="M190" s="112"/>
      <c r="N190" s="112"/>
    </row>
    <row r="191" spans="1:14">
      <c r="A191" s="87"/>
      <c r="B191" s="131">
        <v>6666021902</v>
      </c>
      <c r="C191" s="131" t="s">
        <v>180</v>
      </c>
      <c r="D191" s="131" t="s">
        <v>360</v>
      </c>
      <c r="E191" s="134">
        <v>0</v>
      </c>
      <c r="F191" s="135">
        <f t="shared" si="15"/>
        <v>0</v>
      </c>
      <c r="G191" s="134">
        <v>4.20465</v>
      </c>
      <c r="H191" s="134">
        <f t="shared" si="16"/>
        <v>0.0401574596342551</v>
      </c>
      <c r="I191" s="114">
        <v>-3e-5</v>
      </c>
      <c r="J191" s="113">
        <f t="shared" si="17"/>
        <v>-2.71812992661049e-7</v>
      </c>
      <c r="K191" s="113">
        <f t="shared" si="18"/>
        <v>-2.71812992661049e-7</v>
      </c>
      <c r="L191" s="113">
        <f t="shared" si="19"/>
        <v>-0.0401577314472477</v>
      </c>
      <c r="M191" s="112"/>
      <c r="N191" s="112"/>
    </row>
    <row r="192" spans="1:14">
      <c r="A192" s="87"/>
      <c r="B192" s="131">
        <v>6666022100</v>
      </c>
      <c r="C192" s="131" t="s">
        <v>182</v>
      </c>
      <c r="D192" s="131" t="s">
        <v>713</v>
      </c>
      <c r="E192" s="134">
        <v>-2e-5</v>
      </c>
      <c r="F192" s="135">
        <f t="shared" si="15"/>
        <v>-2.02660938117483e-7</v>
      </c>
      <c r="G192" s="134">
        <v>0.56993</v>
      </c>
      <c r="H192" s="134">
        <f t="shared" si="16"/>
        <v>0.00544324520931611</v>
      </c>
      <c r="I192" s="114">
        <v>0</v>
      </c>
      <c r="J192" s="113">
        <f t="shared" si="17"/>
        <v>0</v>
      </c>
      <c r="K192" s="113">
        <f t="shared" si="18"/>
        <v>2.02660938117483e-7</v>
      </c>
      <c r="L192" s="113">
        <f t="shared" si="19"/>
        <v>-0.005443042548378</v>
      </c>
      <c r="M192" s="112"/>
      <c r="N192" s="112"/>
    </row>
    <row r="193" spans="1:14">
      <c r="A193" s="87"/>
      <c r="B193" s="131">
        <v>6666022300</v>
      </c>
      <c r="C193" s="131" t="s">
        <v>184</v>
      </c>
      <c r="D193" s="131" t="s">
        <v>362</v>
      </c>
      <c r="E193" s="134">
        <v>8.71558</v>
      </c>
      <c r="F193" s="135">
        <f t="shared" si="15"/>
        <v>0.0883153809518984</v>
      </c>
      <c r="G193" s="134">
        <v>6.39185312156344</v>
      </c>
      <c r="H193" s="134">
        <f t="shared" si="16"/>
        <v>0.0610468371249144</v>
      </c>
      <c r="I193" s="114">
        <v>11.05664</v>
      </c>
      <c r="J193" s="113">
        <f t="shared" si="17"/>
        <v>0.100177946905862</v>
      </c>
      <c r="K193" s="113">
        <f t="shared" si="18"/>
        <v>0.0118625659539637</v>
      </c>
      <c r="L193" s="113">
        <f t="shared" si="19"/>
        <v>-0.0491842711709507</v>
      </c>
      <c r="M193" s="112"/>
      <c r="N193" s="112"/>
    </row>
    <row r="194" spans="1:14">
      <c r="A194" s="87"/>
      <c r="B194" s="131">
        <v>6666029900</v>
      </c>
      <c r="C194" s="131" t="s">
        <v>188</v>
      </c>
      <c r="D194" s="131" t="s">
        <v>714</v>
      </c>
      <c r="E194" s="134">
        <v>0.15928</v>
      </c>
      <c r="F194" s="135">
        <f t="shared" si="15"/>
        <v>0.00161399171116763</v>
      </c>
      <c r="G194" s="134">
        <v>0</v>
      </c>
      <c r="H194" s="134">
        <f t="shared" si="16"/>
        <v>0</v>
      </c>
      <c r="I194" s="114">
        <v>0.19352</v>
      </c>
      <c r="J194" s="113">
        <f t="shared" si="17"/>
        <v>0.00175337501132554</v>
      </c>
      <c r="K194" s="113">
        <f t="shared" si="18"/>
        <v>0.00013938330015791</v>
      </c>
      <c r="L194" s="113">
        <f t="shared" si="19"/>
        <v>0.00013938330015791</v>
      </c>
      <c r="M194" s="112"/>
      <c r="N194" s="112"/>
    </row>
    <row r="195" spans="1:14">
      <c r="A195" s="87"/>
      <c r="B195" s="131">
        <v>6666029997</v>
      </c>
      <c r="C195" s="131" t="s">
        <v>191</v>
      </c>
      <c r="D195" s="131" t="s">
        <v>364</v>
      </c>
      <c r="E195" s="134">
        <v>0</v>
      </c>
      <c r="F195" s="135">
        <f t="shared" si="15"/>
        <v>0</v>
      </c>
      <c r="G195" s="134">
        <v>0</v>
      </c>
      <c r="H195" s="134">
        <f t="shared" si="16"/>
        <v>0</v>
      </c>
      <c r="I195" s="114">
        <v>0</v>
      </c>
      <c r="J195" s="113">
        <f t="shared" si="17"/>
        <v>0</v>
      </c>
      <c r="K195" s="113">
        <f t="shared" si="18"/>
        <v>0</v>
      </c>
      <c r="L195" s="113">
        <f t="shared" si="19"/>
        <v>0</v>
      </c>
      <c r="M195" s="112"/>
      <c r="N195" s="112"/>
    </row>
    <row r="196" spans="1:14">
      <c r="A196" s="87"/>
      <c r="B196" s="131">
        <v>6666031100</v>
      </c>
      <c r="C196" s="131" t="s">
        <v>365</v>
      </c>
      <c r="D196" s="131" t="s">
        <v>715</v>
      </c>
      <c r="E196" s="134">
        <v>0</v>
      </c>
      <c r="F196" s="135">
        <f t="shared" si="15"/>
        <v>0</v>
      </c>
      <c r="G196" s="134">
        <v>0</v>
      </c>
      <c r="H196" s="134">
        <f t="shared" si="16"/>
        <v>0</v>
      </c>
      <c r="I196" s="114">
        <v>0</v>
      </c>
      <c r="J196" s="113">
        <f t="shared" si="17"/>
        <v>0</v>
      </c>
      <c r="K196" s="113">
        <f t="shared" si="18"/>
        <v>0</v>
      </c>
      <c r="L196" s="113">
        <f t="shared" si="19"/>
        <v>0</v>
      </c>
      <c r="M196" s="112"/>
      <c r="N196" s="112"/>
    </row>
    <row r="197" spans="1:14">
      <c r="A197" s="87"/>
      <c r="B197" s="131">
        <v>6666050107</v>
      </c>
      <c r="C197" s="131" t="s">
        <v>197</v>
      </c>
      <c r="D197" s="131" t="s">
        <v>367</v>
      </c>
      <c r="E197" s="134">
        <v>0.0132</v>
      </c>
      <c r="F197" s="135">
        <f t="shared" si="15"/>
        <v>0.000133756219157538</v>
      </c>
      <c r="G197" s="134">
        <v>0</v>
      </c>
      <c r="H197" s="134">
        <f t="shared" si="16"/>
        <v>0</v>
      </c>
      <c r="I197" s="114">
        <v>0</v>
      </c>
      <c r="J197" s="113">
        <f t="shared" si="17"/>
        <v>0</v>
      </c>
      <c r="K197" s="113">
        <f t="shared" si="18"/>
        <v>-0.000133756219157538</v>
      </c>
      <c r="L197" s="113">
        <f t="shared" si="19"/>
        <v>-0.000133756219157538</v>
      </c>
      <c r="M197" s="112"/>
      <c r="N197" s="112"/>
    </row>
    <row r="198" spans="1:14">
      <c r="A198" s="87"/>
      <c r="B198" s="131">
        <v>6666079999</v>
      </c>
      <c r="C198" s="131" t="s">
        <v>368</v>
      </c>
      <c r="D198" s="131" t="s">
        <v>369</v>
      </c>
      <c r="E198" s="134">
        <v>252.81464</v>
      </c>
      <c r="F198" s="135">
        <f t="shared" si="15"/>
        <v>2.56178260561168</v>
      </c>
      <c r="G198" s="134">
        <v>94.9699</v>
      </c>
      <c r="H198" s="134">
        <f t="shared" si="16"/>
        <v>0.907031483172022</v>
      </c>
      <c r="I198" s="114">
        <v>95.18383</v>
      </c>
      <c r="J198" s="113">
        <f t="shared" si="17"/>
        <v>0.862406722841352</v>
      </c>
      <c r="K198" s="113">
        <f t="shared" si="18"/>
        <v>-1.69937588277033</v>
      </c>
      <c r="L198" s="113">
        <f t="shared" si="19"/>
        <v>-2.60640736594235</v>
      </c>
      <c r="M198" s="112"/>
      <c r="N198" s="112"/>
    </row>
    <row r="199" spans="1:14">
      <c r="A199" s="87"/>
      <c r="B199" s="131">
        <v>6666090100</v>
      </c>
      <c r="C199" s="131" t="s">
        <v>370</v>
      </c>
      <c r="D199" s="131" t="s">
        <v>371</v>
      </c>
      <c r="E199" s="134">
        <v>0</v>
      </c>
      <c r="F199" s="135">
        <f t="shared" si="15"/>
        <v>0</v>
      </c>
      <c r="G199" s="134">
        <v>0</v>
      </c>
      <c r="H199" s="134">
        <f t="shared" si="16"/>
        <v>0</v>
      </c>
      <c r="I199" s="114">
        <v>0</v>
      </c>
      <c r="J199" s="113">
        <f t="shared" si="17"/>
        <v>0</v>
      </c>
      <c r="K199" s="113">
        <f t="shared" si="18"/>
        <v>0</v>
      </c>
      <c r="L199" s="113">
        <f t="shared" si="19"/>
        <v>0</v>
      </c>
      <c r="M199" s="112"/>
      <c r="N199" s="112"/>
    </row>
    <row r="200" spans="1:14">
      <c r="A200" s="87"/>
      <c r="B200" s="131">
        <v>6666093800</v>
      </c>
      <c r="C200" s="131" t="s">
        <v>372</v>
      </c>
      <c r="D200" s="131" t="s">
        <v>373</v>
      </c>
      <c r="E200" s="134">
        <v>0.18425</v>
      </c>
      <c r="F200" s="135">
        <f t="shared" si="15"/>
        <v>0.00186701389240731</v>
      </c>
      <c r="G200" s="134">
        <v>0</v>
      </c>
      <c r="H200" s="134">
        <f t="shared" si="16"/>
        <v>0</v>
      </c>
      <c r="I200" s="114">
        <v>0.05988</v>
      </c>
      <c r="J200" s="113">
        <f t="shared" si="17"/>
        <v>0.000542538733351454</v>
      </c>
      <c r="K200" s="113">
        <f t="shared" si="18"/>
        <v>-0.00132447515905585</v>
      </c>
      <c r="L200" s="113">
        <f t="shared" si="19"/>
        <v>-0.00132447515905585</v>
      </c>
      <c r="M200" s="112"/>
      <c r="N200" s="112"/>
    </row>
    <row r="201" spans="1:14">
      <c r="A201" s="87"/>
      <c r="B201" s="131">
        <v>6666021400</v>
      </c>
      <c r="C201" s="131" t="s">
        <v>374</v>
      </c>
      <c r="D201" s="131" t="s">
        <v>375</v>
      </c>
      <c r="E201" s="134">
        <v>0</v>
      </c>
      <c r="F201" s="135">
        <f t="shared" si="15"/>
        <v>0</v>
      </c>
      <c r="G201" s="134">
        <v>0.67634</v>
      </c>
      <c r="H201" s="134">
        <f t="shared" si="16"/>
        <v>0.0064595379517991</v>
      </c>
      <c r="I201" s="114">
        <v>0</v>
      </c>
      <c r="J201" s="113">
        <f t="shared" si="17"/>
        <v>0</v>
      </c>
      <c r="K201" s="113">
        <f t="shared" si="18"/>
        <v>0</v>
      </c>
      <c r="L201" s="113">
        <f t="shared" si="19"/>
        <v>-0.0064595379517991</v>
      </c>
      <c r="M201" s="112"/>
      <c r="N201" s="112"/>
    </row>
    <row r="202" spans="1:14">
      <c r="A202" s="87"/>
      <c r="B202" s="131">
        <v>5401050201</v>
      </c>
      <c r="C202" s="131" t="s">
        <v>647</v>
      </c>
      <c r="D202" s="131" t="s">
        <v>716</v>
      </c>
      <c r="E202" s="134">
        <v>0</v>
      </c>
      <c r="F202" s="135">
        <f t="shared" si="15"/>
        <v>0</v>
      </c>
      <c r="G202" s="134">
        <v>0</v>
      </c>
      <c r="H202" s="134">
        <f t="shared" si="16"/>
        <v>0</v>
      </c>
      <c r="I202" s="114">
        <v>0</v>
      </c>
      <c r="J202" s="113">
        <f t="shared" si="17"/>
        <v>0</v>
      </c>
      <c r="K202" s="113">
        <f t="shared" si="18"/>
        <v>0</v>
      </c>
      <c r="L202" s="113">
        <f t="shared" si="19"/>
        <v>0</v>
      </c>
      <c r="M202" s="112"/>
      <c r="N202" s="112"/>
    </row>
    <row r="203" spans="1:14">
      <c r="A203" s="87"/>
      <c r="B203" s="131">
        <v>5301070000</v>
      </c>
      <c r="C203" s="131" t="s">
        <v>231</v>
      </c>
      <c r="D203" s="131" t="s">
        <v>657</v>
      </c>
      <c r="E203" s="134">
        <v>0</v>
      </c>
      <c r="F203" s="135">
        <f t="shared" si="15"/>
        <v>0</v>
      </c>
      <c r="G203" s="134">
        <v>0</v>
      </c>
      <c r="H203" s="134">
        <f t="shared" si="16"/>
        <v>0</v>
      </c>
      <c r="I203" s="114">
        <v>0</v>
      </c>
      <c r="J203" s="113">
        <f t="shared" si="17"/>
        <v>0</v>
      </c>
      <c r="K203" s="113">
        <f t="shared" si="18"/>
        <v>0</v>
      </c>
      <c r="L203" s="113">
        <f t="shared" si="19"/>
        <v>0</v>
      </c>
      <c r="M203" s="112"/>
      <c r="N203" s="112"/>
    </row>
    <row r="204" spans="1:14">
      <c r="A204" s="87"/>
      <c r="B204" s="131">
        <v>5207000011</v>
      </c>
      <c r="C204" s="131" t="s">
        <v>118</v>
      </c>
      <c r="D204" s="131" t="s">
        <v>603</v>
      </c>
      <c r="E204" s="134">
        <v>-4.25402</v>
      </c>
      <c r="F204" s="135">
        <f t="shared" si="15"/>
        <v>-0.0431061841985267</v>
      </c>
      <c r="G204" s="134">
        <v>0</v>
      </c>
      <c r="H204" s="134">
        <f t="shared" si="16"/>
        <v>0</v>
      </c>
      <c r="I204" s="114">
        <v>-0.00066</v>
      </c>
      <c r="J204" s="113">
        <f t="shared" si="17"/>
        <v>-5.97988583854308e-6</v>
      </c>
      <c r="K204" s="113">
        <f t="shared" si="18"/>
        <v>0.0431002043126881</v>
      </c>
      <c r="L204" s="113">
        <f t="shared" si="19"/>
        <v>0.0431002043126881</v>
      </c>
      <c r="M204" s="112"/>
      <c r="N204" s="112"/>
    </row>
    <row r="205" spans="1:14">
      <c r="A205" s="87"/>
      <c r="B205" s="131">
        <v>5102040894</v>
      </c>
      <c r="C205" s="131" t="s">
        <v>717</v>
      </c>
      <c r="D205" s="131" t="s">
        <v>718</v>
      </c>
      <c r="E205" s="134">
        <v>0</v>
      </c>
      <c r="F205" s="135">
        <f t="shared" si="15"/>
        <v>0</v>
      </c>
      <c r="G205" s="134">
        <v>0</v>
      </c>
      <c r="H205" s="134">
        <f t="shared" si="16"/>
        <v>0</v>
      </c>
      <c r="I205" s="114">
        <v>0</v>
      </c>
      <c r="J205" s="113">
        <f t="shared" si="17"/>
        <v>0</v>
      </c>
      <c r="K205" s="113">
        <f t="shared" si="18"/>
        <v>0</v>
      </c>
      <c r="L205" s="113">
        <f t="shared" si="19"/>
        <v>0</v>
      </c>
      <c r="M205" s="112"/>
      <c r="N205" s="112"/>
    </row>
    <row r="206" spans="1:14">
      <c r="A206" s="87"/>
      <c r="B206" s="131">
        <v>5207000012</v>
      </c>
      <c r="C206" s="131" t="s">
        <v>120</v>
      </c>
      <c r="D206" s="131" t="s">
        <v>604</v>
      </c>
      <c r="E206" s="134">
        <v>95.99121</v>
      </c>
      <c r="F206" s="135">
        <f t="shared" si="15"/>
        <v>0.972683433481614</v>
      </c>
      <c r="G206" s="134">
        <v>0</v>
      </c>
      <c r="H206" s="134">
        <f t="shared" si="16"/>
        <v>0</v>
      </c>
      <c r="I206" s="114">
        <v>0</v>
      </c>
      <c r="J206" s="113">
        <f t="shared" si="17"/>
        <v>0</v>
      </c>
      <c r="K206" s="113">
        <f t="shared" si="18"/>
        <v>-0.972683433481614</v>
      </c>
      <c r="L206" s="113">
        <f t="shared" si="19"/>
        <v>-0.972683433481614</v>
      </c>
      <c r="M206" s="112"/>
      <c r="N206" s="112"/>
    </row>
    <row r="207" spans="1:14">
      <c r="A207" s="87"/>
      <c r="B207" s="131">
        <v>5301999999</v>
      </c>
      <c r="C207" s="131" t="s">
        <v>126</v>
      </c>
      <c r="D207" s="131" t="s">
        <v>606</v>
      </c>
      <c r="E207" s="134">
        <v>0</v>
      </c>
      <c r="F207" s="135">
        <f t="shared" si="15"/>
        <v>0</v>
      </c>
      <c r="G207" s="134">
        <v>0</v>
      </c>
      <c r="H207" s="134">
        <f t="shared" si="16"/>
        <v>0</v>
      </c>
      <c r="I207" s="114">
        <v>-0.00583</v>
      </c>
      <c r="J207" s="113">
        <f t="shared" si="17"/>
        <v>-5.28223249071306e-5</v>
      </c>
      <c r="K207" s="113">
        <f t="shared" si="18"/>
        <v>-5.28223249071306e-5</v>
      </c>
      <c r="L207" s="113">
        <f t="shared" si="19"/>
        <v>-5.28223249071306e-5</v>
      </c>
      <c r="M207" s="112"/>
      <c r="N207" s="112"/>
    </row>
    <row r="208" spans="1:14">
      <c r="A208" s="87"/>
      <c r="B208" s="131">
        <v>6666070400</v>
      </c>
      <c r="C208" s="131" t="s">
        <v>203</v>
      </c>
      <c r="D208" s="131" t="s">
        <v>627</v>
      </c>
      <c r="E208" s="134">
        <v>0</v>
      </c>
      <c r="F208" s="135">
        <f t="shared" si="15"/>
        <v>0</v>
      </c>
      <c r="G208" s="134">
        <v>0</v>
      </c>
      <c r="H208" s="134">
        <f t="shared" si="16"/>
        <v>0</v>
      </c>
      <c r="I208" s="114">
        <v>0.05749</v>
      </c>
      <c r="J208" s="113">
        <f t="shared" si="17"/>
        <v>0.000520884298269457</v>
      </c>
      <c r="K208" s="113">
        <f t="shared" si="18"/>
        <v>0.000520884298269457</v>
      </c>
      <c r="L208" s="113">
        <f t="shared" si="19"/>
        <v>0.000520884298269457</v>
      </c>
      <c r="M208" s="112"/>
      <c r="N208" s="112"/>
    </row>
    <row r="209" spans="1:14">
      <c r="A209" s="87"/>
      <c r="B209" s="131">
        <v>5801000041</v>
      </c>
      <c r="C209" s="131" t="s">
        <v>719</v>
      </c>
      <c r="D209" s="131" t="s">
        <v>720</v>
      </c>
      <c r="E209" s="134">
        <v>0</v>
      </c>
      <c r="F209" s="135">
        <f t="shared" si="15"/>
        <v>0</v>
      </c>
      <c r="G209" s="134">
        <v>0</v>
      </c>
      <c r="H209" s="134">
        <f t="shared" si="16"/>
        <v>0</v>
      </c>
      <c r="I209" s="114">
        <v>0</v>
      </c>
      <c r="J209" s="113">
        <f t="shared" si="17"/>
        <v>0</v>
      </c>
      <c r="K209" s="113">
        <f t="shared" si="18"/>
        <v>0</v>
      </c>
      <c r="L209" s="113">
        <f t="shared" si="19"/>
        <v>0</v>
      </c>
      <c r="M209" s="112"/>
      <c r="N209" s="112"/>
    </row>
    <row r="210" spans="1:14">
      <c r="A210" s="73"/>
      <c r="B210" s="138" t="s">
        <v>376</v>
      </c>
      <c r="C210" s="138" t="s">
        <v>213</v>
      </c>
      <c r="D210" s="138" t="s">
        <v>650</v>
      </c>
      <c r="E210" s="134">
        <f>SUM(E164:E209)</f>
        <v>416.41282</v>
      </c>
      <c r="F210" s="135">
        <f t="shared" si="15"/>
        <v>4.21953063726732</v>
      </c>
      <c r="G210" s="134">
        <f>SUM(G164:G201)</f>
        <v>154.833653121563</v>
      </c>
      <c r="H210" s="134">
        <f t="shared" si="16"/>
        <v>1.47877378027979</v>
      </c>
      <c r="I210" s="114">
        <f>SUM(I164:I209)</f>
        <v>126.81314</v>
      </c>
      <c r="J210" s="113">
        <f t="shared" si="17"/>
        <v>1.14898196973816</v>
      </c>
      <c r="K210" s="113">
        <f t="shared" si="18"/>
        <v>-3.07054866752916</v>
      </c>
      <c r="L210" s="113">
        <f t="shared" si="19"/>
        <v>-4.54932244780896</v>
      </c>
      <c r="M210" s="112"/>
      <c r="N210" s="112"/>
    </row>
    <row r="211" spans="1:14">
      <c r="A211" s="130" t="s">
        <v>212</v>
      </c>
      <c r="B211" s="146">
        <v>5102040000</v>
      </c>
      <c r="C211" s="146" t="s">
        <v>217</v>
      </c>
      <c r="D211" s="146" t="s">
        <v>721</v>
      </c>
      <c r="E211" s="134">
        <v>0</v>
      </c>
      <c r="F211" s="135">
        <f t="shared" si="15"/>
        <v>0</v>
      </c>
      <c r="G211" s="134">
        <v>0</v>
      </c>
      <c r="H211" s="134">
        <f t="shared" si="16"/>
        <v>0</v>
      </c>
      <c r="I211" s="114">
        <v>0.00678</v>
      </c>
      <c r="J211" s="113">
        <f t="shared" si="17"/>
        <v>6.14297363413971e-5</v>
      </c>
      <c r="K211" s="113">
        <f t="shared" si="18"/>
        <v>6.14297363413971e-5</v>
      </c>
      <c r="L211" s="113">
        <f t="shared" si="19"/>
        <v>6.14297363413971e-5</v>
      </c>
      <c r="M211" s="112"/>
      <c r="N211" s="112"/>
    </row>
    <row r="212" spans="1:14">
      <c r="A212" s="73"/>
      <c r="B212" s="138" t="s">
        <v>379</v>
      </c>
      <c r="C212" s="138" t="s">
        <v>224</v>
      </c>
      <c r="D212" s="138" t="s">
        <v>722</v>
      </c>
      <c r="E212" s="134">
        <f>E211</f>
        <v>0</v>
      </c>
      <c r="F212" s="135">
        <f t="shared" si="15"/>
        <v>0</v>
      </c>
      <c r="G212" s="134">
        <f>G211</f>
        <v>0</v>
      </c>
      <c r="H212" s="134">
        <f t="shared" si="16"/>
        <v>0</v>
      </c>
      <c r="I212" s="114">
        <f>I211</f>
        <v>0.00678</v>
      </c>
      <c r="J212" s="113">
        <f t="shared" si="17"/>
        <v>6.14297363413971e-5</v>
      </c>
      <c r="K212" s="113">
        <f t="shared" si="18"/>
        <v>6.14297363413971e-5</v>
      </c>
      <c r="L212" s="113">
        <f t="shared" si="19"/>
        <v>6.14297363413971e-5</v>
      </c>
      <c r="M212" s="112"/>
      <c r="N212" s="112"/>
    </row>
    <row r="213" spans="1:14">
      <c r="A213" s="130" t="s">
        <v>243</v>
      </c>
      <c r="B213" s="146">
        <v>6666021600</v>
      </c>
      <c r="C213" s="146" t="s">
        <v>246</v>
      </c>
      <c r="D213" s="146" t="s">
        <v>723</v>
      </c>
      <c r="E213" s="134">
        <v>4.25575</v>
      </c>
      <c r="F213" s="135">
        <f t="shared" si="15"/>
        <v>0.0431237143696738</v>
      </c>
      <c r="G213" s="134">
        <v>1.42679</v>
      </c>
      <c r="H213" s="134">
        <f t="shared" si="16"/>
        <v>0.0136268801996739</v>
      </c>
      <c r="I213" s="114">
        <v>1.66934</v>
      </c>
      <c r="J213" s="113">
        <f t="shared" si="17"/>
        <v>0.0151249433722932</v>
      </c>
      <c r="K213" s="113">
        <f t="shared" si="18"/>
        <v>-0.0279987709973806</v>
      </c>
      <c r="L213" s="113">
        <f t="shared" si="19"/>
        <v>-0.0416256511970545</v>
      </c>
      <c r="M213" s="112"/>
      <c r="N213" s="112"/>
    </row>
    <row r="214" spans="1:14">
      <c r="A214" s="87"/>
      <c r="B214" s="146">
        <v>6666021604</v>
      </c>
      <c r="C214" s="146" t="s">
        <v>248</v>
      </c>
      <c r="D214" s="146" t="s">
        <v>662</v>
      </c>
      <c r="E214" s="134">
        <v>0</v>
      </c>
      <c r="F214" s="135">
        <f t="shared" si="15"/>
        <v>0</v>
      </c>
      <c r="G214" s="134">
        <v>0</v>
      </c>
      <c r="H214" s="134">
        <f t="shared" si="16"/>
        <v>0</v>
      </c>
      <c r="I214" s="114">
        <v>0.13879</v>
      </c>
      <c r="J214" s="113">
        <f t="shared" si="17"/>
        <v>0.0012574975083809</v>
      </c>
      <c r="K214" s="113">
        <f t="shared" si="18"/>
        <v>0.0012574975083809</v>
      </c>
      <c r="L214" s="113">
        <f t="shared" si="19"/>
        <v>0.0012574975083809</v>
      </c>
      <c r="M214" s="112"/>
      <c r="N214" s="112"/>
    </row>
    <row r="215" spans="1:14">
      <c r="A215" s="73"/>
      <c r="B215" s="138" t="s">
        <v>379</v>
      </c>
      <c r="C215" s="138" t="s">
        <v>251</v>
      </c>
      <c r="D215" s="138" t="s">
        <v>724</v>
      </c>
      <c r="E215" s="134">
        <f>SUM(E213:E214)</f>
        <v>4.25575</v>
      </c>
      <c r="F215" s="135">
        <f t="shared" si="15"/>
        <v>0.0431237143696738</v>
      </c>
      <c r="G215" s="134">
        <f>SUM(G213:G214)</f>
        <v>1.42679</v>
      </c>
      <c r="H215" s="134">
        <f t="shared" si="16"/>
        <v>0.0136268801996739</v>
      </c>
      <c r="I215" s="114">
        <f>SUM(I213:I214)</f>
        <v>1.80813</v>
      </c>
      <c r="J215" s="113">
        <f t="shared" si="17"/>
        <v>0.0163824408806741</v>
      </c>
      <c r="K215" s="113">
        <f t="shared" si="18"/>
        <v>-0.0267412734889997</v>
      </c>
      <c r="L215" s="113">
        <f t="shared" si="19"/>
        <v>-0.0403681536886736</v>
      </c>
      <c r="M215" s="112"/>
      <c r="N215" s="112"/>
    </row>
    <row r="216" spans="1:14">
      <c r="A216" s="130" t="s">
        <v>250</v>
      </c>
      <c r="B216" s="146">
        <v>6666010012</v>
      </c>
      <c r="C216" s="146" t="s">
        <v>262</v>
      </c>
      <c r="D216" s="146" t="s">
        <v>725</v>
      </c>
      <c r="E216" s="134">
        <v>0.02169</v>
      </c>
      <c r="F216" s="135">
        <f t="shared" si="15"/>
        <v>0.00021978578738841</v>
      </c>
      <c r="G216" s="134">
        <v>0</v>
      </c>
      <c r="H216" s="134">
        <f t="shared" si="16"/>
        <v>0</v>
      </c>
      <c r="I216" s="114">
        <v>0</v>
      </c>
      <c r="J216" s="113">
        <f t="shared" si="17"/>
        <v>0</v>
      </c>
      <c r="K216" s="113">
        <f t="shared" si="18"/>
        <v>-0.00021978578738841</v>
      </c>
      <c r="L216" s="113">
        <f t="shared" si="19"/>
        <v>-0.00021978578738841</v>
      </c>
      <c r="M216" s="112"/>
      <c r="N216" s="112"/>
    </row>
    <row r="217" spans="1:14">
      <c r="A217" s="87"/>
      <c r="B217" s="146">
        <v>6666010102</v>
      </c>
      <c r="C217" s="146" t="s">
        <v>384</v>
      </c>
      <c r="D217" s="146" t="s">
        <v>726</v>
      </c>
      <c r="E217" s="134">
        <v>0.15544</v>
      </c>
      <c r="F217" s="135">
        <f t="shared" si="15"/>
        <v>0.00157508081104907</v>
      </c>
      <c r="G217" s="134">
        <v>0</v>
      </c>
      <c r="H217" s="134">
        <f t="shared" si="16"/>
        <v>0</v>
      </c>
      <c r="I217" s="114">
        <v>0.04778</v>
      </c>
      <c r="J217" s="113">
        <f t="shared" si="17"/>
        <v>0.000432907492978164</v>
      </c>
      <c r="K217" s="113">
        <f t="shared" si="18"/>
        <v>-0.00114217331807091</v>
      </c>
      <c r="L217" s="113">
        <f t="shared" si="19"/>
        <v>-0.00114217331807091</v>
      </c>
      <c r="M217" s="112"/>
      <c r="N217" s="112"/>
    </row>
    <row r="218" spans="1:14">
      <c r="A218" s="73"/>
      <c r="B218" s="138" t="s">
        <v>386</v>
      </c>
      <c r="C218" s="138" t="s">
        <v>270</v>
      </c>
      <c r="D218" s="138" t="s">
        <v>673</v>
      </c>
      <c r="E218" s="134">
        <v>0</v>
      </c>
      <c r="F218" s="135">
        <f t="shared" si="15"/>
        <v>0</v>
      </c>
      <c r="G218" s="134">
        <f>SUM(G216:G217)</f>
        <v>0</v>
      </c>
      <c r="H218" s="134">
        <f t="shared" si="16"/>
        <v>0</v>
      </c>
      <c r="I218" s="114">
        <f>SUM(I216:I217)</f>
        <v>0.04778</v>
      </c>
      <c r="J218" s="113">
        <f t="shared" si="17"/>
        <v>0.000432907492978164</v>
      </c>
      <c r="K218" s="113">
        <f t="shared" si="18"/>
        <v>0.000432907492978164</v>
      </c>
      <c r="L218" s="113">
        <f t="shared" si="19"/>
        <v>0.000432907492978164</v>
      </c>
      <c r="M218" s="112"/>
      <c r="N218" s="112"/>
    </row>
    <row r="219" spans="1:14">
      <c r="A219" s="130" t="s">
        <v>388</v>
      </c>
      <c r="B219" s="146">
        <v>6666010196</v>
      </c>
      <c r="C219" s="146" t="s">
        <v>272</v>
      </c>
      <c r="D219" s="146" t="s">
        <v>727</v>
      </c>
      <c r="E219" s="134">
        <v>3.29462</v>
      </c>
      <c r="F219" s="135">
        <f t="shared" si="15"/>
        <v>0.033384538997031</v>
      </c>
      <c r="G219" s="134">
        <v>0</v>
      </c>
      <c r="H219" s="134">
        <f t="shared" si="16"/>
        <v>0</v>
      </c>
      <c r="I219" s="114">
        <v>3.91531</v>
      </c>
      <c r="J219" s="113">
        <f t="shared" si="17"/>
        <v>0.0354744042765244</v>
      </c>
      <c r="K219" s="113">
        <f t="shared" si="18"/>
        <v>0.0020898652794934</v>
      </c>
      <c r="L219" s="113">
        <f t="shared" si="19"/>
        <v>0.0020898652794934</v>
      </c>
      <c r="M219" s="112"/>
      <c r="N219" s="112"/>
    </row>
    <row r="220" spans="1:14">
      <c r="A220" s="87"/>
      <c r="B220" s="146">
        <v>6666010101</v>
      </c>
      <c r="C220" s="146" t="s">
        <v>274</v>
      </c>
      <c r="D220" s="146" t="s">
        <v>675</v>
      </c>
      <c r="E220" s="134">
        <v>29.96807</v>
      </c>
      <c r="F220" s="135">
        <f t="shared" ref="F220:F233" si="20">E220/$G$26*1000</f>
        <v>0.303667858988519</v>
      </c>
      <c r="G220" s="134">
        <v>53.87238</v>
      </c>
      <c r="H220" s="134">
        <f t="shared" ref="H220:H233" si="21">G220/$I$26*1000</f>
        <v>0.514520334689273</v>
      </c>
      <c r="I220" s="114">
        <v>46.08065</v>
      </c>
      <c r="J220" s="113">
        <f t="shared" ref="J220:J233" si="22">I220/$K$26*1000</f>
        <v>0.417510646008879</v>
      </c>
      <c r="K220" s="113">
        <f t="shared" ref="K220:K233" si="23">J220-F220</f>
        <v>0.11384278702036</v>
      </c>
      <c r="L220" s="113">
        <f t="shared" ref="L220:L233" si="24">K220-H220</f>
        <v>-0.400677547668913</v>
      </c>
      <c r="M220" s="112"/>
      <c r="N220" s="112"/>
    </row>
    <row r="221" spans="1:14">
      <c r="A221" s="87"/>
      <c r="B221" s="146">
        <v>6666010199</v>
      </c>
      <c r="C221" s="146" t="s">
        <v>276</v>
      </c>
      <c r="D221" s="146" t="s">
        <v>728</v>
      </c>
      <c r="E221" s="134">
        <v>-0.66331</v>
      </c>
      <c r="F221" s="135">
        <f t="shared" si="20"/>
        <v>-0.00672135134313537</v>
      </c>
      <c r="G221" s="134">
        <v>0</v>
      </c>
      <c r="H221" s="134">
        <f t="shared" si="21"/>
        <v>0</v>
      </c>
      <c r="I221" s="114">
        <v>22.49256</v>
      </c>
      <c r="J221" s="113">
        <f t="shared" si="22"/>
        <v>0.203792334873607</v>
      </c>
      <c r="K221" s="113">
        <f t="shared" si="23"/>
        <v>0.210513686216742</v>
      </c>
      <c r="L221" s="113">
        <f t="shared" si="24"/>
        <v>0.210513686216742</v>
      </c>
      <c r="M221" s="112"/>
      <c r="N221" s="112"/>
    </row>
    <row r="222" spans="1:14">
      <c r="A222" s="87"/>
      <c r="B222" s="146">
        <v>6666010207</v>
      </c>
      <c r="C222" s="146" t="s">
        <v>280</v>
      </c>
      <c r="D222" s="146" t="s">
        <v>729</v>
      </c>
      <c r="E222" s="134">
        <v>0.38303</v>
      </c>
      <c r="F222" s="135">
        <f t="shared" si="20"/>
        <v>0.00388126095635697</v>
      </c>
      <c r="G222" s="134">
        <v>0</v>
      </c>
      <c r="H222" s="134">
        <f t="shared" si="21"/>
        <v>0</v>
      </c>
      <c r="I222" s="114">
        <v>0.38459</v>
      </c>
      <c r="J222" s="113">
        <f t="shared" si="22"/>
        <v>0.00348455196158376</v>
      </c>
      <c r="K222" s="113">
        <f t="shared" si="23"/>
        <v>-0.000396708994773203</v>
      </c>
      <c r="L222" s="113">
        <f t="shared" si="24"/>
        <v>-0.000396708994773203</v>
      </c>
      <c r="M222" s="112"/>
      <c r="N222" s="112"/>
    </row>
    <row r="223" spans="1:14">
      <c r="A223" s="87"/>
      <c r="B223" s="146">
        <v>6666010227</v>
      </c>
      <c r="C223" s="146" t="s">
        <v>394</v>
      </c>
      <c r="D223" s="146" t="s">
        <v>730</v>
      </c>
      <c r="E223" s="134">
        <v>0.36788</v>
      </c>
      <c r="F223" s="135">
        <f t="shared" si="20"/>
        <v>0.00372774529573297</v>
      </c>
      <c r="G223" s="134">
        <v>0</v>
      </c>
      <c r="H223" s="134">
        <f t="shared" si="21"/>
        <v>0</v>
      </c>
      <c r="I223" s="114">
        <v>0.35774</v>
      </c>
      <c r="J223" s="113">
        <f t="shared" si="22"/>
        <v>0.00324127933315212</v>
      </c>
      <c r="K223" s="113">
        <f t="shared" si="23"/>
        <v>-0.000486465962580849</v>
      </c>
      <c r="L223" s="113">
        <f t="shared" si="24"/>
        <v>-0.000486465962580849</v>
      </c>
      <c r="M223" s="112"/>
      <c r="N223" s="112"/>
    </row>
    <row r="224" spans="1:14">
      <c r="A224" s="73"/>
      <c r="B224" s="138" t="s">
        <v>396</v>
      </c>
      <c r="C224" s="138" t="s">
        <v>286</v>
      </c>
      <c r="D224" s="138" t="s">
        <v>731</v>
      </c>
      <c r="E224" s="134">
        <f>SUM(E219:E223)</f>
        <v>33.35029</v>
      </c>
      <c r="F224" s="135">
        <f t="shared" si="20"/>
        <v>0.337940052894505</v>
      </c>
      <c r="G224" s="134">
        <f>SUM(G219:G223)</f>
        <v>53.87238</v>
      </c>
      <c r="H224" s="134">
        <f t="shared" si="21"/>
        <v>0.514520334689273</v>
      </c>
      <c r="I224" s="114">
        <f>SUM(I219:I223)</f>
        <v>73.23085</v>
      </c>
      <c r="J224" s="113">
        <f t="shared" si="22"/>
        <v>0.663503216453747</v>
      </c>
      <c r="K224" s="113">
        <f t="shared" si="23"/>
        <v>0.325563163559242</v>
      </c>
      <c r="L224" s="113">
        <f t="shared" si="24"/>
        <v>-0.188957171130031</v>
      </c>
      <c r="M224" s="112"/>
      <c r="N224" s="112"/>
    </row>
    <row r="225" spans="1:14">
      <c r="A225" s="130" t="s">
        <v>285</v>
      </c>
      <c r="B225" s="146">
        <v>6666010314</v>
      </c>
      <c r="C225" s="146" t="s">
        <v>290</v>
      </c>
      <c r="D225" s="146" t="s">
        <v>732</v>
      </c>
      <c r="E225" s="134">
        <v>0</v>
      </c>
      <c r="F225" s="135">
        <f t="shared" si="20"/>
        <v>0</v>
      </c>
      <c r="G225" s="134">
        <v>0.49185</v>
      </c>
      <c r="H225" s="134">
        <f t="shared" si="21"/>
        <v>0.00469752453143742</v>
      </c>
      <c r="I225" s="114">
        <v>0</v>
      </c>
      <c r="J225" s="113">
        <f t="shared" si="22"/>
        <v>0</v>
      </c>
      <c r="K225" s="113">
        <f t="shared" si="23"/>
        <v>0</v>
      </c>
      <c r="L225" s="113">
        <f t="shared" si="24"/>
        <v>-0.00469752453143742</v>
      </c>
      <c r="M225" s="112"/>
      <c r="N225" s="112"/>
    </row>
    <row r="226" spans="1:14">
      <c r="A226" s="87"/>
      <c r="B226" s="146">
        <v>6666020401</v>
      </c>
      <c r="C226" s="146" t="s">
        <v>295</v>
      </c>
      <c r="D226" s="146" t="s">
        <v>733</v>
      </c>
      <c r="E226" s="134">
        <v>-2e-5</v>
      </c>
      <c r="F226" s="135">
        <f t="shared" si="20"/>
        <v>-2.02660938117483e-7</v>
      </c>
      <c r="G226" s="134">
        <v>1.59455</v>
      </c>
      <c r="H226" s="134">
        <f t="shared" si="21"/>
        <v>0.0152291099758128</v>
      </c>
      <c r="I226" s="114">
        <v>0.12214</v>
      </c>
      <c r="J226" s="113">
        <f t="shared" si="22"/>
        <v>0.00110664129745402</v>
      </c>
      <c r="K226" s="113">
        <f t="shared" si="23"/>
        <v>0.00110684395839214</v>
      </c>
      <c r="L226" s="113">
        <f t="shared" si="24"/>
        <v>-0.0141222660174207</v>
      </c>
      <c r="M226" s="112"/>
      <c r="N226" s="112"/>
    </row>
    <row r="227" spans="1:14">
      <c r="A227" s="87"/>
      <c r="B227" s="146">
        <v>6666020502</v>
      </c>
      <c r="C227" s="146" t="s">
        <v>297</v>
      </c>
      <c r="D227" s="146" t="s">
        <v>734</v>
      </c>
      <c r="E227" s="134">
        <v>-0.08412</v>
      </c>
      <c r="F227" s="135">
        <f t="shared" si="20"/>
        <v>-0.000852391905722132</v>
      </c>
      <c r="G227" s="134">
        <v>2.2845</v>
      </c>
      <c r="H227" s="134">
        <f t="shared" si="21"/>
        <v>0.0218186333070424</v>
      </c>
      <c r="I227" s="114">
        <v>0.59892</v>
      </c>
      <c r="J227" s="113">
        <f t="shared" si="22"/>
        <v>0.00542647458548519</v>
      </c>
      <c r="K227" s="113">
        <f t="shared" si="23"/>
        <v>0.00627886649120732</v>
      </c>
      <c r="L227" s="113">
        <f t="shared" si="24"/>
        <v>-0.0155397668158351</v>
      </c>
      <c r="M227" s="112"/>
      <c r="N227" s="112"/>
    </row>
    <row r="228" spans="1:14">
      <c r="A228" s="87"/>
      <c r="B228" s="146">
        <v>6666020503</v>
      </c>
      <c r="C228" s="146" t="s">
        <v>299</v>
      </c>
      <c r="D228" s="146" t="s">
        <v>735</v>
      </c>
      <c r="E228" s="134">
        <v>0</v>
      </c>
      <c r="F228" s="135">
        <f t="shared" si="20"/>
        <v>0</v>
      </c>
      <c r="G228" s="134">
        <v>0</v>
      </c>
      <c r="H228" s="134">
        <f t="shared" si="21"/>
        <v>0</v>
      </c>
      <c r="I228" s="114">
        <v>0.07463</v>
      </c>
      <c r="J228" s="113">
        <f t="shared" si="22"/>
        <v>0.000676180121409803</v>
      </c>
      <c r="K228" s="113">
        <f t="shared" si="23"/>
        <v>0.000676180121409803</v>
      </c>
      <c r="L228" s="113">
        <f t="shared" si="24"/>
        <v>0.000676180121409803</v>
      </c>
      <c r="M228" s="112"/>
      <c r="N228" s="112"/>
    </row>
    <row r="229" spans="1:14">
      <c r="A229" s="87"/>
      <c r="B229" s="146">
        <v>6666021502</v>
      </c>
      <c r="C229" s="146" t="s">
        <v>301</v>
      </c>
      <c r="D229" s="146" t="s">
        <v>736</v>
      </c>
      <c r="E229" s="134">
        <v>0.07968</v>
      </c>
      <c r="F229" s="135">
        <f t="shared" si="20"/>
        <v>0.00080740117746005</v>
      </c>
      <c r="G229" s="134">
        <v>0</v>
      </c>
      <c r="H229" s="134">
        <f t="shared" si="21"/>
        <v>0</v>
      </c>
      <c r="I229" s="114">
        <v>0.0574</v>
      </c>
      <c r="J229" s="113">
        <f t="shared" si="22"/>
        <v>0.000520068859291474</v>
      </c>
      <c r="K229" s="113">
        <f t="shared" si="23"/>
        <v>-0.000287332318168576</v>
      </c>
      <c r="L229" s="113">
        <f t="shared" si="24"/>
        <v>-0.000287332318168576</v>
      </c>
      <c r="M229" s="112"/>
      <c r="N229" s="112"/>
    </row>
    <row r="230" spans="1:14">
      <c r="A230" s="87"/>
      <c r="B230" s="146">
        <v>6666021505</v>
      </c>
      <c r="C230" s="146" t="s">
        <v>403</v>
      </c>
      <c r="D230" s="146" t="s">
        <v>737</v>
      </c>
      <c r="E230" s="134">
        <v>0</v>
      </c>
      <c r="F230" s="135">
        <f t="shared" si="20"/>
        <v>0</v>
      </c>
      <c r="G230" s="134">
        <v>0</v>
      </c>
      <c r="H230" s="134">
        <f t="shared" si="21"/>
        <v>0</v>
      </c>
      <c r="I230" s="114">
        <v>0</v>
      </c>
      <c r="J230" s="113">
        <f t="shared" si="22"/>
        <v>0</v>
      </c>
      <c r="K230" s="113">
        <f t="shared" si="23"/>
        <v>0</v>
      </c>
      <c r="L230" s="113">
        <f t="shared" si="24"/>
        <v>0</v>
      </c>
      <c r="M230" s="112"/>
      <c r="N230" s="112"/>
    </row>
    <row r="231" spans="1:14">
      <c r="A231" s="87"/>
      <c r="B231" s="146">
        <v>6666091600</v>
      </c>
      <c r="C231" s="146" t="s">
        <v>310</v>
      </c>
      <c r="D231" s="146" t="s">
        <v>738</v>
      </c>
      <c r="E231" s="134">
        <v>0.03654</v>
      </c>
      <c r="F231" s="135">
        <f t="shared" si="20"/>
        <v>0.000370261533940641</v>
      </c>
      <c r="G231" s="134">
        <v>0.41657</v>
      </c>
      <c r="H231" s="134">
        <f t="shared" si="21"/>
        <v>0.00397854588606463</v>
      </c>
      <c r="I231" s="114">
        <v>0.00571</v>
      </c>
      <c r="J231" s="113">
        <f t="shared" si="22"/>
        <v>5.17350729364864e-5</v>
      </c>
      <c r="K231" s="113">
        <f t="shared" si="23"/>
        <v>-0.000318526461004154</v>
      </c>
      <c r="L231" s="113">
        <f t="shared" si="24"/>
        <v>-0.00429707234706878</v>
      </c>
      <c r="M231" s="112"/>
      <c r="N231" s="112"/>
    </row>
    <row r="232" spans="1:14">
      <c r="A232" s="73"/>
      <c r="B232" s="138" t="s">
        <v>26</v>
      </c>
      <c r="C232" s="138" t="s">
        <v>313</v>
      </c>
      <c r="D232" s="138" t="s">
        <v>314</v>
      </c>
      <c r="E232" s="134">
        <f>SUM(E225:E231)</f>
        <v>0.03208</v>
      </c>
      <c r="F232" s="135">
        <f t="shared" si="20"/>
        <v>0.000325068144740442</v>
      </c>
      <c r="G232" s="134">
        <f>SUM(G225:G231)</f>
        <v>4.78747</v>
      </c>
      <c r="H232" s="134">
        <f t="shared" si="21"/>
        <v>0.0457238137003573</v>
      </c>
      <c r="I232" s="114">
        <f>SUM(I225:I231)</f>
        <v>0.8588</v>
      </c>
      <c r="J232" s="113">
        <f t="shared" si="22"/>
        <v>0.00778109993657697</v>
      </c>
      <c r="K232" s="113">
        <f t="shared" si="23"/>
        <v>0.00745603179183653</v>
      </c>
      <c r="L232" s="113">
        <f t="shared" si="24"/>
        <v>-0.0382677819085207</v>
      </c>
      <c r="M232" s="112"/>
      <c r="N232" s="112"/>
    </row>
    <row r="233" spans="1:14">
      <c r="A233" s="130"/>
      <c r="B233" s="147"/>
      <c r="C233" s="147"/>
      <c r="D233" s="148" t="s">
        <v>739</v>
      </c>
      <c r="E233" s="134">
        <f>E232+E224+E218+E215+E212+E210+E163+E160</f>
        <v>454.53232</v>
      </c>
      <c r="F233" s="135">
        <f t="shared" si="20"/>
        <v>4.60579731879579</v>
      </c>
      <c r="G233" s="134">
        <f>G232+G224+G218+G215+G212+G210+G163+G160</f>
        <v>215.213373121563</v>
      </c>
      <c r="H233" s="134">
        <f t="shared" si="21"/>
        <v>2.05544393561439</v>
      </c>
      <c r="I233" s="114">
        <f>I232+I224+I218+I215+I212+I210+I163+I160</f>
        <v>195.07465</v>
      </c>
      <c r="J233" s="113">
        <f t="shared" si="22"/>
        <v>1.76746081362689</v>
      </c>
      <c r="K233" s="113">
        <f t="shared" si="23"/>
        <v>-2.8383365051689</v>
      </c>
      <c r="L233" s="113">
        <f t="shared" si="24"/>
        <v>-4.89378044078329</v>
      </c>
      <c r="M233" s="112"/>
      <c r="N233" s="112"/>
    </row>
    <row r="234" spans="1:14">
      <c r="A234" s="105"/>
      <c r="B234" s="104"/>
      <c r="E234" s="143"/>
      <c r="F234" s="143"/>
      <c r="G234" s="143"/>
      <c r="H234" s="143"/>
      <c r="I234" s="143"/>
      <c r="J234" s="113"/>
      <c r="K234" s="113"/>
      <c r="L234" s="113"/>
    </row>
    <row r="235" spans="1:14">
      <c r="A235" s="130"/>
      <c r="B235" s="147"/>
      <c r="C235" s="147"/>
      <c r="D235" s="149" t="s">
        <v>741</v>
      </c>
      <c r="E235" s="114">
        <f>E233+E154</f>
        <v>2556.51499</v>
      </c>
      <c r="F235" s="135">
        <f>E235/G26*1000</f>
        <v>25.9052863092403</v>
      </c>
      <c r="G235" s="114">
        <f>G233+G154</f>
        <v>2463.98812901056</v>
      </c>
      <c r="H235" s="135">
        <f>G235/I26*1000</f>
        <v>23.5328752286219</v>
      </c>
      <c r="I235" s="114">
        <f>I233+I154</f>
        <v>2091.30381970365</v>
      </c>
      <c r="J235" s="113">
        <f>I235/$K$26*1000</f>
        <v>18.9481183265711</v>
      </c>
      <c r="K235" s="113">
        <f>J235-F235</f>
        <v>-6.95716798266927</v>
      </c>
      <c r="L235" s="113">
        <f>K235-H235</f>
        <v>-30.4900432112912</v>
      </c>
      <c r="M235" s="112"/>
      <c r="N235" s="112"/>
    </row>
  </sheetData>
  <mergeCells count="27">
    <mergeCell ref="A1:I1"/>
    <mergeCell ref="A5:A10"/>
    <mergeCell ref="A12:A25"/>
    <mergeCell ref="A26:A27"/>
    <mergeCell ref="A28:A37"/>
    <mergeCell ref="A38:A46"/>
    <mergeCell ref="A47:A51"/>
    <mergeCell ref="A52:A107"/>
    <mergeCell ref="A108:A112"/>
    <mergeCell ref="A113:A114"/>
    <mergeCell ref="A115:A116"/>
    <mergeCell ref="A117:A118"/>
    <mergeCell ref="A119:A122"/>
    <mergeCell ref="A123:A130"/>
    <mergeCell ref="A131:A138"/>
    <mergeCell ref="A140:A153"/>
    <mergeCell ref="A156:A160"/>
    <mergeCell ref="A161:A163"/>
    <mergeCell ref="A164:A210"/>
    <mergeCell ref="A211:A212"/>
    <mergeCell ref="A213:A215"/>
    <mergeCell ref="A216:A218"/>
    <mergeCell ref="A219:A224"/>
    <mergeCell ref="A225:A232"/>
    <mergeCell ref="B26:B27"/>
    <mergeCell ref="C26:C27"/>
    <mergeCell ref="D26:D27"/>
  </mergeCells>
  <conditionalFormatting sqref="G4:G25">
    <cfRule type="cellIs" dxfId="0" priority="1" operator="greaterThan">
      <formula>0.5</formula>
    </cfRule>
  </conditionalFormatting>
  <conditionalFormatting sqref="K28:K154 K156:K233">
    <cfRule type="cellIs" dxfId="0" priority="2" operator="greaterThan">
      <formula>0.5</formula>
    </cfRule>
  </conditionalFormatting>
  <conditionalFormatting sqref="B156:B211 B213:B232">
    <cfRule type="duplicateValues" dxfId="1" priority="3"/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5"/>
  <sheetViews>
    <sheetView zoomScale="85" zoomScaleNormal="85" workbookViewId="0">
      <selection activeCell="C1" sqref="C1:I1"/>
    </sheetView>
  </sheetViews>
  <sheetFormatPr defaultColWidth="9" defaultRowHeight="14.4"/>
  <cols>
    <col min="1" max="1" width="9" style="104" customWidth="1"/>
    <col min="2" max="2" width="24.2222222222222" style="105" customWidth="1"/>
    <col min="3" max="3" width="13.2222222222222" style="104" customWidth="1"/>
    <col min="4" max="4" width="45.4444444444444" style="104" customWidth="1"/>
    <col min="5" max="5" width="44.5555555555556" style="104" customWidth="1"/>
    <col min="6" max="6" width="13" style="104" customWidth="1"/>
    <col min="7" max="7" width="19.4444444444444" style="104" customWidth="1"/>
    <col min="8" max="8" width="11.1111111111111" style="104" customWidth="1"/>
    <col min="9" max="9" width="13.3333333333333" style="104" customWidth="1"/>
    <col min="10" max="10" width="14.3333333333333" style="104" customWidth="1"/>
    <col min="11" max="11" width="13.3333333333333" style="104" customWidth="1"/>
    <col min="12" max="12" width="9" style="104" customWidth="1"/>
    <col min="13" max="13" width="10.2222222222222" style="104" customWidth="1"/>
    <col min="14" max="14" width="17.2222222222222" style="106" hidden="1" customWidth="1"/>
    <col min="15" max="15" width="20.1111111111111" style="104" hidden="1" customWidth="1"/>
    <col min="16" max="16" width="16.8888888888889" style="104" customWidth="1"/>
    <col min="17" max="17" width="14.6666666666667" style="104" customWidth="1"/>
    <col min="18" max="18" width="14.3333333333333" style="104" customWidth="1"/>
    <col min="19" max="19" width="18.6666666666667" style="104" customWidth="1"/>
    <col min="20" max="20" width="9" style="104" customWidth="1"/>
    <col min="21" max="16384" width="9" style="104"/>
  </cols>
  <sheetData>
    <row r="1" ht="202.95" customHeight="1" spans="1:9">
      <c r="C1" s="107" t="s">
        <v>782</v>
      </c>
    </row>
    <row r="2" ht="15.15" spans="1:9">
      <c r="A2" s="53" t="s">
        <v>535</v>
      </c>
      <c r="B2" s="108" t="s">
        <v>1</v>
      </c>
      <c r="C2" s="108" t="s">
        <v>425</v>
      </c>
      <c r="D2" s="108" t="s">
        <v>773</v>
      </c>
      <c r="E2" s="109" t="s">
        <v>538</v>
      </c>
      <c r="F2" s="109" t="s">
        <v>539</v>
      </c>
      <c r="G2" s="109" t="s">
        <v>540</v>
      </c>
      <c r="H2" s="109" t="s">
        <v>541</v>
      </c>
      <c r="I2" s="109" t="s">
        <v>542</v>
      </c>
    </row>
    <row r="3" ht="15.15" spans="1:9">
      <c r="A3" s="56" t="s">
        <v>501</v>
      </c>
      <c r="B3" s="110" t="s">
        <v>543</v>
      </c>
      <c r="C3" s="111">
        <f>H27</f>
        <v>93353</v>
      </c>
      <c r="D3" s="111">
        <f>J27</f>
        <v>71805.0833333333</v>
      </c>
      <c r="E3" s="112">
        <f>L27</f>
        <v>67531</v>
      </c>
      <c r="F3" s="113">
        <f t="shared" ref="F3:F25" si="0">E3-D3</f>
        <v>-4274.0833333333</v>
      </c>
      <c r="G3" s="113">
        <f t="shared" ref="G3:G25" si="1">E3-C3</f>
        <v>-25822</v>
      </c>
      <c r="H3" s="112"/>
      <c r="I3" s="112"/>
    </row>
    <row r="4" ht="15.9" customHeight="1" spans="1:9">
      <c r="A4" s="56" t="s">
        <v>544</v>
      </c>
      <c r="B4" s="110" t="s">
        <v>545</v>
      </c>
      <c r="C4" s="112">
        <v>20</v>
      </c>
      <c r="D4" s="112">
        <v>14</v>
      </c>
      <c r="E4" s="112">
        <v>14</v>
      </c>
      <c r="F4" s="113">
        <f t="shared" si="0"/>
        <v>0</v>
      </c>
      <c r="G4" s="113">
        <f t="shared" si="1"/>
        <v>-6</v>
      </c>
      <c r="H4" s="112"/>
      <c r="I4" s="112"/>
    </row>
    <row r="5" ht="15.15" spans="1:9">
      <c r="A5" s="62"/>
      <c r="B5" s="110" t="s">
        <v>547</v>
      </c>
      <c r="C5" s="114">
        <v>293</v>
      </c>
      <c r="D5" s="114">
        <v>257.93475536698</v>
      </c>
      <c r="E5" s="114">
        <v>265</v>
      </c>
      <c r="F5" s="113">
        <f t="shared" si="0"/>
        <v>7.06524463301997</v>
      </c>
      <c r="G5" s="113">
        <f t="shared" si="1"/>
        <v>-28</v>
      </c>
      <c r="H5" s="112"/>
      <c r="I5" s="112"/>
    </row>
    <row r="6" spans="1:9">
      <c r="B6" s="110" t="s">
        <v>548</v>
      </c>
      <c r="C6" s="114">
        <f>F44*1000/C5</f>
        <v>1741.15058020478</v>
      </c>
      <c r="D6" s="114">
        <f>H44*1000/D5</f>
        <v>2081.42399839121</v>
      </c>
      <c r="E6" s="114">
        <f>(J46+J44)*1000/E5</f>
        <v>2187.83305660377</v>
      </c>
      <c r="F6" s="113">
        <f t="shared" si="0"/>
        <v>106.40905821256</v>
      </c>
      <c r="G6" s="113">
        <f t="shared" si="1"/>
        <v>446.682476398995</v>
      </c>
      <c r="H6" s="115">
        <f>(E6-C6)/C6</f>
        <v>0.256544426126809</v>
      </c>
      <c r="I6" s="112"/>
    </row>
    <row r="7" spans="1:9">
      <c r="B7" s="110" t="s">
        <v>250</v>
      </c>
      <c r="C7" s="114">
        <v>178</v>
      </c>
      <c r="D7" s="114">
        <v>127</v>
      </c>
      <c r="E7" s="114">
        <v>113</v>
      </c>
      <c r="F7" s="113">
        <f t="shared" si="0"/>
        <v>-14</v>
      </c>
      <c r="G7" s="113">
        <f t="shared" si="1"/>
        <v>-65</v>
      </c>
      <c r="H7" s="112"/>
      <c r="I7" s="112"/>
    </row>
    <row r="8" spans="1:9">
      <c r="B8" s="110" t="s">
        <v>549</v>
      </c>
      <c r="C8" s="114">
        <f>(F130+F133)*1000/C7</f>
        <v>2079.33612359551</v>
      </c>
      <c r="D8" s="114">
        <f>(H133+H130)*1000/D7</f>
        <v>2207.02989854854</v>
      </c>
      <c r="E8" s="113">
        <f>J130*1000/E7</f>
        <v>0</v>
      </c>
      <c r="F8" s="113">
        <f t="shared" si="0"/>
        <v>-2207.02989854854</v>
      </c>
      <c r="G8" s="113">
        <f t="shared" si="1"/>
        <v>-2079.33612359551</v>
      </c>
      <c r="H8" s="112"/>
      <c r="I8" s="112"/>
    </row>
    <row r="9" spans="1:9">
      <c r="B9" s="110" t="s">
        <v>550</v>
      </c>
      <c r="C9" s="114">
        <v>53</v>
      </c>
      <c r="D9" s="114">
        <v>34</v>
      </c>
      <c r="E9" s="114">
        <v>28</v>
      </c>
      <c r="F9" s="113">
        <f t="shared" si="0"/>
        <v>-6</v>
      </c>
      <c r="G9" s="113">
        <f t="shared" si="1"/>
        <v>-25</v>
      </c>
      <c r="H9" s="112"/>
      <c r="I9" s="112"/>
    </row>
    <row r="10" ht="15.15" spans="1:9">
      <c r="A10" s="65"/>
      <c r="B10" s="110" t="s">
        <v>551</v>
      </c>
      <c r="C10" s="114">
        <f>(F136+F137)*1000/C9</f>
        <v>3184.92622641509</v>
      </c>
      <c r="D10" s="114">
        <f>H136*1000/D9</f>
        <v>4030.71273857815</v>
      </c>
      <c r="E10" s="113">
        <f>(J136+J137)*1000/E9</f>
        <v>5460.11357142857</v>
      </c>
      <c r="F10" s="113">
        <f t="shared" si="0"/>
        <v>1429.40083285042</v>
      </c>
      <c r="G10" s="113">
        <f t="shared" si="1"/>
        <v>2275.18734501348</v>
      </c>
      <c r="H10" s="112"/>
      <c r="I10" s="112"/>
    </row>
    <row r="11" ht="15.9" customHeight="1" spans="1:9">
      <c r="A11" s="56" t="s">
        <v>552</v>
      </c>
      <c r="B11" s="110" t="s">
        <v>527</v>
      </c>
      <c r="C11" s="113">
        <f>C3/C5/C4/7.5</f>
        <v>2.12407281001138</v>
      </c>
      <c r="D11" s="113">
        <f>D3/D5/D4/7.5</f>
        <v>2.65128262972924</v>
      </c>
      <c r="E11" s="113">
        <f>E3/E5/E4/7.5</f>
        <v>2.42699011680144</v>
      </c>
      <c r="F11" s="113">
        <f t="shared" si="0"/>
        <v>-0.224292512927807</v>
      </c>
      <c r="G11" s="113">
        <f t="shared" si="1"/>
        <v>0.302917306790061</v>
      </c>
      <c r="H11" s="112"/>
      <c r="I11" s="112"/>
    </row>
    <row r="12" ht="15.15" spans="1:9">
      <c r="A12" s="56" t="s">
        <v>450</v>
      </c>
      <c r="B12" s="110" t="s">
        <v>553</v>
      </c>
      <c r="C12" s="113">
        <f>SUM(C13:C25)</f>
        <v>30.1653215215365</v>
      </c>
      <c r="D12" s="113">
        <f>SUM(D13:D25)</f>
        <v>35.6807423541012</v>
      </c>
      <c r="E12" s="113">
        <f>SUM(E13:E25)</f>
        <v>31.1756434822526</v>
      </c>
      <c r="F12" s="113">
        <f t="shared" si="0"/>
        <v>-4.50509887184857</v>
      </c>
      <c r="G12" s="113">
        <f t="shared" si="1"/>
        <v>1.01032196071606</v>
      </c>
      <c r="H12" s="112">
        <f t="shared" ref="H12:H25" si="2">G12*$E$3</f>
        <v>68228.0523291162</v>
      </c>
      <c r="I12" s="112"/>
    </row>
    <row r="13" spans="1:9">
      <c r="B13" s="110" t="s">
        <v>759</v>
      </c>
      <c r="C13" s="113">
        <f>G38</f>
        <v>8.90905434212077</v>
      </c>
      <c r="D13" s="113">
        <f>I38</f>
        <v>11.5298949810689</v>
      </c>
      <c r="E13" s="113">
        <f>K38</f>
        <v>3.76625564555537</v>
      </c>
      <c r="F13" s="113">
        <f t="shared" si="0"/>
        <v>-7.7636393355135</v>
      </c>
      <c r="G13" s="113">
        <f t="shared" si="1"/>
        <v>-5.14279869656539</v>
      </c>
      <c r="H13" s="112">
        <f t="shared" si="2"/>
        <v>-347298.338777758</v>
      </c>
      <c r="I13" s="112"/>
    </row>
    <row r="14" spans="1:9">
      <c r="B14" s="110" t="s">
        <v>554</v>
      </c>
      <c r="C14" s="113">
        <f>G111</f>
        <v>0.896979315072896</v>
      </c>
      <c r="D14" s="113">
        <f>I111</f>
        <v>1.22880164052868</v>
      </c>
      <c r="E14" s="113">
        <f>K111</f>
        <v>1.14628600198427</v>
      </c>
      <c r="F14" s="113">
        <f t="shared" si="0"/>
        <v>-0.0825156385444084</v>
      </c>
      <c r="G14" s="113">
        <f t="shared" si="1"/>
        <v>0.249306686911378</v>
      </c>
      <c r="H14" s="112">
        <f t="shared" si="2"/>
        <v>16835.9298738123</v>
      </c>
      <c r="I14" s="112"/>
    </row>
    <row r="15" spans="1:9">
      <c r="B15" s="110" t="s">
        <v>223</v>
      </c>
      <c r="C15" s="113">
        <f>G118</f>
        <v>0.309093226784356</v>
      </c>
      <c r="D15" s="113">
        <f>I118</f>
        <v>0.174082382746811</v>
      </c>
      <c r="E15" s="113">
        <f>K118</f>
        <v>0.239386355895811</v>
      </c>
      <c r="F15" s="113">
        <f t="shared" si="0"/>
        <v>0.0653039731489996</v>
      </c>
      <c r="G15" s="113">
        <f t="shared" si="1"/>
        <v>-0.0697068708885454</v>
      </c>
      <c r="H15" s="112">
        <f t="shared" si="2"/>
        <v>-4707.37469797436</v>
      </c>
      <c r="I15" s="112"/>
    </row>
    <row r="16" spans="1:9">
      <c r="B16" s="110" t="s">
        <v>555</v>
      </c>
      <c r="C16" s="113">
        <f>G122</f>
        <v>0.294733859651002</v>
      </c>
      <c r="D16" s="113">
        <f>I122</f>
        <v>0.373706557360393</v>
      </c>
      <c r="E16" s="113">
        <f>K122</f>
        <v>0.421105862492781</v>
      </c>
      <c r="F16" s="113">
        <f t="shared" si="0"/>
        <v>0.0473993051323884</v>
      </c>
      <c r="G16" s="113">
        <f t="shared" si="1"/>
        <v>0.126372002841779</v>
      </c>
      <c r="H16" s="112">
        <f t="shared" si="2"/>
        <v>8534.02772390818</v>
      </c>
      <c r="I16" s="112"/>
    </row>
    <row r="17" spans="1:19">
      <c r="B17" s="110" t="s">
        <v>556</v>
      </c>
      <c r="C17" s="113">
        <f>G134</f>
        <v>4.84375306631817</v>
      </c>
      <c r="D17" s="113">
        <f>I134</f>
        <v>5.01177258952245</v>
      </c>
      <c r="E17" s="113">
        <f>K134</f>
        <v>5.48569782766433</v>
      </c>
      <c r="F17" s="113">
        <f t="shared" si="0"/>
        <v>0.473925238141886</v>
      </c>
      <c r="G17" s="113">
        <f t="shared" si="1"/>
        <v>0.641944761346163</v>
      </c>
      <c r="H17" s="112">
        <f t="shared" si="2"/>
        <v>43351.1716784677</v>
      </c>
      <c r="I17" s="112"/>
    </row>
    <row r="18" spans="1:19">
      <c r="B18" s="110" t="s">
        <v>557</v>
      </c>
      <c r="C18" s="113">
        <f>G142</f>
        <v>2.13314023116558</v>
      </c>
      <c r="D18" s="113">
        <f>I142</f>
        <v>2.2099525363398</v>
      </c>
      <c r="E18" s="113">
        <f>K142</f>
        <v>2.60042676696628</v>
      </c>
      <c r="F18" s="113">
        <f t="shared" si="0"/>
        <v>0.390474230626478</v>
      </c>
      <c r="G18" s="113">
        <f t="shared" si="1"/>
        <v>0.467286535800707</v>
      </c>
      <c r="H18" s="112">
        <f t="shared" si="2"/>
        <v>31556.3270491575</v>
      </c>
      <c r="I18" s="112"/>
    </row>
    <row r="19" spans="1:19">
      <c r="B19" s="110" t="s">
        <v>558</v>
      </c>
      <c r="C19" s="113">
        <f>G158</f>
        <v>1.82806165843626</v>
      </c>
      <c r="D19" s="113">
        <f>I158</f>
        <v>2.00815565176659</v>
      </c>
      <c r="E19" s="113">
        <f>K158</f>
        <v>2.47957471383513</v>
      </c>
      <c r="F19" s="113">
        <f t="shared" si="0"/>
        <v>0.471419062068538</v>
      </c>
      <c r="G19" s="113">
        <f t="shared" si="1"/>
        <v>0.65151305539887</v>
      </c>
      <c r="H19" s="112">
        <f t="shared" si="2"/>
        <v>43997.3281441411</v>
      </c>
      <c r="I19" s="112"/>
    </row>
    <row r="20" spans="1:19">
      <c r="B20" s="110" t="s">
        <v>78</v>
      </c>
      <c r="C20" s="113">
        <f>G47</f>
        <v>6.90987948967896</v>
      </c>
      <c r="D20" s="113">
        <f>I47</f>
        <v>9.01671428838875</v>
      </c>
      <c r="E20" s="113">
        <f>K47</f>
        <v>10.7490619123069</v>
      </c>
      <c r="F20" s="113">
        <f t="shared" si="0"/>
        <v>1.73234762391819</v>
      </c>
      <c r="G20" s="113">
        <f t="shared" si="1"/>
        <v>3.83918242262798</v>
      </c>
      <c r="H20" s="112">
        <f t="shared" si="2"/>
        <v>259263.82818249</v>
      </c>
      <c r="I20" s="112"/>
    </row>
    <row r="21" spans="1:19">
      <c r="B21" s="110" t="s">
        <v>99</v>
      </c>
      <c r="C21" s="113">
        <f>G52</f>
        <v>0.410560131972192</v>
      </c>
      <c r="D21" s="113">
        <f>I52</f>
        <v>0.563832406381104</v>
      </c>
      <c r="E21" s="113">
        <f>K52</f>
        <v>0.529632168929825</v>
      </c>
      <c r="F21" s="113">
        <f t="shared" si="0"/>
        <v>-0.0342002374512789</v>
      </c>
      <c r="G21" s="113">
        <f t="shared" si="1"/>
        <v>0.119072036957633</v>
      </c>
      <c r="H21" s="112">
        <f t="shared" si="2"/>
        <v>8041.05372778594</v>
      </c>
      <c r="I21" s="112"/>
    </row>
    <row r="22" spans="1:19">
      <c r="B22" s="110" t="s">
        <v>559</v>
      </c>
      <c r="C22" s="113">
        <f>G116</f>
        <v>-0.237747474639272</v>
      </c>
      <c r="D22" s="113">
        <f>I116</f>
        <v>0.47269173150665</v>
      </c>
      <c r="E22" s="113">
        <f>K116</f>
        <v>0.0537952940131199</v>
      </c>
      <c r="F22" s="113">
        <f t="shared" si="0"/>
        <v>-0.41889643749353</v>
      </c>
      <c r="G22" s="113">
        <f t="shared" si="1"/>
        <v>0.291542768652392</v>
      </c>
      <c r="H22" s="112">
        <f t="shared" si="2"/>
        <v>19688.1747098647</v>
      </c>
      <c r="I22" s="112"/>
    </row>
    <row r="23" spans="1:19">
      <c r="B23" s="110" t="s">
        <v>228</v>
      </c>
      <c r="C23" s="113">
        <f>G120</f>
        <v>-0.972448448362666</v>
      </c>
      <c r="D23" s="113">
        <f>I120</f>
        <v>-0.670750166738774</v>
      </c>
      <c r="E23" s="113">
        <f>K120</f>
        <v>-1.03474670891887</v>
      </c>
      <c r="F23" s="113">
        <f t="shared" si="0"/>
        <v>-0.363996542180093</v>
      </c>
      <c r="G23" s="113">
        <f t="shared" si="1"/>
        <v>-0.0622982605562007</v>
      </c>
      <c r="H23" s="112">
        <f t="shared" si="2"/>
        <v>-4207.06383362079</v>
      </c>
      <c r="I23" s="112"/>
    </row>
    <row r="24" spans="1:19">
      <c r="B24" s="110" t="s">
        <v>560</v>
      </c>
      <c r="C24" s="113">
        <f>G126</f>
        <v>0.675339196383619</v>
      </c>
      <c r="D24" s="113">
        <f>I126</f>
        <v>0.763521300836791</v>
      </c>
      <c r="E24" s="113">
        <f>K126</f>
        <v>0.231703217781463</v>
      </c>
      <c r="F24" s="113">
        <f t="shared" si="0"/>
        <v>-0.531818083055327</v>
      </c>
      <c r="G24" s="113">
        <f t="shared" si="1"/>
        <v>-0.443635978602156</v>
      </c>
      <c r="H24" s="112">
        <f t="shared" si="2"/>
        <v>-29959.1812709822</v>
      </c>
      <c r="I24" s="112"/>
    </row>
    <row r="25" ht="15.15" spans="1:19">
      <c r="A25" s="65"/>
      <c r="B25" s="110" t="s">
        <v>775</v>
      </c>
      <c r="C25" s="113">
        <f>G243</f>
        <v>4.16492292695468</v>
      </c>
      <c r="D25" s="113">
        <f>I243</f>
        <v>2.99836645439304</v>
      </c>
      <c r="E25" s="113">
        <f>K243</f>
        <v>4.50746442374613</v>
      </c>
      <c r="F25" s="113">
        <f t="shared" si="0"/>
        <v>1.50909796935309</v>
      </c>
      <c r="G25" s="113">
        <f t="shared" si="1"/>
        <v>0.342541496791454</v>
      </c>
      <c r="H25" s="112">
        <f t="shared" si="2"/>
        <v>23132.1698198237</v>
      </c>
      <c r="I25" s="112"/>
    </row>
    <row r="26" ht="136.05" customHeight="1" spans="1:19">
      <c r="B26" s="116" t="s">
        <v>783</v>
      </c>
      <c r="C26" s="7"/>
      <c r="D26" s="7"/>
      <c r="E26" s="8"/>
      <c r="F26" s="117"/>
      <c r="G26" s="118"/>
      <c r="H26" s="119"/>
      <c r="I26" s="120"/>
      <c r="J26" s="121"/>
      <c r="K26" s="121"/>
      <c r="L26" s="121"/>
      <c r="M26" s="121"/>
      <c r="N26" s="122"/>
      <c r="O26" s="121"/>
    </row>
    <row r="27" ht="16.5" customHeight="1" spans="1:19">
      <c r="B27" s="123" t="s">
        <v>563</v>
      </c>
      <c r="C27" s="123" t="s">
        <v>784</v>
      </c>
      <c r="D27" s="123" t="s">
        <v>565</v>
      </c>
      <c r="E27" s="123" t="s">
        <v>566</v>
      </c>
      <c r="F27" s="117" t="s">
        <v>760</v>
      </c>
      <c r="G27" s="118" t="s">
        <v>761</v>
      </c>
      <c r="H27" s="119">
        <v>93353</v>
      </c>
      <c r="I27" s="120" t="s">
        <v>762</v>
      </c>
      <c r="J27" s="118">
        <v>71805.0833333333</v>
      </c>
      <c r="K27" s="118" t="s">
        <v>776</v>
      </c>
      <c r="L27" s="118">
        <v>67531</v>
      </c>
      <c r="M27" s="118"/>
      <c r="N27" s="124"/>
      <c r="O27" s="118"/>
    </row>
    <row r="28" ht="39.6" customHeight="1" spans="1:19">
      <c r="B28" s="73"/>
      <c r="C28" s="73"/>
      <c r="D28" s="73"/>
      <c r="E28" s="73"/>
      <c r="F28" s="125" t="s">
        <v>571</v>
      </c>
      <c r="G28" s="125" t="s">
        <v>572</v>
      </c>
      <c r="H28" s="125" t="s">
        <v>573</v>
      </c>
      <c r="I28" s="126" t="s">
        <v>574</v>
      </c>
      <c r="J28" s="125" t="s">
        <v>575</v>
      </c>
      <c r="K28" s="125" t="s">
        <v>576</v>
      </c>
      <c r="L28" s="127" t="s">
        <v>577</v>
      </c>
      <c r="M28" s="125" t="s">
        <v>763</v>
      </c>
      <c r="N28" s="128" t="s">
        <v>764</v>
      </c>
      <c r="O28" s="129" t="s">
        <v>580</v>
      </c>
      <c r="P28" s="125" t="s">
        <v>785</v>
      </c>
      <c r="Q28" s="128" t="s">
        <v>786</v>
      </c>
      <c r="R28" s="125" t="s">
        <v>787</v>
      </c>
      <c r="S28" s="128" t="s">
        <v>788</v>
      </c>
    </row>
    <row r="29" spans="1:19">
      <c r="B29" s="130" t="s">
        <v>55</v>
      </c>
      <c r="C29" s="131">
        <v>6666110101</v>
      </c>
      <c r="D29" s="131" t="s">
        <v>56</v>
      </c>
      <c r="E29" s="131" t="s">
        <v>57</v>
      </c>
      <c r="F29" s="132">
        <v>75.57859</v>
      </c>
      <c r="G29" s="133">
        <f t="shared" ref="G29:G92" si="3">F29/$H$27*1000</f>
        <v>0.809600012854434</v>
      </c>
      <c r="H29" s="134">
        <v>73.9342818509899</v>
      </c>
      <c r="I29" s="135">
        <f t="shared" ref="I29:I92" si="4">H29/$J$27*1000</f>
        <v>1.02965247610357</v>
      </c>
      <c r="J29" s="135">
        <v>72.97519</v>
      </c>
      <c r="K29" s="113">
        <f t="shared" ref="K29:K92" si="5">J29*1000/$L$27</f>
        <v>1.080617642268</v>
      </c>
      <c r="L29" s="113">
        <f t="shared" ref="L29:L92" si="6">K29-G29</f>
        <v>0.271017629413561</v>
      </c>
      <c r="M29" s="113">
        <f t="shared" ref="M29:M92" si="7">K29-I29</f>
        <v>0.0509651661644241</v>
      </c>
      <c r="N29" s="136"/>
      <c r="O29" s="112"/>
      <c r="P29" s="137">
        <v>23.577175869973</v>
      </c>
      <c r="Q29" s="137">
        <v>0.324696347347899</v>
      </c>
    </row>
    <row r="30" spans="1:19">
      <c r="B30" s="87"/>
      <c r="C30" s="131">
        <v>6666110106</v>
      </c>
      <c r="D30" s="131" t="s">
        <v>58</v>
      </c>
      <c r="E30" s="131" t="s">
        <v>59</v>
      </c>
      <c r="F30" s="132">
        <v>0</v>
      </c>
      <c r="G30" s="133">
        <f t="shared" si="3"/>
        <v>0</v>
      </c>
      <c r="H30" s="134">
        <v>0</v>
      </c>
      <c r="I30" s="135">
        <f t="shared" si="4"/>
        <v>0</v>
      </c>
      <c r="J30" s="135">
        <v>0</v>
      </c>
      <c r="K30" s="113">
        <f t="shared" si="5"/>
        <v>0</v>
      </c>
      <c r="L30" s="113">
        <f t="shared" si="6"/>
        <v>0</v>
      </c>
      <c r="M30" s="113">
        <f t="shared" si="7"/>
        <v>0</v>
      </c>
      <c r="N30" s="136"/>
      <c r="O30" s="112"/>
      <c r="P30" s="137">
        <v>0</v>
      </c>
      <c r="Q30" s="137">
        <v>0</v>
      </c>
    </row>
    <row r="31" spans="1:19">
      <c r="B31" s="87"/>
      <c r="C31" s="131">
        <v>6666110107</v>
      </c>
      <c r="D31" s="131" t="s">
        <v>60</v>
      </c>
      <c r="E31" s="131" t="s">
        <v>61</v>
      </c>
      <c r="F31" s="132">
        <v>213.84525</v>
      </c>
      <c r="G31" s="133">
        <f t="shared" si="3"/>
        <v>2.29071642046854</v>
      </c>
      <c r="H31" s="134">
        <v>208.701582297127</v>
      </c>
      <c r="I31" s="135">
        <f t="shared" si="4"/>
        <v>2.90650149834509</v>
      </c>
      <c r="J31" s="135">
        <v>-139.58229</v>
      </c>
      <c r="K31" s="113">
        <f t="shared" si="5"/>
        <v>-2.06693651804357</v>
      </c>
      <c r="L31" s="113">
        <f t="shared" si="6"/>
        <v>-4.35765293851211</v>
      </c>
      <c r="M31" s="113">
        <f t="shared" si="7"/>
        <v>-4.97343801638865</v>
      </c>
      <c r="N31" s="136"/>
      <c r="O31" s="112"/>
      <c r="P31" s="137">
        <v>54.6901273531817</v>
      </c>
      <c r="Q31" s="137">
        <v>0.753172673669752</v>
      </c>
    </row>
    <row r="32" spans="1:19">
      <c r="B32" s="87"/>
      <c r="C32" s="131">
        <v>6666110110</v>
      </c>
      <c r="D32" s="131" t="s">
        <v>62</v>
      </c>
      <c r="E32" s="131" t="s">
        <v>581</v>
      </c>
      <c r="F32" s="132">
        <v>450.4135</v>
      </c>
      <c r="G32" s="133">
        <f t="shared" si="3"/>
        <v>4.82484226537979</v>
      </c>
      <c r="H32" s="134">
        <v>451.932195556262</v>
      </c>
      <c r="I32" s="135">
        <f t="shared" si="4"/>
        <v>6.29387467539455</v>
      </c>
      <c r="J32" s="135">
        <v>240.58293</v>
      </c>
      <c r="K32" s="113">
        <f t="shared" si="5"/>
        <v>3.56255541899276</v>
      </c>
      <c r="L32" s="113">
        <f t="shared" si="6"/>
        <v>-1.26228684638704</v>
      </c>
      <c r="M32" s="113">
        <f t="shared" si="7"/>
        <v>-2.7313192564018</v>
      </c>
      <c r="N32" s="136"/>
      <c r="O32" s="112"/>
      <c r="P32" s="137">
        <v>119.369304572818</v>
      </c>
      <c r="Q32" s="137">
        <v>1.64391093292962</v>
      </c>
    </row>
    <row r="33" spans="2:18">
      <c r="B33" s="87"/>
      <c r="C33" s="131">
        <v>6666110112</v>
      </c>
      <c r="D33" s="131" t="s">
        <v>64</v>
      </c>
      <c r="E33" s="131" t="s">
        <v>316</v>
      </c>
      <c r="F33" s="132">
        <v>55.25647</v>
      </c>
      <c r="G33" s="133">
        <f t="shared" si="3"/>
        <v>0.591908883485266</v>
      </c>
      <c r="H33" s="134">
        <v>61.0215654752857</v>
      </c>
      <c r="I33" s="135">
        <f t="shared" si="4"/>
        <v>0.849822361350263</v>
      </c>
      <c r="J33" s="135">
        <v>47.40582</v>
      </c>
      <c r="K33" s="113">
        <f t="shared" si="5"/>
        <v>0.70198605085072</v>
      </c>
      <c r="L33" s="113">
        <f t="shared" si="6"/>
        <v>0.110077167365455</v>
      </c>
      <c r="M33" s="113">
        <f t="shared" si="7"/>
        <v>-0.147836310499542</v>
      </c>
      <c r="N33" s="136"/>
      <c r="O33" s="112"/>
      <c r="P33" s="137">
        <v>19.4211697385484</v>
      </c>
      <c r="Q33" s="137">
        <v>0.267461332523769</v>
      </c>
    </row>
    <row r="34" spans="2:18">
      <c r="B34" s="87"/>
      <c r="C34" s="131">
        <v>6666110204</v>
      </c>
      <c r="D34" s="131" t="s">
        <v>66</v>
      </c>
      <c r="E34" s="131" t="s">
        <v>583</v>
      </c>
      <c r="F34" s="132">
        <v>2.81413</v>
      </c>
      <c r="G34" s="133">
        <f t="shared" si="3"/>
        <v>0.0301450408663889</v>
      </c>
      <c r="H34" s="134">
        <v>32.3154447605672</v>
      </c>
      <c r="I34" s="135">
        <f t="shared" si="4"/>
        <v>0.4500439698754</v>
      </c>
      <c r="J34" s="135">
        <v>2.81413</v>
      </c>
      <c r="K34" s="113">
        <f t="shared" si="5"/>
        <v>0.0416716767114362</v>
      </c>
      <c r="L34" s="113">
        <f t="shared" si="6"/>
        <v>0.0115266358450474</v>
      </c>
      <c r="M34" s="113">
        <f t="shared" si="7"/>
        <v>-0.408372293163963</v>
      </c>
      <c r="N34" s="136"/>
      <c r="O34" s="112"/>
      <c r="P34" s="137">
        <v>10.7383020122067</v>
      </c>
      <c r="Q34" s="137">
        <v>0.147884015427082</v>
      </c>
    </row>
    <row r="35" spans="2:18">
      <c r="B35" s="87"/>
      <c r="C35" s="131">
        <v>6666110207</v>
      </c>
      <c r="D35" s="131" t="s">
        <v>68</v>
      </c>
      <c r="E35" s="131" t="s">
        <v>317</v>
      </c>
      <c r="F35" s="132">
        <v>30.48851</v>
      </c>
      <c r="G35" s="133">
        <f t="shared" si="3"/>
        <v>0.326593789165854</v>
      </c>
      <c r="H35" s="134">
        <v>0</v>
      </c>
      <c r="I35" s="135">
        <f t="shared" si="4"/>
        <v>0</v>
      </c>
      <c r="J35" s="135">
        <v>30.0839</v>
      </c>
      <c r="K35" s="113">
        <f t="shared" si="5"/>
        <v>0.44548281529964</v>
      </c>
      <c r="L35" s="113">
        <f t="shared" si="6"/>
        <v>0.118889026133786</v>
      </c>
      <c r="M35" s="113">
        <f t="shared" si="7"/>
        <v>0.44548281529964</v>
      </c>
      <c r="N35" s="136"/>
      <c r="O35" s="112"/>
      <c r="P35" s="137">
        <v>0.016736602739726</v>
      </c>
      <c r="Q35" s="137">
        <v>0.000230490445784171</v>
      </c>
    </row>
    <row r="36" spans="2:18">
      <c r="B36" s="87"/>
      <c r="C36" s="131">
        <v>6666110506</v>
      </c>
      <c r="D36" s="131" t="s">
        <v>70</v>
      </c>
      <c r="E36" s="131" t="s">
        <v>584</v>
      </c>
      <c r="F36" s="132">
        <v>3.1512</v>
      </c>
      <c r="G36" s="133">
        <f t="shared" si="3"/>
        <v>0.0337557443253029</v>
      </c>
      <c r="H36" s="134">
        <v>0</v>
      </c>
      <c r="I36" s="135">
        <f t="shared" si="4"/>
        <v>0</v>
      </c>
      <c r="J36" s="135">
        <v>0</v>
      </c>
      <c r="K36" s="113">
        <f t="shared" si="5"/>
        <v>0</v>
      </c>
      <c r="L36" s="113">
        <f t="shared" si="6"/>
        <v>-0.0337557443253029</v>
      </c>
      <c r="M36" s="113">
        <f t="shared" si="7"/>
        <v>0</v>
      </c>
      <c r="N36" s="136"/>
      <c r="O36" s="112"/>
      <c r="P36" s="137">
        <v>0</v>
      </c>
      <c r="Q36" s="137">
        <v>0</v>
      </c>
    </row>
    <row r="37" spans="2:18">
      <c r="B37" s="87"/>
      <c r="C37" s="131" t="s">
        <v>72</v>
      </c>
      <c r="D37" s="131" t="s">
        <v>73</v>
      </c>
      <c r="E37" s="131" t="s">
        <v>585</v>
      </c>
      <c r="F37" s="132">
        <v>0.1393</v>
      </c>
      <c r="G37" s="133">
        <f t="shared" si="3"/>
        <v>0.00149218557518237</v>
      </c>
      <c r="H37" s="134">
        <v>0</v>
      </c>
      <c r="I37" s="135">
        <f t="shared" si="4"/>
        <v>0</v>
      </c>
      <c r="J37" s="135">
        <v>0.05933</v>
      </c>
      <c r="K37" s="113">
        <f t="shared" si="5"/>
        <v>0.000878559476388621</v>
      </c>
      <c r="L37" s="113">
        <f t="shared" si="6"/>
        <v>-0.000613626098793751</v>
      </c>
      <c r="M37" s="113">
        <f t="shared" si="7"/>
        <v>0.000878559476388621</v>
      </c>
      <c r="N37" s="136"/>
      <c r="O37" s="112"/>
      <c r="P37" s="137">
        <v>0</v>
      </c>
      <c r="Q37" s="137">
        <v>0</v>
      </c>
    </row>
    <row r="38" spans="2:18">
      <c r="B38" s="73"/>
      <c r="C38" s="138" t="s">
        <v>75</v>
      </c>
      <c r="D38" s="138" t="s">
        <v>76</v>
      </c>
      <c r="E38" s="138" t="s">
        <v>77</v>
      </c>
      <c r="F38" s="134">
        <f>SUM(F29:F37)</f>
        <v>831.68695</v>
      </c>
      <c r="G38" s="135">
        <f t="shared" si="3"/>
        <v>8.90905434212077</v>
      </c>
      <c r="H38" s="134">
        <f>SUM(H29:H37)</f>
        <v>827.905069940232</v>
      </c>
      <c r="I38" s="135">
        <f t="shared" si="4"/>
        <v>11.5298949810689</v>
      </c>
      <c r="J38" s="113">
        <f>SUM(J29:J37)</f>
        <v>254.33901</v>
      </c>
      <c r="K38" s="113">
        <f t="shared" si="5"/>
        <v>3.76625564555537</v>
      </c>
      <c r="L38" s="113">
        <f t="shared" si="6"/>
        <v>-5.14279869656539</v>
      </c>
      <c r="M38" s="113">
        <f t="shared" si="7"/>
        <v>-7.7636393355135</v>
      </c>
      <c r="N38" s="136"/>
      <c r="O38" s="112"/>
      <c r="P38" s="137">
        <v>227.812816149468</v>
      </c>
      <c r="Q38" s="137">
        <v>3.1373557923439</v>
      </c>
      <c r="R38" s="104">
        <f>J38-P38</f>
        <v>26.526193850532</v>
      </c>
    </row>
    <row r="39" spans="2:18">
      <c r="B39" s="130" t="s">
        <v>78</v>
      </c>
      <c r="C39" s="131">
        <v>5001010205</v>
      </c>
      <c r="D39" s="131" t="s">
        <v>79</v>
      </c>
      <c r="E39" s="131" t="s">
        <v>586</v>
      </c>
      <c r="F39" s="134">
        <v>10.44982</v>
      </c>
      <c r="G39" s="135">
        <f t="shared" si="3"/>
        <v>0.111938770044883</v>
      </c>
      <c r="H39" s="134">
        <v>10.5882983963446</v>
      </c>
      <c r="I39" s="135">
        <f t="shared" si="4"/>
        <v>0.147458897125593</v>
      </c>
      <c r="J39" s="113">
        <v>11.47371</v>
      </c>
      <c r="K39" s="113">
        <f t="shared" si="5"/>
        <v>0.169902859427522</v>
      </c>
      <c r="L39" s="113">
        <f t="shared" si="6"/>
        <v>0.0579640893826388</v>
      </c>
      <c r="M39" s="113">
        <f t="shared" si="7"/>
        <v>0.0224439623019296</v>
      </c>
      <c r="N39" s="136"/>
      <c r="O39" s="112"/>
      <c r="P39" s="137">
        <v>11.6789918589046</v>
      </c>
      <c r="Q39" s="137">
        <v>0.160838856112605</v>
      </c>
    </row>
    <row r="40" spans="2:18">
      <c r="B40" s="87"/>
      <c r="C40" s="131">
        <v>6666010380</v>
      </c>
      <c r="D40" s="131" t="s">
        <v>81</v>
      </c>
      <c r="E40" s="131" t="s">
        <v>587</v>
      </c>
      <c r="F40" s="134">
        <v>-0.51382</v>
      </c>
      <c r="G40" s="135">
        <f t="shared" si="3"/>
        <v>-0.0055040545028012</v>
      </c>
      <c r="H40" s="134">
        <v>-27.0252831399607</v>
      </c>
      <c r="I40" s="135">
        <f t="shared" si="4"/>
        <v>-0.376370054672927</v>
      </c>
      <c r="J40" s="113">
        <v>-4.36122</v>
      </c>
      <c r="K40" s="113">
        <f t="shared" si="5"/>
        <v>-0.0645810072411189</v>
      </c>
      <c r="L40" s="113">
        <f t="shared" si="6"/>
        <v>-0.0590769527383177</v>
      </c>
      <c r="M40" s="113">
        <f t="shared" si="7"/>
        <v>0.311789047431808</v>
      </c>
      <c r="N40" s="136"/>
      <c r="O40" s="112"/>
      <c r="P40" s="137">
        <v>-30.1786789681031</v>
      </c>
      <c r="Q40" s="137">
        <v>-0.415609862808355</v>
      </c>
    </row>
    <row r="41" spans="2:18">
      <c r="B41" s="87"/>
      <c r="C41" s="131">
        <v>6666010019</v>
      </c>
      <c r="D41" s="131" t="s">
        <v>84</v>
      </c>
      <c r="E41" s="131" t="s">
        <v>588</v>
      </c>
      <c r="F41" s="134">
        <v>83.47918</v>
      </c>
      <c r="G41" s="135">
        <f t="shared" si="3"/>
        <v>0.894231358392339</v>
      </c>
      <c r="H41" s="134">
        <v>109.853595862076</v>
      </c>
      <c r="I41" s="135">
        <f t="shared" si="4"/>
        <v>1.52988605767803</v>
      </c>
      <c r="J41" s="113">
        <v>97.82062</v>
      </c>
      <c r="K41" s="113">
        <f t="shared" si="5"/>
        <v>1.44852911995972</v>
      </c>
      <c r="L41" s="113">
        <f t="shared" si="6"/>
        <v>0.554297761567384</v>
      </c>
      <c r="M41" s="113">
        <f t="shared" si="7"/>
        <v>-0.0813569377183119</v>
      </c>
      <c r="N41" s="139">
        <f>L41*$L$27</f>
        <v>37432.282136407</v>
      </c>
      <c r="O41" s="112"/>
      <c r="P41" s="137">
        <v>121.169540536135</v>
      </c>
      <c r="Q41" s="137">
        <v>1.66870313216827</v>
      </c>
    </row>
    <row r="42" spans="2:18">
      <c r="B42" s="87"/>
      <c r="C42" s="131">
        <v>6666010183</v>
      </c>
      <c r="D42" s="131" t="s">
        <v>86</v>
      </c>
      <c r="E42" s="131" t="s">
        <v>589</v>
      </c>
      <c r="F42" s="134">
        <v>9.57829</v>
      </c>
      <c r="G42" s="135">
        <f t="shared" si="3"/>
        <v>0.102602915814168</v>
      </c>
      <c r="H42" s="134">
        <v>0</v>
      </c>
      <c r="I42" s="135">
        <f t="shared" si="4"/>
        <v>0</v>
      </c>
      <c r="J42" s="113">
        <v>12.03386</v>
      </c>
      <c r="K42" s="113">
        <f t="shared" si="5"/>
        <v>0.178197568524085</v>
      </c>
      <c r="L42" s="113">
        <f t="shared" si="6"/>
        <v>0.0755946527099175</v>
      </c>
      <c r="M42" s="113">
        <f t="shared" si="7"/>
        <v>0.178197568524085</v>
      </c>
      <c r="N42" s="136"/>
      <c r="O42" s="112"/>
      <c r="P42" s="137">
        <v>0</v>
      </c>
      <c r="Q42" s="137">
        <v>0</v>
      </c>
    </row>
    <row r="43" spans="2:18">
      <c r="B43" s="87"/>
      <c r="C43" s="131">
        <v>6666010229</v>
      </c>
      <c r="D43" s="131" t="s">
        <v>88</v>
      </c>
      <c r="E43" s="131" t="s">
        <v>590</v>
      </c>
      <c r="F43" s="134">
        <v>31.16966</v>
      </c>
      <c r="G43" s="135">
        <f t="shared" si="3"/>
        <v>0.333890287403726</v>
      </c>
      <c r="H43" s="134">
        <v>17.1577199121523</v>
      </c>
      <c r="I43" s="135">
        <f t="shared" si="4"/>
        <v>0.23894854118479</v>
      </c>
      <c r="J43" s="113">
        <v>29.15217</v>
      </c>
      <c r="K43" s="113">
        <f t="shared" si="5"/>
        <v>0.431685744324829</v>
      </c>
      <c r="L43" s="113">
        <f t="shared" si="6"/>
        <v>0.097795456921103</v>
      </c>
      <c r="M43" s="113">
        <f t="shared" si="7"/>
        <v>0.192737203140038</v>
      </c>
      <c r="N43" s="136"/>
      <c r="O43" s="112"/>
      <c r="P43" s="137">
        <v>18.2021291477262</v>
      </c>
      <c r="Q43" s="137">
        <v>0.250673145961828</v>
      </c>
    </row>
    <row r="44" spans="2:18">
      <c r="B44" s="87"/>
      <c r="C44" s="131">
        <v>6666010188</v>
      </c>
      <c r="D44" s="131" t="s">
        <v>90</v>
      </c>
      <c r="E44" s="131" t="s">
        <v>591</v>
      </c>
      <c r="F44" s="134">
        <v>510.15712</v>
      </c>
      <c r="G44" s="135">
        <f t="shared" si="3"/>
        <v>5.46481762771416</v>
      </c>
      <c r="H44" s="134">
        <v>536.871589839999</v>
      </c>
      <c r="I44" s="135">
        <f t="shared" si="4"/>
        <v>7.47679084707326</v>
      </c>
      <c r="J44" s="113">
        <v>577.93582</v>
      </c>
      <c r="K44" s="113">
        <f t="shared" si="5"/>
        <v>8.55808176985385</v>
      </c>
      <c r="L44" s="113">
        <f t="shared" si="6"/>
        <v>3.09326414213969</v>
      </c>
      <c r="M44" s="113">
        <f t="shared" si="7"/>
        <v>1.08129092278059</v>
      </c>
      <c r="N44" s="139">
        <f>L44*$L$27</f>
        <v>208891.220782835</v>
      </c>
      <c r="O44" s="112" t="s">
        <v>789</v>
      </c>
      <c r="P44" s="137">
        <v>592.673810970675</v>
      </c>
      <c r="Q44" s="137">
        <v>8.16208958410581</v>
      </c>
    </row>
    <row r="45" spans="2:18">
      <c r="B45" s="87"/>
      <c r="C45" s="131">
        <v>5102040406</v>
      </c>
      <c r="D45" s="131" t="s">
        <v>92</v>
      </c>
      <c r="E45" s="131" t="s">
        <v>593</v>
      </c>
      <c r="F45" s="134">
        <v>0</v>
      </c>
      <c r="G45" s="135">
        <f t="shared" si="3"/>
        <v>0</v>
      </c>
      <c r="H45" s="134">
        <v>0</v>
      </c>
      <c r="I45" s="135">
        <f t="shared" si="4"/>
        <v>0</v>
      </c>
      <c r="J45" s="113">
        <v>0</v>
      </c>
      <c r="K45" s="113">
        <f t="shared" si="5"/>
        <v>0</v>
      </c>
      <c r="L45" s="113">
        <f t="shared" si="6"/>
        <v>0</v>
      </c>
      <c r="M45" s="113">
        <f t="shared" si="7"/>
        <v>0</v>
      </c>
      <c r="N45" s="136"/>
      <c r="O45" s="112"/>
      <c r="P45" s="137">
        <v>0</v>
      </c>
      <c r="Q45" s="137">
        <v>0</v>
      </c>
    </row>
    <row r="46" spans="2:18">
      <c r="B46" s="87"/>
      <c r="C46" s="131">
        <v>6666010115</v>
      </c>
      <c r="D46" s="131" t="s">
        <v>94</v>
      </c>
      <c r="E46" s="131" t="s">
        <v>594</v>
      </c>
      <c r="F46" s="134">
        <v>0.73773</v>
      </c>
      <c r="G46" s="135">
        <f t="shared" si="3"/>
        <v>0.00790258481248594</v>
      </c>
      <c r="H46" s="134">
        <v>0</v>
      </c>
      <c r="I46" s="135">
        <f t="shared" si="4"/>
        <v>0</v>
      </c>
      <c r="J46" s="113">
        <v>1.83994</v>
      </c>
      <c r="K46" s="113">
        <f t="shared" si="5"/>
        <v>0.0272458574580563</v>
      </c>
      <c r="L46" s="113">
        <f t="shared" si="6"/>
        <v>0.0193432726455704</v>
      </c>
      <c r="M46" s="113">
        <f t="shared" si="7"/>
        <v>0.0272458574580563</v>
      </c>
      <c r="N46" s="136"/>
      <c r="O46" s="112"/>
      <c r="P46" s="137">
        <v>3.05000777789604</v>
      </c>
      <c r="Q46" s="137">
        <v>0.0420036051106006</v>
      </c>
    </row>
    <row r="47" spans="2:18">
      <c r="B47" s="73"/>
      <c r="C47" s="138" t="s">
        <v>96</v>
      </c>
      <c r="D47" s="138" t="s">
        <v>97</v>
      </c>
      <c r="E47" s="138" t="s">
        <v>98</v>
      </c>
      <c r="F47" s="134">
        <f>SUM(F39:F46)</f>
        <v>645.05798</v>
      </c>
      <c r="G47" s="135">
        <f t="shared" si="3"/>
        <v>6.90987948967896</v>
      </c>
      <c r="H47" s="134">
        <f>SUM(H39:H46)</f>
        <v>647.445920870611</v>
      </c>
      <c r="I47" s="135">
        <f t="shared" si="4"/>
        <v>9.01671428838875</v>
      </c>
      <c r="J47" s="114">
        <f>SUM(J39:J46)</f>
        <v>725.8949</v>
      </c>
      <c r="K47" s="113">
        <f t="shared" si="5"/>
        <v>10.7490619123069</v>
      </c>
      <c r="L47" s="113">
        <f t="shared" si="6"/>
        <v>3.83918242262798</v>
      </c>
      <c r="M47" s="113">
        <f t="shared" si="7"/>
        <v>1.73234762391819</v>
      </c>
      <c r="N47" s="136"/>
      <c r="O47" s="112"/>
      <c r="P47" s="137">
        <v>716.595801323233</v>
      </c>
      <c r="Q47" s="137">
        <v>9.86869846065076</v>
      </c>
      <c r="R47" s="104" t="e">
        <f t="array" ref="R47">J47-S111P47</f>
        <v>#NAME?</v>
      </c>
    </row>
    <row r="48" spans="2:18">
      <c r="B48" s="130" t="s">
        <v>99</v>
      </c>
      <c r="C48" s="131">
        <v>8701530201</v>
      </c>
      <c r="D48" s="131" t="s">
        <v>100</v>
      </c>
      <c r="E48" s="131" t="s">
        <v>595</v>
      </c>
      <c r="F48" s="134">
        <v>0</v>
      </c>
      <c r="G48" s="135">
        <f t="shared" si="3"/>
        <v>0</v>
      </c>
      <c r="H48" s="134">
        <v>0</v>
      </c>
      <c r="I48" s="135">
        <f t="shared" si="4"/>
        <v>0</v>
      </c>
      <c r="J48" s="113">
        <v>0</v>
      </c>
      <c r="K48" s="113">
        <f t="shared" si="5"/>
        <v>0</v>
      </c>
      <c r="L48" s="113">
        <f t="shared" si="6"/>
        <v>0</v>
      </c>
      <c r="M48" s="113">
        <f t="shared" si="7"/>
        <v>0</v>
      </c>
      <c r="N48" s="136"/>
      <c r="O48" s="112"/>
      <c r="P48" s="137">
        <v>0</v>
      </c>
      <c r="Q48" s="137">
        <v>0</v>
      </c>
    </row>
    <row r="49" spans="2:18">
      <c r="B49" s="87"/>
      <c r="C49" s="131">
        <v>6666050309</v>
      </c>
      <c r="D49" s="131" t="s">
        <v>102</v>
      </c>
      <c r="E49" s="131" t="s">
        <v>596</v>
      </c>
      <c r="F49" s="134">
        <v>22.23319</v>
      </c>
      <c r="G49" s="135">
        <f t="shared" si="3"/>
        <v>0.238162565745075</v>
      </c>
      <c r="H49" s="134">
        <v>0</v>
      </c>
      <c r="I49" s="135">
        <f t="shared" si="4"/>
        <v>0</v>
      </c>
      <c r="J49" s="113">
        <v>22.50584</v>
      </c>
      <c r="K49" s="113">
        <f t="shared" si="5"/>
        <v>0.33326679598999</v>
      </c>
      <c r="L49" s="113">
        <f t="shared" si="6"/>
        <v>0.0951042302449146</v>
      </c>
      <c r="M49" s="113">
        <f t="shared" si="7"/>
        <v>0.33326679598999</v>
      </c>
      <c r="N49" s="136"/>
      <c r="O49" s="112"/>
      <c r="P49" s="137">
        <v>0</v>
      </c>
      <c r="Q49" s="137">
        <v>0</v>
      </c>
    </row>
    <row r="50" spans="2:18">
      <c r="B50" s="87"/>
      <c r="C50" s="131">
        <v>6666050308</v>
      </c>
      <c r="D50" s="131" t="s">
        <v>104</v>
      </c>
      <c r="E50" s="131" t="s">
        <v>597</v>
      </c>
      <c r="F50" s="134">
        <v>14.75492</v>
      </c>
      <c r="G50" s="135">
        <f t="shared" si="3"/>
        <v>0.158055124098851</v>
      </c>
      <c r="H50" s="134">
        <v>40.486032926229</v>
      </c>
      <c r="I50" s="135">
        <f t="shared" si="4"/>
        <v>0.563832406381104</v>
      </c>
      <c r="J50" s="113">
        <v>13.04309</v>
      </c>
      <c r="K50" s="113">
        <f t="shared" si="5"/>
        <v>0.193142260591432</v>
      </c>
      <c r="L50" s="113">
        <f t="shared" si="6"/>
        <v>0.0350871364925815</v>
      </c>
      <c r="M50" s="113">
        <f t="shared" si="7"/>
        <v>-0.370690145789672</v>
      </c>
      <c r="N50" s="136"/>
      <c r="O50" s="112"/>
      <c r="P50" s="137">
        <v>45.8578504085435</v>
      </c>
      <c r="Q50" s="137">
        <v>0.631537746802137</v>
      </c>
    </row>
    <row r="51" spans="2:18">
      <c r="B51" s="87"/>
      <c r="C51" s="131">
        <v>6666050306</v>
      </c>
      <c r="D51" s="131" t="s">
        <v>107</v>
      </c>
      <c r="E51" s="131" t="s">
        <v>598</v>
      </c>
      <c r="F51" s="134">
        <v>1.33891</v>
      </c>
      <c r="G51" s="135">
        <f t="shared" si="3"/>
        <v>0.0143424421282658</v>
      </c>
      <c r="H51" s="134">
        <v>0</v>
      </c>
      <c r="I51" s="135">
        <f t="shared" si="4"/>
        <v>0</v>
      </c>
      <c r="J51" s="113">
        <v>0.21766</v>
      </c>
      <c r="K51" s="113">
        <f t="shared" si="5"/>
        <v>0.00322311234840296</v>
      </c>
      <c r="L51" s="113">
        <f t="shared" si="6"/>
        <v>-0.0111193297798629</v>
      </c>
      <c r="M51" s="113">
        <f t="shared" si="7"/>
        <v>0.00322311234840296</v>
      </c>
      <c r="N51" s="136"/>
      <c r="O51" s="112"/>
      <c r="P51" s="137">
        <v>0</v>
      </c>
      <c r="Q51" s="137">
        <v>0</v>
      </c>
    </row>
    <row r="52" spans="2:18">
      <c r="B52" s="73"/>
      <c r="C52" s="138" t="s">
        <v>96</v>
      </c>
      <c r="D52" s="138" t="s">
        <v>109</v>
      </c>
      <c r="E52" s="138" t="s">
        <v>599</v>
      </c>
      <c r="F52" s="134">
        <f>SUM(F48:F51)</f>
        <v>38.32702</v>
      </c>
      <c r="G52" s="135">
        <f t="shared" si="3"/>
        <v>0.410560131972192</v>
      </c>
      <c r="H52" s="134">
        <f>SUM(H48:H51)</f>
        <v>40.486032926229</v>
      </c>
      <c r="I52" s="135">
        <f t="shared" si="4"/>
        <v>0.563832406381104</v>
      </c>
      <c r="J52" s="114">
        <f>SUM(J48:J51)</f>
        <v>35.76659</v>
      </c>
      <c r="K52" s="113">
        <f t="shared" si="5"/>
        <v>0.529632168929825</v>
      </c>
      <c r="L52" s="113">
        <f t="shared" si="6"/>
        <v>0.119072036957633</v>
      </c>
      <c r="M52" s="113">
        <f t="shared" si="7"/>
        <v>-0.0342002374512789</v>
      </c>
      <c r="N52" s="136"/>
      <c r="O52" s="112"/>
      <c r="P52" s="137">
        <v>45.8578504085435</v>
      </c>
      <c r="Q52" s="137">
        <v>0.631537746802137</v>
      </c>
      <c r="R52" s="104">
        <f>J52-P52</f>
        <v>-10.0912604085435</v>
      </c>
    </row>
    <row r="53" spans="2:18">
      <c r="B53" s="130" t="s">
        <v>111</v>
      </c>
      <c r="C53" s="131">
        <v>5102010151</v>
      </c>
      <c r="D53" s="131" t="s">
        <v>112</v>
      </c>
      <c r="E53" s="131" t="s">
        <v>600</v>
      </c>
      <c r="F53" s="134">
        <v>0</v>
      </c>
      <c r="G53" s="135">
        <f t="shared" si="3"/>
        <v>0</v>
      </c>
      <c r="H53" s="134">
        <v>0</v>
      </c>
      <c r="I53" s="135">
        <f t="shared" si="4"/>
        <v>0</v>
      </c>
      <c r="J53" s="113">
        <v>0</v>
      </c>
      <c r="K53" s="113">
        <f t="shared" si="5"/>
        <v>0</v>
      </c>
      <c r="L53" s="113">
        <f t="shared" si="6"/>
        <v>0</v>
      </c>
      <c r="M53" s="113">
        <f t="shared" si="7"/>
        <v>0</v>
      </c>
      <c r="N53" s="136"/>
      <c r="O53" s="112"/>
      <c r="P53" s="137">
        <v>0</v>
      </c>
      <c r="Q53" s="137">
        <v>0</v>
      </c>
    </row>
    <row r="54" spans="2:18">
      <c r="B54" s="87"/>
      <c r="C54" s="131">
        <v>5001010200</v>
      </c>
      <c r="D54" s="131" t="s">
        <v>114</v>
      </c>
      <c r="E54" s="131" t="s">
        <v>601</v>
      </c>
      <c r="F54" s="134">
        <v>-0.2885</v>
      </c>
      <c r="G54" s="135">
        <f t="shared" si="3"/>
        <v>-0.0030904202328795</v>
      </c>
      <c r="H54" s="134">
        <v>0</v>
      </c>
      <c r="I54" s="135">
        <f t="shared" si="4"/>
        <v>0</v>
      </c>
      <c r="J54" s="113">
        <v>0</v>
      </c>
      <c r="K54" s="113">
        <f t="shared" si="5"/>
        <v>0</v>
      </c>
      <c r="L54" s="113">
        <f t="shared" si="6"/>
        <v>0.0030904202328795</v>
      </c>
      <c r="M54" s="113">
        <f t="shared" si="7"/>
        <v>0</v>
      </c>
      <c r="N54" s="136"/>
      <c r="O54" s="112"/>
      <c r="P54" s="137">
        <v>0</v>
      </c>
      <c r="Q54" s="137">
        <v>0</v>
      </c>
    </row>
    <row r="55" spans="2:18">
      <c r="B55" s="87"/>
      <c r="C55" s="131">
        <v>5001010201</v>
      </c>
      <c r="D55" s="131" t="s">
        <v>116</v>
      </c>
      <c r="E55" s="131" t="s">
        <v>602</v>
      </c>
      <c r="F55" s="134">
        <v>0</v>
      </c>
      <c r="G55" s="135">
        <f t="shared" si="3"/>
        <v>0</v>
      </c>
      <c r="H55" s="134">
        <v>0</v>
      </c>
      <c r="I55" s="135">
        <f t="shared" si="4"/>
        <v>0</v>
      </c>
      <c r="J55" s="113">
        <v>0</v>
      </c>
      <c r="K55" s="113">
        <f t="shared" si="5"/>
        <v>0</v>
      </c>
      <c r="L55" s="113">
        <f t="shared" si="6"/>
        <v>0</v>
      </c>
      <c r="M55" s="113">
        <f t="shared" si="7"/>
        <v>0</v>
      </c>
      <c r="N55" s="136"/>
      <c r="O55" s="112"/>
      <c r="P55" s="137">
        <v>0</v>
      </c>
      <c r="Q55" s="137">
        <v>0</v>
      </c>
    </row>
    <row r="56" spans="2:18">
      <c r="B56" s="87"/>
      <c r="C56" s="131">
        <v>5207000011</v>
      </c>
      <c r="D56" s="131" t="s">
        <v>118</v>
      </c>
      <c r="E56" s="131" t="s">
        <v>603</v>
      </c>
      <c r="F56" s="134">
        <v>0</v>
      </c>
      <c r="G56" s="135">
        <f t="shared" si="3"/>
        <v>0</v>
      </c>
      <c r="H56" s="134">
        <v>0</v>
      </c>
      <c r="I56" s="135">
        <f t="shared" si="4"/>
        <v>0</v>
      </c>
      <c r="J56" s="113">
        <v>0</v>
      </c>
      <c r="K56" s="113">
        <f t="shared" si="5"/>
        <v>0</v>
      </c>
      <c r="L56" s="113">
        <f t="shared" si="6"/>
        <v>0</v>
      </c>
      <c r="M56" s="113">
        <f t="shared" si="7"/>
        <v>0</v>
      </c>
      <c r="N56" s="136"/>
      <c r="O56" s="112"/>
      <c r="P56" s="137">
        <v>0</v>
      </c>
      <c r="Q56" s="137">
        <v>0</v>
      </c>
    </row>
    <row r="57" spans="2:18">
      <c r="B57" s="87"/>
      <c r="C57" s="131">
        <v>5207000012</v>
      </c>
      <c r="D57" s="131" t="s">
        <v>120</v>
      </c>
      <c r="E57" s="131" t="s">
        <v>604</v>
      </c>
      <c r="F57" s="134">
        <v>0</v>
      </c>
      <c r="G57" s="135">
        <f t="shared" si="3"/>
        <v>0</v>
      </c>
      <c r="H57" s="134">
        <v>0</v>
      </c>
      <c r="I57" s="135">
        <f t="shared" si="4"/>
        <v>0</v>
      </c>
      <c r="J57" s="113">
        <v>0</v>
      </c>
      <c r="K57" s="113">
        <f t="shared" si="5"/>
        <v>0</v>
      </c>
      <c r="L57" s="113">
        <f t="shared" si="6"/>
        <v>0</v>
      </c>
      <c r="M57" s="113">
        <f t="shared" si="7"/>
        <v>0</v>
      </c>
      <c r="N57" s="136"/>
      <c r="O57" s="112"/>
      <c r="P57" s="137">
        <v>0</v>
      </c>
      <c r="Q57" s="137">
        <v>0</v>
      </c>
    </row>
    <row r="58" spans="2:18">
      <c r="B58" s="87"/>
      <c r="C58" s="131">
        <v>5207000022</v>
      </c>
      <c r="D58" s="131" t="s">
        <v>122</v>
      </c>
      <c r="E58" s="131" t="s">
        <v>605</v>
      </c>
      <c r="F58" s="134">
        <v>0</v>
      </c>
      <c r="G58" s="135">
        <f t="shared" si="3"/>
        <v>0</v>
      </c>
      <c r="H58" s="134">
        <v>0</v>
      </c>
      <c r="I58" s="135">
        <f t="shared" si="4"/>
        <v>0</v>
      </c>
      <c r="J58" s="113">
        <v>0</v>
      </c>
      <c r="K58" s="113">
        <f t="shared" si="5"/>
        <v>0</v>
      </c>
      <c r="L58" s="113">
        <f t="shared" si="6"/>
        <v>0</v>
      </c>
      <c r="M58" s="113">
        <f t="shared" si="7"/>
        <v>0</v>
      </c>
      <c r="N58" s="136"/>
      <c r="O58" s="112"/>
      <c r="P58" s="137">
        <v>0</v>
      </c>
      <c r="Q58" s="137">
        <v>0</v>
      </c>
    </row>
    <row r="59" spans="2:18">
      <c r="B59" s="87"/>
      <c r="C59" s="131">
        <v>5301060000</v>
      </c>
      <c r="D59" s="131" t="s">
        <v>124</v>
      </c>
      <c r="E59" s="131" t="s">
        <v>330</v>
      </c>
      <c r="F59" s="134">
        <v>0</v>
      </c>
      <c r="G59" s="135">
        <f t="shared" si="3"/>
        <v>0</v>
      </c>
      <c r="H59" s="134">
        <v>0</v>
      </c>
      <c r="I59" s="135">
        <f t="shared" si="4"/>
        <v>0</v>
      </c>
      <c r="J59" s="113">
        <v>-0.02849</v>
      </c>
      <c r="K59" s="113">
        <f t="shared" si="5"/>
        <v>-0.000421880321630066</v>
      </c>
      <c r="L59" s="113">
        <f t="shared" si="6"/>
        <v>-0.000421880321630066</v>
      </c>
      <c r="M59" s="113">
        <f t="shared" si="7"/>
        <v>-0.000421880321630066</v>
      </c>
      <c r="N59" s="136"/>
      <c r="O59" s="112"/>
      <c r="P59" s="137">
        <v>0</v>
      </c>
      <c r="Q59" s="137">
        <v>0</v>
      </c>
    </row>
    <row r="60" spans="2:18">
      <c r="B60" s="87"/>
      <c r="C60" s="131">
        <v>5301999999</v>
      </c>
      <c r="D60" s="131" t="s">
        <v>126</v>
      </c>
      <c r="E60" s="131" t="s">
        <v>606</v>
      </c>
      <c r="F60" s="134">
        <v>0</v>
      </c>
      <c r="G60" s="135">
        <f t="shared" si="3"/>
        <v>0</v>
      </c>
      <c r="H60" s="134">
        <v>0</v>
      </c>
      <c r="I60" s="135">
        <f t="shared" si="4"/>
        <v>0</v>
      </c>
      <c r="J60" s="113">
        <v>-0.31299</v>
      </c>
      <c r="K60" s="113">
        <f t="shared" si="5"/>
        <v>-0.00463476033229184</v>
      </c>
      <c r="L60" s="113">
        <f t="shared" si="6"/>
        <v>-0.00463476033229184</v>
      </c>
      <c r="M60" s="113">
        <f t="shared" si="7"/>
        <v>-0.00463476033229184</v>
      </c>
      <c r="N60" s="136"/>
      <c r="O60" s="112"/>
      <c r="P60" s="137">
        <v>0</v>
      </c>
      <c r="Q60" s="137">
        <v>0</v>
      </c>
    </row>
    <row r="61" spans="2:18">
      <c r="B61" s="87"/>
      <c r="C61" s="131">
        <v>5405030000</v>
      </c>
      <c r="D61" s="131" t="s">
        <v>128</v>
      </c>
      <c r="E61" s="131" t="s">
        <v>607</v>
      </c>
      <c r="F61" s="134">
        <v>0.00017</v>
      </c>
      <c r="G61" s="135">
        <f t="shared" si="3"/>
        <v>1.82104485126348e-6</v>
      </c>
      <c r="H61" s="134">
        <v>0</v>
      </c>
      <c r="I61" s="135">
        <f t="shared" si="4"/>
        <v>0</v>
      </c>
      <c r="J61" s="113">
        <v>-1.99999999998823e-5</v>
      </c>
      <c r="K61" s="113">
        <f t="shared" si="5"/>
        <v>-2.96160281942846e-7</v>
      </c>
      <c r="L61" s="113">
        <f t="shared" si="6"/>
        <v>-2.11720513320633e-6</v>
      </c>
      <c r="M61" s="113">
        <f t="shared" si="7"/>
        <v>-2.96160281942846e-7</v>
      </c>
      <c r="N61" s="136"/>
      <c r="O61" s="112"/>
      <c r="P61" s="137">
        <v>0</v>
      </c>
      <c r="Q61" s="137">
        <v>0</v>
      </c>
    </row>
    <row r="62" spans="2:18">
      <c r="B62" s="87"/>
      <c r="C62" s="131">
        <v>5601050000</v>
      </c>
      <c r="D62" s="131" t="s">
        <v>130</v>
      </c>
      <c r="E62" s="131" t="s">
        <v>331</v>
      </c>
      <c r="F62" s="134">
        <v>0</v>
      </c>
      <c r="G62" s="135">
        <f t="shared" si="3"/>
        <v>0</v>
      </c>
      <c r="H62" s="134">
        <v>0</v>
      </c>
      <c r="I62" s="135">
        <f t="shared" si="4"/>
        <v>0</v>
      </c>
      <c r="J62" s="113">
        <v>0</v>
      </c>
      <c r="K62" s="113">
        <f t="shared" si="5"/>
        <v>0</v>
      </c>
      <c r="L62" s="113">
        <f t="shared" si="6"/>
        <v>0</v>
      </c>
      <c r="M62" s="113">
        <f t="shared" si="7"/>
        <v>0</v>
      </c>
      <c r="N62" s="136"/>
      <c r="O62" s="112"/>
      <c r="P62" s="137">
        <v>0</v>
      </c>
      <c r="Q62" s="137">
        <v>0</v>
      </c>
    </row>
    <row r="63" spans="2:18">
      <c r="B63" s="87"/>
      <c r="C63" s="131">
        <v>5601050100</v>
      </c>
      <c r="D63" s="131" t="s">
        <v>132</v>
      </c>
      <c r="E63" s="131" t="s">
        <v>332</v>
      </c>
      <c r="F63" s="134">
        <v>0</v>
      </c>
      <c r="G63" s="135">
        <f t="shared" si="3"/>
        <v>0</v>
      </c>
      <c r="H63" s="134">
        <v>0</v>
      </c>
      <c r="I63" s="135">
        <f t="shared" si="4"/>
        <v>0</v>
      </c>
      <c r="J63" s="113">
        <v>0.06314</v>
      </c>
      <c r="K63" s="113">
        <f t="shared" si="5"/>
        <v>0.000934978010099066</v>
      </c>
      <c r="L63" s="113">
        <f t="shared" si="6"/>
        <v>0.000934978010099066</v>
      </c>
      <c r="M63" s="113">
        <f t="shared" si="7"/>
        <v>0.000934978010099066</v>
      </c>
      <c r="N63" s="136"/>
      <c r="O63" s="112"/>
      <c r="P63" s="137">
        <v>0</v>
      </c>
      <c r="Q63" s="137">
        <v>0</v>
      </c>
    </row>
    <row r="64" spans="2:18">
      <c r="B64" s="87"/>
      <c r="C64" s="131">
        <v>5102040893</v>
      </c>
      <c r="D64" s="131" t="s">
        <v>134</v>
      </c>
      <c r="E64" s="131" t="s">
        <v>608</v>
      </c>
      <c r="F64" s="134">
        <v>0</v>
      </c>
      <c r="G64" s="135">
        <f t="shared" si="3"/>
        <v>0</v>
      </c>
      <c r="H64" s="134">
        <v>0</v>
      </c>
      <c r="I64" s="135">
        <f t="shared" si="4"/>
        <v>0</v>
      </c>
      <c r="J64" s="113">
        <v>0</v>
      </c>
      <c r="K64" s="113">
        <f t="shared" si="5"/>
        <v>0</v>
      </c>
      <c r="L64" s="113">
        <f t="shared" si="6"/>
        <v>0</v>
      </c>
      <c r="M64" s="113">
        <f t="shared" si="7"/>
        <v>0</v>
      </c>
      <c r="N64" s="136"/>
      <c r="O64" s="112"/>
      <c r="P64" s="137">
        <v>0</v>
      </c>
      <c r="Q64" s="137">
        <v>0</v>
      </c>
    </row>
    <row r="65" spans="2:17">
      <c r="B65" s="87"/>
      <c r="C65" s="131">
        <v>5801000041</v>
      </c>
      <c r="D65" s="131" t="s">
        <v>136</v>
      </c>
      <c r="E65" s="131" t="s">
        <v>609</v>
      </c>
      <c r="F65" s="134">
        <v>0</v>
      </c>
      <c r="G65" s="135">
        <f t="shared" si="3"/>
        <v>0</v>
      </c>
      <c r="H65" s="134">
        <v>0</v>
      </c>
      <c r="I65" s="135">
        <f t="shared" si="4"/>
        <v>0</v>
      </c>
      <c r="J65" s="113">
        <v>0</v>
      </c>
      <c r="K65" s="113">
        <f t="shared" si="5"/>
        <v>0</v>
      </c>
      <c r="L65" s="113">
        <f t="shared" si="6"/>
        <v>0</v>
      </c>
      <c r="M65" s="113">
        <f t="shared" si="7"/>
        <v>0</v>
      </c>
      <c r="N65" s="136"/>
      <c r="O65" s="112"/>
      <c r="P65" s="137">
        <v>0</v>
      </c>
      <c r="Q65" s="137">
        <v>0</v>
      </c>
    </row>
    <row r="66" spans="2:17">
      <c r="B66" s="87"/>
      <c r="C66" s="131">
        <v>6666010322</v>
      </c>
      <c r="D66" s="131" t="s">
        <v>138</v>
      </c>
      <c r="E66" s="131" t="s">
        <v>328</v>
      </c>
      <c r="F66" s="134">
        <v>2.49475</v>
      </c>
      <c r="G66" s="135">
        <f t="shared" si="3"/>
        <v>0.0267238331922916</v>
      </c>
      <c r="H66" s="134">
        <v>3.02928828770936</v>
      </c>
      <c r="I66" s="135">
        <f t="shared" si="4"/>
        <v>0.0421876578521162</v>
      </c>
      <c r="J66" s="113">
        <v>-0.64189</v>
      </c>
      <c r="K66" s="113">
        <f t="shared" si="5"/>
        <v>-0.00950511616887059</v>
      </c>
      <c r="L66" s="113">
        <f t="shared" si="6"/>
        <v>-0.0362289493611622</v>
      </c>
      <c r="M66" s="113">
        <f t="shared" si="7"/>
        <v>-0.0516927740209868</v>
      </c>
      <c r="N66" s="136"/>
      <c r="O66" s="112"/>
      <c r="P66" s="137">
        <v>3.21368438935329</v>
      </c>
      <c r="Q66" s="137">
        <v>0.0442577002651493</v>
      </c>
    </row>
    <row r="67" spans="2:17">
      <c r="B67" s="87"/>
      <c r="C67" s="131">
        <v>6666020101</v>
      </c>
      <c r="D67" s="131" t="s">
        <v>140</v>
      </c>
      <c r="E67" s="131" t="s">
        <v>335</v>
      </c>
      <c r="F67" s="134">
        <v>0</v>
      </c>
      <c r="G67" s="135">
        <f t="shared" si="3"/>
        <v>0</v>
      </c>
      <c r="H67" s="134">
        <v>7.34697052690003</v>
      </c>
      <c r="I67" s="135">
        <f t="shared" si="4"/>
        <v>0.102318250823468</v>
      </c>
      <c r="J67" s="113">
        <v>1.23468</v>
      </c>
      <c r="K67" s="113">
        <f t="shared" si="5"/>
        <v>0.0182831588455672</v>
      </c>
      <c r="L67" s="113">
        <f t="shared" si="6"/>
        <v>0.0182831588455672</v>
      </c>
      <c r="M67" s="113">
        <f t="shared" si="7"/>
        <v>-0.0840350919779009</v>
      </c>
      <c r="N67" s="136"/>
      <c r="O67" s="112"/>
      <c r="P67" s="137">
        <v>1.01248242101027</v>
      </c>
      <c r="Q67" s="137">
        <v>0.0139435420793834</v>
      </c>
    </row>
    <row r="68" spans="2:17">
      <c r="B68" s="87"/>
      <c r="C68" s="131">
        <v>6666020201</v>
      </c>
      <c r="D68" s="131" t="s">
        <v>143</v>
      </c>
      <c r="E68" s="131" t="s">
        <v>610</v>
      </c>
      <c r="F68" s="134">
        <v>0</v>
      </c>
      <c r="G68" s="135">
        <f t="shared" si="3"/>
        <v>0</v>
      </c>
      <c r="H68" s="134">
        <v>0</v>
      </c>
      <c r="I68" s="135">
        <f t="shared" si="4"/>
        <v>0</v>
      </c>
      <c r="J68" s="113">
        <v>0</v>
      </c>
      <c r="K68" s="113">
        <f t="shared" si="5"/>
        <v>0</v>
      </c>
      <c r="L68" s="113">
        <f t="shared" si="6"/>
        <v>0</v>
      </c>
      <c r="M68" s="113">
        <f t="shared" si="7"/>
        <v>0</v>
      </c>
      <c r="N68" s="136"/>
      <c r="O68" s="112"/>
      <c r="P68" s="137">
        <v>0</v>
      </c>
      <c r="Q68" s="137">
        <v>0</v>
      </c>
    </row>
    <row r="69" spans="2:17">
      <c r="B69" s="87"/>
      <c r="C69" s="131">
        <v>6666020202</v>
      </c>
      <c r="D69" s="131" t="s">
        <v>146</v>
      </c>
      <c r="E69" s="131" t="s">
        <v>611</v>
      </c>
      <c r="F69" s="134">
        <v>0.02299</v>
      </c>
      <c r="G69" s="135">
        <f t="shared" si="3"/>
        <v>0.000246269536062044</v>
      </c>
      <c r="H69" s="134">
        <v>0</v>
      </c>
      <c r="I69" s="135">
        <f t="shared" si="4"/>
        <v>0</v>
      </c>
      <c r="J69" s="113">
        <v>0.03437</v>
      </c>
      <c r="K69" s="113">
        <f t="shared" si="5"/>
        <v>0.000508951444521775</v>
      </c>
      <c r="L69" s="113">
        <f t="shared" si="6"/>
        <v>0.000262681908459731</v>
      </c>
      <c r="M69" s="113">
        <f t="shared" si="7"/>
        <v>0.000508951444521775</v>
      </c>
      <c r="N69" s="136"/>
      <c r="O69" s="112"/>
      <c r="P69" s="137">
        <v>0</v>
      </c>
      <c r="Q69" s="137">
        <v>0</v>
      </c>
    </row>
    <row r="70" spans="2:17">
      <c r="B70" s="87"/>
      <c r="C70" s="131">
        <v>6666020204</v>
      </c>
      <c r="D70" s="131" t="s">
        <v>148</v>
      </c>
      <c r="E70" s="131" t="s">
        <v>612</v>
      </c>
      <c r="F70" s="134">
        <v>0.0615</v>
      </c>
      <c r="G70" s="135">
        <f t="shared" si="3"/>
        <v>0.000658789755015907</v>
      </c>
      <c r="H70" s="134">
        <v>0.709977941567343</v>
      </c>
      <c r="I70" s="135">
        <f t="shared" si="4"/>
        <v>0.00988757214125755</v>
      </c>
      <c r="J70" s="113">
        <v>1.82472</v>
      </c>
      <c r="K70" s="113">
        <f t="shared" si="5"/>
        <v>0.0270204794834965</v>
      </c>
      <c r="L70" s="113">
        <f t="shared" si="6"/>
        <v>0.0263616897284806</v>
      </c>
      <c r="M70" s="113">
        <f t="shared" si="7"/>
        <v>0.0171329073422389</v>
      </c>
      <c r="N70" s="136"/>
      <c r="O70" s="112"/>
      <c r="P70" s="137">
        <v>0.753195077819897</v>
      </c>
      <c r="Q70" s="137">
        <v>0.0103727304727789</v>
      </c>
    </row>
    <row r="71" spans="2:17">
      <c r="B71" s="87"/>
      <c r="C71" s="131">
        <v>6666020205</v>
      </c>
      <c r="D71" s="131" t="s">
        <v>150</v>
      </c>
      <c r="E71" s="131" t="s">
        <v>613</v>
      </c>
      <c r="F71" s="134">
        <v>0</v>
      </c>
      <c r="G71" s="135">
        <f t="shared" si="3"/>
        <v>0</v>
      </c>
      <c r="H71" s="134">
        <v>0</v>
      </c>
      <c r="I71" s="135">
        <f t="shared" si="4"/>
        <v>0</v>
      </c>
      <c r="J71" s="113">
        <v>0</v>
      </c>
      <c r="K71" s="113">
        <f t="shared" si="5"/>
        <v>0</v>
      </c>
      <c r="L71" s="113">
        <f t="shared" si="6"/>
        <v>0</v>
      </c>
      <c r="M71" s="113">
        <f t="shared" si="7"/>
        <v>0</v>
      </c>
      <c r="N71" s="136"/>
      <c r="O71" s="112"/>
      <c r="P71" s="137">
        <v>0</v>
      </c>
      <c r="Q71" s="137">
        <v>0</v>
      </c>
    </row>
    <row r="72" spans="2:17">
      <c r="B72" s="87"/>
      <c r="C72" s="131">
        <v>6666020301</v>
      </c>
      <c r="D72" s="131" t="s">
        <v>152</v>
      </c>
      <c r="E72" s="131" t="s">
        <v>614</v>
      </c>
      <c r="F72" s="134">
        <v>0.90336</v>
      </c>
      <c r="G72" s="135">
        <f t="shared" si="3"/>
        <v>0.00967681809904342</v>
      </c>
      <c r="H72" s="134">
        <v>0</v>
      </c>
      <c r="I72" s="135">
        <f t="shared" si="4"/>
        <v>0</v>
      </c>
      <c r="J72" s="113">
        <v>0.53399</v>
      </c>
      <c r="K72" s="113">
        <f t="shared" si="5"/>
        <v>0.00790733144777954</v>
      </c>
      <c r="L72" s="113">
        <f t="shared" si="6"/>
        <v>-0.00176948665126388</v>
      </c>
      <c r="M72" s="113">
        <f t="shared" si="7"/>
        <v>0.00790733144777954</v>
      </c>
      <c r="N72" s="136"/>
      <c r="O72" s="112"/>
      <c r="P72" s="137">
        <v>0</v>
      </c>
      <c r="Q72" s="137">
        <v>0</v>
      </c>
    </row>
    <row r="73" spans="2:17">
      <c r="B73" s="87"/>
      <c r="C73" s="131">
        <v>6666020302</v>
      </c>
      <c r="D73" s="131" t="s">
        <v>154</v>
      </c>
      <c r="E73" s="131" t="s">
        <v>615</v>
      </c>
      <c r="F73" s="134">
        <v>0</v>
      </c>
      <c r="G73" s="135">
        <f t="shared" si="3"/>
        <v>0</v>
      </c>
      <c r="H73" s="134">
        <v>1.15047728661513</v>
      </c>
      <c r="I73" s="135">
        <f t="shared" si="4"/>
        <v>0.0160222261880038</v>
      </c>
      <c r="J73" s="113">
        <v>0</v>
      </c>
      <c r="K73" s="113">
        <f t="shared" si="5"/>
        <v>0</v>
      </c>
      <c r="L73" s="113">
        <f t="shared" si="6"/>
        <v>0</v>
      </c>
      <c r="M73" s="113">
        <f t="shared" si="7"/>
        <v>-0.0160222261880038</v>
      </c>
      <c r="N73" s="136"/>
      <c r="O73" s="112"/>
      <c r="P73" s="137">
        <v>1.22050810129277</v>
      </c>
      <c r="Q73" s="137">
        <v>0.0168083965859112</v>
      </c>
    </row>
    <row r="74" spans="2:17">
      <c r="B74" s="87"/>
      <c r="C74" s="131" t="s">
        <v>156</v>
      </c>
      <c r="D74" s="131" t="s">
        <v>157</v>
      </c>
      <c r="E74" s="131" t="s">
        <v>343</v>
      </c>
      <c r="F74" s="134">
        <v>0</v>
      </c>
      <c r="G74" s="135">
        <f t="shared" si="3"/>
        <v>0</v>
      </c>
      <c r="H74" s="134">
        <v>0</v>
      </c>
      <c r="I74" s="135">
        <f t="shared" si="4"/>
        <v>0</v>
      </c>
      <c r="J74" s="113">
        <v>0</v>
      </c>
      <c r="K74" s="113">
        <f t="shared" si="5"/>
        <v>0</v>
      </c>
      <c r="L74" s="113">
        <f t="shared" si="6"/>
        <v>0</v>
      </c>
      <c r="M74" s="113">
        <f t="shared" si="7"/>
        <v>0</v>
      </c>
      <c r="N74" s="136"/>
      <c r="O74" s="112"/>
      <c r="P74" s="137">
        <v>0</v>
      </c>
      <c r="Q74" s="137">
        <v>0</v>
      </c>
    </row>
    <row r="75" spans="2:17">
      <c r="B75" s="87"/>
      <c r="C75" s="131">
        <v>6666020405</v>
      </c>
      <c r="D75" s="131" t="s">
        <v>159</v>
      </c>
      <c r="E75" s="131" t="s">
        <v>616</v>
      </c>
      <c r="F75" s="134">
        <v>0</v>
      </c>
      <c r="G75" s="135">
        <f t="shared" si="3"/>
        <v>0</v>
      </c>
      <c r="H75" s="134">
        <v>0</v>
      </c>
      <c r="I75" s="135">
        <f t="shared" si="4"/>
        <v>0</v>
      </c>
      <c r="J75" s="113">
        <v>0</v>
      </c>
      <c r="K75" s="113">
        <f t="shared" si="5"/>
        <v>0</v>
      </c>
      <c r="L75" s="113">
        <f t="shared" si="6"/>
        <v>0</v>
      </c>
      <c r="M75" s="113">
        <f t="shared" si="7"/>
        <v>0</v>
      </c>
      <c r="N75" s="136"/>
      <c r="O75" s="112"/>
      <c r="P75" s="137">
        <v>0</v>
      </c>
      <c r="Q75" s="137">
        <v>0</v>
      </c>
    </row>
    <row r="76" spans="2:17">
      <c r="B76" s="87"/>
      <c r="C76" s="131">
        <v>6666020495</v>
      </c>
      <c r="D76" s="131" t="s">
        <v>161</v>
      </c>
      <c r="E76" s="131" t="s">
        <v>617</v>
      </c>
      <c r="F76" s="134">
        <v>0.17713</v>
      </c>
      <c r="G76" s="135">
        <f t="shared" si="3"/>
        <v>0.00189742161473118</v>
      </c>
      <c r="H76" s="134">
        <v>0</v>
      </c>
      <c r="I76" s="135">
        <f t="shared" si="4"/>
        <v>0</v>
      </c>
      <c r="J76" s="113">
        <v>1.34308</v>
      </c>
      <c r="K76" s="113">
        <f t="shared" si="5"/>
        <v>0.0198883475737069</v>
      </c>
      <c r="L76" s="113">
        <f t="shared" si="6"/>
        <v>0.0179909259589757</v>
      </c>
      <c r="M76" s="113">
        <f t="shared" si="7"/>
        <v>0.0198883475737069</v>
      </c>
      <c r="N76" s="136"/>
      <c r="O76" s="112"/>
      <c r="P76" s="137">
        <v>0</v>
      </c>
      <c r="Q76" s="137">
        <v>0</v>
      </c>
    </row>
    <row r="77" spans="2:17">
      <c r="B77" s="87"/>
      <c r="C77" s="131">
        <v>6666020504</v>
      </c>
      <c r="D77" s="131" t="s">
        <v>163</v>
      </c>
      <c r="E77" s="131" t="s">
        <v>344</v>
      </c>
      <c r="F77" s="134">
        <v>0</v>
      </c>
      <c r="G77" s="135">
        <f t="shared" si="3"/>
        <v>0</v>
      </c>
      <c r="H77" s="134">
        <v>0</v>
      </c>
      <c r="I77" s="135">
        <f t="shared" si="4"/>
        <v>0</v>
      </c>
      <c r="J77" s="113">
        <v>0</v>
      </c>
      <c r="K77" s="113">
        <f t="shared" si="5"/>
        <v>0</v>
      </c>
      <c r="L77" s="113">
        <f t="shared" si="6"/>
        <v>0</v>
      </c>
      <c r="M77" s="113">
        <f t="shared" si="7"/>
        <v>0</v>
      </c>
      <c r="N77" s="136"/>
      <c r="O77" s="112"/>
      <c r="P77" s="137">
        <v>0</v>
      </c>
      <c r="Q77" s="137">
        <v>0</v>
      </c>
    </row>
    <row r="78" spans="2:17">
      <c r="B78" s="87"/>
      <c r="C78" s="131">
        <v>6666020508</v>
      </c>
      <c r="D78" s="131" t="s">
        <v>165</v>
      </c>
      <c r="E78" s="131" t="s">
        <v>345</v>
      </c>
      <c r="F78" s="134">
        <v>0</v>
      </c>
      <c r="G78" s="135">
        <f t="shared" si="3"/>
        <v>0</v>
      </c>
      <c r="H78" s="134">
        <v>0</v>
      </c>
      <c r="I78" s="135">
        <f t="shared" si="4"/>
        <v>0</v>
      </c>
      <c r="J78" s="113">
        <v>0.06536</v>
      </c>
      <c r="K78" s="113">
        <f t="shared" si="5"/>
        <v>0.000967851801394915</v>
      </c>
      <c r="L78" s="113">
        <f t="shared" si="6"/>
        <v>0.000967851801394915</v>
      </c>
      <c r="M78" s="113">
        <f t="shared" si="7"/>
        <v>0.000967851801394915</v>
      </c>
      <c r="N78" s="136"/>
      <c r="O78" s="112"/>
      <c r="P78" s="137">
        <v>0</v>
      </c>
      <c r="Q78" s="137">
        <v>0</v>
      </c>
    </row>
    <row r="79" spans="2:17">
      <c r="B79" s="87"/>
      <c r="C79" s="131">
        <v>6666020602</v>
      </c>
      <c r="D79" s="131" t="s">
        <v>167</v>
      </c>
      <c r="E79" s="131" t="s">
        <v>618</v>
      </c>
      <c r="F79" s="134">
        <v>1.03218</v>
      </c>
      <c r="G79" s="135">
        <f t="shared" si="3"/>
        <v>0.0110567416151597</v>
      </c>
      <c r="H79" s="134">
        <v>0.37647226047924</v>
      </c>
      <c r="I79" s="135">
        <f t="shared" si="4"/>
        <v>0.00524297505138434</v>
      </c>
      <c r="J79" s="113">
        <v>0.00249</v>
      </c>
      <c r="K79" s="113">
        <f t="shared" si="5"/>
        <v>3.68719551021013e-5</v>
      </c>
      <c r="L79" s="113">
        <f t="shared" si="6"/>
        <v>-0.0110198696600576</v>
      </c>
      <c r="M79" s="113">
        <f t="shared" si="7"/>
        <v>-0.00520610309628224</v>
      </c>
      <c r="N79" s="136"/>
      <c r="O79" s="112"/>
      <c r="P79" s="137">
        <v>0.399388540019588</v>
      </c>
      <c r="Q79" s="137">
        <v>0.00550023466899299</v>
      </c>
    </row>
    <row r="80" spans="2:17">
      <c r="B80" s="87"/>
      <c r="C80" s="131">
        <v>6666020701</v>
      </c>
      <c r="D80" s="131" t="s">
        <v>170</v>
      </c>
      <c r="E80" s="131" t="s">
        <v>348</v>
      </c>
      <c r="F80" s="134">
        <v>0</v>
      </c>
      <c r="G80" s="135">
        <f t="shared" si="3"/>
        <v>0</v>
      </c>
      <c r="H80" s="134">
        <v>0</v>
      </c>
      <c r="I80" s="135">
        <f t="shared" si="4"/>
        <v>0</v>
      </c>
      <c r="J80" s="113">
        <v>0</v>
      </c>
      <c r="K80" s="113">
        <f t="shared" si="5"/>
        <v>0</v>
      </c>
      <c r="L80" s="113">
        <f t="shared" si="6"/>
        <v>0</v>
      </c>
      <c r="M80" s="113">
        <f t="shared" si="7"/>
        <v>0</v>
      </c>
      <c r="N80" s="136"/>
      <c r="O80" s="112"/>
      <c r="P80" s="137">
        <v>0</v>
      </c>
      <c r="Q80" s="137">
        <v>0</v>
      </c>
    </row>
    <row r="81" spans="2:17">
      <c r="B81" s="87"/>
      <c r="C81" s="131">
        <v>6666020802</v>
      </c>
      <c r="D81" s="131" t="s">
        <v>172</v>
      </c>
      <c r="E81" s="131" t="s">
        <v>619</v>
      </c>
      <c r="F81" s="134">
        <v>23.699</v>
      </c>
      <c r="G81" s="135">
        <f t="shared" si="3"/>
        <v>0.253864364294667</v>
      </c>
      <c r="H81" s="134">
        <v>20.409</v>
      </c>
      <c r="I81" s="135">
        <f t="shared" si="4"/>
        <v>0.284227787958374</v>
      </c>
      <c r="J81" s="113">
        <v>18.18182</v>
      </c>
      <c r="K81" s="113">
        <f t="shared" si="5"/>
        <v>0.269236646873288</v>
      </c>
      <c r="L81" s="113">
        <f t="shared" si="6"/>
        <v>0.0153722825786213</v>
      </c>
      <c r="M81" s="113">
        <f t="shared" si="7"/>
        <v>-0.0149911410850858</v>
      </c>
      <c r="N81" s="136"/>
      <c r="O81" s="112"/>
      <c r="P81" s="137">
        <v>21.6513182216496</v>
      </c>
      <c r="Q81" s="137">
        <v>0.29817413165204</v>
      </c>
    </row>
    <row r="82" spans="2:17">
      <c r="B82" s="87"/>
      <c r="C82" s="131">
        <v>6666020803</v>
      </c>
      <c r="D82" s="131" t="s">
        <v>174</v>
      </c>
      <c r="E82" s="131" t="s">
        <v>620</v>
      </c>
      <c r="F82" s="134">
        <v>8.29521</v>
      </c>
      <c r="G82" s="135">
        <f t="shared" si="3"/>
        <v>0.0888585262391139</v>
      </c>
      <c r="H82" s="134">
        <v>3.23671408206165</v>
      </c>
      <c r="I82" s="135">
        <f t="shared" si="4"/>
        <v>0.045076391974036</v>
      </c>
      <c r="J82" s="113">
        <v>3.99794</v>
      </c>
      <c r="K82" s="113">
        <f t="shared" si="5"/>
        <v>0.0592015518798774</v>
      </c>
      <c r="L82" s="113">
        <f t="shared" si="6"/>
        <v>-0.0296569743592365</v>
      </c>
      <c r="M82" s="113">
        <f t="shared" si="7"/>
        <v>0.0141251599058414</v>
      </c>
      <c r="N82" s="136"/>
      <c r="O82" s="112"/>
      <c r="P82" s="137">
        <v>3.43373641938415</v>
      </c>
      <c r="Q82" s="137">
        <v>0.0472881773151385</v>
      </c>
    </row>
    <row r="83" spans="2:17">
      <c r="B83" s="87"/>
      <c r="C83" s="131">
        <v>6666021100</v>
      </c>
      <c r="D83" s="131" t="s">
        <v>176</v>
      </c>
      <c r="E83" s="131" t="s">
        <v>352</v>
      </c>
      <c r="F83" s="134">
        <v>11.54459</v>
      </c>
      <c r="G83" s="135">
        <f t="shared" si="3"/>
        <v>0.123665977526164</v>
      </c>
      <c r="H83" s="134">
        <v>16.5330461006338</v>
      </c>
      <c r="I83" s="135">
        <f t="shared" si="4"/>
        <v>0.230248964740897</v>
      </c>
      <c r="J83" s="113">
        <v>17.18068</v>
      </c>
      <c r="K83" s="113">
        <f t="shared" si="5"/>
        <v>0.254411751639988</v>
      </c>
      <c r="L83" s="113">
        <f t="shared" si="6"/>
        <v>0.130745774113823</v>
      </c>
      <c r="M83" s="113">
        <f t="shared" si="7"/>
        <v>0.024162786899091</v>
      </c>
      <c r="N83" s="136"/>
      <c r="O83" s="112"/>
      <c r="P83" s="137">
        <v>17.5394307559422</v>
      </c>
      <c r="Q83" s="137">
        <v>0.241546703151532</v>
      </c>
    </row>
    <row r="84" spans="2:17">
      <c r="B84" s="87"/>
      <c r="C84" s="131">
        <v>6666021104</v>
      </c>
      <c r="D84" s="131" t="s">
        <v>178</v>
      </c>
      <c r="E84" s="131" t="s">
        <v>355</v>
      </c>
      <c r="F84" s="134">
        <v>0</v>
      </c>
      <c r="G84" s="135">
        <f t="shared" si="3"/>
        <v>0</v>
      </c>
      <c r="H84" s="134">
        <v>0</v>
      </c>
      <c r="I84" s="135">
        <f t="shared" si="4"/>
        <v>0</v>
      </c>
      <c r="J84" s="113">
        <v>0</v>
      </c>
      <c r="K84" s="113">
        <f t="shared" si="5"/>
        <v>0</v>
      </c>
      <c r="L84" s="113">
        <f t="shared" si="6"/>
        <v>0</v>
      </c>
      <c r="M84" s="113">
        <f t="shared" si="7"/>
        <v>0</v>
      </c>
      <c r="N84" s="136"/>
      <c r="O84" s="112"/>
      <c r="P84" s="137">
        <v>0</v>
      </c>
      <c r="Q84" s="137">
        <v>0</v>
      </c>
    </row>
    <row r="85" spans="2:17">
      <c r="B85" s="87"/>
      <c r="C85" s="131">
        <v>6666021902</v>
      </c>
      <c r="D85" s="131" t="s">
        <v>180</v>
      </c>
      <c r="E85" s="131" t="s">
        <v>360</v>
      </c>
      <c r="F85" s="134">
        <v>16.52925</v>
      </c>
      <c r="G85" s="135">
        <f t="shared" si="3"/>
        <v>0.177061797692629</v>
      </c>
      <c r="H85" s="134">
        <v>10.173018651182</v>
      </c>
      <c r="I85" s="135">
        <f t="shared" si="4"/>
        <v>0.141675466122041</v>
      </c>
      <c r="J85" s="113">
        <v>7.93006</v>
      </c>
      <c r="K85" s="113">
        <f t="shared" si="5"/>
        <v>0.117428440271875</v>
      </c>
      <c r="L85" s="113">
        <f t="shared" si="6"/>
        <v>-0.0596333574207539</v>
      </c>
      <c r="M85" s="113">
        <f t="shared" si="7"/>
        <v>-0.024247025850166</v>
      </c>
      <c r="N85" s="136"/>
      <c r="O85" s="112"/>
      <c r="P85" s="137">
        <v>10.7922614577646</v>
      </c>
      <c r="Q85" s="137">
        <v>0.148627125415071</v>
      </c>
    </row>
    <row r="86" spans="2:17">
      <c r="B86" s="87"/>
      <c r="C86" s="131">
        <v>6666022100</v>
      </c>
      <c r="D86" s="131" t="s">
        <v>182</v>
      </c>
      <c r="E86" s="131" t="s">
        <v>361</v>
      </c>
      <c r="F86" s="134">
        <v>15.01594</v>
      </c>
      <c r="G86" s="135">
        <f t="shared" si="3"/>
        <v>0.160851177787538</v>
      </c>
      <c r="H86" s="134">
        <v>12.8692390611501</v>
      </c>
      <c r="I86" s="135">
        <f t="shared" si="4"/>
        <v>0.179224623992268</v>
      </c>
      <c r="J86" s="113">
        <v>15.72929</v>
      </c>
      <c r="K86" s="113">
        <f t="shared" si="5"/>
        <v>0.23291954805941</v>
      </c>
      <c r="L86" s="113">
        <f t="shared" si="6"/>
        <v>0.0720683702718721</v>
      </c>
      <c r="M86" s="113">
        <f t="shared" si="7"/>
        <v>0.0536949240671422</v>
      </c>
      <c r="N86" s="136"/>
      <c r="O86" s="112"/>
      <c r="P86" s="137">
        <v>13.6526037622344</v>
      </c>
      <c r="Q86" s="137">
        <v>0.188018726154193</v>
      </c>
    </row>
    <row r="87" spans="2:17">
      <c r="B87" s="87"/>
      <c r="C87" s="131">
        <v>6666022300</v>
      </c>
      <c r="D87" s="131" t="s">
        <v>184</v>
      </c>
      <c r="E87" s="131" t="s">
        <v>362</v>
      </c>
      <c r="F87" s="134">
        <v>0</v>
      </c>
      <c r="G87" s="135">
        <f t="shared" si="3"/>
        <v>0</v>
      </c>
      <c r="H87" s="134">
        <v>0</v>
      </c>
      <c r="I87" s="135">
        <f t="shared" si="4"/>
        <v>0</v>
      </c>
      <c r="J87" s="113">
        <v>0</v>
      </c>
      <c r="K87" s="113">
        <f t="shared" si="5"/>
        <v>0</v>
      </c>
      <c r="L87" s="113">
        <f t="shared" si="6"/>
        <v>0</v>
      </c>
      <c r="M87" s="113">
        <f t="shared" si="7"/>
        <v>0</v>
      </c>
      <c r="N87" s="136"/>
      <c r="O87" s="112"/>
      <c r="P87" s="137">
        <v>0</v>
      </c>
      <c r="Q87" s="137">
        <v>0</v>
      </c>
    </row>
    <row r="88" spans="2:17">
      <c r="B88" s="87"/>
      <c r="C88" s="131">
        <v>6666029700</v>
      </c>
      <c r="D88" s="131" t="s">
        <v>186</v>
      </c>
      <c r="E88" s="131" t="s">
        <v>621</v>
      </c>
      <c r="F88" s="134">
        <v>0</v>
      </c>
      <c r="G88" s="135">
        <f t="shared" si="3"/>
        <v>0</v>
      </c>
      <c r="H88" s="134">
        <v>0</v>
      </c>
      <c r="I88" s="135">
        <f t="shared" si="4"/>
        <v>0</v>
      </c>
      <c r="J88" s="113">
        <v>0</v>
      </c>
      <c r="K88" s="113">
        <f t="shared" si="5"/>
        <v>0</v>
      </c>
      <c r="L88" s="113">
        <f t="shared" si="6"/>
        <v>0</v>
      </c>
      <c r="M88" s="113">
        <f t="shared" si="7"/>
        <v>0</v>
      </c>
      <c r="N88" s="136"/>
      <c r="O88" s="112"/>
      <c r="P88" s="137">
        <v>0</v>
      </c>
      <c r="Q88" s="137">
        <v>0</v>
      </c>
    </row>
    <row r="89" spans="2:17">
      <c r="B89" s="87"/>
      <c r="C89" s="131">
        <v>6666029900</v>
      </c>
      <c r="D89" s="131" t="s">
        <v>188</v>
      </c>
      <c r="E89" s="131" t="s">
        <v>363</v>
      </c>
      <c r="F89" s="134">
        <v>0</v>
      </c>
      <c r="G89" s="135">
        <f t="shared" si="3"/>
        <v>0</v>
      </c>
      <c r="H89" s="134">
        <v>0</v>
      </c>
      <c r="I89" s="135">
        <f t="shared" si="4"/>
        <v>0</v>
      </c>
      <c r="J89" s="113">
        <v>0</v>
      </c>
      <c r="K89" s="113">
        <f t="shared" si="5"/>
        <v>0</v>
      </c>
      <c r="L89" s="113">
        <f t="shared" si="6"/>
        <v>0</v>
      </c>
      <c r="M89" s="113">
        <f t="shared" si="7"/>
        <v>0</v>
      </c>
      <c r="N89" s="136"/>
      <c r="O89" s="112"/>
      <c r="P89" s="137">
        <v>0</v>
      </c>
      <c r="Q89" s="137">
        <v>0</v>
      </c>
    </row>
    <row r="90" spans="2:17">
      <c r="B90" s="87"/>
      <c r="C90" s="131">
        <v>6666029996</v>
      </c>
      <c r="D90" s="131" t="s">
        <v>190</v>
      </c>
      <c r="E90" s="131" t="s">
        <v>622</v>
      </c>
      <c r="F90" s="134">
        <v>0</v>
      </c>
      <c r="G90" s="135">
        <f t="shared" si="3"/>
        <v>0</v>
      </c>
      <c r="H90" s="134">
        <v>0</v>
      </c>
      <c r="I90" s="135">
        <f t="shared" si="4"/>
        <v>0</v>
      </c>
      <c r="J90" s="113">
        <v>0.00867</v>
      </c>
      <c r="K90" s="113">
        <f t="shared" si="5"/>
        <v>0.000128385482222979</v>
      </c>
      <c r="L90" s="113">
        <f t="shared" si="6"/>
        <v>0.000128385482222979</v>
      </c>
      <c r="M90" s="113">
        <f t="shared" si="7"/>
        <v>0.000128385482222979</v>
      </c>
      <c r="N90" s="136"/>
      <c r="O90" s="112"/>
      <c r="P90" s="137">
        <v>0</v>
      </c>
      <c r="Q90" s="137">
        <v>0</v>
      </c>
    </row>
    <row r="91" spans="2:17">
      <c r="B91" s="87"/>
      <c r="C91" s="131">
        <v>6666029997</v>
      </c>
      <c r="D91" s="131" t="s">
        <v>191</v>
      </c>
      <c r="E91" s="131" t="s">
        <v>364</v>
      </c>
      <c r="F91" s="134">
        <v>0.60523</v>
      </c>
      <c r="G91" s="135">
        <f t="shared" si="3"/>
        <v>0.00648324103135411</v>
      </c>
      <c r="H91" s="134">
        <v>0</v>
      </c>
      <c r="I91" s="135">
        <f t="shared" si="4"/>
        <v>0</v>
      </c>
      <c r="J91" s="113">
        <v>1.76426</v>
      </c>
      <c r="K91" s="113">
        <f t="shared" si="5"/>
        <v>0.026125186951178</v>
      </c>
      <c r="L91" s="113">
        <f t="shared" si="6"/>
        <v>0.0196419459198239</v>
      </c>
      <c r="M91" s="113">
        <f t="shared" si="7"/>
        <v>0.026125186951178</v>
      </c>
      <c r="N91" s="136"/>
      <c r="O91" s="112"/>
      <c r="P91" s="137">
        <v>0</v>
      </c>
      <c r="Q91" s="137">
        <v>0</v>
      </c>
    </row>
    <row r="92" spans="2:17">
      <c r="B92" s="87"/>
      <c r="C92" s="131">
        <v>6666030702</v>
      </c>
      <c r="D92" s="131" t="s">
        <v>193</v>
      </c>
      <c r="E92" s="131" t="s">
        <v>623</v>
      </c>
      <c r="F92" s="134">
        <v>0</v>
      </c>
      <c r="G92" s="135">
        <f t="shared" si="3"/>
        <v>0</v>
      </c>
      <c r="H92" s="134">
        <v>0</v>
      </c>
      <c r="I92" s="135">
        <f t="shared" si="4"/>
        <v>0</v>
      </c>
      <c r="J92" s="113">
        <v>0</v>
      </c>
      <c r="K92" s="113">
        <f t="shared" si="5"/>
        <v>0</v>
      </c>
      <c r="L92" s="113">
        <f t="shared" si="6"/>
        <v>0</v>
      </c>
      <c r="M92" s="113">
        <f t="shared" si="7"/>
        <v>0</v>
      </c>
      <c r="N92" s="136"/>
      <c r="O92" s="112"/>
      <c r="P92" s="137">
        <v>0</v>
      </c>
      <c r="Q92" s="137">
        <v>0</v>
      </c>
    </row>
    <row r="93" spans="2:17">
      <c r="B93" s="87"/>
      <c r="C93" s="131">
        <v>6666031200</v>
      </c>
      <c r="D93" s="131" t="s">
        <v>195</v>
      </c>
      <c r="E93" s="131" t="s">
        <v>624</v>
      </c>
      <c r="F93" s="134">
        <v>0</v>
      </c>
      <c r="G93" s="135">
        <f t="shared" ref="G93:G107" si="8">F93/$H$27*1000</f>
        <v>0</v>
      </c>
      <c r="H93" s="134">
        <v>0</v>
      </c>
      <c r="I93" s="135">
        <f t="shared" ref="I93:I107" si="9">H93/$J$27*1000</f>
        <v>0</v>
      </c>
      <c r="J93" s="113">
        <v>0</v>
      </c>
      <c r="K93" s="113">
        <f t="shared" ref="K93:K156" si="10">J93*1000/$L$27</f>
        <v>0</v>
      </c>
      <c r="L93" s="113">
        <f t="shared" ref="L93:L156" si="11">K93-G93</f>
        <v>0</v>
      </c>
      <c r="M93" s="113">
        <f t="shared" ref="M93:M156" si="12">K93-I93</f>
        <v>0</v>
      </c>
      <c r="N93" s="136"/>
      <c r="O93" s="112"/>
      <c r="P93" s="137">
        <v>0</v>
      </c>
      <c r="Q93" s="137">
        <v>0</v>
      </c>
    </row>
    <row r="94" spans="2:17">
      <c r="B94" s="87"/>
      <c r="C94" s="131">
        <v>6666050107</v>
      </c>
      <c r="D94" s="131" t="s">
        <v>197</v>
      </c>
      <c r="E94" s="131" t="s">
        <v>367</v>
      </c>
      <c r="F94" s="134">
        <v>0.02526</v>
      </c>
      <c r="G94" s="135">
        <f t="shared" si="8"/>
        <v>0.00027058584084068</v>
      </c>
      <c r="H94" s="134">
        <v>0</v>
      </c>
      <c r="I94" s="135">
        <f t="shared" si="9"/>
        <v>0</v>
      </c>
      <c r="J94" s="113">
        <v>0</v>
      </c>
      <c r="K94" s="113">
        <f t="shared" si="10"/>
        <v>0</v>
      </c>
      <c r="L94" s="113">
        <f t="shared" si="11"/>
        <v>-0.00027058584084068</v>
      </c>
      <c r="M94" s="113">
        <f t="shared" si="12"/>
        <v>0</v>
      </c>
      <c r="N94" s="136"/>
      <c r="O94" s="112"/>
      <c r="P94" s="137">
        <v>0</v>
      </c>
      <c r="Q94" s="137">
        <v>0</v>
      </c>
    </row>
    <row r="95" spans="2:17">
      <c r="B95" s="87"/>
      <c r="C95" s="131">
        <v>6666070100</v>
      </c>
      <c r="D95" s="131" t="s">
        <v>199</v>
      </c>
      <c r="E95" s="131" t="s">
        <v>625</v>
      </c>
      <c r="F95" s="134">
        <v>0</v>
      </c>
      <c r="G95" s="135">
        <f t="shared" si="8"/>
        <v>0</v>
      </c>
      <c r="H95" s="134">
        <v>0</v>
      </c>
      <c r="I95" s="135">
        <f t="shared" si="9"/>
        <v>0</v>
      </c>
      <c r="J95" s="113">
        <v>0</v>
      </c>
      <c r="K95" s="113">
        <f t="shared" si="10"/>
        <v>0</v>
      </c>
      <c r="L95" s="113">
        <f t="shared" si="11"/>
        <v>0</v>
      </c>
      <c r="M95" s="113">
        <f t="shared" si="12"/>
        <v>0</v>
      </c>
      <c r="N95" s="136"/>
      <c r="O95" s="112"/>
      <c r="P95" s="137">
        <v>0</v>
      </c>
      <c r="Q95" s="137">
        <v>0</v>
      </c>
    </row>
    <row r="96" spans="2:17">
      <c r="B96" s="87"/>
      <c r="C96" s="131">
        <v>6666070300</v>
      </c>
      <c r="D96" s="131" t="s">
        <v>201</v>
      </c>
      <c r="E96" s="131" t="s">
        <v>626</v>
      </c>
      <c r="F96" s="134">
        <v>0</v>
      </c>
      <c r="G96" s="135">
        <f t="shared" si="8"/>
        <v>0</v>
      </c>
      <c r="H96" s="134">
        <v>0</v>
      </c>
      <c r="I96" s="135">
        <f t="shared" si="9"/>
        <v>0</v>
      </c>
      <c r="J96" s="113">
        <v>0</v>
      </c>
      <c r="K96" s="113">
        <f t="shared" si="10"/>
        <v>0</v>
      </c>
      <c r="L96" s="113">
        <f t="shared" si="11"/>
        <v>0</v>
      </c>
      <c r="M96" s="113">
        <f t="shared" si="12"/>
        <v>0</v>
      </c>
      <c r="N96" s="136"/>
      <c r="O96" s="112"/>
      <c r="P96" s="137">
        <v>0</v>
      </c>
      <c r="Q96" s="137">
        <v>0</v>
      </c>
    </row>
    <row r="97" spans="2:18">
      <c r="B97" s="87"/>
      <c r="C97" s="131">
        <v>6666070400</v>
      </c>
      <c r="D97" s="131" t="s">
        <v>203</v>
      </c>
      <c r="E97" s="131" t="s">
        <v>627</v>
      </c>
      <c r="F97" s="134">
        <v>3.61765</v>
      </c>
      <c r="G97" s="135">
        <f t="shared" si="8"/>
        <v>0.0387523700363138</v>
      </c>
      <c r="H97" s="134">
        <v>12.4</v>
      </c>
      <c r="I97" s="135">
        <f t="shared" si="9"/>
        <v>0.172689723684837</v>
      </c>
      <c r="J97" s="113">
        <v>4.60621</v>
      </c>
      <c r="K97" s="113">
        <f t="shared" si="10"/>
        <v>0.0682088226147991</v>
      </c>
      <c r="L97" s="113">
        <f t="shared" si="11"/>
        <v>0.0294564525784854</v>
      </c>
      <c r="M97" s="113">
        <f t="shared" si="12"/>
        <v>-0.104480901070038</v>
      </c>
      <c r="N97" s="136"/>
      <c r="O97" s="112"/>
      <c r="P97" s="137">
        <v>13.1548016046085</v>
      </c>
      <c r="Q97" s="137">
        <v>0.181163174701617</v>
      </c>
    </row>
    <row r="98" spans="2:18">
      <c r="B98" s="87"/>
      <c r="C98" s="131">
        <v>5401050201</v>
      </c>
      <c r="D98" s="131" t="s">
        <v>206</v>
      </c>
      <c r="E98" s="131" t="s">
        <v>628</v>
      </c>
      <c r="F98" s="134">
        <v>0</v>
      </c>
      <c r="G98" s="135">
        <f t="shared" si="8"/>
        <v>0</v>
      </c>
      <c r="H98" s="134">
        <v>0</v>
      </c>
      <c r="I98" s="135">
        <f t="shared" si="9"/>
        <v>0</v>
      </c>
      <c r="J98" s="113">
        <v>0</v>
      </c>
      <c r="K98" s="113">
        <f t="shared" si="10"/>
        <v>0</v>
      </c>
      <c r="L98" s="113">
        <f t="shared" si="11"/>
        <v>0</v>
      </c>
      <c r="M98" s="113">
        <f t="shared" si="12"/>
        <v>0</v>
      </c>
      <c r="N98" s="136"/>
      <c r="O98" s="112"/>
      <c r="P98" s="137">
        <v>0</v>
      </c>
      <c r="Q98" s="137">
        <v>0</v>
      </c>
    </row>
    <row r="99" spans="2:18">
      <c r="B99" s="87"/>
      <c r="C99" s="131">
        <v>5401020212</v>
      </c>
      <c r="D99" s="131" t="s">
        <v>208</v>
      </c>
      <c r="E99" s="131" t="s">
        <v>629</v>
      </c>
      <c r="F99" s="134">
        <v>0</v>
      </c>
      <c r="G99" s="135">
        <f t="shared" si="8"/>
        <v>0</v>
      </c>
      <c r="H99" s="134">
        <v>0</v>
      </c>
      <c r="I99" s="135">
        <f t="shared" si="9"/>
        <v>0</v>
      </c>
      <c r="J99" s="113">
        <v>0</v>
      </c>
      <c r="K99" s="113">
        <f t="shared" si="10"/>
        <v>0</v>
      </c>
      <c r="L99" s="113">
        <f t="shared" si="11"/>
        <v>0</v>
      </c>
      <c r="M99" s="113">
        <f t="shared" si="12"/>
        <v>0</v>
      </c>
      <c r="N99" s="136"/>
      <c r="O99" s="112"/>
      <c r="P99" s="137">
        <v>0</v>
      </c>
      <c r="Q99" s="137">
        <v>0</v>
      </c>
    </row>
    <row r="100" spans="2:18">
      <c r="B100" s="87"/>
      <c r="C100" s="131" t="s">
        <v>630</v>
      </c>
      <c r="D100" s="131" t="s">
        <v>631</v>
      </c>
      <c r="E100" s="131" t="s">
        <v>632</v>
      </c>
      <c r="F100" s="134">
        <v>0</v>
      </c>
      <c r="G100" s="135">
        <f t="shared" si="8"/>
        <v>0</v>
      </c>
      <c r="H100" s="134">
        <v>0</v>
      </c>
      <c r="I100" s="135">
        <f t="shared" si="9"/>
        <v>0</v>
      </c>
      <c r="J100" s="113">
        <v>0</v>
      </c>
      <c r="K100" s="113">
        <f t="shared" si="10"/>
        <v>0</v>
      </c>
      <c r="L100" s="113">
        <f t="shared" si="11"/>
        <v>0</v>
      </c>
      <c r="M100" s="113">
        <f t="shared" si="12"/>
        <v>0</v>
      </c>
      <c r="N100" s="136"/>
      <c r="O100" s="112"/>
      <c r="P100" s="137">
        <v>0</v>
      </c>
      <c r="Q100" s="137">
        <v>0</v>
      </c>
    </row>
    <row r="101" spans="2:18">
      <c r="B101" s="87"/>
      <c r="C101" s="131" t="s">
        <v>633</v>
      </c>
      <c r="D101" s="131" t="s">
        <v>372</v>
      </c>
      <c r="E101" s="131" t="s">
        <v>634</v>
      </c>
      <c r="F101" s="134">
        <v>0</v>
      </c>
      <c r="G101" s="135">
        <f t="shared" si="8"/>
        <v>0</v>
      </c>
      <c r="H101" s="134">
        <v>0</v>
      </c>
      <c r="I101" s="135">
        <f t="shared" si="9"/>
        <v>0</v>
      </c>
      <c r="J101" s="113">
        <v>0</v>
      </c>
      <c r="K101" s="113">
        <f t="shared" si="10"/>
        <v>0</v>
      </c>
      <c r="L101" s="113">
        <f t="shared" si="11"/>
        <v>0</v>
      </c>
      <c r="M101" s="113">
        <f t="shared" si="12"/>
        <v>0</v>
      </c>
      <c r="N101" s="136"/>
      <c r="O101" s="112"/>
      <c r="P101" s="137">
        <v>0</v>
      </c>
      <c r="Q101" s="137">
        <v>0</v>
      </c>
    </row>
    <row r="102" spans="2:18">
      <c r="B102" s="87"/>
      <c r="C102" s="131" t="s">
        <v>635</v>
      </c>
      <c r="D102" s="131" t="s">
        <v>636</v>
      </c>
      <c r="E102" s="131" t="s">
        <v>637</v>
      </c>
      <c r="F102" s="134">
        <v>0</v>
      </c>
      <c r="G102" s="135">
        <f t="shared" si="8"/>
        <v>0</v>
      </c>
      <c r="H102" s="134">
        <v>0</v>
      </c>
      <c r="I102" s="135">
        <f t="shared" si="9"/>
        <v>0</v>
      </c>
      <c r="J102" s="113">
        <v>0</v>
      </c>
      <c r="K102" s="113">
        <f t="shared" si="10"/>
        <v>0</v>
      </c>
      <c r="L102" s="113">
        <f t="shared" si="11"/>
        <v>0</v>
      </c>
      <c r="M102" s="113">
        <f t="shared" si="12"/>
        <v>0</v>
      </c>
      <c r="N102" s="136"/>
      <c r="O102" s="112"/>
      <c r="P102" s="137">
        <v>0</v>
      </c>
      <c r="Q102" s="137">
        <v>0</v>
      </c>
    </row>
    <row r="103" spans="2:18">
      <c r="B103" s="87"/>
      <c r="C103" s="131">
        <v>6666040215</v>
      </c>
      <c r="D103" s="131" t="s">
        <v>638</v>
      </c>
      <c r="E103" s="131" t="s">
        <v>639</v>
      </c>
      <c r="F103" s="134">
        <v>0</v>
      </c>
      <c r="G103" s="135">
        <f t="shared" si="8"/>
        <v>0</v>
      </c>
      <c r="H103" s="134">
        <v>0</v>
      </c>
      <c r="I103" s="135">
        <f t="shared" si="9"/>
        <v>0</v>
      </c>
      <c r="J103" s="113">
        <v>0</v>
      </c>
      <c r="K103" s="113">
        <f t="shared" si="10"/>
        <v>0</v>
      </c>
      <c r="L103" s="113">
        <f t="shared" si="11"/>
        <v>0</v>
      </c>
      <c r="M103" s="113">
        <f t="shared" si="12"/>
        <v>0</v>
      </c>
      <c r="N103" s="136"/>
      <c r="O103" s="112"/>
      <c r="P103" s="137">
        <v>0</v>
      </c>
      <c r="Q103" s="137">
        <v>0</v>
      </c>
    </row>
    <row r="104" spans="2:18">
      <c r="B104" s="87"/>
      <c r="C104" s="131" t="s">
        <v>156</v>
      </c>
      <c r="D104" s="131" t="s">
        <v>157</v>
      </c>
      <c r="E104" s="131" t="s">
        <v>640</v>
      </c>
      <c r="F104" s="134">
        <v>0</v>
      </c>
      <c r="G104" s="135">
        <f t="shared" si="8"/>
        <v>0</v>
      </c>
      <c r="H104" s="134">
        <v>0</v>
      </c>
      <c r="I104" s="135">
        <f t="shared" si="9"/>
        <v>0</v>
      </c>
      <c r="J104" s="113">
        <v>0</v>
      </c>
      <c r="K104" s="113">
        <f t="shared" si="10"/>
        <v>0</v>
      </c>
      <c r="L104" s="113">
        <f t="shared" si="11"/>
        <v>0</v>
      </c>
      <c r="M104" s="113">
        <f t="shared" si="12"/>
        <v>0</v>
      </c>
      <c r="N104" s="136"/>
      <c r="O104" s="112"/>
      <c r="P104" s="137">
        <v>0</v>
      </c>
      <c r="Q104" s="137">
        <v>0</v>
      </c>
    </row>
    <row r="105" spans="2:18">
      <c r="B105" s="87"/>
      <c r="C105" s="131" t="s">
        <v>641</v>
      </c>
      <c r="D105" s="131" t="s">
        <v>336</v>
      </c>
      <c r="E105" s="131" t="s">
        <v>642</v>
      </c>
      <c r="F105" s="134">
        <v>0</v>
      </c>
      <c r="G105" s="135">
        <f t="shared" si="8"/>
        <v>0</v>
      </c>
      <c r="H105" s="134">
        <v>0</v>
      </c>
      <c r="I105" s="135">
        <f t="shared" si="9"/>
        <v>0</v>
      </c>
      <c r="J105" s="113">
        <v>0</v>
      </c>
      <c r="K105" s="113">
        <f t="shared" si="10"/>
        <v>0</v>
      </c>
      <c r="L105" s="113">
        <f t="shared" si="11"/>
        <v>0</v>
      </c>
      <c r="M105" s="113">
        <f t="shared" si="12"/>
        <v>0</v>
      </c>
      <c r="N105" s="136"/>
      <c r="O105" s="112"/>
      <c r="P105" s="137">
        <v>0</v>
      </c>
      <c r="Q105" s="137">
        <v>0</v>
      </c>
    </row>
    <row r="106" spans="2:18">
      <c r="B106" s="87"/>
      <c r="C106" s="131" t="s">
        <v>643</v>
      </c>
      <c r="D106" s="131" t="s">
        <v>644</v>
      </c>
      <c r="E106" s="131" t="s">
        <v>645</v>
      </c>
      <c r="F106" s="134">
        <v>0</v>
      </c>
      <c r="G106" s="135">
        <f t="shared" si="8"/>
        <v>0</v>
      </c>
      <c r="H106" s="134">
        <v>0</v>
      </c>
      <c r="I106" s="135">
        <f t="shared" si="9"/>
        <v>0</v>
      </c>
      <c r="J106" s="113">
        <v>-0.08305</v>
      </c>
      <c r="K106" s="113">
        <f t="shared" si="10"/>
        <v>-0.0012298055707749</v>
      </c>
      <c r="L106" s="113">
        <f t="shared" si="11"/>
        <v>-0.0012298055707749</v>
      </c>
      <c r="M106" s="113">
        <f t="shared" si="12"/>
        <v>-0.0012298055707749</v>
      </c>
      <c r="N106" s="136"/>
      <c r="O106" s="112"/>
      <c r="P106" s="137">
        <v>0</v>
      </c>
      <c r="Q106" s="137">
        <v>0</v>
      </c>
    </row>
    <row r="107" spans="2:18">
      <c r="B107" s="87"/>
      <c r="C107" s="131" t="s">
        <v>646</v>
      </c>
      <c r="D107" s="131" t="s">
        <v>647</v>
      </c>
      <c r="E107" s="131" t="s">
        <v>648</v>
      </c>
      <c r="F107" s="134">
        <v>0</v>
      </c>
      <c r="G107" s="135">
        <f t="shared" si="8"/>
        <v>0</v>
      </c>
      <c r="H107" s="134">
        <v>0</v>
      </c>
      <c r="I107" s="135">
        <f t="shared" si="9"/>
        <v>0</v>
      </c>
      <c r="J107" s="113">
        <v>0</v>
      </c>
      <c r="K107" s="113">
        <f t="shared" si="10"/>
        <v>0</v>
      </c>
      <c r="L107" s="113">
        <f t="shared" si="11"/>
        <v>0</v>
      </c>
      <c r="M107" s="113">
        <f t="shared" si="12"/>
        <v>0</v>
      </c>
      <c r="N107" s="136"/>
      <c r="O107" s="112"/>
      <c r="P107" s="137">
        <v>0</v>
      </c>
      <c r="Q107" s="137">
        <v>0</v>
      </c>
    </row>
    <row r="108" spans="2:18">
      <c r="B108" s="87"/>
      <c r="C108" s="93" t="s">
        <v>790</v>
      </c>
      <c r="D108" t="s">
        <v>791</v>
      </c>
      <c r="E108" t="s">
        <v>792</v>
      </c>
      <c r="F108" s="134"/>
      <c r="G108" s="135"/>
      <c r="H108" s="134"/>
      <c r="I108" s="135"/>
      <c r="J108" s="113">
        <v>0.598199999999998</v>
      </c>
      <c r="K108" s="113">
        <f t="shared" si="10"/>
        <v>0.00885815403296261</v>
      </c>
      <c r="L108" s="113">
        <f t="shared" si="11"/>
        <v>0.00885815403296261</v>
      </c>
      <c r="M108" s="113">
        <f t="shared" si="12"/>
        <v>0.00885815403296261</v>
      </c>
      <c r="N108" s="136"/>
      <c r="O108" s="112"/>
      <c r="P108" s="137"/>
      <c r="Q108" s="137"/>
    </row>
    <row r="109" spans="2:18">
      <c r="B109" s="87"/>
      <c r="C109" s="93" t="s">
        <v>793</v>
      </c>
      <c r="D109" t="s">
        <v>794</v>
      </c>
      <c r="E109" t="s">
        <v>795</v>
      </c>
      <c r="F109" s="134"/>
      <c r="G109" s="135"/>
      <c r="H109" s="134"/>
      <c r="I109" s="135"/>
      <c r="J109" s="113">
        <v>2.24248</v>
      </c>
      <c r="K109" s="113">
        <f t="shared" si="10"/>
        <v>0.033206675452755</v>
      </c>
      <c r="L109" s="113">
        <f t="shared" si="11"/>
        <v>0.033206675452755</v>
      </c>
      <c r="M109" s="113">
        <f t="shared" si="12"/>
        <v>0.033206675452755</v>
      </c>
      <c r="N109" s="136"/>
      <c r="O109" s="112"/>
      <c r="P109" s="137"/>
      <c r="Q109" s="137"/>
    </row>
    <row r="110" spans="2:18">
      <c r="B110" s="87"/>
      <c r="C110" s="93" t="s">
        <v>796</v>
      </c>
      <c r="D110" t="s">
        <v>797</v>
      </c>
      <c r="E110" s="131"/>
      <c r="F110" s="134"/>
      <c r="G110" s="135"/>
      <c r="H110" s="134"/>
      <c r="I110" s="135"/>
      <c r="J110" s="113">
        <v>1.13484</v>
      </c>
      <c r="K110" s="113">
        <f t="shared" si="10"/>
        <v>0.0168047267180998</v>
      </c>
      <c r="L110" s="113">
        <f t="shared" si="11"/>
        <v>0.0168047267180998</v>
      </c>
      <c r="M110" s="113">
        <f t="shared" si="12"/>
        <v>0.0168047267180998</v>
      </c>
      <c r="N110" s="136"/>
      <c r="O110" s="112"/>
      <c r="P110" s="137"/>
      <c r="Q110" s="137"/>
    </row>
    <row r="111" spans="2:18">
      <c r="B111" s="73"/>
      <c r="C111" s="138" t="s">
        <v>75</v>
      </c>
      <c r="D111" s="138" t="s">
        <v>213</v>
      </c>
      <c r="E111" s="138" t="s">
        <v>650</v>
      </c>
      <c r="F111" s="134">
        <f>SUM(F53:F107)</f>
        <v>83.73571</v>
      </c>
      <c r="G111" s="135">
        <f t="shared" ref="G111:G156" si="13">F111/$H$27*1000</f>
        <v>0.896979315072896</v>
      </c>
      <c r="H111" s="134">
        <f>SUM(H53:H107)</f>
        <v>88.2342041982987</v>
      </c>
      <c r="I111" s="135">
        <f t="shared" ref="I111:I156" si="14">H111/$J$27*1000</f>
        <v>1.22880164052868</v>
      </c>
      <c r="J111" s="114">
        <f>SUM(J53:J110)</f>
        <v>77.40984</v>
      </c>
      <c r="K111" s="113">
        <f t="shared" si="10"/>
        <v>1.14628600198427</v>
      </c>
      <c r="L111" s="113">
        <f t="shared" si="11"/>
        <v>0.249306686911378</v>
      </c>
      <c r="M111" s="113">
        <f t="shared" si="12"/>
        <v>-0.0825156385444084</v>
      </c>
      <c r="N111" s="136"/>
      <c r="O111" s="112"/>
      <c r="P111" s="137">
        <v>86.8234107510793</v>
      </c>
      <c r="Q111" s="137">
        <v>1.19570064246181</v>
      </c>
      <c r="R111" s="104">
        <f>J111-P111</f>
        <v>-9.41357075107932</v>
      </c>
    </row>
    <row r="112" spans="2:18">
      <c r="B112" s="130" t="s">
        <v>212</v>
      </c>
      <c r="C112" s="131">
        <v>6666110203</v>
      </c>
      <c r="D112" s="131" t="s">
        <v>215</v>
      </c>
      <c r="E112" s="131" t="s">
        <v>651</v>
      </c>
      <c r="F112" s="134">
        <v>11.59168</v>
      </c>
      <c r="G112" s="135">
        <f t="shared" si="13"/>
        <v>0.124170406949964</v>
      </c>
      <c r="H112" s="134">
        <v>33.9416691718126</v>
      </c>
      <c r="I112" s="135">
        <f t="shared" si="14"/>
        <v>0.47269173150665</v>
      </c>
      <c r="J112" s="113">
        <v>15.63923</v>
      </c>
      <c r="K112" s="113">
        <f t="shared" si="10"/>
        <v>0.231585938309813</v>
      </c>
      <c r="L112" s="113">
        <f t="shared" si="11"/>
        <v>0.107415531359849</v>
      </c>
      <c r="M112" s="113">
        <f t="shared" si="12"/>
        <v>-0.241105793196837</v>
      </c>
      <c r="N112" s="136"/>
      <c r="O112" s="112"/>
      <c r="P112" s="137">
        <v>26.6217210239344</v>
      </c>
      <c r="Q112" s="137">
        <v>0.366624723175387</v>
      </c>
    </row>
    <row r="113" spans="2:18">
      <c r="B113" s="87"/>
      <c r="C113" s="131">
        <v>5102040000</v>
      </c>
      <c r="D113" s="131" t="s">
        <v>217</v>
      </c>
      <c r="E113" s="131" t="s">
        <v>378</v>
      </c>
      <c r="F113" s="134">
        <v>-0.33011</v>
      </c>
      <c r="G113" s="135">
        <f t="shared" si="13"/>
        <v>-0.00353614774029758</v>
      </c>
      <c r="H113" s="134">
        <v>0</v>
      </c>
      <c r="I113" s="135">
        <f t="shared" si="14"/>
        <v>0</v>
      </c>
      <c r="J113" s="113">
        <v>0</v>
      </c>
      <c r="K113" s="113">
        <f t="shared" si="10"/>
        <v>0</v>
      </c>
      <c r="L113" s="113">
        <f t="shared" si="11"/>
        <v>0.00353614774029758</v>
      </c>
      <c r="M113" s="113">
        <f t="shared" si="12"/>
        <v>0</v>
      </c>
      <c r="N113" s="136"/>
      <c r="O113" s="112"/>
      <c r="P113" s="137">
        <v>0</v>
      </c>
      <c r="Q113" s="137">
        <v>0</v>
      </c>
    </row>
    <row r="114" spans="2:18">
      <c r="B114" s="87"/>
      <c r="C114" s="131">
        <v>6666050307</v>
      </c>
      <c r="D114" s="131" t="s">
        <v>219</v>
      </c>
      <c r="E114" s="131" t="s">
        <v>652</v>
      </c>
      <c r="F114" s="134">
        <v>-31.90334</v>
      </c>
      <c r="G114" s="135">
        <f t="shared" si="13"/>
        <v>-0.341749488500637</v>
      </c>
      <c r="H114" s="134">
        <v>0</v>
      </c>
      <c r="I114" s="135">
        <f t="shared" si="14"/>
        <v>0</v>
      </c>
      <c r="J114" s="113">
        <v>-12.00638</v>
      </c>
      <c r="K114" s="113">
        <f t="shared" si="10"/>
        <v>-0.177790644296693</v>
      </c>
      <c r="L114" s="113">
        <f t="shared" si="11"/>
        <v>0.163958844203944</v>
      </c>
      <c r="M114" s="113">
        <f t="shared" si="12"/>
        <v>-0.177790644296693</v>
      </c>
      <c r="N114" s="136"/>
      <c r="O114" s="112"/>
      <c r="P114" s="137">
        <v>0</v>
      </c>
      <c r="Q114" s="137">
        <v>0</v>
      </c>
    </row>
    <row r="115" spans="2:18">
      <c r="B115" s="87"/>
      <c r="C115" s="131">
        <v>6666050312</v>
      </c>
      <c r="D115" s="131" t="s">
        <v>221</v>
      </c>
      <c r="E115" s="131" t="s">
        <v>653</v>
      </c>
      <c r="F115" s="134">
        <v>-1.55267</v>
      </c>
      <c r="G115" s="135">
        <f t="shared" si="13"/>
        <v>-0.0166322453483016</v>
      </c>
      <c r="H115" s="134">
        <v>0</v>
      </c>
      <c r="I115" s="135">
        <f t="shared" si="14"/>
        <v>0</v>
      </c>
      <c r="J115" s="113">
        <v>0</v>
      </c>
      <c r="K115" s="113">
        <f t="shared" si="10"/>
        <v>0</v>
      </c>
      <c r="L115" s="113">
        <f t="shared" si="11"/>
        <v>0.0166322453483016</v>
      </c>
      <c r="M115" s="113">
        <f t="shared" si="12"/>
        <v>0</v>
      </c>
      <c r="N115" s="136"/>
      <c r="O115" s="112"/>
      <c r="P115" s="137">
        <v>0</v>
      </c>
      <c r="Q115" s="137">
        <v>0</v>
      </c>
    </row>
    <row r="116" spans="2:18">
      <c r="B116" s="73"/>
      <c r="C116" s="138" t="s">
        <v>96</v>
      </c>
      <c r="D116" s="138" t="s">
        <v>224</v>
      </c>
      <c r="E116" s="138" t="s">
        <v>654</v>
      </c>
      <c r="F116" s="134">
        <f>SUM(F112:F115)</f>
        <v>-22.19444</v>
      </c>
      <c r="G116" s="135">
        <f t="shared" si="13"/>
        <v>-0.237747474639272</v>
      </c>
      <c r="H116" s="134">
        <f>SUM(H112:H115)</f>
        <v>33.9416691718126</v>
      </c>
      <c r="I116" s="135">
        <f t="shared" si="14"/>
        <v>0.47269173150665</v>
      </c>
      <c r="J116" s="114">
        <f>SUM(J112:J115)</f>
        <v>3.63285</v>
      </c>
      <c r="K116" s="113">
        <f t="shared" si="10"/>
        <v>0.0537952940131199</v>
      </c>
      <c r="L116" s="113">
        <f t="shared" si="11"/>
        <v>0.291542768652392</v>
      </c>
      <c r="M116" s="113">
        <f t="shared" si="12"/>
        <v>-0.41889643749353</v>
      </c>
      <c r="N116" s="136" t="s">
        <v>798</v>
      </c>
      <c r="O116" s="112"/>
      <c r="P116" s="137">
        <v>26.6217210239344</v>
      </c>
      <c r="Q116" s="137">
        <v>0.366624723175387</v>
      </c>
      <c r="R116" s="104">
        <f>J116-P116</f>
        <v>-22.9888710239344</v>
      </c>
    </row>
    <row r="117" spans="2:18">
      <c r="B117" s="130" t="s">
        <v>223</v>
      </c>
      <c r="C117" s="131">
        <v>6666100203</v>
      </c>
      <c r="D117" s="131" t="s">
        <v>226</v>
      </c>
      <c r="E117" s="131" t="s">
        <v>655</v>
      </c>
      <c r="F117" s="134">
        <v>28.85478</v>
      </c>
      <c r="G117" s="135">
        <f t="shared" si="13"/>
        <v>0.309093226784356</v>
      </c>
      <c r="H117" s="134">
        <v>12.5</v>
      </c>
      <c r="I117" s="135">
        <f t="shared" si="14"/>
        <v>0.174082382746811</v>
      </c>
      <c r="J117" s="113">
        <v>16.166</v>
      </c>
      <c r="K117" s="113">
        <f t="shared" si="10"/>
        <v>0.239386355895811</v>
      </c>
      <c r="L117" s="113">
        <f t="shared" si="11"/>
        <v>-0.0697068708885454</v>
      </c>
      <c r="M117" s="113">
        <f t="shared" si="12"/>
        <v>0.0653039731489996</v>
      </c>
      <c r="N117" s="136"/>
      <c r="O117" s="112"/>
      <c r="P117" s="137">
        <v>16.166</v>
      </c>
      <c r="Q117" s="137">
        <v>0.222632311018688</v>
      </c>
    </row>
    <row r="118" spans="2:18">
      <c r="B118" s="73"/>
      <c r="C118" s="138" t="s">
        <v>75</v>
      </c>
      <c r="D118" s="138" t="s">
        <v>229</v>
      </c>
      <c r="E118" s="138" t="s">
        <v>656</v>
      </c>
      <c r="F118" s="134">
        <f>F117</f>
        <v>28.85478</v>
      </c>
      <c r="G118" s="135">
        <f t="shared" si="13"/>
        <v>0.309093226784356</v>
      </c>
      <c r="H118" s="134">
        <f>H117</f>
        <v>12.5</v>
      </c>
      <c r="I118" s="135">
        <f t="shared" si="14"/>
        <v>0.174082382746811</v>
      </c>
      <c r="J118" s="114">
        <f>J117</f>
        <v>16.166</v>
      </c>
      <c r="K118" s="113">
        <f t="shared" si="10"/>
        <v>0.239386355895811</v>
      </c>
      <c r="L118" s="113">
        <f t="shared" si="11"/>
        <v>-0.0697068708885454</v>
      </c>
      <c r="M118" s="113">
        <f t="shared" si="12"/>
        <v>0.0653039731489996</v>
      </c>
      <c r="N118" s="136"/>
      <c r="O118" s="112"/>
      <c r="P118" s="137">
        <v>16.166</v>
      </c>
      <c r="Q118" s="137">
        <v>0.222632311018688</v>
      </c>
      <c r="R118" s="104">
        <f>J118-P118</f>
        <v>0</v>
      </c>
    </row>
    <row r="119" spans="2:18">
      <c r="B119" s="130" t="s">
        <v>228</v>
      </c>
      <c r="C119" s="131">
        <v>5301070000</v>
      </c>
      <c r="D119" s="131" t="s">
        <v>231</v>
      </c>
      <c r="E119" s="131" t="s">
        <v>657</v>
      </c>
      <c r="F119" s="134">
        <v>-90.78098</v>
      </c>
      <c r="G119" s="135">
        <f t="shared" si="13"/>
        <v>-0.972448448362666</v>
      </c>
      <c r="H119" s="134">
        <v>-48.1632716185249</v>
      </c>
      <c r="I119" s="135">
        <f t="shared" si="14"/>
        <v>-0.670750166738774</v>
      </c>
      <c r="J119" s="113">
        <v>-69.87748</v>
      </c>
      <c r="K119" s="113">
        <f t="shared" si="10"/>
        <v>-1.03474670891887</v>
      </c>
      <c r="L119" s="113">
        <f t="shared" si="11"/>
        <v>-0.0622982605562007</v>
      </c>
      <c r="M119" s="113">
        <f t="shared" si="12"/>
        <v>-0.363996542180093</v>
      </c>
      <c r="N119" s="136"/>
      <c r="O119" s="112"/>
      <c r="P119" s="137">
        <v>-70.2448142270844</v>
      </c>
      <c r="Q119" s="137">
        <v>-0.967386201191032</v>
      </c>
    </row>
    <row r="120" spans="2:18">
      <c r="B120" s="73"/>
      <c r="C120" s="138" t="s">
        <v>96</v>
      </c>
      <c r="D120" s="138" t="s">
        <v>235</v>
      </c>
      <c r="E120" s="138" t="s">
        <v>658</v>
      </c>
      <c r="F120" s="134">
        <f>F119</f>
        <v>-90.78098</v>
      </c>
      <c r="G120" s="135">
        <f t="shared" si="13"/>
        <v>-0.972448448362666</v>
      </c>
      <c r="H120" s="134">
        <f>H119</f>
        <v>-48.1632716185249</v>
      </c>
      <c r="I120" s="135">
        <f t="shared" si="14"/>
        <v>-0.670750166738774</v>
      </c>
      <c r="J120" s="114">
        <f>J119</f>
        <v>-69.87748</v>
      </c>
      <c r="K120" s="113">
        <f t="shared" si="10"/>
        <v>-1.03474670891887</v>
      </c>
      <c r="L120" s="113">
        <f t="shared" si="11"/>
        <v>-0.0622982605562007</v>
      </c>
      <c r="M120" s="113">
        <f t="shared" si="12"/>
        <v>-0.363996542180093</v>
      </c>
      <c r="N120" s="136"/>
      <c r="O120" s="112"/>
      <c r="P120" s="137">
        <v>-70.2448142270844</v>
      </c>
      <c r="Q120" s="137">
        <v>-0.967386201191032</v>
      </c>
      <c r="R120" s="104">
        <f>J120-P120</f>
        <v>0.367334227084399</v>
      </c>
    </row>
    <row r="121" spans="2:18">
      <c r="B121" s="130" t="s">
        <v>234</v>
      </c>
      <c r="C121" s="131">
        <v>6666021602</v>
      </c>
      <c r="D121" s="131" t="s">
        <v>237</v>
      </c>
      <c r="E121" s="131" t="s">
        <v>659</v>
      </c>
      <c r="F121" s="134">
        <v>27.51429</v>
      </c>
      <c r="G121" s="135">
        <f t="shared" si="13"/>
        <v>0.294733859651002</v>
      </c>
      <c r="H121" s="134">
        <v>26.8340304934761</v>
      </c>
      <c r="I121" s="135">
        <f t="shared" si="14"/>
        <v>0.373706557360393</v>
      </c>
      <c r="J121" s="113">
        <v>28.4377</v>
      </c>
      <c r="K121" s="113">
        <f t="shared" si="10"/>
        <v>0.421105862492781</v>
      </c>
      <c r="L121" s="113">
        <f t="shared" si="11"/>
        <v>0.126372002841779</v>
      </c>
      <c r="M121" s="113">
        <f t="shared" si="12"/>
        <v>0.0473993051323884</v>
      </c>
      <c r="N121" s="136"/>
      <c r="O121" s="112"/>
      <c r="P121" s="137">
        <v>13.7876605977447</v>
      </c>
      <c r="Q121" s="137">
        <v>0.18987868009509</v>
      </c>
    </row>
    <row r="122" spans="2:18">
      <c r="B122" s="73"/>
      <c r="C122" s="138" t="s">
        <v>75</v>
      </c>
      <c r="D122" s="138" t="s">
        <v>244</v>
      </c>
      <c r="E122" s="138" t="s">
        <v>245</v>
      </c>
      <c r="F122" s="134">
        <f>F121</f>
        <v>27.51429</v>
      </c>
      <c r="G122" s="135">
        <f t="shared" si="13"/>
        <v>0.294733859651002</v>
      </c>
      <c r="H122" s="134">
        <f>H121</f>
        <v>26.8340304934761</v>
      </c>
      <c r="I122" s="135">
        <f t="shared" si="14"/>
        <v>0.373706557360393</v>
      </c>
      <c r="J122" s="114">
        <f>J121</f>
        <v>28.4377</v>
      </c>
      <c r="K122" s="113">
        <f t="shared" si="10"/>
        <v>0.421105862492781</v>
      </c>
      <c r="L122" s="113">
        <f t="shared" si="11"/>
        <v>0.126372002841779</v>
      </c>
      <c r="M122" s="113">
        <f t="shared" si="12"/>
        <v>0.0473993051323884</v>
      </c>
      <c r="N122" s="136"/>
      <c r="O122" s="112"/>
      <c r="P122" s="137">
        <v>13.7876605977447</v>
      </c>
      <c r="Q122" s="137">
        <v>0.18987868009509</v>
      </c>
      <c r="R122" s="104">
        <f>J122-P122</f>
        <v>14.6500394022553</v>
      </c>
    </row>
    <row r="123" spans="2:18">
      <c r="B123" s="130" t="s">
        <v>243</v>
      </c>
      <c r="C123" s="131">
        <v>6666021600</v>
      </c>
      <c r="D123" s="131" t="s">
        <v>246</v>
      </c>
      <c r="E123" s="131" t="s">
        <v>660</v>
      </c>
      <c r="F123" s="134">
        <v>30.35682</v>
      </c>
      <c r="G123" s="135">
        <f t="shared" si="13"/>
        <v>0.325183122127837</v>
      </c>
      <c r="H123" s="134">
        <v>30.5662335860862</v>
      </c>
      <c r="I123" s="135">
        <f t="shared" si="14"/>
        <v>0.425683421940919</v>
      </c>
      <c r="J123" s="113">
        <v>-6.11855</v>
      </c>
      <c r="K123" s="113">
        <f t="shared" si="10"/>
        <v>-0.0906035746546031</v>
      </c>
      <c r="L123" s="113">
        <f t="shared" si="11"/>
        <v>-0.41578669678244</v>
      </c>
      <c r="M123" s="113">
        <f t="shared" si="12"/>
        <v>-0.516286996595522</v>
      </c>
      <c r="N123" s="136"/>
      <c r="O123" s="112"/>
      <c r="P123" s="137">
        <v>23.773948632134</v>
      </c>
      <c r="Q123" s="137">
        <v>0.32740623073188</v>
      </c>
    </row>
    <row r="124" spans="2:18">
      <c r="B124" s="87"/>
      <c r="C124" s="131">
        <v>6666021603</v>
      </c>
      <c r="D124" s="131" t="s">
        <v>239</v>
      </c>
      <c r="E124" s="131" t="s">
        <v>661</v>
      </c>
      <c r="F124" s="134">
        <v>1.14008</v>
      </c>
      <c r="G124" s="135">
        <f t="shared" si="13"/>
        <v>0.0122125694942851</v>
      </c>
      <c r="H124" s="134">
        <v>0.214880940074291</v>
      </c>
      <c r="I124" s="135">
        <f t="shared" si="14"/>
        <v>0.00299255888440059</v>
      </c>
      <c r="J124" s="113">
        <v>0.61682</v>
      </c>
      <c r="K124" s="113">
        <f t="shared" si="10"/>
        <v>0.00913387925545305</v>
      </c>
      <c r="L124" s="113">
        <f t="shared" si="11"/>
        <v>-0.00307869023883208</v>
      </c>
      <c r="M124" s="113">
        <f t="shared" si="12"/>
        <v>0.00614132037105247</v>
      </c>
      <c r="N124" s="136"/>
      <c r="O124" s="112"/>
      <c r="P124" s="137">
        <v>0.227960978652344</v>
      </c>
      <c r="Q124" s="137">
        <v>0.00313939623280052</v>
      </c>
    </row>
    <row r="125" spans="2:18">
      <c r="B125" s="87"/>
      <c r="C125" s="131">
        <v>6666021604</v>
      </c>
      <c r="D125" s="131" t="s">
        <v>248</v>
      </c>
      <c r="E125" s="131" t="s">
        <v>662</v>
      </c>
      <c r="F125" s="134">
        <v>31.54804</v>
      </c>
      <c r="G125" s="135">
        <f t="shared" si="13"/>
        <v>0.337943504761497</v>
      </c>
      <c r="H125" s="134">
        <v>24.0435961072003</v>
      </c>
      <c r="I125" s="135">
        <f t="shared" si="14"/>
        <v>0.334845320011471</v>
      </c>
      <c r="J125" s="113">
        <v>21.14888</v>
      </c>
      <c r="K125" s="113">
        <f t="shared" si="10"/>
        <v>0.313172913180613</v>
      </c>
      <c r="L125" s="113">
        <f t="shared" si="11"/>
        <v>-0.0247705915808834</v>
      </c>
      <c r="M125" s="113">
        <f t="shared" si="12"/>
        <v>-0.0216724068308572</v>
      </c>
      <c r="N125" s="136"/>
      <c r="O125" s="112"/>
      <c r="P125" s="137">
        <v>2.11366854522327</v>
      </c>
      <c r="Q125" s="137">
        <v>0.0291086795094993</v>
      </c>
    </row>
    <row r="126" spans="2:18">
      <c r="B126" s="73"/>
      <c r="C126" s="138" t="s">
        <v>96</v>
      </c>
      <c r="D126" s="138" t="s">
        <v>251</v>
      </c>
      <c r="E126" s="138" t="s">
        <v>663</v>
      </c>
      <c r="F126" s="134">
        <f>SUM(F123:F125)</f>
        <v>63.04494</v>
      </c>
      <c r="G126" s="135">
        <f t="shared" si="13"/>
        <v>0.675339196383619</v>
      </c>
      <c r="H126" s="134">
        <f>SUM(H123:H125)</f>
        <v>54.8247106333608</v>
      </c>
      <c r="I126" s="135">
        <f t="shared" si="14"/>
        <v>0.763521300836791</v>
      </c>
      <c r="J126" s="114">
        <f>SUM(J123:J125)</f>
        <v>15.64715</v>
      </c>
      <c r="K126" s="113">
        <f t="shared" si="10"/>
        <v>0.231703217781463</v>
      </c>
      <c r="L126" s="113">
        <f t="shared" si="11"/>
        <v>-0.443635978602156</v>
      </c>
      <c r="M126" s="113">
        <f t="shared" si="12"/>
        <v>-0.531818083055327</v>
      </c>
      <c r="N126" s="136"/>
      <c r="O126" s="112"/>
      <c r="P126" s="137">
        <v>26.1155781560096</v>
      </c>
      <c r="Q126" s="137">
        <v>0.35965430647418</v>
      </c>
      <c r="R126" s="104">
        <f>J126-P126</f>
        <v>-10.4684281560096</v>
      </c>
    </row>
    <row r="127" spans="2:18">
      <c r="B127" s="130" t="s">
        <v>250</v>
      </c>
      <c r="C127" s="131">
        <v>5001010206</v>
      </c>
      <c r="D127" s="131" t="s">
        <v>253</v>
      </c>
      <c r="E127" s="131" t="s">
        <v>781</v>
      </c>
      <c r="F127" s="134">
        <v>6.9164</v>
      </c>
      <c r="G127" s="135">
        <f t="shared" si="13"/>
        <v>0.074088674172228</v>
      </c>
      <c r="H127" s="134">
        <v>5.91137008996192</v>
      </c>
      <c r="I127" s="135">
        <f t="shared" si="14"/>
        <v>0.0823252312447042</v>
      </c>
      <c r="J127" s="113">
        <v>5.54656</v>
      </c>
      <c r="K127" s="113">
        <f t="shared" si="10"/>
        <v>0.0821335386711288</v>
      </c>
      <c r="L127" s="113">
        <f t="shared" si="11"/>
        <v>0.00804486449890082</v>
      </c>
      <c r="M127" s="113">
        <f t="shared" si="12"/>
        <v>-0.000191692573575403</v>
      </c>
      <c r="N127" s="136"/>
      <c r="O127" s="112"/>
      <c r="P127" s="137">
        <v>5.67020213370729</v>
      </c>
      <c r="Q127" s="137">
        <v>0.0780879750693029</v>
      </c>
    </row>
    <row r="128" spans="2:18">
      <c r="B128" s="87"/>
      <c r="C128" s="131">
        <v>6666010184</v>
      </c>
      <c r="D128" s="131" t="s">
        <v>255</v>
      </c>
      <c r="E128" s="131" t="s">
        <v>665</v>
      </c>
      <c r="F128" s="134">
        <v>-0.09219</v>
      </c>
      <c r="G128" s="135">
        <f t="shared" si="13"/>
        <v>-0.00098754191081165</v>
      </c>
      <c r="H128" s="134">
        <v>0</v>
      </c>
      <c r="I128" s="135">
        <f t="shared" si="14"/>
        <v>0</v>
      </c>
      <c r="J128" s="113">
        <v>-0.74369</v>
      </c>
      <c r="K128" s="113">
        <f t="shared" si="10"/>
        <v>-0.0110125720039685</v>
      </c>
      <c r="L128" s="113">
        <f t="shared" si="11"/>
        <v>-0.0100250300931569</v>
      </c>
      <c r="M128" s="113">
        <f t="shared" si="12"/>
        <v>-0.0110125720039685</v>
      </c>
      <c r="N128" s="136"/>
      <c r="O128" s="112"/>
      <c r="P128" s="137">
        <v>-14.2786753085537</v>
      </c>
      <c r="Q128" s="137">
        <v>-0.196640757282494</v>
      </c>
    </row>
    <row r="129" spans="2:18">
      <c r="B129" s="87"/>
      <c r="C129" s="131">
        <v>6666010186</v>
      </c>
      <c r="D129" s="131" t="s">
        <v>258</v>
      </c>
      <c r="E129" s="131" t="s">
        <v>666</v>
      </c>
      <c r="F129" s="134">
        <v>14.39562</v>
      </c>
      <c r="G129" s="135">
        <f t="shared" si="13"/>
        <v>0.154206292245563</v>
      </c>
      <c r="H129" s="134">
        <v>4.24542598732024</v>
      </c>
      <c r="I129" s="135">
        <f t="shared" si="14"/>
        <v>0.0591243097318353</v>
      </c>
      <c r="J129" s="113">
        <v>8.81658</v>
      </c>
      <c r="K129" s="113">
        <f t="shared" si="10"/>
        <v>0.130556040929351</v>
      </c>
      <c r="L129" s="113">
        <f t="shared" si="11"/>
        <v>-0.0236502513162116</v>
      </c>
      <c r="M129" s="113">
        <f t="shared" si="12"/>
        <v>0.0714317311975157</v>
      </c>
      <c r="N129" s="136"/>
      <c r="O129" s="112"/>
      <c r="P129" s="137">
        <v>4.57649276494756</v>
      </c>
      <c r="Q129" s="137">
        <v>0.0630258048138426</v>
      </c>
    </row>
    <row r="130" spans="2:18">
      <c r="B130" s="87"/>
      <c r="C130" s="131">
        <v>6666010189</v>
      </c>
      <c r="D130" s="131" t="s">
        <v>260</v>
      </c>
      <c r="E130" s="131" t="s">
        <v>667</v>
      </c>
      <c r="F130" s="134">
        <v>6.00458</v>
      </c>
      <c r="G130" s="135">
        <f t="shared" si="13"/>
        <v>0.0643212323117629</v>
      </c>
      <c r="H130" s="134">
        <v>295.07122234057</v>
      </c>
      <c r="I130" s="135">
        <f t="shared" si="14"/>
        <v>4.10933611720484</v>
      </c>
      <c r="J130" s="113">
        <v>0</v>
      </c>
      <c r="K130" s="113">
        <f t="shared" si="10"/>
        <v>0</v>
      </c>
      <c r="L130" s="113">
        <f t="shared" si="11"/>
        <v>-0.0643212323117629</v>
      </c>
      <c r="M130" s="113">
        <f t="shared" si="12"/>
        <v>-4.10933611720484</v>
      </c>
      <c r="N130" s="136" t="s">
        <v>799</v>
      </c>
      <c r="O130" s="112"/>
      <c r="P130" s="137">
        <v>282.345893560364</v>
      </c>
      <c r="Q130" s="137">
        <v>3.88836563095264</v>
      </c>
    </row>
    <row r="131" spans="2:18">
      <c r="B131" s="87"/>
      <c r="C131" s="131">
        <v>6666010012</v>
      </c>
      <c r="D131" s="131" t="s">
        <v>262</v>
      </c>
      <c r="E131" s="131" t="s">
        <v>669</v>
      </c>
      <c r="F131" s="134">
        <v>60.32131</v>
      </c>
      <c r="G131" s="135">
        <f t="shared" si="13"/>
        <v>0.646163594099815</v>
      </c>
      <c r="H131" s="134">
        <v>61.3304646833549</v>
      </c>
      <c r="I131" s="135">
        <f t="shared" si="14"/>
        <v>0.854124274163806</v>
      </c>
      <c r="J131" s="113">
        <v>50.6355</v>
      </c>
      <c r="K131" s="113">
        <f t="shared" si="10"/>
        <v>0.74981119782026</v>
      </c>
      <c r="L131" s="113">
        <f t="shared" si="11"/>
        <v>0.103647603720446</v>
      </c>
      <c r="M131" s="113">
        <f t="shared" si="12"/>
        <v>-0.104313076343546</v>
      </c>
      <c r="N131" s="136"/>
      <c r="O131" s="112"/>
      <c r="P131" s="137">
        <v>58.8283471372131</v>
      </c>
      <c r="Q131" s="137">
        <v>0.810162741344017</v>
      </c>
    </row>
    <row r="132" spans="2:18">
      <c r="B132" s="87"/>
      <c r="C132" s="131">
        <v>6666010226</v>
      </c>
      <c r="D132" s="131" t="s">
        <v>264</v>
      </c>
      <c r="E132" s="131" t="s">
        <v>670</v>
      </c>
      <c r="F132" s="134">
        <v>0.51591</v>
      </c>
      <c r="G132" s="135">
        <f t="shared" si="13"/>
        <v>0.0055264426424432</v>
      </c>
      <c r="H132" s="134">
        <v>8.09069056207265</v>
      </c>
      <c r="I132" s="135">
        <f t="shared" si="14"/>
        <v>0.11267573528902</v>
      </c>
      <c r="J132" s="113">
        <v>7.64696</v>
      </c>
      <c r="K132" s="113">
        <f t="shared" si="10"/>
        <v>0.113236291480949</v>
      </c>
      <c r="L132" s="113">
        <f t="shared" si="11"/>
        <v>0.107709848838506</v>
      </c>
      <c r="M132" s="113">
        <f t="shared" si="12"/>
        <v>0.000560556191929976</v>
      </c>
      <c r="N132" s="136"/>
      <c r="O132" s="112"/>
      <c r="P132" s="137">
        <v>8.47736177452752</v>
      </c>
      <c r="Q132" s="137">
        <v>0.116747163380215</v>
      </c>
    </row>
    <row r="133" spans="2:18">
      <c r="B133" s="87"/>
      <c r="C133" s="131">
        <v>6666010102</v>
      </c>
      <c r="D133" s="131" t="s">
        <v>266</v>
      </c>
      <c r="E133" s="131" t="s">
        <v>671</v>
      </c>
      <c r="F133" s="134">
        <v>364.11725</v>
      </c>
      <c r="G133" s="135">
        <f t="shared" si="13"/>
        <v>3.90043437275717</v>
      </c>
      <c r="H133" s="134">
        <v>-14.7784252249048</v>
      </c>
      <c r="I133" s="135">
        <f t="shared" si="14"/>
        <v>-0.205813078111761</v>
      </c>
      <c r="J133" s="113">
        <v>298.55275</v>
      </c>
      <c r="K133" s="113">
        <f t="shared" si="10"/>
        <v>4.42097333076661</v>
      </c>
      <c r="L133" s="113">
        <f t="shared" si="11"/>
        <v>0.520538958009441</v>
      </c>
      <c r="M133" s="113">
        <f t="shared" si="12"/>
        <v>4.62678640887837</v>
      </c>
      <c r="N133" s="139">
        <f>L133*$L$27</f>
        <v>35152.5163733356</v>
      </c>
      <c r="O133" s="112"/>
      <c r="P133" s="137">
        <v>0</v>
      </c>
      <c r="Q133" s="137">
        <v>0</v>
      </c>
    </row>
    <row r="134" spans="2:18">
      <c r="B134" s="73"/>
      <c r="C134" s="138" t="s">
        <v>269</v>
      </c>
      <c r="D134" s="138" t="s">
        <v>270</v>
      </c>
      <c r="E134" s="138" t="s">
        <v>673</v>
      </c>
      <c r="F134" s="134">
        <f>SUM(F127:F133)</f>
        <v>452.17888</v>
      </c>
      <c r="G134" s="135">
        <f t="shared" si="13"/>
        <v>4.84375306631817</v>
      </c>
      <c r="H134" s="134">
        <f>SUM(H127:H133)</f>
        <v>359.870748438375</v>
      </c>
      <c r="I134" s="135">
        <f t="shared" si="14"/>
        <v>5.01177258952245</v>
      </c>
      <c r="J134" s="114">
        <f>SUM(J127:J133)</f>
        <v>370.45466</v>
      </c>
      <c r="K134" s="113">
        <f t="shared" si="10"/>
        <v>5.48569782766433</v>
      </c>
      <c r="L134" s="113">
        <f t="shared" si="11"/>
        <v>0.641944761346163</v>
      </c>
      <c r="M134" s="113">
        <f t="shared" si="12"/>
        <v>0.473925238141886</v>
      </c>
      <c r="N134" s="139">
        <f>L134*$L$27</f>
        <v>43351.1716784677</v>
      </c>
      <c r="O134" s="112"/>
      <c r="P134" s="137">
        <v>345.619622062206</v>
      </c>
      <c r="Q134" s="137">
        <v>4.75974855827752</v>
      </c>
      <c r="R134" s="104">
        <f>J134-P134</f>
        <v>24.835037937794</v>
      </c>
    </row>
    <row r="135" spans="2:18">
      <c r="B135" s="130" t="s">
        <v>268</v>
      </c>
      <c r="C135" s="131">
        <v>6666010196</v>
      </c>
      <c r="D135" s="131" t="s">
        <v>272</v>
      </c>
      <c r="E135" s="131" t="s">
        <v>674</v>
      </c>
      <c r="F135" s="134">
        <v>25.98856</v>
      </c>
      <c r="G135" s="135">
        <f t="shared" si="13"/>
        <v>0.278390196351483</v>
      </c>
      <c r="H135" s="134">
        <v>23.4939066023916</v>
      </c>
      <c r="I135" s="135">
        <f t="shared" si="14"/>
        <v>0.32719001931003</v>
      </c>
      <c r="J135" s="113">
        <v>18.93128</v>
      </c>
      <c r="K135" s="113">
        <f t="shared" si="10"/>
        <v>0.280334661118597</v>
      </c>
      <c r="L135" s="113">
        <f t="shared" si="11"/>
        <v>0.0019444647671143</v>
      </c>
      <c r="M135" s="113">
        <f t="shared" si="12"/>
        <v>-0.0468553581914322</v>
      </c>
      <c r="N135" s="136"/>
      <c r="O135" s="112"/>
      <c r="P135" s="137">
        <v>16.8635031374541</v>
      </c>
      <c r="Q135" s="137">
        <v>0.232238072210955</v>
      </c>
    </row>
    <row r="136" spans="2:18">
      <c r="B136" s="87"/>
      <c r="C136" s="131">
        <v>6666010101</v>
      </c>
      <c r="D136" s="131" t="s">
        <v>274</v>
      </c>
      <c r="E136" s="131" t="s">
        <v>675</v>
      </c>
      <c r="F136" s="134">
        <v>162.81876</v>
      </c>
      <c r="G136" s="135">
        <f t="shared" si="13"/>
        <v>1.74411920345356</v>
      </c>
      <c r="H136" s="134">
        <v>137.044233111657</v>
      </c>
      <c r="I136" s="135">
        <f t="shared" si="14"/>
        <v>1.90855893134294</v>
      </c>
      <c r="J136" s="113">
        <v>168.00579</v>
      </c>
      <c r="K136" s="113">
        <f t="shared" si="10"/>
        <v>2.48783210673617</v>
      </c>
      <c r="L136" s="113">
        <f t="shared" si="11"/>
        <v>0.743712903282607</v>
      </c>
      <c r="M136" s="113">
        <f t="shared" si="12"/>
        <v>0.57927317539323</v>
      </c>
      <c r="N136" s="139">
        <f>L136*$L$27</f>
        <v>50223.6760715778</v>
      </c>
      <c r="O136" s="112"/>
      <c r="P136" s="137">
        <v>90.377022329828</v>
      </c>
      <c r="Q136" s="137">
        <v>1.2446396971593</v>
      </c>
    </row>
    <row r="137" spans="2:18">
      <c r="B137" s="87"/>
      <c r="C137" s="131">
        <v>6666010199</v>
      </c>
      <c r="D137" s="131" t="s">
        <v>276</v>
      </c>
      <c r="E137" s="131" t="s">
        <v>676</v>
      </c>
      <c r="F137" s="134">
        <v>5.98233</v>
      </c>
      <c r="G137" s="135">
        <f t="shared" si="13"/>
        <v>0.0640828896768181</v>
      </c>
      <c r="H137" s="134">
        <v>0</v>
      </c>
      <c r="I137" s="135">
        <f t="shared" si="14"/>
        <v>0</v>
      </c>
      <c r="J137" s="113">
        <v>-15.12261</v>
      </c>
      <c r="K137" s="113">
        <f t="shared" si="10"/>
        <v>-0.223935822066903</v>
      </c>
      <c r="L137" s="113">
        <f t="shared" si="11"/>
        <v>-0.288018711743721</v>
      </c>
      <c r="M137" s="113">
        <f t="shared" si="12"/>
        <v>-0.223935822066903</v>
      </c>
      <c r="N137" s="136"/>
      <c r="O137" s="112"/>
      <c r="P137" s="137">
        <v>33.9834863456735</v>
      </c>
      <c r="Q137" s="137">
        <v>0.46800829528698</v>
      </c>
    </row>
    <row r="138" spans="2:18">
      <c r="B138" s="87"/>
      <c r="C138" s="131">
        <v>6666010185</v>
      </c>
      <c r="D138" s="131" t="s">
        <v>278</v>
      </c>
      <c r="E138" s="131" t="s">
        <v>677</v>
      </c>
      <c r="F138" s="134">
        <v>-0.45831</v>
      </c>
      <c r="G138" s="135">
        <f t="shared" si="13"/>
        <v>-0.00490942979872098</v>
      </c>
      <c r="H138" s="134">
        <v>-6.18551495668736</v>
      </c>
      <c r="I138" s="135">
        <f t="shared" si="14"/>
        <v>-0.0861431345740939</v>
      </c>
      <c r="J138" s="113">
        <v>-0.58774</v>
      </c>
      <c r="K138" s="113">
        <f t="shared" si="10"/>
        <v>-0.00870326220550562</v>
      </c>
      <c r="L138" s="113">
        <f t="shared" si="11"/>
        <v>-0.00379383240678464</v>
      </c>
      <c r="M138" s="113">
        <f t="shared" si="12"/>
        <v>0.0774398723685883</v>
      </c>
      <c r="N138" s="136"/>
      <c r="O138" s="112"/>
      <c r="P138" s="137">
        <v>-4.43288088675277</v>
      </c>
      <c r="Q138" s="137">
        <v>-0.0610480339161413</v>
      </c>
    </row>
    <row r="139" spans="2:18">
      <c r="B139" s="87"/>
      <c r="C139" s="131">
        <v>6666010207</v>
      </c>
      <c r="D139" s="131" t="s">
        <v>280</v>
      </c>
      <c r="E139" s="131" t="s">
        <v>678</v>
      </c>
      <c r="F139" s="134">
        <v>2.55149</v>
      </c>
      <c r="G139" s="135">
        <f t="shared" si="13"/>
        <v>0.0273316336914722</v>
      </c>
      <c r="H139" s="134">
        <v>2.26447292553172</v>
      </c>
      <c r="I139" s="135">
        <f t="shared" si="14"/>
        <v>0.0315363874033763</v>
      </c>
      <c r="J139" s="113">
        <v>1.97222</v>
      </c>
      <c r="K139" s="113">
        <f t="shared" si="10"/>
        <v>0.0292046615628378</v>
      </c>
      <c r="L139" s="113">
        <f t="shared" si="11"/>
        <v>0.00187302787136566</v>
      </c>
      <c r="M139" s="113">
        <f t="shared" si="12"/>
        <v>-0.00233172584053853</v>
      </c>
      <c r="N139" s="136"/>
      <c r="O139" s="112"/>
      <c r="P139" s="137">
        <v>1.62539789276666</v>
      </c>
      <c r="Q139" s="137">
        <v>0.0223843925022608</v>
      </c>
    </row>
    <row r="140" spans="2:18">
      <c r="B140" s="87"/>
      <c r="C140" s="131">
        <v>5102040406</v>
      </c>
      <c r="D140" s="131" t="s">
        <v>92</v>
      </c>
      <c r="E140" s="131" t="s">
        <v>679</v>
      </c>
      <c r="F140" s="134">
        <v>0</v>
      </c>
      <c r="G140" s="135">
        <f t="shared" si="13"/>
        <v>0</v>
      </c>
      <c r="H140" s="134">
        <v>0</v>
      </c>
      <c r="I140" s="135">
        <f t="shared" si="14"/>
        <v>0</v>
      </c>
      <c r="J140" s="113">
        <v>0</v>
      </c>
      <c r="K140" s="113">
        <f t="shared" si="10"/>
        <v>0</v>
      </c>
      <c r="L140" s="113">
        <f t="shared" si="11"/>
        <v>0</v>
      </c>
      <c r="M140" s="113">
        <f t="shared" si="12"/>
        <v>0</v>
      </c>
      <c r="N140" s="136"/>
      <c r="O140" s="112"/>
      <c r="P140" s="137">
        <v>0</v>
      </c>
      <c r="Q140" s="137">
        <v>0</v>
      </c>
    </row>
    <row r="141" spans="2:18">
      <c r="B141" s="87"/>
      <c r="C141" s="131">
        <v>6666010227</v>
      </c>
      <c r="D141" s="131" t="s">
        <v>283</v>
      </c>
      <c r="E141" s="131" t="s">
        <v>680</v>
      </c>
      <c r="F141" s="134">
        <v>2.25221</v>
      </c>
      <c r="G141" s="135">
        <f t="shared" si="13"/>
        <v>0.0241257377909655</v>
      </c>
      <c r="H141" s="134">
        <v>2.06872835169797</v>
      </c>
      <c r="I141" s="135">
        <f t="shared" si="14"/>
        <v>0.0288103328575573</v>
      </c>
      <c r="J141" s="113">
        <v>2.41048</v>
      </c>
      <c r="K141" s="113">
        <f t="shared" si="10"/>
        <v>0.0356944218210896</v>
      </c>
      <c r="L141" s="113">
        <f t="shared" si="11"/>
        <v>0.0115686840301241</v>
      </c>
      <c r="M141" s="113">
        <f t="shared" si="12"/>
        <v>0.00688408896353231</v>
      </c>
      <c r="N141" s="136"/>
      <c r="O141" s="112"/>
      <c r="P141" s="137">
        <v>2.10689115967557</v>
      </c>
      <c r="Q141" s="137">
        <v>0.0290153438044919</v>
      </c>
    </row>
    <row r="142" spans="2:18">
      <c r="B142" s="73"/>
      <c r="C142" s="138" t="s">
        <v>269</v>
      </c>
      <c r="D142" s="138" t="s">
        <v>286</v>
      </c>
      <c r="E142" s="138" t="s">
        <v>681</v>
      </c>
      <c r="F142" s="134">
        <f>SUM(F135:F141)</f>
        <v>199.13504</v>
      </c>
      <c r="G142" s="135">
        <f t="shared" si="13"/>
        <v>2.13314023116558</v>
      </c>
      <c r="H142" s="134">
        <f>SUM(H135:H141)</f>
        <v>158.685826034591</v>
      </c>
      <c r="I142" s="135">
        <f t="shared" si="14"/>
        <v>2.2099525363398</v>
      </c>
      <c r="J142" s="114">
        <f>SUM(J135:J141)</f>
        <v>175.60942</v>
      </c>
      <c r="K142" s="113">
        <f t="shared" si="10"/>
        <v>2.60042676696628</v>
      </c>
      <c r="L142" s="113">
        <f t="shared" si="11"/>
        <v>0.467286535800707</v>
      </c>
      <c r="M142" s="113">
        <f t="shared" si="12"/>
        <v>0.390474230626478</v>
      </c>
      <c r="N142" s="136"/>
      <c r="O142" s="112"/>
      <c r="P142" s="137">
        <v>140.523419978645</v>
      </c>
      <c r="Q142" s="137">
        <v>1.93523776704784</v>
      </c>
      <c r="R142" s="104">
        <f>J142-P142</f>
        <v>35.086000021355</v>
      </c>
    </row>
    <row r="143" spans="2:18">
      <c r="B143" s="130"/>
      <c r="C143" s="140">
        <v>6666020903</v>
      </c>
      <c r="D143" s="140" t="s">
        <v>682</v>
      </c>
      <c r="E143" s="140" t="s">
        <v>683</v>
      </c>
      <c r="F143" s="134">
        <v>0</v>
      </c>
      <c r="G143" s="135">
        <f t="shared" si="13"/>
        <v>0</v>
      </c>
      <c r="H143" s="134">
        <v>0</v>
      </c>
      <c r="I143" s="135">
        <f t="shared" si="14"/>
        <v>0</v>
      </c>
      <c r="J143" s="113">
        <v>0</v>
      </c>
      <c r="K143" s="113">
        <f t="shared" si="10"/>
        <v>0</v>
      </c>
      <c r="L143" s="113">
        <f t="shared" si="11"/>
        <v>0</v>
      </c>
      <c r="M143" s="113">
        <f t="shared" si="12"/>
        <v>0</v>
      </c>
      <c r="N143" s="136"/>
      <c r="O143" s="112"/>
      <c r="P143" s="137">
        <v>0</v>
      </c>
      <c r="Q143" s="137">
        <v>0</v>
      </c>
    </row>
    <row r="144" spans="2:18">
      <c r="B144" s="130" t="s">
        <v>285</v>
      </c>
      <c r="C144" s="131">
        <v>6666010302</v>
      </c>
      <c r="D144" s="131" t="s">
        <v>288</v>
      </c>
      <c r="E144" s="131" t="s">
        <v>684</v>
      </c>
      <c r="F144" s="134">
        <v>10.47401</v>
      </c>
      <c r="G144" s="135">
        <f t="shared" si="13"/>
        <v>0.11219789401519</v>
      </c>
      <c r="H144" s="134">
        <v>0.475911703371011</v>
      </c>
      <c r="I144" s="135">
        <f t="shared" si="14"/>
        <v>0.00662782746399354</v>
      </c>
      <c r="J144" s="113">
        <v>-0.00185</v>
      </c>
      <c r="K144" s="113">
        <f t="shared" si="10"/>
        <v>-2.73948260798744e-5</v>
      </c>
      <c r="L144" s="113">
        <f t="shared" si="11"/>
        <v>-0.11222528884127</v>
      </c>
      <c r="M144" s="113">
        <f t="shared" si="12"/>
        <v>-0.00665522229007341</v>
      </c>
      <c r="N144" s="136"/>
      <c r="O144" s="112"/>
      <c r="P144" s="137">
        <v>0.504880970899752</v>
      </c>
      <c r="Q144" s="137">
        <v>0.00695303831131825</v>
      </c>
    </row>
    <row r="145" spans="2:18">
      <c r="B145" s="87"/>
      <c r="C145" s="131">
        <v>6666010314</v>
      </c>
      <c r="D145" s="131" t="s">
        <v>290</v>
      </c>
      <c r="E145" s="131" t="s">
        <v>685</v>
      </c>
      <c r="F145" s="134">
        <v>0.07122</v>
      </c>
      <c r="G145" s="135">
        <f t="shared" si="13"/>
        <v>0.000762910672394031</v>
      </c>
      <c r="H145" s="134">
        <v>14.8957781456221</v>
      </c>
      <c r="I145" s="135">
        <f t="shared" si="14"/>
        <v>0.207447404196622</v>
      </c>
      <c r="J145" s="113">
        <v>4.83122</v>
      </c>
      <c r="K145" s="113">
        <f t="shared" si="10"/>
        <v>0.0715407738668167</v>
      </c>
      <c r="L145" s="113">
        <f t="shared" si="11"/>
        <v>0.0707778631944227</v>
      </c>
      <c r="M145" s="113">
        <f t="shared" si="12"/>
        <v>-0.135906630329805</v>
      </c>
      <c r="N145" s="136"/>
      <c r="O145" s="112"/>
      <c r="P145" s="137">
        <v>8.26661242082763</v>
      </c>
      <c r="Q145" s="137">
        <v>0.11384479942748</v>
      </c>
    </row>
    <row r="146" spans="2:18">
      <c r="B146" s="87"/>
      <c r="C146" s="131">
        <v>6666020401</v>
      </c>
      <c r="D146" s="131" t="s">
        <v>295</v>
      </c>
      <c r="E146" s="131" t="s">
        <v>686</v>
      </c>
      <c r="F146" s="134">
        <v>50.20457</v>
      </c>
      <c r="G146" s="135">
        <f t="shared" si="13"/>
        <v>0.537792786519983</v>
      </c>
      <c r="H146" s="134">
        <v>29.8993844726459</v>
      </c>
      <c r="I146" s="135">
        <f t="shared" si="14"/>
        <v>0.416396487332897</v>
      </c>
      <c r="J146" s="113">
        <v>42.87891</v>
      </c>
      <c r="K146" s="113">
        <f t="shared" si="10"/>
        <v>0.634951503753831</v>
      </c>
      <c r="L146" s="113">
        <f t="shared" si="11"/>
        <v>0.0971587172338482</v>
      </c>
      <c r="M146" s="113">
        <f t="shared" si="12"/>
        <v>0.218555016420935</v>
      </c>
      <c r="N146" s="136"/>
      <c r="O146" s="112"/>
      <c r="P146" s="137">
        <v>33.727355871088</v>
      </c>
      <c r="Q146" s="137">
        <v>0.464480958934185</v>
      </c>
    </row>
    <row r="147" spans="2:18">
      <c r="B147" s="87"/>
      <c r="C147" s="131">
        <v>6666020402</v>
      </c>
      <c r="D147" s="131" t="s">
        <v>687</v>
      </c>
      <c r="E147" s="131" t="s">
        <v>688</v>
      </c>
      <c r="F147" s="134">
        <v>0</v>
      </c>
      <c r="G147" s="135">
        <f t="shared" si="13"/>
        <v>0</v>
      </c>
      <c r="H147" s="134">
        <v>0</v>
      </c>
      <c r="I147" s="135">
        <f t="shared" si="14"/>
        <v>0</v>
      </c>
      <c r="J147" s="113">
        <v>0</v>
      </c>
      <c r="K147" s="113">
        <f t="shared" si="10"/>
        <v>0</v>
      </c>
      <c r="L147" s="113">
        <f t="shared" si="11"/>
        <v>0</v>
      </c>
      <c r="M147" s="113">
        <f t="shared" si="12"/>
        <v>0</v>
      </c>
      <c r="N147" s="136"/>
      <c r="O147" s="112"/>
      <c r="P147" s="137">
        <v>0</v>
      </c>
      <c r="Q147" s="137">
        <v>0</v>
      </c>
    </row>
    <row r="148" spans="2:18">
      <c r="B148" s="87"/>
      <c r="C148" s="131">
        <v>6666020502</v>
      </c>
      <c r="D148" s="131" t="s">
        <v>297</v>
      </c>
      <c r="E148" s="131" t="s">
        <v>689</v>
      </c>
      <c r="F148" s="134">
        <v>61.87846</v>
      </c>
      <c r="G148" s="135">
        <f t="shared" si="13"/>
        <v>0.662843829335961</v>
      </c>
      <c r="H148" s="134">
        <v>29.3291022279578</v>
      </c>
      <c r="I148" s="135">
        <f t="shared" si="14"/>
        <v>0.408454399973416</v>
      </c>
      <c r="J148" s="113">
        <v>43.60707</v>
      </c>
      <c r="K148" s="113">
        <f t="shared" si="10"/>
        <v>0.64573410729887</v>
      </c>
      <c r="L148" s="113">
        <f t="shared" si="11"/>
        <v>-0.0171097220370912</v>
      </c>
      <c r="M148" s="113">
        <f t="shared" si="12"/>
        <v>0.237279707325454</v>
      </c>
      <c r="N148" s="136"/>
      <c r="O148" s="112"/>
      <c r="P148" s="137">
        <v>31.3579087395338</v>
      </c>
      <c r="Q148" s="137">
        <v>0.431849789149791</v>
      </c>
    </row>
    <row r="149" spans="2:18">
      <c r="B149" s="87"/>
      <c r="C149" s="131">
        <v>6666020503</v>
      </c>
      <c r="D149" s="131" t="s">
        <v>299</v>
      </c>
      <c r="E149" s="131" t="s">
        <v>690</v>
      </c>
      <c r="F149" s="134">
        <v>0.33178</v>
      </c>
      <c r="G149" s="135">
        <f t="shared" si="13"/>
        <v>0.00355403682795411</v>
      </c>
      <c r="H149" s="134">
        <v>0.513845724873221</v>
      </c>
      <c r="I149" s="135">
        <f t="shared" si="14"/>
        <v>0.00715611905201542</v>
      </c>
      <c r="J149" s="113">
        <v>0.08867</v>
      </c>
      <c r="K149" s="113">
        <f t="shared" si="10"/>
        <v>0.00131302661000133</v>
      </c>
      <c r="L149" s="113">
        <f t="shared" si="11"/>
        <v>-0.00224101021795278</v>
      </c>
      <c r="M149" s="113">
        <f t="shared" si="12"/>
        <v>-0.00584309244201408</v>
      </c>
      <c r="N149" s="136"/>
      <c r="O149" s="112"/>
      <c r="P149" s="137">
        <v>0.545124077909957</v>
      </c>
      <c r="Q149" s="137">
        <v>0.00750725184071663</v>
      </c>
    </row>
    <row r="150" spans="2:18">
      <c r="B150" s="87"/>
      <c r="C150" s="131">
        <v>6666021500</v>
      </c>
      <c r="D150" s="131" t="s">
        <v>312</v>
      </c>
      <c r="E150" s="131" t="s">
        <v>691</v>
      </c>
      <c r="F150" s="134">
        <v>0</v>
      </c>
      <c r="G150" s="135">
        <f t="shared" si="13"/>
        <v>0</v>
      </c>
      <c r="H150" s="134">
        <v>0</v>
      </c>
      <c r="I150" s="135">
        <f t="shared" si="14"/>
        <v>0</v>
      </c>
      <c r="J150" s="113">
        <v>0</v>
      </c>
      <c r="K150" s="113">
        <f t="shared" si="10"/>
        <v>0</v>
      </c>
      <c r="L150" s="113">
        <f t="shared" si="11"/>
        <v>0</v>
      </c>
      <c r="M150" s="113">
        <f t="shared" si="12"/>
        <v>0</v>
      </c>
      <c r="N150" s="136"/>
      <c r="O150" s="112"/>
      <c r="P150" s="137">
        <v>0</v>
      </c>
      <c r="Q150" s="137">
        <v>0</v>
      </c>
    </row>
    <row r="151" spans="2:18">
      <c r="B151" s="87"/>
      <c r="C151" s="131">
        <v>6666021502</v>
      </c>
      <c r="D151" s="131" t="s">
        <v>301</v>
      </c>
      <c r="E151" s="131" t="s">
        <v>692</v>
      </c>
      <c r="F151" s="134">
        <v>6.24118</v>
      </c>
      <c r="G151" s="135">
        <f t="shared" si="13"/>
        <v>0.0668556982635802</v>
      </c>
      <c r="H151" s="134">
        <v>26.0805555555556</v>
      </c>
      <c r="I151" s="135">
        <f t="shared" si="14"/>
        <v>0.363213220357736</v>
      </c>
      <c r="J151" s="113">
        <v>26.10223</v>
      </c>
      <c r="K151" s="113">
        <f t="shared" si="10"/>
        <v>0.386522189809125</v>
      </c>
      <c r="L151" s="113">
        <f t="shared" si="11"/>
        <v>0.319666491545544</v>
      </c>
      <c r="M151" s="113">
        <f t="shared" si="12"/>
        <v>0.0233089694513884</v>
      </c>
      <c r="N151" s="136"/>
      <c r="O151" s="112"/>
      <c r="P151" s="137">
        <v>27.6681075863954</v>
      </c>
      <c r="Q151" s="137">
        <v>0.381035180840833</v>
      </c>
    </row>
    <row r="152" spans="2:18">
      <c r="B152" s="87"/>
      <c r="C152" s="131">
        <v>6666021503</v>
      </c>
      <c r="D152" s="131" t="s">
        <v>304</v>
      </c>
      <c r="E152" s="131" t="s">
        <v>694</v>
      </c>
      <c r="F152" s="134">
        <v>4.48499</v>
      </c>
      <c r="G152" s="135">
        <f t="shared" si="13"/>
        <v>0.0480433408674601</v>
      </c>
      <c r="H152" s="134">
        <v>4.48196764753102</v>
      </c>
      <c r="I152" s="135">
        <f t="shared" si="14"/>
        <v>0.0624185285981056</v>
      </c>
      <c r="J152" s="113">
        <v>5.8605</v>
      </c>
      <c r="K152" s="113">
        <f t="shared" si="10"/>
        <v>0.086782366616813</v>
      </c>
      <c r="L152" s="113">
        <f t="shared" si="11"/>
        <v>0.038739025749353</v>
      </c>
      <c r="M152" s="113">
        <f t="shared" si="12"/>
        <v>0.0243638380187074</v>
      </c>
      <c r="N152" s="136"/>
      <c r="O152" s="112"/>
      <c r="P152" s="137">
        <v>4.75478993560842</v>
      </c>
      <c r="Q152" s="137">
        <v>0.0654812490271497</v>
      </c>
    </row>
    <row r="153" spans="2:18">
      <c r="B153" s="87"/>
      <c r="C153" s="131">
        <v>6666021505</v>
      </c>
      <c r="D153" s="131" t="s">
        <v>403</v>
      </c>
      <c r="E153" s="131" t="s">
        <v>695</v>
      </c>
      <c r="F153" s="134">
        <v>0.12946</v>
      </c>
      <c r="G153" s="135">
        <f t="shared" si="13"/>
        <v>0.00138677921437983</v>
      </c>
      <c r="H153" s="134">
        <v>0</v>
      </c>
      <c r="I153" s="135">
        <f t="shared" si="14"/>
        <v>0</v>
      </c>
      <c r="J153" s="113">
        <v>0</v>
      </c>
      <c r="K153" s="113">
        <f t="shared" si="10"/>
        <v>0</v>
      </c>
      <c r="L153" s="113">
        <f t="shared" si="11"/>
        <v>-0.00138677921437983</v>
      </c>
      <c r="M153" s="113">
        <f t="shared" si="12"/>
        <v>0</v>
      </c>
      <c r="N153" s="136"/>
      <c r="O153" s="112"/>
      <c r="P153" s="137">
        <v>0</v>
      </c>
      <c r="Q153" s="137">
        <v>0</v>
      </c>
    </row>
    <row r="154" spans="2:18">
      <c r="B154" s="87"/>
      <c r="C154" s="131">
        <v>6666021506</v>
      </c>
      <c r="D154" s="131" t="s">
        <v>306</v>
      </c>
      <c r="E154" s="131" t="s">
        <v>696</v>
      </c>
      <c r="F154" s="134">
        <v>36.24569</v>
      </c>
      <c r="G154" s="135">
        <f t="shared" si="13"/>
        <v>0.388264865617602</v>
      </c>
      <c r="H154" s="134">
        <v>37.8260806</v>
      </c>
      <c r="I154" s="135">
        <f t="shared" si="14"/>
        <v>0.526788339265674</v>
      </c>
      <c r="J154" s="113">
        <v>37.75546</v>
      </c>
      <c r="K154" s="113">
        <f t="shared" si="10"/>
        <v>0.559083383927381</v>
      </c>
      <c r="L154" s="113">
        <f t="shared" si="11"/>
        <v>0.170818518309779</v>
      </c>
      <c r="M154" s="113">
        <f t="shared" si="12"/>
        <v>0.0322950446617072</v>
      </c>
      <c r="N154" s="136"/>
      <c r="O154" s="112"/>
      <c r="P154" s="137">
        <v>40.1285956268492</v>
      </c>
      <c r="Q154" s="137">
        <v>0.552636520001229</v>
      </c>
    </row>
    <row r="155" spans="2:18">
      <c r="B155" s="87"/>
      <c r="C155" s="131">
        <v>6666030300</v>
      </c>
      <c r="D155" s="131" t="s">
        <v>698</v>
      </c>
      <c r="E155" s="131" t="s">
        <v>309</v>
      </c>
      <c r="F155" s="134">
        <v>0</v>
      </c>
      <c r="G155" s="135">
        <f t="shared" si="13"/>
        <v>0</v>
      </c>
      <c r="H155" s="134">
        <v>0</v>
      </c>
      <c r="I155" s="135">
        <f t="shared" si="14"/>
        <v>0</v>
      </c>
      <c r="J155" s="113">
        <v>0</v>
      </c>
      <c r="K155" s="113">
        <f t="shared" si="10"/>
        <v>0</v>
      </c>
      <c r="L155" s="113">
        <f t="shared" si="11"/>
        <v>0</v>
      </c>
      <c r="M155" s="113">
        <f t="shared" si="12"/>
        <v>0</v>
      </c>
      <c r="N155" s="136"/>
      <c r="O155" s="112"/>
      <c r="P155" s="137">
        <v>0</v>
      </c>
      <c r="Q155" s="137">
        <v>0</v>
      </c>
    </row>
    <row r="156" spans="2:18">
      <c r="B156" s="87"/>
      <c r="C156" s="131">
        <v>6666091600</v>
      </c>
      <c r="D156" s="131" t="s">
        <v>310</v>
      </c>
      <c r="E156" s="131" t="s">
        <v>699</v>
      </c>
      <c r="F156" s="134">
        <v>0.59368</v>
      </c>
      <c r="G156" s="135">
        <f t="shared" si="13"/>
        <v>0.00635951710175356</v>
      </c>
      <c r="H156" s="134">
        <v>0.693157843847518</v>
      </c>
      <c r="I156" s="135">
        <f t="shared" si="14"/>
        <v>0.00965332552612944</v>
      </c>
      <c r="J156" s="113">
        <v>1.34211</v>
      </c>
      <c r="K156" s="113">
        <f t="shared" si="10"/>
        <v>0.0198739838000326</v>
      </c>
      <c r="L156" s="113">
        <f t="shared" si="11"/>
        <v>0.013514466698279</v>
      </c>
      <c r="M156" s="113">
        <f t="shared" si="12"/>
        <v>0.0102206582739031</v>
      </c>
      <c r="N156" s="136"/>
      <c r="O156" s="112"/>
      <c r="P156" s="137">
        <v>0.735351122297766</v>
      </c>
      <c r="Q156" s="137">
        <v>0.0101269899645761</v>
      </c>
    </row>
    <row r="157" spans="2:18">
      <c r="B157" s="87"/>
      <c r="C157" s="93" t="s">
        <v>752</v>
      </c>
      <c r="D157" s="93" t="s">
        <v>753</v>
      </c>
      <c r="E157" s="93" t="s">
        <v>800</v>
      </c>
      <c r="F157" s="134"/>
      <c r="G157" s="135"/>
      <c r="H157" s="134"/>
      <c r="I157" s="135"/>
      <c r="J157" s="113">
        <v>4.98384</v>
      </c>
      <c r="K157" s="113">
        <f>J157*1000/$L$27</f>
        <v>0.0738007729783359</v>
      </c>
      <c r="L157" s="113">
        <f t="shared" ref="L157:L220" si="15">K157-G157</f>
        <v>0.0738007729783359</v>
      </c>
      <c r="M157" s="113">
        <f t="shared" ref="M157:M220" si="16">K157-I157</f>
        <v>0.0738007729783359</v>
      </c>
      <c r="N157" s="136"/>
      <c r="O157" s="112"/>
      <c r="P157" s="137"/>
      <c r="Q157" s="137"/>
    </row>
    <row r="158" spans="2:18">
      <c r="B158" s="73"/>
      <c r="C158" s="138" t="s">
        <v>269</v>
      </c>
      <c r="D158" s="138" t="s">
        <v>313</v>
      </c>
      <c r="E158" s="138" t="s">
        <v>700</v>
      </c>
      <c r="F158" s="134">
        <f>SUM(F144:F156)</f>
        <v>170.65504</v>
      </c>
      <c r="G158" s="135">
        <f>F158/$H$27*1000</f>
        <v>1.82806165843626</v>
      </c>
      <c r="H158" s="134">
        <f>SUM(H143:H156)</f>
        <v>144.195783921404</v>
      </c>
      <c r="I158" s="135">
        <f t="shared" ref="I158:I214" si="17">H158/$J$27*1000</f>
        <v>2.00815565176659</v>
      </c>
      <c r="J158" s="114">
        <f>SUM(J143:J157)</f>
        <v>167.44816</v>
      </c>
      <c r="K158" s="113">
        <f>J158*1000/$L$27</f>
        <v>2.47957471383513</v>
      </c>
      <c r="L158" s="113">
        <f t="shared" si="15"/>
        <v>0.65151305539887</v>
      </c>
      <c r="M158" s="113">
        <f t="shared" si="16"/>
        <v>0.471419062068538</v>
      </c>
      <c r="N158" s="136"/>
      <c r="O158" s="112"/>
      <c r="P158" s="137">
        <v>147.68872635141</v>
      </c>
      <c r="Q158" s="137">
        <v>2.03391577749728</v>
      </c>
      <c r="R158" s="104">
        <f>J158-P158</f>
        <v>19.75943364859</v>
      </c>
    </row>
    <row r="159" spans="2:18">
      <c r="B159" s="130"/>
      <c r="C159" s="141"/>
      <c r="D159" s="141"/>
      <c r="E159" s="142" t="s">
        <v>757</v>
      </c>
      <c r="F159" s="114">
        <f>F38+F47+F52+F111+F116+F118+F120+F122+F126+F134+F142+F158</f>
        <v>2427.21521</v>
      </c>
      <c r="G159" s="135">
        <f>F159/$H$27*1000</f>
        <v>26.0003985945819</v>
      </c>
      <c r="H159" s="114">
        <f>H38+H47+H52+H111+H116+H118+H120+H122+H126+H134+H142+H158</f>
        <v>2346.76072500987</v>
      </c>
      <c r="I159" s="135">
        <f t="shared" si="17"/>
        <v>32.6823758997081</v>
      </c>
      <c r="J159" s="114">
        <f>J38+J47+J52+J111+J116+J118+J120+J122+J126+J134+J142+J158</f>
        <v>1800.9288</v>
      </c>
      <c r="K159" s="113">
        <f>J159*1000/$L$27</f>
        <v>26.6681790585065</v>
      </c>
      <c r="L159" s="113">
        <f t="shared" si="15"/>
        <v>0.667780463924593</v>
      </c>
      <c r="M159" s="113">
        <f t="shared" si="16"/>
        <v>-6.01419684120167</v>
      </c>
      <c r="N159" s="136"/>
      <c r="O159" s="112"/>
      <c r="P159" s="137">
        <v>0</v>
      </c>
      <c r="Q159" s="137">
        <v>0</v>
      </c>
    </row>
    <row r="160" spans="2:18">
      <c r="F160" s="143"/>
      <c r="G160" s="143"/>
      <c r="H160" s="143"/>
      <c r="I160" s="135">
        <f t="shared" si="17"/>
        <v>0</v>
      </c>
      <c r="J160" s="143"/>
      <c r="K160" s="113"/>
      <c r="L160" s="113">
        <f t="shared" si="15"/>
        <v>0</v>
      </c>
      <c r="M160" s="113">
        <f t="shared" si="16"/>
        <v>0</v>
      </c>
      <c r="P160" s="137">
        <v>0</v>
      </c>
      <c r="Q160" s="137">
        <v>0</v>
      </c>
    </row>
    <row r="161" spans="2:17">
      <c r="B161" s="130" t="s">
        <v>55</v>
      </c>
      <c r="C161" s="131">
        <v>6666110110</v>
      </c>
      <c r="D161" s="131" t="s">
        <v>62</v>
      </c>
      <c r="E161" s="131" t="s">
        <v>702</v>
      </c>
      <c r="F161" s="134">
        <v>0.15655</v>
      </c>
      <c r="G161" s="135">
        <f t="shared" ref="G161:G214" si="18">F161/$H$27*1000</f>
        <v>0.00167696806744293</v>
      </c>
      <c r="H161" s="134">
        <v>0</v>
      </c>
      <c r="I161" s="135">
        <f t="shared" si="17"/>
        <v>0</v>
      </c>
      <c r="J161" s="144">
        <v>0.10992</v>
      </c>
      <c r="K161" s="113">
        <f t="shared" ref="K161:K224" si="19">J161*1000/$L$27</f>
        <v>0.00162769690956746</v>
      </c>
      <c r="L161" s="113">
        <f t="shared" si="15"/>
        <v>-4.92711578754738e-5</v>
      </c>
      <c r="M161" s="113">
        <f t="shared" si="16"/>
        <v>0.00162769690956746</v>
      </c>
      <c r="N161" s="136"/>
      <c r="O161" s="112"/>
      <c r="P161" s="137">
        <v>0</v>
      </c>
      <c r="Q161" s="137">
        <v>0</v>
      </c>
    </row>
    <row r="162" spans="2:17">
      <c r="B162" s="87"/>
      <c r="C162" s="131">
        <v>6666110112</v>
      </c>
      <c r="D162" s="131" t="s">
        <v>64</v>
      </c>
      <c r="E162" s="131" t="s">
        <v>316</v>
      </c>
      <c r="F162" s="134">
        <v>0.18426</v>
      </c>
      <c r="G162" s="135">
        <f t="shared" si="18"/>
        <v>0.00197379837819888</v>
      </c>
      <c r="H162" s="134">
        <v>0.29308</v>
      </c>
      <c r="I162" s="135">
        <f t="shared" si="17"/>
        <v>0.00408160517883483</v>
      </c>
      <c r="J162" s="144">
        <v>0.05406</v>
      </c>
      <c r="K162" s="113">
        <f t="shared" si="19"/>
        <v>0.000800521242096222</v>
      </c>
      <c r="L162" s="113">
        <f t="shared" si="15"/>
        <v>-0.00117327713610266</v>
      </c>
      <c r="M162" s="113">
        <f t="shared" si="16"/>
        <v>-0.00328108393673861</v>
      </c>
      <c r="N162" s="136"/>
      <c r="O162" s="112"/>
      <c r="P162" s="137">
        <v>0.293</v>
      </c>
      <c r="Q162" s="137">
        <v>0.00403509013537521</v>
      </c>
    </row>
    <row r="163" spans="2:17">
      <c r="B163" s="87"/>
      <c r="C163" s="131">
        <v>6666110207</v>
      </c>
      <c r="D163" s="131" t="s">
        <v>68</v>
      </c>
      <c r="E163" s="131" t="s">
        <v>317</v>
      </c>
      <c r="F163" s="134">
        <v>0.00304</v>
      </c>
      <c r="G163" s="135">
        <f t="shared" si="18"/>
        <v>3.25645667520058e-5</v>
      </c>
      <c r="H163" s="134">
        <v>0</v>
      </c>
      <c r="I163" s="135">
        <f t="shared" si="17"/>
        <v>0</v>
      </c>
      <c r="J163" s="144">
        <v>4e-5</v>
      </c>
      <c r="K163" s="113">
        <f t="shared" si="19"/>
        <v>5.92320563889177e-7</v>
      </c>
      <c r="L163" s="113">
        <f t="shared" si="15"/>
        <v>-3.19722461881167e-5</v>
      </c>
      <c r="M163" s="113">
        <f t="shared" si="16"/>
        <v>5.92320563889177e-7</v>
      </c>
      <c r="N163" s="136"/>
      <c r="O163" s="112"/>
      <c r="P163" s="137">
        <v>0</v>
      </c>
      <c r="Q163" s="137">
        <v>0</v>
      </c>
    </row>
    <row r="164" spans="2:17">
      <c r="B164" s="87"/>
      <c r="C164" s="131">
        <v>6666110506</v>
      </c>
      <c r="D164" s="131" t="s">
        <v>70</v>
      </c>
      <c r="E164" s="131" t="s">
        <v>318</v>
      </c>
      <c r="F164" s="134">
        <v>0.16701</v>
      </c>
      <c r="G164" s="135">
        <f t="shared" si="18"/>
        <v>0.00178901588593832</v>
      </c>
      <c r="H164" s="134">
        <v>0</v>
      </c>
      <c r="I164" s="135">
        <f t="shared" si="17"/>
        <v>0</v>
      </c>
      <c r="J164" s="144">
        <v>0.10852</v>
      </c>
      <c r="K164" s="113">
        <f t="shared" si="19"/>
        <v>0.00160696568983134</v>
      </c>
      <c r="L164" s="113">
        <f t="shared" si="15"/>
        <v>-0.000182050196106983</v>
      </c>
      <c r="M164" s="113">
        <f t="shared" si="16"/>
        <v>0.00160696568983134</v>
      </c>
      <c r="N164" s="136"/>
      <c r="O164" s="112"/>
      <c r="P164" s="137">
        <v>0</v>
      </c>
      <c r="Q164" s="137">
        <v>0</v>
      </c>
    </row>
    <row r="165" spans="2:17">
      <c r="B165" s="73"/>
      <c r="C165" s="138" t="s">
        <v>319</v>
      </c>
      <c r="D165" s="138" t="s">
        <v>76</v>
      </c>
      <c r="E165" s="138" t="s">
        <v>320</v>
      </c>
      <c r="F165" s="134">
        <f>SUM(F161:F164)</f>
        <v>0.51086</v>
      </c>
      <c r="G165" s="135">
        <f t="shared" si="18"/>
        <v>0.00547234689833214</v>
      </c>
      <c r="H165" s="134">
        <f>SUM(H161:H164)</f>
        <v>0.29308</v>
      </c>
      <c r="I165" s="135">
        <f t="shared" si="17"/>
        <v>0.00408160517883483</v>
      </c>
      <c r="J165" s="144">
        <f>SUM(J161:J164)</f>
        <v>0.27254</v>
      </c>
      <c r="K165" s="113">
        <f t="shared" si="19"/>
        <v>0.00403577616205891</v>
      </c>
      <c r="L165" s="113">
        <f t="shared" si="15"/>
        <v>-0.00143657073627323</v>
      </c>
      <c r="M165" s="113">
        <f t="shared" si="16"/>
        <v>-4.58290167759268e-5</v>
      </c>
      <c r="N165" s="136"/>
      <c r="O165" s="112"/>
      <c r="P165" s="137">
        <v>0.293</v>
      </c>
      <c r="Q165" s="137">
        <v>0.00403509013537521</v>
      </c>
    </row>
    <row r="166" spans="2:17">
      <c r="B166" s="130" t="s">
        <v>78</v>
      </c>
      <c r="C166" s="131">
        <v>6666010380</v>
      </c>
      <c r="D166" s="131" t="s">
        <v>81</v>
      </c>
      <c r="E166" s="131" t="s">
        <v>321</v>
      </c>
      <c r="F166" s="134">
        <v>0</v>
      </c>
      <c r="G166" s="135">
        <f t="shared" si="18"/>
        <v>0</v>
      </c>
      <c r="H166" s="134">
        <v>0</v>
      </c>
      <c r="I166" s="135">
        <f t="shared" si="17"/>
        <v>0</v>
      </c>
      <c r="J166" s="144">
        <v>0</v>
      </c>
      <c r="K166" s="113">
        <f t="shared" si="19"/>
        <v>0</v>
      </c>
      <c r="L166" s="113">
        <f t="shared" si="15"/>
        <v>0</v>
      </c>
      <c r="M166" s="113">
        <f t="shared" si="16"/>
        <v>0</v>
      </c>
      <c r="N166" s="136"/>
      <c r="O166" s="112"/>
      <c r="P166" s="137">
        <v>0</v>
      </c>
      <c r="Q166" s="137">
        <v>0</v>
      </c>
    </row>
    <row r="167" spans="2:17">
      <c r="B167" s="87"/>
      <c r="C167" s="131">
        <v>5102040406</v>
      </c>
      <c r="D167" s="131" t="s">
        <v>322</v>
      </c>
      <c r="E167" s="131" t="s">
        <v>323</v>
      </c>
      <c r="F167" s="134">
        <v>0</v>
      </c>
      <c r="G167" s="135">
        <f t="shared" si="18"/>
        <v>0</v>
      </c>
      <c r="H167" s="134">
        <v>0</v>
      </c>
      <c r="I167" s="135">
        <f t="shared" si="17"/>
        <v>0</v>
      </c>
      <c r="J167" s="144">
        <v>-4.67161</v>
      </c>
      <c r="K167" s="113">
        <f t="shared" si="19"/>
        <v>-0.0691772667367579</v>
      </c>
      <c r="L167" s="113">
        <f t="shared" si="15"/>
        <v>-0.0691772667367579</v>
      </c>
      <c r="M167" s="113">
        <f t="shared" si="16"/>
        <v>-0.0691772667367579</v>
      </c>
      <c r="N167" s="136"/>
      <c r="O167" s="112"/>
      <c r="P167" s="137">
        <v>0</v>
      </c>
      <c r="Q167" s="137">
        <v>0</v>
      </c>
    </row>
    <row r="168" spans="2:17">
      <c r="B168" s="73"/>
      <c r="C168" s="138" t="s">
        <v>324</v>
      </c>
      <c r="D168" s="138" t="s">
        <v>97</v>
      </c>
      <c r="E168" s="138" t="s">
        <v>325</v>
      </c>
      <c r="F168" s="134">
        <f>F167+F166</f>
        <v>0</v>
      </c>
      <c r="G168" s="135">
        <f t="shared" si="18"/>
        <v>0</v>
      </c>
      <c r="H168" s="134">
        <f>SUM(H166:H167)</f>
        <v>0</v>
      </c>
      <c r="I168" s="135">
        <f t="shared" si="17"/>
        <v>0</v>
      </c>
      <c r="J168" s="144">
        <f>SUM(J166:J167)</f>
        <v>-4.67161</v>
      </c>
      <c r="K168" s="113">
        <f t="shared" si="19"/>
        <v>-0.0691772667367579</v>
      </c>
      <c r="L168" s="113">
        <f t="shared" si="15"/>
        <v>-0.0691772667367579</v>
      </c>
      <c r="M168" s="113">
        <f t="shared" si="16"/>
        <v>-0.0691772667367579</v>
      </c>
      <c r="N168" s="136"/>
      <c r="O168" s="112"/>
      <c r="P168" s="137">
        <v>0</v>
      </c>
      <c r="Q168" s="137">
        <v>0</v>
      </c>
    </row>
    <row r="169" spans="2:17">
      <c r="B169" s="130" t="s">
        <v>111</v>
      </c>
      <c r="C169" s="131">
        <v>6666029996</v>
      </c>
      <c r="D169" s="131" t="s">
        <v>190</v>
      </c>
      <c r="E169" s="131" t="s">
        <v>703</v>
      </c>
      <c r="F169" s="134">
        <v>0.01342</v>
      </c>
      <c r="G169" s="135">
        <f t="shared" si="18"/>
        <v>0.000143755422964447</v>
      </c>
      <c r="H169" s="134">
        <v>0</v>
      </c>
      <c r="I169" s="135">
        <f t="shared" si="17"/>
        <v>0</v>
      </c>
      <c r="J169" s="144">
        <v>0.02067</v>
      </c>
      <c r="K169" s="113">
        <f t="shared" si="19"/>
        <v>0.000306081651389732</v>
      </c>
      <c r="L169" s="113">
        <f t="shared" si="15"/>
        <v>0.000162326228425285</v>
      </c>
      <c r="M169" s="113">
        <f t="shared" si="16"/>
        <v>0.000306081651389732</v>
      </c>
      <c r="N169" s="136"/>
      <c r="O169" s="112"/>
      <c r="P169" s="137">
        <v>0</v>
      </c>
      <c r="Q169" s="137">
        <v>0</v>
      </c>
    </row>
    <row r="170" spans="2:17">
      <c r="B170" s="87"/>
      <c r="C170" s="131">
        <v>6666029700</v>
      </c>
      <c r="D170" s="131" t="s">
        <v>186</v>
      </c>
      <c r="E170" s="131" t="s">
        <v>704</v>
      </c>
      <c r="F170" s="134">
        <v>47.56036</v>
      </c>
      <c r="G170" s="135">
        <f t="shared" si="18"/>
        <v>0.509467933542575</v>
      </c>
      <c r="H170" s="134">
        <v>5.48764</v>
      </c>
      <c r="I170" s="135">
        <f t="shared" si="17"/>
        <v>0.0764241157485369</v>
      </c>
      <c r="J170" s="144">
        <v>92.74974</v>
      </c>
      <c r="K170" s="113">
        <f t="shared" si="19"/>
        <v>1.37343945743436</v>
      </c>
      <c r="L170" s="113">
        <f t="shared" si="15"/>
        <v>0.863971523891789</v>
      </c>
      <c r="M170" s="113">
        <f t="shared" si="16"/>
        <v>1.29701534168583</v>
      </c>
      <c r="N170" s="139">
        <f>L170*$L$27</f>
        <v>58344.8609799364</v>
      </c>
      <c r="O170" s="112"/>
      <c r="P170" s="137">
        <v>5.488</v>
      </c>
      <c r="Q170" s="137">
        <v>0.0755787531158333</v>
      </c>
    </row>
    <row r="171" spans="2:17">
      <c r="B171" s="87"/>
      <c r="C171" s="131">
        <v>6666010322</v>
      </c>
      <c r="D171" s="131" t="s">
        <v>138</v>
      </c>
      <c r="E171" s="131" t="s">
        <v>328</v>
      </c>
      <c r="F171" s="134">
        <v>0.07768</v>
      </c>
      <c r="G171" s="135">
        <f t="shared" si="18"/>
        <v>0.000832110376742044</v>
      </c>
      <c r="H171" s="134">
        <v>3.07489</v>
      </c>
      <c r="I171" s="135">
        <f t="shared" si="17"/>
        <v>0.0428227342307474</v>
      </c>
      <c r="J171" s="144">
        <v>-0.32138</v>
      </c>
      <c r="K171" s="113">
        <f t="shared" si="19"/>
        <v>-0.00475899957056759</v>
      </c>
      <c r="L171" s="113">
        <f t="shared" si="15"/>
        <v>-0.00559110994730963</v>
      </c>
      <c r="M171" s="113">
        <f t="shared" si="16"/>
        <v>-0.047581733801315</v>
      </c>
      <c r="N171" s="136"/>
      <c r="O171" s="112"/>
      <c r="P171" s="137">
        <v>3.075</v>
      </c>
      <c r="Q171" s="137">
        <v>0.0423477889634088</v>
      </c>
    </row>
    <row r="172" spans="2:17">
      <c r="B172" s="87"/>
      <c r="C172" s="131">
        <v>6666020495</v>
      </c>
      <c r="D172" s="131" t="s">
        <v>161</v>
      </c>
      <c r="E172" s="131" t="s">
        <v>706</v>
      </c>
      <c r="F172" s="134">
        <v>0.00213</v>
      </c>
      <c r="G172" s="135">
        <f t="shared" si="18"/>
        <v>2.28166207834778e-5</v>
      </c>
      <c r="H172" s="134">
        <v>0</v>
      </c>
      <c r="I172" s="135">
        <f t="shared" si="17"/>
        <v>0</v>
      </c>
      <c r="J172" s="144">
        <v>0.00093</v>
      </c>
      <c r="K172" s="113">
        <f t="shared" si="19"/>
        <v>1.37714531104234e-5</v>
      </c>
      <c r="L172" s="113">
        <f t="shared" si="15"/>
        <v>-9.0451676730544e-6</v>
      </c>
      <c r="M172" s="113">
        <f t="shared" si="16"/>
        <v>1.37714531104234e-5</v>
      </c>
      <c r="N172" s="136"/>
      <c r="O172" s="112"/>
      <c r="P172" s="137">
        <v>0</v>
      </c>
      <c r="Q172" s="137">
        <v>0</v>
      </c>
    </row>
    <row r="173" spans="2:17">
      <c r="B173" s="87"/>
      <c r="C173" s="131">
        <v>5301060000</v>
      </c>
      <c r="D173" s="131" t="s">
        <v>124</v>
      </c>
      <c r="E173" s="131" t="s">
        <v>330</v>
      </c>
      <c r="F173" s="134">
        <v>0</v>
      </c>
      <c r="G173" s="135">
        <f t="shared" si="18"/>
        <v>0</v>
      </c>
      <c r="H173" s="134">
        <v>0</v>
      </c>
      <c r="I173" s="135">
        <f t="shared" si="17"/>
        <v>0</v>
      </c>
      <c r="J173" s="144">
        <v>0</v>
      </c>
      <c r="K173" s="113">
        <f t="shared" si="19"/>
        <v>0</v>
      </c>
      <c r="L173" s="113">
        <f t="shared" si="15"/>
        <v>0</v>
      </c>
      <c r="M173" s="113">
        <f t="shared" si="16"/>
        <v>0</v>
      </c>
      <c r="N173" s="136"/>
      <c r="O173" s="112"/>
      <c r="P173" s="137">
        <v>0</v>
      </c>
      <c r="Q173" s="137">
        <v>0</v>
      </c>
    </row>
    <row r="174" spans="2:17">
      <c r="B174" s="87"/>
      <c r="C174" s="131">
        <v>5601050000</v>
      </c>
      <c r="D174" s="131" t="s">
        <v>130</v>
      </c>
      <c r="E174" s="131" t="s">
        <v>707</v>
      </c>
      <c r="F174" s="134">
        <v>0.01758</v>
      </c>
      <c r="G174" s="135">
        <f t="shared" si="18"/>
        <v>0.000188317461677718</v>
      </c>
      <c r="H174" s="134">
        <v>0</v>
      </c>
      <c r="I174" s="135">
        <f t="shared" si="17"/>
        <v>0</v>
      </c>
      <c r="J174" s="144">
        <v>0</v>
      </c>
      <c r="K174" s="113">
        <f t="shared" si="19"/>
        <v>0</v>
      </c>
      <c r="L174" s="113">
        <f t="shared" si="15"/>
        <v>-0.000188317461677718</v>
      </c>
      <c r="M174" s="113">
        <f t="shared" si="16"/>
        <v>0</v>
      </c>
      <c r="N174" s="136"/>
      <c r="O174" s="112"/>
      <c r="P174" s="137">
        <v>0</v>
      </c>
      <c r="Q174" s="137">
        <v>0</v>
      </c>
    </row>
    <row r="175" spans="2:17">
      <c r="B175" s="87"/>
      <c r="C175" s="131">
        <v>5601050100</v>
      </c>
      <c r="D175" s="131" t="s">
        <v>132</v>
      </c>
      <c r="E175" s="131" t="s">
        <v>708</v>
      </c>
      <c r="F175" s="134">
        <v>0.04163</v>
      </c>
      <c r="G175" s="135">
        <f t="shared" si="18"/>
        <v>0.000445941747988817</v>
      </c>
      <c r="H175" s="134">
        <v>0</v>
      </c>
      <c r="I175" s="135">
        <f t="shared" si="17"/>
        <v>0</v>
      </c>
      <c r="J175" s="144">
        <v>57.01046</v>
      </c>
      <c r="K175" s="113">
        <f t="shared" si="19"/>
        <v>0.844211695369534</v>
      </c>
      <c r="L175" s="113">
        <f t="shared" si="15"/>
        <v>0.843765753621545</v>
      </c>
      <c r="M175" s="113">
        <f t="shared" si="16"/>
        <v>0.844211695369534</v>
      </c>
      <c r="N175" s="139">
        <f>L175*$L$27</f>
        <v>56980.3451078166</v>
      </c>
      <c r="O175" s="112"/>
      <c r="P175" s="137">
        <v>0</v>
      </c>
      <c r="Q175" s="137">
        <v>0</v>
      </c>
    </row>
    <row r="176" spans="2:17">
      <c r="B176" s="87"/>
      <c r="C176" s="131">
        <v>5601080000</v>
      </c>
      <c r="D176" s="131" t="s">
        <v>333</v>
      </c>
      <c r="E176" s="131" t="s">
        <v>709</v>
      </c>
      <c r="F176" s="134">
        <v>0.00377</v>
      </c>
      <c r="G176" s="135">
        <f t="shared" si="18"/>
        <v>4.0384347583902e-5</v>
      </c>
      <c r="H176" s="134">
        <v>0</v>
      </c>
      <c r="I176" s="135">
        <f t="shared" si="17"/>
        <v>0</v>
      </c>
      <c r="J176" s="144">
        <v>0</v>
      </c>
      <c r="K176" s="113">
        <f t="shared" si="19"/>
        <v>0</v>
      </c>
      <c r="L176" s="113">
        <f t="shared" si="15"/>
        <v>-4.0384347583902e-5</v>
      </c>
      <c r="M176" s="113">
        <f t="shared" si="16"/>
        <v>0</v>
      </c>
      <c r="N176" s="136"/>
      <c r="O176" s="112"/>
      <c r="P176" s="137">
        <v>0</v>
      </c>
      <c r="Q176" s="137">
        <v>0</v>
      </c>
    </row>
    <row r="177" spans="2:17">
      <c r="B177" s="87"/>
      <c r="C177" s="131">
        <v>6666020101</v>
      </c>
      <c r="D177" s="131" t="s">
        <v>140</v>
      </c>
      <c r="E177" s="131" t="s">
        <v>335</v>
      </c>
      <c r="F177" s="134">
        <v>0</v>
      </c>
      <c r="G177" s="135">
        <f t="shared" si="18"/>
        <v>0</v>
      </c>
      <c r="H177" s="134">
        <v>0.79074</v>
      </c>
      <c r="I177" s="135">
        <f t="shared" si="17"/>
        <v>0.0110123122666571</v>
      </c>
      <c r="J177" s="144">
        <v>0.06065</v>
      </c>
      <c r="K177" s="113">
        <f t="shared" si="19"/>
        <v>0.000898106054996964</v>
      </c>
      <c r="L177" s="113">
        <f t="shared" si="15"/>
        <v>0.000898106054996964</v>
      </c>
      <c r="M177" s="113">
        <f t="shared" si="16"/>
        <v>-0.0101142062116601</v>
      </c>
      <c r="N177" s="136"/>
      <c r="O177" s="112"/>
      <c r="P177" s="137">
        <v>0.791</v>
      </c>
      <c r="Q177" s="137">
        <v>0.0108933662016443</v>
      </c>
    </row>
    <row r="178" spans="2:17">
      <c r="B178" s="87"/>
      <c r="C178" s="145">
        <v>6666021200</v>
      </c>
      <c r="D178" s="145" t="s">
        <v>336</v>
      </c>
      <c r="E178" s="145" t="s">
        <v>337</v>
      </c>
      <c r="F178" s="134">
        <v>0</v>
      </c>
      <c r="G178" s="135">
        <f t="shared" si="18"/>
        <v>0</v>
      </c>
      <c r="H178" s="134">
        <v>2.69917</v>
      </c>
      <c r="I178" s="135">
        <f t="shared" si="17"/>
        <v>0.0375902356030968</v>
      </c>
      <c r="J178" s="144">
        <v>-2.26395</v>
      </c>
      <c r="K178" s="113">
        <f t="shared" si="19"/>
        <v>-0.0335246035154225</v>
      </c>
      <c r="L178" s="113">
        <f t="shared" si="15"/>
        <v>-0.0335246035154225</v>
      </c>
      <c r="M178" s="113">
        <f t="shared" si="16"/>
        <v>-0.0711148391185194</v>
      </c>
      <c r="N178" s="136"/>
      <c r="O178" s="112"/>
      <c r="P178" s="137">
        <v>2.699</v>
      </c>
      <c r="Q178" s="137">
        <v>0.0371696528169887</v>
      </c>
    </row>
    <row r="179" spans="2:17">
      <c r="B179" s="87"/>
      <c r="C179" s="131">
        <v>6666020201</v>
      </c>
      <c r="D179" s="131" t="s">
        <v>143</v>
      </c>
      <c r="E179" s="131" t="s">
        <v>610</v>
      </c>
      <c r="F179" s="134">
        <v>0.07199</v>
      </c>
      <c r="G179" s="135">
        <f t="shared" si="18"/>
        <v>0.000771158934367401</v>
      </c>
      <c r="H179" s="134">
        <v>0</v>
      </c>
      <c r="I179" s="135">
        <f t="shared" si="17"/>
        <v>0</v>
      </c>
      <c r="J179" s="144">
        <v>0.27436</v>
      </c>
      <c r="K179" s="113">
        <f t="shared" si="19"/>
        <v>0.00406272674771586</v>
      </c>
      <c r="L179" s="113">
        <f t="shared" si="15"/>
        <v>0.00329156781334846</v>
      </c>
      <c r="M179" s="113">
        <f t="shared" si="16"/>
        <v>0.00406272674771586</v>
      </c>
      <c r="N179" s="136"/>
      <c r="O179" s="112"/>
      <c r="P179" s="137">
        <v>0</v>
      </c>
      <c r="Q179" s="137">
        <v>0</v>
      </c>
    </row>
    <row r="180" spans="2:17">
      <c r="B180" s="87"/>
      <c r="C180" s="131">
        <v>6666020202</v>
      </c>
      <c r="D180" s="131" t="s">
        <v>146</v>
      </c>
      <c r="E180" s="131" t="s">
        <v>611</v>
      </c>
      <c r="F180" s="134">
        <v>0</v>
      </c>
      <c r="G180" s="135">
        <f t="shared" si="18"/>
        <v>0</v>
      </c>
      <c r="H180" s="134">
        <v>0.97161</v>
      </c>
      <c r="I180" s="135">
        <f t="shared" si="17"/>
        <v>0.0135312147120503</v>
      </c>
      <c r="J180" s="144">
        <v>0</v>
      </c>
      <c r="K180" s="113">
        <f t="shared" si="19"/>
        <v>0</v>
      </c>
      <c r="L180" s="113">
        <f t="shared" si="15"/>
        <v>0</v>
      </c>
      <c r="M180" s="113">
        <f t="shared" si="16"/>
        <v>-0.0135312147120503</v>
      </c>
      <c r="N180" s="136"/>
      <c r="O180" s="112"/>
      <c r="P180" s="137">
        <v>0.972</v>
      </c>
      <c r="Q180" s="137">
        <v>0.0133860328040434</v>
      </c>
    </row>
    <row r="181" spans="2:17">
      <c r="B181" s="87"/>
      <c r="C181" s="131">
        <v>6666020204</v>
      </c>
      <c r="D181" s="131" t="s">
        <v>148</v>
      </c>
      <c r="E181" s="131" t="s">
        <v>340</v>
      </c>
      <c r="F181" s="134">
        <v>0</v>
      </c>
      <c r="G181" s="135">
        <f t="shared" si="18"/>
        <v>0</v>
      </c>
      <c r="H181" s="134">
        <v>0.53691</v>
      </c>
      <c r="I181" s="135">
        <f t="shared" si="17"/>
        <v>0.00747732576964723</v>
      </c>
      <c r="J181" s="144">
        <v>0.01349</v>
      </c>
      <c r="K181" s="113">
        <f t="shared" si="19"/>
        <v>0.000199760110171625</v>
      </c>
      <c r="L181" s="113">
        <f t="shared" si="15"/>
        <v>0.000199760110171625</v>
      </c>
      <c r="M181" s="113">
        <f t="shared" si="16"/>
        <v>-0.00727756565947561</v>
      </c>
      <c r="N181" s="136"/>
      <c r="O181" s="112"/>
      <c r="P181" s="137">
        <v>0.537</v>
      </c>
      <c r="Q181" s="137">
        <v>0.00739536997507333</v>
      </c>
    </row>
    <row r="182" spans="2:17">
      <c r="B182" s="87"/>
      <c r="C182" s="131">
        <v>6666020301</v>
      </c>
      <c r="D182" s="131" t="s">
        <v>341</v>
      </c>
      <c r="E182" s="131" t="s">
        <v>342</v>
      </c>
      <c r="F182" s="134">
        <v>0.20106</v>
      </c>
      <c r="G182" s="135">
        <f t="shared" si="18"/>
        <v>0.00215376045761786</v>
      </c>
      <c r="H182" s="134">
        <v>0.35644</v>
      </c>
      <c r="I182" s="135">
        <f t="shared" si="17"/>
        <v>0.00496399396050187</v>
      </c>
      <c r="J182" s="144">
        <v>-0.05592</v>
      </c>
      <c r="K182" s="113">
        <f t="shared" si="19"/>
        <v>-0.000828064148317069</v>
      </c>
      <c r="L182" s="113">
        <f t="shared" si="15"/>
        <v>-0.00298182460593493</v>
      </c>
      <c r="M182" s="113">
        <f t="shared" si="16"/>
        <v>-0.00579205810881894</v>
      </c>
      <c r="N182" s="136"/>
      <c r="O182" s="112"/>
      <c r="P182" s="137">
        <v>0.356</v>
      </c>
      <c r="Q182" s="137">
        <v>0.00490270337267431</v>
      </c>
    </row>
    <row r="183" spans="2:17">
      <c r="B183" s="87"/>
      <c r="C183" s="131">
        <v>6666020403</v>
      </c>
      <c r="D183" s="131" t="s">
        <v>157</v>
      </c>
      <c r="E183" s="131" t="s">
        <v>343</v>
      </c>
      <c r="F183" s="134">
        <v>0</v>
      </c>
      <c r="G183" s="135">
        <f t="shared" si="18"/>
        <v>0</v>
      </c>
      <c r="H183" s="134">
        <v>0</v>
      </c>
      <c r="I183" s="135">
        <f t="shared" si="17"/>
        <v>0</v>
      </c>
      <c r="J183" s="144">
        <v>0</v>
      </c>
      <c r="K183" s="113">
        <f t="shared" si="19"/>
        <v>0</v>
      </c>
      <c r="L183" s="113">
        <f t="shared" si="15"/>
        <v>0</v>
      </c>
      <c r="M183" s="113">
        <f t="shared" si="16"/>
        <v>0</v>
      </c>
      <c r="N183" s="136"/>
      <c r="O183" s="112"/>
      <c r="P183" s="137">
        <v>0</v>
      </c>
      <c r="Q183" s="137">
        <v>0</v>
      </c>
    </row>
    <row r="184" spans="2:17">
      <c r="B184" s="87"/>
      <c r="C184" s="131">
        <v>6666020504</v>
      </c>
      <c r="D184" s="131" t="s">
        <v>163</v>
      </c>
      <c r="E184" s="131" t="s">
        <v>344</v>
      </c>
      <c r="F184" s="134">
        <v>0</v>
      </c>
      <c r="G184" s="135">
        <f t="shared" si="18"/>
        <v>0</v>
      </c>
      <c r="H184" s="134">
        <v>0</v>
      </c>
      <c r="I184" s="135">
        <f t="shared" si="17"/>
        <v>0</v>
      </c>
      <c r="J184" s="144">
        <v>0</v>
      </c>
      <c r="K184" s="113">
        <f t="shared" si="19"/>
        <v>0</v>
      </c>
      <c r="L184" s="113">
        <f t="shared" si="15"/>
        <v>0</v>
      </c>
      <c r="M184" s="113">
        <f t="shared" si="16"/>
        <v>0</v>
      </c>
      <c r="N184" s="136"/>
      <c r="O184" s="112"/>
      <c r="P184" s="137">
        <v>0</v>
      </c>
      <c r="Q184" s="137">
        <v>0</v>
      </c>
    </row>
    <row r="185" spans="2:17">
      <c r="B185" s="87"/>
      <c r="C185" s="131">
        <v>6666020508</v>
      </c>
      <c r="D185" s="131" t="s">
        <v>165</v>
      </c>
      <c r="E185" s="131" t="s">
        <v>345</v>
      </c>
      <c r="F185" s="134">
        <v>0.02576</v>
      </c>
      <c r="G185" s="135">
        <f t="shared" si="18"/>
        <v>0.000275941855109102</v>
      </c>
      <c r="H185" s="134">
        <v>0.02195</v>
      </c>
      <c r="I185" s="135">
        <f t="shared" si="17"/>
        <v>0.0003056886641034</v>
      </c>
      <c r="J185" s="144">
        <v>-0.00138</v>
      </c>
      <c r="K185" s="113">
        <f t="shared" si="19"/>
        <v>-2.04350594541766e-5</v>
      </c>
      <c r="L185" s="113">
        <f t="shared" si="15"/>
        <v>-0.000296376914563279</v>
      </c>
      <c r="M185" s="113">
        <f t="shared" si="16"/>
        <v>-0.000326123723557577</v>
      </c>
      <c r="N185" s="136"/>
      <c r="O185" s="112"/>
      <c r="P185" s="137">
        <v>0.022</v>
      </c>
      <c r="Q185" s="137">
        <v>0.000302976051120323</v>
      </c>
    </row>
    <row r="186" spans="2:17">
      <c r="B186" s="87"/>
      <c r="C186" s="145">
        <v>6666020601</v>
      </c>
      <c r="D186" s="145" t="s">
        <v>346</v>
      </c>
      <c r="E186" s="145" t="s">
        <v>710</v>
      </c>
      <c r="F186" s="134">
        <v>0</v>
      </c>
      <c r="G186" s="135">
        <f t="shared" si="18"/>
        <v>0</v>
      </c>
      <c r="H186" s="134">
        <v>0.79658</v>
      </c>
      <c r="I186" s="135">
        <f t="shared" si="17"/>
        <v>0.0110936435558764</v>
      </c>
      <c r="J186" s="144">
        <v>0</v>
      </c>
      <c r="K186" s="113">
        <f t="shared" si="19"/>
        <v>0</v>
      </c>
      <c r="L186" s="113">
        <f t="shared" si="15"/>
        <v>0</v>
      </c>
      <c r="M186" s="113">
        <f t="shared" si="16"/>
        <v>-0.0110936435558764</v>
      </c>
      <c r="N186" s="136"/>
      <c r="O186" s="112"/>
      <c r="P186" s="137">
        <v>0</v>
      </c>
      <c r="Q186" s="137">
        <v>0</v>
      </c>
    </row>
    <row r="187" spans="2:17">
      <c r="B187" s="87"/>
      <c r="C187" s="145">
        <v>6666020602</v>
      </c>
      <c r="D187" s="145" t="s">
        <v>167</v>
      </c>
      <c r="E187" s="145" t="s">
        <v>618</v>
      </c>
      <c r="F187" s="134">
        <v>0</v>
      </c>
      <c r="G187" s="135">
        <f t="shared" si="18"/>
        <v>0</v>
      </c>
      <c r="H187" s="134">
        <v>0</v>
      </c>
      <c r="I187" s="135">
        <f t="shared" si="17"/>
        <v>0</v>
      </c>
      <c r="J187" s="144">
        <v>0</v>
      </c>
      <c r="K187" s="113">
        <f t="shared" si="19"/>
        <v>0</v>
      </c>
      <c r="L187" s="113">
        <f t="shared" si="15"/>
        <v>0</v>
      </c>
      <c r="M187" s="113">
        <f t="shared" si="16"/>
        <v>0</v>
      </c>
      <c r="N187" s="136"/>
      <c r="O187" s="112"/>
      <c r="P187" s="137">
        <v>0.797</v>
      </c>
      <c r="Q187" s="137">
        <v>0.0109759960337681</v>
      </c>
    </row>
    <row r="188" spans="2:17">
      <c r="B188" s="87"/>
      <c r="C188" s="131">
        <v>6666020701</v>
      </c>
      <c r="D188" s="131" t="s">
        <v>170</v>
      </c>
      <c r="E188" s="131" t="s">
        <v>348</v>
      </c>
      <c r="F188" s="134">
        <v>27.85808</v>
      </c>
      <c r="G188" s="135">
        <f t="shared" si="18"/>
        <v>0.298416547941684</v>
      </c>
      <c r="H188" s="134">
        <v>20.13725</v>
      </c>
      <c r="I188" s="135">
        <f t="shared" si="17"/>
        <v>0.280443236957458</v>
      </c>
      <c r="J188" s="144">
        <v>20.18261</v>
      </c>
      <c r="K188" s="113">
        <f t="shared" si="19"/>
        <v>0.298864373398883</v>
      </c>
      <c r="L188" s="113">
        <f t="shared" si="15"/>
        <v>0.000447825457199735</v>
      </c>
      <c r="M188" s="113">
        <f t="shared" si="16"/>
        <v>0.0184211364414256</v>
      </c>
      <c r="N188" s="136"/>
      <c r="O188" s="112"/>
      <c r="P188" s="137">
        <v>20.137</v>
      </c>
      <c r="Q188" s="137">
        <v>0.277319488245906</v>
      </c>
    </row>
    <row r="189" spans="2:17">
      <c r="B189" s="87"/>
      <c r="C189" s="131">
        <v>6666020801</v>
      </c>
      <c r="D189" s="131" t="s">
        <v>349</v>
      </c>
      <c r="E189" s="131" t="s">
        <v>711</v>
      </c>
      <c r="F189" s="134">
        <v>0.39344</v>
      </c>
      <c r="G189" s="135">
        <f t="shared" si="18"/>
        <v>0.00421454050753591</v>
      </c>
      <c r="H189" s="134">
        <v>0.96587</v>
      </c>
      <c r="I189" s="135">
        <f t="shared" si="17"/>
        <v>0.013451276081893</v>
      </c>
      <c r="J189" s="144">
        <v>0</v>
      </c>
      <c r="K189" s="113">
        <f t="shared" si="19"/>
        <v>0</v>
      </c>
      <c r="L189" s="113">
        <f t="shared" si="15"/>
        <v>-0.00421454050753591</v>
      </c>
      <c r="M189" s="113">
        <f t="shared" si="16"/>
        <v>-0.013451276081893</v>
      </c>
      <c r="N189" s="136"/>
      <c r="O189" s="112"/>
      <c r="P189" s="137">
        <v>0.966</v>
      </c>
      <c r="Q189" s="137">
        <v>0.0133034029719196</v>
      </c>
    </row>
    <row r="190" spans="2:17">
      <c r="B190" s="87"/>
      <c r="C190" s="131">
        <v>6666020803</v>
      </c>
      <c r="D190" s="131" t="s">
        <v>174</v>
      </c>
      <c r="E190" s="131" t="s">
        <v>620</v>
      </c>
      <c r="F190" s="134">
        <v>-0.02423</v>
      </c>
      <c r="G190" s="135">
        <f t="shared" si="18"/>
        <v>-0.000259552451447731</v>
      </c>
      <c r="H190" s="134">
        <v>0</v>
      </c>
      <c r="I190" s="135">
        <f t="shared" si="17"/>
        <v>0</v>
      </c>
      <c r="J190" s="144">
        <v>0.31615</v>
      </c>
      <c r="K190" s="113">
        <f t="shared" si="19"/>
        <v>0.00468155365683908</v>
      </c>
      <c r="L190" s="113">
        <f t="shared" si="15"/>
        <v>0.00494110610828681</v>
      </c>
      <c r="M190" s="113">
        <f t="shared" si="16"/>
        <v>0.00468155365683908</v>
      </c>
      <c r="N190" s="136"/>
      <c r="O190" s="112"/>
      <c r="P190" s="137">
        <v>0</v>
      </c>
      <c r="Q190" s="137">
        <v>0</v>
      </c>
    </row>
    <row r="191" spans="2:17">
      <c r="B191" s="87"/>
      <c r="C191" s="131">
        <v>6666021100</v>
      </c>
      <c r="D191" s="131" t="s">
        <v>176</v>
      </c>
      <c r="E191" s="131" t="s">
        <v>352</v>
      </c>
      <c r="F191" s="134">
        <v>-1.79677</v>
      </c>
      <c r="G191" s="135">
        <f t="shared" si="18"/>
        <v>-0.0192470515141452</v>
      </c>
      <c r="H191" s="134">
        <v>1.10613</v>
      </c>
      <c r="I191" s="135">
        <f t="shared" si="17"/>
        <v>0.0154046196822184</v>
      </c>
      <c r="J191" s="144">
        <v>2.42819</v>
      </c>
      <c r="K191" s="113">
        <f t="shared" si="19"/>
        <v>0.0359566717507515</v>
      </c>
      <c r="L191" s="113">
        <f t="shared" si="15"/>
        <v>0.0552037232648967</v>
      </c>
      <c r="M191" s="113">
        <f t="shared" si="16"/>
        <v>0.0205520520685331</v>
      </c>
      <c r="N191" s="136"/>
      <c r="O191" s="112"/>
      <c r="P191" s="137">
        <v>8.506</v>
      </c>
      <c r="Q191" s="137">
        <v>0.117141558674067</v>
      </c>
    </row>
    <row r="192" spans="2:17">
      <c r="B192" s="87"/>
      <c r="C192" s="131">
        <v>6666021102</v>
      </c>
      <c r="D192" s="131" t="s">
        <v>353</v>
      </c>
      <c r="E192" s="131" t="s">
        <v>712</v>
      </c>
      <c r="F192" s="134">
        <v>-6.93012</v>
      </c>
      <c r="G192" s="135">
        <f t="shared" si="18"/>
        <v>-0.0742356432037535</v>
      </c>
      <c r="H192" s="134">
        <v>2.98412</v>
      </c>
      <c r="I192" s="135">
        <f t="shared" si="17"/>
        <v>0.0415586176001931</v>
      </c>
      <c r="J192" s="144">
        <v>2.2716</v>
      </c>
      <c r="K192" s="113">
        <f t="shared" si="19"/>
        <v>0.0336378848232664</v>
      </c>
      <c r="L192" s="113">
        <f t="shared" si="15"/>
        <v>0.10787352802702</v>
      </c>
      <c r="M192" s="113">
        <f t="shared" si="16"/>
        <v>-0.00792073277692678</v>
      </c>
      <c r="N192" s="136"/>
      <c r="O192" s="112"/>
      <c r="P192" s="137">
        <v>0</v>
      </c>
      <c r="Q192" s="137">
        <v>0</v>
      </c>
    </row>
    <row r="193" spans="2:17">
      <c r="B193" s="87"/>
      <c r="C193" s="131">
        <v>6666021104</v>
      </c>
      <c r="D193" s="131" t="s">
        <v>178</v>
      </c>
      <c r="E193" s="131" t="s">
        <v>355</v>
      </c>
      <c r="F193" s="134">
        <v>0.01417</v>
      </c>
      <c r="G193" s="135">
        <f t="shared" si="18"/>
        <v>0.00015178944436708</v>
      </c>
      <c r="H193" s="134">
        <v>0.56647</v>
      </c>
      <c r="I193" s="135">
        <f t="shared" si="17"/>
        <v>0.00788899578836689</v>
      </c>
      <c r="J193" s="144">
        <v>0.1349</v>
      </c>
      <c r="K193" s="113">
        <f t="shared" si="19"/>
        <v>0.00199760110171625</v>
      </c>
      <c r="L193" s="113">
        <f t="shared" si="15"/>
        <v>0.00184581165734917</v>
      </c>
      <c r="M193" s="113">
        <f t="shared" si="16"/>
        <v>-0.00589139468665064</v>
      </c>
      <c r="N193" s="136"/>
      <c r="O193" s="112"/>
      <c r="P193" s="137">
        <v>0</v>
      </c>
      <c r="Q193" s="137">
        <v>0</v>
      </c>
    </row>
    <row r="194" spans="2:17">
      <c r="B194" s="87"/>
      <c r="C194" s="145">
        <v>6666021103</v>
      </c>
      <c r="D194" s="145" t="s">
        <v>356</v>
      </c>
      <c r="E194" s="145" t="s">
        <v>357</v>
      </c>
      <c r="F194" s="134">
        <v>0</v>
      </c>
      <c r="G194" s="135">
        <f t="shared" si="18"/>
        <v>0</v>
      </c>
      <c r="H194" s="134">
        <v>3.84972</v>
      </c>
      <c r="I194" s="135">
        <f t="shared" si="17"/>
        <v>0.0536134744406443</v>
      </c>
      <c r="J194" s="144">
        <v>0</v>
      </c>
      <c r="K194" s="113">
        <f t="shared" si="19"/>
        <v>0</v>
      </c>
      <c r="L194" s="113">
        <f t="shared" si="15"/>
        <v>0</v>
      </c>
      <c r="M194" s="113">
        <f t="shared" si="16"/>
        <v>-0.0536134744406443</v>
      </c>
      <c r="N194" s="136"/>
      <c r="O194" s="112"/>
      <c r="P194" s="137">
        <v>0</v>
      </c>
      <c r="Q194" s="137">
        <v>0</v>
      </c>
    </row>
    <row r="195" spans="2:17">
      <c r="B195" s="87"/>
      <c r="C195" s="131">
        <v>6666021300</v>
      </c>
      <c r="D195" s="131" t="s">
        <v>358</v>
      </c>
      <c r="E195" s="131" t="s">
        <v>359</v>
      </c>
      <c r="F195" s="134">
        <v>0.75394</v>
      </c>
      <c r="G195" s="135">
        <f t="shared" si="18"/>
        <v>0.00807622679506818</v>
      </c>
      <c r="H195" s="134">
        <v>3.67549</v>
      </c>
      <c r="I195" s="135">
        <f t="shared" si="17"/>
        <v>0.0511870445569662</v>
      </c>
      <c r="J195" s="144">
        <v>0.91229</v>
      </c>
      <c r="K195" s="113">
        <f t="shared" si="19"/>
        <v>0.0135092031807614</v>
      </c>
      <c r="L195" s="113">
        <f t="shared" si="15"/>
        <v>0.00543297638569325</v>
      </c>
      <c r="M195" s="113">
        <f t="shared" si="16"/>
        <v>-0.0376778413762047</v>
      </c>
      <c r="N195" s="136"/>
      <c r="O195" s="112"/>
      <c r="P195" s="137">
        <v>3.675</v>
      </c>
      <c r="Q195" s="137">
        <v>0.0506107721757812</v>
      </c>
    </row>
    <row r="196" spans="2:17">
      <c r="B196" s="87"/>
      <c r="C196" s="131">
        <v>6666021902</v>
      </c>
      <c r="D196" s="131" t="s">
        <v>180</v>
      </c>
      <c r="E196" s="131" t="s">
        <v>360</v>
      </c>
      <c r="F196" s="134">
        <v>-0.00904</v>
      </c>
      <c r="G196" s="135">
        <f t="shared" si="18"/>
        <v>-9.68367379730699e-5</v>
      </c>
      <c r="H196" s="134">
        <v>4.20465</v>
      </c>
      <c r="I196" s="135">
        <f t="shared" si="17"/>
        <v>0.0585564392493104</v>
      </c>
      <c r="J196" s="144">
        <v>0.01046</v>
      </c>
      <c r="K196" s="113">
        <f t="shared" si="19"/>
        <v>0.00015489182745702</v>
      </c>
      <c r="L196" s="113">
        <f t="shared" si="15"/>
        <v>0.00025172856543009</v>
      </c>
      <c r="M196" s="113">
        <f t="shared" si="16"/>
        <v>-0.0584015474218534</v>
      </c>
      <c r="N196" s="136"/>
      <c r="O196" s="112"/>
      <c r="P196" s="137">
        <v>5.508</v>
      </c>
      <c r="Q196" s="137">
        <v>0.075854185889579</v>
      </c>
    </row>
    <row r="197" spans="2:17">
      <c r="B197" s="87"/>
      <c r="C197" s="131">
        <v>6666022100</v>
      </c>
      <c r="D197" s="131" t="s">
        <v>182</v>
      </c>
      <c r="E197" s="131" t="s">
        <v>713</v>
      </c>
      <c r="F197" s="134">
        <v>-0.01974</v>
      </c>
      <c r="G197" s="135">
        <f t="shared" si="18"/>
        <v>-0.000211455443317301</v>
      </c>
      <c r="H197" s="134">
        <v>0.56993</v>
      </c>
      <c r="I197" s="135">
        <f t="shared" si="17"/>
        <v>0.00793718179191121</v>
      </c>
      <c r="J197" s="144">
        <v>0</v>
      </c>
      <c r="K197" s="113">
        <f t="shared" si="19"/>
        <v>0</v>
      </c>
      <c r="L197" s="113">
        <f t="shared" si="15"/>
        <v>0.000211455443317301</v>
      </c>
      <c r="M197" s="113">
        <f t="shared" si="16"/>
        <v>-0.00793718179191121</v>
      </c>
      <c r="N197" s="136"/>
      <c r="O197" s="112"/>
      <c r="P197" s="137">
        <v>0.297</v>
      </c>
      <c r="Q197" s="137">
        <v>0.00409017669012436</v>
      </c>
    </row>
    <row r="198" spans="2:17">
      <c r="B198" s="87"/>
      <c r="C198" s="131">
        <v>6666022300</v>
      </c>
      <c r="D198" s="131" t="s">
        <v>184</v>
      </c>
      <c r="E198" s="131" t="s">
        <v>362</v>
      </c>
      <c r="F198" s="134">
        <v>8.6381</v>
      </c>
      <c r="G198" s="135">
        <f t="shared" si="18"/>
        <v>0.0925315737041123</v>
      </c>
      <c r="H198" s="134">
        <v>6.39185312156343</v>
      </c>
      <c r="I198" s="135">
        <f t="shared" si="17"/>
        <v>0.0890167217255524</v>
      </c>
      <c r="J198" s="144">
        <v>13.55702</v>
      </c>
      <c r="K198" s="113">
        <f t="shared" si="19"/>
        <v>0.200752543276421</v>
      </c>
      <c r="L198" s="113">
        <f t="shared" si="15"/>
        <v>0.108220969572309</v>
      </c>
      <c r="M198" s="113">
        <f t="shared" si="16"/>
        <v>0.111735821550869</v>
      </c>
      <c r="N198" s="136"/>
      <c r="O198" s="112"/>
      <c r="P198" s="137">
        <v>6.393</v>
      </c>
      <c r="Q198" s="137">
        <v>0.0880420861278284</v>
      </c>
    </row>
    <row r="199" spans="2:17">
      <c r="B199" s="87"/>
      <c r="C199" s="131">
        <v>6666029900</v>
      </c>
      <c r="D199" s="131" t="s">
        <v>188</v>
      </c>
      <c r="E199" s="131" t="s">
        <v>714</v>
      </c>
      <c r="F199" s="134">
        <v>1.35056</v>
      </c>
      <c r="G199" s="135">
        <f t="shared" si="18"/>
        <v>0.0144672372607201</v>
      </c>
      <c r="H199" s="134">
        <v>0</v>
      </c>
      <c r="I199" s="135">
        <f t="shared" si="17"/>
        <v>0</v>
      </c>
      <c r="J199" s="144">
        <v>0.01404</v>
      </c>
      <c r="K199" s="113">
        <f t="shared" si="19"/>
        <v>0.000207904517925101</v>
      </c>
      <c r="L199" s="113">
        <f t="shared" si="15"/>
        <v>-0.014259332742795</v>
      </c>
      <c r="M199" s="113">
        <f t="shared" si="16"/>
        <v>0.000207904517925101</v>
      </c>
      <c r="N199" s="136"/>
      <c r="O199" s="112"/>
      <c r="P199" s="137">
        <v>0</v>
      </c>
      <c r="Q199" s="137">
        <v>0</v>
      </c>
    </row>
    <row r="200" spans="2:17">
      <c r="B200" s="87"/>
      <c r="C200" s="131">
        <v>6666029997</v>
      </c>
      <c r="D200" s="131" t="s">
        <v>191</v>
      </c>
      <c r="E200" s="131" t="s">
        <v>364</v>
      </c>
      <c r="F200" s="134">
        <v>0</v>
      </c>
      <c r="G200" s="135">
        <f t="shared" si="18"/>
        <v>0</v>
      </c>
      <c r="H200" s="134">
        <v>0</v>
      </c>
      <c r="I200" s="135">
        <f t="shared" si="17"/>
        <v>0</v>
      </c>
      <c r="J200" s="144">
        <v>0</v>
      </c>
      <c r="K200" s="113">
        <f t="shared" si="19"/>
        <v>0</v>
      </c>
      <c r="L200" s="113">
        <f t="shared" si="15"/>
        <v>0</v>
      </c>
      <c r="M200" s="113">
        <f t="shared" si="16"/>
        <v>0</v>
      </c>
      <c r="N200" s="136"/>
      <c r="O200" s="112"/>
      <c r="P200" s="137">
        <v>0</v>
      </c>
      <c r="Q200" s="137">
        <v>0</v>
      </c>
    </row>
    <row r="201" spans="2:17">
      <c r="B201" s="87"/>
      <c r="C201" s="131">
        <v>6666031100</v>
      </c>
      <c r="D201" s="131" t="s">
        <v>365</v>
      </c>
      <c r="E201" s="131" t="s">
        <v>715</v>
      </c>
      <c r="F201" s="134">
        <v>0</v>
      </c>
      <c r="G201" s="135">
        <f t="shared" si="18"/>
        <v>0</v>
      </c>
      <c r="H201" s="134">
        <v>0</v>
      </c>
      <c r="I201" s="135">
        <f t="shared" si="17"/>
        <v>0</v>
      </c>
      <c r="J201" s="144">
        <v>0</v>
      </c>
      <c r="K201" s="113">
        <f t="shared" si="19"/>
        <v>0</v>
      </c>
      <c r="L201" s="113">
        <f t="shared" si="15"/>
        <v>0</v>
      </c>
      <c r="M201" s="113">
        <f t="shared" si="16"/>
        <v>0</v>
      </c>
      <c r="N201" s="136"/>
      <c r="O201" s="112"/>
      <c r="P201" s="137">
        <v>0</v>
      </c>
      <c r="Q201" s="137">
        <v>0</v>
      </c>
    </row>
    <row r="202" spans="2:17">
      <c r="B202" s="87"/>
      <c r="C202" s="131">
        <v>6666050107</v>
      </c>
      <c r="D202" s="131" t="s">
        <v>197</v>
      </c>
      <c r="E202" s="131" t="s">
        <v>367</v>
      </c>
      <c r="F202" s="134">
        <v>0</v>
      </c>
      <c r="G202" s="135">
        <f t="shared" si="18"/>
        <v>0</v>
      </c>
      <c r="H202" s="134">
        <v>0</v>
      </c>
      <c r="I202" s="135">
        <f t="shared" si="17"/>
        <v>0</v>
      </c>
      <c r="J202" s="144">
        <v>0</v>
      </c>
      <c r="K202" s="113">
        <f t="shared" si="19"/>
        <v>0</v>
      </c>
      <c r="L202" s="113">
        <f t="shared" si="15"/>
        <v>0</v>
      </c>
      <c r="M202" s="113">
        <f t="shared" si="16"/>
        <v>0</v>
      </c>
      <c r="N202" s="136"/>
      <c r="O202" s="112"/>
      <c r="P202" s="137">
        <v>0</v>
      </c>
      <c r="Q202" s="137">
        <v>0</v>
      </c>
    </row>
    <row r="203" spans="2:17">
      <c r="B203" s="87"/>
      <c r="C203" s="131">
        <v>6666079999</v>
      </c>
      <c r="D203" s="131" t="s">
        <v>368</v>
      </c>
      <c r="E203" s="131" t="s">
        <v>369</v>
      </c>
      <c r="F203" s="134">
        <v>278.01555</v>
      </c>
      <c r="G203" s="135">
        <f t="shared" si="18"/>
        <v>2.97811050528639</v>
      </c>
      <c r="H203" s="134">
        <v>94.9699</v>
      </c>
      <c r="I203" s="135">
        <f t="shared" si="17"/>
        <v>1.32260691849811</v>
      </c>
      <c r="J203" s="144">
        <v>95.18383</v>
      </c>
      <c r="K203" s="113">
        <f t="shared" si="19"/>
        <v>1.40948349646829</v>
      </c>
      <c r="L203" s="113">
        <f t="shared" si="15"/>
        <v>-1.5686270088181</v>
      </c>
      <c r="M203" s="113">
        <f t="shared" si="16"/>
        <v>0.0868765779701783</v>
      </c>
      <c r="N203" s="136"/>
      <c r="O203" s="112"/>
      <c r="P203" s="137">
        <v>0</v>
      </c>
      <c r="Q203" s="137">
        <v>0</v>
      </c>
    </row>
    <row r="204" spans="2:17">
      <c r="B204" s="87"/>
      <c r="C204" s="131">
        <v>6666090100</v>
      </c>
      <c r="D204" s="131" t="s">
        <v>370</v>
      </c>
      <c r="E204" s="131" t="s">
        <v>371</v>
      </c>
      <c r="F204" s="134">
        <v>0</v>
      </c>
      <c r="G204" s="135">
        <f t="shared" si="18"/>
        <v>0</v>
      </c>
      <c r="H204" s="134">
        <v>0</v>
      </c>
      <c r="I204" s="135">
        <f t="shared" si="17"/>
        <v>0</v>
      </c>
      <c r="J204" s="144">
        <v>0</v>
      </c>
      <c r="K204" s="113">
        <f t="shared" si="19"/>
        <v>0</v>
      </c>
      <c r="L204" s="113">
        <f t="shared" si="15"/>
        <v>0</v>
      </c>
      <c r="M204" s="113">
        <f t="shared" si="16"/>
        <v>0</v>
      </c>
      <c r="N204" s="136"/>
      <c r="O204" s="112"/>
      <c r="P204" s="137">
        <v>0</v>
      </c>
      <c r="Q204" s="137">
        <v>0</v>
      </c>
    </row>
    <row r="205" spans="2:17">
      <c r="B205" s="87"/>
      <c r="C205" s="131">
        <v>6666093800</v>
      </c>
      <c r="D205" s="131" t="s">
        <v>372</v>
      </c>
      <c r="E205" s="131" t="s">
        <v>373</v>
      </c>
      <c r="F205" s="134">
        <v>0.08953</v>
      </c>
      <c r="G205" s="135">
        <f t="shared" si="18"/>
        <v>0.000959047914903645</v>
      </c>
      <c r="H205" s="134">
        <v>0</v>
      </c>
      <c r="I205" s="135">
        <f t="shared" si="17"/>
        <v>0</v>
      </c>
      <c r="J205" s="144">
        <v>0.03039</v>
      </c>
      <c r="K205" s="113">
        <f t="shared" si="19"/>
        <v>0.000450015548414802</v>
      </c>
      <c r="L205" s="113">
        <f t="shared" si="15"/>
        <v>-0.000509032366488843</v>
      </c>
      <c r="M205" s="113">
        <f t="shared" si="16"/>
        <v>0.000450015548414802</v>
      </c>
      <c r="N205" s="136"/>
      <c r="O205" s="112"/>
      <c r="P205" s="137">
        <v>0</v>
      </c>
      <c r="Q205" s="137">
        <v>0</v>
      </c>
    </row>
    <row r="206" spans="2:17">
      <c r="B206" s="87"/>
      <c r="C206" s="131">
        <v>6666021400</v>
      </c>
      <c r="D206" s="131" t="s">
        <v>374</v>
      </c>
      <c r="E206" s="131" t="s">
        <v>375</v>
      </c>
      <c r="F206" s="134">
        <v>0</v>
      </c>
      <c r="G206" s="135">
        <f t="shared" si="18"/>
        <v>0</v>
      </c>
      <c r="H206" s="134">
        <v>0.67634</v>
      </c>
      <c r="I206" s="135">
        <f t="shared" si="17"/>
        <v>0.00941911029975826</v>
      </c>
      <c r="J206" s="144">
        <v>0</v>
      </c>
      <c r="K206" s="113">
        <f t="shared" si="19"/>
        <v>0</v>
      </c>
      <c r="L206" s="113">
        <f t="shared" si="15"/>
        <v>0</v>
      </c>
      <c r="M206" s="113">
        <f t="shared" si="16"/>
        <v>-0.00941911029975826</v>
      </c>
      <c r="N206" s="136"/>
      <c r="O206" s="112"/>
      <c r="P206" s="137">
        <v>0.676</v>
      </c>
      <c r="Q206" s="137">
        <v>0.00930962775260628</v>
      </c>
    </row>
    <row r="207" spans="2:17">
      <c r="B207" s="87"/>
      <c r="C207" s="131">
        <v>5401050201</v>
      </c>
      <c r="D207" s="131" t="s">
        <v>647</v>
      </c>
      <c r="E207" s="131" t="s">
        <v>716</v>
      </c>
      <c r="F207" s="134">
        <v>0</v>
      </c>
      <c r="G207" s="135">
        <f t="shared" si="18"/>
        <v>0</v>
      </c>
      <c r="H207" s="134">
        <v>0</v>
      </c>
      <c r="I207" s="135">
        <f t="shared" si="17"/>
        <v>0</v>
      </c>
      <c r="J207" s="144">
        <v>0</v>
      </c>
      <c r="K207" s="113">
        <f t="shared" si="19"/>
        <v>0</v>
      </c>
      <c r="L207" s="113">
        <f t="shared" si="15"/>
        <v>0</v>
      </c>
      <c r="M207" s="113">
        <f t="shared" si="16"/>
        <v>0</v>
      </c>
      <c r="N207" s="136"/>
      <c r="O207" s="112"/>
      <c r="P207" s="137">
        <v>0</v>
      </c>
      <c r="Q207" s="137">
        <v>0</v>
      </c>
    </row>
    <row r="208" spans="2:17">
      <c r="B208" s="87"/>
      <c r="C208" s="131">
        <v>5301070000</v>
      </c>
      <c r="D208" s="131" t="s">
        <v>231</v>
      </c>
      <c r="E208" s="131" t="s">
        <v>657</v>
      </c>
      <c r="F208" s="134">
        <v>0</v>
      </c>
      <c r="G208" s="135">
        <f t="shared" si="18"/>
        <v>0</v>
      </c>
      <c r="H208" s="134">
        <v>0</v>
      </c>
      <c r="I208" s="135">
        <f t="shared" si="17"/>
        <v>0</v>
      </c>
      <c r="J208" s="144">
        <v>0</v>
      </c>
      <c r="K208" s="113">
        <f t="shared" si="19"/>
        <v>0</v>
      </c>
      <c r="L208" s="113">
        <f t="shared" si="15"/>
        <v>0</v>
      </c>
      <c r="M208" s="113">
        <f t="shared" si="16"/>
        <v>0</v>
      </c>
      <c r="N208" s="136"/>
      <c r="O208" s="112"/>
      <c r="P208" s="137">
        <v>0</v>
      </c>
      <c r="Q208" s="137">
        <v>0</v>
      </c>
    </row>
    <row r="209" spans="2:17">
      <c r="B209" s="87"/>
      <c r="C209" s="131">
        <v>5207000011</v>
      </c>
      <c r="D209" s="131" t="s">
        <v>118</v>
      </c>
      <c r="E209" s="131" t="s">
        <v>603</v>
      </c>
      <c r="F209" s="134">
        <v>-7.93201</v>
      </c>
      <c r="G209" s="135">
        <f t="shared" si="18"/>
        <v>-0.0849679174745322</v>
      </c>
      <c r="H209" s="134">
        <v>0</v>
      </c>
      <c r="I209" s="135">
        <f t="shared" si="17"/>
        <v>0</v>
      </c>
      <c r="J209" s="144">
        <v>0</v>
      </c>
      <c r="K209" s="113">
        <f t="shared" si="19"/>
        <v>0</v>
      </c>
      <c r="L209" s="113">
        <f t="shared" si="15"/>
        <v>0.0849679174745322</v>
      </c>
      <c r="M209" s="113">
        <f t="shared" si="16"/>
        <v>0</v>
      </c>
      <c r="N209" s="136"/>
      <c r="O209" s="112"/>
      <c r="P209" s="137">
        <v>0</v>
      </c>
      <c r="Q209" s="137">
        <v>0</v>
      </c>
    </row>
    <row r="210" spans="2:17">
      <c r="B210" s="87"/>
      <c r="C210" s="131">
        <v>5102040894</v>
      </c>
      <c r="D210" s="131" t="s">
        <v>717</v>
      </c>
      <c r="E210" s="131" t="s">
        <v>718</v>
      </c>
      <c r="F210" s="134">
        <v>0</v>
      </c>
      <c r="G210" s="135">
        <f t="shared" si="18"/>
        <v>0</v>
      </c>
      <c r="H210" s="134">
        <v>0</v>
      </c>
      <c r="I210" s="135">
        <f t="shared" si="17"/>
        <v>0</v>
      </c>
      <c r="J210" s="144">
        <v>0</v>
      </c>
      <c r="K210" s="113">
        <f t="shared" si="19"/>
        <v>0</v>
      </c>
      <c r="L210" s="113">
        <f t="shared" si="15"/>
        <v>0</v>
      </c>
      <c r="M210" s="113">
        <f t="shared" si="16"/>
        <v>0</v>
      </c>
      <c r="N210" s="136"/>
      <c r="O210" s="112"/>
      <c r="P210" s="137">
        <v>0</v>
      </c>
      <c r="Q210" s="137">
        <v>0</v>
      </c>
    </row>
    <row r="211" spans="2:17">
      <c r="B211" s="87"/>
      <c r="C211" s="131">
        <v>5207000012</v>
      </c>
      <c r="D211" s="131" t="s">
        <v>120</v>
      </c>
      <c r="E211" s="131" t="s">
        <v>604</v>
      </c>
      <c r="F211" s="134">
        <v>0</v>
      </c>
      <c r="G211" s="135">
        <f t="shared" si="18"/>
        <v>0</v>
      </c>
      <c r="H211" s="134">
        <v>0</v>
      </c>
      <c r="I211" s="135">
        <f t="shared" si="17"/>
        <v>0</v>
      </c>
      <c r="J211" s="144">
        <v>0</v>
      </c>
      <c r="K211" s="113">
        <f t="shared" si="19"/>
        <v>0</v>
      </c>
      <c r="L211" s="113">
        <f t="shared" si="15"/>
        <v>0</v>
      </c>
      <c r="M211" s="113">
        <f t="shared" si="16"/>
        <v>0</v>
      </c>
      <c r="N211" s="136"/>
      <c r="O211" s="112"/>
      <c r="P211" s="137">
        <v>0</v>
      </c>
      <c r="Q211" s="137">
        <v>0</v>
      </c>
    </row>
    <row r="212" spans="2:17">
      <c r="B212" s="87"/>
      <c r="C212" s="131">
        <v>5301999999</v>
      </c>
      <c r="D212" s="131" t="s">
        <v>126</v>
      </c>
      <c r="E212" s="131" t="s">
        <v>606</v>
      </c>
      <c r="F212" s="134">
        <v>0</v>
      </c>
      <c r="G212" s="135">
        <f t="shared" si="18"/>
        <v>0</v>
      </c>
      <c r="H212" s="134">
        <v>0</v>
      </c>
      <c r="I212" s="135">
        <f t="shared" si="17"/>
        <v>0</v>
      </c>
      <c r="J212" s="144">
        <v>-0.00582</v>
      </c>
      <c r="K212" s="113">
        <f t="shared" si="19"/>
        <v>-8.61826420458752e-5</v>
      </c>
      <c r="L212" s="113">
        <f t="shared" si="15"/>
        <v>-8.61826420458752e-5</v>
      </c>
      <c r="M212" s="113">
        <f t="shared" si="16"/>
        <v>-8.61826420458752e-5</v>
      </c>
      <c r="N212" s="136"/>
      <c r="O212" s="112"/>
      <c r="P212" s="137">
        <v>0</v>
      </c>
      <c r="Q212" s="137">
        <v>0</v>
      </c>
    </row>
    <row r="213" spans="2:17">
      <c r="B213" s="87"/>
      <c r="C213" s="131">
        <v>6666070400</v>
      </c>
      <c r="D213" s="131" t="s">
        <v>203</v>
      </c>
      <c r="E213" s="131" t="s">
        <v>627</v>
      </c>
      <c r="F213" s="134">
        <v>0</v>
      </c>
      <c r="G213" s="135">
        <f t="shared" si="18"/>
        <v>0</v>
      </c>
      <c r="H213" s="134">
        <v>0</v>
      </c>
      <c r="I213" s="135">
        <f t="shared" si="17"/>
        <v>0</v>
      </c>
      <c r="J213" s="144">
        <v>0.05844</v>
      </c>
      <c r="K213" s="113">
        <f t="shared" si="19"/>
        <v>0.000865380343842087</v>
      </c>
      <c r="L213" s="113">
        <f t="shared" si="15"/>
        <v>0.000865380343842087</v>
      </c>
      <c r="M213" s="113">
        <f t="shared" si="16"/>
        <v>0.000865380343842087</v>
      </c>
      <c r="N213" s="136" t="s">
        <v>801</v>
      </c>
      <c r="O213" s="112"/>
      <c r="P213" s="137">
        <v>94.97</v>
      </c>
      <c r="Q213" s="137">
        <v>1.30789252613168</v>
      </c>
    </row>
    <row r="214" spans="2:17">
      <c r="B214" s="87"/>
      <c r="C214" s="131">
        <v>5801000041</v>
      </c>
      <c r="D214" s="131" t="s">
        <v>719</v>
      </c>
      <c r="E214" s="131" t="s">
        <v>720</v>
      </c>
      <c r="F214" s="134">
        <v>0</v>
      </c>
      <c r="G214" s="135">
        <f t="shared" si="18"/>
        <v>0</v>
      </c>
      <c r="H214" s="134">
        <v>0</v>
      </c>
      <c r="I214" s="135">
        <f t="shared" si="17"/>
        <v>0</v>
      </c>
      <c r="J214" s="144">
        <v>0</v>
      </c>
      <c r="K214" s="113">
        <f t="shared" si="19"/>
        <v>0</v>
      </c>
      <c r="L214" s="113">
        <f t="shared" si="15"/>
        <v>0</v>
      </c>
      <c r="M214" s="113">
        <f t="shared" si="16"/>
        <v>0</v>
      </c>
      <c r="N214" s="136"/>
      <c r="O214" s="112"/>
      <c r="P214" s="137">
        <v>0</v>
      </c>
      <c r="Q214" s="137">
        <v>0</v>
      </c>
    </row>
    <row r="215" spans="2:17">
      <c r="B215" s="87"/>
      <c r="C215" s="131">
        <v>6666010315</v>
      </c>
      <c r="D215" s="131" t="s">
        <v>802</v>
      </c>
      <c r="E215" s="131" t="s">
        <v>803</v>
      </c>
      <c r="F215" s="134"/>
      <c r="G215" s="135"/>
      <c r="H215" s="134"/>
      <c r="I215" s="135"/>
      <c r="J215" s="144">
        <v>0.05497</v>
      </c>
      <c r="K215" s="113">
        <f t="shared" si="19"/>
        <v>0.000813996534924701</v>
      </c>
      <c r="L215" s="113">
        <f t="shared" si="15"/>
        <v>0.000813996534924701</v>
      </c>
      <c r="M215" s="113">
        <f t="shared" si="16"/>
        <v>0.000813996534924701</v>
      </c>
      <c r="N215" s="136"/>
      <c r="O215" s="112"/>
      <c r="P215" s="137">
        <v>155.865</v>
      </c>
      <c r="Q215" s="137">
        <v>2.14651646399405</v>
      </c>
    </row>
    <row r="216" spans="2:17">
      <c r="B216" s="87"/>
      <c r="C216" s="131">
        <v>6666021602</v>
      </c>
      <c r="D216" s="131" t="s">
        <v>804</v>
      </c>
      <c r="E216" s="131" t="s">
        <v>805</v>
      </c>
      <c r="F216" s="134"/>
      <c r="G216" s="135"/>
      <c r="H216" s="134"/>
      <c r="I216" s="135"/>
      <c r="J216" s="144">
        <v>0.01574</v>
      </c>
      <c r="K216" s="113">
        <f t="shared" si="19"/>
        <v>0.000233078141890391</v>
      </c>
      <c r="L216" s="113">
        <f t="shared" si="15"/>
        <v>0.000233078141890391</v>
      </c>
      <c r="M216" s="113">
        <f t="shared" si="16"/>
        <v>0.000233078141890391</v>
      </c>
      <c r="N216" s="136"/>
      <c r="O216" s="112"/>
      <c r="P216" s="137">
        <v>0</v>
      </c>
      <c r="Q216" s="137">
        <v>0</v>
      </c>
    </row>
    <row r="217" spans="2:17">
      <c r="B217" s="87"/>
      <c r="C217" s="131">
        <v>6666020406</v>
      </c>
      <c r="D217" s="131" t="s">
        <v>794</v>
      </c>
      <c r="E217" s="131" t="s">
        <v>806</v>
      </c>
      <c r="F217" s="134"/>
      <c r="G217" s="135"/>
      <c r="H217" s="134"/>
      <c r="I217" s="135"/>
      <c r="J217" s="144">
        <v>0.60438</v>
      </c>
      <c r="K217" s="113">
        <f t="shared" si="19"/>
        <v>0.00894966756008352</v>
      </c>
      <c r="L217" s="113">
        <f t="shared" si="15"/>
        <v>0.00894966756008352</v>
      </c>
      <c r="M217" s="113">
        <f t="shared" si="16"/>
        <v>0.00894966756008352</v>
      </c>
      <c r="N217" s="136"/>
      <c r="O217" s="112"/>
      <c r="P217" s="137">
        <v>0</v>
      </c>
      <c r="Q217" s="137">
        <v>0</v>
      </c>
    </row>
    <row r="218" spans="2:17">
      <c r="B218" s="87"/>
      <c r="C218" s="99">
        <v>6666010380</v>
      </c>
      <c r="D218" t="s">
        <v>81</v>
      </c>
      <c r="E218" t="s">
        <v>807</v>
      </c>
      <c r="F218" s="134"/>
      <c r="G218" s="135"/>
      <c r="H218" s="134"/>
      <c r="I218" s="135"/>
      <c r="J218" s="144">
        <v>0</v>
      </c>
      <c r="K218" s="113">
        <f t="shared" si="19"/>
        <v>0</v>
      </c>
      <c r="L218" s="113">
        <f t="shared" si="15"/>
        <v>0</v>
      </c>
      <c r="M218" s="113">
        <f t="shared" si="16"/>
        <v>0</v>
      </c>
      <c r="N218" s="136"/>
      <c r="O218" s="112"/>
      <c r="P218" s="137">
        <v>2.103</v>
      </c>
      <c r="Q218" s="137">
        <v>0.0289617561593654</v>
      </c>
    </row>
    <row r="219" spans="2:17">
      <c r="B219" s="73"/>
      <c r="C219" s="138" t="s">
        <v>376</v>
      </c>
      <c r="D219" s="138" t="s">
        <v>213</v>
      </c>
      <c r="E219" s="138" t="s">
        <v>650</v>
      </c>
      <c r="F219" s="134">
        <f>SUM(F169:F214)</f>
        <v>348.41684</v>
      </c>
      <c r="G219" s="135">
        <f t="shared" ref="G219:G232" si="20">F219/$H$27*1000</f>
        <v>3.73225113279702</v>
      </c>
      <c r="H219" s="134">
        <f>SUM(H169:H214)</f>
        <v>154.833653121563</v>
      </c>
      <c r="I219" s="135">
        <f t="shared" ref="I219:I232" si="21">H219/$J$27*1000</f>
        <v>2.1563049011836</v>
      </c>
      <c r="J219" s="144">
        <f>SUM(J169:J218)</f>
        <v>283.25686</v>
      </c>
      <c r="K219" s="113">
        <f t="shared" si="19"/>
        <v>4.19447157601694</v>
      </c>
      <c r="L219" s="113">
        <f t="shared" si="15"/>
        <v>0.462220443219923</v>
      </c>
      <c r="M219" s="113">
        <f t="shared" si="16"/>
        <v>2.03816667483334</v>
      </c>
      <c r="N219" s="136"/>
      <c r="O219" s="112"/>
      <c r="P219" s="137">
        <v>0</v>
      </c>
      <c r="Q219" s="137">
        <v>0</v>
      </c>
    </row>
    <row r="220" spans="2:17">
      <c r="B220" s="130" t="s">
        <v>212</v>
      </c>
      <c r="C220" s="146">
        <v>5102040000</v>
      </c>
      <c r="D220" s="146" t="s">
        <v>217</v>
      </c>
      <c r="E220" s="146" t="s">
        <v>721</v>
      </c>
      <c r="F220" s="134">
        <v>0</v>
      </c>
      <c r="G220" s="135">
        <f t="shared" si="20"/>
        <v>0</v>
      </c>
      <c r="H220" s="134">
        <v>0</v>
      </c>
      <c r="I220" s="135">
        <f t="shared" si="21"/>
        <v>0</v>
      </c>
      <c r="J220" s="144">
        <v>-0.15368</v>
      </c>
      <c r="K220" s="113">
        <f t="shared" si="19"/>
        <v>-0.00227569560646222</v>
      </c>
      <c r="L220" s="113">
        <f t="shared" si="15"/>
        <v>-0.00227569560646222</v>
      </c>
      <c r="M220" s="113">
        <f t="shared" si="16"/>
        <v>-0.00227569560646222</v>
      </c>
      <c r="N220" s="136"/>
      <c r="O220" s="112"/>
      <c r="P220" s="137">
        <v>2.103</v>
      </c>
      <c r="Q220" s="137">
        <v>0.0289617561593654</v>
      </c>
    </row>
    <row r="221" spans="2:17">
      <c r="B221" s="73"/>
      <c r="C221" s="138" t="s">
        <v>379</v>
      </c>
      <c r="D221" s="138" t="s">
        <v>224</v>
      </c>
      <c r="E221" s="138" t="s">
        <v>722</v>
      </c>
      <c r="F221" s="134">
        <f>F220</f>
        <v>0</v>
      </c>
      <c r="G221" s="135">
        <f t="shared" si="20"/>
        <v>0</v>
      </c>
      <c r="H221" s="134">
        <f>H220</f>
        <v>0</v>
      </c>
      <c r="I221" s="135">
        <f t="shared" si="21"/>
        <v>0</v>
      </c>
      <c r="J221" s="144">
        <f>J220</f>
        <v>-0.15368</v>
      </c>
      <c r="K221" s="113">
        <f t="shared" si="19"/>
        <v>-0.00227569560646222</v>
      </c>
      <c r="L221" s="113">
        <f t="shared" ref="L221:L232" si="22">K221-G221</f>
        <v>-0.00227569560646222</v>
      </c>
      <c r="M221" s="113">
        <f t="shared" ref="M221:M232" si="23">K221-I221</f>
        <v>-0.00227569560646222</v>
      </c>
      <c r="N221" s="136"/>
      <c r="O221" s="112"/>
      <c r="P221" s="137">
        <v>0</v>
      </c>
      <c r="Q221" s="137">
        <v>0</v>
      </c>
    </row>
    <row r="222" spans="2:17">
      <c r="B222" s="130" t="s">
        <v>243</v>
      </c>
      <c r="C222" s="146">
        <v>6666021600</v>
      </c>
      <c r="D222" s="146" t="s">
        <v>246</v>
      </c>
      <c r="E222" s="146" t="s">
        <v>723</v>
      </c>
      <c r="F222" s="134">
        <v>1.99917</v>
      </c>
      <c r="G222" s="135">
        <f t="shared" si="20"/>
        <v>0.0214151660900025</v>
      </c>
      <c r="H222" s="134">
        <v>1.42679</v>
      </c>
      <c r="I222" s="135">
        <f t="shared" si="21"/>
        <v>0.0198703202303458</v>
      </c>
      <c r="J222" s="144">
        <v>0.38694</v>
      </c>
      <c r="K222" s="113">
        <f t="shared" si="19"/>
        <v>0.00572981297478195</v>
      </c>
      <c r="L222" s="113">
        <f t="shared" si="22"/>
        <v>-0.0156853531152205</v>
      </c>
      <c r="M222" s="113">
        <f t="shared" si="23"/>
        <v>-0.0141405072555639</v>
      </c>
      <c r="N222" s="136"/>
      <c r="O222" s="112"/>
      <c r="P222" s="137">
        <v>0</v>
      </c>
      <c r="Q222" s="137">
        <v>0</v>
      </c>
    </row>
    <row r="223" spans="2:17">
      <c r="B223" s="87"/>
      <c r="C223" s="146">
        <v>6666021604</v>
      </c>
      <c r="D223" s="146" t="s">
        <v>248</v>
      </c>
      <c r="E223" s="146" t="s">
        <v>662</v>
      </c>
      <c r="F223" s="134">
        <v>0</v>
      </c>
      <c r="G223" s="135">
        <f t="shared" si="20"/>
        <v>0</v>
      </c>
      <c r="H223" s="134">
        <v>0</v>
      </c>
      <c r="I223" s="135">
        <f t="shared" si="21"/>
        <v>0</v>
      </c>
      <c r="J223" s="144">
        <v>-0.13945</v>
      </c>
      <c r="K223" s="113">
        <f t="shared" si="19"/>
        <v>-0.00206497756585864</v>
      </c>
      <c r="L223" s="113">
        <f t="shared" si="22"/>
        <v>-0.00206497756585864</v>
      </c>
      <c r="M223" s="113">
        <f t="shared" si="23"/>
        <v>-0.00206497756585864</v>
      </c>
      <c r="N223" s="136"/>
      <c r="O223" s="112"/>
      <c r="P223" s="137">
        <v>0</v>
      </c>
      <c r="Q223" s="137">
        <v>0</v>
      </c>
    </row>
    <row r="224" spans="2:17">
      <c r="B224" s="73"/>
      <c r="C224" s="138" t="s">
        <v>379</v>
      </c>
      <c r="D224" s="138" t="s">
        <v>251</v>
      </c>
      <c r="E224" s="138" t="s">
        <v>724</v>
      </c>
      <c r="F224" s="134">
        <f>SUM(F222:F223)</f>
        <v>1.99917</v>
      </c>
      <c r="G224" s="135">
        <f t="shared" si="20"/>
        <v>0.0214151660900025</v>
      </c>
      <c r="H224" s="134">
        <f>SUM(H222:H223)</f>
        <v>1.42679</v>
      </c>
      <c r="I224" s="135">
        <f t="shared" si="21"/>
        <v>0.0198703202303458</v>
      </c>
      <c r="J224" s="144">
        <f>SUM(J222:J223)</f>
        <v>0.24749</v>
      </c>
      <c r="K224" s="113">
        <f t="shared" si="19"/>
        <v>0.00366483540892331</v>
      </c>
      <c r="L224" s="113">
        <f t="shared" si="22"/>
        <v>-0.0177503306810792</v>
      </c>
      <c r="M224" s="113">
        <f t="shared" si="23"/>
        <v>-0.0162054848214225</v>
      </c>
      <c r="N224" s="136"/>
      <c r="O224" s="112"/>
      <c r="P224" s="137">
        <v>0</v>
      </c>
      <c r="Q224" s="137">
        <v>0</v>
      </c>
    </row>
    <row r="225" spans="2:17">
      <c r="B225" s="130" t="s">
        <v>250</v>
      </c>
      <c r="C225" s="146">
        <v>6666010012</v>
      </c>
      <c r="D225" s="146" t="s">
        <v>262</v>
      </c>
      <c r="E225" s="146" t="s">
        <v>725</v>
      </c>
      <c r="F225" s="134">
        <v>0</v>
      </c>
      <c r="G225" s="135">
        <f t="shared" si="20"/>
        <v>0</v>
      </c>
      <c r="H225" s="134">
        <v>0</v>
      </c>
      <c r="I225" s="135">
        <f t="shared" si="21"/>
        <v>0</v>
      </c>
      <c r="J225" s="144">
        <v>0</v>
      </c>
      <c r="K225" s="113">
        <f t="shared" ref="K225:K232" si="24">J225*1000/$L$27</f>
        <v>0</v>
      </c>
      <c r="L225" s="113">
        <f t="shared" si="22"/>
        <v>0</v>
      </c>
      <c r="M225" s="113">
        <f t="shared" si="23"/>
        <v>0</v>
      </c>
      <c r="N225" s="136"/>
      <c r="O225" s="112"/>
      <c r="P225" s="137">
        <v>58.765</v>
      </c>
      <c r="Q225" s="137">
        <v>0.809290347458444</v>
      </c>
    </row>
    <row r="226" spans="2:17">
      <c r="B226" s="87"/>
      <c r="C226" s="146">
        <v>6666010102</v>
      </c>
      <c r="D226" s="146" t="s">
        <v>384</v>
      </c>
      <c r="E226" s="146" t="s">
        <v>726</v>
      </c>
      <c r="F226" s="134">
        <v>0.06501</v>
      </c>
      <c r="G226" s="135">
        <f t="shared" si="20"/>
        <v>0.00069638897518023</v>
      </c>
      <c r="H226" s="134">
        <v>0</v>
      </c>
      <c r="I226" s="135">
        <f t="shared" si="21"/>
        <v>0</v>
      </c>
      <c r="J226" s="144">
        <v>0.04887</v>
      </c>
      <c r="K226" s="113">
        <f t="shared" si="24"/>
        <v>0.000723667648931602</v>
      </c>
      <c r="L226" s="113">
        <f t="shared" si="22"/>
        <v>2.72786737513718e-5</v>
      </c>
      <c r="M226" s="113">
        <f t="shared" si="23"/>
        <v>0.000723667648931602</v>
      </c>
      <c r="N226" s="136"/>
      <c r="O226" s="112"/>
      <c r="P226" s="137">
        <v>0</v>
      </c>
      <c r="Q226" s="137">
        <v>0</v>
      </c>
    </row>
    <row r="227" spans="2:17">
      <c r="B227" s="73"/>
      <c r="C227" s="138" t="s">
        <v>386</v>
      </c>
      <c r="D227" s="138" t="s">
        <v>270</v>
      </c>
      <c r="E227" s="138" t="s">
        <v>673</v>
      </c>
      <c r="F227" s="134">
        <v>0</v>
      </c>
      <c r="G227" s="135">
        <f t="shared" si="20"/>
        <v>0</v>
      </c>
      <c r="H227" s="134">
        <f>SUM(H225:H226)</f>
        <v>0</v>
      </c>
      <c r="I227" s="135">
        <f t="shared" si="21"/>
        <v>0</v>
      </c>
      <c r="J227" s="144">
        <f>SUM(J225:J226)</f>
        <v>0.04887</v>
      </c>
      <c r="K227" s="113">
        <f t="shared" si="24"/>
        <v>0.000723667648931602</v>
      </c>
      <c r="L227" s="113">
        <f t="shared" si="22"/>
        <v>0.000723667648931602</v>
      </c>
      <c r="M227" s="113">
        <f t="shared" si="23"/>
        <v>0.000723667648931602</v>
      </c>
      <c r="N227" s="136"/>
      <c r="O227" s="112"/>
      <c r="P227" s="137">
        <v>0</v>
      </c>
      <c r="Q227" s="137">
        <v>0</v>
      </c>
    </row>
    <row r="228" spans="2:17">
      <c r="B228" s="130" t="s">
        <v>388</v>
      </c>
      <c r="C228" s="146">
        <v>6666010196</v>
      </c>
      <c r="D228" s="146" t="s">
        <v>272</v>
      </c>
      <c r="E228" s="146" t="s">
        <v>727</v>
      </c>
      <c r="F228" s="134">
        <v>3.9718</v>
      </c>
      <c r="G228" s="135">
        <f t="shared" si="20"/>
        <v>0.0425460349426371</v>
      </c>
      <c r="H228" s="134">
        <v>0</v>
      </c>
      <c r="I228" s="135">
        <f t="shared" si="21"/>
        <v>0</v>
      </c>
      <c r="J228" s="144">
        <v>3.68375</v>
      </c>
      <c r="K228" s="113">
        <f t="shared" si="24"/>
        <v>0.0545490219306689</v>
      </c>
      <c r="L228" s="113">
        <f t="shared" si="22"/>
        <v>0.0120029869880318</v>
      </c>
      <c r="M228" s="113">
        <f t="shared" si="23"/>
        <v>0.0545490219306689</v>
      </c>
      <c r="N228" s="136"/>
      <c r="O228" s="112"/>
      <c r="P228" s="137">
        <v>0</v>
      </c>
      <c r="Q228" s="137">
        <v>0</v>
      </c>
    </row>
    <row r="229" spans="2:17">
      <c r="B229" s="87"/>
      <c r="C229" s="146">
        <v>6666010101</v>
      </c>
      <c r="D229" s="146" t="s">
        <v>274</v>
      </c>
      <c r="E229" s="146" t="s">
        <v>675</v>
      </c>
      <c r="F229" s="134">
        <v>30.15022</v>
      </c>
      <c r="G229" s="135">
        <f t="shared" si="20"/>
        <v>0.322970017032125</v>
      </c>
      <c r="H229" s="134">
        <v>53.87238</v>
      </c>
      <c r="I229" s="135">
        <f t="shared" si="21"/>
        <v>0.750258581971332</v>
      </c>
      <c r="J229" s="144">
        <v>21.9781</v>
      </c>
      <c r="K229" s="113">
        <f t="shared" si="24"/>
        <v>0.325452014630318</v>
      </c>
      <c r="L229" s="113">
        <f t="shared" si="22"/>
        <v>0.00248199759819256</v>
      </c>
      <c r="M229" s="113">
        <f t="shared" si="23"/>
        <v>-0.424806567341014</v>
      </c>
      <c r="N229" s="136"/>
      <c r="O229" s="112"/>
      <c r="P229" s="137">
        <v>58.765</v>
      </c>
      <c r="Q229" s="137">
        <v>0.809290347458444</v>
      </c>
    </row>
    <row r="230" spans="2:17">
      <c r="B230" s="87"/>
      <c r="C230" s="146">
        <v>6666010199</v>
      </c>
      <c r="D230" s="146" t="s">
        <v>276</v>
      </c>
      <c r="E230" s="146" t="s">
        <v>728</v>
      </c>
      <c r="F230" s="134">
        <v>3.33679</v>
      </c>
      <c r="G230" s="135">
        <f t="shared" si="20"/>
        <v>0.0357437897014558</v>
      </c>
      <c r="H230" s="134">
        <v>0</v>
      </c>
      <c r="I230" s="135">
        <f t="shared" si="21"/>
        <v>0</v>
      </c>
      <c r="J230" s="144">
        <v>-1.91072</v>
      </c>
      <c r="K230" s="113">
        <f t="shared" si="24"/>
        <v>-0.0282939686958582</v>
      </c>
      <c r="L230" s="113">
        <f t="shared" si="22"/>
        <v>-0.064037758397314</v>
      </c>
      <c r="M230" s="113">
        <f t="shared" si="23"/>
        <v>-0.0282939686958582</v>
      </c>
      <c r="N230" s="136"/>
      <c r="O230" s="112"/>
      <c r="P230" s="137">
        <v>0</v>
      </c>
      <c r="Q230" s="137">
        <v>0</v>
      </c>
    </row>
    <row r="231" spans="2:17">
      <c r="B231" s="87"/>
      <c r="C231" s="146">
        <v>6666010207</v>
      </c>
      <c r="D231" s="146" t="s">
        <v>280</v>
      </c>
      <c r="E231" s="146" t="s">
        <v>729</v>
      </c>
      <c r="F231" s="134">
        <v>0.39858</v>
      </c>
      <c r="G231" s="135">
        <f t="shared" si="20"/>
        <v>0.00426960033421529</v>
      </c>
      <c r="H231" s="134">
        <v>0</v>
      </c>
      <c r="I231" s="135">
        <f t="shared" si="21"/>
        <v>0</v>
      </c>
      <c r="J231" s="144">
        <v>0.35423</v>
      </c>
      <c r="K231" s="113">
        <f t="shared" si="24"/>
        <v>0.00524544283366158</v>
      </c>
      <c r="L231" s="113">
        <f t="shared" si="22"/>
        <v>0.000975842499446287</v>
      </c>
      <c r="M231" s="113">
        <f t="shared" si="23"/>
        <v>0.00524544283366158</v>
      </c>
      <c r="N231" s="136"/>
      <c r="O231" s="112"/>
      <c r="P231" s="137">
        <v>1.659</v>
      </c>
      <c r="Q231" s="137">
        <v>0.0228471485822098</v>
      </c>
    </row>
    <row r="232" spans="2:17">
      <c r="B232" s="87"/>
      <c r="C232" s="146">
        <v>6666010227</v>
      </c>
      <c r="D232" s="146" t="s">
        <v>394</v>
      </c>
      <c r="E232" s="146" t="s">
        <v>730</v>
      </c>
      <c r="F232" s="134">
        <v>0.37806</v>
      </c>
      <c r="G232" s="135">
        <f t="shared" si="20"/>
        <v>0.00404978950863925</v>
      </c>
      <c r="H232" s="134">
        <v>0</v>
      </c>
      <c r="I232" s="135">
        <f t="shared" si="21"/>
        <v>0</v>
      </c>
      <c r="J232" s="144">
        <v>0.39982</v>
      </c>
      <c r="K232" s="113">
        <f t="shared" si="24"/>
        <v>0.00592054019635427</v>
      </c>
      <c r="L232" s="113">
        <f t="shared" si="22"/>
        <v>0.00187075068771502</v>
      </c>
      <c r="M232" s="113">
        <f t="shared" si="23"/>
        <v>0.00592054019635427</v>
      </c>
      <c r="N232" s="136"/>
      <c r="O232" s="112"/>
      <c r="P232" s="137">
        <v>2.081</v>
      </c>
      <c r="Q232" s="137">
        <v>0.0286587801082451</v>
      </c>
    </row>
    <row r="233" spans="2:17">
      <c r="B233" s="87"/>
      <c r="C233" s="146">
        <v>6666010185</v>
      </c>
      <c r="D233" s="146" t="s">
        <v>278</v>
      </c>
      <c r="E233" s="146" t="s">
        <v>808</v>
      </c>
      <c r="F233" s="134"/>
      <c r="G233" s="135"/>
      <c r="H233" s="134"/>
      <c r="I233" s="135"/>
      <c r="J233" s="144">
        <v>-0.10983</v>
      </c>
      <c r="K233" s="113"/>
      <c r="L233" s="113"/>
      <c r="M233" s="113"/>
      <c r="N233" s="136"/>
      <c r="O233" s="112"/>
      <c r="P233" s="137">
        <v>0</v>
      </c>
      <c r="Q233" s="137">
        <v>0</v>
      </c>
    </row>
    <row r="234" spans="2:17">
      <c r="B234" s="73"/>
      <c r="C234" s="138" t="s">
        <v>396</v>
      </c>
      <c r="D234" s="138" t="s">
        <v>286</v>
      </c>
      <c r="E234" s="138" t="s">
        <v>731</v>
      </c>
      <c r="F234" s="134">
        <f>SUM(F228:F232)</f>
        <v>38.23545</v>
      </c>
      <c r="G234" s="135">
        <f t="shared" ref="G234:G243" si="25">F234/$H$27*1000</f>
        <v>0.409579231519073</v>
      </c>
      <c r="H234" s="134">
        <f>SUM(H228:H232)</f>
        <v>53.87238</v>
      </c>
      <c r="I234" s="135">
        <f t="shared" ref="I234:I243" si="26">H234/$J$27*1000</f>
        <v>0.750258581971332</v>
      </c>
      <c r="J234" s="144">
        <f>SUM(J228:J233)</f>
        <v>24.39535</v>
      </c>
      <c r="K234" s="113">
        <f t="shared" ref="K234:K243" si="27">J234*1000/$L$27</f>
        <v>0.361246686706846</v>
      </c>
      <c r="L234" s="113">
        <f t="shared" ref="L234:L245" si="28">K234-G234</f>
        <v>-0.048332544812227</v>
      </c>
      <c r="M234" s="113">
        <f t="shared" ref="M234:M245" si="29">K234-I234</f>
        <v>-0.389011895264487</v>
      </c>
      <c r="N234" s="136"/>
      <c r="O234" s="112"/>
      <c r="P234" s="137">
        <v>0</v>
      </c>
      <c r="Q234" s="137">
        <v>0</v>
      </c>
    </row>
    <row r="235" spans="2:17">
      <c r="B235" s="130" t="s">
        <v>285</v>
      </c>
      <c r="C235" s="146">
        <v>6666010314</v>
      </c>
      <c r="D235" s="146" t="s">
        <v>290</v>
      </c>
      <c r="E235" s="146" t="s">
        <v>732</v>
      </c>
      <c r="F235" s="134">
        <v>0</v>
      </c>
      <c r="G235" s="135">
        <f t="shared" si="25"/>
        <v>0</v>
      </c>
      <c r="H235" s="134">
        <v>0.49185</v>
      </c>
      <c r="I235" s="135">
        <f t="shared" si="26"/>
        <v>0.00684979359632153</v>
      </c>
      <c r="J235" s="144">
        <v>0</v>
      </c>
      <c r="K235" s="113">
        <f t="shared" si="27"/>
        <v>0</v>
      </c>
      <c r="L235" s="113">
        <f t="shared" si="28"/>
        <v>0</v>
      </c>
      <c r="M235" s="113">
        <f t="shared" si="29"/>
        <v>-0.00684979359632153</v>
      </c>
      <c r="N235" s="136"/>
      <c r="O235" s="112"/>
      <c r="P235" s="137">
        <v>0</v>
      </c>
      <c r="Q235" s="137">
        <v>0</v>
      </c>
    </row>
    <row r="236" spans="2:17">
      <c r="B236" s="87"/>
      <c r="C236" s="146">
        <v>6666020401</v>
      </c>
      <c r="D236" s="146" t="s">
        <v>295</v>
      </c>
      <c r="E236" s="146" t="s">
        <v>733</v>
      </c>
      <c r="F236" s="134">
        <v>0.1861</v>
      </c>
      <c r="G236" s="135">
        <f t="shared" si="25"/>
        <v>0.00199350851070667</v>
      </c>
      <c r="H236" s="134">
        <v>1.6593</v>
      </c>
      <c r="I236" s="135">
        <f t="shared" si="26"/>
        <v>0.0231083918153427</v>
      </c>
      <c r="J236" s="144">
        <v>0.0966</v>
      </c>
      <c r="K236" s="113">
        <f t="shared" si="27"/>
        <v>0.00143045416179236</v>
      </c>
      <c r="L236" s="113">
        <f t="shared" si="28"/>
        <v>-0.00056305434891431</v>
      </c>
      <c r="M236" s="113">
        <f t="shared" si="29"/>
        <v>-0.0216779376535503</v>
      </c>
      <c r="N236" s="136"/>
      <c r="O236" s="112"/>
      <c r="P236" s="137">
        <v>0.417</v>
      </c>
      <c r="Q236" s="137">
        <v>0.00574277333259885</v>
      </c>
    </row>
    <row r="237" spans="2:17">
      <c r="B237" s="87"/>
      <c r="C237" s="146">
        <v>6666020502</v>
      </c>
      <c r="D237" s="146" t="s">
        <v>297</v>
      </c>
      <c r="E237" s="146" t="s">
        <v>734</v>
      </c>
      <c r="F237" s="134">
        <v>-0.61077</v>
      </c>
      <c r="G237" s="135">
        <f t="shared" si="25"/>
        <v>-0.00654258566944822</v>
      </c>
      <c r="H237" s="134">
        <v>2.30433</v>
      </c>
      <c r="I237" s="135">
        <f t="shared" si="26"/>
        <v>0.0320914605627968</v>
      </c>
      <c r="J237" s="144">
        <v>0.89593</v>
      </c>
      <c r="K237" s="113">
        <f t="shared" si="27"/>
        <v>0.0132669440701308</v>
      </c>
      <c r="L237" s="113">
        <f t="shared" si="28"/>
        <v>0.019809529739579</v>
      </c>
      <c r="M237" s="113">
        <f t="shared" si="29"/>
        <v>-0.018824516492666</v>
      </c>
      <c r="N237" s="136"/>
      <c r="O237" s="112"/>
      <c r="P237" s="104">
        <v>4.157</v>
      </c>
      <c r="Q237" s="104">
        <v>0.0572487020230537</v>
      </c>
    </row>
    <row r="238" spans="2:17">
      <c r="B238" s="87"/>
      <c r="C238" s="146">
        <v>6666020503</v>
      </c>
      <c r="D238" s="146" t="s">
        <v>299</v>
      </c>
      <c r="E238" s="146" t="s">
        <v>735</v>
      </c>
      <c r="F238" s="134">
        <v>0.007</v>
      </c>
      <c r="G238" s="135">
        <f t="shared" si="25"/>
        <v>7.49841997579082e-5</v>
      </c>
      <c r="H238" s="134">
        <v>0</v>
      </c>
      <c r="I238" s="135">
        <f t="shared" si="26"/>
        <v>0</v>
      </c>
      <c r="J238" s="144">
        <v>0.00521</v>
      </c>
      <c r="K238" s="113">
        <f t="shared" si="27"/>
        <v>7.71497534465653e-5</v>
      </c>
      <c r="L238" s="113">
        <f t="shared" si="28"/>
        <v>2.16555368865713e-6</v>
      </c>
      <c r="M238" s="113">
        <f t="shared" si="29"/>
        <v>7.71497534465653e-5</v>
      </c>
      <c r="N238" s="136"/>
      <c r="O238" s="112"/>
      <c r="P238" s="104">
        <v>221.183</v>
      </c>
      <c r="Q238" s="104">
        <v>3.04605235977029</v>
      </c>
    </row>
    <row r="239" spans="2:17">
      <c r="B239" s="87"/>
      <c r="C239" s="146">
        <v>6666021502</v>
      </c>
      <c r="D239" s="146" t="s">
        <v>301</v>
      </c>
      <c r="E239" s="146" t="s">
        <v>736</v>
      </c>
      <c r="F239" s="134">
        <v>-0.00122</v>
      </c>
      <c r="G239" s="135">
        <f t="shared" si="25"/>
        <v>-1.30686748149497e-5</v>
      </c>
      <c r="H239" s="134">
        <v>0</v>
      </c>
      <c r="I239" s="135">
        <f t="shared" si="26"/>
        <v>0</v>
      </c>
      <c r="J239" s="144">
        <v>2e-5</v>
      </c>
      <c r="K239" s="113">
        <f t="shared" si="27"/>
        <v>2.96160281944588e-7</v>
      </c>
      <c r="L239" s="113">
        <f t="shared" si="28"/>
        <v>1.33648350968943e-5</v>
      </c>
      <c r="M239" s="113">
        <f t="shared" si="29"/>
        <v>2.96160281944588e-7</v>
      </c>
      <c r="N239" s="136"/>
      <c r="O239" s="112"/>
    </row>
    <row r="240" spans="2:17">
      <c r="B240" s="87"/>
      <c r="C240" s="146">
        <v>6666021505</v>
      </c>
      <c r="D240" s="146" t="s">
        <v>403</v>
      </c>
      <c r="E240" s="146" t="s">
        <v>737</v>
      </c>
      <c r="F240" s="134">
        <v>0.06462</v>
      </c>
      <c r="G240" s="135">
        <f t="shared" si="25"/>
        <v>0.000692211284050861</v>
      </c>
      <c r="H240" s="134">
        <v>0</v>
      </c>
      <c r="I240" s="135">
        <f t="shared" si="26"/>
        <v>0</v>
      </c>
      <c r="J240" s="144">
        <v>0</v>
      </c>
      <c r="K240" s="113">
        <f t="shared" si="27"/>
        <v>0</v>
      </c>
      <c r="L240" s="113">
        <f t="shared" si="28"/>
        <v>-0.000692211284050861</v>
      </c>
      <c r="M240" s="113">
        <f t="shared" si="29"/>
        <v>0</v>
      </c>
      <c r="N240" s="136"/>
      <c r="O240" s="112"/>
    </row>
    <row r="241" spans="2:18">
      <c r="B241" s="87"/>
      <c r="C241" s="146">
        <v>6666091600</v>
      </c>
      <c r="D241" s="146" t="s">
        <v>310</v>
      </c>
      <c r="E241" s="146" t="s">
        <v>738</v>
      </c>
      <c r="F241" s="134">
        <v>0</v>
      </c>
      <c r="G241" s="135">
        <f t="shared" si="25"/>
        <v>0</v>
      </c>
      <c r="H241" s="134">
        <v>0.41657</v>
      </c>
      <c r="I241" s="135">
        <f t="shared" si="26"/>
        <v>0.00580139985446713</v>
      </c>
      <c r="J241" s="144">
        <v>0</v>
      </c>
      <c r="K241" s="113">
        <f t="shared" si="27"/>
        <v>0</v>
      </c>
      <c r="L241" s="113">
        <f t="shared" si="28"/>
        <v>0</v>
      </c>
      <c r="M241" s="113">
        <f t="shared" si="29"/>
        <v>-0.00580139985446713</v>
      </c>
      <c r="N241" s="136"/>
      <c r="O241" s="112"/>
    </row>
    <row r="242" spans="2:18">
      <c r="B242" s="73"/>
      <c r="C242" s="138" t="s">
        <v>26</v>
      </c>
      <c r="D242" s="138" t="s">
        <v>313</v>
      </c>
      <c r="E242" s="138" t="s">
        <v>314</v>
      </c>
      <c r="F242" s="134">
        <f>SUM(F235:F241)</f>
        <v>-0.35427</v>
      </c>
      <c r="G242" s="135">
        <f t="shared" si="25"/>
        <v>-0.00379495034974773</v>
      </c>
      <c r="H242" s="134">
        <f>SUM(H235:H241)</f>
        <v>4.87205</v>
      </c>
      <c r="I242" s="135">
        <f t="shared" si="26"/>
        <v>0.0678510458289281</v>
      </c>
      <c r="J242" s="144">
        <f>SUM(J235:J241)</f>
        <v>0.99776</v>
      </c>
      <c r="K242" s="113">
        <f t="shared" si="27"/>
        <v>0.0147748441456516</v>
      </c>
      <c r="L242" s="113">
        <f t="shared" si="28"/>
        <v>0.0185697944953994</v>
      </c>
      <c r="M242" s="113">
        <f t="shared" si="29"/>
        <v>-0.0530762016832765</v>
      </c>
      <c r="N242" s="136"/>
      <c r="O242" s="112"/>
    </row>
    <row r="243" spans="2:18">
      <c r="B243" s="130"/>
      <c r="C243" s="147"/>
      <c r="D243" s="147"/>
      <c r="E243" s="148" t="s">
        <v>739</v>
      </c>
      <c r="F243" s="134">
        <f>F242+F234+F227+F224+F221+F219+F168+F165</f>
        <v>388.80805</v>
      </c>
      <c r="G243" s="135">
        <f t="shared" si="25"/>
        <v>4.16492292695468</v>
      </c>
      <c r="H243" s="134">
        <f>H242+H234+H227+H224+H221+H219+H168+H165</f>
        <v>215.297953121563</v>
      </c>
      <c r="I243" s="135">
        <f t="shared" si="26"/>
        <v>2.99836645439304</v>
      </c>
      <c r="J243" s="144">
        <f>J242+J234+J227+J224+J221+J219+J168+J165</f>
        <v>304.39358</v>
      </c>
      <c r="K243" s="113">
        <f t="shared" si="27"/>
        <v>4.50746442374613</v>
      </c>
      <c r="L243" s="113">
        <f t="shared" si="28"/>
        <v>0.342541496791454</v>
      </c>
      <c r="M243" s="113">
        <f t="shared" si="29"/>
        <v>1.50909796935309</v>
      </c>
      <c r="N243" s="136"/>
      <c r="O243" s="112"/>
      <c r="P243" s="104">
        <v>221.183</v>
      </c>
      <c r="Q243" s="104">
        <v>3.04605235977029</v>
      </c>
      <c r="R243" s="104">
        <f>J243-P243</f>
        <v>83.21058</v>
      </c>
    </row>
    <row r="244" spans="2:18">
      <c r="F244" s="143"/>
      <c r="G244" s="143"/>
      <c r="H244" s="143"/>
      <c r="I244" s="143"/>
      <c r="J244" s="143"/>
      <c r="K244" s="113"/>
      <c r="L244" s="113">
        <f t="shared" si="28"/>
        <v>0</v>
      </c>
      <c r="M244" s="113">
        <f t="shared" si="29"/>
        <v>0</v>
      </c>
    </row>
    <row r="245" spans="2:18">
      <c r="B245" s="130"/>
      <c r="C245" s="147"/>
      <c r="D245" s="147"/>
      <c r="E245" s="149" t="s">
        <v>741</v>
      </c>
      <c r="F245" s="114">
        <f>F243+F159</f>
        <v>2816.02326</v>
      </c>
      <c r="G245" s="135">
        <f>F245/$H$27*1000</f>
        <v>30.1653215215365</v>
      </c>
      <c r="H245" s="114">
        <f>H243+H159</f>
        <v>2562.05867813143</v>
      </c>
      <c r="I245" s="135">
        <f>H245/J27*1000</f>
        <v>35.6807423541012</v>
      </c>
      <c r="J245" s="114">
        <f>J243+J159</f>
        <v>2105.32238</v>
      </c>
      <c r="K245" s="113">
        <f>J245*1000/$L$27</f>
        <v>31.1756434822526</v>
      </c>
      <c r="L245" s="113">
        <f t="shared" si="28"/>
        <v>1.01032196071605</v>
      </c>
      <c r="M245" s="113">
        <f t="shared" si="29"/>
        <v>-4.50509887184858</v>
      </c>
      <c r="N245" s="136"/>
      <c r="O245" s="112"/>
      <c r="P245" s="114">
        <f>1945</f>
        <v>1945</v>
      </c>
      <c r="R245" s="104">
        <f>J245-P245</f>
        <v>160.32238</v>
      </c>
    </row>
  </sheetData>
  <autoFilter xmlns:etc="http://www.wps.cn/officeDocument/2017/etCustomData" ref="A28:S245" etc:filterBottomFollowUsedRange="0">
    <extLst/>
  </autoFilter>
  <mergeCells count="28">
    <mergeCell ref="C1:I1"/>
    <mergeCell ref="B26:E26"/>
    <mergeCell ref="A5:A10"/>
    <mergeCell ref="A12:A25"/>
    <mergeCell ref="B27:B28"/>
    <mergeCell ref="B29:B38"/>
    <mergeCell ref="B39:B47"/>
    <mergeCell ref="B48:B52"/>
    <mergeCell ref="B53:B111"/>
    <mergeCell ref="B112:B116"/>
    <mergeCell ref="B117:B118"/>
    <mergeCell ref="B119:B120"/>
    <mergeCell ref="B121:B122"/>
    <mergeCell ref="B123:B126"/>
    <mergeCell ref="B127:B134"/>
    <mergeCell ref="B135:B142"/>
    <mergeCell ref="B144:B158"/>
    <mergeCell ref="B161:B165"/>
    <mergeCell ref="B166:B168"/>
    <mergeCell ref="B169:B219"/>
    <mergeCell ref="B220:B221"/>
    <mergeCell ref="B222:B224"/>
    <mergeCell ref="B225:B227"/>
    <mergeCell ref="B228:B234"/>
    <mergeCell ref="B235:B242"/>
    <mergeCell ref="C27:C28"/>
    <mergeCell ref="D27:D28"/>
    <mergeCell ref="E27:E28"/>
  </mergeCells>
  <conditionalFormatting sqref="C218">
    <cfRule type="duplicateValues" dxfId="1" priority="1"/>
  </conditionalFormatting>
  <conditionalFormatting sqref="L29:L244">
    <cfRule type="cellIs" dxfId="0" priority="2" operator="greaterThan">
      <formula>0.5</formula>
    </cfRule>
  </conditionalFormatting>
  <conditionalFormatting sqref="C161:C217 C219:C220 C222:C242">
    <cfRule type="duplicateValues" dxfId="1" priority="3"/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6"/>
  <sheetViews>
    <sheetView tabSelected="1" zoomScale="70" zoomScaleNormal="70" workbookViewId="0">
      <selection activeCell="F46" sqref="F46"/>
    </sheetView>
  </sheetViews>
  <sheetFormatPr defaultColWidth="9" defaultRowHeight="14.4"/>
  <cols>
    <col min="1" max="1" width="9" style="49" customWidth="1"/>
    <col min="2" max="2" width="24.2222222222222" style="50" customWidth="1"/>
    <col min="3" max="3" width="13.2222222222222" style="49" customWidth="1"/>
    <col min="4" max="4" width="61" style="49" customWidth="1"/>
    <col min="5" max="5" width="44.5555555555556" style="49" customWidth="1"/>
    <col min="6" max="6" width="13" style="49" customWidth="1"/>
    <col min="7" max="7" width="19.4444444444444" style="49" customWidth="1"/>
    <col min="8" max="8" width="18" style="49" customWidth="1"/>
    <col min="9" max="9" width="13.3333333333333" style="49" customWidth="1"/>
    <col min="10" max="10" width="14.3333333333333" style="49" customWidth="1"/>
    <col min="11" max="11" width="13.3333333333333" style="49" customWidth="1"/>
    <col min="12" max="12" width="10" style="49" customWidth="1"/>
    <col min="13" max="13" width="10.2222222222222" style="49" customWidth="1"/>
    <col min="14" max="14" width="17.2222222222222" style="51" hidden="1" customWidth="1"/>
    <col min="15" max="15" width="20.1111111111111" style="49" hidden="1" customWidth="1"/>
    <col min="16" max="16" width="16.8888888888889" style="49" customWidth="1"/>
    <col min="17" max="17" width="14.6666666666667" style="49" customWidth="1"/>
    <col min="18" max="18" width="14.3333333333333" style="49" customWidth="1"/>
    <col min="19" max="19" width="18.6666666666667" style="49" customWidth="1"/>
    <col min="20" max="20" width="9" style="49" customWidth="1"/>
    <col min="21" max="16384" width="9" style="49"/>
  </cols>
  <sheetData>
    <row r="1" ht="202.95" customHeight="1" spans="1:9">
      <c r="C1" s="52" t="s">
        <v>809</v>
      </c>
    </row>
    <row r="2" ht="15" customHeight="1" spans="1:9">
      <c r="A2" s="53" t="s">
        <v>535</v>
      </c>
      <c r="B2" s="54" t="s">
        <v>1</v>
      </c>
      <c r="C2" s="54" t="s">
        <v>425</v>
      </c>
      <c r="D2" s="54" t="s">
        <v>773</v>
      </c>
      <c r="E2" s="55" t="s">
        <v>538</v>
      </c>
      <c r="F2" s="55" t="s">
        <v>539</v>
      </c>
      <c r="G2" s="55" t="s">
        <v>540</v>
      </c>
      <c r="H2" s="55" t="s">
        <v>541</v>
      </c>
      <c r="I2" s="55" t="s">
        <v>542</v>
      </c>
    </row>
    <row r="3" ht="15" customHeight="1" spans="1:9">
      <c r="A3" s="56" t="s">
        <v>501</v>
      </c>
      <c r="B3" s="57" t="s">
        <v>543</v>
      </c>
      <c r="C3" s="58">
        <f>H26</f>
        <v>75092</v>
      </c>
      <c r="D3" s="58">
        <f>J26</f>
        <v>110105.083333333</v>
      </c>
      <c r="E3" s="59">
        <f>L26</f>
        <v>102272</v>
      </c>
      <c r="F3" s="60">
        <f t="shared" ref="F3:F25" si="0">E3-D3</f>
        <v>-7833.0833333333</v>
      </c>
      <c r="G3" s="60">
        <f t="shared" ref="G3:G25" si="1">E3-C3</f>
        <v>27180</v>
      </c>
      <c r="H3" s="61"/>
      <c r="I3" s="59"/>
    </row>
    <row r="4" ht="15.9" customHeight="1" spans="1:9">
      <c r="A4" s="56" t="s">
        <v>544</v>
      </c>
      <c r="B4" s="57" t="s">
        <v>545</v>
      </c>
      <c r="C4" s="59">
        <v>18</v>
      </c>
      <c r="D4" s="59">
        <v>22</v>
      </c>
      <c r="E4" s="59">
        <v>22</v>
      </c>
      <c r="F4" s="60">
        <f t="shared" si="0"/>
        <v>0</v>
      </c>
      <c r="G4" s="60">
        <f t="shared" si="1"/>
        <v>4</v>
      </c>
      <c r="H4" s="61"/>
      <c r="I4" s="59"/>
    </row>
    <row r="5" ht="15" customHeight="1" spans="1:9">
      <c r="A5" s="62"/>
      <c r="B5" s="57" t="s">
        <v>547</v>
      </c>
      <c r="C5" s="63">
        <v>260</v>
      </c>
      <c r="D5" s="63">
        <v>265</v>
      </c>
      <c r="E5" s="63">
        <v>265</v>
      </c>
      <c r="F5" s="60">
        <f t="shared" si="0"/>
        <v>0</v>
      </c>
      <c r="G5" s="60">
        <f t="shared" si="1"/>
        <v>5</v>
      </c>
      <c r="H5" s="61"/>
      <c r="I5" s="59"/>
    </row>
    <row r="6" ht="15" customHeight="1" spans="1:9">
      <c r="B6" s="57" t="s">
        <v>548</v>
      </c>
      <c r="C6" s="63">
        <f>F44*1000/C5</f>
        <v>1836.94796153846</v>
      </c>
      <c r="D6" s="63">
        <f>H44*1000/D5</f>
        <v>1899.2756678968</v>
      </c>
      <c r="E6" s="63">
        <f>(J46+J44)*1000/E5</f>
        <v>1959.52109433962</v>
      </c>
      <c r="F6" s="60">
        <f t="shared" si="0"/>
        <v>60.2454264428184</v>
      </c>
      <c r="G6" s="60">
        <f t="shared" si="1"/>
        <v>122.573132801161</v>
      </c>
      <c r="H6" s="64">
        <f>(E6-C6)/C6</f>
        <v>0.0667265134165831</v>
      </c>
      <c r="I6" s="59"/>
    </row>
    <row r="7" ht="15" customHeight="1" spans="1:9">
      <c r="B7" s="57" t="s">
        <v>250</v>
      </c>
      <c r="C7" s="63">
        <v>148</v>
      </c>
      <c r="D7" s="63">
        <v>127</v>
      </c>
      <c r="E7" s="63">
        <v>127</v>
      </c>
      <c r="F7" s="60">
        <f t="shared" si="0"/>
        <v>0</v>
      </c>
      <c r="G7" s="60">
        <f t="shared" si="1"/>
        <v>-21</v>
      </c>
      <c r="H7" s="61"/>
      <c r="I7" s="59"/>
    </row>
    <row r="8" ht="15" customHeight="1" spans="1:9">
      <c r="B8" s="57" t="s">
        <v>549</v>
      </c>
      <c r="C8" s="63">
        <f>(F131+F134)*1000/C7</f>
        <v>1776.0927027027</v>
      </c>
      <c r="D8" s="63">
        <f>(H134+H131)*1000/D7</f>
        <v>2070.75679567569</v>
      </c>
      <c r="E8" s="60">
        <f>J134*1000/E7</f>
        <v>2179.4974015748</v>
      </c>
      <c r="F8" s="60">
        <f t="shared" si="0"/>
        <v>108.740605899115</v>
      </c>
      <c r="G8" s="60">
        <f t="shared" si="1"/>
        <v>403.4046988721</v>
      </c>
      <c r="H8" s="61"/>
      <c r="I8" s="59"/>
    </row>
    <row r="9" ht="15" customHeight="1" spans="1:9">
      <c r="B9" s="57" t="s">
        <v>550</v>
      </c>
      <c r="C9" s="63">
        <v>35</v>
      </c>
      <c r="D9" s="63">
        <v>28</v>
      </c>
      <c r="E9" s="63">
        <v>28</v>
      </c>
      <c r="F9" s="60">
        <f t="shared" si="0"/>
        <v>0</v>
      </c>
      <c r="G9" s="60">
        <f t="shared" si="1"/>
        <v>-7</v>
      </c>
      <c r="H9" s="61"/>
      <c r="I9" s="59"/>
    </row>
    <row r="10" ht="15" customHeight="1" spans="1:9">
      <c r="A10" s="65"/>
      <c r="B10" s="57" t="s">
        <v>551</v>
      </c>
      <c r="C10" s="63">
        <f>(F137+F138)*1000/C9</f>
        <v>3732.82114285714</v>
      </c>
      <c r="D10" s="63">
        <f>H137*1000/D9</f>
        <v>4581.03360682329</v>
      </c>
      <c r="E10" s="60">
        <f>(J137+J138)*1000/E9</f>
        <v>3280.3225</v>
      </c>
      <c r="F10" s="60">
        <f t="shared" si="0"/>
        <v>-1300.71110682329</v>
      </c>
      <c r="G10" s="60">
        <f t="shared" si="1"/>
        <v>-452.498642857143</v>
      </c>
      <c r="H10" s="61"/>
      <c r="I10" s="59"/>
    </row>
    <row r="11" ht="15.9" customHeight="1" spans="1:9">
      <c r="A11" s="56" t="s">
        <v>552</v>
      </c>
      <c r="B11" s="57" t="s">
        <v>527</v>
      </c>
      <c r="C11" s="60">
        <f>C3/C5/C4/7.5</f>
        <v>2.13937321937322</v>
      </c>
      <c r="D11" s="60">
        <f>D3/D5/D4/7.5</f>
        <v>2.51812654850391</v>
      </c>
      <c r="E11" s="60">
        <f>E3/E5/E4/7.5</f>
        <v>2.33898227558605</v>
      </c>
      <c r="F11" s="60">
        <f t="shared" si="0"/>
        <v>-0.179144272917857</v>
      </c>
      <c r="G11" s="60">
        <f t="shared" si="1"/>
        <v>0.19960905621283</v>
      </c>
      <c r="H11" s="61"/>
      <c r="I11" s="59"/>
    </row>
    <row r="12" ht="15" customHeight="1" spans="1:9">
      <c r="A12" s="56" t="s">
        <v>450</v>
      </c>
      <c r="B12" s="57" t="s">
        <v>553</v>
      </c>
      <c r="C12" s="60">
        <f>SUM(C13:C25)</f>
        <v>36.5272200767059</v>
      </c>
      <c r="D12" s="60">
        <f>SUM(D13:D25)</f>
        <v>23.1504014686442</v>
      </c>
      <c r="E12" s="60">
        <f>SUM(E13:E25)</f>
        <v>21.8423994837297</v>
      </c>
      <c r="F12" s="60">
        <f t="shared" si="0"/>
        <v>-1.30800198491453</v>
      </c>
      <c r="G12" s="60">
        <f t="shared" si="1"/>
        <v>-14.6848205929762</v>
      </c>
      <c r="H12" s="61">
        <f t="shared" ref="H12:H25" si="2">G12*$E$3</f>
        <v>-1501845.97168487</v>
      </c>
      <c r="I12" s="59"/>
    </row>
    <row r="13" ht="15" customHeight="1" spans="1:9">
      <c r="B13" s="57" t="s">
        <v>759</v>
      </c>
      <c r="C13" s="60">
        <f>G38</f>
        <v>13.8227464976296</v>
      </c>
      <c r="D13" s="60">
        <f>I38</f>
        <v>7.46457752239653</v>
      </c>
      <c r="E13" s="60">
        <f>K38</f>
        <v>5.7294734629224</v>
      </c>
      <c r="F13" s="60">
        <f t="shared" si="0"/>
        <v>-1.73510405947413</v>
      </c>
      <c r="G13" s="60">
        <f t="shared" si="1"/>
        <v>-8.09327303470717</v>
      </c>
      <c r="H13" s="61">
        <f t="shared" si="2"/>
        <v>-827715.219805572</v>
      </c>
      <c r="I13" s="59"/>
    </row>
    <row r="14" ht="15" customHeight="1" spans="1:9">
      <c r="B14" s="57" t="s">
        <v>554</v>
      </c>
      <c r="C14" s="60">
        <f>G112</f>
        <v>1.09437410110265</v>
      </c>
      <c r="D14" s="60">
        <f>I112</f>
        <v>0.843876683053286</v>
      </c>
      <c r="E14" s="60">
        <f>K112</f>
        <v>0.920287859824781</v>
      </c>
      <c r="F14" s="60">
        <f t="shared" si="0"/>
        <v>0.076411176771495</v>
      </c>
      <c r="G14" s="60">
        <f t="shared" si="1"/>
        <v>-0.174086241277866</v>
      </c>
      <c r="H14" s="61">
        <f t="shared" si="2"/>
        <v>-17804.1480679699</v>
      </c>
      <c r="I14" s="59"/>
    </row>
    <row r="15" ht="15" customHeight="1" spans="1:9">
      <c r="B15" s="57" t="s">
        <v>223</v>
      </c>
      <c r="C15" s="60">
        <f>G119</f>
        <v>0.11360664251851</v>
      </c>
      <c r="D15" s="60">
        <f>I119</f>
        <v>0.11352791007984</v>
      </c>
      <c r="E15" s="60">
        <f>K119</f>
        <v>0.586768617021277</v>
      </c>
      <c r="F15" s="60">
        <f t="shared" si="0"/>
        <v>0.473240706941436</v>
      </c>
      <c r="G15" s="60">
        <f t="shared" si="1"/>
        <v>0.473161974502766</v>
      </c>
      <c r="H15" s="61">
        <f t="shared" si="2"/>
        <v>48391.2214563469</v>
      </c>
      <c r="I15" s="59"/>
    </row>
    <row r="16" ht="15" customHeight="1" spans="1:9">
      <c r="B16" s="57" t="s">
        <v>555</v>
      </c>
      <c r="C16" s="60">
        <f>G123</f>
        <v>0.269673999893464</v>
      </c>
      <c r="D16" s="60">
        <f>I123</f>
        <v>0.247520807312755</v>
      </c>
      <c r="E16" s="60">
        <f>K123</f>
        <v>0.289701873435544</v>
      </c>
      <c r="F16" s="60">
        <f t="shared" si="0"/>
        <v>0.0421810661227892</v>
      </c>
      <c r="G16" s="60">
        <f t="shared" si="1"/>
        <v>0.0200278735420804</v>
      </c>
      <c r="H16" s="61">
        <f t="shared" si="2"/>
        <v>2048.29068289565</v>
      </c>
      <c r="I16" s="59"/>
    </row>
    <row r="17" ht="15" customHeight="1" spans="1:19">
      <c r="B17" s="57" t="s">
        <v>556</v>
      </c>
      <c r="C17" s="60">
        <f>G135</f>
        <v>4.42460435199489</v>
      </c>
      <c r="D17" s="60">
        <f>I135</f>
        <v>3.1465109917412</v>
      </c>
      <c r="E17" s="60">
        <f>K135</f>
        <v>3.43069276048185</v>
      </c>
      <c r="F17" s="60">
        <f t="shared" si="0"/>
        <v>0.28418176874065</v>
      </c>
      <c r="G17" s="60">
        <f t="shared" si="1"/>
        <v>-0.993911591513034</v>
      </c>
      <c r="H17" s="61">
        <f t="shared" si="2"/>
        <v>-101649.326287221</v>
      </c>
      <c r="I17" s="59"/>
    </row>
    <row r="18" ht="15" customHeight="1" spans="1:19">
      <c r="B18" s="57" t="s">
        <v>557</v>
      </c>
      <c r="C18" s="60">
        <f>G143</f>
        <v>2.04827757950248</v>
      </c>
      <c r="D18" s="60">
        <f>I143</f>
        <v>1.35639761861236</v>
      </c>
      <c r="E18" s="60">
        <f>K143</f>
        <v>1.11244143069462</v>
      </c>
      <c r="F18" s="60">
        <f t="shared" si="0"/>
        <v>-0.243956187917744</v>
      </c>
      <c r="G18" s="60">
        <f t="shared" si="1"/>
        <v>-0.935836148807859</v>
      </c>
      <c r="H18" s="61">
        <f t="shared" si="2"/>
        <v>-95709.8346108773</v>
      </c>
      <c r="I18" s="59"/>
    </row>
    <row r="19" ht="15" customHeight="1" spans="1:19">
      <c r="B19" s="57" t="s">
        <v>558</v>
      </c>
      <c r="C19" s="60">
        <f>G159</f>
        <v>1.68182203164119</v>
      </c>
      <c r="D19" s="60">
        <f>I159</f>
        <v>1.53181245530518</v>
      </c>
      <c r="E19" s="60">
        <f>K159</f>
        <v>1.64438604896746</v>
      </c>
      <c r="F19" s="60">
        <f t="shared" si="0"/>
        <v>0.11257359366228</v>
      </c>
      <c r="G19" s="60">
        <f t="shared" si="1"/>
        <v>-0.0374359826737274</v>
      </c>
      <c r="H19" s="61">
        <f t="shared" si="2"/>
        <v>-3828.65282000745</v>
      </c>
      <c r="I19" s="59"/>
    </row>
    <row r="20" ht="15" customHeight="1" spans="1:19">
      <c r="B20" s="57" t="s">
        <v>78</v>
      </c>
      <c r="C20" s="60">
        <f>G47</f>
        <v>7.94255726309061</v>
      </c>
      <c r="D20" s="60">
        <f>I47</f>
        <v>5.51908983690975</v>
      </c>
      <c r="E20" s="60">
        <f>K47</f>
        <v>6.43402446417397</v>
      </c>
      <c r="F20" s="60">
        <f t="shared" si="0"/>
        <v>0.914934627264217</v>
      </c>
      <c r="G20" s="60">
        <f t="shared" si="1"/>
        <v>-1.50853279891664</v>
      </c>
      <c r="H20" s="61">
        <f t="shared" si="2"/>
        <v>-154280.666410803</v>
      </c>
      <c r="I20" s="59"/>
    </row>
    <row r="21" ht="15" customHeight="1" spans="1:19">
      <c r="B21" s="57" t="s">
        <v>99</v>
      </c>
      <c r="C21" s="60">
        <f>G52</f>
        <v>0.529083257870346</v>
      </c>
      <c r="D21" s="60">
        <f>I52</f>
        <v>0.572059025470815</v>
      </c>
      <c r="E21" s="60">
        <f>K52</f>
        <v>0.491465992647059</v>
      </c>
      <c r="F21" s="60">
        <f t="shared" si="0"/>
        <v>-0.0805930328237559</v>
      </c>
      <c r="G21" s="60">
        <f t="shared" si="1"/>
        <v>-0.037617265223287</v>
      </c>
      <c r="H21" s="61">
        <f t="shared" si="2"/>
        <v>-3847.192948916</v>
      </c>
      <c r="I21" s="59"/>
    </row>
    <row r="22" ht="15" customHeight="1" spans="1:19">
      <c r="B22" s="57" t="s">
        <v>559</v>
      </c>
      <c r="C22" s="60">
        <f>G117</f>
        <v>0.0551787141106909</v>
      </c>
      <c r="D22" s="60">
        <f>I117</f>
        <v>0.286283448028158</v>
      </c>
      <c r="E22" s="60">
        <f>K117</f>
        <v>0.197966696652065</v>
      </c>
      <c r="F22" s="60">
        <f t="shared" si="0"/>
        <v>-0.0883167513760929</v>
      </c>
      <c r="G22" s="60">
        <f t="shared" si="1"/>
        <v>0.142787982541374</v>
      </c>
      <c r="H22" s="61">
        <f t="shared" si="2"/>
        <v>14603.2125504714</v>
      </c>
      <c r="I22" s="59"/>
    </row>
    <row r="23" ht="15" customHeight="1" spans="1:19">
      <c r="B23" s="57" t="s">
        <v>228</v>
      </c>
      <c r="C23" s="60">
        <f>G121</f>
        <v>-1.29668979385287</v>
      </c>
      <c r="D23" s="60">
        <f>I121</f>
        <v>-0.670123156826024</v>
      </c>
      <c r="E23" s="60">
        <f>K121</f>
        <v>-0.958831840581977</v>
      </c>
      <c r="F23" s="60">
        <f t="shared" si="0"/>
        <v>-0.288708683755954</v>
      </c>
      <c r="G23" s="60">
        <f t="shared" si="1"/>
        <v>0.337857953270896</v>
      </c>
      <c r="H23" s="61">
        <f t="shared" si="2"/>
        <v>34553.4085969211</v>
      </c>
      <c r="I23" s="59"/>
    </row>
    <row r="24" ht="15" customHeight="1" spans="1:19">
      <c r="B24" s="57" t="s">
        <v>560</v>
      </c>
      <c r="C24" s="60">
        <f>G127</f>
        <v>0.560237974750972</v>
      </c>
      <c r="D24" s="60">
        <f>I127</f>
        <v>0.787171759826915</v>
      </c>
      <c r="E24" s="60">
        <f>K127</f>
        <v>0.421252737797246</v>
      </c>
      <c r="F24" s="60">
        <f t="shared" si="0"/>
        <v>-0.365919022029669</v>
      </c>
      <c r="G24" s="60">
        <f t="shared" si="1"/>
        <v>-0.138985236953726</v>
      </c>
      <c r="H24" s="61">
        <f t="shared" si="2"/>
        <v>-14214.2981537314</v>
      </c>
      <c r="I24" s="59"/>
    </row>
    <row r="25" ht="15" customHeight="1" spans="1:19">
      <c r="A25" s="65"/>
      <c r="B25" s="57" t="s">
        <v>775</v>
      </c>
      <c r="C25" s="60">
        <f>G244</f>
        <v>5.28174745645342</v>
      </c>
      <c r="D25" s="60">
        <f>I244</f>
        <v>1.95169656673342</v>
      </c>
      <c r="E25" s="60">
        <f>K244</f>
        <v>1.54276937969337</v>
      </c>
      <c r="F25" s="60">
        <f t="shared" si="0"/>
        <v>-0.408927187040051</v>
      </c>
      <c r="G25" s="60">
        <f t="shared" si="1"/>
        <v>-3.73897807676005</v>
      </c>
      <c r="H25" s="61">
        <f t="shared" si="2"/>
        <v>-382392.765866404</v>
      </c>
      <c r="I25" s="59"/>
    </row>
    <row r="26" ht="16.5" customHeight="1" spans="1:19">
      <c r="B26" s="66" t="s">
        <v>563</v>
      </c>
      <c r="C26" s="66" t="s">
        <v>784</v>
      </c>
      <c r="D26" s="66" t="s">
        <v>565</v>
      </c>
      <c r="E26" s="66" t="s">
        <v>566</v>
      </c>
      <c r="F26" s="67" t="s">
        <v>760</v>
      </c>
      <c r="G26" s="68" t="s">
        <v>761</v>
      </c>
      <c r="H26" s="69">
        <v>75092</v>
      </c>
      <c r="I26" s="70" t="s">
        <v>762</v>
      </c>
      <c r="J26" s="68">
        <v>110105.083333333</v>
      </c>
      <c r="K26" s="68" t="s">
        <v>776</v>
      </c>
      <c r="L26" s="71">
        <v>102272</v>
      </c>
      <c r="M26" s="68"/>
      <c r="N26" s="72"/>
      <c r="O26" s="68"/>
    </row>
    <row r="27" ht="39.6" customHeight="1" spans="1:19">
      <c r="B27" s="73"/>
      <c r="C27" s="73"/>
      <c r="D27" s="73"/>
      <c r="E27" s="73"/>
      <c r="F27" s="74" t="s">
        <v>571</v>
      </c>
      <c r="G27" s="74" t="s">
        <v>572</v>
      </c>
      <c r="H27" s="74" t="s">
        <v>573</v>
      </c>
      <c r="I27" s="75" t="s">
        <v>574</v>
      </c>
      <c r="J27" s="74" t="s">
        <v>575</v>
      </c>
      <c r="K27" s="74" t="s">
        <v>576</v>
      </c>
      <c r="L27" s="76" t="s">
        <v>577</v>
      </c>
      <c r="M27" s="74" t="s">
        <v>763</v>
      </c>
      <c r="N27" s="77" t="s">
        <v>764</v>
      </c>
      <c r="O27" s="78" t="s">
        <v>580</v>
      </c>
      <c r="P27" s="74" t="s">
        <v>785</v>
      </c>
      <c r="Q27" s="77" t="s">
        <v>786</v>
      </c>
      <c r="R27" s="74" t="s">
        <v>787</v>
      </c>
      <c r="S27" s="77" t="s">
        <v>788</v>
      </c>
    </row>
    <row r="28" spans="1:19">
      <c r="B28" s="79" t="s">
        <v>55</v>
      </c>
      <c r="C28" s="80">
        <v>6666110101</v>
      </c>
      <c r="D28" s="80" t="s">
        <v>56</v>
      </c>
      <c r="E28" s="80" t="s">
        <v>57</v>
      </c>
      <c r="F28" s="81">
        <v>72.46672</v>
      </c>
      <c r="G28" s="82">
        <f t="shared" ref="G28:G92" si="3">F28/$H$26*1000</f>
        <v>0.965039151973579</v>
      </c>
      <c r="H28" s="81">
        <v>71.8093718509899</v>
      </c>
      <c r="I28" s="83">
        <f t="shared" ref="I28:I92" si="4">H28/$J$26*1000</f>
        <v>0.65218943283112</v>
      </c>
      <c r="J28" s="84">
        <v>49.43846</v>
      </c>
      <c r="K28" s="60">
        <f t="shared" ref="K28:K92" si="5">J28*1000/$L$26</f>
        <v>0.483401713078849</v>
      </c>
      <c r="L28" s="60">
        <f t="shared" ref="L28:L92" si="6">K28-G28</f>
        <v>-0.48163743889473</v>
      </c>
      <c r="M28" s="60">
        <f t="shared" ref="M28:M92" si="7">K28-I28</f>
        <v>-0.168787719752272</v>
      </c>
      <c r="N28" s="85"/>
      <c r="O28" s="59"/>
      <c r="P28" s="86">
        <v>23.577175869973</v>
      </c>
      <c r="Q28" s="86">
        <v>0.324696347347899</v>
      </c>
    </row>
    <row r="29" spans="1:19">
      <c r="B29" s="87"/>
      <c r="C29" s="80">
        <v>6666110106</v>
      </c>
      <c r="D29" s="80" t="s">
        <v>58</v>
      </c>
      <c r="E29" s="80" t="s">
        <v>59</v>
      </c>
      <c r="F29" s="81">
        <v>0</v>
      </c>
      <c r="G29" s="82">
        <f t="shared" si="3"/>
        <v>0</v>
      </c>
      <c r="H29" s="81">
        <v>0</v>
      </c>
      <c r="I29" s="83">
        <f t="shared" si="4"/>
        <v>0</v>
      </c>
      <c r="J29" s="88">
        <v>0</v>
      </c>
      <c r="K29" s="60">
        <f t="shared" si="5"/>
        <v>0</v>
      </c>
      <c r="L29" s="60">
        <f t="shared" si="6"/>
        <v>0</v>
      </c>
      <c r="M29" s="60">
        <f t="shared" si="7"/>
        <v>0</v>
      </c>
      <c r="N29" s="85"/>
      <c r="O29" s="59"/>
      <c r="P29" s="86">
        <v>0</v>
      </c>
      <c r="Q29" s="86">
        <v>0</v>
      </c>
    </row>
    <row r="30" spans="1:19">
      <c r="B30" s="87"/>
      <c r="C30" s="80">
        <v>6666110107</v>
      </c>
      <c r="D30" s="80" t="s">
        <v>60</v>
      </c>
      <c r="E30" s="80" t="s">
        <v>61</v>
      </c>
      <c r="F30" s="81">
        <v>215.15602</v>
      </c>
      <c r="G30" s="82">
        <f t="shared" si="3"/>
        <v>2.86523224844191</v>
      </c>
      <c r="H30" s="81">
        <v>213.841118963794</v>
      </c>
      <c r="I30" s="83">
        <f t="shared" si="4"/>
        <v>1.94215482600752</v>
      </c>
      <c r="J30" s="88">
        <v>-93.11553</v>
      </c>
      <c r="K30" s="60">
        <f t="shared" si="5"/>
        <v>-0.910469434449312</v>
      </c>
      <c r="L30" s="60">
        <f t="shared" si="6"/>
        <v>-3.77570168289122</v>
      </c>
      <c r="M30" s="60">
        <f t="shared" si="7"/>
        <v>-2.85262426045684</v>
      </c>
      <c r="N30" s="85"/>
      <c r="O30" s="59"/>
      <c r="P30" s="86">
        <v>54.6901273531817</v>
      </c>
      <c r="Q30" s="86">
        <v>0.753172673669752</v>
      </c>
    </row>
    <row r="31" spans="1:19">
      <c r="B31" s="87"/>
      <c r="C31" s="80">
        <v>6666110110</v>
      </c>
      <c r="D31" s="80" t="s">
        <v>62</v>
      </c>
      <c r="E31" s="80" t="s">
        <v>581</v>
      </c>
      <c r="F31" s="81">
        <v>658.58541</v>
      </c>
      <c r="G31" s="82">
        <f t="shared" si="3"/>
        <v>8.7703804666276</v>
      </c>
      <c r="H31" s="81">
        <v>442.77443910096</v>
      </c>
      <c r="I31" s="83">
        <f t="shared" si="4"/>
        <v>4.02138053663245</v>
      </c>
      <c r="J31" s="88">
        <v>44.41853</v>
      </c>
      <c r="K31" s="60">
        <f t="shared" si="5"/>
        <v>0.434317604036295</v>
      </c>
      <c r="L31" s="60">
        <f t="shared" si="6"/>
        <v>-8.33606286259131</v>
      </c>
      <c r="M31" s="60">
        <f t="shared" si="7"/>
        <v>-3.58706293259615</v>
      </c>
      <c r="N31" s="85"/>
      <c r="O31" s="59"/>
      <c r="P31" s="86">
        <v>119.369304572818</v>
      </c>
      <c r="Q31" s="86">
        <v>1.64391093292962</v>
      </c>
    </row>
    <row r="32" spans="1:19">
      <c r="B32" s="87"/>
      <c r="C32" s="80">
        <v>6666110112</v>
      </c>
      <c r="D32" s="80" t="s">
        <v>64</v>
      </c>
      <c r="E32" s="80" t="s">
        <v>316</v>
      </c>
      <c r="F32" s="81">
        <v>55.54732</v>
      </c>
      <c r="G32" s="82">
        <f t="shared" si="3"/>
        <v>0.73972353912534</v>
      </c>
      <c r="H32" s="81">
        <v>61.2722354752856</v>
      </c>
      <c r="I32" s="83">
        <f t="shared" si="4"/>
        <v>0.556488707154323</v>
      </c>
      <c r="J32" s="88">
        <v>26.87834</v>
      </c>
      <c r="K32" s="60">
        <f t="shared" si="5"/>
        <v>0.262812304443054</v>
      </c>
      <c r="L32" s="60">
        <f t="shared" si="6"/>
        <v>-0.476911234682286</v>
      </c>
      <c r="M32" s="60">
        <f t="shared" si="7"/>
        <v>-0.293676402711269</v>
      </c>
      <c r="N32" s="85"/>
      <c r="O32" s="59"/>
      <c r="P32" s="86">
        <v>19.4211697385484</v>
      </c>
      <c r="Q32" s="86">
        <v>0.267461332523769</v>
      </c>
    </row>
    <row r="33" spans="2:18">
      <c r="B33" s="87"/>
      <c r="C33" s="80">
        <v>6666110204</v>
      </c>
      <c r="D33" s="80" t="s">
        <v>66</v>
      </c>
      <c r="E33" s="80" t="s">
        <v>583</v>
      </c>
      <c r="F33" s="81">
        <v>2.81413</v>
      </c>
      <c r="G33" s="82">
        <f t="shared" si="3"/>
        <v>0.0374757630639749</v>
      </c>
      <c r="H33" s="81">
        <v>32.1907647605672</v>
      </c>
      <c r="I33" s="83">
        <f t="shared" si="4"/>
        <v>0.292364019771118</v>
      </c>
      <c r="J33" s="88">
        <v>2.34329</v>
      </c>
      <c r="K33" s="60">
        <f t="shared" si="5"/>
        <v>0.0229123318210263</v>
      </c>
      <c r="L33" s="60">
        <f t="shared" si="6"/>
        <v>-0.0145634312429486</v>
      </c>
      <c r="M33" s="60">
        <f t="shared" si="7"/>
        <v>-0.269451687950091</v>
      </c>
      <c r="N33" s="85"/>
      <c r="O33" s="59"/>
      <c r="P33" s="86">
        <v>10.7383020122067</v>
      </c>
      <c r="Q33" s="86">
        <v>0.147884015427082</v>
      </c>
    </row>
    <row r="34" spans="2:18">
      <c r="B34" s="87"/>
      <c r="C34" s="80">
        <v>6666110207</v>
      </c>
      <c r="D34" s="80" t="s">
        <v>68</v>
      </c>
      <c r="E34" s="80" t="s">
        <v>317</v>
      </c>
      <c r="F34" s="81">
        <v>30.24917</v>
      </c>
      <c r="G34" s="82">
        <f t="shared" si="3"/>
        <v>0.402828130826187</v>
      </c>
      <c r="H34" s="81">
        <v>0</v>
      </c>
      <c r="I34" s="83">
        <f t="shared" si="4"/>
        <v>0</v>
      </c>
      <c r="J34" s="88">
        <v>3.6535</v>
      </c>
      <c r="K34" s="60">
        <f t="shared" si="5"/>
        <v>0.0357233651439299</v>
      </c>
      <c r="L34" s="60">
        <f t="shared" si="6"/>
        <v>-0.367104765682257</v>
      </c>
      <c r="M34" s="60">
        <f t="shared" si="7"/>
        <v>0.0357233651439299</v>
      </c>
      <c r="N34" s="85"/>
      <c r="O34" s="59"/>
      <c r="P34" s="86">
        <v>0.016736602739726</v>
      </c>
      <c r="Q34" s="86">
        <v>0.000230490445784171</v>
      </c>
    </row>
    <row r="35" spans="2:18">
      <c r="B35" s="87"/>
      <c r="C35" s="80">
        <v>6666110506</v>
      </c>
      <c r="D35" s="80" t="s">
        <v>70</v>
      </c>
      <c r="E35" s="80" t="s">
        <v>584</v>
      </c>
      <c r="F35" s="81">
        <v>3.02217999999999</v>
      </c>
      <c r="G35" s="82">
        <f t="shared" si="3"/>
        <v>0.0402463644595962</v>
      </c>
      <c r="H35" s="81">
        <v>0</v>
      </c>
      <c r="I35" s="83">
        <f t="shared" si="4"/>
        <v>0</v>
      </c>
      <c r="J35" s="88">
        <v>-18.37198</v>
      </c>
      <c r="K35" s="60">
        <f t="shared" si="5"/>
        <v>-0.179638415206508</v>
      </c>
      <c r="L35" s="60">
        <f t="shared" si="6"/>
        <v>-0.219884779666104</v>
      </c>
      <c r="M35" s="60">
        <f t="shared" si="7"/>
        <v>-0.179638415206508</v>
      </c>
      <c r="N35" s="85"/>
      <c r="O35" s="59"/>
      <c r="P35" s="86">
        <v>0</v>
      </c>
      <c r="Q35" s="86">
        <v>0</v>
      </c>
    </row>
    <row r="36" spans="2:18">
      <c r="B36" s="87"/>
      <c r="C36" s="80" t="s">
        <v>72</v>
      </c>
      <c r="D36" s="80" t="s">
        <v>73</v>
      </c>
      <c r="E36" s="80" t="s">
        <v>585</v>
      </c>
      <c r="F36" s="81">
        <v>0.13673</v>
      </c>
      <c r="G36" s="82">
        <f t="shared" si="3"/>
        <v>0.00182083311138337</v>
      </c>
      <c r="H36" s="81">
        <v>0</v>
      </c>
      <c r="I36" s="83">
        <f t="shared" si="4"/>
        <v>0</v>
      </c>
      <c r="J36" s="88">
        <v>0.05933</v>
      </c>
      <c r="K36" s="60">
        <f t="shared" si="5"/>
        <v>0.000580119680851064</v>
      </c>
      <c r="L36" s="60">
        <f t="shared" si="6"/>
        <v>-0.00124071343053231</v>
      </c>
      <c r="M36" s="60">
        <f t="shared" si="7"/>
        <v>0.000580119680851064</v>
      </c>
      <c r="N36" s="85"/>
      <c r="O36" s="59"/>
      <c r="P36" s="86">
        <v>0</v>
      </c>
      <c r="Q36" s="86">
        <v>0</v>
      </c>
    </row>
    <row r="37" spans="2:18">
      <c r="B37" s="87"/>
      <c r="C37" s="80" t="s">
        <v>810</v>
      </c>
      <c r="D37" s="80" t="s">
        <v>811</v>
      </c>
      <c r="E37" s="80" t="s">
        <v>812</v>
      </c>
      <c r="F37" s="81">
        <v>0</v>
      </c>
      <c r="G37" s="82">
        <v>0</v>
      </c>
      <c r="H37" s="81">
        <v>0</v>
      </c>
      <c r="I37" s="83">
        <v>0</v>
      </c>
      <c r="J37" s="81">
        <v>570.66077</v>
      </c>
      <c r="K37" s="60">
        <f t="shared" si="5"/>
        <v>5.57983387437422</v>
      </c>
      <c r="L37" s="60">
        <f t="shared" si="6"/>
        <v>5.57983387437422</v>
      </c>
      <c r="M37" s="60">
        <f t="shared" si="7"/>
        <v>5.57983387437422</v>
      </c>
      <c r="N37" s="85"/>
      <c r="O37" s="59"/>
      <c r="P37" s="86"/>
      <c r="Q37" s="86"/>
    </row>
    <row r="38" spans="2:18">
      <c r="B38" s="73"/>
      <c r="C38" s="89" t="s">
        <v>75</v>
      </c>
      <c r="D38" s="89" t="s">
        <v>76</v>
      </c>
      <c r="E38" s="89" t="s">
        <v>77</v>
      </c>
      <c r="F38" s="81">
        <f>SUM(F28:F36)</f>
        <v>1037.97768</v>
      </c>
      <c r="G38" s="83">
        <f t="shared" si="3"/>
        <v>13.8227464976296</v>
      </c>
      <c r="H38" s="81">
        <f>SUM(H28:H36)</f>
        <v>821.887930151596</v>
      </c>
      <c r="I38" s="83">
        <f t="shared" si="4"/>
        <v>7.46457752239653</v>
      </c>
      <c r="J38" s="60">
        <f>SUM(J28:J37)</f>
        <v>585.96471</v>
      </c>
      <c r="K38" s="60">
        <f t="shared" si="5"/>
        <v>5.7294734629224</v>
      </c>
      <c r="L38" s="60">
        <f t="shared" si="6"/>
        <v>-8.09327303470717</v>
      </c>
      <c r="M38" s="60">
        <f t="shared" si="7"/>
        <v>-1.73510405947413</v>
      </c>
      <c r="N38" s="85"/>
      <c r="O38" s="59"/>
      <c r="P38" s="86">
        <v>227.812816149468</v>
      </c>
      <c r="Q38" s="86">
        <v>3.1373557923439</v>
      </c>
      <c r="R38" s="49">
        <f>J38-P38</f>
        <v>358.151893850532</v>
      </c>
    </row>
    <row r="39" spans="2:18">
      <c r="B39" s="79" t="s">
        <v>78</v>
      </c>
      <c r="C39" s="80">
        <v>5001010205</v>
      </c>
      <c r="D39" s="80" t="s">
        <v>79</v>
      </c>
      <c r="E39" s="80" t="s">
        <v>586</v>
      </c>
      <c r="F39" s="81">
        <v>9.45163</v>
      </c>
      <c r="G39" s="83">
        <f t="shared" si="3"/>
        <v>0.125867336067757</v>
      </c>
      <c r="H39" s="81">
        <v>9.91923158127639</v>
      </c>
      <c r="I39" s="83">
        <f t="shared" si="4"/>
        <v>0.0900887704816207</v>
      </c>
      <c r="J39" s="60">
        <v>10.90978</v>
      </c>
      <c r="K39" s="60">
        <f t="shared" si="5"/>
        <v>0.10667416301627</v>
      </c>
      <c r="L39" s="60">
        <f t="shared" si="6"/>
        <v>-0.0191931730514866</v>
      </c>
      <c r="M39" s="60">
        <f t="shared" si="7"/>
        <v>0.0165853925346496</v>
      </c>
      <c r="N39" s="85"/>
      <c r="O39" s="59"/>
      <c r="P39" s="86">
        <v>11.6789918589046</v>
      </c>
      <c r="Q39" s="86">
        <v>0.160838856112605</v>
      </c>
    </row>
    <row r="40" spans="2:18">
      <c r="B40" s="87"/>
      <c r="C40" s="80">
        <v>6666010380</v>
      </c>
      <c r="D40" s="80" t="s">
        <v>81</v>
      </c>
      <c r="E40" s="80" t="s">
        <v>587</v>
      </c>
      <c r="F40" s="81">
        <v>-1.42269</v>
      </c>
      <c r="G40" s="83">
        <f t="shared" si="3"/>
        <v>-0.0189459596228626</v>
      </c>
      <c r="H40" s="81">
        <v>-25.3636223614896</v>
      </c>
      <c r="I40" s="83">
        <f t="shared" si="4"/>
        <v>-0.230358323100338</v>
      </c>
      <c r="J40" s="60">
        <v>-3.20711</v>
      </c>
      <c r="K40" s="60">
        <f t="shared" si="5"/>
        <v>-0.0313586318836045</v>
      </c>
      <c r="L40" s="60">
        <f t="shared" si="6"/>
        <v>-0.0124126722607419</v>
      </c>
      <c r="M40" s="60">
        <f t="shared" si="7"/>
        <v>0.198999691216733</v>
      </c>
      <c r="N40" s="85"/>
      <c r="O40" s="59"/>
      <c r="P40" s="86">
        <v>-30.1786789681031</v>
      </c>
      <c r="Q40" s="86">
        <v>-0.415609862808355</v>
      </c>
    </row>
    <row r="41" spans="2:18">
      <c r="B41" s="87"/>
      <c r="C41" s="80">
        <v>6666010019</v>
      </c>
      <c r="D41" s="80" t="s">
        <v>84</v>
      </c>
      <c r="E41" s="80" t="s">
        <v>588</v>
      </c>
      <c r="F41" s="81">
        <v>76.61069</v>
      </c>
      <c r="G41" s="83">
        <f t="shared" si="3"/>
        <v>1.0202243914132</v>
      </c>
      <c r="H41" s="81">
        <v>102.912027655742</v>
      </c>
      <c r="I41" s="83">
        <f t="shared" si="4"/>
        <v>0.934670993746814</v>
      </c>
      <c r="J41" s="60">
        <v>93.1036</v>
      </c>
      <c r="K41" s="60">
        <f t="shared" si="5"/>
        <v>0.910352784730914</v>
      </c>
      <c r="L41" s="60">
        <f t="shared" si="6"/>
        <v>-0.109871606682286</v>
      </c>
      <c r="M41" s="60">
        <f t="shared" si="7"/>
        <v>-0.0243182090159009</v>
      </c>
      <c r="N41" s="90">
        <f>L41*$L$26</f>
        <v>-11236.7889586108</v>
      </c>
      <c r="O41" s="59"/>
      <c r="P41" s="86">
        <v>121.169540536135</v>
      </c>
      <c r="Q41" s="86">
        <v>1.66870313216827</v>
      </c>
    </row>
    <row r="42" spans="2:18">
      <c r="B42" s="87"/>
      <c r="C42" s="80">
        <v>6666010183</v>
      </c>
      <c r="D42" s="80" t="s">
        <v>86</v>
      </c>
      <c r="E42" s="80" t="s">
        <v>589</v>
      </c>
      <c r="F42" s="81">
        <v>9.91473</v>
      </c>
      <c r="G42" s="83">
        <f t="shared" si="3"/>
        <v>0.132034437756352</v>
      </c>
      <c r="H42" s="81">
        <v>0</v>
      </c>
      <c r="I42" s="83">
        <f t="shared" si="4"/>
        <v>0</v>
      </c>
      <c r="J42" s="60">
        <v>20.26138</v>
      </c>
      <c r="K42" s="60">
        <f t="shared" si="5"/>
        <v>0.198112679912391</v>
      </c>
      <c r="L42" s="60">
        <f t="shared" si="6"/>
        <v>0.0660782421560383</v>
      </c>
      <c r="M42" s="60">
        <f t="shared" si="7"/>
        <v>0.198112679912391</v>
      </c>
      <c r="N42" s="85"/>
      <c r="O42" s="59"/>
      <c r="P42" s="86">
        <v>0</v>
      </c>
      <c r="Q42" s="86">
        <v>0</v>
      </c>
    </row>
    <row r="43" spans="2:18">
      <c r="B43" s="87"/>
      <c r="C43" s="80">
        <v>6666010229</v>
      </c>
      <c r="D43" s="80" t="s">
        <v>88</v>
      </c>
      <c r="E43" s="80" t="s">
        <v>590</v>
      </c>
      <c r="F43" s="81">
        <v>25.44184</v>
      </c>
      <c r="G43" s="83">
        <f t="shared" si="3"/>
        <v>0.338808927715336</v>
      </c>
      <c r="H43" s="81">
        <v>16.9041575489186</v>
      </c>
      <c r="I43" s="83">
        <f t="shared" si="4"/>
        <v>0.153527494255127</v>
      </c>
      <c r="J43" s="60">
        <v>17.67981</v>
      </c>
      <c r="K43" s="60">
        <f t="shared" si="5"/>
        <v>0.172870482634543</v>
      </c>
      <c r="L43" s="60">
        <f t="shared" si="6"/>
        <v>-0.165938445080793</v>
      </c>
      <c r="M43" s="60">
        <f t="shared" si="7"/>
        <v>0.0193429883794167</v>
      </c>
      <c r="N43" s="85"/>
      <c r="O43" s="59"/>
      <c r="P43" s="86">
        <v>18.2021291477262</v>
      </c>
      <c r="Q43" s="86">
        <v>0.250673145961828</v>
      </c>
    </row>
    <row r="44" spans="2:18">
      <c r="B44" s="87"/>
      <c r="C44" s="80">
        <v>6666010188</v>
      </c>
      <c r="D44" s="80" t="s">
        <v>90</v>
      </c>
      <c r="E44" s="80" t="s">
        <v>591</v>
      </c>
      <c r="F44" s="81">
        <v>477.60647</v>
      </c>
      <c r="G44" s="83">
        <f t="shared" si="3"/>
        <v>6.36028431790337</v>
      </c>
      <c r="H44" s="81">
        <v>503.308051992653</v>
      </c>
      <c r="I44" s="83">
        <f t="shared" si="4"/>
        <v>4.57116090152653</v>
      </c>
      <c r="J44" s="60">
        <v>520.53952</v>
      </c>
      <c r="K44" s="60">
        <f t="shared" si="5"/>
        <v>5.08975594493116</v>
      </c>
      <c r="L44" s="60">
        <f t="shared" si="6"/>
        <v>-1.27052837297221</v>
      </c>
      <c r="M44" s="60">
        <f t="shared" si="7"/>
        <v>0.518595043404638</v>
      </c>
      <c r="N44" s="90">
        <f>L44*$L$26</f>
        <v>-129939.477760614</v>
      </c>
      <c r="O44" s="59" t="s">
        <v>789</v>
      </c>
      <c r="P44" s="86">
        <v>592.673810970675</v>
      </c>
      <c r="Q44" s="86">
        <v>8.16208958410581</v>
      </c>
    </row>
    <row r="45" spans="2:18">
      <c r="B45" s="87"/>
      <c r="C45" s="80">
        <v>5102040406</v>
      </c>
      <c r="D45" s="80" t="s">
        <v>92</v>
      </c>
      <c r="E45" s="80" t="s">
        <v>593</v>
      </c>
      <c r="F45" s="81">
        <v>0</v>
      </c>
      <c r="G45" s="83">
        <f t="shared" si="3"/>
        <v>0</v>
      </c>
      <c r="H45" s="81">
        <v>0</v>
      </c>
      <c r="I45" s="83">
        <f t="shared" si="4"/>
        <v>0</v>
      </c>
      <c r="J45" s="60">
        <v>0</v>
      </c>
      <c r="K45" s="60">
        <f t="shared" si="5"/>
        <v>0</v>
      </c>
      <c r="L45" s="60">
        <f t="shared" si="6"/>
        <v>0</v>
      </c>
      <c r="M45" s="60">
        <f t="shared" si="7"/>
        <v>0</v>
      </c>
      <c r="N45" s="85"/>
      <c r="O45" s="59"/>
      <c r="P45" s="86">
        <v>0</v>
      </c>
      <c r="Q45" s="86">
        <v>0</v>
      </c>
    </row>
    <row r="46" spans="2:18">
      <c r="B46" s="87"/>
      <c r="C46" s="80">
        <v>6666010115</v>
      </c>
      <c r="D46" s="80" t="s">
        <v>94</v>
      </c>
      <c r="E46" s="80" t="s">
        <v>594</v>
      </c>
      <c r="F46" s="81">
        <v>-1.18016</v>
      </c>
      <c r="G46" s="83">
        <f t="shared" si="3"/>
        <v>-0.0157161881425451</v>
      </c>
      <c r="H46" s="81">
        <v>0</v>
      </c>
      <c r="I46" s="83">
        <f t="shared" si="4"/>
        <v>0</v>
      </c>
      <c r="J46" s="60">
        <v>-1.26643</v>
      </c>
      <c r="K46" s="60">
        <f t="shared" si="5"/>
        <v>-0.0123829591677096</v>
      </c>
      <c r="L46" s="60">
        <f t="shared" si="6"/>
        <v>0.00333322897483551</v>
      </c>
      <c r="M46" s="60">
        <f t="shared" si="7"/>
        <v>-0.0123829591677096</v>
      </c>
      <c r="N46" s="85"/>
      <c r="O46" s="59"/>
      <c r="P46" s="86">
        <v>3.05000777789604</v>
      </c>
      <c r="Q46" s="86">
        <v>0.0420036051106006</v>
      </c>
    </row>
    <row r="47" spans="2:18">
      <c r="B47" s="73"/>
      <c r="C47" s="89" t="s">
        <v>96</v>
      </c>
      <c r="D47" s="89" t="s">
        <v>97</v>
      </c>
      <c r="E47" s="89" t="s">
        <v>98</v>
      </c>
      <c r="F47" s="81">
        <f>SUM(F39:F46)</f>
        <v>596.42251</v>
      </c>
      <c r="G47" s="83">
        <f t="shared" si="3"/>
        <v>7.94255726309061</v>
      </c>
      <c r="H47" s="81">
        <f>SUM(H39:H46)</f>
        <v>607.679846417101</v>
      </c>
      <c r="I47" s="83">
        <f t="shared" si="4"/>
        <v>5.51908983690975</v>
      </c>
      <c r="J47" s="63">
        <f>SUM(J39:J46)</f>
        <v>658.02055</v>
      </c>
      <c r="K47" s="60">
        <f t="shared" si="5"/>
        <v>6.43402446417397</v>
      </c>
      <c r="L47" s="60">
        <f t="shared" si="6"/>
        <v>-1.50853279891664</v>
      </c>
      <c r="M47" s="60">
        <f t="shared" si="7"/>
        <v>0.914934627264217</v>
      </c>
      <c r="N47" s="85"/>
      <c r="O47" s="59"/>
      <c r="P47" s="86">
        <v>716.595801323233</v>
      </c>
      <c r="Q47" s="86">
        <v>9.86869846065076</v>
      </c>
      <c r="R47" s="49" t="e">
        <f t="array" ref="R47">J47-S111P47</f>
        <v>#NAME?</v>
      </c>
    </row>
    <row r="48" spans="2:18">
      <c r="B48" s="79" t="s">
        <v>99</v>
      </c>
      <c r="C48" s="80">
        <v>8701530201</v>
      </c>
      <c r="D48" s="80" t="s">
        <v>100</v>
      </c>
      <c r="E48" s="80" t="s">
        <v>595</v>
      </c>
      <c r="F48" s="81">
        <v>0</v>
      </c>
      <c r="G48" s="83">
        <f t="shared" si="3"/>
        <v>0</v>
      </c>
      <c r="H48" s="81">
        <v>0</v>
      </c>
      <c r="I48" s="83">
        <f t="shared" si="4"/>
        <v>0</v>
      </c>
      <c r="J48" s="60">
        <v>0</v>
      </c>
      <c r="K48" s="60">
        <f t="shared" si="5"/>
        <v>0</v>
      </c>
      <c r="L48" s="60">
        <f t="shared" si="6"/>
        <v>0</v>
      </c>
      <c r="M48" s="60">
        <f t="shared" si="7"/>
        <v>0</v>
      </c>
      <c r="N48" s="85"/>
      <c r="O48" s="59"/>
      <c r="P48" s="86">
        <v>0</v>
      </c>
      <c r="Q48" s="86">
        <v>0</v>
      </c>
    </row>
    <row r="49" spans="2:18">
      <c r="B49" s="87"/>
      <c r="C49" s="80">
        <v>6666050309</v>
      </c>
      <c r="D49" s="80" t="s">
        <v>102</v>
      </c>
      <c r="E49" s="80" t="s">
        <v>596</v>
      </c>
      <c r="F49" s="81">
        <v>25.58973</v>
      </c>
      <c r="G49" s="83">
        <f t="shared" si="3"/>
        <v>0.340778378522346</v>
      </c>
      <c r="H49" s="81">
        <v>0</v>
      </c>
      <c r="I49" s="83">
        <f t="shared" si="4"/>
        <v>0</v>
      </c>
      <c r="J49" s="60">
        <v>51.42208</v>
      </c>
      <c r="K49" s="60">
        <f t="shared" si="5"/>
        <v>0.502797246558198</v>
      </c>
      <c r="L49" s="60">
        <f t="shared" si="6"/>
        <v>0.162018868035852</v>
      </c>
      <c r="M49" s="60">
        <f t="shared" si="7"/>
        <v>0.502797246558198</v>
      </c>
      <c r="N49" s="85"/>
      <c r="O49" s="59"/>
      <c r="P49" s="86">
        <v>0</v>
      </c>
      <c r="Q49" s="86">
        <v>0</v>
      </c>
    </row>
    <row r="50" spans="2:18">
      <c r="B50" s="87"/>
      <c r="C50" s="80">
        <v>6666050308</v>
      </c>
      <c r="D50" s="80" t="s">
        <v>104</v>
      </c>
      <c r="E50" s="80" t="s">
        <v>597</v>
      </c>
      <c r="F50" s="81">
        <v>13.45303</v>
      </c>
      <c r="G50" s="83">
        <f t="shared" si="3"/>
        <v>0.179153971128749</v>
      </c>
      <c r="H50" s="81">
        <v>62.9866066710495</v>
      </c>
      <c r="I50" s="83">
        <f t="shared" si="4"/>
        <v>0.572059025470815</v>
      </c>
      <c r="J50" s="60">
        <v>-1.4297</v>
      </c>
      <c r="K50" s="60">
        <f t="shared" si="5"/>
        <v>-0.0139793882978723</v>
      </c>
      <c r="L50" s="60">
        <f t="shared" si="6"/>
        <v>-0.193133359426621</v>
      </c>
      <c r="M50" s="60">
        <f t="shared" si="7"/>
        <v>-0.586038413768687</v>
      </c>
      <c r="N50" s="85"/>
      <c r="O50" s="59"/>
      <c r="P50" s="86">
        <v>45.8578504085435</v>
      </c>
      <c r="Q50" s="86">
        <v>0.631537746802137</v>
      </c>
    </row>
    <row r="51" spans="2:18">
      <c r="B51" s="87"/>
      <c r="C51" s="80">
        <v>6666050306</v>
      </c>
      <c r="D51" s="80" t="s">
        <v>107</v>
      </c>
      <c r="E51" s="80" t="s">
        <v>598</v>
      </c>
      <c r="F51" s="81">
        <v>0.68716</v>
      </c>
      <c r="G51" s="83">
        <f t="shared" si="3"/>
        <v>0.00915090821925105</v>
      </c>
      <c r="H51" s="81">
        <v>0</v>
      </c>
      <c r="I51" s="83">
        <f t="shared" si="4"/>
        <v>0</v>
      </c>
      <c r="J51" s="60">
        <v>0.27083</v>
      </c>
      <c r="K51" s="60">
        <f t="shared" si="5"/>
        <v>0.00264813438673342</v>
      </c>
      <c r="L51" s="60">
        <f t="shared" si="6"/>
        <v>-0.00650277383251763</v>
      </c>
      <c r="M51" s="60">
        <f t="shared" si="7"/>
        <v>0.00264813438673342</v>
      </c>
      <c r="N51" s="85"/>
      <c r="O51" s="59"/>
      <c r="P51" s="86">
        <v>0</v>
      </c>
      <c r="Q51" s="86">
        <v>0</v>
      </c>
    </row>
    <row r="52" spans="2:18">
      <c r="B52" s="73"/>
      <c r="C52" s="89" t="s">
        <v>96</v>
      </c>
      <c r="D52" s="89" t="s">
        <v>109</v>
      </c>
      <c r="E52" s="89" t="s">
        <v>599</v>
      </c>
      <c r="F52" s="81">
        <f>SUM(F48:F51)</f>
        <v>39.72992</v>
      </c>
      <c r="G52" s="83">
        <f t="shared" si="3"/>
        <v>0.529083257870346</v>
      </c>
      <c r="H52" s="81">
        <f>SUM(H48:H51)</f>
        <v>62.9866066710495</v>
      </c>
      <c r="I52" s="83">
        <f t="shared" si="4"/>
        <v>0.572059025470815</v>
      </c>
      <c r="J52" s="63">
        <f>SUM(J48:J51)</f>
        <v>50.26321</v>
      </c>
      <c r="K52" s="60">
        <f t="shared" si="5"/>
        <v>0.491465992647059</v>
      </c>
      <c r="L52" s="60">
        <f t="shared" si="6"/>
        <v>-0.037617265223287</v>
      </c>
      <c r="M52" s="60">
        <f t="shared" si="7"/>
        <v>-0.0805930328237559</v>
      </c>
      <c r="N52" s="85"/>
      <c r="O52" s="59"/>
      <c r="P52" s="86">
        <v>45.8578504085435</v>
      </c>
      <c r="Q52" s="86">
        <v>0.631537746802137</v>
      </c>
      <c r="R52" s="49">
        <f>J52-P52</f>
        <v>4.4053595914565</v>
      </c>
    </row>
    <row r="53" spans="2:18">
      <c r="B53" s="79" t="s">
        <v>111</v>
      </c>
      <c r="C53" s="80">
        <v>5102010151</v>
      </c>
      <c r="D53" s="80" t="s">
        <v>112</v>
      </c>
      <c r="E53" s="80" t="s">
        <v>600</v>
      </c>
      <c r="F53" s="81">
        <v>0</v>
      </c>
      <c r="G53" s="83">
        <f t="shared" si="3"/>
        <v>0</v>
      </c>
      <c r="H53" s="81">
        <v>0</v>
      </c>
      <c r="I53" s="83">
        <f t="shared" si="4"/>
        <v>0</v>
      </c>
      <c r="J53" s="60">
        <v>0</v>
      </c>
      <c r="K53" s="60">
        <f t="shared" si="5"/>
        <v>0</v>
      </c>
      <c r="L53" s="60">
        <f t="shared" si="6"/>
        <v>0</v>
      </c>
      <c r="M53" s="60">
        <f t="shared" si="7"/>
        <v>0</v>
      </c>
      <c r="N53" s="85"/>
      <c r="O53" s="59"/>
      <c r="P53" s="86">
        <v>0</v>
      </c>
      <c r="Q53" s="86">
        <v>0</v>
      </c>
    </row>
    <row r="54" spans="2:18">
      <c r="B54" s="87"/>
      <c r="C54" s="80">
        <v>5001010200</v>
      </c>
      <c r="D54" s="80" t="s">
        <v>114</v>
      </c>
      <c r="E54" s="80" t="s">
        <v>601</v>
      </c>
      <c r="F54" s="81">
        <v>0.14201</v>
      </c>
      <c r="G54" s="83">
        <f t="shared" si="3"/>
        <v>0.00189114685985191</v>
      </c>
      <c r="H54" s="81">
        <v>0</v>
      </c>
      <c r="I54" s="83">
        <f t="shared" si="4"/>
        <v>0</v>
      </c>
      <c r="J54" s="60">
        <v>0</v>
      </c>
      <c r="K54" s="60">
        <f t="shared" si="5"/>
        <v>0</v>
      </c>
      <c r="L54" s="60">
        <f t="shared" si="6"/>
        <v>-0.00189114685985191</v>
      </c>
      <c r="M54" s="60">
        <f t="shared" si="7"/>
        <v>0</v>
      </c>
      <c r="N54" s="85"/>
      <c r="O54" s="59"/>
      <c r="P54" s="86">
        <v>0</v>
      </c>
      <c r="Q54" s="86">
        <v>0</v>
      </c>
    </row>
    <row r="55" spans="2:18">
      <c r="B55" s="87"/>
      <c r="C55" s="80">
        <v>5001010201</v>
      </c>
      <c r="D55" s="80" t="s">
        <v>116</v>
      </c>
      <c r="E55" s="80" t="s">
        <v>602</v>
      </c>
      <c r="F55" s="81">
        <v>0</v>
      </c>
      <c r="G55" s="83">
        <f t="shared" si="3"/>
        <v>0</v>
      </c>
      <c r="H55" s="81">
        <v>0</v>
      </c>
      <c r="I55" s="83">
        <f t="shared" si="4"/>
        <v>0</v>
      </c>
      <c r="J55" s="60">
        <v>0</v>
      </c>
      <c r="K55" s="60">
        <f t="shared" si="5"/>
        <v>0</v>
      </c>
      <c r="L55" s="60">
        <f t="shared" si="6"/>
        <v>0</v>
      </c>
      <c r="M55" s="60">
        <f t="shared" si="7"/>
        <v>0</v>
      </c>
      <c r="N55" s="85"/>
      <c r="O55" s="59"/>
      <c r="P55" s="86">
        <v>0</v>
      </c>
      <c r="Q55" s="86">
        <v>0</v>
      </c>
    </row>
    <row r="56" spans="2:18">
      <c r="B56" s="87"/>
      <c r="C56" s="80">
        <v>5207000011</v>
      </c>
      <c r="D56" s="80" t="s">
        <v>118</v>
      </c>
      <c r="E56" s="80" t="s">
        <v>603</v>
      </c>
      <c r="F56" s="81">
        <v>0</v>
      </c>
      <c r="G56" s="83">
        <f t="shared" si="3"/>
        <v>0</v>
      </c>
      <c r="H56" s="81">
        <v>0</v>
      </c>
      <c r="I56" s="83">
        <f t="shared" si="4"/>
        <v>0</v>
      </c>
      <c r="J56" s="60">
        <v>0</v>
      </c>
      <c r="K56" s="60">
        <f t="shared" si="5"/>
        <v>0</v>
      </c>
      <c r="L56" s="60">
        <f t="shared" si="6"/>
        <v>0</v>
      </c>
      <c r="M56" s="60">
        <f t="shared" si="7"/>
        <v>0</v>
      </c>
      <c r="N56" s="85"/>
      <c r="O56" s="59"/>
      <c r="P56" s="86">
        <v>0</v>
      </c>
      <c r="Q56" s="86">
        <v>0</v>
      </c>
    </row>
    <row r="57" spans="2:18">
      <c r="B57" s="87"/>
      <c r="C57" s="80">
        <v>5207000012</v>
      </c>
      <c r="D57" s="80" t="s">
        <v>120</v>
      </c>
      <c r="E57" s="80" t="s">
        <v>604</v>
      </c>
      <c r="F57" s="81">
        <v>0</v>
      </c>
      <c r="G57" s="83">
        <f t="shared" si="3"/>
        <v>0</v>
      </c>
      <c r="H57" s="81">
        <v>0</v>
      </c>
      <c r="I57" s="83">
        <f t="shared" si="4"/>
        <v>0</v>
      </c>
      <c r="J57" s="60">
        <v>0</v>
      </c>
      <c r="K57" s="60">
        <f t="shared" si="5"/>
        <v>0</v>
      </c>
      <c r="L57" s="60">
        <f t="shared" si="6"/>
        <v>0</v>
      </c>
      <c r="M57" s="60">
        <f t="shared" si="7"/>
        <v>0</v>
      </c>
      <c r="N57" s="85"/>
      <c r="O57" s="59"/>
      <c r="P57" s="86">
        <v>0</v>
      </c>
      <c r="Q57" s="86">
        <v>0</v>
      </c>
    </row>
    <row r="58" spans="2:18">
      <c r="B58" s="87"/>
      <c r="C58" s="80">
        <v>5207000022</v>
      </c>
      <c r="D58" s="80" t="s">
        <v>122</v>
      </c>
      <c r="E58" s="80" t="s">
        <v>605</v>
      </c>
      <c r="F58" s="81">
        <v>0</v>
      </c>
      <c r="G58" s="83">
        <f t="shared" si="3"/>
        <v>0</v>
      </c>
      <c r="H58" s="81">
        <v>0</v>
      </c>
      <c r="I58" s="83">
        <f t="shared" si="4"/>
        <v>0</v>
      </c>
      <c r="J58" s="60">
        <v>0</v>
      </c>
      <c r="K58" s="60">
        <f t="shared" si="5"/>
        <v>0</v>
      </c>
      <c r="L58" s="60">
        <f t="shared" si="6"/>
        <v>0</v>
      </c>
      <c r="M58" s="60">
        <f t="shared" si="7"/>
        <v>0</v>
      </c>
      <c r="N58" s="85"/>
      <c r="O58" s="59"/>
      <c r="P58" s="86">
        <v>0</v>
      </c>
      <c r="Q58" s="86">
        <v>0</v>
      </c>
    </row>
    <row r="59" spans="2:18">
      <c r="B59" s="87"/>
      <c r="C59" s="80">
        <v>5301060000</v>
      </c>
      <c r="D59" s="80" t="s">
        <v>124</v>
      </c>
      <c r="E59" s="80" t="s">
        <v>330</v>
      </c>
      <c r="F59" s="81">
        <v>0</v>
      </c>
      <c r="G59" s="83">
        <f t="shared" si="3"/>
        <v>0</v>
      </c>
      <c r="H59" s="81">
        <v>0</v>
      </c>
      <c r="I59" s="83">
        <f t="shared" si="4"/>
        <v>0</v>
      </c>
      <c r="J59" s="60">
        <v>0</v>
      </c>
      <c r="K59" s="60">
        <f t="shared" si="5"/>
        <v>0</v>
      </c>
      <c r="L59" s="60">
        <f t="shared" si="6"/>
        <v>0</v>
      </c>
      <c r="M59" s="60">
        <f t="shared" si="7"/>
        <v>0</v>
      </c>
      <c r="N59" s="85"/>
      <c r="O59" s="59"/>
      <c r="P59" s="86">
        <v>0</v>
      </c>
      <c r="Q59" s="86">
        <v>0</v>
      </c>
    </row>
    <row r="60" spans="2:18">
      <c r="B60" s="87"/>
      <c r="C60" s="80">
        <v>5301999999</v>
      </c>
      <c r="D60" s="80" t="s">
        <v>126</v>
      </c>
      <c r="E60" s="80" t="s">
        <v>606</v>
      </c>
      <c r="F60" s="81">
        <v>0</v>
      </c>
      <c r="G60" s="83">
        <f t="shared" si="3"/>
        <v>0</v>
      </c>
      <c r="H60" s="81">
        <v>0</v>
      </c>
      <c r="I60" s="83">
        <f t="shared" si="4"/>
        <v>0</v>
      </c>
      <c r="J60" s="60">
        <v>-0.16431</v>
      </c>
      <c r="K60" s="60">
        <f t="shared" si="5"/>
        <v>-0.00160659809136421</v>
      </c>
      <c r="L60" s="60">
        <f t="shared" si="6"/>
        <v>-0.00160659809136421</v>
      </c>
      <c r="M60" s="60">
        <f t="shared" si="7"/>
        <v>-0.00160659809136421</v>
      </c>
      <c r="N60" s="85"/>
      <c r="O60" s="59"/>
      <c r="P60" s="86">
        <v>0</v>
      </c>
      <c r="Q60" s="86">
        <v>0</v>
      </c>
    </row>
    <row r="61" spans="2:18">
      <c r="B61" s="87"/>
      <c r="C61" s="80">
        <v>5405030000</v>
      </c>
      <c r="D61" s="80" t="s">
        <v>128</v>
      </c>
      <c r="E61" s="80" t="s">
        <v>607</v>
      </c>
      <c r="F61" s="81">
        <v>0.03326</v>
      </c>
      <c r="G61" s="83">
        <f t="shared" si="3"/>
        <v>0.000442923347360571</v>
      </c>
      <c r="H61" s="81">
        <v>0</v>
      </c>
      <c r="I61" s="83">
        <f t="shared" si="4"/>
        <v>0</v>
      </c>
      <c r="J61" s="60">
        <v>-2.6132</v>
      </c>
      <c r="K61" s="60">
        <f t="shared" si="5"/>
        <v>-0.0255514705882353</v>
      </c>
      <c r="L61" s="60">
        <f t="shared" si="6"/>
        <v>-0.0259943939355959</v>
      </c>
      <c r="M61" s="60">
        <f t="shared" si="7"/>
        <v>-0.0255514705882353</v>
      </c>
      <c r="N61" s="85"/>
      <c r="O61" s="59"/>
      <c r="P61" s="86">
        <v>0</v>
      </c>
      <c r="Q61" s="86">
        <v>0</v>
      </c>
    </row>
    <row r="62" spans="2:18">
      <c r="B62" s="87"/>
      <c r="C62" s="80">
        <v>5601050000</v>
      </c>
      <c r="D62" s="80" t="s">
        <v>130</v>
      </c>
      <c r="E62" s="80" t="s">
        <v>331</v>
      </c>
      <c r="F62" s="81">
        <v>0</v>
      </c>
      <c r="G62" s="83">
        <f t="shared" si="3"/>
        <v>0</v>
      </c>
      <c r="H62" s="81">
        <v>0</v>
      </c>
      <c r="I62" s="83">
        <f t="shared" si="4"/>
        <v>0</v>
      </c>
      <c r="J62" s="60">
        <v>0</v>
      </c>
      <c r="K62" s="60">
        <f t="shared" si="5"/>
        <v>0</v>
      </c>
      <c r="L62" s="60">
        <f t="shared" si="6"/>
        <v>0</v>
      </c>
      <c r="M62" s="60">
        <f t="shared" si="7"/>
        <v>0</v>
      </c>
      <c r="N62" s="85"/>
      <c r="O62" s="59"/>
      <c r="P62" s="86">
        <v>0</v>
      </c>
      <c r="Q62" s="86">
        <v>0</v>
      </c>
    </row>
    <row r="63" spans="2:18">
      <c r="B63" s="87"/>
      <c r="C63" s="80">
        <v>5601050100</v>
      </c>
      <c r="D63" s="80" t="s">
        <v>132</v>
      </c>
      <c r="E63" s="80" t="s">
        <v>332</v>
      </c>
      <c r="F63" s="81">
        <v>0.002</v>
      </c>
      <c r="G63" s="83">
        <f t="shared" si="3"/>
        <v>2.66339956320247e-5</v>
      </c>
      <c r="H63" s="81">
        <v>0</v>
      </c>
      <c r="I63" s="83">
        <f t="shared" si="4"/>
        <v>0</v>
      </c>
      <c r="J63" s="60">
        <v>0</v>
      </c>
      <c r="K63" s="60">
        <f t="shared" si="5"/>
        <v>0</v>
      </c>
      <c r="L63" s="60">
        <f t="shared" si="6"/>
        <v>-2.66339956320247e-5</v>
      </c>
      <c r="M63" s="60">
        <f t="shared" si="7"/>
        <v>0</v>
      </c>
      <c r="N63" s="85"/>
      <c r="O63" s="59"/>
      <c r="P63" s="86">
        <v>0</v>
      </c>
      <c r="Q63" s="86">
        <v>0</v>
      </c>
    </row>
    <row r="64" spans="2:18">
      <c r="B64" s="87"/>
      <c r="C64" s="80">
        <v>5102040893</v>
      </c>
      <c r="D64" s="80" t="s">
        <v>134</v>
      </c>
      <c r="E64" s="80" t="s">
        <v>608</v>
      </c>
      <c r="F64" s="81">
        <v>0</v>
      </c>
      <c r="G64" s="83">
        <f t="shared" si="3"/>
        <v>0</v>
      </c>
      <c r="H64" s="81">
        <v>0</v>
      </c>
      <c r="I64" s="83">
        <f t="shared" si="4"/>
        <v>0</v>
      </c>
      <c r="J64" s="60">
        <v>0</v>
      </c>
      <c r="K64" s="60">
        <f t="shared" si="5"/>
        <v>0</v>
      </c>
      <c r="L64" s="60">
        <f t="shared" si="6"/>
        <v>0</v>
      </c>
      <c r="M64" s="60">
        <f t="shared" si="7"/>
        <v>0</v>
      </c>
      <c r="N64" s="85"/>
      <c r="O64" s="59"/>
      <c r="P64" s="86">
        <v>0</v>
      </c>
      <c r="Q64" s="86">
        <v>0</v>
      </c>
    </row>
    <row r="65" spans="2:17">
      <c r="B65" s="87"/>
      <c r="C65" s="80">
        <v>5801000041</v>
      </c>
      <c r="D65" s="80" t="s">
        <v>136</v>
      </c>
      <c r="E65" s="80" t="s">
        <v>609</v>
      </c>
      <c r="F65" s="81">
        <v>0</v>
      </c>
      <c r="G65" s="83">
        <f t="shared" si="3"/>
        <v>0</v>
      </c>
      <c r="H65" s="81">
        <v>0</v>
      </c>
      <c r="I65" s="83">
        <f t="shared" si="4"/>
        <v>0</v>
      </c>
      <c r="J65" s="60">
        <v>0</v>
      </c>
      <c r="K65" s="60">
        <f t="shared" si="5"/>
        <v>0</v>
      </c>
      <c r="L65" s="60">
        <f t="shared" si="6"/>
        <v>0</v>
      </c>
      <c r="M65" s="60">
        <f t="shared" si="7"/>
        <v>0</v>
      </c>
      <c r="N65" s="85"/>
      <c r="O65" s="59"/>
      <c r="P65" s="86">
        <v>0</v>
      </c>
      <c r="Q65" s="86">
        <v>0</v>
      </c>
    </row>
    <row r="66" spans="2:17">
      <c r="B66" s="87"/>
      <c r="C66" s="80">
        <v>6666010322</v>
      </c>
      <c r="D66" s="80" t="s">
        <v>138</v>
      </c>
      <c r="E66" s="80" t="s">
        <v>328</v>
      </c>
      <c r="F66" s="81">
        <v>2.97001</v>
      </c>
      <c r="G66" s="83">
        <f t="shared" si="3"/>
        <v>0.0395516166835349</v>
      </c>
      <c r="H66" s="81">
        <v>2.98452048050183</v>
      </c>
      <c r="I66" s="83">
        <f t="shared" si="4"/>
        <v>0.0271061098193483</v>
      </c>
      <c r="J66" s="60">
        <v>-0.00156</v>
      </c>
      <c r="K66" s="60">
        <f t="shared" si="5"/>
        <v>-1.52534418022528e-5</v>
      </c>
      <c r="L66" s="60">
        <f t="shared" si="6"/>
        <v>-0.0395668701253371</v>
      </c>
      <c r="M66" s="60">
        <f t="shared" si="7"/>
        <v>-0.0271213632611506</v>
      </c>
      <c r="N66" s="85"/>
      <c r="O66" s="59"/>
      <c r="P66" s="86">
        <v>3.21368438935329</v>
      </c>
      <c r="Q66" s="86">
        <v>0.0442577002651493</v>
      </c>
    </row>
    <row r="67" spans="2:17">
      <c r="B67" s="87"/>
      <c r="C67" s="80">
        <v>6666020101</v>
      </c>
      <c r="D67" s="80" t="s">
        <v>140</v>
      </c>
      <c r="E67" s="80" t="s">
        <v>335</v>
      </c>
      <c r="F67" s="81">
        <v>0</v>
      </c>
      <c r="G67" s="83">
        <f t="shared" si="3"/>
        <v>0</v>
      </c>
      <c r="H67" s="81">
        <v>7.23839460778328</v>
      </c>
      <c r="I67" s="83">
        <f t="shared" si="4"/>
        <v>0.0657407849723858</v>
      </c>
      <c r="J67" s="60">
        <v>0.00097</v>
      </c>
      <c r="K67" s="60">
        <f t="shared" si="5"/>
        <v>9.48451188986233e-6</v>
      </c>
      <c r="L67" s="60">
        <f t="shared" si="6"/>
        <v>9.48451188986233e-6</v>
      </c>
      <c r="M67" s="60">
        <f t="shared" si="7"/>
        <v>-0.0657313004604959</v>
      </c>
      <c r="N67" s="85"/>
      <c r="O67" s="59"/>
      <c r="P67" s="86">
        <v>1.01248242101027</v>
      </c>
      <c r="Q67" s="86">
        <v>0.0139435420793834</v>
      </c>
    </row>
    <row r="68" spans="2:17">
      <c r="B68" s="87"/>
      <c r="C68" s="80">
        <v>6666020201</v>
      </c>
      <c r="D68" s="80" t="s">
        <v>143</v>
      </c>
      <c r="E68" s="80" t="s">
        <v>610</v>
      </c>
      <c r="F68" s="81">
        <v>0.13811</v>
      </c>
      <c r="G68" s="83">
        <f t="shared" si="3"/>
        <v>0.00183921056836947</v>
      </c>
      <c r="H68" s="81">
        <v>0</v>
      </c>
      <c r="I68" s="83">
        <f t="shared" si="4"/>
        <v>0</v>
      </c>
      <c r="J68" s="60">
        <v>0.07839</v>
      </c>
      <c r="K68" s="60">
        <f t="shared" si="5"/>
        <v>0.000766485450563204</v>
      </c>
      <c r="L68" s="60">
        <f t="shared" si="6"/>
        <v>-0.00107272511780626</v>
      </c>
      <c r="M68" s="60">
        <f t="shared" si="7"/>
        <v>0.000766485450563204</v>
      </c>
      <c r="N68" s="85"/>
      <c r="O68" s="59"/>
      <c r="P68" s="86">
        <v>0</v>
      </c>
      <c r="Q68" s="86">
        <v>0</v>
      </c>
    </row>
    <row r="69" spans="2:17">
      <c r="B69" s="87"/>
      <c r="C69" s="80">
        <v>6666020202</v>
      </c>
      <c r="D69" s="80" t="s">
        <v>146</v>
      </c>
      <c r="E69" s="80" t="s">
        <v>611</v>
      </c>
      <c r="F69" s="81">
        <v>0</v>
      </c>
      <c r="G69" s="83">
        <f t="shared" si="3"/>
        <v>0</v>
      </c>
      <c r="H69" s="81">
        <v>0</v>
      </c>
      <c r="I69" s="83">
        <f t="shared" si="4"/>
        <v>0</v>
      </c>
      <c r="J69" s="60">
        <v>0.25365</v>
      </c>
      <c r="K69" s="60">
        <f t="shared" si="5"/>
        <v>0.00248015096996245</v>
      </c>
      <c r="L69" s="60">
        <f t="shared" si="6"/>
        <v>0.00248015096996245</v>
      </c>
      <c r="M69" s="60">
        <f t="shared" si="7"/>
        <v>0.00248015096996245</v>
      </c>
      <c r="N69" s="85"/>
      <c r="O69" s="59"/>
      <c r="P69" s="86">
        <v>0</v>
      </c>
      <c r="Q69" s="86">
        <v>0</v>
      </c>
    </row>
    <row r="70" spans="2:17">
      <c r="B70" s="87"/>
      <c r="C70" s="80">
        <v>6666020204</v>
      </c>
      <c r="D70" s="80" t="s">
        <v>148</v>
      </c>
      <c r="E70" s="80" t="s">
        <v>612</v>
      </c>
      <c r="F70" s="81">
        <v>0.11117</v>
      </c>
      <c r="G70" s="83">
        <f t="shared" si="3"/>
        <v>0.00148045064720609</v>
      </c>
      <c r="H70" s="81">
        <v>0.699485656716594</v>
      </c>
      <c r="I70" s="83">
        <f t="shared" si="4"/>
        <v>0.00635289157902877</v>
      </c>
      <c r="J70" s="60">
        <v>6.73605</v>
      </c>
      <c r="K70" s="60">
        <f t="shared" si="5"/>
        <v>0.0658640683667084</v>
      </c>
      <c r="L70" s="60">
        <f t="shared" si="6"/>
        <v>0.0643836177195023</v>
      </c>
      <c r="M70" s="60">
        <f t="shared" si="7"/>
        <v>0.0595111767876796</v>
      </c>
      <c r="N70" s="85"/>
      <c r="O70" s="59"/>
      <c r="P70" s="86">
        <v>0.753195077819897</v>
      </c>
      <c r="Q70" s="86">
        <v>0.0103727304727789</v>
      </c>
    </row>
    <row r="71" spans="2:17">
      <c r="B71" s="87"/>
      <c r="C71" s="80">
        <v>6666020205</v>
      </c>
      <c r="D71" s="80" t="s">
        <v>150</v>
      </c>
      <c r="E71" s="80" t="s">
        <v>613</v>
      </c>
      <c r="F71" s="81">
        <v>0</v>
      </c>
      <c r="G71" s="83">
        <f t="shared" si="3"/>
        <v>0</v>
      </c>
      <c r="H71" s="81">
        <v>0</v>
      </c>
      <c r="I71" s="83">
        <f t="shared" si="4"/>
        <v>0</v>
      </c>
      <c r="J71" s="60">
        <v>0</v>
      </c>
      <c r="K71" s="60">
        <f t="shared" si="5"/>
        <v>0</v>
      </c>
      <c r="L71" s="60">
        <f t="shared" si="6"/>
        <v>0</v>
      </c>
      <c r="M71" s="60">
        <f t="shared" si="7"/>
        <v>0</v>
      </c>
      <c r="N71" s="85"/>
      <c r="O71" s="59"/>
      <c r="P71" s="86">
        <v>0</v>
      </c>
      <c r="Q71" s="86">
        <v>0</v>
      </c>
    </row>
    <row r="72" spans="2:17">
      <c r="B72" s="87"/>
      <c r="C72" s="80">
        <v>6666020301</v>
      </c>
      <c r="D72" s="80" t="s">
        <v>152</v>
      </c>
      <c r="E72" s="80" t="s">
        <v>614</v>
      </c>
      <c r="F72" s="81">
        <v>0.78062</v>
      </c>
      <c r="G72" s="83">
        <f t="shared" si="3"/>
        <v>0.0103955148351356</v>
      </c>
      <c r="H72" s="81">
        <v>0</v>
      </c>
      <c r="I72" s="83">
        <f t="shared" si="4"/>
        <v>0</v>
      </c>
      <c r="J72" s="60">
        <v>0.45285</v>
      </c>
      <c r="K72" s="60">
        <f t="shared" si="5"/>
        <v>0.00442789815394243</v>
      </c>
      <c r="L72" s="60">
        <f t="shared" si="6"/>
        <v>-0.00596761668119314</v>
      </c>
      <c r="M72" s="60">
        <f t="shared" si="7"/>
        <v>0.00442789815394243</v>
      </c>
      <c r="N72" s="85"/>
      <c r="O72" s="59"/>
      <c r="P72" s="86">
        <v>0</v>
      </c>
      <c r="Q72" s="86">
        <v>0</v>
      </c>
    </row>
    <row r="73" spans="2:17">
      <c r="B73" s="87"/>
      <c r="C73" s="80">
        <v>6666020302</v>
      </c>
      <c r="D73" s="80" t="s">
        <v>154</v>
      </c>
      <c r="E73" s="80" t="s">
        <v>615</v>
      </c>
      <c r="F73" s="81">
        <v>0</v>
      </c>
      <c r="G73" s="83">
        <f t="shared" si="3"/>
        <v>0</v>
      </c>
      <c r="H73" s="81">
        <v>1.13347515922673</v>
      </c>
      <c r="I73" s="83">
        <f t="shared" si="4"/>
        <v>0.010294485276354</v>
      </c>
      <c r="J73" s="60">
        <v>0</v>
      </c>
      <c r="K73" s="60">
        <f t="shared" si="5"/>
        <v>0</v>
      </c>
      <c r="L73" s="60">
        <f t="shared" si="6"/>
        <v>0</v>
      </c>
      <c r="M73" s="60">
        <f t="shared" si="7"/>
        <v>-0.010294485276354</v>
      </c>
      <c r="N73" s="85"/>
      <c r="O73" s="59"/>
      <c r="P73" s="86">
        <v>1.22050810129277</v>
      </c>
      <c r="Q73" s="86">
        <v>0.0168083965859112</v>
      </c>
    </row>
    <row r="74" spans="2:17">
      <c r="B74" s="87"/>
      <c r="C74" s="80" t="s">
        <v>156</v>
      </c>
      <c r="D74" s="80" t="s">
        <v>157</v>
      </c>
      <c r="E74" s="80" t="s">
        <v>343</v>
      </c>
      <c r="F74" s="81">
        <v>0</v>
      </c>
      <c r="G74" s="83">
        <f t="shared" si="3"/>
        <v>0</v>
      </c>
      <c r="H74" s="81">
        <v>0</v>
      </c>
      <c r="I74" s="83">
        <f t="shared" si="4"/>
        <v>0</v>
      </c>
      <c r="J74" s="60">
        <v>0</v>
      </c>
      <c r="K74" s="60">
        <f t="shared" si="5"/>
        <v>0</v>
      </c>
      <c r="L74" s="60">
        <f t="shared" si="6"/>
        <v>0</v>
      </c>
      <c r="M74" s="60">
        <f t="shared" si="7"/>
        <v>0</v>
      </c>
      <c r="N74" s="85"/>
      <c r="O74" s="59"/>
      <c r="P74" s="86">
        <v>0</v>
      </c>
      <c r="Q74" s="86">
        <v>0</v>
      </c>
    </row>
    <row r="75" spans="2:17">
      <c r="B75" s="87"/>
      <c r="C75" s="80">
        <v>6666020405</v>
      </c>
      <c r="D75" s="80" t="s">
        <v>159</v>
      </c>
      <c r="E75" s="80" t="s">
        <v>616</v>
      </c>
      <c r="F75" s="81">
        <v>0</v>
      </c>
      <c r="G75" s="83">
        <f t="shared" si="3"/>
        <v>0</v>
      </c>
      <c r="H75" s="81">
        <v>0</v>
      </c>
      <c r="I75" s="83">
        <f t="shared" si="4"/>
        <v>0</v>
      </c>
      <c r="J75" s="60">
        <v>0</v>
      </c>
      <c r="K75" s="60">
        <f t="shared" si="5"/>
        <v>0</v>
      </c>
      <c r="L75" s="60">
        <f t="shared" si="6"/>
        <v>0</v>
      </c>
      <c r="M75" s="60">
        <f t="shared" si="7"/>
        <v>0</v>
      </c>
      <c r="N75" s="85"/>
      <c r="O75" s="59"/>
      <c r="P75" s="86">
        <v>0</v>
      </c>
      <c r="Q75" s="86">
        <v>0</v>
      </c>
    </row>
    <row r="76" spans="2:17">
      <c r="B76" s="87"/>
      <c r="C76" s="80">
        <v>6666020495</v>
      </c>
      <c r="D76" s="80" t="s">
        <v>161</v>
      </c>
      <c r="E76" s="80" t="s">
        <v>617</v>
      </c>
      <c r="F76" s="81">
        <v>0.968</v>
      </c>
      <c r="G76" s="83">
        <f t="shared" si="3"/>
        <v>0.0128908538859</v>
      </c>
      <c r="H76" s="81">
        <v>0</v>
      </c>
      <c r="I76" s="83">
        <f t="shared" si="4"/>
        <v>0</v>
      </c>
      <c r="J76" s="60">
        <v>0.58595</v>
      </c>
      <c r="K76" s="60">
        <f t="shared" si="5"/>
        <v>0.00572932963078849</v>
      </c>
      <c r="L76" s="60">
        <f t="shared" si="6"/>
        <v>-0.00716152425511148</v>
      </c>
      <c r="M76" s="60">
        <f t="shared" si="7"/>
        <v>0.00572932963078849</v>
      </c>
      <c r="N76" s="85"/>
      <c r="O76" s="59"/>
      <c r="P76" s="86">
        <v>0</v>
      </c>
      <c r="Q76" s="86">
        <v>0</v>
      </c>
    </row>
    <row r="77" spans="2:17">
      <c r="B77" s="87"/>
      <c r="C77" s="80">
        <v>6666020504</v>
      </c>
      <c r="D77" s="80" t="s">
        <v>163</v>
      </c>
      <c r="E77" s="80" t="s">
        <v>344</v>
      </c>
      <c r="F77" s="81">
        <v>0</v>
      </c>
      <c r="G77" s="83">
        <f t="shared" si="3"/>
        <v>0</v>
      </c>
      <c r="H77" s="81">
        <v>0</v>
      </c>
      <c r="I77" s="83">
        <f t="shared" si="4"/>
        <v>0</v>
      </c>
      <c r="J77" s="60">
        <v>0</v>
      </c>
      <c r="K77" s="60">
        <f t="shared" si="5"/>
        <v>0</v>
      </c>
      <c r="L77" s="60">
        <f t="shared" si="6"/>
        <v>0</v>
      </c>
      <c r="M77" s="60">
        <f t="shared" si="7"/>
        <v>0</v>
      </c>
      <c r="N77" s="85"/>
      <c r="O77" s="59"/>
      <c r="P77" s="86">
        <v>0</v>
      </c>
      <c r="Q77" s="86">
        <v>0</v>
      </c>
    </row>
    <row r="78" spans="2:17">
      <c r="B78" s="87"/>
      <c r="C78" s="80">
        <v>6666020508</v>
      </c>
      <c r="D78" s="80" t="s">
        <v>165</v>
      </c>
      <c r="E78" s="80" t="s">
        <v>345</v>
      </c>
      <c r="F78" s="81">
        <v>0</v>
      </c>
      <c r="G78" s="83">
        <f t="shared" si="3"/>
        <v>0</v>
      </c>
      <c r="H78" s="81">
        <v>0</v>
      </c>
      <c r="I78" s="83">
        <f t="shared" si="4"/>
        <v>0</v>
      </c>
      <c r="J78" s="60">
        <v>0.01008</v>
      </c>
      <c r="K78" s="60">
        <f t="shared" si="5"/>
        <v>9.85607008760951e-5</v>
      </c>
      <c r="L78" s="60">
        <f t="shared" si="6"/>
        <v>9.85607008760951e-5</v>
      </c>
      <c r="M78" s="60">
        <f t="shared" si="7"/>
        <v>9.85607008760951e-5</v>
      </c>
      <c r="N78" s="85"/>
      <c r="O78" s="59"/>
      <c r="P78" s="86">
        <v>0</v>
      </c>
      <c r="Q78" s="86">
        <v>0</v>
      </c>
    </row>
    <row r="79" spans="2:17">
      <c r="B79" s="87"/>
      <c r="C79" s="80">
        <v>6666020602</v>
      </c>
      <c r="D79" s="80" t="s">
        <v>167</v>
      </c>
      <c r="E79" s="80" t="s">
        <v>618</v>
      </c>
      <c r="F79" s="81">
        <v>0.28116</v>
      </c>
      <c r="G79" s="83">
        <f t="shared" si="3"/>
        <v>0.00374420710595004</v>
      </c>
      <c r="H79" s="81">
        <v>0.370908631014029</v>
      </c>
      <c r="I79" s="83">
        <f t="shared" si="4"/>
        <v>0.0033686785367678</v>
      </c>
      <c r="J79" s="60">
        <v>8.83179</v>
      </c>
      <c r="K79" s="60">
        <f t="shared" si="5"/>
        <v>0.086355894086358</v>
      </c>
      <c r="L79" s="60">
        <f t="shared" si="6"/>
        <v>0.0826116869804079</v>
      </c>
      <c r="M79" s="60">
        <f t="shared" si="7"/>
        <v>0.0829872155495902</v>
      </c>
      <c r="N79" s="85"/>
      <c r="O79" s="59"/>
      <c r="P79" s="86">
        <v>0.399388540019588</v>
      </c>
      <c r="Q79" s="86">
        <v>0.00550023466899299</v>
      </c>
    </row>
    <row r="80" spans="2:17">
      <c r="B80" s="87"/>
      <c r="C80" s="80">
        <v>6666020701</v>
      </c>
      <c r="D80" s="80" t="s">
        <v>170</v>
      </c>
      <c r="E80" s="80" t="s">
        <v>348</v>
      </c>
      <c r="F80" s="81">
        <v>0</v>
      </c>
      <c r="G80" s="83">
        <f t="shared" si="3"/>
        <v>0</v>
      </c>
      <c r="H80" s="81">
        <v>0</v>
      </c>
      <c r="I80" s="83">
        <f t="shared" si="4"/>
        <v>0</v>
      </c>
      <c r="J80" s="60">
        <v>0</v>
      </c>
      <c r="K80" s="60">
        <f t="shared" si="5"/>
        <v>0</v>
      </c>
      <c r="L80" s="60">
        <f t="shared" si="6"/>
        <v>0</v>
      </c>
      <c r="M80" s="60">
        <f t="shared" si="7"/>
        <v>0</v>
      </c>
      <c r="N80" s="85"/>
      <c r="O80" s="59"/>
      <c r="P80" s="86">
        <v>0</v>
      </c>
      <c r="Q80" s="86">
        <v>0</v>
      </c>
    </row>
    <row r="81" spans="2:17">
      <c r="B81" s="87"/>
      <c r="C81" s="80">
        <v>6666020802</v>
      </c>
      <c r="D81" s="80" t="s">
        <v>172</v>
      </c>
      <c r="E81" s="80" t="s">
        <v>619</v>
      </c>
      <c r="F81" s="81">
        <v>23.699</v>
      </c>
      <c r="G81" s="83">
        <f t="shared" si="3"/>
        <v>0.315599531241677</v>
      </c>
      <c r="H81" s="81">
        <v>20.409</v>
      </c>
      <c r="I81" s="83">
        <f t="shared" si="4"/>
        <v>0.185359289345557</v>
      </c>
      <c r="J81" s="60">
        <v>18.6074</v>
      </c>
      <c r="K81" s="60">
        <f t="shared" si="5"/>
        <v>0.181940316020025</v>
      </c>
      <c r="L81" s="60">
        <f t="shared" si="6"/>
        <v>-0.133659215221652</v>
      </c>
      <c r="M81" s="60">
        <f t="shared" si="7"/>
        <v>-0.00341897332553195</v>
      </c>
      <c r="N81" s="85"/>
      <c r="O81" s="59"/>
      <c r="P81" s="86">
        <v>21.6513182216496</v>
      </c>
      <c r="Q81" s="86">
        <v>0.29817413165204</v>
      </c>
    </row>
    <row r="82" spans="2:17">
      <c r="B82" s="87"/>
      <c r="C82" s="80">
        <v>6666020803</v>
      </c>
      <c r="D82" s="80" t="s">
        <v>174</v>
      </c>
      <c r="E82" s="80" t="s">
        <v>620</v>
      </c>
      <c r="F82" s="81">
        <v>11.74125</v>
      </c>
      <c r="G82" s="83">
        <f t="shared" si="3"/>
        <v>0.156358200607255</v>
      </c>
      <c r="H82" s="81">
        <v>3.18888086902626</v>
      </c>
      <c r="I82" s="83">
        <f t="shared" si="4"/>
        <v>0.0289621584443309</v>
      </c>
      <c r="J82" s="60">
        <v>3.67226</v>
      </c>
      <c r="K82" s="60">
        <f t="shared" si="5"/>
        <v>0.0359067975594493</v>
      </c>
      <c r="L82" s="60">
        <f t="shared" si="6"/>
        <v>-0.120451403047806</v>
      </c>
      <c r="M82" s="60">
        <f t="shared" si="7"/>
        <v>0.0069446391151184</v>
      </c>
      <c r="N82" s="85"/>
      <c r="O82" s="59"/>
      <c r="P82" s="86">
        <v>3.43373641938415</v>
      </c>
      <c r="Q82" s="86">
        <v>0.0472881773151385</v>
      </c>
    </row>
    <row r="83" spans="2:17">
      <c r="B83" s="87"/>
      <c r="C83" s="80">
        <v>6666021100</v>
      </c>
      <c r="D83" s="80" t="s">
        <v>176</v>
      </c>
      <c r="E83" s="80" t="s">
        <v>352</v>
      </c>
      <c r="F83" s="81">
        <v>8.3586</v>
      </c>
      <c r="G83" s="83">
        <f t="shared" si="3"/>
        <v>0.111311457944921</v>
      </c>
      <c r="H83" s="81">
        <v>16.2887153700825</v>
      </c>
      <c r="I83" s="83">
        <f t="shared" si="4"/>
        <v>0.147937905108068</v>
      </c>
      <c r="J83" s="60">
        <v>18.27571</v>
      </c>
      <c r="K83" s="60">
        <f t="shared" si="5"/>
        <v>0.178697101846058</v>
      </c>
      <c r="L83" s="60">
        <f t="shared" si="6"/>
        <v>0.0673856439011367</v>
      </c>
      <c r="M83" s="60">
        <f t="shared" si="7"/>
        <v>0.0307591967379899</v>
      </c>
      <c r="N83" s="85"/>
      <c r="O83" s="59"/>
      <c r="P83" s="86">
        <v>17.5394307559422</v>
      </c>
      <c r="Q83" s="86">
        <v>0.241546703151532</v>
      </c>
    </row>
    <row r="84" spans="2:17">
      <c r="B84" s="87"/>
      <c r="C84" s="80">
        <v>6666021104</v>
      </c>
      <c r="D84" s="80" t="s">
        <v>178</v>
      </c>
      <c r="E84" s="80" t="s">
        <v>355</v>
      </c>
      <c r="F84" s="81">
        <v>-0.0046</v>
      </c>
      <c r="G84" s="83">
        <f t="shared" si="3"/>
        <v>-6.12581899536569e-5</v>
      </c>
      <c r="H84" s="81">
        <v>0</v>
      </c>
      <c r="I84" s="83">
        <f t="shared" si="4"/>
        <v>0</v>
      </c>
      <c r="J84" s="60">
        <v>0</v>
      </c>
      <c r="K84" s="60">
        <f t="shared" si="5"/>
        <v>0</v>
      </c>
      <c r="L84" s="60">
        <f t="shared" si="6"/>
        <v>6.12581899536569e-5</v>
      </c>
      <c r="M84" s="60">
        <f t="shared" si="7"/>
        <v>0</v>
      </c>
      <c r="N84" s="85"/>
      <c r="O84" s="59"/>
      <c r="P84" s="86">
        <v>0</v>
      </c>
      <c r="Q84" s="86">
        <v>0</v>
      </c>
    </row>
    <row r="85" spans="2:17">
      <c r="B85" s="87"/>
      <c r="C85" s="80">
        <v>6666021902</v>
      </c>
      <c r="D85" s="80" t="s">
        <v>180</v>
      </c>
      <c r="E85" s="80" t="s">
        <v>360</v>
      </c>
      <c r="F85" s="81">
        <v>8.93414</v>
      </c>
      <c r="G85" s="83">
        <f t="shared" si="3"/>
        <v>0.118975922867949</v>
      </c>
      <c r="H85" s="81">
        <v>10.0226784740709</v>
      </c>
      <c r="I85" s="83">
        <f t="shared" si="4"/>
        <v>0.0910282992450778</v>
      </c>
      <c r="J85" s="60">
        <v>10.63417</v>
      </c>
      <c r="K85" s="60">
        <f t="shared" si="5"/>
        <v>0.103979290519399</v>
      </c>
      <c r="L85" s="60">
        <f t="shared" si="6"/>
        <v>-0.0149966323485494</v>
      </c>
      <c r="M85" s="60">
        <f t="shared" si="7"/>
        <v>0.0129509912743215</v>
      </c>
      <c r="N85" s="85"/>
      <c r="O85" s="59"/>
      <c r="P85" s="86">
        <v>10.7922614577646</v>
      </c>
      <c r="Q85" s="86">
        <v>0.148627125415071</v>
      </c>
    </row>
    <row r="86" spans="2:17">
      <c r="B86" s="87"/>
      <c r="C86" s="80">
        <v>6666022100</v>
      </c>
      <c r="D86" s="80" t="s">
        <v>182</v>
      </c>
      <c r="E86" s="80" t="s">
        <v>361</v>
      </c>
      <c r="F86" s="81">
        <v>13.73259</v>
      </c>
      <c r="G86" s="83">
        <f t="shared" si="3"/>
        <v>0.182876871038193</v>
      </c>
      <c r="H86" s="81">
        <v>12.6790532622168</v>
      </c>
      <c r="I86" s="83">
        <f t="shared" si="4"/>
        <v>0.115154113492037</v>
      </c>
      <c r="J86" s="60">
        <v>11.51768</v>
      </c>
      <c r="K86" s="60">
        <f t="shared" si="5"/>
        <v>0.112618116395494</v>
      </c>
      <c r="L86" s="60">
        <f t="shared" si="6"/>
        <v>-0.0702587546426988</v>
      </c>
      <c r="M86" s="60">
        <f t="shared" si="7"/>
        <v>-0.0025359970965422</v>
      </c>
      <c r="N86" s="85"/>
      <c r="O86" s="59"/>
      <c r="P86" s="86">
        <v>13.6526037622344</v>
      </c>
      <c r="Q86" s="86">
        <v>0.188018726154193</v>
      </c>
    </row>
    <row r="87" spans="2:17">
      <c r="B87" s="87"/>
      <c r="C87" s="80">
        <v>6666022300</v>
      </c>
      <c r="D87" s="80" t="s">
        <v>184</v>
      </c>
      <c r="E87" s="80" t="s">
        <v>362</v>
      </c>
      <c r="F87" s="81">
        <v>0</v>
      </c>
      <c r="G87" s="83">
        <f t="shared" si="3"/>
        <v>0</v>
      </c>
      <c r="H87" s="81">
        <v>0</v>
      </c>
      <c r="I87" s="83">
        <f t="shared" si="4"/>
        <v>0</v>
      </c>
      <c r="J87" s="60">
        <v>0</v>
      </c>
      <c r="K87" s="60">
        <f t="shared" si="5"/>
        <v>0</v>
      </c>
      <c r="L87" s="60">
        <f t="shared" si="6"/>
        <v>0</v>
      </c>
      <c r="M87" s="60">
        <f t="shared" si="7"/>
        <v>0</v>
      </c>
      <c r="N87" s="85"/>
      <c r="O87" s="59"/>
      <c r="P87" s="86">
        <v>0</v>
      </c>
      <c r="Q87" s="86">
        <v>0</v>
      </c>
    </row>
    <row r="88" spans="2:17">
      <c r="B88" s="87"/>
      <c r="C88" s="80">
        <v>6666029700</v>
      </c>
      <c r="D88" s="80" t="s">
        <v>186</v>
      </c>
      <c r="E88" s="80" t="s">
        <v>621</v>
      </c>
      <c r="F88" s="81">
        <v>0</v>
      </c>
      <c r="G88" s="83">
        <f t="shared" si="3"/>
        <v>0</v>
      </c>
      <c r="H88" s="81">
        <v>0</v>
      </c>
      <c r="I88" s="83">
        <f t="shared" si="4"/>
        <v>0</v>
      </c>
      <c r="J88" s="60">
        <v>0</v>
      </c>
      <c r="K88" s="60">
        <f t="shared" si="5"/>
        <v>0</v>
      </c>
      <c r="L88" s="60">
        <f t="shared" si="6"/>
        <v>0</v>
      </c>
      <c r="M88" s="60">
        <f t="shared" si="7"/>
        <v>0</v>
      </c>
      <c r="N88" s="85"/>
      <c r="O88" s="59"/>
      <c r="P88" s="86">
        <v>0</v>
      </c>
      <c r="Q88" s="86">
        <v>0</v>
      </c>
    </row>
    <row r="89" spans="2:17">
      <c r="B89" s="87"/>
      <c r="C89" s="80">
        <v>6666029900</v>
      </c>
      <c r="D89" s="80" t="s">
        <v>188</v>
      </c>
      <c r="E89" s="80" t="s">
        <v>363</v>
      </c>
      <c r="F89" s="81">
        <v>0.01671</v>
      </c>
      <c r="G89" s="83">
        <f t="shared" si="3"/>
        <v>0.000222527033505566</v>
      </c>
      <c r="H89" s="81">
        <v>0</v>
      </c>
      <c r="I89" s="83">
        <f t="shared" si="4"/>
        <v>0</v>
      </c>
      <c r="J89" s="60">
        <v>0</v>
      </c>
      <c r="K89" s="60">
        <f t="shared" si="5"/>
        <v>0</v>
      </c>
      <c r="L89" s="60">
        <f t="shared" si="6"/>
        <v>-0.000222527033505566</v>
      </c>
      <c r="M89" s="60">
        <f t="shared" si="7"/>
        <v>0</v>
      </c>
      <c r="N89" s="85"/>
      <c r="O89" s="59"/>
      <c r="P89" s="86">
        <v>0</v>
      </c>
      <c r="Q89" s="86">
        <v>0</v>
      </c>
    </row>
    <row r="90" spans="2:17">
      <c r="B90" s="87"/>
      <c r="C90" s="80">
        <v>6666029996</v>
      </c>
      <c r="D90" s="80" t="s">
        <v>190</v>
      </c>
      <c r="E90" s="80" t="s">
        <v>622</v>
      </c>
      <c r="F90" s="81">
        <v>0</v>
      </c>
      <c r="G90" s="83">
        <f t="shared" si="3"/>
        <v>0</v>
      </c>
      <c r="H90" s="81">
        <v>0</v>
      </c>
      <c r="I90" s="83">
        <f t="shared" si="4"/>
        <v>0</v>
      </c>
      <c r="J90" s="60">
        <v>0.02969</v>
      </c>
      <c r="K90" s="60">
        <f t="shared" si="5"/>
        <v>0.00029030428660826</v>
      </c>
      <c r="L90" s="60">
        <f t="shared" si="6"/>
        <v>0.00029030428660826</v>
      </c>
      <c r="M90" s="60">
        <f t="shared" si="7"/>
        <v>0.00029030428660826</v>
      </c>
      <c r="N90" s="85"/>
      <c r="O90" s="59"/>
      <c r="P90" s="86">
        <v>0</v>
      </c>
      <c r="Q90" s="86">
        <v>0</v>
      </c>
    </row>
    <row r="91" spans="2:17">
      <c r="B91" s="87"/>
      <c r="C91" s="80">
        <v>6666029997</v>
      </c>
      <c r="D91" s="80" t="s">
        <v>191</v>
      </c>
      <c r="E91" s="80" t="s">
        <v>364</v>
      </c>
      <c r="F91" s="81">
        <v>-0.7228</v>
      </c>
      <c r="G91" s="83">
        <f t="shared" si="3"/>
        <v>-0.00962552602141373</v>
      </c>
      <c r="H91" s="81">
        <v>0</v>
      </c>
      <c r="I91" s="83">
        <f t="shared" si="4"/>
        <v>0</v>
      </c>
      <c r="J91" s="60">
        <v>5.3094</v>
      </c>
      <c r="K91" s="60">
        <f t="shared" si="5"/>
        <v>0.0519145025031289</v>
      </c>
      <c r="L91" s="60">
        <f t="shared" si="6"/>
        <v>0.0615400285245426</v>
      </c>
      <c r="M91" s="60">
        <f t="shared" si="7"/>
        <v>0.0519145025031289</v>
      </c>
      <c r="N91" s="85"/>
      <c r="O91" s="59"/>
      <c r="P91" s="86">
        <v>0</v>
      </c>
      <c r="Q91" s="86">
        <v>0</v>
      </c>
    </row>
    <row r="92" spans="2:17">
      <c r="B92" s="87"/>
      <c r="C92" s="80">
        <v>6666030702</v>
      </c>
      <c r="D92" s="80" t="s">
        <v>193</v>
      </c>
      <c r="E92" s="80" t="s">
        <v>623</v>
      </c>
      <c r="F92" s="81">
        <v>0</v>
      </c>
      <c r="G92" s="83">
        <f t="shared" si="3"/>
        <v>0</v>
      </c>
      <c r="H92" s="81">
        <v>0</v>
      </c>
      <c r="I92" s="83">
        <f t="shared" si="4"/>
        <v>0</v>
      </c>
      <c r="J92" s="60">
        <v>0</v>
      </c>
      <c r="K92" s="60">
        <f t="shared" si="5"/>
        <v>0</v>
      </c>
      <c r="L92" s="60">
        <f t="shared" si="6"/>
        <v>0</v>
      </c>
      <c r="M92" s="60">
        <f t="shared" si="7"/>
        <v>0</v>
      </c>
      <c r="N92" s="85"/>
      <c r="O92" s="59"/>
      <c r="P92" s="86">
        <v>0</v>
      </c>
      <c r="Q92" s="86">
        <v>0</v>
      </c>
    </row>
    <row r="93" spans="2:17">
      <c r="B93" s="87"/>
      <c r="C93" s="80">
        <v>6666031200</v>
      </c>
      <c r="D93" s="80" t="s">
        <v>195</v>
      </c>
      <c r="E93" s="80" t="s">
        <v>624</v>
      </c>
      <c r="F93" s="81">
        <v>0</v>
      </c>
      <c r="G93" s="83">
        <f t="shared" ref="G93:G108" si="8">F93/$H$26*1000</f>
        <v>0</v>
      </c>
      <c r="H93" s="81">
        <v>0</v>
      </c>
      <c r="I93" s="83">
        <f t="shared" ref="I93:I108" si="9">H93/$J$26*1000</f>
        <v>0</v>
      </c>
      <c r="J93" s="60">
        <v>0</v>
      </c>
      <c r="K93" s="60">
        <f t="shared" ref="K93:K157" si="10">J93*1000/$L$26</f>
        <v>0</v>
      </c>
      <c r="L93" s="60">
        <f t="shared" ref="L93:L157" si="11">K93-G93</f>
        <v>0</v>
      </c>
      <c r="M93" s="60">
        <f t="shared" ref="M93:M157" si="12">K93-I93</f>
        <v>0</v>
      </c>
      <c r="N93" s="85"/>
      <c r="O93" s="59"/>
      <c r="P93" s="86">
        <v>0</v>
      </c>
      <c r="Q93" s="86">
        <v>0</v>
      </c>
    </row>
    <row r="94" spans="2:17">
      <c r="B94" s="87"/>
      <c r="C94" s="80">
        <v>6666050107</v>
      </c>
      <c r="D94" s="80" t="s">
        <v>197</v>
      </c>
      <c r="E94" s="80" t="s">
        <v>367</v>
      </c>
      <c r="F94" s="81">
        <v>0</v>
      </c>
      <c r="G94" s="83">
        <f t="shared" si="8"/>
        <v>0</v>
      </c>
      <c r="H94" s="81">
        <v>0</v>
      </c>
      <c r="I94" s="83">
        <f t="shared" si="9"/>
        <v>0</v>
      </c>
      <c r="J94" s="60">
        <v>0</v>
      </c>
      <c r="K94" s="60">
        <f t="shared" si="10"/>
        <v>0</v>
      </c>
      <c r="L94" s="60">
        <f t="shared" si="11"/>
        <v>0</v>
      </c>
      <c r="M94" s="60">
        <f t="shared" si="12"/>
        <v>0</v>
      </c>
      <c r="N94" s="85"/>
      <c r="O94" s="59"/>
      <c r="P94" s="86">
        <v>0</v>
      </c>
      <c r="Q94" s="86">
        <v>0</v>
      </c>
    </row>
    <row r="95" spans="2:17">
      <c r="B95" s="87"/>
      <c r="C95" s="80">
        <v>6666070100</v>
      </c>
      <c r="D95" s="80" t="s">
        <v>199</v>
      </c>
      <c r="E95" s="80" t="s">
        <v>625</v>
      </c>
      <c r="F95" s="81">
        <v>0</v>
      </c>
      <c r="G95" s="83">
        <f t="shared" si="8"/>
        <v>0</v>
      </c>
      <c r="H95" s="81">
        <v>0</v>
      </c>
      <c r="I95" s="83">
        <f t="shared" si="9"/>
        <v>0</v>
      </c>
      <c r="J95" s="60">
        <v>0</v>
      </c>
      <c r="K95" s="60">
        <f t="shared" si="10"/>
        <v>0</v>
      </c>
      <c r="L95" s="60">
        <f t="shared" si="11"/>
        <v>0</v>
      </c>
      <c r="M95" s="60">
        <f t="shared" si="12"/>
        <v>0</v>
      </c>
      <c r="N95" s="85"/>
      <c r="O95" s="59"/>
      <c r="P95" s="86">
        <v>0</v>
      </c>
      <c r="Q95" s="86">
        <v>0</v>
      </c>
    </row>
    <row r="96" spans="2:17">
      <c r="B96" s="87"/>
      <c r="C96" s="80">
        <v>6666070300</v>
      </c>
      <c r="D96" s="80" t="s">
        <v>201</v>
      </c>
      <c r="E96" s="80" t="s">
        <v>626</v>
      </c>
      <c r="F96" s="81">
        <v>0</v>
      </c>
      <c r="G96" s="83">
        <f t="shared" si="8"/>
        <v>0</v>
      </c>
      <c r="H96" s="81">
        <v>0</v>
      </c>
      <c r="I96" s="83">
        <f t="shared" si="9"/>
        <v>0</v>
      </c>
      <c r="J96" s="60">
        <v>0</v>
      </c>
      <c r="K96" s="60">
        <f t="shared" si="10"/>
        <v>0</v>
      </c>
      <c r="L96" s="60">
        <f t="shared" si="11"/>
        <v>0</v>
      </c>
      <c r="M96" s="60">
        <f t="shared" si="12"/>
        <v>0</v>
      </c>
      <c r="N96" s="85"/>
      <c r="O96" s="59"/>
      <c r="P96" s="86">
        <v>0</v>
      </c>
      <c r="Q96" s="86">
        <v>0</v>
      </c>
    </row>
    <row r="97" spans="1:18">
      <c r="B97" s="87"/>
      <c r="C97" s="80">
        <v>6666070400</v>
      </c>
      <c r="D97" s="80" t="s">
        <v>203</v>
      </c>
      <c r="E97" s="80" t="s">
        <v>627</v>
      </c>
      <c r="F97" s="81">
        <v>10.99751</v>
      </c>
      <c r="G97" s="83">
        <f t="shared" si="8"/>
        <v>0.146453816651574</v>
      </c>
      <c r="H97" s="81">
        <v>17.9</v>
      </c>
      <c r="I97" s="83">
        <f t="shared" si="9"/>
        <v>0.162571967234331</v>
      </c>
      <c r="J97" s="60">
        <v>5.45259</v>
      </c>
      <c r="K97" s="60">
        <f t="shared" si="10"/>
        <v>0.0533145924593242</v>
      </c>
      <c r="L97" s="60">
        <f t="shared" si="11"/>
        <v>-0.0931392241922499</v>
      </c>
      <c r="M97" s="60">
        <f t="shared" si="12"/>
        <v>-0.109257374775007</v>
      </c>
      <c r="N97" s="85"/>
      <c r="O97" s="59"/>
      <c r="P97" s="86">
        <v>13.1548016046085</v>
      </c>
      <c r="Q97" s="86">
        <v>0.181163174701617</v>
      </c>
    </row>
    <row r="98" spans="1:18">
      <c r="B98" s="87"/>
      <c r="C98" s="80">
        <v>5401050201</v>
      </c>
      <c r="D98" s="80" t="s">
        <v>206</v>
      </c>
      <c r="E98" s="80" t="s">
        <v>628</v>
      </c>
      <c r="F98" s="81">
        <v>0</v>
      </c>
      <c r="G98" s="83">
        <f t="shared" si="8"/>
        <v>0</v>
      </c>
      <c r="H98" s="81">
        <v>0</v>
      </c>
      <c r="I98" s="83">
        <f t="shared" si="9"/>
        <v>0</v>
      </c>
      <c r="J98" s="60">
        <v>0</v>
      </c>
      <c r="K98" s="60">
        <f t="shared" si="10"/>
        <v>0</v>
      </c>
      <c r="L98" s="60">
        <f t="shared" si="11"/>
        <v>0</v>
      </c>
      <c r="M98" s="60">
        <f t="shared" si="12"/>
        <v>0</v>
      </c>
      <c r="N98" s="85"/>
      <c r="O98" s="59"/>
      <c r="P98" s="86">
        <v>0</v>
      </c>
      <c r="Q98" s="86">
        <v>0</v>
      </c>
    </row>
    <row r="99" spans="1:18">
      <c r="B99" s="87"/>
      <c r="C99" s="80">
        <v>5401020212</v>
      </c>
      <c r="D99" s="80" t="s">
        <v>208</v>
      </c>
      <c r="E99" s="80" t="s">
        <v>629</v>
      </c>
      <c r="F99" s="81">
        <v>0</v>
      </c>
      <c r="G99" s="83">
        <f t="shared" si="8"/>
        <v>0</v>
      </c>
      <c r="H99" s="81">
        <v>0</v>
      </c>
      <c r="I99" s="83">
        <f t="shared" si="9"/>
        <v>0</v>
      </c>
      <c r="J99" s="60">
        <v>0</v>
      </c>
      <c r="K99" s="60">
        <f t="shared" si="10"/>
        <v>0</v>
      </c>
      <c r="L99" s="60">
        <f t="shared" si="11"/>
        <v>0</v>
      </c>
      <c r="M99" s="60">
        <f t="shared" si="12"/>
        <v>0</v>
      </c>
      <c r="N99" s="85"/>
      <c r="O99" s="59"/>
      <c r="P99" s="86">
        <v>0</v>
      </c>
      <c r="Q99" s="86">
        <v>0</v>
      </c>
    </row>
    <row r="100" spans="1:18">
      <c r="B100" s="87"/>
      <c r="C100" s="80" t="s">
        <v>630</v>
      </c>
      <c r="D100" s="80" t="s">
        <v>631</v>
      </c>
      <c r="E100" s="80" t="s">
        <v>632</v>
      </c>
      <c r="F100" s="81">
        <v>0</v>
      </c>
      <c r="G100" s="83">
        <f t="shared" si="8"/>
        <v>0</v>
      </c>
      <c r="H100" s="81">
        <v>0</v>
      </c>
      <c r="I100" s="83">
        <f t="shared" si="9"/>
        <v>0</v>
      </c>
      <c r="J100" s="60">
        <v>0</v>
      </c>
      <c r="K100" s="60">
        <f t="shared" si="10"/>
        <v>0</v>
      </c>
      <c r="L100" s="60">
        <f t="shared" si="11"/>
        <v>0</v>
      </c>
      <c r="M100" s="60">
        <f t="shared" si="12"/>
        <v>0</v>
      </c>
      <c r="N100" s="85"/>
      <c r="O100" s="59"/>
      <c r="P100" s="86">
        <v>0</v>
      </c>
      <c r="Q100" s="86">
        <v>0</v>
      </c>
    </row>
    <row r="101" spans="1:18">
      <c r="B101" s="87"/>
      <c r="C101" s="80" t="s">
        <v>633</v>
      </c>
      <c r="D101" s="80" t="s">
        <v>372</v>
      </c>
      <c r="E101" s="80" t="s">
        <v>634</v>
      </c>
      <c r="F101" s="81">
        <v>0</v>
      </c>
      <c r="G101" s="83">
        <f t="shared" si="8"/>
        <v>0</v>
      </c>
      <c r="H101" s="81">
        <v>0</v>
      </c>
      <c r="I101" s="83">
        <f t="shared" si="9"/>
        <v>0</v>
      </c>
      <c r="J101" s="60">
        <v>0</v>
      </c>
      <c r="K101" s="60">
        <f t="shared" si="10"/>
        <v>0</v>
      </c>
      <c r="L101" s="60">
        <f t="shared" si="11"/>
        <v>0</v>
      </c>
      <c r="M101" s="60">
        <f t="shared" si="12"/>
        <v>0</v>
      </c>
      <c r="N101" s="85"/>
      <c r="O101" s="59"/>
      <c r="P101" s="86">
        <v>0</v>
      </c>
      <c r="Q101" s="86">
        <v>0</v>
      </c>
    </row>
    <row r="102" spans="1:18">
      <c r="B102" s="87"/>
      <c r="C102" s="80" t="s">
        <v>635</v>
      </c>
      <c r="D102" s="80" t="s">
        <v>636</v>
      </c>
      <c r="E102" s="80" t="s">
        <v>637</v>
      </c>
      <c r="F102" s="81">
        <v>0</v>
      </c>
      <c r="G102" s="83">
        <f t="shared" si="8"/>
        <v>0</v>
      </c>
      <c r="H102" s="81">
        <v>0</v>
      </c>
      <c r="I102" s="83">
        <f t="shared" si="9"/>
        <v>0</v>
      </c>
      <c r="J102" s="60">
        <v>0</v>
      </c>
      <c r="K102" s="60">
        <f t="shared" si="10"/>
        <v>0</v>
      </c>
      <c r="L102" s="60">
        <f t="shared" si="11"/>
        <v>0</v>
      </c>
      <c r="M102" s="60">
        <f t="shared" si="12"/>
        <v>0</v>
      </c>
      <c r="N102" s="85"/>
      <c r="O102" s="59"/>
      <c r="P102" s="86">
        <v>0</v>
      </c>
      <c r="Q102" s="86">
        <v>0</v>
      </c>
    </row>
    <row r="103" spans="1:18">
      <c r="B103" s="87"/>
      <c r="C103" s="80">
        <v>6666040215</v>
      </c>
      <c r="D103" s="80" t="s">
        <v>638</v>
      </c>
      <c r="E103" s="80" t="s">
        <v>639</v>
      </c>
      <c r="F103" s="81">
        <v>0</v>
      </c>
      <c r="G103" s="83">
        <f t="shared" si="8"/>
        <v>0</v>
      </c>
      <c r="H103" s="81">
        <v>0</v>
      </c>
      <c r="I103" s="83">
        <f t="shared" si="9"/>
        <v>0</v>
      </c>
      <c r="J103" s="60">
        <v>0</v>
      </c>
      <c r="K103" s="60">
        <f t="shared" si="10"/>
        <v>0</v>
      </c>
      <c r="L103" s="60">
        <f t="shared" si="11"/>
        <v>0</v>
      </c>
      <c r="M103" s="60">
        <f t="shared" si="12"/>
        <v>0</v>
      </c>
      <c r="N103" s="85"/>
      <c r="O103" s="59"/>
      <c r="P103" s="86">
        <v>0</v>
      </c>
      <c r="Q103" s="86">
        <v>0</v>
      </c>
    </row>
    <row r="104" spans="1:18">
      <c r="B104" s="87"/>
      <c r="C104" s="80" t="s">
        <v>156</v>
      </c>
      <c r="D104" s="80" t="s">
        <v>157</v>
      </c>
      <c r="E104" s="80" t="s">
        <v>640</v>
      </c>
      <c r="F104" s="81">
        <v>0</v>
      </c>
      <c r="G104" s="83">
        <f t="shared" si="8"/>
        <v>0</v>
      </c>
      <c r="H104" s="81">
        <v>0</v>
      </c>
      <c r="I104" s="83">
        <f t="shared" si="9"/>
        <v>0</v>
      </c>
      <c r="J104" s="60">
        <v>0</v>
      </c>
      <c r="K104" s="60">
        <f t="shared" si="10"/>
        <v>0</v>
      </c>
      <c r="L104" s="60">
        <f t="shared" si="11"/>
        <v>0</v>
      </c>
      <c r="M104" s="60">
        <f t="shared" si="12"/>
        <v>0</v>
      </c>
      <c r="N104" s="85"/>
      <c r="O104" s="59"/>
      <c r="P104" s="86">
        <v>0</v>
      </c>
      <c r="Q104" s="86">
        <v>0</v>
      </c>
    </row>
    <row r="105" spans="1:18">
      <c r="B105" s="87"/>
      <c r="C105" s="80" t="s">
        <v>641</v>
      </c>
      <c r="D105" s="80" t="s">
        <v>336</v>
      </c>
      <c r="E105" s="80" t="s">
        <v>642</v>
      </c>
      <c r="F105" s="81">
        <v>0</v>
      </c>
      <c r="G105" s="83">
        <f t="shared" si="8"/>
        <v>0</v>
      </c>
      <c r="H105" s="81">
        <v>0</v>
      </c>
      <c r="I105" s="83">
        <f t="shared" si="9"/>
        <v>0</v>
      </c>
      <c r="J105" s="60">
        <v>0</v>
      </c>
      <c r="K105" s="60">
        <f t="shared" si="10"/>
        <v>0</v>
      </c>
      <c r="L105" s="60">
        <f t="shared" si="11"/>
        <v>0</v>
      </c>
      <c r="M105" s="60">
        <f t="shared" si="12"/>
        <v>0</v>
      </c>
      <c r="N105" s="85"/>
      <c r="O105" s="59"/>
      <c r="P105" s="86">
        <v>0</v>
      </c>
      <c r="Q105" s="86">
        <v>0</v>
      </c>
    </row>
    <row r="106" spans="1:18">
      <c r="B106" s="87"/>
      <c r="C106" s="80" t="s">
        <v>643</v>
      </c>
      <c r="D106" s="80" t="s">
        <v>644</v>
      </c>
      <c r="E106" s="80" t="s">
        <v>645</v>
      </c>
      <c r="F106" s="81">
        <v>0</v>
      </c>
      <c r="G106" s="83">
        <f t="shared" si="8"/>
        <v>0</v>
      </c>
      <c r="H106" s="81">
        <v>0</v>
      </c>
      <c r="I106" s="83">
        <f t="shared" si="9"/>
        <v>0</v>
      </c>
      <c r="J106" s="60">
        <v>0.20849</v>
      </c>
      <c r="K106" s="60">
        <f t="shared" si="10"/>
        <v>0.00203858338548185</v>
      </c>
      <c r="L106" s="60">
        <f t="shared" si="11"/>
        <v>0.00203858338548185</v>
      </c>
      <c r="M106" s="60">
        <f t="shared" si="12"/>
        <v>0.00203858338548185</v>
      </c>
      <c r="N106" s="85"/>
      <c r="O106" s="59"/>
      <c r="P106" s="86">
        <v>0</v>
      </c>
      <c r="Q106" s="86">
        <v>0</v>
      </c>
    </row>
    <row r="107" spans="1:18">
      <c r="A107" s="49">
        <v>5.18232</v>
      </c>
      <c r="B107" s="87"/>
      <c r="C107" s="80">
        <v>6666020801</v>
      </c>
      <c r="D107" s="80" t="s">
        <v>349</v>
      </c>
      <c r="E107" s="80" t="s">
        <v>813</v>
      </c>
      <c r="F107" s="81"/>
      <c r="G107" s="83"/>
      <c r="H107" s="81"/>
      <c r="I107" s="83"/>
      <c r="J107" s="60">
        <v>5.18232</v>
      </c>
      <c r="K107" s="60">
        <f t="shared" si="10"/>
        <v>0.0506719336670838</v>
      </c>
      <c r="L107" s="60">
        <f t="shared" si="11"/>
        <v>0.0506719336670838</v>
      </c>
      <c r="M107" s="60">
        <f t="shared" si="12"/>
        <v>0.0506719336670838</v>
      </c>
      <c r="N107" s="85"/>
      <c r="O107" s="59"/>
      <c r="P107" s="86"/>
      <c r="Q107" s="86"/>
    </row>
    <row r="108" spans="1:18">
      <c r="B108" s="87"/>
      <c r="C108" s="80" t="s">
        <v>646</v>
      </c>
      <c r="D108" s="80" t="s">
        <v>647</v>
      </c>
      <c r="E108" s="80" t="s">
        <v>648</v>
      </c>
      <c r="F108" s="81">
        <v>0</v>
      </c>
      <c r="G108" s="83">
        <f t="shared" si="8"/>
        <v>0</v>
      </c>
      <c r="H108" s="81">
        <v>0</v>
      </c>
      <c r="I108" s="83">
        <f t="shared" si="9"/>
        <v>0</v>
      </c>
      <c r="J108" s="60">
        <v>0</v>
      </c>
      <c r="K108" s="60">
        <f t="shared" si="10"/>
        <v>0</v>
      </c>
      <c r="L108" s="60">
        <f t="shared" si="11"/>
        <v>0</v>
      </c>
      <c r="M108" s="60">
        <f t="shared" si="12"/>
        <v>0</v>
      </c>
      <c r="N108" s="85"/>
      <c r="O108" s="59"/>
      <c r="P108" s="86">
        <v>0</v>
      </c>
      <c r="Q108" s="86">
        <v>0</v>
      </c>
    </row>
    <row r="109" spans="1:18">
      <c r="B109" s="87"/>
      <c r="C109" s="80" t="s">
        <v>790</v>
      </c>
      <c r="D109" s="80" t="s">
        <v>791</v>
      </c>
      <c r="E109" t="s">
        <v>792</v>
      </c>
      <c r="F109" s="81">
        <v>0</v>
      </c>
      <c r="G109" s="83"/>
      <c r="H109" s="81">
        <v>0</v>
      </c>
      <c r="I109" s="83"/>
      <c r="J109" s="60">
        <v>-0.00626</v>
      </c>
      <c r="K109" s="60">
        <f t="shared" si="10"/>
        <v>-6.1209324155194e-5</v>
      </c>
      <c r="L109" s="60">
        <f t="shared" si="11"/>
        <v>-6.1209324155194e-5</v>
      </c>
      <c r="M109" s="60">
        <f t="shared" si="12"/>
        <v>-6.1209324155194e-5</v>
      </c>
      <c r="N109" s="85"/>
      <c r="O109" s="59"/>
      <c r="P109" s="86"/>
      <c r="Q109" s="86"/>
    </row>
    <row r="110" spans="1:18">
      <c r="B110" s="87"/>
      <c r="C110" s="80" t="s">
        <v>793</v>
      </c>
      <c r="D110" s="80" t="s">
        <v>794</v>
      </c>
      <c r="E110" t="s">
        <v>795</v>
      </c>
      <c r="F110" s="81">
        <v>0</v>
      </c>
      <c r="G110" s="83"/>
      <c r="H110" s="81">
        <v>0</v>
      </c>
      <c r="I110" s="83"/>
      <c r="J110" s="60">
        <v>1.06557</v>
      </c>
      <c r="K110" s="60">
        <f t="shared" si="10"/>
        <v>0.0104189807571965</v>
      </c>
      <c r="L110" s="60">
        <f t="shared" si="11"/>
        <v>0.0104189807571965</v>
      </c>
      <c r="M110" s="60">
        <f t="shared" si="12"/>
        <v>0.0104189807571965</v>
      </c>
      <c r="N110" s="85"/>
      <c r="O110" s="59"/>
      <c r="P110" s="86"/>
      <c r="Q110" s="86"/>
    </row>
    <row r="111" spans="1:18">
      <c r="B111" s="87"/>
      <c r="C111" s="80" t="s">
        <v>796</v>
      </c>
      <c r="D111" s="80" t="s">
        <v>814</v>
      </c>
      <c r="E111" s="80" t="s">
        <v>815</v>
      </c>
      <c r="F111" s="81">
        <v>0</v>
      </c>
      <c r="G111" s="83"/>
      <c r="H111" s="81">
        <v>0</v>
      </c>
      <c r="I111" s="83"/>
      <c r="J111" s="60">
        <v>0</v>
      </c>
      <c r="K111" s="60">
        <f t="shared" si="10"/>
        <v>0</v>
      </c>
      <c r="L111" s="60">
        <f t="shared" si="11"/>
        <v>0</v>
      </c>
      <c r="M111" s="60">
        <f t="shared" si="12"/>
        <v>0</v>
      </c>
      <c r="N111" s="85"/>
      <c r="O111" s="59"/>
      <c r="P111" s="86"/>
      <c r="Q111" s="86"/>
    </row>
    <row r="112" spans="1:18">
      <c r="B112" s="73"/>
      <c r="C112" s="89" t="s">
        <v>75</v>
      </c>
      <c r="D112" s="89" t="s">
        <v>213</v>
      </c>
      <c r="E112" s="89" t="s">
        <v>650</v>
      </c>
      <c r="F112" s="81">
        <f>SUM(F53:F108)</f>
        <v>82.17874</v>
      </c>
      <c r="G112" s="83">
        <f t="shared" ref="G112:G157" si="13">F112/$H$26*1000</f>
        <v>1.09437410110265</v>
      </c>
      <c r="H112" s="81">
        <f>SUM(H53:H108)</f>
        <v>92.9151125106389</v>
      </c>
      <c r="I112" s="83">
        <f t="shared" ref="I112:I157" si="14">H112/$J$26*1000</f>
        <v>0.843876683053286</v>
      </c>
      <c r="J112" s="91">
        <f>SUM(J53:J111)</f>
        <v>94.11968</v>
      </c>
      <c r="K112" s="60">
        <f t="shared" si="10"/>
        <v>0.920287859824781</v>
      </c>
      <c r="L112" s="60">
        <f t="shared" si="11"/>
        <v>-0.174086241277866</v>
      </c>
      <c r="M112" s="60">
        <f t="shared" si="12"/>
        <v>0.076411176771495</v>
      </c>
      <c r="N112" s="85"/>
      <c r="O112" s="59"/>
      <c r="P112" s="86">
        <v>86.8234107510793</v>
      </c>
      <c r="Q112" s="86">
        <v>1.19570064246181</v>
      </c>
      <c r="R112" s="49">
        <f>J112-P112</f>
        <v>7.29626924892071</v>
      </c>
    </row>
    <row r="113" spans="2:18">
      <c r="B113" s="79" t="s">
        <v>212</v>
      </c>
      <c r="C113" s="80">
        <v>6666110203</v>
      </c>
      <c r="D113" s="80" t="s">
        <v>215</v>
      </c>
      <c r="E113" s="80" t="s">
        <v>651</v>
      </c>
      <c r="F113" s="81">
        <v>9.02294</v>
      </c>
      <c r="G113" s="83">
        <f t="shared" si="13"/>
        <v>0.120158472274011</v>
      </c>
      <c r="H113" s="81">
        <v>31.5212629020943</v>
      </c>
      <c r="I113" s="83">
        <f t="shared" si="14"/>
        <v>0.286283448028158</v>
      </c>
      <c r="J113" s="60">
        <v>29.23302</v>
      </c>
      <c r="K113" s="60">
        <f t="shared" si="10"/>
        <v>0.285836005944931</v>
      </c>
      <c r="L113" s="60">
        <f t="shared" si="11"/>
        <v>0.165677533670921</v>
      </c>
      <c r="M113" s="60">
        <f t="shared" si="12"/>
        <v>-0.000447442083226834</v>
      </c>
      <c r="N113" s="85"/>
      <c r="O113" s="59"/>
      <c r="P113" s="86">
        <v>26.6217210239344</v>
      </c>
      <c r="Q113" s="86">
        <v>0.366624723175387</v>
      </c>
    </row>
    <row r="114" spans="2:18">
      <c r="B114" s="87"/>
      <c r="C114" s="80">
        <v>5102040000</v>
      </c>
      <c r="D114" s="80" t="s">
        <v>217</v>
      </c>
      <c r="E114" s="80" t="s">
        <v>378</v>
      </c>
      <c r="F114" s="81">
        <v>0</v>
      </c>
      <c r="G114" s="83">
        <f t="shared" si="13"/>
        <v>0</v>
      </c>
      <c r="H114" s="81">
        <v>0</v>
      </c>
      <c r="I114" s="83">
        <f t="shared" si="14"/>
        <v>0</v>
      </c>
      <c r="J114" s="60">
        <v>-0.26659</v>
      </c>
      <c r="K114" s="60">
        <f t="shared" si="10"/>
        <v>-0.00260667631414268</v>
      </c>
      <c r="L114" s="60">
        <f t="shared" si="11"/>
        <v>-0.00260667631414268</v>
      </c>
      <c r="M114" s="60">
        <f t="shared" si="12"/>
        <v>-0.00260667631414268</v>
      </c>
      <c r="N114" s="85"/>
      <c r="O114" s="59"/>
      <c r="P114" s="86">
        <v>0</v>
      </c>
      <c r="Q114" s="86">
        <v>0</v>
      </c>
    </row>
    <row r="115" spans="2:18">
      <c r="B115" s="87"/>
      <c r="C115" s="80">
        <v>6666050307</v>
      </c>
      <c r="D115" s="80" t="s">
        <v>219</v>
      </c>
      <c r="E115" s="80" t="s">
        <v>652</v>
      </c>
      <c r="F115" s="81">
        <v>-5.04528</v>
      </c>
      <c r="G115" s="83">
        <f t="shared" si="13"/>
        <v>-0.0671879827411708</v>
      </c>
      <c r="H115" s="81">
        <v>0</v>
      </c>
      <c r="I115" s="83">
        <f t="shared" si="14"/>
        <v>0</v>
      </c>
      <c r="J115" s="60">
        <v>-8.71998</v>
      </c>
      <c r="K115" s="60">
        <f t="shared" si="10"/>
        <v>-0.0852626329787234</v>
      </c>
      <c r="L115" s="60">
        <f t="shared" si="11"/>
        <v>-0.0180746502375526</v>
      </c>
      <c r="M115" s="60">
        <f t="shared" si="12"/>
        <v>-0.0852626329787234</v>
      </c>
      <c r="N115" s="85"/>
      <c r="O115" s="59"/>
      <c r="P115" s="86">
        <v>0</v>
      </c>
      <c r="Q115" s="86">
        <v>0</v>
      </c>
    </row>
    <row r="116" spans="2:18">
      <c r="B116" s="87"/>
      <c r="C116" s="80">
        <v>6666050312</v>
      </c>
      <c r="D116" s="80" t="s">
        <v>221</v>
      </c>
      <c r="E116" s="80" t="s">
        <v>653</v>
      </c>
      <c r="F116" s="81">
        <v>0.16582</v>
      </c>
      <c r="G116" s="83">
        <f t="shared" si="13"/>
        <v>0.00220822457785117</v>
      </c>
      <c r="H116" s="81">
        <v>0</v>
      </c>
      <c r="I116" s="83">
        <f t="shared" si="14"/>
        <v>0</v>
      </c>
      <c r="J116" s="60">
        <v>0</v>
      </c>
      <c r="K116" s="60">
        <f t="shared" si="10"/>
        <v>0</v>
      </c>
      <c r="L116" s="60">
        <f t="shared" si="11"/>
        <v>-0.00220822457785117</v>
      </c>
      <c r="M116" s="60">
        <f t="shared" si="12"/>
        <v>0</v>
      </c>
      <c r="N116" s="85"/>
      <c r="O116" s="59"/>
      <c r="P116" s="86">
        <v>0</v>
      </c>
      <c r="Q116" s="86">
        <v>0</v>
      </c>
    </row>
    <row r="117" spans="2:18">
      <c r="B117" s="73"/>
      <c r="C117" s="89" t="s">
        <v>96</v>
      </c>
      <c r="D117" s="89" t="s">
        <v>224</v>
      </c>
      <c r="E117" s="89" t="s">
        <v>654</v>
      </c>
      <c r="F117" s="81">
        <f>SUM(F113:F116)</f>
        <v>4.14348</v>
      </c>
      <c r="G117" s="83">
        <f t="shared" si="13"/>
        <v>0.0551787141106909</v>
      </c>
      <c r="H117" s="81">
        <f>SUM(H113:H116)</f>
        <v>31.5212629020943</v>
      </c>
      <c r="I117" s="83">
        <f t="shared" si="14"/>
        <v>0.286283448028158</v>
      </c>
      <c r="J117" s="63">
        <f>SUM(J113:J116)</f>
        <v>20.24645</v>
      </c>
      <c r="K117" s="60">
        <f t="shared" si="10"/>
        <v>0.197966696652065</v>
      </c>
      <c r="L117" s="60">
        <f t="shared" si="11"/>
        <v>0.142787982541374</v>
      </c>
      <c r="M117" s="60">
        <f t="shared" si="12"/>
        <v>-0.0883167513760929</v>
      </c>
      <c r="N117" s="85" t="s">
        <v>798</v>
      </c>
      <c r="O117" s="59"/>
      <c r="P117" s="86">
        <v>26.6217210239344</v>
      </c>
      <c r="Q117" s="86">
        <v>0.366624723175387</v>
      </c>
      <c r="R117" s="49">
        <f>J117-P117</f>
        <v>-6.3752710239344</v>
      </c>
    </row>
    <row r="118" spans="2:18">
      <c r="B118" s="79" t="s">
        <v>223</v>
      </c>
      <c r="C118" s="80">
        <v>6666100203</v>
      </c>
      <c r="D118" s="80" t="s">
        <v>226</v>
      </c>
      <c r="E118" s="80" t="s">
        <v>655</v>
      </c>
      <c r="F118" s="81">
        <v>8.53094999999999</v>
      </c>
      <c r="G118" s="83">
        <f t="shared" si="13"/>
        <v>0.11360664251851</v>
      </c>
      <c r="H118" s="81">
        <v>12.5</v>
      </c>
      <c r="I118" s="83">
        <f t="shared" si="14"/>
        <v>0.11352791007984</v>
      </c>
      <c r="J118" s="60">
        <v>60.01</v>
      </c>
      <c r="K118" s="60">
        <f t="shared" si="10"/>
        <v>0.586768617021277</v>
      </c>
      <c r="L118" s="60">
        <f t="shared" si="11"/>
        <v>0.473161974502766</v>
      </c>
      <c r="M118" s="60">
        <f t="shared" si="12"/>
        <v>0.473240706941436</v>
      </c>
      <c r="N118" s="85"/>
      <c r="O118" s="59"/>
      <c r="P118" s="86">
        <v>16.166</v>
      </c>
      <c r="Q118" s="86">
        <v>0.222632311018688</v>
      </c>
    </row>
    <row r="119" spans="2:18">
      <c r="B119" s="73"/>
      <c r="C119" s="89" t="s">
        <v>75</v>
      </c>
      <c r="D119" s="89" t="s">
        <v>229</v>
      </c>
      <c r="E119" s="89" t="s">
        <v>656</v>
      </c>
      <c r="F119" s="81">
        <f>F118</f>
        <v>8.53094999999999</v>
      </c>
      <c r="G119" s="83">
        <f t="shared" si="13"/>
        <v>0.11360664251851</v>
      </c>
      <c r="H119" s="81">
        <f>H118</f>
        <v>12.5</v>
      </c>
      <c r="I119" s="83">
        <f t="shared" si="14"/>
        <v>0.11352791007984</v>
      </c>
      <c r="J119" s="63">
        <f>J118</f>
        <v>60.01</v>
      </c>
      <c r="K119" s="60">
        <f t="shared" si="10"/>
        <v>0.586768617021277</v>
      </c>
      <c r="L119" s="60">
        <f t="shared" si="11"/>
        <v>0.473161974502766</v>
      </c>
      <c r="M119" s="60">
        <f t="shared" si="12"/>
        <v>0.473240706941436</v>
      </c>
      <c r="N119" s="85"/>
      <c r="O119" s="59"/>
      <c r="P119" s="86">
        <v>16.166</v>
      </c>
      <c r="Q119" s="86">
        <v>0.222632311018688</v>
      </c>
      <c r="R119" s="49">
        <f>J119-P119</f>
        <v>43.844</v>
      </c>
    </row>
    <row r="120" spans="2:18">
      <c r="B120" s="79" t="s">
        <v>228</v>
      </c>
      <c r="C120" s="80">
        <v>5301070000</v>
      </c>
      <c r="D120" s="80" t="s">
        <v>231</v>
      </c>
      <c r="E120" s="80" t="s">
        <v>657</v>
      </c>
      <c r="F120" s="81">
        <v>-97.37103</v>
      </c>
      <c r="G120" s="83">
        <f t="shared" si="13"/>
        <v>-1.29668979385287</v>
      </c>
      <c r="H120" s="81">
        <v>-73.7839660259257</v>
      </c>
      <c r="I120" s="83">
        <f t="shared" si="14"/>
        <v>-0.670123156826024</v>
      </c>
      <c r="J120" s="60">
        <v>-98.06165</v>
      </c>
      <c r="K120" s="60">
        <f t="shared" si="10"/>
        <v>-0.958831840581977</v>
      </c>
      <c r="L120" s="60">
        <f t="shared" si="11"/>
        <v>0.337857953270896</v>
      </c>
      <c r="M120" s="60">
        <f t="shared" si="12"/>
        <v>-0.288708683755954</v>
      </c>
      <c r="N120" s="85"/>
      <c r="O120" s="59"/>
      <c r="P120" s="86">
        <v>-70.2448142270844</v>
      </c>
      <c r="Q120" s="86">
        <v>-0.967386201191032</v>
      </c>
    </row>
    <row r="121" spans="2:18">
      <c r="B121" s="73"/>
      <c r="C121" s="89" t="s">
        <v>96</v>
      </c>
      <c r="D121" s="89" t="s">
        <v>235</v>
      </c>
      <c r="E121" s="89" t="s">
        <v>658</v>
      </c>
      <c r="F121" s="81">
        <f>F120</f>
        <v>-97.37103</v>
      </c>
      <c r="G121" s="83">
        <f t="shared" si="13"/>
        <v>-1.29668979385287</v>
      </c>
      <c r="H121" s="81">
        <f>H120</f>
        <v>-73.7839660259257</v>
      </c>
      <c r="I121" s="83">
        <f t="shared" si="14"/>
        <v>-0.670123156826024</v>
      </c>
      <c r="J121" s="63">
        <f>J120</f>
        <v>-98.06165</v>
      </c>
      <c r="K121" s="60">
        <f t="shared" si="10"/>
        <v>-0.958831840581977</v>
      </c>
      <c r="L121" s="60">
        <f t="shared" si="11"/>
        <v>0.337857953270896</v>
      </c>
      <c r="M121" s="60">
        <f t="shared" si="12"/>
        <v>-0.288708683755954</v>
      </c>
      <c r="N121" s="85"/>
      <c r="O121" s="59"/>
      <c r="P121" s="86">
        <v>-70.2448142270844</v>
      </c>
      <c r="Q121" s="86">
        <v>-0.967386201191032</v>
      </c>
      <c r="R121" s="49">
        <f>J121-P121</f>
        <v>-27.8168357729156</v>
      </c>
    </row>
    <row r="122" spans="2:18">
      <c r="B122" s="79" t="s">
        <v>234</v>
      </c>
      <c r="C122" s="80">
        <v>6666021602</v>
      </c>
      <c r="D122" s="80" t="s">
        <v>237</v>
      </c>
      <c r="E122" s="80" t="s">
        <v>659</v>
      </c>
      <c r="F122" s="81">
        <v>20.25036</v>
      </c>
      <c r="G122" s="83">
        <f t="shared" si="13"/>
        <v>0.269673999893464</v>
      </c>
      <c r="H122" s="81">
        <v>27.2532991159048</v>
      </c>
      <c r="I122" s="83">
        <f t="shared" si="14"/>
        <v>0.247520807312755</v>
      </c>
      <c r="J122" s="60">
        <v>29.62839</v>
      </c>
      <c r="K122" s="60">
        <f t="shared" si="10"/>
        <v>0.289701873435544</v>
      </c>
      <c r="L122" s="60">
        <f t="shared" si="11"/>
        <v>0.0200278735420804</v>
      </c>
      <c r="M122" s="60">
        <f t="shared" si="12"/>
        <v>0.0421810661227892</v>
      </c>
      <c r="N122" s="85"/>
      <c r="O122" s="59"/>
      <c r="P122" s="86">
        <v>13.7876605977447</v>
      </c>
      <c r="Q122" s="86">
        <v>0.18987868009509</v>
      </c>
    </row>
    <row r="123" spans="2:18">
      <c r="B123" s="73"/>
      <c r="C123" s="89" t="s">
        <v>75</v>
      </c>
      <c r="D123" s="89" t="s">
        <v>244</v>
      </c>
      <c r="E123" s="89" t="s">
        <v>245</v>
      </c>
      <c r="F123" s="81">
        <f>F122</f>
        <v>20.25036</v>
      </c>
      <c r="G123" s="83">
        <f t="shared" si="13"/>
        <v>0.269673999893464</v>
      </c>
      <c r="H123" s="81">
        <f>H122</f>
        <v>27.2532991159048</v>
      </c>
      <c r="I123" s="83">
        <f t="shared" si="14"/>
        <v>0.247520807312755</v>
      </c>
      <c r="J123" s="63">
        <f>J122</f>
        <v>29.62839</v>
      </c>
      <c r="K123" s="60">
        <f t="shared" si="10"/>
        <v>0.289701873435544</v>
      </c>
      <c r="L123" s="60">
        <f t="shared" si="11"/>
        <v>0.0200278735420804</v>
      </c>
      <c r="M123" s="60">
        <f t="shared" si="12"/>
        <v>0.0421810661227892</v>
      </c>
      <c r="N123" s="85"/>
      <c r="O123" s="59"/>
      <c r="P123" s="86">
        <v>13.7876605977447</v>
      </c>
      <c r="Q123" s="86">
        <v>0.18987868009509</v>
      </c>
      <c r="R123" s="49">
        <f>J123-P123</f>
        <v>15.8407294022553</v>
      </c>
    </row>
    <row r="124" spans="2:18">
      <c r="B124" s="79" t="s">
        <v>243</v>
      </c>
      <c r="C124" s="80">
        <v>6666021600</v>
      </c>
      <c r="D124" s="80" t="s">
        <v>246</v>
      </c>
      <c r="E124" s="80" t="s">
        <v>660</v>
      </c>
      <c r="F124" s="81">
        <v>19.38502</v>
      </c>
      <c r="G124" s="83">
        <f t="shared" si="13"/>
        <v>0.258150269003356</v>
      </c>
      <c r="H124" s="81">
        <v>47.8109077917556</v>
      </c>
      <c r="I124" s="83">
        <f t="shared" si="14"/>
        <v>0.434229795249438</v>
      </c>
      <c r="J124" s="60">
        <v>10.0993</v>
      </c>
      <c r="K124" s="60">
        <f t="shared" si="10"/>
        <v>0.0987494133291614</v>
      </c>
      <c r="L124" s="60">
        <f t="shared" si="11"/>
        <v>-0.159400855674194</v>
      </c>
      <c r="M124" s="60">
        <f t="shared" si="12"/>
        <v>-0.335480381920276</v>
      </c>
      <c r="N124" s="85"/>
      <c r="O124" s="59"/>
      <c r="P124" s="86">
        <v>23.773948632134</v>
      </c>
      <c r="Q124" s="86">
        <v>0.32740623073188</v>
      </c>
    </row>
    <row r="125" spans="2:18">
      <c r="B125" s="87"/>
      <c r="C125" s="80">
        <v>6666021603</v>
      </c>
      <c r="D125" s="80" t="s">
        <v>239</v>
      </c>
      <c r="E125" s="80" t="s">
        <v>661</v>
      </c>
      <c r="F125" s="81">
        <v>1.04378</v>
      </c>
      <c r="G125" s="83">
        <f t="shared" si="13"/>
        <v>0.0139000159803974</v>
      </c>
      <c r="H125" s="81">
        <v>1.21137614288282</v>
      </c>
      <c r="I125" s="83">
        <f t="shared" si="14"/>
        <v>0.0110020001457652</v>
      </c>
      <c r="J125" s="60">
        <v>1.42313</v>
      </c>
      <c r="K125" s="60">
        <f t="shared" si="10"/>
        <v>0.0139151478410513</v>
      </c>
      <c r="L125" s="60">
        <f t="shared" si="11"/>
        <v>1.51318606539368e-5</v>
      </c>
      <c r="M125" s="60">
        <f t="shared" si="12"/>
        <v>0.00291314769528614</v>
      </c>
      <c r="N125" s="85"/>
      <c r="O125" s="59"/>
      <c r="P125" s="86">
        <v>0.227960978652344</v>
      </c>
      <c r="Q125" s="86">
        <v>0.00313939623280052</v>
      </c>
    </row>
    <row r="126" spans="2:18">
      <c r="B126" s="87"/>
      <c r="C126" s="80">
        <v>6666021604</v>
      </c>
      <c r="D126" s="80" t="s">
        <v>248</v>
      </c>
      <c r="E126" s="80" t="s">
        <v>662</v>
      </c>
      <c r="F126" s="81">
        <v>21.64059</v>
      </c>
      <c r="G126" s="83">
        <f t="shared" si="13"/>
        <v>0.288187689767219</v>
      </c>
      <c r="H126" s="81">
        <v>37.6493282787507</v>
      </c>
      <c r="I126" s="83">
        <f t="shared" si="14"/>
        <v>0.341939964431712</v>
      </c>
      <c r="J126" s="60">
        <v>31.55993</v>
      </c>
      <c r="K126" s="60">
        <f t="shared" si="10"/>
        <v>0.308588176627034</v>
      </c>
      <c r="L126" s="60">
        <f t="shared" si="11"/>
        <v>0.0204004868598148</v>
      </c>
      <c r="M126" s="60">
        <f t="shared" si="12"/>
        <v>-0.0333517878046783</v>
      </c>
      <c r="N126" s="85"/>
      <c r="O126" s="59"/>
      <c r="P126" s="86">
        <v>2.11366854522327</v>
      </c>
      <c r="Q126" s="86">
        <v>0.0291086795094993</v>
      </c>
    </row>
    <row r="127" spans="2:18">
      <c r="B127" s="73"/>
      <c r="C127" s="89" t="s">
        <v>96</v>
      </c>
      <c r="D127" s="89" t="s">
        <v>251</v>
      </c>
      <c r="E127" s="89" t="s">
        <v>663</v>
      </c>
      <c r="F127" s="81">
        <f>SUM(F124:F126)</f>
        <v>42.06939</v>
      </c>
      <c r="G127" s="83">
        <f t="shared" si="13"/>
        <v>0.560237974750972</v>
      </c>
      <c r="H127" s="81">
        <f>SUM(H124:H126)</f>
        <v>86.6716122133891</v>
      </c>
      <c r="I127" s="83">
        <f t="shared" si="14"/>
        <v>0.787171759826915</v>
      </c>
      <c r="J127" s="63">
        <f>SUM(J124:J126)</f>
        <v>43.08236</v>
      </c>
      <c r="K127" s="60">
        <f t="shared" si="10"/>
        <v>0.421252737797246</v>
      </c>
      <c r="L127" s="60">
        <f t="shared" si="11"/>
        <v>-0.138985236953726</v>
      </c>
      <c r="M127" s="60">
        <f t="shared" si="12"/>
        <v>-0.365919022029669</v>
      </c>
      <c r="N127" s="85"/>
      <c r="O127" s="59"/>
      <c r="P127" s="86">
        <v>26.1155781560096</v>
      </c>
      <c r="Q127" s="86">
        <v>0.35965430647418</v>
      </c>
      <c r="R127" s="49">
        <f>J127-P127</f>
        <v>16.9667818439904</v>
      </c>
    </row>
    <row r="128" spans="2:18">
      <c r="B128" s="79" t="s">
        <v>250</v>
      </c>
      <c r="C128" s="80">
        <v>5001010206</v>
      </c>
      <c r="D128" s="80" t="s">
        <v>253</v>
      </c>
      <c r="E128" s="80" t="s">
        <v>781</v>
      </c>
      <c r="F128" s="81">
        <v>5.11787</v>
      </c>
      <c r="G128" s="83">
        <f t="shared" si="13"/>
        <v>0.0681546636126352</v>
      </c>
      <c r="H128" s="81">
        <v>5.68633509480712</v>
      </c>
      <c r="I128" s="83">
        <f t="shared" si="14"/>
        <v>0.0516446191461683</v>
      </c>
      <c r="J128" s="60">
        <v>5.35653</v>
      </c>
      <c r="K128" s="60">
        <f t="shared" si="10"/>
        <v>0.0523753324468085</v>
      </c>
      <c r="L128" s="60">
        <f t="shared" si="11"/>
        <v>-0.0157793311658267</v>
      </c>
      <c r="M128" s="60">
        <f t="shared" si="12"/>
        <v>0.000730713300640194</v>
      </c>
      <c r="N128" s="85"/>
      <c r="O128" s="59"/>
      <c r="P128" s="86">
        <v>5.67020213370729</v>
      </c>
      <c r="Q128" s="86">
        <v>0.0780879750693029</v>
      </c>
    </row>
    <row r="129" spans="2:18">
      <c r="B129" s="87"/>
      <c r="C129" s="80">
        <v>6666010184</v>
      </c>
      <c r="D129" s="80" t="s">
        <v>255</v>
      </c>
      <c r="E129" s="80" t="s">
        <v>665</v>
      </c>
      <c r="F129" s="81">
        <v>-0.10197</v>
      </c>
      <c r="G129" s="83">
        <f t="shared" si="13"/>
        <v>-0.00135793426729878</v>
      </c>
      <c r="H129" s="81">
        <v>0</v>
      </c>
      <c r="I129" s="83">
        <f t="shared" si="14"/>
        <v>0</v>
      </c>
      <c r="J129" s="60">
        <v>-0.38331</v>
      </c>
      <c r="K129" s="60">
        <f t="shared" si="10"/>
        <v>-0.00374794665206508</v>
      </c>
      <c r="L129" s="60">
        <f t="shared" si="11"/>
        <v>-0.0023900123847663</v>
      </c>
      <c r="M129" s="60">
        <f t="shared" si="12"/>
        <v>-0.00374794665206508</v>
      </c>
      <c r="N129" s="85"/>
      <c r="O129" s="59"/>
      <c r="P129" s="86">
        <v>-14.2786753085537</v>
      </c>
      <c r="Q129" s="86">
        <v>-0.196640757282494</v>
      </c>
    </row>
    <row r="130" spans="2:18">
      <c r="B130" s="87"/>
      <c r="C130" s="80">
        <v>6666010186</v>
      </c>
      <c r="D130" s="80" t="s">
        <v>258</v>
      </c>
      <c r="E130" s="80" t="s">
        <v>666</v>
      </c>
      <c r="F130" s="81">
        <v>10.59818</v>
      </c>
      <c r="G130" s="83">
        <f t="shared" si="13"/>
        <v>0.141135939913706</v>
      </c>
      <c r="H130" s="81">
        <v>10.8075564941952</v>
      </c>
      <c r="I130" s="83">
        <f t="shared" si="14"/>
        <v>0.0981567441484631</v>
      </c>
      <c r="J130" s="60">
        <v>12.49265</v>
      </c>
      <c r="K130" s="60">
        <f t="shared" si="10"/>
        <v>0.122151224186483</v>
      </c>
      <c r="L130" s="60">
        <f t="shared" si="11"/>
        <v>-0.0189847157272228</v>
      </c>
      <c r="M130" s="60">
        <f t="shared" si="12"/>
        <v>0.02399448003802</v>
      </c>
      <c r="N130" s="85"/>
      <c r="O130" s="59"/>
      <c r="P130" s="86">
        <v>4.57649276494756</v>
      </c>
      <c r="Q130" s="86">
        <v>0.0630258048138426</v>
      </c>
    </row>
    <row r="131" spans="2:18">
      <c r="B131" s="87"/>
      <c r="C131" s="80">
        <v>6666010189</v>
      </c>
      <c r="D131" s="80" t="s">
        <v>260</v>
      </c>
      <c r="E131" s="80" t="s">
        <v>667</v>
      </c>
      <c r="F131" s="81">
        <v>0</v>
      </c>
      <c r="G131" s="83">
        <f t="shared" si="13"/>
        <v>0</v>
      </c>
      <c r="H131" s="81">
        <v>277.20195078783</v>
      </c>
      <c r="I131" s="83">
        <f t="shared" si="14"/>
        <v>2.51761265143977</v>
      </c>
      <c r="J131" s="60">
        <v>0</v>
      </c>
      <c r="K131" s="60">
        <f t="shared" si="10"/>
        <v>0</v>
      </c>
      <c r="L131" s="60">
        <f t="shared" si="11"/>
        <v>0</v>
      </c>
      <c r="M131" s="60">
        <f t="shared" si="12"/>
        <v>-2.51761265143977</v>
      </c>
      <c r="N131" s="85" t="s">
        <v>799</v>
      </c>
      <c r="O131" s="59"/>
      <c r="P131" s="86">
        <v>282.345893560364</v>
      </c>
      <c r="Q131" s="86">
        <v>3.88836563095264</v>
      </c>
    </row>
    <row r="132" spans="2:18">
      <c r="B132" s="87"/>
      <c r="C132" s="80">
        <v>6666010012</v>
      </c>
      <c r="D132" s="80" t="s">
        <v>262</v>
      </c>
      <c r="E132" s="80" t="s">
        <v>669</v>
      </c>
      <c r="F132" s="81">
        <v>44.89862</v>
      </c>
      <c r="G132" s="83">
        <f t="shared" si="13"/>
        <v>0.597914824481969</v>
      </c>
      <c r="H132" s="81">
        <v>58.9957266086239</v>
      </c>
      <c r="I132" s="83">
        <f t="shared" si="14"/>
        <v>0.535812923641496</v>
      </c>
      <c r="J132" s="60">
        <v>48.85828</v>
      </c>
      <c r="K132" s="60">
        <f t="shared" si="10"/>
        <v>0.477728801627034</v>
      </c>
      <c r="L132" s="60">
        <f t="shared" si="11"/>
        <v>-0.120186022854935</v>
      </c>
      <c r="M132" s="60">
        <f t="shared" si="12"/>
        <v>-0.0580841220144624</v>
      </c>
      <c r="N132" s="85"/>
      <c r="O132" s="59"/>
      <c r="P132" s="86">
        <v>58.8283471372131</v>
      </c>
      <c r="Q132" s="86">
        <v>0.810162741344017</v>
      </c>
    </row>
    <row r="133" spans="2:18">
      <c r="B133" s="87"/>
      <c r="C133" s="80">
        <v>6666010226</v>
      </c>
      <c r="D133" s="80" t="s">
        <v>264</v>
      </c>
      <c r="E133" s="80" t="s">
        <v>670</v>
      </c>
      <c r="F133" s="81">
        <v>8.87797</v>
      </c>
      <c r="G133" s="83">
        <f t="shared" si="13"/>
        <v>0.118227907100623</v>
      </c>
      <c r="H133" s="81">
        <v>7.97112370647551</v>
      </c>
      <c r="I133" s="83">
        <f t="shared" si="14"/>
        <v>0.0723956012307229</v>
      </c>
      <c r="J133" s="60">
        <v>7.74349</v>
      </c>
      <c r="K133" s="60">
        <f t="shared" si="10"/>
        <v>0.0757146628598248</v>
      </c>
      <c r="L133" s="60">
        <f t="shared" si="11"/>
        <v>-0.0425132442407984</v>
      </c>
      <c r="M133" s="60">
        <f t="shared" si="12"/>
        <v>0.00331906162910187</v>
      </c>
      <c r="N133" s="85"/>
      <c r="O133" s="59"/>
      <c r="P133" s="86">
        <v>8.47736177452752</v>
      </c>
      <c r="Q133" s="86">
        <v>0.116747163380215</v>
      </c>
    </row>
    <row r="134" spans="2:18">
      <c r="B134" s="87"/>
      <c r="C134" s="80">
        <v>6666010102</v>
      </c>
      <c r="D134" s="80" t="s">
        <v>266</v>
      </c>
      <c r="E134" s="80" t="s">
        <v>671</v>
      </c>
      <c r="F134" s="81">
        <v>262.86172</v>
      </c>
      <c r="G134" s="83">
        <f t="shared" si="13"/>
        <v>3.50052895115325</v>
      </c>
      <c r="H134" s="81">
        <v>-14.2158377370178</v>
      </c>
      <c r="I134" s="83">
        <f t="shared" si="14"/>
        <v>-0.129111547865421</v>
      </c>
      <c r="J134" s="60">
        <v>276.79617</v>
      </c>
      <c r="K134" s="60">
        <f t="shared" si="10"/>
        <v>2.70647068601377</v>
      </c>
      <c r="L134" s="60">
        <f t="shared" si="11"/>
        <v>-0.794058265139485</v>
      </c>
      <c r="M134" s="60">
        <f t="shared" si="12"/>
        <v>2.83558223387919</v>
      </c>
      <c r="N134" s="90">
        <f>L134*$L$26</f>
        <v>-81209.9268923454</v>
      </c>
      <c r="O134" s="59"/>
      <c r="P134" s="86">
        <v>0</v>
      </c>
      <c r="Q134" s="86">
        <v>0</v>
      </c>
    </row>
    <row r="135" spans="2:18">
      <c r="B135" s="73"/>
      <c r="C135" s="89" t="s">
        <v>269</v>
      </c>
      <c r="D135" s="89" t="s">
        <v>270</v>
      </c>
      <c r="E135" s="89" t="s">
        <v>673</v>
      </c>
      <c r="F135" s="81">
        <f>SUM(F128:F134)</f>
        <v>332.25239</v>
      </c>
      <c r="G135" s="83">
        <f t="shared" si="13"/>
        <v>4.42460435199489</v>
      </c>
      <c r="H135" s="81">
        <f>SUM(H128:H134)</f>
        <v>346.446854954914</v>
      </c>
      <c r="I135" s="83">
        <f t="shared" si="14"/>
        <v>3.1465109917412</v>
      </c>
      <c r="J135" s="63">
        <f>SUM(J128:J134)</f>
        <v>350.86381</v>
      </c>
      <c r="K135" s="60">
        <f t="shared" si="10"/>
        <v>3.43069276048185</v>
      </c>
      <c r="L135" s="60">
        <f t="shared" si="11"/>
        <v>-0.993911591513034</v>
      </c>
      <c r="M135" s="60">
        <f t="shared" si="12"/>
        <v>0.28418176874065</v>
      </c>
      <c r="N135" s="90">
        <f>L135*$L$26</f>
        <v>-101649.326287221</v>
      </c>
      <c r="O135" s="59"/>
      <c r="P135" s="86">
        <v>345.619622062206</v>
      </c>
      <c r="Q135" s="86">
        <v>4.75974855827752</v>
      </c>
      <c r="R135" s="49">
        <f>J135-P135</f>
        <v>5.24418793779392</v>
      </c>
    </row>
    <row r="136" spans="2:18">
      <c r="B136" s="79" t="s">
        <v>268</v>
      </c>
      <c r="C136" s="80">
        <v>6666010196</v>
      </c>
      <c r="D136" s="80" t="s">
        <v>272</v>
      </c>
      <c r="E136" s="80" t="s">
        <v>674</v>
      </c>
      <c r="F136" s="81">
        <v>19.09721</v>
      </c>
      <c r="G136" s="83">
        <f t="shared" si="13"/>
        <v>0.254317503861929</v>
      </c>
      <c r="H136" s="81">
        <v>22.8439400098507</v>
      </c>
      <c r="I136" s="83">
        <f t="shared" si="14"/>
        <v>0.207473981384608</v>
      </c>
      <c r="J136" s="60">
        <v>17.99327</v>
      </c>
      <c r="K136" s="60">
        <f t="shared" si="10"/>
        <v>0.175935446652065</v>
      </c>
      <c r="L136" s="60">
        <f t="shared" si="11"/>
        <v>-0.0783820572098644</v>
      </c>
      <c r="M136" s="60">
        <f t="shared" si="12"/>
        <v>-0.0315385347325433</v>
      </c>
      <c r="N136" s="85"/>
      <c r="O136" s="59"/>
      <c r="P136" s="86">
        <v>16.8635031374541</v>
      </c>
      <c r="Q136" s="86">
        <v>0.232238072210955</v>
      </c>
    </row>
    <row r="137" spans="2:18">
      <c r="B137" s="87"/>
      <c r="C137" s="80">
        <v>6666010101</v>
      </c>
      <c r="D137" s="80" t="s">
        <v>274</v>
      </c>
      <c r="E137" s="80" t="s">
        <v>675</v>
      </c>
      <c r="F137" s="81">
        <v>135.0571</v>
      </c>
      <c r="G137" s="83">
        <f t="shared" si="13"/>
        <v>1.79855510573696</v>
      </c>
      <c r="H137" s="81">
        <v>128.268940991052</v>
      </c>
      <c r="I137" s="83">
        <f t="shared" si="14"/>
        <v>1.16496838390948</v>
      </c>
      <c r="J137" s="60">
        <v>111.23536</v>
      </c>
      <c r="K137" s="60">
        <f t="shared" si="10"/>
        <v>1.08764236545682</v>
      </c>
      <c r="L137" s="60">
        <f t="shared" si="11"/>
        <v>-0.710912740280141</v>
      </c>
      <c r="M137" s="60">
        <f t="shared" si="12"/>
        <v>-0.0773260184526612</v>
      </c>
      <c r="N137" s="90">
        <f>L137*$L$26</f>
        <v>-72706.4677739306</v>
      </c>
      <c r="O137" s="59"/>
      <c r="P137" s="86">
        <v>90.377022329828</v>
      </c>
      <c r="Q137" s="86">
        <v>1.2446396971593</v>
      </c>
    </row>
    <row r="138" spans="2:18">
      <c r="B138" s="87"/>
      <c r="C138" s="80">
        <v>6666010199</v>
      </c>
      <c r="D138" s="80" t="s">
        <v>276</v>
      </c>
      <c r="E138" s="80" t="s">
        <v>676</v>
      </c>
      <c r="F138" s="81">
        <v>-4.40835999999999</v>
      </c>
      <c r="G138" s="83">
        <f t="shared" si="13"/>
        <v>-0.0587061204921961</v>
      </c>
      <c r="H138" s="81">
        <v>0</v>
      </c>
      <c r="I138" s="83">
        <f t="shared" si="14"/>
        <v>0</v>
      </c>
      <c r="J138" s="60">
        <v>-19.38633</v>
      </c>
      <c r="K138" s="60">
        <f t="shared" si="10"/>
        <v>-0.189556574624531</v>
      </c>
      <c r="L138" s="60">
        <f t="shared" si="11"/>
        <v>-0.130850454132335</v>
      </c>
      <c r="M138" s="60">
        <f t="shared" si="12"/>
        <v>-0.189556574624531</v>
      </c>
      <c r="N138" s="85"/>
      <c r="O138" s="59"/>
      <c r="P138" s="86">
        <v>33.9834863456735</v>
      </c>
      <c r="Q138" s="86">
        <v>0.46800829528698</v>
      </c>
    </row>
    <row r="139" spans="2:18">
      <c r="B139" s="87"/>
      <c r="C139" s="80">
        <v>6666010185</v>
      </c>
      <c r="D139" s="80" t="s">
        <v>278</v>
      </c>
      <c r="E139" s="80" t="s">
        <v>677</v>
      </c>
      <c r="F139" s="81">
        <v>-0.09094</v>
      </c>
      <c r="G139" s="83">
        <f t="shared" si="13"/>
        <v>-0.00121104778138816</v>
      </c>
      <c r="H139" s="81">
        <v>-6.00659743931232</v>
      </c>
      <c r="I139" s="83">
        <f t="shared" si="14"/>
        <v>-0.0545533163180839</v>
      </c>
      <c r="J139" s="60">
        <v>-0.36059</v>
      </c>
      <c r="K139" s="60">
        <f t="shared" si="10"/>
        <v>-0.0035257939612015</v>
      </c>
      <c r="L139" s="60">
        <f t="shared" si="11"/>
        <v>-0.00231474617981334</v>
      </c>
      <c r="M139" s="60">
        <f t="shared" si="12"/>
        <v>0.0510275223568824</v>
      </c>
      <c r="N139" s="85"/>
      <c r="O139" s="59"/>
      <c r="P139" s="86">
        <v>-4.43288088675277</v>
      </c>
      <c r="Q139" s="86">
        <v>-0.0610480339161413</v>
      </c>
    </row>
    <row r="140" spans="2:18">
      <c r="B140" s="87"/>
      <c r="C140" s="80">
        <v>6666010207</v>
      </c>
      <c r="D140" s="80" t="s">
        <v>280</v>
      </c>
      <c r="E140" s="80" t="s">
        <v>678</v>
      </c>
      <c r="F140" s="81">
        <v>1.82387</v>
      </c>
      <c r="G140" s="83">
        <f t="shared" si="13"/>
        <v>0.0242884728066905</v>
      </c>
      <c r="H140" s="81">
        <v>2.20182554311814</v>
      </c>
      <c r="I140" s="83">
        <f t="shared" si="14"/>
        <v>0.019997492181649</v>
      </c>
      <c r="J140" s="60">
        <v>1.88284</v>
      </c>
      <c r="K140" s="60">
        <f t="shared" si="10"/>
        <v>0.0184101220275344</v>
      </c>
      <c r="L140" s="60">
        <f t="shared" si="11"/>
        <v>-0.00587835077915605</v>
      </c>
      <c r="M140" s="60">
        <f t="shared" si="12"/>
        <v>-0.00158737015411458</v>
      </c>
      <c r="N140" s="85"/>
      <c r="O140" s="59"/>
      <c r="P140" s="86">
        <v>1.62539789276666</v>
      </c>
      <c r="Q140" s="86">
        <v>0.0223843925022608</v>
      </c>
    </row>
    <row r="141" spans="2:18">
      <c r="B141" s="87"/>
      <c r="C141" s="80">
        <v>5102040406</v>
      </c>
      <c r="D141" s="80" t="s">
        <v>92</v>
      </c>
      <c r="E141" s="80" t="s">
        <v>679</v>
      </c>
      <c r="F141" s="81">
        <v>0</v>
      </c>
      <c r="G141" s="83">
        <f t="shared" si="13"/>
        <v>0</v>
      </c>
      <c r="H141" s="81">
        <v>0</v>
      </c>
      <c r="I141" s="83">
        <f t="shared" si="14"/>
        <v>0</v>
      </c>
      <c r="J141" s="60">
        <v>0</v>
      </c>
      <c r="K141" s="60">
        <f t="shared" si="10"/>
        <v>0</v>
      </c>
      <c r="L141" s="60">
        <f t="shared" si="11"/>
        <v>0</v>
      </c>
      <c r="M141" s="60">
        <f t="shared" si="12"/>
        <v>0</v>
      </c>
      <c r="N141" s="85"/>
      <c r="O141" s="59"/>
      <c r="P141" s="86">
        <v>0</v>
      </c>
      <c r="Q141" s="86">
        <v>0</v>
      </c>
    </row>
    <row r="142" spans="2:18">
      <c r="B142" s="87"/>
      <c r="C142" s="80">
        <v>6666010227</v>
      </c>
      <c r="D142" s="80" t="s">
        <v>283</v>
      </c>
      <c r="E142" s="80" t="s">
        <v>680</v>
      </c>
      <c r="F142" s="81">
        <v>2.33038</v>
      </c>
      <c r="G142" s="83">
        <f t="shared" si="13"/>
        <v>0.0310336653704789</v>
      </c>
      <c r="H142" s="81">
        <v>2.03816372574028</v>
      </c>
      <c r="I142" s="83">
        <f t="shared" si="14"/>
        <v>0.0185110774547068</v>
      </c>
      <c r="J142" s="60">
        <v>2.40706</v>
      </c>
      <c r="K142" s="60">
        <f t="shared" si="10"/>
        <v>0.0235358651439299</v>
      </c>
      <c r="L142" s="60">
        <f t="shared" si="11"/>
        <v>-0.00749780022654897</v>
      </c>
      <c r="M142" s="60">
        <f t="shared" si="12"/>
        <v>0.00502478768922315</v>
      </c>
      <c r="N142" s="85"/>
      <c r="O142" s="59"/>
      <c r="P142" s="86">
        <v>2.10689115967557</v>
      </c>
      <c r="Q142" s="86">
        <v>0.0290153438044919</v>
      </c>
    </row>
    <row r="143" spans="2:18">
      <c r="B143" s="73"/>
      <c r="C143" s="89" t="s">
        <v>269</v>
      </c>
      <c r="D143" s="89" t="s">
        <v>286</v>
      </c>
      <c r="E143" s="89" t="s">
        <v>681</v>
      </c>
      <c r="F143" s="81">
        <f>SUM(F136:F142)</f>
        <v>153.80926</v>
      </c>
      <c r="G143" s="83">
        <f t="shared" si="13"/>
        <v>2.04827757950248</v>
      </c>
      <c r="H143" s="81">
        <f>SUM(H136:H142)</f>
        <v>149.346272830449</v>
      </c>
      <c r="I143" s="83">
        <f t="shared" si="14"/>
        <v>1.35639761861236</v>
      </c>
      <c r="J143" s="63">
        <f>SUM(J136:J142)</f>
        <v>113.77161</v>
      </c>
      <c r="K143" s="60">
        <f t="shared" si="10"/>
        <v>1.11244143069462</v>
      </c>
      <c r="L143" s="60">
        <f t="shared" si="11"/>
        <v>-0.935836148807859</v>
      </c>
      <c r="M143" s="60">
        <f t="shared" si="12"/>
        <v>-0.243956187917744</v>
      </c>
      <c r="N143" s="85"/>
      <c r="O143" s="59"/>
      <c r="P143" s="86">
        <v>140.523419978645</v>
      </c>
      <c r="Q143" s="86">
        <v>1.93523776704784</v>
      </c>
      <c r="R143" s="49">
        <f>J143-P143</f>
        <v>-26.751809978645</v>
      </c>
    </row>
    <row r="144" spans="2:18">
      <c r="B144" s="79"/>
      <c r="C144" s="92">
        <v>6666020903</v>
      </c>
      <c r="D144" s="92" t="s">
        <v>682</v>
      </c>
      <c r="E144" s="92" t="s">
        <v>683</v>
      </c>
      <c r="F144" s="81">
        <v>0</v>
      </c>
      <c r="G144" s="83">
        <f t="shared" si="13"/>
        <v>0</v>
      </c>
      <c r="H144" s="81">
        <v>0</v>
      </c>
      <c r="I144" s="83">
        <f t="shared" si="14"/>
        <v>0</v>
      </c>
      <c r="J144" s="60">
        <v>0</v>
      </c>
      <c r="K144" s="60">
        <f t="shared" si="10"/>
        <v>0</v>
      </c>
      <c r="L144" s="60">
        <f t="shared" si="11"/>
        <v>0</v>
      </c>
      <c r="M144" s="60">
        <f t="shared" si="12"/>
        <v>0</v>
      </c>
      <c r="N144" s="85"/>
      <c r="O144" s="59"/>
      <c r="P144" s="86">
        <v>0</v>
      </c>
      <c r="Q144" s="86">
        <v>0</v>
      </c>
    </row>
    <row r="145" spans="2:18">
      <c r="B145" s="79" t="s">
        <v>285</v>
      </c>
      <c r="C145" s="80">
        <v>6666010302</v>
      </c>
      <c r="D145" s="80" t="s">
        <v>288</v>
      </c>
      <c r="E145" s="80" t="s">
        <v>684</v>
      </c>
      <c r="F145" s="81">
        <v>6.89008</v>
      </c>
      <c r="G145" s="83">
        <f t="shared" si="13"/>
        <v>0.0917551803121504</v>
      </c>
      <c r="H145" s="81">
        <v>0.46887852548868</v>
      </c>
      <c r="I145" s="83">
        <f t="shared" si="14"/>
        <v>0.00425846392640377</v>
      </c>
      <c r="J145" s="60">
        <v>2.94631</v>
      </c>
      <c r="K145" s="60">
        <f t="shared" si="10"/>
        <v>0.0288085693053817</v>
      </c>
      <c r="L145" s="60">
        <f t="shared" si="11"/>
        <v>-0.0629466110067687</v>
      </c>
      <c r="M145" s="60">
        <f t="shared" si="12"/>
        <v>0.024550105378978</v>
      </c>
      <c r="N145" s="85"/>
      <c r="O145" s="59"/>
      <c r="P145" s="86">
        <v>0.504880970899752</v>
      </c>
      <c r="Q145" s="86">
        <v>0.00695303831131825</v>
      </c>
    </row>
    <row r="146" spans="2:18">
      <c r="B146" s="87"/>
      <c r="C146" s="80">
        <v>6666010314</v>
      </c>
      <c r="D146" s="80" t="s">
        <v>290</v>
      </c>
      <c r="E146" s="80" t="s">
        <v>685</v>
      </c>
      <c r="F146" s="81">
        <v>0.00122</v>
      </c>
      <c r="G146" s="83">
        <f t="shared" si="13"/>
        <v>1.62467373355351e-5</v>
      </c>
      <c r="H146" s="81">
        <v>14.6756434932237</v>
      </c>
      <c r="I146" s="83">
        <f t="shared" si="14"/>
        <v>0.133287610789</v>
      </c>
      <c r="J146" s="60">
        <v>0.44184</v>
      </c>
      <c r="K146" s="60">
        <f t="shared" si="10"/>
        <v>0.00432024405506884</v>
      </c>
      <c r="L146" s="60">
        <f t="shared" si="11"/>
        <v>0.0043039973177333</v>
      </c>
      <c r="M146" s="60">
        <f t="shared" si="12"/>
        <v>-0.128967366733931</v>
      </c>
      <c r="N146" s="85"/>
      <c r="O146" s="59"/>
      <c r="P146" s="86">
        <v>8.26661242082763</v>
      </c>
      <c r="Q146" s="86">
        <v>0.11384479942748</v>
      </c>
    </row>
    <row r="147" spans="2:18">
      <c r="B147" s="87"/>
      <c r="C147" s="80">
        <v>6666020401</v>
      </c>
      <c r="D147" s="80" t="s">
        <v>295</v>
      </c>
      <c r="E147" s="80" t="s">
        <v>686</v>
      </c>
      <c r="F147" s="81">
        <v>43.76769</v>
      </c>
      <c r="G147" s="83">
        <f t="shared" si="13"/>
        <v>0.582854232141906</v>
      </c>
      <c r="H147" s="81">
        <v>45.8783285218676</v>
      </c>
      <c r="I147" s="83">
        <f t="shared" si="14"/>
        <v>0.416677660403517</v>
      </c>
      <c r="J147" s="60">
        <v>44.58105</v>
      </c>
      <c r="K147" s="60">
        <f t="shared" si="10"/>
        <v>0.435906699780976</v>
      </c>
      <c r="L147" s="60">
        <f t="shared" si="11"/>
        <v>-0.14694753236093</v>
      </c>
      <c r="M147" s="60">
        <f t="shared" si="12"/>
        <v>0.0192290393774589</v>
      </c>
      <c r="N147" s="85"/>
      <c r="O147" s="59"/>
      <c r="P147" s="86">
        <v>33.727355871088</v>
      </c>
      <c r="Q147" s="86">
        <v>0.464480958934185</v>
      </c>
    </row>
    <row r="148" spans="2:18">
      <c r="B148" s="87"/>
      <c r="C148" s="80">
        <v>6666020402</v>
      </c>
      <c r="D148" s="80" t="s">
        <v>687</v>
      </c>
      <c r="E148" s="80" t="s">
        <v>688</v>
      </c>
      <c r="F148" s="81">
        <v>0</v>
      </c>
      <c r="G148" s="83">
        <f t="shared" si="13"/>
        <v>0</v>
      </c>
      <c r="H148" s="81">
        <v>0</v>
      </c>
      <c r="I148" s="83">
        <f t="shared" si="14"/>
        <v>0</v>
      </c>
      <c r="J148" s="60">
        <v>0</v>
      </c>
      <c r="K148" s="60">
        <f t="shared" si="10"/>
        <v>0</v>
      </c>
      <c r="L148" s="60">
        <f t="shared" si="11"/>
        <v>0</v>
      </c>
      <c r="M148" s="60">
        <f t="shared" si="12"/>
        <v>0</v>
      </c>
      <c r="N148" s="85"/>
      <c r="O148" s="59"/>
      <c r="P148" s="86">
        <v>0</v>
      </c>
      <c r="Q148" s="86">
        <v>0</v>
      </c>
    </row>
    <row r="149" spans="2:18">
      <c r="B149" s="87"/>
      <c r="C149" s="80">
        <v>6666020502</v>
      </c>
      <c r="D149" s="80" t="s">
        <v>297</v>
      </c>
      <c r="E149" s="80" t="s">
        <v>689</v>
      </c>
      <c r="F149" s="81">
        <v>44.96183</v>
      </c>
      <c r="G149" s="83">
        <f t="shared" si="13"/>
        <v>0.598756591913919</v>
      </c>
      <c r="H149" s="81">
        <v>41.3559918211907</v>
      </c>
      <c r="I149" s="83">
        <f t="shared" si="14"/>
        <v>0.3756047456591</v>
      </c>
      <c r="J149" s="60">
        <v>39.71681</v>
      </c>
      <c r="K149" s="60">
        <f t="shared" si="10"/>
        <v>0.388344903785983</v>
      </c>
      <c r="L149" s="60">
        <f t="shared" si="11"/>
        <v>-0.210411688127936</v>
      </c>
      <c r="M149" s="60">
        <f t="shared" si="12"/>
        <v>0.0127401581268823</v>
      </c>
      <c r="N149" s="85"/>
      <c r="O149" s="59"/>
      <c r="P149" s="86">
        <v>31.3579087395338</v>
      </c>
      <c r="Q149" s="86">
        <v>0.431849789149791</v>
      </c>
    </row>
    <row r="150" spans="2:18">
      <c r="B150" s="87"/>
      <c r="C150" s="80">
        <v>6666020503</v>
      </c>
      <c r="D150" s="80" t="s">
        <v>299</v>
      </c>
      <c r="E150" s="80" t="s">
        <v>690</v>
      </c>
      <c r="F150" s="81">
        <v>0.87296</v>
      </c>
      <c r="G150" s="83">
        <f t="shared" si="13"/>
        <v>0.0116252064134661</v>
      </c>
      <c r="H150" s="81">
        <v>0.506251945687902</v>
      </c>
      <c r="I150" s="83">
        <f t="shared" si="14"/>
        <v>0.00459789802942404</v>
      </c>
      <c r="J150" s="60">
        <v>0.10467</v>
      </c>
      <c r="K150" s="60">
        <f t="shared" si="10"/>
        <v>0.00102344727784731</v>
      </c>
      <c r="L150" s="60">
        <f t="shared" si="11"/>
        <v>-0.0106017591356188</v>
      </c>
      <c r="M150" s="60">
        <f t="shared" si="12"/>
        <v>-0.00357445075157673</v>
      </c>
      <c r="N150" s="85"/>
      <c r="O150" s="59"/>
      <c r="P150" s="86">
        <v>0.545124077909957</v>
      </c>
      <c r="Q150" s="86">
        <v>0.00750725184071663</v>
      </c>
    </row>
    <row r="151" spans="2:18">
      <c r="B151" s="87"/>
      <c r="C151" s="80">
        <v>6666021500</v>
      </c>
      <c r="D151" s="80" t="s">
        <v>312</v>
      </c>
      <c r="E151" s="80" t="s">
        <v>691</v>
      </c>
      <c r="F151" s="81">
        <v>0</v>
      </c>
      <c r="G151" s="83">
        <f t="shared" si="13"/>
        <v>0</v>
      </c>
      <c r="H151" s="81">
        <v>0</v>
      </c>
      <c r="I151" s="83">
        <f t="shared" si="14"/>
        <v>0</v>
      </c>
      <c r="J151" s="60">
        <v>0</v>
      </c>
      <c r="K151" s="60">
        <f t="shared" si="10"/>
        <v>0</v>
      </c>
      <c r="L151" s="60">
        <f t="shared" si="11"/>
        <v>0</v>
      </c>
      <c r="M151" s="60">
        <f t="shared" si="12"/>
        <v>0</v>
      </c>
      <c r="N151" s="85"/>
      <c r="O151" s="59"/>
      <c r="P151" s="86">
        <v>0</v>
      </c>
      <c r="Q151" s="86">
        <v>0</v>
      </c>
    </row>
    <row r="152" spans="2:18">
      <c r="B152" s="87"/>
      <c r="C152" s="80">
        <v>6666021502</v>
      </c>
      <c r="D152" s="80" t="s">
        <v>301</v>
      </c>
      <c r="E152" s="80" t="s">
        <v>692</v>
      </c>
      <c r="F152" s="81">
        <v>13.84016</v>
      </c>
      <c r="G152" s="83">
        <f t="shared" si="13"/>
        <v>0.184309380493262</v>
      </c>
      <c r="H152" s="81">
        <v>17.3805555555556</v>
      </c>
      <c r="I152" s="83">
        <f t="shared" si="14"/>
        <v>0.157854251859903</v>
      </c>
      <c r="J152" s="60">
        <v>16.70408</v>
      </c>
      <c r="K152" s="60">
        <f t="shared" si="10"/>
        <v>0.1633299436796</v>
      </c>
      <c r="L152" s="60">
        <f t="shared" si="11"/>
        <v>-0.0209794368136621</v>
      </c>
      <c r="M152" s="60">
        <f t="shared" si="12"/>
        <v>0.00547569181969693</v>
      </c>
      <c r="N152" s="85"/>
      <c r="O152" s="59"/>
      <c r="P152" s="86">
        <v>27.6681075863954</v>
      </c>
      <c r="Q152" s="86">
        <v>0.381035180840833</v>
      </c>
    </row>
    <row r="153" spans="2:18">
      <c r="B153" s="87"/>
      <c r="C153" s="80">
        <v>6666021503</v>
      </c>
      <c r="D153" s="80" t="s">
        <v>304</v>
      </c>
      <c r="E153" s="80" t="s">
        <v>694</v>
      </c>
      <c r="F153" s="81">
        <v>3.81652</v>
      </c>
      <c r="G153" s="83">
        <f t="shared" si="13"/>
        <v>0.0508245885047675</v>
      </c>
      <c r="H153" s="81">
        <v>4.48196764753105</v>
      </c>
      <c r="I153" s="83">
        <f t="shared" si="14"/>
        <v>0.0407062736055727</v>
      </c>
      <c r="J153" s="60">
        <v>5.04945</v>
      </c>
      <c r="K153" s="60">
        <f t="shared" si="10"/>
        <v>0.0493727510951189</v>
      </c>
      <c r="L153" s="60">
        <f t="shared" si="11"/>
        <v>-0.0014518374096486</v>
      </c>
      <c r="M153" s="60">
        <f t="shared" si="12"/>
        <v>0.00866647748954617</v>
      </c>
      <c r="N153" s="85"/>
      <c r="O153" s="59"/>
      <c r="P153" s="86">
        <v>4.75478993560842</v>
      </c>
      <c r="Q153" s="86">
        <v>0.0654812490271497</v>
      </c>
    </row>
    <row r="154" spans="2:18">
      <c r="B154" s="87"/>
      <c r="C154" s="80">
        <v>6666021505</v>
      </c>
      <c r="D154" s="80" t="s">
        <v>403</v>
      </c>
      <c r="E154" s="80" t="s">
        <v>695</v>
      </c>
      <c r="F154" s="81">
        <v>0</v>
      </c>
      <c r="G154" s="83">
        <f t="shared" si="13"/>
        <v>0</v>
      </c>
      <c r="H154" s="81">
        <v>0</v>
      </c>
      <c r="I154" s="83">
        <f t="shared" si="14"/>
        <v>0</v>
      </c>
      <c r="J154" s="60">
        <v>0.00168</v>
      </c>
      <c r="K154" s="60">
        <f t="shared" si="10"/>
        <v>1.64267834793492e-5</v>
      </c>
      <c r="L154" s="60">
        <f t="shared" si="11"/>
        <v>1.64267834793492e-5</v>
      </c>
      <c r="M154" s="60">
        <f t="shared" si="12"/>
        <v>1.64267834793492e-5</v>
      </c>
      <c r="N154" s="85"/>
      <c r="O154" s="59"/>
      <c r="P154" s="86">
        <v>0</v>
      </c>
      <c r="Q154" s="86">
        <v>0</v>
      </c>
    </row>
    <row r="155" spans="2:18">
      <c r="B155" s="87"/>
      <c r="C155" s="80">
        <v>6666021506</v>
      </c>
      <c r="D155" s="80" t="s">
        <v>306</v>
      </c>
      <c r="E155" s="80" t="s">
        <v>696</v>
      </c>
      <c r="F155" s="81">
        <v>10.56739</v>
      </c>
      <c r="G155" s="83">
        <f t="shared" si="13"/>
        <v>0.140725909550951</v>
      </c>
      <c r="H155" s="81">
        <v>43.2298064</v>
      </c>
      <c r="I155" s="83">
        <f t="shared" si="14"/>
        <v>0.392623165899849</v>
      </c>
      <c r="J155" s="60">
        <v>58.71518</v>
      </c>
      <c r="K155" s="60">
        <f t="shared" si="10"/>
        <v>0.574108064768461</v>
      </c>
      <c r="L155" s="60">
        <f t="shared" si="11"/>
        <v>0.43338215521751</v>
      </c>
      <c r="M155" s="60">
        <f t="shared" si="12"/>
        <v>0.181484898868612</v>
      </c>
      <c r="N155" s="85"/>
      <c r="O155" s="59"/>
      <c r="P155" s="86">
        <v>40.1285956268492</v>
      </c>
      <c r="Q155" s="86">
        <v>0.552636520001229</v>
      </c>
    </row>
    <row r="156" spans="2:18">
      <c r="B156" s="87"/>
      <c r="C156" s="80">
        <v>6666030300</v>
      </c>
      <c r="D156" s="80" t="s">
        <v>698</v>
      </c>
      <c r="E156" s="80" t="s">
        <v>309</v>
      </c>
      <c r="F156" s="81">
        <v>0</v>
      </c>
      <c r="G156" s="83">
        <f t="shared" si="13"/>
        <v>0</v>
      </c>
      <c r="H156" s="81">
        <v>0</v>
      </c>
      <c r="I156" s="83">
        <f t="shared" si="14"/>
        <v>0</v>
      </c>
      <c r="J156" s="60">
        <v>0</v>
      </c>
      <c r="K156" s="60">
        <f t="shared" si="10"/>
        <v>0</v>
      </c>
      <c r="L156" s="60">
        <f t="shared" si="11"/>
        <v>0</v>
      </c>
      <c r="M156" s="60">
        <f t="shared" si="12"/>
        <v>0</v>
      </c>
      <c r="N156" s="85"/>
      <c r="O156" s="59"/>
      <c r="P156" s="86">
        <v>0</v>
      </c>
      <c r="Q156" s="86">
        <v>0</v>
      </c>
    </row>
    <row r="157" spans="2:18">
      <c r="B157" s="87"/>
      <c r="C157" s="80">
        <v>6666091600</v>
      </c>
      <c r="D157" s="80" t="s">
        <v>310</v>
      </c>
      <c r="E157" s="80" t="s">
        <v>699</v>
      </c>
      <c r="F157" s="81">
        <v>1.57353</v>
      </c>
      <c r="G157" s="83">
        <f t="shared" si="13"/>
        <v>0.0209546955734299</v>
      </c>
      <c r="H157" s="81">
        <v>0.682914131869476</v>
      </c>
      <c r="I157" s="83">
        <f t="shared" si="14"/>
        <v>0.00620238513241042</v>
      </c>
      <c r="J157" s="60">
        <v>-0.08642</v>
      </c>
      <c r="K157" s="60">
        <f t="shared" si="10"/>
        <v>-0.000845001564455569</v>
      </c>
      <c r="L157" s="60">
        <f t="shared" si="11"/>
        <v>-0.0217996971378855</v>
      </c>
      <c r="M157" s="60">
        <f t="shared" si="12"/>
        <v>-0.00704738669686599</v>
      </c>
      <c r="N157" s="85"/>
      <c r="O157" s="59"/>
      <c r="P157" s="86">
        <v>0.735351122297766</v>
      </c>
      <c r="Q157" s="86">
        <v>0.0101269899645761</v>
      </c>
    </row>
    <row r="158" spans="2:18">
      <c r="B158" s="87"/>
      <c r="C158" s="93" t="s">
        <v>752</v>
      </c>
      <c r="D158" s="93" t="s">
        <v>753</v>
      </c>
      <c r="E158" s="93" t="s">
        <v>800</v>
      </c>
      <c r="F158" s="81">
        <v>0</v>
      </c>
      <c r="G158" s="83"/>
      <c r="H158" s="81">
        <v>0</v>
      </c>
      <c r="I158" s="83"/>
      <c r="J158" s="60">
        <v>0</v>
      </c>
      <c r="K158" s="60">
        <f t="shared" ref="K158:K160" si="15">J158*1000/$L$26</f>
        <v>0</v>
      </c>
      <c r="L158" s="60">
        <f t="shared" ref="L158:L221" si="16">K158-G158</f>
        <v>0</v>
      </c>
      <c r="M158" s="60">
        <f t="shared" ref="M158:M221" si="17">K158-I158</f>
        <v>0</v>
      </c>
      <c r="N158" s="85"/>
      <c r="O158" s="59"/>
      <c r="P158" s="86"/>
      <c r="Q158" s="86"/>
    </row>
    <row r="159" spans="2:18">
      <c r="B159" s="73"/>
      <c r="C159" s="89" t="s">
        <v>269</v>
      </c>
      <c r="D159" s="89" t="s">
        <v>313</v>
      </c>
      <c r="E159" s="89" t="s">
        <v>700</v>
      </c>
      <c r="F159" s="81">
        <f>SUM(F145:F157)</f>
        <v>126.29138</v>
      </c>
      <c r="G159" s="83">
        <f>F159/$H$26*1000</f>
        <v>1.68182203164119</v>
      </c>
      <c r="H159" s="81">
        <f>SUM(H144:H157)</f>
        <v>168.660338042415</v>
      </c>
      <c r="I159" s="83">
        <f t="shared" ref="I159:I215" si="18">H159/$J$26*1000</f>
        <v>1.53181245530518</v>
      </c>
      <c r="J159" s="63">
        <f>SUM(J144:J158)</f>
        <v>168.17465</v>
      </c>
      <c r="K159" s="60">
        <f t="shared" si="15"/>
        <v>1.64438604896746</v>
      </c>
      <c r="L159" s="60">
        <f t="shared" si="16"/>
        <v>-0.0374359826737274</v>
      </c>
      <c r="M159" s="60">
        <f t="shared" si="17"/>
        <v>0.11257359366228</v>
      </c>
      <c r="N159" s="85"/>
      <c r="O159" s="59"/>
      <c r="P159" s="86">
        <v>147.68872635141</v>
      </c>
      <c r="Q159" s="86">
        <v>2.03391577749728</v>
      </c>
      <c r="R159" s="49">
        <f>J159-P159</f>
        <v>20.48592364859</v>
      </c>
    </row>
    <row r="160" spans="2:18">
      <c r="B160" s="79"/>
      <c r="C160" s="94"/>
      <c r="D160" s="94"/>
      <c r="E160" s="95" t="s">
        <v>757</v>
      </c>
      <c r="F160" s="63">
        <f>F38+F47+F52+F112+F117+F119+F121+F123+F127+F135+F143+F159</f>
        <v>2346.28503</v>
      </c>
      <c r="G160" s="83">
        <f>F160/$H$26*1000</f>
        <v>31.2454726202525</v>
      </c>
      <c r="H160" s="63">
        <f>H38+H47+H52+H112+H117+H119+H121+H123+H127+H135+H143+H159</f>
        <v>2334.08516978363</v>
      </c>
      <c r="I160" s="83">
        <f t="shared" si="18"/>
        <v>21.1987049019108</v>
      </c>
      <c r="J160" s="63">
        <f>J38+J47+J52+J112+J117+J119+J121+J123+J127+J135+J143+J159</f>
        <v>2076.08377</v>
      </c>
      <c r="K160" s="60">
        <f t="shared" si="15"/>
        <v>20.2996301040363</v>
      </c>
      <c r="L160" s="60">
        <f t="shared" si="16"/>
        <v>-10.9458425162162</v>
      </c>
      <c r="M160" s="60">
        <f t="shared" si="17"/>
        <v>-0.899074797874473</v>
      </c>
      <c r="N160" s="85"/>
      <c r="O160" s="59"/>
      <c r="P160" s="86">
        <v>0</v>
      </c>
      <c r="Q160" s="86">
        <v>0</v>
      </c>
    </row>
    <row r="161" spans="2:17">
      <c r="F161" s="96"/>
      <c r="G161" s="96"/>
      <c r="H161" s="96"/>
      <c r="I161" s="83">
        <f t="shared" si="18"/>
        <v>0</v>
      </c>
      <c r="J161" s="96"/>
      <c r="K161" s="60"/>
      <c r="L161" s="60">
        <f t="shared" si="16"/>
        <v>0</v>
      </c>
      <c r="M161" s="60">
        <f t="shared" si="17"/>
        <v>0</v>
      </c>
      <c r="P161" s="86">
        <v>0</v>
      </c>
      <c r="Q161" s="86">
        <v>0</v>
      </c>
    </row>
    <row r="162" spans="2:17">
      <c r="B162" s="79" t="s">
        <v>55</v>
      </c>
      <c r="C162" s="80">
        <v>6666110110</v>
      </c>
      <c r="D162" s="80" t="s">
        <v>62</v>
      </c>
      <c r="E162" s="80" t="s">
        <v>702</v>
      </c>
      <c r="F162" s="81">
        <v>0.1515</v>
      </c>
      <c r="G162" s="83">
        <f t="shared" ref="G162:G215" si="19">F162/$H$26*1000</f>
        <v>0.00201752516912587</v>
      </c>
      <c r="H162" s="81">
        <v>0</v>
      </c>
      <c r="I162" s="83">
        <f t="shared" si="18"/>
        <v>0</v>
      </c>
      <c r="J162" s="97">
        <v>0.10638</v>
      </c>
      <c r="K162" s="60">
        <f t="shared" ref="K162:K225" si="20">J162*1000/$L$26</f>
        <v>0.00104016739674593</v>
      </c>
      <c r="L162" s="60">
        <f t="shared" si="16"/>
        <v>-0.00097735777237994</v>
      </c>
      <c r="M162" s="60">
        <f t="shared" si="17"/>
        <v>0.00104016739674593</v>
      </c>
      <c r="N162" s="85"/>
      <c r="O162" s="59"/>
      <c r="P162" s="86">
        <v>0</v>
      </c>
      <c r="Q162" s="86">
        <v>0</v>
      </c>
    </row>
    <row r="163" spans="2:17">
      <c r="B163" s="87"/>
      <c r="C163" s="80">
        <v>6666110112</v>
      </c>
      <c r="D163" s="80" t="s">
        <v>64</v>
      </c>
      <c r="E163" s="80" t="s">
        <v>316</v>
      </c>
      <c r="F163" s="81">
        <v>0.1911</v>
      </c>
      <c r="G163" s="83">
        <f t="shared" si="19"/>
        <v>0.00254487828263996</v>
      </c>
      <c r="H163" s="81">
        <v>0.29308</v>
      </c>
      <c r="I163" s="83">
        <f t="shared" si="18"/>
        <v>0.00266182079089597</v>
      </c>
      <c r="J163" s="97">
        <v>0.05258</v>
      </c>
      <c r="K163" s="60">
        <f t="shared" si="20"/>
        <v>0.000514119211514393</v>
      </c>
      <c r="L163" s="60">
        <f t="shared" si="16"/>
        <v>-0.00203075907112557</v>
      </c>
      <c r="M163" s="60">
        <f t="shared" si="17"/>
        <v>-0.00214770157938158</v>
      </c>
      <c r="N163" s="85"/>
      <c r="O163" s="59"/>
      <c r="P163" s="86">
        <v>0.293</v>
      </c>
      <c r="Q163" s="86">
        <v>0.00403509013537521</v>
      </c>
    </row>
    <row r="164" spans="2:17">
      <c r="B164" s="87"/>
      <c r="C164" s="80">
        <v>6666110207</v>
      </c>
      <c r="D164" s="80" t="s">
        <v>68</v>
      </c>
      <c r="E164" s="80" t="s">
        <v>317</v>
      </c>
      <c r="F164" s="81">
        <v>0.00293</v>
      </c>
      <c r="G164" s="83">
        <f t="shared" si="19"/>
        <v>3.90188036009162e-5</v>
      </c>
      <c r="H164" s="81">
        <v>0</v>
      </c>
      <c r="I164" s="83">
        <f t="shared" si="18"/>
        <v>0</v>
      </c>
      <c r="J164" s="97">
        <v>-0.0083</v>
      </c>
      <c r="K164" s="60">
        <f t="shared" si="20"/>
        <v>-8.11561326658323e-5</v>
      </c>
      <c r="L164" s="60">
        <f t="shared" si="16"/>
        <v>-0.000120174936266749</v>
      </c>
      <c r="M164" s="60">
        <f t="shared" si="17"/>
        <v>-8.11561326658323e-5</v>
      </c>
      <c r="N164" s="85"/>
      <c r="O164" s="59"/>
      <c r="P164" s="86">
        <v>0</v>
      </c>
      <c r="Q164" s="86">
        <v>0</v>
      </c>
    </row>
    <row r="165" spans="2:17">
      <c r="B165" s="87"/>
      <c r="C165" s="80">
        <v>6666110506</v>
      </c>
      <c r="D165" s="80" t="s">
        <v>70</v>
      </c>
      <c r="E165" s="80" t="s">
        <v>318</v>
      </c>
      <c r="F165" s="81">
        <v>0.1616</v>
      </c>
      <c r="G165" s="83">
        <f t="shared" si="19"/>
        <v>0.0021520268470676</v>
      </c>
      <c r="H165" s="81">
        <v>0</v>
      </c>
      <c r="I165" s="83">
        <f t="shared" si="18"/>
        <v>0</v>
      </c>
      <c r="J165" s="97">
        <v>0.10501</v>
      </c>
      <c r="K165" s="60">
        <f t="shared" si="20"/>
        <v>0.00102677174593242</v>
      </c>
      <c r="L165" s="60">
        <f t="shared" si="16"/>
        <v>-0.00112525510113518</v>
      </c>
      <c r="M165" s="60">
        <f t="shared" si="17"/>
        <v>0.00102677174593242</v>
      </c>
      <c r="N165" s="85"/>
      <c r="O165" s="59"/>
      <c r="P165" s="86">
        <v>0</v>
      </c>
      <c r="Q165" s="86">
        <v>0</v>
      </c>
    </row>
    <row r="166" spans="2:17">
      <c r="B166" s="73"/>
      <c r="C166" s="89" t="s">
        <v>319</v>
      </c>
      <c r="D166" s="89" t="s">
        <v>76</v>
      </c>
      <c r="E166" s="89" t="s">
        <v>320</v>
      </c>
      <c r="F166" s="81">
        <f>SUM(F162:F165)</f>
        <v>0.50713</v>
      </c>
      <c r="G166" s="83">
        <f t="shared" si="19"/>
        <v>0.00675344910243435</v>
      </c>
      <c r="H166" s="81">
        <f>SUM(H162:H165)</f>
        <v>0.29308</v>
      </c>
      <c r="I166" s="83">
        <f t="shared" si="18"/>
        <v>0.00266182079089597</v>
      </c>
      <c r="J166" s="97">
        <f>SUM(J162:J165)</f>
        <v>0.25567</v>
      </c>
      <c r="K166" s="60">
        <f t="shared" si="20"/>
        <v>0.00249990222152691</v>
      </c>
      <c r="L166" s="60">
        <f t="shared" si="16"/>
        <v>-0.00425354688090744</v>
      </c>
      <c r="M166" s="60">
        <f t="shared" si="17"/>
        <v>-0.000161918569369062</v>
      </c>
      <c r="N166" s="85"/>
      <c r="O166" s="59"/>
      <c r="P166" s="86">
        <v>0.293</v>
      </c>
      <c r="Q166" s="86">
        <v>0.00403509013537521</v>
      </c>
    </row>
    <row r="167" spans="2:17">
      <c r="B167" s="79" t="s">
        <v>78</v>
      </c>
      <c r="C167" s="80">
        <v>6666010380</v>
      </c>
      <c r="D167" s="80" t="s">
        <v>81</v>
      </c>
      <c r="E167" s="80" t="s">
        <v>321</v>
      </c>
      <c r="F167" s="81">
        <v>0</v>
      </c>
      <c r="G167" s="83">
        <f t="shared" si="19"/>
        <v>0</v>
      </c>
      <c r="H167" s="81">
        <v>0</v>
      </c>
      <c r="I167" s="83">
        <f t="shared" si="18"/>
        <v>0</v>
      </c>
      <c r="J167" s="97">
        <v>0</v>
      </c>
      <c r="K167" s="60">
        <f t="shared" si="20"/>
        <v>0</v>
      </c>
      <c r="L167" s="60">
        <f t="shared" si="16"/>
        <v>0</v>
      </c>
      <c r="M167" s="60">
        <f t="shared" si="17"/>
        <v>0</v>
      </c>
      <c r="N167" s="85"/>
      <c r="O167" s="59"/>
      <c r="P167" s="86">
        <v>0</v>
      </c>
      <c r="Q167" s="86">
        <v>0</v>
      </c>
    </row>
    <row r="168" spans="2:17">
      <c r="B168" s="87"/>
      <c r="C168" s="80">
        <v>5102040406</v>
      </c>
      <c r="D168" s="80" t="s">
        <v>322</v>
      </c>
      <c r="E168" s="80" t="s">
        <v>323</v>
      </c>
      <c r="F168" s="81">
        <v>0</v>
      </c>
      <c r="G168" s="83">
        <f t="shared" si="19"/>
        <v>0</v>
      </c>
      <c r="H168" s="81">
        <v>0</v>
      </c>
      <c r="I168" s="83">
        <f t="shared" si="18"/>
        <v>0</v>
      </c>
      <c r="J168" s="97">
        <v>-4.67162</v>
      </c>
      <c r="K168" s="60">
        <f t="shared" si="20"/>
        <v>-0.0456783870463079</v>
      </c>
      <c r="L168" s="60">
        <f t="shared" si="16"/>
        <v>-0.0456783870463079</v>
      </c>
      <c r="M168" s="60">
        <f t="shared" si="17"/>
        <v>-0.0456783870463079</v>
      </c>
      <c r="N168" s="85"/>
      <c r="O168" s="59"/>
      <c r="P168" s="86">
        <v>0</v>
      </c>
      <c r="Q168" s="86">
        <v>0</v>
      </c>
    </row>
    <row r="169" spans="2:17">
      <c r="B169" s="73"/>
      <c r="C169" s="89" t="s">
        <v>324</v>
      </c>
      <c r="D169" s="89" t="s">
        <v>97</v>
      </c>
      <c r="E169" s="89" t="s">
        <v>325</v>
      </c>
      <c r="F169" s="81">
        <f>F168+F167</f>
        <v>0</v>
      </c>
      <c r="G169" s="83">
        <f t="shared" si="19"/>
        <v>0</v>
      </c>
      <c r="H169" s="81">
        <f>SUM(H167:H168)</f>
        <v>0</v>
      </c>
      <c r="I169" s="83">
        <f t="shared" si="18"/>
        <v>0</v>
      </c>
      <c r="J169" s="97">
        <f>SUM(J167:J168)</f>
        <v>-4.67162</v>
      </c>
      <c r="K169" s="60">
        <f t="shared" si="20"/>
        <v>-0.0456783870463079</v>
      </c>
      <c r="L169" s="60">
        <f t="shared" si="16"/>
        <v>-0.0456783870463079</v>
      </c>
      <c r="M169" s="60">
        <f t="shared" si="17"/>
        <v>-0.0456783870463079</v>
      </c>
      <c r="N169" s="85"/>
      <c r="O169" s="59"/>
      <c r="P169" s="86">
        <v>0</v>
      </c>
      <c r="Q169" s="86">
        <v>0</v>
      </c>
    </row>
    <row r="170" spans="2:17">
      <c r="B170" s="79" t="s">
        <v>111</v>
      </c>
      <c r="C170" s="80">
        <v>6666029996</v>
      </c>
      <c r="D170" s="80" t="s">
        <v>190</v>
      </c>
      <c r="E170" s="80" t="s">
        <v>703</v>
      </c>
      <c r="F170" s="81">
        <v>0.0137</v>
      </c>
      <c r="G170" s="83">
        <f t="shared" si="19"/>
        <v>0.000182442870079369</v>
      </c>
      <c r="H170" s="81">
        <v>0</v>
      </c>
      <c r="I170" s="83">
        <f t="shared" si="18"/>
        <v>0</v>
      </c>
      <c r="J170" s="97">
        <v>0.01045</v>
      </c>
      <c r="K170" s="60">
        <f t="shared" si="20"/>
        <v>0.000102178504380476</v>
      </c>
      <c r="L170" s="60">
        <f t="shared" si="16"/>
        <v>-8.02643656988937e-5</v>
      </c>
      <c r="M170" s="60">
        <f t="shared" si="17"/>
        <v>0.000102178504380476</v>
      </c>
      <c r="N170" s="85"/>
      <c r="O170" s="59"/>
      <c r="P170" s="86">
        <v>0</v>
      </c>
      <c r="Q170" s="86">
        <v>0</v>
      </c>
    </row>
    <row r="171" spans="2:17">
      <c r="B171" s="87"/>
      <c r="C171" s="80">
        <v>6666029700</v>
      </c>
      <c r="D171" s="80" t="s">
        <v>186</v>
      </c>
      <c r="E171" s="80" t="s">
        <v>704</v>
      </c>
      <c r="F171" s="81">
        <v>51.66404</v>
      </c>
      <c r="G171" s="83">
        <f t="shared" si="19"/>
        <v>0.688009907846375</v>
      </c>
      <c r="H171" s="81">
        <v>5.48764</v>
      </c>
      <c r="I171" s="83">
        <f t="shared" si="18"/>
        <v>0.0498400240376429</v>
      </c>
      <c r="J171" s="97">
        <v>73.34603</v>
      </c>
      <c r="K171" s="60">
        <f t="shared" si="20"/>
        <v>0.717166282071339</v>
      </c>
      <c r="L171" s="60">
        <f t="shared" si="16"/>
        <v>0.0291563742249642</v>
      </c>
      <c r="M171" s="60">
        <f t="shared" si="17"/>
        <v>0.667326258033696</v>
      </c>
      <c r="N171" s="90">
        <f>L171*$L$26</f>
        <v>2981.88070473554</v>
      </c>
      <c r="O171" s="59"/>
      <c r="P171" s="86">
        <v>5.488</v>
      </c>
      <c r="Q171" s="86">
        <v>0.0755787531158333</v>
      </c>
    </row>
    <row r="172" spans="2:17">
      <c r="B172" s="87"/>
      <c r="C172" s="80">
        <v>6666010322</v>
      </c>
      <c r="D172" s="80" t="s">
        <v>138</v>
      </c>
      <c r="E172" s="80" t="s">
        <v>328</v>
      </c>
      <c r="F172" s="81">
        <v>0.72077</v>
      </c>
      <c r="G172" s="83">
        <f t="shared" si="19"/>
        <v>0.00959849251584723</v>
      </c>
      <c r="H172" s="81">
        <v>3.07489</v>
      </c>
      <c r="I172" s="83">
        <f t="shared" si="18"/>
        <v>0.027926866834032</v>
      </c>
      <c r="J172" s="97">
        <v>-0.0002</v>
      </c>
      <c r="K172" s="60">
        <f t="shared" si="20"/>
        <v>-1.95556946182728e-6</v>
      </c>
      <c r="L172" s="60">
        <f t="shared" si="16"/>
        <v>-0.00960044808530906</v>
      </c>
      <c r="M172" s="60">
        <f t="shared" si="17"/>
        <v>-0.0279288224034939</v>
      </c>
      <c r="N172" s="85"/>
      <c r="O172" s="59"/>
      <c r="P172" s="86">
        <v>3.075</v>
      </c>
      <c r="Q172" s="86">
        <v>0.0423477889634088</v>
      </c>
    </row>
    <row r="173" spans="2:17">
      <c r="B173" s="87"/>
      <c r="C173" s="80">
        <v>6666020495</v>
      </c>
      <c r="D173" s="80" t="s">
        <v>161</v>
      </c>
      <c r="E173" s="80" t="s">
        <v>706</v>
      </c>
      <c r="F173" s="81">
        <v>0</v>
      </c>
      <c r="G173" s="83">
        <f t="shared" si="19"/>
        <v>0</v>
      </c>
      <c r="H173" s="81">
        <v>0</v>
      </c>
      <c r="I173" s="83">
        <f t="shared" si="18"/>
        <v>0</v>
      </c>
      <c r="J173" s="97">
        <v>0.02934</v>
      </c>
      <c r="K173" s="60">
        <f t="shared" si="20"/>
        <v>0.000286882040050063</v>
      </c>
      <c r="L173" s="60">
        <f t="shared" si="16"/>
        <v>0.000286882040050063</v>
      </c>
      <c r="M173" s="60">
        <f t="shared" si="17"/>
        <v>0.000286882040050063</v>
      </c>
      <c r="N173" s="85"/>
      <c r="O173" s="59"/>
      <c r="P173" s="86">
        <v>0</v>
      </c>
      <c r="Q173" s="86">
        <v>0</v>
      </c>
    </row>
    <row r="174" spans="2:17">
      <c r="B174" s="87"/>
      <c r="C174" s="80">
        <v>5301060000</v>
      </c>
      <c r="D174" s="80" t="s">
        <v>124</v>
      </c>
      <c r="E174" s="80" t="s">
        <v>330</v>
      </c>
      <c r="F174" s="81">
        <v>0</v>
      </c>
      <c r="G174" s="83">
        <f t="shared" si="19"/>
        <v>0</v>
      </c>
      <c r="H174" s="81">
        <v>0</v>
      </c>
      <c r="I174" s="83">
        <f t="shared" si="18"/>
        <v>0</v>
      </c>
      <c r="J174" s="97">
        <v>0</v>
      </c>
      <c r="K174" s="60">
        <f t="shared" si="20"/>
        <v>0</v>
      </c>
      <c r="L174" s="60">
        <f t="shared" si="16"/>
        <v>0</v>
      </c>
      <c r="M174" s="60">
        <f t="shared" si="17"/>
        <v>0</v>
      </c>
      <c r="N174" s="85"/>
      <c r="O174" s="59"/>
      <c r="P174" s="86">
        <v>0</v>
      </c>
      <c r="Q174" s="86">
        <v>0</v>
      </c>
    </row>
    <row r="175" spans="2:17">
      <c r="B175" s="87"/>
      <c r="C175" s="80">
        <v>5601050000</v>
      </c>
      <c r="D175" s="80" t="s">
        <v>130</v>
      </c>
      <c r="E175" s="80" t="s">
        <v>707</v>
      </c>
      <c r="F175" s="81">
        <v>0</v>
      </c>
      <c r="G175" s="83">
        <f t="shared" si="19"/>
        <v>0</v>
      </c>
      <c r="H175" s="81">
        <v>0</v>
      </c>
      <c r="I175" s="83">
        <f t="shared" si="18"/>
        <v>0</v>
      </c>
      <c r="J175" s="97">
        <v>0</v>
      </c>
      <c r="K175" s="60">
        <f t="shared" si="20"/>
        <v>0</v>
      </c>
      <c r="L175" s="60">
        <f t="shared" si="16"/>
        <v>0</v>
      </c>
      <c r="M175" s="60">
        <f t="shared" si="17"/>
        <v>0</v>
      </c>
      <c r="N175" s="85"/>
      <c r="O175" s="59"/>
      <c r="P175" s="86">
        <v>0</v>
      </c>
      <c r="Q175" s="86">
        <v>0</v>
      </c>
    </row>
    <row r="176" spans="2:17">
      <c r="B176" s="87"/>
      <c r="C176" s="80">
        <v>5601050100</v>
      </c>
      <c r="D176" s="80" t="s">
        <v>132</v>
      </c>
      <c r="E176" s="80" t="s">
        <v>708</v>
      </c>
      <c r="F176" s="81">
        <v>0.13224</v>
      </c>
      <c r="G176" s="83">
        <f t="shared" si="19"/>
        <v>0.00176103979118947</v>
      </c>
      <c r="H176" s="81">
        <v>0</v>
      </c>
      <c r="I176" s="83">
        <f t="shared" si="18"/>
        <v>0</v>
      </c>
      <c r="J176" s="97">
        <v>0</v>
      </c>
      <c r="K176" s="60">
        <f t="shared" si="20"/>
        <v>0</v>
      </c>
      <c r="L176" s="60">
        <f t="shared" si="16"/>
        <v>-0.00176103979118947</v>
      </c>
      <c r="M176" s="60">
        <f t="shared" si="17"/>
        <v>0</v>
      </c>
      <c r="N176" s="90">
        <f>L176*$L$26</f>
        <v>-180.10506152453</v>
      </c>
      <c r="O176" s="59"/>
      <c r="P176" s="86">
        <v>0</v>
      </c>
      <c r="Q176" s="86">
        <v>0</v>
      </c>
    </row>
    <row r="177" spans="2:17">
      <c r="B177" s="87"/>
      <c r="C177" s="80">
        <v>5601080000</v>
      </c>
      <c r="D177" s="80" t="s">
        <v>333</v>
      </c>
      <c r="E177" s="80" t="s">
        <v>709</v>
      </c>
      <c r="F177" s="81">
        <v>0</v>
      </c>
      <c r="G177" s="83">
        <f t="shared" si="19"/>
        <v>0</v>
      </c>
      <c r="H177" s="81">
        <v>0</v>
      </c>
      <c r="I177" s="83">
        <f t="shared" si="18"/>
        <v>0</v>
      </c>
      <c r="J177" s="97">
        <v>0.01147</v>
      </c>
      <c r="K177" s="60">
        <f t="shared" si="20"/>
        <v>0.000112151908635795</v>
      </c>
      <c r="L177" s="60">
        <f t="shared" si="16"/>
        <v>0.000112151908635795</v>
      </c>
      <c r="M177" s="60">
        <f t="shared" si="17"/>
        <v>0.000112151908635795</v>
      </c>
      <c r="N177" s="85"/>
      <c r="O177" s="59"/>
      <c r="P177" s="86">
        <v>0</v>
      </c>
      <c r="Q177" s="86">
        <v>0</v>
      </c>
    </row>
    <row r="178" spans="2:17">
      <c r="B178" s="87"/>
      <c r="C178" s="80">
        <v>6666020101</v>
      </c>
      <c r="D178" s="80" t="s">
        <v>140</v>
      </c>
      <c r="E178" s="80" t="s">
        <v>335</v>
      </c>
      <c r="F178" s="81">
        <v>0.40151</v>
      </c>
      <c r="G178" s="83">
        <f t="shared" si="19"/>
        <v>0.00534690779310712</v>
      </c>
      <c r="H178" s="81">
        <v>0.79074</v>
      </c>
      <c r="I178" s="83">
        <f t="shared" si="18"/>
        <v>0.00718168476932264</v>
      </c>
      <c r="J178" s="97">
        <v>0.86155</v>
      </c>
      <c r="K178" s="60">
        <f t="shared" si="20"/>
        <v>0.00842410434918648</v>
      </c>
      <c r="L178" s="60">
        <f t="shared" si="16"/>
        <v>0.00307719655607936</v>
      </c>
      <c r="M178" s="60">
        <f t="shared" si="17"/>
        <v>0.00124241957986384</v>
      </c>
      <c r="N178" s="85"/>
      <c r="O178" s="59"/>
      <c r="P178" s="86">
        <v>0.791</v>
      </c>
      <c r="Q178" s="86">
        <v>0.0108933662016443</v>
      </c>
    </row>
    <row r="179" spans="2:17">
      <c r="B179" s="87"/>
      <c r="C179" s="98">
        <v>6666021200</v>
      </c>
      <c r="D179" s="98" t="s">
        <v>336</v>
      </c>
      <c r="E179" s="98" t="s">
        <v>337</v>
      </c>
      <c r="F179" s="81">
        <v>0</v>
      </c>
      <c r="G179" s="83">
        <f t="shared" si="19"/>
        <v>0</v>
      </c>
      <c r="H179" s="81">
        <v>2.69917</v>
      </c>
      <c r="I179" s="83">
        <f t="shared" si="18"/>
        <v>0.0245144903240162</v>
      </c>
      <c r="J179" s="97">
        <v>-0.15604</v>
      </c>
      <c r="K179" s="60">
        <f t="shared" si="20"/>
        <v>-0.00152573529411765</v>
      </c>
      <c r="L179" s="60">
        <f t="shared" si="16"/>
        <v>-0.00152573529411765</v>
      </c>
      <c r="M179" s="60">
        <f t="shared" si="17"/>
        <v>-0.0260402256181339</v>
      </c>
      <c r="N179" s="85"/>
      <c r="O179" s="59"/>
      <c r="P179" s="86">
        <v>2.699</v>
      </c>
      <c r="Q179" s="86">
        <v>0.0371696528169887</v>
      </c>
    </row>
    <row r="180" spans="2:17">
      <c r="B180" s="87"/>
      <c r="C180" s="80">
        <v>6666020201</v>
      </c>
      <c r="D180" s="80" t="s">
        <v>143</v>
      </c>
      <c r="E180" s="80" t="s">
        <v>610</v>
      </c>
      <c r="F180" s="81">
        <v>0.52485</v>
      </c>
      <c r="G180" s="83">
        <f t="shared" si="19"/>
        <v>0.00698942630373409</v>
      </c>
      <c r="H180" s="81">
        <v>0</v>
      </c>
      <c r="I180" s="83">
        <f t="shared" si="18"/>
        <v>0</v>
      </c>
      <c r="J180" s="97">
        <v>0.09136</v>
      </c>
      <c r="K180" s="60">
        <f t="shared" si="20"/>
        <v>0.000893304130162703</v>
      </c>
      <c r="L180" s="60">
        <f t="shared" si="16"/>
        <v>-0.00609612217357138</v>
      </c>
      <c r="M180" s="60">
        <f t="shared" si="17"/>
        <v>0.000893304130162703</v>
      </c>
      <c r="N180" s="85"/>
      <c r="O180" s="59"/>
      <c r="P180" s="86">
        <v>0</v>
      </c>
      <c r="Q180" s="86">
        <v>0</v>
      </c>
    </row>
    <row r="181" spans="2:17">
      <c r="B181" s="87"/>
      <c r="C181" s="80">
        <v>6666020202</v>
      </c>
      <c r="D181" s="80" t="s">
        <v>146</v>
      </c>
      <c r="E181" s="80" t="s">
        <v>611</v>
      </c>
      <c r="F181" s="81">
        <v>0</v>
      </c>
      <c r="G181" s="83">
        <f t="shared" si="19"/>
        <v>0</v>
      </c>
      <c r="H181" s="81">
        <v>0.97161</v>
      </c>
      <c r="I181" s="83">
        <f t="shared" si="18"/>
        <v>0.0088243882170139</v>
      </c>
      <c r="J181" s="97">
        <v>0</v>
      </c>
      <c r="K181" s="60">
        <f t="shared" si="20"/>
        <v>0</v>
      </c>
      <c r="L181" s="60">
        <f t="shared" si="16"/>
        <v>0</v>
      </c>
      <c r="M181" s="60">
        <f t="shared" si="17"/>
        <v>-0.0088243882170139</v>
      </c>
      <c r="N181" s="85"/>
      <c r="O181" s="59"/>
      <c r="P181" s="86">
        <v>0.972</v>
      </c>
      <c r="Q181" s="86">
        <v>0.0133860328040434</v>
      </c>
    </row>
    <row r="182" spans="2:17">
      <c r="B182" s="87"/>
      <c r="C182" s="80">
        <v>6666020204</v>
      </c>
      <c r="D182" s="80" t="s">
        <v>148</v>
      </c>
      <c r="E182" s="80" t="s">
        <v>340</v>
      </c>
      <c r="F182" s="81">
        <v>0</v>
      </c>
      <c r="G182" s="83">
        <f t="shared" si="19"/>
        <v>0</v>
      </c>
      <c r="H182" s="81">
        <v>0.53691</v>
      </c>
      <c r="I182" s="83">
        <f t="shared" si="18"/>
        <v>0.00487634161607737</v>
      </c>
      <c r="J182" s="97">
        <v>0.66204</v>
      </c>
      <c r="K182" s="60">
        <f t="shared" si="20"/>
        <v>0.00647332603254068</v>
      </c>
      <c r="L182" s="60">
        <f t="shared" si="16"/>
        <v>0.00647332603254068</v>
      </c>
      <c r="M182" s="60">
        <f t="shared" si="17"/>
        <v>0.00159698441646331</v>
      </c>
      <c r="N182" s="85"/>
      <c r="O182" s="59"/>
      <c r="P182" s="86">
        <v>0.537</v>
      </c>
      <c r="Q182" s="86">
        <v>0.00739536997507333</v>
      </c>
    </row>
    <row r="183" spans="2:17">
      <c r="B183" s="87"/>
      <c r="C183" s="80">
        <v>6666020301</v>
      </c>
      <c r="D183" s="80" t="s">
        <v>341</v>
      </c>
      <c r="E183" s="80" t="s">
        <v>342</v>
      </c>
      <c r="F183" s="81">
        <v>0.19663</v>
      </c>
      <c r="G183" s="83">
        <f t="shared" si="19"/>
        <v>0.00261852128056251</v>
      </c>
      <c r="H183" s="81">
        <v>0.35644</v>
      </c>
      <c r="I183" s="83">
        <f t="shared" si="18"/>
        <v>0.00323727106150867</v>
      </c>
      <c r="J183" s="97">
        <v>0.02939</v>
      </c>
      <c r="K183" s="60">
        <f t="shared" si="20"/>
        <v>0.000287370932415519</v>
      </c>
      <c r="L183" s="60">
        <f t="shared" si="16"/>
        <v>-0.00233115034814699</v>
      </c>
      <c r="M183" s="60">
        <f t="shared" si="17"/>
        <v>-0.00294990012909315</v>
      </c>
      <c r="N183" s="85"/>
      <c r="O183" s="59"/>
      <c r="P183" s="86">
        <v>0.356</v>
      </c>
      <c r="Q183" s="86">
        <v>0.00490270337267431</v>
      </c>
    </row>
    <row r="184" spans="2:17">
      <c r="B184" s="87"/>
      <c r="C184" s="80">
        <v>6666020403</v>
      </c>
      <c r="D184" s="80" t="s">
        <v>157</v>
      </c>
      <c r="E184" s="80" t="s">
        <v>343</v>
      </c>
      <c r="F184" s="81">
        <v>0</v>
      </c>
      <c r="G184" s="83">
        <f t="shared" si="19"/>
        <v>0</v>
      </c>
      <c r="H184" s="81">
        <v>0</v>
      </c>
      <c r="I184" s="83">
        <f t="shared" si="18"/>
        <v>0</v>
      </c>
      <c r="J184" s="97">
        <v>0</v>
      </c>
      <c r="K184" s="60">
        <f t="shared" si="20"/>
        <v>0</v>
      </c>
      <c r="L184" s="60">
        <f t="shared" si="16"/>
        <v>0</v>
      </c>
      <c r="M184" s="60">
        <f t="shared" si="17"/>
        <v>0</v>
      </c>
      <c r="N184" s="85"/>
      <c r="O184" s="59"/>
      <c r="P184" s="86">
        <v>0</v>
      </c>
      <c r="Q184" s="86">
        <v>0</v>
      </c>
    </row>
    <row r="185" spans="2:17">
      <c r="B185" s="87"/>
      <c r="C185" s="80">
        <v>6666020504</v>
      </c>
      <c r="D185" s="80" t="s">
        <v>163</v>
      </c>
      <c r="E185" s="80" t="s">
        <v>344</v>
      </c>
      <c r="F185" s="81">
        <v>0</v>
      </c>
      <c r="G185" s="83">
        <f t="shared" si="19"/>
        <v>0</v>
      </c>
      <c r="H185" s="81">
        <v>0</v>
      </c>
      <c r="I185" s="83">
        <f t="shared" si="18"/>
        <v>0</v>
      </c>
      <c r="J185" s="97">
        <v>0</v>
      </c>
      <c r="K185" s="60">
        <f t="shared" si="20"/>
        <v>0</v>
      </c>
      <c r="L185" s="60">
        <f t="shared" si="16"/>
        <v>0</v>
      </c>
      <c r="M185" s="60">
        <f t="shared" si="17"/>
        <v>0</v>
      </c>
      <c r="N185" s="85"/>
      <c r="O185" s="59"/>
      <c r="P185" s="86">
        <v>0</v>
      </c>
      <c r="Q185" s="86">
        <v>0</v>
      </c>
    </row>
    <row r="186" spans="2:17">
      <c r="B186" s="87"/>
      <c r="C186" s="80">
        <v>6666020508</v>
      </c>
      <c r="D186" s="80" t="s">
        <v>165</v>
      </c>
      <c r="E186" s="80" t="s">
        <v>345</v>
      </c>
      <c r="F186" s="81">
        <v>0.00546</v>
      </c>
      <c r="G186" s="83">
        <f t="shared" si="19"/>
        <v>7.27108080754275e-5</v>
      </c>
      <c r="H186" s="81">
        <v>0.02195</v>
      </c>
      <c r="I186" s="83">
        <f t="shared" si="18"/>
        <v>0.0001993550101002</v>
      </c>
      <c r="J186" s="97">
        <v>-0.01814</v>
      </c>
      <c r="K186" s="60">
        <f t="shared" si="20"/>
        <v>-0.000177370150187735</v>
      </c>
      <c r="L186" s="60">
        <f t="shared" si="16"/>
        <v>-0.000250080958263162</v>
      </c>
      <c r="M186" s="60">
        <f t="shared" si="17"/>
        <v>-0.000376725160287934</v>
      </c>
      <c r="N186" s="85"/>
      <c r="O186" s="59"/>
      <c r="P186" s="86">
        <v>0.022</v>
      </c>
      <c r="Q186" s="86">
        <v>0.000302976051120323</v>
      </c>
    </row>
    <row r="187" spans="2:17">
      <c r="B187" s="87"/>
      <c r="C187" s="98">
        <v>6666020601</v>
      </c>
      <c r="D187" s="98" t="s">
        <v>346</v>
      </c>
      <c r="E187" s="98" t="s">
        <v>710</v>
      </c>
      <c r="F187" s="81">
        <v>0</v>
      </c>
      <c r="G187" s="83">
        <f t="shared" si="19"/>
        <v>0</v>
      </c>
      <c r="H187" s="81">
        <v>0.79658</v>
      </c>
      <c r="I187" s="83">
        <f t="shared" si="18"/>
        <v>0.00723472500891194</v>
      </c>
      <c r="J187" s="97">
        <v>0</v>
      </c>
      <c r="K187" s="60">
        <f t="shared" si="20"/>
        <v>0</v>
      </c>
      <c r="L187" s="60">
        <f t="shared" si="16"/>
        <v>0</v>
      </c>
      <c r="M187" s="60">
        <f t="shared" si="17"/>
        <v>-0.00723472500891194</v>
      </c>
      <c r="N187" s="85"/>
      <c r="O187" s="59"/>
      <c r="P187" s="86">
        <v>0</v>
      </c>
      <c r="Q187" s="86">
        <v>0</v>
      </c>
    </row>
    <row r="188" spans="2:17">
      <c r="B188" s="87"/>
      <c r="C188" s="98">
        <v>6666020602</v>
      </c>
      <c r="D188" s="98" t="s">
        <v>167</v>
      </c>
      <c r="E188" s="98" t="s">
        <v>618</v>
      </c>
      <c r="F188" s="81">
        <v>0</v>
      </c>
      <c r="G188" s="83">
        <f t="shared" si="19"/>
        <v>0</v>
      </c>
      <c r="H188" s="81">
        <v>0</v>
      </c>
      <c r="I188" s="83">
        <f t="shared" si="18"/>
        <v>0</v>
      </c>
      <c r="J188" s="97">
        <v>0</v>
      </c>
      <c r="K188" s="60">
        <f t="shared" si="20"/>
        <v>0</v>
      </c>
      <c r="L188" s="60">
        <f t="shared" si="16"/>
        <v>0</v>
      </c>
      <c r="M188" s="60">
        <f t="shared" si="17"/>
        <v>0</v>
      </c>
      <c r="N188" s="85"/>
      <c r="O188" s="59"/>
      <c r="P188" s="86">
        <v>0.797</v>
      </c>
      <c r="Q188" s="86">
        <v>0.0109759960337681</v>
      </c>
    </row>
    <row r="189" spans="2:17">
      <c r="B189" s="87"/>
      <c r="C189" s="80">
        <v>6666020701</v>
      </c>
      <c r="D189" s="80" t="s">
        <v>170</v>
      </c>
      <c r="E189" s="80" t="s">
        <v>348</v>
      </c>
      <c r="F189" s="81">
        <v>27.85808</v>
      </c>
      <c r="G189" s="83">
        <f t="shared" si="19"/>
        <v>0.370985990518298</v>
      </c>
      <c r="H189" s="81">
        <v>20.13725</v>
      </c>
      <c r="I189" s="83">
        <f t="shared" si="18"/>
        <v>0.182891192580421</v>
      </c>
      <c r="J189" s="97">
        <v>-29.89254</v>
      </c>
      <c r="K189" s="60">
        <f t="shared" si="20"/>
        <v>-0.292284691802253</v>
      </c>
      <c r="L189" s="60">
        <f t="shared" si="16"/>
        <v>-0.66327068232055</v>
      </c>
      <c r="M189" s="60">
        <f t="shared" si="17"/>
        <v>-0.475175884382674</v>
      </c>
      <c r="N189" s="85"/>
      <c r="O189" s="59"/>
      <c r="P189" s="86">
        <v>20.137</v>
      </c>
      <c r="Q189" s="86">
        <v>0.277319488245906</v>
      </c>
    </row>
    <row r="190" spans="2:17">
      <c r="B190" s="87"/>
      <c r="C190" s="80">
        <v>6666020801</v>
      </c>
      <c r="D190" s="80" t="s">
        <v>349</v>
      </c>
      <c r="E190" s="80" t="s">
        <v>711</v>
      </c>
      <c r="F190" s="81">
        <v>0</v>
      </c>
      <c r="G190" s="83">
        <f t="shared" si="19"/>
        <v>0</v>
      </c>
      <c r="H190" s="81">
        <v>0.96587</v>
      </c>
      <c r="I190" s="83">
        <f t="shared" si="18"/>
        <v>0.00877225620070524</v>
      </c>
      <c r="J190" s="97">
        <v>-0.43083</v>
      </c>
      <c r="K190" s="60">
        <f t="shared" si="20"/>
        <v>-0.00421258995619524</v>
      </c>
      <c r="L190" s="60">
        <f t="shared" si="16"/>
        <v>-0.00421258995619524</v>
      </c>
      <c r="M190" s="60">
        <f t="shared" si="17"/>
        <v>-0.0129848461569005</v>
      </c>
      <c r="N190" s="85"/>
      <c r="O190" s="59"/>
      <c r="P190" s="86">
        <v>0.966</v>
      </c>
      <c r="Q190" s="86">
        <v>0.0133034029719196</v>
      </c>
    </row>
    <row r="191" spans="2:17">
      <c r="B191" s="87"/>
      <c r="C191" s="80">
        <v>6666020803</v>
      </c>
      <c r="D191" s="80" t="s">
        <v>174</v>
      </c>
      <c r="E191" s="80" t="s">
        <v>620</v>
      </c>
      <c r="F191" s="81">
        <v>-0.06582</v>
      </c>
      <c r="G191" s="83">
        <f t="shared" si="19"/>
        <v>-0.000876524796249933</v>
      </c>
      <c r="H191" s="81">
        <v>0</v>
      </c>
      <c r="I191" s="83">
        <f t="shared" si="18"/>
        <v>0</v>
      </c>
      <c r="J191" s="97">
        <v>0.29451</v>
      </c>
      <c r="K191" s="60">
        <f t="shared" si="20"/>
        <v>0.00287967381101377</v>
      </c>
      <c r="L191" s="60">
        <f t="shared" si="16"/>
        <v>0.0037561986072637</v>
      </c>
      <c r="M191" s="60">
        <f t="shared" si="17"/>
        <v>0.00287967381101377</v>
      </c>
      <c r="N191" s="85"/>
      <c r="O191" s="59"/>
      <c r="P191" s="86">
        <v>0</v>
      </c>
      <c r="Q191" s="86">
        <v>0</v>
      </c>
    </row>
    <row r="192" spans="2:17">
      <c r="B192" s="87"/>
      <c r="C192" s="80">
        <v>6666021100</v>
      </c>
      <c r="D192" s="80" t="s">
        <v>176</v>
      </c>
      <c r="E192" s="80" t="s">
        <v>352</v>
      </c>
      <c r="F192" s="81">
        <v>0.18719</v>
      </c>
      <c r="G192" s="83">
        <f t="shared" si="19"/>
        <v>0.00249280882117935</v>
      </c>
      <c r="H192" s="81">
        <v>1.10613</v>
      </c>
      <c r="I192" s="83">
        <f t="shared" si="18"/>
        <v>0.0100461301741291</v>
      </c>
      <c r="J192" s="97">
        <v>0.46672</v>
      </c>
      <c r="K192" s="60">
        <f t="shared" si="20"/>
        <v>0.00456351689612015</v>
      </c>
      <c r="L192" s="60">
        <f t="shared" si="16"/>
        <v>0.0020707080749408</v>
      </c>
      <c r="M192" s="60">
        <f t="shared" si="17"/>
        <v>-0.00548261327800896</v>
      </c>
      <c r="N192" s="85"/>
      <c r="O192" s="59"/>
      <c r="P192" s="86">
        <v>8.506</v>
      </c>
      <c r="Q192" s="86">
        <v>0.117141558674067</v>
      </c>
    </row>
    <row r="193" spans="2:17">
      <c r="B193" s="87"/>
      <c r="C193" s="80">
        <v>6666021102</v>
      </c>
      <c r="D193" s="80" t="s">
        <v>353</v>
      </c>
      <c r="E193" s="80" t="s">
        <v>712</v>
      </c>
      <c r="F193" s="81">
        <v>7.21618</v>
      </c>
      <c r="G193" s="83">
        <f t="shared" si="19"/>
        <v>0.0960978532999521</v>
      </c>
      <c r="H193" s="81">
        <v>2.98412</v>
      </c>
      <c r="I193" s="83">
        <f t="shared" si="18"/>
        <v>0.0271024725621963</v>
      </c>
      <c r="J193" s="97">
        <v>1.0716</v>
      </c>
      <c r="K193" s="60">
        <f t="shared" si="20"/>
        <v>0.0104779411764706</v>
      </c>
      <c r="L193" s="60">
        <f t="shared" si="16"/>
        <v>-0.0856199121234815</v>
      </c>
      <c r="M193" s="60">
        <f t="shared" si="17"/>
        <v>-0.0166245313857257</v>
      </c>
      <c r="N193" s="85"/>
      <c r="O193" s="59"/>
      <c r="P193" s="86">
        <v>0</v>
      </c>
      <c r="Q193" s="86">
        <v>0</v>
      </c>
    </row>
    <row r="194" spans="2:17">
      <c r="B194" s="87"/>
      <c r="C194" s="80">
        <v>6666021104</v>
      </c>
      <c r="D194" s="80" t="s">
        <v>178</v>
      </c>
      <c r="E194" s="80" t="s">
        <v>355</v>
      </c>
      <c r="F194" s="81">
        <v>-0.00011</v>
      </c>
      <c r="G194" s="83">
        <f t="shared" si="19"/>
        <v>-1.46486975976136e-6</v>
      </c>
      <c r="H194" s="81">
        <v>0.56647</v>
      </c>
      <c r="I194" s="83">
        <f t="shared" si="18"/>
        <v>0.00514481241783418</v>
      </c>
      <c r="J194" s="97">
        <v>0.12462</v>
      </c>
      <c r="K194" s="60">
        <f t="shared" si="20"/>
        <v>0.00121851533166458</v>
      </c>
      <c r="L194" s="60">
        <f t="shared" si="16"/>
        <v>0.00121998020142434</v>
      </c>
      <c r="M194" s="60">
        <f t="shared" si="17"/>
        <v>-0.0039262970861696</v>
      </c>
      <c r="N194" s="85"/>
      <c r="O194" s="59"/>
      <c r="P194" s="86">
        <v>0</v>
      </c>
      <c r="Q194" s="86">
        <v>0</v>
      </c>
    </row>
    <row r="195" spans="2:17">
      <c r="B195" s="87"/>
      <c r="C195" s="98">
        <v>6666021103</v>
      </c>
      <c r="D195" s="98" t="s">
        <v>356</v>
      </c>
      <c r="E195" s="98" t="s">
        <v>357</v>
      </c>
      <c r="F195" s="81">
        <v>0</v>
      </c>
      <c r="G195" s="83">
        <f t="shared" si="19"/>
        <v>0</v>
      </c>
      <c r="H195" s="81">
        <v>3.84972</v>
      </c>
      <c r="I195" s="83">
        <f t="shared" si="18"/>
        <v>0.0349640532794051</v>
      </c>
      <c r="J195" s="97">
        <v>0</v>
      </c>
      <c r="K195" s="60">
        <f t="shared" si="20"/>
        <v>0</v>
      </c>
      <c r="L195" s="60">
        <f t="shared" si="16"/>
        <v>0</v>
      </c>
      <c r="M195" s="60">
        <f t="shared" si="17"/>
        <v>-0.0349640532794051</v>
      </c>
      <c r="N195" s="85"/>
      <c r="O195" s="59"/>
      <c r="P195" s="86">
        <v>0</v>
      </c>
      <c r="Q195" s="86">
        <v>0</v>
      </c>
    </row>
    <row r="196" spans="2:17">
      <c r="B196" s="87"/>
      <c r="C196" s="80">
        <v>6666021300</v>
      </c>
      <c r="D196" s="80" t="s">
        <v>358</v>
      </c>
      <c r="E196" s="80" t="s">
        <v>359</v>
      </c>
      <c r="F196" s="81">
        <v>3.22479</v>
      </c>
      <c r="G196" s="83">
        <f t="shared" si="19"/>
        <v>0.0429445213870985</v>
      </c>
      <c r="H196" s="81">
        <v>3.67549</v>
      </c>
      <c r="I196" s="83">
        <f t="shared" si="18"/>
        <v>0.0333816558575482</v>
      </c>
      <c r="J196" s="97">
        <v>1.13502</v>
      </c>
      <c r="K196" s="60">
        <f t="shared" si="20"/>
        <v>0.011098052252816</v>
      </c>
      <c r="L196" s="60">
        <f t="shared" si="16"/>
        <v>-0.0318464691342825</v>
      </c>
      <c r="M196" s="60">
        <f t="shared" si="17"/>
        <v>-0.0222836036047322</v>
      </c>
      <c r="N196" s="85"/>
      <c r="O196" s="59"/>
      <c r="P196" s="86">
        <v>3.675</v>
      </c>
      <c r="Q196" s="86">
        <v>0.0506107721757812</v>
      </c>
    </row>
    <row r="197" spans="2:17">
      <c r="B197" s="87"/>
      <c r="C197" s="80">
        <v>6666021902</v>
      </c>
      <c r="D197" s="80" t="s">
        <v>180</v>
      </c>
      <c r="E197" s="80" t="s">
        <v>360</v>
      </c>
      <c r="F197" s="81">
        <v>-0.02454</v>
      </c>
      <c r="G197" s="83">
        <f t="shared" si="19"/>
        <v>-0.000326799126404943</v>
      </c>
      <c r="H197" s="81">
        <v>4.20465</v>
      </c>
      <c r="I197" s="83">
        <f t="shared" si="18"/>
        <v>0.0381876101693761</v>
      </c>
      <c r="J197" s="97">
        <v>0.02295</v>
      </c>
      <c r="K197" s="60">
        <f t="shared" si="20"/>
        <v>0.000224401595744681</v>
      </c>
      <c r="L197" s="60">
        <f t="shared" si="16"/>
        <v>0.000551200722149624</v>
      </c>
      <c r="M197" s="60">
        <f t="shared" si="17"/>
        <v>-0.0379632085736314</v>
      </c>
      <c r="N197" s="85"/>
      <c r="O197" s="59"/>
      <c r="P197" s="86">
        <v>5.508</v>
      </c>
      <c r="Q197" s="86">
        <v>0.075854185889579</v>
      </c>
    </row>
    <row r="198" spans="2:17">
      <c r="B198" s="87"/>
      <c r="C198" s="80">
        <v>6666022100</v>
      </c>
      <c r="D198" s="80" t="s">
        <v>182</v>
      </c>
      <c r="E198" s="80" t="s">
        <v>713</v>
      </c>
      <c r="F198" s="81">
        <v>-0.19185</v>
      </c>
      <c r="G198" s="83">
        <f t="shared" si="19"/>
        <v>-0.00255486603100197</v>
      </c>
      <c r="H198" s="81">
        <v>0.56993</v>
      </c>
      <c r="I198" s="83">
        <f t="shared" si="18"/>
        <v>0.00517623694334428</v>
      </c>
      <c r="J198" s="97">
        <v>0</v>
      </c>
      <c r="K198" s="60">
        <f t="shared" si="20"/>
        <v>0</v>
      </c>
      <c r="L198" s="60">
        <f t="shared" si="16"/>
        <v>0.00255486603100197</v>
      </c>
      <c r="M198" s="60">
        <f t="shared" si="17"/>
        <v>-0.00517623694334428</v>
      </c>
      <c r="N198" s="85"/>
      <c r="O198" s="59"/>
      <c r="P198" s="86">
        <v>0.297</v>
      </c>
      <c r="Q198" s="86">
        <v>0.00409017669012436</v>
      </c>
    </row>
    <row r="199" spans="2:17">
      <c r="B199" s="87"/>
      <c r="C199" s="80">
        <v>6666022300</v>
      </c>
      <c r="D199" s="80" t="s">
        <v>184</v>
      </c>
      <c r="E199" s="80" t="s">
        <v>362</v>
      </c>
      <c r="F199" s="81">
        <v>7.07974</v>
      </c>
      <c r="G199" s="83">
        <f t="shared" si="19"/>
        <v>0.0942808821179353</v>
      </c>
      <c r="H199" s="81">
        <v>6.39185312156341</v>
      </c>
      <c r="I199" s="83">
        <f t="shared" si="18"/>
        <v>0.0580522981142718</v>
      </c>
      <c r="J199" s="97">
        <v>1.66711</v>
      </c>
      <c r="K199" s="60">
        <f t="shared" si="20"/>
        <v>0.0163007470275344</v>
      </c>
      <c r="L199" s="60">
        <f t="shared" si="16"/>
        <v>-0.0779801350904009</v>
      </c>
      <c r="M199" s="60">
        <f t="shared" si="17"/>
        <v>-0.0417515510867374</v>
      </c>
      <c r="N199" s="85"/>
      <c r="O199" s="59"/>
      <c r="P199" s="86">
        <v>6.393</v>
      </c>
      <c r="Q199" s="86">
        <v>0.0880420861278284</v>
      </c>
    </row>
    <row r="200" spans="2:17">
      <c r="B200" s="87"/>
      <c r="C200" s="80">
        <v>6666029900</v>
      </c>
      <c r="D200" s="80" t="s">
        <v>188</v>
      </c>
      <c r="E200" s="80" t="s">
        <v>714</v>
      </c>
      <c r="F200" s="81">
        <v>0.34139</v>
      </c>
      <c r="G200" s="83">
        <f t="shared" si="19"/>
        <v>0.00454628988440846</v>
      </c>
      <c r="H200" s="81">
        <v>0</v>
      </c>
      <c r="I200" s="83">
        <f t="shared" si="18"/>
        <v>0</v>
      </c>
      <c r="J200" s="97">
        <v>0.01279</v>
      </c>
      <c r="K200" s="60">
        <f t="shared" si="20"/>
        <v>0.000125058667083855</v>
      </c>
      <c r="L200" s="60">
        <f t="shared" si="16"/>
        <v>-0.0044212312173246</v>
      </c>
      <c r="M200" s="60">
        <f t="shared" si="17"/>
        <v>0.000125058667083855</v>
      </c>
      <c r="N200" s="85"/>
      <c r="O200" s="59"/>
      <c r="P200" s="86">
        <v>0</v>
      </c>
      <c r="Q200" s="86">
        <v>0</v>
      </c>
    </row>
    <row r="201" spans="2:17">
      <c r="B201" s="87"/>
      <c r="C201" s="80">
        <v>6666029997</v>
      </c>
      <c r="D201" s="80" t="s">
        <v>191</v>
      </c>
      <c r="E201" s="80" t="s">
        <v>364</v>
      </c>
      <c r="F201" s="81">
        <v>0</v>
      </c>
      <c r="G201" s="83">
        <f t="shared" si="19"/>
        <v>0</v>
      </c>
      <c r="H201" s="81">
        <v>0</v>
      </c>
      <c r="I201" s="83">
        <f t="shared" si="18"/>
        <v>0</v>
      </c>
      <c r="J201" s="97">
        <v>0</v>
      </c>
      <c r="K201" s="60">
        <f t="shared" si="20"/>
        <v>0</v>
      </c>
      <c r="L201" s="60">
        <f t="shared" si="16"/>
        <v>0</v>
      </c>
      <c r="M201" s="60">
        <f t="shared" si="17"/>
        <v>0</v>
      </c>
      <c r="N201" s="85"/>
      <c r="O201" s="59"/>
      <c r="P201" s="86">
        <v>0</v>
      </c>
      <c r="Q201" s="86">
        <v>0</v>
      </c>
    </row>
    <row r="202" spans="2:17">
      <c r="B202" s="87"/>
      <c r="C202" s="80">
        <v>6666031100</v>
      </c>
      <c r="D202" s="80" t="s">
        <v>365</v>
      </c>
      <c r="E202" s="80" t="s">
        <v>715</v>
      </c>
      <c r="F202" s="81">
        <v>0</v>
      </c>
      <c r="G202" s="83">
        <f t="shared" si="19"/>
        <v>0</v>
      </c>
      <c r="H202" s="81">
        <v>0</v>
      </c>
      <c r="I202" s="83">
        <f t="shared" si="18"/>
        <v>0</v>
      </c>
      <c r="J202" s="97">
        <v>0</v>
      </c>
      <c r="K202" s="60">
        <f t="shared" si="20"/>
        <v>0</v>
      </c>
      <c r="L202" s="60">
        <f t="shared" si="16"/>
        <v>0</v>
      </c>
      <c r="M202" s="60">
        <f t="shared" si="17"/>
        <v>0</v>
      </c>
      <c r="N202" s="85"/>
      <c r="O202" s="59"/>
      <c r="P202" s="86">
        <v>0</v>
      </c>
      <c r="Q202" s="86">
        <v>0</v>
      </c>
    </row>
    <row r="203" spans="2:17">
      <c r="B203" s="87"/>
      <c r="C203" s="80">
        <v>6666050107</v>
      </c>
      <c r="D203" s="80" t="s">
        <v>197</v>
      </c>
      <c r="E203" s="80" t="s">
        <v>367</v>
      </c>
      <c r="F203" s="81">
        <v>0</v>
      </c>
      <c r="G203" s="83">
        <f t="shared" si="19"/>
        <v>0</v>
      </c>
      <c r="H203" s="81">
        <v>0</v>
      </c>
      <c r="I203" s="83">
        <f t="shared" si="18"/>
        <v>0</v>
      </c>
      <c r="J203" s="97">
        <v>0</v>
      </c>
      <c r="K203" s="60">
        <f t="shared" si="20"/>
        <v>0</v>
      </c>
      <c r="L203" s="60">
        <f t="shared" si="16"/>
        <v>0</v>
      </c>
      <c r="M203" s="60">
        <f t="shared" si="17"/>
        <v>0</v>
      </c>
      <c r="N203" s="85"/>
      <c r="O203" s="59"/>
      <c r="P203" s="86">
        <v>0</v>
      </c>
      <c r="Q203" s="86">
        <v>0</v>
      </c>
    </row>
    <row r="204" spans="2:17">
      <c r="B204" s="87"/>
      <c r="C204" s="80">
        <v>6666079999</v>
      </c>
      <c r="D204" s="80" t="s">
        <v>368</v>
      </c>
      <c r="E204" s="80" t="s">
        <v>369</v>
      </c>
      <c r="F204" s="81">
        <v>252.81464</v>
      </c>
      <c r="G204" s="83">
        <f t="shared" si="19"/>
        <v>3.36673200873595</v>
      </c>
      <c r="H204" s="81">
        <v>94.9699</v>
      </c>
      <c r="I204" s="83">
        <f t="shared" si="18"/>
        <v>0.862538741399315</v>
      </c>
      <c r="J204" s="97">
        <v>95.18383</v>
      </c>
      <c r="K204" s="60">
        <f t="shared" si="20"/>
        <v>0.930692956038799</v>
      </c>
      <c r="L204" s="60">
        <f t="shared" si="16"/>
        <v>-2.43603905269715</v>
      </c>
      <c r="M204" s="60">
        <f t="shared" si="17"/>
        <v>0.0681542146394836</v>
      </c>
      <c r="N204" s="85"/>
      <c r="O204" s="59"/>
      <c r="P204" s="86">
        <v>0</v>
      </c>
      <c r="Q204" s="86">
        <v>0</v>
      </c>
    </row>
    <row r="205" spans="2:17">
      <c r="B205" s="87"/>
      <c r="C205" s="80">
        <v>6666090100</v>
      </c>
      <c r="D205" s="80" t="s">
        <v>370</v>
      </c>
      <c r="E205" s="80" t="s">
        <v>371</v>
      </c>
      <c r="F205" s="81">
        <v>0</v>
      </c>
      <c r="G205" s="83">
        <f t="shared" si="19"/>
        <v>0</v>
      </c>
      <c r="H205" s="81">
        <v>0</v>
      </c>
      <c r="I205" s="83">
        <f t="shared" si="18"/>
        <v>0</v>
      </c>
      <c r="J205" s="97">
        <v>0</v>
      </c>
      <c r="K205" s="60">
        <f t="shared" si="20"/>
        <v>0</v>
      </c>
      <c r="L205" s="60">
        <f t="shared" si="16"/>
        <v>0</v>
      </c>
      <c r="M205" s="60">
        <f t="shared" si="17"/>
        <v>0</v>
      </c>
      <c r="N205" s="85"/>
      <c r="O205" s="59"/>
      <c r="P205" s="86">
        <v>0</v>
      </c>
      <c r="Q205" s="86">
        <v>0</v>
      </c>
    </row>
    <row r="206" spans="2:17">
      <c r="B206" s="87"/>
      <c r="C206" s="80">
        <v>6666093800</v>
      </c>
      <c r="D206" s="80" t="s">
        <v>372</v>
      </c>
      <c r="E206" s="80" t="s">
        <v>373</v>
      </c>
      <c r="F206" s="81">
        <v>0.06295</v>
      </c>
      <c r="G206" s="83">
        <f t="shared" si="19"/>
        <v>0.000838305012517978</v>
      </c>
      <c r="H206" s="81">
        <v>0</v>
      </c>
      <c r="I206" s="83">
        <f t="shared" si="18"/>
        <v>0</v>
      </c>
      <c r="J206" s="97">
        <v>0.04174</v>
      </c>
      <c r="K206" s="60">
        <f t="shared" si="20"/>
        <v>0.000408127346683354</v>
      </c>
      <c r="L206" s="60">
        <f t="shared" si="16"/>
        <v>-0.000430177665834624</v>
      </c>
      <c r="M206" s="60">
        <f t="shared" si="17"/>
        <v>0.000408127346683354</v>
      </c>
      <c r="N206" s="85"/>
      <c r="O206" s="59"/>
      <c r="P206" s="86">
        <v>0</v>
      </c>
      <c r="Q206" s="86">
        <v>0</v>
      </c>
    </row>
    <row r="207" spans="2:17">
      <c r="B207" s="87"/>
      <c r="C207" s="80">
        <v>6666021400</v>
      </c>
      <c r="D207" s="80" t="s">
        <v>374</v>
      </c>
      <c r="E207" s="80" t="s">
        <v>375</v>
      </c>
      <c r="F207" s="81">
        <v>0</v>
      </c>
      <c r="G207" s="83">
        <f t="shared" si="19"/>
        <v>0</v>
      </c>
      <c r="H207" s="81">
        <v>0.67634</v>
      </c>
      <c r="I207" s="83">
        <f t="shared" si="18"/>
        <v>0.00614267733627194</v>
      </c>
      <c r="J207" s="97">
        <v>0</v>
      </c>
      <c r="K207" s="60">
        <f t="shared" si="20"/>
        <v>0</v>
      </c>
      <c r="L207" s="60">
        <f t="shared" si="16"/>
        <v>0</v>
      </c>
      <c r="M207" s="60">
        <f t="shared" si="17"/>
        <v>-0.00614267733627194</v>
      </c>
      <c r="N207" s="85"/>
      <c r="O207" s="59"/>
      <c r="P207" s="86">
        <v>0.676</v>
      </c>
      <c r="Q207" s="86">
        <v>0.00930962775260628</v>
      </c>
    </row>
    <row r="208" spans="2:17">
      <c r="B208" s="87"/>
      <c r="C208" s="80">
        <v>5401050201</v>
      </c>
      <c r="D208" s="80" t="s">
        <v>647</v>
      </c>
      <c r="E208" s="80" t="s">
        <v>716</v>
      </c>
      <c r="F208" s="81">
        <v>0</v>
      </c>
      <c r="G208" s="83">
        <f t="shared" si="19"/>
        <v>0</v>
      </c>
      <c r="H208" s="81">
        <v>0</v>
      </c>
      <c r="I208" s="83">
        <f t="shared" si="18"/>
        <v>0</v>
      </c>
      <c r="J208" s="97">
        <v>0</v>
      </c>
      <c r="K208" s="60">
        <f t="shared" si="20"/>
        <v>0</v>
      </c>
      <c r="L208" s="60">
        <f t="shared" si="16"/>
        <v>0</v>
      </c>
      <c r="M208" s="60">
        <f t="shared" si="17"/>
        <v>0</v>
      </c>
      <c r="N208" s="85"/>
      <c r="O208" s="59"/>
      <c r="P208" s="86">
        <v>0</v>
      </c>
      <c r="Q208" s="86">
        <v>0</v>
      </c>
    </row>
    <row r="209" spans="2:17">
      <c r="B209" s="87"/>
      <c r="C209" s="80">
        <v>5301070000</v>
      </c>
      <c r="D209" s="80" t="s">
        <v>231</v>
      </c>
      <c r="E209" s="80" t="s">
        <v>657</v>
      </c>
      <c r="F209" s="81">
        <v>0</v>
      </c>
      <c r="G209" s="83">
        <f t="shared" si="19"/>
        <v>0</v>
      </c>
      <c r="H209" s="81">
        <v>0</v>
      </c>
      <c r="I209" s="83">
        <f t="shared" si="18"/>
        <v>0</v>
      </c>
      <c r="J209" s="97">
        <v>0</v>
      </c>
      <c r="K209" s="60">
        <f t="shared" si="20"/>
        <v>0</v>
      </c>
      <c r="L209" s="60">
        <f t="shared" si="16"/>
        <v>0</v>
      </c>
      <c r="M209" s="60">
        <f t="shared" si="17"/>
        <v>0</v>
      </c>
      <c r="N209" s="85"/>
      <c r="O209" s="59"/>
      <c r="P209" s="86">
        <v>0</v>
      </c>
      <c r="Q209" s="86">
        <v>0</v>
      </c>
    </row>
    <row r="210" spans="2:17">
      <c r="B210" s="87"/>
      <c r="C210" s="80">
        <v>5207000011</v>
      </c>
      <c r="D210" s="80" t="s">
        <v>118</v>
      </c>
      <c r="E210" s="80" t="s">
        <v>603</v>
      </c>
      <c r="F210" s="81">
        <v>7.93201</v>
      </c>
      <c r="G210" s="83">
        <f t="shared" si="19"/>
        <v>0.105630559846588</v>
      </c>
      <c r="H210" s="81">
        <v>0</v>
      </c>
      <c r="I210" s="83">
        <f t="shared" si="18"/>
        <v>0</v>
      </c>
      <c r="J210" s="97">
        <v>0</v>
      </c>
      <c r="K210" s="60">
        <f t="shared" si="20"/>
        <v>0</v>
      </c>
      <c r="L210" s="60">
        <f t="shared" si="16"/>
        <v>-0.105630559846588</v>
      </c>
      <c r="M210" s="60">
        <f t="shared" si="17"/>
        <v>0</v>
      </c>
      <c r="N210" s="85"/>
      <c r="O210" s="59"/>
      <c r="P210" s="86">
        <v>0</v>
      </c>
      <c r="Q210" s="86">
        <v>0</v>
      </c>
    </row>
    <row r="211" spans="2:17">
      <c r="B211" s="87"/>
      <c r="C211" s="80">
        <v>5102040894</v>
      </c>
      <c r="D211" s="80" t="s">
        <v>717</v>
      </c>
      <c r="E211" s="80" t="s">
        <v>718</v>
      </c>
      <c r="F211" s="81">
        <v>0</v>
      </c>
      <c r="G211" s="83">
        <f t="shared" si="19"/>
        <v>0</v>
      </c>
      <c r="H211" s="81">
        <v>0</v>
      </c>
      <c r="I211" s="83">
        <f t="shared" si="18"/>
        <v>0</v>
      </c>
      <c r="J211" s="97">
        <v>0</v>
      </c>
      <c r="K211" s="60">
        <f t="shared" si="20"/>
        <v>0</v>
      </c>
      <c r="L211" s="60">
        <f t="shared" si="16"/>
        <v>0</v>
      </c>
      <c r="M211" s="60">
        <f t="shared" si="17"/>
        <v>0</v>
      </c>
      <c r="N211" s="85"/>
      <c r="O211" s="59"/>
      <c r="P211" s="86">
        <v>0</v>
      </c>
      <c r="Q211" s="86">
        <v>0</v>
      </c>
    </row>
    <row r="212" spans="2:17">
      <c r="B212" s="87"/>
      <c r="C212" s="80">
        <v>5207000012</v>
      </c>
      <c r="D212" s="80" t="s">
        <v>120</v>
      </c>
      <c r="E212" s="80" t="s">
        <v>604</v>
      </c>
      <c r="F212" s="81">
        <v>0</v>
      </c>
      <c r="G212" s="83">
        <f t="shared" si="19"/>
        <v>0</v>
      </c>
      <c r="H212" s="81">
        <v>0</v>
      </c>
      <c r="I212" s="83">
        <f t="shared" si="18"/>
        <v>0</v>
      </c>
      <c r="J212" s="97">
        <v>0</v>
      </c>
      <c r="K212" s="60">
        <f t="shared" si="20"/>
        <v>0</v>
      </c>
      <c r="L212" s="60">
        <f t="shared" si="16"/>
        <v>0</v>
      </c>
      <c r="M212" s="60">
        <f t="shared" si="17"/>
        <v>0</v>
      </c>
      <c r="N212" s="85"/>
      <c r="O212" s="59"/>
      <c r="P212" s="86">
        <v>0</v>
      </c>
      <c r="Q212" s="86">
        <v>0</v>
      </c>
    </row>
    <row r="213" spans="2:17">
      <c r="B213" s="87"/>
      <c r="C213" s="80">
        <v>5301999999</v>
      </c>
      <c r="D213" s="80" t="s">
        <v>126</v>
      </c>
      <c r="E213" s="80" t="s">
        <v>606</v>
      </c>
      <c r="F213" s="81">
        <v>0</v>
      </c>
      <c r="G213" s="83">
        <f t="shared" si="19"/>
        <v>0</v>
      </c>
      <c r="H213" s="81">
        <v>0</v>
      </c>
      <c r="I213" s="83">
        <f t="shared" si="18"/>
        <v>0</v>
      </c>
      <c r="J213" s="97">
        <v>-0.00481</v>
      </c>
      <c r="K213" s="60">
        <f t="shared" si="20"/>
        <v>-4.70314455569462e-5</v>
      </c>
      <c r="L213" s="60">
        <f t="shared" si="16"/>
        <v>-4.70314455569462e-5</v>
      </c>
      <c r="M213" s="60">
        <f t="shared" si="17"/>
        <v>-4.70314455569462e-5</v>
      </c>
      <c r="N213" s="85"/>
      <c r="O213" s="59"/>
      <c r="P213" s="86">
        <v>0</v>
      </c>
      <c r="Q213" s="86">
        <v>0</v>
      </c>
    </row>
    <row r="214" spans="2:17">
      <c r="B214" s="87"/>
      <c r="C214" s="80">
        <v>6666070400</v>
      </c>
      <c r="D214" s="80" t="s">
        <v>203</v>
      </c>
      <c r="E214" s="80" t="s">
        <v>627</v>
      </c>
      <c r="F214" s="81">
        <v>0</v>
      </c>
      <c r="G214" s="83">
        <f t="shared" si="19"/>
        <v>0</v>
      </c>
      <c r="H214" s="81">
        <v>0</v>
      </c>
      <c r="I214" s="83">
        <f t="shared" si="18"/>
        <v>0</v>
      </c>
      <c r="J214" s="97">
        <v>0.05793</v>
      </c>
      <c r="K214" s="60">
        <f t="shared" si="20"/>
        <v>0.000566430694618273</v>
      </c>
      <c r="L214" s="60">
        <f t="shared" si="16"/>
        <v>0.000566430694618273</v>
      </c>
      <c r="M214" s="60">
        <f t="shared" si="17"/>
        <v>0.000566430694618273</v>
      </c>
      <c r="N214" s="85" t="s">
        <v>801</v>
      </c>
      <c r="O214" s="59"/>
      <c r="P214" s="86">
        <v>94.97</v>
      </c>
      <c r="Q214" s="86">
        <v>1.30789252613168</v>
      </c>
    </row>
    <row r="215" spans="2:17">
      <c r="B215" s="87"/>
      <c r="C215" s="80">
        <v>5801000041</v>
      </c>
      <c r="D215" s="80" t="s">
        <v>719</v>
      </c>
      <c r="E215" s="80" t="s">
        <v>720</v>
      </c>
      <c r="F215" s="81">
        <v>0</v>
      </c>
      <c r="G215" s="83">
        <f t="shared" si="19"/>
        <v>0</v>
      </c>
      <c r="H215" s="81">
        <v>0</v>
      </c>
      <c r="I215" s="83">
        <f t="shared" si="18"/>
        <v>0</v>
      </c>
      <c r="J215" s="97">
        <v>0</v>
      </c>
      <c r="K215" s="60">
        <f t="shared" si="20"/>
        <v>0</v>
      </c>
      <c r="L215" s="60">
        <f t="shared" si="16"/>
        <v>0</v>
      </c>
      <c r="M215" s="60">
        <f t="shared" si="17"/>
        <v>0</v>
      </c>
      <c r="N215" s="85"/>
      <c r="O215" s="59"/>
      <c r="P215" s="86">
        <v>0</v>
      </c>
      <c r="Q215" s="86">
        <v>0</v>
      </c>
    </row>
    <row r="216" spans="2:17">
      <c r="B216" s="87"/>
      <c r="C216" s="80">
        <v>6666010315</v>
      </c>
      <c r="D216" s="80" t="s">
        <v>802</v>
      </c>
      <c r="E216" s="80" t="s">
        <v>803</v>
      </c>
      <c r="F216" s="81">
        <v>0</v>
      </c>
      <c r="G216" s="83"/>
      <c r="H216" s="81">
        <v>0</v>
      </c>
      <c r="I216" s="83"/>
      <c r="J216" s="97">
        <v>0</v>
      </c>
      <c r="K216" s="60">
        <f t="shared" si="20"/>
        <v>0</v>
      </c>
      <c r="L216" s="60">
        <f t="shared" si="16"/>
        <v>0</v>
      </c>
      <c r="M216" s="60">
        <f t="shared" si="17"/>
        <v>0</v>
      </c>
      <c r="N216" s="85"/>
      <c r="O216" s="59"/>
      <c r="P216" s="86">
        <v>155.865</v>
      </c>
      <c r="Q216" s="86">
        <v>2.14651646399405</v>
      </c>
    </row>
    <row r="217" spans="2:17">
      <c r="B217" s="87"/>
      <c r="C217" s="80">
        <v>6666021602</v>
      </c>
      <c r="D217" s="80" t="s">
        <v>804</v>
      </c>
      <c r="E217" s="80" t="s">
        <v>805</v>
      </c>
      <c r="F217" s="81">
        <v>0</v>
      </c>
      <c r="G217" s="83"/>
      <c r="H217" s="81">
        <v>0</v>
      </c>
      <c r="I217" s="83"/>
      <c r="J217" s="97">
        <v>0.02387</v>
      </c>
      <c r="K217" s="60">
        <f t="shared" si="20"/>
        <v>0.000233397215269086</v>
      </c>
      <c r="L217" s="60">
        <f t="shared" si="16"/>
        <v>0.000233397215269086</v>
      </c>
      <c r="M217" s="60">
        <f t="shared" si="17"/>
        <v>0.000233397215269086</v>
      </c>
      <c r="N217" s="85"/>
      <c r="O217" s="59"/>
      <c r="P217" s="86">
        <v>0</v>
      </c>
      <c r="Q217" s="86">
        <v>0</v>
      </c>
    </row>
    <row r="218" spans="2:17">
      <c r="B218" s="87"/>
      <c r="C218" s="80">
        <v>6666020406</v>
      </c>
      <c r="D218" s="80" t="s">
        <v>794</v>
      </c>
      <c r="E218" s="80" t="s">
        <v>806</v>
      </c>
      <c r="F218" s="81">
        <v>0</v>
      </c>
      <c r="G218" s="83"/>
      <c r="H218" s="81">
        <v>0</v>
      </c>
      <c r="I218" s="83"/>
      <c r="J218" s="97">
        <v>0.24028</v>
      </c>
      <c r="K218" s="60">
        <f t="shared" si="20"/>
        <v>0.0023494211514393</v>
      </c>
      <c r="L218" s="60">
        <f t="shared" si="16"/>
        <v>0.0023494211514393</v>
      </c>
      <c r="M218" s="60">
        <f t="shared" si="17"/>
        <v>0.0023494211514393</v>
      </c>
      <c r="N218" s="85"/>
      <c r="O218" s="59"/>
      <c r="P218" s="86">
        <v>0</v>
      </c>
      <c r="Q218" s="86">
        <v>0</v>
      </c>
    </row>
    <row r="219" spans="2:17">
      <c r="B219" s="87"/>
      <c r="C219" s="99">
        <v>6666010380</v>
      </c>
      <c r="D219" t="s">
        <v>81</v>
      </c>
      <c r="E219" t="s">
        <v>807</v>
      </c>
      <c r="F219" s="81">
        <v>0</v>
      </c>
      <c r="G219" s="83"/>
      <c r="H219" s="81">
        <v>0</v>
      </c>
      <c r="I219" s="83"/>
      <c r="J219" s="97">
        <v>0</v>
      </c>
      <c r="K219" s="60">
        <f t="shared" si="20"/>
        <v>0</v>
      </c>
      <c r="L219" s="60">
        <f t="shared" si="16"/>
        <v>0</v>
      </c>
      <c r="M219" s="60">
        <f t="shared" si="17"/>
        <v>0</v>
      </c>
      <c r="N219" s="85"/>
      <c r="O219" s="59"/>
      <c r="P219" s="86">
        <v>2.103</v>
      </c>
      <c r="Q219" s="86">
        <v>0.0289617561593654</v>
      </c>
    </row>
    <row r="220" spans="2:17">
      <c r="B220" s="73"/>
      <c r="C220" s="89" t="s">
        <v>376</v>
      </c>
      <c r="D220" s="89" t="s">
        <v>213</v>
      </c>
      <c r="E220" s="89" t="s">
        <v>650</v>
      </c>
      <c r="F220" s="81">
        <f>SUM(F170:F215)</f>
        <v>360.09385</v>
      </c>
      <c r="G220" s="83">
        <f t="shared" ref="G220:G233" si="21">F220/$H$26*1000</f>
        <v>4.79536901400948</v>
      </c>
      <c r="H220" s="81">
        <f>SUM(H170:H215)</f>
        <v>154.833653121563</v>
      </c>
      <c r="I220" s="83">
        <f t="shared" ref="I220:I233" si="22">H220/$J$26*1000</f>
        <v>1.40623528391344</v>
      </c>
      <c r="J220" s="97">
        <f>SUM(J170:J219)</f>
        <v>144.88204</v>
      </c>
      <c r="K220" s="60">
        <f t="shared" si="20"/>
        <v>1.4166344649562</v>
      </c>
      <c r="L220" s="60">
        <f t="shared" si="16"/>
        <v>-3.37873454905329</v>
      </c>
      <c r="M220" s="60">
        <f t="shared" si="17"/>
        <v>0.0103991810427506</v>
      </c>
      <c r="N220" s="85"/>
      <c r="O220" s="59"/>
      <c r="P220" s="86">
        <v>0</v>
      </c>
      <c r="Q220" s="86">
        <v>0</v>
      </c>
    </row>
    <row r="221" spans="2:17">
      <c r="B221" s="79" t="s">
        <v>212</v>
      </c>
      <c r="C221" s="100">
        <v>5102040000</v>
      </c>
      <c r="D221" s="100" t="s">
        <v>217</v>
      </c>
      <c r="E221" s="100" t="s">
        <v>721</v>
      </c>
      <c r="F221" s="81">
        <v>0</v>
      </c>
      <c r="G221" s="83">
        <f t="shared" si="21"/>
        <v>0</v>
      </c>
      <c r="H221" s="81">
        <v>0</v>
      </c>
      <c r="I221" s="83">
        <f t="shared" si="22"/>
        <v>0</v>
      </c>
      <c r="J221" s="97">
        <v>-18.01645</v>
      </c>
      <c r="K221" s="60">
        <f t="shared" si="20"/>
        <v>-0.176162097152691</v>
      </c>
      <c r="L221" s="60">
        <f t="shared" si="16"/>
        <v>-0.176162097152691</v>
      </c>
      <c r="M221" s="60">
        <f t="shared" si="17"/>
        <v>-0.176162097152691</v>
      </c>
      <c r="N221" s="85"/>
      <c r="O221" s="59"/>
      <c r="P221" s="86">
        <v>2.103</v>
      </c>
      <c r="Q221" s="86">
        <v>0.0289617561593654</v>
      </c>
    </row>
    <row r="222" spans="2:17">
      <c r="B222" s="73"/>
      <c r="C222" s="89" t="s">
        <v>379</v>
      </c>
      <c r="D222" s="89" t="s">
        <v>224</v>
      </c>
      <c r="E222" s="89" t="s">
        <v>722</v>
      </c>
      <c r="F222" s="81">
        <f>F221</f>
        <v>0</v>
      </c>
      <c r="G222" s="83">
        <f t="shared" si="21"/>
        <v>0</v>
      </c>
      <c r="H222" s="81">
        <f>H221</f>
        <v>0</v>
      </c>
      <c r="I222" s="83">
        <f t="shared" si="22"/>
        <v>0</v>
      </c>
      <c r="J222" s="97">
        <f>J221</f>
        <v>-18.01645</v>
      </c>
      <c r="K222" s="60">
        <f t="shared" si="20"/>
        <v>-0.176162097152691</v>
      </c>
      <c r="L222" s="60">
        <f t="shared" ref="L222:L233" si="23">K222-G222</f>
        <v>-0.176162097152691</v>
      </c>
      <c r="M222" s="60">
        <f t="shared" ref="M222:M233" si="24">K222-I222</f>
        <v>-0.176162097152691</v>
      </c>
      <c r="N222" s="85"/>
      <c r="O222" s="59"/>
      <c r="P222" s="86">
        <v>0</v>
      </c>
      <c r="Q222" s="86">
        <v>0</v>
      </c>
    </row>
    <row r="223" spans="2:17">
      <c r="B223" s="79" t="s">
        <v>243</v>
      </c>
      <c r="C223" s="100">
        <v>6666021600</v>
      </c>
      <c r="D223" s="100" t="s">
        <v>246</v>
      </c>
      <c r="E223" s="100" t="s">
        <v>723</v>
      </c>
      <c r="F223" s="81">
        <v>2.0036</v>
      </c>
      <c r="G223" s="83">
        <f t="shared" si="21"/>
        <v>0.0266819368241624</v>
      </c>
      <c r="H223" s="81">
        <v>1.42679</v>
      </c>
      <c r="I223" s="83">
        <f t="shared" si="22"/>
        <v>0.0129584389458252</v>
      </c>
      <c r="J223" s="97">
        <v>0.44346</v>
      </c>
      <c r="K223" s="60">
        <f t="shared" si="20"/>
        <v>0.00433608416770964</v>
      </c>
      <c r="L223" s="60">
        <f t="shared" si="23"/>
        <v>-0.0223458526564527</v>
      </c>
      <c r="M223" s="60">
        <f t="shared" si="24"/>
        <v>-0.00862235477811561</v>
      </c>
      <c r="N223" s="85"/>
      <c r="O223" s="59"/>
      <c r="P223" s="86">
        <v>0</v>
      </c>
      <c r="Q223" s="86">
        <v>0</v>
      </c>
    </row>
    <row r="224" spans="2:17">
      <c r="B224" s="87"/>
      <c r="C224" s="100">
        <v>6666021604</v>
      </c>
      <c r="D224" s="100" t="s">
        <v>248</v>
      </c>
      <c r="E224" s="100" t="s">
        <v>662</v>
      </c>
      <c r="F224" s="81">
        <v>0</v>
      </c>
      <c r="G224" s="83">
        <f t="shared" si="21"/>
        <v>0</v>
      </c>
      <c r="H224" s="81">
        <v>0</v>
      </c>
      <c r="I224" s="83">
        <f t="shared" si="22"/>
        <v>0</v>
      </c>
      <c r="J224" s="97">
        <v>0.09824</v>
      </c>
      <c r="K224" s="60">
        <f t="shared" si="20"/>
        <v>0.000960575719649562</v>
      </c>
      <c r="L224" s="60">
        <f t="shared" si="23"/>
        <v>0.000960575719649562</v>
      </c>
      <c r="M224" s="60">
        <f t="shared" si="24"/>
        <v>0.000960575719649562</v>
      </c>
      <c r="N224" s="85"/>
      <c r="O224" s="59"/>
      <c r="P224" s="86">
        <v>0</v>
      </c>
      <c r="Q224" s="86">
        <v>0</v>
      </c>
    </row>
    <row r="225" spans="2:17">
      <c r="B225" s="73"/>
      <c r="C225" s="89" t="s">
        <v>379</v>
      </c>
      <c r="D225" s="89" t="s">
        <v>251</v>
      </c>
      <c r="E225" s="89" t="s">
        <v>724</v>
      </c>
      <c r="F225" s="81">
        <f>SUM(F223:F224)</f>
        <v>2.0036</v>
      </c>
      <c r="G225" s="83">
        <f t="shared" si="21"/>
        <v>0.0266819368241624</v>
      </c>
      <c r="H225" s="81">
        <f>SUM(H223:H224)</f>
        <v>1.42679</v>
      </c>
      <c r="I225" s="83">
        <f t="shared" si="22"/>
        <v>0.0129584389458252</v>
      </c>
      <c r="J225" s="97">
        <f>SUM(J223:J224)</f>
        <v>0.5417</v>
      </c>
      <c r="K225" s="60">
        <f t="shared" si="20"/>
        <v>0.0052966598873592</v>
      </c>
      <c r="L225" s="60">
        <f t="shared" si="23"/>
        <v>-0.0213852769368032</v>
      </c>
      <c r="M225" s="60">
        <f t="shared" si="24"/>
        <v>-0.00766177905846604</v>
      </c>
      <c r="N225" s="85"/>
      <c r="O225" s="59"/>
      <c r="P225" s="86">
        <v>0</v>
      </c>
      <c r="Q225" s="86">
        <v>0</v>
      </c>
    </row>
    <row r="226" spans="2:17">
      <c r="B226" s="79" t="s">
        <v>250</v>
      </c>
      <c r="C226" s="100">
        <v>6666010012</v>
      </c>
      <c r="D226" s="100" t="s">
        <v>262</v>
      </c>
      <c r="E226" s="100" t="s">
        <v>725</v>
      </c>
      <c r="F226" s="81">
        <v>0</v>
      </c>
      <c r="G226" s="83">
        <f t="shared" si="21"/>
        <v>0</v>
      </c>
      <c r="H226" s="81">
        <v>0</v>
      </c>
      <c r="I226" s="83">
        <f t="shared" si="22"/>
        <v>0</v>
      </c>
      <c r="J226" s="97">
        <v>0</v>
      </c>
      <c r="K226" s="60">
        <f t="shared" ref="K226:K233" si="25">J226*1000/$L$26</f>
        <v>0</v>
      </c>
      <c r="L226" s="60">
        <f t="shared" si="23"/>
        <v>0</v>
      </c>
      <c r="M226" s="60">
        <f t="shared" si="24"/>
        <v>0</v>
      </c>
      <c r="N226" s="85"/>
      <c r="O226" s="59"/>
      <c r="P226" s="86">
        <v>58.765</v>
      </c>
      <c r="Q226" s="86">
        <v>0.809290347458444</v>
      </c>
    </row>
    <row r="227" spans="2:17">
      <c r="B227" s="87"/>
      <c r="C227" s="100">
        <v>6666010102</v>
      </c>
      <c r="D227" s="100" t="s">
        <v>384</v>
      </c>
      <c r="E227" s="100" t="s">
        <v>726</v>
      </c>
      <c r="F227" s="81">
        <v>0.04285</v>
      </c>
      <c r="G227" s="83">
        <f t="shared" si="21"/>
        <v>0.00057063335641613</v>
      </c>
      <c r="H227" s="81">
        <v>0</v>
      </c>
      <c r="I227" s="83">
        <f t="shared" si="22"/>
        <v>0</v>
      </c>
      <c r="J227" s="97">
        <v>0.0301</v>
      </c>
      <c r="K227" s="60">
        <f t="shared" si="25"/>
        <v>0.000294313204005006</v>
      </c>
      <c r="L227" s="60">
        <f t="shared" si="23"/>
        <v>-0.000276320152411123</v>
      </c>
      <c r="M227" s="60">
        <f t="shared" si="24"/>
        <v>0.000294313204005006</v>
      </c>
      <c r="N227" s="85"/>
      <c r="O227" s="59"/>
      <c r="P227" s="86">
        <v>0</v>
      </c>
      <c r="Q227" s="86">
        <v>0</v>
      </c>
    </row>
    <row r="228" spans="2:17">
      <c r="B228" s="73"/>
      <c r="C228" s="89" t="s">
        <v>386</v>
      </c>
      <c r="D228" s="89" t="s">
        <v>270</v>
      </c>
      <c r="E228" s="89" t="s">
        <v>673</v>
      </c>
      <c r="F228" s="81">
        <v>0</v>
      </c>
      <c r="G228" s="83">
        <f t="shared" si="21"/>
        <v>0</v>
      </c>
      <c r="H228" s="81">
        <f>SUM(H226:H227)</f>
        <v>0</v>
      </c>
      <c r="I228" s="83">
        <f t="shared" si="22"/>
        <v>0</v>
      </c>
      <c r="J228" s="97">
        <f>SUM(J226:J227)</f>
        <v>0.0301</v>
      </c>
      <c r="K228" s="60">
        <f t="shared" si="25"/>
        <v>0.000294313204005006</v>
      </c>
      <c r="L228" s="60">
        <f t="shared" si="23"/>
        <v>0.000294313204005006</v>
      </c>
      <c r="M228" s="60">
        <f t="shared" si="24"/>
        <v>0.000294313204005006</v>
      </c>
      <c r="N228" s="85"/>
      <c r="O228" s="59"/>
      <c r="P228" s="86">
        <v>0</v>
      </c>
      <c r="Q228" s="86">
        <v>0</v>
      </c>
    </row>
    <row r="229" spans="2:17">
      <c r="B229" s="79" t="s">
        <v>388</v>
      </c>
      <c r="C229" s="100">
        <v>6666010196</v>
      </c>
      <c r="D229" s="100" t="s">
        <v>272</v>
      </c>
      <c r="E229" s="100" t="s">
        <v>727</v>
      </c>
      <c r="F229" s="81">
        <v>3.83423</v>
      </c>
      <c r="G229" s="83">
        <f t="shared" si="21"/>
        <v>0.0510604325360891</v>
      </c>
      <c r="H229" s="81">
        <v>0</v>
      </c>
      <c r="I229" s="83">
        <f t="shared" si="22"/>
        <v>0</v>
      </c>
      <c r="J229" s="97">
        <v>3.78354</v>
      </c>
      <c r="K229" s="60">
        <f t="shared" si="25"/>
        <v>0.03699487640801</v>
      </c>
      <c r="L229" s="60">
        <f t="shared" si="23"/>
        <v>-0.014065556128079</v>
      </c>
      <c r="M229" s="60">
        <f t="shared" si="24"/>
        <v>0.03699487640801</v>
      </c>
      <c r="N229" s="85"/>
      <c r="O229" s="59"/>
      <c r="P229" s="86">
        <v>0</v>
      </c>
      <c r="Q229" s="86">
        <v>0</v>
      </c>
    </row>
    <row r="230" spans="2:17">
      <c r="B230" s="87"/>
      <c r="C230" s="100">
        <v>6666010101</v>
      </c>
      <c r="D230" s="100" t="s">
        <v>274</v>
      </c>
      <c r="E230" s="100" t="s">
        <v>675</v>
      </c>
      <c r="F230" s="81">
        <v>26.09912</v>
      </c>
      <c r="G230" s="83">
        <f t="shared" si="21"/>
        <v>0.347561924039844</v>
      </c>
      <c r="H230" s="81">
        <v>53.87238</v>
      </c>
      <c r="I230" s="83">
        <f t="shared" si="22"/>
        <v>0.48928149699416</v>
      </c>
      <c r="J230" s="97">
        <v>22.64963</v>
      </c>
      <c r="K230" s="60">
        <f t="shared" si="25"/>
        <v>0.221464623748436</v>
      </c>
      <c r="L230" s="60">
        <f t="shared" si="23"/>
        <v>-0.126097300291409</v>
      </c>
      <c r="M230" s="60">
        <f t="shared" si="24"/>
        <v>-0.267816873245724</v>
      </c>
      <c r="N230" s="85"/>
      <c r="O230" s="59"/>
      <c r="P230" s="86">
        <v>58.765</v>
      </c>
      <c r="Q230" s="86">
        <v>0.809290347458444</v>
      </c>
    </row>
    <row r="231" spans="2:17">
      <c r="B231" s="87"/>
      <c r="C231" s="100">
        <v>6666010199</v>
      </c>
      <c r="D231" s="100" t="s">
        <v>276</v>
      </c>
      <c r="E231" s="100" t="s">
        <v>728</v>
      </c>
      <c r="F231" s="81">
        <v>2.05398</v>
      </c>
      <c r="G231" s="83">
        <f t="shared" si="21"/>
        <v>0.0273528471741331</v>
      </c>
      <c r="H231" s="81">
        <v>0</v>
      </c>
      <c r="I231" s="83">
        <f t="shared" si="22"/>
        <v>0</v>
      </c>
      <c r="J231" s="97">
        <v>6.02638</v>
      </c>
      <c r="K231" s="60">
        <f t="shared" si="25"/>
        <v>0.0589250234668335</v>
      </c>
      <c r="L231" s="60">
        <f t="shared" si="23"/>
        <v>0.0315721762927005</v>
      </c>
      <c r="M231" s="60">
        <f t="shared" si="24"/>
        <v>0.0589250234668335</v>
      </c>
      <c r="N231" s="85"/>
      <c r="O231" s="59"/>
      <c r="P231" s="86">
        <v>0</v>
      </c>
      <c r="Q231" s="86">
        <v>0</v>
      </c>
    </row>
    <row r="232" spans="2:17">
      <c r="B232" s="87"/>
      <c r="C232" s="100">
        <v>6666010207</v>
      </c>
      <c r="D232" s="100" t="s">
        <v>280</v>
      </c>
      <c r="E232" s="100" t="s">
        <v>729</v>
      </c>
      <c r="F232" s="81">
        <v>0.38869</v>
      </c>
      <c r="G232" s="83">
        <f t="shared" si="21"/>
        <v>0.00517618388110584</v>
      </c>
      <c r="H232" s="81">
        <v>0</v>
      </c>
      <c r="I232" s="83">
        <f t="shared" si="22"/>
        <v>0</v>
      </c>
      <c r="J232" s="97">
        <v>0.36666</v>
      </c>
      <c r="K232" s="60">
        <f t="shared" si="25"/>
        <v>0.00358514549436796</v>
      </c>
      <c r="L232" s="60">
        <f t="shared" si="23"/>
        <v>-0.00159103838673788</v>
      </c>
      <c r="M232" s="60">
        <f t="shared" si="24"/>
        <v>0.00358514549436796</v>
      </c>
      <c r="N232" s="85"/>
      <c r="O232" s="59"/>
      <c r="P232" s="86">
        <v>1.659</v>
      </c>
      <c r="Q232" s="86">
        <v>0.0228471485822098</v>
      </c>
    </row>
    <row r="233" spans="2:17">
      <c r="B233" s="87"/>
      <c r="C233" s="100">
        <v>6666010227</v>
      </c>
      <c r="D233" s="100" t="s">
        <v>394</v>
      </c>
      <c r="E233" s="100" t="s">
        <v>730</v>
      </c>
      <c r="F233" s="81">
        <v>0.37194</v>
      </c>
      <c r="G233" s="83">
        <f t="shared" si="21"/>
        <v>0.00495312416768764</v>
      </c>
      <c r="H233" s="81">
        <v>0</v>
      </c>
      <c r="I233" s="83">
        <f t="shared" si="22"/>
        <v>0</v>
      </c>
      <c r="J233" s="97">
        <v>0.37524</v>
      </c>
      <c r="K233" s="60">
        <f t="shared" si="25"/>
        <v>0.00366903942428035</v>
      </c>
      <c r="L233" s="60">
        <f t="shared" si="23"/>
        <v>-0.00128408474340729</v>
      </c>
      <c r="M233" s="60">
        <f t="shared" si="24"/>
        <v>0.00366903942428035</v>
      </c>
      <c r="N233" s="85"/>
      <c r="O233" s="59"/>
      <c r="P233" s="86">
        <v>2.081</v>
      </c>
      <c r="Q233" s="86">
        <v>0.0286587801082451</v>
      </c>
    </row>
    <row r="234" spans="2:17">
      <c r="B234" s="87"/>
      <c r="C234" s="100">
        <v>6666010185</v>
      </c>
      <c r="D234" s="100" t="s">
        <v>278</v>
      </c>
      <c r="E234" s="100" t="s">
        <v>808</v>
      </c>
      <c r="F234" s="81">
        <v>0</v>
      </c>
      <c r="G234" s="83"/>
      <c r="H234" s="81">
        <v>0</v>
      </c>
      <c r="I234" s="83"/>
      <c r="J234" s="97">
        <v>-0.02913</v>
      </c>
      <c r="K234" s="60"/>
      <c r="L234" s="60"/>
      <c r="M234" s="60"/>
      <c r="N234" s="85"/>
      <c r="O234" s="59"/>
      <c r="P234" s="86">
        <v>0</v>
      </c>
      <c r="Q234" s="86">
        <v>0</v>
      </c>
    </row>
    <row r="235" spans="2:17">
      <c r="B235" s="73"/>
      <c r="C235" s="89" t="s">
        <v>396</v>
      </c>
      <c r="D235" s="89" t="s">
        <v>286</v>
      </c>
      <c r="E235" s="89" t="s">
        <v>731</v>
      </c>
      <c r="F235" s="81">
        <f>SUM(F229:F233)</f>
        <v>32.74796</v>
      </c>
      <c r="G235" s="83">
        <f t="shared" ref="G235:G244" si="26">F235/$H$26*1000</f>
        <v>0.43610451179886</v>
      </c>
      <c r="H235" s="81">
        <f>SUM(H229:H233)</f>
        <v>53.87238</v>
      </c>
      <c r="I235" s="83">
        <f t="shared" ref="I235:I244" si="27">H235/$J$26*1000</f>
        <v>0.48928149699416</v>
      </c>
      <c r="J235" s="97">
        <f>SUM(J229:J234)</f>
        <v>33.17232</v>
      </c>
      <c r="K235" s="60">
        <f t="shared" ref="K235:K244" si="28">J235*1000/$L$26</f>
        <v>0.324353879849812</v>
      </c>
      <c r="L235" s="60">
        <f t="shared" ref="L235:L246" si="29">K235-G235</f>
        <v>-0.111750631949048</v>
      </c>
      <c r="M235" s="60">
        <f t="shared" ref="M235:M246" si="30">K235-I235</f>
        <v>-0.164927617144347</v>
      </c>
      <c r="N235" s="85"/>
      <c r="O235" s="59"/>
      <c r="P235" s="86">
        <v>0</v>
      </c>
      <c r="Q235" s="86">
        <v>0</v>
      </c>
    </row>
    <row r="236" spans="2:17">
      <c r="B236" s="79" t="s">
        <v>285</v>
      </c>
      <c r="C236" s="100">
        <v>6666010314</v>
      </c>
      <c r="D236" s="100" t="s">
        <v>290</v>
      </c>
      <c r="E236" s="100" t="s">
        <v>732</v>
      </c>
      <c r="F236" s="81">
        <v>0</v>
      </c>
      <c r="G236" s="83">
        <f t="shared" si="26"/>
        <v>0</v>
      </c>
      <c r="H236" s="81">
        <v>0.49185</v>
      </c>
      <c r="I236" s="83">
        <f t="shared" si="27"/>
        <v>0.00446709620582156</v>
      </c>
      <c r="J236" s="97">
        <v>0.0589</v>
      </c>
      <c r="K236" s="60">
        <f t="shared" si="28"/>
        <v>0.000575915206508135</v>
      </c>
      <c r="L236" s="60">
        <f t="shared" si="29"/>
        <v>0.000575915206508135</v>
      </c>
      <c r="M236" s="60">
        <f t="shared" si="30"/>
        <v>-0.00389118099931343</v>
      </c>
      <c r="N236" s="85"/>
      <c r="O236" s="59"/>
      <c r="P236" s="86">
        <v>0</v>
      </c>
      <c r="Q236" s="86">
        <v>0</v>
      </c>
    </row>
    <row r="237" spans="2:17">
      <c r="B237" s="87"/>
      <c r="C237" s="100">
        <v>6666020401</v>
      </c>
      <c r="D237" s="100" t="s">
        <v>295</v>
      </c>
      <c r="E237" s="100" t="s">
        <v>733</v>
      </c>
      <c r="F237" s="81">
        <v>2e-5</v>
      </c>
      <c r="G237" s="83">
        <f t="shared" si="26"/>
        <v>2.66339956320247e-7</v>
      </c>
      <c r="H237" s="81">
        <v>1.57041</v>
      </c>
      <c r="I237" s="83">
        <f t="shared" si="27"/>
        <v>0.0142628292214786</v>
      </c>
      <c r="J237" s="97">
        <v>0.10124</v>
      </c>
      <c r="K237" s="60">
        <f t="shared" si="28"/>
        <v>0.000989909261576971</v>
      </c>
      <c r="L237" s="60">
        <f t="shared" si="29"/>
        <v>0.000989642921620651</v>
      </c>
      <c r="M237" s="60">
        <f t="shared" si="30"/>
        <v>-0.0132729199599016</v>
      </c>
      <c r="N237" s="85"/>
      <c r="O237" s="59"/>
      <c r="P237" s="86">
        <v>0.417</v>
      </c>
      <c r="Q237" s="86">
        <v>0.00574277333259885</v>
      </c>
    </row>
    <row r="238" spans="2:17">
      <c r="B238" s="87"/>
      <c r="C238" s="100">
        <v>6666020502</v>
      </c>
      <c r="D238" s="100" t="s">
        <v>297</v>
      </c>
      <c r="E238" s="100" t="s">
        <v>734</v>
      </c>
      <c r="F238" s="81">
        <v>1.27086</v>
      </c>
      <c r="G238" s="83">
        <f t="shared" si="26"/>
        <v>0.0169240398444575</v>
      </c>
      <c r="H238" s="81">
        <v>1.98698</v>
      </c>
      <c r="I238" s="83">
        <f t="shared" si="27"/>
        <v>0.0180462149416353</v>
      </c>
      <c r="J238" s="97">
        <v>1.37983</v>
      </c>
      <c r="K238" s="60">
        <f t="shared" si="28"/>
        <v>0.0134917670525657</v>
      </c>
      <c r="L238" s="60">
        <f t="shared" si="29"/>
        <v>-0.00343227279189176</v>
      </c>
      <c r="M238" s="60">
        <f t="shared" si="30"/>
        <v>-0.0045544478890696</v>
      </c>
      <c r="N238" s="85"/>
      <c r="O238" s="59"/>
      <c r="P238" s="49">
        <v>4.157</v>
      </c>
      <c r="Q238" s="49">
        <v>0.0572487020230537</v>
      </c>
    </row>
    <row r="239" spans="2:17">
      <c r="B239" s="87"/>
      <c r="C239" s="100">
        <v>6666020503</v>
      </c>
      <c r="D239" s="100" t="s">
        <v>299</v>
      </c>
      <c r="E239" s="100" t="s">
        <v>735</v>
      </c>
      <c r="F239" s="81">
        <v>0</v>
      </c>
      <c r="G239" s="83">
        <f t="shared" si="26"/>
        <v>0</v>
      </c>
      <c r="H239" s="81">
        <v>0</v>
      </c>
      <c r="I239" s="83">
        <f t="shared" si="27"/>
        <v>0</v>
      </c>
      <c r="J239" s="97">
        <v>0.01728</v>
      </c>
      <c r="K239" s="60">
        <f t="shared" si="28"/>
        <v>0.000168961201501877</v>
      </c>
      <c r="L239" s="60">
        <f t="shared" si="29"/>
        <v>0.000168961201501877</v>
      </c>
      <c r="M239" s="60">
        <f t="shared" si="30"/>
        <v>0.000168961201501877</v>
      </c>
      <c r="N239" s="85"/>
      <c r="O239" s="59"/>
      <c r="P239" s="49">
        <v>221.183</v>
      </c>
      <c r="Q239" s="49">
        <v>3.04605235977029</v>
      </c>
    </row>
    <row r="240" spans="2:17">
      <c r="B240" s="87"/>
      <c r="C240" s="100">
        <v>6666021502</v>
      </c>
      <c r="D240" s="100" t="s">
        <v>301</v>
      </c>
      <c r="E240" s="100" t="s">
        <v>736</v>
      </c>
      <c r="F240" s="81">
        <v>-0.00846</v>
      </c>
      <c r="G240" s="83">
        <f t="shared" si="26"/>
        <v>-0.000112661801523465</v>
      </c>
      <c r="H240" s="81">
        <v>0</v>
      </c>
      <c r="I240" s="83">
        <f t="shared" si="27"/>
        <v>0</v>
      </c>
      <c r="J240" s="97">
        <v>0.01148</v>
      </c>
      <c r="K240" s="60">
        <f t="shared" si="28"/>
        <v>0.000112249687108886</v>
      </c>
      <c r="L240" s="60">
        <f t="shared" si="29"/>
        <v>0.000224911488632351</v>
      </c>
      <c r="M240" s="60">
        <f t="shared" si="30"/>
        <v>0.000112249687108886</v>
      </c>
      <c r="N240" s="85"/>
      <c r="O240" s="59"/>
    </row>
    <row r="241" spans="2:18">
      <c r="B241" s="87"/>
      <c r="C241" s="100">
        <v>6666021505</v>
      </c>
      <c r="D241" s="100" t="s">
        <v>403</v>
      </c>
      <c r="E241" s="100" t="s">
        <v>737</v>
      </c>
      <c r="F241" s="81">
        <v>0</v>
      </c>
      <c r="G241" s="83">
        <f t="shared" si="26"/>
        <v>0</v>
      </c>
      <c r="H241" s="81">
        <v>0</v>
      </c>
      <c r="I241" s="83">
        <f t="shared" si="27"/>
        <v>0</v>
      </c>
      <c r="J241" s="97">
        <v>0.01962</v>
      </c>
      <c r="K241" s="60">
        <f t="shared" si="28"/>
        <v>0.000191841364205257</v>
      </c>
      <c r="L241" s="60">
        <f t="shared" si="29"/>
        <v>0.000191841364205257</v>
      </c>
      <c r="M241" s="60">
        <f t="shared" si="30"/>
        <v>0.000191841364205257</v>
      </c>
      <c r="N241" s="85"/>
      <c r="O241" s="59"/>
    </row>
    <row r="242" spans="2:18">
      <c r="B242" s="87"/>
      <c r="C242" s="100">
        <v>6666091600</v>
      </c>
      <c r="D242" s="100" t="s">
        <v>310</v>
      </c>
      <c r="E242" s="100" t="s">
        <v>738</v>
      </c>
      <c r="F242" s="81">
        <v>0.00202</v>
      </c>
      <c r="G242" s="83">
        <f t="shared" si="26"/>
        <v>2.6900335588345e-5</v>
      </c>
      <c r="H242" s="81">
        <v>0.41657</v>
      </c>
      <c r="I242" s="83">
        <f t="shared" si="27"/>
        <v>0.00378338572015673</v>
      </c>
      <c r="J242" s="97">
        <v>0</v>
      </c>
      <c r="K242" s="60">
        <f t="shared" si="28"/>
        <v>0</v>
      </c>
      <c r="L242" s="60">
        <f t="shared" si="29"/>
        <v>-2.6900335588345e-5</v>
      </c>
      <c r="M242" s="60">
        <f t="shared" si="30"/>
        <v>-0.00378338572015673</v>
      </c>
      <c r="N242" s="85"/>
      <c r="O242" s="59"/>
    </row>
    <row r="243" spans="2:18">
      <c r="B243" s="73"/>
      <c r="C243" s="89" t="s">
        <v>26</v>
      </c>
      <c r="D243" s="89" t="s">
        <v>313</v>
      </c>
      <c r="E243" s="89" t="s">
        <v>314</v>
      </c>
      <c r="F243" s="81">
        <f>SUM(F236:F242)</f>
        <v>1.26444</v>
      </c>
      <c r="G243" s="83">
        <f t="shared" si="26"/>
        <v>0.0168385447184787</v>
      </c>
      <c r="H243" s="81">
        <f>SUM(H236:H242)</f>
        <v>4.46581</v>
      </c>
      <c r="I243" s="83">
        <f t="shared" si="27"/>
        <v>0.0405595260890922</v>
      </c>
      <c r="J243" s="97">
        <f>SUM(J236:J242)</f>
        <v>1.58835</v>
      </c>
      <c r="K243" s="60">
        <f t="shared" si="28"/>
        <v>0.0155306437734668</v>
      </c>
      <c r="L243" s="60">
        <f t="shared" si="29"/>
        <v>-0.00130790094501184</v>
      </c>
      <c r="M243" s="60">
        <f t="shared" si="30"/>
        <v>-0.0250288823156253</v>
      </c>
      <c r="N243" s="85"/>
      <c r="O243" s="59"/>
    </row>
    <row r="244" spans="2:18">
      <c r="B244" s="79"/>
      <c r="C244" s="101"/>
      <c r="D244" s="101"/>
      <c r="E244" s="102" t="s">
        <v>739</v>
      </c>
      <c r="F244" s="81">
        <f>F243+F235+F228+F225+F222+F220+F169+F166</f>
        <v>396.61698</v>
      </c>
      <c r="G244" s="83">
        <f t="shared" si="26"/>
        <v>5.28174745645342</v>
      </c>
      <c r="H244" s="81">
        <f>H243+H235+H228+H225+H222+H220+H169+H166</f>
        <v>214.891713121563</v>
      </c>
      <c r="I244" s="83">
        <f t="shared" si="27"/>
        <v>1.95169656673342</v>
      </c>
      <c r="J244" s="97">
        <f>J243+J235+J228+J225+J222+J220+J169+J166</f>
        <v>157.78211</v>
      </c>
      <c r="K244" s="60">
        <f t="shared" si="28"/>
        <v>1.54276937969337</v>
      </c>
      <c r="L244" s="60">
        <f t="shared" si="29"/>
        <v>-3.73897807676005</v>
      </c>
      <c r="M244" s="60">
        <f t="shared" si="30"/>
        <v>-0.408927187040051</v>
      </c>
      <c r="N244" s="85"/>
      <c r="O244" s="59"/>
      <c r="P244" s="49">
        <v>221.183</v>
      </c>
      <c r="Q244" s="49">
        <v>3.04605235977029</v>
      </c>
      <c r="R244" s="49">
        <f>J244-P244</f>
        <v>-63.40089</v>
      </c>
    </row>
    <row r="245" spans="2:18">
      <c r="F245" s="96"/>
      <c r="G245" s="96"/>
      <c r="H245" s="96"/>
      <c r="I245" s="96"/>
      <c r="J245" s="96"/>
      <c r="K245" s="60"/>
      <c r="L245" s="60">
        <f t="shared" si="29"/>
        <v>0</v>
      </c>
      <c r="M245" s="60">
        <f t="shared" si="30"/>
        <v>0</v>
      </c>
    </row>
    <row r="246" spans="2:18">
      <c r="B246" s="79"/>
      <c r="C246" s="101"/>
      <c r="D246" s="101"/>
      <c r="E246" s="103" t="s">
        <v>741</v>
      </c>
      <c r="F246" s="63">
        <f>F244+F160</f>
        <v>2742.90201</v>
      </c>
      <c r="G246" s="83">
        <f>F246/$H$26*1000</f>
        <v>36.5272200767059</v>
      </c>
      <c r="H246" s="63">
        <f>H244+H160</f>
        <v>2548.97688290519</v>
      </c>
      <c r="I246" s="83">
        <f>H246/J26*1000</f>
        <v>23.1504014686442</v>
      </c>
      <c r="J246" s="63">
        <f>J244+J160</f>
        <v>2233.86588</v>
      </c>
      <c r="K246" s="60">
        <f>J246*1000/$L$26</f>
        <v>21.8423994837297</v>
      </c>
      <c r="L246" s="60">
        <f t="shared" si="29"/>
        <v>-14.6848205929762</v>
      </c>
      <c r="M246" s="60">
        <f t="shared" si="30"/>
        <v>-1.30800198491452</v>
      </c>
      <c r="N246" s="85"/>
      <c r="O246" s="59"/>
      <c r="P246" s="63">
        <f>1945</f>
        <v>1945</v>
      </c>
      <c r="R246" s="49">
        <f>J246-P246</f>
        <v>288.86588</v>
      </c>
    </row>
  </sheetData>
  <mergeCells count="27">
    <mergeCell ref="C1:I1"/>
    <mergeCell ref="A5:A10"/>
    <mergeCell ref="A12:A25"/>
    <mergeCell ref="B26:B27"/>
    <mergeCell ref="B28:B38"/>
    <mergeCell ref="B39:B47"/>
    <mergeCell ref="B48:B52"/>
    <mergeCell ref="B53:B112"/>
    <mergeCell ref="B113:B117"/>
    <mergeCell ref="B118:B119"/>
    <mergeCell ref="B120:B121"/>
    <mergeCell ref="B122:B123"/>
    <mergeCell ref="B124:B127"/>
    <mergeCell ref="B128:B135"/>
    <mergeCell ref="B136:B143"/>
    <mergeCell ref="B145:B159"/>
    <mergeCell ref="B162:B166"/>
    <mergeCell ref="B167:B169"/>
    <mergeCell ref="B170:B220"/>
    <mergeCell ref="B221:B222"/>
    <mergeCell ref="B223:B225"/>
    <mergeCell ref="B226:B228"/>
    <mergeCell ref="B229:B235"/>
    <mergeCell ref="B236:B243"/>
    <mergeCell ref="C26:C27"/>
    <mergeCell ref="D26:D27"/>
    <mergeCell ref="E26:E27"/>
  </mergeCells>
  <conditionalFormatting sqref="C219">
    <cfRule type="duplicateValues" dxfId="1" priority="1"/>
  </conditionalFormatting>
  <conditionalFormatting sqref="L28:L245">
    <cfRule type="cellIs" dxfId="0" priority="2" operator="greaterThan">
      <formula>0.5</formula>
    </cfRule>
  </conditionalFormatting>
  <conditionalFormatting sqref="C162:C218 C223:C243 C220:C221">
    <cfRule type="duplicateValues" dxfId="1" priority="3"/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J22"/>
  <sheetViews>
    <sheetView zoomScale="50" zoomScaleNormal="50" workbookViewId="0">
      <pane xSplit="4" topLeftCell="E1" activePane="topRight" state="frozen"/>
      <selection/>
      <selection pane="topRight" activeCell="E5" sqref="E5"/>
    </sheetView>
  </sheetViews>
  <sheetFormatPr defaultColWidth="8.88888888888889" defaultRowHeight="14.4"/>
  <cols>
    <col min="1" max="1" width="4.55555555555556" style="2" customWidth="1"/>
    <col min="2" max="2" width="11.2222222222222" style="2" customWidth="1"/>
    <col min="3" max="3" width="13.4444444444444" style="2" customWidth="1"/>
    <col min="4" max="4" width="55.7777777777778" style="2" customWidth="1"/>
    <col min="5" max="5" width="55.8888888888889" style="3" customWidth="1"/>
    <col min="6" max="6" width="7.33333333333333" style="2" hidden="1" customWidth="1"/>
    <col min="7" max="7" width="17" style="2" customWidth="1"/>
    <col min="8" max="8" width="12.5555555555556" style="2" customWidth="1"/>
    <col min="9" max="9" width="12.1111111111111" style="2" customWidth="1"/>
    <col min="10" max="10" width="36.2222222222222" style="2" customWidth="1"/>
    <col min="11" max="13" width="10.1111111111111" style="4" customWidth="1"/>
    <col min="14" max="14" width="9.33333333333333" style="4" customWidth="1"/>
    <col min="15" max="15" width="10.1111111111111" style="4" customWidth="1"/>
    <col min="16" max="16" width="13.3333333333333" style="4" customWidth="1"/>
    <col min="17" max="18" width="9.33333333333333" style="4" customWidth="1"/>
    <col min="19" max="19" width="11.8888888888889" style="4" customWidth="1"/>
    <col min="20" max="25" width="10.1111111111111" style="4" customWidth="1"/>
    <col min="26" max="34" width="9.22222222222222" style="4" customWidth="1"/>
  </cols>
  <sheetData>
    <row r="1" ht="76.95" customHeight="1" spans="1:35">
      <c r="A1" s="5" t="s">
        <v>816</v>
      </c>
    </row>
    <row r="2" ht="220.05" customHeight="1" spans="1:35">
      <c r="A2" s="6" t="s">
        <v>817</v>
      </c>
      <c r="B2" s="7"/>
      <c r="C2" s="7"/>
      <c r="D2" s="7"/>
      <c r="E2" s="7"/>
      <c r="F2" s="7"/>
      <c r="G2" s="7"/>
      <c r="H2" s="7"/>
      <c r="I2" s="7"/>
      <c r="J2" s="8"/>
      <c r="K2" s="8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10"/>
    </row>
    <row r="3" ht="32.4" customHeight="1" spans="1:35">
      <c r="A3" s="11" t="s">
        <v>451</v>
      </c>
      <c r="B3" s="11" t="s">
        <v>818</v>
      </c>
      <c r="C3" s="11" t="s">
        <v>408</v>
      </c>
      <c r="D3" s="11" t="s">
        <v>819</v>
      </c>
      <c r="E3" s="11" t="s">
        <v>820</v>
      </c>
      <c r="F3" s="12" t="s">
        <v>821</v>
      </c>
      <c r="G3" s="11" t="s">
        <v>822</v>
      </c>
      <c r="H3" s="11" t="s">
        <v>823</v>
      </c>
      <c r="I3" s="11" t="s">
        <v>824</v>
      </c>
      <c r="J3" s="11" t="s">
        <v>825</v>
      </c>
      <c r="K3" s="13" t="s">
        <v>826</v>
      </c>
      <c r="L3" s="14" t="s">
        <v>827</v>
      </c>
      <c r="M3" s="14" t="s">
        <v>828</v>
      </c>
      <c r="N3" s="14" t="s">
        <v>829</v>
      </c>
      <c r="O3" s="14" t="s">
        <v>830</v>
      </c>
      <c r="P3" s="14" t="s">
        <v>831</v>
      </c>
      <c r="Q3" s="14" t="s">
        <v>832</v>
      </c>
      <c r="R3" s="14" t="s">
        <v>833</v>
      </c>
      <c r="S3" s="14" t="s">
        <v>834</v>
      </c>
      <c r="T3" s="14" t="s">
        <v>835</v>
      </c>
      <c r="U3" s="14" t="s">
        <v>836</v>
      </c>
      <c r="V3" s="14" t="s">
        <v>837</v>
      </c>
      <c r="W3" s="14" t="s">
        <v>838</v>
      </c>
      <c r="X3" s="14" t="s">
        <v>827</v>
      </c>
      <c r="Y3" s="14" t="s">
        <v>828</v>
      </c>
      <c r="Z3" s="14" t="s">
        <v>829</v>
      </c>
      <c r="AA3" s="14" t="s">
        <v>830</v>
      </c>
      <c r="AB3" s="14" t="s">
        <v>831</v>
      </c>
      <c r="AC3" s="14" t="s">
        <v>832</v>
      </c>
      <c r="AD3" s="14" t="s">
        <v>833</v>
      </c>
      <c r="AE3" s="14" t="s">
        <v>834</v>
      </c>
      <c r="AF3" s="14" t="s">
        <v>835</v>
      </c>
      <c r="AG3" s="14" t="s">
        <v>836</v>
      </c>
      <c r="AH3" s="14" t="s">
        <v>837</v>
      </c>
      <c r="AI3" s="14" t="s">
        <v>838</v>
      </c>
    </row>
    <row r="4" ht="76.05" customHeight="1" spans="1:35">
      <c r="A4" s="15">
        <v>1</v>
      </c>
      <c r="B4" s="15" t="s">
        <v>410</v>
      </c>
      <c r="C4" s="15" t="s">
        <v>477</v>
      </c>
      <c r="D4" s="16" t="s">
        <v>839</v>
      </c>
      <c r="E4" s="17" t="s">
        <v>840</v>
      </c>
      <c r="F4" s="18"/>
      <c r="G4" s="19" t="s">
        <v>841</v>
      </c>
      <c r="H4" s="20">
        <v>46023</v>
      </c>
      <c r="I4" s="21">
        <f t="shared" ref="I4:I19" si="0">SUM(K4:V4)</f>
        <v>-1106175.80114893</v>
      </c>
      <c r="J4" s="22">
        <f t="shared" ref="J4:J10" si="1">SUM(W4:Z4)</f>
        <v>-436227.497565187</v>
      </c>
      <c r="K4" s="17" t="s">
        <v>842</v>
      </c>
      <c r="L4" s="23">
        <v>-100979</v>
      </c>
      <c r="M4" s="23">
        <v>-109173</v>
      </c>
      <c r="N4" s="23">
        <v>-109099.848456065</v>
      </c>
      <c r="O4" s="23">
        <v>-92750.1335143166</v>
      </c>
      <c r="P4" s="23">
        <v>-92769.2760434422</v>
      </c>
      <c r="Q4" s="23">
        <v>-92748.3932843962</v>
      </c>
      <c r="R4" s="23">
        <v>-92759.1417633168</v>
      </c>
      <c r="S4" s="23">
        <v>-92762.0975950203</v>
      </c>
      <c r="T4" s="23">
        <v>-103148</v>
      </c>
      <c r="U4" s="23">
        <v>-103148</v>
      </c>
      <c r="V4" s="23">
        <v>-116838.910492369</v>
      </c>
      <c r="W4" s="23">
        <v>-116975.649109122</v>
      </c>
      <c r="X4" s="23">
        <v>-100979</v>
      </c>
      <c r="Y4" s="23">
        <v>-109173</v>
      </c>
      <c r="Z4" s="23">
        <v>-109099.848456065</v>
      </c>
      <c r="AA4" s="23">
        <v>-92750.1335143166</v>
      </c>
      <c r="AB4" s="23"/>
      <c r="AC4" s="23"/>
      <c r="AD4" s="23"/>
      <c r="AE4" s="23"/>
      <c r="AF4" s="23"/>
      <c r="AG4" s="23"/>
      <c r="AH4" s="23"/>
      <c r="AI4" s="23"/>
    </row>
    <row r="5" ht="76.05" customHeight="1" spans="1:35">
      <c r="A5" s="15">
        <v>2</v>
      </c>
      <c r="B5" s="15" t="s">
        <v>410</v>
      </c>
      <c r="C5" s="15" t="s">
        <v>477</v>
      </c>
      <c r="D5" s="16" t="s">
        <v>843</v>
      </c>
      <c r="E5" s="17" t="s">
        <v>844</v>
      </c>
      <c r="F5" s="18"/>
      <c r="G5" s="19" t="s">
        <v>841</v>
      </c>
      <c r="H5" s="20">
        <v>46023</v>
      </c>
      <c r="I5" s="24">
        <f t="shared" si="0"/>
        <v>-60214</v>
      </c>
      <c r="J5" s="22">
        <f t="shared" si="1"/>
        <v>-21896</v>
      </c>
      <c r="K5" s="17" t="s">
        <v>845</v>
      </c>
      <c r="L5" s="23">
        <f t="shared" ref="L5:AA5" si="2">-34*161</f>
        <v>-5474</v>
      </c>
      <c r="M5" s="23">
        <f t="shared" si="2"/>
        <v>-5474</v>
      </c>
      <c r="N5" s="23">
        <f t="shared" si="2"/>
        <v>-5474</v>
      </c>
      <c r="O5" s="23">
        <f t="shared" si="2"/>
        <v>-5474</v>
      </c>
      <c r="P5" s="23">
        <f t="shared" si="2"/>
        <v>-5474</v>
      </c>
      <c r="Q5" s="23">
        <f t="shared" si="2"/>
        <v>-5474</v>
      </c>
      <c r="R5" s="23">
        <f t="shared" si="2"/>
        <v>-5474</v>
      </c>
      <c r="S5" s="23">
        <f t="shared" si="2"/>
        <v>-5474</v>
      </c>
      <c r="T5" s="23">
        <f t="shared" si="2"/>
        <v>-5474</v>
      </c>
      <c r="U5" s="23">
        <f t="shared" si="2"/>
        <v>-5474</v>
      </c>
      <c r="V5" s="23">
        <f t="shared" si="2"/>
        <v>-5474</v>
      </c>
      <c r="W5" s="23">
        <f t="shared" si="2"/>
        <v>-5474</v>
      </c>
      <c r="X5" s="23">
        <f t="shared" si="2"/>
        <v>-5474</v>
      </c>
      <c r="Y5" s="23">
        <f t="shared" si="2"/>
        <v>-5474</v>
      </c>
      <c r="Z5" s="23">
        <f t="shared" si="2"/>
        <v>-5474</v>
      </c>
      <c r="AA5" s="23">
        <f t="shared" si="2"/>
        <v>-5474</v>
      </c>
      <c r="AB5" s="16"/>
      <c r="AC5" s="16"/>
      <c r="AD5" s="16"/>
      <c r="AE5" s="16"/>
      <c r="AF5" s="16"/>
      <c r="AG5" s="16"/>
      <c r="AH5" s="16"/>
      <c r="AI5" s="16"/>
    </row>
    <row r="6" ht="76.05" customHeight="1" spans="1:35">
      <c r="A6" s="15">
        <v>3</v>
      </c>
      <c r="B6" s="15" t="s">
        <v>410</v>
      </c>
      <c r="C6" s="15" t="s">
        <v>477</v>
      </c>
      <c r="D6" s="16" t="s">
        <v>846</v>
      </c>
      <c r="E6" s="17" t="s">
        <v>847</v>
      </c>
      <c r="G6" s="19" t="s">
        <v>841</v>
      </c>
      <c r="H6" s="20">
        <v>46023</v>
      </c>
      <c r="I6" s="24">
        <f t="shared" si="0"/>
        <v>-380146.654086878</v>
      </c>
      <c r="J6" s="22">
        <f t="shared" si="1"/>
        <v>-122603.984233782</v>
      </c>
      <c r="K6" s="17" t="s">
        <v>848</v>
      </c>
      <c r="L6" s="23">
        <v>-45333.5052186812</v>
      </c>
      <c r="M6" s="23">
        <v>-38813.9303713665</v>
      </c>
      <c r="N6" s="23">
        <v>-34777.9184037589</v>
      </c>
      <c r="O6" s="23">
        <v>-31102.6966031365</v>
      </c>
      <c r="P6" s="23">
        <v>-27842.4318734682</v>
      </c>
      <c r="Q6" s="23">
        <v>-32561.7299827554</v>
      </c>
      <c r="R6" s="23">
        <v>-32386.8450037757</v>
      </c>
      <c r="S6" s="23">
        <v>-31728.4735369226</v>
      </c>
      <c r="T6" s="23">
        <v>-33628.3203094116</v>
      </c>
      <c r="U6" s="23">
        <v>-35765.2075860457</v>
      </c>
      <c r="V6" s="23">
        <v>-36205.5951975558</v>
      </c>
      <c r="W6" s="23">
        <v>-32482.9842337824</v>
      </c>
      <c r="X6" s="23">
        <v>-28045</v>
      </c>
      <c r="Y6" s="23">
        <v>-41234</v>
      </c>
      <c r="Z6" s="23">
        <v>-20842</v>
      </c>
      <c r="AA6" s="23">
        <v>-31102.6966031365</v>
      </c>
      <c r="AB6" s="16"/>
      <c r="AC6" s="16"/>
      <c r="AD6" s="16"/>
      <c r="AE6" s="16"/>
      <c r="AF6" s="16"/>
      <c r="AG6" s="16"/>
      <c r="AH6" s="16"/>
      <c r="AI6" s="16"/>
    </row>
    <row r="7" ht="61.05" customHeight="1" spans="1:35">
      <c r="A7" s="15">
        <v>4</v>
      </c>
      <c r="B7" s="15" t="s">
        <v>410</v>
      </c>
      <c r="C7" s="15" t="s">
        <v>489</v>
      </c>
      <c r="D7" s="16" t="s">
        <v>849</v>
      </c>
      <c r="E7" s="17" t="s">
        <v>850</v>
      </c>
      <c r="F7" s="18"/>
      <c r="G7" s="19" t="s">
        <v>841</v>
      </c>
      <c r="H7" s="20">
        <v>46023</v>
      </c>
      <c r="I7" s="21">
        <f t="shared" si="0"/>
        <v>722573.8056133</v>
      </c>
      <c r="J7" s="22">
        <f t="shared" si="1"/>
        <v>647081.434668622</v>
      </c>
      <c r="K7" s="17" t="s">
        <v>851</v>
      </c>
      <c r="L7" s="23">
        <v>312207.453001891</v>
      </c>
      <c r="M7" s="23">
        <v>269714.625216404</v>
      </c>
      <c r="N7" s="23">
        <v>52003.5527634679</v>
      </c>
      <c r="O7" s="23">
        <v>-3259.85755839515</v>
      </c>
      <c r="P7" s="23">
        <v>-188190.42290425</v>
      </c>
      <c r="Q7" s="23">
        <v>386345.794697922</v>
      </c>
      <c r="R7" s="23">
        <v>45993.1267341396</v>
      </c>
      <c r="S7" s="23">
        <v>-84539.7891778628</v>
      </c>
      <c r="T7" s="23">
        <v>141813.760699621</v>
      </c>
      <c r="U7" s="23">
        <v>-258251.215599453</v>
      </c>
      <c r="V7" s="23">
        <v>48736.7777398156</v>
      </c>
      <c r="W7" s="23">
        <v>89134.4346686224</v>
      </c>
      <c r="X7" s="23">
        <v>124900</v>
      </c>
      <c r="Y7" s="23">
        <v>346306</v>
      </c>
      <c r="Z7" s="23">
        <v>86741</v>
      </c>
      <c r="AA7" s="23">
        <v>30000</v>
      </c>
      <c r="AB7" s="23"/>
      <c r="AC7" s="23"/>
      <c r="AD7" s="23"/>
      <c r="AE7" s="23"/>
      <c r="AF7" s="23"/>
      <c r="AG7" s="23"/>
      <c r="AH7" s="23"/>
      <c r="AI7" s="23"/>
    </row>
    <row r="8" ht="76.05" customHeight="1" spans="1:35">
      <c r="A8" s="15">
        <v>5</v>
      </c>
      <c r="B8" s="15" t="s">
        <v>410</v>
      </c>
      <c r="C8" s="15" t="s">
        <v>489</v>
      </c>
      <c r="D8" s="16" t="s">
        <v>852</v>
      </c>
      <c r="E8" s="17" t="s">
        <v>853</v>
      </c>
      <c r="F8" s="18"/>
      <c r="G8" s="19" t="s">
        <v>841</v>
      </c>
      <c r="H8" s="20">
        <v>46023</v>
      </c>
      <c r="I8" s="21">
        <f t="shared" si="0"/>
        <v>695625.381972561</v>
      </c>
      <c r="J8" s="22">
        <f t="shared" si="1"/>
        <v>1581129.94375976</v>
      </c>
      <c r="K8" s="17" t="s">
        <v>854</v>
      </c>
      <c r="L8" s="23">
        <v>-43658.6138314623</v>
      </c>
      <c r="M8" s="23">
        <v>-289096.080231436</v>
      </c>
      <c r="N8" s="23">
        <v>-293159.287345228</v>
      </c>
      <c r="O8" s="23">
        <v>75976.1870794071</v>
      </c>
      <c r="P8" s="23">
        <v>38250.3393046098</v>
      </c>
      <c r="Q8" s="23">
        <v>-436444.548992229</v>
      </c>
      <c r="R8" s="23">
        <v>51474.6350657275</v>
      </c>
      <c r="S8" s="23">
        <v>-81968.9850105643</v>
      </c>
      <c r="T8" s="23">
        <v>1618285.2349665</v>
      </c>
      <c r="U8" s="23">
        <v>69573.6196960286</v>
      </c>
      <c r="V8" s="23">
        <v>-13607.1187287921</v>
      </c>
      <c r="W8" s="23">
        <v>442554.943759762</v>
      </c>
      <c r="X8" s="23">
        <v>416291</v>
      </c>
      <c r="Y8" s="23">
        <v>306093</v>
      </c>
      <c r="Z8" s="23">
        <v>416191</v>
      </c>
      <c r="AA8" s="23">
        <v>83524</v>
      </c>
      <c r="AB8" s="23"/>
      <c r="AC8" s="23"/>
      <c r="AD8" s="23"/>
      <c r="AE8" s="23"/>
      <c r="AF8" s="23"/>
      <c r="AG8" s="23"/>
      <c r="AH8" s="23"/>
      <c r="AI8" s="23"/>
    </row>
    <row r="9" ht="48" customHeight="1" spans="1:35">
      <c r="A9" s="15">
        <v>6</v>
      </c>
      <c r="B9" s="15" t="s">
        <v>410</v>
      </c>
      <c r="C9" s="15" t="s">
        <v>489</v>
      </c>
      <c r="D9" s="19" t="s">
        <v>561</v>
      </c>
      <c r="E9" s="25" t="s">
        <v>855</v>
      </c>
      <c r="F9" s="18"/>
      <c r="G9" s="19" t="s">
        <v>841</v>
      </c>
      <c r="H9" s="20">
        <v>46023</v>
      </c>
      <c r="I9" s="21">
        <f t="shared" si="0"/>
        <v>2165271.9256628</v>
      </c>
      <c r="J9" s="22">
        <f t="shared" si="1"/>
        <v>146976.156878437</v>
      </c>
      <c r="K9" s="26" t="s">
        <v>856</v>
      </c>
      <c r="L9" s="23">
        <v>182801.706878437</v>
      </c>
      <c r="M9" s="23">
        <v>292333.796878437</v>
      </c>
      <c r="N9" s="23">
        <v>161810.806878437</v>
      </c>
      <c r="O9" s="23">
        <v>239496.076878437</v>
      </c>
      <c r="P9" s="23">
        <v>173510.486878437</v>
      </c>
      <c r="Q9" s="23">
        <v>181768.116878437</v>
      </c>
      <c r="R9" s="23">
        <v>184363.076878436</v>
      </c>
      <c r="S9" s="23">
        <v>164851.496878437</v>
      </c>
      <c r="T9" s="23">
        <v>221499.246878436</v>
      </c>
      <c r="U9" s="23">
        <v>192813.106878436</v>
      </c>
      <c r="V9" s="23">
        <v>170024.006878437</v>
      </c>
      <c r="W9" s="23">
        <v>-431102.573121563</v>
      </c>
      <c r="X9" s="23">
        <v>120507.38</v>
      </c>
      <c r="Y9" s="23">
        <v>323547.17</v>
      </c>
      <c r="Z9" s="23">
        <v>134024.18</v>
      </c>
      <c r="AA9" s="23">
        <v>193472</v>
      </c>
      <c r="AB9" s="23"/>
      <c r="AC9" s="23"/>
      <c r="AD9" s="23"/>
      <c r="AE9" s="23"/>
      <c r="AF9" s="23"/>
      <c r="AG9" s="23"/>
      <c r="AH9" s="23"/>
      <c r="AI9" s="23"/>
    </row>
    <row r="10" ht="61.05" customHeight="1" spans="1:35">
      <c r="A10" s="15">
        <v>7</v>
      </c>
      <c r="B10" s="15" t="s">
        <v>857</v>
      </c>
      <c r="C10" s="15" t="s">
        <v>858</v>
      </c>
      <c r="D10" s="16" t="s">
        <v>859</v>
      </c>
      <c r="E10" s="27" t="s">
        <v>860</v>
      </c>
      <c r="F10" s="18"/>
      <c r="G10" s="19" t="s">
        <v>841</v>
      </c>
      <c r="H10" s="28">
        <v>46053</v>
      </c>
      <c r="I10" s="29">
        <f t="shared" si="0"/>
        <v>1262855.40302336</v>
      </c>
      <c r="J10" s="22">
        <f t="shared" si="1"/>
        <v>760826.743226324</v>
      </c>
      <c r="K10" s="19" t="s">
        <v>861</v>
      </c>
      <c r="L10" s="30">
        <v>254187.347742108</v>
      </c>
      <c r="M10" s="23">
        <v>253443.647742108</v>
      </c>
      <c r="N10" s="23">
        <v>253195.747742108</v>
      </c>
      <c r="O10" s="23">
        <v>251014.329898516</v>
      </c>
      <c r="P10" s="23">
        <v>251014.329898516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31">
        <v>254187.347742108</v>
      </c>
      <c r="Y10" s="31">
        <v>253443.647742108</v>
      </c>
      <c r="Z10" s="31">
        <v>253195.747742108</v>
      </c>
      <c r="AA10" s="23">
        <v>251014.329898516</v>
      </c>
      <c r="AB10" s="23"/>
      <c r="AC10" s="23"/>
      <c r="AD10" s="23"/>
      <c r="AE10" s="23"/>
      <c r="AF10" s="23"/>
      <c r="AG10" s="23"/>
      <c r="AH10" s="23"/>
      <c r="AI10" s="23"/>
    </row>
    <row r="11" ht="48" customHeight="1" spans="1:35">
      <c r="A11" s="15">
        <v>8</v>
      </c>
      <c r="B11" s="15" t="s">
        <v>857</v>
      </c>
      <c r="C11" s="15" t="s">
        <v>862</v>
      </c>
      <c r="D11" s="19" t="s">
        <v>863</v>
      </c>
      <c r="E11" s="19" t="s">
        <v>864</v>
      </c>
      <c r="F11" s="18"/>
      <c r="G11" s="19" t="s">
        <v>841</v>
      </c>
      <c r="H11" s="28">
        <v>46054</v>
      </c>
      <c r="I11" s="32">
        <f t="shared" si="0"/>
        <v>88925.8844263025</v>
      </c>
      <c r="J11" s="33">
        <f t="shared" ref="J11:J19" si="3">SUM(X11:AB11)</f>
        <v>32796</v>
      </c>
      <c r="K11" s="34" t="s">
        <v>861</v>
      </c>
      <c r="L11" s="23">
        <v>6935.88442630253</v>
      </c>
      <c r="M11" s="35">
        <v>8199</v>
      </c>
      <c r="N11" s="35">
        <v>8199</v>
      </c>
      <c r="O11" s="35">
        <v>8199</v>
      </c>
      <c r="P11" s="35">
        <v>8199</v>
      </c>
      <c r="Q11" s="35">
        <v>8199</v>
      </c>
      <c r="R11" s="35">
        <v>8199</v>
      </c>
      <c r="S11" s="35">
        <v>8199</v>
      </c>
      <c r="T11" s="35">
        <v>8199</v>
      </c>
      <c r="U11" s="35">
        <v>8199</v>
      </c>
      <c r="V11" s="35">
        <v>8199</v>
      </c>
      <c r="W11" s="35">
        <v>8199</v>
      </c>
      <c r="X11" s="23">
        <v>0</v>
      </c>
      <c r="Y11" s="35">
        <v>8199</v>
      </c>
      <c r="Z11" s="35">
        <v>8199</v>
      </c>
      <c r="AA11" s="35">
        <v>8199</v>
      </c>
      <c r="AB11" s="35">
        <v>8199</v>
      </c>
      <c r="AC11" s="23"/>
      <c r="AD11" s="23"/>
      <c r="AE11" s="23"/>
      <c r="AF11" s="23"/>
      <c r="AG11" s="23"/>
      <c r="AH11" s="23"/>
      <c r="AI11" s="23"/>
    </row>
    <row r="12" ht="48" customHeight="1" spans="1:35">
      <c r="A12" s="15">
        <v>9</v>
      </c>
      <c r="B12" s="15" t="s">
        <v>865</v>
      </c>
      <c r="C12" s="15" t="s">
        <v>866</v>
      </c>
      <c r="D12" s="16" t="s">
        <v>867</v>
      </c>
      <c r="E12" s="19" t="s">
        <v>868</v>
      </c>
      <c r="F12" s="18"/>
      <c r="G12" s="19" t="s">
        <v>841</v>
      </c>
      <c r="H12" s="28">
        <v>46326</v>
      </c>
      <c r="I12" s="32">
        <f t="shared" si="0"/>
        <v>262270.25</v>
      </c>
      <c r="J12" s="33">
        <f t="shared" si="3"/>
        <v>119213.75</v>
      </c>
      <c r="K12" s="19" t="s">
        <v>869</v>
      </c>
      <c r="L12" s="35">
        <v>23842.75</v>
      </c>
      <c r="M12" s="35">
        <v>23842.75</v>
      </c>
      <c r="N12" s="35">
        <v>23842.75</v>
      </c>
      <c r="O12" s="35">
        <v>23842.75</v>
      </c>
      <c r="P12" s="35">
        <v>23842.75</v>
      </c>
      <c r="Q12" s="35">
        <v>23842.75</v>
      </c>
      <c r="R12" s="35">
        <v>23842.75</v>
      </c>
      <c r="S12" s="35">
        <v>23842.75</v>
      </c>
      <c r="T12" s="35">
        <v>23842.75</v>
      </c>
      <c r="U12" s="35">
        <v>23842.75</v>
      </c>
      <c r="V12" s="35">
        <v>23842.75</v>
      </c>
      <c r="W12" s="35">
        <v>23842.75</v>
      </c>
      <c r="X12" s="35">
        <v>23842.75</v>
      </c>
      <c r="Y12" s="35">
        <v>23842.75</v>
      </c>
      <c r="Z12" s="35">
        <v>23842.75</v>
      </c>
      <c r="AA12" s="35">
        <v>23842.75</v>
      </c>
      <c r="AB12" s="35">
        <v>23842.75</v>
      </c>
      <c r="AC12" s="23"/>
      <c r="AD12" s="23"/>
      <c r="AE12" s="23"/>
      <c r="AF12" s="23"/>
      <c r="AG12" s="23"/>
      <c r="AH12" s="23"/>
      <c r="AI12" s="23"/>
    </row>
    <row r="13" ht="62.4" customHeight="1" spans="1:35">
      <c r="A13" s="15">
        <v>10</v>
      </c>
      <c r="B13" s="15" t="s">
        <v>870</v>
      </c>
      <c r="C13" s="15" t="s">
        <v>871</v>
      </c>
      <c r="D13" s="16" t="s">
        <v>872</v>
      </c>
      <c r="E13" s="16" t="s">
        <v>873</v>
      </c>
      <c r="F13" s="18"/>
      <c r="G13" s="19" t="s">
        <v>841</v>
      </c>
      <c r="H13" s="28">
        <v>46173</v>
      </c>
      <c r="I13" s="32">
        <f t="shared" si="0"/>
        <v>418144.183333333</v>
      </c>
      <c r="J13" s="33">
        <f t="shared" si="3"/>
        <v>169025.283333333</v>
      </c>
      <c r="K13" s="19" t="s">
        <v>861</v>
      </c>
      <c r="L13" s="35">
        <v>14822.9166666667</v>
      </c>
      <c r="M13" s="35">
        <v>29642.9166666667</v>
      </c>
      <c r="N13" s="35">
        <v>41519.8166666667</v>
      </c>
      <c r="O13" s="35">
        <v>41519.8166666667</v>
      </c>
      <c r="P13" s="35">
        <v>41519.8166666667</v>
      </c>
      <c r="Q13" s="35">
        <v>41519.8166666667</v>
      </c>
      <c r="R13" s="35">
        <v>41519.8166666667</v>
      </c>
      <c r="S13" s="35">
        <v>41519.8166666667</v>
      </c>
      <c r="T13" s="35">
        <v>41519.8166666667</v>
      </c>
      <c r="U13" s="35">
        <v>41519.8166666667</v>
      </c>
      <c r="V13" s="35">
        <v>41519.8166666667</v>
      </c>
      <c r="W13" s="35">
        <v>41519.8166666667</v>
      </c>
      <c r="X13" s="35">
        <v>14822.9166666667</v>
      </c>
      <c r="Y13" s="35">
        <v>29642.9166666667</v>
      </c>
      <c r="Z13" s="35">
        <v>41519.8166666667</v>
      </c>
      <c r="AA13" s="35">
        <v>41519.8166666667</v>
      </c>
      <c r="AB13" s="35">
        <v>41519.8166666667</v>
      </c>
      <c r="AC13" s="35"/>
      <c r="AD13" s="35"/>
      <c r="AE13" s="35"/>
      <c r="AF13" s="35"/>
      <c r="AG13" s="35"/>
      <c r="AH13" s="35"/>
      <c r="AI13" s="35"/>
    </row>
    <row r="14" ht="48" customHeight="1" spans="1:35">
      <c r="A14" s="15">
        <v>11</v>
      </c>
      <c r="B14" s="15" t="s">
        <v>865</v>
      </c>
      <c r="C14" s="15" t="s">
        <v>871</v>
      </c>
      <c r="D14" s="16" t="s">
        <v>874</v>
      </c>
      <c r="E14" s="19" t="s">
        <v>875</v>
      </c>
      <c r="F14" s="18"/>
      <c r="G14" s="19" t="s">
        <v>841</v>
      </c>
      <c r="H14" s="28">
        <v>46326</v>
      </c>
      <c r="I14" s="32">
        <f t="shared" si="0"/>
        <v>69179</v>
      </c>
      <c r="J14" s="33">
        <f t="shared" si="3"/>
        <v>31445</v>
      </c>
      <c r="K14" s="19" t="s">
        <v>876</v>
      </c>
      <c r="L14" s="35">
        <v>6289</v>
      </c>
      <c r="M14" s="35">
        <v>6289</v>
      </c>
      <c r="N14" s="35">
        <v>6289</v>
      </c>
      <c r="O14" s="35">
        <v>6289</v>
      </c>
      <c r="P14" s="35">
        <v>6289</v>
      </c>
      <c r="Q14" s="35">
        <v>6289</v>
      </c>
      <c r="R14" s="35">
        <v>6289</v>
      </c>
      <c r="S14" s="35">
        <v>6289</v>
      </c>
      <c r="T14" s="35">
        <v>6289</v>
      </c>
      <c r="U14" s="35">
        <v>6289</v>
      </c>
      <c r="V14" s="35">
        <v>6289</v>
      </c>
      <c r="W14" s="35">
        <v>6289</v>
      </c>
      <c r="X14" s="35">
        <v>6289</v>
      </c>
      <c r="Y14" s="35">
        <v>6289</v>
      </c>
      <c r="Z14" s="35">
        <v>6289</v>
      </c>
      <c r="AA14" s="35">
        <v>6289</v>
      </c>
      <c r="AB14" s="35">
        <v>6289</v>
      </c>
      <c r="AC14" s="23"/>
      <c r="AD14" s="23"/>
      <c r="AE14" s="23"/>
      <c r="AF14" s="23"/>
      <c r="AG14" s="23"/>
      <c r="AH14" s="23"/>
      <c r="AI14" s="23"/>
    </row>
    <row r="15" ht="48" customHeight="1" spans="1:35">
      <c r="A15" s="15">
        <v>12</v>
      </c>
      <c r="B15" s="15" t="s">
        <v>857</v>
      </c>
      <c r="C15" s="15" t="s">
        <v>877</v>
      </c>
      <c r="D15" s="27" t="s">
        <v>878</v>
      </c>
      <c r="E15" s="19" t="s">
        <v>879</v>
      </c>
      <c r="F15" s="18"/>
      <c r="G15" s="19" t="s">
        <v>841</v>
      </c>
      <c r="H15" s="28">
        <v>46053</v>
      </c>
      <c r="I15" s="32">
        <f t="shared" si="0"/>
        <v>45833.3333333333</v>
      </c>
      <c r="J15" s="33">
        <f t="shared" si="3"/>
        <v>20833.3333333333</v>
      </c>
      <c r="K15" s="19" t="s">
        <v>880</v>
      </c>
      <c r="L15" s="35">
        <v>4166.66666666667</v>
      </c>
      <c r="M15" s="35">
        <v>4166.66666666667</v>
      </c>
      <c r="N15" s="35">
        <v>4166.66666666667</v>
      </c>
      <c r="O15" s="35">
        <v>4166.66666666667</v>
      </c>
      <c r="P15" s="35">
        <v>4166.66666666667</v>
      </c>
      <c r="Q15" s="35">
        <v>4166.66666666667</v>
      </c>
      <c r="R15" s="35">
        <v>4166.66666666667</v>
      </c>
      <c r="S15" s="35">
        <v>4166.66666666667</v>
      </c>
      <c r="T15" s="35">
        <v>4166.66666666667</v>
      </c>
      <c r="U15" s="35">
        <v>4166.66666666667</v>
      </c>
      <c r="V15" s="35">
        <v>4166.66666666667</v>
      </c>
      <c r="W15" s="35">
        <v>4166.66666666667</v>
      </c>
      <c r="X15" s="35">
        <v>4166.66666666667</v>
      </c>
      <c r="Y15" s="35">
        <v>4166.66666666667</v>
      </c>
      <c r="Z15" s="35">
        <v>4166.66666666667</v>
      </c>
      <c r="AA15" s="35">
        <v>4166.66666666667</v>
      </c>
      <c r="AB15" s="35">
        <v>4166.66666666667</v>
      </c>
      <c r="AC15" s="23"/>
      <c r="AD15" s="23"/>
      <c r="AE15" s="23"/>
      <c r="AF15" s="23"/>
      <c r="AG15" s="23"/>
      <c r="AH15" s="23"/>
      <c r="AI15" s="23"/>
    </row>
    <row r="16" ht="48" customHeight="1" spans="1:35">
      <c r="A16" s="15">
        <v>13</v>
      </c>
      <c r="B16" s="15" t="s">
        <v>857</v>
      </c>
      <c r="C16" s="15" t="s">
        <v>881</v>
      </c>
      <c r="D16" s="19" t="s">
        <v>882</v>
      </c>
      <c r="E16" s="16" t="s">
        <v>883</v>
      </c>
      <c r="F16" s="18"/>
      <c r="G16" s="19" t="s">
        <v>841</v>
      </c>
      <c r="H16" s="28">
        <v>46053</v>
      </c>
      <c r="I16" s="32">
        <f t="shared" si="0"/>
        <v>23833.3333333333</v>
      </c>
      <c r="J16" s="33">
        <f t="shared" si="3"/>
        <v>10833.3333333333</v>
      </c>
      <c r="K16" s="19" t="s">
        <v>884</v>
      </c>
      <c r="L16" s="36">
        <v>2166.66666666667</v>
      </c>
      <c r="M16" s="35">
        <v>2166.66666666667</v>
      </c>
      <c r="N16" s="35">
        <v>2166.66666666667</v>
      </c>
      <c r="O16" s="35">
        <v>2166.66666666667</v>
      </c>
      <c r="P16" s="35">
        <v>2166.66666666667</v>
      </c>
      <c r="Q16" s="35">
        <v>2166.66666666667</v>
      </c>
      <c r="R16" s="35">
        <v>2166.66666666667</v>
      </c>
      <c r="S16" s="35">
        <v>2166.66666666667</v>
      </c>
      <c r="T16" s="35">
        <v>2166.66666666667</v>
      </c>
      <c r="U16" s="35">
        <v>2166.66666666667</v>
      </c>
      <c r="V16" s="35">
        <v>2166.66666666667</v>
      </c>
      <c r="W16" s="35">
        <v>2166.66666666667</v>
      </c>
      <c r="X16" s="35">
        <v>2166.66666666667</v>
      </c>
      <c r="Y16" s="35">
        <v>2166.66666666667</v>
      </c>
      <c r="Z16" s="35">
        <v>2166.66666666667</v>
      </c>
      <c r="AA16" s="35">
        <v>2166.66666666667</v>
      </c>
      <c r="AB16" s="35">
        <v>2166.66666666667</v>
      </c>
      <c r="AC16" s="23"/>
      <c r="AD16" s="23"/>
      <c r="AE16" s="23"/>
      <c r="AF16" s="23"/>
      <c r="AG16" s="23"/>
      <c r="AH16" s="23"/>
      <c r="AI16" s="23"/>
    </row>
    <row r="17" ht="48" customHeight="1" spans="1:36">
      <c r="A17" s="15">
        <v>14</v>
      </c>
      <c r="B17" s="15" t="s">
        <v>857</v>
      </c>
      <c r="C17" s="15" t="s">
        <v>885</v>
      </c>
      <c r="D17" s="19" t="s">
        <v>886</v>
      </c>
      <c r="E17" s="19" t="s">
        <v>887</v>
      </c>
      <c r="F17" s="18"/>
      <c r="G17" s="19" t="s">
        <v>841</v>
      </c>
      <c r="H17" s="28">
        <v>46053</v>
      </c>
      <c r="I17" s="32">
        <f t="shared" si="0"/>
        <v>9877.08333333333</v>
      </c>
      <c r="J17" s="33">
        <f t="shared" si="3"/>
        <v>4489.58333333333</v>
      </c>
      <c r="K17" s="19" t="s">
        <v>888</v>
      </c>
      <c r="L17" s="36">
        <v>897.916666666667</v>
      </c>
      <c r="M17" s="35">
        <v>897.916666666667</v>
      </c>
      <c r="N17" s="35">
        <v>897.916666666667</v>
      </c>
      <c r="O17" s="35">
        <v>897.916666666667</v>
      </c>
      <c r="P17" s="35">
        <v>897.916666666667</v>
      </c>
      <c r="Q17" s="35">
        <v>897.916666666667</v>
      </c>
      <c r="R17" s="35">
        <v>897.916666666667</v>
      </c>
      <c r="S17" s="35">
        <v>897.916666666667</v>
      </c>
      <c r="T17" s="35">
        <v>897.916666666667</v>
      </c>
      <c r="U17" s="35">
        <v>897.916666666667</v>
      </c>
      <c r="V17" s="35">
        <v>897.916666666667</v>
      </c>
      <c r="W17" s="35">
        <v>897.916666666667</v>
      </c>
      <c r="X17" s="35">
        <v>897.916666666667</v>
      </c>
      <c r="Y17" s="35">
        <v>897.916666666667</v>
      </c>
      <c r="Z17" s="35">
        <v>897.916666666667</v>
      </c>
      <c r="AA17" s="35">
        <v>897.916666666667</v>
      </c>
      <c r="AB17" s="35">
        <v>897.916666666667</v>
      </c>
      <c r="AC17" s="23"/>
      <c r="AD17" s="23"/>
      <c r="AE17" s="23"/>
      <c r="AF17" s="23"/>
      <c r="AG17" s="23"/>
      <c r="AH17" s="23"/>
      <c r="AI17" s="23"/>
    </row>
    <row r="18" ht="61.05" customHeight="1" spans="1:36">
      <c r="A18" s="15">
        <v>15</v>
      </c>
      <c r="B18" s="15" t="s">
        <v>857</v>
      </c>
      <c r="C18" s="15" t="s">
        <v>889</v>
      </c>
      <c r="D18" s="16" t="s">
        <v>890</v>
      </c>
      <c r="E18" s="27" t="s">
        <v>891</v>
      </c>
      <c r="G18" s="19" t="s">
        <v>841</v>
      </c>
      <c r="H18" s="28">
        <v>46053</v>
      </c>
      <c r="I18" s="29">
        <f t="shared" si="0"/>
        <v>25666.6666666667</v>
      </c>
      <c r="J18" s="33">
        <f t="shared" si="3"/>
        <v>11666.6666666667</v>
      </c>
      <c r="K18" s="19" t="s">
        <v>861</v>
      </c>
      <c r="L18" s="36">
        <v>2333.33333333333</v>
      </c>
      <c r="M18" s="35">
        <v>2333.33333333333</v>
      </c>
      <c r="N18" s="35">
        <v>2333.33333333333</v>
      </c>
      <c r="O18" s="35">
        <v>2333.33333333333</v>
      </c>
      <c r="P18" s="35">
        <v>2333.33333333333</v>
      </c>
      <c r="Q18" s="35">
        <v>2333.33333333333</v>
      </c>
      <c r="R18" s="35">
        <v>2333.33333333333</v>
      </c>
      <c r="S18" s="35">
        <v>2333.33333333333</v>
      </c>
      <c r="T18" s="35">
        <v>2333.33333333333</v>
      </c>
      <c r="U18" s="35">
        <v>2333.33333333333</v>
      </c>
      <c r="V18" s="35">
        <v>2333.33333333333</v>
      </c>
      <c r="W18" s="35">
        <v>2333.33333333333</v>
      </c>
      <c r="X18" s="37">
        <v>2333.33333333333</v>
      </c>
      <c r="Y18" s="37">
        <v>2333.33333333333</v>
      </c>
      <c r="Z18" s="37">
        <v>2333.33333333333</v>
      </c>
      <c r="AA18" s="35">
        <v>2333.33333333333</v>
      </c>
      <c r="AB18" s="35">
        <v>2333.33333333333</v>
      </c>
      <c r="AC18" s="23"/>
      <c r="AD18" s="23"/>
      <c r="AE18" s="23"/>
      <c r="AF18" s="23"/>
      <c r="AG18" s="23"/>
      <c r="AH18" s="23"/>
      <c r="AI18" s="23"/>
      <c r="AJ18" s="18"/>
    </row>
    <row r="19" s="1" customFormat="1" ht="61.05" customHeight="1" spans="1:36">
      <c r="A19" s="15">
        <v>16</v>
      </c>
      <c r="B19" s="38" t="s">
        <v>865</v>
      </c>
      <c r="C19" s="38" t="s">
        <v>892</v>
      </c>
      <c r="D19" s="39" t="s">
        <v>893</v>
      </c>
      <c r="E19" s="40" t="s">
        <v>894</v>
      </c>
      <c r="G19" s="41" t="s">
        <v>895</v>
      </c>
      <c r="H19" s="42">
        <v>46113</v>
      </c>
      <c r="I19" s="43">
        <f t="shared" si="0"/>
        <v>147216.666666667</v>
      </c>
      <c r="J19" s="33">
        <f t="shared" si="3"/>
        <v>66916.6666666667</v>
      </c>
      <c r="K19" s="44" t="s">
        <v>896</v>
      </c>
      <c r="L19" s="35">
        <v>13383.3333333333</v>
      </c>
      <c r="M19" s="35">
        <v>13383.3333333333</v>
      </c>
      <c r="N19" s="35">
        <v>13383.3333333333</v>
      </c>
      <c r="O19" s="35">
        <v>13383.3333333333</v>
      </c>
      <c r="P19" s="35">
        <v>13383.3333333333</v>
      </c>
      <c r="Q19" s="35">
        <v>13383.3333333333</v>
      </c>
      <c r="R19" s="35">
        <v>13383.3333333333</v>
      </c>
      <c r="S19" s="35">
        <v>13383.3333333333</v>
      </c>
      <c r="T19" s="35">
        <v>13383.3333333333</v>
      </c>
      <c r="U19" s="35">
        <v>13383.3333333333</v>
      </c>
      <c r="V19" s="35">
        <v>13383.3333333333</v>
      </c>
      <c r="W19" s="35">
        <v>13383.3333333333</v>
      </c>
      <c r="X19" s="35">
        <v>13383.3333333333</v>
      </c>
      <c r="Y19" s="35">
        <v>13383.3333333333</v>
      </c>
      <c r="Z19" s="35">
        <v>13383.3333333333</v>
      </c>
      <c r="AA19" s="35">
        <v>13383.3333333333</v>
      </c>
      <c r="AB19" s="35">
        <v>13383.3333333333</v>
      </c>
      <c r="AC19" s="45"/>
      <c r="AD19" s="45"/>
      <c r="AE19" s="45"/>
      <c r="AF19" s="45"/>
      <c r="AG19" s="45"/>
      <c r="AH19" s="45"/>
      <c r="AI19" s="45"/>
    </row>
    <row r="20" s="1" customFormat="1" ht="61.05" customHeight="1" spans="1:36">
      <c r="A20" s="15">
        <v>17</v>
      </c>
      <c r="B20" s="38" t="s">
        <v>870</v>
      </c>
      <c r="C20" s="38" t="s">
        <v>897</v>
      </c>
      <c r="D20" s="39" t="s">
        <v>898</v>
      </c>
      <c r="E20" s="40" t="s">
        <v>899</v>
      </c>
      <c r="G20" s="41" t="s">
        <v>895</v>
      </c>
      <c r="H20" s="42">
        <v>46113</v>
      </c>
      <c r="I20" s="43">
        <v>0</v>
      </c>
      <c r="J20" s="43">
        <v>0</v>
      </c>
      <c r="K20" s="44" t="s">
        <v>900</v>
      </c>
      <c r="L20" s="45"/>
      <c r="M20" s="45"/>
      <c r="N20" s="45"/>
      <c r="O20" s="45">
        <v>0</v>
      </c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</row>
    <row r="21" ht="26.4" spans="1:36">
      <c r="A21" s="12">
        <v>18</v>
      </c>
      <c r="C21" s="12" t="s">
        <v>889</v>
      </c>
      <c r="D21" s="46" t="s">
        <v>901</v>
      </c>
      <c r="E21" s="46" t="s">
        <v>902</v>
      </c>
      <c r="H21" s="47">
        <v>46218</v>
      </c>
      <c r="I21" s="48">
        <v>50000</v>
      </c>
      <c r="J21" s="48">
        <f>SUM(X24:AB24)</f>
        <v>0</v>
      </c>
      <c r="K21" s="12" t="s">
        <v>903</v>
      </c>
      <c r="R21" s="48">
        <v>8333.33333333333</v>
      </c>
      <c r="S21" s="48">
        <v>8333.33333333333</v>
      </c>
      <c r="T21" s="48">
        <v>8333.33333333333</v>
      </c>
      <c r="U21" s="48">
        <v>8333.33333333333</v>
      </c>
      <c r="V21" s="48">
        <v>8333.33333333333</v>
      </c>
      <c r="W21" s="48">
        <v>8333.33333333333</v>
      </c>
    </row>
    <row r="22" spans="1:36">
      <c r="A22" s="12">
        <v>19</v>
      </c>
      <c r="C22" s="12" t="s">
        <v>904</v>
      </c>
      <c r="D22" s="46" t="s">
        <v>905</v>
      </c>
      <c r="E22" s="46" t="s">
        <v>906</v>
      </c>
      <c r="H22" s="47">
        <v>46157</v>
      </c>
      <c r="I22" s="48">
        <v>50800</v>
      </c>
      <c r="J22" s="48">
        <f>SUM(X25:AB25)</f>
        <v>0</v>
      </c>
      <c r="K22" s="12" t="s">
        <v>861</v>
      </c>
      <c r="P22" s="48">
        <v>6350</v>
      </c>
      <c r="Q22" s="48">
        <v>6350</v>
      </c>
      <c r="R22" s="48">
        <v>6350</v>
      </c>
      <c r="S22" s="48">
        <v>6350</v>
      </c>
      <c r="T22" s="48">
        <v>6350</v>
      </c>
      <c r="U22" s="48">
        <v>6350</v>
      </c>
      <c r="V22" s="48">
        <v>6350</v>
      </c>
      <c r="W22" s="48">
        <v>6350</v>
      </c>
      <c r="AB22" s="48">
        <v>6350</v>
      </c>
    </row>
  </sheetData>
  <mergeCells count="4">
    <mergeCell ref="A1:AH1"/>
    <mergeCell ref="A2:J2"/>
    <mergeCell ref="K2:V2"/>
    <mergeCell ref="W2:A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DW  2026</vt:lpstr>
      <vt:lpstr>厨电成本数据</vt:lpstr>
      <vt:lpstr>26年厨电费用指标到月测算汇总表 </vt:lpstr>
      <vt:lpstr>25年厨电费用指标到月测算汇总表  (2)</vt:lpstr>
      <vt:lpstr>25年厨电费用指标到月测算汇总表</vt:lpstr>
      <vt:lpstr>厨电1月 </vt:lpstr>
      <vt:lpstr>厨电2月 </vt:lpstr>
      <vt:lpstr>厨电3月</vt:lpstr>
      <vt:lpstr>厨电4月</vt:lpstr>
      <vt:lpstr>厨电5月 </vt:lpstr>
      <vt:lpstr>厨电6月</vt:lpstr>
      <vt:lpstr>降费项目厨电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21057143</dc:creator>
  <cp:lastModifiedBy>失踪</cp:lastModifiedBy>
  <dcterms:created xsi:type="dcterms:W3CDTF">2026-03-17T05:24:00Z</dcterms:created>
  <dcterms:modified xsi:type="dcterms:W3CDTF">2026-07-14T03:47:38Z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1EE1DC66C7D948F2A6E42A16F7C9D94F_13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