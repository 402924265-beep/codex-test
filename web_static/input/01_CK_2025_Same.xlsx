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enta CK TOTAL_2025" sheetId="1" r:id="rId1"/>
  </sheets>
  <definedNames>
    <definedName name="_xlnm._FilterDatabase" localSheetId="0" hidden="1">'Renta CK TOTAL_2025'!$A$4:$AQ$213</definedName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<sst xmlns="http://schemas.openxmlformats.org/spreadsheetml/2006/main" count="845" uniqueCount="406">
  <si>
    <t xml:space="preserve">Renta CK Cost Evolution </t>
  </si>
  <si>
    <t xml:space="preserve">Volume </t>
  </si>
  <si>
    <t xml:space="preserve">FX Rates </t>
  </si>
  <si>
    <t>HQD PERIMETER</t>
  </si>
  <si>
    <t xml:space="preserve">Jan K€ </t>
  </si>
  <si>
    <t>Jan CPU € / pcs</t>
  </si>
  <si>
    <t xml:space="preserve">Feb K€ </t>
  </si>
  <si>
    <t>Feb CPU € / pcs</t>
  </si>
  <si>
    <t xml:space="preserve">Mar K€ </t>
  </si>
  <si>
    <t>Mar CPU € / pcs</t>
  </si>
  <si>
    <t xml:space="preserve">Apr K€ </t>
  </si>
  <si>
    <t>Apr CPU € / pcs</t>
  </si>
  <si>
    <t xml:space="preserve">May K€ </t>
  </si>
  <si>
    <t>May CPU € / pcs</t>
  </si>
  <si>
    <t xml:space="preserve">June K€ </t>
  </si>
  <si>
    <t>June CPU € / pcs</t>
  </si>
  <si>
    <t xml:space="preserve">July K€ </t>
  </si>
  <si>
    <t>July CPU € / pcs</t>
  </si>
  <si>
    <t xml:space="preserve">Aug K€ </t>
  </si>
  <si>
    <t>Aug CPU € / pcs</t>
  </si>
  <si>
    <t xml:space="preserve">Sep K€ </t>
  </si>
  <si>
    <t>Sep CPU € / pcs</t>
  </si>
  <si>
    <t xml:space="preserve">Oct K€ </t>
  </si>
  <si>
    <t>Oct CPU € / pcs</t>
  </si>
  <si>
    <t xml:space="preserve">Nov K€ </t>
  </si>
  <si>
    <t xml:space="preserve">Dec K€ </t>
  </si>
  <si>
    <t xml:space="preserve"> YTD K€ </t>
  </si>
  <si>
    <t xml:space="preserve"> YTD DEC  CPU € / pcs</t>
  </si>
  <si>
    <t>YES</t>
  </si>
  <si>
    <t xml:space="preserve">    6666110101  Depreciation of buildings</t>
  </si>
  <si>
    <t>建筑物折旧</t>
  </si>
  <si>
    <t>*   CS_Depreciation</t>
  </si>
  <si>
    <t xml:space="preserve">    6666110106  Depreciation of R&amp;D facilities</t>
  </si>
  <si>
    <t>研发设施折旧</t>
  </si>
  <si>
    <t xml:space="preserve">    6666110107  Depreciation of mold　</t>
  </si>
  <si>
    <t>模具折旧</t>
  </si>
  <si>
    <t xml:space="preserve">    6666110110  Depreciation-Plant &amp; Machinery</t>
  </si>
  <si>
    <t>6666110110 固定资产折旧-机器与机械</t>
  </si>
  <si>
    <t xml:space="preserve">    6666110112  Depreciation of Furniture &amp; Fixture</t>
  </si>
  <si>
    <t>6666110112 家具与固定装置折旧</t>
  </si>
  <si>
    <t xml:space="preserve">    6666110204  Amortization of license, trademarks and</t>
  </si>
  <si>
    <t>6666110204 许可证、商标及类似无形资产摊销</t>
  </si>
  <si>
    <t xml:space="preserve">    6666110207  Amortization of Software</t>
  </si>
  <si>
    <t>6666110207 软件摊销</t>
  </si>
  <si>
    <t xml:space="preserve">    6666110506  Amortization-Leasehold Improvement</t>
  </si>
  <si>
    <t>6666110506 租赁改良摊销</t>
  </si>
  <si>
    <t>6666110206</t>
  </si>
  <si>
    <t xml:space="preserve">    6666110206 Amortization of Patents</t>
  </si>
  <si>
    <t>6666110206 专利摊销</t>
  </si>
  <si>
    <t xml:space="preserve">FIX </t>
  </si>
  <si>
    <t>* CS_折旧</t>
  </si>
  <si>
    <t xml:space="preserve">    5001010205  Unemployment Insurance -blue collar-Dire</t>
  </si>
  <si>
    <t>5001010205 失业保险-蓝领-直接</t>
  </si>
  <si>
    <t>*   CS_Direct Labour</t>
  </si>
  <si>
    <t xml:space="preserve">    6666010380  Incentive</t>
  </si>
  <si>
    <t>6666010380 激励</t>
  </si>
  <si>
    <t xml:space="preserve">    6666010019  Payroll Taxes - Blue Collar Direct</t>
  </si>
  <si>
    <t>6666010019 蓝领直接工资税</t>
  </si>
  <si>
    <t xml:space="preserve">    6666010183  Overtime-Blue Collar-Direct</t>
  </si>
  <si>
    <t>6666010183 蓝领直接加班费</t>
  </si>
  <si>
    <t xml:space="preserve">    6666010229  Staff Leaving Indemnity - Blue Collar Di</t>
  </si>
  <si>
    <t>6666010229 蓝领直接离职赔偿</t>
  </si>
  <si>
    <t xml:space="preserve">    6666010188  Salary - Blue collar direct employees</t>
  </si>
  <si>
    <t>6666010188 蓝领直接员工工资</t>
  </si>
  <si>
    <t xml:space="preserve">    5102040406  Other revenue-Service/Secondment agreeme</t>
  </si>
  <si>
    <t>5102040406 其他收入-服务/派遣协议</t>
  </si>
  <si>
    <t xml:space="preserve">    6666010115  Salary-Blue collar direct employees-Accr</t>
  </si>
  <si>
    <t>6666010115 蓝领直接员工工资-应计</t>
  </si>
  <si>
    <t xml:space="preserve">VAR </t>
  </si>
  <si>
    <t>* CS_直接劳动</t>
  </si>
  <si>
    <t>NO</t>
  </si>
  <si>
    <t xml:space="preserve">    8701530201  Scrap-Raw Material - Managerial</t>
  </si>
  <si>
    <t>8701530201 废料-原材料-管理</t>
  </si>
  <si>
    <t>*   CS_SCRAP_VARIABLE</t>
  </si>
  <si>
    <t xml:space="preserve">    6666050309  SFG scrap</t>
  </si>
  <si>
    <t>6666050309 SFG废料</t>
  </si>
  <si>
    <t xml:space="preserve">    6666050308  Raw material scrap</t>
  </si>
  <si>
    <t>6666050308 原材料废料</t>
  </si>
  <si>
    <t xml:space="preserve">    6666050306  Finished goods scrap</t>
  </si>
  <si>
    <t xml:space="preserve">     6666050306   完工产品废料</t>
  </si>
  <si>
    <t>*    CS_SCRAP_VARIABLE</t>
  </si>
  <si>
    <t xml:space="preserve">    5102010151  Other Rev.-Interco-Epidemic problem comp</t>
  </si>
  <si>
    <t xml:space="preserve">     5102010151   其他收入-集团间-疫情问题补偿</t>
  </si>
  <si>
    <t>*   CS_Fix Cost</t>
  </si>
  <si>
    <t xml:space="preserve">    5001010200  Cost of Manufacture - Raw Material</t>
  </si>
  <si>
    <t xml:space="preserve">     5001010200   制造成本-原材料</t>
  </si>
  <si>
    <t xml:space="preserve">    5001010201  Cost of Manufacture - Raw Material-Freig</t>
  </si>
  <si>
    <t xml:space="preserve">     5001010201   制造成本-原材料-运费</t>
  </si>
  <si>
    <t xml:space="preserve">    5207000011  Gain of tangible asset disposal</t>
  </si>
  <si>
    <t xml:space="preserve">     5207000011   有形资产处置收益</t>
  </si>
  <si>
    <t xml:space="preserve">    5207000012  Loss of tangible asset sold</t>
  </si>
  <si>
    <t xml:space="preserve">     5207000012   出售有形资产损失</t>
  </si>
  <si>
    <t xml:space="preserve">    5207000022  Loss of intangible asset disposal</t>
  </si>
  <si>
    <t xml:space="preserve">     5207000022   无形资产处置损失</t>
  </si>
  <si>
    <t xml:space="preserve">    5301060000  Other Income-Subsidy income</t>
  </si>
  <si>
    <t xml:space="preserve">     5301060000   其他收入-补贴收入</t>
  </si>
  <si>
    <t xml:space="preserve">    5301999999  Non-operation revenue-Other</t>
  </si>
  <si>
    <t xml:space="preserve">     5301999999   非经营收入-其他</t>
  </si>
  <si>
    <t xml:space="preserve">    5405030000  Other cost-others</t>
  </si>
  <si>
    <t xml:space="preserve">     5405030000   其他成本-其他</t>
  </si>
  <si>
    <t xml:space="preserve">    5601050000  Non-Operating Expense - Penalty</t>
  </si>
  <si>
    <t xml:space="preserve">     5601050000   非经营费用-罚款</t>
  </si>
  <si>
    <t xml:space="preserve">    5601050100  Non-operation Expense-Others</t>
  </si>
  <si>
    <t xml:space="preserve">     5601050100   非经营费用-其他</t>
  </si>
  <si>
    <t xml:space="preserve">    5102040893  Other revenue-Charge out-Test Expense</t>
  </si>
  <si>
    <t xml:space="preserve">     5102040893   其他收入-费用支出-测试费用</t>
  </si>
  <si>
    <t xml:space="preserve">   5801000041  Previous year Sundry cost</t>
  </si>
  <si>
    <t xml:space="preserve">    5801000041   前一年杂项成本</t>
  </si>
  <si>
    <t xml:space="preserve">    6666010322  fuel allowance</t>
  </si>
  <si>
    <t xml:space="preserve">     6666010322   燃料津贴</t>
  </si>
  <si>
    <t xml:space="preserve">    6666020101  Entertainment</t>
  </si>
  <si>
    <t xml:space="preserve">     6666020101   娱乐</t>
  </si>
  <si>
    <t xml:space="preserve">    6666020201  Domestic business travel</t>
  </si>
  <si>
    <t xml:space="preserve">     6666020201   国内商务旅行</t>
  </si>
  <si>
    <t xml:space="preserve">    6666020202  Overseas business travel</t>
  </si>
  <si>
    <t xml:space="preserve">     6666020202   海外商务旅行</t>
  </si>
  <si>
    <t xml:space="preserve">    6666020204  Travel expense pay to agency</t>
  </si>
  <si>
    <t xml:space="preserve">     6666020204   付给代理的差旅费</t>
  </si>
  <si>
    <t xml:space="preserve">    6666020205  Business travel-other</t>
  </si>
  <si>
    <t xml:space="preserve">     6666020205   商务旅行-其他</t>
  </si>
  <si>
    <t xml:space="preserve">    6666020301  Staff communic</t>
  </si>
  <si>
    <t xml:space="preserve">     6666020301   员工通讯</t>
  </si>
  <si>
    <t xml:space="preserve">    6666020302  Communication Expenses</t>
  </si>
  <si>
    <t xml:space="preserve">     6666020302   通讯费用</t>
  </si>
  <si>
    <t>6666020403</t>
  </si>
  <si>
    <t xml:space="preserve">    6666020403  Company car expense</t>
  </si>
  <si>
    <t xml:space="preserve">     6666020403   公司车辆费用</t>
  </si>
  <si>
    <t xml:space="preserve">    6666020405  Company car expense - maintenance fees</t>
  </si>
  <si>
    <t xml:space="preserve">     6666020405   公司车辆费用-维护费</t>
  </si>
  <si>
    <t xml:space="preserve">    6666020495  Non-deductible expense-travel.</t>
  </si>
  <si>
    <t xml:space="preserve">     6666020495   不可抵扣费用-差旅。</t>
  </si>
  <si>
    <t xml:space="preserve">    6666020504  Newspaper and Periodicals expenditure</t>
  </si>
  <si>
    <t xml:space="preserve">     6666020504   报纸和期刊支出</t>
  </si>
  <si>
    <t xml:space="preserve">    6666020508  Postage</t>
  </si>
  <si>
    <t xml:space="preserve">     6666020508   邮资</t>
  </si>
  <si>
    <t xml:space="preserve">    6666020602  Training costs Outside the group</t>
  </si>
  <si>
    <t xml:space="preserve">     6666020602   集团外培训费用</t>
  </si>
  <si>
    <t xml:space="preserve">    6666020701  Enterprise Property Insurance</t>
  </si>
  <si>
    <t xml:space="preserve">     6666020701   企业财产保险</t>
  </si>
  <si>
    <t xml:space="preserve">    6666020802  Equipment rental cost</t>
  </si>
  <si>
    <t xml:space="preserve">     6666020802   设备租赁费用</t>
  </si>
  <si>
    <t xml:space="preserve">    6666020803  Car rental cost</t>
  </si>
  <si>
    <t xml:space="preserve">     6666020803   汽车租赁费用</t>
  </si>
  <si>
    <t xml:space="preserve">    6666021100  Consulting fees</t>
  </si>
  <si>
    <t xml:space="preserve">     6666021100   咨询费</t>
  </si>
  <si>
    <t xml:space="preserve">    6666021104  Consulting expense-Technical</t>
  </si>
  <si>
    <t xml:space="preserve">     6666021104   咨询费用-技术</t>
  </si>
  <si>
    <t xml:space="preserve">    6666021902  Cleaning fees</t>
  </si>
  <si>
    <t xml:space="preserve">     6666021902   清洁费</t>
  </si>
  <si>
    <t xml:space="preserve">    6666022100  Security</t>
  </si>
  <si>
    <t xml:space="preserve">     6666022100   安全</t>
  </si>
  <si>
    <t xml:space="preserve">    6666022300  Association dues</t>
  </si>
  <si>
    <t xml:space="preserve">     6666022300   协会会费</t>
  </si>
  <si>
    <t xml:space="preserve">    6666029700  Service fee recharge</t>
  </si>
  <si>
    <t xml:space="preserve">     6666029700   服务费充值</t>
  </si>
  <si>
    <t xml:space="preserve">    6666029900  Sundry Expenses</t>
  </si>
  <si>
    <t xml:space="preserve">     6666029900   杂项费用</t>
  </si>
  <si>
    <t xml:space="preserve">    6666029996  Non-deductible expense-travel.</t>
  </si>
  <si>
    <t xml:space="preserve">     6666029996   不可抵扣费用-差旅。</t>
  </si>
  <si>
    <t xml:space="preserve">    6666029997  restructure cost</t>
  </si>
  <si>
    <t>6666029997 重组成本</t>
  </si>
  <si>
    <t xml:space="preserve">    6666030702  R&amp;D prototype purchased</t>
  </si>
  <si>
    <t>6666030702 研发原型采购</t>
  </si>
  <si>
    <t xml:space="preserve">    6666031200  Instrument fee</t>
  </si>
  <si>
    <t>6666031200 仪器费用</t>
  </si>
  <si>
    <t xml:space="preserve">    6666050107  Special distribution costs</t>
  </si>
  <si>
    <t>6666050107 特殊分配成本</t>
  </si>
  <si>
    <t xml:space="preserve">    6666070100  Software purchase, development and imple</t>
  </si>
  <si>
    <t>6666070100 软件购买、开发及实施</t>
  </si>
  <si>
    <t xml:space="preserve">    6666070300  Software maintenance fees</t>
  </si>
  <si>
    <t>6666070300 软件维护费</t>
  </si>
  <si>
    <t xml:space="preserve">    6666070400  IT maint. &amp; repairs hardware</t>
  </si>
  <si>
    <t>6666070400 IT维护与硬件修理</t>
  </si>
  <si>
    <t xml:space="preserve">    5401050201  COGS-Special a</t>
  </si>
  <si>
    <t>5401050201 COGS-特殊a</t>
  </si>
  <si>
    <t xml:space="preserve">    5401020212  Local Transpor</t>
  </si>
  <si>
    <t>5401020212 本地运输</t>
  </si>
  <si>
    <t>6666050320</t>
  </si>
  <si>
    <t xml:space="preserve">    6666050320  Reworking costs</t>
  </si>
  <si>
    <t>6666050320 再加工成本</t>
  </si>
  <si>
    <t>6666093800</t>
  </si>
  <si>
    <t xml:space="preserve">    6666093800  Other Taxes-CIT Deductible</t>
  </si>
  <si>
    <t>6666093800 其他税项-可抵扣公司税</t>
  </si>
  <si>
    <t>5601080000</t>
  </si>
  <si>
    <t xml:space="preserve">    5601080000  Non-operating expense-VAT non-deductible</t>
  </si>
  <si>
    <t>5601080000 非经营性支出-不可抵扣增值税</t>
  </si>
  <si>
    <t xml:space="preserve">    6666040215  Product sample fee</t>
  </si>
  <si>
    <t>6666040215 产品样品费用</t>
  </si>
  <si>
    <t>6666020403 公司车辆费用</t>
  </si>
  <si>
    <t>6666021200</t>
  </si>
  <si>
    <t xml:space="preserve">    6666021200  Audit fee</t>
  </si>
  <si>
    <t>6666021200 审计费用</t>
  </si>
  <si>
    <t>6666050202</t>
  </si>
  <si>
    <t xml:space="preserve">    6666050202  Custom clearance charge</t>
  </si>
  <si>
    <t>6666050202 海关清关费用</t>
  </si>
  <si>
    <t>5401050201</t>
  </si>
  <si>
    <t xml:space="preserve">    5401050201  COGS-Freight out-Special and sporadic fr</t>
  </si>
  <si>
    <t>5401050201 COGS-特殊和零星运费</t>
  </si>
  <si>
    <t>* CS_Fix Cost</t>
  </si>
  <si>
    <t xml:space="preserve">    6666110203  Low value consumables</t>
  </si>
  <si>
    <t>6666110203 低值易耗品</t>
  </si>
  <si>
    <t>*   CS_Variable Cost</t>
  </si>
  <si>
    <t xml:space="preserve">    5102040000  Other Revenue - Other</t>
  </si>
  <si>
    <t>5102040000 其他收入-其他</t>
  </si>
  <si>
    <t xml:space="preserve">    6666050307  Inventory count different-raw material</t>
  </si>
  <si>
    <t>6666050307 盘点差异-原材料</t>
  </si>
  <si>
    <t xml:space="preserve">    6666050312  Inventory count different- Semifinished</t>
  </si>
  <si>
    <t xml:space="preserve">     6666050312 半成品库存数量差异</t>
  </si>
  <si>
    <t>*    CS_可变成本</t>
  </si>
  <si>
    <t xml:space="preserve">    6666100203  Provision for inventory devaluation - RM</t>
  </si>
  <si>
    <t xml:space="preserve">     6666100203 存货减值准备 - RM</t>
  </si>
  <si>
    <t>*   CS_Obsolescence</t>
  </si>
  <si>
    <t>*    CS_过时</t>
  </si>
  <si>
    <t xml:space="preserve">    5301070000  Non-operation revenue-sales of scrapped</t>
  </si>
  <si>
    <t xml:space="preserve">     5301070000 非运营收入 - 报废销售</t>
  </si>
  <si>
    <t>*   CS_Reselling</t>
  </si>
  <si>
    <t>*    CS_转售</t>
  </si>
  <si>
    <t xml:space="preserve">    6666021602  Electricity</t>
  </si>
  <si>
    <t xml:space="preserve">     6666021602 电费</t>
  </si>
  <si>
    <t>*   CS_Fix Utilities</t>
  </si>
  <si>
    <t>*    CS_固定公用事业</t>
  </si>
  <si>
    <t xml:space="preserve">    6666021600  Energy and power cost</t>
  </si>
  <si>
    <t xml:space="preserve">     6666021600 能源和动力成本</t>
  </si>
  <si>
    <t>*   CS_Variable Utilities</t>
  </si>
  <si>
    <t xml:space="preserve">    6666021603  Water</t>
  </si>
  <si>
    <t xml:space="preserve">     6666021603 水费</t>
  </si>
  <si>
    <t xml:space="preserve">    6666021604  Oil &amp; Gas</t>
  </si>
  <si>
    <t xml:space="preserve">     6666021604 石油与天然气</t>
  </si>
  <si>
    <t>*    CS_可变公用事业</t>
  </si>
  <si>
    <t xml:space="preserve">    5001010206  Unemployment Insurance -blue collar-Indi</t>
  </si>
  <si>
    <t xml:space="preserve">     5001010206 失业保险 - 蓝领 - 印度</t>
  </si>
  <si>
    <t>*   CS_Indirect Labour</t>
  </si>
  <si>
    <t xml:space="preserve">    6666010184  Salary&amp;Additional Incentive-Blue Collar-</t>
  </si>
  <si>
    <t xml:space="preserve">     6666010184 工资及额外激励 - 蓝领</t>
  </si>
  <si>
    <t xml:space="preserve">    6666010186  Overtime-Blue Collar-Indirect</t>
  </si>
  <si>
    <t xml:space="preserve">     6666010186 加班费 - 蓝领 - 间接</t>
  </si>
  <si>
    <t xml:space="preserve">    6666010189  Salary - Blue collar indirect employees</t>
  </si>
  <si>
    <t xml:space="preserve">     6666010189 蓝领间接员工工资</t>
  </si>
  <si>
    <t xml:space="preserve">    6666010012  Payroll Taxes- Blue Collar Indirect</t>
  </si>
  <si>
    <t xml:space="preserve">     6666010012 工资税 - 蓝领间接</t>
  </si>
  <si>
    <t xml:space="preserve">    6666010226  Staff Leaving Indemnity - Blue Collar In</t>
  </si>
  <si>
    <t xml:space="preserve">     6666010226 蓝领离职赔偿</t>
  </si>
  <si>
    <t xml:space="preserve">    6666010102  Salary-Blue collar indirect employees- A</t>
  </si>
  <si>
    <t xml:space="preserve">     6666010102 蓝领间接员工工资 - A</t>
  </si>
  <si>
    <t>FIX</t>
  </si>
  <si>
    <t>*    CS_间接劳动力</t>
  </si>
  <si>
    <t xml:space="preserve">    6666010196  Payroll Taxes-White Collar Employee</t>
  </si>
  <si>
    <t>6666010196 工资税-白领员工</t>
  </si>
  <si>
    <t>*   CS_Fixed Labour</t>
  </si>
  <si>
    <t xml:space="preserve">    6666010101  Salary - White collar employees</t>
  </si>
  <si>
    <t>6666010101 薪资-白领员工</t>
  </si>
  <si>
    <t xml:space="preserve">    6666010199  Salary-White collar employees -Accrued</t>
  </si>
  <si>
    <t>6666010199 薪资-白领员工-计提</t>
  </si>
  <si>
    <t xml:space="preserve">    6666010185  Salary&amp;Additional Incentive-White Collar</t>
  </si>
  <si>
    <t>6666010185 薪资及额外奖金-白领</t>
  </si>
  <si>
    <t xml:space="preserve">    6666010207  Unemployment insurance companies to pay</t>
  </si>
  <si>
    <t>6666010207 失业保险-公司支付</t>
  </si>
  <si>
    <t xml:space="preserve">    6666010227  Staff Leaving Indemnity - White collar E</t>
  </si>
  <si>
    <t>6666010227 白领员工离职赔偿</t>
  </si>
  <si>
    <t>* CS_Fixed Labour</t>
  </si>
  <si>
    <t xml:space="preserve">    6666020903  Other materials</t>
  </si>
  <si>
    <t>6666020903 其他材料</t>
  </si>
  <si>
    <t>*   CS_Semifix</t>
  </si>
  <si>
    <t xml:space="preserve">    6666010302  Medical expenses</t>
  </si>
  <si>
    <t>6666010302 医疗费用</t>
  </si>
  <si>
    <t xml:space="preserve">    6666010314  Work uniforms</t>
  </si>
  <si>
    <t>6666010314 工作服</t>
  </si>
  <si>
    <t xml:space="preserve">    6666020401  local transportation - bus and taxi</t>
  </si>
  <si>
    <t>6666020401 本地交通-公交车和出租车</t>
  </si>
  <si>
    <t xml:space="preserve">    6666020402  Local transportation-transport subsidies</t>
  </si>
  <si>
    <t>6666020402 本地交通-交通补贴</t>
  </si>
  <si>
    <t xml:space="preserve">    6666020502  Working meals</t>
  </si>
  <si>
    <t>6666020502 工作餐</t>
  </si>
  <si>
    <t xml:space="preserve">    6666020503  Office supplies</t>
  </si>
  <si>
    <t>6666020503 办公用品</t>
  </si>
  <si>
    <t xml:space="preserve">    6666021500  Repairs cost</t>
  </si>
  <si>
    <t>6666021500 维修成本</t>
  </si>
  <si>
    <t xml:space="preserve">    6666021502  Repair &amp; Maintain - Building&amp;office</t>
  </si>
  <si>
    <t>6666021502 维修与保养-建筑与办公室</t>
  </si>
  <si>
    <t xml:space="preserve">    6666021503  Repair &amp; Maintain - Tooling &amp; Equipments</t>
  </si>
  <si>
    <t>6666021503 维修与保养-工具与设备</t>
  </si>
  <si>
    <t xml:space="preserve">    6666021505  Repairs &amp; Maintenance - Vehicles</t>
  </si>
  <si>
    <t>6666021505 修理与维护 - 车辆</t>
  </si>
  <si>
    <t xml:space="preserve">    6666021506  Repairs &amp; Maintenance - Plant &amp; Machiner</t>
  </si>
  <si>
    <t>6666021506 修理与维护 - 厂房与机械</t>
  </si>
  <si>
    <t xml:space="preserve">    6666030300  Design and development fees</t>
  </si>
  <si>
    <t>6666030300 设计与开发费用</t>
  </si>
  <si>
    <t xml:space="preserve">    6666091600  Garbage disposal charge</t>
  </si>
  <si>
    <t>6666091600 垃圾处理费</t>
  </si>
  <si>
    <t>* CS_Semifix</t>
  </si>
  <si>
    <t>Manufacturing cost without Shares &amp; Out of Perimeter</t>
  </si>
  <si>
    <t>6666110110 折旧 - 厂房与机械</t>
  </si>
  <si>
    <t>CS_Depreci</t>
  </si>
  <si>
    <t>* CS_Depreciation</t>
  </si>
  <si>
    <t>6666010380 奖金</t>
  </si>
  <si>
    <t xml:space="preserve">    5102040406  Other revenue-Servic</t>
  </si>
  <si>
    <t>5102040406 其他收入 - 服务</t>
  </si>
  <si>
    <t xml:space="preserve">CS_Direct </t>
  </si>
  <si>
    <t>* CS_Direct Labour</t>
  </si>
  <si>
    <t>6666029996 不可扣除费用 - 旅行</t>
  </si>
  <si>
    <t>6666029700 服务费回收费</t>
  </si>
  <si>
    <t>6666010322 燃油津贴</t>
  </si>
  <si>
    <t>6666020495 不可扣除费用 - 旅行</t>
  </si>
  <si>
    <t>5301060000 其他收入 - 补助收入</t>
  </si>
  <si>
    <t>5601050000 非经营费用 - 罚款</t>
  </si>
  <si>
    <t>5601050100 非经营费用 - 其他</t>
  </si>
  <si>
    <t xml:space="preserve">    5601080000  Non-operating expens</t>
  </si>
  <si>
    <t>5601080000 非经营性支出</t>
  </si>
  <si>
    <t>6666020101 娱乐</t>
  </si>
  <si>
    <t>6666020201 国内商务差旅</t>
  </si>
  <si>
    <t>6666020202 海外商务差旅</t>
  </si>
  <si>
    <t>6666020204 付给代理的差旅费用</t>
  </si>
  <si>
    <t xml:space="preserve">    6666020301  Staff communication expense</t>
  </si>
  <si>
    <t>6666020301 员工沟通费用</t>
  </si>
  <si>
    <t>6666020504 报纸和期刊支出</t>
  </si>
  <si>
    <t>6666020508 邮资</t>
  </si>
  <si>
    <t>6666020602 集团外培训费用</t>
  </si>
  <si>
    <t>6666020701 企业财产保险</t>
  </si>
  <si>
    <t xml:space="preserve">    6666020801  Housing rental cost</t>
  </si>
  <si>
    <t>6666020801 房屋租赁成本</t>
  </si>
  <si>
    <t>6666020803 汽车租赁成本</t>
  </si>
  <si>
    <t>6666021100 咨询费</t>
  </si>
  <si>
    <t xml:space="preserve">    6666021102  Consulting expense-tax</t>
  </si>
  <si>
    <t>6666021102 咨询费用-税</t>
  </si>
  <si>
    <t>6666021104 咨询费用-技术</t>
  </si>
  <si>
    <t xml:space="preserve">    6666021300  Legal fees</t>
  </si>
  <si>
    <t>6666021300 法律费用</t>
  </si>
  <si>
    <t>6666021902 清洁费</t>
  </si>
  <si>
    <t>6666022100 安全</t>
  </si>
  <si>
    <t>6666022300 会费</t>
  </si>
  <si>
    <t>6666029900 杂项支出</t>
  </si>
  <si>
    <t xml:space="preserve">     6666029997   重组成本</t>
  </si>
  <si>
    <t xml:space="preserve">    6666031100  Technical Documentation</t>
  </si>
  <si>
    <t xml:space="preserve">     6666031100   技术文档</t>
  </si>
  <si>
    <t xml:space="preserve">     6666050107   特殊分配成本</t>
  </si>
  <si>
    <t xml:space="preserve">    6666079999  IT Expense-Internal Charge Out</t>
  </si>
  <si>
    <t xml:space="preserve">     6666079999   IT费用-内部收费</t>
  </si>
  <si>
    <t xml:space="preserve">    6666090100  Stamp Duty</t>
  </si>
  <si>
    <t xml:space="preserve">     6666090100   印花税</t>
  </si>
  <si>
    <t xml:space="preserve">     6666093800   其他税项-可抵扣的公司所得税</t>
  </si>
  <si>
    <t xml:space="preserve">     5401050201   销售成本-特殊和零星的运费</t>
  </si>
  <si>
    <t xml:space="preserve">     5301070000   非经营收入-废品销售</t>
  </si>
  <si>
    <t xml:space="preserve">    5102040894 Other revenue-Internal Charge out -Fixed</t>
  </si>
  <si>
    <t xml:space="preserve">     5102040894 其他收入-内部收费-固定</t>
  </si>
  <si>
    <t xml:space="preserve">     6666070400   IT维护与硬件修理</t>
  </si>
  <si>
    <t xml:space="preserve">    5801000041  Previous year Sundry cost</t>
  </si>
  <si>
    <t xml:space="preserve">     5801000041   前一年杂项费用</t>
  </si>
  <si>
    <t xml:space="preserve">     6666010380   激励</t>
  </si>
  <si>
    <t>CS_Fix Cos</t>
  </si>
  <si>
    <t>*    CS_Fix Cost</t>
  </si>
  <si>
    <t xml:space="preserve">     5102040000   其他收入 - 其他</t>
  </si>
  <si>
    <t>CS_Variabl</t>
  </si>
  <si>
    <t>*    CS_Variable Cost</t>
  </si>
  <si>
    <t xml:space="preserve">     6666021600   能源和电力成本</t>
  </si>
  <si>
    <t xml:space="preserve">     6666021604   石油与天然气</t>
  </si>
  <si>
    <t>CS_Variable Utilities</t>
  </si>
  <si>
    <t>6666010012 工资税-间接蓝领</t>
  </si>
  <si>
    <t xml:space="preserve">    6666010102  Salary-Blue collar i</t>
  </si>
  <si>
    <t>6666010102 工资-蓝领</t>
  </si>
  <si>
    <t>CS_Indirec</t>
  </si>
  <si>
    <t>CS_Indirect Labour</t>
  </si>
  <si>
    <t>6666010101 工资 - 白领员工</t>
  </si>
  <si>
    <t>6666010199 工资-白领员工 - 应计</t>
  </si>
  <si>
    <t>6666010207 应付失业保险公司的款项</t>
  </si>
  <si>
    <t xml:space="preserve">    6666010227  Staff Leaving Indemn</t>
  </si>
  <si>
    <t>6666010227 员工离职赔偿</t>
  </si>
  <si>
    <t>CS_Fixed L</t>
  </si>
  <si>
    <t>CS_Fixed Labour</t>
  </si>
  <si>
    <t>6666010314 工作制服</t>
  </si>
  <si>
    <t>6666020401 本地交通 - 公交和出租车</t>
  </si>
  <si>
    <t>6666021502 维修与保养 - 建筑与办公室</t>
  </si>
  <si>
    <t>6666021505 维修与保养 - 车辆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</si>
  <si>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</si>
  <si>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</si>
  <si>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</si>
  <si>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</si>
  <si>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</si>
  <si>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CPU € / pcs</t>
  </si>
  <si>
    <t>Direct Labour</t>
  </si>
  <si>
    <t>Direct Expences</t>
  </si>
  <si>
    <t>Indirect Labour</t>
  </si>
  <si>
    <t>Fixed Labour</t>
  </si>
  <si>
    <t>Fixed Expences</t>
  </si>
  <si>
    <t>Depreciation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</si>
  <si>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</si>
  <si>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</si>
  <si>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</si>
  <si>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</si>
  <si>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</si>
  <si>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COST CENTER TOTAL IN LOCAL CURRENCY</t>
  </si>
  <si>
    <t>AVG FX MONTHLY BASİS</t>
  </si>
  <si>
    <t>FUNCTIONAL CURRENCY IMPACT</t>
  </si>
  <si>
    <t>6666110101 建筑物折旧</t>
  </si>
  <si>
    <t>6666110106 研发设施折旧</t>
  </si>
  <si>
    <t xml:space="preserve">     6666110107   模具折旧</t>
  </si>
  <si>
    <t xml:space="preserve">     6666110110   折旧-厂房及机械</t>
  </si>
  <si>
    <t xml:space="preserve">     6666110112   家具及装置折旧</t>
  </si>
  <si>
    <t xml:space="preserve">     6666110204   许可证、商标及无形资产摊销</t>
  </si>
  <si>
    <t xml:space="preserve">     6666110207   软件摊销</t>
  </si>
  <si>
    <t xml:space="preserve">     6666110506   租赁改良摊销</t>
  </si>
  <si>
    <t xml:space="preserve">    6666110206Intangible asset- Patent</t>
  </si>
  <si>
    <t xml:space="preserve">     6666110206无形资产-专利</t>
  </si>
  <si>
    <t>MFG PERIMETER (INCLUDING FC)</t>
  </si>
  <si>
    <t>OUT OF MFG PERIMETER</t>
  </si>
  <si>
    <t>REPORT DECLARED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</si>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</sst>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"/>
    <numFmt numFmtId="178" formatCode="_-* #,##0_-;\-* #,##0_-;_-* &quot;-&quot;??_-;_-@_-"/>
    <numFmt numFmtId="179" formatCode="_-[$€-2]\ * #,##0.00_-;\-[$€-2]\ * #,##0.00_-;_-[$€-2]\ * &quot;-&quot;??_-;_-@_-"/>
    <numFmt numFmtId="180" formatCode="_-[$₺-41F]* #,##0.00_-;\-[$₺-41F]* #,##0.00_-;_-[$₺-41F]* &quot;-&quot;??_-;_-@_-"/>
    <numFmt numFmtId="181" formatCode="_(* #,##0.00_);_(* \(#,##0.00\);_(* &quot;-&quot;??_);_(@_)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b/>
      <sz val="10"/>
      <name val="Segoe UI"/>
      <charset val="134"/>
    </font>
    <font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b/>
      <sz val="11"/>
      <color theme="0"/>
      <name val="Arial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name val="Calibri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3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7" borderId="19" applyNumberFormat="0" applyAlignment="0" applyProtection="0">
      <alignment vertical="center"/>
    </xf>
    <xf numFmtId="0" fontId="26" fillId="18" borderId="20" applyNumberFormat="0" applyAlignment="0" applyProtection="0">
      <alignment vertical="center"/>
    </xf>
    <xf numFmtId="0" fontId="27" fillId="18" borderId="19" applyNumberFormat="0" applyAlignment="0" applyProtection="0">
      <alignment vertical="center"/>
    </xf>
    <xf numFmtId="0" fontId="28" fillId="19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" fillId="0" borderId="0"/>
    <xf numFmtId="0" fontId="8" fillId="0" borderId="0"/>
    <xf numFmtId="0" fontId="36" fillId="0" borderId="0"/>
  </cellStyleXfs>
  <cellXfs count="16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3" fillId="2" borderId="0" xfId="49" applyFill="1"/>
    <xf numFmtId="0" fontId="3" fillId="2" borderId="0" xfId="49" applyFill="1" applyAlignment="1">
      <alignment horizontal="center"/>
    </xf>
    <xf numFmtId="4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1" applyFont="1" applyFill="1" applyAlignment="1">
      <alignment vertical="center"/>
    </xf>
    <xf numFmtId="176" fontId="0" fillId="2" borderId="0" xfId="1" applyFont="1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49" applyFont="1"/>
    <xf numFmtId="3" fontId="7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1" applyFont="1" applyFill="1" applyAlignment="1">
      <alignment horizontal="center" vertical="center"/>
    </xf>
    <xf numFmtId="176" fontId="1" fillId="2" borderId="0" xfId="1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76" fontId="1" fillId="0" borderId="0" xfId="1" applyFont="1" applyFill="1" applyAlignment="1">
      <alignment vertical="center"/>
    </xf>
    <xf numFmtId="176" fontId="1" fillId="2" borderId="0" xfId="1" applyFont="1" applyFill="1" applyAlignment="1">
      <alignment vertical="center"/>
    </xf>
    <xf numFmtId="4" fontId="1" fillId="2" borderId="0" xfId="0" applyNumberFormat="1" applyFont="1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3" fontId="2" fillId="2" borderId="0" xfId="0" applyNumberFormat="1" applyFont="1" applyFill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7" xfId="0" applyFont="1" applyFill="1" applyBorder="1">
      <alignment vertical="center"/>
    </xf>
    <xf numFmtId="3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/>
    </xf>
    <xf numFmtId="176" fontId="3" fillId="0" borderId="0" xfId="1" applyFont="1" applyFill="1" applyAlignment="1">
      <alignment vertical="center"/>
    </xf>
    <xf numFmtId="177" fontId="3" fillId="0" borderId="3" xfId="0" applyNumberFormat="1" applyFont="1" applyBorder="1" applyAlignment="1">
      <alignment horizontal="center" vertical="center"/>
    </xf>
    <xf numFmtId="0" fontId="3" fillId="2" borderId="0" xfId="0" applyFont="1" applyFill="1">
      <alignment vertical="center"/>
    </xf>
    <xf numFmtId="177" fontId="3" fillId="5" borderId="3" xfId="0" applyNumberFormat="1" applyFont="1" applyFill="1" applyBorder="1" applyAlignment="1">
      <alignment horizontal="center" vertical="center"/>
    </xf>
    <xf numFmtId="49" fontId="8" fillId="0" borderId="3" xfId="50" applyNumberFormat="1" applyBorder="1" applyAlignment="1">
      <alignment horizontal="left"/>
    </xf>
    <xf numFmtId="49" fontId="8" fillId="0" borderId="0" xfId="50" applyNumberFormat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0" fontId="0" fillId="5" borderId="0" xfId="0" applyFill="1" applyAlignment="1"/>
    <xf numFmtId="178" fontId="2" fillId="2" borderId="0" xfId="1" applyNumberFormat="1" applyFont="1" applyFill="1" applyAlignment="1">
      <alignment vertical="center"/>
    </xf>
    <xf numFmtId="176" fontId="1" fillId="2" borderId="0" xfId="0" applyNumberFormat="1" applyFont="1" applyFill="1">
      <alignment vertical="center"/>
    </xf>
    <xf numFmtId="0" fontId="4" fillId="2" borderId="0" xfId="0" applyFont="1" applyFill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5" borderId="8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3" fontId="5" fillId="4" borderId="9" xfId="0" applyNumberFormat="1" applyFont="1" applyFill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0" fillId="2" borderId="0" xfId="0" applyNumberFormat="1" applyFill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" fontId="0" fillId="2" borderId="10" xfId="0" applyNumberFormat="1" applyFill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3" fontId="0" fillId="2" borderId="4" xfId="0" applyNumberForma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3" fontId="2" fillId="2" borderId="4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3" fillId="5" borderId="0" xfId="0" applyFont="1" applyFill="1">
      <alignment vertical="center"/>
    </xf>
    <xf numFmtId="0" fontId="0" fillId="5" borderId="4" xfId="0" applyNumberForma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3" xfId="0" applyFont="1" applyFill="1" applyBorder="1">
      <alignment vertical="center"/>
    </xf>
    <xf numFmtId="3" fontId="5" fillId="4" borderId="13" xfId="0" applyNumberFormat="1" applyFont="1" applyFill="1" applyBorder="1" applyAlignment="1">
      <alignment horizontal="center" vertical="center"/>
    </xf>
    <xf numFmtId="177" fontId="5" fillId="4" borderId="14" xfId="0" applyNumberFormat="1" applyFont="1" applyFill="1" applyBorder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2" borderId="0" xfId="0" applyNumberFormat="1" applyFont="1" applyFill="1">
      <alignment vertical="center"/>
    </xf>
    <xf numFmtId="0" fontId="5" fillId="4" borderId="0" xfId="0" applyFont="1" applyFill="1">
      <alignment vertical="center"/>
    </xf>
    <xf numFmtId="176" fontId="5" fillId="0" borderId="0" xfId="1" applyFont="1" applyFill="1" applyAlignment="1">
      <alignment vertical="center"/>
    </xf>
    <xf numFmtId="176" fontId="5" fillId="2" borderId="0" xfId="1" applyFont="1" applyFill="1" applyAlignment="1">
      <alignment vertical="center"/>
    </xf>
    <xf numFmtId="4" fontId="5" fillId="4" borderId="9" xfId="0" applyNumberFormat="1" applyFont="1" applyFill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4" fontId="0" fillId="0" borderId="0" xfId="0" applyNumberFormat="1">
      <alignment vertical="center"/>
    </xf>
    <xf numFmtId="0" fontId="9" fillId="2" borderId="0" xfId="49" applyFont="1" applyFill="1" applyAlignment="1">
      <alignment horizontal="center"/>
    </xf>
    <xf numFmtId="176" fontId="9" fillId="2" borderId="0" xfId="1" applyFont="1" applyFill="1" applyAlignment="1">
      <alignment horizontal="center"/>
    </xf>
    <xf numFmtId="0" fontId="5" fillId="4" borderId="10" xfId="49" applyFont="1" applyFill="1" applyBorder="1"/>
    <xf numFmtId="0" fontId="10" fillId="7" borderId="11" xfId="49" applyFont="1" applyFill="1" applyBorder="1" applyAlignment="1">
      <alignment horizontal="center"/>
    </xf>
    <xf numFmtId="0" fontId="10" fillId="7" borderId="12" xfId="49" applyFont="1" applyFill="1" applyBorder="1" applyAlignment="1">
      <alignment horizontal="center"/>
    </xf>
    <xf numFmtId="176" fontId="3" fillId="0" borderId="0" xfId="1" applyFont="1" applyFill="1"/>
    <xf numFmtId="176" fontId="3" fillId="0" borderId="0" xfId="1" applyFont="1"/>
    <xf numFmtId="0" fontId="3" fillId="0" borderId="0" xfId="49"/>
    <xf numFmtId="4" fontId="9" fillId="2" borderId="0" xfId="49" applyNumberFormat="1" applyFont="1" applyFill="1" applyAlignment="1">
      <alignment horizontal="center"/>
    </xf>
    <xf numFmtId="0" fontId="11" fillId="8" borderId="4" xfId="51" applyFont="1" applyFill="1" applyBorder="1"/>
    <xf numFmtId="3" fontId="3" fillId="9" borderId="0" xfId="49" applyNumberFormat="1" applyFill="1" applyAlignment="1">
      <alignment horizontal="center"/>
    </xf>
    <xf numFmtId="4" fontId="3" fillId="9" borderId="2" xfId="49" applyNumberFormat="1" applyFill="1" applyBorder="1" applyAlignment="1">
      <alignment horizontal="center"/>
    </xf>
    <xf numFmtId="176" fontId="3" fillId="0" borderId="0" xfId="1" applyFont="1" applyFill="1" applyAlignment="1">
      <alignment horizontal="center"/>
    </xf>
    <xf numFmtId="176" fontId="3" fillId="0" borderId="0" xfId="1" applyFont="1" applyAlignment="1">
      <alignment horizontal="center"/>
    </xf>
    <xf numFmtId="0" fontId="3" fillId="0" borderId="0" xfId="49" applyAlignment="1">
      <alignment horizontal="center"/>
    </xf>
    <xf numFmtId="0" fontId="11" fillId="10" borderId="4" xfId="51" applyFont="1" applyFill="1" applyBorder="1"/>
    <xf numFmtId="3" fontId="3" fillId="11" borderId="0" xfId="49" applyNumberFormat="1" applyFill="1" applyAlignment="1">
      <alignment horizontal="center"/>
    </xf>
    <xf numFmtId="4" fontId="3" fillId="11" borderId="2" xfId="49" applyNumberFormat="1" applyFill="1" applyBorder="1" applyAlignment="1">
      <alignment horizontal="center"/>
    </xf>
    <xf numFmtId="0" fontId="11" fillId="12" borderId="4" xfId="51" applyFont="1" applyFill="1" applyBorder="1"/>
    <xf numFmtId="3" fontId="3" fillId="13" borderId="0" xfId="49" applyNumberFormat="1" applyFill="1" applyAlignment="1">
      <alignment horizontal="center"/>
    </xf>
    <xf numFmtId="4" fontId="3" fillId="13" borderId="2" xfId="49" applyNumberFormat="1" applyFill="1" applyBorder="1" applyAlignment="1">
      <alignment horizontal="center"/>
    </xf>
    <xf numFmtId="0" fontId="12" fillId="4" borderId="9" xfId="51" applyFont="1" applyFill="1" applyBorder="1" applyAlignment="1">
      <alignment horizontal="left"/>
    </xf>
    <xf numFmtId="4" fontId="13" fillId="4" borderId="13" xfId="49" applyNumberFormat="1" applyFont="1" applyFill="1" applyBorder="1" applyAlignment="1">
      <alignment horizontal="center"/>
    </xf>
    <xf numFmtId="4" fontId="13" fillId="4" borderId="14" xfId="49" applyNumberFormat="1" applyFont="1" applyFill="1" applyBorder="1" applyAlignment="1">
      <alignment horizontal="center"/>
    </xf>
    <xf numFmtId="3" fontId="13" fillId="4" borderId="13" xfId="49" applyNumberFormat="1" applyFont="1" applyFill="1" applyBorder="1" applyAlignment="1">
      <alignment horizontal="center"/>
    </xf>
    <xf numFmtId="0" fontId="14" fillId="0" borderId="10" xfId="51" applyFont="1" applyBorder="1"/>
    <xf numFmtId="0" fontId="14" fillId="0" borderId="11" xfId="51" applyFont="1" applyBorder="1"/>
    <xf numFmtId="0" fontId="0" fillId="0" borderId="12" xfId="0" applyBorder="1" applyAlignment="1">
      <alignment horizontal="center" vertical="center"/>
    </xf>
    <xf numFmtId="0" fontId="15" fillId="8" borderId="4" xfId="51" applyFont="1" applyFill="1" applyBorder="1"/>
    <xf numFmtId="3" fontId="15" fillId="8" borderId="0" xfId="51" applyNumberFormat="1" applyFont="1" applyFill="1" applyAlignment="1">
      <alignment horizontal="center"/>
    </xf>
    <xf numFmtId="3" fontId="15" fillId="8" borderId="2" xfId="51" applyNumberFormat="1" applyFont="1" applyFill="1" applyBorder="1" applyAlignment="1">
      <alignment horizontal="center"/>
    </xf>
    <xf numFmtId="0" fontId="15" fillId="10" borderId="4" xfId="51" applyFont="1" applyFill="1" applyBorder="1"/>
    <xf numFmtId="3" fontId="15" fillId="10" borderId="0" xfId="51" applyNumberFormat="1" applyFont="1" applyFill="1" applyAlignment="1">
      <alignment horizontal="center"/>
    </xf>
    <xf numFmtId="3" fontId="15" fillId="10" borderId="2" xfId="51" applyNumberFormat="1" applyFont="1" applyFill="1" applyBorder="1" applyAlignment="1">
      <alignment horizontal="center"/>
    </xf>
    <xf numFmtId="0" fontId="14" fillId="12" borderId="4" xfId="51" applyFont="1" applyFill="1" applyBorder="1"/>
    <xf numFmtId="3" fontId="14" fillId="12" borderId="0" xfId="51" applyNumberFormat="1" applyFont="1" applyFill="1" applyAlignment="1">
      <alignment horizontal="center"/>
    </xf>
    <xf numFmtId="3" fontId="14" fillId="12" borderId="2" xfId="51" applyNumberFormat="1" applyFont="1" applyFill="1" applyBorder="1" applyAlignment="1">
      <alignment horizontal="center"/>
    </xf>
    <xf numFmtId="0" fontId="14" fillId="0" borderId="4" xfId="51" applyFont="1" applyBorder="1"/>
    <xf numFmtId="0" fontId="14" fillId="0" borderId="0" xfId="51" applyFont="1" applyAlignment="1">
      <alignment horizontal="center"/>
    </xf>
    <xf numFmtId="0" fontId="14" fillId="0" borderId="2" xfId="51" applyFont="1" applyBorder="1" applyAlignment="1">
      <alignment horizontal="center"/>
    </xf>
    <xf numFmtId="0" fontId="11" fillId="14" borderId="9" xfId="51" applyFont="1" applyFill="1" applyBorder="1"/>
    <xf numFmtId="1" fontId="11" fillId="14" borderId="13" xfId="51" applyNumberFormat="1" applyFont="1" applyFill="1" applyBorder="1" applyAlignment="1">
      <alignment horizontal="center"/>
    </xf>
    <xf numFmtId="2" fontId="11" fillId="14" borderId="14" xfId="51" applyNumberFormat="1" applyFont="1" applyFill="1" applyBorder="1" applyAlignment="1">
      <alignment horizontal="center"/>
    </xf>
    <xf numFmtId="4" fontId="11" fillId="14" borderId="14" xfId="51" applyNumberFormat="1" applyFont="1" applyFill="1" applyBorder="1" applyAlignment="1">
      <alignment horizontal="center"/>
    </xf>
    <xf numFmtId="4" fontId="0" fillId="2" borderId="0" xfId="0" applyNumberFormat="1" applyFill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8" fontId="0" fillId="0" borderId="0" xfId="1" applyNumberFormat="1" applyFont="1" applyFill="1" applyAlignment="1">
      <alignment vertical="center"/>
    </xf>
    <xf numFmtId="178" fontId="0" fillId="2" borderId="0" xfId="1" applyNumberFormat="1" applyFont="1" applyFill="1" applyAlignment="1">
      <alignment vertical="center"/>
    </xf>
    <xf numFmtId="1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1" applyNumberFormat="1" applyFont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2" borderId="1" xfId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0" fillId="0" borderId="8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3" fillId="0" borderId="0" xfId="0" applyNumberFormat="1" applyFont="1">
      <alignment vertical="center"/>
    </xf>
    <xf numFmtId="4" fontId="0" fillId="0" borderId="0" xfId="1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2" xfId="49"/>
    <cellStyle name="Normal 2" xfId="50"/>
    <cellStyle name="常规 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autoPageBreaks="0"/>
  </sheetPr>
  <dimension ref="A1:AT276"/>
  <sheetViews>
    <sheetView showGridLines="0" tabSelected="1" zoomScale="70" zoomScaleNormal="70" workbookViewId="0">
      <pane xSplit="5" ySplit="4" topLeftCell="AJ5" activePane="bottomRight" state="frozen"/>
      <selection/>
      <selection pane="topRight"/>
      <selection pane="bottomLeft"/>
      <selection pane="bottomRight" activeCell="AM37" sqref="AM37"/>
    </sheetView>
  </sheetViews>
  <sheetFormatPr defaultColWidth="8.775" defaultRowHeight="13.5"/>
  <cols>
    <col min="1" max="1" width="12.2166666666667" style="10" customWidth="1"/>
    <col min="2" max="2" width="13.8833333333333" customWidth="1"/>
    <col min="3" max="4" width="51.8833333333333" customWidth="1"/>
    <col min="5" max="5" width="50" customWidth="1"/>
    <col min="6" max="6" width="18.4416666666667" style="9" customWidth="1"/>
    <col min="7" max="7" width="13.8833333333333" style="9" customWidth="1"/>
    <col min="8" max="8" width="5.21666666666667" style="11" customWidth="1"/>
    <col min="9" max="9" width="14.6666666666667" style="9" customWidth="1"/>
    <col min="10" max="10" width="14.5583333333333" style="9" customWidth="1"/>
    <col min="11" max="11" width="5.21666666666667" style="11" customWidth="1"/>
    <col min="12" max="12" width="15.6666666666667" style="9" customWidth="1"/>
    <col min="13" max="13" width="14.8833333333333" style="9" customWidth="1"/>
    <col min="14" max="14" width="5.21666666666667" style="12" customWidth="1"/>
    <col min="15" max="15" width="15.6666666666667" style="9" customWidth="1"/>
    <col min="16" max="16" width="14.5583333333333" style="9" customWidth="1"/>
    <col min="17" max="17" width="5.44166666666667" style="13" customWidth="1"/>
    <col min="18" max="18" width="15.6666666666667" style="9" customWidth="1"/>
    <col min="19" max="19" width="15" style="9" customWidth="1"/>
    <col min="20" max="20" width="5.775" style="13" customWidth="1"/>
    <col min="21" max="21" width="15.6666666666667" style="9" customWidth="1"/>
    <col min="22" max="22" width="15.3333333333333" style="9" customWidth="1"/>
    <col min="23" max="23" width="5.775" style="13" customWidth="1"/>
    <col min="24" max="24" width="14.6666666666667" style="9" customWidth="1"/>
    <col min="25" max="25" width="14.5583333333333" style="9" customWidth="1"/>
    <col min="26" max="26" width="5.775" style="13" customWidth="1"/>
    <col min="27" max="27" width="16.3333333333333" style="9" customWidth="1"/>
    <col min="28" max="28" width="17.8833333333333" style="9" customWidth="1"/>
    <col min="29" max="29" width="5.775" style="13" customWidth="1"/>
    <col min="30" max="30" width="16.3333333333333" style="9" customWidth="1"/>
    <col min="31" max="31" width="17.8833333333333" style="9" customWidth="1"/>
    <col min="32" max="32" width="5.775" style="13" customWidth="1"/>
    <col min="33" max="33" width="16.3333333333333" style="9" customWidth="1"/>
    <col min="34" max="34" width="17.8833333333333" style="9" customWidth="1"/>
    <col min="35" max="35" width="5.775" style="13" customWidth="1"/>
    <col min="36" max="36" width="16.3333333333333" style="9" customWidth="1"/>
    <col min="37" max="37" width="17.8833333333333" style="9" customWidth="1"/>
    <col min="38" max="38" width="5.775" style="13" customWidth="1"/>
    <col min="39" max="39" width="16.3333333333333" style="9" customWidth="1"/>
    <col min="40" max="40" width="17.8833333333333" style="9" customWidth="1"/>
    <col min="41" max="41" width="5.775" style="13" customWidth="1"/>
    <col min="42" max="42" width="16.3333333333333" style="9" customWidth="1"/>
    <col min="43" max="43" width="17.8833333333333" style="9" customWidth="1"/>
    <col min="44" max="45" width="10.4416666666667" style="13" customWidth="1"/>
    <col min="46" max="16384" width="8.775" style="13"/>
  </cols>
  <sheetData>
    <row r="1" s="1" customFormat="1" ht="14.25" spans="1:44">
      <c r="A1" s="14"/>
      <c r="B1" s="15" t="s">
        <v>0</v>
      </c>
      <c r="C1" s="16"/>
      <c r="D1" s="16"/>
      <c r="E1" s="17" t="s">
        <v>1</v>
      </c>
      <c r="F1" s="18">
        <v>79712</v>
      </c>
      <c r="G1" s="19"/>
      <c r="H1" s="20"/>
      <c r="I1" s="18">
        <v>82105</v>
      </c>
      <c r="J1" s="19"/>
      <c r="K1" s="20"/>
      <c r="L1" s="18">
        <v>92657</v>
      </c>
      <c r="M1" s="19"/>
      <c r="N1" s="21"/>
      <c r="O1" s="18">
        <v>98687</v>
      </c>
      <c r="P1" s="19"/>
      <c r="Q1" s="14"/>
      <c r="R1" s="18">
        <v>93353</v>
      </c>
      <c r="S1" s="19"/>
      <c r="T1" s="14"/>
      <c r="U1" s="18">
        <v>75092</v>
      </c>
      <c r="V1" s="19"/>
      <c r="W1" s="14"/>
      <c r="X1" s="18">
        <v>77799</v>
      </c>
      <c r="Y1" s="19"/>
      <c r="Z1" s="14"/>
      <c r="AA1" s="18">
        <v>58812</v>
      </c>
      <c r="AB1" s="19"/>
      <c r="AC1" s="14"/>
      <c r="AD1" s="18">
        <v>90826</v>
      </c>
      <c r="AE1" s="19"/>
      <c r="AF1" s="14"/>
      <c r="AG1" s="18">
        <v>111572</v>
      </c>
      <c r="AH1" s="19"/>
      <c r="AI1" s="14"/>
      <c r="AJ1" s="18">
        <v>111625</v>
      </c>
      <c r="AK1" s="19"/>
      <c r="AL1" s="14"/>
      <c r="AM1" s="18">
        <v>75554</v>
      </c>
      <c r="AN1" s="19"/>
      <c r="AO1" s="14"/>
      <c r="AP1" s="18">
        <f>+F1+I1+L1+O1+R1+U1+X1+AA1+AD1+AG1+AJ1+AM1</f>
        <v>1047794</v>
      </c>
      <c r="AQ1" s="19"/>
    </row>
    <row r="2" s="1" customFormat="1" spans="1:44">
      <c r="A2" s="14"/>
      <c r="B2" s="16"/>
      <c r="C2" s="16"/>
      <c r="D2" s="16"/>
      <c r="E2" s="17" t="s">
        <v>2</v>
      </c>
      <c r="F2" s="22">
        <v>36.8090863636364</v>
      </c>
      <c r="G2" s="22"/>
      <c r="H2" s="23"/>
      <c r="I2" s="22">
        <v>37.692715</v>
      </c>
      <c r="J2" s="22"/>
      <c r="K2" s="23"/>
      <c r="L2" s="22">
        <v>40.1682857142857</v>
      </c>
      <c r="M2" s="22"/>
      <c r="N2" s="24"/>
      <c r="O2" s="22">
        <v>42.774</v>
      </c>
      <c r="P2" s="22"/>
      <c r="Q2" s="25"/>
      <c r="R2" s="22">
        <v>43.7908380952381</v>
      </c>
      <c r="S2" s="22"/>
      <c r="T2" s="25"/>
      <c r="U2" s="22">
        <v>45.4347</v>
      </c>
      <c r="V2" s="22"/>
      <c r="W2" s="25"/>
      <c r="X2" s="22">
        <v>46.9835130434782</v>
      </c>
      <c r="Y2" s="22"/>
      <c r="Z2" s="25"/>
      <c r="AA2" s="22">
        <v>47.4982523809524</v>
      </c>
      <c r="AB2" s="22"/>
      <c r="AC2" s="25"/>
      <c r="AD2" s="22">
        <v>48.4914</v>
      </c>
      <c r="AE2" s="22"/>
      <c r="AF2" s="25"/>
      <c r="AG2" s="22">
        <v>48.6798695652174</v>
      </c>
      <c r="AH2" s="22"/>
      <c r="AI2" s="25"/>
      <c r="AJ2" s="22">
        <v>48.8908</v>
      </c>
      <c r="AK2" s="22"/>
      <c r="AL2" s="25"/>
      <c r="AM2" s="22">
        <v>49.9695047619048</v>
      </c>
      <c r="AN2" s="22"/>
      <c r="AO2" s="25"/>
      <c r="AP2" s="22">
        <v>44.7652470770594</v>
      </c>
      <c r="AQ2" s="22"/>
    </row>
    <row r="3" spans="1:44">
      <c r="B3" s="3"/>
    </row>
    <row r="4" ht="27" spans="1:44">
      <c r="A4" s="26" t="s">
        <v>3</v>
      </c>
      <c r="F4" s="27" t="s">
        <v>4</v>
      </c>
      <c r="G4" s="27" t="s">
        <v>5</v>
      </c>
      <c r="I4" s="27" t="s">
        <v>6</v>
      </c>
      <c r="J4" s="27" t="s">
        <v>7</v>
      </c>
      <c r="L4" s="27" t="s">
        <v>8</v>
      </c>
      <c r="M4" s="27" t="s">
        <v>9</v>
      </c>
      <c r="O4" s="27" t="s">
        <v>10</v>
      </c>
      <c r="P4" s="27" t="s">
        <v>11</v>
      </c>
      <c r="R4" s="27" t="s">
        <v>12</v>
      </c>
      <c r="S4" s="27" t="s">
        <v>13</v>
      </c>
      <c r="U4" s="27" t="s">
        <v>14</v>
      </c>
      <c r="V4" s="27" t="s">
        <v>15</v>
      </c>
      <c r="X4" s="27" t="s">
        <v>16</v>
      </c>
      <c r="Y4" s="27" t="s">
        <v>17</v>
      </c>
      <c r="AA4" s="27" t="s">
        <v>18</v>
      </c>
      <c r="AB4" s="27" t="s">
        <v>19</v>
      </c>
      <c r="AD4" s="27" t="s">
        <v>20</v>
      </c>
      <c r="AE4" s="27" t="s">
        <v>21</v>
      </c>
      <c r="AG4" s="27" t="s">
        <v>22</v>
      </c>
      <c r="AH4" s="27" t="s">
        <v>23</v>
      </c>
      <c r="AJ4" s="27" t="s">
        <v>24</v>
      </c>
      <c r="AK4" s="27" t="s">
        <v>23</v>
      </c>
      <c r="AM4" s="27" t="s">
        <v>25</v>
      </c>
      <c r="AN4" s="27" t="s">
        <v>23</v>
      </c>
      <c r="AP4" s="27" t="s">
        <v>26</v>
      </c>
      <c r="AQ4" s="27" t="s">
        <v>27</v>
      </c>
    </row>
    <row r="5" outlineLevel="1" spans="1:44">
      <c r="A5" s="10" t="s">
        <v>28</v>
      </c>
      <c r="B5" s="28">
        <v>6666110101</v>
      </c>
      <c r="C5" s="28" t="s">
        <v>29</v>
      </c>
      <c r="D5" s="28" t="s">
        <v>30</v>
      </c>
      <c r="E5" s="28" t="s">
        <v>31</v>
      </c>
      <c r="F5" s="29">
        <v>73.06366</v>
      </c>
      <c r="G5" s="30">
        <f>F5/$F$1*1000</f>
        <v>0.916595493777599</v>
      </c>
      <c r="I5" s="29">
        <v>66.46563</v>
      </c>
      <c r="J5" s="31">
        <f>I5/$I$1*1000</f>
        <v>0.809519883076548</v>
      </c>
      <c r="L5" s="29">
        <v>73.6323</v>
      </c>
      <c r="M5" s="31">
        <f>L5/$L$1*1000</f>
        <v>0.794676063330347</v>
      </c>
      <c r="O5" s="32">
        <v>71.56655</v>
      </c>
      <c r="P5" s="31">
        <f>O5/$O$1*1000</f>
        <v>0.725187208041586</v>
      </c>
      <c r="R5" s="32">
        <v>75.57859</v>
      </c>
      <c r="S5" s="31">
        <f>R5/$R$1*1000</f>
        <v>0.809600012854435</v>
      </c>
      <c r="U5" s="32">
        <v>72.46672</v>
      </c>
      <c r="V5" s="31">
        <f>U5/$U$1*1000</f>
        <v>0.965039151973579</v>
      </c>
      <c r="X5" s="32">
        <v>74.82189</v>
      </c>
      <c r="Y5" s="31">
        <f>X5/$X$1*1000</f>
        <v>0.961733312767516</v>
      </c>
      <c r="AA5" s="32">
        <v>74.90211</v>
      </c>
      <c r="AB5" s="31">
        <f>AA5/$AA$1*1000</f>
        <v>1.27358549275658</v>
      </c>
      <c r="AD5" s="32">
        <v>72.87321</v>
      </c>
      <c r="AE5" s="31">
        <f>AD5/$AD$1*1000</f>
        <v>0.802338647523837</v>
      </c>
      <c r="AG5" s="32">
        <v>75.18629</v>
      </c>
      <c r="AH5" s="31">
        <f>AG5/$AG$1*1000</f>
        <v>0.673881350159538</v>
      </c>
      <c r="AJ5" s="32">
        <v>72.99129</v>
      </c>
      <c r="AK5" s="31">
        <f>AJ5/$AJ$1*1000</f>
        <v>0.653897334826428</v>
      </c>
      <c r="AM5" s="32">
        <v>75.36163</v>
      </c>
      <c r="AN5" s="31">
        <f>AM5/$AJ$1*1000</f>
        <v>0.675132183650616</v>
      </c>
      <c r="AP5" s="33">
        <f>I5+F5+L5+O5+R5+U5+X5+AA5+AD5+AG5+AJ5+AM5</f>
        <v>878.90987</v>
      </c>
      <c r="AQ5" s="34">
        <f>AP5/$AP$1*1000</f>
        <v>0.838819338534101</v>
      </c>
      <c r="AR5" s="35"/>
    </row>
    <row r="6" outlineLevel="1" spans="1:44">
      <c r="A6" s="10" t="s">
        <v>28</v>
      </c>
      <c r="B6" s="28">
        <v>6666110106</v>
      </c>
      <c r="C6" s="28" t="s">
        <v>32</v>
      </c>
      <c r="D6" s="28" t="s">
        <v>33</v>
      </c>
      <c r="E6" s="28" t="s">
        <v>31</v>
      </c>
      <c r="F6" s="29">
        <v>0</v>
      </c>
      <c r="G6" s="30">
        <f t="shared" ref="G6:G73" si="0">F6/$F$1*1000</f>
        <v>0</v>
      </c>
      <c r="I6" s="29">
        <v>0</v>
      </c>
      <c r="J6" s="31">
        <f t="shared" ref="J6:J84" si="1">I6/$I$1*1000</f>
        <v>0</v>
      </c>
      <c r="L6" s="29">
        <v>0</v>
      </c>
      <c r="M6" s="31">
        <f t="shared" ref="M6:M84" si="2">L6/$L$1*1000</f>
        <v>0</v>
      </c>
      <c r="O6" s="32">
        <v>0</v>
      </c>
      <c r="P6" s="31">
        <f t="shared" ref="P6:P84" si="3">O6/$O$1*1000</f>
        <v>0</v>
      </c>
      <c r="R6" s="32">
        <v>0</v>
      </c>
      <c r="S6" s="31">
        <f t="shared" ref="S6:S84" si="4">R6/$R$1*1000</f>
        <v>0</v>
      </c>
      <c r="U6" s="32">
        <v>0</v>
      </c>
      <c r="V6" s="31">
        <f t="shared" ref="V6:V84" si="5">U6/$U$1*1000</f>
        <v>0</v>
      </c>
      <c r="X6" s="32">
        <v>0</v>
      </c>
      <c r="Y6" s="31">
        <f t="shared" ref="Y6:Y72" si="6">X6/$X$1*1000</f>
        <v>0</v>
      </c>
      <c r="AA6" s="32">
        <v>0</v>
      </c>
      <c r="AB6" s="31">
        <f t="shared" ref="AB6:AB14" si="7">AA6/$AA$1*1000</f>
        <v>0</v>
      </c>
      <c r="AD6" s="32">
        <v>0</v>
      </c>
      <c r="AE6" s="31">
        <f t="shared" ref="AE6:AE71" si="8">AD6/$AD$1*1000</f>
        <v>0</v>
      </c>
      <c r="AG6" s="32">
        <v>0</v>
      </c>
      <c r="AH6" s="31">
        <f t="shared" ref="AH6:AH71" si="9">AG6/$AG$1*1000</f>
        <v>0</v>
      </c>
      <c r="AJ6" s="32">
        <v>0</v>
      </c>
      <c r="AK6" s="31">
        <f t="shared" ref="AK6:AK70" si="10">AJ6/$AJ$1*1000</f>
        <v>0</v>
      </c>
      <c r="AM6" s="32">
        <v>0</v>
      </c>
      <c r="AN6" s="31">
        <f t="shared" ref="AN6:AN70" si="11">AM6/$AJ$1*1000</f>
        <v>0</v>
      </c>
      <c r="AP6" s="33">
        <f>I6+F6+L6+O6+R6+U6+X6+AA6+AD6+AG6+AJ6+AM6</f>
        <v>0</v>
      </c>
      <c r="AQ6" s="34">
        <f>AP6/$AP$1*1000</f>
        <v>0</v>
      </c>
      <c r="AR6" s="35"/>
    </row>
    <row r="7" outlineLevel="1" spans="1:44">
      <c r="A7" s="10" t="s">
        <v>28</v>
      </c>
      <c r="B7" s="28">
        <v>6666110107</v>
      </c>
      <c r="C7" s="28" t="s">
        <v>34</v>
      </c>
      <c r="D7" s="28" t="s">
        <v>35</v>
      </c>
      <c r="E7" s="28" t="s">
        <v>31</v>
      </c>
      <c r="F7" s="29">
        <v>211.90984</v>
      </c>
      <c r="G7" s="30">
        <f t="shared" si="0"/>
        <v>2.65844339622642</v>
      </c>
      <c r="I7" s="29">
        <v>205.33288</v>
      </c>
      <c r="J7" s="31">
        <f t="shared" si="1"/>
        <v>2.50085719505511</v>
      </c>
      <c r="L7" s="29">
        <v>209.08411</v>
      </c>
      <c r="M7" s="31">
        <f t="shared" si="2"/>
        <v>2.2565387396527</v>
      </c>
      <c r="O7" s="32">
        <v>209.39447</v>
      </c>
      <c r="P7" s="31">
        <f t="shared" si="3"/>
        <v>2.12180398634065</v>
      </c>
      <c r="R7" s="32">
        <v>213.84525</v>
      </c>
      <c r="S7" s="31">
        <f t="shared" si="4"/>
        <v>2.29071642046854</v>
      </c>
      <c r="U7" s="32">
        <v>215.15602</v>
      </c>
      <c r="V7" s="31">
        <f t="shared" si="5"/>
        <v>2.86523224844191</v>
      </c>
      <c r="X7" s="32">
        <v>218.85875</v>
      </c>
      <c r="Y7" s="31">
        <f t="shared" si="6"/>
        <v>2.81313063149912</v>
      </c>
      <c r="AA7" s="32">
        <v>218.27423</v>
      </c>
      <c r="AB7" s="31">
        <f t="shared" si="7"/>
        <v>3.71138934231109</v>
      </c>
      <c r="AD7" s="32">
        <v>214.96486</v>
      </c>
      <c r="AE7" s="31">
        <f t="shared" si="8"/>
        <v>2.36677669389822</v>
      </c>
      <c r="AG7" s="32">
        <v>95.52811</v>
      </c>
      <c r="AH7" s="31">
        <f t="shared" si="9"/>
        <v>0.856201466317714</v>
      </c>
      <c r="AJ7" s="32">
        <v>203.44611</v>
      </c>
      <c r="AK7" s="31">
        <f t="shared" si="10"/>
        <v>1.82258553191489</v>
      </c>
      <c r="AM7" s="32">
        <v>203.75807</v>
      </c>
      <c r="AN7" s="31">
        <f t="shared" si="11"/>
        <v>1.82538024636058</v>
      </c>
      <c r="AP7" s="33">
        <f>I7+F7+L7+O7+R7+U7+X7+AA7+AD7+AG7+AJ7+AM7</f>
        <v>2419.5527</v>
      </c>
      <c r="AQ7" s="34">
        <f t="shared" ref="AQ7:AQ84" si="12">AP7/$AP$1*1000</f>
        <v>2.3091873975228</v>
      </c>
      <c r="AR7" s="35"/>
    </row>
    <row r="8" outlineLevel="1" spans="1:44">
      <c r="A8" s="10" t="s">
        <v>28</v>
      </c>
      <c r="B8" s="28">
        <v>6666110110</v>
      </c>
      <c r="C8" s="28" t="s">
        <v>36</v>
      </c>
      <c r="D8" s="28" t="s">
        <v>37</v>
      </c>
      <c r="E8" s="28" t="s">
        <v>31</v>
      </c>
      <c r="F8" s="29">
        <v>407.33455</v>
      </c>
      <c r="G8" s="30">
        <f t="shared" si="0"/>
        <v>5.11007815636291</v>
      </c>
      <c r="I8" s="29">
        <v>392.86982</v>
      </c>
      <c r="J8" s="31">
        <f t="shared" si="1"/>
        <v>4.78496827233421</v>
      </c>
      <c r="L8" s="29">
        <v>416.22698</v>
      </c>
      <c r="M8" s="31">
        <f t="shared" si="2"/>
        <v>4.49212666069482</v>
      </c>
      <c r="O8" s="32">
        <v>408.33684</v>
      </c>
      <c r="P8" s="31">
        <f t="shared" si="3"/>
        <v>4.13769635311642</v>
      </c>
      <c r="R8" s="32">
        <v>450.4135</v>
      </c>
      <c r="S8" s="31">
        <f t="shared" si="4"/>
        <v>4.82484226537979</v>
      </c>
      <c r="U8" s="32">
        <v>444.62741</v>
      </c>
      <c r="V8" s="31">
        <f t="shared" si="5"/>
        <v>5.92110224790923</v>
      </c>
      <c r="X8" s="32">
        <v>454.78009</v>
      </c>
      <c r="Y8" s="31">
        <f t="shared" si="6"/>
        <v>5.84557757811797</v>
      </c>
      <c r="AA8" s="32">
        <v>198.90248</v>
      </c>
      <c r="AB8" s="31">
        <f t="shared" si="7"/>
        <v>3.38200503298647</v>
      </c>
      <c r="AD8" s="32">
        <v>446.72794</v>
      </c>
      <c r="AE8" s="31">
        <f t="shared" si="8"/>
        <v>4.91850285160637</v>
      </c>
      <c r="AG8" s="32">
        <v>335.40928</v>
      </c>
      <c r="AH8" s="31">
        <f t="shared" si="9"/>
        <v>3.00621374538415</v>
      </c>
      <c r="AJ8" s="32">
        <v>435.57225</v>
      </c>
      <c r="AK8" s="31">
        <f t="shared" si="10"/>
        <v>3.90210302351624</v>
      </c>
      <c r="AM8" s="32">
        <v>446.41366</v>
      </c>
      <c r="AN8" s="31">
        <f t="shared" si="11"/>
        <v>3.99922651735722</v>
      </c>
      <c r="AP8" s="33">
        <f t="shared" ref="AP6:AP13" si="13">I8+F8+L8+O8+R8+U8+X8+AA8+AD8+AG8+AJ8+AM8</f>
        <v>4837.6148</v>
      </c>
      <c r="AQ8" s="34">
        <f t="shared" si="12"/>
        <v>4.61695218716656</v>
      </c>
      <c r="AR8" s="35"/>
    </row>
    <row r="9" outlineLevel="1" spans="1:44">
      <c r="A9" s="10" t="s">
        <v>28</v>
      </c>
      <c r="B9" s="28">
        <v>6666110112</v>
      </c>
      <c r="C9" s="28" t="s">
        <v>38</v>
      </c>
      <c r="D9" s="28" t="s">
        <v>39</v>
      </c>
      <c r="E9" s="28" t="s">
        <v>31</v>
      </c>
      <c r="F9" s="29">
        <v>36.9678</v>
      </c>
      <c r="G9" s="30">
        <f t="shared" si="0"/>
        <v>0.463767061421116</v>
      </c>
      <c r="I9" s="29">
        <v>37.32028</v>
      </c>
      <c r="J9" s="31">
        <f t="shared" si="1"/>
        <v>0.454543328664515</v>
      </c>
      <c r="L9" s="29">
        <v>39.82187</v>
      </c>
      <c r="M9" s="31">
        <f t="shared" si="2"/>
        <v>0.429777242949804</v>
      </c>
      <c r="O9" s="32">
        <v>41.67962</v>
      </c>
      <c r="P9" s="31">
        <f t="shared" si="3"/>
        <v>0.422341544479009</v>
      </c>
      <c r="R9" s="32">
        <v>55.25647</v>
      </c>
      <c r="S9" s="31">
        <f t="shared" si="4"/>
        <v>0.591908883485266</v>
      </c>
      <c r="U9" s="32">
        <v>55.54732</v>
      </c>
      <c r="V9" s="31">
        <f t="shared" si="5"/>
        <v>0.73972353912534</v>
      </c>
      <c r="X9" s="32">
        <v>56.63939</v>
      </c>
      <c r="Y9" s="31">
        <f t="shared" si="6"/>
        <v>0.728022082546048</v>
      </c>
      <c r="AA9" s="32">
        <v>57.10132</v>
      </c>
      <c r="AB9" s="31">
        <f t="shared" si="7"/>
        <v>0.970912738896824</v>
      </c>
      <c r="AD9" s="32">
        <v>56.48021</v>
      </c>
      <c r="AE9" s="31">
        <f t="shared" si="8"/>
        <v>0.621850681522912</v>
      </c>
      <c r="AG9" s="32">
        <v>51.63977</v>
      </c>
      <c r="AH9" s="31">
        <f t="shared" si="9"/>
        <v>0.462838077653892</v>
      </c>
      <c r="AJ9" s="32">
        <v>57.35608</v>
      </c>
      <c r="AK9" s="31">
        <f t="shared" si="10"/>
        <v>0.513828264277716</v>
      </c>
      <c r="AM9" s="32">
        <v>58.22158</v>
      </c>
      <c r="AN9" s="31">
        <f t="shared" si="11"/>
        <v>0.521581903695409</v>
      </c>
      <c r="AP9" s="33">
        <f t="shared" si="13"/>
        <v>604.03171</v>
      </c>
      <c r="AQ9" s="34">
        <f t="shared" si="12"/>
        <v>0.576479451113482</v>
      </c>
      <c r="AR9" s="35"/>
    </row>
    <row r="10" outlineLevel="1" spans="1:44">
      <c r="A10" s="10" t="s">
        <v>28</v>
      </c>
      <c r="B10" s="28">
        <v>6666110204</v>
      </c>
      <c r="C10" s="28" t="s">
        <v>40</v>
      </c>
      <c r="D10" s="28" t="s">
        <v>41</v>
      </c>
      <c r="E10" s="28" t="s">
        <v>31</v>
      </c>
      <c r="F10" s="29">
        <v>2.81415</v>
      </c>
      <c r="G10" s="30">
        <f t="shared" si="0"/>
        <v>0.035303969289442</v>
      </c>
      <c r="I10" s="29">
        <v>2.81412</v>
      </c>
      <c r="J10" s="31">
        <f t="shared" si="1"/>
        <v>0.0342746483161805</v>
      </c>
      <c r="L10" s="29">
        <v>2.81415</v>
      </c>
      <c r="M10" s="31">
        <f t="shared" si="2"/>
        <v>0.0303716934500362</v>
      </c>
      <c r="O10" s="32">
        <v>2.81414</v>
      </c>
      <c r="P10" s="31">
        <f t="shared" si="3"/>
        <v>0.0285158126196966</v>
      </c>
      <c r="R10" s="32">
        <v>2.81413</v>
      </c>
      <c r="S10" s="31">
        <f t="shared" si="4"/>
        <v>0.0301450408663889</v>
      </c>
      <c r="U10" s="32">
        <v>2.81413</v>
      </c>
      <c r="V10" s="31">
        <f t="shared" si="5"/>
        <v>0.0374757630639749</v>
      </c>
      <c r="X10" s="32">
        <v>2.81415</v>
      </c>
      <c r="Y10" s="31">
        <f t="shared" si="6"/>
        <v>0.0361720587668222</v>
      </c>
      <c r="AA10" s="32">
        <v>2.81414</v>
      </c>
      <c r="AB10" s="31">
        <f t="shared" si="7"/>
        <v>0.0478497585526763</v>
      </c>
      <c r="AD10" s="32">
        <v>2.81413</v>
      </c>
      <c r="AE10" s="31">
        <f t="shared" si="8"/>
        <v>0.0309837491467201</v>
      </c>
      <c r="AG10" s="32">
        <v>2.81415</v>
      </c>
      <c r="AH10" s="31">
        <f t="shared" si="9"/>
        <v>0.0252227261320044</v>
      </c>
      <c r="AJ10" s="32">
        <v>2.81413</v>
      </c>
      <c r="AK10" s="31">
        <f t="shared" si="10"/>
        <v>0.0252105711086226</v>
      </c>
      <c r="AM10" s="32">
        <v>2.81415</v>
      </c>
      <c r="AN10" s="31">
        <f t="shared" si="11"/>
        <v>0.0252107502799552</v>
      </c>
      <c r="AP10" s="33">
        <f t="shared" si="13"/>
        <v>33.76967</v>
      </c>
      <c r="AQ10" s="34">
        <f t="shared" si="12"/>
        <v>0.032229302706448</v>
      </c>
      <c r="AR10" s="35"/>
    </row>
    <row r="11" outlineLevel="1" spans="1:44">
      <c r="A11" s="10" t="s">
        <v>28</v>
      </c>
      <c r="B11" s="28">
        <v>6666110207</v>
      </c>
      <c r="C11" s="28" t="s">
        <v>42</v>
      </c>
      <c r="D11" s="28" t="s">
        <v>43</v>
      </c>
      <c r="E11" s="28" t="s">
        <v>31</v>
      </c>
      <c r="F11" s="29">
        <v>35.04763</v>
      </c>
      <c r="G11" s="30">
        <f t="shared" si="0"/>
        <v>0.439678216579687</v>
      </c>
      <c r="I11" s="29">
        <v>33.76611</v>
      </c>
      <c r="J11" s="31">
        <f t="shared" si="1"/>
        <v>0.411255221971865</v>
      </c>
      <c r="L11" s="29">
        <v>18.69461</v>
      </c>
      <c r="M11" s="31">
        <f t="shared" si="2"/>
        <v>0.20176144274043</v>
      </c>
      <c r="O11" s="32">
        <v>29.03388</v>
      </c>
      <c r="P11" s="31">
        <f t="shared" si="3"/>
        <v>0.294201667899521</v>
      </c>
      <c r="R11" s="32">
        <v>30.48851</v>
      </c>
      <c r="S11" s="31">
        <f t="shared" si="4"/>
        <v>0.326593789165854</v>
      </c>
      <c r="U11" s="32">
        <v>30.24917</v>
      </c>
      <c r="V11" s="31">
        <f t="shared" si="5"/>
        <v>0.402828130826187</v>
      </c>
      <c r="X11" s="32">
        <v>28.09683</v>
      </c>
      <c r="Y11" s="31">
        <f t="shared" si="6"/>
        <v>0.361146415763699</v>
      </c>
      <c r="AA11" s="32">
        <v>28.13069</v>
      </c>
      <c r="AB11" s="31">
        <f t="shared" si="7"/>
        <v>0.478315479834047</v>
      </c>
      <c r="AD11" s="32">
        <v>-3.97971</v>
      </c>
      <c r="AE11" s="31">
        <f t="shared" si="8"/>
        <v>-0.0438168586087684</v>
      </c>
      <c r="AG11" s="32">
        <v>26.11821</v>
      </c>
      <c r="AH11" s="31">
        <f t="shared" si="9"/>
        <v>0.234092872763776</v>
      </c>
      <c r="AJ11" s="32">
        <v>26.09124</v>
      </c>
      <c r="AK11" s="31">
        <f t="shared" si="10"/>
        <v>0.233740111982083</v>
      </c>
      <c r="AM11" s="32">
        <v>26.11824</v>
      </c>
      <c r="AN11" s="31">
        <f t="shared" si="11"/>
        <v>0.233981993281075</v>
      </c>
      <c r="AP11" s="33">
        <f t="shared" si="13"/>
        <v>307.85541</v>
      </c>
      <c r="AQ11" s="34">
        <f t="shared" si="12"/>
        <v>0.293812915515836</v>
      </c>
      <c r="AR11" s="35"/>
    </row>
    <row r="12" outlineLevel="1" spans="1:44">
      <c r="A12" s="10" t="s">
        <v>28</v>
      </c>
      <c r="B12" s="28">
        <v>6666110506</v>
      </c>
      <c r="C12" s="28" t="s">
        <v>44</v>
      </c>
      <c r="D12" s="28" t="s">
        <v>45</v>
      </c>
      <c r="E12" s="28" t="s">
        <v>31</v>
      </c>
      <c r="F12" s="29">
        <v>3.15121</v>
      </c>
      <c r="G12" s="30">
        <f t="shared" ref="G12" si="14">F12/$F$1*1000</f>
        <v>0.0395324417904456</v>
      </c>
      <c r="I12" s="29">
        <v>2.8597</v>
      </c>
      <c r="J12" s="31">
        <f t="shared" ref="J12" si="15">I12/$I$1*1000</f>
        <v>0.0348297911211254</v>
      </c>
      <c r="L12" s="29">
        <v>3.15116</v>
      </c>
      <c r="M12" s="31">
        <f t="shared" ref="M12" si="16">L12/$L$1*1000</f>
        <v>0.034008871429034</v>
      </c>
      <c r="O12" s="32">
        <v>3.05401</v>
      </c>
      <c r="P12" s="31">
        <f t="shared" ref="P12" si="17">O12/$O$1*1000</f>
        <v>0.0309464265810086</v>
      </c>
      <c r="R12" s="32">
        <v>3.1512</v>
      </c>
      <c r="S12" s="31">
        <f t="shared" ref="S12" si="18">R12/$R$1*1000</f>
        <v>0.0337557443253029</v>
      </c>
      <c r="U12" s="32">
        <v>3.02218</v>
      </c>
      <c r="V12" s="31">
        <f t="shared" ref="V12" si="19">U12/$U$1*1000</f>
        <v>0.0402463644595962</v>
      </c>
      <c r="X12" s="32">
        <v>3.11803</v>
      </c>
      <c r="Y12" s="31">
        <f t="shared" ref="Y12" si="20">X12/$X$1*1000</f>
        <v>0.0400780215684006</v>
      </c>
      <c r="AA12" s="32">
        <v>3.08534</v>
      </c>
      <c r="AB12" s="31">
        <f t="shared" ref="AB12" si="21">AA12/$AA$1*1000</f>
        <v>0.0524610623682242</v>
      </c>
      <c r="AD12" s="32">
        <v>2.99027</v>
      </c>
      <c r="AE12" s="31">
        <f t="shared" ref="AE12" si="22">AD12/$AD$1*1000</f>
        <v>0.032923061678374</v>
      </c>
      <c r="AG12" s="32">
        <v>3.08532</v>
      </c>
      <c r="AH12" s="31">
        <f t="shared" ref="AH12" si="23">AG12/$AG$1*1000</f>
        <v>0.027653174631628</v>
      </c>
      <c r="AJ12" s="32">
        <v>2.99025</v>
      </c>
      <c r="AK12" s="31">
        <f t="shared" ref="AK12" si="24">AJ12/$AJ$1*1000</f>
        <v>0.0267883538633819</v>
      </c>
      <c r="AM12" s="32">
        <v>3.08529</v>
      </c>
      <c r="AN12" s="31">
        <f t="shared" si="11"/>
        <v>0.0276397760358343</v>
      </c>
      <c r="AP12" s="33">
        <f t="shared" si="13"/>
        <v>36.74396</v>
      </c>
      <c r="AQ12" s="34">
        <f t="shared" ref="AQ12" si="25">AP12/$AP$1*1000</f>
        <v>0.0350679236567493</v>
      </c>
      <c r="AR12" s="35"/>
    </row>
    <row r="13" outlineLevel="1" spans="1:44">
      <c r="A13" s="10" t="s">
        <v>28</v>
      </c>
      <c r="B13" s="28" t="s">
        <v>46</v>
      </c>
      <c r="C13" s="28" t="s">
        <v>47</v>
      </c>
      <c r="D13" s="28" t="s">
        <v>48</v>
      </c>
      <c r="E13" s="28" t="s">
        <v>31</v>
      </c>
      <c r="F13" s="29">
        <v>0.07998</v>
      </c>
      <c r="G13" s="30">
        <f t="shared" si="0"/>
        <v>0.00100336210357286</v>
      </c>
      <c r="I13" s="29"/>
      <c r="J13" s="31">
        <f t="shared" si="1"/>
        <v>0</v>
      </c>
      <c r="L13" s="29">
        <v>0.07998</v>
      </c>
      <c r="M13" s="31">
        <f t="shared" si="2"/>
        <v>0.00086318356950905</v>
      </c>
      <c r="O13" s="32">
        <v>0.13673</v>
      </c>
      <c r="P13" s="31">
        <f t="shared" si="3"/>
        <v>0.00138549150344017</v>
      </c>
      <c r="R13" s="32">
        <v>0.1393</v>
      </c>
      <c r="S13" s="31">
        <f t="shared" si="4"/>
        <v>0.00149218557518237</v>
      </c>
      <c r="U13" s="32">
        <v>0.13673</v>
      </c>
      <c r="V13" s="31">
        <f t="shared" si="5"/>
        <v>0.00182083311138337</v>
      </c>
      <c r="X13" s="32">
        <v>0.07997</v>
      </c>
      <c r="Y13" s="31">
        <f t="shared" si="6"/>
        <v>0.00102790524299798</v>
      </c>
      <c r="AA13" s="32">
        <v>0.07999</v>
      </c>
      <c r="AB13" s="31">
        <f t="shared" si="7"/>
        <v>0.00136009657892947</v>
      </c>
      <c r="AD13" s="32">
        <v>0.07739</v>
      </c>
      <c r="AE13" s="31">
        <f t="shared" si="8"/>
        <v>0.00085206879087486</v>
      </c>
      <c r="AG13" s="32">
        <v>0.13931</v>
      </c>
      <c r="AH13" s="31">
        <f t="shared" si="9"/>
        <v>0.00124861076255691</v>
      </c>
      <c r="AJ13" s="32">
        <v>0.13674</v>
      </c>
      <c r="AK13" s="31">
        <f t="shared" si="10"/>
        <v>0.00122499440089586</v>
      </c>
      <c r="AM13" s="32">
        <v>0.1393</v>
      </c>
      <c r="AN13" s="31">
        <f t="shared" si="11"/>
        <v>0.00124792833146697</v>
      </c>
      <c r="AP13" s="33">
        <f t="shared" si="13"/>
        <v>1.22542</v>
      </c>
      <c r="AQ13" s="34">
        <f t="shared" si="12"/>
        <v>0.00116952378043776</v>
      </c>
      <c r="AR13" s="35"/>
    </row>
    <row r="14" s="2" customFormat="1" spans="1:44">
      <c r="A14" s="10"/>
      <c r="B14" s="36" t="s">
        <v>49</v>
      </c>
      <c r="C14" s="37" t="s">
        <v>31</v>
      </c>
      <c r="D14" s="38" t="s">
        <v>50</v>
      </c>
      <c r="E14" s="39"/>
      <c r="F14" s="40">
        <f>SUM(F5:F13)</f>
        <v>770.36882</v>
      </c>
      <c r="G14" s="41">
        <f t="shared" si="0"/>
        <v>9.66440209755119</v>
      </c>
      <c r="H14" s="11"/>
      <c r="I14" s="40">
        <f>SUM(I5:I13)</f>
        <v>741.42854</v>
      </c>
      <c r="J14" s="41">
        <f t="shared" si="1"/>
        <v>9.03024834053955</v>
      </c>
      <c r="K14" s="11"/>
      <c r="L14" s="42">
        <f>SUM(L5:L13)</f>
        <v>763.50516</v>
      </c>
      <c r="M14" s="41">
        <f t="shared" si="2"/>
        <v>8.24012389781668</v>
      </c>
      <c r="N14" s="12"/>
      <c r="O14" s="42">
        <f>SUM(O5:O13)</f>
        <v>766.01624</v>
      </c>
      <c r="P14" s="41">
        <f t="shared" si="3"/>
        <v>7.76207849058133</v>
      </c>
      <c r="Q14" s="13"/>
      <c r="R14" s="42">
        <f>SUM(R5:R13)</f>
        <v>831.68695</v>
      </c>
      <c r="S14" s="41">
        <f t="shared" si="4"/>
        <v>8.90905434212077</v>
      </c>
      <c r="T14" s="13"/>
      <c r="U14" s="42">
        <f>SUM(U5:U13)</f>
        <v>824.01968</v>
      </c>
      <c r="V14" s="41">
        <f t="shared" si="5"/>
        <v>10.9734682789112</v>
      </c>
      <c r="W14" s="13"/>
      <c r="X14" s="42">
        <f>SUM(X5:X13)</f>
        <v>839.2091</v>
      </c>
      <c r="Y14" s="41">
        <f t="shared" si="6"/>
        <v>10.7868880062726</v>
      </c>
      <c r="Z14" s="13"/>
      <c r="AA14" s="42">
        <f>SUM(AA5:AA13)</f>
        <v>583.2903</v>
      </c>
      <c r="AB14" s="41">
        <f t="shared" si="7"/>
        <v>9.91787900428484</v>
      </c>
      <c r="AC14" s="13"/>
      <c r="AD14" s="42">
        <f>SUM(AD5:AD13)</f>
        <v>792.9483</v>
      </c>
      <c r="AE14" s="41">
        <f t="shared" si="8"/>
        <v>8.73041089555854</v>
      </c>
      <c r="AF14" s="13"/>
      <c r="AG14" s="42">
        <f>SUM(AG5:AG13)</f>
        <v>589.92044</v>
      </c>
      <c r="AH14" s="41">
        <f t="shared" si="9"/>
        <v>5.28735202380526</v>
      </c>
      <c r="AI14" s="13"/>
      <c r="AJ14" s="42">
        <f>SUM(AJ5:AJ13)</f>
        <v>801.39809</v>
      </c>
      <c r="AK14" s="41">
        <f t="shared" si="10"/>
        <v>7.17937818589026</v>
      </c>
      <c r="AL14" s="13"/>
      <c r="AM14" s="42">
        <f>SUM(AM5:AM13)</f>
        <v>815.91192</v>
      </c>
      <c r="AN14" s="41">
        <f t="shared" si="11"/>
        <v>7.30940129899216</v>
      </c>
      <c r="AO14" s="13"/>
      <c r="AP14" s="43">
        <f>SUM(AP5:AP13)</f>
        <v>9119.70354</v>
      </c>
      <c r="AQ14" s="44">
        <f t="shared" si="12"/>
        <v>8.70371803999641</v>
      </c>
      <c r="AR14" s="35"/>
    </row>
    <row r="15" outlineLevel="1" spans="1:44">
      <c r="A15" s="10" t="s">
        <v>28</v>
      </c>
      <c r="B15" s="28">
        <v>5001010205</v>
      </c>
      <c r="C15" s="28" t="s">
        <v>51</v>
      </c>
      <c r="D15" s="28" t="s">
        <v>52</v>
      </c>
      <c r="E15" s="28" t="s">
        <v>53</v>
      </c>
      <c r="F15" s="29">
        <v>8.97535</v>
      </c>
      <c r="G15" s="30">
        <f t="shared" si="0"/>
        <v>0.112597225010036</v>
      </c>
      <c r="I15" s="29">
        <v>9.03413</v>
      </c>
      <c r="J15" s="31">
        <f t="shared" si="1"/>
        <v>0.110031423177638</v>
      </c>
      <c r="L15" s="29">
        <v>11.19577</v>
      </c>
      <c r="M15" s="31">
        <f t="shared" si="2"/>
        <v>0.120830266466646</v>
      </c>
      <c r="O15" s="32">
        <v>9.43698</v>
      </c>
      <c r="P15" s="31">
        <f t="shared" si="3"/>
        <v>0.095625360989796</v>
      </c>
      <c r="R15" s="32">
        <v>10.44982</v>
      </c>
      <c r="S15" s="31">
        <f t="shared" si="4"/>
        <v>0.111938770044883</v>
      </c>
      <c r="U15" s="32">
        <v>9.45163</v>
      </c>
      <c r="V15" s="31">
        <f t="shared" si="5"/>
        <v>0.125867336067757</v>
      </c>
      <c r="X15" s="32">
        <v>8.24027</v>
      </c>
      <c r="Y15" s="31">
        <f t="shared" si="6"/>
        <v>0.105917428244579</v>
      </c>
      <c r="AA15" s="32">
        <v>7.23858</v>
      </c>
      <c r="AB15" s="31">
        <f t="shared" ref="AB15:AB89" si="26">AA15/$AA$1*1000</f>
        <v>0.123079983676801</v>
      </c>
      <c r="AD15" s="32">
        <v>9.33286</v>
      </c>
      <c r="AE15" s="31">
        <f t="shared" si="8"/>
        <v>0.102755378415872</v>
      </c>
      <c r="AG15" s="32">
        <v>10.97429</v>
      </c>
      <c r="AH15" s="31">
        <f t="shared" si="9"/>
        <v>0.0983606101889363</v>
      </c>
      <c r="AJ15" s="32">
        <v>10.49348</v>
      </c>
      <c r="AK15" s="31">
        <f t="shared" si="10"/>
        <v>0.0940065397536394</v>
      </c>
      <c r="AM15" s="32">
        <v>9.59778</v>
      </c>
      <c r="AN15" s="31">
        <f t="shared" si="11"/>
        <v>0.0859823516237402</v>
      </c>
      <c r="AP15" s="33">
        <f>I15+F15+L15+O15+R15+U15+X15+AA15+AD15+AG15+AJ15+AM15</f>
        <v>114.42094</v>
      </c>
      <c r="AQ15" s="34">
        <f t="shared" si="12"/>
        <v>0.109201751489319</v>
      </c>
      <c r="AR15" s="35"/>
    </row>
    <row r="16" outlineLevel="1" spans="1:44">
      <c r="A16" s="10" t="s">
        <v>28</v>
      </c>
      <c r="B16" s="28">
        <v>6666010380</v>
      </c>
      <c r="C16" s="28" t="s">
        <v>54</v>
      </c>
      <c r="D16" s="28" t="s">
        <v>55</v>
      </c>
      <c r="E16" s="28" t="s">
        <v>53</v>
      </c>
      <c r="F16" s="29">
        <v>-1.30793</v>
      </c>
      <c r="G16" s="30">
        <f t="shared" si="0"/>
        <v>-0.0164081945002007</v>
      </c>
      <c r="I16" s="29">
        <v>-1.74248</v>
      </c>
      <c r="J16" s="31">
        <f t="shared" si="1"/>
        <v>-0.0212225808416053</v>
      </c>
      <c r="L16" s="29">
        <v>-1.73083</v>
      </c>
      <c r="M16" s="31">
        <f t="shared" si="2"/>
        <v>-0.01867997021272</v>
      </c>
      <c r="O16" s="32">
        <v>-1.59333</v>
      </c>
      <c r="P16" s="31">
        <f t="shared" si="3"/>
        <v>-0.0161452876265364</v>
      </c>
      <c r="R16" s="32">
        <v>-0.51382</v>
      </c>
      <c r="S16" s="31">
        <f t="shared" si="4"/>
        <v>-0.0055040545028012</v>
      </c>
      <c r="U16" s="32">
        <v>-1.42269</v>
      </c>
      <c r="V16" s="31">
        <f t="shared" si="5"/>
        <v>-0.0189459596228626</v>
      </c>
      <c r="X16" s="32">
        <v>-0.92265</v>
      </c>
      <c r="Y16" s="31">
        <f t="shared" si="6"/>
        <v>-0.0118594069332511</v>
      </c>
      <c r="AA16" s="32">
        <v>-1.21063</v>
      </c>
      <c r="AB16" s="31">
        <f t="shared" si="26"/>
        <v>-0.0205847446099435</v>
      </c>
      <c r="AD16" s="32">
        <v>-0.78296</v>
      </c>
      <c r="AE16" s="31">
        <f t="shared" si="8"/>
        <v>-0.00862043908132033</v>
      </c>
      <c r="AG16" s="32">
        <v>-1.59297</v>
      </c>
      <c r="AH16" s="31">
        <f t="shared" si="9"/>
        <v>-0.0142775069013731</v>
      </c>
      <c r="AJ16" s="32">
        <v>-1.42856</v>
      </c>
      <c r="AK16" s="31">
        <f t="shared" si="10"/>
        <v>-0.012797849944009</v>
      </c>
      <c r="AM16" s="32">
        <v>-1.13109</v>
      </c>
      <c r="AN16" s="31">
        <f t="shared" si="11"/>
        <v>-0.0101329451287794</v>
      </c>
      <c r="AP16" s="33">
        <f>I16+F16+L16+O16+R16+U16+X16+AA16+AD16+AG16+AJ16+AM16</f>
        <v>-15.37994</v>
      </c>
      <c r="AQ16" s="34">
        <f t="shared" si="12"/>
        <v>-0.0146784005252941</v>
      </c>
      <c r="AR16" s="35"/>
    </row>
    <row r="17" outlineLevel="1" spans="1:44">
      <c r="A17" s="10" t="s">
        <v>28</v>
      </c>
      <c r="B17" s="28">
        <v>6666010019</v>
      </c>
      <c r="C17" s="28" t="s">
        <v>56</v>
      </c>
      <c r="D17" s="28" t="s">
        <v>57</v>
      </c>
      <c r="E17" s="28" t="s">
        <v>53</v>
      </c>
      <c r="F17" s="29">
        <v>72.82026</v>
      </c>
      <c r="G17" s="30">
        <f t="shared" si="0"/>
        <v>0.913542001204335</v>
      </c>
      <c r="I17" s="29">
        <v>73.09674</v>
      </c>
      <c r="J17" s="31">
        <f t="shared" si="1"/>
        <v>0.890283661165581</v>
      </c>
      <c r="L17" s="29">
        <v>90.64247</v>
      </c>
      <c r="M17" s="31">
        <f t="shared" si="2"/>
        <v>0.978258199596361</v>
      </c>
      <c r="O17" s="32">
        <v>76.40214</v>
      </c>
      <c r="P17" s="31">
        <f t="shared" si="3"/>
        <v>0.774186468329162</v>
      </c>
      <c r="R17" s="32">
        <v>83.47918</v>
      </c>
      <c r="S17" s="31">
        <f t="shared" si="4"/>
        <v>0.894231358392339</v>
      </c>
      <c r="U17" s="32">
        <v>76.61069</v>
      </c>
      <c r="V17" s="31">
        <f t="shared" si="5"/>
        <v>1.0202243914132</v>
      </c>
      <c r="X17" s="32">
        <v>66.83709</v>
      </c>
      <c r="Y17" s="31">
        <f t="shared" si="6"/>
        <v>0.859099602822658</v>
      </c>
      <c r="AA17" s="32">
        <v>58.54631</v>
      </c>
      <c r="AB17" s="31">
        <f t="shared" si="26"/>
        <v>0.995482384547371</v>
      </c>
      <c r="AD17" s="32">
        <v>75.53319</v>
      </c>
      <c r="AE17" s="31">
        <f t="shared" si="8"/>
        <v>0.831625195428622</v>
      </c>
      <c r="AG17" s="32">
        <v>88.37743</v>
      </c>
      <c r="AH17" s="31">
        <f t="shared" si="9"/>
        <v>0.79211119277238</v>
      </c>
      <c r="AJ17" s="32">
        <v>84.6202</v>
      </c>
      <c r="AK17" s="31">
        <f t="shared" si="10"/>
        <v>0.758075699888018</v>
      </c>
      <c r="AM17" s="32">
        <v>77.53218</v>
      </c>
      <c r="AN17" s="31">
        <f t="shared" si="11"/>
        <v>0.694577200447928</v>
      </c>
      <c r="AP17" s="33">
        <f>I17+F17+L17+O17+R17+U17+X17+AA17+AD17+AG17+AJ17+AM17</f>
        <v>924.49788</v>
      </c>
      <c r="AQ17" s="34">
        <f t="shared" si="12"/>
        <v>0.882327900331554</v>
      </c>
      <c r="AR17" s="35"/>
    </row>
    <row r="18" outlineLevel="1" spans="1:44">
      <c r="A18" s="10" t="s">
        <v>28</v>
      </c>
      <c r="B18" s="28">
        <v>6666010183</v>
      </c>
      <c r="C18" s="28" t="s">
        <v>58</v>
      </c>
      <c r="D18" s="28" t="s">
        <v>59</v>
      </c>
      <c r="E18" s="28" t="s">
        <v>53</v>
      </c>
      <c r="F18" s="29">
        <v>2.7937</v>
      </c>
      <c r="G18" s="30">
        <f t="shared" si="0"/>
        <v>0.0350474207145725</v>
      </c>
      <c r="I18" s="29">
        <v>5.75887</v>
      </c>
      <c r="J18" s="31">
        <f t="shared" si="1"/>
        <v>0.0701403081420133</v>
      </c>
      <c r="L18" s="29">
        <v>7.31958</v>
      </c>
      <c r="M18" s="31">
        <f t="shared" si="2"/>
        <v>0.0789965140248443</v>
      </c>
      <c r="O18" s="32">
        <v>13.90994</v>
      </c>
      <c r="P18" s="31">
        <f t="shared" si="3"/>
        <v>0.140950074477895</v>
      </c>
      <c r="R18" s="32">
        <v>9.57829</v>
      </c>
      <c r="S18" s="31">
        <f t="shared" si="4"/>
        <v>0.102602915814168</v>
      </c>
      <c r="U18" s="32">
        <v>9.91473</v>
      </c>
      <c r="V18" s="31">
        <f t="shared" si="5"/>
        <v>0.132034437756352</v>
      </c>
      <c r="X18" s="32">
        <v>53.16135</v>
      </c>
      <c r="Y18" s="31">
        <f t="shared" si="6"/>
        <v>0.683316623606987</v>
      </c>
      <c r="AA18" s="32">
        <v>11.84655</v>
      </c>
      <c r="AB18" s="31">
        <f t="shared" si="26"/>
        <v>0.201430830442767</v>
      </c>
      <c r="AD18" s="32">
        <v>16.59426</v>
      </c>
      <c r="AE18" s="31">
        <f t="shared" si="8"/>
        <v>0.182703851320107</v>
      </c>
      <c r="AG18" s="32">
        <v>-22.21895</v>
      </c>
      <c r="AH18" s="31">
        <f t="shared" si="9"/>
        <v>-0.199144498619725</v>
      </c>
      <c r="AJ18" s="32">
        <v>36.74251</v>
      </c>
      <c r="AK18" s="31">
        <f t="shared" si="10"/>
        <v>0.329160223964166</v>
      </c>
      <c r="AM18" s="32">
        <v>19.85369</v>
      </c>
      <c r="AN18" s="31">
        <f t="shared" si="11"/>
        <v>0.177860604703247</v>
      </c>
      <c r="AP18" s="33">
        <f>I18+F18+L18+O18+R18+U18+X18+AA18+AD18+AG18+AJ18+AM18</f>
        <v>165.25452</v>
      </c>
      <c r="AQ18" s="34">
        <f t="shared" si="12"/>
        <v>0.157716612234848</v>
      </c>
      <c r="AR18" s="35"/>
    </row>
    <row r="19" outlineLevel="1" spans="1:44">
      <c r="A19" s="10" t="s">
        <v>28</v>
      </c>
      <c r="B19" s="28">
        <v>6666010229</v>
      </c>
      <c r="C19" s="28" t="s">
        <v>60</v>
      </c>
      <c r="D19" s="28" t="s">
        <v>61</v>
      </c>
      <c r="E19" s="28" t="s">
        <v>53</v>
      </c>
      <c r="F19" s="29">
        <v>42.73546</v>
      </c>
      <c r="G19" s="30">
        <f t="shared" si="0"/>
        <v>0.536123293857888</v>
      </c>
      <c r="I19" s="29">
        <v>-48.92735</v>
      </c>
      <c r="J19" s="31">
        <f t="shared" si="1"/>
        <v>-0.595911942025455</v>
      </c>
      <c r="L19" s="29">
        <v>20.16124</v>
      </c>
      <c r="M19" s="31">
        <f t="shared" si="2"/>
        <v>0.217590036370701</v>
      </c>
      <c r="O19" s="32">
        <v>19.48446</v>
      </c>
      <c r="P19" s="31">
        <f t="shared" si="3"/>
        <v>0.197436947115628</v>
      </c>
      <c r="R19" s="32">
        <v>31.16966</v>
      </c>
      <c r="S19" s="31">
        <f t="shared" si="4"/>
        <v>0.333890287403726</v>
      </c>
      <c r="U19" s="32">
        <v>25.44184</v>
      </c>
      <c r="V19" s="31">
        <f t="shared" si="5"/>
        <v>0.338808927715336</v>
      </c>
      <c r="X19" s="32">
        <v>20.7116</v>
      </c>
      <c r="Y19" s="31">
        <f t="shared" si="6"/>
        <v>0.266219360146017</v>
      </c>
      <c r="AA19" s="32">
        <v>13.44299</v>
      </c>
      <c r="AB19" s="31">
        <f t="shared" si="26"/>
        <v>0.228575630823641</v>
      </c>
      <c r="AD19" s="32">
        <v>15.16805</v>
      </c>
      <c r="AE19" s="31">
        <f t="shared" si="8"/>
        <v>0.167001189086825</v>
      </c>
      <c r="AG19" s="32">
        <v>21.85534</v>
      </c>
      <c r="AH19" s="31">
        <f t="shared" si="9"/>
        <v>0.19588552683469</v>
      </c>
      <c r="AJ19" s="32">
        <v>18.27537</v>
      </c>
      <c r="AK19" s="31">
        <f t="shared" si="10"/>
        <v>0.163721119820829</v>
      </c>
      <c r="AM19" s="32">
        <v>28.56811</v>
      </c>
      <c r="AN19" s="31">
        <f t="shared" si="11"/>
        <v>0.255929316909294</v>
      </c>
      <c r="AP19" s="33">
        <f>I19+F19+L19+O19+R19+U19+X19+AA19+AD19+AG19+AJ19+AM19</f>
        <v>208.08677</v>
      </c>
      <c r="AQ19" s="34">
        <f t="shared" si="12"/>
        <v>0.198595115070329</v>
      </c>
      <c r="AR19" s="35"/>
    </row>
    <row r="20" outlineLevel="1" spans="1:44">
      <c r="A20" s="10" t="s">
        <v>28</v>
      </c>
      <c r="B20" s="28">
        <v>6666010188</v>
      </c>
      <c r="C20" s="28" t="s">
        <v>62</v>
      </c>
      <c r="D20" s="28" t="s">
        <v>63</v>
      </c>
      <c r="E20" s="28" t="s">
        <v>53</v>
      </c>
      <c r="F20" s="29">
        <v>420.61737</v>
      </c>
      <c r="G20" s="30">
        <f t="shared" si="0"/>
        <v>5.27671329285428</v>
      </c>
      <c r="I20" s="29">
        <v>432.01008</v>
      </c>
      <c r="J20" s="31">
        <f t="shared" si="1"/>
        <v>5.2616780951221</v>
      </c>
      <c r="L20" s="29">
        <v>556.2437</v>
      </c>
      <c r="M20" s="31">
        <f t="shared" si="2"/>
        <v>6.00325609506028</v>
      </c>
      <c r="O20" s="32">
        <v>453.67223</v>
      </c>
      <c r="P20" s="31">
        <f t="shared" si="3"/>
        <v>4.59708198648252</v>
      </c>
      <c r="R20" s="32">
        <v>510.15712</v>
      </c>
      <c r="S20" s="31">
        <f t="shared" si="4"/>
        <v>5.46481762771416</v>
      </c>
      <c r="U20" s="32">
        <v>477.60647</v>
      </c>
      <c r="V20" s="31">
        <f t="shared" si="5"/>
        <v>6.36028431790337</v>
      </c>
      <c r="X20" s="32">
        <v>375.79089</v>
      </c>
      <c r="Y20" s="31">
        <f t="shared" si="6"/>
        <v>4.83027918096634</v>
      </c>
      <c r="AA20" s="32">
        <v>348.73328</v>
      </c>
      <c r="AB20" s="31">
        <f t="shared" si="26"/>
        <v>5.92962796708155</v>
      </c>
      <c r="AD20" s="32">
        <v>454.03241</v>
      </c>
      <c r="AE20" s="31">
        <f t="shared" si="8"/>
        <v>4.99892552793253</v>
      </c>
      <c r="AG20" s="32">
        <v>403.96571</v>
      </c>
      <c r="AH20" s="31">
        <f t="shared" si="9"/>
        <v>3.62067283906356</v>
      </c>
      <c r="AJ20" s="32">
        <v>491.08688</v>
      </c>
      <c r="AK20" s="31">
        <f t="shared" si="10"/>
        <v>4.39943453527436</v>
      </c>
      <c r="AM20" s="32">
        <v>489.56698</v>
      </c>
      <c r="AN20" s="31">
        <f t="shared" si="11"/>
        <v>4.38581840985442</v>
      </c>
      <c r="AP20" s="33">
        <f t="shared" ref="AP15:AP22" si="27">I20+F20+L20+O20+R20+U20+X20+AA20+AD20+AG20+AJ20+AM20</f>
        <v>5413.48312</v>
      </c>
      <c r="AQ20" s="34">
        <f t="shared" si="12"/>
        <v>5.16655289112173</v>
      </c>
      <c r="AR20" s="35"/>
    </row>
    <row r="21" s="3" customFormat="1" outlineLevel="1" spans="1:44">
      <c r="A21" s="10" t="s">
        <v>28</v>
      </c>
      <c r="B21" s="45">
        <v>5102040406</v>
      </c>
      <c r="C21" s="45" t="s">
        <v>64</v>
      </c>
      <c r="D21" s="45" t="s">
        <v>65</v>
      </c>
      <c r="E21" s="45" t="s">
        <v>53</v>
      </c>
      <c r="F21" s="29">
        <v>0</v>
      </c>
      <c r="G21" s="46">
        <f t="shared" si="0"/>
        <v>0</v>
      </c>
      <c r="H21" s="47"/>
      <c r="I21" s="29">
        <v>0</v>
      </c>
      <c r="J21" s="48">
        <f t="shared" si="1"/>
        <v>0</v>
      </c>
      <c r="K21" s="11"/>
      <c r="L21" s="29">
        <v>0</v>
      </c>
      <c r="M21" s="48">
        <f t="shared" si="2"/>
        <v>0</v>
      </c>
      <c r="N21" s="12"/>
      <c r="O21" s="32">
        <v>0</v>
      </c>
      <c r="P21" s="48">
        <f t="shared" si="3"/>
        <v>0</v>
      </c>
      <c r="Q21" s="49"/>
      <c r="R21" s="32">
        <v>0</v>
      </c>
      <c r="S21" s="48">
        <f t="shared" si="4"/>
        <v>0</v>
      </c>
      <c r="T21" s="49"/>
      <c r="U21" s="32">
        <v>0</v>
      </c>
      <c r="V21" s="48">
        <f t="shared" si="5"/>
        <v>0</v>
      </c>
      <c r="W21" s="49"/>
      <c r="X21" s="32">
        <v>0</v>
      </c>
      <c r="Y21" s="48">
        <f t="shared" si="6"/>
        <v>0</v>
      </c>
      <c r="Z21" s="49"/>
      <c r="AA21" s="32">
        <v>0</v>
      </c>
      <c r="AB21" s="48">
        <f t="shared" si="26"/>
        <v>0</v>
      </c>
      <c r="AC21" s="49"/>
      <c r="AD21" s="32">
        <v>0</v>
      </c>
      <c r="AE21" s="48">
        <f t="shared" si="8"/>
        <v>0</v>
      </c>
      <c r="AF21" s="49"/>
      <c r="AG21" s="32">
        <v>0</v>
      </c>
      <c r="AH21" s="48">
        <f t="shared" si="9"/>
        <v>0</v>
      </c>
      <c r="AI21" s="49"/>
      <c r="AJ21" s="32">
        <v>0</v>
      </c>
      <c r="AK21" s="48">
        <f t="shared" si="10"/>
        <v>0</v>
      </c>
      <c r="AL21" s="49"/>
      <c r="AM21" s="32">
        <v>0</v>
      </c>
      <c r="AN21" s="48">
        <f t="shared" si="11"/>
        <v>0</v>
      </c>
      <c r="AO21" s="49"/>
      <c r="AP21" s="33">
        <f t="shared" si="27"/>
        <v>0</v>
      </c>
      <c r="AQ21" s="50">
        <f t="shared" si="12"/>
        <v>0</v>
      </c>
      <c r="AR21" s="35"/>
    </row>
    <row r="22" outlineLevel="1" spans="1:44">
      <c r="A22" s="10" t="s">
        <v>28</v>
      </c>
      <c r="B22" s="28">
        <v>6666010115</v>
      </c>
      <c r="C22" s="28" t="s">
        <v>66</v>
      </c>
      <c r="D22" s="28" t="s">
        <v>67</v>
      </c>
      <c r="E22" s="28" t="s">
        <v>53</v>
      </c>
      <c r="F22" s="29">
        <v>-2.47577</v>
      </c>
      <c r="G22" s="30">
        <f t="shared" si="0"/>
        <v>-0.0310589371738258</v>
      </c>
      <c r="I22" s="29">
        <v>-0.20988</v>
      </c>
      <c r="J22" s="31">
        <f t="shared" si="1"/>
        <v>-0.00255623896230437</v>
      </c>
      <c r="L22" s="29">
        <v>5.27194</v>
      </c>
      <c r="M22" s="31">
        <f t="shared" si="2"/>
        <v>0.0568973741865159</v>
      </c>
      <c r="O22" s="32">
        <v>1.73274</v>
      </c>
      <c r="P22" s="31">
        <f t="shared" si="3"/>
        <v>0.0175579356956843</v>
      </c>
      <c r="R22" s="32">
        <v>0.73773</v>
      </c>
      <c r="S22" s="31">
        <f t="shared" si="4"/>
        <v>0.00790258481248594</v>
      </c>
      <c r="U22" s="32">
        <v>-1.18016</v>
      </c>
      <c r="V22" s="31">
        <f t="shared" si="5"/>
        <v>-0.0157161881425451</v>
      </c>
      <c r="X22" s="32">
        <v>0.57448</v>
      </c>
      <c r="Y22" s="31">
        <f t="shared" si="6"/>
        <v>0.00738415660869677</v>
      </c>
      <c r="AA22" s="32">
        <v>-6.08492</v>
      </c>
      <c r="AB22" s="31">
        <f t="shared" si="26"/>
        <v>-0.10346391892811</v>
      </c>
      <c r="AD22" s="32">
        <v>0.98315</v>
      </c>
      <c r="AE22" s="31">
        <f t="shared" si="8"/>
        <v>0.0108245436328805</v>
      </c>
      <c r="AG22" s="32">
        <v>-0.07977</v>
      </c>
      <c r="AH22" s="31">
        <f t="shared" si="9"/>
        <v>-0.00071496432796759</v>
      </c>
      <c r="AJ22" s="32">
        <v>0.4657</v>
      </c>
      <c r="AK22" s="31">
        <f t="shared" si="10"/>
        <v>0.00417200447928331</v>
      </c>
      <c r="AM22" s="32">
        <v>-66.68159</v>
      </c>
      <c r="AN22" s="31">
        <f t="shared" si="11"/>
        <v>-0.597371466965286</v>
      </c>
      <c r="AP22" s="33">
        <f t="shared" si="27"/>
        <v>-66.94635</v>
      </c>
      <c r="AQ22" s="34">
        <f t="shared" si="12"/>
        <v>-0.0638926640160184</v>
      </c>
      <c r="AR22" s="35"/>
    </row>
    <row r="23" s="4" customFormat="1" spans="1:44">
      <c r="A23" s="10"/>
      <c r="B23" s="36" t="s">
        <v>68</v>
      </c>
      <c r="C23" s="37" t="s">
        <v>53</v>
      </c>
      <c r="D23" s="38" t="s">
        <v>69</v>
      </c>
      <c r="E23" s="39"/>
      <c r="F23" s="40">
        <f>SUM(F15:F22)</f>
        <v>544.15844</v>
      </c>
      <c r="G23" s="41">
        <f t="shared" si="0"/>
        <v>6.82655610196708</v>
      </c>
      <c r="H23" s="11"/>
      <c r="I23" s="42">
        <f>SUM(I15:I22)</f>
        <v>469.02011</v>
      </c>
      <c r="J23" s="41">
        <f t="shared" si="1"/>
        <v>5.71244272577797</v>
      </c>
      <c r="K23" s="11"/>
      <c r="L23" s="42">
        <f>SUM(L15:L22)</f>
        <v>689.10387</v>
      </c>
      <c r="M23" s="41">
        <f t="shared" si="2"/>
        <v>7.43714851549262</v>
      </c>
      <c r="N23" s="12"/>
      <c r="O23" s="42">
        <f>SUM(O15:O22)</f>
        <v>573.04516</v>
      </c>
      <c r="P23" s="41">
        <f t="shared" si="3"/>
        <v>5.80669348546414</v>
      </c>
      <c r="Q23" s="13"/>
      <c r="R23" s="42">
        <f>SUM(R15:R22)</f>
        <v>645.05798</v>
      </c>
      <c r="S23" s="41">
        <f t="shared" si="4"/>
        <v>6.90987948967896</v>
      </c>
      <c r="T23" s="13"/>
      <c r="U23" s="42">
        <f>SUM(U15:U22)</f>
        <v>596.42251</v>
      </c>
      <c r="V23" s="41">
        <f t="shared" si="5"/>
        <v>7.94255726309061</v>
      </c>
      <c r="W23" s="13"/>
      <c r="X23" s="42">
        <f>SUM(X15:X22)</f>
        <v>524.39303</v>
      </c>
      <c r="Y23" s="41">
        <f t="shared" si="6"/>
        <v>6.74035694546202</v>
      </c>
      <c r="Z23" s="13"/>
      <c r="AA23" s="42">
        <f>SUM(AA15:AA22)</f>
        <v>432.51216</v>
      </c>
      <c r="AB23" s="41">
        <f t="shared" si="26"/>
        <v>7.35414813303407</v>
      </c>
      <c r="AC23" s="13"/>
      <c r="AD23" s="42">
        <f>SUM(AD15:AD22)</f>
        <v>570.86096</v>
      </c>
      <c r="AE23" s="41">
        <f t="shared" si="8"/>
        <v>6.28521524673552</v>
      </c>
      <c r="AF23" s="13"/>
      <c r="AG23" s="42">
        <f>SUM(AG15:AG22)</f>
        <v>501.28108</v>
      </c>
      <c r="AH23" s="41">
        <f t="shared" si="9"/>
        <v>4.4928931990105</v>
      </c>
      <c r="AI23" s="13"/>
      <c r="AJ23" s="42">
        <f>SUM(AJ15:AJ22)</f>
        <v>640.25558</v>
      </c>
      <c r="AK23" s="41">
        <f t="shared" si="10"/>
        <v>5.73577227323628</v>
      </c>
      <c r="AL23" s="13"/>
      <c r="AM23" s="42">
        <f>SUM(AM15:AM22)</f>
        <v>557.30606</v>
      </c>
      <c r="AN23" s="41">
        <f t="shared" si="11"/>
        <v>4.99266347144457</v>
      </c>
      <c r="AO23" s="13"/>
      <c r="AP23" s="43">
        <f>SUM(AP15:AP22)</f>
        <v>6743.41694</v>
      </c>
      <c r="AQ23" s="44">
        <f t="shared" si="12"/>
        <v>6.43582320570646</v>
      </c>
      <c r="AR23" s="35"/>
    </row>
    <row r="24" outlineLevel="2" spans="1:44">
      <c r="A24" s="10" t="s">
        <v>70</v>
      </c>
      <c r="B24" s="28">
        <v>8701530201</v>
      </c>
      <c r="C24" s="28" t="s">
        <v>71</v>
      </c>
      <c r="D24" s="28" t="s">
        <v>72</v>
      </c>
      <c r="E24" s="28" t="s">
        <v>73</v>
      </c>
      <c r="F24" s="29">
        <v>0</v>
      </c>
      <c r="G24" s="30">
        <f t="shared" si="0"/>
        <v>0</v>
      </c>
      <c r="I24" s="29">
        <v>0</v>
      </c>
      <c r="J24" s="31">
        <f t="shared" si="1"/>
        <v>0</v>
      </c>
      <c r="L24" s="29">
        <v>0</v>
      </c>
      <c r="M24" s="31">
        <f t="shared" si="2"/>
        <v>0</v>
      </c>
      <c r="O24" s="32">
        <v>0</v>
      </c>
      <c r="P24" s="31">
        <f t="shared" si="3"/>
        <v>0</v>
      </c>
      <c r="R24" s="32">
        <v>0</v>
      </c>
      <c r="S24" s="31">
        <f t="shared" si="4"/>
        <v>0</v>
      </c>
      <c r="U24" s="32">
        <v>0</v>
      </c>
      <c r="V24" s="31">
        <f t="shared" si="5"/>
        <v>0</v>
      </c>
      <c r="X24" s="32">
        <v>0</v>
      </c>
      <c r="Y24" s="31">
        <f t="shared" si="6"/>
        <v>0</v>
      </c>
      <c r="AA24" s="32">
        <v>0</v>
      </c>
      <c r="AB24" s="31">
        <f t="shared" si="26"/>
        <v>0</v>
      </c>
      <c r="AD24" s="32">
        <v>0</v>
      </c>
      <c r="AE24" s="31">
        <f t="shared" si="8"/>
        <v>0</v>
      </c>
      <c r="AG24" s="32">
        <v>0</v>
      </c>
      <c r="AH24" s="31">
        <f t="shared" si="9"/>
        <v>0</v>
      </c>
      <c r="AJ24" s="32">
        <v>0</v>
      </c>
      <c r="AK24" s="31">
        <f t="shared" si="10"/>
        <v>0</v>
      </c>
      <c r="AM24" s="32">
        <v>0</v>
      </c>
      <c r="AN24" s="31">
        <f t="shared" si="11"/>
        <v>0</v>
      </c>
      <c r="AP24" s="33">
        <f>I24+F24+L24+O24+R24+U24+X24+AA24+AD24+AG24+AJ24+AM24</f>
        <v>0</v>
      </c>
      <c r="AQ24" s="34">
        <f t="shared" si="12"/>
        <v>0</v>
      </c>
      <c r="AR24" s="35"/>
    </row>
    <row r="25" outlineLevel="2" spans="1:44">
      <c r="A25" s="10" t="s">
        <v>70</v>
      </c>
      <c r="B25" s="28">
        <v>6666050309</v>
      </c>
      <c r="C25" s="28" t="s">
        <v>74</v>
      </c>
      <c r="D25" s="28" t="s">
        <v>75</v>
      </c>
      <c r="E25" s="28" t="s">
        <v>73</v>
      </c>
      <c r="F25" s="29">
        <v>22.80459</v>
      </c>
      <c r="G25" s="30">
        <f t="shared" si="0"/>
        <v>0.286087289241269</v>
      </c>
      <c r="I25" s="29">
        <v>20.0357</v>
      </c>
      <c r="J25" s="31">
        <f t="shared" si="1"/>
        <v>0.24402533341453</v>
      </c>
      <c r="L25" s="29">
        <v>18.94494</v>
      </c>
      <c r="M25" s="31">
        <f t="shared" si="2"/>
        <v>0.204463127448547</v>
      </c>
      <c r="O25" s="32">
        <v>33.41447</v>
      </c>
      <c r="P25" s="31">
        <f t="shared" si="3"/>
        <v>0.338590391844924</v>
      </c>
      <c r="R25" s="32">
        <v>22.23319</v>
      </c>
      <c r="S25" s="31">
        <f t="shared" si="4"/>
        <v>0.238162565745075</v>
      </c>
      <c r="U25" s="32">
        <v>25.58973</v>
      </c>
      <c r="V25" s="31">
        <f t="shared" si="5"/>
        <v>0.340778378522346</v>
      </c>
      <c r="X25" s="32">
        <v>15.8635</v>
      </c>
      <c r="Y25" s="31">
        <f t="shared" si="6"/>
        <v>0.203903649147161</v>
      </c>
      <c r="AA25" s="32">
        <v>21.02516</v>
      </c>
      <c r="AB25" s="31">
        <f t="shared" si="26"/>
        <v>0.357497789566755</v>
      </c>
      <c r="AD25" s="32">
        <v>39.16126</v>
      </c>
      <c r="AE25" s="31">
        <f t="shared" si="8"/>
        <v>0.431167947504019</v>
      </c>
      <c r="AG25" s="32">
        <v>43.32155</v>
      </c>
      <c r="AH25" s="31">
        <f t="shared" si="9"/>
        <v>0.388283350661456</v>
      </c>
      <c r="AJ25" s="32">
        <v>41.80856</v>
      </c>
      <c r="AK25" s="31">
        <f t="shared" si="10"/>
        <v>0.37454477043673</v>
      </c>
      <c r="AM25" s="32">
        <v>43.55976</v>
      </c>
      <c r="AN25" s="31">
        <f t="shared" si="11"/>
        <v>0.390233012318029</v>
      </c>
      <c r="AP25" s="33">
        <f>I25+F25+L25+O25+R25+U25+X25+AA25+AD25+AG25+AJ25+AM25</f>
        <v>347.76241</v>
      </c>
      <c r="AQ25" s="34">
        <f t="shared" si="12"/>
        <v>0.33189960049399</v>
      </c>
      <c r="AR25" s="35"/>
    </row>
    <row r="26" outlineLevel="2" spans="1:44">
      <c r="A26" s="10" t="s">
        <v>70</v>
      </c>
      <c r="B26" s="28">
        <v>6666050308</v>
      </c>
      <c r="C26" s="28" t="s">
        <v>76</v>
      </c>
      <c r="D26" s="28" t="s">
        <v>77</v>
      </c>
      <c r="E26" s="28" t="s">
        <v>73</v>
      </c>
      <c r="F26" s="29">
        <v>7.00864</v>
      </c>
      <c r="G26" s="30">
        <f t="shared" si="0"/>
        <v>0.0879245283018868</v>
      </c>
      <c r="I26" s="29">
        <v>11.07537</v>
      </c>
      <c r="J26" s="31">
        <f t="shared" si="1"/>
        <v>0.134892759271664</v>
      </c>
      <c r="L26" s="29">
        <v>13.39109</v>
      </c>
      <c r="M26" s="31">
        <f t="shared" si="2"/>
        <v>0.14452324163312</v>
      </c>
      <c r="O26" s="32">
        <v>4.83912</v>
      </c>
      <c r="P26" s="31">
        <f t="shared" si="3"/>
        <v>0.0490350299431536</v>
      </c>
      <c r="R26" s="32">
        <v>14.75492</v>
      </c>
      <c r="S26" s="31">
        <f t="shared" si="4"/>
        <v>0.158055124098851</v>
      </c>
      <c r="U26" s="32">
        <v>13.45303</v>
      </c>
      <c r="V26" s="31">
        <f t="shared" si="5"/>
        <v>0.179153971128748</v>
      </c>
      <c r="X26" s="32">
        <v>17.04263</v>
      </c>
      <c r="Y26" s="31">
        <f t="shared" si="6"/>
        <v>0.219059756552141</v>
      </c>
      <c r="AA26" s="32">
        <v>11.40622</v>
      </c>
      <c r="AB26" s="31">
        <f t="shared" si="26"/>
        <v>0.193943752975583</v>
      </c>
      <c r="AD26" s="32">
        <v>4.7273</v>
      </c>
      <c r="AE26" s="31">
        <f t="shared" si="8"/>
        <v>0.0520478717547839</v>
      </c>
      <c r="AG26" s="32">
        <v>-1.81132</v>
      </c>
      <c r="AH26" s="31">
        <f t="shared" si="9"/>
        <v>-0.0162345391316818</v>
      </c>
      <c r="AJ26" s="32">
        <v>1.70048</v>
      </c>
      <c r="AK26" s="31">
        <f t="shared" si="10"/>
        <v>0.0152338633818589</v>
      </c>
      <c r="AM26" s="32">
        <v>7.6846300000003</v>
      </c>
      <c r="AN26" s="31">
        <f t="shared" si="11"/>
        <v>0.0688432698768224</v>
      </c>
      <c r="AP26" s="33">
        <f>I26+F26+L26+O26+R26+U26+X26+AA26+AD26+AG26+AJ26+AM26</f>
        <v>105.27211</v>
      </c>
      <c r="AQ26" s="34">
        <f t="shared" si="12"/>
        <v>0.100470235561571</v>
      </c>
      <c r="AR26" s="35"/>
    </row>
    <row r="27" outlineLevel="2" spans="1:44">
      <c r="A27" s="10" t="s">
        <v>70</v>
      </c>
      <c r="B27" s="28">
        <v>6666050306</v>
      </c>
      <c r="C27" s="28" t="s">
        <v>78</v>
      </c>
      <c r="D27" s="28" t="s">
        <v>79</v>
      </c>
      <c r="E27" s="28" t="s">
        <v>73</v>
      </c>
      <c r="F27" s="29">
        <v>0.19189</v>
      </c>
      <c r="G27" s="30">
        <f t="shared" si="0"/>
        <v>0.00240729124849458</v>
      </c>
      <c r="I27" s="29">
        <v>0.97622</v>
      </c>
      <c r="J27" s="31">
        <f t="shared" si="1"/>
        <v>0.0118898970830035</v>
      </c>
      <c r="L27" s="29">
        <v>1.00536</v>
      </c>
      <c r="M27" s="31">
        <f t="shared" si="2"/>
        <v>0.010850340503146</v>
      </c>
      <c r="O27" s="32">
        <v>0</v>
      </c>
      <c r="P27" s="31">
        <f t="shared" si="3"/>
        <v>0</v>
      </c>
      <c r="R27" s="32">
        <v>1.33891</v>
      </c>
      <c r="S27" s="31">
        <f t="shared" si="4"/>
        <v>0.0143424421282658</v>
      </c>
      <c r="U27" s="32">
        <v>0.68716</v>
      </c>
      <c r="V27" s="31">
        <f t="shared" si="5"/>
        <v>0.00915090821925105</v>
      </c>
      <c r="X27" s="32">
        <v>1.79659</v>
      </c>
      <c r="Y27" s="31">
        <f t="shared" si="6"/>
        <v>0.0230927132739495</v>
      </c>
      <c r="AA27" s="32">
        <v>1.44341</v>
      </c>
      <c r="AB27" s="31">
        <f t="shared" si="26"/>
        <v>0.0245427803849554</v>
      </c>
      <c r="AD27" s="32">
        <v>0</v>
      </c>
      <c r="AE27" s="31">
        <f t="shared" si="8"/>
        <v>0</v>
      </c>
      <c r="AG27" s="32">
        <v>0.50331</v>
      </c>
      <c r="AH27" s="31">
        <f t="shared" si="9"/>
        <v>0.00451107804825583</v>
      </c>
      <c r="AJ27" s="32">
        <v>0.13006</v>
      </c>
      <c r="AK27" s="31">
        <f t="shared" si="10"/>
        <v>0.00116515117581187</v>
      </c>
      <c r="AM27" s="32">
        <v>0.0752</v>
      </c>
      <c r="AN27" s="31">
        <f t="shared" si="11"/>
        <v>0.000673684210526316</v>
      </c>
      <c r="AP27" s="33">
        <f>I27+F27+L27+O27+R27+U27+X27+AA27+AD27+AG27+AJ27+AM27</f>
        <v>8.14811</v>
      </c>
      <c r="AQ27" s="34">
        <f t="shared" si="12"/>
        <v>0.00777644269770585</v>
      </c>
      <c r="AR27" s="35"/>
    </row>
    <row r="28" s="2" customFormat="1" spans="1:44">
      <c r="A28" s="10"/>
      <c r="B28" s="36" t="s">
        <v>68</v>
      </c>
      <c r="C28" s="37" t="s">
        <v>73</v>
      </c>
      <c r="D28" s="38" t="s">
        <v>80</v>
      </c>
      <c r="E28" s="39"/>
      <c r="F28" s="40">
        <f>SUM(F24:F27)</f>
        <v>30.00512</v>
      </c>
      <c r="G28" s="41">
        <f t="shared" si="0"/>
        <v>0.37641910879165</v>
      </c>
      <c r="H28" s="11"/>
      <c r="I28" s="42">
        <f>SUM(I24:I27)</f>
        <v>32.08729</v>
      </c>
      <c r="J28" s="41">
        <f t="shared" si="1"/>
        <v>0.390807989769198</v>
      </c>
      <c r="K28" s="11"/>
      <c r="L28" s="42">
        <f>SUM(L24:L27)</f>
        <v>33.34139</v>
      </c>
      <c r="M28" s="41">
        <f t="shared" si="2"/>
        <v>0.359836709584813</v>
      </c>
      <c r="N28" s="12"/>
      <c r="O28" s="42">
        <f>SUM(O24:O27)</f>
        <v>38.25359</v>
      </c>
      <c r="P28" s="41">
        <f t="shared" si="3"/>
        <v>0.387625421788078</v>
      </c>
      <c r="Q28" s="13"/>
      <c r="R28" s="42">
        <f>SUM(R24:R27)</f>
        <v>38.32702</v>
      </c>
      <c r="S28" s="41">
        <f t="shared" si="4"/>
        <v>0.410560131972192</v>
      </c>
      <c r="T28" s="13"/>
      <c r="U28" s="42">
        <f>SUM(U24:U27)</f>
        <v>39.72992</v>
      </c>
      <c r="V28" s="41">
        <f t="shared" si="5"/>
        <v>0.529083257870345</v>
      </c>
      <c r="W28" s="13"/>
      <c r="X28" s="42">
        <f>SUM(X24:X27)</f>
        <v>34.70272</v>
      </c>
      <c r="Y28" s="41">
        <f t="shared" si="6"/>
        <v>0.446056118973252</v>
      </c>
      <c r="Z28" s="13"/>
      <c r="AA28" s="42">
        <f>SUM(AA24:AA27)</f>
        <v>33.87479</v>
      </c>
      <c r="AB28" s="41">
        <f t="shared" si="26"/>
        <v>0.575984322927294</v>
      </c>
      <c r="AC28" s="13"/>
      <c r="AD28" s="42">
        <f>SUM(AD24:AD27)</f>
        <v>43.88856</v>
      </c>
      <c r="AE28" s="41">
        <f t="shared" si="8"/>
        <v>0.483215819258803</v>
      </c>
      <c r="AF28" s="13"/>
      <c r="AG28" s="42">
        <f>SUM(AG24:AG27)</f>
        <v>42.01354</v>
      </c>
      <c r="AH28" s="41">
        <f t="shared" si="9"/>
        <v>0.37655988957803</v>
      </c>
      <c r="AI28" s="13"/>
      <c r="AJ28" s="42">
        <f>SUM(AJ24:AJ27)</f>
        <v>43.6391</v>
      </c>
      <c r="AK28" s="41">
        <f t="shared" si="10"/>
        <v>0.390943784994401</v>
      </c>
      <c r="AL28" s="13"/>
      <c r="AM28" s="42">
        <f>SUM(AM24:AM27)</f>
        <v>51.3195900000003</v>
      </c>
      <c r="AN28" s="41">
        <f t="shared" si="11"/>
        <v>0.459749966405378</v>
      </c>
      <c r="AO28" s="13"/>
      <c r="AP28" s="43">
        <f>SUM(AP24:AP27)</f>
        <v>461.18263</v>
      </c>
      <c r="AQ28" s="44">
        <f t="shared" si="12"/>
        <v>0.440146278753267</v>
      </c>
      <c r="AR28" s="35"/>
    </row>
    <row r="29" outlineLevel="2" spans="1:44">
      <c r="A29" s="10" t="s">
        <v>28</v>
      </c>
      <c r="B29" s="28">
        <v>5102010151</v>
      </c>
      <c r="C29" s="28" t="s">
        <v>81</v>
      </c>
      <c r="D29" s="28" t="s">
        <v>82</v>
      </c>
      <c r="E29" s="28" t="s">
        <v>83</v>
      </c>
      <c r="F29" s="29">
        <v>-8.9625</v>
      </c>
      <c r="G29" s="30">
        <f t="shared" si="0"/>
        <v>-0.112436019670815</v>
      </c>
      <c r="I29" s="29">
        <v>0</v>
      </c>
      <c r="J29" s="31">
        <f t="shared" si="1"/>
        <v>0</v>
      </c>
      <c r="L29" s="29">
        <v>0</v>
      </c>
      <c r="M29" s="31">
        <f t="shared" si="2"/>
        <v>0</v>
      </c>
      <c r="O29" s="32">
        <v>0</v>
      </c>
      <c r="P29" s="31">
        <f t="shared" si="3"/>
        <v>0</v>
      </c>
      <c r="R29" s="32">
        <v>0</v>
      </c>
      <c r="S29" s="31">
        <f t="shared" si="4"/>
        <v>0</v>
      </c>
      <c r="U29" s="32">
        <v>0</v>
      </c>
      <c r="V29" s="31">
        <f t="shared" si="5"/>
        <v>0</v>
      </c>
      <c r="X29" s="32">
        <v>0</v>
      </c>
      <c r="Y29" s="31">
        <f t="shared" si="6"/>
        <v>0</v>
      </c>
      <c r="AA29" s="32">
        <v>0</v>
      </c>
      <c r="AB29" s="31">
        <f t="shared" si="26"/>
        <v>0</v>
      </c>
      <c r="AD29" s="32">
        <v>0</v>
      </c>
      <c r="AE29" s="31">
        <f t="shared" si="8"/>
        <v>0</v>
      </c>
      <c r="AG29" s="32">
        <v>0</v>
      </c>
      <c r="AH29" s="31">
        <f t="shared" si="9"/>
        <v>0</v>
      </c>
      <c r="AJ29" s="32">
        <v>0</v>
      </c>
      <c r="AK29" s="31">
        <f t="shared" si="10"/>
        <v>0</v>
      </c>
      <c r="AM29" s="32">
        <v>6.42157</v>
      </c>
      <c r="AN29" s="31">
        <f t="shared" si="11"/>
        <v>0.0575280627099664</v>
      </c>
      <c r="AP29" s="33">
        <f>I29+F29+L29+O29+R29+U29+X29+AA29+AD29+AG29+AJ29+AM29</f>
        <v>-2.54093</v>
      </c>
      <c r="AQ29" s="34">
        <f t="shared" si="12"/>
        <v>-0.00242502820210843</v>
      </c>
      <c r="AR29" s="35"/>
    </row>
    <row r="30" outlineLevel="2" spans="1:44">
      <c r="A30" s="10" t="s">
        <v>28</v>
      </c>
      <c r="B30" s="28">
        <v>5001010200</v>
      </c>
      <c r="C30" s="28" t="s">
        <v>84</v>
      </c>
      <c r="D30" s="28" t="s">
        <v>85</v>
      </c>
      <c r="E30" s="28" t="s">
        <v>83</v>
      </c>
      <c r="F30" s="29">
        <v>0.36849</v>
      </c>
      <c r="G30" s="30">
        <f t="shared" si="0"/>
        <v>0.00462276696105982</v>
      </c>
      <c r="I30" s="29">
        <v>1.02854</v>
      </c>
      <c r="J30" s="31">
        <f t="shared" si="1"/>
        <v>0.0125271298946471</v>
      </c>
      <c r="L30" s="29">
        <v>2.94096</v>
      </c>
      <c r="M30" s="31">
        <f t="shared" si="2"/>
        <v>0.0317402894546553</v>
      </c>
      <c r="O30" s="32">
        <v>6.86069</v>
      </c>
      <c r="P30" s="31">
        <f t="shared" si="3"/>
        <v>0.0695196935766616</v>
      </c>
      <c r="R30" s="32">
        <v>-0.2885</v>
      </c>
      <c r="S30" s="31">
        <f t="shared" si="4"/>
        <v>-0.0030904202328795</v>
      </c>
      <c r="U30" s="32">
        <v>0.14201</v>
      </c>
      <c r="V30" s="31">
        <f t="shared" si="5"/>
        <v>0.00189114685985191</v>
      </c>
      <c r="X30" s="32">
        <v>0</v>
      </c>
      <c r="Y30" s="31">
        <f t="shared" si="6"/>
        <v>0</v>
      </c>
      <c r="AA30" s="32">
        <v>0</v>
      </c>
      <c r="AB30" s="31">
        <f t="shared" si="26"/>
        <v>0</v>
      </c>
      <c r="AD30" s="32">
        <v>0</v>
      </c>
      <c r="AE30" s="31">
        <f t="shared" si="8"/>
        <v>0</v>
      </c>
      <c r="AG30" s="32">
        <v>0.06244</v>
      </c>
      <c r="AH30" s="31">
        <f t="shared" si="9"/>
        <v>0.000559638619008353</v>
      </c>
      <c r="AJ30" s="32">
        <v>0</v>
      </c>
      <c r="AK30" s="31">
        <f t="shared" si="10"/>
        <v>0</v>
      </c>
      <c r="AM30" s="32">
        <v>0.1265</v>
      </c>
      <c r="AN30" s="31">
        <f t="shared" si="11"/>
        <v>0.00113325867861142</v>
      </c>
      <c r="AP30" s="33">
        <f t="shared" ref="AP29:AP78" si="28">I30+F30+L30+O30+R30+U30+X30+AA30+AD30+AG30+AJ30+AM30</f>
        <v>11.24113</v>
      </c>
      <c r="AQ30" s="34">
        <f t="shared" si="12"/>
        <v>0.0107283779063442</v>
      </c>
      <c r="AR30" s="35"/>
    </row>
    <row r="31" outlineLevel="2" spans="1:44">
      <c r="A31" s="10" t="s">
        <v>28</v>
      </c>
      <c r="B31" s="28">
        <v>5001010201</v>
      </c>
      <c r="C31" s="28" t="s">
        <v>86</v>
      </c>
      <c r="D31" s="28" t="s">
        <v>87</v>
      </c>
      <c r="E31" s="28" t="s">
        <v>83</v>
      </c>
      <c r="F31" s="29">
        <v>0.0012</v>
      </c>
      <c r="G31" s="30">
        <f t="shared" si="0"/>
        <v>1.50541951023685e-5</v>
      </c>
      <c r="I31" s="29">
        <v>0</v>
      </c>
      <c r="J31" s="31">
        <f t="shared" si="1"/>
        <v>0</v>
      </c>
      <c r="L31" s="29">
        <v>0</v>
      </c>
      <c r="M31" s="31">
        <f t="shared" si="2"/>
        <v>0</v>
      </c>
      <c r="O31" s="32">
        <v>0</v>
      </c>
      <c r="P31" s="31">
        <f t="shared" si="3"/>
        <v>0</v>
      </c>
      <c r="R31" s="32">
        <v>0</v>
      </c>
      <c r="S31" s="31">
        <f t="shared" si="4"/>
        <v>0</v>
      </c>
      <c r="U31" s="32">
        <v>0</v>
      </c>
      <c r="V31" s="31">
        <f t="shared" si="5"/>
        <v>0</v>
      </c>
      <c r="X31" s="32">
        <v>0</v>
      </c>
      <c r="Y31" s="31">
        <f t="shared" si="6"/>
        <v>0</v>
      </c>
      <c r="AA31" s="32">
        <v>0</v>
      </c>
      <c r="AB31" s="31">
        <f t="shared" si="26"/>
        <v>0</v>
      </c>
      <c r="AD31" s="32">
        <v>0</v>
      </c>
      <c r="AE31" s="31">
        <f t="shared" si="8"/>
        <v>0</v>
      </c>
      <c r="AG31" s="32">
        <v>0</v>
      </c>
      <c r="AH31" s="31">
        <f t="shared" si="9"/>
        <v>0</v>
      </c>
      <c r="AJ31" s="32">
        <v>0</v>
      </c>
      <c r="AK31" s="31">
        <f t="shared" si="10"/>
        <v>0</v>
      </c>
      <c r="AM31" s="32">
        <v>0</v>
      </c>
      <c r="AN31" s="31">
        <f t="shared" si="11"/>
        <v>0</v>
      </c>
      <c r="AP31" s="33">
        <f t="shared" si="28"/>
        <v>0.0012</v>
      </c>
      <c r="AQ31" s="34">
        <f t="shared" si="12"/>
        <v>1.1452632864857e-6</v>
      </c>
      <c r="AR31" s="35"/>
    </row>
    <row r="32" outlineLevel="2" spans="1:44">
      <c r="A32" s="10" t="s">
        <v>28</v>
      </c>
      <c r="B32" s="28">
        <v>5207000011</v>
      </c>
      <c r="C32" s="28" t="s">
        <v>88</v>
      </c>
      <c r="D32" s="28" t="s">
        <v>89</v>
      </c>
      <c r="E32" s="28" t="s">
        <v>83</v>
      </c>
      <c r="F32" s="29">
        <v>0</v>
      </c>
      <c r="G32" s="30">
        <f t="shared" si="0"/>
        <v>0</v>
      </c>
      <c r="I32" s="29">
        <v>0</v>
      </c>
      <c r="J32" s="31">
        <f t="shared" si="1"/>
        <v>0</v>
      </c>
      <c r="L32" s="29">
        <v>-4.25402</v>
      </c>
      <c r="M32" s="31">
        <f t="shared" si="2"/>
        <v>-0.0459114799745297</v>
      </c>
      <c r="O32" s="32">
        <v>4.25402</v>
      </c>
      <c r="P32" s="31">
        <f t="shared" si="3"/>
        <v>0.0431061841985267</v>
      </c>
      <c r="R32" s="32">
        <v>0</v>
      </c>
      <c r="S32" s="31">
        <f t="shared" si="4"/>
        <v>0</v>
      </c>
      <c r="U32" s="32">
        <v>0</v>
      </c>
      <c r="V32" s="31">
        <f t="shared" si="5"/>
        <v>0</v>
      </c>
      <c r="X32" s="32">
        <v>0</v>
      </c>
      <c r="Y32" s="31">
        <f t="shared" si="6"/>
        <v>0</v>
      </c>
      <c r="AA32" s="32">
        <v>0</v>
      </c>
      <c r="AB32" s="31">
        <f t="shared" si="26"/>
        <v>0</v>
      </c>
      <c r="AD32" s="32">
        <v>0</v>
      </c>
      <c r="AE32" s="31">
        <f t="shared" si="8"/>
        <v>0</v>
      </c>
      <c r="AG32" s="32">
        <v>0</v>
      </c>
      <c r="AH32" s="31">
        <f t="shared" si="9"/>
        <v>0</v>
      </c>
      <c r="AJ32" s="32">
        <v>0</v>
      </c>
      <c r="AK32" s="31">
        <f t="shared" si="10"/>
        <v>0</v>
      </c>
      <c r="AM32" s="32">
        <v>0</v>
      </c>
      <c r="AN32" s="31">
        <f t="shared" si="11"/>
        <v>0</v>
      </c>
      <c r="AP32" s="33">
        <f t="shared" si="28"/>
        <v>0</v>
      </c>
      <c r="AQ32" s="34">
        <f t="shared" si="12"/>
        <v>0</v>
      </c>
      <c r="AR32" s="35"/>
    </row>
    <row r="33" outlineLevel="2" spans="1:44">
      <c r="A33" s="10" t="s">
        <v>28</v>
      </c>
      <c r="B33" s="28">
        <v>5207000012</v>
      </c>
      <c r="C33" s="28" t="s">
        <v>90</v>
      </c>
      <c r="D33" s="28" t="s">
        <v>91</v>
      </c>
      <c r="E33" s="28" t="s">
        <v>83</v>
      </c>
      <c r="F33" s="29">
        <v>0</v>
      </c>
      <c r="G33" s="30">
        <f t="shared" si="0"/>
        <v>0</v>
      </c>
      <c r="I33" s="29">
        <v>0</v>
      </c>
      <c r="J33" s="31">
        <f t="shared" si="1"/>
        <v>0</v>
      </c>
      <c r="L33" s="29">
        <v>95.99121</v>
      </c>
      <c r="M33" s="31">
        <f t="shared" si="2"/>
        <v>1.03598443722547</v>
      </c>
      <c r="O33" s="32">
        <v>-95.99121</v>
      </c>
      <c r="P33" s="31">
        <f t="shared" si="3"/>
        <v>-0.972683433481614</v>
      </c>
      <c r="R33" s="32">
        <v>0</v>
      </c>
      <c r="S33" s="31">
        <f t="shared" si="4"/>
        <v>0</v>
      </c>
      <c r="U33" s="32">
        <v>0</v>
      </c>
      <c r="V33" s="31">
        <f t="shared" si="5"/>
        <v>0</v>
      </c>
      <c r="X33" s="32">
        <v>0</v>
      </c>
      <c r="Y33" s="31">
        <f t="shared" si="6"/>
        <v>0</v>
      </c>
      <c r="AA33" s="32">
        <v>0</v>
      </c>
      <c r="AB33" s="31">
        <f t="shared" si="26"/>
        <v>0</v>
      </c>
      <c r="AD33" s="32">
        <v>0</v>
      </c>
      <c r="AE33" s="31">
        <f t="shared" si="8"/>
        <v>0</v>
      </c>
      <c r="AG33" s="32">
        <v>0</v>
      </c>
      <c r="AH33" s="31">
        <f t="shared" si="9"/>
        <v>0</v>
      </c>
      <c r="AJ33" s="32">
        <v>0</v>
      </c>
      <c r="AK33" s="31">
        <f t="shared" si="10"/>
        <v>0</v>
      </c>
      <c r="AM33" s="32">
        <v>0</v>
      </c>
      <c r="AN33" s="31">
        <f t="shared" si="11"/>
        <v>0</v>
      </c>
      <c r="AP33" s="33">
        <f t="shared" si="28"/>
        <v>0</v>
      </c>
      <c r="AQ33" s="34">
        <f t="shared" si="12"/>
        <v>0</v>
      </c>
      <c r="AR33" s="35"/>
    </row>
    <row r="34" outlineLevel="2" spans="1:44">
      <c r="A34" s="10" t="s">
        <v>28</v>
      </c>
      <c r="B34" s="28">
        <v>5207000022</v>
      </c>
      <c r="C34" s="28" t="s">
        <v>92</v>
      </c>
      <c r="D34" s="28" t="s">
        <v>93</v>
      </c>
      <c r="E34" s="28" t="s">
        <v>83</v>
      </c>
      <c r="F34" s="29">
        <v>0</v>
      </c>
      <c r="G34" s="30">
        <f t="shared" si="0"/>
        <v>0</v>
      </c>
      <c r="I34" s="29">
        <v>0</v>
      </c>
      <c r="J34" s="31">
        <f t="shared" si="1"/>
        <v>0</v>
      </c>
      <c r="L34" s="29">
        <v>0</v>
      </c>
      <c r="M34" s="31">
        <f t="shared" si="2"/>
        <v>0</v>
      </c>
      <c r="O34" s="32">
        <v>0</v>
      </c>
      <c r="P34" s="31">
        <f t="shared" si="3"/>
        <v>0</v>
      </c>
      <c r="R34" s="32">
        <v>0</v>
      </c>
      <c r="S34" s="31">
        <f t="shared" si="4"/>
        <v>0</v>
      </c>
      <c r="U34" s="32">
        <v>0</v>
      </c>
      <c r="V34" s="31">
        <f t="shared" si="5"/>
        <v>0</v>
      </c>
      <c r="X34" s="32">
        <v>0</v>
      </c>
      <c r="Y34" s="31">
        <f t="shared" si="6"/>
        <v>0</v>
      </c>
      <c r="AA34" s="32">
        <v>0</v>
      </c>
      <c r="AB34" s="31">
        <f t="shared" si="26"/>
        <v>0</v>
      </c>
      <c r="AD34" s="32">
        <v>0</v>
      </c>
      <c r="AE34" s="31">
        <f t="shared" si="8"/>
        <v>0</v>
      </c>
      <c r="AG34" s="32">
        <v>0</v>
      </c>
      <c r="AH34" s="31">
        <f t="shared" si="9"/>
        <v>0</v>
      </c>
      <c r="AJ34" s="32">
        <v>0</v>
      </c>
      <c r="AK34" s="31">
        <f t="shared" si="10"/>
        <v>0</v>
      </c>
      <c r="AM34" s="32">
        <v>0</v>
      </c>
      <c r="AN34" s="31">
        <f t="shared" si="11"/>
        <v>0</v>
      </c>
      <c r="AP34" s="33">
        <f t="shared" si="28"/>
        <v>0</v>
      </c>
      <c r="AQ34" s="34">
        <f t="shared" si="12"/>
        <v>0</v>
      </c>
      <c r="AR34" s="35"/>
    </row>
    <row r="35" outlineLevel="2" spans="1:44">
      <c r="A35" s="10" t="s">
        <v>28</v>
      </c>
      <c r="B35" s="28">
        <v>5301060000</v>
      </c>
      <c r="C35" s="28" t="s">
        <v>94</v>
      </c>
      <c r="D35" s="28" t="s">
        <v>95</v>
      </c>
      <c r="E35" s="28" t="s">
        <v>83</v>
      </c>
      <c r="F35" s="29">
        <v>-1.44101</v>
      </c>
      <c r="G35" s="30">
        <f t="shared" si="0"/>
        <v>-0.0180777047370534</v>
      </c>
      <c r="I35" s="29">
        <v>0</v>
      </c>
      <c r="J35" s="31">
        <f t="shared" si="1"/>
        <v>0</v>
      </c>
      <c r="L35" s="29">
        <v>0</v>
      </c>
      <c r="M35" s="31">
        <f t="shared" si="2"/>
        <v>0</v>
      </c>
      <c r="O35" s="32">
        <v>-1.96387</v>
      </c>
      <c r="P35" s="31">
        <f t="shared" si="3"/>
        <v>-0.019899986827039</v>
      </c>
      <c r="R35" s="32">
        <v>0</v>
      </c>
      <c r="S35" s="31">
        <f t="shared" si="4"/>
        <v>0</v>
      </c>
      <c r="U35" s="32">
        <v>0</v>
      </c>
      <c r="V35" s="31">
        <f t="shared" si="5"/>
        <v>0</v>
      </c>
      <c r="X35" s="32">
        <v>-2.41837</v>
      </c>
      <c r="Y35" s="31">
        <f t="shared" si="6"/>
        <v>-0.0310848468489312</v>
      </c>
      <c r="AA35" s="32">
        <v>0</v>
      </c>
      <c r="AB35" s="31">
        <f t="shared" si="26"/>
        <v>0</v>
      </c>
      <c r="AD35" s="32">
        <v>-0.48572</v>
      </c>
      <c r="AE35" s="31">
        <f t="shared" si="8"/>
        <v>-0.00534780789641733</v>
      </c>
      <c r="AG35" s="32">
        <v>-2.45635</v>
      </c>
      <c r="AH35" s="31">
        <f t="shared" si="9"/>
        <v>-0.022015828344029</v>
      </c>
      <c r="AJ35" s="32">
        <v>0</v>
      </c>
      <c r="AK35" s="31">
        <f t="shared" si="10"/>
        <v>0</v>
      </c>
      <c r="AM35" s="32">
        <v>-1.20236</v>
      </c>
      <c r="AN35" s="31">
        <f t="shared" si="11"/>
        <v>-0.0107714221724524</v>
      </c>
      <c r="AP35" s="33">
        <f t="shared" si="28"/>
        <v>-9.96768</v>
      </c>
      <c r="AQ35" s="34">
        <f t="shared" si="12"/>
        <v>-0.00951301496286484</v>
      </c>
      <c r="AR35" s="35"/>
    </row>
    <row r="36" outlineLevel="2" spans="1:44">
      <c r="A36" s="10" t="s">
        <v>28</v>
      </c>
      <c r="B36" s="28">
        <v>5301999999</v>
      </c>
      <c r="C36" s="28" t="s">
        <v>96</v>
      </c>
      <c r="D36" s="28" t="s">
        <v>97</v>
      </c>
      <c r="E36" s="28" t="s">
        <v>83</v>
      </c>
      <c r="F36" s="29">
        <v>0</v>
      </c>
      <c r="G36" s="30">
        <f t="shared" si="0"/>
        <v>0</v>
      </c>
      <c r="I36" s="29">
        <v>0</v>
      </c>
      <c r="J36" s="31">
        <f t="shared" si="1"/>
        <v>0</v>
      </c>
      <c r="L36" s="29">
        <v>0</v>
      </c>
      <c r="M36" s="31">
        <f t="shared" si="2"/>
        <v>0</v>
      </c>
      <c r="O36" s="32">
        <v>0</v>
      </c>
      <c r="P36" s="31">
        <f t="shared" si="3"/>
        <v>0</v>
      </c>
      <c r="R36" s="32">
        <v>0</v>
      </c>
      <c r="S36" s="31">
        <f t="shared" si="4"/>
        <v>0</v>
      </c>
      <c r="U36" s="32">
        <v>0</v>
      </c>
      <c r="V36" s="31">
        <f t="shared" si="5"/>
        <v>0</v>
      </c>
      <c r="X36" s="32">
        <v>0</v>
      </c>
      <c r="Y36" s="31">
        <f t="shared" si="6"/>
        <v>0</v>
      </c>
      <c r="AA36" s="32">
        <v>0</v>
      </c>
      <c r="AB36" s="31">
        <f t="shared" si="26"/>
        <v>0</v>
      </c>
      <c r="AD36" s="32">
        <v>0</v>
      </c>
      <c r="AE36" s="31">
        <f t="shared" si="8"/>
        <v>0</v>
      </c>
      <c r="AG36" s="32">
        <v>0</v>
      </c>
      <c r="AH36" s="31">
        <f t="shared" si="9"/>
        <v>0</v>
      </c>
      <c r="AJ36" s="32">
        <v>-0.06594</v>
      </c>
      <c r="AK36" s="31">
        <f t="shared" si="10"/>
        <v>-0.000590727883538634</v>
      </c>
      <c r="AM36" s="32">
        <v>0</v>
      </c>
      <c r="AN36" s="31">
        <f t="shared" si="11"/>
        <v>0</v>
      </c>
      <c r="AP36" s="33">
        <f t="shared" si="28"/>
        <v>-0.06594</v>
      </c>
      <c r="AQ36" s="34">
        <f t="shared" si="12"/>
        <v>-6.29322175923893e-5</v>
      </c>
      <c r="AR36" s="35"/>
    </row>
    <row r="37" outlineLevel="2" spans="1:44">
      <c r="A37" s="10" t="s">
        <v>28</v>
      </c>
      <c r="B37" s="28">
        <v>5405030000</v>
      </c>
      <c r="C37" s="28" t="s">
        <v>98</v>
      </c>
      <c r="D37" s="28" t="s">
        <v>99</v>
      </c>
      <c r="E37" s="28" t="s">
        <v>83</v>
      </c>
      <c r="F37" s="29">
        <v>0.04414</v>
      </c>
      <c r="G37" s="30">
        <f t="shared" si="0"/>
        <v>0.000553743476515456</v>
      </c>
      <c r="I37" s="29">
        <v>2e-5</v>
      </c>
      <c r="J37" s="31">
        <f t="shared" si="1"/>
        <v>2.43590524328604e-7</v>
      </c>
      <c r="L37" s="29">
        <v>6.83254</v>
      </c>
      <c r="M37" s="31">
        <f t="shared" si="2"/>
        <v>0.073740138359757</v>
      </c>
      <c r="O37" s="32">
        <v>-1.42682</v>
      </c>
      <c r="P37" s="31">
        <f t="shared" si="3"/>
        <v>-0.0144580339862393</v>
      </c>
      <c r="R37" s="32">
        <v>0.00017</v>
      </c>
      <c r="S37" s="31">
        <f t="shared" si="4"/>
        <v>1.82104485126348e-6</v>
      </c>
      <c r="U37" s="32">
        <v>0.03326</v>
      </c>
      <c r="V37" s="31">
        <f t="shared" si="5"/>
        <v>0.000442923347360571</v>
      </c>
      <c r="X37" s="32">
        <v>1.8678</v>
      </c>
      <c r="Y37" s="31">
        <f t="shared" si="6"/>
        <v>0.0240080206686461</v>
      </c>
      <c r="AA37" s="32">
        <v>0.363179999999999</v>
      </c>
      <c r="AB37" s="31">
        <f t="shared" si="26"/>
        <v>0.00617527035298917</v>
      </c>
      <c r="AD37" s="32">
        <v>0.01248</v>
      </c>
      <c r="AE37" s="31">
        <f t="shared" si="8"/>
        <v>0.000137405588708079</v>
      </c>
      <c r="AG37" s="32">
        <v>0.22014</v>
      </c>
      <c r="AH37" s="31">
        <f t="shared" si="9"/>
        <v>0.00197307568207077</v>
      </c>
      <c r="AJ37" s="32">
        <v>0.81631</v>
      </c>
      <c r="AK37" s="31">
        <f t="shared" si="10"/>
        <v>0.00731296752519596</v>
      </c>
      <c r="AM37" s="32">
        <v>0.373710000000001</v>
      </c>
      <c r="AN37" s="31">
        <f t="shared" si="11"/>
        <v>0.0033479059350504</v>
      </c>
      <c r="AP37" s="33">
        <f t="shared" si="28"/>
        <v>9.13693</v>
      </c>
      <c r="AQ37" s="34">
        <f t="shared" si="12"/>
        <v>0.00872015873349151</v>
      </c>
      <c r="AR37" s="35"/>
    </row>
    <row r="38" outlineLevel="2" spans="1:44">
      <c r="A38" s="10" t="s">
        <v>28</v>
      </c>
      <c r="B38" s="28">
        <v>5601050000</v>
      </c>
      <c r="C38" s="28" t="s">
        <v>100</v>
      </c>
      <c r="D38" s="28" t="s">
        <v>101</v>
      </c>
      <c r="E38" s="28" t="s">
        <v>83</v>
      </c>
      <c r="F38" s="29">
        <v>0</v>
      </c>
      <c r="G38" s="30">
        <f t="shared" si="0"/>
        <v>0</v>
      </c>
      <c r="I38" s="29">
        <v>0</v>
      </c>
      <c r="J38" s="31">
        <f t="shared" si="1"/>
        <v>0</v>
      </c>
      <c r="L38" s="29">
        <v>0</v>
      </c>
      <c r="M38" s="31">
        <f t="shared" si="2"/>
        <v>0</v>
      </c>
      <c r="O38" s="32">
        <v>0</v>
      </c>
      <c r="P38" s="31">
        <f t="shared" si="3"/>
        <v>0</v>
      </c>
      <c r="R38" s="32">
        <v>0</v>
      </c>
      <c r="S38" s="31">
        <f t="shared" si="4"/>
        <v>0</v>
      </c>
      <c r="U38" s="32">
        <v>0</v>
      </c>
      <c r="V38" s="31">
        <f t="shared" si="5"/>
        <v>0</v>
      </c>
      <c r="X38" s="32">
        <v>0</v>
      </c>
      <c r="Y38" s="31">
        <f t="shared" si="6"/>
        <v>0</v>
      </c>
      <c r="AA38" s="32">
        <v>0</v>
      </c>
      <c r="AB38" s="31">
        <f t="shared" si="26"/>
        <v>0</v>
      </c>
      <c r="AD38" s="32">
        <v>0</v>
      </c>
      <c r="AE38" s="31">
        <f t="shared" si="8"/>
        <v>0</v>
      </c>
      <c r="AG38" s="32">
        <v>0</v>
      </c>
      <c r="AH38" s="31">
        <f t="shared" si="9"/>
        <v>0</v>
      </c>
      <c r="AJ38" s="32">
        <v>0</v>
      </c>
      <c r="AK38" s="31">
        <f t="shared" si="10"/>
        <v>0</v>
      </c>
      <c r="AM38" s="32">
        <v>0</v>
      </c>
      <c r="AN38" s="31">
        <f t="shared" si="11"/>
        <v>0</v>
      </c>
      <c r="AP38" s="33">
        <f t="shared" si="28"/>
        <v>0</v>
      </c>
      <c r="AQ38" s="34">
        <f t="shared" si="12"/>
        <v>0</v>
      </c>
      <c r="AR38" s="35"/>
    </row>
    <row r="39" outlineLevel="2" spans="1:44">
      <c r="A39" s="10" t="s">
        <v>28</v>
      </c>
      <c r="B39" s="28">
        <v>5601050100</v>
      </c>
      <c r="C39" s="28" t="s">
        <v>102</v>
      </c>
      <c r="D39" s="28" t="s">
        <v>103</v>
      </c>
      <c r="E39" s="28" t="s">
        <v>83</v>
      </c>
      <c r="F39" s="29">
        <v>0.03604</v>
      </c>
      <c r="G39" s="30">
        <f t="shared" si="0"/>
        <v>0.000452127659574468</v>
      </c>
      <c r="I39" s="29">
        <v>0</v>
      </c>
      <c r="J39" s="31">
        <f t="shared" si="1"/>
        <v>0</v>
      </c>
      <c r="L39" s="29">
        <v>0</v>
      </c>
      <c r="M39" s="31">
        <f t="shared" si="2"/>
        <v>0</v>
      </c>
      <c r="O39" s="32">
        <v>0.00052</v>
      </c>
      <c r="P39" s="31">
        <f t="shared" si="3"/>
        <v>5.26918439105455e-6</v>
      </c>
      <c r="R39" s="32">
        <v>0</v>
      </c>
      <c r="S39" s="31">
        <f t="shared" si="4"/>
        <v>0</v>
      </c>
      <c r="U39" s="32">
        <v>0.002</v>
      </c>
      <c r="V39" s="31">
        <f t="shared" si="5"/>
        <v>2.66339956320247e-5</v>
      </c>
      <c r="X39" s="32">
        <v>0.02127</v>
      </c>
      <c r="Y39" s="31">
        <f t="shared" si="6"/>
        <v>0.000273396830293448</v>
      </c>
      <c r="AA39" s="32">
        <v>0.01529</v>
      </c>
      <c r="AB39" s="31">
        <f t="shared" si="26"/>
        <v>0.000259980956267428</v>
      </c>
      <c r="AD39" s="32">
        <v>0.0347</v>
      </c>
      <c r="AE39" s="31">
        <f t="shared" si="8"/>
        <v>0.000382049192962368</v>
      </c>
      <c r="AG39" s="32">
        <v>0.24228</v>
      </c>
      <c r="AH39" s="31">
        <f t="shared" si="9"/>
        <v>0.00217151256587674</v>
      </c>
      <c r="AJ39" s="32">
        <v>0.16925</v>
      </c>
      <c r="AK39" s="31">
        <f t="shared" si="10"/>
        <v>0.00151623740201568</v>
      </c>
      <c r="AM39" s="32">
        <v>0.03479</v>
      </c>
      <c r="AN39" s="31">
        <f t="shared" si="11"/>
        <v>0.000311668533034714</v>
      </c>
      <c r="AP39" s="33">
        <f t="shared" si="28"/>
        <v>0.55614</v>
      </c>
      <c r="AQ39" s="34">
        <f t="shared" si="12"/>
        <v>0.000530772270121799</v>
      </c>
      <c r="AR39" s="35"/>
    </row>
    <row r="40" ht="15" outlineLevel="2" spans="1:44">
      <c r="A40" s="10" t="s">
        <v>28</v>
      </c>
      <c r="B40" s="28">
        <v>5102040893</v>
      </c>
      <c r="C40" s="51" t="s">
        <v>104</v>
      </c>
      <c r="D40" s="52" t="s">
        <v>105</v>
      </c>
      <c r="E40" s="28" t="s">
        <v>83</v>
      </c>
      <c r="F40" s="29">
        <v>0</v>
      </c>
      <c r="G40" s="30"/>
      <c r="I40" s="29">
        <v>0</v>
      </c>
      <c r="J40" s="31"/>
      <c r="L40" s="29">
        <v>0</v>
      </c>
      <c r="M40" s="31"/>
      <c r="O40" s="32">
        <v>0</v>
      </c>
      <c r="P40" s="31"/>
      <c r="R40" s="32">
        <v>0</v>
      </c>
      <c r="S40" s="31"/>
      <c r="U40" s="32">
        <v>0</v>
      </c>
      <c r="V40" s="31">
        <f t="shared" si="5"/>
        <v>0</v>
      </c>
      <c r="X40" s="32">
        <v>0</v>
      </c>
      <c r="Y40" s="31">
        <f t="shared" si="6"/>
        <v>0</v>
      </c>
      <c r="AA40" s="32">
        <v>0</v>
      </c>
      <c r="AB40" s="31">
        <f t="shared" si="26"/>
        <v>0</v>
      </c>
      <c r="AD40" s="32">
        <v>0</v>
      </c>
      <c r="AE40" s="31">
        <f t="shared" si="8"/>
        <v>0</v>
      </c>
      <c r="AG40" s="32">
        <v>0</v>
      </c>
      <c r="AH40" s="31">
        <f t="shared" si="9"/>
        <v>0</v>
      </c>
      <c r="AJ40" s="32">
        <v>0</v>
      </c>
      <c r="AK40" s="31">
        <f t="shared" si="10"/>
        <v>0</v>
      </c>
      <c r="AM40" s="32">
        <v>0</v>
      </c>
      <c r="AN40" s="31">
        <f t="shared" si="11"/>
        <v>0</v>
      </c>
      <c r="AP40" s="33">
        <f t="shared" si="28"/>
        <v>0</v>
      </c>
      <c r="AQ40" s="34">
        <f t="shared" si="12"/>
        <v>0</v>
      </c>
      <c r="AR40" s="35"/>
    </row>
    <row r="41" outlineLevel="2" spans="1:44">
      <c r="A41" s="10" t="s">
        <v>28</v>
      </c>
      <c r="B41" s="28">
        <v>5801000041</v>
      </c>
      <c r="C41" s="28" t="s">
        <v>106</v>
      </c>
      <c r="D41" s="28" t="s">
        <v>107</v>
      </c>
      <c r="E41" s="28" t="s">
        <v>83</v>
      </c>
      <c r="F41" s="29">
        <v>0</v>
      </c>
      <c r="G41" s="30">
        <f t="shared" si="0"/>
        <v>0</v>
      </c>
      <c r="I41" s="29">
        <v>0</v>
      </c>
      <c r="J41" s="31">
        <f t="shared" si="1"/>
        <v>0</v>
      </c>
      <c r="L41" s="29">
        <v>0</v>
      </c>
      <c r="M41" s="31">
        <f t="shared" si="2"/>
        <v>0</v>
      </c>
      <c r="O41" s="32">
        <v>0</v>
      </c>
      <c r="P41" s="31">
        <f t="shared" si="3"/>
        <v>0</v>
      </c>
      <c r="R41" s="32">
        <v>0</v>
      </c>
      <c r="S41" s="31">
        <f t="shared" si="4"/>
        <v>0</v>
      </c>
      <c r="U41" s="32">
        <v>0</v>
      </c>
      <c r="V41" s="31">
        <f t="shared" si="5"/>
        <v>0</v>
      </c>
      <c r="X41" s="32">
        <v>0</v>
      </c>
      <c r="Y41" s="31">
        <f t="shared" si="6"/>
        <v>0</v>
      </c>
      <c r="AA41" s="32">
        <v>0</v>
      </c>
      <c r="AB41" s="31">
        <f t="shared" si="26"/>
        <v>0</v>
      </c>
      <c r="AD41" s="32">
        <v>0</v>
      </c>
      <c r="AE41" s="31">
        <f t="shared" si="8"/>
        <v>0</v>
      </c>
      <c r="AG41" s="32">
        <v>0</v>
      </c>
      <c r="AH41" s="31">
        <f t="shared" si="9"/>
        <v>0</v>
      </c>
      <c r="AJ41" s="32">
        <v>0</v>
      </c>
      <c r="AK41" s="31">
        <f t="shared" si="10"/>
        <v>0</v>
      </c>
      <c r="AM41" s="32">
        <v>0</v>
      </c>
      <c r="AN41" s="31">
        <f t="shared" si="11"/>
        <v>0</v>
      </c>
      <c r="AP41" s="33">
        <f t="shared" si="28"/>
        <v>0</v>
      </c>
      <c r="AQ41" s="34">
        <f t="shared" si="12"/>
        <v>0</v>
      </c>
      <c r="AR41" s="35"/>
    </row>
    <row r="42" outlineLevel="2" spans="1:44">
      <c r="A42" s="10" t="s">
        <v>28</v>
      </c>
      <c r="B42" s="28">
        <v>6666010322</v>
      </c>
      <c r="C42" s="28" t="s">
        <v>108</v>
      </c>
      <c r="D42" s="28" t="s">
        <v>109</v>
      </c>
      <c r="E42" s="28" t="s">
        <v>83</v>
      </c>
      <c r="F42" s="29">
        <v>4.79189</v>
      </c>
      <c r="G42" s="30">
        <f t="shared" si="0"/>
        <v>0.0601150391409073</v>
      </c>
      <c r="I42" s="29">
        <v>4.30247</v>
      </c>
      <c r="J42" s="31">
        <f t="shared" si="1"/>
        <v>0.0524020461604044</v>
      </c>
      <c r="L42" s="29">
        <v>-1.36945</v>
      </c>
      <c r="M42" s="31">
        <f t="shared" si="2"/>
        <v>-0.0147797791855985</v>
      </c>
      <c r="O42" s="32">
        <v>2.91022</v>
      </c>
      <c r="P42" s="31">
        <f t="shared" si="3"/>
        <v>0.029489395766413</v>
      </c>
      <c r="R42" s="32">
        <v>2.49475</v>
      </c>
      <c r="S42" s="31">
        <f t="shared" si="4"/>
        <v>0.0267238331922916</v>
      </c>
      <c r="U42" s="32">
        <v>2.97001</v>
      </c>
      <c r="V42" s="31">
        <f t="shared" si="5"/>
        <v>0.0395516166835349</v>
      </c>
      <c r="X42" s="32">
        <v>1.99929</v>
      </c>
      <c r="Y42" s="31">
        <f t="shared" si="6"/>
        <v>0.0256981452203756</v>
      </c>
      <c r="AA42" s="32">
        <v>2.60882</v>
      </c>
      <c r="AB42" s="31">
        <f t="shared" si="26"/>
        <v>0.0443586342923213</v>
      </c>
      <c r="AD42" s="32">
        <v>2.3207</v>
      </c>
      <c r="AE42" s="31">
        <f t="shared" si="8"/>
        <v>0.025551053663048</v>
      </c>
      <c r="AG42" s="32">
        <v>1.50034</v>
      </c>
      <c r="AH42" s="31">
        <f t="shared" si="9"/>
        <v>0.0134472806797404</v>
      </c>
      <c r="AJ42" s="32">
        <v>1.29425</v>
      </c>
      <c r="AK42" s="31">
        <f t="shared" si="10"/>
        <v>0.0115946248600224</v>
      </c>
      <c r="AM42" s="32">
        <v>1.8967</v>
      </c>
      <c r="AN42" s="31">
        <f t="shared" si="11"/>
        <v>0.0169917133258679</v>
      </c>
      <c r="AP42" s="33">
        <f t="shared" si="28"/>
        <v>27.71999</v>
      </c>
      <c r="AQ42" s="34">
        <f t="shared" si="12"/>
        <v>0.026455572373959</v>
      </c>
      <c r="AR42" s="35"/>
    </row>
    <row r="43" outlineLevel="2" spans="1:44">
      <c r="A43" s="10" t="s">
        <v>28</v>
      </c>
      <c r="B43" s="28">
        <v>6666020101</v>
      </c>
      <c r="C43" s="28" t="s">
        <v>110</v>
      </c>
      <c r="D43" s="28" t="s">
        <v>111</v>
      </c>
      <c r="E43" s="28" t="s">
        <v>83</v>
      </c>
      <c r="F43" s="29">
        <v>0</v>
      </c>
      <c r="G43" s="30">
        <f t="shared" si="0"/>
        <v>0</v>
      </c>
      <c r="I43" s="29">
        <v>0</v>
      </c>
      <c r="J43" s="31">
        <f t="shared" si="1"/>
        <v>0</v>
      </c>
      <c r="L43" s="29">
        <v>0.92708</v>
      </c>
      <c r="M43" s="31">
        <f t="shared" si="2"/>
        <v>0.0100055041712984</v>
      </c>
      <c r="O43" s="32">
        <v>0</v>
      </c>
      <c r="P43" s="31">
        <f t="shared" si="3"/>
        <v>0</v>
      </c>
      <c r="R43" s="32">
        <v>0</v>
      </c>
      <c r="S43" s="31">
        <f t="shared" si="4"/>
        <v>0</v>
      </c>
      <c r="U43" s="32">
        <v>0</v>
      </c>
      <c r="V43" s="31">
        <f t="shared" si="5"/>
        <v>0</v>
      </c>
      <c r="X43" s="32">
        <v>0</v>
      </c>
      <c r="Y43" s="31">
        <f t="shared" si="6"/>
        <v>0</v>
      </c>
      <c r="AA43" s="32">
        <v>0</v>
      </c>
      <c r="AB43" s="31">
        <f t="shared" si="26"/>
        <v>0</v>
      </c>
      <c r="AD43" s="32">
        <v>0</v>
      </c>
      <c r="AE43" s="31">
        <f t="shared" si="8"/>
        <v>0</v>
      </c>
      <c r="AG43" s="32">
        <v>0</v>
      </c>
      <c r="AH43" s="31">
        <f t="shared" si="9"/>
        <v>0</v>
      </c>
      <c r="AJ43" s="32">
        <v>0</v>
      </c>
      <c r="AK43" s="31">
        <f t="shared" si="10"/>
        <v>0</v>
      </c>
      <c r="AM43" s="32">
        <v>0</v>
      </c>
      <c r="AN43" s="31">
        <f t="shared" si="11"/>
        <v>0</v>
      </c>
      <c r="AP43" s="33">
        <f t="shared" si="28"/>
        <v>0.92708</v>
      </c>
      <c r="AQ43" s="34">
        <f t="shared" si="12"/>
        <v>0.000884792239695971</v>
      </c>
      <c r="AR43" s="35"/>
    </row>
    <row r="44" outlineLevel="2" spans="1:44">
      <c r="A44" s="10" t="s">
        <v>28</v>
      </c>
      <c r="B44" s="28">
        <v>6666020201</v>
      </c>
      <c r="C44" s="28" t="s">
        <v>112</v>
      </c>
      <c r="D44" s="28" t="s">
        <v>113</v>
      </c>
      <c r="E44" s="28" t="s">
        <v>83</v>
      </c>
      <c r="F44" s="29">
        <v>0.00558</v>
      </c>
      <c r="G44" s="30">
        <f t="shared" si="0"/>
        <v>7.00020072260136e-5</v>
      </c>
      <c r="I44" s="29">
        <v>0.06539</v>
      </c>
      <c r="J44" s="31">
        <f t="shared" si="1"/>
        <v>0.000796419219292369</v>
      </c>
      <c r="L44" s="29">
        <v>0</v>
      </c>
      <c r="M44" s="31">
        <f t="shared" si="2"/>
        <v>0</v>
      </c>
      <c r="O44" s="32">
        <v>0.26595</v>
      </c>
      <c r="P44" s="31">
        <f t="shared" si="3"/>
        <v>0.00269488382461722</v>
      </c>
      <c r="R44" s="32">
        <v>0</v>
      </c>
      <c r="S44" s="31">
        <f t="shared" si="4"/>
        <v>0</v>
      </c>
      <c r="U44" s="32">
        <v>0.13811</v>
      </c>
      <c r="V44" s="31">
        <f t="shared" si="5"/>
        <v>0.00183921056836947</v>
      </c>
      <c r="X44" s="32">
        <v>0</v>
      </c>
      <c r="Y44" s="31">
        <f t="shared" si="6"/>
        <v>0</v>
      </c>
      <c r="AA44" s="32">
        <v>0</v>
      </c>
      <c r="AB44" s="31">
        <f t="shared" si="26"/>
        <v>0</v>
      </c>
      <c r="AD44" s="32">
        <v>0.00308</v>
      </c>
      <c r="AE44" s="31">
        <f t="shared" si="8"/>
        <v>3.39109946491093e-5</v>
      </c>
      <c r="AG44" s="32">
        <v>0.24655</v>
      </c>
      <c r="AH44" s="31">
        <f t="shared" si="9"/>
        <v>0.00220978381672821</v>
      </c>
      <c r="AJ44" s="32">
        <v>0.01527</v>
      </c>
      <c r="AK44" s="31">
        <f t="shared" si="10"/>
        <v>0.000136797312430011</v>
      </c>
      <c r="AM44" s="32">
        <v>0.17865</v>
      </c>
      <c r="AN44" s="31">
        <f t="shared" si="11"/>
        <v>0.00160044792833147</v>
      </c>
      <c r="AP44" s="33">
        <f t="shared" si="28"/>
        <v>0.91858</v>
      </c>
      <c r="AQ44" s="34">
        <f t="shared" si="12"/>
        <v>0.000876679958083364</v>
      </c>
      <c r="AR44" s="35"/>
    </row>
    <row r="45" outlineLevel="2" spans="1:44">
      <c r="A45" s="10" t="s">
        <v>28</v>
      </c>
      <c r="B45" s="28">
        <v>6666020202</v>
      </c>
      <c r="C45" s="28" t="s">
        <v>114</v>
      </c>
      <c r="D45" s="28" t="s">
        <v>115</v>
      </c>
      <c r="E45" s="28" t="s">
        <v>83</v>
      </c>
      <c r="F45" s="29">
        <v>0</v>
      </c>
      <c r="G45" s="30">
        <f t="shared" si="0"/>
        <v>0</v>
      </c>
      <c r="I45" s="29">
        <v>0</v>
      </c>
      <c r="J45" s="31">
        <f t="shared" si="1"/>
        <v>0</v>
      </c>
      <c r="L45" s="29">
        <v>0</v>
      </c>
      <c r="M45" s="31">
        <f t="shared" si="2"/>
        <v>0</v>
      </c>
      <c r="O45" s="32">
        <v>0</v>
      </c>
      <c r="P45" s="31">
        <f t="shared" si="3"/>
        <v>0</v>
      </c>
      <c r="R45" s="32">
        <v>0.02299</v>
      </c>
      <c r="S45" s="31">
        <f t="shared" si="4"/>
        <v>0.000246269536062044</v>
      </c>
      <c r="U45" s="32">
        <v>0</v>
      </c>
      <c r="V45" s="31">
        <f t="shared" si="5"/>
        <v>0</v>
      </c>
      <c r="X45" s="32">
        <v>0.61254</v>
      </c>
      <c r="Y45" s="31">
        <f t="shared" si="6"/>
        <v>0.00787336598156789</v>
      </c>
      <c r="AA45" s="32">
        <v>0</v>
      </c>
      <c r="AB45" s="31">
        <f t="shared" si="26"/>
        <v>0</v>
      </c>
      <c r="AD45" s="32">
        <v>0.11155</v>
      </c>
      <c r="AE45" s="31">
        <f t="shared" si="8"/>
        <v>0.00122817254971044</v>
      </c>
      <c r="AG45" s="32">
        <v>0</v>
      </c>
      <c r="AH45" s="31">
        <f t="shared" si="9"/>
        <v>0</v>
      </c>
      <c r="AJ45" s="32">
        <v>0</v>
      </c>
      <c r="AK45" s="31">
        <f t="shared" si="10"/>
        <v>0</v>
      </c>
      <c r="AM45" s="32">
        <v>0.58855</v>
      </c>
      <c r="AN45" s="31">
        <f t="shared" si="11"/>
        <v>0.00527256438969765</v>
      </c>
      <c r="AP45" s="33">
        <f t="shared" si="28"/>
        <v>1.33563</v>
      </c>
      <c r="AQ45" s="34">
        <f t="shared" si="12"/>
        <v>0.00127470666944075</v>
      </c>
      <c r="AR45" s="35"/>
    </row>
    <row r="46" outlineLevel="2" spans="1:44">
      <c r="A46" s="10" t="s">
        <v>28</v>
      </c>
      <c r="B46" s="28">
        <v>6666020204</v>
      </c>
      <c r="C46" s="28" t="s">
        <v>116</v>
      </c>
      <c r="D46" s="28" t="s">
        <v>117</v>
      </c>
      <c r="E46" s="28" t="s">
        <v>83</v>
      </c>
      <c r="F46" s="29">
        <v>0.04626</v>
      </c>
      <c r="G46" s="30">
        <f t="shared" si="0"/>
        <v>0.000580339221196307</v>
      </c>
      <c r="I46" s="29">
        <v>0.29915</v>
      </c>
      <c r="J46" s="31">
        <f t="shared" si="1"/>
        <v>0.00364350526764509</v>
      </c>
      <c r="L46" s="29">
        <v>0.01625</v>
      </c>
      <c r="M46" s="31">
        <f t="shared" si="2"/>
        <v>0.00017537800705829</v>
      </c>
      <c r="O46" s="32">
        <v>0.02297</v>
      </c>
      <c r="P46" s="31">
        <f t="shared" si="3"/>
        <v>0.000232756087427929</v>
      </c>
      <c r="R46" s="32">
        <v>0.0615</v>
      </c>
      <c r="S46" s="31">
        <f t="shared" si="4"/>
        <v>0.000658789755015907</v>
      </c>
      <c r="U46" s="32">
        <v>0.11117</v>
      </c>
      <c r="V46" s="31">
        <f t="shared" si="5"/>
        <v>0.00148045064720609</v>
      </c>
      <c r="X46" s="32">
        <v>0.14013</v>
      </c>
      <c r="Y46" s="31">
        <f t="shared" si="6"/>
        <v>0.00180117996375275</v>
      </c>
      <c r="AA46" s="32">
        <v>3.92625</v>
      </c>
      <c r="AB46" s="31">
        <f t="shared" si="26"/>
        <v>0.0667593348296266</v>
      </c>
      <c r="AD46" s="32">
        <v>0.10086</v>
      </c>
      <c r="AE46" s="31">
        <f t="shared" si="8"/>
        <v>0.00111047497412635</v>
      </c>
      <c r="AG46" s="32">
        <v>-0.00015</v>
      </c>
      <c r="AH46" s="31">
        <f t="shared" si="9"/>
        <v>-1.34442333201879e-6</v>
      </c>
      <c r="AJ46" s="32">
        <v>1.06558</v>
      </c>
      <c r="AK46" s="31">
        <f t="shared" si="10"/>
        <v>0.00954606942889138</v>
      </c>
      <c r="AM46" s="32">
        <v>0.20817</v>
      </c>
      <c r="AN46" s="31">
        <f t="shared" si="11"/>
        <v>0.00186490481522956</v>
      </c>
      <c r="AP46" s="33">
        <f t="shared" si="28"/>
        <v>5.99814</v>
      </c>
      <c r="AQ46" s="34">
        <f t="shared" si="12"/>
        <v>0.00572454127433446</v>
      </c>
      <c r="AR46" s="35"/>
    </row>
    <row r="47" outlineLevel="2" spans="1:44">
      <c r="A47" s="10" t="s">
        <v>28</v>
      </c>
      <c r="B47" s="28">
        <v>6666020205</v>
      </c>
      <c r="C47" s="28" t="s">
        <v>118</v>
      </c>
      <c r="D47" s="28" t="s">
        <v>119</v>
      </c>
      <c r="E47" s="28" t="s">
        <v>83</v>
      </c>
      <c r="F47" s="29">
        <v>0</v>
      </c>
      <c r="G47" s="30">
        <f t="shared" si="0"/>
        <v>0</v>
      </c>
      <c r="I47" s="29">
        <v>0</v>
      </c>
      <c r="J47" s="31">
        <f t="shared" si="1"/>
        <v>0</v>
      </c>
      <c r="L47" s="29">
        <v>0</v>
      </c>
      <c r="M47" s="31">
        <f t="shared" si="2"/>
        <v>0</v>
      </c>
      <c r="O47" s="32">
        <v>0</v>
      </c>
      <c r="P47" s="31">
        <f t="shared" si="3"/>
        <v>0</v>
      </c>
      <c r="R47" s="32">
        <v>0</v>
      </c>
      <c r="S47" s="31">
        <f t="shared" si="4"/>
        <v>0</v>
      </c>
      <c r="U47" s="32">
        <v>0</v>
      </c>
      <c r="V47" s="31">
        <f t="shared" si="5"/>
        <v>0</v>
      </c>
      <c r="X47" s="32">
        <v>0</v>
      </c>
      <c r="Y47" s="31">
        <f t="shared" si="6"/>
        <v>0</v>
      </c>
      <c r="AA47" s="32">
        <v>0</v>
      </c>
      <c r="AB47" s="31">
        <f t="shared" si="26"/>
        <v>0</v>
      </c>
      <c r="AD47" s="32">
        <v>0</v>
      </c>
      <c r="AE47" s="31">
        <f t="shared" si="8"/>
        <v>0</v>
      </c>
      <c r="AG47" s="32">
        <v>0</v>
      </c>
      <c r="AH47" s="31">
        <f t="shared" si="9"/>
        <v>0</v>
      </c>
      <c r="AJ47" s="32">
        <v>0</v>
      </c>
      <c r="AK47" s="31">
        <f t="shared" si="10"/>
        <v>0</v>
      </c>
      <c r="AM47" s="32">
        <v>0</v>
      </c>
      <c r="AN47" s="31">
        <f t="shared" si="11"/>
        <v>0</v>
      </c>
      <c r="AP47" s="33">
        <f t="shared" si="28"/>
        <v>0</v>
      </c>
      <c r="AQ47" s="34">
        <f t="shared" si="12"/>
        <v>0</v>
      </c>
      <c r="AR47" s="35"/>
    </row>
    <row r="48" outlineLevel="2" spans="1:44">
      <c r="A48" s="10" t="s">
        <v>28</v>
      </c>
      <c r="B48" s="28">
        <v>6666020301</v>
      </c>
      <c r="C48" s="28" t="s">
        <v>120</v>
      </c>
      <c r="D48" s="28" t="s">
        <v>121</v>
      </c>
      <c r="E48" s="28" t="s">
        <v>83</v>
      </c>
      <c r="F48" s="29">
        <v>0</v>
      </c>
      <c r="G48" s="30">
        <f t="shared" si="0"/>
        <v>0</v>
      </c>
      <c r="I48" s="29">
        <v>0</v>
      </c>
      <c r="J48" s="31">
        <f t="shared" si="1"/>
        <v>0</v>
      </c>
      <c r="L48" s="29">
        <v>0</v>
      </c>
      <c r="M48" s="31">
        <f t="shared" si="2"/>
        <v>0</v>
      </c>
      <c r="O48" s="32">
        <v>3.55895</v>
      </c>
      <c r="P48" s="31">
        <f t="shared" si="3"/>
        <v>0.0360630072856607</v>
      </c>
      <c r="R48" s="32">
        <v>0.90336</v>
      </c>
      <c r="S48" s="31">
        <f t="shared" si="4"/>
        <v>0.00967681809904342</v>
      </c>
      <c r="U48" s="32">
        <v>0.78062</v>
      </c>
      <c r="V48" s="31">
        <f t="shared" si="5"/>
        <v>0.0103955148351356</v>
      </c>
      <c r="X48" s="32">
        <v>0.80683</v>
      </c>
      <c r="Y48" s="31">
        <f t="shared" si="6"/>
        <v>0.0103706988521703</v>
      </c>
      <c r="AA48" s="32">
        <v>-0.0577499999999998</v>
      </c>
      <c r="AB48" s="31">
        <f t="shared" si="26"/>
        <v>-0.000981942460722299</v>
      </c>
      <c r="AD48" s="32">
        <v>-0.02967</v>
      </c>
      <c r="AE48" s="31">
        <f t="shared" si="8"/>
        <v>-0.000326668575077621</v>
      </c>
      <c r="AG48" s="32">
        <v>1.8527</v>
      </c>
      <c r="AH48" s="31">
        <f t="shared" si="9"/>
        <v>0.0166054207148747</v>
      </c>
      <c r="AJ48" s="32">
        <v>0.47949</v>
      </c>
      <c r="AK48" s="31">
        <f t="shared" si="10"/>
        <v>0.0042955431131019</v>
      </c>
      <c r="AM48" s="32">
        <v>0.60737</v>
      </c>
      <c r="AN48" s="31">
        <f t="shared" si="11"/>
        <v>0.00544116461366182</v>
      </c>
      <c r="AP48" s="33">
        <f t="shared" si="28"/>
        <v>8.9019</v>
      </c>
      <c r="AQ48" s="34">
        <f t="shared" si="12"/>
        <v>0.00849584937497256</v>
      </c>
      <c r="AR48" s="35"/>
    </row>
    <row r="49" outlineLevel="2" spans="1:44">
      <c r="A49" s="10" t="s">
        <v>28</v>
      </c>
      <c r="B49" s="28">
        <v>6666020302</v>
      </c>
      <c r="C49" s="28" t="s">
        <v>122</v>
      </c>
      <c r="D49" s="28" t="s">
        <v>123</v>
      </c>
      <c r="E49" s="28" t="s">
        <v>83</v>
      </c>
      <c r="F49" s="29">
        <v>0</v>
      </c>
      <c r="G49" s="30">
        <f t="shared" si="0"/>
        <v>0</v>
      </c>
      <c r="I49" s="29">
        <v>0</v>
      </c>
      <c r="J49" s="31">
        <f t="shared" si="1"/>
        <v>0</v>
      </c>
      <c r="L49" s="29">
        <v>0</v>
      </c>
      <c r="M49" s="31">
        <f t="shared" si="2"/>
        <v>0</v>
      </c>
      <c r="O49" s="32">
        <v>0</v>
      </c>
      <c r="P49" s="31">
        <f t="shared" si="3"/>
        <v>0</v>
      </c>
      <c r="R49" s="32">
        <v>0</v>
      </c>
      <c r="S49" s="31">
        <f t="shared" si="4"/>
        <v>0</v>
      </c>
      <c r="U49" s="32">
        <v>0</v>
      </c>
      <c r="V49" s="31">
        <f t="shared" si="5"/>
        <v>0</v>
      </c>
      <c r="X49" s="32">
        <v>0</v>
      </c>
      <c r="Y49" s="31">
        <f t="shared" si="6"/>
        <v>0</v>
      </c>
      <c r="AA49" s="32">
        <v>0</v>
      </c>
      <c r="AB49" s="31">
        <f t="shared" si="26"/>
        <v>0</v>
      </c>
      <c r="AD49" s="32">
        <v>0</v>
      </c>
      <c r="AE49" s="31">
        <f t="shared" si="8"/>
        <v>0</v>
      </c>
      <c r="AG49" s="32">
        <v>0</v>
      </c>
      <c r="AH49" s="31">
        <f t="shared" si="9"/>
        <v>0</v>
      </c>
      <c r="AJ49" s="32">
        <v>0</v>
      </c>
      <c r="AK49" s="31">
        <f t="shared" si="10"/>
        <v>0</v>
      </c>
      <c r="AM49" s="32">
        <v>0</v>
      </c>
      <c r="AN49" s="31">
        <f t="shared" si="11"/>
        <v>0</v>
      </c>
      <c r="AP49" s="33">
        <f t="shared" si="28"/>
        <v>0</v>
      </c>
      <c r="AQ49" s="34">
        <f t="shared" si="12"/>
        <v>0</v>
      </c>
      <c r="AR49" s="35"/>
    </row>
    <row r="50" outlineLevel="2" spans="1:44">
      <c r="A50" s="10" t="s">
        <v>28</v>
      </c>
      <c r="B50" s="28" t="s">
        <v>124</v>
      </c>
      <c r="C50" s="53" t="s">
        <v>125</v>
      </c>
      <c r="D50" s="54" t="s">
        <v>126</v>
      </c>
      <c r="E50" s="28" t="s">
        <v>83</v>
      </c>
      <c r="F50" s="29">
        <v>0</v>
      </c>
      <c r="G50" s="30"/>
      <c r="I50" s="29">
        <v>0</v>
      </c>
      <c r="J50" s="31"/>
      <c r="L50" s="29">
        <v>0</v>
      </c>
      <c r="M50" s="31"/>
      <c r="O50" s="32">
        <v>0</v>
      </c>
      <c r="P50" s="31"/>
      <c r="R50" s="32">
        <v>0</v>
      </c>
      <c r="S50" s="31"/>
      <c r="U50" s="32">
        <v>0</v>
      </c>
      <c r="V50" s="31"/>
      <c r="X50" s="32">
        <v>0.01338</v>
      </c>
      <c r="Y50" s="31">
        <f t="shared" si="6"/>
        <v>0.000171981645008291</v>
      </c>
      <c r="AA50" s="32">
        <v>0</v>
      </c>
      <c r="AB50" s="31">
        <f t="shared" si="26"/>
        <v>0</v>
      </c>
      <c r="AD50" s="32">
        <v>0</v>
      </c>
      <c r="AE50" s="31">
        <f t="shared" si="8"/>
        <v>0</v>
      </c>
      <c r="AG50" s="32">
        <v>0</v>
      </c>
      <c r="AH50" s="31">
        <f t="shared" si="9"/>
        <v>0</v>
      </c>
      <c r="AJ50" s="32">
        <v>0</v>
      </c>
      <c r="AK50" s="31">
        <f t="shared" si="10"/>
        <v>0</v>
      </c>
      <c r="AM50" s="32">
        <v>0</v>
      </c>
      <c r="AN50" s="31">
        <f t="shared" si="11"/>
        <v>0</v>
      </c>
      <c r="AP50" s="33">
        <f t="shared" si="28"/>
        <v>0.01338</v>
      </c>
      <c r="AQ50" s="34">
        <f t="shared" si="12"/>
        <v>1.27696856443156e-5</v>
      </c>
      <c r="AR50" s="35"/>
    </row>
    <row r="51" outlineLevel="2" spans="1:44">
      <c r="A51" s="10" t="s">
        <v>28</v>
      </c>
      <c r="B51" s="28">
        <v>6666020405</v>
      </c>
      <c r="C51" s="28" t="s">
        <v>127</v>
      </c>
      <c r="D51" s="28" t="s">
        <v>128</v>
      </c>
      <c r="E51" s="28" t="s">
        <v>83</v>
      </c>
      <c r="F51" s="29">
        <v>0</v>
      </c>
      <c r="G51" s="30">
        <f t="shared" si="0"/>
        <v>0</v>
      </c>
      <c r="I51" s="29">
        <v>0</v>
      </c>
      <c r="J51" s="31">
        <f t="shared" si="1"/>
        <v>0</v>
      </c>
      <c r="L51" s="29">
        <v>0</v>
      </c>
      <c r="M51" s="31">
        <f t="shared" si="2"/>
        <v>0</v>
      </c>
      <c r="O51" s="32">
        <v>0</v>
      </c>
      <c r="P51" s="31">
        <f t="shared" si="3"/>
        <v>0</v>
      </c>
      <c r="R51" s="32">
        <v>0</v>
      </c>
      <c r="S51" s="31">
        <f t="shared" si="4"/>
        <v>0</v>
      </c>
      <c r="U51" s="32">
        <v>0</v>
      </c>
      <c r="V51" s="31">
        <f t="shared" si="5"/>
        <v>0</v>
      </c>
      <c r="X51" s="32">
        <v>0</v>
      </c>
      <c r="Y51" s="31">
        <f t="shared" si="6"/>
        <v>0</v>
      </c>
      <c r="AA51" s="32">
        <v>0</v>
      </c>
      <c r="AB51" s="31">
        <f t="shared" si="26"/>
        <v>0</v>
      </c>
      <c r="AD51" s="32">
        <v>0</v>
      </c>
      <c r="AE51" s="31">
        <f t="shared" si="8"/>
        <v>0</v>
      </c>
      <c r="AG51" s="32">
        <v>0</v>
      </c>
      <c r="AH51" s="31">
        <f t="shared" si="9"/>
        <v>0</v>
      </c>
      <c r="AJ51" s="32">
        <v>0</v>
      </c>
      <c r="AK51" s="31">
        <f t="shared" si="10"/>
        <v>0</v>
      </c>
      <c r="AM51" s="32">
        <v>0</v>
      </c>
      <c r="AN51" s="31">
        <f t="shared" si="11"/>
        <v>0</v>
      </c>
      <c r="AP51" s="33">
        <f t="shared" si="28"/>
        <v>0</v>
      </c>
      <c r="AQ51" s="34">
        <f t="shared" si="12"/>
        <v>0</v>
      </c>
      <c r="AR51" s="35"/>
    </row>
    <row r="52" outlineLevel="2" spans="1:44">
      <c r="A52" s="10" t="s">
        <v>28</v>
      </c>
      <c r="B52" s="28">
        <v>6666020495</v>
      </c>
      <c r="C52" s="28" t="s">
        <v>129</v>
      </c>
      <c r="D52" s="28" t="s">
        <v>130</v>
      </c>
      <c r="E52" s="28" t="s">
        <v>83</v>
      </c>
      <c r="F52" s="29">
        <v>0.07849</v>
      </c>
      <c r="G52" s="30">
        <f t="shared" si="0"/>
        <v>0.000984669811320755</v>
      </c>
      <c r="I52" s="29">
        <v>0.12338</v>
      </c>
      <c r="J52" s="31">
        <f t="shared" si="1"/>
        <v>0.00150270994458316</v>
      </c>
      <c r="L52" s="29">
        <v>0.36614</v>
      </c>
      <c r="M52" s="31">
        <f t="shared" si="2"/>
        <v>0.00395156329257369</v>
      </c>
      <c r="O52" s="32">
        <v>0.44353</v>
      </c>
      <c r="P52" s="31">
        <f t="shared" si="3"/>
        <v>0.00449431029416235</v>
      </c>
      <c r="R52" s="32">
        <v>0.17713</v>
      </c>
      <c r="S52" s="31">
        <f t="shared" si="4"/>
        <v>0.00189742161473118</v>
      </c>
      <c r="U52" s="32">
        <v>0.968</v>
      </c>
      <c r="V52" s="31">
        <f t="shared" si="5"/>
        <v>0.0128908538859</v>
      </c>
      <c r="X52" s="32">
        <v>0.13637</v>
      </c>
      <c r="Y52" s="31">
        <f t="shared" si="6"/>
        <v>0.00175285029370557</v>
      </c>
      <c r="AA52" s="32">
        <v>0.81046</v>
      </c>
      <c r="AB52" s="31">
        <f t="shared" si="26"/>
        <v>0.0137805209821125</v>
      </c>
      <c r="AD52" s="32">
        <v>0.13154</v>
      </c>
      <c r="AE52" s="31">
        <f t="shared" si="8"/>
        <v>0.00144826371303371</v>
      </c>
      <c r="AG52" s="32">
        <v>0.00727</v>
      </c>
      <c r="AH52" s="31">
        <f t="shared" si="9"/>
        <v>6.51597174918438e-5</v>
      </c>
      <c r="AJ52" s="32">
        <v>0.24461</v>
      </c>
      <c r="AK52" s="31">
        <f t="shared" si="10"/>
        <v>0.00219135498320269</v>
      </c>
      <c r="AM52" s="32">
        <v>1.49445</v>
      </c>
      <c r="AN52" s="31">
        <f t="shared" si="11"/>
        <v>0.0133881298992161</v>
      </c>
      <c r="AP52" s="33">
        <f t="shared" si="28"/>
        <v>4.98137</v>
      </c>
      <c r="AQ52" s="34">
        <f t="shared" si="12"/>
        <v>0.0047541501478344</v>
      </c>
      <c r="AR52" s="35"/>
    </row>
    <row r="53" outlineLevel="2" spans="1:44">
      <c r="A53" s="10" t="s">
        <v>28</v>
      </c>
      <c r="B53" s="28">
        <v>6666020504</v>
      </c>
      <c r="C53" s="28" t="s">
        <v>131</v>
      </c>
      <c r="D53" s="28" t="s">
        <v>132</v>
      </c>
      <c r="E53" s="28" t="s">
        <v>83</v>
      </c>
      <c r="F53" s="29">
        <v>0</v>
      </c>
      <c r="G53" s="30">
        <f t="shared" si="0"/>
        <v>0</v>
      </c>
      <c r="I53" s="29">
        <v>0</v>
      </c>
      <c r="J53" s="31">
        <f t="shared" si="1"/>
        <v>0</v>
      </c>
      <c r="L53" s="29">
        <v>0</v>
      </c>
      <c r="M53" s="31">
        <f t="shared" si="2"/>
        <v>0</v>
      </c>
      <c r="O53" s="32">
        <v>0</v>
      </c>
      <c r="P53" s="31">
        <f t="shared" si="3"/>
        <v>0</v>
      </c>
      <c r="R53" s="32">
        <v>0</v>
      </c>
      <c r="S53" s="31">
        <f t="shared" si="4"/>
        <v>0</v>
      </c>
      <c r="U53" s="32">
        <v>0</v>
      </c>
      <c r="V53" s="31">
        <f t="shared" si="5"/>
        <v>0</v>
      </c>
      <c r="X53" s="32">
        <v>0</v>
      </c>
      <c r="Y53" s="31">
        <f t="shared" si="6"/>
        <v>0</v>
      </c>
      <c r="AA53" s="32">
        <v>0</v>
      </c>
      <c r="AB53" s="31">
        <f t="shared" si="26"/>
        <v>0</v>
      </c>
      <c r="AD53" s="32">
        <v>0</v>
      </c>
      <c r="AE53" s="31">
        <f t="shared" si="8"/>
        <v>0</v>
      </c>
      <c r="AG53" s="32">
        <v>0</v>
      </c>
      <c r="AH53" s="31">
        <f t="shared" si="9"/>
        <v>0</v>
      </c>
      <c r="AJ53" s="32">
        <v>0</v>
      </c>
      <c r="AK53" s="31">
        <f t="shared" si="10"/>
        <v>0</v>
      </c>
      <c r="AM53" s="32">
        <v>0</v>
      </c>
      <c r="AN53" s="31">
        <f t="shared" si="11"/>
        <v>0</v>
      </c>
      <c r="AP53" s="33">
        <f t="shared" si="28"/>
        <v>0</v>
      </c>
      <c r="AQ53" s="34">
        <f t="shared" si="12"/>
        <v>0</v>
      </c>
      <c r="AR53" s="35"/>
    </row>
    <row r="54" outlineLevel="2" spans="1:44">
      <c r="A54" s="10" t="s">
        <v>28</v>
      </c>
      <c r="B54" s="28">
        <v>6666020508</v>
      </c>
      <c r="C54" s="28" t="s">
        <v>133</v>
      </c>
      <c r="D54" s="28" t="s">
        <v>134</v>
      </c>
      <c r="E54" s="28" t="s">
        <v>83</v>
      </c>
      <c r="F54" s="29">
        <v>0</v>
      </c>
      <c r="G54" s="30">
        <f t="shared" si="0"/>
        <v>0</v>
      </c>
      <c r="I54" s="29">
        <v>0</v>
      </c>
      <c r="J54" s="31">
        <f t="shared" si="1"/>
        <v>0</v>
      </c>
      <c r="L54" s="29">
        <v>0</v>
      </c>
      <c r="M54" s="31">
        <f t="shared" si="2"/>
        <v>0</v>
      </c>
      <c r="O54" s="32">
        <v>0</v>
      </c>
      <c r="P54" s="31">
        <f t="shared" si="3"/>
        <v>0</v>
      </c>
      <c r="R54" s="32">
        <v>0</v>
      </c>
      <c r="S54" s="31">
        <f t="shared" si="4"/>
        <v>0</v>
      </c>
      <c r="U54" s="32">
        <v>0</v>
      </c>
      <c r="V54" s="31">
        <f t="shared" si="5"/>
        <v>0</v>
      </c>
      <c r="X54" s="32">
        <v>0.02326</v>
      </c>
      <c r="Y54" s="31">
        <f t="shared" si="6"/>
        <v>0.000298975565238628</v>
      </c>
      <c r="AA54" s="32">
        <v>0</v>
      </c>
      <c r="AB54" s="31">
        <f t="shared" si="26"/>
        <v>0</v>
      </c>
      <c r="AD54" s="32">
        <v>0.30879</v>
      </c>
      <c r="AE54" s="31">
        <f t="shared" si="8"/>
        <v>0.00339979741483716</v>
      </c>
      <c r="AG54" s="32">
        <v>0</v>
      </c>
      <c r="AH54" s="31">
        <f t="shared" si="9"/>
        <v>0</v>
      </c>
      <c r="AJ54" s="32">
        <v>0</v>
      </c>
      <c r="AK54" s="31">
        <f t="shared" si="10"/>
        <v>0</v>
      </c>
      <c r="AM54" s="32">
        <v>0.09234</v>
      </c>
      <c r="AN54" s="31">
        <f t="shared" si="11"/>
        <v>0.000827234042553191</v>
      </c>
      <c r="AP54" s="33">
        <f t="shared" si="28"/>
        <v>0.42439</v>
      </c>
      <c r="AQ54" s="34">
        <f t="shared" si="12"/>
        <v>0.000405031905126389</v>
      </c>
      <c r="AR54" s="35"/>
    </row>
    <row r="55" outlineLevel="2" spans="1:44">
      <c r="A55" s="10" t="s">
        <v>28</v>
      </c>
      <c r="B55" s="28">
        <v>6666020602</v>
      </c>
      <c r="C55" s="28" t="s">
        <v>135</v>
      </c>
      <c r="D55" s="28" t="s">
        <v>136</v>
      </c>
      <c r="E55" s="28" t="s">
        <v>83</v>
      </c>
      <c r="F55" s="29">
        <v>0</v>
      </c>
      <c r="G55" s="30">
        <f t="shared" si="0"/>
        <v>0</v>
      </c>
      <c r="I55" s="29">
        <v>0</v>
      </c>
      <c r="J55" s="31">
        <f t="shared" si="1"/>
        <v>0</v>
      </c>
      <c r="L55" s="29">
        <v>0.42307</v>
      </c>
      <c r="M55" s="31">
        <f t="shared" si="2"/>
        <v>0.00456597990437851</v>
      </c>
      <c r="O55" s="32">
        <v>2.05633</v>
      </c>
      <c r="P55" s="31">
        <f t="shared" si="3"/>
        <v>0.0208368883439561</v>
      </c>
      <c r="R55" s="32">
        <v>1.03218</v>
      </c>
      <c r="S55" s="31">
        <f t="shared" si="4"/>
        <v>0.0110567416151597</v>
      </c>
      <c r="U55" s="32">
        <v>0.28116</v>
      </c>
      <c r="V55" s="31">
        <f t="shared" si="5"/>
        <v>0.00374420710595004</v>
      </c>
      <c r="X55" s="32">
        <v>-0.00241</v>
      </c>
      <c r="Y55" s="31">
        <f t="shared" si="6"/>
        <v>-3.09772619185337e-5</v>
      </c>
      <c r="AA55" s="32">
        <v>2.63785</v>
      </c>
      <c r="AB55" s="31">
        <f t="shared" si="26"/>
        <v>0.0448522410392437</v>
      </c>
      <c r="AD55" s="32">
        <v>1.46592</v>
      </c>
      <c r="AE55" s="31">
        <f t="shared" si="8"/>
        <v>0.0161398718428644</v>
      </c>
      <c r="AG55" s="32">
        <v>0.2477</v>
      </c>
      <c r="AH55" s="31">
        <f t="shared" si="9"/>
        <v>0.00222009106227369</v>
      </c>
      <c r="AJ55" s="32">
        <v>0.01147</v>
      </c>
      <c r="AK55" s="31">
        <f t="shared" si="10"/>
        <v>0.000102754759238522</v>
      </c>
      <c r="AM55" s="32">
        <v>-0.95111</v>
      </c>
      <c r="AN55" s="31">
        <f t="shared" si="11"/>
        <v>-0.0085205823068309</v>
      </c>
      <c r="AP55" s="33">
        <f t="shared" si="28"/>
        <v>7.20216</v>
      </c>
      <c r="AQ55" s="34">
        <f t="shared" si="12"/>
        <v>0.00687364119282989</v>
      </c>
      <c r="AR55" s="35"/>
    </row>
    <row r="56" outlineLevel="2" spans="1:44">
      <c r="A56" s="10" t="s">
        <v>28</v>
      </c>
      <c r="B56" s="28">
        <v>6666020701</v>
      </c>
      <c r="C56" s="28" t="s">
        <v>137</v>
      </c>
      <c r="D56" s="28" t="s">
        <v>138</v>
      </c>
      <c r="E56" s="28" t="s">
        <v>83</v>
      </c>
      <c r="F56" s="29">
        <v>0</v>
      </c>
      <c r="G56" s="30">
        <f t="shared" si="0"/>
        <v>0</v>
      </c>
      <c r="I56" s="29">
        <v>0</v>
      </c>
      <c r="J56" s="31">
        <f t="shared" si="1"/>
        <v>0</v>
      </c>
      <c r="L56" s="29">
        <v>0</v>
      </c>
      <c r="M56" s="31">
        <f t="shared" si="2"/>
        <v>0</v>
      </c>
      <c r="O56" s="32">
        <v>0</v>
      </c>
      <c r="P56" s="31">
        <f t="shared" si="3"/>
        <v>0</v>
      </c>
      <c r="R56" s="32">
        <v>0</v>
      </c>
      <c r="S56" s="31">
        <f t="shared" si="4"/>
        <v>0</v>
      </c>
      <c r="U56" s="32">
        <v>0</v>
      </c>
      <c r="V56" s="31">
        <f t="shared" si="5"/>
        <v>0</v>
      </c>
      <c r="X56" s="32">
        <v>0</v>
      </c>
      <c r="Y56" s="31">
        <f t="shared" si="6"/>
        <v>0</v>
      </c>
      <c r="AA56" s="32">
        <v>0</v>
      </c>
      <c r="AB56" s="31">
        <f t="shared" si="26"/>
        <v>0</v>
      </c>
      <c r="AD56" s="32">
        <v>0</v>
      </c>
      <c r="AE56" s="31">
        <f t="shared" si="8"/>
        <v>0</v>
      </c>
      <c r="AG56" s="32">
        <v>0</v>
      </c>
      <c r="AH56" s="31">
        <f t="shared" si="9"/>
        <v>0</v>
      </c>
      <c r="AJ56" s="32">
        <v>0</v>
      </c>
      <c r="AK56" s="31">
        <f t="shared" si="10"/>
        <v>0</v>
      </c>
      <c r="AM56" s="32">
        <v>0</v>
      </c>
      <c r="AN56" s="31">
        <f t="shared" si="11"/>
        <v>0</v>
      </c>
      <c r="AP56" s="33">
        <f t="shared" si="28"/>
        <v>0</v>
      </c>
      <c r="AQ56" s="34">
        <f t="shared" si="12"/>
        <v>0</v>
      </c>
      <c r="AR56" s="35"/>
    </row>
    <row r="57" outlineLevel="2" spans="1:44">
      <c r="A57" s="10" t="s">
        <v>28</v>
      </c>
      <c r="B57" s="28">
        <v>6666020802</v>
      </c>
      <c r="C57" s="28" t="s">
        <v>139</v>
      </c>
      <c r="D57" s="28" t="s">
        <v>140</v>
      </c>
      <c r="E57" s="28" t="s">
        <v>83</v>
      </c>
      <c r="F57" s="29">
        <v>23.481</v>
      </c>
      <c r="G57" s="30">
        <f t="shared" si="0"/>
        <v>0.294572962665596</v>
      </c>
      <c r="I57" s="29">
        <v>23.481</v>
      </c>
      <c r="J57" s="31">
        <f t="shared" si="1"/>
        <v>0.285987455087997</v>
      </c>
      <c r="L57" s="29">
        <v>23.481</v>
      </c>
      <c r="M57" s="31">
        <f t="shared" si="2"/>
        <v>0.253418522076044</v>
      </c>
      <c r="O57" s="32">
        <v>23.699</v>
      </c>
      <c r="P57" s="31">
        <f t="shared" si="3"/>
        <v>0.240143078622311</v>
      </c>
      <c r="R57" s="32">
        <v>23.699</v>
      </c>
      <c r="S57" s="31">
        <f t="shared" si="4"/>
        <v>0.253864364294666</v>
      </c>
      <c r="U57" s="32">
        <v>23.699</v>
      </c>
      <c r="V57" s="31">
        <f t="shared" si="5"/>
        <v>0.315599531241677</v>
      </c>
      <c r="X57" s="32">
        <v>20.85982</v>
      </c>
      <c r="Y57" s="31">
        <f t="shared" si="6"/>
        <v>0.268124526022185</v>
      </c>
      <c r="AA57" s="32">
        <v>20.08169</v>
      </c>
      <c r="AB57" s="31">
        <f t="shared" si="26"/>
        <v>0.34145565530844</v>
      </c>
      <c r="AD57" s="32">
        <v>20.409</v>
      </c>
      <c r="AE57" s="31">
        <f t="shared" si="8"/>
        <v>0.22470437980314</v>
      </c>
      <c r="AG57" s="32">
        <v>20.409</v>
      </c>
      <c r="AH57" s="31">
        <f t="shared" si="9"/>
        <v>0.182922238554476</v>
      </c>
      <c r="AJ57" s="32">
        <v>20.409</v>
      </c>
      <c r="AK57" s="31">
        <f t="shared" si="10"/>
        <v>0.182835386338186</v>
      </c>
      <c r="AM57" s="32">
        <v>20.15179</v>
      </c>
      <c r="AN57" s="31">
        <f t="shared" si="11"/>
        <v>0.180531153415454</v>
      </c>
      <c r="AP57" s="33">
        <f t="shared" si="28"/>
        <v>263.8603</v>
      </c>
      <c r="AQ57" s="34">
        <f t="shared" si="12"/>
        <v>0.251824595292586</v>
      </c>
      <c r="AR57" s="35"/>
    </row>
    <row r="58" outlineLevel="2" spans="1:44">
      <c r="A58" s="10" t="s">
        <v>28</v>
      </c>
      <c r="B58" s="28">
        <v>6666020803</v>
      </c>
      <c r="C58" s="28" t="s">
        <v>141</v>
      </c>
      <c r="D58" s="28" t="s">
        <v>142</v>
      </c>
      <c r="E58" s="28" t="s">
        <v>83</v>
      </c>
      <c r="F58" s="29">
        <v>9.5524</v>
      </c>
      <c r="G58" s="30">
        <f t="shared" si="0"/>
        <v>0.119836411079888</v>
      </c>
      <c r="I58" s="29">
        <v>8.84227</v>
      </c>
      <c r="J58" s="31">
        <f t="shared" si="1"/>
        <v>0.107694659277754</v>
      </c>
      <c r="L58" s="29">
        <v>8.98448</v>
      </c>
      <c r="M58" s="31">
        <f t="shared" si="2"/>
        <v>0.0969649351910811</v>
      </c>
      <c r="O58" s="32">
        <v>7.13547</v>
      </c>
      <c r="P58" s="31">
        <f t="shared" si="3"/>
        <v>0.0723040522054577</v>
      </c>
      <c r="R58" s="32">
        <v>8.29521</v>
      </c>
      <c r="S58" s="31">
        <f t="shared" si="4"/>
        <v>0.0888585262391139</v>
      </c>
      <c r="U58" s="32">
        <v>11.74125</v>
      </c>
      <c r="V58" s="31">
        <f t="shared" si="5"/>
        <v>0.156358200607255</v>
      </c>
      <c r="X58" s="32">
        <v>6.22531</v>
      </c>
      <c r="Y58" s="31">
        <f t="shared" si="6"/>
        <v>0.0800178665535547</v>
      </c>
      <c r="AA58" s="32">
        <v>10.50288</v>
      </c>
      <c r="AB58" s="31">
        <f t="shared" si="26"/>
        <v>0.178583962456641</v>
      </c>
      <c r="AD58" s="32">
        <v>11.21823</v>
      </c>
      <c r="AE58" s="31">
        <f t="shared" si="8"/>
        <v>0.123513421267038</v>
      </c>
      <c r="AG58" s="32">
        <v>1.86857</v>
      </c>
      <c r="AH58" s="31">
        <f t="shared" si="9"/>
        <v>0.0167476607034023</v>
      </c>
      <c r="AJ58" s="32">
        <v>0.4067</v>
      </c>
      <c r="AK58" s="31">
        <f t="shared" si="10"/>
        <v>0.00364344904815229</v>
      </c>
      <c r="AM58" s="32">
        <v>3.08202</v>
      </c>
      <c r="AN58" s="31">
        <f t="shared" si="11"/>
        <v>0.0276104815229563</v>
      </c>
      <c r="AP58" s="33">
        <f t="shared" si="28"/>
        <v>87.85479</v>
      </c>
      <c r="AQ58" s="34">
        <f t="shared" si="12"/>
        <v>0.0838473879407594</v>
      </c>
      <c r="AR58" s="35"/>
    </row>
    <row r="59" outlineLevel="2" spans="1:44">
      <c r="A59" s="10" t="s">
        <v>28</v>
      </c>
      <c r="B59" s="28">
        <v>6666021100</v>
      </c>
      <c r="C59" s="28" t="s">
        <v>143</v>
      </c>
      <c r="D59" s="28" t="s">
        <v>144</v>
      </c>
      <c r="E59" s="28" t="s">
        <v>83</v>
      </c>
      <c r="F59" s="29">
        <v>18.85796</v>
      </c>
      <c r="G59" s="30">
        <f t="shared" si="0"/>
        <v>0.236576174227218</v>
      </c>
      <c r="I59" s="29">
        <v>10.97186</v>
      </c>
      <c r="J59" s="31">
        <f t="shared" si="1"/>
        <v>0.133632056513002</v>
      </c>
      <c r="L59" s="29">
        <v>9.52529</v>
      </c>
      <c r="M59" s="31">
        <f t="shared" si="2"/>
        <v>0.102801623190908</v>
      </c>
      <c r="O59" s="32">
        <v>8.48654</v>
      </c>
      <c r="P59" s="31">
        <f t="shared" si="3"/>
        <v>0.085994507888577</v>
      </c>
      <c r="R59" s="32">
        <v>11.54459</v>
      </c>
      <c r="S59" s="31">
        <f t="shared" si="4"/>
        <v>0.123665977526164</v>
      </c>
      <c r="U59" s="32">
        <v>8.3586</v>
      </c>
      <c r="V59" s="31">
        <f t="shared" si="5"/>
        <v>0.111311457944921</v>
      </c>
      <c r="X59" s="32">
        <v>8.27241</v>
      </c>
      <c r="Y59" s="31">
        <f t="shared" si="6"/>
        <v>0.106330544094397</v>
      </c>
      <c r="AA59" s="32">
        <v>13.51799</v>
      </c>
      <c r="AB59" s="31">
        <f t="shared" si="26"/>
        <v>0.229850880772631</v>
      </c>
      <c r="AD59" s="32">
        <v>7.72381</v>
      </c>
      <c r="AE59" s="31">
        <f t="shared" si="8"/>
        <v>0.0850396362275119</v>
      </c>
      <c r="AG59" s="32">
        <v>7.8763</v>
      </c>
      <c r="AH59" s="31">
        <f t="shared" si="9"/>
        <v>0.0705938765998638</v>
      </c>
      <c r="AJ59" s="32">
        <v>2.29738</v>
      </c>
      <c r="AK59" s="31">
        <f t="shared" si="10"/>
        <v>0.0205812318029115</v>
      </c>
      <c r="AM59" s="32">
        <v>12.13169</v>
      </c>
      <c r="AN59" s="31">
        <f t="shared" si="11"/>
        <v>0.108682553191489</v>
      </c>
      <c r="AP59" s="33">
        <f t="shared" si="28"/>
        <v>119.56442</v>
      </c>
      <c r="AQ59" s="34">
        <f t="shared" si="12"/>
        <v>0.114110617163297</v>
      </c>
      <c r="AR59" s="35"/>
    </row>
    <row r="60" outlineLevel="2" spans="1:44">
      <c r="A60" s="10" t="s">
        <v>28</v>
      </c>
      <c r="B60" s="28">
        <v>6666021104</v>
      </c>
      <c r="C60" s="53" t="s">
        <v>145</v>
      </c>
      <c r="D60" s="54" t="s">
        <v>146</v>
      </c>
      <c r="E60" s="28" t="s">
        <v>83</v>
      </c>
      <c r="F60" s="29">
        <v>0</v>
      </c>
      <c r="G60" s="30"/>
      <c r="I60" s="29">
        <v>0</v>
      </c>
      <c r="J60" s="31"/>
      <c r="L60" s="29">
        <v>0</v>
      </c>
      <c r="M60" s="31"/>
      <c r="O60" s="32">
        <v>0</v>
      </c>
      <c r="P60" s="31"/>
      <c r="R60" s="32">
        <v>0</v>
      </c>
      <c r="S60" s="31"/>
      <c r="U60" s="32">
        <v>-0.0046</v>
      </c>
      <c r="V60" s="31"/>
      <c r="X60" s="32">
        <v>0</v>
      </c>
      <c r="Y60" s="31">
        <f t="shared" si="6"/>
        <v>0</v>
      </c>
      <c r="AA60" s="32">
        <v>0</v>
      </c>
      <c r="AB60" s="31">
        <f t="shared" si="26"/>
        <v>0</v>
      </c>
      <c r="AD60" s="32">
        <v>0</v>
      </c>
      <c r="AE60" s="31">
        <f t="shared" si="8"/>
        <v>0</v>
      </c>
      <c r="AG60" s="32">
        <v>0</v>
      </c>
      <c r="AH60" s="31">
        <f t="shared" si="9"/>
        <v>0</v>
      </c>
      <c r="AJ60" s="32">
        <v>0</v>
      </c>
      <c r="AK60" s="31">
        <f t="shared" si="10"/>
        <v>0</v>
      </c>
      <c r="AM60" s="32">
        <v>0</v>
      </c>
      <c r="AN60" s="31">
        <f t="shared" si="11"/>
        <v>0</v>
      </c>
      <c r="AP60" s="33">
        <f t="shared" si="28"/>
        <v>-0.0046</v>
      </c>
      <c r="AQ60" s="34">
        <f t="shared" si="12"/>
        <v>-4.39017593152853e-6</v>
      </c>
      <c r="AR60" s="35"/>
    </row>
    <row r="61" outlineLevel="2" spans="1:44">
      <c r="A61" s="10" t="s">
        <v>28</v>
      </c>
      <c r="B61" s="28">
        <v>6666021902</v>
      </c>
      <c r="C61" s="28" t="s">
        <v>147</v>
      </c>
      <c r="D61" s="28" t="s">
        <v>148</v>
      </c>
      <c r="E61" s="28" t="s">
        <v>83</v>
      </c>
      <c r="F61" s="29">
        <v>17.23454</v>
      </c>
      <c r="G61" s="30">
        <f t="shared" si="0"/>
        <v>0.216210106382979</v>
      </c>
      <c r="I61" s="29">
        <v>15.39197</v>
      </c>
      <c r="J61" s="31">
        <f t="shared" si="1"/>
        <v>0.187466902137507</v>
      </c>
      <c r="L61" s="29">
        <v>16.9796</v>
      </c>
      <c r="M61" s="31">
        <f t="shared" si="2"/>
        <v>0.183252209762889</v>
      </c>
      <c r="O61" s="32">
        <v>16.72079</v>
      </c>
      <c r="P61" s="31">
        <f t="shared" si="3"/>
        <v>0.169432549373271</v>
      </c>
      <c r="R61" s="32">
        <v>16.52925</v>
      </c>
      <c r="S61" s="31">
        <f t="shared" si="4"/>
        <v>0.177061797692629</v>
      </c>
      <c r="U61" s="32">
        <v>8.93414</v>
      </c>
      <c r="V61" s="31">
        <f t="shared" si="5"/>
        <v>0.118975922867949</v>
      </c>
      <c r="X61" s="32">
        <v>7.54868</v>
      </c>
      <c r="Y61" s="31">
        <f t="shared" si="6"/>
        <v>0.0970279823648119</v>
      </c>
      <c r="AA61" s="32">
        <v>7.4936</v>
      </c>
      <c r="AB61" s="31">
        <f t="shared" si="26"/>
        <v>0.12741617357002</v>
      </c>
      <c r="AD61" s="32">
        <v>9.61051</v>
      </c>
      <c r="AE61" s="31">
        <f t="shared" si="8"/>
        <v>0.105812322462731</v>
      </c>
      <c r="AG61" s="32">
        <v>8.1839</v>
      </c>
      <c r="AH61" s="31">
        <f t="shared" si="9"/>
        <v>0.0733508407127236</v>
      </c>
      <c r="AJ61" s="32">
        <v>7.39054</v>
      </c>
      <c r="AK61" s="31">
        <f t="shared" si="10"/>
        <v>0.0662086450167973</v>
      </c>
      <c r="AM61" s="32">
        <v>8.63564</v>
      </c>
      <c r="AN61" s="31">
        <f t="shared" si="11"/>
        <v>0.0773629563269877</v>
      </c>
      <c r="AP61" s="33">
        <f t="shared" si="28"/>
        <v>140.65316</v>
      </c>
      <c r="AQ61" s="34">
        <f t="shared" si="12"/>
        <v>0.134237416896833</v>
      </c>
      <c r="AR61" s="35"/>
    </row>
    <row r="62" outlineLevel="2" spans="1:44">
      <c r="A62" s="55" t="s">
        <v>28</v>
      </c>
      <c r="B62" s="28">
        <v>6666022100</v>
      </c>
      <c r="C62" s="28" t="s">
        <v>149</v>
      </c>
      <c r="D62" s="28" t="s">
        <v>150</v>
      </c>
      <c r="E62" s="28" t="s">
        <v>83</v>
      </c>
      <c r="F62" s="29">
        <v>15.40124</v>
      </c>
      <c r="G62" s="30">
        <f t="shared" si="0"/>
        <v>0.193211059815335</v>
      </c>
      <c r="I62" s="29">
        <v>17.93764</v>
      </c>
      <c r="J62" s="31">
        <f t="shared" si="1"/>
        <v>0.218471956640887</v>
      </c>
      <c r="L62" s="29">
        <v>13.05481</v>
      </c>
      <c r="M62" s="31">
        <f t="shared" si="2"/>
        <v>0.140893942173824</v>
      </c>
      <c r="O62" s="32">
        <v>15.04888</v>
      </c>
      <c r="P62" s="31">
        <f t="shared" si="3"/>
        <v>0.152491006920871</v>
      </c>
      <c r="R62" s="32">
        <v>15.01594</v>
      </c>
      <c r="S62" s="31">
        <f t="shared" si="4"/>
        <v>0.160851177787538</v>
      </c>
      <c r="U62" s="32">
        <v>13.73259</v>
      </c>
      <c r="V62" s="31">
        <f t="shared" si="5"/>
        <v>0.182876871038193</v>
      </c>
      <c r="X62" s="32">
        <v>11.58003</v>
      </c>
      <c r="Y62" s="31">
        <f t="shared" si="6"/>
        <v>0.148845486445841</v>
      </c>
      <c r="AA62" s="32">
        <v>10.83457</v>
      </c>
      <c r="AB62" s="31">
        <f t="shared" si="26"/>
        <v>0.184223797864381</v>
      </c>
      <c r="AD62" s="32">
        <v>10.30983</v>
      </c>
      <c r="AE62" s="31">
        <f t="shared" si="8"/>
        <v>0.11351187985819</v>
      </c>
      <c r="AG62" s="32">
        <v>11.62532</v>
      </c>
      <c r="AH62" s="31">
        <f t="shared" si="9"/>
        <v>0.104195676334564</v>
      </c>
      <c r="AJ62" s="32">
        <v>10.36925</v>
      </c>
      <c r="AK62" s="31">
        <f t="shared" si="10"/>
        <v>0.0928936170212766</v>
      </c>
      <c r="AM62" s="32">
        <v>10.24803</v>
      </c>
      <c r="AN62" s="31">
        <f t="shared" si="11"/>
        <v>0.0918076595744681</v>
      </c>
      <c r="AP62" s="33">
        <f t="shared" si="28"/>
        <v>155.15813</v>
      </c>
      <c r="AQ62" s="34">
        <f t="shared" si="12"/>
        <v>0.148080758240647</v>
      </c>
      <c r="AR62" s="35"/>
    </row>
    <row r="63" outlineLevel="2" spans="1:44">
      <c r="A63" s="10" t="s">
        <v>28</v>
      </c>
      <c r="B63" s="28">
        <v>6666022300</v>
      </c>
      <c r="C63" s="28" t="s">
        <v>151</v>
      </c>
      <c r="D63" s="28" t="s">
        <v>152</v>
      </c>
      <c r="E63" s="28" t="s">
        <v>83</v>
      </c>
      <c r="F63" s="29">
        <v>0</v>
      </c>
      <c r="G63" s="30">
        <f t="shared" si="0"/>
        <v>0</v>
      </c>
      <c r="I63" s="29">
        <v>0</v>
      </c>
      <c r="J63" s="31">
        <f t="shared" si="1"/>
        <v>0</v>
      </c>
      <c r="L63" s="29">
        <v>0</v>
      </c>
      <c r="M63" s="31">
        <f t="shared" si="2"/>
        <v>0</v>
      </c>
      <c r="O63" s="32">
        <v>0</v>
      </c>
      <c r="P63" s="31">
        <f t="shared" si="3"/>
        <v>0</v>
      </c>
      <c r="R63" s="32">
        <v>0</v>
      </c>
      <c r="S63" s="31">
        <f t="shared" si="4"/>
        <v>0</v>
      </c>
      <c r="U63" s="32">
        <v>0</v>
      </c>
      <c r="V63" s="31">
        <f t="shared" si="5"/>
        <v>0</v>
      </c>
      <c r="X63" s="32">
        <v>0</v>
      </c>
      <c r="Y63" s="31">
        <f t="shared" si="6"/>
        <v>0</v>
      </c>
      <c r="AA63" s="32">
        <v>0</v>
      </c>
      <c r="AB63" s="31">
        <f t="shared" si="26"/>
        <v>0</v>
      </c>
      <c r="AD63" s="32">
        <v>0</v>
      </c>
      <c r="AE63" s="31">
        <f t="shared" si="8"/>
        <v>0</v>
      </c>
      <c r="AG63" s="32">
        <v>0</v>
      </c>
      <c r="AH63" s="31">
        <f t="shared" si="9"/>
        <v>0</v>
      </c>
      <c r="AJ63" s="32">
        <v>0</v>
      </c>
      <c r="AK63" s="31">
        <f t="shared" si="10"/>
        <v>0</v>
      </c>
      <c r="AM63" s="32">
        <v>0</v>
      </c>
      <c r="AN63" s="31">
        <f t="shared" si="11"/>
        <v>0</v>
      </c>
      <c r="AP63" s="33">
        <f t="shared" si="28"/>
        <v>0</v>
      </c>
      <c r="AQ63" s="34">
        <f t="shared" si="12"/>
        <v>0</v>
      </c>
      <c r="AR63" s="35"/>
    </row>
    <row r="64" outlineLevel="2" spans="1:44">
      <c r="A64" s="10" t="s">
        <v>28</v>
      </c>
      <c r="B64" s="28">
        <v>6666029700</v>
      </c>
      <c r="C64" s="28" t="s">
        <v>153</v>
      </c>
      <c r="D64" s="28" t="s">
        <v>154</v>
      </c>
      <c r="E64" s="28" t="s">
        <v>83</v>
      </c>
      <c r="F64" s="29">
        <v>0</v>
      </c>
      <c r="G64" s="30">
        <f t="shared" si="0"/>
        <v>0</v>
      </c>
      <c r="I64" s="29">
        <v>0</v>
      </c>
      <c r="J64" s="31">
        <f t="shared" si="1"/>
        <v>0</v>
      </c>
      <c r="L64" s="29">
        <v>0</v>
      </c>
      <c r="M64" s="31">
        <f t="shared" si="2"/>
        <v>0</v>
      </c>
      <c r="O64" s="32">
        <v>0</v>
      </c>
      <c r="P64" s="31">
        <f t="shared" si="3"/>
        <v>0</v>
      </c>
      <c r="R64" s="32">
        <v>0</v>
      </c>
      <c r="S64" s="31">
        <f t="shared" si="4"/>
        <v>0</v>
      </c>
      <c r="U64" s="32">
        <v>0</v>
      </c>
      <c r="V64" s="31">
        <f t="shared" si="5"/>
        <v>0</v>
      </c>
      <c r="X64" s="32">
        <v>0</v>
      </c>
      <c r="Y64" s="31">
        <f t="shared" si="6"/>
        <v>0</v>
      </c>
      <c r="AA64" s="32">
        <v>0</v>
      </c>
      <c r="AB64" s="31">
        <f t="shared" si="26"/>
        <v>0</v>
      </c>
      <c r="AD64" s="32">
        <v>0</v>
      </c>
      <c r="AE64" s="31">
        <f t="shared" si="8"/>
        <v>0</v>
      </c>
      <c r="AG64" s="32">
        <v>0</v>
      </c>
      <c r="AH64" s="31">
        <f t="shared" si="9"/>
        <v>0</v>
      </c>
      <c r="AJ64" s="32">
        <v>0</v>
      </c>
      <c r="AK64" s="31">
        <f t="shared" si="10"/>
        <v>0</v>
      </c>
      <c r="AM64" s="32">
        <v>0</v>
      </c>
      <c r="AN64" s="31">
        <f t="shared" si="11"/>
        <v>0</v>
      </c>
      <c r="AP64" s="33">
        <f t="shared" si="28"/>
        <v>0</v>
      </c>
      <c r="AQ64" s="34">
        <f t="shared" si="12"/>
        <v>0</v>
      </c>
      <c r="AR64" s="35"/>
    </row>
    <row r="65" outlineLevel="2" spans="1:44">
      <c r="A65" s="10" t="s">
        <v>28</v>
      </c>
      <c r="B65" s="28">
        <v>6666029900</v>
      </c>
      <c r="C65" s="28" t="s">
        <v>155</v>
      </c>
      <c r="D65" s="28" t="s">
        <v>156</v>
      </c>
      <c r="E65" s="28" t="s">
        <v>83</v>
      </c>
      <c r="F65" s="29">
        <v>0</v>
      </c>
      <c r="G65" s="30">
        <f t="shared" si="0"/>
        <v>0</v>
      </c>
      <c r="I65" s="29">
        <v>0</v>
      </c>
      <c r="J65" s="31">
        <f t="shared" si="1"/>
        <v>0</v>
      </c>
      <c r="L65" s="29">
        <v>0</v>
      </c>
      <c r="M65" s="31">
        <f t="shared" si="2"/>
        <v>0</v>
      </c>
      <c r="O65" s="32">
        <v>0.00385</v>
      </c>
      <c r="P65" s="31">
        <f t="shared" si="3"/>
        <v>3.90122305876154e-5</v>
      </c>
      <c r="R65" s="32">
        <v>0</v>
      </c>
      <c r="S65" s="31">
        <f t="shared" si="4"/>
        <v>0</v>
      </c>
      <c r="U65" s="32">
        <v>0.01671</v>
      </c>
      <c r="V65" s="31">
        <f t="shared" si="5"/>
        <v>0.000222527033505566</v>
      </c>
      <c r="X65" s="32">
        <v>0</v>
      </c>
      <c r="Y65" s="31">
        <f t="shared" si="6"/>
        <v>0</v>
      </c>
      <c r="AA65" s="32">
        <v>0</v>
      </c>
      <c r="AB65" s="31">
        <f t="shared" si="26"/>
        <v>0</v>
      </c>
      <c r="AD65" s="32">
        <v>0</v>
      </c>
      <c r="AE65" s="31">
        <f t="shared" si="8"/>
        <v>0</v>
      </c>
      <c r="AG65" s="32">
        <v>-0.07624</v>
      </c>
      <c r="AH65" s="31">
        <f t="shared" si="9"/>
        <v>-0.000683325565554082</v>
      </c>
      <c r="AJ65" s="32">
        <v>0</v>
      </c>
      <c r="AK65" s="31">
        <f t="shared" si="10"/>
        <v>0</v>
      </c>
      <c r="AM65" s="32">
        <v>1.60649</v>
      </c>
      <c r="AN65" s="31">
        <f t="shared" si="11"/>
        <v>0.0143918477043673</v>
      </c>
      <c r="AP65" s="33">
        <f t="shared" si="28"/>
        <v>1.55081</v>
      </c>
      <c r="AQ65" s="34">
        <f t="shared" si="12"/>
        <v>0.00148007146442908</v>
      </c>
      <c r="AR65" s="35"/>
    </row>
    <row r="66" outlineLevel="2" spans="1:44">
      <c r="A66" s="10" t="s">
        <v>28</v>
      </c>
      <c r="B66" s="28">
        <v>6666029996</v>
      </c>
      <c r="C66" s="28" t="s">
        <v>157</v>
      </c>
      <c r="D66" s="28" t="s">
        <v>158</v>
      </c>
      <c r="E66" s="28" t="s">
        <v>83</v>
      </c>
      <c r="F66" s="29">
        <v>0</v>
      </c>
      <c r="G66" s="30"/>
      <c r="I66" s="29">
        <v>0.0029</v>
      </c>
      <c r="J66" s="31"/>
      <c r="L66" s="29">
        <v>0.00275</v>
      </c>
      <c r="M66" s="31"/>
      <c r="O66" s="32">
        <v>0.18828</v>
      </c>
      <c r="P66" s="31"/>
      <c r="R66" s="32">
        <v>0</v>
      </c>
      <c r="S66" s="31"/>
      <c r="U66" s="32">
        <v>0</v>
      </c>
      <c r="V66" s="31"/>
      <c r="X66" s="32">
        <v>0</v>
      </c>
      <c r="Y66" s="31"/>
      <c r="AA66" s="32">
        <v>0</v>
      </c>
      <c r="AB66" s="31"/>
      <c r="AD66" s="32">
        <v>0</v>
      </c>
      <c r="AE66" s="31"/>
      <c r="AG66" s="32">
        <v>0.28009</v>
      </c>
      <c r="AH66" s="31">
        <f t="shared" si="9"/>
        <v>0.00251039687376761</v>
      </c>
      <c r="AJ66" s="32">
        <v>0</v>
      </c>
      <c r="AK66" s="31">
        <f t="shared" si="10"/>
        <v>0</v>
      </c>
      <c r="AM66" s="32">
        <v>0.15209</v>
      </c>
      <c r="AN66" s="31">
        <f t="shared" si="11"/>
        <v>0.00136250839865622</v>
      </c>
      <c r="AP66" s="33">
        <f t="shared" si="28"/>
        <v>0.62611</v>
      </c>
      <c r="AQ66" s="34">
        <f t="shared" si="12"/>
        <v>0.000597550663584636</v>
      </c>
      <c r="AR66" s="35"/>
    </row>
    <row r="67" outlineLevel="2" spans="1:44">
      <c r="A67" s="10" t="s">
        <v>28</v>
      </c>
      <c r="B67" s="28">
        <v>6666029997</v>
      </c>
      <c r="C67" s="28" t="s">
        <v>159</v>
      </c>
      <c r="D67" s="28" t="s">
        <v>160</v>
      </c>
      <c r="E67" s="28" t="s">
        <v>83</v>
      </c>
      <c r="F67" s="29">
        <v>0</v>
      </c>
      <c r="G67" s="30">
        <f t="shared" si="0"/>
        <v>0</v>
      </c>
      <c r="I67" s="29">
        <v>27.61807</v>
      </c>
      <c r="J67" s="31">
        <f t="shared" si="1"/>
        <v>0.336375007612204</v>
      </c>
      <c r="L67" s="29">
        <v>0</v>
      </c>
      <c r="M67" s="31">
        <f t="shared" si="2"/>
        <v>0</v>
      </c>
      <c r="O67" s="32">
        <v>0</v>
      </c>
      <c r="P67" s="31">
        <f t="shared" si="3"/>
        <v>0</v>
      </c>
      <c r="R67" s="32">
        <v>0.60523</v>
      </c>
      <c r="S67" s="31">
        <f t="shared" si="4"/>
        <v>0.00648324103135411</v>
      </c>
      <c r="U67" s="32">
        <v>-0.7228</v>
      </c>
      <c r="V67" s="31">
        <f t="shared" si="5"/>
        <v>-0.00962552602141373</v>
      </c>
      <c r="X67" s="32">
        <v>8.41301</v>
      </c>
      <c r="Y67" s="31">
        <f t="shared" si="6"/>
        <v>0.108137765266906</v>
      </c>
      <c r="AA67" s="32">
        <v>1.05309</v>
      </c>
      <c r="AB67" s="31">
        <f t="shared" si="26"/>
        <v>0.0179060395837584</v>
      </c>
      <c r="AD67" s="32">
        <v>-10.52117</v>
      </c>
      <c r="AE67" s="31">
        <f t="shared" si="8"/>
        <v>-0.115838746614406</v>
      </c>
      <c r="AG67" s="32">
        <v>0</v>
      </c>
      <c r="AH67" s="31">
        <f t="shared" si="9"/>
        <v>0</v>
      </c>
      <c r="AJ67" s="32">
        <v>1.64603</v>
      </c>
      <c r="AK67" s="31">
        <f t="shared" si="10"/>
        <v>0.0147460694288914</v>
      </c>
      <c r="AM67" s="32">
        <v>4.14224</v>
      </c>
      <c r="AN67" s="31">
        <f t="shared" si="11"/>
        <v>0.0371085330347144</v>
      </c>
      <c r="AP67" s="33">
        <f t="shared" si="28"/>
        <v>32.2337</v>
      </c>
      <c r="AQ67" s="34">
        <f t="shared" si="12"/>
        <v>0.0307633943313285</v>
      </c>
      <c r="AR67" s="35"/>
    </row>
    <row r="68" outlineLevel="2" spans="1:44">
      <c r="A68" s="10" t="s">
        <v>28</v>
      </c>
      <c r="B68" s="28">
        <v>6666030702</v>
      </c>
      <c r="C68" s="28" t="s">
        <v>161</v>
      </c>
      <c r="D68" s="28" t="s">
        <v>162</v>
      </c>
      <c r="E68" s="28" t="s">
        <v>83</v>
      </c>
      <c r="F68" s="29">
        <v>0</v>
      </c>
      <c r="G68" s="30">
        <f t="shared" si="0"/>
        <v>0</v>
      </c>
      <c r="I68" s="29">
        <v>0</v>
      </c>
      <c r="J68" s="31">
        <f t="shared" si="1"/>
        <v>0</v>
      </c>
      <c r="L68" s="29">
        <v>0</v>
      </c>
      <c r="M68" s="31">
        <f t="shared" si="2"/>
        <v>0</v>
      </c>
      <c r="O68" s="32">
        <v>0</v>
      </c>
      <c r="P68" s="31">
        <f t="shared" si="3"/>
        <v>0</v>
      </c>
      <c r="R68" s="32">
        <v>0</v>
      </c>
      <c r="S68" s="31">
        <f t="shared" si="4"/>
        <v>0</v>
      </c>
      <c r="U68" s="32">
        <v>0</v>
      </c>
      <c r="V68" s="31">
        <f t="shared" si="5"/>
        <v>0</v>
      </c>
      <c r="X68" s="32">
        <v>0</v>
      </c>
      <c r="Y68" s="31">
        <f t="shared" si="6"/>
        <v>0</v>
      </c>
      <c r="AA68" s="32">
        <v>0</v>
      </c>
      <c r="AB68" s="31">
        <f t="shared" si="26"/>
        <v>0</v>
      </c>
      <c r="AD68" s="32">
        <v>0</v>
      </c>
      <c r="AE68" s="31">
        <f t="shared" si="8"/>
        <v>0</v>
      </c>
      <c r="AG68" s="32">
        <v>0</v>
      </c>
      <c r="AH68" s="31">
        <f t="shared" si="9"/>
        <v>0</v>
      </c>
      <c r="AJ68" s="32">
        <v>0</v>
      </c>
      <c r="AK68" s="31">
        <f t="shared" si="10"/>
        <v>0</v>
      </c>
      <c r="AM68" s="32">
        <v>0</v>
      </c>
      <c r="AN68" s="31">
        <f t="shared" si="11"/>
        <v>0</v>
      </c>
      <c r="AP68" s="33">
        <f t="shared" si="28"/>
        <v>0</v>
      </c>
      <c r="AQ68" s="34">
        <f t="shared" si="12"/>
        <v>0</v>
      </c>
      <c r="AR68" s="35"/>
    </row>
    <row r="69" outlineLevel="2" spans="1:44">
      <c r="A69" s="10" t="s">
        <v>28</v>
      </c>
      <c r="B69" s="28">
        <v>6666031200</v>
      </c>
      <c r="C69" s="28" t="s">
        <v>163</v>
      </c>
      <c r="D69" s="28" t="s">
        <v>164</v>
      </c>
      <c r="E69" s="28" t="s">
        <v>83</v>
      </c>
      <c r="F69" s="29">
        <v>0</v>
      </c>
      <c r="G69" s="30">
        <f t="shared" si="0"/>
        <v>0</v>
      </c>
      <c r="I69" s="29">
        <v>0</v>
      </c>
      <c r="J69" s="31">
        <f t="shared" si="1"/>
        <v>0</v>
      </c>
      <c r="L69" s="29">
        <v>0</v>
      </c>
      <c r="M69" s="31">
        <f t="shared" si="2"/>
        <v>0</v>
      </c>
      <c r="O69" s="32">
        <v>0</v>
      </c>
      <c r="P69" s="31">
        <f t="shared" si="3"/>
        <v>0</v>
      </c>
      <c r="R69" s="32">
        <v>0</v>
      </c>
      <c r="S69" s="31">
        <f t="shared" si="4"/>
        <v>0</v>
      </c>
      <c r="U69" s="32">
        <v>0</v>
      </c>
      <c r="V69" s="31">
        <f t="shared" si="5"/>
        <v>0</v>
      </c>
      <c r="X69" s="32">
        <v>0</v>
      </c>
      <c r="Y69" s="31">
        <f t="shared" si="6"/>
        <v>0</v>
      </c>
      <c r="AA69" s="32">
        <v>0</v>
      </c>
      <c r="AB69" s="31">
        <f t="shared" si="26"/>
        <v>0</v>
      </c>
      <c r="AD69" s="32">
        <v>0</v>
      </c>
      <c r="AE69" s="31">
        <f t="shared" si="8"/>
        <v>0</v>
      </c>
      <c r="AG69" s="32">
        <v>0</v>
      </c>
      <c r="AH69" s="31">
        <f t="shared" si="9"/>
        <v>0</v>
      </c>
      <c r="AJ69" s="32">
        <v>0</v>
      </c>
      <c r="AK69" s="31">
        <f t="shared" si="10"/>
        <v>0</v>
      </c>
      <c r="AM69" s="32">
        <v>0</v>
      </c>
      <c r="AN69" s="31">
        <f t="shared" si="11"/>
        <v>0</v>
      </c>
      <c r="AP69" s="33">
        <f t="shared" si="28"/>
        <v>0</v>
      </c>
      <c r="AQ69" s="34">
        <f t="shared" si="12"/>
        <v>0</v>
      </c>
      <c r="AR69" s="35"/>
    </row>
    <row r="70" outlineLevel="2" spans="1:44">
      <c r="A70" s="10" t="s">
        <v>28</v>
      </c>
      <c r="B70" s="28">
        <v>6666050107</v>
      </c>
      <c r="C70" s="28" t="s">
        <v>165</v>
      </c>
      <c r="D70" s="28" t="s">
        <v>166</v>
      </c>
      <c r="E70" s="28" t="s">
        <v>83</v>
      </c>
      <c r="F70" s="29">
        <v>0</v>
      </c>
      <c r="G70" s="30">
        <f t="shared" si="0"/>
        <v>0</v>
      </c>
      <c r="I70" s="29">
        <v>0</v>
      </c>
      <c r="J70" s="31">
        <f t="shared" si="1"/>
        <v>0</v>
      </c>
      <c r="L70" s="29">
        <v>0.01173</v>
      </c>
      <c r="M70" s="31">
        <f t="shared" si="2"/>
        <v>0.00012659593986423</v>
      </c>
      <c r="O70" s="32">
        <v>0</v>
      </c>
      <c r="P70" s="31">
        <f t="shared" si="3"/>
        <v>0</v>
      </c>
      <c r="R70" s="32">
        <v>0.02526</v>
      </c>
      <c r="S70" s="31">
        <f t="shared" si="4"/>
        <v>0.00027058584084068</v>
      </c>
      <c r="U70" s="32">
        <v>0</v>
      </c>
      <c r="V70" s="31">
        <f t="shared" si="5"/>
        <v>0</v>
      </c>
      <c r="X70" s="32">
        <v>0</v>
      </c>
      <c r="Y70" s="31">
        <f t="shared" si="6"/>
        <v>0</v>
      </c>
      <c r="AA70" s="32">
        <v>0</v>
      </c>
      <c r="AB70" s="31">
        <f t="shared" si="26"/>
        <v>0</v>
      </c>
      <c r="AD70" s="32">
        <v>-5.00000000000071e-5</v>
      </c>
      <c r="AE70" s="31">
        <f t="shared" si="8"/>
        <v>-5.50503159888216e-7</v>
      </c>
      <c r="AG70" s="32">
        <v>0</v>
      </c>
      <c r="AH70" s="31">
        <f t="shared" si="9"/>
        <v>0</v>
      </c>
      <c r="AJ70" s="32">
        <v>0</v>
      </c>
      <c r="AK70" s="31">
        <f t="shared" si="10"/>
        <v>0</v>
      </c>
      <c r="AM70" s="32">
        <v>1e-5</v>
      </c>
      <c r="AN70" s="31">
        <f t="shared" si="11"/>
        <v>8.95856662933931e-8</v>
      </c>
      <c r="AP70" s="33">
        <f t="shared" si="28"/>
        <v>0.03695</v>
      </c>
      <c r="AQ70" s="34">
        <f t="shared" si="12"/>
        <v>3.52645653630389e-5</v>
      </c>
      <c r="AR70" s="35"/>
    </row>
    <row r="71" outlineLevel="2" spans="1:44">
      <c r="A71" s="10" t="s">
        <v>28</v>
      </c>
      <c r="B71" s="28">
        <v>6666070100</v>
      </c>
      <c r="C71" s="28" t="s">
        <v>167</v>
      </c>
      <c r="D71" s="28" t="s">
        <v>168</v>
      </c>
      <c r="E71" s="28" t="s">
        <v>83</v>
      </c>
      <c r="F71" s="29">
        <v>0</v>
      </c>
      <c r="G71" s="30">
        <f t="shared" si="0"/>
        <v>0</v>
      </c>
      <c r="I71" s="29">
        <v>0</v>
      </c>
      <c r="J71" s="31">
        <f t="shared" si="1"/>
        <v>0</v>
      </c>
      <c r="L71" s="29">
        <v>0.17233</v>
      </c>
      <c r="M71" s="31">
        <f t="shared" si="2"/>
        <v>0.00185987027423724</v>
      </c>
      <c r="O71" s="32">
        <v>0</v>
      </c>
      <c r="P71" s="31">
        <f t="shared" si="3"/>
        <v>0</v>
      </c>
      <c r="R71" s="32">
        <v>0</v>
      </c>
      <c r="S71" s="31">
        <f t="shared" si="4"/>
        <v>0</v>
      </c>
      <c r="U71" s="32">
        <v>0</v>
      </c>
      <c r="V71" s="31">
        <f t="shared" si="5"/>
        <v>0</v>
      </c>
      <c r="X71" s="32">
        <v>0</v>
      </c>
      <c r="Y71" s="31">
        <f t="shared" si="6"/>
        <v>0</v>
      </c>
      <c r="AA71" s="32">
        <v>0</v>
      </c>
      <c r="AB71" s="31">
        <f t="shared" si="26"/>
        <v>0</v>
      </c>
      <c r="AD71" s="32">
        <v>0</v>
      </c>
      <c r="AE71" s="31">
        <f t="shared" si="8"/>
        <v>0</v>
      </c>
      <c r="AG71" s="32">
        <v>0</v>
      </c>
      <c r="AH71" s="31">
        <f t="shared" si="9"/>
        <v>0</v>
      </c>
      <c r="AJ71" s="32">
        <v>6.3</v>
      </c>
      <c r="AK71" s="31">
        <f t="shared" ref="AK71:AK131" si="29">AJ71/$AJ$1*1000</f>
        <v>0.0564389697648376</v>
      </c>
      <c r="AM71" s="32">
        <v>0</v>
      </c>
      <c r="AN71" s="31">
        <f t="shared" ref="AN71:AN131" si="30">AM71/$AJ$1*1000</f>
        <v>0</v>
      </c>
      <c r="AP71" s="33">
        <f t="shared" si="28"/>
        <v>6.47233</v>
      </c>
      <c r="AQ71" s="34">
        <f t="shared" si="12"/>
        <v>0.00617710160585</v>
      </c>
      <c r="AR71" s="35"/>
    </row>
    <row r="72" outlineLevel="2" spans="1:44">
      <c r="A72" s="10" t="s">
        <v>28</v>
      </c>
      <c r="B72" s="28">
        <v>6666070300</v>
      </c>
      <c r="C72" s="28" t="s">
        <v>169</v>
      </c>
      <c r="D72" s="28" t="s">
        <v>170</v>
      </c>
      <c r="E72" s="28" t="s">
        <v>83</v>
      </c>
      <c r="F72" s="29">
        <v>0</v>
      </c>
      <c r="G72" s="30">
        <f t="shared" si="0"/>
        <v>0</v>
      </c>
      <c r="I72" s="29">
        <v>0.02194</v>
      </c>
      <c r="J72" s="31">
        <f t="shared" si="1"/>
        <v>0.000267218805188478</v>
      </c>
      <c r="L72" s="29">
        <v>0</v>
      </c>
      <c r="M72" s="31">
        <f t="shared" si="2"/>
        <v>0</v>
      </c>
      <c r="O72" s="32">
        <v>0</v>
      </c>
      <c r="P72" s="31">
        <f t="shared" si="3"/>
        <v>0</v>
      </c>
      <c r="R72" s="32">
        <v>0</v>
      </c>
      <c r="S72" s="31">
        <f t="shared" si="4"/>
        <v>0</v>
      </c>
      <c r="U72" s="32">
        <v>0</v>
      </c>
      <c r="V72" s="31">
        <f t="shared" si="5"/>
        <v>0</v>
      </c>
      <c r="X72" s="32">
        <v>0</v>
      </c>
      <c r="Y72" s="31">
        <f t="shared" si="6"/>
        <v>0</v>
      </c>
      <c r="AA72" s="32">
        <v>0</v>
      </c>
      <c r="AB72" s="31">
        <f t="shared" si="26"/>
        <v>0</v>
      </c>
      <c r="AD72" s="32">
        <v>0</v>
      </c>
      <c r="AE72" s="31">
        <f t="shared" ref="AE72:AE131" si="31">AD72/$AD$1*1000</f>
        <v>0</v>
      </c>
      <c r="AG72" s="32">
        <v>0</v>
      </c>
      <c r="AH72" s="31">
        <f t="shared" ref="AH72:AH131" si="32">AG72/$AG$1*1000</f>
        <v>0</v>
      </c>
      <c r="AJ72" s="32">
        <v>0</v>
      </c>
      <c r="AK72" s="31">
        <f t="shared" si="29"/>
        <v>0</v>
      </c>
      <c r="AM72" s="32">
        <v>0</v>
      </c>
      <c r="AN72" s="31">
        <f t="shared" si="30"/>
        <v>0</v>
      </c>
      <c r="AP72" s="33">
        <f t="shared" si="28"/>
        <v>0.02194</v>
      </c>
      <c r="AQ72" s="34">
        <f t="shared" si="12"/>
        <v>2.09392304212469e-5</v>
      </c>
      <c r="AR72" s="35"/>
    </row>
    <row r="73" outlineLevel="2" spans="1:44">
      <c r="A73" s="55" t="s">
        <v>28</v>
      </c>
      <c r="B73" s="28">
        <v>6666070400</v>
      </c>
      <c r="C73" s="28" t="s">
        <v>171</v>
      </c>
      <c r="D73" s="28" t="s">
        <v>172</v>
      </c>
      <c r="E73" s="28" t="s">
        <v>83</v>
      </c>
      <c r="F73" s="29">
        <v>16.31793</v>
      </c>
      <c r="G73" s="30">
        <f t="shared" si="0"/>
        <v>0.20471108490566</v>
      </c>
      <c r="I73" s="29">
        <v>-1.31908</v>
      </c>
      <c r="J73" s="31">
        <f t="shared" si="1"/>
        <v>-0.0160657694415687</v>
      </c>
      <c r="L73" s="29">
        <v>12.86308</v>
      </c>
      <c r="M73" s="31">
        <f t="shared" si="2"/>
        <v>0.138824697540391</v>
      </c>
      <c r="O73" s="32">
        <v>16.89738</v>
      </c>
      <c r="P73" s="31">
        <f t="shared" si="3"/>
        <v>0.171221944126379</v>
      </c>
      <c r="R73" s="32">
        <v>3.61765</v>
      </c>
      <c r="S73" s="31">
        <f t="shared" si="4"/>
        <v>0.0387523700363138</v>
      </c>
      <c r="U73" s="32">
        <v>10.99751</v>
      </c>
      <c r="V73" s="31">
        <f t="shared" si="5"/>
        <v>0.146453816651574</v>
      </c>
      <c r="X73" s="32">
        <v>6.16619</v>
      </c>
      <c r="Y73" s="31">
        <f t="shared" ref="Y73:Y131" si="33">X73/$X$1*1000</f>
        <v>0.0792579596138768</v>
      </c>
      <c r="AA73" s="32">
        <v>-2.62646</v>
      </c>
      <c r="AB73" s="31">
        <f t="shared" si="26"/>
        <v>-0.0446585730803237</v>
      </c>
      <c r="AD73" s="32">
        <v>32.46918</v>
      </c>
      <c r="AE73" s="31">
        <f t="shared" si="31"/>
        <v>0.357487723779534</v>
      </c>
      <c r="AG73" s="32">
        <v>35.24954</v>
      </c>
      <c r="AH73" s="31">
        <f t="shared" si="32"/>
        <v>0.315935360126197</v>
      </c>
      <c r="AJ73" s="32">
        <v>67.49342</v>
      </c>
      <c r="AK73" s="31">
        <f t="shared" si="29"/>
        <v>0.604644300111982</v>
      </c>
      <c r="AM73" s="32">
        <v>8.28808</v>
      </c>
      <c r="AN73" s="31">
        <f t="shared" si="30"/>
        <v>0.0742493169092945</v>
      </c>
      <c r="AP73" s="33">
        <f t="shared" si="28"/>
        <v>206.41442</v>
      </c>
      <c r="AQ73" s="34">
        <f t="shared" si="12"/>
        <v>0.1969990475227</v>
      </c>
      <c r="AR73" s="35"/>
    </row>
    <row r="74" outlineLevel="2" spans="1:44">
      <c r="A74" s="56" t="s">
        <v>28</v>
      </c>
      <c r="B74" s="28">
        <v>5401050201</v>
      </c>
      <c r="C74" s="57" t="s">
        <v>173</v>
      </c>
      <c r="D74" s="57" t="s">
        <v>174</v>
      </c>
      <c r="E74" s="28" t="s">
        <v>83</v>
      </c>
      <c r="F74" s="29">
        <v>0</v>
      </c>
      <c r="G74" s="30"/>
      <c r="I74" s="29">
        <v>0</v>
      </c>
      <c r="J74" s="31"/>
      <c r="L74" s="29">
        <v>0</v>
      </c>
      <c r="M74" s="31"/>
      <c r="O74" s="32">
        <v>0</v>
      </c>
      <c r="P74" s="31"/>
      <c r="R74" s="32">
        <v>0</v>
      </c>
      <c r="S74" s="31"/>
      <c r="U74" s="32">
        <v>0</v>
      </c>
      <c r="V74" s="31"/>
      <c r="X74" s="32">
        <v>0</v>
      </c>
      <c r="Y74" s="31"/>
      <c r="AA74" s="32">
        <v>0</v>
      </c>
      <c r="AB74" s="31"/>
      <c r="AD74" s="32">
        <v>0</v>
      </c>
      <c r="AE74" s="31">
        <f t="shared" si="31"/>
        <v>0</v>
      </c>
      <c r="AG74" s="32">
        <v>0</v>
      </c>
      <c r="AH74" s="31">
        <f t="shared" si="32"/>
        <v>0</v>
      </c>
      <c r="AJ74" s="32">
        <v>0</v>
      </c>
      <c r="AK74" s="31">
        <f t="shared" si="29"/>
        <v>0</v>
      </c>
      <c r="AM74" s="32">
        <v>1e-5</v>
      </c>
      <c r="AN74" s="31">
        <f t="shared" si="30"/>
        <v>8.95856662933931e-8</v>
      </c>
      <c r="AP74" s="33">
        <f t="shared" si="28"/>
        <v>1e-5</v>
      </c>
      <c r="AQ74" s="34">
        <f t="shared" si="12"/>
        <v>9.54386072071419e-9</v>
      </c>
      <c r="AR74" s="35"/>
    </row>
    <row r="75" outlineLevel="2" spans="1:44">
      <c r="A75" s="56" t="s">
        <v>28</v>
      </c>
      <c r="B75" s="28">
        <v>5401020212</v>
      </c>
      <c r="C75" s="57" t="s">
        <v>175</v>
      </c>
      <c r="D75" s="57" t="s">
        <v>176</v>
      </c>
      <c r="E75" s="28" t="s">
        <v>83</v>
      </c>
      <c r="F75" s="29">
        <v>0</v>
      </c>
      <c r="G75" s="30"/>
      <c r="I75" s="29">
        <v>0</v>
      </c>
      <c r="J75" s="31"/>
      <c r="L75" s="29">
        <v>0</v>
      </c>
      <c r="M75" s="31"/>
      <c r="O75" s="32">
        <v>0</v>
      </c>
      <c r="P75" s="31"/>
      <c r="R75" s="32">
        <v>0</v>
      </c>
      <c r="S75" s="31"/>
      <c r="U75" s="32">
        <v>0</v>
      </c>
      <c r="V75" s="31"/>
      <c r="X75" s="32">
        <v>0</v>
      </c>
      <c r="Y75" s="31"/>
      <c r="AA75" s="32">
        <v>0</v>
      </c>
      <c r="AB75" s="31"/>
      <c r="AD75" s="32">
        <v>0</v>
      </c>
      <c r="AE75" s="31">
        <f t="shared" si="31"/>
        <v>0</v>
      </c>
      <c r="AG75" s="32">
        <v>0</v>
      </c>
      <c r="AH75" s="31">
        <f t="shared" si="32"/>
        <v>0</v>
      </c>
      <c r="AJ75" s="32">
        <v>0</v>
      </c>
      <c r="AK75" s="31">
        <f t="shared" si="29"/>
        <v>0</v>
      </c>
      <c r="AM75" s="32">
        <v>0</v>
      </c>
      <c r="AN75" s="31">
        <f t="shared" si="30"/>
        <v>0</v>
      </c>
      <c r="AP75" s="33">
        <f t="shared" si="28"/>
        <v>0</v>
      </c>
      <c r="AQ75" s="34">
        <f t="shared" si="12"/>
        <v>0</v>
      </c>
      <c r="AR75" s="35"/>
    </row>
    <row r="76" outlineLevel="2" spans="1:44">
      <c r="A76" s="56" t="s">
        <v>28</v>
      </c>
      <c r="B76" s="28" t="s">
        <v>177</v>
      </c>
      <c r="C76" s="58" t="s">
        <v>178</v>
      </c>
      <c r="D76" s="58" t="s">
        <v>179</v>
      </c>
      <c r="E76" s="28" t="s">
        <v>83</v>
      </c>
      <c r="F76" s="29">
        <v>-0.03197</v>
      </c>
      <c r="G76" s="30"/>
      <c r="I76" s="29">
        <v>-0.04453</v>
      </c>
      <c r="J76" s="31"/>
      <c r="L76" s="29">
        <v>0</v>
      </c>
      <c r="M76" s="31"/>
      <c r="O76" s="32">
        <v>0.0765</v>
      </c>
      <c r="P76" s="31"/>
      <c r="R76" s="32">
        <v>0</v>
      </c>
      <c r="S76" s="31"/>
      <c r="U76" s="32">
        <v>0</v>
      </c>
      <c r="V76" s="31"/>
      <c r="X76" s="32">
        <v>0</v>
      </c>
      <c r="Y76" s="31"/>
      <c r="AA76" s="32">
        <v>0</v>
      </c>
      <c r="AB76" s="31"/>
      <c r="AD76" s="32">
        <v>0</v>
      </c>
      <c r="AE76" s="31">
        <f t="shared" si="31"/>
        <v>0</v>
      </c>
      <c r="AG76" s="32">
        <v>0.24442</v>
      </c>
      <c r="AH76" s="31">
        <f t="shared" si="32"/>
        <v>0.00219069300541354</v>
      </c>
      <c r="AJ76" s="32">
        <v>0</v>
      </c>
      <c r="AK76" s="31">
        <f t="shared" si="29"/>
        <v>0</v>
      </c>
      <c r="AM76" s="32">
        <v>-2.28001000000027</v>
      </c>
      <c r="AN76" s="31">
        <f t="shared" si="30"/>
        <v>-0.0204256215005623</v>
      </c>
      <c r="AP76" s="33">
        <f t="shared" si="28"/>
        <v>-2.03559000000027</v>
      </c>
      <c r="AQ76" s="34">
        <f t="shared" si="12"/>
        <v>-0.00194273874444812</v>
      </c>
      <c r="AR76" s="35"/>
    </row>
    <row r="77" outlineLevel="2" spans="1:44">
      <c r="A77" s="56" t="s">
        <v>28</v>
      </c>
      <c r="B77" s="28" t="s">
        <v>180</v>
      </c>
      <c r="C77" s="58" t="s">
        <v>181</v>
      </c>
      <c r="D77" s="58" t="s">
        <v>182</v>
      </c>
      <c r="E77" s="28" t="s">
        <v>83</v>
      </c>
      <c r="F77" s="29">
        <v>0</v>
      </c>
      <c r="G77" s="30"/>
      <c r="I77" s="29">
        <v>0</v>
      </c>
      <c r="J77" s="31"/>
      <c r="L77" s="29">
        <v>0</v>
      </c>
      <c r="M77" s="31"/>
      <c r="O77" s="32">
        <v>0</v>
      </c>
      <c r="P77" s="31"/>
      <c r="R77" s="32">
        <v>0</v>
      </c>
      <c r="S77" s="31"/>
      <c r="U77" s="32">
        <v>0</v>
      </c>
      <c r="V77" s="31"/>
      <c r="X77" s="32">
        <v>0</v>
      </c>
      <c r="Y77" s="31"/>
      <c r="AA77" s="32">
        <v>0</v>
      </c>
      <c r="AB77" s="31"/>
      <c r="AD77" s="32">
        <v>0</v>
      </c>
      <c r="AE77" s="31">
        <f t="shared" si="31"/>
        <v>0</v>
      </c>
      <c r="AG77" s="32">
        <v>0</v>
      </c>
      <c r="AH77" s="31">
        <f t="shared" si="32"/>
        <v>0</v>
      </c>
      <c r="AJ77" s="32">
        <v>0</v>
      </c>
      <c r="AK77" s="31">
        <f t="shared" si="29"/>
        <v>0</v>
      </c>
      <c r="AM77" s="32">
        <v>0</v>
      </c>
      <c r="AN77" s="31">
        <f t="shared" si="30"/>
        <v>0</v>
      </c>
      <c r="AP77" s="33">
        <f t="shared" si="28"/>
        <v>0</v>
      </c>
      <c r="AQ77" s="34">
        <f t="shared" si="12"/>
        <v>0</v>
      </c>
      <c r="AR77" s="35"/>
    </row>
    <row r="78" outlineLevel="2" spans="1:44">
      <c r="A78" s="56" t="s">
        <v>28</v>
      </c>
      <c r="B78" s="28" t="s">
        <v>183</v>
      </c>
      <c r="C78" s="58" t="s">
        <v>184</v>
      </c>
      <c r="D78" s="58" t="s">
        <v>185</v>
      </c>
      <c r="E78" s="28" t="s">
        <v>83</v>
      </c>
      <c r="F78" s="29">
        <v>0</v>
      </c>
      <c r="G78" s="30"/>
      <c r="I78" s="29">
        <v>0</v>
      </c>
      <c r="J78" s="31"/>
      <c r="L78" s="29">
        <v>0</v>
      </c>
      <c r="M78" s="31"/>
      <c r="O78" s="32">
        <v>3.03288</v>
      </c>
      <c r="P78" s="31"/>
      <c r="R78" s="32">
        <v>0</v>
      </c>
      <c r="S78" s="31"/>
      <c r="U78" s="32">
        <v>0</v>
      </c>
      <c r="V78" s="31"/>
      <c r="X78" s="32">
        <v>0</v>
      </c>
      <c r="Y78" s="31"/>
      <c r="AA78" s="32">
        <v>0</v>
      </c>
      <c r="AB78" s="31"/>
      <c r="AD78" s="32">
        <v>0</v>
      </c>
      <c r="AE78" s="31">
        <f t="shared" ref="AE78:AE79" si="34">AD78/$AD$1*1000</f>
        <v>0</v>
      </c>
      <c r="AG78" s="32">
        <v>0</v>
      </c>
      <c r="AH78" s="31">
        <f t="shared" ref="AH78:AH79" si="35">AG78/$AG$1*1000</f>
        <v>0</v>
      </c>
      <c r="AJ78" s="32">
        <v>0</v>
      </c>
      <c r="AK78" s="31">
        <f t="shared" ref="AK78:AK79" si="36">AJ78/$AJ$1*1000</f>
        <v>0</v>
      </c>
      <c r="AM78" s="32">
        <v>0</v>
      </c>
      <c r="AN78" s="31">
        <f t="shared" ref="AN78:AN79" si="37">AM78/$AJ$1*1000</f>
        <v>0</v>
      </c>
      <c r="AP78" s="33">
        <f t="shared" si="28"/>
        <v>3.03288</v>
      </c>
      <c r="AQ78" s="34">
        <f t="shared" ref="AQ78:AQ79" si="38">AP78/$AP$1*1000</f>
        <v>0.00289453843026396</v>
      </c>
      <c r="AR78" s="35"/>
    </row>
    <row r="79" outlineLevel="2" spans="1:44">
      <c r="A79" s="56" t="s">
        <v>28</v>
      </c>
      <c r="B79" s="28">
        <v>6666040215</v>
      </c>
      <c r="C79" s="58" t="s">
        <v>186</v>
      </c>
      <c r="D79" s="58" t="s">
        <v>187</v>
      </c>
      <c r="E79" s="28" t="s">
        <v>83</v>
      </c>
      <c r="F79" s="29">
        <v>0</v>
      </c>
      <c r="G79" s="30"/>
      <c r="I79" s="29">
        <v>0</v>
      </c>
      <c r="J79" s="31"/>
      <c r="L79" s="29">
        <v>0</v>
      </c>
      <c r="M79" s="31"/>
      <c r="O79" s="32"/>
      <c r="P79" s="31"/>
      <c r="R79" s="32">
        <v>0</v>
      </c>
      <c r="S79" s="31"/>
      <c r="U79" s="32">
        <v>0</v>
      </c>
      <c r="V79" s="31"/>
      <c r="X79" s="32">
        <v>0</v>
      </c>
      <c r="Y79" s="31"/>
      <c r="AA79" s="32">
        <v>0</v>
      </c>
      <c r="AB79" s="31"/>
      <c r="AD79" s="32">
        <v>0</v>
      </c>
      <c r="AE79" s="31">
        <f t="shared" si="34"/>
        <v>0</v>
      </c>
      <c r="AG79" s="32">
        <v>0</v>
      </c>
      <c r="AH79" s="31">
        <f t="shared" si="35"/>
        <v>0</v>
      </c>
      <c r="AJ79" s="32">
        <v>0</v>
      </c>
      <c r="AK79" s="31">
        <f t="shared" si="36"/>
        <v>0</v>
      </c>
      <c r="AM79" s="32">
        <v>-0.3</v>
      </c>
      <c r="AN79" s="31">
        <f t="shared" si="37"/>
        <v>-0.00268756998880179</v>
      </c>
      <c r="AP79" s="33">
        <f t="shared" ref="AP78:AP83" si="39">I79+F79+L79+O79+R79+U79+X79+AA79+AD79+AG79+AJ79+AM79</f>
        <v>-0.3</v>
      </c>
      <c r="AQ79" s="34">
        <f t="shared" si="38"/>
        <v>-0.000286315821621426</v>
      </c>
      <c r="AR79" s="35"/>
    </row>
    <row r="80" outlineLevel="2" spans="1:44">
      <c r="A80" s="56" t="s">
        <v>28</v>
      </c>
      <c r="B80" s="28" t="s">
        <v>124</v>
      </c>
      <c r="C80" s="58" t="s">
        <v>125</v>
      </c>
      <c r="D80" s="58" t="s">
        <v>188</v>
      </c>
      <c r="E80" s="28" t="s">
        <v>83</v>
      </c>
      <c r="F80" s="29">
        <v>0</v>
      </c>
      <c r="G80" s="30"/>
      <c r="I80" s="29">
        <v>0</v>
      </c>
      <c r="J80" s="31"/>
      <c r="L80" s="29">
        <v>0</v>
      </c>
      <c r="M80" s="31"/>
      <c r="O80" s="32"/>
      <c r="P80" s="31"/>
      <c r="R80" s="32">
        <v>0</v>
      </c>
      <c r="S80" s="31"/>
      <c r="U80" s="32">
        <v>0</v>
      </c>
      <c r="V80" s="31"/>
      <c r="X80" s="32">
        <v>0</v>
      </c>
      <c r="Y80" s="31"/>
      <c r="AA80" s="32">
        <v>0</v>
      </c>
      <c r="AB80" s="31"/>
      <c r="AD80" s="32">
        <v>0</v>
      </c>
      <c r="AE80" s="31">
        <f t="shared" ref="AE80:AE83" si="40">AD80/$AD$1*1000</f>
        <v>0</v>
      </c>
      <c r="AG80" s="32">
        <v>0</v>
      </c>
      <c r="AH80" s="31">
        <f t="shared" ref="AH80:AH83" si="41">AG80/$AG$1*1000</f>
        <v>0</v>
      </c>
      <c r="AJ80" s="32">
        <v>0</v>
      </c>
      <c r="AK80" s="31">
        <f t="shared" ref="AK80:AK83" si="42">AJ80/$AJ$1*1000</f>
        <v>0</v>
      </c>
      <c r="AM80" s="32">
        <v>0</v>
      </c>
      <c r="AN80" s="31">
        <f t="shared" ref="AN80:AN83" si="43">AM80/$AJ$1*1000</f>
        <v>0</v>
      </c>
      <c r="AP80" s="33">
        <f t="shared" si="39"/>
        <v>0</v>
      </c>
      <c r="AQ80" s="34">
        <f t="shared" ref="AQ80:AQ83" si="44">AP80/$AP$1*1000</f>
        <v>0</v>
      </c>
      <c r="AR80" s="35"/>
    </row>
    <row r="81" outlineLevel="2" spans="1:46">
      <c r="A81" s="56" t="s">
        <v>28</v>
      </c>
      <c r="B81" s="28" t="s">
        <v>189</v>
      </c>
      <c r="C81" s="58" t="s">
        <v>190</v>
      </c>
      <c r="D81" s="58" t="s">
        <v>191</v>
      </c>
      <c r="E81" s="28" t="s">
        <v>83</v>
      </c>
      <c r="F81" s="29">
        <v>0</v>
      </c>
      <c r="G81" s="30"/>
      <c r="I81" s="29">
        <v>0</v>
      </c>
      <c r="J81" s="31"/>
      <c r="L81" s="29">
        <v>0</v>
      </c>
      <c r="M81" s="31"/>
      <c r="O81" s="32"/>
      <c r="P81" s="31"/>
      <c r="R81" s="32">
        <v>0</v>
      </c>
      <c r="S81" s="31"/>
      <c r="U81" s="32">
        <v>0</v>
      </c>
      <c r="V81" s="31"/>
      <c r="X81" s="32">
        <v>0</v>
      </c>
      <c r="Y81" s="31"/>
      <c r="AA81" s="32">
        <v>0</v>
      </c>
      <c r="AB81" s="31"/>
      <c r="AD81" s="32">
        <v>0</v>
      </c>
      <c r="AE81" s="31">
        <f t="shared" si="40"/>
        <v>0</v>
      </c>
      <c r="AG81" s="32">
        <v>0</v>
      </c>
      <c r="AH81" s="31">
        <f t="shared" si="41"/>
        <v>0</v>
      </c>
      <c r="AJ81" s="32">
        <v>0</v>
      </c>
      <c r="AK81" s="31">
        <f t="shared" si="42"/>
        <v>0</v>
      </c>
      <c r="AM81" s="32">
        <v>-0.0272</v>
      </c>
      <c r="AN81" s="31">
        <f t="shared" si="43"/>
        <v>-0.000243673012318029</v>
      </c>
      <c r="AP81" s="33">
        <f t="shared" si="39"/>
        <v>-0.0272</v>
      </c>
      <c r="AQ81" s="34">
        <f t="shared" si="44"/>
        <v>-2.59593011603426e-5</v>
      </c>
      <c r="AR81" s="35"/>
    </row>
    <row r="82" outlineLevel="2" spans="1:46">
      <c r="A82" s="56" t="s">
        <v>28</v>
      </c>
      <c r="B82" s="28" t="s">
        <v>192</v>
      </c>
      <c r="C82" s="58" t="s">
        <v>193</v>
      </c>
      <c r="D82" s="58" t="s">
        <v>194</v>
      </c>
      <c r="E82" s="28" t="s">
        <v>83</v>
      </c>
      <c r="F82" s="29">
        <v>0</v>
      </c>
      <c r="G82" s="30"/>
      <c r="I82" s="29">
        <v>0</v>
      </c>
      <c r="J82" s="31"/>
      <c r="L82" s="29">
        <v>0</v>
      </c>
      <c r="M82" s="31"/>
      <c r="O82" s="32"/>
      <c r="P82" s="31"/>
      <c r="R82" s="32">
        <v>0</v>
      </c>
      <c r="S82" s="31"/>
      <c r="U82" s="32">
        <v>0</v>
      </c>
      <c r="V82" s="31"/>
      <c r="X82" s="32">
        <v>0</v>
      </c>
      <c r="Y82" s="31"/>
      <c r="AA82" s="32">
        <v>0</v>
      </c>
      <c r="AB82" s="31"/>
      <c r="AD82" s="32">
        <v>0</v>
      </c>
      <c r="AE82" s="31">
        <f t="shared" si="40"/>
        <v>0</v>
      </c>
      <c r="AG82" s="32">
        <v>0</v>
      </c>
      <c r="AH82" s="31">
        <f t="shared" si="41"/>
        <v>0</v>
      </c>
      <c r="AJ82" s="32">
        <v>0</v>
      </c>
      <c r="AK82" s="31">
        <f t="shared" si="42"/>
        <v>0</v>
      </c>
      <c r="AM82" s="32">
        <v>0.04008</v>
      </c>
      <c r="AN82" s="31">
        <f t="shared" si="43"/>
        <v>0.000359059350503919</v>
      </c>
      <c r="AP82" s="33">
        <f t="shared" si="39"/>
        <v>0.04008</v>
      </c>
      <c r="AQ82" s="34">
        <f t="shared" si="44"/>
        <v>3.82517937686225e-5</v>
      </c>
      <c r="AR82" s="35"/>
    </row>
    <row r="83" outlineLevel="2" spans="1:46">
      <c r="A83" s="56" t="s">
        <v>28</v>
      </c>
      <c r="B83" s="28" t="s">
        <v>195</v>
      </c>
      <c r="C83" s="58" t="s">
        <v>196</v>
      </c>
      <c r="D83" s="58" t="s">
        <v>197</v>
      </c>
      <c r="E83" s="28" t="s">
        <v>83</v>
      </c>
      <c r="F83" s="29">
        <v>0</v>
      </c>
      <c r="G83" s="30"/>
      <c r="I83" s="29">
        <v>0</v>
      </c>
      <c r="J83" s="31"/>
      <c r="L83" s="29">
        <v>0</v>
      </c>
      <c r="M83" s="31"/>
      <c r="O83" s="32"/>
      <c r="P83" s="31"/>
      <c r="R83" s="32">
        <v>0</v>
      </c>
      <c r="S83" s="31"/>
      <c r="U83" s="32">
        <v>0</v>
      </c>
      <c r="V83" s="31"/>
      <c r="X83" s="32">
        <v>0</v>
      </c>
      <c r="Y83" s="31"/>
      <c r="AA83" s="32">
        <v>0</v>
      </c>
      <c r="AB83" s="31"/>
      <c r="AD83" s="32">
        <v>0</v>
      </c>
      <c r="AE83" s="31">
        <f t="shared" si="40"/>
        <v>0</v>
      </c>
      <c r="AG83" s="32">
        <v>0</v>
      </c>
      <c r="AH83" s="31">
        <f t="shared" si="41"/>
        <v>0</v>
      </c>
      <c r="AJ83" s="32">
        <v>0</v>
      </c>
      <c r="AK83" s="31">
        <f t="shared" si="42"/>
        <v>0</v>
      </c>
      <c r="AM83" s="32">
        <v>1e-5</v>
      </c>
      <c r="AN83" s="31">
        <f t="shared" si="43"/>
        <v>8.95856662933931e-8</v>
      </c>
      <c r="AP83" s="33">
        <f t="shared" si="39"/>
        <v>1e-5</v>
      </c>
      <c r="AQ83" s="34">
        <f t="shared" si="44"/>
        <v>9.54386072071419e-9</v>
      </c>
      <c r="AR83" s="35"/>
    </row>
    <row r="84" s="1" customFormat="1" spans="1:46">
      <c r="A84" s="10"/>
      <c r="B84" s="36" t="s">
        <v>49</v>
      </c>
      <c r="C84" s="37" t="s">
        <v>83</v>
      </c>
      <c r="D84" s="38" t="s">
        <v>198</v>
      </c>
      <c r="E84" s="39"/>
      <c r="F84" s="42">
        <f>SUM(F29:F83)</f>
        <v>95.78168</v>
      </c>
      <c r="G84" s="41">
        <f t="shared" ref="G84:G131" si="45">F84/$F$1*1000</f>
        <v>1.20159674829386</v>
      </c>
      <c r="H84" s="11"/>
      <c r="I84" s="42">
        <f>SUM(I29:I83)</f>
        <v>108.72299</v>
      </c>
      <c r="J84" s="41">
        <f t="shared" si="1"/>
        <v>1.32419450703368</v>
      </c>
      <c r="K84" s="11"/>
      <c r="L84" s="42">
        <f>SUM(L29:L83)</f>
        <v>186.94885</v>
      </c>
      <c r="M84" s="41">
        <f t="shared" si="2"/>
        <v>2.01764410675934</v>
      </c>
      <c r="N84" s="12"/>
      <c r="O84" s="42">
        <f>SUM(O29:O83)</f>
        <v>12.28085</v>
      </c>
      <c r="P84" s="41">
        <f t="shared" si="3"/>
        <v>0.124442429094004</v>
      </c>
      <c r="Q84" s="8"/>
      <c r="R84" s="42">
        <f>SUM(R29:R83)</f>
        <v>83.73571</v>
      </c>
      <c r="S84" s="41">
        <f t="shared" si="4"/>
        <v>0.896979315072895</v>
      </c>
      <c r="T84" s="13"/>
      <c r="U84" s="42">
        <f>SUM(U29:U83)</f>
        <v>82.17874</v>
      </c>
      <c r="V84" s="41">
        <f t="shared" si="5"/>
        <v>1.09437410110265</v>
      </c>
      <c r="W84" s="13"/>
      <c r="X84" s="42">
        <f>SUM(X29:X83)</f>
        <v>72.26554</v>
      </c>
      <c r="Y84" s="41">
        <f t="shared" si="33"/>
        <v>0.928874921271482</v>
      </c>
      <c r="Z84" s="13"/>
      <c r="AA84" s="42">
        <f>SUM(AA29:AA83)</f>
        <v>71.16146</v>
      </c>
      <c r="AB84" s="41">
        <f t="shared" si="26"/>
        <v>1.20998197646739</v>
      </c>
      <c r="AC84" s="13"/>
      <c r="AD84" s="42">
        <f>SUM(AD29:AD83)</f>
        <v>85.19357</v>
      </c>
      <c r="AE84" s="41">
        <f t="shared" si="31"/>
        <v>0.937986589743025</v>
      </c>
      <c r="AF84" s="13"/>
      <c r="AG84" s="42">
        <f>SUM(AG29:AG83)</f>
        <v>87.58382</v>
      </c>
      <c r="AH84" s="41">
        <f t="shared" si="32"/>
        <v>0.784998207435557</v>
      </c>
      <c r="AI84" s="13"/>
      <c r="AJ84" s="42">
        <f>SUM(AJ29:AJ83)</f>
        <v>120.34261</v>
      </c>
      <c r="AK84" s="41">
        <f t="shared" si="29"/>
        <v>1.07809729003359</v>
      </c>
      <c r="AL84" s="13"/>
      <c r="AM84" s="42">
        <f>SUM(AM29:AM83)</f>
        <v>75.7402999999997</v>
      </c>
      <c r="AN84" s="41">
        <f t="shared" si="30"/>
        <v>0.678524524076146</v>
      </c>
      <c r="AO84" s="13"/>
      <c r="AP84" s="43">
        <f>SUM(AP29:AP83)</f>
        <v>1081.93612</v>
      </c>
      <c r="AQ84" s="44">
        <f t="shared" si="12"/>
        <v>1.03258476379899</v>
      </c>
      <c r="AR84" s="59"/>
      <c r="AS84" s="24"/>
      <c r="AT84" s="60"/>
    </row>
    <row r="85" ht="20.55" customHeight="1" outlineLevel="1" spans="1:46">
      <c r="A85" s="10" t="s">
        <v>28</v>
      </c>
      <c r="B85" s="28">
        <v>6666110203</v>
      </c>
      <c r="C85" s="28" t="s">
        <v>199</v>
      </c>
      <c r="D85" s="28" t="s">
        <v>200</v>
      </c>
      <c r="E85" s="28" t="s">
        <v>201</v>
      </c>
      <c r="F85" s="29">
        <v>-3.03086</v>
      </c>
      <c r="G85" s="30">
        <f t="shared" si="45"/>
        <v>-0.0380226314733039</v>
      </c>
      <c r="I85" s="29">
        <v>1.93814</v>
      </c>
      <c r="J85" s="31">
        <f t="shared" ref="J85:J131" si="46">I85/$I$1*1000</f>
        <v>0.023605626941112</v>
      </c>
      <c r="L85" s="29">
        <v>7.80146</v>
      </c>
      <c r="M85" s="31">
        <f t="shared" ref="M85:M131" si="47">L85/$L$1*1000</f>
        <v>0.0841972004273827</v>
      </c>
      <c r="O85" s="32">
        <v>9.65541</v>
      </c>
      <c r="P85" s="31">
        <f t="shared" ref="P85:P131" si="48">O85/$O$1*1000</f>
        <v>0.0978387224254461</v>
      </c>
      <c r="R85" s="32">
        <v>11.59168</v>
      </c>
      <c r="S85" s="31">
        <f t="shared" ref="S85:S131" si="49">R85/$R$1*1000</f>
        <v>0.124170406949964</v>
      </c>
      <c r="U85" s="32">
        <v>9.02294</v>
      </c>
      <c r="V85" s="31">
        <f t="shared" ref="V85:V131" si="50">U85/$U$1*1000</f>
        <v>0.120158472274011</v>
      </c>
      <c r="X85" s="32">
        <v>15.09966</v>
      </c>
      <c r="Y85" s="31">
        <f t="shared" si="33"/>
        <v>0.194085528091621</v>
      </c>
      <c r="AA85" s="32">
        <v>15.85545</v>
      </c>
      <c r="AB85" s="31">
        <f t="shared" si="26"/>
        <v>0.26959549071618</v>
      </c>
      <c r="AD85" s="32">
        <v>22.11801</v>
      </c>
      <c r="AE85" s="31">
        <f t="shared" si="31"/>
        <v>0.243520687908749</v>
      </c>
      <c r="AG85" s="32">
        <v>18.41664</v>
      </c>
      <c r="AH85" s="31">
        <f t="shared" si="32"/>
        <v>0.16506507008927</v>
      </c>
      <c r="AJ85" s="32">
        <v>22.86985</v>
      </c>
      <c r="AK85" s="31">
        <f t="shared" si="29"/>
        <v>0.204881075027996</v>
      </c>
      <c r="AM85" s="32">
        <v>12.05415</v>
      </c>
      <c r="AN85" s="31">
        <f t="shared" si="30"/>
        <v>0.10798790593505</v>
      </c>
      <c r="AP85" s="33">
        <f>I85+F85+L85+O85+R85+U85+X85+AA85+AD85+AG85+AJ85+AM85</f>
        <v>143.39253</v>
      </c>
      <c r="AQ85" s="34">
        <f t="shared" ref="AQ85:AQ131" si="51">AP85/$AP$1*1000</f>
        <v>0.136851833471083</v>
      </c>
      <c r="AR85" s="35"/>
    </row>
    <row r="86" outlineLevel="1" spans="1:46">
      <c r="A86" s="10" t="s">
        <v>28</v>
      </c>
      <c r="B86" s="28">
        <v>5102040000</v>
      </c>
      <c r="C86" s="28" t="s">
        <v>202</v>
      </c>
      <c r="D86" s="28" t="s">
        <v>203</v>
      </c>
      <c r="E86" s="28" t="s">
        <v>201</v>
      </c>
      <c r="F86" s="29">
        <v>0</v>
      </c>
      <c r="G86" s="30">
        <f t="shared" si="45"/>
        <v>0</v>
      </c>
      <c r="I86" s="29">
        <v>0</v>
      </c>
      <c r="J86" s="31">
        <f t="shared" si="46"/>
        <v>0</v>
      </c>
      <c r="L86" s="29">
        <v>0</v>
      </c>
      <c r="M86" s="31">
        <f t="shared" si="47"/>
        <v>0</v>
      </c>
      <c r="O86" s="32">
        <v>0</v>
      </c>
      <c r="P86" s="31">
        <f t="shared" si="48"/>
        <v>0</v>
      </c>
      <c r="R86" s="32">
        <v>-0.33011</v>
      </c>
      <c r="S86" s="31">
        <f t="shared" si="49"/>
        <v>-0.00353614774029758</v>
      </c>
      <c r="U86" s="32">
        <v>0</v>
      </c>
      <c r="V86" s="31">
        <f t="shared" si="50"/>
        <v>0</v>
      </c>
      <c r="X86" s="32">
        <v>0</v>
      </c>
      <c r="Y86" s="31">
        <f t="shared" si="33"/>
        <v>0</v>
      </c>
      <c r="AA86" s="32">
        <v>0</v>
      </c>
      <c r="AB86" s="31">
        <f t="shared" si="26"/>
        <v>0</v>
      </c>
      <c r="AD86" s="32">
        <v>0</v>
      </c>
      <c r="AE86" s="31">
        <f t="shared" si="31"/>
        <v>0</v>
      </c>
      <c r="AG86" s="32">
        <v>0</v>
      </c>
      <c r="AH86" s="31">
        <f t="shared" si="32"/>
        <v>0</v>
      </c>
      <c r="AJ86" s="32">
        <v>-0.06856</v>
      </c>
      <c r="AK86" s="31">
        <f t="shared" si="29"/>
        <v>-0.000614199328107503</v>
      </c>
      <c r="AM86" s="32">
        <v>0</v>
      </c>
      <c r="AN86" s="31">
        <f t="shared" si="30"/>
        <v>0</v>
      </c>
      <c r="AP86" s="33">
        <f>I86+F86+L86+O86+R86+U86+X86+AA86+AD86+AG86+AJ86+AM86</f>
        <v>-0.39867</v>
      </c>
      <c r="AQ86" s="34">
        <f t="shared" si="51"/>
        <v>-0.000380485095352713</v>
      </c>
      <c r="AR86" s="35"/>
    </row>
    <row r="87" outlineLevel="1" spans="1:46">
      <c r="A87" s="10" t="s">
        <v>70</v>
      </c>
      <c r="B87" s="28">
        <v>6666050307</v>
      </c>
      <c r="C87" s="28" t="s">
        <v>204</v>
      </c>
      <c r="D87" s="28" t="s">
        <v>205</v>
      </c>
      <c r="E87" s="28" t="s">
        <v>201</v>
      </c>
      <c r="F87" s="29">
        <v>-5.93365</v>
      </c>
      <c r="G87" s="30">
        <f t="shared" si="45"/>
        <v>-0.0744386039743075</v>
      </c>
      <c r="I87" s="29">
        <v>-9.51008</v>
      </c>
      <c r="J87" s="31">
        <f t="shared" si="46"/>
        <v>-0.115828268680348</v>
      </c>
      <c r="L87" s="29">
        <v>-46.7357</v>
      </c>
      <c r="M87" s="31">
        <f t="shared" si="47"/>
        <v>-0.504394703044562</v>
      </c>
      <c r="O87" s="32">
        <v>-40.81931</v>
      </c>
      <c r="P87" s="31">
        <f t="shared" si="48"/>
        <v>-0.413623982895417</v>
      </c>
      <c r="R87" s="32">
        <v>-31.90334</v>
      </c>
      <c r="S87" s="31">
        <f t="shared" si="49"/>
        <v>-0.341749488500637</v>
      </c>
      <c r="U87" s="32">
        <v>-5.04528</v>
      </c>
      <c r="V87" s="31">
        <f t="shared" si="50"/>
        <v>-0.0671879827411708</v>
      </c>
      <c r="X87" s="32">
        <v>-109.32471</v>
      </c>
      <c r="Y87" s="31">
        <f t="shared" si="33"/>
        <v>-1.40521998997416</v>
      </c>
      <c r="AA87" s="32">
        <v>-306.943200000002</v>
      </c>
      <c r="AB87" s="31">
        <f t="shared" si="26"/>
        <v>-5.21905733523774</v>
      </c>
      <c r="AD87" s="32">
        <v>-12.81536</v>
      </c>
      <c r="AE87" s="31">
        <f t="shared" si="31"/>
        <v>-0.141097923502081</v>
      </c>
      <c r="AG87" s="32">
        <v>-11.85733</v>
      </c>
      <c r="AH87" s="31">
        <f t="shared" si="32"/>
        <v>-0.106275140716309</v>
      </c>
      <c r="AJ87" s="32">
        <v>-18.37194</v>
      </c>
      <c r="AK87" s="31">
        <f t="shared" si="29"/>
        <v>-0.164586248600224</v>
      </c>
      <c r="AM87" s="32">
        <v>-50.08524</v>
      </c>
      <c r="AN87" s="31">
        <f t="shared" si="30"/>
        <v>-0.44869195968645</v>
      </c>
      <c r="AP87" s="33">
        <f>I87+F87+L87+O87+R87+U87+X87+AA87+AD87+AG87+AJ87+AM87</f>
        <v>-649.345140000002</v>
      </c>
      <c r="AQ87" s="34">
        <f t="shared" si="51"/>
        <v>-0.619725957583267</v>
      </c>
      <c r="AR87" s="35"/>
    </row>
    <row r="88" outlineLevel="2" spans="1:46">
      <c r="A88" s="10" t="s">
        <v>70</v>
      </c>
      <c r="B88" s="28">
        <v>6666050312</v>
      </c>
      <c r="C88" s="28" t="s">
        <v>206</v>
      </c>
      <c r="D88" s="28" t="s">
        <v>207</v>
      </c>
      <c r="E88" s="28" t="s">
        <v>83</v>
      </c>
      <c r="F88" s="29">
        <v>2.78414</v>
      </c>
      <c r="G88" s="30">
        <f t="shared" si="45"/>
        <v>0.0349274889602569</v>
      </c>
      <c r="I88" s="29">
        <v>2.13776</v>
      </c>
      <c r="J88" s="31">
        <f t="shared" si="46"/>
        <v>0.0260369039644358</v>
      </c>
      <c r="L88" s="29">
        <v>34.08546</v>
      </c>
      <c r="M88" s="31">
        <f t="shared" si="47"/>
        <v>0.367867079659389</v>
      </c>
      <c r="O88" s="32">
        <v>21.13236</v>
      </c>
      <c r="P88" s="31">
        <f t="shared" si="48"/>
        <v>0.214135195111818</v>
      </c>
      <c r="R88" s="32">
        <v>-1.55267</v>
      </c>
      <c r="S88" s="31">
        <f t="shared" si="49"/>
        <v>-0.0166322453483016</v>
      </c>
      <c r="U88" s="32">
        <v>0.16582</v>
      </c>
      <c r="V88" s="31">
        <f t="shared" si="50"/>
        <v>0.00220822457785117</v>
      </c>
      <c r="X88" s="32">
        <v>4.61972</v>
      </c>
      <c r="Y88" s="31">
        <f t="shared" si="33"/>
        <v>0.0593801976889163</v>
      </c>
      <c r="AA88" s="32">
        <v>361.67944</v>
      </c>
      <c r="AB88" s="31">
        <f t="shared" si="26"/>
        <v>6.1497558321431</v>
      </c>
      <c r="AD88" s="32">
        <v>0</v>
      </c>
      <c r="AE88" s="31">
        <f t="shared" si="31"/>
        <v>0</v>
      </c>
      <c r="AG88" s="32">
        <v>0</v>
      </c>
      <c r="AH88" s="31">
        <f t="shared" si="32"/>
        <v>0</v>
      </c>
      <c r="AJ88" s="32">
        <v>0.81269</v>
      </c>
      <c r="AK88" s="31">
        <f t="shared" si="29"/>
        <v>0.00728053751399776</v>
      </c>
      <c r="AM88" s="32">
        <v>23.95393</v>
      </c>
      <c r="AN88" s="31">
        <f t="shared" si="30"/>
        <v>0.21459287793953</v>
      </c>
      <c r="AP88" s="33">
        <f t="shared" ref="AP85:AP88" si="52">I88+F88+L88+O88+R88+U88+X88+AA88+AD88+AG88+AJ88+AM88</f>
        <v>449.81865</v>
      </c>
      <c r="AQ88" s="34">
        <f t="shared" si="51"/>
        <v>0.429300654517968</v>
      </c>
      <c r="AR88" s="35"/>
    </row>
    <row r="89" s="2" customFormat="1" spans="1:46">
      <c r="A89" s="61"/>
      <c r="B89" s="36" t="s">
        <v>68</v>
      </c>
      <c r="C89" s="37" t="s">
        <v>201</v>
      </c>
      <c r="D89" s="38" t="s">
        <v>208</v>
      </c>
      <c r="E89" s="39"/>
      <c r="F89" s="40">
        <f>SUM(F85:F88)</f>
        <v>-6.18037</v>
      </c>
      <c r="G89" s="41">
        <f t="shared" si="45"/>
        <v>-0.0775337464873545</v>
      </c>
      <c r="H89" s="11"/>
      <c r="I89" s="42">
        <f>SUM(I85:I88)</f>
        <v>-5.43418</v>
      </c>
      <c r="J89" s="41">
        <f t="shared" si="46"/>
        <v>-0.0661857377748006</v>
      </c>
      <c r="K89" s="11"/>
      <c r="L89" s="42">
        <f>SUM(L85:L88)</f>
        <v>-4.84877999999999</v>
      </c>
      <c r="M89" s="41">
        <f t="shared" si="47"/>
        <v>-0.0523304229577905</v>
      </c>
      <c r="N89" s="12"/>
      <c r="O89" s="42">
        <f>SUM(O85:O88)</f>
        <v>-10.03154</v>
      </c>
      <c r="P89" s="41">
        <f t="shared" si="48"/>
        <v>-0.101650065358153</v>
      </c>
      <c r="Q89" s="13"/>
      <c r="R89" s="42">
        <f>SUM(R85:R88)</f>
        <v>-22.19444</v>
      </c>
      <c r="S89" s="41">
        <f t="shared" si="49"/>
        <v>-0.237747474639272</v>
      </c>
      <c r="T89" s="13"/>
      <c r="U89" s="42">
        <f>SUM(U85:U88)</f>
        <v>4.14348</v>
      </c>
      <c r="V89" s="41">
        <f t="shared" si="50"/>
        <v>0.0551787141106909</v>
      </c>
      <c r="W89" s="13"/>
      <c r="X89" s="42">
        <f>SUM(X85:X88)</f>
        <v>-89.60533</v>
      </c>
      <c r="Y89" s="41">
        <f t="shared" si="33"/>
        <v>-1.15175426419363</v>
      </c>
      <c r="Z89" s="13"/>
      <c r="AA89" s="42">
        <f>SUM(AA85:AA88)</f>
        <v>70.591689999998</v>
      </c>
      <c r="AB89" s="41">
        <f t="shared" si="26"/>
        <v>1.20029398762154</v>
      </c>
      <c r="AC89" s="13"/>
      <c r="AD89" s="42">
        <f>SUM(AD85:AD88)</f>
        <v>9.30265</v>
      </c>
      <c r="AE89" s="41">
        <f t="shared" si="31"/>
        <v>0.102422764406668</v>
      </c>
      <c r="AF89" s="13"/>
      <c r="AG89" s="42">
        <f>SUM(AG85:AG88)</f>
        <v>6.55931</v>
      </c>
      <c r="AH89" s="41">
        <f t="shared" si="32"/>
        <v>0.058789929372961</v>
      </c>
      <c r="AI89" s="13"/>
      <c r="AJ89" s="42">
        <f>SUM(AJ85:AJ88)</f>
        <v>5.24204</v>
      </c>
      <c r="AK89" s="41">
        <f t="shared" si="29"/>
        <v>0.0469611646136618</v>
      </c>
      <c r="AL89" s="13"/>
      <c r="AM89" s="42">
        <f>SUM(AM85:AM88)</f>
        <v>-14.07716</v>
      </c>
      <c r="AN89" s="41">
        <f t="shared" si="30"/>
        <v>-0.12611117581187</v>
      </c>
      <c r="AO89" s="13"/>
      <c r="AP89" s="43">
        <f>SUM(AP85:AP88)</f>
        <v>-56.532630000002</v>
      </c>
      <c r="AQ89" s="44">
        <f t="shared" si="51"/>
        <v>-0.0539539546895688</v>
      </c>
      <c r="AR89" s="35"/>
    </row>
    <row r="90" ht="22.95" customHeight="1" outlineLevel="1" spans="1:46">
      <c r="A90" s="56" t="s">
        <v>70</v>
      </c>
      <c r="B90" s="28">
        <v>6666100203</v>
      </c>
      <c r="C90" s="28" t="s">
        <v>209</v>
      </c>
      <c r="D90" s="28" t="s">
        <v>210</v>
      </c>
      <c r="E90" s="28" t="s">
        <v>211</v>
      </c>
      <c r="F90" s="29">
        <v>34.84363</v>
      </c>
      <c r="G90" s="30">
        <f t="shared" si="45"/>
        <v>0.437119003412284</v>
      </c>
      <c r="I90" s="29">
        <v>28.85478</v>
      </c>
      <c r="J90" s="31">
        <f t="shared" si="46"/>
        <v>0.351437549479325</v>
      </c>
      <c r="L90" s="29">
        <v>28.85478</v>
      </c>
      <c r="M90" s="31">
        <f t="shared" si="47"/>
        <v>0.31141500372341</v>
      </c>
      <c r="O90" s="32">
        <v>28.85478</v>
      </c>
      <c r="P90" s="31">
        <f t="shared" si="48"/>
        <v>0.292386839198679</v>
      </c>
      <c r="R90" s="32">
        <v>28.85478</v>
      </c>
      <c r="S90" s="31">
        <f t="shared" si="49"/>
        <v>0.309093226784356</v>
      </c>
      <c r="U90" s="32">
        <v>222.48895</v>
      </c>
      <c r="V90" s="31">
        <f t="shared" si="50"/>
        <v>2.96288486123688</v>
      </c>
      <c r="X90" s="32">
        <v>8.85478000000003</v>
      </c>
      <c r="Y90" s="31">
        <f t="shared" si="33"/>
        <v>0.113816115888379</v>
      </c>
      <c r="AA90" s="32">
        <v>8.855</v>
      </c>
      <c r="AB90" s="31">
        <f t="shared" ref="AB90:AB131" si="53">AA90/$AA$1*1000</f>
        <v>0.150564510644086</v>
      </c>
      <c r="AD90" s="32">
        <v>-1281.68539</v>
      </c>
      <c r="AE90" s="31">
        <f t="shared" si="31"/>
        <v>-14.1114371435492</v>
      </c>
      <c r="AG90" s="32">
        <v>0</v>
      </c>
      <c r="AH90" s="31">
        <f t="shared" si="32"/>
        <v>0</v>
      </c>
      <c r="AJ90" s="32">
        <v>0</v>
      </c>
      <c r="AK90" s="31">
        <f t="shared" si="29"/>
        <v>0</v>
      </c>
      <c r="AM90" s="32">
        <v>-375.25241</v>
      </c>
      <c r="AN90" s="31">
        <f t="shared" si="30"/>
        <v>-3.36172371780515</v>
      </c>
      <c r="AP90" s="33">
        <f>I90+F90+L90+O90+R90+U90+X90+AA90+AD90+AG90+AJ90+AM90</f>
        <v>-1266.47632</v>
      </c>
      <c r="AQ90" s="34">
        <f t="shared" si="51"/>
        <v>-1.20870736041627</v>
      </c>
      <c r="AR90" s="35"/>
    </row>
    <row r="91" s="2" customFormat="1" spans="1:46">
      <c r="A91" s="61"/>
      <c r="B91" s="36" t="s">
        <v>49</v>
      </c>
      <c r="C91" s="37" t="s">
        <v>211</v>
      </c>
      <c r="D91" s="38" t="s">
        <v>212</v>
      </c>
      <c r="E91" s="39"/>
      <c r="F91" s="40">
        <f>SUM(F90)</f>
        <v>34.84363</v>
      </c>
      <c r="G91" s="41">
        <f t="shared" si="45"/>
        <v>0.437119003412284</v>
      </c>
      <c r="H91" s="11"/>
      <c r="I91" s="42">
        <f>+I90</f>
        <v>28.85478</v>
      </c>
      <c r="J91" s="41">
        <f t="shared" si="46"/>
        <v>0.351437549479325</v>
      </c>
      <c r="K91" s="11"/>
      <c r="L91" s="42">
        <f>+L90</f>
        <v>28.85478</v>
      </c>
      <c r="M91" s="41">
        <f t="shared" si="47"/>
        <v>0.31141500372341</v>
      </c>
      <c r="N91" s="12"/>
      <c r="O91" s="42">
        <f>+O90</f>
        <v>28.85478</v>
      </c>
      <c r="P91" s="41">
        <f t="shared" si="48"/>
        <v>0.292386839198679</v>
      </c>
      <c r="Q91" s="13"/>
      <c r="R91" s="42">
        <f>+R90</f>
        <v>28.85478</v>
      </c>
      <c r="S91" s="41">
        <f t="shared" si="49"/>
        <v>0.309093226784356</v>
      </c>
      <c r="T91" s="13"/>
      <c r="U91" s="42">
        <f>+U90</f>
        <v>222.48895</v>
      </c>
      <c r="V91" s="41">
        <f t="shared" si="50"/>
        <v>2.96288486123688</v>
      </c>
      <c r="W91" s="13"/>
      <c r="X91" s="42">
        <f>+X90</f>
        <v>8.85478000000003</v>
      </c>
      <c r="Y91" s="41">
        <f t="shared" si="33"/>
        <v>0.113816115888379</v>
      </c>
      <c r="Z91" s="13"/>
      <c r="AA91" s="42">
        <f>+AA90</f>
        <v>8.855</v>
      </c>
      <c r="AB91" s="41">
        <f t="shared" si="53"/>
        <v>0.150564510644086</v>
      </c>
      <c r="AC91" s="13"/>
      <c r="AD91" s="42">
        <f>+AD90</f>
        <v>-1281.68539</v>
      </c>
      <c r="AE91" s="41">
        <f t="shared" si="31"/>
        <v>-14.1114371435492</v>
      </c>
      <c r="AF91" s="13"/>
      <c r="AG91" s="42">
        <f>+AG90</f>
        <v>0</v>
      </c>
      <c r="AH91" s="41">
        <f t="shared" si="32"/>
        <v>0</v>
      </c>
      <c r="AI91" s="13"/>
      <c r="AJ91" s="42">
        <f>+AJ90</f>
        <v>0</v>
      </c>
      <c r="AK91" s="41">
        <f t="shared" si="29"/>
        <v>0</v>
      </c>
      <c r="AL91" s="13"/>
      <c r="AM91" s="42">
        <f>+AM90</f>
        <v>-375.25241</v>
      </c>
      <c r="AN91" s="41">
        <f t="shared" si="30"/>
        <v>-3.36172371780515</v>
      </c>
      <c r="AO91" s="13"/>
      <c r="AP91" s="43">
        <f>+AP90</f>
        <v>-1266.47632</v>
      </c>
      <c r="AQ91" s="44">
        <f t="shared" si="51"/>
        <v>-1.20870736041627</v>
      </c>
      <c r="AR91" s="35"/>
    </row>
    <row r="92" outlineLevel="2" spans="1:46">
      <c r="A92" s="56" t="s">
        <v>70</v>
      </c>
      <c r="B92" s="28">
        <v>5301070000</v>
      </c>
      <c r="C92" s="28" t="s">
        <v>213</v>
      </c>
      <c r="D92" s="28" t="s">
        <v>214</v>
      </c>
      <c r="E92" s="28" t="s">
        <v>215</v>
      </c>
      <c r="F92" s="29">
        <v>-36.41102</v>
      </c>
      <c r="G92" s="30">
        <f t="shared" si="45"/>
        <v>-0.456782165796869</v>
      </c>
      <c r="I92" s="29">
        <v>-38.3304</v>
      </c>
      <c r="J92" s="31">
        <f t="shared" si="46"/>
        <v>-0.466846111686255</v>
      </c>
      <c r="L92" s="29">
        <v>-87.81438</v>
      </c>
      <c r="M92" s="31">
        <f t="shared" si="47"/>
        <v>-0.9477360587975</v>
      </c>
      <c r="O92" s="32">
        <v>-84.58556</v>
      </c>
      <c r="P92" s="31">
        <f t="shared" si="48"/>
        <v>-0.85710944703963</v>
      </c>
      <c r="R92" s="32">
        <v>-90.78098</v>
      </c>
      <c r="S92" s="31">
        <f t="shared" si="49"/>
        <v>-0.972448448362666</v>
      </c>
      <c r="U92" s="32">
        <v>-97.37103</v>
      </c>
      <c r="V92" s="31">
        <f t="shared" si="50"/>
        <v>-1.29668979385287</v>
      </c>
      <c r="X92" s="32">
        <v>-81.74893</v>
      </c>
      <c r="Y92" s="31">
        <f t="shared" si="33"/>
        <v>-1.05077096106634</v>
      </c>
      <c r="AA92" s="32">
        <v>-45.93377</v>
      </c>
      <c r="AB92" s="31">
        <f t="shared" si="53"/>
        <v>-0.78102717132558</v>
      </c>
      <c r="AD92" s="32">
        <v>-76.47944</v>
      </c>
      <c r="AE92" s="31">
        <f t="shared" si="31"/>
        <v>-0.842043467729505</v>
      </c>
      <c r="AG92" s="32">
        <v>-78.08778</v>
      </c>
      <c r="AH92" s="31">
        <f t="shared" si="32"/>
        <v>-0.699886889183666</v>
      </c>
      <c r="AJ92" s="32">
        <v>-95.42989</v>
      </c>
      <c r="AK92" s="31">
        <f t="shared" si="29"/>
        <v>-0.854915027995521</v>
      </c>
      <c r="AM92" s="32">
        <v>-67.8956</v>
      </c>
      <c r="AN92" s="31">
        <f t="shared" si="30"/>
        <v>-0.60824725643897</v>
      </c>
      <c r="AP92" s="33">
        <f>I92+F92+L92+O92+R92+U92+X92+AA92+AD92+AG92+AJ92+AM92</f>
        <v>-880.86878</v>
      </c>
      <c r="AQ92" s="34">
        <f t="shared" si="51"/>
        <v>-0.840688894954542</v>
      </c>
      <c r="AR92" s="35"/>
    </row>
    <row r="93" s="2" customFormat="1" spans="1:46">
      <c r="A93" s="61"/>
      <c r="B93" s="36" t="s">
        <v>68</v>
      </c>
      <c r="C93" s="37" t="s">
        <v>215</v>
      </c>
      <c r="D93" s="38" t="s">
        <v>216</v>
      </c>
      <c r="E93" s="39"/>
      <c r="F93" s="40">
        <f>SUM(F92)</f>
        <v>-36.41102</v>
      </c>
      <c r="G93" s="40">
        <f t="shared" si="45"/>
        <v>-0.456782165796869</v>
      </c>
      <c r="H93" s="11"/>
      <c r="I93" s="42">
        <f>+I92</f>
        <v>-38.3304</v>
      </c>
      <c r="J93" s="40">
        <f t="shared" si="46"/>
        <v>-0.466846111686255</v>
      </c>
      <c r="K93" s="11"/>
      <c r="L93" s="42">
        <f>+L92</f>
        <v>-87.81438</v>
      </c>
      <c r="M93" s="40">
        <f t="shared" si="47"/>
        <v>-0.9477360587975</v>
      </c>
      <c r="N93" s="12"/>
      <c r="O93" s="42">
        <f>+O92</f>
        <v>-84.58556</v>
      </c>
      <c r="P93" s="40">
        <f t="shared" si="48"/>
        <v>-0.85710944703963</v>
      </c>
      <c r="Q93" s="13"/>
      <c r="R93" s="42">
        <f>+R92</f>
        <v>-90.78098</v>
      </c>
      <c r="S93" s="40">
        <f t="shared" si="49"/>
        <v>-0.972448448362666</v>
      </c>
      <c r="T93" s="13"/>
      <c r="U93" s="42">
        <f>+U92</f>
        <v>-97.37103</v>
      </c>
      <c r="V93" s="40">
        <f t="shared" si="50"/>
        <v>-1.29668979385287</v>
      </c>
      <c r="W93" s="13"/>
      <c r="X93" s="42">
        <f>+X92</f>
        <v>-81.74893</v>
      </c>
      <c r="Y93" s="40">
        <f t="shared" si="33"/>
        <v>-1.05077096106634</v>
      </c>
      <c r="Z93" s="13"/>
      <c r="AA93" s="42">
        <f>+AA92</f>
        <v>-45.93377</v>
      </c>
      <c r="AB93" s="40">
        <f t="shared" si="53"/>
        <v>-0.78102717132558</v>
      </c>
      <c r="AC93" s="13"/>
      <c r="AD93" s="42">
        <f>+AD92</f>
        <v>-76.47944</v>
      </c>
      <c r="AE93" s="40">
        <f t="shared" si="31"/>
        <v>-0.842043467729505</v>
      </c>
      <c r="AF93" s="13"/>
      <c r="AG93" s="42">
        <f>+AG92</f>
        <v>-78.08778</v>
      </c>
      <c r="AH93" s="40">
        <f t="shared" si="32"/>
        <v>-0.699886889183666</v>
      </c>
      <c r="AI93" s="13"/>
      <c r="AJ93" s="42">
        <f>+AJ92</f>
        <v>-95.42989</v>
      </c>
      <c r="AK93" s="40">
        <f t="shared" si="29"/>
        <v>-0.854915027995521</v>
      </c>
      <c r="AL93" s="13"/>
      <c r="AM93" s="42">
        <f>+AM92</f>
        <v>-67.8956</v>
      </c>
      <c r="AN93" s="40">
        <f t="shared" si="30"/>
        <v>-0.60824725643897</v>
      </c>
      <c r="AO93" s="13"/>
      <c r="AP93" s="43">
        <f>+AP92</f>
        <v>-880.86878</v>
      </c>
      <c r="AQ93" s="62">
        <f t="shared" si="51"/>
        <v>-0.840688894954542</v>
      </c>
      <c r="AR93" s="35"/>
    </row>
    <row r="94" outlineLevel="1" spans="1:46">
      <c r="A94" s="56" t="s">
        <v>28</v>
      </c>
      <c r="B94" s="28">
        <v>6666021602</v>
      </c>
      <c r="C94" s="28" t="s">
        <v>217</v>
      </c>
      <c r="D94" s="28" t="s">
        <v>218</v>
      </c>
      <c r="E94" s="28" t="s">
        <v>219</v>
      </c>
      <c r="F94" s="29">
        <v>47.14342</v>
      </c>
      <c r="G94" s="30">
        <f t="shared" si="45"/>
        <v>0.591421868727419</v>
      </c>
      <c r="I94" s="29">
        <v>35.17581</v>
      </c>
      <c r="J94" s="63">
        <f t="shared" si="46"/>
        <v>0.428424700079167</v>
      </c>
      <c r="L94" s="29">
        <v>47.51831</v>
      </c>
      <c r="M94" s="63">
        <f t="shared" si="47"/>
        <v>0.512841015789417</v>
      </c>
      <c r="O94" s="32">
        <v>32.83657</v>
      </c>
      <c r="P94" s="63">
        <f t="shared" si="48"/>
        <v>0.332734504038019</v>
      </c>
      <c r="R94" s="32">
        <v>27.51429</v>
      </c>
      <c r="S94" s="63">
        <f t="shared" si="49"/>
        <v>0.294733859651002</v>
      </c>
      <c r="U94" s="32">
        <v>20.25036</v>
      </c>
      <c r="V94" s="63">
        <f t="shared" si="50"/>
        <v>0.269673999893464</v>
      </c>
      <c r="X94" s="32">
        <v>22.36867</v>
      </c>
      <c r="Y94" s="63">
        <f t="shared" si="33"/>
        <v>0.287518734173961</v>
      </c>
      <c r="AA94" s="32">
        <v>29.97052</v>
      </c>
      <c r="AB94" s="63">
        <f t="shared" si="53"/>
        <v>0.509598721349385</v>
      </c>
      <c r="AD94" s="32">
        <v>29.52934</v>
      </c>
      <c r="AE94" s="63">
        <f t="shared" si="31"/>
        <v>0.325119899588224</v>
      </c>
      <c r="AG94" s="32">
        <v>33.0999</v>
      </c>
      <c r="AH94" s="63">
        <f t="shared" si="32"/>
        <v>0.296668518983257</v>
      </c>
      <c r="AJ94" s="32">
        <v>27.76599</v>
      </c>
      <c r="AK94" s="63">
        <f t="shared" si="29"/>
        <v>0.248743471444569</v>
      </c>
      <c r="AM94" s="32">
        <v>33.87562</v>
      </c>
      <c r="AN94" s="63">
        <f t="shared" si="30"/>
        <v>0.303476998880179</v>
      </c>
      <c r="AP94" s="33">
        <f>I94+F94+L94+O94+R94+U94+X94+AA94+AD94+AG94+AJ94+AM94</f>
        <v>387.0488</v>
      </c>
      <c r="AQ94" s="64">
        <f t="shared" si="51"/>
        <v>0.369393983931956</v>
      </c>
      <c r="AR94" s="35"/>
    </row>
    <row r="95" s="2" customFormat="1" spans="1:46">
      <c r="A95" s="61"/>
      <c r="B95" s="36" t="s">
        <v>49</v>
      </c>
      <c r="C95" s="37" t="s">
        <v>219</v>
      </c>
      <c r="D95" s="38" t="s">
        <v>220</v>
      </c>
      <c r="E95" s="39"/>
      <c r="F95" s="40">
        <f>SUM(F94:F94)</f>
        <v>47.14342</v>
      </c>
      <c r="G95" s="40">
        <f t="shared" si="45"/>
        <v>0.591421868727419</v>
      </c>
      <c r="H95" s="11"/>
      <c r="I95" s="42">
        <f>+SUM(I94:I94)</f>
        <v>35.17581</v>
      </c>
      <c r="J95" s="40">
        <f t="shared" si="46"/>
        <v>0.428424700079167</v>
      </c>
      <c r="K95" s="11"/>
      <c r="L95" s="42">
        <f>+SUM(L94:L94)</f>
        <v>47.51831</v>
      </c>
      <c r="M95" s="40">
        <f t="shared" si="47"/>
        <v>0.512841015789417</v>
      </c>
      <c r="N95" s="12"/>
      <c r="O95" s="42">
        <f>+SUM(O94:O94)</f>
        <v>32.83657</v>
      </c>
      <c r="P95" s="40">
        <f t="shared" si="48"/>
        <v>0.332734504038019</v>
      </c>
      <c r="Q95" s="13"/>
      <c r="R95" s="42">
        <f>+SUM(R94:R94)</f>
        <v>27.51429</v>
      </c>
      <c r="S95" s="40">
        <f t="shared" si="49"/>
        <v>0.294733859651002</v>
      </c>
      <c r="T95" s="13"/>
      <c r="U95" s="42">
        <f>+SUM(U94:U94)</f>
        <v>20.25036</v>
      </c>
      <c r="V95" s="40">
        <f t="shared" si="50"/>
        <v>0.269673999893464</v>
      </c>
      <c r="W95" s="13"/>
      <c r="X95" s="42">
        <f>+SUM(X94:X94)</f>
        <v>22.36867</v>
      </c>
      <c r="Y95" s="40">
        <f t="shared" si="33"/>
        <v>0.287518734173961</v>
      </c>
      <c r="Z95" s="13"/>
      <c r="AA95" s="42">
        <f>+SUM(AA94:AA94)</f>
        <v>29.97052</v>
      </c>
      <c r="AB95" s="40">
        <f t="shared" si="53"/>
        <v>0.509598721349385</v>
      </c>
      <c r="AC95" s="13"/>
      <c r="AD95" s="42">
        <f>+SUM(AD94:AD94)</f>
        <v>29.52934</v>
      </c>
      <c r="AE95" s="40">
        <f t="shared" si="31"/>
        <v>0.325119899588224</v>
      </c>
      <c r="AF95" s="13"/>
      <c r="AG95" s="42">
        <f>+SUM(AG94:AG94)</f>
        <v>33.0999</v>
      </c>
      <c r="AH95" s="40">
        <f t="shared" si="32"/>
        <v>0.296668518983257</v>
      </c>
      <c r="AI95" s="13"/>
      <c r="AJ95" s="42">
        <f>+SUM(AJ94:AJ94)</f>
        <v>27.76599</v>
      </c>
      <c r="AK95" s="40">
        <f t="shared" si="29"/>
        <v>0.248743471444569</v>
      </c>
      <c r="AL95" s="13"/>
      <c r="AM95" s="42">
        <f>+SUM(AM94:AM94)</f>
        <v>33.87562</v>
      </c>
      <c r="AN95" s="40">
        <f t="shared" si="30"/>
        <v>0.303476998880179</v>
      </c>
      <c r="AO95" s="13"/>
      <c r="AP95" s="43">
        <f>SUM(AP94:AP94)</f>
        <v>387.0488</v>
      </c>
      <c r="AQ95" s="62">
        <f t="shared" si="51"/>
        <v>0.369393983931956</v>
      </c>
      <c r="AR95" s="35"/>
    </row>
    <row r="96" outlineLevel="2" spans="1:46">
      <c r="A96" s="61" t="s">
        <v>28</v>
      </c>
      <c r="B96" s="28">
        <v>6666021600</v>
      </c>
      <c r="C96" s="28" t="s">
        <v>221</v>
      </c>
      <c r="D96" s="28" t="s">
        <v>222</v>
      </c>
      <c r="E96" s="28" t="s">
        <v>223</v>
      </c>
      <c r="F96" s="29">
        <v>5.62171</v>
      </c>
      <c r="G96" s="30">
        <f t="shared" si="45"/>
        <v>0.0705252659574468</v>
      </c>
      <c r="I96" s="29">
        <v>25.74967</v>
      </c>
      <c r="J96" s="31">
        <f t="shared" si="46"/>
        <v>0.313618780829426</v>
      </c>
      <c r="L96" s="29">
        <v>23.27114</v>
      </c>
      <c r="M96" s="31">
        <f t="shared" si="47"/>
        <v>0.251153609549198</v>
      </c>
      <c r="O96" s="32">
        <v>20.20406</v>
      </c>
      <c r="P96" s="31">
        <f t="shared" si="48"/>
        <v>0.204728687669095</v>
      </c>
      <c r="R96" s="32">
        <v>30.35682</v>
      </c>
      <c r="S96" s="31">
        <f t="shared" si="49"/>
        <v>0.325183122127837</v>
      </c>
      <c r="U96" s="32">
        <v>19.38502</v>
      </c>
      <c r="V96" s="31">
        <f t="shared" si="50"/>
        <v>0.258150269003356</v>
      </c>
      <c r="X96" s="32">
        <v>23.93045</v>
      </c>
      <c r="Y96" s="31">
        <f t="shared" si="33"/>
        <v>0.307593285260736</v>
      </c>
      <c r="AA96" s="32">
        <v>15.74162</v>
      </c>
      <c r="AB96" s="31">
        <f t="shared" si="53"/>
        <v>0.267660001360267</v>
      </c>
      <c r="AD96" s="32">
        <v>18.79841</v>
      </c>
      <c r="AE96" s="31">
        <f t="shared" si="31"/>
        <v>0.206971682117455</v>
      </c>
      <c r="AG96" s="32">
        <v>25.24524</v>
      </c>
      <c r="AH96" s="31">
        <f t="shared" si="32"/>
        <v>0.226268597856093</v>
      </c>
      <c r="AJ96" s="32">
        <v>32.1652</v>
      </c>
      <c r="AK96" s="31">
        <f t="shared" si="29"/>
        <v>0.288154087346025</v>
      </c>
      <c r="AM96" s="32">
        <v>17.6332</v>
      </c>
      <c r="AN96" s="31">
        <f t="shared" si="30"/>
        <v>0.157968197088466</v>
      </c>
      <c r="AP96" s="33">
        <f>I96+F96+L96+O96+R96+U96+X96+AA96+AD96+AG96+AJ96+AM96</f>
        <v>258.10254</v>
      </c>
      <c r="AQ96" s="34">
        <f t="shared" si="51"/>
        <v>0.246329469342256</v>
      </c>
      <c r="AR96" s="35"/>
    </row>
    <row r="97" outlineLevel="2" spans="1:44">
      <c r="A97" s="61" t="s">
        <v>28</v>
      </c>
      <c r="B97" s="28">
        <v>6666021603</v>
      </c>
      <c r="C97" s="28" t="s">
        <v>224</v>
      </c>
      <c r="D97" s="28" t="s">
        <v>225</v>
      </c>
      <c r="E97" s="28" t="s">
        <v>223</v>
      </c>
      <c r="F97" s="29">
        <v>0.06764</v>
      </c>
      <c r="G97" s="30">
        <f t="shared" si="45"/>
        <v>0.000848554797270173</v>
      </c>
      <c r="I97" s="29">
        <v>1.58225</v>
      </c>
      <c r="J97" s="31">
        <f t="shared" si="46"/>
        <v>0.0192710553559467</v>
      </c>
      <c r="L97" s="29">
        <v>1.11357</v>
      </c>
      <c r="M97" s="31">
        <f t="shared" si="47"/>
        <v>0.0120181961427631</v>
      </c>
      <c r="O97" s="32">
        <v>0.94298</v>
      </c>
      <c r="P97" s="31">
        <f t="shared" si="48"/>
        <v>0.00955526057130118</v>
      </c>
      <c r="R97" s="32">
        <v>1.14008</v>
      </c>
      <c r="S97" s="31">
        <f t="shared" si="49"/>
        <v>0.0122125694942851</v>
      </c>
      <c r="U97" s="32">
        <v>1.04378</v>
      </c>
      <c r="V97" s="31">
        <f t="shared" si="50"/>
        <v>0.0139000159803974</v>
      </c>
      <c r="X97" s="32">
        <v>1.39062</v>
      </c>
      <c r="Y97" s="31">
        <f t="shared" si="33"/>
        <v>0.0178745228087765</v>
      </c>
      <c r="AA97" s="32">
        <v>0.96892</v>
      </c>
      <c r="AB97" s="31">
        <f t="shared" si="53"/>
        <v>0.0164748690743386</v>
      </c>
      <c r="AD97" s="32">
        <v>1.04138</v>
      </c>
      <c r="AE97" s="31">
        <f t="shared" si="31"/>
        <v>0.0114656596128862</v>
      </c>
      <c r="AG97" s="32">
        <v>1.07654</v>
      </c>
      <c r="AH97" s="31">
        <f t="shared" si="32"/>
        <v>0.00964883662567669</v>
      </c>
      <c r="AJ97" s="32">
        <v>3.0686</v>
      </c>
      <c r="AK97" s="31">
        <f t="shared" si="29"/>
        <v>0.0274902575587906</v>
      </c>
      <c r="AM97" s="32">
        <v>-16.44784</v>
      </c>
      <c r="AN97" s="31">
        <f t="shared" si="30"/>
        <v>-0.147349070548712</v>
      </c>
      <c r="AP97" s="33">
        <f t="shared" ref="AP96:AP98" si="54">I97+F97+L97+O97+R97+U97+X97+AA97+AD97+AG97+AJ97+AM97</f>
        <v>-3.01148</v>
      </c>
      <c r="AQ97" s="34">
        <f t="shared" si="51"/>
        <v>-0.00287411456832163</v>
      </c>
      <c r="AR97" s="35"/>
    </row>
    <row r="98" outlineLevel="2" spans="1:44">
      <c r="A98" s="61" t="s">
        <v>28</v>
      </c>
      <c r="B98" s="28">
        <v>6666021604</v>
      </c>
      <c r="C98" s="65" t="s">
        <v>226</v>
      </c>
      <c r="D98" s="65" t="s">
        <v>227</v>
      </c>
      <c r="E98" s="28" t="s">
        <v>223</v>
      </c>
      <c r="F98" s="29">
        <v>21.31753</v>
      </c>
      <c r="G98" s="30">
        <f t="shared" si="45"/>
        <v>0.267431879767162</v>
      </c>
      <c r="I98" s="29">
        <v>13.92065</v>
      </c>
      <c r="J98" s="31">
        <f t="shared" si="46"/>
        <v>0.169546921624749</v>
      </c>
      <c r="L98" s="29">
        <v>18.95964</v>
      </c>
      <c r="M98" s="31">
        <f t="shared" si="47"/>
        <v>0.204621777091855</v>
      </c>
      <c r="O98" s="32">
        <v>24.36647</v>
      </c>
      <c r="P98" s="31">
        <f t="shared" si="48"/>
        <v>0.246906583440575</v>
      </c>
      <c r="R98" s="32">
        <v>31.54804</v>
      </c>
      <c r="S98" s="31">
        <f t="shared" si="49"/>
        <v>0.337943504761497</v>
      </c>
      <c r="U98" s="32">
        <v>21.64059</v>
      </c>
      <c r="V98" s="31">
        <f t="shared" si="50"/>
        <v>0.288187689767219</v>
      </c>
      <c r="X98" s="32">
        <v>19.29703</v>
      </c>
      <c r="Y98" s="31">
        <f t="shared" si="33"/>
        <v>0.248036992763403</v>
      </c>
      <c r="AA98" s="32">
        <v>16.66944</v>
      </c>
      <c r="AB98" s="31">
        <f t="shared" si="53"/>
        <v>0.283436033462559</v>
      </c>
      <c r="AD98" s="32">
        <v>23.57821</v>
      </c>
      <c r="AE98" s="31">
        <f t="shared" si="31"/>
        <v>0.259597582190122</v>
      </c>
      <c r="AG98" s="32">
        <v>32.4355</v>
      </c>
      <c r="AH98" s="31">
        <f t="shared" si="32"/>
        <v>0.290713619904636</v>
      </c>
      <c r="AJ98" s="32">
        <v>24.83435</v>
      </c>
      <c r="AK98" s="31">
        <f t="shared" si="29"/>
        <v>0.222480179171333</v>
      </c>
      <c r="AM98" s="32">
        <v>30.40234</v>
      </c>
      <c r="AN98" s="31">
        <f t="shared" si="30"/>
        <v>0.272361388577827</v>
      </c>
      <c r="AP98" s="33">
        <f t="shared" si="54"/>
        <v>278.96979</v>
      </c>
      <c r="AQ98" s="34">
        <f t="shared" si="51"/>
        <v>0.266244882104688</v>
      </c>
      <c r="AR98" s="35"/>
    </row>
    <row r="99" s="2" customFormat="1" spans="1:44">
      <c r="A99" s="61"/>
      <c r="B99" s="36" t="s">
        <v>68</v>
      </c>
      <c r="C99" s="37" t="s">
        <v>223</v>
      </c>
      <c r="D99" s="38" t="s">
        <v>228</v>
      </c>
      <c r="E99" s="39"/>
      <c r="F99" s="40">
        <f>SUM(F96:F98)</f>
        <v>27.00688</v>
      </c>
      <c r="G99" s="41">
        <f t="shared" si="45"/>
        <v>0.338805700521879</v>
      </c>
      <c r="H99" s="11"/>
      <c r="I99" s="42">
        <f>SUM(I96:I98)</f>
        <v>41.25257</v>
      </c>
      <c r="J99" s="41">
        <f t="shared" si="46"/>
        <v>0.502436757810121</v>
      </c>
      <c r="K99" s="11"/>
      <c r="L99" s="42">
        <f>SUM(L96:L98)</f>
        <v>43.34435</v>
      </c>
      <c r="M99" s="41">
        <f t="shared" si="47"/>
        <v>0.467793582783816</v>
      </c>
      <c r="N99" s="12"/>
      <c r="O99" s="42">
        <f>SUM(O96:O98)</f>
        <v>45.51351</v>
      </c>
      <c r="P99" s="41">
        <f t="shared" si="48"/>
        <v>0.461190531680971</v>
      </c>
      <c r="Q99" s="13"/>
      <c r="R99" s="42">
        <f>SUM(R96:R98)</f>
        <v>63.04494</v>
      </c>
      <c r="S99" s="41">
        <f t="shared" si="49"/>
        <v>0.675339196383619</v>
      </c>
      <c r="T99" s="13"/>
      <c r="U99" s="42">
        <f>SUM(U96:U98)</f>
        <v>42.06939</v>
      </c>
      <c r="V99" s="41">
        <f t="shared" si="50"/>
        <v>0.560237974750972</v>
      </c>
      <c r="W99" s="13"/>
      <c r="X99" s="42">
        <f>SUM(X96:X98)</f>
        <v>44.6181</v>
      </c>
      <c r="Y99" s="41">
        <f t="shared" si="33"/>
        <v>0.573504800832916</v>
      </c>
      <c r="Z99" s="13"/>
      <c r="AA99" s="42">
        <f>SUM(AA96:AA98)</f>
        <v>33.37998</v>
      </c>
      <c r="AB99" s="41">
        <f t="shared" si="53"/>
        <v>0.567570903897164</v>
      </c>
      <c r="AC99" s="13"/>
      <c r="AD99" s="42">
        <f>SUM(AD96:AD98)</f>
        <v>43.418</v>
      </c>
      <c r="AE99" s="41">
        <f t="shared" si="31"/>
        <v>0.478034923920463</v>
      </c>
      <c r="AF99" s="13"/>
      <c r="AG99" s="42">
        <f>SUM(AG96:AG98)</f>
        <v>58.75728</v>
      </c>
      <c r="AH99" s="41">
        <f t="shared" si="32"/>
        <v>0.526631054386405</v>
      </c>
      <c r="AI99" s="13"/>
      <c r="AJ99" s="42">
        <f>SUM(AJ96:AJ98)</f>
        <v>60.06815</v>
      </c>
      <c r="AK99" s="41">
        <f t="shared" si="29"/>
        <v>0.538124524076148</v>
      </c>
      <c r="AL99" s="13"/>
      <c r="AM99" s="42">
        <f>SUM(AM96:AM98)</f>
        <v>31.5877</v>
      </c>
      <c r="AN99" s="41">
        <f t="shared" si="30"/>
        <v>0.282980515117581</v>
      </c>
      <c r="AO99" s="13"/>
      <c r="AP99" s="43">
        <f>SUM(AP96:AP98)</f>
        <v>534.06085</v>
      </c>
      <c r="AQ99" s="44">
        <f t="shared" si="51"/>
        <v>0.509700236878623</v>
      </c>
      <c r="AR99" s="35"/>
    </row>
    <row r="100" outlineLevel="1" spans="1:44">
      <c r="A100" s="61" t="s">
        <v>28</v>
      </c>
      <c r="B100" s="28">
        <v>5001010206</v>
      </c>
      <c r="C100" s="28" t="s">
        <v>229</v>
      </c>
      <c r="D100" s="28" t="s">
        <v>230</v>
      </c>
      <c r="E100" s="28" t="s">
        <v>231</v>
      </c>
      <c r="F100" s="29">
        <v>5.87295</v>
      </c>
      <c r="G100" s="30">
        <f t="shared" si="45"/>
        <v>0.0736771126053794</v>
      </c>
      <c r="I100" s="29">
        <v>5.63538</v>
      </c>
      <c r="J100" s="31">
        <f t="shared" si="46"/>
        <v>0.0686362584495463</v>
      </c>
      <c r="L100" s="29">
        <v>7.36282</v>
      </c>
      <c r="M100" s="31">
        <f t="shared" si="47"/>
        <v>0.0794631814110105</v>
      </c>
      <c r="O100" s="32">
        <v>6.23479</v>
      </c>
      <c r="P100" s="31">
        <f t="shared" si="48"/>
        <v>0.063177419518275</v>
      </c>
      <c r="R100" s="32">
        <v>6.9164</v>
      </c>
      <c r="S100" s="31">
        <f t="shared" si="49"/>
        <v>0.074088674172228</v>
      </c>
      <c r="U100" s="32">
        <v>5.11787</v>
      </c>
      <c r="V100" s="31">
        <f t="shared" si="50"/>
        <v>0.0681546636126352</v>
      </c>
      <c r="X100" s="32">
        <v>4.90241</v>
      </c>
      <c r="Y100" s="31">
        <f t="shared" si="33"/>
        <v>0.0630137919510533</v>
      </c>
      <c r="AA100" s="32">
        <v>4.27681</v>
      </c>
      <c r="AB100" s="31">
        <f t="shared" si="53"/>
        <v>0.0727200231245324</v>
      </c>
      <c r="AD100" s="32">
        <v>4.99995</v>
      </c>
      <c r="AE100" s="31">
        <f t="shared" si="31"/>
        <v>0.0550497654856539</v>
      </c>
      <c r="AG100" s="32">
        <v>5.88616</v>
      </c>
      <c r="AH100" s="31">
        <f t="shared" si="32"/>
        <v>0.0527566055999713</v>
      </c>
      <c r="AJ100" s="32">
        <v>5.58384</v>
      </c>
      <c r="AK100" s="31">
        <f t="shared" si="29"/>
        <v>0.05002320268757</v>
      </c>
      <c r="AM100" s="32">
        <v>5.55886</v>
      </c>
      <c r="AN100" s="31">
        <f t="shared" si="30"/>
        <v>0.0497994176931691</v>
      </c>
      <c r="AP100" s="33">
        <f t="shared" ref="AP100:AP106" si="55">I100+F100+L100+O100+R100+U100+X100+AA100+AD100+AG100+AJ100+AM100</f>
        <v>68.34824</v>
      </c>
      <c r="AQ100" s="34">
        <f t="shared" si="51"/>
        <v>0.0652306083065946</v>
      </c>
      <c r="AR100" s="35"/>
    </row>
    <row r="101" outlineLevel="1" spans="1:44">
      <c r="A101" s="61" t="s">
        <v>28</v>
      </c>
      <c r="B101" s="28">
        <v>6666010184</v>
      </c>
      <c r="C101" s="28" t="s">
        <v>232</v>
      </c>
      <c r="D101" s="28" t="s">
        <v>233</v>
      </c>
      <c r="E101" s="28" t="s">
        <v>231</v>
      </c>
      <c r="F101" s="29">
        <v>-0.38939</v>
      </c>
      <c r="G101" s="30">
        <f t="shared" si="45"/>
        <v>-0.00488496085909273</v>
      </c>
      <c r="I101" s="29">
        <v>-0.3253</v>
      </c>
      <c r="J101" s="31">
        <f t="shared" si="46"/>
        <v>-0.00396199987820474</v>
      </c>
      <c r="L101" s="29">
        <v>-0.38079</v>
      </c>
      <c r="M101" s="31">
        <f t="shared" si="47"/>
        <v>-0.0041096733112447</v>
      </c>
      <c r="O101" s="32">
        <v>-0.34636</v>
      </c>
      <c r="P101" s="31">
        <f t="shared" si="48"/>
        <v>-0.00350968212631856</v>
      </c>
      <c r="R101" s="32">
        <v>-0.09219</v>
      </c>
      <c r="S101" s="31">
        <f t="shared" si="49"/>
        <v>-0.00098754191081165</v>
      </c>
      <c r="U101" s="32">
        <v>-0.10197</v>
      </c>
      <c r="V101" s="31">
        <f t="shared" si="50"/>
        <v>-0.00135793426729878</v>
      </c>
      <c r="X101" s="32">
        <v>-0.02938</v>
      </c>
      <c r="Y101" s="31">
        <f t="shared" si="33"/>
        <v>-0.000377639815421792</v>
      </c>
      <c r="AA101" s="32">
        <v>-0.02846</v>
      </c>
      <c r="AB101" s="31">
        <f t="shared" si="53"/>
        <v>-0.000483914847310073</v>
      </c>
      <c r="AD101" s="32">
        <v>-0.03495</v>
      </c>
      <c r="AE101" s="31">
        <f t="shared" si="31"/>
        <v>-0.000384801708761808</v>
      </c>
      <c r="AG101" s="32">
        <v>-0.21795</v>
      </c>
      <c r="AH101" s="31">
        <f t="shared" si="32"/>
        <v>-0.0019534471014233</v>
      </c>
      <c r="AJ101" s="32">
        <v>-0.31482</v>
      </c>
      <c r="AK101" s="31">
        <f t="shared" si="29"/>
        <v>-0.0028203359462486</v>
      </c>
      <c r="AM101" s="32">
        <v>-0.39594</v>
      </c>
      <c r="AN101" s="31">
        <f t="shared" si="30"/>
        <v>-0.0035470548712206</v>
      </c>
      <c r="AP101" s="33">
        <f t="shared" si="55"/>
        <v>-2.6575</v>
      </c>
      <c r="AQ101" s="34">
        <f t="shared" si="51"/>
        <v>-0.0025362809865298</v>
      </c>
      <c r="AR101" s="35"/>
    </row>
    <row r="102" outlineLevel="1" spans="1:44">
      <c r="A102" s="61" t="s">
        <v>28</v>
      </c>
      <c r="B102" s="28">
        <v>6666010186</v>
      </c>
      <c r="C102" s="28" t="s">
        <v>234</v>
      </c>
      <c r="D102" s="28" t="s">
        <v>235</v>
      </c>
      <c r="E102" s="28" t="s">
        <v>231</v>
      </c>
      <c r="F102" s="29">
        <v>3.61155</v>
      </c>
      <c r="G102" s="30">
        <f t="shared" si="45"/>
        <v>0.0453074819349659</v>
      </c>
      <c r="I102" s="29">
        <v>5.27742</v>
      </c>
      <c r="J102" s="31">
        <f t="shared" si="46"/>
        <v>0.064276475245113</v>
      </c>
      <c r="L102" s="29">
        <v>10.36619</v>
      </c>
      <c r="M102" s="31">
        <f t="shared" si="47"/>
        <v>0.111877030337697</v>
      </c>
      <c r="O102" s="32">
        <v>11.68437</v>
      </c>
      <c r="P102" s="31">
        <f t="shared" si="48"/>
        <v>0.118398269275588</v>
      </c>
      <c r="R102" s="32">
        <v>14.39562</v>
      </c>
      <c r="S102" s="31">
        <f t="shared" si="49"/>
        <v>0.154206292245563</v>
      </c>
      <c r="U102" s="32">
        <v>10.59818</v>
      </c>
      <c r="V102" s="31">
        <f t="shared" si="50"/>
        <v>0.141135939913706</v>
      </c>
      <c r="X102" s="32">
        <v>35.28851</v>
      </c>
      <c r="Y102" s="31">
        <f t="shared" si="33"/>
        <v>0.453585650201159</v>
      </c>
      <c r="AA102" s="32">
        <v>13.25589</v>
      </c>
      <c r="AB102" s="31">
        <f t="shared" si="53"/>
        <v>0.225394307284228</v>
      </c>
      <c r="AD102" s="32">
        <v>14.135</v>
      </c>
      <c r="AE102" s="31">
        <f t="shared" si="31"/>
        <v>0.155627243300377</v>
      </c>
      <c r="AG102" s="32">
        <v>24.69166</v>
      </c>
      <c r="AH102" s="31">
        <f t="shared" si="32"/>
        <v>0.221306958735167</v>
      </c>
      <c r="AJ102" s="32">
        <v>21.79586</v>
      </c>
      <c r="AK102" s="31">
        <f t="shared" si="29"/>
        <v>0.195259664053751</v>
      </c>
      <c r="AM102" s="32">
        <v>17.72944</v>
      </c>
      <c r="AN102" s="31">
        <f t="shared" si="30"/>
        <v>0.158830369540873</v>
      </c>
      <c r="AP102" s="33">
        <f t="shared" si="55"/>
        <v>182.82969</v>
      </c>
      <c r="AQ102" s="34">
        <f t="shared" si="51"/>
        <v>0.174490109697135</v>
      </c>
      <c r="AR102" s="35"/>
    </row>
    <row r="103" outlineLevel="1" spans="1:44">
      <c r="A103" s="61" t="s">
        <v>28</v>
      </c>
      <c r="B103" s="28">
        <v>6666010189</v>
      </c>
      <c r="C103" s="28" t="s">
        <v>236</v>
      </c>
      <c r="D103" s="28" t="s">
        <v>237</v>
      </c>
      <c r="E103" s="28" t="s">
        <v>231</v>
      </c>
      <c r="F103" s="29">
        <v>15.75994</v>
      </c>
      <c r="G103" s="30">
        <f t="shared" si="45"/>
        <v>0.197711009634685</v>
      </c>
      <c r="I103" s="29">
        <v>-0.239</v>
      </c>
      <c r="J103" s="31">
        <f t="shared" si="46"/>
        <v>-0.00291090676572681</v>
      </c>
      <c r="L103" s="29">
        <v>0</v>
      </c>
      <c r="M103" s="31">
        <f t="shared" si="47"/>
        <v>0</v>
      </c>
      <c r="O103" s="32">
        <v>0</v>
      </c>
      <c r="P103" s="31">
        <f t="shared" si="48"/>
        <v>0</v>
      </c>
      <c r="R103" s="32">
        <v>6.00458</v>
      </c>
      <c r="S103" s="31">
        <f t="shared" si="49"/>
        <v>0.0643212323117629</v>
      </c>
      <c r="U103" s="32">
        <v>0</v>
      </c>
      <c r="V103" s="31">
        <f t="shared" si="50"/>
        <v>0</v>
      </c>
      <c r="X103" s="32">
        <v>17.92741</v>
      </c>
      <c r="Y103" s="31">
        <f t="shared" si="33"/>
        <v>0.230432396303294</v>
      </c>
      <c r="AA103" s="32">
        <v>9.21265</v>
      </c>
      <c r="AB103" s="31">
        <f t="shared" si="53"/>
        <v>0.156645752567503</v>
      </c>
      <c r="AD103" s="32">
        <v>-2.4</v>
      </c>
      <c r="AE103" s="31">
        <f t="shared" si="31"/>
        <v>-0.0264241516746306</v>
      </c>
      <c r="AG103" s="32">
        <v>0</v>
      </c>
      <c r="AH103" s="31">
        <f t="shared" si="32"/>
        <v>0</v>
      </c>
      <c r="AJ103" s="32">
        <v>-0.14848</v>
      </c>
      <c r="AK103" s="31">
        <f t="shared" si="29"/>
        <v>-0.0013301679731243</v>
      </c>
      <c r="AM103" s="32">
        <v>30.17646</v>
      </c>
      <c r="AN103" s="31">
        <f t="shared" si="30"/>
        <v>0.270337827547592</v>
      </c>
      <c r="AP103" s="33">
        <f t="shared" si="55"/>
        <v>76.29356</v>
      </c>
      <c r="AQ103" s="34">
        <f t="shared" si="51"/>
        <v>0.0728135110527451</v>
      </c>
      <c r="AR103" s="35"/>
    </row>
    <row r="104" outlineLevel="1" spans="1:44">
      <c r="A104" s="61" t="s">
        <v>28</v>
      </c>
      <c r="B104" s="28">
        <v>6666010012</v>
      </c>
      <c r="C104" s="28" t="s">
        <v>238</v>
      </c>
      <c r="D104" s="28" t="s">
        <v>239</v>
      </c>
      <c r="E104" s="28" t="s">
        <v>231</v>
      </c>
      <c r="F104" s="29">
        <v>51.56572</v>
      </c>
      <c r="G104" s="30">
        <f t="shared" si="45"/>
        <v>0.646900341228422</v>
      </c>
      <c r="I104" s="29">
        <v>49.09396</v>
      </c>
      <c r="J104" s="31">
        <f t="shared" si="46"/>
        <v>0.597941172888375</v>
      </c>
      <c r="L104" s="29">
        <v>64.32551</v>
      </c>
      <c r="M104" s="31">
        <f t="shared" si="47"/>
        <v>0.694232599803577</v>
      </c>
      <c r="O104" s="32">
        <v>50.81588</v>
      </c>
      <c r="P104" s="31">
        <f t="shared" si="48"/>
        <v>0.514919695603271</v>
      </c>
      <c r="R104" s="32">
        <v>60.32131</v>
      </c>
      <c r="S104" s="31">
        <f t="shared" si="49"/>
        <v>0.646163594099815</v>
      </c>
      <c r="U104" s="32">
        <v>44.89862</v>
      </c>
      <c r="V104" s="31">
        <f t="shared" si="50"/>
        <v>0.597914824481969</v>
      </c>
      <c r="X104" s="32">
        <v>42.02238</v>
      </c>
      <c r="Y104" s="31">
        <f t="shared" si="33"/>
        <v>0.540140361701307</v>
      </c>
      <c r="AA104" s="32">
        <v>36.7161</v>
      </c>
      <c r="AB104" s="31">
        <f t="shared" si="53"/>
        <v>0.624296062028158</v>
      </c>
      <c r="AD104" s="32">
        <v>42.9716</v>
      </c>
      <c r="AE104" s="31">
        <f t="shared" si="31"/>
        <v>0.473120031708982</v>
      </c>
      <c r="AG104" s="32">
        <v>50.21281</v>
      </c>
      <c r="AH104" s="31">
        <f t="shared" si="32"/>
        <v>0.450048488868175</v>
      </c>
      <c r="AJ104" s="32">
        <v>47.61638</v>
      </c>
      <c r="AK104" s="31">
        <f t="shared" si="29"/>
        <v>0.42657451287794</v>
      </c>
      <c r="AM104" s="32">
        <v>47.58228</v>
      </c>
      <c r="AN104" s="31">
        <f t="shared" si="30"/>
        <v>0.426269025755879</v>
      </c>
      <c r="AP104" s="33">
        <f t="shared" si="55"/>
        <v>588.14255</v>
      </c>
      <c r="AQ104" s="34">
        <f t="shared" si="51"/>
        <v>0.561315058112568</v>
      </c>
      <c r="AR104" s="35"/>
    </row>
    <row r="105" outlineLevel="1" spans="1:44">
      <c r="A105" s="61" t="s">
        <v>28</v>
      </c>
      <c r="B105" s="28">
        <v>6666010226</v>
      </c>
      <c r="C105" s="28" t="s">
        <v>240</v>
      </c>
      <c r="D105" s="28" t="s">
        <v>241</v>
      </c>
      <c r="E105" s="28" t="s">
        <v>231</v>
      </c>
      <c r="F105" s="29">
        <v>11.87079</v>
      </c>
      <c r="G105" s="30">
        <f t="shared" si="45"/>
        <v>0.148920990566038</v>
      </c>
      <c r="I105" s="29">
        <v>8.35819</v>
      </c>
      <c r="J105" s="31">
        <f t="shared" si="46"/>
        <v>0.101798794226905</v>
      </c>
      <c r="L105" s="29">
        <v>9.81526</v>
      </c>
      <c r="M105" s="31">
        <f t="shared" si="47"/>
        <v>0.10593112231132</v>
      </c>
      <c r="O105" s="32">
        <v>9.22797</v>
      </c>
      <c r="P105" s="31">
        <f t="shared" si="48"/>
        <v>0.0935074528559993</v>
      </c>
      <c r="R105" s="32">
        <v>0.51591</v>
      </c>
      <c r="S105" s="31">
        <f t="shared" si="49"/>
        <v>0.0055264426424432</v>
      </c>
      <c r="U105" s="32">
        <v>8.87797</v>
      </c>
      <c r="V105" s="31">
        <f t="shared" si="50"/>
        <v>0.118227907100623</v>
      </c>
      <c r="X105" s="32">
        <v>7.89742</v>
      </c>
      <c r="Y105" s="31">
        <f t="shared" si="33"/>
        <v>0.101510559261687</v>
      </c>
      <c r="AA105" s="32">
        <v>9.79061</v>
      </c>
      <c r="AB105" s="31">
        <f t="shared" si="53"/>
        <v>0.166472998707747</v>
      </c>
      <c r="AD105" s="32">
        <v>6.89989</v>
      </c>
      <c r="AE105" s="31">
        <f t="shared" si="31"/>
        <v>0.0759682249576112</v>
      </c>
      <c r="AG105" s="32">
        <v>23.62538</v>
      </c>
      <c r="AH105" s="31">
        <f t="shared" si="32"/>
        <v>0.2117500806654</v>
      </c>
      <c r="AJ105" s="32">
        <v>9.66959</v>
      </c>
      <c r="AK105" s="31">
        <f t="shared" si="29"/>
        <v>0.086625666293393</v>
      </c>
      <c r="AM105" s="32">
        <v>16.42069</v>
      </c>
      <c r="AN105" s="31">
        <f t="shared" si="30"/>
        <v>0.147105845464726</v>
      </c>
      <c r="AP105" s="33">
        <f t="shared" si="55"/>
        <v>122.96967</v>
      </c>
      <c r="AQ105" s="34">
        <f t="shared" si="51"/>
        <v>0.117360540335219</v>
      </c>
      <c r="AR105" s="35"/>
    </row>
    <row r="106" outlineLevel="1" spans="1:44">
      <c r="A106" s="61" t="s">
        <v>28</v>
      </c>
      <c r="B106" s="28">
        <v>6666010102</v>
      </c>
      <c r="C106" s="28" t="s">
        <v>242</v>
      </c>
      <c r="D106" s="28" t="s">
        <v>243</v>
      </c>
      <c r="E106" s="28" t="s">
        <v>231</v>
      </c>
      <c r="F106" s="29">
        <v>297.58177</v>
      </c>
      <c r="G106" s="30">
        <f t="shared" si="45"/>
        <v>3.73321168707346</v>
      </c>
      <c r="I106" s="29">
        <v>290.40472</v>
      </c>
      <c r="J106" s="31">
        <f t="shared" si="46"/>
        <v>3.53699190061507</v>
      </c>
      <c r="L106" s="29">
        <v>400.31242</v>
      </c>
      <c r="M106" s="31">
        <f t="shared" si="47"/>
        <v>4.32036888740192</v>
      </c>
      <c r="O106" s="32">
        <v>325.46003</v>
      </c>
      <c r="P106" s="31">
        <f t="shared" si="48"/>
        <v>3.2979017499772</v>
      </c>
      <c r="R106" s="32">
        <v>364.11725</v>
      </c>
      <c r="S106" s="31">
        <f t="shared" si="49"/>
        <v>3.90043437275717</v>
      </c>
      <c r="U106" s="32">
        <v>262.86172</v>
      </c>
      <c r="V106" s="31">
        <f t="shared" si="50"/>
        <v>3.50052895115325</v>
      </c>
      <c r="X106" s="32">
        <v>224.15609</v>
      </c>
      <c r="Y106" s="31">
        <f t="shared" si="33"/>
        <v>2.88122070977776</v>
      </c>
      <c r="AA106" s="32">
        <v>206.63797</v>
      </c>
      <c r="AB106" s="31">
        <f t="shared" si="53"/>
        <v>3.51353414269197</v>
      </c>
      <c r="AD106" s="32">
        <v>250.44413</v>
      </c>
      <c r="AE106" s="31">
        <f t="shared" si="31"/>
        <v>2.75740569880871</v>
      </c>
      <c r="AG106" s="32">
        <v>310.88997</v>
      </c>
      <c r="AH106" s="31">
        <f t="shared" si="32"/>
        <v>2.78645152905747</v>
      </c>
      <c r="AJ106" s="32">
        <v>277.47839</v>
      </c>
      <c r="AK106" s="31">
        <f t="shared" si="29"/>
        <v>2.4858086450168</v>
      </c>
      <c r="AM106" s="32">
        <v>305.54912</v>
      </c>
      <c r="AN106" s="31">
        <f t="shared" si="30"/>
        <v>2.73728215005599</v>
      </c>
      <c r="AP106" s="33">
        <f t="shared" si="55"/>
        <v>3515.89358</v>
      </c>
      <c r="AQ106" s="34">
        <f t="shared" si="51"/>
        <v>3.35551986363732</v>
      </c>
      <c r="AR106" s="35"/>
    </row>
    <row r="107" s="2" customFormat="1" spans="1:44">
      <c r="A107" s="61"/>
      <c r="B107" s="36" t="s">
        <v>244</v>
      </c>
      <c r="C107" s="37" t="s">
        <v>231</v>
      </c>
      <c r="D107" s="38" t="s">
        <v>245</v>
      </c>
      <c r="E107" s="39"/>
      <c r="F107" s="40">
        <f>SUM(F100:F106)</f>
        <v>385.87333</v>
      </c>
      <c r="G107" s="41">
        <f t="shared" si="45"/>
        <v>4.84084366218386</v>
      </c>
      <c r="H107" s="11"/>
      <c r="I107" s="42">
        <f>SUM(I100:I106)</f>
        <v>358.20537</v>
      </c>
      <c r="J107" s="41">
        <f t="shared" si="46"/>
        <v>4.36277169478107</v>
      </c>
      <c r="K107" s="11"/>
      <c r="L107" s="42">
        <f>SUM(L100:L106)</f>
        <v>491.80141</v>
      </c>
      <c r="M107" s="41">
        <f t="shared" si="47"/>
        <v>5.30776314795428</v>
      </c>
      <c r="N107" s="12"/>
      <c r="O107" s="42">
        <f>SUM(O100:O106)</f>
        <v>403.07668</v>
      </c>
      <c r="P107" s="41">
        <f t="shared" si="48"/>
        <v>4.08439490510402</v>
      </c>
      <c r="Q107" s="13"/>
      <c r="R107" s="42">
        <f>SUM(R100:R106)</f>
        <v>452.17888</v>
      </c>
      <c r="S107" s="41">
        <f t="shared" si="49"/>
        <v>4.84375306631817</v>
      </c>
      <c r="T107" s="13"/>
      <c r="U107" s="42">
        <f>SUM(U100:U106)</f>
        <v>332.25239</v>
      </c>
      <c r="V107" s="41">
        <f t="shared" si="50"/>
        <v>4.42460435199489</v>
      </c>
      <c r="W107" s="13"/>
      <c r="X107" s="42">
        <f>SUM(X100:X106)</f>
        <v>332.16484</v>
      </c>
      <c r="Y107" s="41">
        <f t="shared" si="33"/>
        <v>4.26952582938084</v>
      </c>
      <c r="Z107" s="13"/>
      <c r="AA107" s="42">
        <f>SUM(AA100:AA106)</f>
        <v>279.86157</v>
      </c>
      <c r="AB107" s="41">
        <f t="shared" si="53"/>
        <v>4.75857937155683</v>
      </c>
      <c r="AC107" s="13"/>
      <c r="AD107" s="42">
        <f>SUM(AD100:AD106)</f>
        <v>317.01562</v>
      </c>
      <c r="AE107" s="41">
        <f t="shared" si="31"/>
        <v>3.49036201087794</v>
      </c>
      <c r="AF107" s="13"/>
      <c r="AG107" s="42">
        <f>SUM(AG100:AG106)</f>
        <v>415.08803</v>
      </c>
      <c r="AH107" s="41">
        <f t="shared" si="32"/>
        <v>3.72036021582476</v>
      </c>
      <c r="AI107" s="13"/>
      <c r="AJ107" s="42">
        <f>SUM(AJ100:AJ106)</f>
        <v>361.68076</v>
      </c>
      <c r="AK107" s="41">
        <f t="shared" si="29"/>
        <v>3.24014118701008</v>
      </c>
      <c r="AL107" s="13"/>
      <c r="AM107" s="42">
        <f>SUM(AM100:AM106)</f>
        <v>422.62091</v>
      </c>
      <c r="AN107" s="41">
        <f t="shared" si="30"/>
        <v>3.78607758118701</v>
      </c>
      <c r="AO107" s="13"/>
      <c r="AP107" s="43">
        <f>SUM(AP100:AP106)</f>
        <v>4551.81979</v>
      </c>
      <c r="AQ107" s="44">
        <f t="shared" si="51"/>
        <v>4.34419341015505</v>
      </c>
      <c r="AR107" s="35"/>
    </row>
    <row r="108" outlineLevel="1" spans="1:44">
      <c r="A108" s="61" t="s">
        <v>28</v>
      </c>
      <c r="B108" s="28">
        <v>6666010196</v>
      </c>
      <c r="C108" s="28" t="s">
        <v>246</v>
      </c>
      <c r="D108" s="28" t="s">
        <v>247</v>
      </c>
      <c r="E108" s="28" t="s">
        <v>248</v>
      </c>
      <c r="F108" s="29">
        <v>31.19038</v>
      </c>
      <c r="G108" s="30">
        <f t="shared" si="45"/>
        <v>0.391288388197511</v>
      </c>
      <c r="I108" s="29">
        <v>27.03657</v>
      </c>
      <c r="J108" s="31">
        <f t="shared" si="46"/>
        <v>0.32929261311735</v>
      </c>
      <c r="L108" s="29">
        <v>28.31182</v>
      </c>
      <c r="M108" s="31">
        <f t="shared" si="47"/>
        <v>0.305555111864187</v>
      </c>
      <c r="O108" s="32">
        <v>25.12441</v>
      </c>
      <c r="P108" s="31">
        <f t="shared" si="48"/>
        <v>0.254586825012413</v>
      </c>
      <c r="R108" s="32">
        <v>25.98856</v>
      </c>
      <c r="S108" s="31">
        <f t="shared" si="49"/>
        <v>0.278390196351483</v>
      </c>
      <c r="U108" s="32">
        <v>19.09721</v>
      </c>
      <c r="V108" s="31">
        <f t="shared" si="50"/>
        <v>0.254317503861929</v>
      </c>
      <c r="X108" s="32">
        <v>16.87539</v>
      </c>
      <c r="Y108" s="31">
        <f t="shared" si="33"/>
        <v>0.216910114525894</v>
      </c>
      <c r="AA108" s="32">
        <v>15.38415</v>
      </c>
      <c r="AB108" s="31">
        <f t="shared" si="53"/>
        <v>0.261581820036727</v>
      </c>
      <c r="AD108" s="32">
        <v>14.00457</v>
      </c>
      <c r="AE108" s="31">
        <f t="shared" si="31"/>
        <v>0.154191200757492</v>
      </c>
      <c r="AG108" s="32">
        <v>13.70807</v>
      </c>
      <c r="AH108" s="31">
        <f t="shared" si="32"/>
        <v>0.122862994299645</v>
      </c>
      <c r="AJ108" s="32">
        <v>13.11852</v>
      </c>
      <c r="AK108" s="31">
        <f t="shared" si="29"/>
        <v>0.11752313549832</v>
      </c>
      <c r="AM108" s="32">
        <v>13.01607</v>
      </c>
      <c r="AN108" s="31">
        <f t="shared" si="30"/>
        <v>0.116605330347144</v>
      </c>
      <c r="AP108" s="33">
        <f t="shared" ref="AP108:AP114" si="56">I108+F108+L108+O108+R108+U108+X108+AA108+AD108+AG108+AJ108+AM108</f>
        <v>242.85572</v>
      </c>
      <c r="AQ108" s="34">
        <f t="shared" si="51"/>
        <v>0.231778116690876</v>
      </c>
      <c r="AR108" s="35"/>
    </row>
    <row r="109" outlineLevel="1" spans="1:44">
      <c r="A109" s="61" t="s">
        <v>28</v>
      </c>
      <c r="B109" s="28">
        <v>6666010101</v>
      </c>
      <c r="C109" s="28" t="s">
        <v>249</v>
      </c>
      <c r="D109" s="28" t="s">
        <v>250</v>
      </c>
      <c r="E109" s="28" t="s">
        <v>248</v>
      </c>
      <c r="F109" s="29">
        <v>206.51869</v>
      </c>
      <c r="G109" s="30">
        <f t="shared" si="45"/>
        <v>2.59081054295464</v>
      </c>
      <c r="I109" s="29">
        <v>189.89515</v>
      </c>
      <c r="J109" s="31">
        <f t="shared" si="46"/>
        <v>2.31283295779794</v>
      </c>
      <c r="L109" s="29">
        <v>182.28281</v>
      </c>
      <c r="M109" s="31">
        <f t="shared" si="47"/>
        <v>1.96728590392523</v>
      </c>
      <c r="O109" s="32">
        <v>269.13915</v>
      </c>
      <c r="P109" s="31">
        <f t="shared" si="48"/>
        <v>2.72719963115709</v>
      </c>
      <c r="R109" s="32">
        <v>162.81876</v>
      </c>
      <c r="S109" s="31">
        <f t="shared" si="49"/>
        <v>1.74411920345356</v>
      </c>
      <c r="U109" s="32">
        <v>135.0571</v>
      </c>
      <c r="V109" s="31">
        <f t="shared" si="50"/>
        <v>1.79855510573696</v>
      </c>
      <c r="X109" s="32">
        <v>114.16642</v>
      </c>
      <c r="Y109" s="31">
        <f t="shared" si="33"/>
        <v>1.46745356624121</v>
      </c>
      <c r="AA109" s="32">
        <v>115.45715</v>
      </c>
      <c r="AB109" s="31">
        <f t="shared" si="53"/>
        <v>1.96315632864041</v>
      </c>
      <c r="AD109" s="32">
        <v>90.59568</v>
      </c>
      <c r="AE109" s="31">
        <f t="shared" si="31"/>
        <v>0.997464162244291</v>
      </c>
      <c r="AG109" s="32">
        <v>90.90631</v>
      </c>
      <c r="AH109" s="31">
        <f t="shared" si="32"/>
        <v>0.814777094611551</v>
      </c>
      <c r="AJ109" s="32">
        <v>85.41062</v>
      </c>
      <c r="AK109" s="31">
        <f t="shared" si="29"/>
        <v>0.76515673012318</v>
      </c>
      <c r="AM109" s="32">
        <v>85.10134</v>
      </c>
      <c r="AN109" s="31">
        <f t="shared" si="30"/>
        <v>0.762386024636058</v>
      </c>
      <c r="AP109" s="33">
        <f t="shared" si="56"/>
        <v>1727.34918</v>
      </c>
      <c r="AQ109" s="34">
        <f t="shared" si="51"/>
        <v>1.64855799899599</v>
      </c>
      <c r="AR109" s="35"/>
    </row>
    <row r="110" outlineLevel="1" spans="1:44">
      <c r="A110" s="61" t="s">
        <v>28</v>
      </c>
      <c r="B110" s="28">
        <v>6666010199</v>
      </c>
      <c r="C110" s="28" t="s">
        <v>251</v>
      </c>
      <c r="D110" s="28" t="s">
        <v>252</v>
      </c>
      <c r="E110" s="28" t="s">
        <v>248</v>
      </c>
      <c r="F110" s="29">
        <v>32.95469</v>
      </c>
      <c r="G110" s="30">
        <f t="shared" si="45"/>
        <v>0.413421943998394</v>
      </c>
      <c r="I110" s="29">
        <v>-5.79922</v>
      </c>
      <c r="J110" s="31">
        <f t="shared" si="46"/>
        <v>-0.0706317520248463</v>
      </c>
      <c r="L110" s="29">
        <v>15.6045</v>
      </c>
      <c r="M110" s="31">
        <f t="shared" si="47"/>
        <v>0.168411452993298</v>
      </c>
      <c r="O110" s="32">
        <v>-152.87438</v>
      </c>
      <c r="P110" s="31">
        <f t="shared" si="48"/>
        <v>-1.54908326324643</v>
      </c>
      <c r="R110" s="32">
        <v>5.98233</v>
      </c>
      <c r="S110" s="31">
        <f t="shared" si="49"/>
        <v>0.0640828896768181</v>
      </c>
      <c r="U110" s="32">
        <v>-4.40835999999999</v>
      </c>
      <c r="V110" s="31">
        <f t="shared" si="50"/>
        <v>-0.0587061204921962</v>
      </c>
      <c r="X110" s="32">
        <v>-2.33943</v>
      </c>
      <c r="Y110" s="31">
        <f t="shared" si="33"/>
        <v>-0.0300701808506536</v>
      </c>
      <c r="AA110" s="32">
        <v>-7.19747</v>
      </c>
      <c r="AB110" s="31">
        <f t="shared" si="53"/>
        <v>-0.122380976671428</v>
      </c>
      <c r="AD110" s="32">
        <v>11.56566</v>
      </c>
      <c r="AE110" s="31">
        <f t="shared" si="31"/>
        <v>0.127338647523837</v>
      </c>
      <c r="AG110" s="32">
        <v>10.51183</v>
      </c>
      <c r="AH110" s="31">
        <f t="shared" si="32"/>
        <v>0.0942156634281003</v>
      </c>
      <c r="AJ110" s="32">
        <v>8.46932</v>
      </c>
      <c r="AK110" s="31">
        <f t="shared" si="29"/>
        <v>0.075872967525196</v>
      </c>
      <c r="AM110" s="32">
        <v>5.08795</v>
      </c>
      <c r="AN110" s="31">
        <f t="shared" si="30"/>
        <v>0.0455807390817469</v>
      </c>
      <c r="AP110" s="33">
        <f t="shared" si="56"/>
        <v>-82.44258</v>
      </c>
      <c r="AQ110" s="34">
        <f t="shared" si="51"/>
        <v>-0.0786820500976337</v>
      </c>
      <c r="AR110" s="35"/>
    </row>
    <row r="111" outlineLevel="1" spans="1:44">
      <c r="A111" s="61" t="s">
        <v>28</v>
      </c>
      <c r="B111" s="28">
        <v>6666010185</v>
      </c>
      <c r="C111" s="28" t="s">
        <v>253</v>
      </c>
      <c r="D111" s="28" t="s">
        <v>254</v>
      </c>
      <c r="E111" s="28" t="s">
        <v>248</v>
      </c>
      <c r="F111" s="29">
        <v>-1.0645</v>
      </c>
      <c r="G111" s="30">
        <f t="shared" si="45"/>
        <v>-0.0133543255720594</v>
      </c>
      <c r="I111" s="29">
        <v>-0.33527</v>
      </c>
      <c r="J111" s="31">
        <f t="shared" si="46"/>
        <v>-0.00408342975458255</v>
      </c>
      <c r="L111" s="29">
        <v>-0.96572</v>
      </c>
      <c r="M111" s="31">
        <f t="shared" si="47"/>
        <v>-0.0104225260908512</v>
      </c>
      <c r="O111" s="32">
        <v>-0.8417</v>
      </c>
      <c r="P111" s="31">
        <f t="shared" si="48"/>
        <v>-0.00852898558067425</v>
      </c>
      <c r="R111" s="32">
        <v>-0.45831</v>
      </c>
      <c r="S111" s="31">
        <f t="shared" si="49"/>
        <v>-0.00490942979872098</v>
      </c>
      <c r="U111" s="32">
        <v>-0.09094</v>
      </c>
      <c r="V111" s="31">
        <f t="shared" si="50"/>
        <v>-0.00121104778138816</v>
      </c>
      <c r="X111" s="32">
        <v>-0.0827</v>
      </c>
      <c r="Y111" s="31">
        <f t="shared" si="33"/>
        <v>-0.00106299566832479</v>
      </c>
      <c r="AA111" s="32">
        <v>-0.13757</v>
      </c>
      <c r="AB111" s="31">
        <f t="shared" si="53"/>
        <v>-0.00233914847310073</v>
      </c>
      <c r="AD111" s="32">
        <v>-0.13512</v>
      </c>
      <c r="AE111" s="31">
        <f t="shared" si="31"/>
        <v>-0.0014876797392817</v>
      </c>
      <c r="AG111" s="32">
        <v>-0.14427</v>
      </c>
      <c r="AH111" s="31">
        <f t="shared" si="32"/>
        <v>-0.00129306636073567</v>
      </c>
      <c r="AJ111" s="32">
        <v>-0.18146</v>
      </c>
      <c r="AK111" s="31">
        <f t="shared" si="29"/>
        <v>-0.00162562150055991</v>
      </c>
      <c r="AM111" s="32">
        <v>-0.30214</v>
      </c>
      <c r="AN111" s="31">
        <f t="shared" si="30"/>
        <v>-0.00270674132138858</v>
      </c>
      <c r="AP111" s="33">
        <f t="shared" si="56"/>
        <v>-4.7397</v>
      </c>
      <c r="AQ111" s="34">
        <f t="shared" si="51"/>
        <v>-0.0045235036657969</v>
      </c>
      <c r="AR111" s="35"/>
    </row>
    <row r="112" outlineLevel="1" spans="1:44">
      <c r="A112" s="61" t="s">
        <v>28</v>
      </c>
      <c r="B112" s="28">
        <v>6666010207</v>
      </c>
      <c r="C112" s="28" t="s">
        <v>255</v>
      </c>
      <c r="D112" s="28" t="s">
        <v>256</v>
      </c>
      <c r="E112" s="28" t="s">
        <v>248</v>
      </c>
      <c r="F112" s="29">
        <v>3.05762</v>
      </c>
      <c r="G112" s="30">
        <f t="shared" si="45"/>
        <v>0.0383583400240867</v>
      </c>
      <c r="I112" s="29">
        <v>2.66342</v>
      </c>
      <c r="J112" s="31">
        <f t="shared" si="46"/>
        <v>0.0324391937153645</v>
      </c>
      <c r="L112" s="29">
        <v>2.78489</v>
      </c>
      <c r="M112" s="31">
        <f t="shared" si="47"/>
        <v>0.0300559051124038</v>
      </c>
      <c r="O112" s="32">
        <v>2.44444</v>
      </c>
      <c r="P112" s="31">
        <f t="shared" si="48"/>
        <v>0.0247696251785949</v>
      </c>
      <c r="R112" s="32">
        <v>2.55149</v>
      </c>
      <c r="S112" s="31">
        <f t="shared" si="49"/>
        <v>0.0273316336914722</v>
      </c>
      <c r="U112" s="32">
        <v>1.82387</v>
      </c>
      <c r="V112" s="31">
        <f t="shared" si="50"/>
        <v>0.0242884728066905</v>
      </c>
      <c r="X112" s="32">
        <v>1.60056</v>
      </c>
      <c r="Y112" s="31">
        <f t="shared" si="33"/>
        <v>0.0205730150773146</v>
      </c>
      <c r="AA112" s="32">
        <v>1.51111</v>
      </c>
      <c r="AB112" s="31">
        <f t="shared" si="53"/>
        <v>0.0256939060055771</v>
      </c>
      <c r="AD112" s="32">
        <v>1.43444</v>
      </c>
      <c r="AE112" s="31">
        <f t="shared" si="31"/>
        <v>0.0157932750533988</v>
      </c>
      <c r="AG112" s="32">
        <v>1.40783</v>
      </c>
      <c r="AH112" s="31">
        <f t="shared" si="32"/>
        <v>0.0126181299967734</v>
      </c>
      <c r="AJ112" s="32">
        <v>1.34288</v>
      </c>
      <c r="AK112" s="31">
        <f t="shared" si="29"/>
        <v>0.0120302799552072</v>
      </c>
      <c r="AM112" s="32">
        <v>1.34095</v>
      </c>
      <c r="AN112" s="31">
        <f t="shared" si="30"/>
        <v>0.0120129899216125</v>
      </c>
      <c r="AP112" s="33">
        <f t="shared" si="56"/>
        <v>23.9635</v>
      </c>
      <c r="AQ112" s="34">
        <f t="shared" si="51"/>
        <v>0.0228704306380834</v>
      </c>
      <c r="AR112" s="35"/>
    </row>
    <row r="113" customFormat="1" outlineLevel="1" spans="1:44">
      <c r="A113" s="61" t="s">
        <v>28</v>
      </c>
      <c r="B113" s="28">
        <v>5102040406</v>
      </c>
      <c r="C113" s="28" t="s">
        <v>64</v>
      </c>
      <c r="D113" s="28" t="s">
        <v>65</v>
      </c>
      <c r="E113" s="28" t="s">
        <v>53</v>
      </c>
      <c r="F113" s="29">
        <v>0</v>
      </c>
      <c r="G113" s="30">
        <f t="shared" si="45"/>
        <v>0</v>
      </c>
      <c r="H113" s="11"/>
      <c r="I113" s="29">
        <v>0</v>
      </c>
      <c r="J113" s="31">
        <f t="shared" si="46"/>
        <v>0</v>
      </c>
      <c r="K113" s="11"/>
      <c r="L113" s="29">
        <v>0</v>
      </c>
      <c r="M113" s="31">
        <f t="shared" si="47"/>
        <v>0</v>
      </c>
      <c r="N113" s="12"/>
      <c r="O113" s="32">
        <v>0</v>
      </c>
      <c r="P113" s="31">
        <f t="shared" si="48"/>
        <v>0</v>
      </c>
      <c r="Q113" s="13"/>
      <c r="R113" s="32">
        <v>0</v>
      </c>
      <c r="S113" s="31">
        <f t="shared" si="49"/>
        <v>0</v>
      </c>
      <c r="T113" s="13"/>
      <c r="U113" s="32">
        <v>0</v>
      </c>
      <c r="V113" s="31">
        <f t="shared" si="50"/>
        <v>0</v>
      </c>
      <c r="W113" s="13"/>
      <c r="X113" s="32">
        <v>0</v>
      </c>
      <c r="Y113" s="31">
        <f t="shared" si="33"/>
        <v>0</v>
      </c>
      <c r="Z113" s="13"/>
      <c r="AA113" s="32">
        <v>0</v>
      </c>
      <c r="AB113" s="31">
        <f t="shared" si="53"/>
        <v>0</v>
      </c>
      <c r="AC113" s="13"/>
      <c r="AD113" s="32">
        <v>0</v>
      </c>
      <c r="AE113" s="31">
        <f t="shared" si="31"/>
        <v>0</v>
      </c>
      <c r="AF113" s="13"/>
      <c r="AG113" s="32">
        <v>0</v>
      </c>
      <c r="AH113" s="31">
        <f t="shared" si="32"/>
        <v>0</v>
      </c>
      <c r="AI113" s="13"/>
      <c r="AJ113" s="32">
        <v>0</v>
      </c>
      <c r="AK113" s="31">
        <f t="shared" si="29"/>
        <v>0</v>
      </c>
      <c r="AL113" s="13"/>
      <c r="AM113" s="32">
        <v>0</v>
      </c>
      <c r="AN113" s="31">
        <f t="shared" si="30"/>
        <v>0</v>
      </c>
      <c r="AO113" s="13"/>
      <c r="AP113" s="33">
        <f t="shared" si="56"/>
        <v>0</v>
      </c>
      <c r="AQ113" s="34">
        <f t="shared" si="51"/>
        <v>0</v>
      </c>
      <c r="AR113" s="35"/>
    </row>
    <row r="114" outlineLevel="1" spans="1:44">
      <c r="A114" s="61" t="s">
        <v>28</v>
      </c>
      <c r="B114" s="28">
        <v>6666010227</v>
      </c>
      <c r="C114" s="28" t="s">
        <v>257</v>
      </c>
      <c r="D114" s="28" t="s">
        <v>258</v>
      </c>
      <c r="E114" s="28" t="s">
        <v>248</v>
      </c>
      <c r="F114" s="29">
        <v>3.51288</v>
      </c>
      <c r="G114" s="30">
        <f t="shared" si="45"/>
        <v>0.0440696507426736</v>
      </c>
      <c r="I114" s="29">
        <v>-20.11067</v>
      </c>
      <c r="J114" s="31">
        <f t="shared" si="46"/>
        <v>-0.244938432494976</v>
      </c>
      <c r="L114" s="29">
        <v>25.2875</v>
      </c>
      <c r="M114" s="31">
        <f t="shared" si="47"/>
        <v>0.272915160214555</v>
      </c>
      <c r="O114" s="32">
        <v>6.26076</v>
      </c>
      <c r="P114" s="31">
        <f t="shared" si="48"/>
        <v>0.0634405747464205</v>
      </c>
      <c r="R114" s="32">
        <v>2.25221</v>
      </c>
      <c r="S114" s="31">
        <f t="shared" si="49"/>
        <v>0.0241257377909655</v>
      </c>
      <c r="U114" s="32">
        <v>2.33038</v>
      </c>
      <c r="V114" s="31">
        <f t="shared" si="50"/>
        <v>0.0310336653704789</v>
      </c>
      <c r="X114" s="32">
        <v>2.35382</v>
      </c>
      <c r="Y114" s="31">
        <f t="shared" si="33"/>
        <v>0.0302551446676692</v>
      </c>
      <c r="AA114" s="32">
        <v>16.28386</v>
      </c>
      <c r="AB114" s="31">
        <f t="shared" si="53"/>
        <v>0.276879888458138</v>
      </c>
      <c r="AD114" s="32">
        <v>1.92796</v>
      </c>
      <c r="AE114" s="31">
        <f t="shared" si="31"/>
        <v>0.0212269614427587</v>
      </c>
      <c r="AG114" s="32">
        <v>-12.86432</v>
      </c>
      <c r="AH114" s="31">
        <f t="shared" si="32"/>
        <v>-0.115300613057039</v>
      </c>
      <c r="AJ114" s="32">
        <v>1.92492</v>
      </c>
      <c r="AK114" s="31">
        <f t="shared" si="29"/>
        <v>0.0172445240761478</v>
      </c>
      <c r="AM114" s="32">
        <v>1.99011</v>
      </c>
      <c r="AN114" s="31">
        <f t="shared" si="30"/>
        <v>0.0178285330347144</v>
      </c>
      <c r="AP114" s="33">
        <f t="shared" si="56"/>
        <v>31.14941</v>
      </c>
      <c r="AQ114" s="34">
        <f t="shared" si="51"/>
        <v>0.0297285630572422</v>
      </c>
      <c r="AR114" s="35"/>
    </row>
    <row r="115" s="2" customFormat="1" spans="1:44">
      <c r="A115" s="61"/>
      <c r="B115" s="36" t="s">
        <v>244</v>
      </c>
      <c r="C115" s="37" t="s">
        <v>248</v>
      </c>
      <c r="D115" s="38" t="s">
        <v>259</v>
      </c>
      <c r="E115" s="39"/>
      <c r="F115" s="40">
        <f>SUM(F108:F114)</f>
        <v>276.16976</v>
      </c>
      <c r="G115" s="41">
        <f t="shared" si="45"/>
        <v>3.46459454034524</v>
      </c>
      <c r="H115" s="11"/>
      <c r="I115" s="42">
        <f>SUM(I108:I114)</f>
        <v>193.34998</v>
      </c>
      <c r="J115" s="41">
        <f t="shared" si="46"/>
        <v>2.35491115035625</v>
      </c>
      <c r="K115" s="11"/>
      <c r="L115" s="42">
        <f>SUM(L108:L114)</f>
        <v>253.3058</v>
      </c>
      <c r="M115" s="41">
        <f t="shared" si="47"/>
        <v>2.73380100801882</v>
      </c>
      <c r="N115" s="12"/>
      <c r="O115" s="42">
        <f>SUM(O108:O114)</f>
        <v>149.25268</v>
      </c>
      <c r="P115" s="41">
        <f t="shared" si="48"/>
        <v>1.51238440726742</v>
      </c>
      <c r="Q115" s="13"/>
      <c r="R115" s="42">
        <f>SUM(R108:R114)</f>
        <v>199.13504</v>
      </c>
      <c r="S115" s="41">
        <f t="shared" si="49"/>
        <v>2.13314023116558</v>
      </c>
      <c r="T115" s="13"/>
      <c r="U115" s="42">
        <f>SUM(U108:U114)</f>
        <v>153.80926</v>
      </c>
      <c r="V115" s="41">
        <f t="shared" si="50"/>
        <v>2.04827757950248</v>
      </c>
      <c r="W115" s="13"/>
      <c r="X115" s="42">
        <f>SUM(X108:X114)</f>
        <v>132.57406</v>
      </c>
      <c r="Y115" s="41">
        <f t="shared" si="33"/>
        <v>1.70405866399311</v>
      </c>
      <c r="Z115" s="13"/>
      <c r="AA115" s="42">
        <f>SUM(AA108:AA114)</f>
        <v>141.30123</v>
      </c>
      <c r="AB115" s="41">
        <f t="shared" si="53"/>
        <v>2.40259181799633</v>
      </c>
      <c r="AC115" s="13"/>
      <c r="AD115" s="42">
        <f>SUM(AD108:AD114)</f>
        <v>119.39319</v>
      </c>
      <c r="AE115" s="41">
        <f t="shared" si="31"/>
        <v>1.3145265672825</v>
      </c>
      <c r="AF115" s="13"/>
      <c r="AG115" s="42">
        <f>SUM(AG108:AG114)</f>
        <v>103.52545</v>
      </c>
      <c r="AH115" s="41">
        <f t="shared" si="32"/>
        <v>0.927880202918295</v>
      </c>
      <c r="AI115" s="13"/>
      <c r="AJ115" s="42">
        <f>SUM(AJ108:AJ114)</f>
        <v>110.0848</v>
      </c>
      <c r="AK115" s="41">
        <f t="shared" si="29"/>
        <v>0.986202015677491</v>
      </c>
      <c r="AL115" s="13"/>
      <c r="AM115" s="42">
        <f>SUM(AM108:AM114)</f>
        <v>106.23428</v>
      </c>
      <c r="AN115" s="41">
        <f t="shared" si="30"/>
        <v>0.951706875699888</v>
      </c>
      <c r="AO115" s="13"/>
      <c r="AP115" s="43">
        <f>SUM(AP108:AP114)</f>
        <v>1938.13553</v>
      </c>
      <c r="AQ115" s="44">
        <f t="shared" si="51"/>
        <v>1.84972955561876</v>
      </c>
      <c r="AR115" s="35"/>
    </row>
    <row r="116" outlineLevel="1" spans="1:44">
      <c r="A116" s="61" t="s">
        <v>28</v>
      </c>
      <c r="B116" s="28">
        <v>6666020903</v>
      </c>
      <c r="C116" s="28" t="s">
        <v>260</v>
      </c>
      <c r="D116" s="28" t="s">
        <v>261</v>
      </c>
      <c r="E116" s="28" t="s">
        <v>262</v>
      </c>
      <c r="F116" s="29">
        <v>0</v>
      </c>
      <c r="G116" s="30">
        <f t="shared" si="45"/>
        <v>0</v>
      </c>
      <c r="I116" s="29">
        <v>1.12874</v>
      </c>
      <c r="J116" s="31">
        <f t="shared" si="46"/>
        <v>0.0137475184215334</v>
      </c>
      <c r="L116" s="29">
        <v>0</v>
      </c>
      <c r="M116" s="31">
        <f t="shared" si="47"/>
        <v>0</v>
      </c>
      <c r="O116" s="32">
        <v>0</v>
      </c>
      <c r="P116" s="31">
        <f t="shared" si="48"/>
        <v>0</v>
      </c>
      <c r="R116" s="32">
        <v>0</v>
      </c>
      <c r="S116" s="31">
        <f t="shared" si="49"/>
        <v>0</v>
      </c>
      <c r="U116" s="32">
        <v>0</v>
      </c>
      <c r="V116" s="31">
        <f t="shared" si="50"/>
        <v>0</v>
      </c>
      <c r="X116" s="32">
        <v>-0.00021</v>
      </c>
      <c r="Y116" s="31">
        <f t="shared" si="33"/>
        <v>-2.69926348667721e-6</v>
      </c>
      <c r="AA116" s="32">
        <v>0</v>
      </c>
      <c r="AB116" s="31">
        <f t="shared" si="53"/>
        <v>0</v>
      </c>
      <c r="AD116" s="32">
        <v>0</v>
      </c>
      <c r="AE116" s="31">
        <f t="shared" si="31"/>
        <v>0</v>
      </c>
      <c r="AG116" s="32">
        <v>0</v>
      </c>
      <c r="AH116" s="31">
        <f t="shared" si="32"/>
        <v>0</v>
      </c>
      <c r="AJ116" s="32">
        <v>0</v>
      </c>
      <c r="AK116" s="31">
        <f t="shared" si="29"/>
        <v>0</v>
      </c>
      <c r="AM116" s="32">
        <v>9.09494701772928e-16</v>
      </c>
      <c r="AN116" s="31">
        <f t="shared" si="30"/>
        <v>8.14776888486386e-18</v>
      </c>
      <c r="AP116" s="33">
        <f t="shared" ref="AP116:AP123" si="57">I116+F116+L116+O116+R116+U116+X116+AA116+AD116+AG116+AJ116+AM116</f>
        <v>1.12853</v>
      </c>
      <c r="AQ116" s="34">
        <f t="shared" si="51"/>
        <v>0.00107705331391476</v>
      </c>
      <c r="AR116" s="35"/>
    </row>
    <row r="117" outlineLevel="1" spans="1:44">
      <c r="A117" s="61" t="s">
        <v>28</v>
      </c>
      <c r="B117" s="28">
        <v>6666010302</v>
      </c>
      <c r="C117" s="28" t="s">
        <v>263</v>
      </c>
      <c r="D117" s="28" t="s">
        <v>264</v>
      </c>
      <c r="E117" s="28" t="s">
        <v>262</v>
      </c>
      <c r="F117" s="29">
        <v>0.22391</v>
      </c>
      <c r="G117" s="30">
        <f t="shared" si="45"/>
        <v>0.00280898735447611</v>
      </c>
      <c r="I117" s="29">
        <v>22.20432</v>
      </c>
      <c r="J117" s="31">
        <f t="shared" si="46"/>
        <v>0.270438097558005</v>
      </c>
      <c r="L117" s="29">
        <v>11.13421</v>
      </c>
      <c r="M117" s="31">
        <f t="shared" si="47"/>
        <v>0.120165880613445</v>
      </c>
      <c r="O117" s="32">
        <v>10.29627</v>
      </c>
      <c r="P117" s="31">
        <f t="shared" si="48"/>
        <v>0.104332586865545</v>
      </c>
      <c r="R117" s="32">
        <v>10.47401</v>
      </c>
      <c r="S117" s="31">
        <f t="shared" si="49"/>
        <v>0.11219789401519</v>
      </c>
      <c r="U117" s="32">
        <v>6.89008</v>
      </c>
      <c r="V117" s="31">
        <f t="shared" si="50"/>
        <v>0.0917551803121504</v>
      </c>
      <c r="X117" s="32">
        <v>7.28868</v>
      </c>
      <c r="Y117" s="31">
        <f t="shared" si="33"/>
        <v>0.0936860370955925</v>
      </c>
      <c r="AA117" s="32">
        <v>7.20894</v>
      </c>
      <c r="AB117" s="31">
        <f t="shared" si="53"/>
        <v>0.12257600489696</v>
      </c>
      <c r="AD117" s="32">
        <v>6.63494</v>
      </c>
      <c r="AE117" s="31">
        <f t="shared" si="31"/>
        <v>0.073051108713364</v>
      </c>
      <c r="AG117" s="32">
        <v>7.54708</v>
      </c>
      <c r="AH117" s="31">
        <f t="shared" si="32"/>
        <v>0.0676431362707489</v>
      </c>
      <c r="AJ117" s="32">
        <v>7.48688</v>
      </c>
      <c r="AK117" s="31">
        <f t="shared" si="29"/>
        <v>0.0670717133258679</v>
      </c>
      <c r="AM117" s="32">
        <v>5.62235</v>
      </c>
      <c r="AN117" s="31">
        <f t="shared" si="30"/>
        <v>0.0503681970884658</v>
      </c>
      <c r="AP117" s="33">
        <f t="shared" si="57"/>
        <v>103.01167</v>
      </c>
      <c r="AQ117" s="34">
        <f t="shared" si="51"/>
        <v>0.0983129031088172</v>
      </c>
      <c r="AR117" s="35"/>
    </row>
    <row r="118" outlineLevel="1" spans="1:44">
      <c r="A118" s="61" t="s">
        <v>28</v>
      </c>
      <c r="B118" s="28">
        <v>6666010314</v>
      </c>
      <c r="C118" s="28" t="s">
        <v>265</v>
      </c>
      <c r="D118" s="28" t="s">
        <v>266</v>
      </c>
      <c r="E118" s="28" t="s">
        <v>262</v>
      </c>
      <c r="F118" s="29">
        <v>76.2209</v>
      </c>
      <c r="G118" s="30">
        <f t="shared" si="45"/>
        <v>0.956203582898434</v>
      </c>
      <c r="I118" s="29">
        <v>80.67051</v>
      </c>
      <c r="J118" s="31">
        <f t="shared" si="46"/>
        <v>0.982528591437793</v>
      </c>
      <c r="L118" s="29">
        <v>0.54082</v>
      </c>
      <c r="M118" s="31">
        <f t="shared" si="47"/>
        <v>0.00583679592475474</v>
      </c>
      <c r="O118" s="32">
        <v>0.00046</v>
      </c>
      <c r="P118" s="31">
        <f t="shared" si="48"/>
        <v>4.6612015767021e-6</v>
      </c>
      <c r="R118" s="32">
        <v>0.07122</v>
      </c>
      <c r="S118" s="31">
        <f t="shared" si="49"/>
        <v>0.000762910672394031</v>
      </c>
      <c r="U118" s="32">
        <v>0.00122</v>
      </c>
      <c r="V118" s="31">
        <f t="shared" si="50"/>
        <v>1.62467373355351e-5</v>
      </c>
      <c r="X118" s="32">
        <v>0.29639</v>
      </c>
      <c r="Y118" s="31">
        <f t="shared" si="33"/>
        <v>0.00380968907055361</v>
      </c>
      <c r="AA118" s="32">
        <v>0.1225</v>
      </c>
      <c r="AB118" s="31">
        <f t="shared" si="53"/>
        <v>0.002082908250017</v>
      </c>
      <c r="AD118" s="32">
        <v>42.08575</v>
      </c>
      <c r="AE118" s="31">
        <f t="shared" si="31"/>
        <v>0.463366767225244</v>
      </c>
      <c r="AG118" s="32">
        <v>15.8564</v>
      </c>
      <c r="AH118" s="31">
        <f t="shared" si="32"/>
        <v>0.142118094145485</v>
      </c>
      <c r="AJ118" s="32">
        <v>-0.24972</v>
      </c>
      <c r="AK118" s="31">
        <f t="shared" si="29"/>
        <v>-0.00223713325867861</v>
      </c>
      <c r="AM118" s="32">
        <v>1.75714</v>
      </c>
      <c r="AN118" s="31">
        <f t="shared" si="30"/>
        <v>0.0157414557670773</v>
      </c>
      <c r="AP118" s="33">
        <f t="shared" si="57"/>
        <v>217.37359</v>
      </c>
      <c r="AQ118" s="34">
        <f t="shared" si="51"/>
        <v>0.207458326732163</v>
      </c>
      <c r="AR118" s="35"/>
    </row>
    <row r="119" outlineLevel="1" spans="1:44">
      <c r="A119" s="61" t="s">
        <v>28</v>
      </c>
      <c r="B119" s="28">
        <v>6666020401</v>
      </c>
      <c r="C119" s="28" t="s">
        <v>267</v>
      </c>
      <c r="D119" s="28" t="s">
        <v>268</v>
      </c>
      <c r="E119" s="28" t="s">
        <v>262</v>
      </c>
      <c r="F119" s="29">
        <v>61.53231</v>
      </c>
      <c r="G119" s="30">
        <f t="shared" si="45"/>
        <v>0.771932833199518</v>
      </c>
      <c r="I119" s="29">
        <v>52.145</v>
      </c>
      <c r="J119" s="31">
        <f t="shared" si="46"/>
        <v>0.635101394555752</v>
      </c>
      <c r="L119" s="29">
        <v>56.66126</v>
      </c>
      <c r="M119" s="31">
        <f t="shared" si="47"/>
        <v>0.61151623730533</v>
      </c>
      <c r="O119" s="32">
        <v>50.73545</v>
      </c>
      <c r="P119" s="31">
        <f t="shared" si="48"/>
        <v>0.514104694640631</v>
      </c>
      <c r="R119" s="32">
        <v>50.20457</v>
      </c>
      <c r="S119" s="31">
        <f t="shared" si="49"/>
        <v>0.537792786519983</v>
      </c>
      <c r="U119" s="32">
        <v>43.76769</v>
      </c>
      <c r="V119" s="31">
        <f t="shared" si="50"/>
        <v>0.582854232141906</v>
      </c>
      <c r="X119" s="32">
        <v>44.6632</v>
      </c>
      <c r="Y119" s="31">
        <f t="shared" si="33"/>
        <v>0.574084499800769</v>
      </c>
      <c r="AA119" s="32">
        <v>34.00553</v>
      </c>
      <c r="AB119" s="31">
        <f t="shared" si="53"/>
        <v>0.578207338638373</v>
      </c>
      <c r="AD119" s="32">
        <v>43.28313</v>
      </c>
      <c r="AE119" s="31">
        <f t="shared" si="31"/>
        <v>0.476549996696981</v>
      </c>
      <c r="AG119" s="32">
        <v>41.87056</v>
      </c>
      <c r="AH119" s="31">
        <f t="shared" si="32"/>
        <v>0.37527838525795</v>
      </c>
      <c r="AJ119" s="32">
        <v>44.47036</v>
      </c>
      <c r="AK119" s="31">
        <f t="shared" si="29"/>
        <v>0.398390683090705</v>
      </c>
      <c r="AM119" s="32">
        <v>46.15737</v>
      </c>
      <c r="AN119" s="31">
        <f t="shared" si="30"/>
        <v>0.413503874580067</v>
      </c>
      <c r="AP119" s="33">
        <f t="shared" si="57"/>
        <v>569.49643</v>
      </c>
      <c r="AQ119" s="34">
        <f t="shared" si="51"/>
        <v>0.543519460886396</v>
      </c>
      <c r="AR119" s="35"/>
    </row>
    <row r="120" outlineLevel="1" spans="1:44">
      <c r="A120" s="61" t="s">
        <v>28</v>
      </c>
      <c r="B120" s="28">
        <v>6666020402</v>
      </c>
      <c r="C120" s="28" t="s">
        <v>269</v>
      </c>
      <c r="D120" s="28" t="s">
        <v>270</v>
      </c>
      <c r="E120" s="28" t="s">
        <v>262</v>
      </c>
      <c r="F120" s="29">
        <v>0</v>
      </c>
      <c r="G120" s="30">
        <f t="shared" si="45"/>
        <v>0</v>
      </c>
      <c r="I120" s="29">
        <v>0</v>
      </c>
      <c r="J120" s="31">
        <f t="shared" si="46"/>
        <v>0</v>
      </c>
      <c r="L120" s="29">
        <v>0</v>
      </c>
      <c r="M120" s="31">
        <f t="shared" si="47"/>
        <v>0</v>
      </c>
      <c r="O120" s="32">
        <v>0</v>
      </c>
      <c r="P120" s="31">
        <f t="shared" si="48"/>
        <v>0</v>
      </c>
      <c r="R120" s="32">
        <v>0</v>
      </c>
      <c r="S120" s="31">
        <f t="shared" si="49"/>
        <v>0</v>
      </c>
      <c r="U120" s="32">
        <v>0</v>
      </c>
      <c r="V120" s="31">
        <f t="shared" si="50"/>
        <v>0</v>
      </c>
      <c r="X120" s="32">
        <v>0</v>
      </c>
      <c r="Y120" s="31">
        <f t="shared" si="33"/>
        <v>0</v>
      </c>
      <c r="AA120" s="32">
        <v>0</v>
      </c>
      <c r="AB120" s="31">
        <f t="shared" si="53"/>
        <v>0</v>
      </c>
      <c r="AD120" s="32">
        <v>0</v>
      </c>
      <c r="AE120" s="31">
        <f t="shared" si="31"/>
        <v>0</v>
      </c>
      <c r="AG120" s="32">
        <v>0</v>
      </c>
      <c r="AH120" s="31">
        <f t="shared" si="32"/>
        <v>0</v>
      </c>
      <c r="AJ120" s="32">
        <v>0</v>
      </c>
      <c r="AK120" s="31">
        <f t="shared" si="29"/>
        <v>0</v>
      </c>
      <c r="AM120" s="32">
        <v>0</v>
      </c>
      <c r="AN120" s="31">
        <f t="shared" si="30"/>
        <v>0</v>
      </c>
      <c r="AP120" s="33">
        <f t="shared" si="57"/>
        <v>0</v>
      </c>
      <c r="AQ120" s="34">
        <f t="shared" si="51"/>
        <v>0</v>
      </c>
      <c r="AR120" s="35"/>
    </row>
    <row r="121" outlineLevel="1" spans="1:44">
      <c r="A121" s="61" t="s">
        <v>28</v>
      </c>
      <c r="B121" s="28">
        <v>6666020502</v>
      </c>
      <c r="C121" s="28" t="s">
        <v>271</v>
      </c>
      <c r="D121" s="28" t="s">
        <v>272</v>
      </c>
      <c r="E121" s="28" t="s">
        <v>262</v>
      </c>
      <c r="F121" s="29">
        <v>57.91739</v>
      </c>
      <c r="G121" s="30">
        <f t="shared" si="45"/>
        <v>0.72658307406664</v>
      </c>
      <c r="I121" s="29">
        <v>51.85218</v>
      </c>
      <c r="J121" s="31">
        <f t="shared" si="46"/>
        <v>0.631534985689057</v>
      </c>
      <c r="L121" s="29">
        <v>59.6742</v>
      </c>
      <c r="M121" s="31">
        <f t="shared" si="47"/>
        <v>0.644033370387558</v>
      </c>
      <c r="O121" s="32">
        <v>57.44973</v>
      </c>
      <c r="P121" s="31">
        <f t="shared" si="48"/>
        <v>0.582140808819804</v>
      </c>
      <c r="R121" s="32">
        <v>61.87846</v>
      </c>
      <c r="S121" s="31">
        <f t="shared" si="49"/>
        <v>0.662843829335961</v>
      </c>
      <c r="U121" s="32">
        <v>44.96183</v>
      </c>
      <c r="V121" s="31">
        <f t="shared" si="50"/>
        <v>0.598756591913919</v>
      </c>
      <c r="X121" s="32">
        <v>44.84264</v>
      </c>
      <c r="Y121" s="31">
        <f t="shared" si="33"/>
        <v>0.576390956181956</v>
      </c>
      <c r="AA121" s="32">
        <v>35.64349</v>
      </c>
      <c r="AB121" s="31">
        <f t="shared" si="53"/>
        <v>0.606058117391009</v>
      </c>
      <c r="AD121" s="32">
        <v>43.98198</v>
      </c>
      <c r="AE121" s="31">
        <f t="shared" si="31"/>
        <v>0.484244379362738</v>
      </c>
      <c r="AG121" s="32">
        <v>51.61971</v>
      </c>
      <c r="AH121" s="31">
        <f t="shared" si="32"/>
        <v>0.46265828344029</v>
      </c>
      <c r="AJ121" s="32">
        <v>50.64018</v>
      </c>
      <c r="AK121" s="31">
        <f t="shared" si="29"/>
        <v>0.453663426651736</v>
      </c>
      <c r="AM121" s="32">
        <v>50.30202</v>
      </c>
      <c r="AN121" s="31">
        <f t="shared" si="30"/>
        <v>0.450633997760358</v>
      </c>
      <c r="AP121" s="33">
        <f t="shared" si="57"/>
        <v>610.76381</v>
      </c>
      <c r="AQ121" s="34">
        <f t="shared" si="51"/>
        <v>0.582904473589274</v>
      </c>
      <c r="AR121" s="35"/>
    </row>
    <row r="122" outlineLevel="1" spans="1:44">
      <c r="A122" s="61" t="s">
        <v>28</v>
      </c>
      <c r="B122" s="28">
        <v>6666020503</v>
      </c>
      <c r="C122" s="28" t="s">
        <v>273</v>
      </c>
      <c r="D122" s="28" t="s">
        <v>274</v>
      </c>
      <c r="E122" s="28" t="s">
        <v>262</v>
      </c>
      <c r="F122" s="29">
        <v>0.36211</v>
      </c>
      <c r="G122" s="30">
        <f t="shared" si="45"/>
        <v>0.00454272882376556</v>
      </c>
      <c r="I122" s="29">
        <v>0.00248</v>
      </c>
      <c r="J122" s="31">
        <f t="shared" si="46"/>
        <v>3.02052250167468e-5</v>
      </c>
      <c r="L122" s="29">
        <v>1.91032</v>
      </c>
      <c r="M122" s="31">
        <f t="shared" si="47"/>
        <v>0.0206171147349903</v>
      </c>
      <c r="O122" s="32">
        <v>0.31856</v>
      </c>
      <c r="P122" s="31">
        <f t="shared" si="48"/>
        <v>0.00322798342233526</v>
      </c>
      <c r="R122" s="32">
        <v>0.33178</v>
      </c>
      <c r="S122" s="31">
        <f t="shared" si="49"/>
        <v>0.00355403682795411</v>
      </c>
      <c r="U122" s="32">
        <v>0.87296</v>
      </c>
      <c r="V122" s="31">
        <f t="shared" si="50"/>
        <v>0.0116252064134661</v>
      </c>
      <c r="X122" s="32">
        <v>0.32362</v>
      </c>
      <c r="Y122" s="31">
        <f t="shared" si="33"/>
        <v>0.00415969356932608</v>
      </c>
      <c r="AA122" s="32">
        <v>0.55789</v>
      </c>
      <c r="AB122" s="31">
        <f t="shared" si="53"/>
        <v>0.00948598925389376</v>
      </c>
      <c r="AD122" s="32">
        <v>0.0014</v>
      </c>
      <c r="AE122" s="31">
        <f t="shared" si="31"/>
        <v>1.54140884768679e-5</v>
      </c>
      <c r="AG122" s="32">
        <v>0</v>
      </c>
      <c r="AH122" s="31">
        <f t="shared" si="32"/>
        <v>0</v>
      </c>
      <c r="AJ122" s="32">
        <v>2.21267</v>
      </c>
      <c r="AK122" s="31">
        <f t="shared" si="29"/>
        <v>0.0198223516237402</v>
      </c>
      <c r="AM122" s="32">
        <v>2.61601</v>
      </c>
      <c r="AN122" s="31">
        <f t="shared" si="30"/>
        <v>0.0234356998880179</v>
      </c>
      <c r="AP122" s="33">
        <f t="shared" si="57"/>
        <v>9.5098</v>
      </c>
      <c r="AQ122" s="34">
        <f t="shared" si="51"/>
        <v>0.00907602066818478</v>
      </c>
      <c r="AR122" s="35"/>
    </row>
    <row r="123" outlineLevel="1" spans="1:44">
      <c r="A123" s="61" t="s">
        <v>28</v>
      </c>
      <c r="B123" s="28">
        <v>6666021500</v>
      </c>
      <c r="C123" s="28" t="s">
        <v>275</v>
      </c>
      <c r="D123" s="28" t="s">
        <v>276</v>
      </c>
      <c r="E123" s="28" t="s">
        <v>262</v>
      </c>
      <c r="F123" s="29">
        <v>0</v>
      </c>
      <c r="G123" s="30">
        <f t="shared" si="45"/>
        <v>0</v>
      </c>
      <c r="I123" s="29">
        <v>0</v>
      </c>
      <c r="J123" s="31">
        <f t="shared" si="46"/>
        <v>0</v>
      </c>
      <c r="L123" s="29">
        <v>0</v>
      </c>
      <c r="M123" s="31">
        <f t="shared" si="47"/>
        <v>0</v>
      </c>
      <c r="O123" s="32">
        <v>0</v>
      </c>
      <c r="P123" s="31">
        <f t="shared" si="48"/>
        <v>0</v>
      </c>
      <c r="R123" s="32">
        <v>0</v>
      </c>
      <c r="S123" s="31">
        <f t="shared" si="49"/>
        <v>0</v>
      </c>
      <c r="U123" s="32">
        <v>0</v>
      </c>
      <c r="V123" s="31">
        <f t="shared" si="50"/>
        <v>0</v>
      </c>
      <c r="X123" s="32">
        <v>0</v>
      </c>
      <c r="Y123" s="31">
        <f t="shared" si="33"/>
        <v>0</v>
      </c>
      <c r="AA123" s="32">
        <v>0</v>
      </c>
      <c r="AB123" s="31">
        <f t="shared" si="53"/>
        <v>0</v>
      </c>
      <c r="AD123" s="32">
        <v>0</v>
      </c>
      <c r="AE123" s="31">
        <f t="shared" si="31"/>
        <v>0</v>
      </c>
      <c r="AG123" s="32">
        <v>0</v>
      </c>
      <c r="AH123" s="31">
        <f t="shared" si="32"/>
        <v>0</v>
      </c>
      <c r="AJ123" s="32">
        <v>0</v>
      </c>
      <c r="AK123" s="31">
        <f t="shared" si="29"/>
        <v>0</v>
      </c>
      <c r="AM123" s="32">
        <v>-0.04798</v>
      </c>
      <c r="AN123" s="31">
        <f t="shared" si="30"/>
        <v>-0.0004298320268757</v>
      </c>
      <c r="AP123" s="33">
        <f t="shared" si="57"/>
        <v>-0.04798</v>
      </c>
      <c r="AQ123" s="34">
        <f t="shared" si="51"/>
        <v>-4.57914437379867e-5</v>
      </c>
      <c r="AR123" s="35"/>
    </row>
    <row r="124" outlineLevel="1" spans="1:44">
      <c r="A124" s="61" t="s">
        <v>28</v>
      </c>
      <c r="B124" s="28">
        <v>6666021502</v>
      </c>
      <c r="C124" s="28" t="s">
        <v>277</v>
      </c>
      <c r="D124" s="28" t="s">
        <v>278</v>
      </c>
      <c r="E124" s="28" t="s">
        <v>262</v>
      </c>
      <c r="F124" s="29">
        <v>12.76097</v>
      </c>
      <c r="G124" s="30">
        <f t="shared" si="45"/>
        <v>0.160088443396226</v>
      </c>
      <c r="I124" s="29">
        <v>4.25008</v>
      </c>
      <c r="J124" s="31">
        <f t="shared" si="46"/>
        <v>0.0517639607819256</v>
      </c>
      <c r="L124" s="29">
        <v>10.63796</v>
      </c>
      <c r="M124" s="31">
        <f t="shared" si="47"/>
        <v>0.114810106090204</v>
      </c>
      <c r="O124" s="32">
        <v>9.26858</v>
      </c>
      <c r="P124" s="31">
        <f t="shared" si="48"/>
        <v>0.0939189558908468</v>
      </c>
      <c r="R124" s="32">
        <v>6.24118</v>
      </c>
      <c r="S124" s="31">
        <f t="shared" si="49"/>
        <v>0.0668556982635802</v>
      </c>
      <c r="U124" s="32">
        <v>13.84016</v>
      </c>
      <c r="V124" s="31">
        <f t="shared" si="50"/>
        <v>0.184309380493262</v>
      </c>
      <c r="X124" s="32">
        <v>6.71441</v>
      </c>
      <c r="Y124" s="31">
        <f t="shared" si="33"/>
        <v>0.0863045797503824</v>
      </c>
      <c r="AA124" s="32">
        <v>25.03536</v>
      </c>
      <c r="AB124" s="31">
        <f t="shared" si="53"/>
        <v>0.425684554172618</v>
      </c>
      <c r="AD124" s="32">
        <v>3.35038</v>
      </c>
      <c r="AE124" s="31">
        <f t="shared" si="31"/>
        <v>0.0368878955365204</v>
      </c>
      <c r="AG124" s="32">
        <v>19.10979</v>
      </c>
      <c r="AH124" s="31">
        <f t="shared" si="32"/>
        <v>0.171277650306529</v>
      </c>
      <c r="AJ124" s="32">
        <v>18.08233</v>
      </c>
      <c r="AK124" s="31">
        <f t="shared" si="29"/>
        <v>0.161991758118701</v>
      </c>
      <c r="AM124" s="32">
        <v>26.08493</v>
      </c>
      <c r="AN124" s="31">
        <f t="shared" si="30"/>
        <v>0.233683583426652</v>
      </c>
      <c r="AP124" s="33">
        <f t="shared" ref="AP116:AP129" si="58">I124+F124+L124+O124+R124+U124+X124+AA124+AD124+AG124+AJ124+AM124</f>
        <v>155.37613</v>
      </c>
      <c r="AQ124" s="34">
        <f t="shared" si="51"/>
        <v>0.148288814404358</v>
      </c>
      <c r="AR124" s="35"/>
    </row>
    <row r="125" outlineLevel="1" spans="1:44">
      <c r="A125" s="61" t="s">
        <v>28</v>
      </c>
      <c r="B125" s="28">
        <v>6666021503</v>
      </c>
      <c r="C125" s="28" t="s">
        <v>279</v>
      </c>
      <c r="D125" s="28" t="s">
        <v>280</v>
      </c>
      <c r="E125" s="28" t="s">
        <v>262</v>
      </c>
      <c r="F125" s="29">
        <v>2.91185</v>
      </c>
      <c r="G125" s="30">
        <f t="shared" si="45"/>
        <v>0.0365296316740265</v>
      </c>
      <c r="I125" s="29">
        <v>2.71027</v>
      </c>
      <c r="J125" s="31">
        <f t="shared" si="46"/>
        <v>0.0330098045186042</v>
      </c>
      <c r="L125" s="29">
        <v>15.26418</v>
      </c>
      <c r="M125" s="31">
        <f t="shared" si="47"/>
        <v>0.164738551863324</v>
      </c>
      <c r="O125" s="32">
        <v>2.11572</v>
      </c>
      <c r="P125" s="31">
        <f t="shared" si="48"/>
        <v>0.021438689999696</v>
      </c>
      <c r="R125" s="32">
        <v>4.48499</v>
      </c>
      <c r="S125" s="31">
        <f t="shared" si="49"/>
        <v>0.0480433408674601</v>
      </c>
      <c r="U125" s="32">
        <v>3.81652</v>
      </c>
      <c r="V125" s="31">
        <f t="shared" si="50"/>
        <v>0.0508245885047675</v>
      </c>
      <c r="X125" s="32">
        <v>3.98455</v>
      </c>
      <c r="Y125" s="31">
        <f t="shared" si="33"/>
        <v>0.0512159539325698</v>
      </c>
      <c r="AA125" s="32">
        <v>1.04778</v>
      </c>
      <c r="AB125" s="31">
        <f t="shared" si="53"/>
        <v>0.0178157518873699</v>
      </c>
      <c r="AD125" s="32">
        <v>-2.24167</v>
      </c>
      <c r="AE125" s="31">
        <f t="shared" si="31"/>
        <v>-0.0246809283685288</v>
      </c>
      <c r="AG125" s="32">
        <v>9.75507</v>
      </c>
      <c r="AH125" s="31">
        <f t="shared" si="32"/>
        <v>0.0874329580898433</v>
      </c>
      <c r="AJ125" s="32">
        <v>4.06835</v>
      </c>
      <c r="AK125" s="31">
        <f t="shared" si="29"/>
        <v>0.0364465845464726</v>
      </c>
      <c r="AM125" s="32">
        <v>8.36751</v>
      </c>
      <c r="AN125" s="31">
        <f t="shared" si="30"/>
        <v>0.0749608958566629</v>
      </c>
      <c r="AP125" s="33">
        <f t="shared" si="58"/>
        <v>56.28512</v>
      </c>
      <c r="AQ125" s="34">
        <f t="shared" si="51"/>
        <v>0.0537177345928684</v>
      </c>
      <c r="AR125" s="35"/>
    </row>
    <row r="126" outlineLevel="1" spans="1:44">
      <c r="A126" s="61" t="s">
        <v>28</v>
      </c>
      <c r="B126" s="28">
        <v>6666021505</v>
      </c>
      <c r="C126" s="28" t="s">
        <v>281</v>
      </c>
      <c r="D126" s="28" t="s">
        <v>282</v>
      </c>
      <c r="E126" s="28" t="s">
        <v>262</v>
      </c>
      <c r="F126" s="29">
        <v>0</v>
      </c>
      <c r="G126" s="30">
        <f t="shared" si="45"/>
        <v>0</v>
      </c>
      <c r="I126" s="29">
        <v>0</v>
      </c>
      <c r="J126" s="31">
        <f t="shared" si="46"/>
        <v>0</v>
      </c>
      <c r="L126" s="29">
        <v>0</v>
      </c>
      <c r="M126" s="31">
        <f t="shared" si="47"/>
        <v>0</v>
      </c>
      <c r="O126" s="32">
        <v>0</v>
      </c>
      <c r="P126" s="31">
        <f t="shared" si="48"/>
        <v>0</v>
      </c>
      <c r="R126" s="32">
        <v>0.12946</v>
      </c>
      <c r="S126" s="31">
        <f t="shared" si="49"/>
        <v>0.00138677921437983</v>
      </c>
      <c r="U126" s="32">
        <v>0</v>
      </c>
      <c r="V126" s="31">
        <f t="shared" si="50"/>
        <v>0</v>
      </c>
      <c r="X126" s="32">
        <v>0</v>
      </c>
      <c r="Y126" s="31">
        <f t="shared" si="33"/>
        <v>0</v>
      </c>
      <c r="AA126" s="32">
        <v>0</v>
      </c>
      <c r="AB126" s="31">
        <f t="shared" si="53"/>
        <v>0</v>
      </c>
      <c r="AD126" s="32">
        <v>0</v>
      </c>
      <c r="AE126" s="31">
        <f t="shared" si="31"/>
        <v>0</v>
      </c>
      <c r="AG126" s="32">
        <v>0</v>
      </c>
      <c r="AH126" s="31">
        <f t="shared" si="32"/>
        <v>0</v>
      </c>
      <c r="AJ126" s="32">
        <v>0</v>
      </c>
      <c r="AK126" s="31">
        <f t="shared" si="29"/>
        <v>0</v>
      </c>
      <c r="AM126" s="32">
        <v>0</v>
      </c>
      <c r="AN126" s="31">
        <f t="shared" si="30"/>
        <v>0</v>
      </c>
      <c r="AP126" s="33">
        <f t="shared" si="58"/>
        <v>0.12946</v>
      </c>
      <c r="AQ126" s="34">
        <f t="shared" si="51"/>
        <v>0.000123554820890366</v>
      </c>
      <c r="AR126" s="35"/>
    </row>
    <row r="127" outlineLevel="1" spans="1:44">
      <c r="A127" s="61" t="s">
        <v>28</v>
      </c>
      <c r="B127" s="28">
        <v>6666021506</v>
      </c>
      <c r="C127" s="28" t="s">
        <v>283</v>
      </c>
      <c r="D127" s="28" t="s">
        <v>284</v>
      </c>
      <c r="E127" s="28" t="s">
        <v>262</v>
      </c>
      <c r="F127" s="29">
        <v>7.78807</v>
      </c>
      <c r="G127" s="30">
        <f t="shared" si="45"/>
        <v>0.0977026043757527</v>
      </c>
      <c r="I127" s="29">
        <v>3.52757</v>
      </c>
      <c r="J127" s="31">
        <f t="shared" si="46"/>
        <v>0.0429641312952926</v>
      </c>
      <c r="L127" s="29">
        <v>-1.38595</v>
      </c>
      <c r="M127" s="31">
        <f t="shared" si="47"/>
        <v>-0.0149578553158423</v>
      </c>
      <c r="O127" s="32">
        <v>15.3897</v>
      </c>
      <c r="P127" s="31">
        <f t="shared" si="48"/>
        <v>0.155944551967331</v>
      </c>
      <c r="R127" s="32">
        <v>36.24569</v>
      </c>
      <c r="S127" s="31">
        <f t="shared" si="49"/>
        <v>0.388264865617602</v>
      </c>
      <c r="U127" s="32">
        <v>10.56739</v>
      </c>
      <c r="V127" s="31">
        <f t="shared" si="50"/>
        <v>0.140725909550951</v>
      </c>
      <c r="X127" s="32">
        <v>20.33329</v>
      </c>
      <c r="Y127" s="31">
        <f t="shared" si="33"/>
        <v>0.261356701242947</v>
      </c>
      <c r="AA127" s="32">
        <v>29.78815</v>
      </c>
      <c r="AB127" s="31">
        <f t="shared" si="53"/>
        <v>0.50649782357342</v>
      </c>
      <c r="AD127" s="32">
        <v>9.12777</v>
      </c>
      <c r="AE127" s="31">
        <f t="shared" si="31"/>
        <v>0.100497324554643</v>
      </c>
      <c r="AG127" s="32">
        <v>2.93214</v>
      </c>
      <c r="AH127" s="31">
        <f t="shared" si="32"/>
        <v>0.0262802495249704</v>
      </c>
      <c r="AJ127" s="32">
        <v>27.7462</v>
      </c>
      <c r="AK127" s="31">
        <f t="shared" si="29"/>
        <v>0.248566181410974</v>
      </c>
      <c r="AM127" s="32">
        <v>27.63656</v>
      </c>
      <c r="AN127" s="31">
        <f t="shared" si="30"/>
        <v>0.247583964165733</v>
      </c>
      <c r="AP127" s="33">
        <f t="shared" si="58"/>
        <v>189.69658</v>
      </c>
      <c r="AQ127" s="34">
        <f t="shared" si="51"/>
        <v>0.181043773871582</v>
      </c>
      <c r="AR127" s="35"/>
    </row>
    <row r="128" outlineLevel="2" spans="1:44">
      <c r="A128" s="61" t="s">
        <v>28</v>
      </c>
      <c r="B128" s="28">
        <v>6666030300</v>
      </c>
      <c r="C128" s="28" t="s">
        <v>285</v>
      </c>
      <c r="D128" s="28" t="s">
        <v>286</v>
      </c>
      <c r="E128" s="28" t="s">
        <v>83</v>
      </c>
      <c r="F128" s="29">
        <v>0</v>
      </c>
      <c r="G128" s="30">
        <f t="shared" si="45"/>
        <v>0</v>
      </c>
      <c r="I128" s="29">
        <v>0</v>
      </c>
      <c r="J128" s="31">
        <f t="shared" si="46"/>
        <v>0</v>
      </c>
      <c r="L128" s="29">
        <v>2.37582</v>
      </c>
      <c r="M128" s="31">
        <f t="shared" si="47"/>
        <v>0.025641020106414</v>
      </c>
      <c r="O128" s="32">
        <v>-0.11966</v>
      </c>
      <c r="P128" s="31">
        <f t="shared" si="48"/>
        <v>-0.0012125203927569</v>
      </c>
      <c r="R128" s="32">
        <v>0</v>
      </c>
      <c r="S128" s="31">
        <f t="shared" si="49"/>
        <v>0</v>
      </c>
      <c r="U128" s="32">
        <v>0</v>
      </c>
      <c r="V128" s="31">
        <f t="shared" si="50"/>
        <v>0</v>
      </c>
      <c r="X128" s="32">
        <v>0.00052</v>
      </c>
      <c r="Y128" s="31">
        <f t="shared" si="33"/>
        <v>6.6838905384388e-6</v>
      </c>
      <c r="AA128" s="32">
        <v>0</v>
      </c>
      <c r="AB128" s="31">
        <f t="shared" si="53"/>
        <v>0</v>
      </c>
      <c r="AD128" s="32">
        <v>0</v>
      </c>
      <c r="AE128" s="31">
        <f t="shared" si="31"/>
        <v>0</v>
      </c>
      <c r="AG128" s="32">
        <v>0</v>
      </c>
      <c r="AH128" s="31">
        <f t="shared" si="32"/>
        <v>0</v>
      </c>
      <c r="AJ128" s="32">
        <v>0</v>
      </c>
      <c r="AK128" s="31">
        <f t="shared" si="29"/>
        <v>0</v>
      </c>
      <c r="AM128" s="32">
        <v>-0.001</v>
      </c>
      <c r="AN128" s="31">
        <f t="shared" si="30"/>
        <v>-8.95856662933931e-6</v>
      </c>
      <c r="AP128" s="33">
        <f t="shared" si="58"/>
        <v>2.25568</v>
      </c>
      <c r="AQ128" s="34">
        <f t="shared" si="51"/>
        <v>0.00215278957505006</v>
      </c>
      <c r="AR128" s="35"/>
    </row>
    <row r="129" outlineLevel="1" spans="1:44">
      <c r="A129" s="61" t="s">
        <v>28</v>
      </c>
      <c r="B129" s="28">
        <v>6666091600</v>
      </c>
      <c r="C129" s="28" t="s">
        <v>287</v>
      </c>
      <c r="D129" s="28" t="s">
        <v>288</v>
      </c>
      <c r="E129" s="28" t="s">
        <v>262</v>
      </c>
      <c r="F129" s="29">
        <v>0</v>
      </c>
      <c r="G129" s="30">
        <f t="shared" si="45"/>
        <v>0</v>
      </c>
      <c r="I129" s="29">
        <v>1.93638</v>
      </c>
      <c r="J129" s="31">
        <f t="shared" si="46"/>
        <v>0.0235841909749711</v>
      </c>
      <c r="L129" s="29">
        <v>0.54864</v>
      </c>
      <c r="M129" s="31">
        <f t="shared" si="47"/>
        <v>0.00592119321799756</v>
      </c>
      <c r="O129" s="32">
        <v>2.0149</v>
      </c>
      <c r="P129" s="31">
        <f t="shared" si="48"/>
        <v>0.0204170762106458</v>
      </c>
      <c r="R129" s="32">
        <v>0.59368</v>
      </c>
      <c r="S129" s="31">
        <f t="shared" si="49"/>
        <v>0.00635951710175356</v>
      </c>
      <c r="U129" s="32">
        <v>1.57353</v>
      </c>
      <c r="V129" s="31">
        <f t="shared" si="50"/>
        <v>0.0209546955734299</v>
      </c>
      <c r="X129" s="32">
        <v>0.31278</v>
      </c>
      <c r="Y129" s="31">
        <f t="shared" si="33"/>
        <v>0.00402036015887094</v>
      </c>
      <c r="AA129" s="32">
        <v>1.00747</v>
      </c>
      <c r="AB129" s="31">
        <f t="shared" si="53"/>
        <v>0.0171303475481194</v>
      </c>
      <c r="AD129" s="32">
        <v>1.00283</v>
      </c>
      <c r="AE129" s="31">
        <f t="shared" si="31"/>
        <v>0.0110412216766124</v>
      </c>
      <c r="AG129" s="32">
        <v>0.60202</v>
      </c>
      <c r="AH129" s="31">
        <f t="shared" si="32"/>
        <v>0.00539579822894633</v>
      </c>
      <c r="AJ129" s="32">
        <v>3.28214</v>
      </c>
      <c r="AK129" s="31">
        <f t="shared" si="29"/>
        <v>0.0294032698768197</v>
      </c>
      <c r="AM129" s="32">
        <v>0.0118199999999999</v>
      </c>
      <c r="AN129" s="31">
        <f t="shared" si="30"/>
        <v>0.00010589025755879</v>
      </c>
      <c r="AP129" s="33">
        <f t="shared" si="58"/>
        <v>12.88619</v>
      </c>
      <c r="AQ129" s="34">
        <f t="shared" si="51"/>
        <v>0.012298400258066</v>
      </c>
      <c r="AR129" s="35"/>
    </row>
    <row r="130" s="2" customFormat="1" spans="1:44">
      <c r="A130" s="61"/>
      <c r="B130" s="36" t="s">
        <v>244</v>
      </c>
      <c r="C130" s="37" t="s">
        <v>262</v>
      </c>
      <c r="D130" s="38" t="s">
        <v>289</v>
      </c>
      <c r="E130" s="39"/>
      <c r="F130" s="40">
        <f>SUM(F116:F129)</f>
        <v>219.71751</v>
      </c>
      <c r="G130" s="41">
        <f t="shared" si="45"/>
        <v>2.75639188578884</v>
      </c>
      <c r="H130" s="11"/>
      <c r="I130" s="42">
        <f>SUM(I116:I129)</f>
        <v>220.42753</v>
      </c>
      <c r="J130" s="41">
        <f t="shared" si="46"/>
        <v>2.68470288045795</v>
      </c>
      <c r="K130" s="11"/>
      <c r="L130" s="42">
        <f>SUM(L116:L129)</f>
        <v>157.36146</v>
      </c>
      <c r="M130" s="41">
        <f t="shared" si="47"/>
        <v>1.69832241492818</v>
      </c>
      <c r="N130" s="12"/>
      <c r="O130" s="42">
        <f>SUM(O116:O129)</f>
        <v>147.46971</v>
      </c>
      <c r="P130" s="41">
        <f t="shared" si="48"/>
        <v>1.49431748862566</v>
      </c>
      <c r="Q130" s="13"/>
      <c r="R130" s="42">
        <f>SUM(R116:R129)</f>
        <v>170.65504</v>
      </c>
      <c r="S130" s="41">
        <f t="shared" si="49"/>
        <v>1.82806165843626</v>
      </c>
      <c r="T130" s="13"/>
      <c r="U130" s="42">
        <f>SUM(U116:U129)</f>
        <v>126.29138</v>
      </c>
      <c r="V130" s="41">
        <f t="shared" si="50"/>
        <v>1.68182203164119</v>
      </c>
      <c r="W130" s="13"/>
      <c r="X130" s="42">
        <f>SUM(X116:X129)</f>
        <v>128.75987</v>
      </c>
      <c r="Y130" s="41">
        <f t="shared" si="33"/>
        <v>1.65503245543002</v>
      </c>
      <c r="Z130" s="13"/>
      <c r="AA130" s="42">
        <f>SUM(AA116:AA129)</f>
        <v>134.41711</v>
      </c>
      <c r="AB130" s="41">
        <f t="shared" si="53"/>
        <v>2.28553883561178</v>
      </c>
      <c r="AC130" s="13"/>
      <c r="AD130" s="42">
        <f>SUM(AD116:AD129)</f>
        <v>147.22651</v>
      </c>
      <c r="AE130" s="41">
        <f t="shared" si="31"/>
        <v>1.62097317948605</v>
      </c>
      <c r="AF130" s="13"/>
      <c r="AG130" s="42">
        <f>SUM(AG116:AG129)</f>
        <v>149.29277</v>
      </c>
      <c r="AH130" s="41">
        <f t="shared" si="32"/>
        <v>1.33808455526476</v>
      </c>
      <c r="AI130" s="13"/>
      <c r="AJ130" s="42">
        <f>SUM(AJ116:AJ129)</f>
        <v>157.73939</v>
      </c>
      <c r="AK130" s="41">
        <f t="shared" si="29"/>
        <v>1.41311883538634</v>
      </c>
      <c r="AL130" s="13"/>
      <c r="AM130" s="42">
        <f>SUM(AM116:AM129)</f>
        <v>168.50673</v>
      </c>
      <c r="AN130" s="41">
        <f t="shared" si="30"/>
        <v>1.50957876819709</v>
      </c>
      <c r="AO130" s="13"/>
      <c r="AP130" s="43">
        <f>SUM(AP116:AP129)</f>
        <v>1927.86501</v>
      </c>
      <c r="AQ130" s="44">
        <f t="shared" si="51"/>
        <v>1.83992751437783</v>
      </c>
      <c r="AR130" s="35"/>
    </row>
    <row r="131" s="5" customFormat="1" spans="1:44">
      <c r="A131" s="66"/>
      <c r="B131" s="67"/>
      <c r="C131" s="67"/>
      <c r="D131" s="67"/>
      <c r="E131" s="67" t="s">
        <v>290</v>
      </c>
      <c r="F131" s="68">
        <f>SUM(F130,F115,F107,F99,F95,F93,F91,F89,F84,F28,F23,F14)</f>
        <v>2388.4772</v>
      </c>
      <c r="G131" s="69">
        <f t="shared" si="45"/>
        <v>29.9638348052991</v>
      </c>
      <c r="H131" s="11"/>
      <c r="I131" s="68">
        <f>+I130+I115+I107+I99+I95+I93+I91+I89+I84+I28+I14+I23</f>
        <v>2184.76039</v>
      </c>
      <c r="J131" s="69">
        <f t="shared" si="46"/>
        <v>26.6093464466232</v>
      </c>
      <c r="K131" s="11"/>
      <c r="L131" s="68">
        <f>+L130+L115+L107+L99+L95+L93+L91+L89+L84+L28+L14+L23</f>
        <v>2602.42222</v>
      </c>
      <c r="M131" s="69">
        <f t="shared" si="47"/>
        <v>28.0866229210961</v>
      </c>
      <c r="N131" s="12"/>
      <c r="O131" s="68">
        <f>+O130+O115+O107+O99+O95+O93+O91+O89+O84+O28+O14+O23</f>
        <v>2101.98267</v>
      </c>
      <c r="P131" s="69">
        <f t="shared" si="48"/>
        <v>21.2994889904445</v>
      </c>
      <c r="Q131" s="13"/>
      <c r="R131" s="68">
        <f>+R130+R115+R107+R99+R95+R93+R91+R89+R84+R28+R14+R23</f>
        <v>2427.21521</v>
      </c>
      <c r="S131" s="69">
        <f t="shared" si="49"/>
        <v>26.0003985945819</v>
      </c>
      <c r="T131" s="13"/>
      <c r="U131" s="68">
        <f>+U130+U115+U107+U99+U95+U93+U91+U89+U84+U28+U14+U23</f>
        <v>2346.28503</v>
      </c>
      <c r="V131" s="69">
        <f t="shared" si="50"/>
        <v>31.2454726202525</v>
      </c>
      <c r="W131" s="13"/>
      <c r="X131" s="68">
        <f>+X130+X115+X107+X99+X95+X93+X91+X89+X84+X28+X14+X23</f>
        <v>1968.55645</v>
      </c>
      <c r="Y131" s="69">
        <f t="shared" si="33"/>
        <v>25.3031073664186</v>
      </c>
      <c r="Z131" s="13"/>
      <c r="AA131" s="68">
        <f>+AA130+AA115+AA107+AA99+AA95+AA93+AA91+AA89+AA84+AA28+AA14+AA23</f>
        <v>1773.28204</v>
      </c>
      <c r="AB131" s="69">
        <f t="shared" si="53"/>
        <v>30.1517044140651</v>
      </c>
      <c r="AC131" s="13"/>
      <c r="AD131" s="68">
        <f>+AD130+AD115+AD107+AD99+AD95+AD93+AD91+AD89+AD84+AD28+AD14+AD23</f>
        <v>800.61187</v>
      </c>
      <c r="AE131" s="69">
        <f t="shared" si="31"/>
        <v>8.81478728557902</v>
      </c>
      <c r="AF131" s="13"/>
      <c r="AG131" s="68">
        <f>+AG130+AG115+AG107+AG99+AG95+AG93+AG91+AG89+AG84+AG28+AG14+AG23</f>
        <v>1909.03384</v>
      </c>
      <c r="AH131" s="69">
        <f t="shared" si="32"/>
        <v>17.1103309073961</v>
      </c>
      <c r="AI131" s="13"/>
      <c r="AJ131" s="68">
        <f>+AJ130+AJ115+AJ107+AJ99+AJ95+AJ93+AJ91+AJ89+AJ84+AJ28+AJ14+AJ23</f>
        <v>2232.78662</v>
      </c>
      <c r="AK131" s="69">
        <f t="shared" si="29"/>
        <v>20.0025677043673</v>
      </c>
      <c r="AL131" s="13"/>
      <c r="AM131" s="68">
        <f>+AM130+AM115+AM107+AM99+AM95+AM93+AM91+AM89+AM84+AM28+AM14+AM23</f>
        <v>1805.87794</v>
      </c>
      <c r="AN131" s="69">
        <f t="shared" si="30"/>
        <v>16.178077849944</v>
      </c>
      <c r="AO131" s="13"/>
      <c r="AP131" s="68">
        <f>+AP130+AP115+AP107+AP99+AP95+AP93+AP91+AP89+AP84+AP28+AP14+AP23</f>
        <v>24541.29148</v>
      </c>
      <c r="AQ131" s="69">
        <f t="shared" si="51"/>
        <v>23.421866779157</v>
      </c>
      <c r="AR131" s="35"/>
    </row>
    <row r="132" spans="1:44">
      <c r="F132" s="29">
        <f>F131*1000</f>
        <v>2388477.2</v>
      </c>
      <c r="G132" s="70"/>
      <c r="I132" s="29">
        <f>I131*1000</f>
        <v>2184760.39</v>
      </c>
      <c r="J132" s="70"/>
      <c r="L132" s="29">
        <f>L131*1000</f>
        <v>2602422.22</v>
      </c>
      <c r="M132" s="70"/>
      <c r="O132" s="29">
        <f>O131*1000</f>
        <v>2101982.67</v>
      </c>
      <c r="P132" s="70"/>
      <c r="Q132" s="71"/>
      <c r="R132" s="29">
        <f>R131*1000</f>
        <v>2427215.21</v>
      </c>
      <c r="S132" s="70"/>
      <c r="T132" s="71"/>
      <c r="U132" s="29">
        <f>U131*1000</f>
        <v>2346285.03</v>
      </c>
      <c r="V132" s="70"/>
      <c r="W132" s="71"/>
      <c r="X132" s="29">
        <f>X131*1000</f>
        <v>1968556.45</v>
      </c>
      <c r="Y132" s="70"/>
      <c r="Z132" s="71"/>
      <c r="AA132" s="29">
        <f>AA131*1000</f>
        <v>1773282.04</v>
      </c>
      <c r="AB132" s="70"/>
      <c r="AC132" s="71"/>
      <c r="AD132" s="29">
        <f>AD131*1000</f>
        <v>800611.87</v>
      </c>
      <c r="AE132" s="70"/>
      <c r="AF132" s="71"/>
      <c r="AG132" s="29">
        <f>AG131*1000</f>
        <v>1909033.84</v>
      </c>
      <c r="AH132" s="70"/>
      <c r="AI132" s="71"/>
      <c r="AJ132" s="29">
        <f>AJ131*1000</f>
        <v>2232786.62</v>
      </c>
      <c r="AK132" s="70"/>
      <c r="AL132" s="71"/>
      <c r="AM132" s="29">
        <f>AM131*1000</f>
        <v>1805877.94</v>
      </c>
      <c r="AN132" s="70"/>
      <c r="AO132" s="71"/>
      <c r="AP132" s="29">
        <f>AP131*1000</f>
        <v>24541291.48</v>
      </c>
      <c r="AQ132" s="70"/>
    </row>
    <row r="133" spans="1:44">
      <c r="F133" s="29"/>
      <c r="G133" s="70"/>
      <c r="I133" s="29"/>
      <c r="J133" s="70"/>
      <c r="L133" s="29"/>
      <c r="M133" s="70"/>
      <c r="O133" s="29"/>
      <c r="P133" s="70"/>
      <c r="Q133" s="71"/>
      <c r="R133" s="72"/>
      <c r="S133" s="70"/>
      <c r="T133" s="71"/>
      <c r="U133" s="29"/>
      <c r="V133" s="70"/>
      <c r="W133" s="71"/>
      <c r="X133" s="29"/>
      <c r="Y133" s="70"/>
      <c r="Z133" s="71"/>
      <c r="AA133" s="29"/>
      <c r="AB133" s="70"/>
      <c r="AC133" s="71"/>
      <c r="AD133" s="29"/>
      <c r="AE133" s="70"/>
      <c r="AF133" s="71"/>
      <c r="AG133" s="29"/>
      <c r="AH133" s="70"/>
      <c r="AI133" s="71"/>
      <c r="AJ133" s="29"/>
      <c r="AK133" s="70"/>
      <c r="AL133" s="71"/>
      <c r="AM133" s="29"/>
      <c r="AN133" s="70"/>
      <c r="AO133" s="71"/>
      <c r="AP133" s="29"/>
      <c r="AQ133" s="70"/>
    </row>
    <row r="134" spans="1:44"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70"/>
    </row>
    <row r="135" outlineLevel="1" spans="1:44">
      <c r="A135" s="56" t="s">
        <v>70</v>
      </c>
      <c r="B135" s="73">
        <v>6666110110</v>
      </c>
      <c r="C135" s="74" t="s">
        <v>36</v>
      </c>
      <c r="D135" s="74" t="s">
        <v>291</v>
      </c>
      <c r="E135" s="74"/>
      <c r="F135" s="75">
        <v>0.15655</v>
      </c>
      <c r="G135" s="76">
        <f t="shared" ref="G135:G209" si="59">F135/$F$1*1000</f>
        <v>0.00196394520272983</v>
      </c>
      <c r="I135" s="75">
        <v>0.14141</v>
      </c>
      <c r="J135" s="76">
        <f t="shared" ref="J135:J209" si="60">I135/$I$1*1000</f>
        <v>0.00172230680226539</v>
      </c>
      <c r="L135" s="75">
        <v>0.15655</v>
      </c>
      <c r="M135" s="76">
        <f>L135/$L$1*1000</f>
        <v>0.00168956473876771</v>
      </c>
      <c r="O135" s="75">
        <v>0.1515</v>
      </c>
      <c r="P135" s="76">
        <f t="shared" ref="P135:P209" si="61">O135/$O$1*1000</f>
        <v>0.00153515660623993</v>
      </c>
      <c r="Q135" s="71"/>
      <c r="R135" s="75">
        <v>0.15655</v>
      </c>
      <c r="S135" s="76">
        <f t="shared" ref="S135:S209" si="62">R135/$R$1*1000</f>
        <v>0.00167696806744293</v>
      </c>
      <c r="T135" s="71"/>
      <c r="U135" s="75">
        <v>0.1515</v>
      </c>
      <c r="V135" s="76">
        <f t="shared" ref="V135:V209" si="63">U135/$U$1*1000</f>
        <v>0.00201752516912587</v>
      </c>
      <c r="W135" s="71"/>
      <c r="X135" s="75">
        <v>0.15655</v>
      </c>
      <c r="Y135" s="76">
        <f t="shared" ref="Y135:Y209" si="64">X135/$X$1*1000</f>
        <v>0.0020122366611396</v>
      </c>
      <c r="Z135" s="71"/>
      <c r="AA135" s="75">
        <v>0.15655</v>
      </c>
      <c r="AB135" s="76">
        <f t="shared" ref="AB135:AB209" si="65">AA135/$AA$1*1000</f>
        <v>0.00266187172685846</v>
      </c>
      <c r="AC135" s="71"/>
      <c r="AD135" s="75">
        <v>0.15151</v>
      </c>
      <c r="AE135" s="76">
        <f t="shared" ref="AE135:AE209" si="66">AD135/$AD$1*1000</f>
        <v>0.00166813467509303</v>
      </c>
      <c r="AF135" s="71"/>
      <c r="AG135" s="75">
        <v>0.15655</v>
      </c>
      <c r="AH135" s="76">
        <f>AG135/$AG$1*1000</f>
        <v>0.00140312981751694</v>
      </c>
      <c r="AI135" s="71"/>
      <c r="AJ135" s="75">
        <v>0.1515</v>
      </c>
      <c r="AK135" s="76">
        <f>AJ135/$AG$1*1000</f>
        <v>0.00135786756533897</v>
      </c>
      <c r="AL135" s="71"/>
      <c r="AM135" s="75">
        <v>0.15655</v>
      </c>
      <c r="AN135" s="76">
        <f>AM135/$AG$1*1000</f>
        <v>0.00140312981751694</v>
      </c>
      <c r="AO135" s="71"/>
      <c r="AP135" s="75">
        <f t="shared" ref="AP135:AP138" si="67">I135+F135+L135+O135+R135+U135+X135+AA135+AD135+AG135+AJ135+AM135</f>
        <v>1.84327</v>
      </c>
      <c r="AQ135" s="76">
        <f t="shared" ref="AQ135:AQ209" si="68">AP135/$AP$1*1000</f>
        <v>0.00175919121506708</v>
      </c>
    </row>
    <row r="136" outlineLevel="1" spans="1:44">
      <c r="A136" s="56" t="s">
        <v>70</v>
      </c>
      <c r="B136" s="77">
        <v>6666110112</v>
      </c>
      <c r="C136" t="s">
        <v>38</v>
      </c>
      <c r="D136" t="s">
        <v>39</v>
      </c>
      <c r="F136" s="78">
        <v>0.17087</v>
      </c>
      <c r="G136" s="30">
        <f t="shared" si="59"/>
        <v>0.00214359193095143</v>
      </c>
      <c r="I136" s="78">
        <v>0.1543</v>
      </c>
      <c r="J136" s="30">
        <f t="shared" si="60"/>
        <v>0.00187930089519518</v>
      </c>
      <c r="L136" s="78">
        <v>0.17087</v>
      </c>
      <c r="M136" s="30">
        <f t="shared" ref="M136:M209" si="69">L136/$L$1*1000</f>
        <v>0.00184411323483385</v>
      </c>
      <c r="O136" s="78">
        <v>0.16535</v>
      </c>
      <c r="P136" s="30">
        <f t="shared" si="61"/>
        <v>0.00167549930588629</v>
      </c>
      <c r="Q136" s="71"/>
      <c r="R136" s="78">
        <v>0.18426</v>
      </c>
      <c r="S136" s="30">
        <f t="shared" si="62"/>
        <v>0.00197379837819888</v>
      </c>
      <c r="T136" s="71"/>
      <c r="U136" s="78">
        <v>0.1911</v>
      </c>
      <c r="V136" s="30">
        <f t="shared" si="63"/>
        <v>0.00254487828263996</v>
      </c>
      <c r="W136" s="71"/>
      <c r="X136" s="78">
        <v>0.19706</v>
      </c>
      <c r="Y136" s="30">
        <f t="shared" si="64"/>
        <v>0.00253293744135529</v>
      </c>
      <c r="Z136" s="71"/>
      <c r="AA136" s="78">
        <v>0.19704</v>
      </c>
      <c r="AB136" s="30">
        <f t="shared" si="65"/>
        <v>0.00335033666598653</v>
      </c>
      <c r="AC136" s="71"/>
      <c r="AD136" s="78">
        <v>0.19109</v>
      </c>
      <c r="AE136" s="30">
        <f t="shared" si="66"/>
        <v>0.00210391297646049</v>
      </c>
      <c r="AF136" s="71"/>
      <c r="AG136" s="78">
        <v>0</v>
      </c>
      <c r="AH136" s="30">
        <f t="shared" ref="AH136:AH207" si="70">AG136/$AG$1*1000</f>
        <v>0</v>
      </c>
      <c r="AI136" s="71"/>
      <c r="AJ136" s="78">
        <v>0.10063</v>
      </c>
      <c r="AK136" s="30">
        <f t="shared" ref="AK136:AK207" si="71">AJ136/$AG$1*1000</f>
        <v>0.000901928799340336</v>
      </c>
      <c r="AL136" s="71"/>
      <c r="AM136" s="78">
        <v>0.09919</v>
      </c>
      <c r="AN136" s="30">
        <f t="shared" ref="AN136:AN207" si="72">AM136/$AG$1*1000</f>
        <v>0.000889022335352956</v>
      </c>
      <c r="AO136" s="71"/>
      <c r="AP136" s="78">
        <f t="shared" si="67"/>
        <v>1.82176</v>
      </c>
      <c r="AQ136" s="30">
        <f t="shared" si="68"/>
        <v>0.00173866237065683</v>
      </c>
    </row>
    <row r="137" outlineLevel="1" spans="1:44">
      <c r="A137" s="56" t="s">
        <v>70</v>
      </c>
      <c r="B137" s="77">
        <v>6666110207</v>
      </c>
      <c r="C137" t="s">
        <v>42</v>
      </c>
      <c r="D137" t="s">
        <v>43</v>
      </c>
      <c r="F137" s="78">
        <v>0.14972</v>
      </c>
      <c r="G137" s="30">
        <f t="shared" si="59"/>
        <v>0.00187826174227218</v>
      </c>
      <c r="I137" s="78">
        <v>0.13522</v>
      </c>
      <c r="J137" s="30">
        <f t="shared" si="60"/>
        <v>0.00164691553498569</v>
      </c>
      <c r="L137" s="78">
        <v>0.00699</v>
      </c>
      <c r="M137" s="30">
        <f t="shared" si="69"/>
        <v>7.54395242669199e-5</v>
      </c>
      <c r="O137" s="78">
        <v>0.00293</v>
      </c>
      <c r="P137" s="30">
        <f t="shared" si="61"/>
        <v>2.96898274342112e-5</v>
      </c>
      <c r="Q137" s="71"/>
      <c r="R137" s="78">
        <v>0.00304</v>
      </c>
      <c r="S137" s="30">
        <f t="shared" si="62"/>
        <v>3.25645667520058e-5</v>
      </c>
      <c r="T137" s="71"/>
      <c r="U137" s="78">
        <v>0.00293</v>
      </c>
      <c r="V137" s="30">
        <f t="shared" si="63"/>
        <v>3.90188036009162e-5</v>
      </c>
      <c r="W137" s="71"/>
      <c r="X137" s="78">
        <v>0.00303</v>
      </c>
      <c r="Y137" s="30">
        <f t="shared" si="64"/>
        <v>3.89465160220568e-5</v>
      </c>
      <c r="Z137" s="71"/>
      <c r="AA137" s="78">
        <v>0.00304</v>
      </c>
      <c r="AB137" s="30">
        <f t="shared" si="65"/>
        <v>5.16901312657281e-5</v>
      </c>
      <c r="AC137" s="71"/>
      <c r="AD137" s="78">
        <v>0.00294</v>
      </c>
      <c r="AE137" s="30">
        <f t="shared" si="66"/>
        <v>3.23695858014225e-5</v>
      </c>
      <c r="AF137" s="71"/>
      <c r="AG137" s="78">
        <v>0.00304</v>
      </c>
      <c r="AH137" s="30">
        <f t="shared" si="70"/>
        <v>2.72469795289141e-5</v>
      </c>
      <c r="AI137" s="71"/>
      <c r="AJ137" s="78">
        <v>0.00294</v>
      </c>
      <c r="AK137" s="30">
        <f t="shared" si="71"/>
        <v>2.63506973075682e-5</v>
      </c>
      <c r="AL137" s="71"/>
      <c r="AM137" s="78">
        <v>0.00304</v>
      </c>
      <c r="AN137" s="30">
        <f t="shared" si="72"/>
        <v>2.72469795289141e-5</v>
      </c>
      <c r="AO137" s="71"/>
      <c r="AP137" s="78">
        <f t="shared" si="67"/>
        <v>0.31886</v>
      </c>
      <c r="AQ137" s="30">
        <f t="shared" si="68"/>
        <v>0.000304315542940692</v>
      </c>
    </row>
    <row r="138" outlineLevel="1" spans="1:44">
      <c r="A138" s="56" t="s">
        <v>70</v>
      </c>
      <c r="B138" s="77">
        <v>6666110506</v>
      </c>
      <c r="C138" t="s">
        <v>44</v>
      </c>
      <c r="D138" t="s">
        <v>45</v>
      </c>
      <c r="F138" s="78">
        <v>0.16701</v>
      </c>
      <c r="G138" s="30">
        <f t="shared" si="59"/>
        <v>0.00209516760337214</v>
      </c>
      <c r="I138" s="78">
        <v>0.15084</v>
      </c>
      <c r="J138" s="30">
        <f t="shared" si="60"/>
        <v>0.00183715973448633</v>
      </c>
      <c r="L138" s="78">
        <v>0.16703</v>
      </c>
      <c r="M138" s="30">
        <f t="shared" si="69"/>
        <v>0.00180267006270438</v>
      </c>
      <c r="O138" s="78">
        <v>0.1616</v>
      </c>
      <c r="P138" s="30">
        <f t="shared" si="61"/>
        <v>0.00163750037998926</v>
      </c>
      <c r="Q138" s="71"/>
      <c r="R138" s="78">
        <v>0.16701</v>
      </c>
      <c r="S138" s="30">
        <f t="shared" si="62"/>
        <v>0.00178901588593832</v>
      </c>
      <c r="T138" s="71"/>
      <c r="U138" s="78">
        <v>0.1616</v>
      </c>
      <c r="V138" s="30">
        <f t="shared" si="63"/>
        <v>0.0021520268470676</v>
      </c>
      <c r="W138" s="71"/>
      <c r="X138" s="78">
        <v>0.16703</v>
      </c>
      <c r="Y138" s="30">
        <f t="shared" si="64"/>
        <v>0.00214694276276045</v>
      </c>
      <c r="Z138" s="71"/>
      <c r="AA138" s="78">
        <v>0.16699</v>
      </c>
      <c r="AB138" s="30">
        <f t="shared" si="65"/>
        <v>0.00283938651975787</v>
      </c>
      <c r="AC138" s="71"/>
      <c r="AD138" s="78">
        <v>0.16165</v>
      </c>
      <c r="AE138" s="30">
        <f t="shared" si="66"/>
        <v>0.00177977671591835</v>
      </c>
      <c r="AF138" s="71"/>
      <c r="AG138" s="78">
        <v>0.16683</v>
      </c>
      <c r="AH138" s="30">
        <f t="shared" si="70"/>
        <v>0.00149526762987129</v>
      </c>
      <c r="AI138" s="71"/>
      <c r="AJ138" s="78">
        <v>0.15555</v>
      </c>
      <c r="AK138" s="30">
        <f t="shared" si="71"/>
        <v>0.00139416699530348</v>
      </c>
      <c r="AL138" s="71"/>
      <c r="AM138" s="78">
        <v>0.16071</v>
      </c>
      <c r="AN138" s="30">
        <f t="shared" si="72"/>
        <v>0.00144041515792493</v>
      </c>
      <c r="AO138" s="71"/>
      <c r="AP138" s="78">
        <f t="shared" si="67"/>
        <v>1.95385</v>
      </c>
      <c r="AQ138" s="30">
        <f t="shared" si="68"/>
        <v>0.00186472722691674</v>
      </c>
    </row>
    <row r="139" spans="1:44">
      <c r="A139" s="56"/>
      <c r="B139" s="37" t="s">
        <v>292</v>
      </c>
      <c r="C139" s="37" t="s">
        <v>31</v>
      </c>
      <c r="D139" s="38" t="s">
        <v>293</v>
      </c>
      <c r="E139" s="39"/>
      <c r="F139" s="79">
        <f>SUM(F135:F138)</f>
        <v>0.64415</v>
      </c>
      <c r="G139" s="80">
        <f t="shared" si="59"/>
        <v>0.00808096647932557</v>
      </c>
      <c r="I139" s="79">
        <f>SUM(I135:I138)</f>
        <v>0.58177</v>
      </c>
      <c r="J139" s="80">
        <f t="shared" si="60"/>
        <v>0.00708568296693259</v>
      </c>
      <c r="L139" s="79">
        <f>SUM(L135:L138)</f>
        <v>0.50144</v>
      </c>
      <c r="M139" s="80">
        <f t="shared" si="69"/>
        <v>0.00541178756057287</v>
      </c>
      <c r="O139" s="79">
        <f>SUM(O135:O138)</f>
        <v>0.48138</v>
      </c>
      <c r="P139" s="80">
        <f t="shared" si="61"/>
        <v>0.00487784611954969</v>
      </c>
      <c r="Q139" s="71"/>
      <c r="R139" s="79">
        <f>SUM(R135:R138)</f>
        <v>0.51086</v>
      </c>
      <c r="S139" s="80">
        <f t="shared" si="62"/>
        <v>0.00547234689833214</v>
      </c>
      <c r="T139" s="71"/>
      <c r="U139" s="79">
        <f>SUM(U135:U138)</f>
        <v>0.50713</v>
      </c>
      <c r="V139" s="80">
        <f t="shared" si="63"/>
        <v>0.00675344910243435</v>
      </c>
      <c r="W139" s="71"/>
      <c r="X139" s="79">
        <f>SUM(X135:X138)</f>
        <v>0.52367</v>
      </c>
      <c r="Y139" s="80">
        <f t="shared" si="64"/>
        <v>0.0067310633812774</v>
      </c>
      <c r="Z139" s="71"/>
      <c r="AA139" s="79">
        <f>SUM(AA135:AA138)</f>
        <v>0.52362</v>
      </c>
      <c r="AB139" s="80">
        <f t="shared" si="65"/>
        <v>0.0089032850438686</v>
      </c>
      <c r="AC139" s="71"/>
      <c r="AD139" s="79">
        <f>SUM(AD135:AD138)</f>
        <v>0.50719</v>
      </c>
      <c r="AE139" s="80">
        <f t="shared" si="66"/>
        <v>0.00558419395327329</v>
      </c>
      <c r="AF139" s="71"/>
      <c r="AG139" s="79">
        <f>SUM(AG135:AG138)</f>
        <v>0.32642</v>
      </c>
      <c r="AH139" s="80">
        <f t="shared" si="70"/>
        <v>0.00292564442691715</v>
      </c>
      <c r="AI139" s="71"/>
      <c r="AJ139" s="79">
        <f>SUM(AJ135:AJ138)</f>
        <v>0.41062</v>
      </c>
      <c r="AK139" s="80">
        <f t="shared" si="71"/>
        <v>0.00368031405729036</v>
      </c>
      <c r="AL139" s="71"/>
      <c r="AM139" s="79">
        <f>SUM(AM135:AM138)</f>
        <v>0.41949</v>
      </c>
      <c r="AN139" s="80">
        <f t="shared" si="72"/>
        <v>0.00375981429032374</v>
      </c>
      <c r="AO139" s="71"/>
      <c r="AP139" s="79">
        <f>SUM(AP135:AP138)</f>
        <v>5.93774</v>
      </c>
      <c r="AQ139" s="80">
        <f t="shared" si="68"/>
        <v>0.00566689635558135</v>
      </c>
    </row>
    <row r="140" spans="1:44">
      <c r="A140" s="56" t="s">
        <v>70</v>
      </c>
      <c r="B140" s="81">
        <v>6666010380</v>
      </c>
      <c r="C140" s="57" t="s">
        <v>54</v>
      </c>
      <c r="D140" s="57" t="s">
        <v>294</v>
      </c>
      <c r="E140" s="2"/>
      <c r="F140" s="82">
        <v>0</v>
      </c>
      <c r="G140" s="83"/>
      <c r="I140" s="82">
        <v>0</v>
      </c>
      <c r="J140" s="83"/>
      <c r="L140" s="82">
        <v>0</v>
      </c>
      <c r="M140" s="83"/>
      <c r="O140" s="82">
        <v>0</v>
      </c>
      <c r="P140" s="83"/>
      <c r="Q140" s="71"/>
      <c r="R140" s="82">
        <v>0</v>
      </c>
      <c r="S140" s="83"/>
      <c r="T140" s="71"/>
      <c r="U140" s="82">
        <v>0</v>
      </c>
      <c r="V140" s="83"/>
      <c r="W140" s="71"/>
      <c r="X140" s="82">
        <v>0</v>
      </c>
      <c r="Y140" s="83"/>
      <c r="Z140" s="71"/>
      <c r="AA140" s="82">
        <v>0</v>
      </c>
      <c r="AB140" s="83"/>
      <c r="AC140" s="71"/>
      <c r="AD140" s="82">
        <v>0.14205</v>
      </c>
      <c r="AE140" s="30">
        <f t="shared" si="66"/>
        <v>0.0015639794772422</v>
      </c>
      <c r="AF140" s="71"/>
      <c r="AG140" s="82">
        <v>0.14206</v>
      </c>
      <c r="AH140" s="30">
        <f t="shared" si="70"/>
        <v>0.00127325852364393</v>
      </c>
      <c r="AI140" s="71"/>
      <c r="AJ140" s="82">
        <v>0.14207</v>
      </c>
      <c r="AK140" s="30">
        <f t="shared" si="71"/>
        <v>0.00127334815186606</v>
      </c>
      <c r="AL140" s="71"/>
      <c r="AM140" s="82">
        <v>0.14207</v>
      </c>
      <c r="AN140" s="30">
        <f t="shared" si="72"/>
        <v>0.00127334815186606</v>
      </c>
      <c r="AO140" s="71"/>
      <c r="AP140" s="82">
        <f t="shared" ref="AP140:AP141" si="73">I140+F140+L140+O140+R140+U140+X140+AA140+AD140+AG140+AJ140+AM140</f>
        <v>0.56825</v>
      </c>
      <c r="AQ140" s="30">
        <f t="shared" si="68"/>
        <v>0.000542329885454584</v>
      </c>
    </row>
    <row r="141" outlineLevel="1" spans="1:44">
      <c r="A141" s="56" t="s">
        <v>70</v>
      </c>
      <c r="B141" s="77">
        <v>5102040406</v>
      </c>
      <c r="C141" t="s">
        <v>295</v>
      </c>
      <c r="D141" t="s">
        <v>296</v>
      </c>
      <c r="F141" s="78">
        <v>0.00964</v>
      </c>
      <c r="G141" s="30">
        <f t="shared" si="59"/>
        <v>0.000120935367322361</v>
      </c>
      <c r="I141" s="78">
        <v>0</v>
      </c>
      <c r="J141" s="30">
        <f t="shared" si="60"/>
        <v>0</v>
      </c>
      <c r="L141" s="78">
        <v>0</v>
      </c>
      <c r="M141" s="30">
        <f t="shared" si="69"/>
        <v>0</v>
      </c>
      <c r="O141" s="78">
        <v>0</v>
      </c>
      <c r="P141" s="30">
        <f t="shared" si="61"/>
        <v>0</v>
      </c>
      <c r="Q141" s="71"/>
      <c r="R141" s="78">
        <v>0</v>
      </c>
      <c r="S141" s="30">
        <f t="shared" si="62"/>
        <v>0</v>
      </c>
      <c r="T141" s="71"/>
      <c r="U141" s="78">
        <v>0</v>
      </c>
      <c r="V141" s="30">
        <f t="shared" si="63"/>
        <v>0</v>
      </c>
      <c r="W141" s="71"/>
      <c r="X141" s="78">
        <v>0</v>
      </c>
      <c r="Y141" s="30">
        <f t="shared" si="64"/>
        <v>0</v>
      </c>
      <c r="Z141" s="71"/>
      <c r="AA141" s="78">
        <v>0</v>
      </c>
      <c r="AB141" s="30">
        <f t="shared" si="65"/>
        <v>0</v>
      </c>
      <c r="AC141" s="71"/>
      <c r="AD141" s="78">
        <v>0</v>
      </c>
      <c r="AE141" s="30">
        <f t="shared" si="66"/>
        <v>0</v>
      </c>
      <c r="AF141" s="71"/>
      <c r="AG141" s="78">
        <v>0</v>
      </c>
      <c r="AH141" s="30">
        <f t="shared" si="70"/>
        <v>0</v>
      </c>
      <c r="AI141" s="71"/>
      <c r="AJ141" s="78">
        <v>0</v>
      </c>
      <c r="AK141" s="30">
        <f t="shared" si="71"/>
        <v>0</v>
      </c>
      <c r="AL141" s="71"/>
      <c r="AM141" s="78">
        <v>0</v>
      </c>
      <c r="AN141" s="30">
        <f t="shared" si="72"/>
        <v>0</v>
      </c>
      <c r="AO141" s="71"/>
      <c r="AP141" s="78">
        <f t="shared" si="73"/>
        <v>0.00964</v>
      </c>
      <c r="AQ141" s="30">
        <f t="shared" si="68"/>
        <v>9.20028173476848e-6</v>
      </c>
    </row>
    <row r="142" spans="1:44">
      <c r="A142" s="56"/>
      <c r="B142" s="37" t="s">
        <v>297</v>
      </c>
      <c r="C142" s="37" t="s">
        <v>53</v>
      </c>
      <c r="D142" s="38" t="s">
        <v>298</v>
      </c>
      <c r="E142" s="39"/>
      <c r="F142" s="79">
        <f>SUM(F140:F141)</f>
        <v>0.00964</v>
      </c>
      <c r="G142" s="80">
        <f t="shared" si="59"/>
        <v>0.000120935367322361</v>
      </c>
      <c r="I142" s="79">
        <f>+I141</f>
        <v>0</v>
      </c>
      <c r="J142" s="80">
        <f t="shared" si="60"/>
        <v>0</v>
      </c>
      <c r="L142" s="79">
        <f>+L141</f>
        <v>0</v>
      </c>
      <c r="M142" s="80">
        <f t="shared" si="69"/>
        <v>0</v>
      </c>
      <c r="O142" s="79">
        <f>+O141</f>
        <v>0</v>
      </c>
      <c r="P142" s="80">
        <f t="shared" si="61"/>
        <v>0</v>
      </c>
      <c r="Q142" s="71"/>
      <c r="R142" s="79">
        <f>+R141</f>
        <v>0</v>
      </c>
      <c r="S142" s="80">
        <f t="shared" si="62"/>
        <v>0</v>
      </c>
      <c r="T142" s="71"/>
      <c r="U142" s="79">
        <f>+U141</f>
        <v>0</v>
      </c>
      <c r="V142" s="80">
        <f t="shared" si="63"/>
        <v>0</v>
      </c>
      <c r="W142" s="71"/>
      <c r="X142" s="79">
        <f>+X141</f>
        <v>0</v>
      </c>
      <c r="Y142" s="80">
        <f t="shared" si="64"/>
        <v>0</v>
      </c>
      <c r="Z142" s="71"/>
      <c r="AA142" s="79">
        <f>+AA141</f>
        <v>0</v>
      </c>
      <c r="AB142" s="80">
        <f t="shared" si="65"/>
        <v>0</v>
      </c>
      <c r="AC142" s="71"/>
      <c r="AD142" s="79">
        <f>+AD141+AD140</f>
        <v>0.14205</v>
      </c>
      <c r="AE142" s="80">
        <f t="shared" si="66"/>
        <v>0.0015639794772422</v>
      </c>
      <c r="AF142" s="71"/>
      <c r="AG142" s="79">
        <f>+AG141+AG140</f>
        <v>0.14206</v>
      </c>
      <c r="AH142" s="80">
        <f t="shared" si="70"/>
        <v>0.00127325852364393</v>
      </c>
      <c r="AI142" s="71"/>
      <c r="AJ142" s="79">
        <f>+AJ141+AJ140</f>
        <v>0.14207</v>
      </c>
      <c r="AK142" s="80">
        <f t="shared" si="71"/>
        <v>0.00127334815186606</v>
      </c>
      <c r="AL142" s="71"/>
      <c r="AM142" s="79">
        <v>0</v>
      </c>
      <c r="AN142" s="80">
        <f t="shared" si="72"/>
        <v>0</v>
      </c>
      <c r="AO142" s="71"/>
      <c r="AP142" s="79">
        <f>+AP141+AP140</f>
        <v>0.57789</v>
      </c>
      <c r="AQ142" s="80">
        <f t="shared" si="68"/>
        <v>0.000551530167189352</v>
      </c>
    </row>
    <row r="143" outlineLevel="2" spans="1:44">
      <c r="A143" s="56" t="s">
        <v>70</v>
      </c>
      <c r="B143" s="77">
        <v>6666029996</v>
      </c>
      <c r="C143" t="s">
        <v>157</v>
      </c>
      <c r="D143" t="s">
        <v>299</v>
      </c>
      <c r="F143" s="78">
        <v>0.01762</v>
      </c>
      <c r="G143" s="30">
        <f t="shared" si="59"/>
        <v>0.000221045764753111</v>
      </c>
      <c r="I143" s="78">
        <v>0.01628</v>
      </c>
      <c r="J143" s="30">
        <f t="shared" si="60"/>
        <v>0.000198282686803483</v>
      </c>
      <c r="L143" s="78">
        <v>0.01593</v>
      </c>
      <c r="M143" s="30">
        <f t="shared" si="69"/>
        <v>0.000171924409380835</v>
      </c>
      <c r="O143" s="78">
        <v>-0.1195</v>
      </c>
      <c r="P143" s="30">
        <f t="shared" si="61"/>
        <v>-0.00121089910525196</v>
      </c>
      <c r="Q143" s="71"/>
      <c r="R143" s="78">
        <v>0.01342</v>
      </c>
      <c r="S143" s="30">
        <f t="shared" si="62"/>
        <v>0.000143755422964447</v>
      </c>
      <c r="T143" s="71"/>
      <c r="U143" s="78">
        <v>0.0137</v>
      </c>
      <c r="V143" s="30">
        <f t="shared" si="63"/>
        <v>0.000182442870079369</v>
      </c>
      <c r="W143" s="71"/>
      <c r="X143" s="78">
        <v>0.01371</v>
      </c>
      <c r="Y143" s="30">
        <f t="shared" si="64"/>
        <v>0.000176223344773069</v>
      </c>
      <c r="Z143" s="71"/>
      <c r="AA143" s="78">
        <v>0.00659</v>
      </c>
      <c r="AB143" s="30">
        <f t="shared" si="65"/>
        <v>0.000112051962184588</v>
      </c>
      <c r="AC143" s="71"/>
      <c r="AD143" s="78">
        <v>0.02075</v>
      </c>
      <c r="AE143" s="30">
        <f t="shared" si="66"/>
        <v>0.000228458811353577</v>
      </c>
      <c r="AF143" s="71"/>
      <c r="AG143" s="78">
        <v>0.13499</v>
      </c>
      <c r="AH143" s="30">
        <f t="shared" si="70"/>
        <v>0.00120989137059477</v>
      </c>
      <c r="AI143" s="71"/>
      <c r="AJ143" s="78">
        <v>0.0291</v>
      </c>
      <c r="AK143" s="30">
        <f t="shared" si="71"/>
        <v>0.000260818126411645</v>
      </c>
      <c r="AL143" s="71"/>
      <c r="AM143" s="78">
        <v>0.05271</v>
      </c>
      <c r="AN143" s="30">
        <f t="shared" si="72"/>
        <v>0.000472430358871401</v>
      </c>
      <c r="AO143" s="71"/>
      <c r="AP143" s="78">
        <f t="shared" ref="AP143:AP185" si="74">I143+F143+L143+O143+R143+U143+X143+AA143+AD143+AG143+AJ143+AM143</f>
        <v>0.2153</v>
      </c>
      <c r="AQ143" s="30">
        <f t="shared" si="68"/>
        <v>0.000205479321316976</v>
      </c>
    </row>
    <row r="144" spans="1:44">
      <c r="A144" s="56" t="s">
        <v>70</v>
      </c>
      <c r="B144" s="77">
        <v>6666029700</v>
      </c>
      <c r="C144" s="3" t="s">
        <v>153</v>
      </c>
      <c r="D144" s="3" t="s">
        <v>300</v>
      </c>
      <c r="F144" s="78">
        <v>53.88711</v>
      </c>
      <c r="G144" s="30">
        <f t="shared" si="59"/>
        <v>0.676022556202328</v>
      </c>
      <c r="I144" s="78">
        <v>122.14437</v>
      </c>
      <c r="J144" s="30">
        <f t="shared" si="60"/>
        <v>1.48766055660435</v>
      </c>
      <c r="L144" s="78">
        <v>86.51221</v>
      </c>
      <c r="M144" s="30">
        <f t="shared" si="69"/>
        <v>0.933682398523587</v>
      </c>
      <c r="O144" s="78">
        <v>20.24921</v>
      </c>
      <c r="P144" s="30">
        <f t="shared" si="61"/>
        <v>0.205186194736895</v>
      </c>
      <c r="Q144" s="71"/>
      <c r="R144" s="78">
        <v>47.56036</v>
      </c>
      <c r="S144" s="30">
        <f t="shared" si="62"/>
        <v>0.509467933542575</v>
      </c>
      <c r="T144" s="71"/>
      <c r="U144" s="78">
        <v>51.66404</v>
      </c>
      <c r="V144" s="30">
        <f t="shared" si="63"/>
        <v>0.688009907846375</v>
      </c>
      <c r="W144" s="71"/>
      <c r="X144" s="78">
        <v>57.53587</v>
      </c>
      <c r="Y144" s="30">
        <f t="shared" si="64"/>
        <v>0.739545109834317</v>
      </c>
      <c r="Z144" s="71"/>
      <c r="AA144" s="78">
        <v>44.4963</v>
      </c>
      <c r="AB144" s="30">
        <f t="shared" si="65"/>
        <v>0.756585390736584</v>
      </c>
      <c r="AC144" s="71"/>
      <c r="AD144" s="78">
        <v>66.55851</v>
      </c>
      <c r="AE144" s="30">
        <f t="shared" si="66"/>
        <v>0.732813401448924</v>
      </c>
      <c r="AF144" s="71"/>
      <c r="AG144" s="78">
        <v>53.46202</v>
      </c>
      <c r="AH144" s="30">
        <f t="shared" si="70"/>
        <v>0.479170580432367</v>
      </c>
      <c r="AI144" s="71"/>
      <c r="AJ144" s="78">
        <v>54.31087</v>
      </c>
      <c r="AK144" s="30">
        <f t="shared" si="71"/>
        <v>0.486778672068261</v>
      </c>
      <c r="AL144" s="71"/>
      <c r="AM144" s="78">
        <v>31.3371</v>
      </c>
      <c r="AN144" s="30">
        <f t="shared" si="72"/>
        <v>0.280868855985373</v>
      </c>
      <c r="AO144" s="71"/>
      <c r="AP144" s="78">
        <f t="shared" si="74"/>
        <v>689.71797</v>
      </c>
      <c r="AQ144" s="30">
        <f t="shared" si="68"/>
        <v>0.658257224225373</v>
      </c>
    </row>
    <row r="145" outlineLevel="3" spans="1:43">
      <c r="A145" s="56" t="s">
        <v>70</v>
      </c>
      <c r="B145" s="77">
        <v>6666010322</v>
      </c>
      <c r="C145" t="s">
        <v>108</v>
      </c>
      <c r="D145" t="s">
        <v>301</v>
      </c>
      <c r="F145" s="78">
        <v>0.04594</v>
      </c>
      <c r="G145" s="30">
        <f t="shared" si="59"/>
        <v>0.000576324769169008</v>
      </c>
      <c r="I145" s="78">
        <v>0.00277</v>
      </c>
      <c r="J145" s="30">
        <f t="shared" si="60"/>
        <v>3.37372876195116e-5</v>
      </c>
      <c r="L145" s="78">
        <v>0.43379</v>
      </c>
      <c r="M145" s="30">
        <f t="shared" si="69"/>
        <v>0.00468167542657328</v>
      </c>
      <c r="O145" s="78">
        <v>0.19369</v>
      </c>
      <c r="P145" s="30">
        <f t="shared" si="61"/>
        <v>0.00196266985519876</v>
      </c>
      <c r="Q145" s="71"/>
      <c r="R145" s="78">
        <v>0.07768</v>
      </c>
      <c r="S145" s="30">
        <f t="shared" si="62"/>
        <v>0.000832110376742044</v>
      </c>
      <c r="T145" s="71"/>
      <c r="U145" s="78">
        <v>0.72077</v>
      </c>
      <c r="V145" s="30">
        <f t="shared" si="63"/>
        <v>0.00959849251584723</v>
      </c>
      <c r="W145" s="71"/>
      <c r="X145" s="78">
        <v>0.39519</v>
      </c>
      <c r="Y145" s="30">
        <f t="shared" si="64"/>
        <v>0.00507962827285698</v>
      </c>
      <c r="Z145" s="71"/>
      <c r="AA145" s="78">
        <v>0.12551</v>
      </c>
      <c r="AB145" s="30">
        <f t="shared" si="65"/>
        <v>0.00213408828130314</v>
      </c>
      <c r="AC145" s="71"/>
      <c r="AD145" s="78">
        <v>0.34669</v>
      </c>
      <c r="AE145" s="30">
        <f t="shared" si="66"/>
        <v>0.00381707881003237</v>
      </c>
      <c r="AF145" s="71"/>
      <c r="AG145" s="78">
        <v>6e-5</v>
      </c>
      <c r="AH145" s="30">
        <f t="shared" si="70"/>
        <v>5.37769332807514e-7</v>
      </c>
      <c r="AI145" s="71"/>
      <c r="AJ145" s="78">
        <v>0.00198</v>
      </c>
      <c r="AK145" s="30">
        <f t="shared" si="71"/>
        <v>1.7746387982648e-5</v>
      </c>
      <c r="AL145" s="71"/>
      <c r="AM145" s="78">
        <v>1.52042</v>
      </c>
      <c r="AN145" s="30">
        <f t="shared" si="72"/>
        <v>0.0136272541497867</v>
      </c>
      <c r="AO145" s="71"/>
      <c r="AP145" s="78">
        <f t="shared" si="74"/>
        <v>3.86449</v>
      </c>
      <c r="AQ145" s="30">
        <f t="shared" si="68"/>
        <v>0.00368821543165928</v>
      </c>
    </row>
    <row r="146" outlineLevel="3" spans="1:43">
      <c r="A146" s="56" t="s">
        <v>70</v>
      </c>
      <c r="B146" s="77">
        <v>6666020495</v>
      </c>
      <c r="C146" t="s">
        <v>129</v>
      </c>
      <c r="D146" t="s">
        <v>302</v>
      </c>
      <c r="F146" s="78">
        <v>0.00279</v>
      </c>
      <c r="G146" s="30">
        <f t="shared" si="59"/>
        <v>3.50010036130068e-5</v>
      </c>
      <c r="I146" s="78">
        <v>10.74655</v>
      </c>
      <c r="J146" s="30">
        <f t="shared" si="60"/>
        <v>0.130887887461178</v>
      </c>
      <c r="L146" s="78">
        <v>0.02636</v>
      </c>
      <c r="M146" s="30">
        <f t="shared" si="69"/>
        <v>0.000284490108680402</v>
      </c>
      <c r="O146" s="78">
        <v>0.01557</v>
      </c>
      <c r="P146" s="30">
        <f t="shared" si="61"/>
        <v>0.00015777154032446</v>
      </c>
      <c r="Q146" s="71"/>
      <c r="R146" s="78">
        <v>0.00213</v>
      </c>
      <c r="S146" s="30">
        <f t="shared" si="62"/>
        <v>2.28166207834778e-5</v>
      </c>
      <c r="T146" s="71"/>
      <c r="U146" s="78">
        <v>0</v>
      </c>
      <c r="V146" s="30">
        <f t="shared" si="63"/>
        <v>0</v>
      </c>
      <c r="W146" s="71"/>
      <c r="X146" s="78">
        <v>0.18151</v>
      </c>
      <c r="Y146" s="30">
        <f t="shared" si="64"/>
        <v>0.00233306340698467</v>
      </c>
      <c r="Z146" s="71"/>
      <c r="AA146" s="78">
        <v>0.00317</v>
      </c>
      <c r="AB146" s="30">
        <f t="shared" si="65"/>
        <v>5.39005645106441e-5</v>
      </c>
      <c r="AC146" s="71"/>
      <c r="AD146" s="78">
        <v>0.12906</v>
      </c>
      <c r="AE146" s="30">
        <f t="shared" si="66"/>
        <v>0.00142095875630326</v>
      </c>
      <c r="AF146" s="71"/>
      <c r="AG146" s="78">
        <v>0.01149</v>
      </c>
      <c r="AH146" s="30">
        <f t="shared" si="70"/>
        <v>0.000102982827232639</v>
      </c>
      <c r="AI146" s="71"/>
      <c r="AJ146" s="78">
        <v>0.07433</v>
      </c>
      <c r="AK146" s="30">
        <f t="shared" si="71"/>
        <v>0.000666206575126376</v>
      </c>
      <c r="AL146" s="71"/>
      <c r="AM146" s="78">
        <v>0.36008</v>
      </c>
      <c r="AN146" s="30">
        <f t="shared" si="72"/>
        <v>0.00322733302262216</v>
      </c>
      <c r="AO146" s="71"/>
      <c r="AP146" s="78">
        <f t="shared" si="74"/>
        <v>11.55304</v>
      </c>
      <c r="AQ146" s="30">
        <f t="shared" si="68"/>
        <v>0.011026060466084</v>
      </c>
    </row>
    <row r="147" outlineLevel="3" spans="1:43">
      <c r="A147" s="56" t="s">
        <v>70</v>
      </c>
      <c r="B147" s="77">
        <v>5301060000</v>
      </c>
      <c r="C147" t="s">
        <v>94</v>
      </c>
      <c r="D147" t="s">
        <v>303</v>
      </c>
      <c r="F147" s="78">
        <v>-0.0683</v>
      </c>
      <c r="G147" s="30">
        <f t="shared" si="59"/>
        <v>-0.000856834604576475</v>
      </c>
      <c r="I147" s="78">
        <v>0</v>
      </c>
      <c r="J147" s="30">
        <f t="shared" si="60"/>
        <v>0</v>
      </c>
      <c r="L147" s="78">
        <v>0</v>
      </c>
      <c r="M147" s="30">
        <f t="shared" si="69"/>
        <v>0</v>
      </c>
      <c r="O147" s="78">
        <v>0</v>
      </c>
      <c r="P147" s="30">
        <f t="shared" si="61"/>
        <v>0</v>
      </c>
      <c r="Q147" s="71"/>
      <c r="R147" s="78">
        <v>0</v>
      </c>
      <c r="S147" s="30">
        <f t="shared" si="62"/>
        <v>0</v>
      </c>
      <c r="T147" s="71"/>
      <c r="U147" s="78">
        <v>0</v>
      </c>
      <c r="V147" s="30">
        <f t="shared" si="63"/>
        <v>0</v>
      </c>
      <c r="W147" s="71"/>
      <c r="X147" s="78">
        <v>0</v>
      </c>
      <c r="Y147" s="30">
        <f t="shared" si="64"/>
        <v>0</v>
      </c>
      <c r="Z147" s="71"/>
      <c r="AA147" s="78">
        <v>0</v>
      </c>
      <c r="AB147" s="30">
        <f t="shared" si="65"/>
        <v>0</v>
      </c>
      <c r="AC147" s="71"/>
      <c r="AD147" s="78">
        <v>0</v>
      </c>
      <c r="AE147" s="30">
        <f t="shared" si="66"/>
        <v>0</v>
      </c>
      <c r="AF147" s="71"/>
      <c r="AG147" s="78">
        <v>0</v>
      </c>
      <c r="AH147" s="30">
        <f t="shared" si="70"/>
        <v>0</v>
      </c>
      <c r="AI147" s="71"/>
      <c r="AJ147" s="78">
        <v>0</v>
      </c>
      <c r="AK147" s="30">
        <f t="shared" si="71"/>
        <v>0</v>
      </c>
      <c r="AL147" s="71"/>
      <c r="AM147" s="78">
        <v>0</v>
      </c>
      <c r="AN147" s="30">
        <f t="shared" si="72"/>
        <v>0</v>
      </c>
      <c r="AO147" s="71"/>
      <c r="AP147" s="78">
        <f t="shared" si="74"/>
        <v>-0.0683</v>
      </c>
      <c r="AQ147" s="30">
        <f t="shared" si="68"/>
        <v>-6.51845687224779e-5</v>
      </c>
    </row>
    <row r="148" outlineLevel="3" spans="1:43">
      <c r="A148" s="56" t="s">
        <v>70</v>
      </c>
      <c r="B148" s="77">
        <v>5601050000</v>
      </c>
      <c r="C148" t="s">
        <v>100</v>
      </c>
      <c r="D148" t="s">
        <v>304</v>
      </c>
      <c r="F148" s="78">
        <v>0</v>
      </c>
      <c r="G148" s="30"/>
      <c r="I148" s="78">
        <v>0.02009</v>
      </c>
      <c r="J148" s="30">
        <f t="shared" si="60"/>
        <v>0.000244686681688082</v>
      </c>
      <c r="L148" s="78">
        <v>0</v>
      </c>
      <c r="M148" s="30">
        <f t="shared" si="69"/>
        <v>0</v>
      </c>
      <c r="O148" s="78">
        <v>0</v>
      </c>
      <c r="P148" s="30">
        <f t="shared" si="61"/>
        <v>0</v>
      </c>
      <c r="Q148" s="71"/>
      <c r="R148" s="78">
        <v>0.01758</v>
      </c>
      <c r="S148" s="30">
        <f t="shared" si="62"/>
        <v>0.000188317461677718</v>
      </c>
      <c r="T148" s="71"/>
      <c r="U148" s="78">
        <v>0</v>
      </c>
      <c r="V148" s="30">
        <f t="shared" si="63"/>
        <v>0</v>
      </c>
      <c r="W148" s="71"/>
      <c r="X148" s="78">
        <v>0</v>
      </c>
      <c r="Y148" s="30">
        <f t="shared" si="64"/>
        <v>0</v>
      </c>
      <c r="Z148" s="71"/>
      <c r="AA148" s="78">
        <v>0</v>
      </c>
      <c r="AB148" s="30">
        <f t="shared" si="65"/>
        <v>0</v>
      </c>
      <c r="AC148" s="71"/>
      <c r="AD148" s="78">
        <v>0</v>
      </c>
      <c r="AE148" s="30">
        <f t="shared" si="66"/>
        <v>0</v>
      </c>
      <c r="AF148" s="71"/>
      <c r="AG148" s="78">
        <v>0</v>
      </c>
      <c r="AH148" s="30">
        <f t="shared" si="70"/>
        <v>0</v>
      </c>
      <c r="AI148" s="71"/>
      <c r="AJ148" s="78">
        <v>0</v>
      </c>
      <c r="AK148" s="30">
        <f t="shared" si="71"/>
        <v>0</v>
      </c>
      <c r="AL148" s="71"/>
      <c r="AM148" s="78">
        <v>0</v>
      </c>
      <c r="AN148" s="30">
        <f t="shared" si="72"/>
        <v>0</v>
      </c>
      <c r="AO148" s="71"/>
      <c r="AP148" s="78">
        <f t="shared" si="74"/>
        <v>0.03767</v>
      </c>
      <c r="AQ148" s="30">
        <f t="shared" si="68"/>
        <v>3.59517233349303e-5</v>
      </c>
    </row>
    <row r="149" outlineLevel="3" spans="1:43">
      <c r="A149" s="56" t="s">
        <v>70</v>
      </c>
      <c r="B149" s="77">
        <v>5601050100</v>
      </c>
      <c r="C149" t="s">
        <v>102</v>
      </c>
      <c r="D149" t="s">
        <v>305</v>
      </c>
      <c r="F149" s="78">
        <v>0.08745</v>
      </c>
      <c r="G149" s="30">
        <f t="shared" si="59"/>
        <v>0.00109707446808511</v>
      </c>
      <c r="I149" s="78">
        <v>0.92271</v>
      </c>
      <c r="J149" s="30">
        <f t="shared" si="60"/>
        <v>0.0112381706351623</v>
      </c>
      <c r="L149" s="78">
        <v>0.82058</v>
      </c>
      <c r="M149" s="30">
        <f t="shared" si="69"/>
        <v>0.00885610369427027</v>
      </c>
      <c r="O149" s="78">
        <v>0.0538</v>
      </c>
      <c r="P149" s="30">
        <f t="shared" si="61"/>
        <v>0.000545157923536028</v>
      </c>
      <c r="Q149" s="71"/>
      <c r="R149" s="78">
        <v>0.04163</v>
      </c>
      <c r="S149" s="30">
        <f t="shared" si="62"/>
        <v>0.000445941747988817</v>
      </c>
      <c r="T149" s="71"/>
      <c r="U149" s="78">
        <v>0.13224</v>
      </c>
      <c r="V149" s="30">
        <f t="shared" si="63"/>
        <v>0.00176103979118947</v>
      </c>
      <c r="W149" s="71"/>
      <c r="X149" s="78">
        <v>0.44199</v>
      </c>
      <c r="Y149" s="30">
        <f t="shared" si="64"/>
        <v>0.00568117842131647</v>
      </c>
      <c r="Z149" s="71"/>
      <c r="AA149" s="78">
        <v>0.14439</v>
      </c>
      <c r="AB149" s="30">
        <f t="shared" si="65"/>
        <v>0.00245511120179555</v>
      </c>
      <c r="AC149" s="71"/>
      <c r="AD149" s="78">
        <v>0.49921</v>
      </c>
      <c r="AE149" s="30">
        <f t="shared" si="66"/>
        <v>0.00549633364895514</v>
      </c>
      <c r="AF149" s="71"/>
      <c r="AG149" s="78">
        <v>0.15526</v>
      </c>
      <c r="AH149" s="30">
        <f t="shared" si="70"/>
        <v>0.00139156777686158</v>
      </c>
      <c r="AI149" s="71"/>
      <c r="AJ149" s="78">
        <v>0.05027</v>
      </c>
      <c r="AK149" s="30">
        <f t="shared" si="71"/>
        <v>0.000450561072670562</v>
      </c>
      <c r="AL149" s="71"/>
      <c r="AM149" s="78">
        <v>0.10387</v>
      </c>
      <c r="AN149" s="30">
        <f t="shared" si="72"/>
        <v>0.000930968343311942</v>
      </c>
      <c r="AO149" s="71"/>
      <c r="AP149" s="78">
        <f t="shared" si="74"/>
        <v>3.4534</v>
      </c>
      <c r="AQ149" s="30">
        <f t="shared" si="68"/>
        <v>0.00329587686129144</v>
      </c>
    </row>
    <row r="150" spans="1:43">
      <c r="A150" s="56" t="s">
        <v>70</v>
      </c>
      <c r="B150" s="77">
        <v>5601080000</v>
      </c>
      <c r="C150" t="s">
        <v>306</v>
      </c>
      <c r="D150" t="s">
        <v>307</v>
      </c>
      <c r="F150" s="78">
        <v>7.11734</v>
      </c>
      <c r="G150" s="30">
        <f t="shared" si="59"/>
        <v>0.0892881874749097</v>
      </c>
      <c r="I150" s="78">
        <v>6e-5</v>
      </c>
      <c r="J150" s="30">
        <f t="shared" si="60"/>
        <v>7.30771572985811e-7</v>
      </c>
      <c r="L150" s="78">
        <v>0</v>
      </c>
      <c r="M150" s="30">
        <f t="shared" si="69"/>
        <v>0</v>
      </c>
      <c r="O150" s="78">
        <v>0.61357</v>
      </c>
      <c r="P150" s="30">
        <f t="shared" si="61"/>
        <v>0.00621733359003719</v>
      </c>
      <c r="Q150" s="71"/>
      <c r="R150" s="78">
        <v>0.00377</v>
      </c>
      <c r="S150" s="30">
        <f t="shared" si="62"/>
        <v>4.0384347583902e-5</v>
      </c>
      <c r="T150" s="71"/>
      <c r="U150" s="78">
        <v>0</v>
      </c>
      <c r="V150" s="30">
        <f t="shared" si="63"/>
        <v>0</v>
      </c>
      <c r="W150" s="71"/>
      <c r="X150" s="78">
        <v>0.26291</v>
      </c>
      <c r="Y150" s="30">
        <f t="shared" si="64"/>
        <v>0.00337934934896335</v>
      </c>
      <c r="Z150" s="71"/>
      <c r="AA150" s="78">
        <v>0.02452</v>
      </c>
      <c r="AB150" s="30">
        <f t="shared" si="65"/>
        <v>0.000416921716656465</v>
      </c>
      <c r="AC150" s="71"/>
      <c r="AD150" s="78">
        <v>0</v>
      </c>
      <c r="AE150" s="30">
        <f t="shared" si="66"/>
        <v>0</v>
      </c>
      <c r="AF150" s="71"/>
      <c r="AG150" s="78">
        <v>0.98581</v>
      </c>
      <c r="AH150" s="30">
        <f t="shared" si="70"/>
        <v>0.0088356397662496</v>
      </c>
      <c r="AI150" s="71"/>
      <c r="AJ150" s="78">
        <v>0</v>
      </c>
      <c r="AK150" s="30">
        <f t="shared" si="71"/>
        <v>0</v>
      </c>
      <c r="AL150" s="71"/>
      <c r="AM150" s="78">
        <v>0.98701</v>
      </c>
      <c r="AN150" s="30">
        <f t="shared" si="72"/>
        <v>0.00884639515290575</v>
      </c>
      <c r="AO150" s="71"/>
      <c r="AP150" s="78">
        <f t="shared" si="74"/>
        <v>9.99499</v>
      </c>
      <c r="AQ150" s="30">
        <f t="shared" si="68"/>
        <v>0.00953907924649311</v>
      </c>
    </row>
    <row r="151" spans="1:43">
      <c r="A151" s="56" t="s">
        <v>70</v>
      </c>
      <c r="B151" s="77">
        <v>6666020101</v>
      </c>
      <c r="C151" t="s">
        <v>110</v>
      </c>
      <c r="D151" t="s">
        <v>308</v>
      </c>
      <c r="F151" s="78">
        <v>0</v>
      </c>
      <c r="G151" s="30"/>
      <c r="I151" s="78">
        <v>0</v>
      </c>
      <c r="J151" s="30"/>
      <c r="L151" s="78">
        <v>-0.12373</v>
      </c>
      <c r="M151" s="30">
        <f t="shared" si="69"/>
        <v>-0.00133535512697368</v>
      </c>
      <c r="O151" s="78">
        <v>0</v>
      </c>
      <c r="P151" s="30">
        <f t="shared" si="61"/>
        <v>0</v>
      </c>
      <c r="Q151" s="71"/>
      <c r="R151" s="78">
        <v>0</v>
      </c>
      <c r="S151" s="30">
        <f t="shared" si="62"/>
        <v>0</v>
      </c>
      <c r="T151" s="71"/>
      <c r="U151" s="78">
        <v>0.40151</v>
      </c>
      <c r="V151" s="30">
        <f t="shared" si="63"/>
        <v>0.00534690779310712</v>
      </c>
      <c r="W151" s="71"/>
      <c r="X151" s="78">
        <v>0.05906</v>
      </c>
      <c r="Y151" s="30">
        <f t="shared" si="64"/>
        <v>0.000759135721538837</v>
      </c>
      <c r="Z151" s="71"/>
      <c r="AA151" s="78">
        <v>0</v>
      </c>
      <c r="AB151" s="30">
        <f t="shared" si="65"/>
        <v>0</v>
      </c>
      <c r="AC151" s="71"/>
      <c r="AD151" s="78">
        <v>0.33045</v>
      </c>
      <c r="AE151" s="30">
        <f t="shared" si="66"/>
        <v>0.0036382753837007</v>
      </c>
      <c r="AF151" s="71"/>
      <c r="AG151" s="78">
        <v>-0.01322</v>
      </c>
      <c r="AH151" s="30">
        <f t="shared" si="70"/>
        <v>-0.000118488509661922</v>
      </c>
      <c r="AI151" s="71"/>
      <c r="AJ151" s="78">
        <v>0.90988</v>
      </c>
      <c r="AK151" s="30">
        <f t="shared" si="71"/>
        <v>0.00815509267558169</v>
      </c>
      <c r="AL151" s="71"/>
      <c r="AM151" s="78">
        <v>0.32373</v>
      </c>
      <c r="AN151" s="30">
        <f t="shared" si="72"/>
        <v>0.00290153443516294</v>
      </c>
      <c r="AO151" s="71"/>
      <c r="AP151" s="78">
        <f t="shared" si="74"/>
        <v>1.88768</v>
      </c>
      <c r="AQ151" s="30">
        <f t="shared" si="68"/>
        <v>0.00180157550052778</v>
      </c>
    </row>
    <row r="152" outlineLevel="1" spans="1:43">
      <c r="A152" s="56" t="s">
        <v>70</v>
      </c>
      <c r="B152" s="77">
        <v>6666020201</v>
      </c>
      <c r="C152" t="s">
        <v>112</v>
      </c>
      <c r="D152" t="s">
        <v>309</v>
      </c>
      <c r="F152" s="78">
        <v>0.07189</v>
      </c>
      <c r="G152" s="30">
        <f t="shared" si="59"/>
        <v>0.000901871738257728</v>
      </c>
      <c r="I152" s="78">
        <v>0.1187</v>
      </c>
      <c r="J152" s="30">
        <f t="shared" si="60"/>
        <v>0.00144570976189026</v>
      </c>
      <c r="L152" s="78">
        <v>0.21122</v>
      </c>
      <c r="M152" s="30">
        <f t="shared" si="69"/>
        <v>0.00227959031697551</v>
      </c>
      <c r="O152" s="78">
        <v>0.55626</v>
      </c>
      <c r="P152" s="30">
        <f t="shared" si="61"/>
        <v>0.00563660867186154</v>
      </c>
      <c r="Q152" s="71"/>
      <c r="R152" s="78">
        <v>0.07199</v>
      </c>
      <c r="S152" s="30">
        <f t="shared" si="62"/>
        <v>0.000771158934367401</v>
      </c>
      <c r="T152" s="71"/>
      <c r="U152" s="78">
        <v>0.52485</v>
      </c>
      <c r="V152" s="30">
        <f t="shared" si="63"/>
        <v>0.00698942630373409</v>
      </c>
      <c r="W152" s="71"/>
      <c r="X152" s="78">
        <v>0.5104</v>
      </c>
      <c r="Y152" s="30">
        <f t="shared" si="64"/>
        <v>0.0065604956361907</v>
      </c>
      <c r="Z152" s="71"/>
      <c r="AA152" s="78">
        <v>0.17796</v>
      </c>
      <c r="AB152" s="30">
        <f t="shared" si="65"/>
        <v>0.00302591307896348</v>
      </c>
      <c r="AC152" s="71"/>
      <c r="AD152" s="78">
        <v>0.14293</v>
      </c>
      <c r="AE152" s="30">
        <f t="shared" si="66"/>
        <v>0.00157366833285623</v>
      </c>
      <c r="AF152" s="71"/>
      <c r="AG152" s="78">
        <v>0.70219</v>
      </c>
      <c r="AH152" s="30">
        <f t="shared" si="70"/>
        <v>0.00629360413006848</v>
      </c>
      <c r="AI152" s="71"/>
      <c r="AJ152" s="78">
        <v>0.15717</v>
      </c>
      <c r="AK152" s="30">
        <f t="shared" si="71"/>
        <v>0.00140868676728928</v>
      </c>
      <c r="AL152" s="71"/>
      <c r="AM152" s="78">
        <v>0.3057</v>
      </c>
      <c r="AN152" s="30">
        <f t="shared" si="72"/>
        <v>0.00273993475065429</v>
      </c>
      <c r="AO152" s="71"/>
      <c r="AP152" s="78">
        <f t="shared" si="74"/>
        <v>3.55126</v>
      </c>
      <c r="AQ152" s="30">
        <f t="shared" si="68"/>
        <v>0.00338927308230435</v>
      </c>
    </row>
    <row r="153" outlineLevel="1" spans="1:43">
      <c r="A153" s="56" t="s">
        <v>70</v>
      </c>
      <c r="B153" s="77">
        <v>6666020202</v>
      </c>
      <c r="C153" t="s">
        <v>114</v>
      </c>
      <c r="D153" t="s">
        <v>310</v>
      </c>
      <c r="F153" s="78">
        <v>0</v>
      </c>
      <c r="G153" s="30"/>
      <c r="I153" s="78">
        <v>0</v>
      </c>
      <c r="J153" s="30"/>
      <c r="L153" s="78">
        <v>0</v>
      </c>
      <c r="M153" s="30"/>
      <c r="O153" s="78">
        <v>0</v>
      </c>
      <c r="P153" s="30"/>
      <c r="Q153" s="71"/>
      <c r="R153" s="78">
        <v>0</v>
      </c>
      <c r="S153" s="30"/>
      <c r="T153" s="71"/>
      <c r="U153" s="78">
        <v>0</v>
      </c>
      <c r="V153" s="30"/>
      <c r="W153" s="71"/>
      <c r="X153" s="78">
        <v>0</v>
      </c>
      <c r="Y153" s="30"/>
      <c r="Z153" s="71"/>
      <c r="AA153" s="78">
        <v>0</v>
      </c>
      <c r="AB153" s="30"/>
      <c r="AC153" s="71"/>
      <c r="AD153" s="78">
        <v>0.41057</v>
      </c>
      <c r="AE153" s="30">
        <f t="shared" si="66"/>
        <v>0.00452040164710545</v>
      </c>
      <c r="AF153" s="71"/>
      <c r="AG153" s="78">
        <v>0.00327</v>
      </c>
      <c r="AH153" s="30">
        <f t="shared" si="70"/>
        <v>2.93084286380095e-5</v>
      </c>
      <c r="AI153" s="71"/>
      <c r="AJ153" s="78">
        <v>-0.00324</v>
      </c>
      <c r="AK153" s="30">
        <f t="shared" si="71"/>
        <v>-2.90395439716058e-5</v>
      </c>
      <c r="AL153" s="71"/>
      <c r="AM153" s="78">
        <v>0.00596</v>
      </c>
      <c r="AN153" s="30">
        <f t="shared" si="72"/>
        <v>5.34184203922131e-5</v>
      </c>
      <c r="AO153" s="71"/>
      <c r="AP153" s="78">
        <f t="shared" si="74"/>
        <v>0.41656</v>
      </c>
      <c r="AQ153" s="30">
        <f t="shared" si="68"/>
        <v>0.00039755906218207</v>
      </c>
    </row>
    <row r="154" outlineLevel="1" spans="1:43">
      <c r="A154" s="56" t="s">
        <v>70</v>
      </c>
      <c r="B154" s="77">
        <v>6666020204</v>
      </c>
      <c r="C154" t="s">
        <v>116</v>
      </c>
      <c r="D154" t="s">
        <v>311</v>
      </c>
      <c r="F154" s="78">
        <v>0</v>
      </c>
      <c r="G154" s="30">
        <f t="shared" si="59"/>
        <v>0</v>
      </c>
      <c r="I154" s="78">
        <v>0</v>
      </c>
      <c r="J154" s="30">
        <f t="shared" si="60"/>
        <v>0</v>
      </c>
      <c r="L154" s="78">
        <v>0</v>
      </c>
      <c r="M154" s="30">
        <f t="shared" si="69"/>
        <v>0</v>
      </c>
      <c r="O154" s="78">
        <v>0.00382</v>
      </c>
      <c r="P154" s="30">
        <f t="shared" si="61"/>
        <v>3.87082391804392e-5</v>
      </c>
      <c r="Q154" s="71"/>
      <c r="R154" s="78">
        <v>0</v>
      </c>
      <c r="S154" s="30">
        <f t="shared" si="62"/>
        <v>0</v>
      </c>
      <c r="T154" s="71"/>
      <c r="U154" s="78">
        <v>0</v>
      </c>
      <c r="V154" s="30">
        <f t="shared" si="63"/>
        <v>0</v>
      </c>
      <c r="W154" s="71"/>
      <c r="X154" s="78">
        <v>0.31146</v>
      </c>
      <c r="Y154" s="30">
        <f t="shared" si="64"/>
        <v>0.00400339335981182</v>
      </c>
      <c r="Z154" s="71"/>
      <c r="AA154" s="78">
        <v>0</v>
      </c>
      <c r="AB154" s="30">
        <f t="shared" si="65"/>
        <v>0</v>
      </c>
      <c r="AC154" s="71"/>
      <c r="AD154" s="78">
        <v>0.34584</v>
      </c>
      <c r="AE154" s="30">
        <f t="shared" si="66"/>
        <v>0.00380772025631427</v>
      </c>
      <c r="AF154" s="71"/>
      <c r="AG154" s="78">
        <v>0.09373</v>
      </c>
      <c r="AH154" s="30">
        <f t="shared" si="70"/>
        <v>0.000840085326067472</v>
      </c>
      <c r="AI154" s="71"/>
      <c r="AJ154" s="78">
        <v>0.85673</v>
      </c>
      <c r="AK154" s="30">
        <f t="shared" si="71"/>
        <v>0.00767871867493636</v>
      </c>
      <c r="AL154" s="71"/>
      <c r="AM154" s="78">
        <v>0.53601</v>
      </c>
      <c r="AN154" s="30">
        <f t="shared" si="72"/>
        <v>0.00480416233463593</v>
      </c>
      <c r="AO154" s="71"/>
      <c r="AP154" s="78">
        <f t="shared" si="74"/>
        <v>2.14759</v>
      </c>
      <c r="AQ154" s="30">
        <f t="shared" si="68"/>
        <v>0.00204962998451986</v>
      </c>
    </row>
    <row r="155" outlineLevel="1" spans="1:43">
      <c r="A155" s="56" t="s">
        <v>70</v>
      </c>
      <c r="B155" s="77">
        <v>6666020301</v>
      </c>
      <c r="C155" t="s">
        <v>312</v>
      </c>
      <c r="D155" t="s">
        <v>313</v>
      </c>
      <c r="F155" s="78">
        <v>0.00826</v>
      </c>
      <c r="G155" s="30">
        <f t="shared" si="59"/>
        <v>0.000103623042954637</v>
      </c>
      <c r="I155" s="78">
        <v>0.1603</v>
      </c>
      <c r="J155" s="30">
        <f t="shared" si="60"/>
        <v>0.00195237805249376</v>
      </c>
      <c r="L155" s="78">
        <v>0.43201</v>
      </c>
      <c r="M155" s="30">
        <f t="shared" si="69"/>
        <v>0.00466246478949243</v>
      </c>
      <c r="O155" s="78">
        <v>0.26648</v>
      </c>
      <c r="P155" s="30">
        <f t="shared" si="61"/>
        <v>0.00270025433947734</v>
      </c>
      <c r="Q155" s="71"/>
      <c r="R155" s="78">
        <v>0.20106</v>
      </c>
      <c r="S155" s="30">
        <f t="shared" si="62"/>
        <v>0.00215376045761786</v>
      </c>
      <c r="T155" s="71"/>
      <c r="U155" s="78">
        <v>0.19663</v>
      </c>
      <c r="V155" s="30">
        <f t="shared" si="63"/>
        <v>0.00261852128056251</v>
      </c>
      <c r="W155" s="71"/>
      <c r="X155" s="78">
        <v>0.22001</v>
      </c>
      <c r="Y155" s="30">
        <f t="shared" si="64"/>
        <v>0.00282792837954215</v>
      </c>
      <c r="Z155" s="71"/>
      <c r="AA155" s="78">
        <v>0.06015</v>
      </c>
      <c r="AB155" s="30">
        <f t="shared" si="65"/>
        <v>0.00102275045908998</v>
      </c>
      <c r="AC155" s="71"/>
      <c r="AD155" s="78">
        <v>0.20704</v>
      </c>
      <c r="AE155" s="30">
        <f t="shared" si="66"/>
        <v>0.0022795234844648</v>
      </c>
      <c r="AF155" s="71"/>
      <c r="AG155" s="78">
        <v>0.72369</v>
      </c>
      <c r="AH155" s="30">
        <f t="shared" si="70"/>
        <v>0.00648630480765784</v>
      </c>
      <c r="AI155" s="71"/>
      <c r="AJ155" s="78">
        <v>-0.17648</v>
      </c>
      <c r="AK155" s="30">
        <f t="shared" si="71"/>
        <v>-0.00158175886423117</v>
      </c>
      <c r="AL155" s="71"/>
      <c r="AM155" s="78">
        <v>0.33317</v>
      </c>
      <c r="AN155" s="30">
        <f t="shared" si="72"/>
        <v>0.00298614347685799</v>
      </c>
      <c r="AO155" s="71"/>
      <c r="AP155" s="78">
        <f t="shared" si="74"/>
        <v>2.63232</v>
      </c>
      <c r="AQ155" s="30">
        <f t="shared" si="68"/>
        <v>0.00251224954523504</v>
      </c>
    </row>
    <row r="156" outlineLevel="1" spans="1:43">
      <c r="A156" s="56" t="s">
        <v>70</v>
      </c>
      <c r="B156" s="77">
        <v>6666020403</v>
      </c>
      <c r="C156" t="s">
        <v>125</v>
      </c>
      <c r="D156" t="s">
        <v>188</v>
      </c>
      <c r="F156" s="78">
        <v>0</v>
      </c>
      <c r="G156" s="30"/>
      <c r="I156" s="78">
        <v>0</v>
      </c>
      <c r="J156" s="30"/>
      <c r="L156" s="78">
        <v>0</v>
      </c>
      <c r="M156" s="30"/>
      <c r="O156" s="78">
        <v>0</v>
      </c>
      <c r="P156" s="30">
        <f t="shared" si="61"/>
        <v>0</v>
      </c>
      <c r="Q156" s="71"/>
      <c r="R156" s="78">
        <v>0</v>
      </c>
      <c r="S156" s="30">
        <f t="shared" si="62"/>
        <v>0</v>
      </c>
      <c r="T156" s="71"/>
      <c r="U156" s="78">
        <v>0</v>
      </c>
      <c r="V156" s="30">
        <f t="shared" si="63"/>
        <v>0</v>
      </c>
      <c r="W156" s="71"/>
      <c r="X156" s="78">
        <v>0</v>
      </c>
      <c r="Y156" s="30">
        <f t="shared" si="64"/>
        <v>0</v>
      </c>
      <c r="Z156" s="71"/>
      <c r="AA156" s="78">
        <v>0</v>
      </c>
      <c r="AB156" s="30">
        <f t="shared" si="65"/>
        <v>0</v>
      </c>
      <c r="AC156" s="71"/>
      <c r="AD156" s="78">
        <v>0</v>
      </c>
      <c r="AE156" s="30">
        <f t="shared" si="66"/>
        <v>0</v>
      </c>
      <c r="AF156" s="71"/>
      <c r="AG156" s="78">
        <v>0</v>
      </c>
      <c r="AH156" s="30">
        <f t="shared" si="70"/>
        <v>0</v>
      </c>
      <c r="AI156" s="71"/>
      <c r="AJ156" s="78">
        <v>0</v>
      </c>
      <c r="AK156" s="30">
        <f t="shared" si="71"/>
        <v>0</v>
      </c>
      <c r="AL156" s="71"/>
      <c r="AM156" s="78">
        <v>0</v>
      </c>
      <c r="AN156" s="30">
        <f t="shared" si="72"/>
        <v>0</v>
      </c>
      <c r="AO156" s="71"/>
      <c r="AP156" s="78">
        <f t="shared" si="74"/>
        <v>0</v>
      </c>
      <c r="AQ156" s="30">
        <f t="shared" si="68"/>
        <v>0</v>
      </c>
    </row>
    <row r="157" outlineLevel="1" spans="1:43">
      <c r="A157" s="56" t="s">
        <v>70</v>
      </c>
      <c r="B157" s="77">
        <v>6666020504</v>
      </c>
      <c r="C157" s="57" t="s">
        <v>131</v>
      </c>
      <c r="D157" s="57" t="s">
        <v>314</v>
      </c>
      <c r="F157" s="78">
        <v>0</v>
      </c>
      <c r="G157" s="30"/>
      <c r="I157" s="78">
        <v>0</v>
      </c>
      <c r="J157" s="30"/>
      <c r="L157" s="78">
        <v>0</v>
      </c>
      <c r="M157" s="30"/>
      <c r="O157" s="78">
        <v>0</v>
      </c>
      <c r="P157" s="30"/>
      <c r="Q157" s="71"/>
      <c r="R157" s="78">
        <v>0</v>
      </c>
      <c r="S157" s="30"/>
      <c r="T157" s="71"/>
      <c r="U157" s="78">
        <v>0</v>
      </c>
      <c r="V157" s="30"/>
      <c r="W157" s="71"/>
      <c r="X157" s="78">
        <v>0</v>
      </c>
      <c r="Y157" s="30"/>
      <c r="Z157" s="71"/>
      <c r="AA157" s="78">
        <v>0</v>
      </c>
      <c r="AB157" s="30"/>
      <c r="AC157" s="71"/>
      <c r="AD157" s="78">
        <v>0.09712</v>
      </c>
      <c r="AE157" s="30">
        <f t="shared" si="66"/>
        <v>0.00106929733776672</v>
      </c>
      <c r="AF157" s="71"/>
      <c r="AG157" s="78">
        <v>0</v>
      </c>
      <c r="AH157" s="30">
        <f t="shared" si="70"/>
        <v>0</v>
      </c>
      <c r="AI157" s="71"/>
      <c r="AJ157" s="78">
        <v>0.19254</v>
      </c>
      <c r="AK157" s="30">
        <f t="shared" si="71"/>
        <v>0.00172570178897931</v>
      </c>
      <c r="AL157" s="71"/>
      <c r="AM157" s="78">
        <v>-0.09529</v>
      </c>
      <c r="AN157" s="30">
        <f t="shared" si="72"/>
        <v>-0.000854067328720467</v>
      </c>
      <c r="AO157" s="71"/>
      <c r="AP157" s="78">
        <f t="shared" si="74"/>
        <v>0.19437</v>
      </c>
      <c r="AQ157" s="30">
        <f t="shared" si="68"/>
        <v>0.000185504020828522</v>
      </c>
    </row>
    <row r="158" outlineLevel="1" spans="1:43">
      <c r="A158" s="56" t="s">
        <v>70</v>
      </c>
      <c r="B158" s="77">
        <v>6666020508</v>
      </c>
      <c r="C158" t="s">
        <v>133</v>
      </c>
      <c r="D158" t="s">
        <v>315</v>
      </c>
      <c r="F158" s="78">
        <v>0.03729</v>
      </c>
      <c r="G158" s="30">
        <f t="shared" si="59"/>
        <v>0.000467809112806102</v>
      </c>
      <c r="I158" s="78">
        <v>0.00614</v>
      </c>
      <c r="J158" s="30">
        <f t="shared" si="60"/>
        <v>7.47822909688813e-5</v>
      </c>
      <c r="L158" s="78">
        <v>0.01584</v>
      </c>
      <c r="M158" s="30">
        <f t="shared" si="69"/>
        <v>0.00017095308503405</v>
      </c>
      <c r="O158" s="78">
        <v>0.02996</v>
      </c>
      <c r="P158" s="30">
        <f t="shared" si="61"/>
        <v>0.000303586085299989</v>
      </c>
      <c r="Q158" s="71"/>
      <c r="R158" s="78">
        <v>0.02576</v>
      </c>
      <c r="S158" s="30">
        <f t="shared" si="62"/>
        <v>0.000275941855109102</v>
      </c>
      <c r="T158" s="71"/>
      <c r="U158" s="78">
        <v>0.00546</v>
      </c>
      <c r="V158" s="30">
        <f t="shared" si="63"/>
        <v>7.27108080754275e-5</v>
      </c>
      <c r="W158" s="71"/>
      <c r="X158" s="78">
        <v>0.01452</v>
      </c>
      <c r="Y158" s="30">
        <f t="shared" si="64"/>
        <v>0.000186634789650253</v>
      </c>
      <c r="Z158" s="71"/>
      <c r="AA158" s="78">
        <v>0.0105</v>
      </c>
      <c r="AB158" s="30">
        <f t="shared" si="65"/>
        <v>0.0001785349928586</v>
      </c>
      <c r="AC158" s="71"/>
      <c r="AD158" s="78">
        <v>0.92106</v>
      </c>
      <c r="AE158" s="30">
        <f t="shared" si="66"/>
        <v>0.0101409288089314</v>
      </c>
      <c r="AF158" s="71"/>
      <c r="AG158" s="78">
        <v>0.02274</v>
      </c>
      <c r="AH158" s="30">
        <f t="shared" si="70"/>
        <v>0.000203814577134048</v>
      </c>
      <c r="AI158" s="71"/>
      <c r="AJ158" s="78">
        <v>0.00674</v>
      </c>
      <c r="AK158" s="30">
        <f t="shared" si="71"/>
        <v>6.04094217187108e-5</v>
      </c>
      <c r="AL158" s="71"/>
      <c r="AM158" s="78">
        <v>0.04904</v>
      </c>
      <c r="AN158" s="30">
        <f t="shared" si="72"/>
        <v>0.000439536801348008</v>
      </c>
      <c r="AO158" s="71"/>
      <c r="AP158" s="78">
        <f t="shared" si="74"/>
        <v>1.14505</v>
      </c>
      <c r="AQ158" s="30">
        <f t="shared" si="68"/>
        <v>0.00109281977182538</v>
      </c>
    </row>
    <row r="159" outlineLevel="1" spans="1:43">
      <c r="A159" s="56" t="s">
        <v>70</v>
      </c>
      <c r="B159" s="77">
        <v>6666020602</v>
      </c>
      <c r="C159" t="s">
        <v>135</v>
      </c>
      <c r="D159" t="s">
        <v>316</v>
      </c>
      <c r="F159" s="78">
        <v>0</v>
      </c>
      <c r="G159" s="30"/>
      <c r="I159" s="78">
        <v>0</v>
      </c>
      <c r="J159" s="30"/>
      <c r="L159" s="78">
        <v>0.01514</v>
      </c>
      <c r="M159" s="30">
        <f t="shared" si="69"/>
        <v>0.000163398340114616</v>
      </c>
      <c r="O159" s="78">
        <v>0</v>
      </c>
      <c r="P159" s="30">
        <f t="shared" si="61"/>
        <v>0</v>
      </c>
      <c r="Q159" s="71"/>
      <c r="R159" s="78">
        <v>0</v>
      </c>
      <c r="S159" s="30">
        <f t="shared" si="62"/>
        <v>0</v>
      </c>
      <c r="T159" s="71"/>
      <c r="U159" s="78">
        <v>0</v>
      </c>
      <c r="V159" s="30">
        <f t="shared" si="63"/>
        <v>0</v>
      </c>
      <c r="W159" s="71"/>
      <c r="X159" s="78">
        <v>0</v>
      </c>
      <c r="Y159" s="30">
        <f t="shared" si="64"/>
        <v>0</v>
      </c>
      <c r="Z159" s="71"/>
      <c r="AA159" s="78">
        <v>0</v>
      </c>
      <c r="AB159" s="30">
        <f t="shared" si="65"/>
        <v>0</v>
      </c>
      <c r="AC159" s="71"/>
      <c r="AD159" s="78">
        <v>0</v>
      </c>
      <c r="AE159" s="30">
        <f t="shared" si="66"/>
        <v>0</v>
      </c>
      <c r="AF159" s="71"/>
      <c r="AG159" s="78">
        <v>0</v>
      </c>
      <c r="AH159" s="30">
        <f t="shared" si="70"/>
        <v>0</v>
      </c>
      <c r="AI159" s="71"/>
      <c r="AJ159" s="78">
        <v>0</v>
      </c>
      <c r="AK159" s="30">
        <f t="shared" si="71"/>
        <v>0</v>
      </c>
      <c r="AL159" s="71"/>
      <c r="AM159" s="78">
        <v>0.04423</v>
      </c>
      <c r="AN159" s="30">
        <f t="shared" si="72"/>
        <v>0.000396425626501273</v>
      </c>
      <c r="AO159" s="71"/>
      <c r="AP159" s="78">
        <f t="shared" si="74"/>
        <v>0.05937</v>
      </c>
      <c r="AQ159" s="30">
        <f t="shared" si="68"/>
        <v>5.66619010988801e-5</v>
      </c>
    </row>
    <row r="160" spans="1:43">
      <c r="A160" s="56" t="s">
        <v>70</v>
      </c>
      <c r="B160" s="77">
        <v>6666020701</v>
      </c>
      <c r="C160" t="s">
        <v>137</v>
      </c>
      <c r="D160" t="s">
        <v>317</v>
      </c>
      <c r="F160" s="78">
        <v>40.05955</v>
      </c>
      <c r="G160" s="30">
        <f t="shared" si="59"/>
        <v>0.502553567844239</v>
      </c>
      <c r="I160" s="78">
        <v>35.60078</v>
      </c>
      <c r="J160" s="30">
        <f t="shared" si="60"/>
        <v>0.433600633335363</v>
      </c>
      <c r="L160" s="78">
        <v>7.91393</v>
      </c>
      <c r="M160" s="30">
        <f t="shared" si="69"/>
        <v>0.0854110320860809</v>
      </c>
      <c r="O160" s="78">
        <v>27.85808</v>
      </c>
      <c r="P160" s="30">
        <f t="shared" si="61"/>
        <v>0.282287231347594</v>
      </c>
      <c r="Q160" s="71"/>
      <c r="R160" s="78">
        <v>27.85808</v>
      </c>
      <c r="S160" s="30">
        <f t="shared" si="62"/>
        <v>0.298416547941684</v>
      </c>
      <c r="T160" s="71"/>
      <c r="U160" s="78">
        <v>27.85808</v>
      </c>
      <c r="V160" s="30">
        <f t="shared" si="63"/>
        <v>0.370985990518298</v>
      </c>
      <c r="W160" s="71"/>
      <c r="X160" s="78">
        <v>27.85808</v>
      </c>
      <c r="Y160" s="30">
        <f t="shared" si="64"/>
        <v>0.35807761025206</v>
      </c>
      <c r="Z160" s="71"/>
      <c r="AA160" s="78">
        <v>27.85808</v>
      </c>
      <c r="AB160" s="30">
        <f t="shared" si="65"/>
        <v>0.473680201319459</v>
      </c>
      <c r="AC160" s="71"/>
      <c r="AD160" s="78">
        <v>27.85808</v>
      </c>
      <c r="AE160" s="30">
        <f t="shared" si="66"/>
        <v>0.306719221368331</v>
      </c>
      <c r="AF160" s="71"/>
      <c r="AG160" s="78">
        <v>27.85808</v>
      </c>
      <c r="AH160" s="30">
        <f t="shared" si="70"/>
        <v>0.249687018248306</v>
      </c>
      <c r="AI160" s="71"/>
      <c r="AJ160" s="78">
        <v>27.85808</v>
      </c>
      <c r="AK160" s="30">
        <f t="shared" si="71"/>
        <v>0.249687018248306</v>
      </c>
      <c r="AL160" s="71"/>
      <c r="AM160" s="78">
        <v>27.85808</v>
      </c>
      <c r="AN160" s="30">
        <f t="shared" si="72"/>
        <v>0.249687018248306</v>
      </c>
      <c r="AO160" s="71"/>
      <c r="AP160" s="78">
        <f t="shared" si="74"/>
        <v>334.29698</v>
      </c>
      <c r="AQ160" s="30">
        <f t="shared" si="68"/>
        <v>0.319048381647538</v>
      </c>
    </row>
    <row r="161" spans="1:43">
      <c r="A161" s="56" t="s">
        <v>70</v>
      </c>
      <c r="B161" s="77">
        <v>6666020801</v>
      </c>
      <c r="C161" t="s">
        <v>318</v>
      </c>
      <c r="D161" t="s">
        <v>319</v>
      </c>
      <c r="F161" s="78">
        <v>0</v>
      </c>
      <c r="G161" s="30"/>
      <c r="I161" s="78">
        <v>0</v>
      </c>
      <c r="J161" s="30"/>
      <c r="L161" s="78">
        <v>0.11768</v>
      </c>
      <c r="M161" s="30">
        <f t="shared" si="69"/>
        <v>0.00127006054588428</v>
      </c>
      <c r="O161" s="78">
        <v>0</v>
      </c>
      <c r="P161" s="30">
        <f t="shared" si="61"/>
        <v>0</v>
      </c>
      <c r="Q161" s="71"/>
      <c r="R161" s="78">
        <v>0.39344</v>
      </c>
      <c r="S161" s="30">
        <f t="shared" si="62"/>
        <v>0.00421454050753591</v>
      </c>
      <c r="T161" s="71"/>
      <c r="U161" s="78">
        <v>0</v>
      </c>
      <c r="V161" s="30">
        <f t="shared" si="63"/>
        <v>0</v>
      </c>
      <c r="W161" s="71"/>
      <c r="X161" s="78">
        <v>0.36227</v>
      </c>
      <c r="Y161" s="30">
        <f t="shared" si="64"/>
        <v>0.0046564865872312</v>
      </c>
      <c r="Z161" s="71"/>
      <c r="AA161" s="78">
        <v>0.00098</v>
      </c>
      <c r="AB161" s="30">
        <f t="shared" si="65"/>
        <v>1.6663266000136e-5</v>
      </c>
      <c r="AC161" s="71"/>
      <c r="AD161" s="78">
        <v>0.53027</v>
      </c>
      <c r="AE161" s="30">
        <f t="shared" si="66"/>
        <v>0.00583830621187766</v>
      </c>
      <c r="AF161" s="71"/>
      <c r="AG161" s="78">
        <v>0.17727</v>
      </c>
      <c r="AH161" s="30">
        <f t="shared" si="70"/>
        <v>0.0015888394937798</v>
      </c>
      <c r="AI161" s="71"/>
      <c r="AJ161" s="78">
        <v>0.18013</v>
      </c>
      <c r="AK161" s="30">
        <f t="shared" si="71"/>
        <v>0.00161447316531029</v>
      </c>
      <c r="AL161" s="71"/>
      <c r="AM161" s="78">
        <v>0.56674</v>
      </c>
      <c r="AN161" s="30">
        <f t="shared" si="72"/>
        <v>0.00507958986125551</v>
      </c>
      <c r="AO161" s="71"/>
      <c r="AP161" s="78">
        <f t="shared" si="74"/>
        <v>2.32878</v>
      </c>
      <c r="AQ161" s="30">
        <f t="shared" si="68"/>
        <v>0.00222255519691848</v>
      </c>
    </row>
    <row r="162" outlineLevel="3" spans="1:43">
      <c r="A162" s="56" t="s">
        <v>70</v>
      </c>
      <c r="B162" s="77">
        <v>6666020803</v>
      </c>
      <c r="C162" t="s">
        <v>141</v>
      </c>
      <c r="D162" t="s">
        <v>320</v>
      </c>
      <c r="F162" s="78">
        <v>-0.01746</v>
      </c>
      <c r="G162" s="30">
        <f t="shared" si="59"/>
        <v>-0.000219038538739462</v>
      </c>
      <c r="I162" s="78">
        <v>0</v>
      </c>
      <c r="J162" s="30">
        <f t="shared" si="60"/>
        <v>0</v>
      </c>
      <c r="L162" s="78">
        <v>0</v>
      </c>
      <c r="M162" s="30">
        <f t="shared" si="69"/>
        <v>0</v>
      </c>
      <c r="O162" s="78">
        <v>0.61953</v>
      </c>
      <c r="P162" s="30">
        <f t="shared" si="61"/>
        <v>0.0062777265495962</v>
      </c>
      <c r="Q162" s="71"/>
      <c r="R162" s="78">
        <v>-0.02423</v>
      </c>
      <c r="S162" s="30">
        <f t="shared" si="62"/>
        <v>-0.000259552451447731</v>
      </c>
      <c r="T162" s="71"/>
      <c r="U162" s="78">
        <v>-0.06582</v>
      </c>
      <c r="V162" s="30">
        <f t="shared" si="63"/>
        <v>-0.000876524796249933</v>
      </c>
      <c r="W162" s="71"/>
      <c r="X162" s="78">
        <v>-0.00372</v>
      </c>
      <c r="Y162" s="30">
        <f t="shared" si="64"/>
        <v>-4.78155246211391e-5</v>
      </c>
      <c r="Z162" s="71"/>
      <c r="AA162" s="78">
        <v>0.71036</v>
      </c>
      <c r="AB162" s="30">
        <f t="shared" si="65"/>
        <v>0.0120784873835272</v>
      </c>
      <c r="AC162" s="71"/>
      <c r="AD162" s="78">
        <v>0.87092</v>
      </c>
      <c r="AE162" s="30">
        <f t="shared" si="66"/>
        <v>0.00958888424019554</v>
      </c>
      <c r="AF162" s="71"/>
      <c r="AG162" s="78">
        <v>0.69819</v>
      </c>
      <c r="AH162" s="30">
        <f t="shared" si="70"/>
        <v>0.00625775284121464</v>
      </c>
      <c r="AI162" s="71"/>
      <c r="AJ162" s="78">
        <v>1.17887</v>
      </c>
      <c r="AK162" s="30">
        <f t="shared" si="71"/>
        <v>0.0105660022227799</v>
      </c>
      <c r="AL162" s="71"/>
      <c r="AM162" s="78">
        <v>2.60276</v>
      </c>
      <c r="AN162" s="30">
        <f t="shared" si="72"/>
        <v>0.0233280751443014</v>
      </c>
      <c r="AO162" s="71"/>
      <c r="AP162" s="78">
        <f t="shared" si="74"/>
        <v>6.5694</v>
      </c>
      <c r="AQ162" s="30">
        <f t="shared" si="68"/>
        <v>0.00626974386186598</v>
      </c>
    </row>
    <row r="163" outlineLevel="3" spans="1:43">
      <c r="A163" s="56" t="s">
        <v>70</v>
      </c>
      <c r="B163" s="77">
        <v>6666021100</v>
      </c>
      <c r="C163" t="s">
        <v>143</v>
      </c>
      <c r="D163" t="s">
        <v>321</v>
      </c>
      <c r="F163" s="78">
        <v>0</v>
      </c>
      <c r="G163" s="30"/>
      <c r="I163" s="78">
        <v>0.65261</v>
      </c>
      <c r="J163" s="30">
        <f t="shared" si="60"/>
        <v>0.0079484806041045</v>
      </c>
      <c r="L163" s="78">
        <v>2.40823</v>
      </c>
      <c r="M163" s="30">
        <f t="shared" si="69"/>
        <v>0.0259908047961838</v>
      </c>
      <c r="O163" s="78">
        <v>1.27477</v>
      </c>
      <c r="P163" s="30">
        <f t="shared" si="61"/>
        <v>0.0129173042042012</v>
      </c>
      <c r="Q163" s="71"/>
      <c r="R163" s="78">
        <v>-1.79677</v>
      </c>
      <c r="S163" s="30">
        <f t="shared" si="62"/>
        <v>-0.0192470515141452</v>
      </c>
      <c r="T163" s="71"/>
      <c r="U163" s="78">
        <v>0.18719</v>
      </c>
      <c r="V163" s="30">
        <f t="shared" si="63"/>
        <v>0.00249280882117935</v>
      </c>
      <c r="W163" s="71"/>
      <c r="X163" s="78">
        <v>8.73831</v>
      </c>
      <c r="Y163" s="30">
        <f t="shared" si="64"/>
        <v>0.112319052944125</v>
      </c>
      <c r="Z163" s="71"/>
      <c r="AA163" s="78">
        <v>9.60882</v>
      </c>
      <c r="AB163" s="30">
        <f t="shared" si="65"/>
        <v>0.163381962864721</v>
      </c>
      <c r="AC163" s="71"/>
      <c r="AD163" s="78">
        <v>3.35749</v>
      </c>
      <c r="AE163" s="30">
        <f t="shared" si="66"/>
        <v>0.0369661770858565</v>
      </c>
      <c r="AF163" s="71"/>
      <c r="AG163" s="78">
        <v>2.08779</v>
      </c>
      <c r="AH163" s="30">
        <f t="shared" si="70"/>
        <v>0.0187124905890367</v>
      </c>
      <c r="AI163" s="71"/>
      <c r="AJ163" s="78">
        <v>-0.72881</v>
      </c>
      <c r="AK163" s="30">
        <f t="shared" si="71"/>
        <v>-0.00653219445739074</v>
      </c>
      <c r="AL163" s="71"/>
      <c r="AM163" s="78">
        <v>11.53618</v>
      </c>
      <c r="AN163" s="30">
        <f t="shared" si="72"/>
        <v>0.103396730362457</v>
      </c>
      <c r="AO163" s="71"/>
      <c r="AP163" s="78">
        <f t="shared" si="74"/>
        <v>37.32581</v>
      </c>
      <c r="AQ163" s="30">
        <f t="shared" si="68"/>
        <v>0.0356232331927841</v>
      </c>
    </row>
    <row r="164" outlineLevel="3" spans="1:43">
      <c r="A164" s="56" t="s">
        <v>70</v>
      </c>
      <c r="B164" s="77">
        <v>6666021102</v>
      </c>
      <c r="C164" t="s">
        <v>322</v>
      </c>
      <c r="D164" t="s">
        <v>323</v>
      </c>
      <c r="F164" s="78">
        <v>0.99229</v>
      </c>
      <c r="G164" s="30">
        <f t="shared" si="59"/>
        <v>0.0124484393817744</v>
      </c>
      <c r="I164" s="78">
        <v>15.53284</v>
      </c>
      <c r="J164" s="30">
        <f t="shared" si="60"/>
        <v>0.189182631995615</v>
      </c>
      <c r="L164" s="78">
        <v>10.21325</v>
      </c>
      <c r="M164" s="30">
        <f t="shared" si="69"/>
        <v>0.110226426497728</v>
      </c>
      <c r="O164" s="78">
        <v>9.09129</v>
      </c>
      <c r="P164" s="30">
        <f t="shared" si="61"/>
        <v>0.0921224680049044</v>
      </c>
      <c r="Q164" s="71"/>
      <c r="R164" s="78">
        <v>-6.93012</v>
      </c>
      <c r="S164" s="30">
        <f t="shared" si="62"/>
        <v>-0.0742356432037535</v>
      </c>
      <c r="T164" s="71"/>
      <c r="U164" s="78">
        <v>7.21618</v>
      </c>
      <c r="V164" s="30">
        <f t="shared" si="63"/>
        <v>0.0960978532999521</v>
      </c>
      <c r="W164" s="71"/>
      <c r="X164" s="78">
        <v>1.89057</v>
      </c>
      <c r="Y164" s="30">
        <f t="shared" si="64"/>
        <v>0.0243006979524158</v>
      </c>
      <c r="Z164" s="71"/>
      <c r="AA164" s="78">
        <v>3.86207</v>
      </c>
      <c r="AB164" s="30">
        <f t="shared" si="65"/>
        <v>0.0656680609399442</v>
      </c>
      <c r="AC164" s="71"/>
      <c r="AD164" s="78">
        <v>3.97667</v>
      </c>
      <c r="AE164" s="30">
        <f t="shared" si="66"/>
        <v>0.0437833880166472</v>
      </c>
      <c r="AF164" s="71"/>
      <c r="AG164" s="78">
        <v>3.30065</v>
      </c>
      <c r="AH164" s="30">
        <f t="shared" si="70"/>
        <v>0.029583139138852</v>
      </c>
      <c r="AI164" s="71"/>
      <c r="AJ164" s="78">
        <v>4.07691</v>
      </c>
      <c r="AK164" s="30">
        <f t="shared" si="71"/>
        <v>0.0365406195102714</v>
      </c>
      <c r="AL164" s="71"/>
      <c r="AM164" s="78">
        <v>19.49473</v>
      </c>
      <c r="AN164" s="30">
        <f t="shared" si="72"/>
        <v>0.174727799089377</v>
      </c>
      <c r="AO164" s="71"/>
      <c r="AP164" s="78">
        <f t="shared" si="74"/>
        <v>72.71733</v>
      </c>
      <c r="AQ164" s="30">
        <f t="shared" si="68"/>
        <v>0.0694004069502211</v>
      </c>
    </row>
    <row r="165" outlineLevel="3" spans="1:43">
      <c r="A165" s="56" t="s">
        <v>70</v>
      </c>
      <c r="B165" s="77">
        <v>6666021104</v>
      </c>
      <c r="C165" t="s">
        <v>145</v>
      </c>
      <c r="D165" t="s">
        <v>324</v>
      </c>
      <c r="F165" s="78">
        <v>0</v>
      </c>
      <c r="G165" s="30"/>
      <c r="I165" s="78">
        <v>0</v>
      </c>
      <c r="J165" s="30"/>
      <c r="L165" s="78">
        <v>0</v>
      </c>
      <c r="M165" s="30"/>
      <c r="O165" s="78">
        <v>0</v>
      </c>
      <c r="P165" s="30"/>
      <c r="Q165" s="71"/>
      <c r="R165" s="78">
        <v>0.01417</v>
      </c>
      <c r="S165" s="30">
        <f t="shared" si="62"/>
        <v>0.00015178944436708</v>
      </c>
      <c r="T165" s="71"/>
      <c r="U165" s="78">
        <v>-0.00011</v>
      </c>
      <c r="V165" s="30">
        <f t="shared" si="63"/>
        <v>-1.46486975976136e-6</v>
      </c>
      <c r="W165" s="71"/>
      <c r="X165" s="78">
        <v>0</v>
      </c>
      <c r="Y165" s="30">
        <f t="shared" si="64"/>
        <v>0</v>
      </c>
      <c r="Z165" s="71"/>
      <c r="AA165" s="78">
        <v>0</v>
      </c>
      <c r="AB165" s="30">
        <f t="shared" si="65"/>
        <v>0</v>
      </c>
      <c r="AC165" s="71"/>
      <c r="AD165" s="78">
        <v>0.31749</v>
      </c>
      <c r="AE165" s="30">
        <f t="shared" si="66"/>
        <v>0.0034955849646577</v>
      </c>
      <c r="AF165" s="71"/>
      <c r="AG165" s="78">
        <v>0.00021</v>
      </c>
      <c r="AH165" s="30">
        <f t="shared" si="70"/>
        <v>1.8821926648263e-6</v>
      </c>
      <c r="AI165" s="71"/>
      <c r="AJ165" s="78">
        <v>0.17627</v>
      </c>
      <c r="AK165" s="30">
        <f t="shared" si="71"/>
        <v>0.00157987667156634</v>
      </c>
      <c r="AL165" s="71"/>
      <c r="AM165" s="78">
        <v>0.95644</v>
      </c>
      <c r="AN165" s="30">
        <f t="shared" si="72"/>
        <v>0.00857240167784032</v>
      </c>
      <c r="AO165" s="71"/>
      <c r="AP165" s="78">
        <f t="shared" si="74"/>
        <v>1.46447</v>
      </c>
      <c r="AQ165" s="30">
        <f t="shared" si="68"/>
        <v>0.00139766977096643</v>
      </c>
    </row>
    <row r="166" outlineLevel="3" spans="1:43">
      <c r="A166" s="56" t="s">
        <v>70</v>
      </c>
      <c r="B166" s="77">
        <v>6666021300</v>
      </c>
      <c r="C166" t="s">
        <v>325</v>
      </c>
      <c r="D166" t="s">
        <v>326</v>
      </c>
      <c r="F166" s="78">
        <v>1.16308</v>
      </c>
      <c r="G166" s="30">
        <f t="shared" si="59"/>
        <v>0.014591027699719</v>
      </c>
      <c r="I166" s="78">
        <v>0</v>
      </c>
      <c r="J166" s="30">
        <f t="shared" si="60"/>
        <v>0</v>
      </c>
      <c r="L166" s="78">
        <v>11.41003</v>
      </c>
      <c r="M166" s="30">
        <f t="shared" si="69"/>
        <v>0.123142665961557</v>
      </c>
      <c r="O166" s="78">
        <v>2.08217</v>
      </c>
      <c r="P166" s="30">
        <f t="shared" si="61"/>
        <v>0.0210987262760039</v>
      </c>
      <c r="Q166" s="71"/>
      <c r="R166" s="78">
        <v>0.75394</v>
      </c>
      <c r="S166" s="30">
        <f t="shared" si="62"/>
        <v>0.00807622679506818</v>
      </c>
      <c r="T166" s="71"/>
      <c r="U166" s="78">
        <v>3.22479</v>
      </c>
      <c r="V166" s="30">
        <f t="shared" si="63"/>
        <v>0.0429445213870985</v>
      </c>
      <c r="W166" s="71"/>
      <c r="X166" s="78">
        <v>0.11458</v>
      </c>
      <c r="Y166" s="30">
        <f t="shared" si="64"/>
        <v>0.00147276957287369</v>
      </c>
      <c r="Z166" s="71"/>
      <c r="AA166" s="78">
        <v>0</v>
      </c>
      <c r="AB166" s="30">
        <f t="shared" si="65"/>
        <v>0</v>
      </c>
      <c r="AC166" s="71"/>
      <c r="AD166" s="78">
        <v>0.41673</v>
      </c>
      <c r="AE166" s="30">
        <f t="shared" si="66"/>
        <v>0.00458822363640367</v>
      </c>
      <c r="AF166" s="71"/>
      <c r="AG166" s="78">
        <v>-0.38408</v>
      </c>
      <c r="AH166" s="30">
        <f t="shared" si="70"/>
        <v>-0.00344244075574517</v>
      </c>
      <c r="AI166" s="71"/>
      <c r="AJ166" s="78">
        <v>2.32146</v>
      </c>
      <c r="AK166" s="30">
        <f t="shared" si="71"/>
        <v>0.0208068332556555</v>
      </c>
      <c r="AL166" s="71"/>
      <c r="AM166" s="78">
        <v>0.69757</v>
      </c>
      <c r="AN166" s="30">
        <f t="shared" si="72"/>
        <v>0.0062521958914423</v>
      </c>
      <c r="AO166" s="71"/>
      <c r="AP166" s="78">
        <f t="shared" si="74"/>
        <v>21.80027</v>
      </c>
      <c r="AQ166" s="30">
        <f t="shared" si="68"/>
        <v>0.0208058740553964</v>
      </c>
    </row>
    <row r="167" outlineLevel="3" spans="1:43">
      <c r="A167" s="56" t="s">
        <v>70</v>
      </c>
      <c r="B167" s="77">
        <v>6666021902</v>
      </c>
      <c r="C167" t="s">
        <v>147</v>
      </c>
      <c r="D167" t="s">
        <v>327</v>
      </c>
      <c r="F167" s="78">
        <v>0</v>
      </c>
      <c r="G167" s="30"/>
      <c r="I167" s="78">
        <v>-1e-5</v>
      </c>
      <c r="J167" s="30"/>
      <c r="L167" s="78">
        <v>0.06841</v>
      </c>
      <c r="M167" s="30">
        <f t="shared" si="69"/>
        <v>0.000738314428483547</v>
      </c>
      <c r="O167" s="78">
        <v>0</v>
      </c>
      <c r="P167" s="30">
        <f t="shared" si="61"/>
        <v>0</v>
      </c>
      <c r="Q167" s="71"/>
      <c r="R167" s="78">
        <v>-0.00904</v>
      </c>
      <c r="S167" s="30">
        <f t="shared" si="62"/>
        <v>-9.68367379730699e-5</v>
      </c>
      <c r="T167" s="71"/>
      <c r="U167" s="78">
        <v>-0.02454</v>
      </c>
      <c r="V167" s="30">
        <f t="shared" si="63"/>
        <v>-0.000326799126404943</v>
      </c>
      <c r="W167" s="71"/>
      <c r="X167" s="78">
        <v>0.66941</v>
      </c>
      <c r="Y167" s="30">
        <f t="shared" si="64"/>
        <v>0.00860435224103138</v>
      </c>
      <c r="Z167" s="71"/>
      <c r="AA167" s="78">
        <v>1.11172</v>
      </c>
      <c r="AB167" s="30">
        <f t="shared" si="65"/>
        <v>0.0189029449772155</v>
      </c>
      <c r="AC167" s="71"/>
      <c r="AD167" s="78">
        <v>0.00305</v>
      </c>
      <c r="AE167" s="30">
        <f t="shared" si="66"/>
        <v>3.35806927531764e-5</v>
      </c>
      <c r="AF167" s="71"/>
      <c r="AG167" s="78">
        <v>-0.26127</v>
      </c>
      <c r="AH167" s="30">
        <f t="shared" si="70"/>
        <v>-0.00234171655971032</v>
      </c>
      <c r="AI167" s="71"/>
      <c r="AJ167" s="78">
        <v>0.11328</v>
      </c>
      <c r="AK167" s="30">
        <f t="shared" si="71"/>
        <v>0.00101530850034059</v>
      </c>
      <c r="AL167" s="71"/>
      <c r="AM167" s="78">
        <v>-0.1622</v>
      </c>
      <c r="AN167" s="30">
        <f t="shared" si="72"/>
        <v>-0.00145376976302298</v>
      </c>
      <c r="AO167" s="71"/>
      <c r="AP167" s="78">
        <f t="shared" si="74"/>
        <v>1.50881</v>
      </c>
      <c r="AQ167" s="30">
        <f t="shared" si="68"/>
        <v>0.00143998724940208</v>
      </c>
    </row>
    <row r="168" outlineLevel="3" spans="1:43">
      <c r="A168" s="56" t="s">
        <v>70</v>
      </c>
      <c r="B168" s="77">
        <v>6666022100</v>
      </c>
      <c r="C168" t="s">
        <v>149</v>
      </c>
      <c r="D168" t="s">
        <v>328</v>
      </c>
      <c r="F168" s="78">
        <v>0</v>
      </c>
      <c r="G168" s="30"/>
      <c r="I168" s="78">
        <v>0.0001</v>
      </c>
      <c r="J168" s="30">
        <f t="shared" si="60"/>
        <v>1.21795262164302e-6</v>
      </c>
      <c r="L168" s="78">
        <v>0.27531</v>
      </c>
      <c r="M168" s="30">
        <f t="shared" si="69"/>
        <v>0.00297128117681341</v>
      </c>
      <c r="O168" s="78">
        <v>-2e-5</v>
      </c>
      <c r="P168" s="30">
        <f t="shared" si="61"/>
        <v>-2.02660938117483e-7</v>
      </c>
      <c r="Q168" s="71"/>
      <c r="R168" s="78">
        <v>-0.01974</v>
      </c>
      <c r="S168" s="30">
        <f t="shared" si="62"/>
        <v>-0.000211455443317301</v>
      </c>
      <c r="T168" s="71"/>
      <c r="U168" s="78">
        <v>-0.19185</v>
      </c>
      <c r="V168" s="30">
        <f t="shared" si="63"/>
        <v>-0.00255486603100197</v>
      </c>
      <c r="W168" s="71"/>
      <c r="X168" s="78">
        <v>0.7612</v>
      </c>
      <c r="Y168" s="30">
        <f t="shared" si="64"/>
        <v>0.00978418745742233</v>
      </c>
      <c r="Z168" s="71"/>
      <c r="AA168" s="78">
        <v>0.74775</v>
      </c>
      <c r="AB168" s="30">
        <f t="shared" si="65"/>
        <v>0.0127142419914303</v>
      </c>
      <c r="AC168" s="71"/>
      <c r="AD168" s="78">
        <v>0.00651</v>
      </c>
      <c r="AE168" s="30">
        <f t="shared" si="66"/>
        <v>7.16755114174355e-5</v>
      </c>
      <c r="AF168" s="71"/>
      <c r="AG168" s="78">
        <v>-0.425299999999999</v>
      </c>
      <c r="AH168" s="30">
        <f t="shared" si="70"/>
        <v>-0.00381188828738393</v>
      </c>
      <c r="AI168" s="71"/>
      <c r="AJ168" s="78">
        <v>0.26341</v>
      </c>
      <c r="AK168" s="30">
        <f t="shared" si="71"/>
        <v>0.00236089699924712</v>
      </c>
      <c r="AL168" s="71"/>
      <c r="AM168" s="78">
        <v>-0.33305</v>
      </c>
      <c r="AN168" s="30">
        <f t="shared" si="72"/>
        <v>-0.00298506793819238</v>
      </c>
      <c r="AO168" s="71"/>
      <c r="AP168" s="78">
        <f t="shared" si="74"/>
        <v>1.08432</v>
      </c>
      <c r="AQ168" s="30">
        <f t="shared" si="68"/>
        <v>0.00103485990566848</v>
      </c>
    </row>
    <row r="169" spans="1:43">
      <c r="A169" s="55" t="s">
        <v>28</v>
      </c>
      <c r="B169" s="77">
        <v>6666022300</v>
      </c>
      <c r="C169" t="s">
        <v>151</v>
      </c>
      <c r="D169" t="s">
        <v>329</v>
      </c>
      <c r="F169" s="78">
        <v>8.4916</v>
      </c>
      <c r="G169" s="30">
        <f t="shared" si="59"/>
        <v>0.106528502609394</v>
      </c>
      <c r="I169" s="78">
        <v>8.70346</v>
      </c>
      <c r="J169" s="30">
        <f t="shared" si="60"/>
        <v>0.106004019243651</v>
      </c>
      <c r="L169" s="78">
        <v>9.08904</v>
      </c>
      <c r="M169" s="30">
        <f t="shared" si="69"/>
        <v>0.0980933982321897</v>
      </c>
      <c r="O169" s="78">
        <v>8.71558</v>
      </c>
      <c r="P169" s="30">
        <f t="shared" si="61"/>
        <v>0.0883153809518984</v>
      </c>
      <c r="Q169" s="71"/>
      <c r="R169" s="78">
        <v>8.6381</v>
      </c>
      <c r="S169" s="30">
        <f t="shared" si="62"/>
        <v>0.0925315737041124</v>
      </c>
      <c r="T169" s="71"/>
      <c r="U169" s="78">
        <v>7.07974</v>
      </c>
      <c r="V169" s="30">
        <f t="shared" si="63"/>
        <v>0.0942808821179353</v>
      </c>
      <c r="W169" s="71"/>
      <c r="X169" s="78">
        <v>9.46636</v>
      </c>
      <c r="Y169" s="30">
        <f t="shared" si="64"/>
        <v>0.121677142379722</v>
      </c>
      <c r="Z169" s="71"/>
      <c r="AA169" s="78">
        <v>7.11131</v>
      </c>
      <c r="AB169" s="30">
        <f t="shared" si="65"/>
        <v>0.120915969530028</v>
      </c>
      <c r="AC169" s="71"/>
      <c r="AD169" s="78">
        <v>6.99432</v>
      </c>
      <c r="AE169" s="30">
        <f t="shared" si="66"/>
        <v>0.077007905225376</v>
      </c>
      <c r="AF169" s="71"/>
      <c r="AG169" s="78">
        <v>8.07241</v>
      </c>
      <c r="AH169" s="30">
        <f t="shared" si="70"/>
        <v>0.0723515756641451</v>
      </c>
      <c r="AI169" s="71"/>
      <c r="AJ169" s="78">
        <v>5.47521</v>
      </c>
      <c r="AK169" s="30">
        <f t="shared" si="71"/>
        <v>0.0490733338113505</v>
      </c>
      <c r="AL169" s="71"/>
      <c r="AM169" s="78">
        <v>8.44809</v>
      </c>
      <c r="AN169" s="30">
        <f t="shared" si="72"/>
        <v>0.0757187287132973</v>
      </c>
      <c r="AO169" s="71"/>
      <c r="AP169" s="78">
        <f t="shared" si="74"/>
        <v>96.28522</v>
      </c>
      <c r="AQ169" s="30">
        <f t="shared" si="68"/>
        <v>0.0918932729143324</v>
      </c>
    </row>
    <row r="170" spans="1:43">
      <c r="A170" s="56" t="s">
        <v>70</v>
      </c>
      <c r="B170" s="77">
        <v>6666029900</v>
      </c>
      <c r="C170" t="s">
        <v>155</v>
      </c>
      <c r="D170" t="s">
        <v>330</v>
      </c>
      <c r="F170" s="78">
        <v>0.33198</v>
      </c>
      <c r="G170" s="30">
        <f t="shared" si="59"/>
        <v>0.00416474307507025</v>
      </c>
      <c r="I170" s="78">
        <v>0.22041</v>
      </c>
      <c r="J170" s="30">
        <f t="shared" si="60"/>
        <v>0.00268448937336338</v>
      </c>
      <c r="L170" s="78">
        <v>0.46548</v>
      </c>
      <c r="M170" s="30">
        <f t="shared" si="69"/>
        <v>0.0050236895215688</v>
      </c>
      <c r="O170" s="78">
        <v>0.15928</v>
      </c>
      <c r="P170" s="30">
        <f t="shared" si="61"/>
        <v>0.00161399171116763</v>
      </c>
      <c r="Q170" s="71"/>
      <c r="R170" s="78">
        <v>1.35056</v>
      </c>
      <c r="S170" s="30">
        <f t="shared" si="62"/>
        <v>0.0144672372607201</v>
      </c>
      <c r="T170" s="71"/>
      <c r="U170" s="78">
        <v>0.34139</v>
      </c>
      <c r="V170" s="30">
        <f t="shared" si="63"/>
        <v>0.00454628988440846</v>
      </c>
      <c r="W170" s="71"/>
      <c r="X170" s="78">
        <v>0.0491</v>
      </c>
      <c r="Y170" s="30">
        <f t="shared" si="64"/>
        <v>0.000631113510456433</v>
      </c>
      <c r="Z170" s="71"/>
      <c r="AA170" s="78">
        <v>0.23527</v>
      </c>
      <c r="AB170" s="30">
        <f t="shared" si="65"/>
        <v>0.00400037407331837</v>
      </c>
      <c r="AC170" s="71"/>
      <c r="AD170" s="78">
        <v>0.23432</v>
      </c>
      <c r="AE170" s="30">
        <f t="shared" si="66"/>
        <v>0.00257987800849977</v>
      </c>
      <c r="AF170" s="71"/>
      <c r="AG170" s="78">
        <v>0.16457</v>
      </c>
      <c r="AH170" s="30">
        <f t="shared" si="70"/>
        <v>0.00147501165166888</v>
      </c>
      <c r="AI170" s="71"/>
      <c r="AJ170" s="78">
        <v>0.07671</v>
      </c>
      <c r="AK170" s="30">
        <f t="shared" si="71"/>
        <v>0.000687538091994407</v>
      </c>
      <c r="AL170" s="71"/>
      <c r="AM170" s="78">
        <v>0.0296</v>
      </c>
      <c r="AN170" s="30">
        <f t="shared" si="72"/>
        <v>0.000265299537518374</v>
      </c>
      <c r="AO170" s="71"/>
      <c r="AP170" s="78">
        <f t="shared" si="74"/>
        <v>3.65867</v>
      </c>
      <c r="AQ170" s="30">
        <f t="shared" si="68"/>
        <v>0.00349178369030554</v>
      </c>
    </row>
    <row r="171" spans="1:43">
      <c r="A171" s="56" t="s">
        <v>70</v>
      </c>
      <c r="B171" s="77">
        <v>6666029997</v>
      </c>
      <c r="C171" t="s">
        <v>159</v>
      </c>
      <c r="D171" t="s">
        <v>331</v>
      </c>
      <c r="F171" s="78">
        <v>0</v>
      </c>
      <c r="G171" s="30"/>
      <c r="I171" s="78">
        <v>12.39654</v>
      </c>
      <c r="J171" s="30">
        <f t="shared" si="60"/>
        <v>0.150983983923025</v>
      </c>
      <c r="L171" s="78">
        <v>0</v>
      </c>
      <c r="M171" s="30">
        <f t="shared" si="69"/>
        <v>0</v>
      </c>
      <c r="O171" s="78">
        <v>0</v>
      </c>
      <c r="P171" s="30">
        <f t="shared" si="61"/>
        <v>0</v>
      </c>
      <c r="Q171" s="71"/>
      <c r="R171" s="78">
        <v>0</v>
      </c>
      <c r="S171" s="30">
        <f t="shared" si="62"/>
        <v>0</v>
      </c>
      <c r="T171" s="71"/>
      <c r="U171" s="78">
        <v>0</v>
      </c>
      <c r="V171" s="30">
        <f t="shared" si="63"/>
        <v>0</v>
      </c>
      <c r="W171" s="71"/>
      <c r="X171" s="78">
        <v>5.42796</v>
      </c>
      <c r="Y171" s="30">
        <f t="shared" si="64"/>
        <v>0.0697690201673543</v>
      </c>
      <c r="Z171" s="71"/>
      <c r="AA171" s="78">
        <v>0</v>
      </c>
      <c r="AB171" s="30">
        <f t="shared" si="65"/>
        <v>0</v>
      </c>
      <c r="AC171" s="71"/>
      <c r="AD171" s="78">
        <v>0</v>
      </c>
      <c r="AE171" s="30">
        <f t="shared" si="66"/>
        <v>0</v>
      </c>
      <c r="AF171" s="71"/>
      <c r="AG171" s="78">
        <v>0</v>
      </c>
      <c r="AH171" s="30">
        <f t="shared" si="70"/>
        <v>0</v>
      </c>
      <c r="AI171" s="71"/>
      <c r="AJ171" s="78">
        <v>0</v>
      </c>
      <c r="AK171" s="30">
        <f t="shared" si="71"/>
        <v>0</v>
      </c>
      <c r="AL171" s="71"/>
      <c r="AM171" s="78">
        <v>0</v>
      </c>
      <c r="AN171" s="30">
        <f t="shared" si="72"/>
        <v>0</v>
      </c>
      <c r="AO171" s="71"/>
      <c r="AP171" s="78">
        <f t="shared" si="74"/>
        <v>17.8245</v>
      </c>
      <c r="AQ171" s="30">
        <f t="shared" si="68"/>
        <v>0.017011454541637</v>
      </c>
    </row>
    <row r="172" spans="1:43">
      <c r="A172" s="56" t="s">
        <v>70</v>
      </c>
      <c r="B172" s="77">
        <v>6666031100</v>
      </c>
      <c r="C172" s="57" t="s">
        <v>332</v>
      </c>
      <c r="D172" s="57" t="s">
        <v>333</v>
      </c>
      <c r="F172" s="78">
        <v>0</v>
      </c>
      <c r="G172" s="30"/>
      <c r="I172" s="78">
        <v>0</v>
      </c>
      <c r="J172" s="30"/>
      <c r="L172" s="78">
        <v>0</v>
      </c>
      <c r="M172" s="30"/>
      <c r="O172" s="78">
        <v>0</v>
      </c>
      <c r="P172" s="30"/>
      <c r="Q172" s="71"/>
      <c r="R172" s="78">
        <v>0</v>
      </c>
      <c r="S172" s="30"/>
      <c r="T172" s="71"/>
      <c r="U172" s="78">
        <v>0</v>
      </c>
      <c r="V172" s="30"/>
      <c r="W172" s="71"/>
      <c r="X172" s="78">
        <v>0</v>
      </c>
      <c r="Y172" s="30"/>
      <c r="Z172" s="71"/>
      <c r="AA172" s="78">
        <v>0</v>
      </c>
      <c r="AB172" s="30"/>
      <c r="AC172" s="71"/>
      <c r="AD172" s="78">
        <v>0.0091</v>
      </c>
      <c r="AE172" s="30">
        <f t="shared" si="66"/>
        <v>0.000100191575099641</v>
      </c>
      <c r="AF172" s="71"/>
      <c r="AG172" s="78">
        <v>-1e-5</v>
      </c>
      <c r="AH172" s="30">
        <f t="shared" si="70"/>
        <v>-8.96282221345858e-8</v>
      </c>
      <c r="AI172" s="71"/>
      <c r="AJ172" s="78">
        <v>-0.00011</v>
      </c>
      <c r="AK172" s="30">
        <f t="shared" si="71"/>
        <v>-9.85910443480443e-7</v>
      </c>
      <c r="AL172" s="71"/>
      <c r="AM172" s="78">
        <v>0.00023</v>
      </c>
      <c r="AN172" s="30">
        <f t="shared" si="72"/>
        <v>2.06144910909547e-6</v>
      </c>
      <c r="AO172" s="71"/>
      <c r="AP172" s="78">
        <f t="shared" si="74"/>
        <v>0.00921</v>
      </c>
      <c r="AQ172" s="30">
        <f t="shared" si="68"/>
        <v>8.78989572377776e-6</v>
      </c>
    </row>
    <row r="173" spans="1:43">
      <c r="A173" s="56" t="s">
        <v>70</v>
      </c>
      <c r="B173" s="77">
        <v>6666050107</v>
      </c>
      <c r="C173" t="s">
        <v>165</v>
      </c>
      <c r="D173" t="s">
        <v>334</v>
      </c>
      <c r="F173" s="78">
        <v>0</v>
      </c>
      <c r="G173" s="30"/>
      <c r="I173" s="78">
        <v>0.01567</v>
      </c>
      <c r="J173" s="30">
        <f t="shared" si="60"/>
        <v>0.000190853175811461</v>
      </c>
      <c r="L173" s="78">
        <v>0.01704</v>
      </c>
      <c r="M173" s="30">
        <f t="shared" si="69"/>
        <v>0.000183904076324509</v>
      </c>
      <c r="O173" s="78">
        <v>0.0132</v>
      </c>
      <c r="P173" s="30">
        <f t="shared" si="61"/>
        <v>0.000133756219157538</v>
      </c>
      <c r="Q173" s="71"/>
      <c r="R173" s="78">
        <v>0</v>
      </c>
      <c r="S173" s="30">
        <f t="shared" si="62"/>
        <v>0</v>
      </c>
      <c r="T173" s="71"/>
      <c r="U173" s="78">
        <v>0</v>
      </c>
      <c r="V173" s="30">
        <f t="shared" si="63"/>
        <v>0</v>
      </c>
      <c r="W173" s="71"/>
      <c r="X173" s="78">
        <v>0</v>
      </c>
      <c r="Y173" s="30">
        <f t="shared" si="64"/>
        <v>0</v>
      </c>
      <c r="Z173" s="71"/>
      <c r="AA173" s="78">
        <v>0</v>
      </c>
      <c r="AB173" s="30">
        <f t="shared" si="65"/>
        <v>0</v>
      </c>
      <c r="AC173" s="71"/>
      <c r="AD173" s="78">
        <v>-0.04004</v>
      </c>
      <c r="AE173" s="30">
        <f t="shared" si="66"/>
        <v>-0.000440842930438421</v>
      </c>
      <c r="AF173" s="71"/>
      <c r="AG173" s="78">
        <v>0</v>
      </c>
      <c r="AH173" s="30">
        <f t="shared" si="70"/>
        <v>0</v>
      </c>
      <c r="AI173" s="71"/>
      <c r="AJ173" s="78">
        <v>0</v>
      </c>
      <c r="AK173" s="30">
        <f t="shared" si="71"/>
        <v>0</v>
      </c>
      <c r="AL173" s="71"/>
      <c r="AM173" s="78">
        <v>0</v>
      </c>
      <c r="AN173" s="30">
        <f t="shared" si="72"/>
        <v>0</v>
      </c>
      <c r="AO173" s="71"/>
      <c r="AP173" s="78">
        <f t="shared" si="74"/>
        <v>0.00587000000000001</v>
      </c>
      <c r="AQ173" s="30">
        <f t="shared" si="68"/>
        <v>5.60224624305923e-6</v>
      </c>
    </row>
    <row r="174" spans="1:43">
      <c r="A174" s="56" t="s">
        <v>70</v>
      </c>
      <c r="B174" s="77">
        <v>6666079999</v>
      </c>
      <c r="C174" t="s">
        <v>335</v>
      </c>
      <c r="D174" t="s">
        <v>336</v>
      </c>
      <c r="F174" s="78">
        <v>252.82816</v>
      </c>
      <c r="G174" s="30">
        <f t="shared" si="59"/>
        <v>3.17177037334404</v>
      </c>
      <c r="I174" s="78">
        <v>252.82816</v>
      </c>
      <c r="J174" s="30">
        <f t="shared" si="60"/>
        <v>3.0793272029718</v>
      </c>
      <c r="L174" s="78">
        <v>252.78759</v>
      </c>
      <c r="M174" s="30">
        <f t="shared" si="69"/>
        <v>2.72820823035496</v>
      </c>
      <c r="O174" s="78">
        <v>252.81464</v>
      </c>
      <c r="P174" s="30">
        <f t="shared" si="61"/>
        <v>2.56178260561168</v>
      </c>
      <c r="Q174" s="71"/>
      <c r="R174" s="78">
        <v>278.01555</v>
      </c>
      <c r="S174" s="30">
        <f t="shared" si="62"/>
        <v>2.97811050528639</v>
      </c>
      <c r="T174" s="71"/>
      <c r="U174" s="78">
        <v>252.81464</v>
      </c>
      <c r="V174" s="30">
        <f t="shared" si="63"/>
        <v>3.36673200873595</v>
      </c>
      <c r="W174" s="71"/>
      <c r="X174" s="78">
        <v>252.81464</v>
      </c>
      <c r="Y174" s="30">
        <f t="shared" si="64"/>
        <v>3.24958726975925</v>
      </c>
      <c r="Z174" s="71"/>
      <c r="AA174" s="78">
        <v>252.81464</v>
      </c>
      <c r="AB174" s="30">
        <f t="shared" si="65"/>
        <v>4.29869142351901</v>
      </c>
      <c r="AC174" s="71"/>
      <c r="AD174" s="78">
        <v>278.01555</v>
      </c>
      <c r="AE174" s="30">
        <f t="shared" si="66"/>
        <v>3.06096877546077</v>
      </c>
      <c r="AF174" s="71"/>
      <c r="AG174" s="78">
        <v>278.01555</v>
      </c>
      <c r="AH174" s="30">
        <f t="shared" si="70"/>
        <v>2.4918039472269</v>
      </c>
      <c r="AI174" s="71"/>
      <c r="AJ174" s="78">
        <v>252.81464</v>
      </c>
      <c r="AK174" s="30">
        <f t="shared" si="71"/>
        <v>2.26593267127953</v>
      </c>
      <c r="AL174" s="71"/>
      <c r="AM174" s="78">
        <v>-300.68492</v>
      </c>
      <c r="AN174" s="30">
        <f t="shared" si="72"/>
        <v>-2.69498548022801</v>
      </c>
      <c r="AO174" s="71"/>
      <c r="AP174" s="78">
        <f t="shared" si="74"/>
        <v>2555.87884</v>
      </c>
      <c r="AQ174" s="30">
        <f t="shared" si="68"/>
        <v>2.43929516679805</v>
      </c>
    </row>
    <row r="175" spans="1:43">
      <c r="A175" s="56" t="s">
        <v>70</v>
      </c>
      <c r="B175" s="77">
        <v>6666090100</v>
      </c>
      <c r="C175" t="s">
        <v>337</v>
      </c>
      <c r="D175" t="s">
        <v>338</v>
      </c>
      <c r="F175" s="78">
        <v>0</v>
      </c>
      <c r="G175" s="30"/>
      <c r="I175" s="78">
        <v>0</v>
      </c>
      <c r="J175" s="30"/>
      <c r="L175" s="78">
        <v>0</v>
      </c>
      <c r="M175" s="30"/>
      <c r="O175" s="78">
        <v>0</v>
      </c>
      <c r="P175" s="30"/>
      <c r="Q175" s="71"/>
      <c r="R175" s="78">
        <v>0</v>
      </c>
      <c r="S175" s="30"/>
      <c r="T175" s="71"/>
      <c r="U175" s="78">
        <v>0</v>
      </c>
      <c r="V175" s="30"/>
      <c r="W175" s="71"/>
      <c r="X175" s="78">
        <v>0</v>
      </c>
      <c r="Y175" s="30"/>
      <c r="Z175" s="71"/>
      <c r="AA175" s="78">
        <v>0</v>
      </c>
      <c r="AB175" s="30"/>
      <c r="AC175" s="71"/>
      <c r="AD175" s="78">
        <v>11.46805</v>
      </c>
      <c r="AE175" s="30">
        <f t="shared" si="66"/>
        <v>0.126263955255103</v>
      </c>
      <c r="AF175" s="71"/>
      <c r="AG175" s="78">
        <v>0</v>
      </c>
      <c r="AH175" s="30">
        <f t="shared" si="70"/>
        <v>0</v>
      </c>
      <c r="AI175" s="71"/>
      <c r="AJ175" s="78">
        <v>0</v>
      </c>
      <c r="AK175" s="30">
        <f t="shared" si="71"/>
        <v>0</v>
      </c>
      <c r="AL175" s="71"/>
      <c r="AM175" s="78">
        <v>0</v>
      </c>
      <c r="AN175" s="30">
        <f t="shared" si="72"/>
        <v>0</v>
      </c>
      <c r="AO175" s="71"/>
      <c r="AP175" s="78">
        <f t="shared" si="74"/>
        <v>11.46805</v>
      </c>
      <c r="AQ175" s="30">
        <f t="shared" si="68"/>
        <v>0.0109449471938186</v>
      </c>
    </row>
    <row r="176" spans="1:43">
      <c r="A176" s="56" t="s">
        <v>70</v>
      </c>
      <c r="B176" s="77">
        <v>6666093800</v>
      </c>
      <c r="C176" t="s">
        <v>181</v>
      </c>
      <c r="D176" t="s">
        <v>339</v>
      </c>
      <c r="F176" s="78">
        <v>0.15534</v>
      </c>
      <c r="G176" s="30">
        <f t="shared" si="59"/>
        <v>0.00194876555600161</v>
      </c>
      <c r="I176" s="78">
        <v>0.19259</v>
      </c>
      <c r="J176" s="30">
        <f t="shared" si="60"/>
        <v>0.00234565495402229</v>
      </c>
      <c r="L176" s="78">
        <v>0.15887</v>
      </c>
      <c r="M176" s="30">
        <f t="shared" si="69"/>
        <v>0.00171460332192927</v>
      </c>
      <c r="O176" s="78">
        <v>0.18425</v>
      </c>
      <c r="P176" s="30">
        <f t="shared" si="61"/>
        <v>0.00186701389240731</v>
      </c>
      <c r="Q176" s="71"/>
      <c r="R176" s="78">
        <v>0.08953</v>
      </c>
      <c r="S176" s="30">
        <f t="shared" si="62"/>
        <v>0.000959047914903645</v>
      </c>
      <c r="T176" s="71"/>
      <c r="U176" s="78">
        <v>0.06295</v>
      </c>
      <c r="V176" s="30">
        <f t="shared" si="63"/>
        <v>0.000838305012517978</v>
      </c>
      <c r="W176" s="71"/>
      <c r="X176" s="78">
        <v>0.05661</v>
      </c>
      <c r="Y176" s="30">
        <f t="shared" si="64"/>
        <v>0.00072764431419427</v>
      </c>
      <c r="Z176" s="71"/>
      <c r="AA176" s="78">
        <v>0.05963</v>
      </c>
      <c r="AB176" s="30">
        <f t="shared" si="65"/>
        <v>0.00101390872611032</v>
      </c>
      <c r="AC176" s="71"/>
      <c r="AD176" s="78">
        <v>0.07935</v>
      </c>
      <c r="AE176" s="30">
        <f t="shared" si="66"/>
        <v>0.000873648514742474</v>
      </c>
      <c r="AF176" s="71"/>
      <c r="AG176" s="78">
        <v>0.06441</v>
      </c>
      <c r="AH176" s="30">
        <f t="shared" si="70"/>
        <v>0.000577295378768867</v>
      </c>
      <c r="AI176" s="71"/>
      <c r="AJ176" s="78">
        <v>0.06859</v>
      </c>
      <c r="AK176" s="30">
        <f t="shared" si="71"/>
        <v>0.000614759975621124</v>
      </c>
      <c r="AL176" s="71"/>
      <c r="AM176" s="78">
        <v>0</v>
      </c>
      <c r="AN176" s="30">
        <f t="shared" si="72"/>
        <v>0</v>
      </c>
      <c r="AO176" s="71"/>
      <c r="AP176" s="78">
        <f t="shared" si="74"/>
        <v>1.17212</v>
      </c>
      <c r="AQ176" s="30">
        <f t="shared" si="68"/>
        <v>0.00111865500279635</v>
      </c>
    </row>
    <row r="177" spans="1:43">
      <c r="A177" s="56" t="s">
        <v>70</v>
      </c>
      <c r="B177" s="77">
        <v>5401050201</v>
      </c>
      <c r="C177" s="3" t="s">
        <v>196</v>
      </c>
      <c r="D177" s="3" t="s">
        <v>340</v>
      </c>
      <c r="F177" s="78">
        <v>0</v>
      </c>
      <c r="G177" s="30"/>
      <c r="I177" s="78">
        <v>0</v>
      </c>
      <c r="J177" s="30"/>
      <c r="L177" s="78">
        <v>0</v>
      </c>
      <c r="M177" s="30"/>
      <c r="O177" s="78">
        <v>0</v>
      </c>
      <c r="P177" s="30"/>
      <c r="Q177" s="71"/>
      <c r="R177" s="78">
        <v>0</v>
      </c>
      <c r="S177" s="30"/>
      <c r="T177" s="71"/>
      <c r="U177" s="78">
        <v>0</v>
      </c>
      <c r="V177" s="30"/>
      <c r="W177" s="71"/>
      <c r="X177" s="78">
        <v>0</v>
      </c>
      <c r="Y177" s="30"/>
      <c r="Z177" s="71"/>
      <c r="AA177" s="78">
        <v>0</v>
      </c>
      <c r="AB177" s="30"/>
      <c r="AC177" s="71"/>
      <c r="AD177" s="78">
        <v>-0.86484</v>
      </c>
      <c r="AE177" s="30">
        <f t="shared" si="66"/>
        <v>-0.00952194305595314</v>
      </c>
      <c r="AF177" s="71"/>
      <c r="AG177" s="78">
        <v>0</v>
      </c>
      <c r="AH177" s="30">
        <f t="shared" si="70"/>
        <v>0</v>
      </c>
      <c r="AI177" s="71"/>
      <c r="AJ177" s="78">
        <v>0</v>
      </c>
      <c r="AK177" s="30">
        <f t="shared" si="71"/>
        <v>0</v>
      </c>
      <c r="AL177" s="71"/>
      <c r="AM177" s="78">
        <v>0</v>
      </c>
      <c r="AN177" s="30">
        <f t="shared" si="72"/>
        <v>0</v>
      </c>
      <c r="AO177" s="71"/>
      <c r="AP177" s="78">
        <f t="shared" si="74"/>
        <v>-0.86484</v>
      </c>
      <c r="AQ177" s="30">
        <f t="shared" si="68"/>
        <v>-0.000825391250570246</v>
      </c>
    </row>
    <row r="178" spans="1:43">
      <c r="A178" s="56" t="s">
        <v>70</v>
      </c>
      <c r="B178" s="84">
        <v>5301070000</v>
      </c>
      <c r="C178" s="85" t="s">
        <v>213</v>
      </c>
      <c r="D178" s="85" t="s">
        <v>341</v>
      </c>
      <c r="F178" s="78">
        <v>0</v>
      </c>
      <c r="G178" s="30"/>
      <c r="I178" s="78">
        <v>0</v>
      </c>
      <c r="J178" s="30"/>
      <c r="L178" s="78">
        <v>-42.0087</v>
      </c>
      <c r="M178" s="30"/>
      <c r="O178" s="78">
        <v>0</v>
      </c>
      <c r="P178" s="30"/>
      <c r="Q178" s="71"/>
      <c r="R178" s="78">
        <v>0</v>
      </c>
      <c r="S178" s="30"/>
      <c r="T178" s="71"/>
      <c r="U178" s="78">
        <v>0</v>
      </c>
      <c r="V178" s="30"/>
      <c r="W178" s="71"/>
      <c r="X178" s="78">
        <v>0</v>
      </c>
      <c r="Y178" s="30"/>
      <c r="Z178" s="71"/>
      <c r="AA178" s="78">
        <v>0</v>
      </c>
      <c r="AB178" s="30"/>
      <c r="AC178" s="71"/>
      <c r="AD178" s="78">
        <v>0</v>
      </c>
      <c r="AE178" s="30">
        <f t="shared" si="66"/>
        <v>0</v>
      </c>
      <c r="AF178" s="71"/>
      <c r="AG178" s="78">
        <v>0</v>
      </c>
      <c r="AH178" s="30">
        <f t="shared" si="70"/>
        <v>0</v>
      </c>
      <c r="AI178" s="71"/>
      <c r="AJ178" s="78">
        <v>0</v>
      </c>
      <c r="AK178" s="30">
        <f t="shared" si="71"/>
        <v>0</v>
      </c>
      <c r="AL178" s="71"/>
      <c r="AM178" s="78">
        <v>0</v>
      </c>
      <c r="AN178" s="30">
        <f t="shared" si="72"/>
        <v>0</v>
      </c>
      <c r="AO178" s="71"/>
      <c r="AP178" s="78">
        <f t="shared" si="74"/>
        <v>-42.0087</v>
      </c>
      <c r="AQ178" s="30">
        <f t="shared" si="68"/>
        <v>-0.0400925181858266</v>
      </c>
    </row>
    <row r="179" spans="1:43">
      <c r="A179" s="56" t="s">
        <v>70</v>
      </c>
      <c r="B179" s="84">
        <v>5207000011</v>
      </c>
      <c r="C179" s="85" t="s">
        <v>88</v>
      </c>
      <c r="D179" s="85" t="s">
        <v>89</v>
      </c>
      <c r="F179" s="78">
        <v>0</v>
      </c>
      <c r="G179" s="30"/>
      <c r="I179" s="78">
        <v>0</v>
      </c>
      <c r="J179" s="30"/>
      <c r="L179" s="78">
        <v>0</v>
      </c>
      <c r="M179" s="30"/>
      <c r="O179" s="78">
        <v>-4.25402</v>
      </c>
      <c r="P179" s="30"/>
      <c r="Q179" s="71"/>
      <c r="R179" s="78">
        <v>-7.93201</v>
      </c>
      <c r="S179" s="30"/>
      <c r="T179" s="71"/>
      <c r="U179" s="78">
        <v>7.93201</v>
      </c>
      <c r="V179" s="30"/>
      <c r="W179" s="71"/>
      <c r="X179" s="78">
        <v>0</v>
      </c>
      <c r="Y179" s="30"/>
      <c r="Z179" s="71"/>
      <c r="AA179" s="78">
        <v>0</v>
      </c>
      <c r="AB179" s="30"/>
      <c r="AC179" s="71"/>
      <c r="AD179" s="78">
        <v>0</v>
      </c>
      <c r="AE179" s="30">
        <f t="shared" si="66"/>
        <v>0</v>
      </c>
      <c r="AF179" s="71"/>
      <c r="AG179" s="78">
        <v>0</v>
      </c>
      <c r="AH179" s="30">
        <f t="shared" si="70"/>
        <v>0</v>
      </c>
      <c r="AI179" s="71"/>
      <c r="AJ179" s="78">
        <v>0</v>
      </c>
      <c r="AK179" s="30">
        <f t="shared" si="71"/>
        <v>0</v>
      </c>
      <c r="AL179" s="71"/>
      <c r="AM179" s="78">
        <v>-54.93226</v>
      </c>
      <c r="AN179" s="30">
        <f t="shared" si="72"/>
        <v>-0.492348080163482</v>
      </c>
      <c r="AO179" s="71"/>
      <c r="AP179" s="78">
        <f t="shared" si="74"/>
        <v>-59.18628</v>
      </c>
      <c r="AQ179" s="30">
        <f t="shared" si="68"/>
        <v>-0.0564865612897192</v>
      </c>
    </row>
    <row r="180" spans="1:43">
      <c r="A180" s="56" t="s">
        <v>70</v>
      </c>
      <c r="B180" s="84">
        <v>5102040894</v>
      </c>
      <c r="C180" s="85" t="s">
        <v>342</v>
      </c>
      <c r="D180" s="85" t="s">
        <v>343</v>
      </c>
      <c r="F180" s="78">
        <v>0.19432</v>
      </c>
      <c r="G180" s="30"/>
      <c r="I180" s="78">
        <v>0</v>
      </c>
      <c r="J180" s="30"/>
      <c r="L180" s="78">
        <v>0</v>
      </c>
      <c r="M180" s="30"/>
      <c r="O180" s="78">
        <v>0</v>
      </c>
      <c r="P180" s="30"/>
      <c r="Q180" s="71"/>
      <c r="R180" s="78">
        <v>0</v>
      </c>
      <c r="S180" s="30"/>
      <c r="T180" s="71"/>
      <c r="U180" s="78">
        <v>0</v>
      </c>
      <c r="V180" s="30"/>
      <c r="W180" s="71"/>
      <c r="X180" s="78">
        <v>0</v>
      </c>
      <c r="Y180" s="30"/>
      <c r="Z180" s="71"/>
      <c r="AA180" s="78">
        <v>0</v>
      </c>
      <c r="AB180" s="30"/>
      <c r="AC180" s="71"/>
      <c r="AD180" s="78">
        <v>0</v>
      </c>
      <c r="AE180" s="30">
        <f t="shared" si="66"/>
        <v>0</v>
      </c>
      <c r="AF180" s="71"/>
      <c r="AG180" s="78">
        <v>0</v>
      </c>
      <c r="AH180" s="30">
        <f t="shared" si="70"/>
        <v>0</v>
      </c>
      <c r="AI180" s="71"/>
      <c r="AJ180" s="78">
        <v>0</v>
      </c>
      <c r="AK180" s="30">
        <f t="shared" si="71"/>
        <v>0</v>
      </c>
      <c r="AL180" s="71"/>
      <c r="AM180" s="78">
        <v>0</v>
      </c>
      <c r="AN180" s="30">
        <f t="shared" si="72"/>
        <v>0</v>
      </c>
      <c r="AO180" s="71"/>
      <c r="AP180" s="78">
        <f t="shared" si="74"/>
        <v>0.19432</v>
      </c>
      <c r="AQ180" s="30">
        <f t="shared" si="68"/>
        <v>0.000185456301524918</v>
      </c>
    </row>
    <row r="181" spans="1:43">
      <c r="A181" s="56" t="s">
        <v>70</v>
      </c>
      <c r="B181" s="84">
        <v>5207000012</v>
      </c>
      <c r="C181" s="85" t="s">
        <v>90</v>
      </c>
      <c r="D181" s="85" t="s">
        <v>91</v>
      </c>
      <c r="F181" s="78">
        <v>0</v>
      </c>
      <c r="G181" s="30"/>
      <c r="I181" s="78">
        <v>0</v>
      </c>
      <c r="J181" s="30"/>
      <c r="L181" s="78">
        <v>0</v>
      </c>
      <c r="M181" s="30"/>
      <c r="O181" s="78">
        <v>95.99121</v>
      </c>
      <c r="P181" s="30"/>
      <c r="Q181" s="71"/>
      <c r="R181" s="78">
        <v>0</v>
      </c>
      <c r="S181" s="30"/>
      <c r="T181" s="71"/>
      <c r="U181" s="78">
        <v>0</v>
      </c>
      <c r="V181" s="30"/>
      <c r="W181" s="71"/>
      <c r="X181" s="78">
        <v>0</v>
      </c>
      <c r="Y181" s="30"/>
      <c r="Z181" s="71"/>
      <c r="AA181" s="78">
        <v>0</v>
      </c>
      <c r="AB181" s="30"/>
      <c r="AC181" s="71"/>
      <c r="AD181" s="78">
        <v>0</v>
      </c>
      <c r="AE181" s="30">
        <f t="shared" ref="AE181:AE184" si="75">AD181/$AD$1*1000</f>
        <v>0</v>
      </c>
      <c r="AF181" s="71"/>
      <c r="AG181" s="78">
        <v>0</v>
      </c>
      <c r="AH181" s="30">
        <f t="shared" ref="AH181:AH184" si="76">AG181/$AG$1*1000</f>
        <v>0</v>
      </c>
      <c r="AI181" s="71"/>
      <c r="AJ181" s="78">
        <v>0</v>
      </c>
      <c r="AK181" s="30">
        <f t="shared" ref="AK181:AK184" si="77">AJ181/$AG$1*1000</f>
        <v>0</v>
      </c>
      <c r="AL181" s="71"/>
      <c r="AM181" s="78">
        <v>0</v>
      </c>
      <c r="AN181" s="30">
        <f t="shared" ref="AN181:AN184" si="78">AM181/$AG$1*1000</f>
        <v>0</v>
      </c>
      <c r="AO181" s="71"/>
      <c r="AP181" s="78">
        <f t="shared" ref="AP181:AP184" si="79">I181+F181+L181+O181+R181+U181+X181+AA181+AD181+AG181+AJ181+AM181</f>
        <v>95.99121</v>
      </c>
      <c r="AQ181" s="30">
        <f t="shared" ref="AQ181:AQ184" si="80">AP181/$AP$1*1000</f>
        <v>0.0916126738652827</v>
      </c>
    </row>
    <row r="182" spans="1:43">
      <c r="A182" s="56" t="s">
        <v>70</v>
      </c>
      <c r="B182" s="84">
        <v>5301999999</v>
      </c>
      <c r="C182" s="85" t="s">
        <v>96</v>
      </c>
      <c r="D182" s="85" t="s">
        <v>97</v>
      </c>
      <c r="F182" s="78"/>
      <c r="G182" s="30"/>
      <c r="I182" s="78"/>
      <c r="J182" s="30"/>
      <c r="L182" s="78"/>
      <c r="M182" s="30"/>
      <c r="O182" s="78"/>
      <c r="P182" s="30"/>
      <c r="Q182" s="71"/>
      <c r="R182" s="78"/>
      <c r="S182" s="30"/>
      <c r="T182" s="71"/>
      <c r="U182" s="78"/>
      <c r="V182" s="30"/>
      <c r="W182" s="71"/>
      <c r="X182" s="78"/>
      <c r="Y182" s="30"/>
      <c r="Z182" s="71"/>
      <c r="AA182" s="78"/>
      <c r="AB182" s="30"/>
      <c r="AC182" s="71"/>
      <c r="AD182" s="78"/>
      <c r="AE182" s="30">
        <f t="shared" si="75"/>
        <v>0</v>
      </c>
      <c r="AF182" s="71"/>
      <c r="AG182" s="78"/>
      <c r="AH182" s="30">
        <f t="shared" si="76"/>
        <v>0</v>
      </c>
      <c r="AI182" s="71"/>
      <c r="AJ182" s="78">
        <v>-0.03812</v>
      </c>
      <c r="AK182" s="30">
        <f t="shared" si="77"/>
        <v>-0.000341662782777041</v>
      </c>
      <c r="AL182" s="71"/>
      <c r="AM182" s="78">
        <v>0</v>
      </c>
      <c r="AN182" s="30">
        <f t="shared" si="78"/>
        <v>0</v>
      </c>
      <c r="AO182" s="71"/>
      <c r="AP182" s="78">
        <f t="shared" si="79"/>
        <v>-0.03812</v>
      </c>
      <c r="AQ182" s="30">
        <f t="shared" si="80"/>
        <v>-3.63811970673625e-5</v>
      </c>
    </row>
    <row r="183" spans="1:43">
      <c r="A183" s="56" t="s">
        <v>70</v>
      </c>
      <c r="B183" s="86">
        <v>6666070400</v>
      </c>
      <c r="C183" s="85" t="s">
        <v>171</v>
      </c>
      <c r="D183" s="85" t="s">
        <v>344</v>
      </c>
      <c r="F183" s="78"/>
      <c r="G183" s="30"/>
      <c r="I183" s="78"/>
      <c r="J183" s="30"/>
      <c r="L183" s="78"/>
      <c r="M183" s="30"/>
      <c r="O183" s="78"/>
      <c r="P183" s="30"/>
      <c r="Q183" s="71"/>
      <c r="R183" s="78"/>
      <c r="S183" s="30"/>
      <c r="T183" s="71"/>
      <c r="U183" s="78"/>
      <c r="V183" s="30"/>
      <c r="W183" s="71"/>
      <c r="X183" s="78"/>
      <c r="Y183" s="30"/>
      <c r="Z183" s="71"/>
      <c r="AA183" s="78"/>
      <c r="AB183" s="30"/>
      <c r="AC183" s="71"/>
      <c r="AD183" s="78"/>
      <c r="AE183" s="30">
        <f t="shared" si="75"/>
        <v>0</v>
      </c>
      <c r="AF183" s="71"/>
      <c r="AG183" s="78"/>
      <c r="AH183" s="30">
        <f t="shared" si="76"/>
        <v>0</v>
      </c>
      <c r="AI183" s="71"/>
      <c r="AJ183" s="78"/>
      <c r="AK183" s="30">
        <f t="shared" si="77"/>
        <v>0</v>
      </c>
      <c r="AL183" s="71"/>
      <c r="AM183" s="78">
        <v>0.3757</v>
      </c>
      <c r="AN183" s="30">
        <f t="shared" si="78"/>
        <v>0.00336733230559639</v>
      </c>
      <c r="AO183" s="71"/>
      <c r="AP183" s="78">
        <f t="shared" si="79"/>
        <v>0.3757</v>
      </c>
      <c r="AQ183" s="30">
        <f t="shared" si="80"/>
        <v>0.000358562847277232</v>
      </c>
    </row>
    <row r="184" spans="1:43">
      <c r="A184" s="56" t="s">
        <v>70</v>
      </c>
      <c r="B184" s="84">
        <v>5801000041</v>
      </c>
      <c r="C184" s="85" t="s">
        <v>345</v>
      </c>
      <c r="D184" s="85" t="s">
        <v>346</v>
      </c>
      <c r="F184" s="78"/>
      <c r="G184" s="30"/>
      <c r="I184" s="78"/>
      <c r="J184" s="30"/>
      <c r="L184" s="78"/>
      <c r="M184" s="30"/>
      <c r="O184" s="78"/>
      <c r="P184" s="30"/>
      <c r="Q184" s="71"/>
      <c r="R184" s="78"/>
      <c r="S184" s="30"/>
      <c r="T184" s="71"/>
      <c r="U184" s="78"/>
      <c r="V184" s="30"/>
      <c r="W184" s="71"/>
      <c r="X184" s="78"/>
      <c r="Y184" s="30"/>
      <c r="Z184" s="71"/>
      <c r="AA184" s="78"/>
      <c r="AB184" s="30"/>
      <c r="AC184" s="71"/>
      <c r="AD184" s="78"/>
      <c r="AE184" s="30">
        <f t="shared" si="75"/>
        <v>0</v>
      </c>
      <c r="AF184" s="71"/>
      <c r="AG184" s="78"/>
      <c r="AH184" s="30">
        <f t="shared" si="76"/>
        <v>0</v>
      </c>
      <c r="AI184" s="71"/>
      <c r="AJ184" s="78"/>
      <c r="AK184" s="30">
        <f t="shared" si="77"/>
        <v>0</v>
      </c>
      <c r="AL184" s="71"/>
      <c r="AM184" s="78">
        <v>0.00091</v>
      </c>
      <c r="AN184" s="30">
        <f t="shared" si="78"/>
        <v>8.1561682142473e-6</v>
      </c>
      <c r="AO184" s="71"/>
      <c r="AP184" s="78">
        <f t="shared" si="79"/>
        <v>0.00091</v>
      </c>
      <c r="AQ184" s="30">
        <f t="shared" si="80"/>
        <v>8.68491325584991e-7</v>
      </c>
    </row>
    <row r="185" spans="1:43">
      <c r="A185" s="56" t="s">
        <v>70</v>
      </c>
      <c r="B185" s="86">
        <v>6666010380</v>
      </c>
      <c r="C185" s="85" t="s">
        <v>54</v>
      </c>
      <c r="D185" s="85" t="s">
        <v>347</v>
      </c>
      <c r="F185" s="78"/>
      <c r="G185" s="30"/>
      <c r="I185" s="78"/>
      <c r="J185" s="30"/>
      <c r="L185" s="78"/>
      <c r="M185" s="30"/>
      <c r="O185" s="78"/>
      <c r="P185" s="30"/>
      <c r="Q185" s="71"/>
      <c r="R185" s="78"/>
      <c r="S185" s="30"/>
      <c r="T185" s="71"/>
      <c r="U185" s="78"/>
      <c r="V185" s="30"/>
      <c r="W185" s="71"/>
      <c r="X185" s="78"/>
      <c r="Y185" s="30"/>
      <c r="Z185" s="71"/>
      <c r="AA185" s="78"/>
      <c r="AB185" s="30"/>
      <c r="AC185" s="71"/>
      <c r="AD185" s="78"/>
      <c r="AE185" s="30">
        <f t="shared" si="66"/>
        <v>0</v>
      </c>
      <c r="AF185" s="71"/>
      <c r="AG185" s="78"/>
      <c r="AH185" s="30">
        <f t="shared" si="70"/>
        <v>0</v>
      </c>
      <c r="AI185" s="71"/>
      <c r="AJ185" s="78"/>
      <c r="AK185" s="30">
        <f t="shared" si="71"/>
        <v>0</v>
      </c>
      <c r="AL185" s="71"/>
      <c r="AM185" s="78">
        <v>0.14207</v>
      </c>
      <c r="AN185" s="30">
        <f t="shared" si="72"/>
        <v>0.00127334815186606</v>
      </c>
      <c r="AO185" s="71"/>
      <c r="AP185" s="78">
        <f t="shared" si="74"/>
        <v>0.14207</v>
      </c>
      <c r="AQ185" s="30">
        <f t="shared" si="68"/>
        <v>0.000135589629259186</v>
      </c>
    </row>
    <row r="186" spans="1:43">
      <c r="A186" s="56"/>
      <c r="B186" s="37" t="s">
        <v>348</v>
      </c>
      <c r="C186" s="37" t="s">
        <v>83</v>
      </c>
      <c r="D186" s="38" t="s">
        <v>349</v>
      </c>
      <c r="E186" s="39"/>
      <c r="F186" s="79">
        <f>SUM(F143:F185)</f>
        <v>365.40625</v>
      </c>
      <c r="G186" s="80">
        <f t="shared" si="59"/>
        <v>4.58408081593737</v>
      </c>
      <c r="I186" s="79">
        <f>SUM(I143:I185)</f>
        <v>460.28112</v>
      </c>
      <c r="J186" s="80">
        <f t="shared" si="60"/>
        <v>5.60600596796785</v>
      </c>
      <c r="L186" s="79">
        <f>SUM(L143:L185)</f>
        <v>341.27551</v>
      </c>
      <c r="M186" s="80">
        <f t="shared" si="69"/>
        <v>3.68321346471395</v>
      </c>
      <c r="O186" s="79">
        <f>SUM(O143:O185)</f>
        <v>416.41282</v>
      </c>
      <c r="P186" s="80">
        <f t="shared" si="61"/>
        <v>4.21953063726732</v>
      </c>
      <c r="Q186" s="71"/>
      <c r="R186" s="79">
        <f>SUM(R143:R185)</f>
        <v>348.41684</v>
      </c>
      <c r="S186" s="80">
        <f t="shared" si="62"/>
        <v>3.73225113279702</v>
      </c>
      <c r="T186" s="71"/>
      <c r="U186" s="79">
        <f>SUM(U143:U185)</f>
        <v>360.09385</v>
      </c>
      <c r="V186" s="80">
        <f t="shared" si="63"/>
        <v>4.79536901400948</v>
      </c>
      <c r="W186" s="71"/>
      <c r="X186" s="79">
        <f>SUM(X143:X185)</f>
        <v>368.152</v>
      </c>
      <c r="Y186" s="80">
        <f t="shared" si="64"/>
        <v>4.73209167212946</v>
      </c>
      <c r="Z186" s="71"/>
      <c r="AA186" s="79">
        <f>SUM(AA143:AA185)</f>
        <v>349.16972</v>
      </c>
      <c r="AB186" s="80">
        <f t="shared" si="65"/>
        <v>5.93704890158471</v>
      </c>
      <c r="AC186" s="71"/>
      <c r="AD186" s="79">
        <f>SUM(AD143:AD185)</f>
        <v>403.24225</v>
      </c>
      <c r="AE186" s="80">
        <f t="shared" si="66"/>
        <v>4.43972265650805</v>
      </c>
      <c r="AF186" s="71"/>
      <c r="AG186" s="79">
        <f>SUM(AG143:AG185)</f>
        <v>375.6505</v>
      </c>
      <c r="AH186" s="80">
        <f t="shared" si="70"/>
        <v>3.36688864589682</v>
      </c>
      <c r="AI186" s="71"/>
      <c r="AJ186" s="79">
        <f>SUM(AJ143:AJ185)</f>
        <v>350.24641</v>
      </c>
      <c r="AK186" s="80">
        <f t="shared" si="71"/>
        <v>3.13919630373212</v>
      </c>
      <c r="AL186" s="71"/>
      <c r="AM186" s="79">
        <f>SUM(AM143:AM185)</f>
        <v>-247.53959</v>
      </c>
      <c r="AN186" s="80">
        <f t="shared" si="72"/>
        <v>-2.21865333596243</v>
      </c>
      <c r="AO186" s="71"/>
      <c r="AP186" s="79">
        <f>SUM(AP143:AP185)</f>
        <v>3890.80768</v>
      </c>
      <c r="AQ186" s="80">
        <f t="shared" si="68"/>
        <v>3.71333265890051</v>
      </c>
    </row>
    <row r="187" outlineLevel="1" spans="1:43">
      <c r="A187" s="56" t="s">
        <v>70</v>
      </c>
      <c r="B187" s="77">
        <v>5102040000</v>
      </c>
      <c r="C187" t="s">
        <v>202</v>
      </c>
      <c r="D187" t="s">
        <v>350</v>
      </c>
      <c r="F187" s="78">
        <v>-0.04537</v>
      </c>
      <c r="G187" s="30">
        <f t="shared" si="59"/>
        <v>-0.000569174026495383</v>
      </c>
      <c r="I187" s="78">
        <v>0</v>
      </c>
      <c r="J187" s="30">
        <f t="shared" si="60"/>
        <v>0</v>
      </c>
      <c r="L187" s="78">
        <v>-0.36507</v>
      </c>
      <c r="M187" s="30">
        <f t="shared" si="69"/>
        <v>-0.00394001532533969</v>
      </c>
      <c r="O187" s="78">
        <v>0</v>
      </c>
      <c r="P187" s="30">
        <f t="shared" si="61"/>
        <v>0</v>
      </c>
      <c r="Q187" s="71"/>
      <c r="R187" s="78">
        <v>0</v>
      </c>
      <c r="S187" s="30">
        <f t="shared" si="62"/>
        <v>0</v>
      </c>
      <c r="T187" s="71"/>
      <c r="U187" s="78">
        <v>0</v>
      </c>
      <c r="V187" s="30">
        <f t="shared" si="63"/>
        <v>0</v>
      </c>
      <c r="W187" s="71"/>
      <c r="X187" s="78">
        <v>0</v>
      </c>
      <c r="Y187" s="30">
        <f t="shared" si="64"/>
        <v>0</v>
      </c>
      <c r="Z187" s="71"/>
      <c r="AA187" s="78">
        <v>0</v>
      </c>
      <c r="AB187" s="30">
        <f t="shared" si="65"/>
        <v>0</v>
      </c>
      <c r="AC187" s="71"/>
      <c r="AD187" s="78">
        <v>0</v>
      </c>
      <c r="AE187" s="30">
        <f t="shared" si="66"/>
        <v>0</v>
      </c>
      <c r="AF187" s="71"/>
      <c r="AG187" s="78">
        <v>0</v>
      </c>
      <c r="AH187" s="30">
        <f t="shared" si="70"/>
        <v>0</v>
      </c>
      <c r="AI187" s="71"/>
      <c r="AJ187" s="78">
        <v>0</v>
      </c>
      <c r="AK187" s="30">
        <f t="shared" si="71"/>
        <v>0</v>
      </c>
      <c r="AL187" s="71"/>
      <c r="AM187" s="78">
        <v>-0.68139</v>
      </c>
      <c r="AN187" s="30">
        <f t="shared" si="72"/>
        <v>-0.00610717742802854</v>
      </c>
      <c r="AO187" s="71"/>
      <c r="AP187" s="78">
        <f>I187+F187+L187+O187+R187+U187+X187+AA187+AD187+AG187+AJ187+AM187</f>
        <v>-1.09183</v>
      </c>
      <c r="AQ187" s="30">
        <f t="shared" si="68"/>
        <v>-0.00104202734506974</v>
      </c>
    </row>
    <row r="188" spans="1:43">
      <c r="A188" s="56"/>
      <c r="B188" s="37" t="s">
        <v>351</v>
      </c>
      <c r="C188" s="37" t="s">
        <v>201</v>
      </c>
      <c r="D188" s="38" t="s">
        <v>352</v>
      </c>
      <c r="E188" s="39"/>
      <c r="F188" s="79">
        <f>F187</f>
        <v>-0.04537</v>
      </c>
      <c r="G188" s="80">
        <f t="shared" si="59"/>
        <v>-0.000569174026495383</v>
      </c>
      <c r="I188" s="79">
        <f>+I187</f>
        <v>0</v>
      </c>
      <c r="J188" s="80">
        <f t="shared" si="60"/>
        <v>0</v>
      </c>
      <c r="L188" s="79">
        <f>+L187</f>
        <v>-0.36507</v>
      </c>
      <c r="M188" s="80">
        <f t="shared" si="69"/>
        <v>-0.00394001532533969</v>
      </c>
      <c r="O188" s="79">
        <f>+O187</f>
        <v>0</v>
      </c>
      <c r="P188" s="80">
        <f t="shared" si="61"/>
        <v>0</v>
      </c>
      <c r="Q188" s="71"/>
      <c r="R188" s="79">
        <f>+R187</f>
        <v>0</v>
      </c>
      <c r="S188" s="80">
        <f t="shared" si="62"/>
        <v>0</v>
      </c>
      <c r="T188" s="71"/>
      <c r="U188" s="79">
        <f>+U187</f>
        <v>0</v>
      </c>
      <c r="V188" s="80">
        <f t="shared" si="63"/>
        <v>0</v>
      </c>
      <c r="W188" s="71"/>
      <c r="X188" s="79">
        <f>+X187</f>
        <v>0</v>
      </c>
      <c r="Y188" s="80">
        <f t="shared" si="64"/>
        <v>0</v>
      </c>
      <c r="Z188" s="71"/>
      <c r="AA188" s="79">
        <f>+AA187</f>
        <v>0</v>
      </c>
      <c r="AB188" s="80">
        <f t="shared" si="65"/>
        <v>0</v>
      </c>
      <c r="AC188" s="71"/>
      <c r="AD188" s="79">
        <f>+AD187</f>
        <v>0</v>
      </c>
      <c r="AE188" s="80">
        <f t="shared" si="66"/>
        <v>0</v>
      </c>
      <c r="AF188" s="71"/>
      <c r="AG188" s="79">
        <f>+AG187</f>
        <v>0</v>
      </c>
      <c r="AH188" s="80">
        <f t="shared" si="70"/>
        <v>0</v>
      </c>
      <c r="AI188" s="71"/>
      <c r="AJ188" s="79">
        <f>+AJ187</f>
        <v>0</v>
      </c>
      <c r="AK188" s="80">
        <f t="shared" si="71"/>
        <v>0</v>
      </c>
      <c r="AL188" s="71"/>
      <c r="AM188" s="79">
        <f>+AM187</f>
        <v>-0.68139</v>
      </c>
      <c r="AN188" s="80">
        <f t="shared" si="72"/>
        <v>-0.00610717742802854</v>
      </c>
      <c r="AO188" s="71"/>
      <c r="AP188" s="79">
        <f>+AP187</f>
        <v>-1.09183</v>
      </c>
      <c r="AQ188" s="80">
        <f t="shared" si="68"/>
        <v>-0.00104202734506974</v>
      </c>
    </row>
    <row r="189" outlineLevel="1" spans="1:43">
      <c r="A189" s="56" t="s">
        <v>70</v>
      </c>
      <c r="B189" s="77">
        <v>6666021600</v>
      </c>
      <c r="C189" t="s">
        <v>221</v>
      </c>
      <c r="D189" t="s">
        <v>353</v>
      </c>
      <c r="F189" s="78">
        <v>0.75802</v>
      </c>
      <c r="G189" s="30">
        <f t="shared" si="59"/>
        <v>0.00950948414291449</v>
      </c>
      <c r="I189" s="78">
        <v>5.757</v>
      </c>
      <c r="J189" s="30">
        <f t="shared" si="60"/>
        <v>0.0701175324279885</v>
      </c>
      <c r="L189" s="78">
        <v>4.65923</v>
      </c>
      <c r="M189" s="30">
        <f t="shared" si="69"/>
        <v>0.0502847059585352</v>
      </c>
      <c r="O189" s="78">
        <v>4.25575</v>
      </c>
      <c r="P189" s="30">
        <f t="shared" si="61"/>
        <v>0.0431237143696738</v>
      </c>
      <c r="Q189" s="71"/>
      <c r="R189" s="78">
        <v>1.99917</v>
      </c>
      <c r="S189" s="30">
        <f t="shared" si="62"/>
        <v>0.0214151660900025</v>
      </c>
      <c r="T189" s="71"/>
      <c r="U189" s="78">
        <v>2.0036</v>
      </c>
      <c r="V189" s="30">
        <f t="shared" si="63"/>
        <v>0.0266819368241624</v>
      </c>
      <c r="W189" s="71"/>
      <c r="X189" s="78">
        <v>2.35614</v>
      </c>
      <c r="Y189" s="30">
        <f t="shared" si="64"/>
        <v>0.0302849651023792</v>
      </c>
      <c r="Z189" s="71"/>
      <c r="AA189" s="78">
        <v>2.4714</v>
      </c>
      <c r="AB189" s="30">
        <f t="shared" si="65"/>
        <v>0.0420220363191185</v>
      </c>
      <c r="AC189" s="71"/>
      <c r="AD189" s="78">
        <v>2.3603</v>
      </c>
      <c r="AE189" s="30">
        <f t="shared" si="66"/>
        <v>0.0259870521656794</v>
      </c>
      <c r="AF189" s="71"/>
      <c r="AG189" s="78">
        <v>2.21233</v>
      </c>
      <c r="AH189" s="30">
        <f t="shared" si="70"/>
        <v>0.0198287204675008</v>
      </c>
      <c r="AI189" s="71"/>
      <c r="AJ189" s="78">
        <v>1.61617</v>
      </c>
      <c r="AK189" s="30">
        <f t="shared" si="71"/>
        <v>0.0144854443767253</v>
      </c>
      <c r="AL189" s="71"/>
      <c r="AM189" s="78">
        <v>3.72658</v>
      </c>
      <c r="AN189" s="30">
        <f t="shared" si="72"/>
        <v>0.0334006740042304</v>
      </c>
      <c r="AO189" s="71"/>
      <c r="AP189" s="78">
        <f t="shared" ref="AP189:AP190" si="81">I189+F189+L189+O189+R189+U189+X189+AA189+AD189+AG189+AJ189+AM189</f>
        <v>34.17569</v>
      </c>
      <c r="AQ189" s="30">
        <f t="shared" si="68"/>
        <v>0.0326168025394305</v>
      </c>
    </row>
    <row r="190" outlineLevel="1" spans="1:43">
      <c r="A190" s="56" t="s">
        <v>70</v>
      </c>
      <c r="B190" s="77">
        <v>6666021604</v>
      </c>
      <c r="C190" t="s">
        <v>226</v>
      </c>
      <c r="D190" t="s">
        <v>354</v>
      </c>
      <c r="F190" s="78">
        <v>0</v>
      </c>
      <c r="G190" s="30"/>
      <c r="I190" s="78">
        <v>0</v>
      </c>
      <c r="J190" s="30"/>
      <c r="L190" s="78">
        <v>0</v>
      </c>
      <c r="M190" s="30"/>
      <c r="O190" s="78">
        <v>0</v>
      </c>
      <c r="P190" s="30"/>
      <c r="Q190" s="71"/>
      <c r="R190" s="78">
        <v>0</v>
      </c>
      <c r="S190" s="30"/>
      <c r="T190" s="71"/>
      <c r="U190" s="78">
        <v>0</v>
      </c>
      <c r="V190" s="30"/>
      <c r="W190" s="71"/>
      <c r="X190" s="78">
        <v>0.0961</v>
      </c>
      <c r="Y190" s="30">
        <f t="shared" si="64"/>
        <v>0.00123523438604609</v>
      </c>
      <c r="Z190" s="71"/>
      <c r="AA190" s="78">
        <v>-0.00158</v>
      </c>
      <c r="AB190" s="30">
        <f t="shared" si="65"/>
        <v>-2.6865265592056e-5</v>
      </c>
      <c r="AC190" s="71"/>
      <c r="AD190" s="78">
        <v>-0.00183</v>
      </c>
      <c r="AE190" s="30">
        <f t="shared" si="66"/>
        <v>-2.01484156519058e-5</v>
      </c>
      <c r="AF190" s="71"/>
      <c r="AG190" s="78">
        <v>0.04218</v>
      </c>
      <c r="AH190" s="30">
        <f t="shared" si="70"/>
        <v>0.000378051840963683</v>
      </c>
      <c r="AI190" s="71"/>
      <c r="AJ190" s="78">
        <v>0.05738</v>
      </c>
      <c r="AK190" s="30">
        <f t="shared" si="71"/>
        <v>0.000514286738608253</v>
      </c>
      <c r="AL190" s="71"/>
      <c r="AM190" s="78">
        <v>0.08</v>
      </c>
      <c r="AN190" s="30">
        <f t="shared" si="72"/>
        <v>0.000717025777076686</v>
      </c>
      <c r="AO190" s="71"/>
      <c r="AP190" s="78">
        <f t="shared" si="81"/>
        <v>0.27225</v>
      </c>
      <c r="AQ190" s="30">
        <f t="shared" si="68"/>
        <v>0.000259831608121444</v>
      </c>
    </row>
    <row r="191" spans="1:43">
      <c r="A191" s="56"/>
      <c r="B191" s="37" t="s">
        <v>351</v>
      </c>
      <c r="C191" s="37" t="s">
        <v>223</v>
      </c>
      <c r="D191" s="38" t="s">
        <v>355</v>
      </c>
      <c r="E191" s="39"/>
      <c r="F191" s="79">
        <f>SUM(F189:F190)</f>
        <v>0.75802</v>
      </c>
      <c r="G191" s="80">
        <f t="shared" si="59"/>
        <v>0.00950948414291449</v>
      </c>
      <c r="I191" s="79">
        <f>+I189</f>
        <v>5.757</v>
      </c>
      <c r="J191" s="80">
        <f t="shared" si="60"/>
        <v>0.0701175324279885</v>
      </c>
      <c r="L191" s="79">
        <f>+L189</f>
        <v>4.65923</v>
      </c>
      <c r="M191" s="80">
        <f t="shared" si="69"/>
        <v>0.0502847059585352</v>
      </c>
      <c r="O191" s="79">
        <f>+O189</f>
        <v>4.25575</v>
      </c>
      <c r="P191" s="80">
        <f t="shared" si="61"/>
        <v>0.0431237143696738</v>
      </c>
      <c r="Q191" s="71"/>
      <c r="R191" s="79">
        <f>+R189</f>
        <v>1.99917</v>
      </c>
      <c r="S191" s="80">
        <f t="shared" si="62"/>
        <v>0.0214151660900025</v>
      </c>
      <c r="T191" s="71"/>
      <c r="U191" s="79">
        <f>+U189</f>
        <v>2.0036</v>
      </c>
      <c r="V191" s="80">
        <f t="shared" si="63"/>
        <v>0.0266819368241624</v>
      </c>
      <c r="W191" s="71"/>
      <c r="X191" s="79">
        <f>+SUM(X189:X190)</f>
        <v>2.45224</v>
      </c>
      <c r="Y191" s="80">
        <f t="shared" si="64"/>
        <v>0.0315201994884253</v>
      </c>
      <c r="Z191" s="71"/>
      <c r="AA191" s="79">
        <f>+SUM(AA189:AA190)</f>
        <v>2.46982</v>
      </c>
      <c r="AB191" s="80">
        <f t="shared" si="65"/>
        <v>0.0419951710535265</v>
      </c>
      <c r="AC191" s="71"/>
      <c r="AD191" s="79">
        <f>+SUM(AD189:AD190)</f>
        <v>2.35847</v>
      </c>
      <c r="AE191" s="80">
        <f t="shared" si="66"/>
        <v>0.0259669037500275</v>
      </c>
      <c r="AF191" s="71"/>
      <c r="AG191" s="79">
        <f>+SUM(AG189:AG190)</f>
        <v>2.25451</v>
      </c>
      <c r="AH191" s="80">
        <f t="shared" si="70"/>
        <v>0.0202067723084645</v>
      </c>
      <c r="AI191" s="71"/>
      <c r="AJ191" s="79">
        <f>+SUM(AJ189:AJ190)</f>
        <v>1.67355</v>
      </c>
      <c r="AK191" s="80">
        <f t="shared" si="71"/>
        <v>0.0149997311153336</v>
      </c>
      <c r="AL191" s="71"/>
      <c r="AM191" s="79">
        <f>+SUM(AM189:AM190)</f>
        <v>3.80658</v>
      </c>
      <c r="AN191" s="80">
        <f t="shared" si="72"/>
        <v>0.0341176997813071</v>
      </c>
      <c r="AO191" s="71"/>
      <c r="AP191" s="79">
        <f>+SUM(AP189:AP190)</f>
        <v>34.44794</v>
      </c>
      <c r="AQ191" s="80">
        <f t="shared" si="68"/>
        <v>0.0328766341475519</v>
      </c>
    </row>
    <row r="192" outlineLevel="2" spans="1:43">
      <c r="A192" s="56" t="s">
        <v>70</v>
      </c>
      <c r="B192" s="77">
        <v>6666010012</v>
      </c>
      <c r="C192" t="s">
        <v>238</v>
      </c>
      <c r="D192" t="s">
        <v>356</v>
      </c>
      <c r="F192" s="78">
        <v>0.04355</v>
      </c>
      <c r="G192" s="30">
        <f t="shared" si="59"/>
        <v>0.000546341830590125</v>
      </c>
      <c r="I192" s="78">
        <v>0.05136</v>
      </c>
      <c r="J192" s="30">
        <f t="shared" si="60"/>
        <v>0.000625540466475854</v>
      </c>
      <c r="L192" s="78">
        <v>0.04357</v>
      </c>
      <c r="M192" s="30">
        <f t="shared" si="69"/>
        <v>0.000470228908771059</v>
      </c>
      <c r="O192" s="78">
        <v>0.02169</v>
      </c>
      <c r="P192" s="30">
        <f t="shared" si="61"/>
        <v>0.00021978578738841</v>
      </c>
      <c r="Q192" s="71"/>
      <c r="R192" s="78">
        <v>0</v>
      </c>
      <c r="S192" s="30">
        <f t="shared" si="62"/>
        <v>0</v>
      </c>
      <c r="T192" s="71"/>
      <c r="U192" s="78">
        <v>0</v>
      </c>
      <c r="V192" s="30">
        <f t="shared" si="63"/>
        <v>0</v>
      </c>
      <c r="W192" s="71"/>
      <c r="X192" s="78">
        <v>0</v>
      </c>
      <c r="Y192" s="30">
        <f t="shared" si="64"/>
        <v>0</v>
      </c>
      <c r="Z192" s="71"/>
      <c r="AA192" s="78">
        <v>0</v>
      </c>
      <c r="AB192" s="30">
        <f t="shared" si="65"/>
        <v>0</v>
      </c>
      <c r="AC192" s="71"/>
      <c r="AD192" s="78">
        <v>0</v>
      </c>
      <c r="AE192" s="30">
        <f t="shared" si="66"/>
        <v>0</v>
      </c>
      <c r="AF192" s="71"/>
      <c r="AG192" s="78">
        <v>0.00586</v>
      </c>
      <c r="AH192" s="30">
        <f t="shared" si="70"/>
        <v>5.25221381708672e-5</v>
      </c>
      <c r="AI192" s="71"/>
      <c r="AJ192" s="78">
        <v>0</v>
      </c>
      <c r="AK192" s="30">
        <f t="shared" si="71"/>
        <v>0</v>
      </c>
      <c r="AL192" s="71"/>
      <c r="AM192" s="78">
        <v>0</v>
      </c>
      <c r="AN192" s="30">
        <f t="shared" si="72"/>
        <v>0</v>
      </c>
      <c r="AO192" s="71"/>
      <c r="AP192" s="78">
        <f t="shared" ref="AP192:AP193" si="82">I192+F192+L192+O192+R192+U192+X192+AA192+AD192+AG192+AJ192+AM192</f>
        <v>0.16603</v>
      </c>
      <c r="AQ192" s="30">
        <f t="shared" si="68"/>
        <v>0.000158456719546018</v>
      </c>
    </row>
    <row r="193" outlineLevel="2" spans="1:43">
      <c r="A193" s="56" t="s">
        <v>70</v>
      </c>
      <c r="B193" s="77">
        <v>6666010102</v>
      </c>
      <c r="C193" t="s">
        <v>357</v>
      </c>
      <c r="D193" t="s">
        <v>358</v>
      </c>
      <c r="F193" s="78">
        <v>0.25894</v>
      </c>
      <c r="G193" s="30">
        <f t="shared" si="59"/>
        <v>0.00324844439983942</v>
      </c>
      <c r="I193" s="78">
        <v>0.27833</v>
      </c>
      <c r="J193" s="30">
        <f t="shared" si="60"/>
        <v>0.00338992753181901</v>
      </c>
      <c r="L193" s="78">
        <v>0.2455</v>
      </c>
      <c r="M193" s="30">
        <f t="shared" si="69"/>
        <v>0.00264955696817294</v>
      </c>
      <c r="O193" s="78">
        <v>0.15544</v>
      </c>
      <c r="P193" s="30">
        <f t="shared" si="61"/>
        <v>0.00157508081104907</v>
      </c>
      <c r="Q193" s="71"/>
      <c r="R193" s="78">
        <v>0.06501</v>
      </c>
      <c r="S193" s="30">
        <f t="shared" si="62"/>
        <v>0.00069638897518023</v>
      </c>
      <c r="T193" s="71"/>
      <c r="U193" s="78">
        <v>0.04285</v>
      </c>
      <c r="V193" s="30">
        <f t="shared" si="63"/>
        <v>0.00057063335641613</v>
      </c>
      <c r="W193" s="71"/>
      <c r="X193" s="78">
        <v>0</v>
      </c>
      <c r="Y193" s="30">
        <f t="shared" si="64"/>
        <v>0</v>
      </c>
      <c r="Z193" s="71"/>
      <c r="AA193" s="78">
        <v>0</v>
      </c>
      <c r="AB193" s="30">
        <f t="shared" si="65"/>
        <v>0</v>
      </c>
      <c r="AC193" s="71"/>
      <c r="AD193" s="78">
        <v>0.05117</v>
      </c>
      <c r="AE193" s="30">
        <f t="shared" si="66"/>
        <v>0.00056338493382952</v>
      </c>
      <c r="AF193" s="71"/>
      <c r="AG193" s="78">
        <v>0.1173</v>
      </c>
      <c r="AH193" s="30">
        <f t="shared" si="70"/>
        <v>0.00105133904563869</v>
      </c>
      <c r="AI193" s="71"/>
      <c r="AJ193" s="78">
        <v>0.0862</v>
      </c>
      <c r="AK193" s="30">
        <f t="shared" si="71"/>
        <v>0.000772595274800129</v>
      </c>
      <c r="AL193" s="71"/>
      <c r="AM193" s="78">
        <v>0.0666</v>
      </c>
      <c r="AN193" s="30">
        <f t="shared" si="72"/>
        <v>0.000596923959416341</v>
      </c>
      <c r="AO193" s="71"/>
      <c r="AP193" s="78">
        <f t="shared" si="82"/>
        <v>1.36734</v>
      </c>
      <c r="AQ193" s="30">
        <f t="shared" si="68"/>
        <v>0.00130497025178613</v>
      </c>
    </row>
    <row r="194" spans="1:43">
      <c r="A194" s="56"/>
      <c r="B194" s="37" t="s">
        <v>359</v>
      </c>
      <c r="C194" s="37" t="s">
        <v>231</v>
      </c>
      <c r="D194" s="38" t="s">
        <v>360</v>
      </c>
      <c r="E194" s="39"/>
      <c r="F194" s="79">
        <f>SUM(F192:F193)</f>
        <v>0.30249</v>
      </c>
      <c r="G194" s="80">
        <f t="shared" si="59"/>
        <v>0.00379478623042955</v>
      </c>
      <c r="I194" s="79">
        <f>SUM(I192:I193)</f>
        <v>0.32969</v>
      </c>
      <c r="J194" s="80">
        <f t="shared" si="60"/>
        <v>0.00401546799829487</v>
      </c>
      <c r="L194" s="79">
        <f>SUM(L192:L193)</f>
        <v>0.28907</v>
      </c>
      <c r="M194" s="80">
        <f t="shared" si="69"/>
        <v>0.003119785876944</v>
      </c>
      <c r="O194" s="79">
        <f>SUM(O192:O193)</f>
        <v>0.17713</v>
      </c>
      <c r="P194" s="80">
        <f t="shared" si="61"/>
        <v>0.00179486659843748</v>
      </c>
      <c r="Q194" s="71"/>
      <c r="R194" s="79">
        <f>SUM(R192:R193)</f>
        <v>0.06501</v>
      </c>
      <c r="S194" s="80">
        <f t="shared" si="62"/>
        <v>0.00069638897518023</v>
      </c>
      <c r="T194" s="71"/>
      <c r="U194" s="79">
        <f>SUM(U192:U193)</f>
        <v>0.04285</v>
      </c>
      <c r="V194" s="80">
        <f t="shared" si="63"/>
        <v>0.00057063335641613</v>
      </c>
      <c r="W194" s="71"/>
      <c r="X194" s="79">
        <f>SUM(X192:X193)</f>
        <v>0</v>
      </c>
      <c r="Y194" s="80">
        <f t="shared" si="64"/>
        <v>0</v>
      </c>
      <c r="Z194" s="71"/>
      <c r="AA194" s="79">
        <f>SUM(AA192:AA193)</f>
        <v>0</v>
      </c>
      <c r="AB194" s="80">
        <f t="shared" si="65"/>
        <v>0</v>
      </c>
      <c r="AC194" s="71"/>
      <c r="AD194" s="79">
        <f>SUM(AD192:AD193)</f>
        <v>0.05117</v>
      </c>
      <c r="AE194" s="80">
        <f t="shared" si="66"/>
        <v>0.00056338493382952</v>
      </c>
      <c r="AF194" s="71"/>
      <c r="AG194" s="79">
        <f>SUM(AG192:AG193)</f>
        <v>0.12316</v>
      </c>
      <c r="AH194" s="80">
        <f t="shared" si="70"/>
        <v>0.00110386118380956</v>
      </c>
      <c r="AI194" s="71"/>
      <c r="AJ194" s="79">
        <f>SUM(AJ192:AJ193)</f>
        <v>0.0862</v>
      </c>
      <c r="AK194" s="80">
        <f t="shared" si="71"/>
        <v>0.000772595274800129</v>
      </c>
      <c r="AL194" s="71"/>
      <c r="AM194" s="79">
        <f>SUM(AM192:AM193)</f>
        <v>0.0666</v>
      </c>
      <c r="AN194" s="80">
        <f t="shared" si="72"/>
        <v>0.000596923959416341</v>
      </c>
      <c r="AO194" s="71"/>
      <c r="AP194" s="79">
        <f>+SUM(AP192:AP193)</f>
        <v>1.53337</v>
      </c>
      <c r="AQ194" s="80">
        <f t="shared" si="68"/>
        <v>0.00146342697133215</v>
      </c>
    </row>
    <row r="195" outlineLevel="2" spans="1:43">
      <c r="A195" s="56" t="s">
        <v>70</v>
      </c>
      <c r="B195" s="77">
        <v>6666010196</v>
      </c>
      <c r="C195" t="s">
        <v>246</v>
      </c>
      <c r="D195" t="s">
        <v>247</v>
      </c>
      <c r="F195" s="78">
        <v>3.32809</v>
      </c>
      <c r="G195" s="30">
        <f t="shared" si="59"/>
        <v>0.0417514301485347</v>
      </c>
      <c r="I195" s="78">
        <v>3.26004</v>
      </c>
      <c r="J195" s="30">
        <f t="shared" si="60"/>
        <v>0.0397057426466111</v>
      </c>
      <c r="L195" s="78">
        <v>3.61319</v>
      </c>
      <c r="M195" s="30">
        <f t="shared" si="69"/>
        <v>0.0389953268506427</v>
      </c>
      <c r="O195" s="78">
        <v>3.29462</v>
      </c>
      <c r="P195" s="30">
        <f t="shared" si="61"/>
        <v>0.033384538997031</v>
      </c>
      <c r="Q195" s="71"/>
      <c r="R195" s="78">
        <v>3.9718</v>
      </c>
      <c r="S195" s="30">
        <f t="shared" si="62"/>
        <v>0.0425460349426371</v>
      </c>
      <c r="T195" s="71"/>
      <c r="U195" s="78">
        <v>3.83423</v>
      </c>
      <c r="V195" s="30">
        <f t="shared" si="63"/>
        <v>0.0510604325360891</v>
      </c>
      <c r="W195" s="71"/>
      <c r="X195" s="78">
        <v>3.65884</v>
      </c>
      <c r="Y195" s="30">
        <f t="shared" si="64"/>
        <v>0.0470293962647335</v>
      </c>
      <c r="Z195" s="71"/>
      <c r="AA195" s="78">
        <v>3.52427</v>
      </c>
      <c r="AB195" s="30">
        <f t="shared" si="65"/>
        <v>0.0599243351696933</v>
      </c>
      <c r="AC195" s="71"/>
      <c r="AD195" s="78">
        <v>3.48349</v>
      </c>
      <c r="AE195" s="30">
        <f t="shared" si="66"/>
        <v>0.0383534450487746</v>
      </c>
      <c r="AF195" s="71"/>
      <c r="AG195" s="78">
        <v>3.51166</v>
      </c>
      <c r="AH195" s="30">
        <f t="shared" si="70"/>
        <v>0.0314743842541139</v>
      </c>
      <c r="AI195" s="71"/>
      <c r="AJ195" s="78">
        <v>3.45991</v>
      </c>
      <c r="AK195" s="30">
        <f t="shared" si="71"/>
        <v>0.0310105582045675</v>
      </c>
      <c r="AL195" s="71"/>
      <c r="AM195" s="78">
        <v>3.30144</v>
      </c>
      <c r="AN195" s="30">
        <f t="shared" si="72"/>
        <v>0.0295902197684007</v>
      </c>
      <c r="AO195" s="71"/>
      <c r="AP195" s="78">
        <f t="shared" ref="AP195:AP199" si="83">I195+F195+L195+O195+R195+U195+X195+AA195+AD195+AG195+AJ195+AM195</f>
        <v>42.24158</v>
      </c>
      <c r="AQ195" s="30">
        <f t="shared" si="68"/>
        <v>0.0403147756142906</v>
      </c>
    </row>
    <row r="196" outlineLevel="2" spans="1:43">
      <c r="A196" s="56" t="s">
        <v>70</v>
      </c>
      <c r="B196" s="77">
        <v>6666010101</v>
      </c>
      <c r="C196" t="s">
        <v>249</v>
      </c>
      <c r="D196" t="s">
        <v>361</v>
      </c>
      <c r="F196" s="78">
        <v>22.6766</v>
      </c>
      <c r="G196" s="30">
        <f t="shared" si="59"/>
        <v>0.284481633881975</v>
      </c>
      <c r="I196" s="78">
        <v>36.39238</v>
      </c>
      <c r="J196" s="30">
        <f t="shared" si="60"/>
        <v>0.443241946288289</v>
      </c>
      <c r="L196" s="78">
        <v>24.05731</v>
      </c>
      <c r="M196" s="30">
        <f t="shared" si="69"/>
        <v>0.259638343568214</v>
      </c>
      <c r="O196" s="78">
        <v>29.96807</v>
      </c>
      <c r="P196" s="30">
        <f t="shared" si="61"/>
        <v>0.303667858988519</v>
      </c>
      <c r="Q196" s="71"/>
      <c r="R196" s="78">
        <v>30.15022</v>
      </c>
      <c r="S196" s="30">
        <f t="shared" si="62"/>
        <v>0.322970017032125</v>
      </c>
      <c r="T196" s="71"/>
      <c r="U196" s="78">
        <v>26.09912</v>
      </c>
      <c r="V196" s="30">
        <f t="shared" si="63"/>
        <v>0.347561924039844</v>
      </c>
      <c r="W196" s="71"/>
      <c r="X196" s="78">
        <v>24.89876</v>
      </c>
      <c r="Y196" s="30">
        <f t="shared" si="64"/>
        <v>0.320039589197805</v>
      </c>
      <c r="Z196" s="71"/>
      <c r="AA196" s="78">
        <v>24.05111</v>
      </c>
      <c r="AB196" s="30">
        <f t="shared" si="65"/>
        <v>0.408949024008706</v>
      </c>
      <c r="AC196" s="71"/>
      <c r="AD196" s="78">
        <v>23.92453</v>
      </c>
      <c r="AE196" s="30">
        <f t="shared" si="66"/>
        <v>0.263410587276771</v>
      </c>
      <c r="AF196" s="71"/>
      <c r="AG196" s="78">
        <v>25.13341</v>
      </c>
      <c r="AH196" s="30">
        <f t="shared" si="70"/>
        <v>0.225266285447962</v>
      </c>
      <c r="AI196" s="71"/>
      <c r="AJ196" s="78">
        <v>23.67837</v>
      </c>
      <c r="AK196" s="30">
        <f t="shared" si="71"/>
        <v>0.212225020614491</v>
      </c>
      <c r="AL196" s="71"/>
      <c r="AM196" s="78">
        <v>24.3202</v>
      </c>
      <c r="AN196" s="30">
        <f t="shared" si="72"/>
        <v>0.217977628795755</v>
      </c>
      <c r="AO196" s="71"/>
      <c r="AP196" s="78">
        <f t="shared" si="83"/>
        <v>315.35008</v>
      </c>
      <c r="AQ196" s="30">
        <f t="shared" si="68"/>
        <v>0.300965724178608</v>
      </c>
    </row>
    <row r="197" outlineLevel="2" spans="1:43">
      <c r="A197" s="56" t="s">
        <v>70</v>
      </c>
      <c r="B197" s="77">
        <v>6666010199</v>
      </c>
      <c r="C197" t="s">
        <v>251</v>
      </c>
      <c r="D197" t="s">
        <v>362</v>
      </c>
      <c r="F197" s="78">
        <v>3.20792</v>
      </c>
      <c r="G197" s="30">
        <f t="shared" si="59"/>
        <v>0.0402438779606584</v>
      </c>
      <c r="I197" s="78">
        <v>0.28257</v>
      </c>
      <c r="J197" s="30">
        <f t="shared" si="60"/>
        <v>0.00344156872297668</v>
      </c>
      <c r="L197" s="78">
        <v>1.34141</v>
      </c>
      <c r="M197" s="30">
        <f t="shared" si="69"/>
        <v>0.0144771576891115</v>
      </c>
      <c r="O197" s="78">
        <v>-0.66331</v>
      </c>
      <c r="P197" s="30">
        <f t="shared" si="61"/>
        <v>-0.00672135134313537</v>
      </c>
      <c r="Q197" s="71"/>
      <c r="R197" s="78">
        <v>3.33679</v>
      </c>
      <c r="S197" s="30">
        <f t="shared" si="62"/>
        <v>0.0357437897014558</v>
      </c>
      <c r="T197" s="71"/>
      <c r="U197" s="78">
        <v>2.05398</v>
      </c>
      <c r="V197" s="30">
        <f t="shared" si="63"/>
        <v>0.0273528471741331</v>
      </c>
      <c r="W197" s="71"/>
      <c r="X197" s="78">
        <v>0.53056</v>
      </c>
      <c r="Y197" s="30">
        <f t="shared" si="64"/>
        <v>0.00681962493091171</v>
      </c>
      <c r="Z197" s="71"/>
      <c r="AA197" s="78">
        <v>0.43228</v>
      </c>
      <c r="AB197" s="30">
        <f t="shared" si="65"/>
        <v>0.00735020063932531</v>
      </c>
      <c r="AC197" s="71"/>
      <c r="AD197" s="78">
        <v>0.28396</v>
      </c>
      <c r="AE197" s="30">
        <f t="shared" si="66"/>
        <v>0.00312641754563671</v>
      </c>
      <c r="AF197" s="71"/>
      <c r="AG197" s="78">
        <v>0.28032</v>
      </c>
      <c r="AH197" s="30">
        <f t="shared" si="70"/>
        <v>0.00251245832287671</v>
      </c>
      <c r="AI197" s="71"/>
      <c r="AJ197" s="78">
        <v>3.15888</v>
      </c>
      <c r="AK197" s="30">
        <f t="shared" si="71"/>
        <v>0.02831247983365</v>
      </c>
      <c r="AL197" s="71"/>
      <c r="AM197" s="78">
        <v>-1.32509</v>
      </c>
      <c r="AN197" s="30">
        <f t="shared" si="72"/>
        <v>-0.0118765460868318</v>
      </c>
      <c r="AO197" s="71"/>
      <c r="AP197" s="78">
        <f t="shared" si="83"/>
        <v>12.92027</v>
      </c>
      <c r="AQ197" s="30">
        <f t="shared" si="68"/>
        <v>0.0123309257354022</v>
      </c>
    </row>
    <row r="198" outlineLevel="2" spans="1:43">
      <c r="A198" s="56" t="s">
        <v>70</v>
      </c>
      <c r="B198" s="77">
        <v>6666010207</v>
      </c>
      <c r="C198" t="s">
        <v>255</v>
      </c>
      <c r="D198" t="s">
        <v>363</v>
      </c>
      <c r="F198" s="78">
        <v>0.42262</v>
      </c>
      <c r="G198" s="30">
        <f t="shared" si="59"/>
        <v>0.00530183661180249</v>
      </c>
      <c r="I198" s="78">
        <v>0.40992</v>
      </c>
      <c r="J198" s="30">
        <f t="shared" si="60"/>
        <v>0.00499263138663906</v>
      </c>
      <c r="L198" s="78">
        <v>0.41868</v>
      </c>
      <c r="M198" s="30">
        <f t="shared" si="69"/>
        <v>0.00451860086124092</v>
      </c>
      <c r="O198" s="78">
        <v>0.38303</v>
      </c>
      <c r="P198" s="30">
        <f t="shared" si="61"/>
        <v>0.00388126095635697</v>
      </c>
      <c r="Q198" s="71"/>
      <c r="R198" s="78">
        <v>0.39858</v>
      </c>
      <c r="S198" s="30">
        <f t="shared" si="62"/>
        <v>0.00426960033421529</v>
      </c>
      <c r="T198" s="71"/>
      <c r="U198" s="78">
        <v>0.38869</v>
      </c>
      <c r="V198" s="30">
        <f t="shared" si="63"/>
        <v>0.00517618388110584</v>
      </c>
      <c r="W198" s="71"/>
      <c r="X198" s="78">
        <v>0.3661</v>
      </c>
      <c r="Y198" s="30">
        <f t="shared" si="64"/>
        <v>0.00470571601177393</v>
      </c>
      <c r="Z198" s="71"/>
      <c r="AA198" s="78">
        <v>0.35208</v>
      </c>
      <c r="AB198" s="30">
        <f t="shared" si="65"/>
        <v>0.00598653336053867</v>
      </c>
      <c r="AC198" s="71"/>
      <c r="AD198" s="78">
        <v>0.34858</v>
      </c>
      <c r="AE198" s="30">
        <f t="shared" si="66"/>
        <v>0.00383788782947614</v>
      </c>
      <c r="AF198" s="71"/>
      <c r="AG198" s="78">
        <v>0.3517</v>
      </c>
      <c r="AH198" s="30">
        <f t="shared" si="70"/>
        <v>0.00315222457247338</v>
      </c>
      <c r="AI198" s="71"/>
      <c r="AJ198" s="78">
        <v>0.34631</v>
      </c>
      <c r="AK198" s="30">
        <f t="shared" si="71"/>
        <v>0.00310391496074284</v>
      </c>
      <c r="AL198" s="71"/>
      <c r="AM198" s="78">
        <v>0.32855</v>
      </c>
      <c r="AN198" s="30">
        <f t="shared" si="72"/>
        <v>0.00294473523823181</v>
      </c>
      <c r="AO198" s="71"/>
      <c r="AP198" s="78">
        <f t="shared" si="83"/>
        <v>4.51484</v>
      </c>
      <c r="AQ198" s="30">
        <f t="shared" si="68"/>
        <v>0.00430890041363092</v>
      </c>
    </row>
    <row r="199" outlineLevel="2" spans="1:43">
      <c r="A199" s="56" t="s">
        <v>70</v>
      </c>
      <c r="B199" s="77">
        <v>6666010227</v>
      </c>
      <c r="C199" t="s">
        <v>364</v>
      </c>
      <c r="D199" t="s">
        <v>365</v>
      </c>
      <c r="F199" s="78">
        <v>0.43668</v>
      </c>
      <c r="G199" s="30">
        <f t="shared" si="59"/>
        <v>0.00547822159775191</v>
      </c>
      <c r="I199" s="78">
        <v>0.37803</v>
      </c>
      <c r="J199" s="30">
        <f t="shared" si="60"/>
        <v>0.0046042262955971</v>
      </c>
      <c r="L199" s="78">
        <v>0.39026</v>
      </c>
      <c r="M199" s="30">
        <f t="shared" si="69"/>
        <v>0.0042118782175119</v>
      </c>
      <c r="O199" s="78">
        <v>0.36788</v>
      </c>
      <c r="P199" s="30">
        <f t="shared" si="61"/>
        <v>0.00372774529573297</v>
      </c>
      <c r="Q199" s="71"/>
      <c r="R199" s="78">
        <v>0.37806</v>
      </c>
      <c r="S199" s="30">
        <f t="shared" si="62"/>
        <v>0.00404978950863925</v>
      </c>
      <c r="T199" s="71"/>
      <c r="U199" s="78">
        <v>0.37194</v>
      </c>
      <c r="V199" s="30">
        <f t="shared" si="63"/>
        <v>0.00495312416768764</v>
      </c>
      <c r="W199" s="71"/>
      <c r="X199" s="78">
        <v>0.33167</v>
      </c>
      <c r="Y199" s="30">
        <f t="shared" si="64"/>
        <v>0.00426316533631538</v>
      </c>
      <c r="Z199" s="71"/>
      <c r="AA199" s="78">
        <v>0.38816</v>
      </c>
      <c r="AB199" s="30">
        <f t="shared" si="65"/>
        <v>0.00660001360266612</v>
      </c>
      <c r="AC199" s="71"/>
      <c r="AD199" s="78">
        <v>0.39256</v>
      </c>
      <c r="AE199" s="30">
        <f t="shared" si="66"/>
        <v>0.00432211040891375</v>
      </c>
      <c r="AF199" s="71"/>
      <c r="AG199" s="78">
        <v>0.40074</v>
      </c>
      <c r="AH199" s="30">
        <f t="shared" si="70"/>
        <v>0.00359176137382139</v>
      </c>
      <c r="AI199" s="71"/>
      <c r="AJ199" s="78">
        <v>0.42242</v>
      </c>
      <c r="AK199" s="30">
        <f t="shared" si="71"/>
        <v>0.00378607535940917</v>
      </c>
      <c r="AL199" s="71"/>
      <c r="AM199" s="78">
        <v>0.42091</v>
      </c>
      <c r="AN199" s="30">
        <f t="shared" si="72"/>
        <v>0.00377254149786685</v>
      </c>
      <c r="AO199" s="71"/>
      <c r="AP199" s="78">
        <f t="shared" si="83"/>
        <v>4.67931</v>
      </c>
      <c r="AQ199" s="30">
        <f t="shared" si="68"/>
        <v>0.00446586829090451</v>
      </c>
    </row>
    <row r="200" spans="1:43">
      <c r="A200" s="56"/>
      <c r="B200" s="37" t="s">
        <v>366</v>
      </c>
      <c r="C200" s="37" t="s">
        <v>248</v>
      </c>
      <c r="D200" s="38" t="s">
        <v>367</v>
      </c>
      <c r="E200" s="39"/>
      <c r="F200" s="79">
        <f>SUM(F195:F199)</f>
        <v>30.07191</v>
      </c>
      <c r="G200" s="80">
        <f t="shared" si="59"/>
        <v>0.377257000200723</v>
      </c>
      <c r="I200" s="79">
        <f>SUM(I195:I199)</f>
        <v>40.72294</v>
      </c>
      <c r="J200" s="80">
        <f t="shared" si="60"/>
        <v>0.495986115340113</v>
      </c>
      <c r="L200" s="79">
        <f>SUM(L195:L199)</f>
        <v>29.82085</v>
      </c>
      <c r="M200" s="80">
        <f t="shared" si="69"/>
        <v>0.321841307186721</v>
      </c>
      <c r="O200" s="79">
        <f>SUM(O195:O199)</f>
        <v>33.35029</v>
      </c>
      <c r="P200" s="80">
        <f t="shared" si="61"/>
        <v>0.337940052894505</v>
      </c>
      <c r="Q200" s="71"/>
      <c r="R200" s="79">
        <f>SUM(R195:R199)</f>
        <v>38.23545</v>
      </c>
      <c r="S200" s="80">
        <f t="shared" si="62"/>
        <v>0.409579231519073</v>
      </c>
      <c r="T200" s="71"/>
      <c r="U200" s="79">
        <f>SUM(U195:U199)</f>
        <v>32.74796</v>
      </c>
      <c r="V200" s="80">
        <f t="shared" si="63"/>
        <v>0.43610451179886</v>
      </c>
      <c r="W200" s="71"/>
      <c r="X200" s="79">
        <f>SUM(X195:X199)</f>
        <v>29.78593</v>
      </c>
      <c r="Y200" s="80">
        <f t="shared" si="64"/>
        <v>0.382857491741539</v>
      </c>
      <c r="Z200" s="71"/>
      <c r="AA200" s="79">
        <f>SUM(AA195:AA199)</f>
        <v>28.7479</v>
      </c>
      <c r="AB200" s="80">
        <f t="shared" si="65"/>
        <v>0.488810106780929</v>
      </c>
      <c r="AC200" s="71"/>
      <c r="AD200" s="79">
        <f>SUM(AD195:AD199)</f>
        <v>28.43312</v>
      </c>
      <c r="AE200" s="80">
        <f t="shared" si="66"/>
        <v>0.313050448109572</v>
      </c>
      <c r="AF200" s="71"/>
      <c r="AG200" s="79">
        <f>SUM(AG195:AG199)</f>
        <v>29.67783</v>
      </c>
      <c r="AH200" s="80">
        <f t="shared" si="70"/>
        <v>0.265997113971247</v>
      </c>
      <c r="AI200" s="71"/>
      <c r="AJ200" s="79">
        <f>SUM(AJ195:AJ199)</f>
        <v>31.06589</v>
      </c>
      <c r="AK200" s="80">
        <f t="shared" si="71"/>
        <v>0.278438048972861</v>
      </c>
      <c r="AL200" s="71"/>
      <c r="AM200" s="79">
        <f>SUM(AM195:AM199)</f>
        <v>27.04601</v>
      </c>
      <c r="AN200" s="80">
        <f t="shared" si="72"/>
        <v>0.242408579213423</v>
      </c>
      <c r="AO200" s="71"/>
      <c r="AP200" s="79">
        <f>SUM(AP195:AP199)</f>
        <v>379.70608</v>
      </c>
      <c r="AQ200" s="80">
        <f t="shared" si="68"/>
        <v>0.362386194232836</v>
      </c>
    </row>
    <row r="201" outlineLevel="2" spans="1:43">
      <c r="A201" s="56" t="s">
        <v>70</v>
      </c>
      <c r="B201" s="77">
        <v>6666010314</v>
      </c>
      <c r="C201" t="s">
        <v>265</v>
      </c>
      <c r="D201" t="s">
        <v>368</v>
      </c>
      <c r="F201" s="78">
        <v>0.20235</v>
      </c>
      <c r="G201" s="30">
        <f t="shared" si="59"/>
        <v>0.00253851364913689</v>
      </c>
      <c r="I201" s="78">
        <v>0</v>
      </c>
      <c r="J201" s="30">
        <f t="shared" si="60"/>
        <v>0</v>
      </c>
      <c r="L201" s="78">
        <v>0</v>
      </c>
      <c r="M201" s="30">
        <f t="shared" si="69"/>
        <v>0</v>
      </c>
      <c r="O201" s="78">
        <v>0</v>
      </c>
      <c r="P201" s="30">
        <f t="shared" si="61"/>
        <v>0</v>
      </c>
      <c r="Q201" s="71"/>
      <c r="R201" s="78">
        <v>0</v>
      </c>
      <c r="S201" s="30">
        <f t="shared" si="62"/>
        <v>0</v>
      </c>
      <c r="T201" s="71"/>
      <c r="U201" s="78">
        <v>0</v>
      </c>
      <c r="V201" s="30">
        <f t="shared" si="63"/>
        <v>0</v>
      </c>
      <c r="W201" s="71"/>
      <c r="X201" s="78">
        <v>0</v>
      </c>
      <c r="Y201" s="30">
        <f t="shared" si="64"/>
        <v>0</v>
      </c>
      <c r="Z201" s="71"/>
      <c r="AA201" s="78">
        <v>0</v>
      </c>
      <c r="AB201" s="30">
        <f t="shared" si="65"/>
        <v>0</v>
      </c>
      <c r="AC201" s="71"/>
      <c r="AD201" s="78">
        <v>2.34396</v>
      </c>
      <c r="AE201" s="30">
        <f t="shared" si="66"/>
        <v>0.025807147733028</v>
      </c>
      <c r="AF201" s="71"/>
      <c r="AG201" s="78">
        <v>-3e-5</v>
      </c>
      <c r="AH201" s="30">
        <f t="shared" si="70"/>
        <v>-2.68884666403757e-7</v>
      </c>
      <c r="AI201" s="71"/>
      <c r="AJ201" s="78">
        <v>0.03875</v>
      </c>
      <c r="AK201" s="30">
        <f t="shared" si="71"/>
        <v>0.00034730936077152</v>
      </c>
      <c r="AL201" s="71"/>
      <c r="AM201" s="78">
        <v>0</v>
      </c>
      <c r="AN201" s="30">
        <f t="shared" si="72"/>
        <v>0</v>
      </c>
      <c r="AO201" s="71"/>
      <c r="AP201" s="78">
        <f t="shared" ref="AP201:AP207" si="84">I201+F201+L201+O201+R201+U201+X201+AA201+AD201+AG201+AJ201+AM201</f>
        <v>2.58503</v>
      </c>
      <c r="AQ201" s="30">
        <f t="shared" si="68"/>
        <v>0.00246711662788678</v>
      </c>
    </row>
    <row r="202" outlineLevel="2" spans="1:43">
      <c r="A202" s="56" t="s">
        <v>70</v>
      </c>
      <c r="B202" s="77">
        <v>6666020401</v>
      </c>
      <c r="C202" t="s">
        <v>267</v>
      </c>
      <c r="D202" t="s">
        <v>369</v>
      </c>
      <c r="F202" s="78">
        <v>0</v>
      </c>
      <c r="G202" s="30">
        <f t="shared" si="59"/>
        <v>0</v>
      </c>
      <c r="I202" s="78">
        <v>0</v>
      </c>
      <c r="J202" s="30">
        <f t="shared" si="60"/>
        <v>0</v>
      </c>
      <c r="L202" s="78">
        <v>0.00013</v>
      </c>
      <c r="M202" s="30">
        <f t="shared" si="69"/>
        <v>1.40302405646632e-6</v>
      </c>
      <c r="O202" s="78">
        <v>-2e-5</v>
      </c>
      <c r="P202" s="30">
        <f t="shared" si="61"/>
        <v>-2.02660938117483e-7</v>
      </c>
      <c r="Q202" s="71"/>
      <c r="R202" s="78">
        <v>0.1861</v>
      </c>
      <c r="S202" s="30">
        <f t="shared" si="62"/>
        <v>0.00199350851070667</v>
      </c>
      <c r="T202" s="71"/>
      <c r="U202" s="78">
        <v>2e-5</v>
      </c>
      <c r="V202" s="30">
        <f t="shared" si="63"/>
        <v>2.66339956320247e-7</v>
      </c>
      <c r="W202" s="71"/>
      <c r="X202" s="78">
        <v>-1.44921</v>
      </c>
      <c r="Y202" s="30">
        <f t="shared" si="64"/>
        <v>-0.0186276173215594</v>
      </c>
      <c r="Z202" s="71"/>
      <c r="AA202" s="78">
        <v>1e-5</v>
      </c>
      <c r="AB202" s="30">
        <f t="shared" si="65"/>
        <v>1.70033326532e-7</v>
      </c>
      <c r="AC202" s="71"/>
      <c r="AD202" s="78">
        <v>2e-5</v>
      </c>
      <c r="AE202" s="30">
        <f t="shared" si="66"/>
        <v>2.20201263955255e-7</v>
      </c>
      <c r="AF202" s="71"/>
      <c r="AG202" s="78">
        <v>0.17663</v>
      </c>
      <c r="AH202" s="30">
        <f t="shared" si="70"/>
        <v>0.00158310328756319</v>
      </c>
      <c r="AI202" s="71"/>
      <c r="AJ202" s="78">
        <v>-0.366129999999997</v>
      </c>
      <c r="AK202" s="30">
        <f t="shared" si="71"/>
        <v>-0.00328155809701356</v>
      </c>
      <c r="AL202" s="71"/>
      <c r="AM202" s="78">
        <v>0.17988</v>
      </c>
      <c r="AN202" s="30">
        <f t="shared" si="72"/>
        <v>0.00161223245975693</v>
      </c>
      <c r="AO202" s="71"/>
      <c r="AP202" s="78">
        <f t="shared" si="84"/>
        <v>-1.27257</v>
      </c>
      <c r="AQ202" s="30">
        <f t="shared" si="68"/>
        <v>-0.00121452308373592</v>
      </c>
    </row>
    <row r="203" outlineLevel="2" spans="1:43">
      <c r="A203" s="56" t="s">
        <v>70</v>
      </c>
      <c r="B203" s="77">
        <v>6666020502</v>
      </c>
      <c r="C203" t="s">
        <v>271</v>
      </c>
      <c r="D203" t="s">
        <v>272</v>
      </c>
      <c r="F203" s="78">
        <v>0.54579</v>
      </c>
      <c r="G203" s="30">
        <f t="shared" si="59"/>
        <v>0.00684702428743477</v>
      </c>
      <c r="I203" s="78">
        <v>-1.23474</v>
      </c>
      <c r="J203" s="30">
        <f t="shared" si="60"/>
        <v>-0.015038548200475</v>
      </c>
      <c r="L203" s="78">
        <v>-1.15988</v>
      </c>
      <c r="M203" s="30">
        <f t="shared" si="69"/>
        <v>-0.0125179964816474</v>
      </c>
      <c r="O203" s="78">
        <v>-0.08412</v>
      </c>
      <c r="P203" s="30">
        <f t="shared" si="61"/>
        <v>-0.000852391905722132</v>
      </c>
      <c r="Q203" s="71"/>
      <c r="R203" s="78">
        <v>-0.61077</v>
      </c>
      <c r="S203" s="30">
        <f t="shared" si="62"/>
        <v>-0.00654258566944822</v>
      </c>
      <c r="T203" s="71"/>
      <c r="U203" s="78">
        <v>1.27086</v>
      </c>
      <c r="V203" s="30">
        <f t="shared" si="63"/>
        <v>0.0169240398444575</v>
      </c>
      <c r="W203" s="71"/>
      <c r="X203" s="78">
        <v>-0.06472</v>
      </c>
      <c r="Y203" s="30">
        <f t="shared" si="64"/>
        <v>-0.000831887299322613</v>
      </c>
      <c r="Z203" s="71"/>
      <c r="AA203" s="78">
        <v>-0.78152</v>
      </c>
      <c r="AB203" s="30">
        <f t="shared" si="65"/>
        <v>-0.0132884445351289</v>
      </c>
      <c r="AC203" s="71"/>
      <c r="AD203" s="78">
        <v>-0.50305</v>
      </c>
      <c r="AE203" s="30">
        <f t="shared" si="66"/>
        <v>-0.00553861229163455</v>
      </c>
      <c r="AF203" s="71"/>
      <c r="AG203" s="78">
        <v>0.0975700000000001</v>
      </c>
      <c r="AH203" s="30">
        <f t="shared" si="70"/>
        <v>0.000874502563367154</v>
      </c>
      <c r="AI203" s="71"/>
      <c r="AJ203" s="78">
        <v>2.26779</v>
      </c>
      <c r="AK203" s="30">
        <f t="shared" si="71"/>
        <v>0.0203257985874592</v>
      </c>
      <c r="AL203" s="71"/>
      <c r="AM203" s="78">
        <v>0.91926</v>
      </c>
      <c r="AN203" s="30">
        <f t="shared" si="72"/>
        <v>0.00823916394794393</v>
      </c>
      <c r="AO203" s="71"/>
      <c r="AP203" s="78">
        <f t="shared" si="84"/>
        <v>0.662470000000001</v>
      </c>
      <c r="AQ203" s="30">
        <f t="shared" si="68"/>
        <v>0.000632252141165154</v>
      </c>
    </row>
    <row r="204" outlineLevel="2" spans="1:43">
      <c r="A204" s="56" t="s">
        <v>70</v>
      </c>
      <c r="B204" s="77">
        <v>6666020503</v>
      </c>
      <c r="C204" t="s">
        <v>273</v>
      </c>
      <c r="D204" t="s">
        <v>274</v>
      </c>
      <c r="F204" s="78">
        <v>0</v>
      </c>
      <c r="G204" s="30"/>
      <c r="I204" s="78">
        <v>0.00633</v>
      </c>
      <c r="J204" s="30">
        <f t="shared" si="60"/>
        <v>7.70964009500031e-5</v>
      </c>
      <c r="L204" s="78">
        <v>0.00083</v>
      </c>
      <c r="M204" s="30">
        <f t="shared" si="69"/>
        <v>8.95776897590036e-6</v>
      </c>
      <c r="O204" s="78">
        <v>0</v>
      </c>
      <c r="P204" s="30">
        <f t="shared" si="61"/>
        <v>0</v>
      </c>
      <c r="Q204" s="71"/>
      <c r="R204" s="78">
        <v>0.007</v>
      </c>
      <c r="S204" s="30">
        <f t="shared" si="62"/>
        <v>7.49841997579082e-5</v>
      </c>
      <c r="T204" s="71"/>
      <c r="U204" s="78">
        <v>0</v>
      </c>
      <c r="V204" s="30">
        <f t="shared" si="63"/>
        <v>0</v>
      </c>
      <c r="W204" s="71"/>
      <c r="X204" s="78">
        <v>0</v>
      </c>
      <c r="Y204" s="30">
        <f t="shared" si="64"/>
        <v>0</v>
      </c>
      <c r="Z204" s="71"/>
      <c r="AA204" s="78">
        <v>0.1688</v>
      </c>
      <c r="AB204" s="30">
        <f t="shared" si="65"/>
        <v>0.00287016255186016</v>
      </c>
      <c r="AC204" s="71"/>
      <c r="AD204" s="78">
        <v>0.06251</v>
      </c>
      <c r="AE204" s="30">
        <f t="shared" si="66"/>
        <v>0.00068823905049215</v>
      </c>
      <c r="AF204" s="71"/>
      <c r="AG204" s="78">
        <v>0</v>
      </c>
      <c r="AH204" s="30">
        <f t="shared" si="70"/>
        <v>0</v>
      </c>
      <c r="AI204" s="71"/>
      <c r="AJ204" s="78">
        <v>0.10855</v>
      </c>
      <c r="AK204" s="30">
        <f t="shared" si="71"/>
        <v>0.000972914351270928</v>
      </c>
      <c r="AL204" s="71"/>
      <c r="AM204" s="78">
        <v>0.03307</v>
      </c>
      <c r="AN204" s="30">
        <f t="shared" si="72"/>
        <v>0.000296400530599075</v>
      </c>
      <c r="AO204" s="71"/>
      <c r="AP204" s="78">
        <f t="shared" si="84"/>
        <v>0.38709</v>
      </c>
      <c r="AQ204" s="30">
        <f t="shared" si="68"/>
        <v>0.000369433304638125</v>
      </c>
    </row>
    <row r="205" outlineLevel="2" spans="1:43">
      <c r="A205" s="56" t="s">
        <v>70</v>
      </c>
      <c r="B205" s="77">
        <v>6666021502</v>
      </c>
      <c r="C205" t="s">
        <v>277</v>
      </c>
      <c r="D205" t="s">
        <v>370</v>
      </c>
      <c r="F205" s="78">
        <v>0</v>
      </c>
      <c r="G205" s="30"/>
      <c r="I205" s="78">
        <v>1.10137</v>
      </c>
      <c r="J205" s="30">
        <f t="shared" si="60"/>
        <v>0.0134141647889897</v>
      </c>
      <c r="L205" s="78">
        <v>1.99846</v>
      </c>
      <c r="M205" s="30">
        <f t="shared" si="69"/>
        <v>0.0215683650452745</v>
      </c>
      <c r="O205" s="78">
        <v>0.07968</v>
      </c>
      <c r="P205" s="30">
        <f t="shared" si="61"/>
        <v>0.00080740117746005</v>
      </c>
      <c r="Q205" s="71"/>
      <c r="R205" s="78">
        <v>-0.00122</v>
      </c>
      <c r="S205" s="30">
        <f t="shared" si="62"/>
        <v>-1.30686748149497e-5</v>
      </c>
      <c r="T205" s="71"/>
      <c r="U205" s="78">
        <v>-0.00846</v>
      </c>
      <c r="V205" s="30">
        <f t="shared" si="63"/>
        <v>-0.000112661801523465</v>
      </c>
      <c r="W205" s="71"/>
      <c r="X205" s="78">
        <v>0.63734</v>
      </c>
      <c r="Y205" s="30">
        <f t="shared" si="64"/>
        <v>0.00819213614570881</v>
      </c>
      <c r="Z205" s="71"/>
      <c r="AA205" s="78">
        <v>0.19357</v>
      </c>
      <c r="AB205" s="30">
        <f t="shared" si="65"/>
        <v>0.00329133510167993</v>
      </c>
      <c r="AC205" s="71"/>
      <c r="AD205" s="78">
        <v>0.53573</v>
      </c>
      <c r="AE205" s="30">
        <f t="shared" si="66"/>
        <v>0.00589842115693744</v>
      </c>
      <c r="AF205" s="71"/>
      <c r="AG205" s="78">
        <v>-0.02412</v>
      </c>
      <c r="AH205" s="30">
        <f t="shared" si="70"/>
        <v>-0.000216183271788621</v>
      </c>
      <c r="AI205" s="71"/>
      <c r="AJ205" s="78">
        <v>0</v>
      </c>
      <c r="AK205" s="30">
        <f t="shared" si="71"/>
        <v>0</v>
      </c>
      <c r="AL205" s="71"/>
      <c r="AM205" s="78">
        <v>0.26795</v>
      </c>
      <c r="AN205" s="30">
        <f t="shared" si="72"/>
        <v>0.00240158821209622</v>
      </c>
      <c r="AO205" s="71"/>
      <c r="AP205" s="78">
        <f t="shared" si="84"/>
        <v>4.7803</v>
      </c>
      <c r="AQ205" s="30">
        <f t="shared" si="68"/>
        <v>0.004562251740323</v>
      </c>
    </row>
    <row r="206" outlineLevel="2" spans="1:43">
      <c r="A206" s="56" t="s">
        <v>70</v>
      </c>
      <c r="B206" s="77">
        <v>6666021505</v>
      </c>
      <c r="C206" t="s">
        <v>281</v>
      </c>
      <c r="D206" t="s">
        <v>371</v>
      </c>
      <c r="F206" s="78">
        <v>0</v>
      </c>
      <c r="G206" s="30"/>
      <c r="I206" s="78">
        <v>0</v>
      </c>
      <c r="J206" s="30"/>
      <c r="L206" s="78">
        <v>0</v>
      </c>
      <c r="M206" s="30"/>
      <c r="O206" s="78">
        <v>0</v>
      </c>
      <c r="P206" s="30"/>
      <c r="Q206" s="71"/>
      <c r="R206" s="78">
        <v>0.06462</v>
      </c>
      <c r="S206" s="30">
        <f t="shared" si="62"/>
        <v>0.000692211284050861</v>
      </c>
      <c r="T206" s="71"/>
      <c r="U206" s="78">
        <v>0</v>
      </c>
      <c r="V206" s="30">
        <f t="shared" si="63"/>
        <v>0</v>
      </c>
      <c r="W206" s="71"/>
      <c r="X206" s="78">
        <v>0</v>
      </c>
      <c r="Y206" s="30">
        <f t="shared" si="64"/>
        <v>0</v>
      </c>
      <c r="Z206" s="71"/>
      <c r="AA206" s="78">
        <v>0</v>
      </c>
      <c r="AB206" s="30">
        <f t="shared" si="65"/>
        <v>0</v>
      </c>
      <c r="AC206" s="71"/>
      <c r="AD206" s="78">
        <v>0</v>
      </c>
      <c r="AE206" s="30">
        <f t="shared" si="66"/>
        <v>0</v>
      </c>
      <c r="AF206" s="71"/>
      <c r="AG206" s="78">
        <v>0</v>
      </c>
      <c r="AH206" s="30">
        <f t="shared" si="70"/>
        <v>0</v>
      </c>
      <c r="AI206" s="71"/>
      <c r="AJ206" s="78">
        <v>0</v>
      </c>
      <c r="AK206" s="30">
        <f t="shared" si="71"/>
        <v>0</v>
      </c>
      <c r="AL206" s="71"/>
      <c r="AM206" s="78">
        <v>0.03607</v>
      </c>
      <c r="AN206" s="30">
        <f t="shared" si="72"/>
        <v>0.000323288997239451</v>
      </c>
      <c r="AO206" s="71"/>
      <c r="AP206" s="78">
        <f t="shared" si="84"/>
        <v>0.10069</v>
      </c>
      <c r="AQ206" s="30">
        <f t="shared" si="68"/>
        <v>9.60971335968711e-5</v>
      </c>
    </row>
    <row r="207" outlineLevel="2" spans="1:43">
      <c r="A207" s="56" t="s">
        <v>70</v>
      </c>
      <c r="B207" s="77">
        <v>6666091600</v>
      </c>
      <c r="C207" t="s">
        <v>287</v>
      </c>
      <c r="D207" t="s">
        <v>288</v>
      </c>
      <c r="F207" s="78">
        <v>0</v>
      </c>
      <c r="G207" s="30"/>
      <c r="I207" s="78">
        <v>0.00194</v>
      </c>
      <c r="J207" s="30">
        <f t="shared" si="60"/>
        <v>2.36282808598746e-5</v>
      </c>
      <c r="L207" s="78">
        <v>0.00361</v>
      </c>
      <c r="M207" s="30">
        <f t="shared" si="69"/>
        <v>3.89608987987956e-5</v>
      </c>
      <c r="O207" s="78">
        <v>0.03654</v>
      </c>
      <c r="P207" s="30">
        <f>O207/$O$1*1000</f>
        <v>0.000370261533940641</v>
      </c>
      <c r="Q207" s="71"/>
      <c r="R207" s="78">
        <v>0</v>
      </c>
      <c r="S207" s="30">
        <f t="shared" si="62"/>
        <v>0</v>
      </c>
      <c r="T207" s="71"/>
      <c r="U207" s="78">
        <v>0.00202</v>
      </c>
      <c r="V207" s="30">
        <f t="shared" si="63"/>
        <v>2.6900335588345e-5</v>
      </c>
      <c r="W207" s="71"/>
      <c r="X207" s="78">
        <v>0</v>
      </c>
      <c r="Y207" s="30">
        <f t="shared" si="64"/>
        <v>0</v>
      </c>
      <c r="Z207" s="71"/>
      <c r="AA207" s="78">
        <v>0.00502</v>
      </c>
      <c r="AB207" s="30">
        <f t="shared" si="65"/>
        <v>8.53567299190641e-5</v>
      </c>
      <c r="AC207" s="71"/>
      <c r="AD207" s="78">
        <v>0</v>
      </c>
      <c r="AE207" s="30">
        <f t="shared" si="66"/>
        <v>0</v>
      </c>
      <c r="AF207" s="71"/>
      <c r="AG207" s="78">
        <v>0.00529</v>
      </c>
      <c r="AH207" s="30">
        <f t="shared" si="70"/>
        <v>4.74133295091959e-5</v>
      </c>
      <c r="AI207" s="71"/>
      <c r="AJ207" s="78">
        <v>0.00456</v>
      </c>
      <c r="AK207" s="30">
        <f t="shared" si="71"/>
        <v>4.08704692933711e-5</v>
      </c>
      <c r="AL207" s="71"/>
      <c r="AM207" s="78">
        <v>0.00695</v>
      </c>
      <c r="AN207" s="30">
        <f t="shared" si="72"/>
        <v>6.22916143835371e-5</v>
      </c>
      <c r="AO207" s="71"/>
      <c r="AP207" s="78">
        <f t="shared" si="84"/>
        <v>0.06593</v>
      </c>
      <c r="AQ207" s="30">
        <f t="shared" si="68"/>
        <v>6.29226737316686e-5</v>
      </c>
    </row>
    <row r="208" spans="1:43">
      <c r="A208" s="56"/>
      <c r="B208" s="37" t="s">
        <v>372</v>
      </c>
      <c r="C208" s="37" t="s">
        <v>262</v>
      </c>
      <c r="D208" s="38" t="s">
        <v>372</v>
      </c>
      <c r="E208" s="39"/>
      <c r="F208" s="79">
        <f>SUM(F201:F207)</f>
        <v>0.74814</v>
      </c>
      <c r="G208" s="80">
        <f t="shared" si="59"/>
        <v>0.00938553793657166</v>
      </c>
      <c r="I208" s="79">
        <f>SUM(I201:I207)</f>
        <v>-0.1251</v>
      </c>
      <c r="J208" s="80">
        <f t="shared" si="60"/>
        <v>-0.00152365872967542</v>
      </c>
      <c r="L208" s="79">
        <f>SUM(L201:L207)</f>
        <v>0.84315</v>
      </c>
      <c r="M208" s="80">
        <f t="shared" si="69"/>
        <v>0.0090996902554583</v>
      </c>
      <c r="O208" s="79">
        <f>SUM(O201:O207)</f>
        <v>0.03208</v>
      </c>
      <c r="P208" s="80">
        <f t="shared" si="61"/>
        <v>0.000325068144740442</v>
      </c>
      <c r="Q208" s="71"/>
      <c r="R208" s="79">
        <f>SUM(R201:R207)</f>
        <v>-0.35427</v>
      </c>
      <c r="S208" s="80">
        <f t="shared" si="62"/>
        <v>-0.00379495034974773</v>
      </c>
      <c r="T208" s="71"/>
      <c r="U208" s="79">
        <f>SUM(U201:U207)</f>
        <v>1.26444</v>
      </c>
      <c r="V208" s="80">
        <f t="shared" si="63"/>
        <v>0.0168385447184787</v>
      </c>
      <c r="W208" s="71"/>
      <c r="X208" s="79">
        <f>SUM(X201:X207)</f>
        <v>-0.87659</v>
      </c>
      <c r="Y208" s="80">
        <f t="shared" si="64"/>
        <v>-0.0112673684751732</v>
      </c>
      <c r="Z208" s="71"/>
      <c r="AA208" s="79">
        <f>SUM(AA201:AA207)</f>
        <v>-0.41412</v>
      </c>
      <c r="AB208" s="80">
        <f t="shared" si="65"/>
        <v>-0.0070414201183432</v>
      </c>
      <c r="AC208" s="71"/>
      <c r="AD208" s="79">
        <f>SUM(AD201:AD207)</f>
        <v>2.43917</v>
      </c>
      <c r="AE208" s="80">
        <f t="shared" si="66"/>
        <v>0.026855415850087</v>
      </c>
      <c r="AF208" s="71"/>
      <c r="AG208" s="79">
        <f>SUM(AG201:AG207)</f>
        <v>0.25534</v>
      </c>
      <c r="AH208" s="80">
        <f t="shared" ref="AH208:AH209" si="85">AG208/$AG$1*1000</f>
        <v>0.00228856702398451</v>
      </c>
      <c r="AI208" s="71"/>
      <c r="AJ208" s="79">
        <f>SUM(AJ201:AJ207)</f>
        <v>2.05352</v>
      </c>
      <c r="AK208" s="80">
        <f t="shared" ref="AK208:AK209" si="86">AJ208/$AG$1*1000</f>
        <v>0.0184053346717815</v>
      </c>
      <c r="AL208" s="71"/>
      <c r="AM208" s="79">
        <f>SUM(AM201:AM207)</f>
        <v>1.44318</v>
      </c>
      <c r="AN208" s="80">
        <f t="shared" ref="AN208:AN209" si="87">AM208/$AG$1*1000</f>
        <v>0.0129349657620191</v>
      </c>
      <c r="AO208" s="71"/>
      <c r="AP208" s="79">
        <f>SUM(AP201:AP207)</f>
        <v>7.30894</v>
      </c>
      <c r="AQ208" s="80">
        <f t="shared" si="68"/>
        <v>0.00697555053760568</v>
      </c>
    </row>
    <row r="209" s="5" customFormat="1" spans="1:43">
      <c r="A209" s="56"/>
      <c r="B209" s="87"/>
      <c r="C209" s="88"/>
      <c r="D209" s="88"/>
      <c r="E209" s="88" t="s">
        <v>373</v>
      </c>
      <c r="F209" s="89">
        <f>SUM(F208,F200,F194,F191,F188,F186,F142,F139)</f>
        <v>397.89523</v>
      </c>
      <c r="G209" s="90">
        <f t="shared" si="59"/>
        <v>4.99166035226817</v>
      </c>
      <c r="H209" s="11"/>
      <c r="I209" s="89">
        <f>+I139+I142+I186+I188+I191+I194+I200+I208</f>
        <v>507.54742</v>
      </c>
      <c r="J209" s="91">
        <f t="shared" si="60"/>
        <v>6.1816871079715</v>
      </c>
      <c r="K209" s="11"/>
      <c r="L209" s="92">
        <f>+L139+L142+L186+L188+L191+L194+L200+L208</f>
        <v>377.02418</v>
      </c>
      <c r="M209" s="91">
        <f t="shared" si="69"/>
        <v>4.06903072622684</v>
      </c>
      <c r="N209" s="12"/>
      <c r="O209" s="92">
        <f>+O139+O142+O186+O188+O191+O194+O200+O208</f>
        <v>454.70945</v>
      </c>
      <c r="P209" s="91">
        <f t="shared" si="61"/>
        <v>4.60759218539423</v>
      </c>
      <c r="Q209" s="93"/>
      <c r="R209" s="92">
        <f>+R139+R142+R186+R188+R191+R194+R200+R208</f>
        <v>388.87306</v>
      </c>
      <c r="S209" s="91">
        <f t="shared" si="62"/>
        <v>4.16561931592986</v>
      </c>
      <c r="T209" s="93"/>
      <c r="U209" s="92">
        <f>+U139+U142+U186+U188+U191+U194+U200+U208</f>
        <v>396.65983</v>
      </c>
      <c r="V209" s="91">
        <f t="shared" si="63"/>
        <v>5.28231808980983</v>
      </c>
      <c r="W209" s="93"/>
      <c r="X209" s="92">
        <f>+X139+X142+X186+X188+X191+X194+X200+X208</f>
        <v>400.03725</v>
      </c>
      <c r="Y209" s="91">
        <f t="shared" si="64"/>
        <v>5.14193305826553</v>
      </c>
      <c r="Z209" s="93"/>
      <c r="AA209" s="92">
        <f>+AA139+AA142+AA186+AA188+AA191+AA194+AA200+AA208</f>
        <v>380.49694</v>
      </c>
      <c r="AB209" s="91">
        <f t="shared" si="65"/>
        <v>6.46971604434469</v>
      </c>
      <c r="AC209" s="93"/>
      <c r="AD209" s="92">
        <f>+AD139+AD142+AD186+AD188+AD191+AD194+AD200+AD208</f>
        <v>437.17342</v>
      </c>
      <c r="AE209" s="91">
        <f t="shared" si="66"/>
        <v>4.81330698258208</v>
      </c>
      <c r="AF209" s="93"/>
      <c r="AG209" s="91">
        <f>+AG139+AG142+AG186+AG188+AG191+AG194+AG200+AG208</f>
        <v>408.42982</v>
      </c>
      <c r="AH209" s="91">
        <f t="shared" si="85"/>
        <v>3.66068386333489</v>
      </c>
      <c r="AI209" s="93"/>
      <c r="AJ209" s="91">
        <f>+AJ139+AJ142+AJ186+AJ188+AJ191+AJ194+AJ200+AJ208</f>
        <v>385.67826</v>
      </c>
      <c r="AK209" s="91">
        <f t="shared" si="86"/>
        <v>3.45676567597605</v>
      </c>
      <c r="AL209" s="93"/>
      <c r="AM209" s="91">
        <f>+AM139+AM142+AM186+AM188+AM191+AM194+AM200+AM208</f>
        <v>-215.43912</v>
      </c>
      <c r="AN209" s="91">
        <f t="shared" si="87"/>
        <v>-1.93094253038397</v>
      </c>
      <c r="AO209" s="93"/>
      <c r="AP209" s="91">
        <f>+AP139+AP142+AP186+AP188+AP191+AP194+AP200+AP208</f>
        <v>4319.22781</v>
      </c>
      <c r="AQ209" s="91">
        <f t="shared" si="68"/>
        <v>4.12221086396754</v>
      </c>
    </row>
    <row r="210" spans="1:43">
      <c r="F210" s="72"/>
      <c r="G210" s="70"/>
      <c r="I210" s="72"/>
      <c r="J210" s="70"/>
      <c r="L210" s="72"/>
      <c r="M210" s="70"/>
      <c r="O210" s="72"/>
      <c r="P210" s="70"/>
      <c r="Q210" s="71"/>
      <c r="R210" s="72"/>
      <c r="S210" s="70"/>
      <c r="T210" s="71"/>
      <c r="U210" s="72"/>
      <c r="V210" s="70"/>
      <c r="W210" s="71"/>
      <c r="X210" s="72"/>
      <c r="Y210" s="70"/>
      <c r="Z210" s="71"/>
      <c r="AA210" s="72"/>
      <c r="AB210" s="70"/>
      <c r="AC210" s="71"/>
      <c r="AD210" s="72"/>
      <c r="AE210" s="70"/>
      <c r="AF210" s="71"/>
      <c r="AG210" s="72"/>
      <c r="AH210" s="70"/>
      <c r="AI210" s="71"/>
      <c r="AJ210" s="72"/>
      <c r="AK210" s="70"/>
      <c r="AL210" s="71"/>
      <c r="AM210" s="72"/>
      <c r="AN210" s="70"/>
      <c r="AO210" s="71"/>
      <c r="AP210" s="72"/>
      <c r="AQ210" s="70"/>
    </row>
    <row r="211" spans="1:43">
      <c r="F211" s="29"/>
      <c r="G211" s="70"/>
      <c r="I211" s="29"/>
      <c r="J211" s="70"/>
      <c r="L211" s="29"/>
      <c r="M211" s="70"/>
      <c r="O211" s="29"/>
      <c r="P211" s="70"/>
      <c r="Q211" s="71"/>
      <c r="R211" s="29"/>
      <c r="S211" s="70"/>
      <c r="T211" s="71"/>
      <c r="U211" s="29"/>
      <c r="V211" s="70"/>
      <c r="W211" s="71"/>
      <c r="X211" s="29"/>
      <c r="Y211" s="70"/>
      <c r="Z211" s="71"/>
      <c r="AA211" s="29"/>
      <c r="AB211" s="70"/>
      <c r="AC211" s="71"/>
      <c r="AD211" s="29"/>
      <c r="AE211" s="70"/>
      <c r="AF211" s="71"/>
      <c r="AG211" s="29"/>
      <c r="AH211" s="70"/>
      <c r="AI211" s="71"/>
      <c r="AJ211" s="29"/>
      <c r="AK211" s="70"/>
      <c r="AL211" s="71"/>
      <c r="AM211" s="29"/>
      <c r="AN211" s="70"/>
      <c r="AO211" s="71"/>
      <c r="AP211" s="29"/>
      <c r="AQ211" s="70"/>
    </row>
    <row r="212" spans="1:43">
      <c r="F212" s="29"/>
      <c r="G212" s="70"/>
      <c r="I212" s="29"/>
      <c r="J212" s="70"/>
      <c r="L212" s="29"/>
      <c r="M212" s="70"/>
      <c r="O212" s="29"/>
      <c r="P212" s="70"/>
      <c r="Q212" s="71"/>
      <c r="R212" s="29"/>
      <c r="S212" s="70"/>
      <c r="T212" s="71"/>
      <c r="U212" s="29"/>
      <c r="V212" s="70"/>
      <c r="W212" s="71"/>
      <c r="X212" s="29"/>
      <c r="Y212" s="70"/>
      <c r="Z212" s="71"/>
      <c r="AA212" s="29"/>
      <c r="AB212" s="70"/>
      <c r="AC212" s="71"/>
      <c r="AD212" s="29"/>
      <c r="AE212" s="70"/>
      <c r="AF212" s="71"/>
      <c r="AG212" s="29"/>
      <c r="AH212" s="70"/>
      <c r="AI212" s="71"/>
      <c r="AJ212" s="29"/>
      <c r="AK212" s="70"/>
      <c r="AL212" s="71"/>
      <c r="AM212" s="29"/>
      <c r="AN212" s="70"/>
      <c r="AO212" s="71"/>
      <c r="AP212" s="29"/>
      <c r="AQ212" s="70"/>
    </row>
    <row r="213" s="5" customFormat="1" spans="1:43">
      <c r="A213" s="56"/>
      <c r="B213" s="94"/>
      <c r="C213" s="94"/>
      <c r="D213" s="94"/>
      <c r="E213" s="94" t="s">
        <v>374</v>
      </c>
      <c r="F213" s="92">
        <f>F209+F131</f>
        <v>2786.37243</v>
      </c>
      <c r="G213" s="91">
        <f>F213/$F$1*1000</f>
        <v>34.9554951575672</v>
      </c>
      <c r="H213" s="95"/>
      <c r="I213" s="92">
        <f>I209+I131</f>
        <v>2692.30781</v>
      </c>
      <c r="J213" s="91">
        <f>I213/$I$1*1000</f>
        <v>32.7910335545947</v>
      </c>
      <c r="K213" s="95"/>
      <c r="L213" s="92">
        <f>L209+L131</f>
        <v>2979.4464</v>
      </c>
      <c r="M213" s="91">
        <f>L213/$L$1*1000</f>
        <v>32.1556536473229</v>
      </c>
      <c r="N213" s="96"/>
      <c r="O213" s="92">
        <f>O209+O131</f>
        <v>2556.69212</v>
      </c>
      <c r="P213" s="91">
        <f>O213/$O$1*1000</f>
        <v>25.9070811758388</v>
      </c>
      <c r="Q213" s="93"/>
      <c r="R213" s="92">
        <f>R209+R131</f>
        <v>2816.08827</v>
      </c>
      <c r="S213" s="91">
        <f t="shared" ref="S213" si="88">R213/$R$1*1000</f>
        <v>30.1660179105117</v>
      </c>
      <c r="T213" s="93"/>
      <c r="U213" s="92">
        <f>U209+U131</f>
        <v>2742.94486</v>
      </c>
      <c r="V213" s="69">
        <f t="shared" ref="V213" si="89">U213/$U$1*1000</f>
        <v>36.5277907100623</v>
      </c>
      <c r="W213" s="93"/>
      <c r="X213" s="92">
        <f>X209+X131</f>
        <v>2368.5937</v>
      </c>
      <c r="Y213" s="69">
        <f t="shared" ref="Y213" si="90">X213/$X$1*1000</f>
        <v>30.4450404246841</v>
      </c>
      <c r="Z213" s="93"/>
      <c r="AA213" s="92">
        <f>AA209+AA131</f>
        <v>2153.77898</v>
      </c>
      <c r="AB213" s="69">
        <f t="shared" ref="AB213" si="91">AA213/$AA$1*1000</f>
        <v>36.6214204584098</v>
      </c>
      <c r="AC213" s="93"/>
      <c r="AD213" s="92">
        <f>AD209+AD131</f>
        <v>1237.78529</v>
      </c>
      <c r="AE213" s="69">
        <f t="shared" ref="AE213" si="92">AD213/$AD$1*1000</f>
        <v>13.6280942681611</v>
      </c>
      <c r="AF213" s="93"/>
      <c r="AG213" s="91">
        <f>AG209+AG131</f>
        <v>2317.46366</v>
      </c>
      <c r="AH213" s="97">
        <f>AG213/$AG$1*1000</f>
        <v>20.771014770731</v>
      </c>
      <c r="AI213" s="93"/>
      <c r="AJ213" s="91">
        <f>AJ209+AJ131</f>
        <v>2618.46488</v>
      </c>
      <c r="AK213" s="97">
        <f>AJ213/$AG$1*1000</f>
        <v>23.4688351916251</v>
      </c>
      <c r="AL213" s="93"/>
      <c r="AM213" s="91">
        <f>AM209+AM131</f>
        <v>1590.43882</v>
      </c>
      <c r="AN213" s="97">
        <f>AM213/$AG$1*1000</f>
        <v>14.2548203850428</v>
      </c>
      <c r="AO213" s="93"/>
      <c r="AP213" s="91">
        <f>+F213+I213+L213+O213+R213+U213+X213+AA213+AD213+AG213+AJ213+AM213</f>
        <v>28860.37722</v>
      </c>
      <c r="AQ213" s="69">
        <f>AP213/$AP$1*1000</f>
        <v>27.5439420534952</v>
      </c>
    </row>
    <row r="214" spans="1:43">
      <c r="F214" s="29"/>
      <c r="G214" s="29"/>
      <c r="I214" s="29"/>
      <c r="J214" s="29"/>
      <c r="L214" s="29"/>
      <c r="M214" s="29"/>
      <c r="O214" s="29"/>
      <c r="P214" s="29"/>
      <c r="Q214" s="71"/>
      <c r="R214" s="29"/>
      <c r="S214" s="29"/>
      <c r="T214" s="71"/>
      <c r="U214" s="29"/>
      <c r="V214" s="29"/>
      <c r="W214" s="71"/>
      <c r="X214" s="29"/>
      <c r="Y214" s="29"/>
      <c r="Z214" s="71"/>
      <c r="AA214" s="29"/>
      <c r="AB214" s="29"/>
      <c r="AC214" s="71"/>
      <c r="AD214" s="29"/>
      <c r="AE214" s="29"/>
      <c r="AF214" s="71"/>
      <c r="AG214" s="29"/>
      <c r="AH214" s="29"/>
      <c r="AI214" s="29"/>
      <c r="AJ214" s="29"/>
      <c r="AK214" s="29"/>
      <c r="AL214" s="71"/>
      <c r="AM214" s="29"/>
      <c r="AN214" s="29"/>
      <c r="AO214" s="71"/>
      <c r="AP214" s="29"/>
      <c r="AQ214" s="29"/>
    </row>
    <row r="215" spans="1:43">
      <c r="F215" s="72"/>
      <c r="G215" s="98"/>
      <c r="I215" s="72"/>
      <c r="L215" s="72"/>
      <c r="O215" s="72"/>
      <c r="R215" s="72"/>
      <c r="T215" s="71"/>
      <c r="U215" s="72"/>
      <c r="W215" s="71"/>
      <c r="X215" s="72"/>
      <c r="Z215" s="71"/>
      <c r="AA215" s="72"/>
      <c r="AC215" s="71"/>
      <c r="AD215" s="72"/>
      <c r="AF215" s="71"/>
      <c r="AG215" s="72"/>
      <c r="AI215" s="72"/>
      <c r="AJ215" s="72"/>
      <c r="AL215" s="71"/>
      <c r="AM215" s="72"/>
      <c r="AO215" s="71"/>
      <c r="AP215" s="72"/>
    </row>
    <row r="216" spans="1:43">
      <c r="C216" s="99"/>
      <c r="D216" s="99"/>
      <c r="F216" s="72"/>
      <c r="G216" s="72"/>
      <c r="I216" s="72"/>
      <c r="L216" s="72"/>
      <c r="O216" s="72"/>
      <c r="R216" s="72"/>
      <c r="U216" s="72"/>
      <c r="X216" s="72"/>
      <c r="AA216" s="72"/>
      <c r="AD216" s="72"/>
      <c r="AG216" s="72"/>
      <c r="AI216" s="72"/>
      <c r="AJ216" s="72"/>
      <c r="AM216" s="72"/>
      <c r="AP216" s="72"/>
    </row>
    <row r="217" spans="1:43">
      <c r="C217" s="99"/>
      <c r="D217" s="99"/>
      <c r="F217" s="72"/>
      <c r="G217" s="72"/>
      <c r="I217" s="72"/>
      <c r="L217" s="72"/>
      <c r="O217" s="72"/>
      <c r="P217" s="72"/>
      <c r="R217" s="72"/>
      <c r="S217" s="72"/>
      <c r="U217" s="72"/>
      <c r="V217" s="72"/>
      <c r="X217" s="72"/>
      <c r="Y217" s="72"/>
      <c r="AA217" s="72"/>
      <c r="AB217" s="72"/>
      <c r="AD217" s="72"/>
      <c r="AE217" s="72"/>
      <c r="AG217" s="72"/>
      <c r="AH217" s="72"/>
      <c r="AJ217" s="72"/>
      <c r="AK217" s="72"/>
      <c r="AM217" s="72"/>
      <c r="AN217" s="72"/>
      <c r="AP217" s="72"/>
      <c r="AQ217" s="72"/>
    </row>
    <row r="218" spans="1:43">
      <c r="F218" s="72"/>
    </row>
    <row r="219" s="6" customFormat="1" ht="15" spans="1:43">
      <c r="A219" s="7"/>
      <c r="B219" s="100"/>
      <c r="C219" s="101"/>
      <c r="D219" s="101"/>
      <c r="E219" s="102" t="s">
        <v>375</v>
      </c>
      <c r="F219" s="103" t="s">
        <v>376</v>
      </c>
      <c r="G219" s="104" t="s">
        <v>377</v>
      </c>
      <c r="H219" s="105"/>
      <c r="I219" s="103" t="s">
        <v>376</v>
      </c>
      <c r="J219" s="104" t="s">
        <v>377</v>
      </c>
      <c r="K219" s="105"/>
      <c r="L219" s="103" t="s">
        <v>376</v>
      </c>
      <c r="M219" s="104" t="s">
        <v>377</v>
      </c>
      <c r="N219" s="106"/>
      <c r="O219" s="103" t="s">
        <v>376</v>
      </c>
      <c r="P219" s="104" t="s">
        <v>377</v>
      </c>
      <c r="Q219" s="107"/>
      <c r="R219" s="103" t="s">
        <v>376</v>
      </c>
      <c r="S219" s="104" t="s">
        <v>377</v>
      </c>
      <c r="T219" s="107"/>
      <c r="U219" s="103" t="s">
        <v>376</v>
      </c>
      <c r="V219" s="104" t="s">
        <v>377</v>
      </c>
      <c r="W219" s="107"/>
      <c r="X219" s="103" t="s">
        <v>376</v>
      </c>
      <c r="Y219" s="104" t="s">
        <v>377</v>
      </c>
      <c r="Z219" s="107"/>
      <c r="AA219" s="103" t="s">
        <v>376</v>
      </c>
      <c r="AB219" s="104" t="s">
        <v>377</v>
      </c>
      <c r="AC219" s="107"/>
      <c r="AD219" s="103" t="s">
        <v>376</v>
      </c>
      <c r="AE219" s="104" t="s">
        <v>377</v>
      </c>
      <c r="AF219" s="107"/>
      <c r="AG219" s="103" t="s">
        <v>376</v>
      </c>
      <c r="AH219" s="104" t="s">
        <v>377</v>
      </c>
      <c r="AI219" s="107"/>
      <c r="AJ219" s="103" t="s">
        <v>376</v>
      </c>
      <c r="AK219" s="104" t="s">
        <v>377</v>
      </c>
      <c r="AL219" s="107"/>
      <c r="AM219" s="103" t="s">
        <v>376</v>
      </c>
      <c r="AN219" s="104" t="s">
        <v>377</v>
      </c>
      <c r="AO219" s="107"/>
      <c r="AP219" s="103" t="s">
        <v>376</v>
      </c>
      <c r="AQ219" s="104" t="s">
        <v>377</v>
      </c>
    </row>
    <row r="220" s="6" customFormat="1" ht="15" spans="1:43">
      <c r="A220" s="7"/>
      <c r="B220" s="100"/>
      <c r="C220" s="108"/>
      <c r="D220" s="108"/>
      <c r="E220" s="109" t="s">
        <v>378</v>
      </c>
      <c r="F220" s="110">
        <f>F23</f>
        <v>544.15844</v>
      </c>
      <c r="G220" s="111">
        <f>G23</f>
        <v>6.82655610196708</v>
      </c>
      <c r="H220" s="112"/>
      <c r="I220" s="110">
        <f>I23</f>
        <v>469.02011</v>
      </c>
      <c r="J220" s="111">
        <f>J23</f>
        <v>5.71244272577797</v>
      </c>
      <c r="K220" s="112"/>
      <c r="L220" s="110">
        <f>L23</f>
        <v>689.10387</v>
      </c>
      <c r="M220" s="111">
        <f>M23</f>
        <v>7.43714851549262</v>
      </c>
      <c r="N220" s="113"/>
      <c r="O220" s="110">
        <f>O23</f>
        <v>573.04516</v>
      </c>
      <c r="P220" s="111">
        <f>P23</f>
        <v>5.80669348546414</v>
      </c>
      <c r="Q220" s="114"/>
      <c r="R220" s="110">
        <f>R23</f>
        <v>645.05798</v>
      </c>
      <c r="S220" s="111">
        <f>S23</f>
        <v>6.90987948967896</v>
      </c>
      <c r="T220" s="114"/>
      <c r="U220" s="110">
        <f>U23</f>
        <v>596.42251</v>
      </c>
      <c r="V220" s="111">
        <f>V23</f>
        <v>7.94255726309061</v>
      </c>
      <c r="W220" s="114"/>
      <c r="X220" s="110">
        <f>X23</f>
        <v>524.39303</v>
      </c>
      <c r="Y220" s="111">
        <f>Y23</f>
        <v>6.74035694546202</v>
      </c>
      <c r="Z220" s="114"/>
      <c r="AA220" s="110">
        <f>AA23</f>
        <v>432.51216</v>
      </c>
      <c r="AB220" s="111">
        <f>AB23</f>
        <v>7.35414813303407</v>
      </c>
      <c r="AC220" s="114"/>
      <c r="AD220" s="110">
        <f>AD23</f>
        <v>570.86096</v>
      </c>
      <c r="AE220" s="111">
        <f>AE23</f>
        <v>6.28521524673552</v>
      </c>
      <c r="AF220" s="114"/>
      <c r="AG220" s="110">
        <f>AG23</f>
        <v>501.28108</v>
      </c>
      <c r="AH220" s="111">
        <f>AH23</f>
        <v>4.4928931990105</v>
      </c>
      <c r="AI220" s="114"/>
      <c r="AJ220" s="110">
        <f>AJ23</f>
        <v>640.25558</v>
      </c>
      <c r="AK220" s="111">
        <f>AK23</f>
        <v>5.73577227323628</v>
      </c>
      <c r="AL220" s="114"/>
      <c r="AM220" s="110">
        <f>AM23</f>
        <v>557.30606</v>
      </c>
      <c r="AN220" s="111">
        <f>AN23</f>
        <v>4.99266347144457</v>
      </c>
      <c r="AO220" s="114"/>
      <c r="AP220" s="110">
        <f>AP23</f>
        <v>6743.41694</v>
      </c>
      <c r="AQ220" s="111">
        <f>AQ23</f>
        <v>6.43582320570646</v>
      </c>
    </row>
    <row r="221" s="6" customFormat="1" ht="15" spans="1:43">
      <c r="A221" s="7"/>
      <c r="B221" s="100"/>
      <c r="C221" s="100"/>
      <c r="D221" s="100"/>
      <c r="E221" s="109" t="s">
        <v>379</v>
      </c>
      <c r="F221" s="110">
        <f>F28+F99+F89+F93</f>
        <v>14.42061</v>
      </c>
      <c r="G221" s="111">
        <f>G28+G99+G89+G93</f>
        <v>0.180908897029306</v>
      </c>
      <c r="H221" s="112"/>
      <c r="I221" s="110">
        <f>I28+I99+I89+I93</f>
        <v>29.57528</v>
      </c>
      <c r="J221" s="111">
        <f>J28+J99+J89+J93</f>
        <v>0.360212898118263</v>
      </c>
      <c r="K221" s="112"/>
      <c r="L221" s="110">
        <f>L28+L99+L89+L93</f>
        <v>-15.97742</v>
      </c>
      <c r="M221" s="111">
        <f>M28+M99+M89+M93</f>
        <v>-0.172436189386662</v>
      </c>
      <c r="N221" s="113"/>
      <c r="O221" s="110">
        <f>O28+O99+O89+O93</f>
        <v>-10.85</v>
      </c>
      <c r="P221" s="111">
        <f>P28+P99+P89+P93</f>
        <v>-0.109943558928734</v>
      </c>
      <c r="Q221" s="114"/>
      <c r="R221" s="110">
        <f>R28+R99+R89+R93</f>
        <v>-11.60346</v>
      </c>
      <c r="S221" s="111">
        <f>S28+S99+S89+S93</f>
        <v>-0.124296594646128</v>
      </c>
      <c r="T221" s="114"/>
      <c r="U221" s="110">
        <f>U28+U99+U89+U93</f>
        <v>-11.42824</v>
      </c>
      <c r="V221" s="111">
        <f>V28+V99+V89+V93</f>
        <v>-0.152189847120865</v>
      </c>
      <c r="W221" s="114"/>
      <c r="X221" s="110">
        <f>X28+X99+X89+X93</f>
        <v>-92.03344</v>
      </c>
      <c r="Y221" s="111">
        <f>Y28+Y99+Y89+Y93</f>
        <v>-1.1829643054538</v>
      </c>
      <c r="Z221" s="114"/>
      <c r="AA221" s="110">
        <f>AA28+AA99+AA89+AA93</f>
        <v>91.9126899999981</v>
      </c>
      <c r="AB221" s="111">
        <f>AB28+AB99+AB89+AB93</f>
        <v>1.56282204312042</v>
      </c>
      <c r="AC221" s="114"/>
      <c r="AD221" s="110">
        <f>AD28+AD99+AD89+AD93</f>
        <v>20.12977</v>
      </c>
      <c r="AE221" s="111">
        <f>AE28+AE99+AE89+AE93</f>
        <v>0.221630039856429</v>
      </c>
      <c r="AF221" s="114"/>
      <c r="AG221" s="110">
        <f>AG28+AG99+AG89+AG93</f>
        <v>29.24235</v>
      </c>
      <c r="AH221" s="111">
        <f>AH28+AH99+AH89+AH93</f>
        <v>0.26209398415373</v>
      </c>
      <c r="AI221" s="114"/>
      <c r="AJ221" s="110">
        <f>AJ28+AJ99+AJ89+AJ93</f>
        <v>13.5194</v>
      </c>
      <c r="AK221" s="111">
        <f>AK28+AK99+AK89+AK93</f>
        <v>0.12111444568869</v>
      </c>
      <c r="AL221" s="114"/>
      <c r="AM221" s="110">
        <f>AM28+AM99+AM89+AM93</f>
        <v>0.934530000000336</v>
      </c>
      <c r="AN221" s="111">
        <f>AN28+AN99+AN89+AN93</f>
        <v>0.00837204927211943</v>
      </c>
      <c r="AO221" s="114"/>
      <c r="AP221" s="110">
        <f>AP28+AP99+AP89+AP93</f>
        <v>57.8420699999986</v>
      </c>
      <c r="AQ221" s="111">
        <f>AQ28+AQ99+AQ89+AQ93</f>
        <v>0.0552036659877786</v>
      </c>
    </row>
    <row r="222" s="6" customFormat="1" ht="15" spans="1:43">
      <c r="A222" s="7"/>
      <c r="B222" s="100"/>
      <c r="C222" s="100"/>
      <c r="D222" s="100"/>
      <c r="E222" s="115" t="s">
        <v>380</v>
      </c>
      <c r="F222" s="116">
        <f>F107</f>
        <v>385.87333</v>
      </c>
      <c r="G222" s="117">
        <f>G107</f>
        <v>4.84084366218386</v>
      </c>
      <c r="H222" s="112"/>
      <c r="I222" s="116">
        <f>I107</f>
        <v>358.20537</v>
      </c>
      <c r="J222" s="117">
        <f>J107</f>
        <v>4.36277169478107</v>
      </c>
      <c r="K222" s="112"/>
      <c r="L222" s="116">
        <f>L107</f>
        <v>491.80141</v>
      </c>
      <c r="M222" s="117">
        <f>M107</f>
        <v>5.30776314795428</v>
      </c>
      <c r="N222" s="113"/>
      <c r="O222" s="116">
        <f>O107</f>
        <v>403.07668</v>
      </c>
      <c r="P222" s="117">
        <f>P107</f>
        <v>4.08439490510402</v>
      </c>
      <c r="Q222" s="114"/>
      <c r="R222" s="116">
        <f>R107</f>
        <v>452.17888</v>
      </c>
      <c r="S222" s="117">
        <f>S107</f>
        <v>4.84375306631817</v>
      </c>
      <c r="T222" s="114"/>
      <c r="U222" s="116">
        <f>U107</f>
        <v>332.25239</v>
      </c>
      <c r="V222" s="117">
        <f>V107</f>
        <v>4.42460435199489</v>
      </c>
      <c r="W222" s="114"/>
      <c r="X222" s="116">
        <f>X107</f>
        <v>332.16484</v>
      </c>
      <c r="Y222" s="117">
        <f>Y107</f>
        <v>4.26952582938084</v>
      </c>
      <c r="Z222" s="114"/>
      <c r="AA222" s="116">
        <f>AA107</f>
        <v>279.86157</v>
      </c>
      <c r="AB222" s="117">
        <f>AB107</f>
        <v>4.75857937155683</v>
      </c>
      <c r="AC222" s="114"/>
      <c r="AD222" s="116">
        <f>AD107</f>
        <v>317.01562</v>
      </c>
      <c r="AE222" s="117">
        <f>AE107</f>
        <v>3.49036201087794</v>
      </c>
      <c r="AF222" s="114"/>
      <c r="AG222" s="116">
        <f>AG107</f>
        <v>415.08803</v>
      </c>
      <c r="AH222" s="117">
        <f>AH107</f>
        <v>3.72036021582476</v>
      </c>
      <c r="AI222" s="114"/>
      <c r="AJ222" s="116">
        <f>AJ107</f>
        <v>361.68076</v>
      </c>
      <c r="AK222" s="117">
        <f>AK107</f>
        <v>3.24014118701008</v>
      </c>
      <c r="AL222" s="114"/>
      <c r="AM222" s="116">
        <f>AM107</f>
        <v>422.62091</v>
      </c>
      <c r="AN222" s="117">
        <f>AN107</f>
        <v>3.78607758118701</v>
      </c>
      <c r="AO222" s="114"/>
      <c r="AP222" s="116">
        <f>AP107</f>
        <v>4551.81979</v>
      </c>
      <c r="AQ222" s="117">
        <f>AQ107</f>
        <v>4.34419341015505</v>
      </c>
    </row>
    <row r="223" s="6" customFormat="1" ht="15" spans="1:43">
      <c r="A223" s="7"/>
      <c r="B223" s="100"/>
      <c r="C223" s="100"/>
      <c r="D223" s="100"/>
      <c r="E223" s="115" t="s">
        <v>381</v>
      </c>
      <c r="F223" s="116">
        <f>F115</f>
        <v>276.16976</v>
      </c>
      <c r="G223" s="117">
        <f>G115</f>
        <v>3.46459454034524</v>
      </c>
      <c r="H223" s="112"/>
      <c r="I223" s="116">
        <f>I115</f>
        <v>193.34998</v>
      </c>
      <c r="J223" s="117">
        <f>J115</f>
        <v>2.35491115035625</v>
      </c>
      <c r="K223" s="112"/>
      <c r="L223" s="116">
        <f>L115</f>
        <v>253.3058</v>
      </c>
      <c r="M223" s="117">
        <f>M115</f>
        <v>2.73380100801882</v>
      </c>
      <c r="N223" s="113"/>
      <c r="O223" s="116">
        <f>O115</f>
        <v>149.25268</v>
      </c>
      <c r="P223" s="117">
        <f>P115</f>
        <v>1.51238440726742</v>
      </c>
      <c r="Q223" s="114"/>
      <c r="R223" s="116">
        <f>R115</f>
        <v>199.13504</v>
      </c>
      <c r="S223" s="117">
        <f>S115</f>
        <v>2.13314023116558</v>
      </c>
      <c r="T223" s="114"/>
      <c r="U223" s="116">
        <f>U115</f>
        <v>153.80926</v>
      </c>
      <c r="V223" s="117">
        <f>V115</f>
        <v>2.04827757950248</v>
      </c>
      <c r="W223" s="114"/>
      <c r="X223" s="116">
        <f>X115</f>
        <v>132.57406</v>
      </c>
      <c r="Y223" s="117">
        <f>Y115</f>
        <v>1.70405866399311</v>
      </c>
      <c r="Z223" s="114"/>
      <c r="AA223" s="116">
        <f>AA115</f>
        <v>141.30123</v>
      </c>
      <c r="AB223" s="117">
        <f>AB115</f>
        <v>2.40259181799633</v>
      </c>
      <c r="AC223" s="114"/>
      <c r="AD223" s="116">
        <f>AD115</f>
        <v>119.39319</v>
      </c>
      <c r="AE223" s="117">
        <f>AE115</f>
        <v>1.3145265672825</v>
      </c>
      <c r="AF223" s="114"/>
      <c r="AG223" s="116">
        <f>AG115</f>
        <v>103.52545</v>
      </c>
      <c r="AH223" s="117">
        <f>AH115</f>
        <v>0.927880202918295</v>
      </c>
      <c r="AI223" s="114"/>
      <c r="AJ223" s="116">
        <f>AJ115</f>
        <v>110.0848</v>
      </c>
      <c r="AK223" s="117">
        <f>AK115</f>
        <v>0.986202015677491</v>
      </c>
      <c r="AL223" s="114"/>
      <c r="AM223" s="116">
        <f>AM115</f>
        <v>106.23428</v>
      </c>
      <c r="AN223" s="117">
        <f>AN115</f>
        <v>0.951706875699888</v>
      </c>
      <c r="AO223" s="114"/>
      <c r="AP223" s="116">
        <f>AP115</f>
        <v>1938.13553</v>
      </c>
      <c r="AQ223" s="117">
        <f>AQ115</f>
        <v>1.84972955561876</v>
      </c>
    </row>
    <row r="224" s="6" customFormat="1" ht="15" spans="1:43">
      <c r="A224" s="7"/>
      <c r="B224" s="100"/>
      <c r="C224" s="100"/>
      <c r="D224" s="100"/>
      <c r="E224" s="115" t="s">
        <v>382</v>
      </c>
      <c r="F224" s="116">
        <f>F84+F130+F91+F95</f>
        <v>397.48624</v>
      </c>
      <c r="G224" s="117">
        <f>G84+G130+G91+G95</f>
        <v>4.9865295062224</v>
      </c>
      <c r="H224" s="112"/>
      <c r="I224" s="116">
        <f>I84+I130+I91+I95</f>
        <v>393.18111</v>
      </c>
      <c r="J224" s="117">
        <f>J84+J130+J91+J95</f>
        <v>4.78875963705012</v>
      </c>
      <c r="K224" s="112"/>
      <c r="L224" s="116">
        <f>L84+L130+L91+L95</f>
        <v>420.6834</v>
      </c>
      <c r="M224" s="117">
        <f>M84+M130+M91+M95</f>
        <v>4.54022254120034</v>
      </c>
      <c r="N224" s="113"/>
      <c r="O224" s="116">
        <f>O84+O130+O91+O95</f>
        <v>221.44191</v>
      </c>
      <c r="P224" s="117">
        <f>P84+P130+P91+P95</f>
        <v>2.24388126095636</v>
      </c>
      <c r="Q224" s="114"/>
      <c r="R224" s="116">
        <f>R84+R130+R91+R95</f>
        <v>310.75982</v>
      </c>
      <c r="S224" s="117">
        <f>S84+S130+S91+S95</f>
        <v>3.32886805994451</v>
      </c>
      <c r="T224" s="114"/>
      <c r="U224" s="116">
        <f>U84+U130+U91+U95</f>
        <v>451.20943</v>
      </c>
      <c r="V224" s="117">
        <f>V84+V130+V91+V95</f>
        <v>6.00875499387418</v>
      </c>
      <c r="W224" s="114"/>
      <c r="X224" s="116">
        <f>X84+X130+X91+X95</f>
        <v>232.24886</v>
      </c>
      <c r="Y224" s="117">
        <f>Y84+Y130+Y91+Y95</f>
        <v>2.98524222676384</v>
      </c>
      <c r="Z224" s="114"/>
      <c r="AA224" s="116">
        <f>AA84+AA130+AA91+AA95</f>
        <v>244.40409</v>
      </c>
      <c r="AB224" s="117">
        <f>AB84+AB130+AB91+AB95</f>
        <v>4.15568404407264</v>
      </c>
      <c r="AC224" s="114"/>
      <c r="AD224" s="116">
        <f>AD84+AD130+AD91+AD95</f>
        <v>-1019.73597</v>
      </c>
      <c r="AE224" s="117">
        <f>AE84+AE130+AE91+AE95</f>
        <v>-11.2273574747319</v>
      </c>
      <c r="AF224" s="114"/>
      <c r="AG224" s="116">
        <f>AG84+AG130+AG91+AG95</f>
        <v>269.97649</v>
      </c>
      <c r="AH224" s="117">
        <f>AH84+AH130+AH91+AH95</f>
        <v>2.41975128168358</v>
      </c>
      <c r="AI224" s="114"/>
      <c r="AJ224" s="116">
        <f>AJ84+AJ130+AJ91+AJ95</f>
        <v>305.84799</v>
      </c>
      <c r="AK224" s="117">
        <f>AK84+AK130+AK91+AK95</f>
        <v>2.7399595968645</v>
      </c>
      <c r="AL224" s="114"/>
      <c r="AM224" s="116">
        <f>AM84+AM130+AM91+AM95</f>
        <v>-97.1297600000002</v>
      </c>
      <c r="AN224" s="117">
        <f>AN84+AN130+AN91+AN95</f>
        <v>-0.870143426651738</v>
      </c>
      <c r="AO224" s="114"/>
      <c r="AP224" s="116">
        <f>AP84+AP130+AP91+AP95</f>
        <v>2130.37361</v>
      </c>
      <c r="AQ224" s="117">
        <f>AQ84+AQ130+AQ91+AQ95</f>
        <v>2.03319890169251</v>
      </c>
    </row>
    <row r="225" s="6" customFormat="1" ht="15" spans="1:43">
      <c r="A225" s="7"/>
      <c r="B225" s="100"/>
      <c r="C225" s="100"/>
      <c r="D225" s="100"/>
      <c r="E225" s="115" t="s">
        <v>383</v>
      </c>
      <c r="F225" s="116">
        <f>F14</f>
        <v>770.36882</v>
      </c>
      <c r="G225" s="117">
        <f>G14</f>
        <v>9.66440209755119</v>
      </c>
      <c r="H225" s="112"/>
      <c r="I225" s="116">
        <f>I14</f>
        <v>741.42854</v>
      </c>
      <c r="J225" s="117">
        <f>J14</f>
        <v>9.03024834053955</v>
      </c>
      <c r="K225" s="112"/>
      <c r="L225" s="116">
        <f>L14</f>
        <v>763.50516</v>
      </c>
      <c r="M225" s="117">
        <f>M14</f>
        <v>8.24012389781668</v>
      </c>
      <c r="N225" s="113"/>
      <c r="O225" s="116">
        <f>O14</f>
        <v>766.01624</v>
      </c>
      <c r="P225" s="117">
        <f>P14</f>
        <v>7.76207849058133</v>
      </c>
      <c r="Q225" s="114"/>
      <c r="R225" s="116">
        <f>R14</f>
        <v>831.68695</v>
      </c>
      <c r="S225" s="117">
        <f>S14</f>
        <v>8.90905434212077</v>
      </c>
      <c r="T225" s="114"/>
      <c r="U225" s="116">
        <f>U14</f>
        <v>824.01968</v>
      </c>
      <c r="V225" s="117">
        <f>V14</f>
        <v>10.9734682789112</v>
      </c>
      <c r="W225" s="114"/>
      <c r="X225" s="116">
        <f>X14</f>
        <v>839.2091</v>
      </c>
      <c r="Y225" s="117">
        <f>Y14</f>
        <v>10.7868880062726</v>
      </c>
      <c r="Z225" s="114"/>
      <c r="AA225" s="116">
        <f>AA14</f>
        <v>583.2903</v>
      </c>
      <c r="AB225" s="117">
        <f>AB14</f>
        <v>9.91787900428484</v>
      </c>
      <c r="AC225" s="114"/>
      <c r="AD225" s="116">
        <f>AD14</f>
        <v>792.9483</v>
      </c>
      <c r="AE225" s="117">
        <f>AE14</f>
        <v>8.73041089555854</v>
      </c>
      <c r="AF225" s="114"/>
      <c r="AG225" s="116">
        <f>AG14</f>
        <v>589.92044</v>
      </c>
      <c r="AH225" s="117">
        <f>AH14</f>
        <v>5.28735202380526</v>
      </c>
      <c r="AI225" s="114"/>
      <c r="AJ225" s="116">
        <f>AJ14</f>
        <v>801.39809</v>
      </c>
      <c r="AK225" s="117">
        <f>AK14</f>
        <v>7.17937818589026</v>
      </c>
      <c r="AL225" s="114"/>
      <c r="AM225" s="116">
        <f>AM14</f>
        <v>815.91192</v>
      </c>
      <c r="AN225" s="117">
        <f>AN14</f>
        <v>7.30940129899216</v>
      </c>
      <c r="AO225" s="114"/>
      <c r="AP225" s="116">
        <f>AP14</f>
        <v>9119.70354</v>
      </c>
      <c r="AQ225" s="117">
        <f>AQ14</f>
        <v>8.70371803999641</v>
      </c>
    </row>
    <row r="226" s="6" customFormat="1" ht="15" spans="1:43">
      <c r="A226" s="7"/>
      <c r="B226" s="100"/>
      <c r="C226" s="100"/>
      <c r="D226" s="100"/>
      <c r="E226" s="118" t="s">
        <v>384</v>
      </c>
      <c r="F226" s="119">
        <f>F209</f>
        <v>397.89523</v>
      </c>
      <c r="G226" s="120">
        <f>G209</f>
        <v>4.99166035226817</v>
      </c>
      <c r="H226" s="112"/>
      <c r="I226" s="119">
        <f>I209</f>
        <v>507.54742</v>
      </c>
      <c r="J226" s="120">
        <f>J209</f>
        <v>6.1816871079715</v>
      </c>
      <c r="K226" s="112"/>
      <c r="L226" s="119">
        <f>L209</f>
        <v>377.02418</v>
      </c>
      <c r="M226" s="120">
        <f>M209</f>
        <v>4.06903072622684</v>
      </c>
      <c r="N226" s="113"/>
      <c r="O226" s="119">
        <f>O209</f>
        <v>454.70945</v>
      </c>
      <c r="P226" s="120">
        <f>P209</f>
        <v>4.60759218539423</v>
      </c>
      <c r="Q226" s="114"/>
      <c r="R226" s="119">
        <f>R209</f>
        <v>388.87306</v>
      </c>
      <c r="S226" s="120">
        <f>S209</f>
        <v>4.16561931592986</v>
      </c>
      <c r="T226" s="114"/>
      <c r="U226" s="119">
        <f>U209</f>
        <v>396.65983</v>
      </c>
      <c r="V226" s="120">
        <f>V209</f>
        <v>5.28231808980983</v>
      </c>
      <c r="W226" s="114"/>
      <c r="X226" s="119">
        <f>X209</f>
        <v>400.03725</v>
      </c>
      <c r="Y226" s="120">
        <f>Y209</f>
        <v>5.14193305826553</v>
      </c>
      <c r="Z226" s="114"/>
      <c r="AA226" s="119">
        <f>AA209</f>
        <v>380.49694</v>
      </c>
      <c r="AB226" s="120">
        <f>AB209</f>
        <v>6.46971604434469</v>
      </c>
      <c r="AC226" s="114"/>
      <c r="AD226" s="119">
        <f>AD209</f>
        <v>437.17342</v>
      </c>
      <c r="AE226" s="120">
        <f>AE209</f>
        <v>4.81330698258208</v>
      </c>
      <c r="AF226" s="114"/>
      <c r="AG226" s="119">
        <f>AG209</f>
        <v>408.42982</v>
      </c>
      <c r="AH226" s="120">
        <f>AH209</f>
        <v>3.66068386333489</v>
      </c>
      <c r="AI226" s="114"/>
      <c r="AJ226" s="119">
        <f>AJ209</f>
        <v>385.67826</v>
      </c>
      <c r="AK226" s="120">
        <f>AK209</f>
        <v>3.45676567597605</v>
      </c>
      <c r="AL226" s="114"/>
      <c r="AM226" s="119">
        <f>AM209</f>
        <v>-215.43912</v>
      </c>
      <c r="AN226" s="120">
        <f>AN209</f>
        <v>-1.93094253038397</v>
      </c>
      <c r="AO226" s="114"/>
      <c r="AP226" s="119">
        <f>AP209</f>
        <v>4319.22781</v>
      </c>
      <c r="AQ226" s="120">
        <f>AQ209</f>
        <v>4.12221086396754</v>
      </c>
    </row>
    <row r="227" s="7" customFormat="1" ht="15" spans="1:43">
      <c r="B227" s="100"/>
      <c r="C227" s="100"/>
      <c r="D227" s="100"/>
      <c r="E227" s="121" t="s">
        <v>385</v>
      </c>
      <c r="F227" s="122">
        <f>SUM(F220:F226)</f>
        <v>2786.37243</v>
      </c>
      <c r="G227" s="123">
        <f>SUM(G220:G226)</f>
        <v>34.9554951575672</v>
      </c>
      <c r="H227" s="112"/>
      <c r="I227" s="122">
        <f>SUM(I220:I226)</f>
        <v>2692.30781</v>
      </c>
      <c r="J227" s="123">
        <f>SUM(J220:J226)</f>
        <v>32.7910335545947</v>
      </c>
      <c r="K227" s="112"/>
      <c r="L227" s="124">
        <f>SUM(L220:L226)</f>
        <v>2979.4464</v>
      </c>
      <c r="M227" s="123">
        <f>SUM(M220:M226)</f>
        <v>32.1556536473229</v>
      </c>
      <c r="N227" s="113"/>
      <c r="O227" s="124">
        <f>SUM(O220:O226)</f>
        <v>2556.69212</v>
      </c>
      <c r="P227" s="123">
        <f>SUM(P220:P226)</f>
        <v>25.9070811758388</v>
      </c>
      <c r="Q227" s="114"/>
      <c r="R227" s="124">
        <f>SUM(R220:R226)</f>
        <v>2816.08827</v>
      </c>
      <c r="S227" s="123">
        <f>SUM(S220:S226)</f>
        <v>30.1660179105117</v>
      </c>
      <c r="T227" s="114"/>
      <c r="U227" s="124">
        <f>SUM(U220:U226)</f>
        <v>2742.94486</v>
      </c>
      <c r="V227" s="123">
        <f>SUM(V220:V226)</f>
        <v>36.5277907100623</v>
      </c>
      <c r="W227" s="114"/>
      <c r="X227" s="124">
        <f>SUM(X220:X226)</f>
        <v>2368.5937</v>
      </c>
      <c r="Y227" s="123">
        <f>SUM(Y220:Y226)</f>
        <v>30.4450404246841</v>
      </c>
      <c r="Z227" s="114"/>
      <c r="AA227" s="124">
        <f>SUM(AA220:AA226)</f>
        <v>2153.77898</v>
      </c>
      <c r="AB227" s="123">
        <f>SUM(AB220:AB226)</f>
        <v>36.6214204584098</v>
      </c>
      <c r="AC227" s="114"/>
      <c r="AD227" s="124">
        <f>SUM(AD220:AD226)</f>
        <v>1237.78529</v>
      </c>
      <c r="AE227" s="123">
        <f>SUM(AE220:AE226)</f>
        <v>13.6280942681611</v>
      </c>
      <c r="AF227" s="114"/>
      <c r="AG227" s="124">
        <f>SUM(AG220:AG226)</f>
        <v>2317.46366</v>
      </c>
      <c r="AH227" s="123">
        <f>SUM(AH220:AH226)</f>
        <v>20.771014770731</v>
      </c>
      <c r="AI227" s="114"/>
      <c r="AJ227" s="124">
        <f>SUM(AJ220:AJ226)</f>
        <v>2618.46488</v>
      </c>
      <c r="AK227" s="123">
        <f>SUM(AK220:AK226)</f>
        <v>23.4593333803434</v>
      </c>
      <c r="AL227" s="114"/>
      <c r="AM227" s="124">
        <f>SUM(AM220:AM226)</f>
        <v>1590.43882</v>
      </c>
      <c r="AN227" s="123">
        <f>SUM(AN220:AN226)</f>
        <v>14.24713531956</v>
      </c>
      <c r="AO227" s="114"/>
      <c r="AP227" s="124">
        <f>SUM(AP220:AP226)</f>
        <v>28860.51929</v>
      </c>
      <c r="AQ227" s="123">
        <f>SUM(AQ220:AQ226)</f>
        <v>27.5440776431245</v>
      </c>
    </row>
    <row r="228" spans="1:43">
      <c r="F228" s="29">
        <f t="shared" ref="F228:G228" si="93">SUM(F220:F226)-F227</f>
        <v>0</v>
      </c>
      <c r="G228" s="29">
        <f t="shared" si="93"/>
        <v>0</v>
      </c>
      <c r="I228" s="29">
        <f t="shared" ref="I228:J228" si="94">SUM(I220:I226)-I227</f>
        <v>0</v>
      </c>
      <c r="J228" s="29">
        <f t="shared" si="94"/>
        <v>0</v>
      </c>
      <c r="L228" s="29">
        <f t="shared" ref="L228:M228" si="95">SUM(L220:L226)-L227</f>
        <v>0</v>
      </c>
      <c r="M228" s="29">
        <f t="shared" si="95"/>
        <v>0</v>
      </c>
      <c r="O228" s="29">
        <f t="shared" ref="O228:P228" si="96">SUM(O220:O226)-O227</f>
        <v>0</v>
      </c>
      <c r="P228" s="29">
        <f t="shared" si="96"/>
        <v>0</v>
      </c>
      <c r="R228" s="29">
        <f t="shared" ref="R228:S228" si="97">SUM(R220:R226)-R227</f>
        <v>0</v>
      </c>
      <c r="S228" s="29">
        <f t="shared" si="97"/>
        <v>0</v>
      </c>
      <c r="U228" s="29">
        <f t="shared" ref="U228:V228" si="98">SUM(U220:U226)-U227</f>
        <v>0</v>
      </c>
      <c r="V228" s="29">
        <f t="shared" si="98"/>
        <v>0</v>
      </c>
      <c r="X228" s="29">
        <f t="shared" ref="X228:Y228" si="99">SUM(X220:X226)-X227</f>
        <v>0</v>
      </c>
      <c r="Y228" s="29">
        <f t="shared" si="99"/>
        <v>0</v>
      </c>
      <c r="AA228" s="29">
        <f t="shared" ref="AA228:AB228" si="100">SUM(AA220:AA226)-AA227</f>
        <v>0</v>
      </c>
      <c r="AB228" s="29">
        <f t="shared" si="100"/>
        <v>0</v>
      </c>
      <c r="AD228" s="29">
        <f t="shared" ref="AD228:AE228" si="101">SUM(AD220:AD226)-AD227</f>
        <v>0</v>
      </c>
      <c r="AE228" s="29">
        <f t="shared" si="101"/>
        <v>0</v>
      </c>
      <c r="AG228" s="29">
        <f t="shared" ref="AG228:AH228" si="102">SUM(AG220:AG226)-AG227</f>
        <v>0</v>
      </c>
      <c r="AH228" s="29">
        <f t="shared" si="102"/>
        <v>0</v>
      </c>
      <c r="AJ228" s="29">
        <f t="shared" ref="AJ228:AK228" si="103">SUM(AJ220:AJ226)-AJ227</f>
        <v>0</v>
      </c>
      <c r="AK228" s="29">
        <f t="shared" si="103"/>
        <v>0</v>
      </c>
      <c r="AM228" s="29">
        <f t="shared" ref="AM228:AN228" si="104">SUM(AM220:AM226)-AM227</f>
        <v>0</v>
      </c>
      <c r="AN228" s="29">
        <f t="shared" si="104"/>
        <v>0</v>
      </c>
      <c r="AP228" s="29">
        <f>SUM(AP220:AP226)-AP227</f>
        <v>0</v>
      </c>
      <c r="AQ228" s="29">
        <f t="shared" ref="AQ228" si="105">SUM(AQ220:AQ226)-AQ227</f>
        <v>0</v>
      </c>
    </row>
    <row r="230" spans="1:43">
      <c r="E230" s="125"/>
      <c r="F230" s="126"/>
      <c r="G230" s="127"/>
      <c r="I230" s="126"/>
      <c r="J230" s="127"/>
      <c r="L230" s="126"/>
      <c r="M230" s="127"/>
      <c r="O230" s="126"/>
      <c r="P230" s="127"/>
      <c r="R230" s="126"/>
      <c r="S230" s="127"/>
      <c r="U230" s="126"/>
      <c r="V230" s="127"/>
      <c r="X230" s="126"/>
      <c r="Y230" s="127"/>
      <c r="AA230" s="126"/>
      <c r="AB230" s="127"/>
      <c r="AD230" s="126"/>
      <c r="AE230" s="127"/>
      <c r="AG230" s="126"/>
      <c r="AH230" s="127"/>
      <c r="AJ230" s="126"/>
      <c r="AK230" s="127"/>
      <c r="AM230" s="126"/>
      <c r="AN230" s="127"/>
      <c r="AP230" s="126"/>
      <c r="AQ230" s="127"/>
    </row>
    <row r="231" ht="15" spans="1:43">
      <c r="E231" s="128" t="s">
        <v>68</v>
      </c>
      <c r="F231" s="129">
        <f>F23+F28+F89+F93+F99</f>
        <v>558.57905</v>
      </c>
      <c r="G231" s="130">
        <f>G23+G28+G89+G93+G99</f>
        <v>7.00746499899639</v>
      </c>
      <c r="I231" s="129">
        <f>I23+I28+I89+I93+I99</f>
        <v>498.59539</v>
      </c>
      <c r="J231" s="130">
        <f>J23+J28+J89+J93+J99</f>
        <v>6.07265562389623</v>
      </c>
      <c r="L231" s="129">
        <f>L23+L28+L89+L93+L99</f>
        <v>673.12645</v>
      </c>
      <c r="M231" s="130">
        <f>M23+M28+M89+M93+M99</f>
        <v>7.26471232610596</v>
      </c>
      <c r="O231" s="129">
        <f>O23+O28+O89+O93+O99</f>
        <v>562.19516</v>
      </c>
      <c r="P231" s="130">
        <f>P23+P28+P89+P93+P99</f>
        <v>5.69674992653541</v>
      </c>
      <c r="R231" s="129">
        <f>R23+R28+R89+R93+R99</f>
        <v>633.45452</v>
      </c>
      <c r="S231" s="130">
        <f>S23+S28+S89+S93+S99</f>
        <v>6.78558289503283</v>
      </c>
      <c r="U231" s="129">
        <f>U23+U28+U89+U93+U99</f>
        <v>584.99427</v>
      </c>
      <c r="V231" s="130">
        <f>V23+V28+V89+V93+V99</f>
        <v>7.79036741596974</v>
      </c>
      <c r="X231" s="129">
        <f>X23+X28+X89+X93+X99</f>
        <v>432.35959</v>
      </c>
      <c r="Y231" s="130">
        <f>Y23+Y28+Y89+Y93+Y99</f>
        <v>5.55739264000823</v>
      </c>
      <c r="AA231" s="129">
        <f>AA23+AA28+AA89+AA93+AA99</f>
        <v>524.424849999998</v>
      </c>
      <c r="AB231" s="130">
        <f>AB23+AB28+AB89+AB93+AB99</f>
        <v>8.91697017615449</v>
      </c>
      <c r="AD231" s="129">
        <f>AD23+AD28+AD89+AD93+AD99</f>
        <v>590.99073</v>
      </c>
      <c r="AE231" s="130">
        <f>AE23+AE28+AE89+AE93+AE99</f>
        <v>6.50684528659194</v>
      </c>
      <c r="AG231" s="129">
        <f>AG23+AG28+AG89+AG93+AG99</f>
        <v>530.52343</v>
      </c>
      <c r="AH231" s="130">
        <f>AH23+AH28+AH89+AH93+AH99</f>
        <v>4.75498718316423</v>
      </c>
      <c r="AJ231" s="129">
        <f>AJ23+AJ28+AJ89+AJ93+AJ99</f>
        <v>653.77498</v>
      </c>
      <c r="AK231" s="130">
        <f>AK23+AK28+AK89+AK93+AK99</f>
        <v>5.85688671892497</v>
      </c>
      <c r="AM231" s="129">
        <f>AM23+AM28+AM89+AM93+AM99</f>
        <v>558.24059</v>
      </c>
      <c r="AN231" s="130">
        <f>AN23+AN28+AN89+AN93+AN99</f>
        <v>5.00103552071669</v>
      </c>
      <c r="AP231" s="129">
        <f>AP23+AP28+AP89+AP93+AP99</f>
        <v>6801.25901</v>
      </c>
      <c r="AQ231" s="130">
        <f>AQ23+AQ28+AQ89+AQ93+AQ99</f>
        <v>6.49102687169424</v>
      </c>
    </row>
    <row r="232" ht="15" spans="1:43">
      <c r="E232" s="131" t="s">
        <v>49</v>
      </c>
      <c r="F232" s="132">
        <f>SUM(F14,F84,F91,F95,F107,F115,F130)</f>
        <v>1829.89815</v>
      </c>
      <c r="G232" s="133">
        <f>SUM(G14,G84,G91,G95,G107,G115,G130)</f>
        <v>22.9563698063027</v>
      </c>
      <c r="I232" s="132">
        <f>SUM(I14,I84,I91,I95,I107,I115,I130)</f>
        <v>1686.165</v>
      </c>
      <c r="J232" s="133">
        <f>SUM(J14,J84,J91,J95,J107,J115,J130)</f>
        <v>20.536690822727</v>
      </c>
      <c r="L232" s="132">
        <f>SUM(L14,L84,L91,L95,L107,L115,L130)</f>
        <v>1929.29577</v>
      </c>
      <c r="M232" s="133">
        <f>SUM(M14,M84,M91,M95,M107,M115,M130)</f>
        <v>20.8219105949901</v>
      </c>
      <c r="O232" s="132">
        <f>SUM(O14,O84,O91,O95,O107,O115,O130)</f>
        <v>1539.78751</v>
      </c>
      <c r="P232" s="133">
        <f>SUM(P14,P84,P91,P95,P107,P115,P130)</f>
        <v>15.6027390639091</v>
      </c>
      <c r="R232" s="132">
        <f>SUM(R14,R84,R91,R95,R107,R115,R130)</f>
        <v>1793.76069</v>
      </c>
      <c r="S232" s="133">
        <f>SUM(S14,S84,S91,S95,S107,S115,S130)</f>
        <v>19.214815699549</v>
      </c>
      <c r="U232" s="132">
        <f>SUM(U14,U84,U91,U95,U107,U115,U130)</f>
        <v>1761.29076</v>
      </c>
      <c r="V232" s="133">
        <f>SUM(V14,V84,V91,V95,V107,V115,V130)</f>
        <v>23.4551052042827</v>
      </c>
      <c r="X232" s="132">
        <f>SUM(X14,X84,X91,X95,X107,X115,X130)</f>
        <v>1536.19686</v>
      </c>
      <c r="Y232" s="133">
        <f>SUM(Y14,Y84,Y91,Y95,Y107,Y115,Y130)</f>
        <v>19.7457147264104</v>
      </c>
      <c r="AA232" s="132">
        <f>SUM(AA14,AA84,AA91,AA95,AA107,AA115,AA130)</f>
        <v>1248.85719</v>
      </c>
      <c r="AB232" s="133">
        <f>SUM(AB14,AB84,AB91,AB95,AB107,AB115,AB130)</f>
        <v>21.2347342379106</v>
      </c>
      <c r="AD232" s="132">
        <f>SUM(AD14,AD84,AD91,AD95,AD107,AD115,AD130)</f>
        <v>209.62114</v>
      </c>
      <c r="AE232" s="133">
        <f>SUM(AE14,AE84,AE91,AE95,AE107,AE115,AE130)</f>
        <v>2.30794199898707</v>
      </c>
      <c r="AG232" s="132">
        <f>SUM(AG14,AG84,AG91,AG95,AG107,AG115,AG130)</f>
        <v>1378.51041</v>
      </c>
      <c r="AH232" s="133">
        <f>SUM(AH14,AH84,AH91,AH95,AH107,AH115,AH130)</f>
        <v>12.3553437242319</v>
      </c>
      <c r="AJ232" s="132">
        <f>SUM(AJ14,AJ84,AJ91,AJ95,AJ107,AJ115,AJ130)</f>
        <v>1579.01164</v>
      </c>
      <c r="AK232" s="133">
        <f>SUM(AK14,AK84,AK91,AK95,AK107,AK115,AK130)</f>
        <v>14.1456809854423</v>
      </c>
      <c r="AM232" s="132">
        <f>SUM(AM14,AM84,AM91,AM95,AM107,AM115,AM130)</f>
        <v>1247.63735</v>
      </c>
      <c r="AN232" s="133">
        <f>SUM(AN14,AN84,AN91,AN95,AN107,AN115,AN130)</f>
        <v>11.1770423292273</v>
      </c>
      <c r="AP232" s="132">
        <f>SUM(AP14,AP84,AP91,AP95,AP107,AP115,AP130)</f>
        <v>17740.03247</v>
      </c>
      <c r="AQ232" s="133">
        <f>SUM(AQ14,AQ84,AQ91,AQ95,AQ107,AQ115,AQ130)</f>
        <v>16.9308399074627</v>
      </c>
    </row>
    <row r="233" spans="1:43">
      <c r="E233" s="134" t="s">
        <v>386</v>
      </c>
      <c r="F233" s="135">
        <f>F226</f>
        <v>397.89523</v>
      </c>
      <c r="G233" s="136">
        <f>G226</f>
        <v>4.99166035226817</v>
      </c>
      <c r="I233" s="135">
        <f>I226</f>
        <v>507.54742</v>
      </c>
      <c r="J233" s="136">
        <f>J226</f>
        <v>6.1816871079715</v>
      </c>
      <c r="L233" s="135">
        <f>L226</f>
        <v>377.02418</v>
      </c>
      <c r="M233" s="136">
        <f>M226</f>
        <v>4.06903072622684</v>
      </c>
      <c r="O233" s="135">
        <f>O226</f>
        <v>454.70945</v>
      </c>
      <c r="P233" s="136">
        <f>P226</f>
        <v>4.60759218539423</v>
      </c>
      <c r="R233" s="135">
        <f>R226</f>
        <v>388.87306</v>
      </c>
      <c r="S233" s="136">
        <f>S226</f>
        <v>4.16561931592986</v>
      </c>
      <c r="U233" s="135">
        <f>U226</f>
        <v>396.65983</v>
      </c>
      <c r="V233" s="136">
        <f>V226</f>
        <v>5.28231808980983</v>
      </c>
      <c r="X233" s="135">
        <f>X226</f>
        <v>400.03725</v>
      </c>
      <c r="Y233" s="136">
        <f>Y226</f>
        <v>5.14193305826553</v>
      </c>
      <c r="AA233" s="135">
        <f>AA226</f>
        <v>380.49694</v>
      </c>
      <c r="AB233" s="136">
        <f>AB226</f>
        <v>6.46971604434469</v>
      </c>
      <c r="AD233" s="135">
        <f>AD226</f>
        <v>437.17342</v>
      </c>
      <c r="AE233" s="136">
        <f>AE226</f>
        <v>4.81330698258208</v>
      </c>
      <c r="AG233" s="135">
        <f>AG226</f>
        <v>408.42982</v>
      </c>
      <c r="AH233" s="136">
        <f>AH226</f>
        <v>3.66068386333489</v>
      </c>
      <c r="AJ233" s="135">
        <f>AJ226</f>
        <v>385.67826</v>
      </c>
      <c r="AK233" s="136">
        <f>AK226</f>
        <v>3.45676567597605</v>
      </c>
      <c r="AM233" s="135">
        <f>AM226</f>
        <v>-215.43912</v>
      </c>
      <c r="AN233" s="136">
        <f>AN226</f>
        <v>-1.93094253038397</v>
      </c>
      <c r="AP233" s="135">
        <f>AP226</f>
        <v>4319.22781</v>
      </c>
      <c r="AQ233" s="136">
        <f>AQ226</f>
        <v>4.12221086396754</v>
      </c>
    </row>
    <row r="234" spans="1:43">
      <c r="E234" s="137"/>
      <c r="F234" s="138"/>
      <c r="G234" s="139"/>
      <c r="I234" s="138"/>
      <c r="J234" s="139"/>
      <c r="L234" s="138"/>
      <c r="M234" s="139"/>
      <c r="O234" s="138"/>
      <c r="P234" s="139"/>
      <c r="R234" s="138"/>
      <c r="S234" s="139"/>
      <c r="U234" s="138"/>
      <c r="V234" s="139"/>
      <c r="X234" s="138"/>
      <c r="Y234" s="139"/>
      <c r="AA234" s="138"/>
      <c r="AB234" s="139"/>
      <c r="AD234" s="138"/>
      <c r="AE234" s="139"/>
      <c r="AG234" s="138"/>
      <c r="AH234" s="139"/>
      <c r="AJ234" s="138"/>
      <c r="AK234" s="139"/>
      <c r="AM234" s="138"/>
      <c r="AN234" s="139"/>
      <c r="AP234" s="138"/>
      <c r="AQ234" s="139"/>
    </row>
    <row r="235" ht="15" spans="1:43">
      <c r="E235" s="140" t="s">
        <v>387</v>
      </c>
      <c r="F235" s="141">
        <f>SUM(F230:F234)</f>
        <v>2786.37243</v>
      </c>
      <c r="G235" s="142">
        <f>SUM(G230:G234)</f>
        <v>34.9554951575672</v>
      </c>
      <c r="I235" s="141">
        <f>SUM(I230:I234)</f>
        <v>2692.30781</v>
      </c>
      <c r="J235" s="142">
        <f>SUM(J230:J234)</f>
        <v>32.7910335545947</v>
      </c>
      <c r="L235" s="141">
        <f>SUM(L230:L234)</f>
        <v>2979.4464</v>
      </c>
      <c r="M235" s="142">
        <f>SUM(M230:M234)</f>
        <v>32.1556536473229</v>
      </c>
      <c r="O235" s="141">
        <f>SUM(O230:O234)</f>
        <v>2556.69212</v>
      </c>
      <c r="P235" s="142">
        <f>SUM(P230:P234)</f>
        <v>25.9070811758388</v>
      </c>
      <c r="R235" s="141">
        <f>SUM(R230:R234)</f>
        <v>2816.08827</v>
      </c>
      <c r="S235" s="142">
        <f>SUM(S230:S234)</f>
        <v>30.1660179105117</v>
      </c>
      <c r="U235" s="141">
        <f>SUM(U230:U234)</f>
        <v>2742.94486</v>
      </c>
      <c r="V235" s="143">
        <f>SUM(V230:V234)</f>
        <v>36.5277907100623</v>
      </c>
      <c r="X235" s="141">
        <f>SUM(X230:X234)</f>
        <v>2368.5937</v>
      </c>
      <c r="Y235" s="143">
        <f>SUM(Y230:Y234)</f>
        <v>30.4450404246841</v>
      </c>
      <c r="AA235" s="141">
        <f>SUM(AA230:AA234)</f>
        <v>2153.77898</v>
      </c>
      <c r="AB235" s="143">
        <f>SUM(AB230:AB234)</f>
        <v>36.6214204584098</v>
      </c>
      <c r="AD235" s="141">
        <f>SUM(AD230:AD234)</f>
        <v>1237.78529</v>
      </c>
      <c r="AE235" s="143">
        <f>SUM(AE230:AE234)</f>
        <v>13.6280942681611</v>
      </c>
      <c r="AG235" s="141">
        <f>SUM(AG230:AG234)</f>
        <v>2317.46366</v>
      </c>
      <c r="AH235" s="143">
        <f>SUM(AH230:AH234)</f>
        <v>20.771014770731</v>
      </c>
      <c r="AJ235" s="141">
        <f>SUM(AJ230:AJ234)</f>
        <v>2618.46488</v>
      </c>
      <c r="AK235" s="143">
        <f>SUM(AK230:AK234)</f>
        <v>23.4593333803434</v>
      </c>
      <c r="AM235" s="141">
        <f>SUM(AM230:AM234)</f>
        <v>1590.43882</v>
      </c>
      <c r="AN235" s="143">
        <f>SUM(AN230:AN234)</f>
        <v>14.24713531956</v>
      </c>
      <c r="AP235" s="141">
        <f>SUM(AP230:AP234)</f>
        <v>28860.51929</v>
      </c>
      <c r="AQ235" s="143">
        <f>SUM(AQ230:AQ234)</f>
        <v>27.5440776431245</v>
      </c>
    </row>
    <row r="236" spans="1:43">
      <c r="U236" s="72"/>
      <c r="X236" s="72"/>
      <c r="AA236" s="72"/>
      <c r="AD236" s="72"/>
      <c r="AG236" s="72"/>
      <c r="AJ236" s="72"/>
      <c r="AM236" s="72"/>
      <c r="AP236" s="72"/>
    </row>
    <row r="237" s="8" customFormat="1" spans="1:43">
      <c r="A237" s="144"/>
      <c r="B237" s="99"/>
      <c r="C237" s="99"/>
      <c r="D237" s="99"/>
      <c r="E237" t="s">
        <v>388</v>
      </c>
      <c r="F237" s="145">
        <f>+F235*1000</f>
        <v>2786372.43</v>
      </c>
      <c r="G237" s="145"/>
      <c r="H237" s="146"/>
      <c r="I237" s="145">
        <f>+I235*1000</f>
        <v>2692307.81</v>
      </c>
      <c r="J237" s="145"/>
      <c r="K237" s="146"/>
      <c r="L237" s="145">
        <f>+L235*1000</f>
        <v>2979446.4</v>
      </c>
      <c r="M237" s="145"/>
      <c r="N237" s="147"/>
      <c r="O237" s="145">
        <f>+O235*1000</f>
        <v>2556692.12</v>
      </c>
      <c r="P237" s="145"/>
      <c r="Q237" s="147"/>
      <c r="R237" s="145">
        <f>+R235*1000</f>
        <v>2816088.27</v>
      </c>
      <c r="S237" s="145"/>
      <c r="T237" s="147"/>
      <c r="U237" s="145">
        <f>+U235*1000</f>
        <v>2742944.86</v>
      </c>
      <c r="V237" s="145"/>
      <c r="W237" s="147"/>
      <c r="X237" s="145">
        <f>+X235*1000</f>
        <v>2368593.7</v>
      </c>
      <c r="Y237" s="145"/>
      <c r="Z237" s="147"/>
      <c r="AA237" s="145">
        <f>+AA235*1000</f>
        <v>2153778.98</v>
      </c>
      <c r="AB237" s="145"/>
      <c r="AC237" s="147"/>
      <c r="AD237" s="145">
        <f>+AD235*1000</f>
        <v>1237785.29</v>
      </c>
      <c r="AE237" s="145"/>
      <c r="AF237" s="147"/>
      <c r="AG237" s="145">
        <f>+AG235*1000</f>
        <v>2317463.66</v>
      </c>
      <c r="AH237" s="72"/>
      <c r="AJ237" s="145">
        <f>+AJ235*1000</f>
        <v>2618464.88</v>
      </c>
      <c r="AK237" s="72"/>
      <c r="AM237" s="145">
        <f>+AM235*1000</f>
        <v>1590438.82</v>
      </c>
      <c r="AN237" s="72"/>
      <c r="AP237" s="145">
        <f>+AP235*1000</f>
        <v>28860519.29</v>
      </c>
      <c r="AQ237" s="72"/>
    </row>
    <row r="238" spans="1:43">
      <c r="E238" t="s">
        <v>389</v>
      </c>
      <c r="F238" s="145">
        <v>93114252.5499997</v>
      </c>
      <c r="G238" s="145"/>
      <c r="H238" s="146"/>
      <c r="I238" s="145">
        <v>92491959.6799998</v>
      </c>
      <c r="J238" s="145"/>
      <c r="K238" s="146"/>
      <c r="L238" s="145">
        <v>106992941.72</v>
      </c>
      <c r="M238" s="145"/>
      <c r="N238" s="147"/>
      <c r="O238" s="145">
        <v>100402885.25</v>
      </c>
      <c r="P238" s="145"/>
      <c r="Q238" s="147"/>
      <c r="R238" s="145">
        <v>114712122.509999</v>
      </c>
      <c r="S238" s="145"/>
      <c r="T238" s="147"/>
      <c r="U238" s="145">
        <v>100743425.66</v>
      </c>
      <c r="V238" s="145"/>
      <c r="W238" s="147"/>
      <c r="X238" s="145">
        <v>95323189.9100006</v>
      </c>
      <c r="Y238" s="145"/>
      <c r="Z238" s="147"/>
      <c r="AA238" s="145">
        <v>115142433.659999</v>
      </c>
      <c r="AB238" s="145"/>
      <c r="AC238" s="147"/>
      <c r="AD238" s="145">
        <v>97795115.8799999</v>
      </c>
      <c r="AE238" s="145"/>
      <c r="AF238" s="147"/>
      <c r="AG238" s="145">
        <v>99565675.1500001</v>
      </c>
      <c r="AJ238" s="145">
        <v>106340479.28</v>
      </c>
      <c r="AM238" s="145">
        <v>106340479.28</v>
      </c>
      <c r="AP238" s="145">
        <f>+F238+I238+L238+O238+R238+U238+X238+AA238+AD238+AG238+AJ238</f>
        <v>1122624481.25</v>
      </c>
    </row>
    <row r="239" spans="1:43">
      <c r="F239" s="29"/>
      <c r="I239" s="72"/>
      <c r="J239" s="148"/>
      <c r="L239" s="72"/>
      <c r="M239" s="148"/>
      <c r="O239" s="72"/>
      <c r="P239" s="148"/>
      <c r="R239" s="72"/>
      <c r="S239" s="148"/>
      <c r="U239" s="72"/>
      <c r="V239" s="148"/>
      <c r="X239" s="72"/>
      <c r="Y239" s="148"/>
      <c r="AA239" s="72"/>
      <c r="AB239" s="148"/>
      <c r="AD239" s="72"/>
      <c r="AE239" s="148"/>
      <c r="AG239" s="72"/>
      <c r="AH239" s="148"/>
      <c r="AJ239" s="72"/>
      <c r="AK239" s="148"/>
      <c r="AM239" s="72"/>
      <c r="AN239" s="148"/>
      <c r="AP239" s="72"/>
      <c r="AQ239" s="148"/>
    </row>
    <row r="240" spans="1:43">
      <c r="E240" t="s">
        <v>390</v>
      </c>
      <c r="F240" s="149">
        <f>+F238/F237</f>
        <v>33.4177339495136</v>
      </c>
      <c r="G240" s="149"/>
      <c r="I240" s="149">
        <f>+I238/I237</f>
        <v>34.354154950804</v>
      </c>
      <c r="J240" s="149"/>
      <c r="L240" s="149">
        <f>+L238/L237</f>
        <v>35.910342847584</v>
      </c>
      <c r="O240" s="149">
        <f>+O238/O237</f>
        <v>39.2706202145294</v>
      </c>
      <c r="R240" s="149">
        <f>+R238/R237</f>
        <v>40.7345620987937</v>
      </c>
      <c r="U240" s="149">
        <f>+U238/U237</f>
        <v>36.7281993630744</v>
      </c>
      <c r="X240" s="149">
        <f>+X238/X237</f>
        <v>40.2446354180544</v>
      </c>
      <c r="AA240" s="149">
        <f>+AA238/AA237</f>
        <v>53.4606543796796</v>
      </c>
      <c r="AD240" s="149">
        <f>+AD238/AD237</f>
        <v>79.0081419371205</v>
      </c>
      <c r="AG240" s="149">
        <f>+AG238/AG237</f>
        <v>42.9632088168321</v>
      </c>
      <c r="AJ240" s="149">
        <f>+AJ238/AJ237</f>
        <v>40.6117645847518</v>
      </c>
      <c r="AM240" s="149">
        <f>+AM238/AM237</f>
        <v>66.862351410663</v>
      </c>
      <c r="AP240" s="149">
        <f>+AP238/AP237</f>
        <v>38.898277261386</v>
      </c>
    </row>
    <row r="241" spans="1:43">
      <c r="F241" s="150"/>
      <c r="I241" s="72"/>
      <c r="L241" s="72"/>
      <c r="O241" s="72"/>
      <c r="Q241" s="12"/>
      <c r="R241" s="72"/>
      <c r="U241" s="72"/>
      <c r="X241" s="72"/>
      <c r="AA241" s="72"/>
      <c r="AD241" s="72"/>
      <c r="AG241" s="72"/>
      <c r="AJ241" s="72"/>
      <c r="AM241" s="72"/>
      <c r="AP241" s="72"/>
    </row>
    <row r="242" spans="1:43">
      <c r="F242" s="72"/>
    </row>
    <row r="243" spans="1:43">
      <c r="F243" s="149"/>
      <c r="I243" s="72"/>
      <c r="L243" s="72"/>
      <c r="O243" s="72"/>
      <c r="R243" s="72"/>
      <c r="U243" s="72"/>
      <c r="X243" s="72"/>
      <c r="AA243" s="72"/>
      <c r="AD243" s="72"/>
      <c r="AG243" s="72"/>
      <c r="AJ243" s="72"/>
      <c r="AM243" s="72"/>
      <c r="AP243" s="72"/>
    </row>
    <row r="244" spans="1:43">
      <c r="F244" s="72"/>
    </row>
    <row r="245" ht="18.75" spans="1:43">
      <c r="B245" s="151" t="s">
        <v>391</v>
      </c>
      <c r="C245" s="151"/>
      <c r="D245" s="151"/>
      <c r="E245" s="151"/>
      <c r="F245" s="72"/>
    </row>
    <row r="246" spans="1:43">
      <c r="A246" s="56" t="s">
        <v>28</v>
      </c>
      <c r="B246" s="28">
        <v>6666110101</v>
      </c>
      <c r="C246" s="28" t="s">
        <v>29</v>
      </c>
      <c r="D246" s="28" t="s">
        <v>392</v>
      </c>
      <c r="E246" s="28" t="s">
        <v>31</v>
      </c>
      <c r="F246" s="152">
        <v>31.8586689010861</v>
      </c>
      <c r="G246" s="127"/>
      <c r="I246" s="152">
        <v>29.4862897777778</v>
      </c>
      <c r="J246" s="127"/>
      <c r="L246" s="152">
        <v>40.3518173297177</v>
      </c>
      <c r="M246" s="127"/>
      <c r="O246" s="152">
        <v>33.6868297777778</v>
      </c>
      <c r="P246" s="127"/>
      <c r="R246" s="152">
        <v>35.1998789329266</v>
      </c>
      <c r="S246" s="127"/>
      <c r="U246" s="152">
        <v>62.9749541868165</v>
      </c>
      <c r="V246" s="127"/>
      <c r="X246" s="152">
        <v>37.8456687932998</v>
      </c>
      <c r="Y246" s="127"/>
      <c r="AA246" s="152">
        <v>38.2329660567641</v>
      </c>
      <c r="AB246" s="127"/>
      <c r="AD246" s="152">
        <v>37.7932162981442</v>
      </c>
      <c r="AE246" s="127"/>
      <c r="AG246" s="152">
        <v>39.0997317382123</v>
      </c>
      <c r="AH246" s="127"/>
      <c r="AJ246" s="152">
        <v>38.0671770096624</v>
      </c>
      <c r="AK246" s="127"/>
      <c r="AM246" s="152">
        <v>39.9852626673271</v>
      </c>
      <c r="AN246" s="127"/>
      <c r="AP246" s="152">
        <f t="shared" ref="AP246:AP254" si="106">I246+F246+L246+O246+R246+U246+X246+AA246+AD246+AG246+AJ246+AM246</f>
        <v>464.582461469512</v>
      </c>
      <c r="AQ246" s="127"/>
    </row>
    <row r="247" spans="1:43">
      <c r="A247" s="56" t="s">
        <v>28</v>
      </c>
      <c r="B247" s="28">
        <v>6666110106</v>
      </c>
      <c r="C247" s="28" t="s">
        <v>32</v>
      </c>
      <c r="D247" s="28" t="s">
        <v>393</v>
      </c>
      <c r="E247" s="28" t="s">
        <v>31</v>
      </c>
      <c r="F247" s="32">
        <v>0</v>
      </c>
      <c r="G247" s="153"/>
      <c r="I247" s="32">
        <v>0</v>
      </c>
      <c r="J247" s="153"/>
      <c r="L247" s="32">
        <v>0</v>
      </c>
      <c r="M247" s="153"/>
      <c r="O247" s="32">
        <v>0</v>
      </c>
      <c r="P247" s="153"/>
      <c r="R247" s="32">
        <v>0</v>
      </c>
      <c r="S247" s="153"/>
      <c r="U247" s="32">
        <v>0</v>
      </c>
      <c r="V247" s="153"/>
      <c r="X247" s="32">
        <v>0</v>
      </c>
      <c r="Y247" s="153"/>
      <c r="AA247" s="32">
        <v>0</v>
      </c>
      <c r="AB247" s="153"/>
      <c r="AD247" s="32">
        <v>0</v>
      </c>
      <c r="AE247" s="153"/>
      <c r="AG247" s="32">
        <v>0</v>
      </c>
      <c r="AH247" s="153"/>
      <c r="AJ247" s="32">
        <v>0</v>
      </c>
      <c r="AK247" s="153"/>
      <c r="AM247" s="32">
        <v>0</v>
      </c>
      <c r="AN247" s="153"/>
      <c r="AP247" s="32">
        <f t="shared" si="106"/>
        <v>0</v>
      </c>
      <c r="AQ247" s="153"/>
    </row>
    <row r="248" spans="1:43">
      <c r="A248" s="56" t="s">
        <v>28</v>
      </c>
      <c r="B248" s="28">
        <v>6666110107</v>
      </c>
      <c r="C248" s="28" t="s">
        <v>34</v>
      </c>
      <c r="D248" s="28" t="s">
        <v>394</v>
      </c>
      <c r="E248" s="28" t="s">
        <v>31</v>
      </c>
      <c r="F248" s="32">
        <v>113.016827712729</v>
      </c>
      <c r="G248" s="153"/>
      <c r="I248" s="32">
        <v>95.2920575555556</v>
      </c>
      <c r="J248" s="153"/>
      <c r="L248" s="32">
        <v>85.3859620186184</v>
      </c>
      <c r="M248" s="153"/>
      <c r="O248" s="32">
        <v>96.6659775555555</v>
      </c>
      <c r="P248" s="153"/>
      <c r="R248" s="32">
        <v>96.8856778980973</v>
      </c>
      <c r="S248" s="153"/>
      <c r="U248" s="32">
        <v>141.238915230783</v>
      </c>
      <c r="V248" s="153"/>
      <c r="X248" s="32">
        <v>105.265789279747</v>
      </c>
      <c r="Y248" s="153"/>
      <c r="AA248" s="32">
        <v>106.004662247049</v>
      </c>
      <c r="AB248" s="153"/>
      <c r="AD248" s="32">
        <v>107.095209132002</v>
      </c>
      <c r="AE248" s="153"/>
      <c r="AG248" s="32">
        <v>97.7027231230343</v>
      </c>
      <c r="AH248" s="153"/>
      <c r="AJ248" s="32">
        <v>97.6229919491602</v>
      </c>
      <c r="AK248" s="153"/>
      <c r="AM248" s="32">
        <v>99.5059223899578</v>
      </c>
      <c r="AN248" s="153"/>
      <c r="AP248" s="32">
        <f t="shared" si="106"/>
        <v>1241.68271609229</v>
      </c>
      <c r="AQ248" s="153"/>
    </row>
    <row r="249" spans="1:43">
      <c r="A249" s="56" t="s">
        <v>28</v>
      </c>
      <c r="B249" s="28">
        <v>6666110110</v>
      </c>
      <c r="C249" s="28" t="s">
        <v>36</v>
      </c>
      <c r="D249" s="28" t="s">
        <v>395</v>
      </c>
      <c r="E249" s="28" t="s">
        <v>31</v>
      </c>
      <c r="F249" s="32">
        <v>188.684624696953</v>
      </c>
      <c r="G249" s="153"/>
      <c r="I249" s="32">
        <v>171.654895333333</v>
      </c>
      <c r="J249" s="153"/>
      <c r="L249" s="32">
        <v>262.072997049213</v>
      </c>
      <c r="M249" s="153"/>
      <c r="O249" s="32">
        <v>201.476655333333</v>
      </c>
      <c r="P249" s="153"/>
      <c r="R249" s="32">
        <v>197.194743429853</v>
      </c>
      <c r="S249" s="153"/>
      <c r="U249" s="32">
        <v>325.656422819023</v>
      </c>
      <c r="V249" s="153"/>
      <c r="X249" s="32">
        <v>216.683762622197</v>
      </c>
      <c r="Y249" s="153"/>
      <c r="AA249" s="32">
        <v>226.985940268157</v>
      </c>
      <c r="AB249" s="153"/>
      <c r="AD249" s="32">
        <v>218.906210780862</v>
      </c>
      <c r="AE249" s="153"/>
      <c r="AG249" s="32">
        <v>215.045004468292</v>
      </c>
      <c r="AH249" s="153"/>
      <c r="AJ249" s="32">
        <v>211.426037992751</v>
      </c>
      <c r="AK249" s="153"/>
      <c r="AM249" s="32">
        <v>221.272673959515</v>
      </c>
      <c r="AN249" s="153"/>
      <c r="AP249" s="32">
        <f t="shared" si="106"/>
        <v>2657.05996875348</v>
      </c>
      <c r="AQ249" s="153"/>
    </row>
    <row r="250" spans="1:43">
      <c r="A250" s="56" t="s">
        <v>28</v>
      </c>
      <c r="B250" s="28">
        <v>6666110112</v>
      </c>
      <c r="C250" s="28" t="s">
        <v>38</v>
      </c>
      <c r="D250" s="28" t="s">
        <v>396</v>
      </c>
      <c r="E250" s="28" t="s">
        <v>31</v>
      </c>
      <c r="F250" s="32">
        <v>10.4062380666318</v>
      </c>
      <c r="G250" s="153"/>
      <c r="I250" s="32">
        <v>11.1484548888889</v>
      </c>
      <c r="J250" s="153"/>
      <c r="L250" s="32">
        <v>16.2808549669565</v>
      </c>
      <c r="M250" s="153"/>
      <c r="O250" s="32">
        <v>11.8431048888889</v>
      </c>
      <c r="P250" s="153"/>
      <c r="R250" s="32">
        <v>15.909393528321</v>
      </c>
      <c r="S250" s="153"/>
      <c r="U250" s="32">
        <v>30.4879006320994</v>
      </c>
      <c r="V250" s="153"/>
      <c r="X250" s="32">
        <v>18.8195690239126</v>
      </c>
      <c r="Y250" s="153"/>
      <c r="AA250" s="32">
        <v>20.1134727978686</v>
      </c>
      <c r="AB250" s="153"/>
      <c r="AD250" s="32">
        <v>19.8994816267112</v>
      </c>
      <c r="AE250" s="153"/>
      <c r="AG250" s="32">
        <v>20.0525156150896</v>
      </c>
      <c r="AH250" s="153"/>
      <c r="AJ250" s="32">
        <v>19.9150704842629</v>
      </c>
      <c r="AK250" s="153"/>
      <c r="AM250" s="32">
        <v>20.7585201916169</v>
      </c>
      <c r="AN250" s="153"/>
      <c r="AP250" s="32">
        <f t="shared" si="106"/>
        <v>215.634576711248</v>
      </c>
      <c r="AQ250" s="153"/>
    </row>
    <row r="251" spans="1:43">
      <c r="A251" s="56" t="s">
        <v>28</v>
      </c>
      <c r="B251" s="28">
        <v>6666110204</v>
      </c>
      <c r="C251" s="28" t="s">
        <v>40</v>
      </c>
      <c r="D251" s="28" t="s">
        <v>397</v>
      </c>
      <c r="E251" s="28" t="s">
        <v>31</v>
      </c>
      <c r="F251" s="32">
        <v>-0.185451434019981</v>
      </c>
      <c r="G251" s="153"/>
      <c r="I251" s="32">
        <v>0.659793333333333</v>
      </c>
      <c r="J251" s="153"/>
      <c r="L251" s="32">
        <v>0.659823333333333</v>
      </c>
      <c r="M251" s="153"/>
      <c r="O251" s="32">
        <v>0.659813333333333</v>
      </c>
      <c r="P251" s="153"/>
      <c r="R251" s="32">
        <v>0.600316139554427</v>
      </c>
      <c r="S251" s="153"/>
      <c r="U251" s="32">
        <v>1.27720701181128</v>
      </c>
      <c r="V251" s="153"/>
      <c r="X251" s="32">
        <v>0.750772644119744</v>
      </c>
      <c r="Y251" s="153"/>
      <c r="AA251" s="32">
        <v>0.77312611108187</v>
      </c>
      <c r="AB251" s="153"/>
      <c r="AD251" s="32">
        <v>0.814917036958922</v>
      </c>
      <c r="AE251" s="153"/>
      <c r="AG251" s="32">
        <v>0.822677544222564</v>
      </c>
      <c r="AH251" s="153"/>
      <c r="AJ251" s="32">
        <v>0.831247535405434</v>
      </c>
      <c r="AK251" s="153"/>
      <c r="AM251" s="32">
        <v>0.874072953001331</v>
      </c>
      <c r="AN251" s="153"/>
      <c r="AP251" s="32">
        <f t="shared" si="106"/>
        <v>8.53831554213559</v>
      </c>
      <c r="AQ251" s="153"/>
    </row>
    <row r="252" spans="1:43">
      <c r="A252" s="56" t="s">
        <v>28</v>
      </c>
      <c r="B252" s="28">
        <v>6666110207</v>
      </c>
      <c r="C252" s="28" t="s">
        <v>42</v>
      </c>
      <c r="D252" s="28" t="s">
        <v>398</v>
      </c>
      <c r="E252" s="28" t="s">
        <v>31</v>
      </c>
      <c r="F252" s="32">
        <v>18.4695983851654</v>
      </c>
      <c r="G252" s="153"/>
      <c r="I252" s="32">
        <v>16.2838722222222</v>
      </c>
      <c r="J252" s="153"/>
      <c r="L252" s="32">
        <v>8.60249445515996</v>
      </c>
      <c r="M252" s="153"/>
      <c r="O252" s="32">
        <v>11.0384822222222</v>
      </c>
      <c r="P252" s="153"/>
      <c r="R252" s="32">
        <v>11.1231830363455</v>
      </c>
      <c r="S252" s="153"/>
      <c r="U252" s="32">
        <v>19.8135833775878</v>
      </c>
      <c r="V252" s="153"/>
      <c r="X252" s="32">
        <v>10.417772884204</v>
      </c>
      <c r="Y252" s="153"/>
      <c r="AA252" s="32">
        <v>11.2569578874823</v>
      </c>
      <c r="AB252" s="153"/>
      <c r="AD252" s="32">
        <v>-7.65889826139278</v>
      </c>
      <c r="AE252" s="153"/>
      <c r="AG252" s="32">
        <v>10.0198915975382</v>
      </c>
      <c r="AH252" s="153"/>
      <c r="AJ252" s="32">
        <v>10.5349120200938</v>
      </c>
      <c r="AK252" s="153"/>
      <c r="AM252" s="32">
        <v>10.88541537698</v>
      </c>
      <c r="AN252" s="153"/>
      <c r="AP252" s="32">
        <f t="shared" si="106"/>
        <v>130.787265203609</v>
      </c>
      <c r="AQ252" s="153"/>
    </row>
    <row r="253" spans="1:43">
      <c r="A253" s="56" t="s">
        <v>28</v>
      </c>
      <c r="B253" s="28">
        <v>6666110506</v>
      </c>
      <c r="C253" s="28" t="s">
        <v>44</v>
      </c>
      <c r="D253" s="28" t="s">
        <v>399</v>
      </c>
      <c r="E253" s="28" t="s">
        <v>31</v>
      </c>
      <c r="F253" s="32">
        <v>4.23161809112867</v>
      </c>
      <c r="G253" s="153"/>
      <c r="I253" s="32">
        <v>2.27758622222222</v>
      </c>
      <c r="J253" s="153"/>
      <c r="L253" s="32">
        <v>5.32506164808528</v>
      </c>
      <c r="M253" s="153"/>
      <c r="O253" s="32">
        <v>2.47189622222222</v>
      </c>
      <c r="P253" s="153"/>
      <c r="R253" s="32">
        <v>2.55165854380372</v>
      </c>
      <c r="S253" s="153"/>
      <c r="U253" s="32">
        <v>2.46344794292222</v>
      </c>
      <c r="V253" s="153"/>
      <c r="X253" s="32">
        <v>2.56307751668139</v>
      </c>
      <c r="Y253" s="153"/>
      <c r="AA253" s="32">
        <v>2.5401105917896</v>
      </c>
      <c r="AB253" s="153"/>
      <c r="AD253" s="32">
        <v>2.47051008742314</v>
      </c>
      <c r="AE253" s="153"/>
      <c r="AG253" s="32">
        <v>2.55343640944209</v>
      </c>
      <c r="AH253" s="153"/>
      <c r="AJ253" s="32">
        <v>2.47473440197338</v>
      </c>
      <c r="AK253" s="153"/>
      <c r="AM253" s="32">
        <v>2.56713272406168</v>
      </c>
      <c r="AN253" s="153"/>
      <c r="AP253" s="32">
        <f t="shared" si="106"/>
        <v>34.4902704017556</v>
      </c>
      <c r="AQ253" s="153"/>
    </row>
    <row r="254" spans="1:43">
      <c r="A254" s="56" t="s">
        <v>28</v>
      </c>
      <c r="B254" s="28">
        <v>6666110206</v>
      </c>
      <c r="C254" s="45" t="s">
        <v>400</v>
      </c>
      <c r="D254" s="45" t="s">
        <v>401</v>
      </c>
      <c r="E254" s="28" t="s">
        <v>31</v>
      </c>
      <c r="F254" s="32">
        <v>0.0973855803266722</v>
      </c>
      <c r="G254" s="153"/>
      <c r="I254" s="32">
        <v>0.0527651111111111</v>
      </c>
      <c r="J254" s="153"/>
      <c r="L254" s="32">
        <v>0.125413643360694</v>
      </c>
      <c r="M254" s="153"/>
      <c r="O254" s="32">
        <v>0.0579251111111111</v>
      </c>
      <c r="P254" s="153"/>
      <c r="R254" s="32">
        <v>0.0787039387268559</v>
      </c>
      <c r="S254" s="153"/>
      <c r="U254" s="32">
        <v>0.0967272335286615</v>
      </c>
      <c r="V254" s="153"/>
      <c r="X254" s="32">
        <v>0.0828212361786585</v>
      </c>
      <c r="Y254" s="153"/>
      <c r="AA254" s="32">
        <v>0.0834537900514334</v>
      </c>
      <c r="AB254" s="153"/>
      <c r="AD254" s="32">
        <v>0.0825823895470183</v>
      </c>
      <c r="AE254" s="153"/>
      <c r="AG254" s="32">
        <v>0.0847994114408616</v>
      </c>
      <c r="AH254" s="153"/>
      <c r="AJ254" s="32">
        <v>0.0830450308033413</v>
      </c>
      <c r="AK254" s="153"/>
      <c r="AM254" s="32">
        <v>0.086196406808153</v>
      </c>
      <c r="AN254" s="153"/>
      <c r="AP254" s="32">
        <f t="shared" si="106"/>
        <v>1.01181888299457</v>
      </c>
      <c r="AQ254" s="153"/>
    </row>
    <row r="255" spans="1:43">
      <c r="F255" s="154">
        <f>SUM(F246:F254)</f>
        <v>366.57951</v>
      </c>
      <c r="G255" s="80">
        <f>F255/$F$1*1000</f>
        <v>4.59879955339221</v>
      </c>
      <c r="I255" s="79">
        <f>SUM(I246:I254)</f>
        <v>326.855714444444</v>
      </c>
      <c r="J255" s="80">
        <f>I255/$I$1*1000</f>
        <v>3.98094774306613</v>
      </c>
      <c r="L255" s="79">
        <f>SUM(L246:L254)</f>
        <v>418.804424444444</v>
      </c>
      <c r="M255" s="80">
        <f>L255/$L$1*1000</f>
        <v>4.51994371115452</v>
      </c>
      <c r="O255" s="79">
        <f>SUM(O246:O254)</f>
        <v>357.900684444444</v>
      </c>
      <c r="P255" s="80">
        <f>O255/$O$1*1000</f>
        <v>3.62662442312001</v>
      </c>
      <c r="R255" s="79">
        <f>SUM(R246:R254)</f>
        <v>359.543555447628</v>
      </c>
      <c r="S255" s="80">
        <f>R255/$R$1*1000</f>
        <v>3.85144082619336</v>
      </c>
      <c r="U255" s="79">
        <f>SUM(U246:U254)</f>
        <v>584.009158434571</v>
      </c>
      <c r="V255" s="155">
        <f>U255/$U$1*1000</f>
        <v>7.7772486874044</v>
      </c>
      <c r="X255" s="79">
        <f>SUM(X246:X254)</f>
        <v>392.429234000341</v>
      </c>
      <c r="Y255" s="155">
        <f>X255/$X$1*1000</f>
        <v>5.04414239258012</v>
      </c>
      <c r="AA255" s="79">
        <f>SUM(AA246:AA254)</f>
        <v>405.990689750244</v>
      </c>
      <c r="AB255" s="155">
        <f>AA255/$AA$1*1000</f>
        <v>6.90319475192552</v>
      </c>
      <c r="AD255" s="79">
        <f>SUM(AD246:AD254)</f>
        <v>379.403229090255</v>
      </c>
      <c r="AE255" s="155">
        <f>AD255/$AD$1*1000</f>
        <v>4.17725352971897</v>
      </c>
      <c r="AG255" s="79">
        <f>SUM(AG246:AG254)</f>
        <v>385.380779907272</v>
      </c>
      <c r="AH255" s="155">
        <f>AG255/$AG$1*1000</f>
        <v>3.45409941479288</v>
      </c>
      <c r="AJ255" s="79">
        <f>SUM(AJ246:AJ254)</f>
        <v>380.955216424112</v>
      </c>
      <c r="AK255" s="155">
        <f>AJ255/$AG$1*1000</f>
        <v>3.41443387609895</v>
      </c>
      <c r="AM255" s="79">
        <f>SUM(AM246:AM254)</f>
        <v>395.935196669268</v>
      </c>
      <c r="AN255" s="155">
        <f>AM255/$AG$1*1000</f>
        <v>3.54869677579741</v>
      </c>
      <c r="AP255" s="79">
        <f>SUM(AP246:AP254)</f>
        <v>4753.78739305703</v>
      </c>
      <c r="AQ255" s="155">
        <f>AP255/$AP$1*1000</f>
        <v>4.53694847752232</v>
      </c>
    </row>
    <row r="257" spans="1:43">
      <c r="AG257" s="29"/>
      <c r="AJ257" s="29"/>
      <c r="AM257" s="29"/>
      <c r="AP257" s="29"/>
    </row>
    <row r="260" spans="1:43">
      <c r="C260" s="156" t="s">
        <v>402</v>
      </c>
      <c r="D260" s="156" t="s">
        <v>402</v>
      </c>
      <c r="E260" s="156" t="s">
        <v>28</v>
      </c>
      <c r="F260" s="157">
        <f>+SUMIF($A$5:$A$254,E260,F5:F255)</f>
        <v>2738.26009</v>
      </c>
      <c r="G260" s="158">
        <f>+F260*1000/F$1</f>
        <v>34.3519180299077</v>
      </c>
      <c r="I260" s="157">
        <f>+SUMIF($A$5:$A$254,$E$260,I5:I255)</f>
        <v>2505.08021444444</v>
      </c>
      <c r="J260" s="158">
        <f>+I260*1000/I$1</f>
        <v>30.5106901460867</v>
      </c>
      <c r="L260" s="157">
        <f>+SUMIF($A$5:$A$254,$E$260,L5:L255)</f>
        <v>3068.58413444445</v>
      </c>
      <c r="M260" s="158">
        <f>+L260*1000/L$1</f>
        <v>33.1176719993573</v>
      </c>
      <c r="O260" s="157">
        <f>+SUMIF($A$5:$A$254,$E$260,O5:O255)</f>
        <v>2505.76307444444</v>
      </c>
      <c r="P260" s="158">
        <f>+O260*1000/O$1</f>
        <v>25.3910147683529</v>
      </c>
      <c r="R260" s="157">
        <f>+SUMIF($A$5:$A$254,$E$260,R5:R255)</f>
        <v>2852.45205544763</v>
      </c>
      <c r="S260" s="158">
        <f>+R260*1000/R$1</f>
        <v>30.5555478179344</v>
      </c>
      <c r="U260" s="157">
        <f>+SUMIF($A$5:$A$254,$E$260,U5:U255)</f>
        <v>2777.40554843457</v>
      </c>
      <c r="V260" s="158">
        <f>+U260*1000/U$1</f>
        <v>36.9867036226838</v>
      </c>
      <c r="X260" s="157">
        <f>+SUMIF($A$5:$A$254,$E$260,X5:X255)</f>
        <v>2513.34846400034</v>
      </c>
      <c r="Y260" s="158">
        <f>+X260*1000/X$1</f>
        <v>32.3056654198684</v>
      </c>
      <c r="AA260" s="157">
        <f>+SUMIF($A$5:$A$254,$E$260,AA5:AA255)</f>
        <v>2134.85177975024</v>
      </c>
      <c r="AB260" s="158">
        <f>+AA260*1000/AA$1</f>
        <v>36.2995949763695</v>
      </c>
      <c r="AD260" s="157">
        <f>+SUMIF($A$5:$A$254,$E$260,AD5:AD255)</f>
        <v>2514.10104909025</v>
      </c>
      <c r="AE260" s="158">
        <f>+AD260*1000/AD$1</f>
        <v>27.6804114360453</v>
      </c>
      <c r="AG260" s="157">
        <f>+SUMIF($A$5:$A$254,$E$260,AG5:AG255)</f>
        <v>2350.41859990727</v>
      </c>
      <c r="AH260" s="158">
        <f>+AG260*1000/AG$1</f>
        <v>21.0663840381751</v>
      </c>
      <c r="AJ260" s="157">
        <f>+SUMIF($A$5:$A$254,$E$260,AJ5:AJ255)</f>
        <v>2688.56708642411</v>
      </c>
      <c r="AK260" s="158">
        <f>+AJ260*1000/AJ$1</f>
        <v>24.0857073811791</v>
      </c>
      <c r="AM260" s="157">
        <f>+SUMIF($A$5:$A$254,$E$260,AM5:AM255)</f>
        <v>2628.22095666927</v>
      </c>
      <c r="AN260" s="158">
        <f>+AM260*1000/AM$1</f>
        <v>34.7859935499016</v>
      </c>
      <c r="AP260" s="157">
        <f>I260+F260+L260+O260+R260+U260+X260+AA260+AD260+AG260+AJ260+AM260</f>
        <v>31277.053053057</v>
      </c>
      <c r="AQ260" s="158">
        <f>+AP260*1000/AP1</f>
        <v>29.8503838092765</v>
      </c>
    </row>
    <row r="261" spans="1:43">
      <c r="C261" s="156" t="s">
        <v>403</v>
      </c>
      <c r="D261" s="156" t="s">
        <v>403</v>
      </c>
      <c r="E261" s="156" t="s">
        <v>70</v>
      </c>
      <c r="F261" s="159">
        <f>+SUMIF($A$5:$A$255,E261,F5:F256)</f>
        <v>414.69185</v>
      </c>
      <c r="G261" s="160">
        <f>+F261*1000/F$1</f>
        <v>5.20237668105179</v>
      </c>
      <c r="I261" s="159">
        <f>+SUMIF($A$5:$A$255,$E$261,I5:I256)</f>
        <v>514.08331</v>
      </c>
      <c r="J261" s="160">
        <f>+I261*1000/I$1</f>
        <v>6.2612911515742</v>
      </c>
      <c r="L261" s="159">
        <f>+SUMIF($A$5:$A$255,$E$261,L5:L256)</f>
        <v>329.66669</v>
      </c>
      <c r="M261" s="160">
        <f>+L261*1000/L$1</f>
        <v>3.5579253591202</v>
      </c>
      <c r="O261" s="159">
        <f>+SUMIF($A$5:$A$255,$E$261,O5:O256)</f>
        <v>408.82973</v>
      </c>
      <c r="P261" s="160">
        <f>+O261*1000/O$1</f>
        <v>4.14269083060585</v>
      </c>
      <c r="R261" s="159">
        <f>+SUMIF($A$5:$A$255,$E$261,R5:R256)</f>
        <v>323.17977</v>
      </c>
      <c r="S261" s="160">
        <f>+R261*1000/R$1</f>
        <v>3.46191091877069</v>
      </c>
      <c r="U261" s="159">
        <f>+SUMIF($A$5:$A$255,$E$261,U5:U256)</f>
        <v>549.54847</v>
      </c>
      <c r="V261" s="160">
        <f>+U261*1000/U$1</f>
        <v>7.31833577478293</v>
      </c>
      <c r="X261" s="159">
        <f>+SUMIF($A$5:$A$255,$E$261,X5:X256)</f>
        <v>247.67447</v>
      </c>
      <c r="Y261" s="160">
        <f>+X261*1000/X$1</f>
        <v>3.18351739739586</v>
      </c>
      <c r="AA261" s="159">
        <f>+SUMIF($A$5:$A$255,$E$261,AA5:AA256)</f>
        <v>424.917889999998</v>
      </c>
      <c r="AB261" s="160">
        <f>+AA261*1000/AA$1</f>
        <v>7.22502023396583</v>
      </c>
      <c r="AD261" s="159">
        <f>+SUMIF($A$5:$A$255,$E$261,AD5:AD256)</f>
        <v>-896.912530000001</v>
      </c>
      <c r="AE261" s="160">
        <f>+AD261*1000/AD$1</f>
        <v>-9.87506363816529</v>
      </c>
      <c r="AG261" s="159">
        <f>+SUMIF($A$5:$A$255,$E$261,AG5:AG256)</f>
        <v>352.42584</v>
      </c>
      <c r="AH261" s="160">
        <f>+AG261*1000/AG$1</f>
        <v>3.1587301473488</v>
      </c>
      <c r="AJ261" s="159">
        <f>+SUMIF($A$5:$A$255,$E$261,AJ5:AJ256)</f>
        <v>310.85301</v>
      </c>
      <c r="AK261" s="160">
        <f>+AJ261*1000/AJ$1</f>
        <v>2.78479740201568</v>
      </c>
      <c r="AM261" s="159">
        <f>+SUMIF($A$5:$A$255,$E$261,AM5:AM256)</f>
        <v>-641.70487</v>
      </c>
      <c r="AN261" s="160">
        <f>+AM261*1000/AM$1</f>
        <v>-8.49332755380257</v>
      </c>
      <c r="AP261" s="159">
        <f>+F261+I261+L261+O261+R261+U261+X261+AA261+AD261+AG261+AJ261+AM261</f>
        <v>2337.25363</v>
      </c>
      <c r="AQ261" s="160">
        <f>+AP261*1000/AP1</f>
        <v>2.23064231137036</v>
      </c>
    </row>
    <row r="262" spans="1:43">
      <c r="C262" s="156" t="s">
        <v>385</v>
      </c>
      <c r="D262" s="156" t="s">
        <v>385</v>
      </c>
      <c r="F262" s="161">
        <f>+F261+F260</f>
        <v>3152.95194</v>
      </c>
      <c r="G262" s="161">
        <f>+G261+G260</f>
        <v>39.5542947109595</v>
      </c>
      <c r="I262" s="161">
        <f>+I261+I260</f>
        <v>3019.16352444444</v>
      </c>
      <c r="J262" s="161">
        <f>+J261+J260</f>
        <v>36.7719812976609</v>
      </c>
      <c r="L262" s="161">
        <f>+L261+L260</f>
        <v>3398.25082444445</v>
      </c>
      <c r="M262" s="161">
        <f>+M261+M260</f>
        <v>36.6755973584775</v>
      </c>
      <c r="O262" s="161">
        <f>+O261+O260</f>
        <v>2914.59280444444</v>
      </c>
      <c r="P262" s="161">
        <f>+P261+P260</f>
        <v>29.5337055989588</v>
      </c>
      <c r="Q262" s="8"/>
      <c r="R262" s="161">
        <f>+R261+R260</f>
        <v>3175.63182544763</v>
      </c>
      <c r="S262" s="161">
        <f>+S261+S260</f>
        <v>34.0174587367051</v>
      </c>
      <c r="U262" s="161">
        <f>+U261+U260</f>
        <v>3326.95401843457</v>
      </c>
      <c r="V262" s="161">
        <f>+V261+V260</f>
        <v>44.3050393974668</v>
      </c>
      <c r="X262" s="161">
        <f>+X261+X260</f>
        <v>2761.02293400034</v>
      </c>
      <c r="Y262" s="161">
        <f>+Y261+Y260</f>
        <v>35.4891828172642</v>
      </c>
      <c r="AA262" s="161">
        <f>+AA261+AA260</f>
        <v>2559.76966975024</v>
      </c>
      <c r="AB262" s="161">
        <f>+AB261+AB260</f>
        <v>43.5246152103353</v>
      </c>
      <c r="AD262" s="161">
        <f>+AD261+AD260</f>
        <v>1617.18851909025</v>
      </c>
      <c r="AE262" s="161">
        <f>+AE261+AE260</f>
        <v>17.8053477978801</v>
      </c>
      <c r="AF262" s="49"/>
      <c r="AG262" s="161">
        <f>+AG261+AG260</f>
        <v>2702.84443990727</v>
      </c>
      <c r="AH262" s="161">
        <f>+AH261+AH260</f>
        <v>24.2251141855239</v>
      </c>
      <c r="AI262" s="49"/>
      <c r="AJ262" s="161">
        <f>+AJ261+AJ260</f>
        <v>2999.42009642411</v>
      </c>
      <c r="AK262" s="161">
        <f>+AK261+AK260</f>
        <v>26.8705047831947</v>
      </c>
      <c r="AL262" s="49"/>
      <c r="AM262" s="161">
        <f>+AM261+AM260</f>
        <v>1986.51608666927</v>
      </c>
      <c r="AN262" s="161">
        <f>+AN261+AN260</f>
        <v>26.2926659960991</v>
      </c>
      <c r="AO262" s="49"/>
      <c r="AP262" s="161">
        <f>+AP261+AP260</f>
        <v>33614.306683057</v>
      </c>
      <c r="AQ262" s="161">
        <f>+AQ261+AQ260</f>
        <v>32.0810261206468</v>
      </c>
    </row>
    <row r="263" spans="1:43">
      <c r="I263" s="72"/>
      <c r="L263" s="72"/>
      <c r="O263" s="72"/>
      <c r="R263" s="72"/>
      <c r="U263" s="72"/>
      <c r="X263" s="72"/>
      <c r="AA263" s="72"/>
      <c r="AD263" s="72"/>
      <c r="AG263" s="72"/>
      <c r="AJ263" s="72"/>
      <c r="AM263" s="72"/>
      <c r="AP263" s="72"/>
    </row>
    <row r="264" s="8" customFormat="1" spans="1:43">
      <c r="A264" s="144"/>
      <c r="B264" s="99"/>
      <c r="C264" s="99"/>
      <c r="D264" s="99"/>
      <c r="E264" s="162" t="s">
        <v>404</v>
      </c>
      <c r="F264" s="161">
        <f>+F235+F255</f>
        <v>3152.95194</v>
      </c>
      <c r="G264" s="161">
        <f>+G235+G255</f>
        <v>39.5542947109595</v>
      </c>
      <c r="H264" s="11"/>
      <c r="I264" s="161">
        <f>+I235+I255</f>
        <v>3019.16352444444</v>
      </c>
      <c r="J264" s="161">
        <f>+J235+J255</f>
        <v>36.7719812976609</v>
      </c>
      <c r="K264" s="11"/>
      <c r="L264" s="161">
        <f>+L235+L255</f>
        <v>3398.25082444444</v>
      </c>
      <c r="M264" s="161">
        <f>+M235+M255</f>
        <v>36.6755973584774</v>
      </c>
      <c r="N264" s="12"/>
      <c r="O264" s="161">
        <f>+O235+O255</f>
        <v>2914.59280444444</v>
      </c>
      <c r="P264" s="161">
        <f>+P235+P255</f>
        <v>29.5337055989588</v>
      </c>
      <c r="R264" s="161">
        <f>+R235+R255</f>
        <v>3175.63182544763</v>
      </c>
      <c r="S264" s="161">
        <f>+S235+S255</f>
        <v>34.0174587367051</v>
      </c>
      <c r="U264" s="161">
        <f>+U235+U255</f>
        <v>3326.95401843457</v>
      </c>
      <c r="V264" s="161">
        <f>+V235+V255</f>
        <v>44.3050393974667</v>
      </c>
      <c r="X264" s="161">
        <f>+X235+X255</f>
        <v>2761.02293400034</v>
      </c>
      <c r="Y264" s="161">
        <f>+Y235+Y255</f>
        <v>35.4891828172642</v>
      </c>
      <c r="AA264" s="161">
        <f>+AA235+AA255</f>
        <v>2559.76966975024</v>
      </c>
      <c r="AB264" s="161">
        <f>+AB235+AB255</f>
        <v>43.5246152103353</v>
      </c>
      <c r="AD264" s="161">
        <f>+AD235+AD255</f>
        <v>1617.18851909025</v>
      </c>
      <c r="AE264" s="161">
        <f>+AE235+AE255</f>
        <v>17.8053477978801</v>
      </c>
      <c r="AG264" s="161">
        <f>+AG235+AG255</f>
        <v>2702.84443990727</v>
      </c>
      <c r="AH264" s="161">
        <f>+AH235+AH255</f>
        <v>24.2251141855239</v>
      </c>
      <c r="AJ264" s="161">
        <f>+AJ235+AJ255</f>
        <v>2999.42009642411</v>
      </c>
      <c r="AK264" s="161">
        <f>+AK235+AK255</f>
        <v>26.8737672564423</v>
      </c>
      <c r="AM264" s="161">
        <f>+AM235+AM255</f>
        <v>1986.37401666927</v>
      </c>
      <c r="AN264" s="161">
        <f>+AN235+AN255</f>
        <v>17.7958320953575</v>
      </c>
      <c r="AP264" s="161">
        <f>+AP235+AP255</f>
        <v>33614.306683057</v>
      </c>
      <c r="AQ264" s="161">
        <f>+AQ235+AQ255</f>
        <v>32.0810261206468</v>
      </c>
    </row>
    <row r="265" spans="1:43">
      <c r="E265" s="3" t="s">
        <v>405</v>
      </c>
      <c r="F265" s="161">
        <f>+F264-F262</f>
        <v>0</v>
      </c>
      <c r="G265" s="161">
        <f>+G264-G262</f>
        <v>0</v>
      </c>
      <c r="I265" s="161">
        <f>+I264-I262</f>
        <v>0</v>
      </c>
      <c r="J265" s="161">
        <f>+J264-J262</f>
        <v>0</v>
      </c>
      <c r="L265" s="161">
        <f>+L264-L262</f>
        <v>0</v>
      </c>
      <c r="M265" s="161">
        <f>+M264-M262</f>
        <v>0</v>
      </c>
      <c r="O265" s="161">
        <f>+O264-O262</f>
        <v>0</v>
      </c>
      <c r="P265" s="161">
        <f>+P264-P262</f>
        <v>0</v>
      </c>
      <c r="R265" s="161">
        <f>+R264-R262</f>
        <v>0</v>
      </c>
      <c r="S265" s="161">
        <f>+S264-S262</f>
        <v>0</v>
      </c>
      <c r="U265" s="161">
        <f>+U264-U262</f>
        <v>0</v>
      </c>
      <c r="V265" s="161">
        <f>+V264-V262</f>
        <v>0</v>
      </c>
      <c r="X265" s="161">
        <f>+X264-X262</f>
        <v>0</v>
      </c>
      <c r="Y265" s="161">
        <f>+Y264-Y262</f>
        <v>0</v>
      </c>
      <c r="AA265" s="161">
        <f>+AA264-AA262</f>
        <v>0</v>
      </c>
      <c r="AB265" s="161">
        <f>+AB264-AB262</f>
        <v>0</v>
      </c>
      <c r="AD265" s="161">
        <f>+AD264-AD262</f>
        <v>0</v>
      </c>
      <c r="AE265" s="161">
        <f>+AE264-AE262</f>
        <v>0</v>
      </c>
      <c r="AG265" s="161">
        <f>+AG264-AG262</f>
        <v>0</v>
      </c>
      <c r="AH265" s="161">
        <f>+AH264-AH262</f>
        <v>0</v>
      </c>
      <c r="AJ265" s="161">
        <f>+AJ264-AJ262</f>
        <v>0</v>
      </c>
      <c r="AK265" s="161">
        <f>+AK264-AK262</f>
        <v>0.00326247324757034</v>
      </c>
      <c r="AM265" s="161">
        <f>+AM264-AM262</f>
        <v>-0.142070000000103</v>
      </c>
      <c r="AN265" s="161">
        <f>+AN264-AN262</f>
        <v>-8.49683390074161</v>
      </c>
      <c r="AP265" s="161">
        <f>+AP264-AP262</f>
        <v>0</v>
      </c>
      <c r="AQ265" s="161">
        <f>+AQ264-AQ262</f>
        <v>0</v>
      </c>
    </row>
    <row r="267" spans="1:43">
      <c r="F267" s="98"/>
      <c r="I267" s="72"/>
      <c r="L267" s="72"/>
      <c r="O267" s="72"/>
      <c r="R267" s="72"/>
      <c r="U267" s="72"/>
      <c r="X267" s="72"/>
      <c r="AA267" s="72"/>
      <c r="AD267" s="72"/>
      <c r="AG267" s="72"/>
      <c r="AJ267" s="72"/>
      <c r="AM267" s="72"/>
      <c r="AP267" s="72"/>
    </row>
    <row r="268" s="8" customFormat="1" spans="1:43">
      <c r="A268" s="144"/>
      <c r="B268" s="99"/>
      <c r="C268" s="99"/>
      <c r="D268" s="99"/>
      <c r="E268" s="99"/>
      <c r="F268" s="72"/>
      <c r="G268" s="72"/>
      <c r="H268" s="11"/>
      <c r="I268" s="72"/>
      <c r="J268" s="72"/>
      <c r="K268" s="11"/>
      <c r="L268" s="72"/>
      <c r="M268" s="72"/>
      <c r="N268" s="12"/>
      <c r="O268" s="72"/>
      <c r="P268" s="72"/>
      <c r="R268" s="72"/>
      <c r="S268" s="72"/>
      <c r="U268" s="72"/>
      <c r="V268" s="72"/>
      <c r="X268" s="72"/>
      <c r="Y268" s="72"/>
      <c r="AA268" s="72"/>
      <c r="AB268" s="72"/>
      <c r="AD268" s="72"/>
      <c r="AE268" s="72"/>
      <c r="AG268" s="72"/>
      <c r="AH268" s="72"/>
      <c r="AJ268" s="72"/>
      <c r="AK268" s="72"/>
      <c r="AM268" s="72"/>
      <c r="AN268" s="72"/>
      <c r="AP268" s="72"/>
      <c r="AQ268" s="72"/>
    </row>
    <row r="269" spans="1:43">
      <c r="I269" s="72"/>
      <c r="L269" s="72"/>
    </row>
    <row r="270" spans="1:43">
      <c r="F270" s="98"/>
      <c r="G270" s="98"/>
      <c r="I270" s="163"/>
      <c r="J270" s="98"/>
      <c r="L270" s="98"/>
      <c r="M270" s="98"/>
      <c r="O270" s="98"/>
      <c r="R270" s="72"/>
    </row>
    <row r="271" spans="1:43">
      <c r="I271" s="72"/>
      <c r="L271" s="164"/>
    </row>
    <row r="272" spans="1:43">
      <c r="F272" s="98"/>
      <c r="I272" s="98"/>
      <c r="L272" s="98"/>
      <c r="O272" s="98"/>
    </row>
    <row r="274" spans="1:44">
      <c r="F274" s="98"/>
    </row>
    <row r="276" s="9" customFormat="1" spans="1:44">
      <c r="A276" s="10"/>
      <c r="B276"/>
      <c r="C276"/>
      <c r="D276"/>
      <c r="E276"/>
      <c r="F276" s="164"/>
      <c r="H276" s="11"/>
      <c r="K276" s="11"/>
      <c r="N276" s="12"/>
      <c r="Q276" s="13"/>
      <c r="T276" s="13"/>
      <c r="W276" s="13"/>
      <c r="Z276" s="13"/>
      <c r="AC276" s="13"/>
      <c r="AF276" s="13"/>
      <c r="AI276" s="13"/>
      <c r="AL276" s="13"/>
      <c r="AO276" s="13"/>
      <c r="AR276" s="13"/>
    </row>
  </sheetData>
  <autoFilter xmlns:etc="http://www.wps.cn/officeDocument/2017/etCustomData" ref="A4:AQ213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Renta CK TOTAL_2025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Asefler</dc:creator>
  <cp:lastModifiedBy>姜玉川</cp:lastModifiedBy>
  <dcterms:created xsi:type="dcterms:W3CDTF">2025-12-08T10:20:00Z</dcterms:created>
  <dcterms:modified xsi:type="dcterms:W3CDTF">2026-01-13T07:55:16Z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AA5259AE3B2D40628F429349BB1F09B8_12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