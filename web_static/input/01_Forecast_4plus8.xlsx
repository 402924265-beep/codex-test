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engisu.ceran\Desktop\DW FCST\"/>
    </mc:Choice>
  </mc:AlternateContent>
  <xr:revisionPtr revIDLastSave="0" documentId="13_ncr:1_{EC62CA3F-53D3-4F2C-9831-3E27BA95E50E}" xr6:coauthVersionLast="47" xr6:coauthVersionMax="47" xr10:uidLastSave="{00000000-0000-0000-0000-000000000000}"/>
  <bookViews>
    <workbookView xWindow="-108" yWindow="-108" windowWidth="23256" windowHeight="12456" tabRatio="856" firstSheet="2" activeTab="25" xr2:uid="{F7CFCB76-F359-4C66-B50F-B617B657680A}"/>
  </bookViews>
  <sheets>
    <sheet name="Instruction" sheetId="11" state="hidden" r:id="rId1"/>
    <sheet name="Root cause explanations" sheetId="19" state="hidden" r:id="rId2"/>
    <sheet name="HC 2026" sheetId="14" r:id="rId3"/>
    <sheet name="G&amp;A _Out of Per_" sheetId="17" state="hidden" r:id="rId4"/>
    <sheet name="CC" sheetId="68" state="hidden" r:id="rId5"/>
    <sheet name="ACE 2026" sheetId="15" r:id="rId6"/>
    <sheet name="VOLUME" sheetId="69" state="hidden" r:id="rId7"/>
    <sheet name="HQD" sheetId="71" state="hidden" r:id="rId8"/>
    <sheet name="&gt;&gt;&gt;" sheetId="13" r:id="rId9"/>
    <sheet name="MTD Report  (HQD) (deneme)" sheetId="55" state="hidden" r:id="rId10"/>
    <sheet name="MTD Report  (HQD)" sheetId="53" state="hidden" r:id="rId11"/>
    <sheet name="MTD VAR " sheetId="6" state="hidden" r:id="rId12"/>
    <sheet name="Budget assumption" sheetId="1" state="hidden" r:id="rId13"/>
    <sheet name="MTD Report(HQD)_variance" sheetId="57" state="hidden" r:id="rId14"/>
    <sheet name="YTD Report(HQD)_variance " sheetId="61" state="hidden" r:id="rId15"/>
    <sheet name="YTD VAR" sheetId="60" state="hidden" r:id="rId16"/>
    <sheet name="List" sheetId="62" state="hidden" r:id="rId17"/>
    <sheet name="data entry " sheetId="5" state="hidden" r:id="rId18"/>
    <sheet name="SAP Actual extraction" sheetId="21" state="hidden" r:id="rId19"/>
    <sheet name="MTD" sheetId="27" state="hidden" r:id="rId20"/>
    <sheet name="YTD" sheetId="30" state="hidden" r:id="rId21"/>
    <sheet name="ACE Details_FULL" sheetId="70" r:id="rId22"/>
    <sheet name="FCST &gt;&gt;" sheetId="63" r:id="rId23"/>
    <sheet name="GTN FCST " sheetId="65" r:id="rId24"/>
    <sheet name="FX IMPACT" sheetId="72" r:id="rId25"/>
    <sheet name="FCST 26 " sheetId="66" r:id="rId26"/>
    <sheet name="FCST CPU " sheetId="67" r:id="rId27"/>
    <sheet name="ACE" sheetId="36" state="hidden" r:id="rId28"/>
    <sheet name="Sheet1" sheetId="16" state="hidden" r:id="rId29"/>
  </sheets>
  <definedNames>
    <definedName name="\A">#REF!</definedName>
    <definedName name="\B">#REF!</definedName>
    <definedName name="\C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X">#REF!</definedName>
    <definedName name="____GG1" localSheetId="4" hidden="1">{#N/A,#N/A,FALSE,"Aging Summary";#N/A,#N/A,FALSE,"Ratio Analysis";#N/A,#N/A,FALSE,"Test 120 Day Accts";#N/A,#N/A,FALSE,"Tickmarks"}</definedName>
    <definedName name="____GG1" localSheetId="7" hidden="1">{#N/A,#N/A,FALSE,"Aging Summary";#N/A,#N/A,FALSE,"Ratio Analysis";#N/A,#N/A,FALSE,"Test 120 Day Accts";#N/A,#N/A,FALSE,"Tickmarks"}</definedName>
    <definedName name="____GG1" localSheetId="6" hidden="1">{#N/A,#N/A,FALSE,"Aging Summary";#N/A,#N/A,FALSE,"Ratio Analysis";#N/A,#N/A,FALSE,"Test 120 Day Accts";#N/A,#N/A,FALSE,"Tickmarks"}</definedName>
    <definedName name="____GG1" hidden="1">{#N/A,#N/A,FALSE,"Aging Summary";#N/A,#N/A,FALSE,"Ratio Analysis";#N/A,#N/A,FALSE,"Test 120 Day Accts";#N/A,#N/A,FALSE,"Tickmarks"}</definedName>
    <definedName name="____GG2" localSheetId="4" hidden="1">{#N/A,#N/A,FALSE,"Aging Summary";#N/A,#N/A,FALSE,"Ratio Analysis";#N/A,#N/A,FALSE,"Test 120 Day Accts";#N/A,#N/A,FALSE,"Tickmarks"}</definedName>
    <definedName name="____GG2" localSheetId="7" hidden="1">{#N/A,#N/A,FALSE,"Aging Summary";#N/A,#N/A,FALSE,"Ratio Analysis";#N/A,#N/A,FALSE,"Test 120 Day Accts";#N/A,#N/A,FALSE,"Tickmarks"}</definedName>
    <definedName name="____GG2" localSheetId="6" hidden="1">{#N/A,#N/A,FALSE,"Aging Summary";#N/A,#N/A,FALSE,"Ratio Analysis";#N/A,#N/A,FALSE,"Test 120 Day Accts";#N/A,#N/A,FALSE,"Tickmarks"}</definedName>
    <definedName name="____GG2" hidden="1">{#N/A,#N/A,FALSE,"Aging Summary";#N/A,#N/A,FALSE,"Ratio Analysis";#N/A,#N/A,FALSE,"Test 120 Day Accts";#N/A,#N/A,FALSE,"Tickmarks"}</definedName>
    <definedName name="___CON1">#REF!</definedName>
    <definedName name="___CON2">#REF!</definedName>
    <definedName name="___ddn400">#REF!</definedName>
    <definedName name="___ddn600">#REF!</definedName>
    <definedName name="___E99999">#REF!</definedName>
    <definedName name="___GG1" localSheetId="4" hidden="1">{#N/A,#N/A,FALSE,"Aging Summary";#N/A,#N/A,FALSE,"Ratio Analysis";#N/A,#N/A,FALSE,"Test 120 Day Accts";#N/A,#N/A,FALSE,"Tickmarks"}</definedName>
    <definedName name="___GG1" localSheetId="7" hidden="1">{#N/A,#N/A,FALSE,"Aging Summary";#N/A,#N/A,FALSE,"Ratio Analysis";#N/A,#N/A,FALSE,"Test 120 Day Accts";#N/A,#N/A,FALSE,"Tickmarks"}</definedName>
    <definedName name="___GG1" localSheetId="6" hidden="1">{#N/A,#N/A,FALSE,"Aging Summary";#N/A,#N/A,FALSE,"Ratio Analysis";#N/A,#N/A,FALSE,"Test 120 Day Accts";#N/A,#N/A,FALSE,"Tickmarks"}</definedName>
    <definedName name="___GG1" hidden="1">{#N/A,#N/A,FALSE,"Aging Summary";#N/A,#N/A,FALSE,"Ratio Analysis";#N/A,#N/A,FALSE,"Test 120 Day Accts";#N/A,#N/A,FALSE,"Tickmarks"}</definedName>
    <definedName name="___GG2" localSheetId="4" hidden="1">{#N/A,#N/A,FALSE,"Aging Summary";#N/A,#N/A,FALSE,"Ratio Analysis";#N/A,#N/A,FALSE,"Test 120 Day Accts";#N/A,#N/A,FALSE,"Tickmarks"}</definedName>
    <definedName name="___GG2" localSheetId="7" hidden="1">{#N/A,#N/A,FALSE,"Aging Summary";#N/A,#N/A,FALSE,"Ratio Analysis";#N/A,#N/A,FALSE,"Test 120 Day Accts";#N/A,#N/A,FALSE,"Tickmarks"}</definedName>
    <definedName name="___GG2" localSheetId="6" hidden="1">{#N/A,#N/A,FALSE,"Aging Summary";#N/A,#N/A,FALSE,"Ratio Analysis";#N/A,#N/A,FALSE,"Test 120 Day Accts";#N/A,#N/A,FALSE,"Tickmarks"}</definedName>
    <definedName name="___GG2" hidden="1">{#N/A,#N/A,FALSE,"Aging Summary";#N/A,#N/A,FALSE,"Ratio Analysis";#N/A,#N/A,FALSE,"Test 120 Day Accts";#N/A,#N/A,FALSE,"Tickmarks"}</definedName>
    <definedName name="___gon4">#REF!</definedName>
    <definedName name="___IV999999">#REF!</definedName>
    <definedName name="___IZ53">#REF!</definedName>
    <definedName name="___JZ123">#REF!</definedName>
    <definedName name="___lap1">#REF!</definedName>
    <definedName name="___lap2">#REF!</definedName>
    <definedName name="___LI10">OFFSET(#REF!,4,0,COUNTA(#REF!)-1,1)</definedName>
    <definedName name="___LI3">OFFSET(#REF!,4,0,COUNTA(#REF!)-1,1)</definedName>
    <definedName name="___LI6">OFFSET(#REF!,4,0,COUNTA(#REF!)-1,1)</definedName>
    <definedName name="___LI7">OFFSET(#REF!,4,0,COUNTA(#REF!)-1,1)</definedName>
    <definedName name="___LZ123">#REF!</definedName>
    <definedName name="___MAC12">#REF!</definedName>
    <definedName name="___MAC46">#REF!</definedName>
    <definedName name="___MZ53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sc1">#REF!</definedName>
    <definedName name="___SC2">#REF!</definedName>
    <definedName name="___sc3">#REF!</definedName>
    <definedName name="___SN3">#REF!</definedName>
    <definedName name="___TB1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VL100">#REF!</definedName>
    <definedName name="___VL200">#REF!</definedName>
    <definedName name="___VL250">#REF!</definedName>
    <definedName name="___XY123">#REF!</definedName>
    <definedName name="__1">#REF!</definedName>
    <definedName name="__2">#REF!</definedName>
    <definedName name="__CON1">#REF!</definedName>
    <definedName name="__CON2">#REF!</definedName>
    <definedName name="__ddn400">#REF!</definedName>
    <definedName name="__ddn600">#REF!</definedName>
    <definedName name="__E99999">#REF!</definedName>
    <definedName name="__GG1" localSheetId="4" hidden="1">{#N/A,#N/A,FALSE,"Aging Summary";#N/A,#N/A,FALSE,"Ratio Analysis";#N/A,#N/A,FALSE,"Test 120 Day Accts";#N/A,#N/A,FALSE,"Tickmarks"}</definedName>
    <definedName name="__GG1" localSheetId="7" hidden="1">{#N/A,#N/A,FALSE,"Aging Summary";#N/A,#N/A,FALSE,"Ratio Analysis";#N/A,#N/A,FALSE,"Test 120 Day Accts";#N/A,#N/A,FALSE,"Tickmarks"}</definedName>
    <definedName name="__GG1" localSheetId="6" hidden="1">{#N/A,#N/A,FALSE,"Aging Summary";#N/A,#N/A,FALSE,"Ratio Analysis";#N/A,#N/A,FALSE,"Test 120 Day Accts";#N/A,#N/A,FALSE,"Tickmarks"}</definedName>
    <definedName name="__GG1" hidden="1">{#N/A,#N/A,FALSE,"Aging Summary";#N/A,#N/A,FALSE,"Ratio Analysis";#N/A,#N/A,FALSE,"Test 120 Day Accts";#N/A,#N/A,FALSE,"Tickmarks"}</definedName>
    <definedName name="__GG2" localSheetId="4" hidden="1">{#N/A,#N/A,FALSE,"Aging Summary";#N/A,#N/A,FALSE,"Ratio Analysis";#N/A,#N/A,FALSE,"Test 120 Day Accts";#N/A,#N/A,FALSE,"Tickmarks"}</definedName>
    <definedName name="__GG2" localSheetId="7" hidden="1">{#N/A,#N/A,FALSE,"Aging Summary";#N/A,#N/A,FALSE,"Ratio Analysis";#N/A,#N/A,FALSE,"Test 120 Day Accts";#N/A,#N/A,FALSE,"Tickmarks"}</definedName>
    <definedName name="__GG2" localSheetId="6" hidden="1">{#N/A,#N/A,FALSE,"Aging Summary";#N/A,#N/A,FALSE,"Ratio Analysis";#N/A,#N/A,FALSE,"Test 120 Day Accts";#N/A,#N/A,FALSE,"Tickmarks"}</definedName>
    <definedName name="__GG2" hidden="1">{#N/A,#N/A,FALSE,"Aging Summary";#N/A,#N/A,FALSE,"Ratio Analysis";#N/A,#N/A,FALSE,"Test 120 Day Accts";#N/A,#N/A,FALSE,"Tickmarks"}</definedName>
    <definedName name="__gon4">#REF!</definedName>
    <definedName name="__IV17532">#REF!</definedName>
    <definedName name="__IV19999">#REF!</definedName>
    <definedName name="__IV20000">#REF!</definedName>
    <definedName name="__IV60000">#REF!</definedName>
    <definedName name="__IV999999">#REF!</definedName>
    <definedName name="__IZ53">#REF!</definedName>
    <definedName name="__JZ123">#REF!</definedName>
    <definedName name="__lap1">#REF!</definedName>
    <definedName name="__lap2">#REF!</definedName>
    <definedName name="__LI1">OFFSET(#REF!,4,0,COUNTA(#REF!)-1,1)</definedName>
    <definedName name="__LI10">OFFSET(#REF!,4,0,COUNTA(#REF!)-1,1)</definedName>
    <definedName name="__LI11">OFFSET(#REF!,4,0,COUNTA(#REF!)-1,1)</definedName>
    <definedName name="__LI12">OFFSET(#REF!,4,0,COUNTA(#REF!)-1,1)</definedName>
    <definedName name="__LI13">OFFSET(#REF!,4,0,COUNTA(#REF!)-1,1)</definedName>
    <definedName name="__LI14">OFFSET(#REF!,4,0,COUNTA(#REF!)-1,1)</definedName>
    <definedName name="__LI15">OFFSET(#REF!,4,0,COUNTA(#REF!)-1,1)</definedName>
    <definedName name="__LI16">OFFSET(#REF!,4,0,COUNTA(#REF!)-1,1)</definedName>
    <definedName name="__LI17">OFFSET(#REF!,4,0,COUNTA(#REF!)-1,1)</definedName>
    <definedName name="__LI18">OFFSET(#REF!,4,0,COUNTA(#REF!)-1,1)</definedName>
    <definedName name="__LI19">OFFSET(#REF!,4,0,COUNTA(#REF!)-1,1)</definedName>
    <definedName name="__LI2">OFFSET(#REF!,4,0,COUNTA(#REF!)-1,1)</definedName>
    <definedName name="__LI20">OFFSET(#REF!,4,0,COUNTA(#REF!)-1,1)</definedName>
    <definedName name="__LI21">OFFSET(#REF!,4,0,COUNTA(#REF!)-1,1)</definedName>
    <definedName name="__LI22">OFFSET(#REF!,4,0,COUNTA(#REF!)-1,1)</definedName>
    <definedName name="__LI23">OFFSET(#REF!,4,0,COUNTA(#REF!)-1,1)</definedName>
    <definedName name="__LI24">OFFSET(#REF!,4,0,COUNTA(#REF!)-1,1)</definedName>
    <definedName name="__LI25">OFFSET(#REF!,4,0,COUNTA(#REF!)-1,1)</definedName>
    <definedName name="__LI3">OFFSET(#REF!,4,0,COUNTA(#REF!)-1,1)</definedName>
    <definedName name="__LI30">OFFSET(#REF!,4,0,COUNTA(#REF!)-1,1)</definedName>
    <definedName name="__LI4">OFFSET(#REF!,4,0,COUNTA(#REF!)-1,1)</definedName>
    <definedName name="__LI5">OFFSET(#REF!,4,0,COUNTA(#REF!)-1,1)</definedName>
    <definedName name="__LI6">OFFSET(#REF!,4,0,COUNTA(#REF!)-1,1)</definedName>
    <definedName name="__LI7">OFFSET(#REF!,4,0,COUNTA(#REF!)-1,1)</definedName>
    <definedName name="__LI8">OFFSET(#REF!,4,0,COUNTA(#REF!)-1,1)</definedName>
    <definedName name="__LI9">OFFSET(#REF!,4,0,COUNTA(#REF!)-1,1)</definedName>
    <definedName name="__LZ123">#REF!</definedName>
    <definedName name="__MAC12">#REF!</definedName>
    <definedName name="__MAC46">#REF!</definedName>
    <definedName name="__MZ53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sc1">#REF!</definedName>
    <definedName name="__SC2">#REF!</definedName>
    <definedName name="__sc3">#REF!</definedName>
    <definedName name="__SN3">#REF!</definedName>
    <definedName name="__TB1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VL100">#REF!</definedName>
    <definedName name="__VL200">#REF!</definedName>
    <definedName name="__VL250">#REF!</definedName>
    <definedName name="__XY123">#REF!</definedName>
    <definedName name="_000139">#REF!</definedName>
    <definedName name="_00103工资及附加费">#REF!</definedName>
    <definedName name="_0013600">#REF!</definedName>
    <definedName name="_012月">#REF!</definedName>
    <definedName name="_0136">#REF!</definedName>
    <definedName name="_0139">#REF!</definedName>
    <definedName name="_0170608">#REF!</definedName>
    <definedName name="_02制造费用">#REF!</definedName>
    <definedName name="_02差异">#REF!</definedName>
    <definedName name="_02标准">#REF!</definedName>
    <definedName name="_03差异">#REF!</definedName>
    <definedName name="_03标准">#REF!</definedName>
    <definedName name="_03费用">#REF!</definedName>
    <definedName name="_04">#REF!</definedName>
    <definedName name="_04差异">#REF!</definedName>
    <definedName name="_04标准">#REF!</definedName>
    <definedName name="_050202">#REF!</definedName>
    <definedName name="_05B箱体差异">#REF!</definedName>
    <definedName name="_05B箱体材料">#REF!</definedName>
    <definedName name="_05G机差异">#REF!</definedName>
    <definedName name="_05G机材料">#REF!</definedName>
    <definedName name="_05G箱体差异">#REF!</definedName>
    <definedName name="_05G箱体材料">#REF!</definedName>
    <definedName name="_05Q机差异">#REF!</definedName>
    <definedName name="_05Q机材料">#REF!</definedName>
    <definedName name="_05吹塑差异">#REF!</definedName>
    <definedName name="_05吹塑材料">#REF!</definedName>
    <definedName name="_05差异">#REF!</definedName>
    <definedName name="_05月">#REF!</definedName>
    <definedName name="_05标准">#REF!</definedName>
    <definedName name="_05注塑差异">#REF!</definedName>
    <definedName name="_05注塑材料">#REF!</definedName>
    <definedName name="_05费用">#REF!</definedName>
    <definedName name="_06差异">#REF!</definedName>
    <definedName name="_06月">#REF!</definedName>
    <definedName name="_06月差异">#REF!</definedName>
    <definedName name="_06月材料">#REF!</definedName>
    <definedName name="_06标准">#REF!</definedName>
    <definedName name="_06费用">#REF!</definedName>
    <definedName name="_07制造费用">#REF!</definedName>
    <definedName name="_07差异">#REF!</definedName>
    <definedName name="_07材料">#REF!</definedName>
    <definedName name="_07费用">#REF!</definedName>
    <definedName name="_08制造费用">#REF!</definedName>
    <definedName name="_08差异">#REF!</definedName>
    <definedName name="_08标准">#REF!</definedName>
    <definedName name="_09">#REF!</definedName>
    <definedName name="_0901">#REF!</definedName>
    <definedName name="_0902">#REF!</definedName>
    <definedName name="_0903">#REF!</definedName>
    <definedName name="_0904">#REF!</definedName>
    <definedName name="_0910制造费用">#REF!</definedName>
    <definedName name="_09制造费用">#REF!</definedName>
    <definedName name="_09差异">#REF!</definedName>
    <definedName name="_09标准">#REF!</definedName>
    <definedName name="_09销售">#REF!</definedName>
    <definedName name="_0出口机">#REF!</definedName>
    <definedName name="_1">#N/A</definedName>
    <definedName name="_1_119_7">#REF!</definedName>
    <definedName name="_1_231060302固话">#REF!</definedName>
    <definedName name="_10_2">#REF!</definedName>
    <definedName name="_10_231060505出差补助">#REF!</definedName>
    <definedName name="_1000A01">#N/A</definedName>
    <definedName name="_1001">#REF!</definedName>
    <definedName name="_1002">#REF!</definedName>
    <definedName name="_1003">#REF!</definedName>
    <definedName name="_1005">#REF!</definedName>
    <definedName name="_1006">#REF!</definedName>
    <definedName name="_1007">#REF!</definedName>
    <definedName name="_10IV19999_">#REF!</definedName>
    <definedName name="_10THAØNH_TIEÀN">#REF!</definedName>
    <definedName name="_10差异">#REF!</definedName>
    <definedName name="_10标准">#REF!</definedName>
    <definedName name="_10预提">#REF!</definedName>
    <definedName name="_11_231060506住宿费">#REF!</definedName>
    <definedName name="_1101">#REF!</definedName>
    <definedName name="_1102">#REF!</definedName>
    <definedName name="_1103">#REF!</definedName>
    <definedName name="_1104">#REF!</definedName>
    <definedName name="_1105">#REF!</definedName>
    <definedName name="_111">#REF!</definedName>
    <definedName name="_11IV20000_">#REF!</definedName>
    <definedName name="_11TRÒ_GIAÙ">#REF!</definedName>
    <definedName name="_11差异">#REF!</definedName>
    <definedName name="_11月费用">#REF!</definedName>
    <definedName name="_11标准">#REF!</definedName>
    <definedName name="_12_231060510杂费">#REF!</definedName>
    <definedName name="_1201">#REF!</definedName>
    <definedName name="_1202">#REF!</definedName>
    <definedName name="_1203">#REF!</definedName>
    <definedName name="_123">#REF!</definedName>
    <definedName name="_12IV60000_">#REF!</definedName>
    <definedName name="_12TRÒ_GIAÙ__VAT">#REF!</definedName>
    <definedName name="_12月差异">#REF!</definedName>
    <definedName name="_12月费用">#REF!</definedName>
    <definedName name="_12标准">#REF!</definedName>
    <definedName name="_13_231060601至经营部运费">#REF!</definedName>
    <definedName name="_136_出口滚筒">#REF!</definedName>
    <definedName name="_136产成">#REF!</definedName>
    <definedName name="_136产成品">#REF!</definedName>
    <definedName name="_136产成品12">#REF!</definedName>
    <definedName name="_136产成品12月">#REF!</definedName>
    <definedName name="_136产成品出口机仓库">#REF!</definedName>
    <definedName name="_136出口">#REF!</definedName>
    <definedName name="_136出口1">#REF!</definedName>
    <definedName name="_136出口仓">#REF!</definedName>
    <definedName name="_136出口仓库">#REF!</definedName>
    <definedName name="_136出口机">#REF!</definedName>
    <definedName name="_136出口机仓">#REF!</definedName>
    <definedName name="_136出口机仓库12">#REF!</definedName>
    <definedName name="_136出口机仓库12月">#REF!</definedName>
    <definedName name="_136出口机仓新">#REF!</definedName>
    <definedName name="_137">#REF!</definedName>
    <definedName name="_1370101">#REF!</definedName>
    <definedName name="_1370202">#REF!</definedName>
    <definedName name="_13703">#REF!</definedName>
    <definedName name="_139">#REF!</definedName>
    <definedName name="_139产成品12月">#REF!</definedName>
    <definedName name="_139产成品发出">#REF!</definedName>
    <definedName name="_139发出">#REF!</definedName>
    <definedName name="_139发出12">#REF!</definedName>
    <definedName name="_139发出12月">#REF!</definedName>
    <definedName name="_139发出商品">#REF!</definedName>
    <definedName name="_13MAÕ_HAØNG">#REF!</definedName>
    <definedName name="_14_231060604其他运费">#REF!</definedName>
    <definedName name="_14MAÕ_SOÁ_THUEÁ">#REF!</definedName>
    <definedName name="_15_231060605至客户运费">#REF!</definedName>
    <definedName name="_15ÑÔN_GIAÙ">#REF!</definedName>
    <definedName name="_16_231060701赠送品">#REF!</definedName>
    <definedName name="_160201">#REF!</definedName>
    <definedName name="_160202">#REF!</definedName>
    <definedName name="_160203">#REF!</definedName>
    <definedName name="_160402">#REF!</definedName>
    <definedName name="_16SOÁ_CTÖØ">#REF!</definedName>
    <definedName name="_17_231060702促销活动费">#REF!</definedName>
    <definedName name="_17SOÁ_LÖÔÏNG">#REF!</definedName>
    <definedName name="_18_2310608办公室租金">#REF!</definedName>
    <definedName name="_19_2310609贴息费用">#REF!</definedName>
    <definedName name="_19T02_" localSheetId="4">{"Book1"}</definedName>
    <definedName name="_19T02_" localSheetId="7">{"Book1"}</definedName>
    <definedName name="_19T02_" localSheetId="6">{"Book1"}</definedName>
    <definedName name="_19T02_">{"Book1"}</definedName>
    <definedName name="_1BA2500">#REF!</definedName>
    <definedName name="_1BA3250">#REF!</definedName>
    <definedName name="_1BA400P">#REF!</definedName>
    <definedName name="_1CAP001">#REF!</definedName>
    <definedName name="_1CAP011">#REF!</definedName>
    <definedName name="_1CAP012">#REF!</definedName>
    <definedName name="_1CDHT03">#REF!</definedName>
    <definedName name="_1CHANG2">#REF!</definedName>
    <definedName name="_1DADOI1">#REF!</definedName>
    <definedName name="_1DAU002">#REF!</definedName>
    <definedName name="_1DDAY03">#REF!</definedName>
    <definedName name="_1DDTT01">#REF!</definedName>
    <definedName name="_1FCO101">#REF!</definedName>
    <definedName name="_1GIA101">#REF!</definedName>
    <definedName name="_1LA1001">#REF!</definedName>
    <definedName name="_1LP">#REF!</definedName>
    <definedName name="_1MCCBO2">#REF!</definedName>
    <definedName name="_1Personal_Einga_e">#REF!,#REF!,#REF!,#REF!,#REF!,#REF!,#REF!,#REF!,#REF!,#REF!,#REF!,#REF!,#REF!</definedName>
    <definedName name="_1PKCAP1">#REF!</definedName>
    <definedName name="_1PKIEN2">#REF!</definedName>
    <definedName name="_1PKTT01">#REF!</definedName>
    <definedName name="_1TCD101">#REF!</definedName>
    <definedName name="_1TCD201">#REF!</definedName>
    <definedName name="_1TCD203">#REF!</definedName>
    <definedName name="_1TD2001">#REF!</definedName>
    <definedName name="_1TIHT01">#REF!</definedName>
    <definedName name="_1TIHT06">#REF!</definedName>
    <definedName name="_1TIHT07">#REF!</definedName>
    <definedName name="_1TRU121">#REF!</definedName>
    <definedName name="_1月">#REF!</definedName>
    <definedName name="_1月G机差异">#REF!</definedName>
    <definedName name="_1月G机标准">#REF!</definedName>
    <definedName name="_1月差异">#REF!</definedName>
    <definedName name="_1月总装波轮机差异">#REF!</definedName>
    <definedName name="_1月标准">#REF!</definedName>
    <definedName name="_1月波轮总装标准">#REF!</definedName>
    <definedName name="_1月直接">#REF!</definedName>
    <definedName name="_1月费用">#REF!</definedName>
    <definedName name="_1月间接">#REF!</definedName>
    <definedName name="_2">#N/A</definedName>
    <definedName name="_2_231060401邮寄电汇费">#REF!</definedName>
    <definedName name="_20_231061001维修零件费用">#REF!</definedName>
    <definedName name="_201601">#REF!</definedName>
    <definedName name="_201601001">#REF!</definedName>
    <definedName name="_201601002">#REF!</definedName>
    <definedName name="_201601003">#REF!</definedName>
    <definedName name="_201601005">#REF!</definedName>
    <definedName name="_201601预提">#REF!</definedName>
    <definedName name="_201602">#REF!</definedName>
    <definedName name="_201602在产品">#REF!</definedName>
    <definedName name="_201602差异">#REF!</definedName>
    <definedName name="_201603">#REF!</definedName>
    <definedName name="_20160301">#REF!</definedName>
    <definedName name="_20160302">#REF!</definedName>
    <definedName name="_20160306">#REF!</definedName>
    <definedName name="_20160307">#REF!</definedName>
    <definedName name="_20160502">#REF!</definedName>
    <definedName name="_20160503">#REF!</definedName>
    <definedName name="_20160504">#REF!</definedName>
    <definedName name="_20160505">#REF!</definedName>
    <definedName name="_20160507">#REF!</definedName>
    <definedName name="_201606007">#REF!</definedName>
    <definedName name="_20160601">#REF!</definedName>
    <definedName name="_20160602">#REF!</definedName>
    <definedName name="_20160603">#REF!</definedName>
    <definedName name="_20160701">#REF!</definedName>
    <definedName name="_20160702">#REF!</definedName>
    <definedName name="_20160703">#REF!</definedName>
    <definedName name="_20160705">#REF!</definedName>
    <definedName name="_20160801">#REF!</definedName>
    <definedName name="_20160802">#REF!</definedName>
    <definedName name="_20160804">#REF!</definedName>
    <definedName name="_20160805">#REF!</definedName>
    <definedName name="_20160806">#REF!</definedName>
    <definedName name="_20160807">#REF!</definedName>
    <definedName name="_201608预提">#REF!</definedName>
    <definedName name="_201609">#REF!</definedName>
    <definedName name="_20161101">#REF!</definedName>
    <definedName name="_20161102">#REF!</definedName>
    <definedName name="_20161103">#REF!</definedName>
    <definedName name="_20161104">#REF!</definedName>
    <definedName name="_20161105">#REF!</definedName>
    <definedName name="_20161201">#REF!</definedName>
    <definedName name="_20161204">#REF!</definedName>
    <definedName name="_20161206">#REF!</definedName>
    <definedName name="_20161208">#REF!</definedName>
    <definedName name="_2016年水">#REF!</definedName>
    <definedName name="_201701">#REF!</definedName>
    <definedName name="_20170101">#REF!</definedName>
    <definedName name="_20170102">#REF!</definedName>
    <definedName name="_20170103">#REF!</definedName>
    <definedName name="_20170104">#REF!</definedName>
    <definedName name="_20170105">#REF!</definedName>
    <definedName name="_20170109">#REF!</definedName>
    <definedName name="_201701销售">#REF!</definedName>
    <definedName name="_20170201">#REF!</definedName>
    <definedName name="_20170202">#REF!</definedName>
    <definedName name="_20170203">#REF!</definedName>
    <definedName name="_20170204">#REF!</definedName>
    <definedName name="_20170205">#REF!</definedName>
    <definedName name="_20170206">#REF!</definedName>
    <definedName name="_20170207">#REF!</definedName>
    <definedName name="_201702224210">#REF!</definedName>
    <definedName name="_20170301">#REF!</definedName>
    <definedName name="_20170302">#REF!</definedName>
    <definedName name="_20170303">#REF!</definedName>
    <definedName name="_20170304">#REF!</definedName>
    <definedName name="_20170306">#REF!</definedName>
    <definedName name="_20170401">#REF!</definedName>
    <definedName name="_20170402">#REF!</definedName>
    <definedName name="_20170403">#REF!</definedName>
    <definedName name="_20170404">#REF!</definedName>
    <definedName name="_20170405">#REF!</definedName>
    <definedName name="_20170501">#REF!</definedName>
    <definedName name="_20170502">#REF!</definedName>
    <definedName name="_20170503">#REF!</definedName>
    <definedName name="_20170504">#REF!</definedName>
    <definedName name="_20170505">#REF!</definedName>
    <definedName name="_20170507">#REF!</definedName>
    <definedName name="_20170508">#REF!</definedName>
    <definedName name="_20170509">#REF!</definedName>
    <definedName name="_20170601">#REF!</definedName>
    <definedName name="_20170602">#REF!</definedName>
    <definedName name="_20170603">#REF!</definedName>
    <definedName name="_20170604">#REF!</definedName>
    <definedName name="_20170605">#REF!</definedName>
    <definedName name="_201706预提">#REF!</definedName>
    <definedName name="_20170701">#REF!</definedName>
    <definedName name="_20170702">#REF!</definedName>
    <definedName name="_20170703">#REF!</definedName>
    <definedName name="_20170704">#REF!</definedName>
    <definedName name="_20170801">#REF!</definedName>
    <definedName name="_20170802">#REF!</definedName>
    <definedName name="_20170803">#REF!</definedName>
    <definedName name="_20170804">#REF!</definedName>
    <definedName name="_20170805">#REF!</definedName>
    <definedName name="_20170806">#REF!</definedName>
    <definedName name="_20170901">#REF!</definedName>
    <definedName name="_20170902">#REF!</definedName>
    <definedName name="_20170903">#REF!</definedName>
    <definedName name="_20171001">#REF!</definedName>
    <definedName name="_20171101">#REF!</definedName>
    <definedName name="_20171102">#REF!</definedName>
    <definedName name="_20171103">#REF!</definedName>
    <definedName name="_20171104">#REF!</definedName>
    <definedName name="_20171105">#REF!</definedName>
    <definedName name="_20171106">#REF!</definedName>
    <definedName name="_20171107">#REF!</definedName>
    <definedName name="_20171201">#REF!</definedName>
    <definedName name="_20171202">#REF!</definedName>
    <definedName name="_20171203">#REF!</definedName>
    <definedName name="_20171204">#REF!</definedName>
    <definedName name="_20171205">#REF!</definedName>
    <definedName name="_20171206">#REF!</definedName>
    <definedName name="_2017年水">#REF!</definedName>
    <definedName name="_20180101">#REF!</definedName>
    <definedName name="_20180102">#REF!</definedName>
    <definedName name="_20180103">#REF!</definedName>
    <definedName name="_20180104">#REF!</definedName>
    <definedName name="_20180105">#REF!</definedName>
    <definedName name="_20180201">#REF!</definedName>
    <definedName name="_20180202">#REF!</definedName>
    <definedName name="_20180203">#REF!</definedName>
    <definedName name="_20180204">#REF!</definedName>
    <definedName name="_20180205">#REF!</definedName>
    <definedName name="_20180208">#REF!</definedName>
    <definedName name="_20180301">#REF!</definedName>
    <definedName name="_20180302">#REF!</definedName>
    <definedName name="_20180303">#REF!</definedName>
    <definedName name="_20180305">#REF!</definedName>
    <definedName name="_20180306">#REF!</definedName>
    <definedName name="_20180309">#REF!</definedName>
    <definedName name="_20180401">#REF!</definedName>
    <definedName name="_20180402">#REF!</definedName>
    <definedName name="_20180403">#REF!</definedName>
    <definedName name="_20180404">#REF!</definedName>
    <definedName name="_20180501">#REF!</definedName>
    <definedName name="_20180502">#REF!</definedName>
    <definedName name="_20180503">#REF!</definedName>
    <definedName name="_20180504">#REF!</definedName>
    <definedName name="_20180506">#REF!</definedName>
    <definedName name="_20180601">#REF!</definedName>
    <definedName name="_20180602">#REF!</definedName>
    <definedName name="_20180603">#REF!</definedName>
    <definedName name="_20180605">#REF!</definedName>
    <definedName name="_201806预提">#REF!</definedName>
    <definedName name="_20180701">#REF!</definedName>
    <definedName name="_20180702">#REF!</definedName>
    <definedName name="_20180703">#REF!</definedName>
    <definedName name="_20180704">#REF!</definedName>
    <definedName name="_20180705">#REF!</definedName>
    <definedName name="_20180709">#REF!</definedName>
    <definedName name="_20180801">#REF!</definedName>
    <definedName name="_20180802">#REF!</definedName>
    <definedName name="_20180803">#REF!</definedName>
    <definedName name="_20180804">#REF!</definedName>
    <definedName name="_20180805">#REF!</definedName>
    <definedName name="_20180808">#REF!</definedName>
    <definedName name="_20180901">#REF!</definedName>
    <definedName name="_20180902">#REF!</definedName>
    <definedName name="_20180903">#REF!</definedName>
    <definedName name="_20180904">#REF!</definedName>
    <definedName name="_20180905">#REF!</definedName>
    <definedName name="_20180906">#REF!</definedName>
    <definedName name="_20180907">#REF!</definedName>
    <definedName name="_20181001">#REF!</definedName>
    <definedName name="_20181002">#REF!</definedName>
    <definedName name="_20181003">#REF!</definedName>
    <definedName name="_20181004">#REF!</definedName>
    <definedName name="_20181005">#REF!</definedName>
    <definedName name="_20181006">#REF!</definedName>
    <definedName name="_20181101">#REF!</definedName>
    <definedName name="_20181102">#REF!</definedName>
    <definedName name="_20181103">#REF!</definedName>
    <definedName name="_20181104">#REF!</definedName>
    <definedName name="_20181105">#REF!</definedName>
    <definedName name="_201811预提">#REF!</definedName>
    <definedName name="_201812">#REF!</definedName>
    <definedName name="_20181201">#REF!</definedName>
    <definedName name="_20181202">#REF!</definedName>
    <definedName name="_20181203">#REF!</definedName>
    <definedName name="_20181204">#REF!</definedName>
    <definedName name="_20181205">#REF!</definedName>
    <definedName name="_20181206">#REF!</definedName>
    <definedName name="_201901">#REF!</definedName>
    <definedName name="_20190101">#REF!</definedName>
    <definedName name="_20190102">#REF!</definedName>
    <definedName name="_20190103">#REF!</definedName>
    <definedName name="_20190105">#REF!</definedName>
    <definedName name="_20190201">#REF!</definedName>
    <definedName name="_20190203">#REF!</definedName>
    <definedName name="_20190205">#REF!</definedName>
    <definedName name="_20190206">#REF!</definedName>
    <definedName name="_20190208">#REF!</definedName>
    <definedName name="_20190301">#REF!</definedName>
    <definedName name="_20190302">#REF!</definedName>
    <definedName name="_20190303">#REF!</definedName>
    <definedName name="_20190306">#REF!</definedName>
    <definedName name="_20190309">#REF!</definedName>
    <definedName name="_20190401">#REF!</definedName>
    <definedName name="_20190402">#REF!</definedName>
    <definedName name="_20190403">#REF!</definedName>
    <definedName name="_20190404">#REF!</definedName>
    <definedName name="_20190406">#REF!</definedName>
    <definedName name="_20190409">#REF!</definedName>
    <definedName name="_20190410">#REF!</definedName>
    <definedName name="_20190501">#REF!</definedName>
    <definedName name="_20190502">#REF!</definedName>
    <definedName name="_20190503">#REF!</definedName>
    <definedName name="_20190504">#REF!</definedName>
    <definedName name="_20190505">#REF!</definedName>
    <definedName name="_20190507">#REF!</definedName>
    <definedName name="_20190508">#REF!</definedName>
    <definedName name="_20190509">#REF!</definedName>
    <definedName name="_20190510">#REF!</definedName>
    <definedName name="_20190601">#REF!</definedName>
    <definedName name="_20190602">#REF!</definedName>
    <definedName name="_20190603">#REF!</definedName>
    <definedName name="_20190605">#REF!</definedName>
    <definedName name="_20190606">#REF!</definedName>
    <definedName name="_20190701">#REF!</definedName>
    <definedName name="_20190702">#REF!</definedName>
    <definedName name="_20190703">#REF!</definedName>
    <definedName name="_20190705">#REF!</definedName>
    <definedName name="_20190706">#REF!</definedName>
    <definedName name="_20190801">#REF!</definedName>
    <definedName name="_20190802">#REF!</definedName>
    <definedName name="_20190803">#REF!</definedName>
    <definedName name="_20190804">#REF!</definedName>
    <definedName name="_20190805">#REF!</definedName>
    <definedName name="_20190806">#REF!</definedName>
    <definedName name="_20190807">#REF!</definedName>
    <definedName name="_20190901">#REF!</definedName>
    <definedName name="_20190902">#REF!</definedName>
    <definedName name="_20190903">#REF!</definedName>
    <definedName name="_20190904">#REF!</definedName>
    <definedName name="_20190905">#REF!</definedName>
    <definedName name="_20190908">#REF!</definedName>
    <definedName name="_20190909">#REF!</definedName>
    <definedName name="_20190910">#REF!</definedName>
    <definedName name="_20190911">#REF!</definedName>
    <definedName name="_20191001">#REF!</definedName>
    <definedName name="_20191002">#REF!</definedName>
    <definedName name="_20191003">#REF!</definedName>
    <definedName name="_20191004">#REF!</definedName>
    <definedName name="_20191005">#REF!</definedName>
    <definedName name="_20191008">#REF!</definedName>
    <definedName name="_20191101">#REF!</definedName>
    <definedName name="_20191102">#REF!</definedName>
    <definedName name="_20191103">#REF!</definedName>
    <definedName name="_20191105">#REF!</definedName>
    <definedName name="_20191201">#REF!</definedName>
    <definedName name="_20191202">#REF!</definedName>
    <definedName name="_20191203">#REF!</definedName>
    <definedName name="_20191204">#REF!</definedName>
    <definedName name="_20191205">#REF!</definedName>
    <definedName name="_20191206">#REF!</definedName>
    <definedName name="_20191207">#REF!</definedName>
    <definedName name="_20191208">#REF!</definedName>
    <definedName name="_20191209">#REF!</definedName>
    <definedName name="_20191210">#REF!</definedName>
    <definedName name="_20200110">#REF!</definedName>
    <definedName name="_20200201">#REF!</definedName>
    <definedName name="_20200202">#REF!</definedName>
    <definedName name="_20200203">#REF!</definedName>
    <definedName name="_20200301">#REF!</definedName>
    <definedName name="_20200302">#REF!</definedName>
    <definedName name="_20200303">#REF!</definedName>
    <definedName name="_20200304">#REF!</definedName>
    <definedName name="_20200305">#REF!</definedName>
    <definedName name="_20200309">#REF!</definedName>
    <definedName name="_20200401">#REF!</definedName>
    <definedName name="_20200402">#REF!</definedName>
    <definedName name="_20200403">#REF!</definedName>
    <definedName name="_20200405">#REF!</definedName>
    <definedName name="_20200501">#REF!</definedName>
    <definedName name="_20200502">#REF!</definedName>
    <definedName name="_20200503">#REF!</definedName>
    <definedName name="_20200504">#REF!</definedName>
    <definedName name="_20200601">#REF!</definedName>
    <definedName name="_20200602">#REF!</definedName>
    <definedName name="_20200603">#REF!</definedName>
    <definedName name="_20200701">#REF!</definedName>
    <definedName name="_20200702">#REF!</definedName>
    <definedName name="_20200703">#REF!</definedName>
    <definedName name="_20200706">#REF!</definedName>
    <definedName name="_20200801">#REF!</definedName>
    <definedName name="_20200802">#REF!</definedName>
    <definedName name="_20200803">#REF!</definedName>
    <definedName name="_20200804">#REF!</definedName>
    <definedName name="_20200805">#REF!</definedName>
    <definedName name="_20200901">#REF!</definedName>
    <definedName name="_20200902">#REF!</definedName>
    <definedName name="_20200903">#REF!</definedName>
    <definedName name="_20200904">#REF!</definedName>
    <definedName name="_20201001">#REF!</definedName>
    <definedName name="_20201002">#REF!</definedName>
    <definedName name="_20201003">#REF!</definedName>
    <definedName name="_20201102">#REF!</definedName>
    <definedName name="_20201103">#REF!</definedName>
    <definedName name="_20201105">#REF!</definedName>
    <definedName name="_20201203">#REF!</definedName>
    <definedName name="_20201205">#REF!</definedName>
    <definedName name="_20210202">#REF!</definedName>
    <definedName name="_20210203">#REF!</definedName>
    <definedName name="_20210301">#REF!</definedName>
    <definedName name="_20210302">#REF!</definedName>
    <definedName name="_20210401">#REF!</definedName>
    <definedName name="_20210402">#REF!</definedName>
    <definedName name="_20210403">#REF!</definedName>
    <definedName name="_20210404">#REF!</definedName>
    <definedName name="_2021年">#REF!</definedName>
    <definedName name="_20TEÂN_HAØNG">#REF!</definedName>
    <definedName name="_21">#REF!</definedName>
    <definedName name="_21_231061101电视收音机">#REF!</definedName>
    <definedName name="_21TEÂN_KHAÙCH_HAØ">#REF!</definedName>
    <definedName name="_22_231061102出版物">#REF!</definedName>
    <definedName name="_224210">#REF!</definedName>
    <definedName name="_22421002">#REF!</definedName>
    <definedName name="_22421006">#REF!</definedName>
    <definedName name="_2242100601">#REF!</definedName>
    <definedName name="_22THAØNH_TIEÀN">#REF!</definedName>
    <definedName name="_23_231061103海报广告">#REF!</definedName>
    <definedName name="_231060302固话">#REF!</definedName>
    <definedName name="_231060401邮寄费">#REF!</definedName>
    <definedName name="_231060402文具印刷">#REF!</definedName>
    <definedName name="_231060402文具印刷费">#REF!</definedName>
    <definedName name="_231060403办公其他费用">#REF!</definedName>
    <definedName name="_231060501飞机票费">#REF!</definedName>
    <definedName name="_231060502火车轮船">#REF!</definedName>
    <definedName name="_231060503其他交通费">#REF!</definedName>
    <definedName name="_231060505出差补助">#REF!</definedName>
    <definedName name="_231060506住宿费">#REF!</definedName>
    <definedName name="_231060510杂费">#REF!</definedName>
    <definedName name="_231060601至经营部运费">#REF!</definedName>
    <definedName name="_231060604其他运费">#REF!</definedName>
    <definedName name="_231060605至客户运费">#REF!</definedName>
    <definedName name="_231060701赠送品">#REF!</definedName>
    <definedName name="_231060702促销活动费">#REF!</definedName>
    <definedName name="_2310608办公室租金">#REF!</definedName>
    <definedName name="_2310609贴息费用">#REF!</definedName>
    <definedName name="_231061001维修零件费用">#REF!</definedName>
    <definedName name="_231061101电视收音机">#REF!</definedName>
    <definedName name="_231061102出版物">#REF!</definedName>
    <definedName name="_231061103海报广告">#REF!</definedName>
    <definedName name="_231061105目录和手册">#REF!</definedName>
    <definedName name="_231061106门头广告">#REF!</definedName>
    <definedName name="_231061107商场展销费">#REF!</definedName>
    <definedName name="_231061108展会费">#REF!</definedName>
    <definedName name="_231061110其他">#REF!</definedName>
    <definedName name="_231061203">#REF!</definedName>
    <definedName name="_231061301电费">#REF!</definedName>
    <definedName name="_231061302燃油">#REF!</definedName>
    <definedName name="_231061303保暖费">#REF!</definedName>
    <definedName name="_231061304">#REF!</definedName>
    <definedName name="_231061304水">#REF!</definedName>
    <definedName name="_231061401客户">#REF!</definedName>
    <definedName name="_231061402个人">#REF!</definedName>
    <definedName name="_2310615安装费">#REF!</definedName>
    <definedName name="_231061601进场费">#REF!</definedName>
    <definedName name="_231061602节庆店庆费">#REF!</definedName>
    <definedName name="_231061603赞助费">#REF!</definedName>
    <definedName name="_231061604促销员管理费">#REF!</definedName>
    <definedName name="_231061610渠道费其他">#REF!</definedName>
    <definedName name="_2310617折旧修理费">#REF!</definedName>
    <definedName name="_2310621仓租">#REF!</definedName>
    <definedName name="_2310622仓库管理成本">#REF!</definedName>
    <definedName name="_2310650其他">#REF!</definedName>
    <definedName name="_23TRÒ_GIAÙ">#REF!</definedName>
    <definedName name="_24_231061105目录和手册">#REF!</definedName>
    <definedName name="_24TRÒ_GIAÙ__VAT">#REF!</definedName>
    <definedName name="_25_231061106门头广告">#REF!</definedName>
    <definedName name="_26_231061107商场展销费">#REF!</definedName>
    <definedName name="_261203">#REF!</definedName>
    <definedName name="_27_231061108展会费">#REF!</definedName>
    <definedName name="_28_231061110其他">#REF!</definedName>
    <definedName name="_29_231061203">#REF!</definedName>
    <definedName name="_2BLA100">#REF!</definedName>
    <definedName name="_2CHANG1">#REF!</definedName>
    <definedName name="_2CHANG2">#REF!</definedName>
    <definedName name="_2DADOI1">#REF!</definedName>
    <definedName name="_2DAL201">#REF!</definedName>
    <definedName name="_2KD0222">#REF!</definedName>
    <definedName name="_2LP">#REF!</definedName>
    <definedName name="_2TD2001">#REF!</definedName>
    <definedName name="_2月">#REF!</definedName>
    <definedName name="_2月G机差异">#REF!</definedName>
    <definedName name="_2月G机标准">#REF!</definedName>
    <definedName name="_2月Q机差异">#REF!</definedName>
    <definedName name="_2月Q机标准">#REF!</definedName>
    <definedName name="_3_119_8">#REF!</definedName>
    <definedName name="_3_20190418">#REF!</definedName>
    <definedName name="_3_231060401邮寄费">#REF!</definedName>
    <definedName name="_30_231061301电费">#REF!</definedName>
    <definedName name="_31_231061302">#REF!</definedName>
    <definedName name="_32_231061302燃油">#REF!</definedName>
    <definedName name="_33_231061303保暖费">#REF!</definedName>
    <definedName name="_34_231061304">#REF!</definedName>
    <definedName name="_35_231061304水">#REF!</definedName>
    <definedName name="_36_231061401客户">#REF!</definedName>
    <definedName name="_37_231061402个人">#REF!</definedName>
    <definedName name="_38_2310615安装费">#REF!</definedName>
    <definedName name="_39_231061601进场费">#REF!</definedName>
    <definedName name="_3BLXMD">#REF!</definedName>
    <definedName name="_3BOAG01">#REF!</definedName>
    <definedName name="_3COSSE1">#REF!</definedName>
    <definedName name="_3CTKHAC">#REF!</definedName>
    <definedName name="_3DMINO1">#REF!</definedName>
    <definedName name="_3DMINO2">#REF!</definedName>
    <definedName name="_3DUPSSS">#REF!</definedName>
    <definedName name="_3HTTR01">#REF!</definedName>
    <definedName name="_3HTTR02">#REF!</definedName>
    <definedName name="_3HTTR03">#REF!</definedName>
    <definedName name="_3HTTR04">#REF!</definedName>
    <definedName name="_3HTTR05">#REF!</definedName>
    <definedName name="_3MAÕ_HAØNG">#REF!</definedName>
    <definedName name="_3PKDOM1">#REF!</definedName>
    <definedName name="_3PKDOM2">#REF!</definedName>
    <definedName name="_3TRU122">#REF!</definedName>
    <definedName name="_3TU0609">#REF!</definedName>
    <definedName name="_3月">#REF!</definedName>
    <definedName name="_3月G机差异">#REF!</definedName>
    <definedName name="_3月G机标准">#REF!</definedName>
    <definedName name="_3月Q机差异">#REF!</definedName>
    <definedName name="_3月Q机标准">#REF!</definedName>
    <definedName name="_4_123">#REF!</definedName>
    <definedName name="_4_231060402文具印刷">#REF!</definedName>
    <definedName name="_40_231061602节庆店庆费">#REF!</definedName>
    <definedName name="_4010103在产品差异">#REF!</definedName>
    <definedName name="_41_231061603赞助费">#REF!</definedName>
    <definedName name="_42_231061604促销员管理费">#REF!</definedName>
    <definedName name="_43_231061610渠道费其他">#REF!</definedName>
    <definedName name="_430.001">#REF!</definedName>
    <definedName name="_44_2310617折旧修理费">#REF!</definedName>
    <definedName name="_45_2310621仓租">#REF!</definedName>
    <definedName name="_456">#REF!</definedName>
    <definedName name="_46_2310622仓库管理成本">#REF!</definedName>
    <definedName name="_47_2310650其他">#REF!</definedName>
    <definedName name="_48_80001">#REF!</definedName>
    <definedName name="_49_86003">#REF!</definedName>
    <definedName name="_4CNT240">#REF!</definedName>
    <definedName name="_4CTL240">#REF!</definedName>
    <definedName name="_4FCO100">#REF!</definedName>
    <definedName name="_4HDCTT4">#REF!</definedName>
    <definedName name="_4HNCTT4">#REF!</definedName>
    <definedName name="_4LBCO01">#REF!</definedName>
    <definedName name="_4MAÕ_SOÁ_THUEÁ">#REF!</definedName>
    <definedName name="_4OSLCTT">#REF!</definedName>
    <definedName name="_4月">#REF!</definedName>
    <definedName name="_4月B箱体差异">#REF!</definedName>
    <definedName name="_4月B箱体材料">#REF!</definedName>
    <definedName name="_4月G机箱体差异">#REF!</definedName>
    <definedName name="_4月G机箱体材料">#REF!</definedName>
    <definedName name="_4月G机车间差异">#REF!</definedName>
    <definedName name="_4月G机车间材料">#REF!</definedName>
    <definedName name="_4月Q机车间差异">#REF!</definedName>
    <definedName name="_4月Q机车间材料">#REF!</definedName>
    <definedName name="_4月制造费用">#REF!</definedName>
    <definedName name="_4月注塑差异">#REF!</definedName>
    <definedName name="_4月注塑材料">#REF!</definedName>
    <definedName name="_5_131">#REF!</definedName>
    <definedName name="_5_231060402文具印刷费">#REF!</definedName>
    <definedName name="_50_86004">#REF!</definedName>
    <definedName name="_5001010201">#REF!</definedName>
    <definedName name="_5001010202">#REF!</definedName>
    <definedName name="_500101020601">#REF!</definedName>
    <definedName name="_500102">#REF!</definedName>
    <definedName name="_501">#REF!</definedName>
    <definedName name="_501_2">#REF!</definedName>
    <definedName name="_502">#REF!</definedName>
    <definedName name="_50202">#REF!</definedName>
    <definedName name="_50202出口">#REF!</definedName>
    <definedName name="_50202出口12月">#REF!</definedName>
    <definedName name="_50202出口销售">#REF!</definedName>
    <definedName name="_50202出口销机">#REF!</definedName>
    <definedName name="_50203">#REF!</definedName>
    <definedName name="_50203出口CANDY">#REF!</definedName>
    <definedName name="_50203出口CANDY12月">#REF!</definedName>
    <definedName name="_50203直接出口CANDY">#REF!</definedName>
    <definedName name="_50205定牌销售">#REF!</definedName>
    <definedName name="_502出口">#REF!</definedName>
    <definedName name="_5080591">#REF!</definedName>
    <definedName name="_51_86005">#REF!</definedName>
    <definedName name="_51010401">#REF!</definedName>
    <definedName name="_51010402">#REF!</definedName>
    <definedName name="_51010403">#REF!</definedName>
    <definedName name="_51010404">#REF!</definedName>
    <definedName name="_510105">#REF!</definedName>
    <definedName name="_510142">#REF!</definedName>
    <definedName name="_52_86006">#REF!</definedName>
    <definedName name="_53_86007">#REF!</definedName>
    <definedName name="_54_86008">#REF!</definedName>
    <definedName name="_5GG1_" localSheetId="4" hidden="1">{#N/A,#N/A,FALSE,"Aging Summary";#N/A,#N/A,FALSE,"Ratio Analysis";#N/A,#N/A,FALSE,"Test 120 Day Accts";#N/A,#N/A,FALSE,"Tickmarks"}</definedName>
    <definedName name="_5GG1_" localSheetId="7" hidden="1">{#N/A,#N/A,FALSE,"Aging Summary";#N/A,#N/A,FALSE,"Ratio Analysis";#N/A,#N/A,FALSE,"Test 120 Day Accts";#N/A,#N/A,FALSE,"Tickmarks"}</definedName>
    <definedName name="_5GG1_" localSheetId="6" hidden="1">{#N/A,#N/A,FALSE,"Aging Summary";#N/A,#N/A,FALSE,"Ratio Analysis";#N/A,#N/A,FALSE,"Test 120 Day Accts";#N/A,#N/A,FALSE,"Tickmarks"}</definedName>
    <definedName name="_5GG1_" hidden="1">{#N/A,#N/A,FALSE,"Aging Summary";#N/A,#N/A,FALSE,"Ratio Analysis";#N/A,#N/A,FALSE,"Test 120 Day Accts";#N/A,#N/A,FALSE,"Tickmarks"}</definedName>
    <definedName name="_5ÑÔN_GIAÙ">#REF!</definedName>
    <definedName name="_6">#REF!</definedName>
    <definedName name="_6_13120">#REF!</definedName>
    <definedName name="_6_231060403办公其他费用">#REF!</definedName>
    <definedName name="_65">#REF!</definedName>
    <definedName name="_67">#REF!</definedName>
    <definedName name="_6SOÁ_CTÖØ">#REF!</definedName>
    <definedName name="_6月">#REF!</definedName>
    <definedName name="_7_134_138">#REF!</definedName>
    <definedName name="_7_231060501飞机票费">#REF!</definedName>
    <definedName name="_7GG2_" localSheetId="4" hidden="1">{#N/A,#N/A,FALSE,"Aging Summary";#N/A,#N/A,FALSE,"Ratio Analysis";#N/A,#N/A,FALSE,"Test 120 Day Accts";#N/A,#N/A,FALSE,"Tickmarks"}</definedName>
    <definedName name="_7GG2_" localSheetId="7" hidden="1">{#N/A,#N/A,FALSE,"Aging Summary";#N/A,#N/A,FALSE,"Ratio Analysis";#N/A,#N/A,FALSE,"Test 120 Day Accts";#N/A,#N/A,FALSE,"Tickmarks"}</definedName>
    <definedName name="_7GG2_" localSheetId="6" hidden="1">{#N/A,#N/A,FALSE,"Aging Summary";#N/A,#N/A,FALSE,"Ratio Analysis";#N/A,#N/A,FALSE,"Test 120 Day Accts";#N/A,#N/A,FALSE,"Tickmarks"}</definedName>
    <definedName name="_7GG2_" hidden="1">{#N/A,#N/A,FALSE,"Aging Summary";#N/A,#N/A,FALSE,"Ratio Analysis";#N/A,#N/A,FALSE,"Test 120 Day Accts";#N/A,#N/A,FALSE,"Tickmarks"}</definedName>
    <definedName name="_7SOÁ_LÖÔÏNG">#REF!</definedName>
    <definedName name="_7月销售">#REF!</definedName>
    <definedName name="_8">#REF!</definedName>
    <definedName name="_8_231060502火车轮船">#REF!</definedName>
    <definedName name="_80001">#REF!</definedName>
    <definedName name="_86003">#REF!</definedName>
    <definedName name="_86004">#REF!</definedName>
    <definedName name="_86005">#REF!</definedName>
    <definedName name="_86006">#REF!</definedName>
    <definedName name="_86007">#REF!</definedName>
    <definedName name="_86008">#REF!</definedName>
    <definedName name="_8IV16532_">#REF!</definedName>
    <definedName name="_8TEÂN_HAØNG">#REF!</definedName>
    <definedName name="_9">#REF!</definedName>
    <definedName name="_9_231060503其他交通费">#REF!</definedName>
    <definedName name="_93">#REF!</definedName>
    <definedName name="_94">#REF!</definedName>
    <definedName name="_95">#REF!</definedName>
    <definedName name="_96">#REF!</definedName>
    <definedName name="_97">#REF!</definedName>
    <definedName name="_98">#REF!</definedName>
    <definedName name="_99">#REF!</definedName>
    <definedName name="_9IV17532_">#REF!</definedName>
    <definedName name="_9TEÂN_KHAÙCH_HAØ">#REF!</definedName>
    <definedName name="_9月预提">#REF!</definedName>
    <definedName name="_A">#REF!</definedName>
    <definedName name="_CON1">#REF!</definedName>
    <definedName name="_CON2">#REF!</definedName>
    <definedName name="_ddn400">#REF!</definedName>
    <definedName name="_ddn600">#REF!</definedName>
    <definedName name="_E99999">#REF!</definedName>
    <definedName name="_Fill" hidden="1">#REF!</definedName>
    <definedName name="_xlnm._FilterDatabase" localSheetId="21" hidden="1">'ACE Details_FULL'!$A$23:$V$42</definedName>
    <definedName name="_xlnm._FilterDatabase" localSheetId="12" hidden="1">'Budget assumption'!$A$1:$AB$339</definedName>
    <definedName name="_xlnm._FilterDatabase" localSheetId="19" hidden="1">MTD!$A$13:$L$234</definedName>
    <definedName name="_xlnm._FilterDatabase" localSheetId="18" hidden="1">'SAP Actual extraction'!$B$28:$K$256</definedName>
    <definedName name="_xlnm._FilterDatabase">#REF!</definedName>
    <definedName name="_GG1" localSheetId="4" hidden="1">{#N/A,#N/A,FALSE,"Aging Summary";#N/A,#N/A,FALSE,"Ratio Analysis";#N/A,#N/A,FALSE,"Test 120 Day Accts";#N/A,#N/A,FALSE,"Tickmarks"}</definedName>
    <definedName name="_GG1" localSheetId="7" hidden="1">{#N/A,#N/A,FALSE,"Aging Summary";#N/A,#N/A,FALSE,"Ratio Analysis";#N/A,#N/A,FALSE,"Test 120 Day Accts";#N/A,#N/A,FALSE,"Tickmarks"}</definedName>
    <definedName name="_GG1" localSheetId="6" hidden="1">{#N/A,#N/A,FALSE,"Aging Summary";#N/A,#N/A,FALSE,"Ratio Analysis";#N/A,#N/A,FALSE,"Test 120 Day Accts";#N/A,#N/A,FALSE,"Tickmarks"}</definedName>
    <definedName name="_GG1" hidden="1">{#N/A,#N/A,FALSE,"Aging Summary";#N/A,#N/A,FALSE,"Ratio Analysis";#N/A,#N/A,FALSE,"Test 120 Day Accts";#N/A,#N/A,FALSE,"Tickmarks"}</definedName>
    <definedName name="_GG2" localSheetId="4" hidden="1">{#N/A,#N/A,FALSE,"Aging Summary";#N/A,#N/A,FALSE,"Ratio Analysis";#N/A,#N/A,FALSE,"Test 120 Day Accts";#N/A,#N/A,FALSE,"Tickmarks"}</definedName>
    <definedName name="_GG2" localSheetId="7" hidden="1">{#N/A,#N/A,FALSE,"Aging Summary";#N/A,#N/A,FALSE,"Ratio Analysis";#N/A,#N/A,FALSE,"Test 120 Day Accts";#N/A,#N/A,FALSE,"Tickmarks"}</definedName>
    <definedName name="_GG2" localSheetId="6" hidden="1">{#N/A,#N/A,FALSE,"Aging Summary";#N/A,#N/A,FALSE,"Ratio Analysis";#N/A,#N/A,FALSE,"Test 120 Day Accts";#N/A,#N/A,FALSE,"Tickmarks"}</definedName>
    <definedName name="_GG2" hidden="1">{#N/A,#N/A,FALSE,"Aging Summary";#N/A,#N/A,FALSE,"Ratio Analysis";#N/A,#N/A,FALSE,"Test 120 Day Accts";#N/A,#N/A,FALSE,"Tickmarks"}</definedName>
    <definedName name="_gon4">#REF!</definedName>
    <definedName name="_IV16532">#REF!</definedName>
    <definedName name="_IV17532">#REF!</definedName>
    <definedName name="_IV19999">#REF!</definedName>
    <definedName name="_IV20000">#REF!</definedName>
    <definedName name="_IV60000">#REF!</definedName>
    <definedName name="_IV999999">#REF!</definedName>
    <definedName name="_IZ53">#REF!</definedName>
    <definedName name="_JZ123">#REF!</definedName>
    <definedName name="_Key1" hidden="1">#REF!</definedName>
    <definedName name="_Key2" hidden="1">#REF!</definedName>
    <definedName name="_lap1">#REF!</definedName>
    <definedName name="_lap2">#REF!</definedName>
    <definedName name="_LI1">OFFSET(#REF!,4,0,COUNTA(#REF!)-1,1)</definedName>
    <definedName name="_LI10">OFFSET(#REF!,4,0,COUNTA(#REF!)-1,1)</definedName>
    <definedName name="_LI11">OFFSET(#REF!,4,0,COUNTA(#REF!)-1,1)</definedName>
    <definedName name="_LI12">OFFSET(#REF!,4,0,COUNTA(#REF!)-1,1)</definedName>
    <definedName name="_LI13">OFFSET(#REF!,4,0,COUNTA(#REF!)-1,1)</definedName>
    <definedName name="_LI14">OFFSET(#REF!,4,0,COUNTA(#REF!)-1,1)</definedName>
    <definedName name="_LI15">OFFSET(#REF!,4,0,COUNTA(#REF!)-1,1)</definedName>
    <definedName name="_LI16">OFFSET(#REF!,4,0,COUNTA(#REF!)-1,1)</definedName>
    <definedName name="_LI17">OFFSET(#REF!,4,0,COUNTA(#REF!)-1,1)</definedName>
    <definedName name="_LI18">OFFSET(#REF!,4,0,COUNTA(#REF!)-1,1)</definedName>
    <definedName name="_LI19">OFFSET(#REF!,4,0,COUNTA(#REF!)-1,1)</definedName>
    <definedName name="_LI2">OFFSET(#REF!,4,0,COUNTA(#REF!)-1,1)</definedName>
    <definedName name="_LI20">OFFSET(#REF!,4,0,COUNTA(#REF!)-1,1)</definedName>
    <definedName name="_LI21">OFFSET(#REF!,4,0,COUNTA(#REF!)-1,1)</definedName>
    <definedName name="_LI22">OFFSET(#REF!,4,0,COUNTA(#REF!)-1,1)</definedName>
    <definedName name="_LI23">OFFSET(#REF!,4,0,COUNTA(#REF!)-1,1)</definedName>
    <definedName name="_LI24">OFFSET(#REF!,4,0,COUNTA(#REF!)-1,1)</definedName>
    <definedName name="_LI25">OFFSET(#REF!,4,0,COUNTA(#REF!)-1,1)</definedName>
    <definedName name="_LI3">OFFSET(#REF!,4,0,COUNTA(#REF!)-1,1)</definedName>
    <definedName name="_LI30">OFFSET(#REF!,4,0,COUNTA(#REF!)-1,1)</definedName>
    <definedName name="_LI4">OFFSET(#REF!,4,0,COUNTA(#REF!)-1,1)</definedName>
    <definedName name="_LI5">OFFSET(#REF!,4,0,COUNTA(#REF!)-1,1)</definedName>
    <definedName name="_LI6">OFFSET(#REF!,4,0,COUNTA(#REF!)-1,1)</definedName>
    <definedName name="_LI7">OFFSET(#REF!,4,0,COUNTA(#REF!)-1,1)</definedName>
    <definedName name="_LI8">OFFSET(#REF!,4,0,COUNTA(#REF!)-1,1)</definedName>
    <definedName name="_LI9">OFFSET(#REF!,4,0,COUNTA(#REF!)-1,1)</definedName>
    <definedName name="_LZ123">#REF!</definedName>
    <definedName name="_M136">#REF!</definedName>
    <definedName name="_M139">#REF!</definedName>
    <definedName name="_MAC12">#REF!</definedName>
    <definedName name="_MAC46">#REF!</definedName>
    <definedName name="_MZ53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rder1" hidden="1">255</definedName>
    <definedName name="_Order2" hidden="1">255</definedName>
    <definedName name="_Parse_Out" hidden="1">#REF!</definedName>
    <definedName name="_Regression_X" hidden="1">#REF!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T02" localSheetId="4">{"Book1"}</definedName>
    <definedName name="_T02" localSheetId="7">{"Book1"}</definedName>
    <definedName name="_T02" localSheetId="6">{"Book1"}</definedName>
    <definedName name="_T02">{"Book1"}</definedName>
    <definedName name="_TB1">#REF!</definedName>
    <definedName name="_TC07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VL100">#REF!</definedName>
    <definedName name="_VL200">#REF!</definedName>
    <definedName name="_VL250">#REF!</definedName>
    <definedName name="_XY123">#REF!</definedName>
    <definedName name="_YN52">#REF!</definedName>
    <definedName name="_销售09">#REF!</definedName>
    <definedName name="_预提06">#REF!</definedName>
    <definedName name="_预提08">#REF!</definedName>
    <definedName name="a" localSheetId="4">{"Book1"}</definedName>
    <definedName name="a" localSheetId="7">{"Book1"}</definedName>
    <definedName name="a" localSheetId="6">{"Book1"}</definedName>
    <definedName name="a">{"Book1"}</definedName>
    <definedName name="A_impresión_IM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_SIZE">#REF!</definedName>
    <definedName name="ABC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d">#REF!</definedName>
    <definedName name="Address">#REF!</definedName>
    <definedName name="All_Item">#REF!</definedName>
    <definedName name="ALPIN">#N/A</definedName>
    <definedName name="ALPJYOU">#N/A</definedName>
    <definedName name="ALPTOI">#N/A</definedName>
    <definedName name="April">#REF!</definedName>
    <definedName name="Arbeitsinhalte_Bemerkungen">#REF!,#REF!</definedName>
    <definedName name="Arbeitsinhalte_Eingabe">#REF!,#REF!,#REF!,#REF!</definedName>
    <definedName name="ARCHIVO">#REF!</definedName>
    <definedName name="Area_access">#REF!</definedName>
    <definedName name="Area_access_852">#REF!</definedName>
    <definedName name="AS2DocOpenMode" hidden="1">"AS2DocumentEdit"</definedName>
    <definedName name="assumptionProductionOverhead">#REF!</definedName>
    <definedName name="b">#REF!</definedName>
    <definedName name="b_240">#REF!</definedName>
    <definedName name="b_280">#REF!</definedName>
    <definedName name="b_320">#REF!</definedName>
    <definedName name="B_tinh">#REF!</definedName>
    <definedName name="Bang_cly">#REF!</definedName>
    <definedName name="Bang_CVC">#REF!</definedName>
    <definedName name="bang_gia">#REF!</definedName>
    <definedName name="Bang_travl">#REF!</definedName>
    <definedName name="BarData">#REF!</definedName>
    <definedName name="Basisdaten_Eingabe">#REF!,#REF!,#REF!,#REF!,#REF!,#REF!,#REF!,#REF!,#REF!,#REF!,#REF!,#REF!,#REF!,#REF!,#REF!,#REF!</definedName>
    <definedName name="BB">#REF!</definedName>
    <definedName name="begin10">#REF!</definedName>
    <definedName name="BIL_NO">"MO85110026"</definedName>
    <definedName name="blkh">#REF!</definedName>
    <definedName name="blkh1">#REF!</definedName>
    <definedName name="BLOCK1">#REF!</definedName>
    <definedName name="BLOCK2">#REF!</definedName>
    <definedName name="BLOCK3">#REF!</definedName>
    <definedName name="BOQ">#REF!</definedName>
    <definedName name="BREAKDOWN">#REF!</definedName>
    <definedName name="BTLT1pm">#REF!</definedName>
    <definedName name="BTLT3pm">#REF!</definedName>
    <definedName name="BTLTct">#REF!</definedName>
    <definedName name="BTLTHTDL">#REF!</definedName>
    <definedName name="BTLTHTHH">#REF!</definedName>
    <definedName name="BTRAM">#REF!</definedName>
    <definedName name="Build">1</definedName>
    <definedName name="BVCISUMMARY">#REF!</definedName>
    <definedName name="BZ">#REF!</definedName>
    <definedName name="C_O">#REF!</definedName>
    <definedName name="C_SIZE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lculocosthora">#REF!</definedName>
    <definedName name="cap">#REF!</definedName>
    <definedName name="cap0.7">#REF!</definedName>
    <definedName name="capdat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1_END_DD">"2008-05-13"</definedName>
    <definedName name="CCS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num">#REF!</definedName>
    <definedName name="CellaValuta">#REF!</definedName>
    <definedName name="ceri">#REF!</definedName>
    <definedName name="CH">#REF!</definedName>
    <definedName name="chang1pm">#REF!</definedName>
    <definedName name="chang3pm">#REF!</definedName>
    <definedName name="changct">#REF!</definedName>
    <definedName name="changht">#REF!</definedName>
    <definedName name="changHTDL">#REF!</definedName>
    <definedName name="changHTHH">#REF!</definedName>
    <definedName name="City">#REF!</definedName>
    <definedName name="CK">#REF!</definedName>
    <definedName name="CL">#REF!</definedName>
    <definedName name="clvc">#REF!</definedName>
    <definedName name="CLVC3">0.1</definedName>
    <definedName name="CLVC35">#REF!</definedName>
    <definedName name="CLVCTB">#REF!</definedName>
    <definedName name="CLVL">#REF!</definedName>
    <definedName name="CN">#REF!</definedName>
    <definedName name="Co">#REF!</definedName>
    <definedName name="Code" hidden="1">#REF!</definedName>
    <definedName name="color">#REF!</definedName>
    <definedName name="COLUMNS10">#N/A</definedName>
    <definedName name="COMMON">#REF!</definedName>
    <definedName name="Company">#REF!</definedName>
    <definedName name="COMPARATIVO">#REF!</definedName>
    <definedName name="CON_EQP_COS">#REF!</definedName>
    <definedName name="CON_EQP_COST">#REF!</definedName>
    <definedName name="Condanser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NSUMOACUMULAD">#REF!</definedName>
    <definedName name="consumomes">#REF!</definedName>
    <definedName name="CONTABILE">#REF!</definedName>
    <definedName name="COSTO">#REF!</definedName>
    <definedName name="Count_In_OnePage">1</definedName>
    <definedName name="Country">#REF!</definedName>
    <definedName name="COVER">#REF!</definedName>
    <definedName name="Cöï_ly_vaän_chuyeãn">#REF!</definedName>
    <definedName name="CÖÏ_LY_VAÄN_CHUYEÅN">#REF!</definedName>
    <definedName name="CPC">#REF!</definedName>
    <definedName name="CPVC35">#REF!</definedName>
    <definedName name="CPVCDN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dn9697">#REF!</definedName>
    <definedName name="CTIET">#REF!</definedName>
    <definedName name="ctiep">#REF!</definedName>
    <definedName name="CURRENCY">#REF!</definedName>
    <definedName name="CX">#REF!</definedName>
    <definedName name="D_7101A_B">#REF!</definedName>
    <definedName name="D_SIZE">"Dsize"</definedName>
    <definedName name="danhmuc">#REF!</definedName>
    <definedName name="data">OFFSET(#REF!,0,0,COUNTA(#REF!),COUNTA(#REF!))</definedName>
    <definedName name="DATA_DATA2_List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DATA498">OFFSET(#REF!,,,COUNTA(#REF!)-6,COUNTA(#REF!))</definedName>
    <definedName name="_xlnm.Database">#REF!</definedName>
    <definedName name="DATACAS">OFFSET(#REF!,,,COUNTA(#REF!),COUNTA(#REF!))</definedName>
    <definedName name="DATATKDT">#REF!</definedName>
    <definedName name="date">#REF!</definedName>
    <definedName name="DAY">#N/A</definedName>
    <definedName name="DD">#REF!</definedName>
    <definedName name="DDAY">#REF!</definedName>
    <definedName name="den_bu">#REF!</definedName>
    <definedName name="DEP">"外1线"</definedName>
    <definedName name="DEP_NM">""</definedName>
    <definedName name="DEPT">#REF!</definedName>
    <definedName name="df">#REF!</definedName>
    <definedName name="dfgd">#REF!</definedName>
    <definedName name="DGCTI592">#REF!</definedName>
    <definedName name="DGNC">#REF!</definedName>
    <definedName name="DGTV">#REF!</definedName>
    <definedName name="dgvc">#REF!</definedName>
    <definedName name="DGVT">#REF!</definedName>
    <definedName name="DIARIO46">#REF!</definedName>
    <definedName name="DIARIO47">#REF!</definedName>
    <definedName name="Diagramm_Eingabe">#REF!,#REF!,#REF!,#REF!,#REF!</definedName>
    <definedName name="Direct_Labor_Cost_Per_H_2022">#REF!</definedName>
    <definedName name="directlabor">#REF!</definedName>
    <definedName name="Discount" hidden="1">#REF!</definedName>
    <definedName name="display_area_2" hidden="1">#REF!</definedName>
    <definedName name="DLCC">#REF!</definedName>
    <definedName name="DM">#REF!</definedName>
    <definedName name="dobt">#REF!</definedName>
    <definedName name="Document_array" localSheetId="4">{"Thuxm2.xls","Sheet1"}</definedName>
    <definedName name="Document_array" localSheetId="7">{"Thuxm2.xls","Sheet1"}</definedName>
    <definedName name="Document_array" localSheetId="6">{"Thuxm2.xls","Sheet1"}</definedName>
    <definedName name="Document_array">{"Thuxm2.xls","Sheet1"}</definedName>
    <definedName name="DruckeMitVorschau">#N/A</definedName>
    <definedName name="DS1p1vc">#REF!</definedName>
    <definedName name="ds1p2nc">#REF!</definedName>
    <definedName name="ds1p2vc">#REF!</definedName>
    <definedName name="ds1p2vl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mnc">#REF!</definedName>
    <definedName name="ds3pmvc">#REF!</definedName>
    <definedName name="ds3pmvl">#REF!</definedName>
    <definedName name="ds3pnc">#REF!</definedName>
    <definedName name="ds3pvl">#REF!</definedName>
    <definedName name="dsct3pnc">#REF!</definedName>
    <definedName name="dsct3pvl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dt">#REF!</definedName>
    <definedName name="Durchführng">"AutoForm 5"</definedName>
    <definedName name="Durchführung">"AutoForm 5"</definedName>
    <definedName name="DWHAM0011">OFFSET(#REF!,,,COUNTA(#REF!),COUNTA(#REF!))</definedName>
    <definedName name="e">#REF!</definedName>
    <definedName name="ED_DEP_NM">"外1线"</definedName>
    <definedName name="EE_DEPDOWN_NM">""</definedName>
    <definedName name="EE_DEPUP_NM">"外1线"</definedName>
    <definedName name="EE_QTY_FIN">150</definedName>
    <definedName name="EE_TZ_DD">"2008-05-11"</definedName>
    <definedName name="EE_TZ_NO">"TZ85110078"</definedName>
    <definedName name="Einmalaufwand_Bemerkungen">#REF!,#REF!,#REF!,#REF!</definedName>
    <definedName name="Einmalaufwand_Eingabe">#REF!,#REF!,#REF!,#REF!,#REF!,#REF!,#REF!,#REF!,#REF!</definedName>
    <definedName name="ej">#REF!</definedName>
    <definedName name="Emai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">"AutoForm 3"</definedName>
    <definedName name="er">#N/A</definedName>
    <definedName name="ert">#REF!</definedName>
    <definedName name="extra">#REF!</definedName>
    <definedName name="F">#REF!</definedName>
    <definedName name="FACTOR">#REF!</definedName>
    <definedName name="FAS_TABLE_BODY">"6;1;51;6;"</definedName>
    <definedName name="FAS_TABLE_BODY_AUTOSIZE">"FALSE"</definedName>
    <definedName name="Fax">#REF!</definedName>
    <definedName name="FCode" hidden="1">#REF!</definedName>
    <definedName name="February">#REF!</definedName>
    <definedName name="Fertigungsart">#REF!</definedName>
    <definedName name="ffffff">#REF!</definedName>
    <definedName name="FFST">"BRSUM FFST"</definedName>
    <definedName name="FGService">#REF!</definedName>
    <definedName name="FiltroDati_BS">#N/A</definedName>
    <definedName name="FiltroDati_Country">#N/A</definedName>
    <definedName name="FiltroDati_Country1">#N/A</definedName>
    <definedName name="FiltroDati_month">#N/A</definedName>
    <definedName name="FiltroDati_Prodotto">#N/A</definedName>
    <definedName name="FL" localSheetId="4">IF(ISERROR(FIND("PE薄膜",V_12)),IF(ISERROR(FIND("牛皮",V_12)),"其他","包装材料_包装箱体"),"包装材料_PE")</definedName>
    <definedName name="FL" localSheetId="7">IF(ISERROR(FIND("PE薄膜",V_12)),IF(ISERROR(FIND("牛皮",V_12)),"其他","包装材料_包装箱体"),"包装材料_PE")</definedName>
    <definedName name="FL" localSheetId="6">IF(ISERROR(FIND("PE薄膜",V_12)),IF(ISERROR(FIND("牛皮",V_12)),"其他","包装材料_包装箱体"),"包装材料_PE")</definedName>
    <definedName name="FL">IF(ISERROR(FIND("PE薄膜",V_12)),IF(ISERROR(FIND("牛皮",V_12)),"其他","包装材料_包装箱体"),"包装材料_PE")</definedName>
    <definedName name="G">#REF!</definedName>
    <definedName name="G_ME">#REF!</definedName>
    <definedName name="gelb">"Ellipse 245"</definedName>
    <definedName name="GIAVLIEUTN">#REF!</definedName>
    <definedName name="gia">#REF!</definedName>
    <definedName name="Gia_CT">#REF!</definedName>
    <definedName name="gia_tien">#REF!</definedName>
    <definedName name="gia_tien_BTN">#REF!</definedName>
    <definedName name="Gia_VT">#REF!</definedName>
    <definedName name="Giocong">#REF!</definedName>
    <definedName name="gl3p">#REF!</definedName>
    <definedName name="gövde">#REF!</definedName>
    <definedName name="GROSS">#REF!</definedName>
    <definedName name="GROUP">#REF!</definedName>
    <definedName name="grün">"Ellipse 246"</definedName>
    <definedName name="GT">#REF!</definedName>
    <definedName name="GTXL">#REF!</definedName>
    <definedName name="h">#REF!</definedName>
    <definedName name="H_THUCHTHH">#REF!</definedName>
    <definedName name="H_THUCTT">#REF!</definedName>
    <definedName name="Heä_soá_laép_xaø_H">1.7</definedName>
    <definedName name="heä_soá_sình_laày">#REF!</definedName>
    <definedName name="hfi">#REF!</definedName>
    <definedName name="HHTT">#REF!</definedName>
    <definedName name="HIEU" localSheetId="4" hidden="1">{"'Sheet1'!$L$16"}</definedName>
    <definedName name="HIEU" localSheetId="7" hidden="1">{"'Sheet1'!$L$16"}</definedName>
    <definedName name="HIEU" localSheetId="6" hidden="1">{"'Sheet1'!$L$16"}</definedName>
    <definedName name="HIEU" hidden="1">{"'Sheet1'!$L$16"}</definedName>
    <definedName name="HiddenRows" hidden="1">#REF!</definedName>
    <definedName name="hien">#REF!</definedName>
    <definedName name="Hinh_thuc">"bangtra"</definedName>
    <definedName name="HOME_MANP">#REF!</definedName>
    <definedName name="HOMEOFFICE_COST">#REF!</definedName>
    <definedName name="hoten">#REF!</definedName>
    <definedName name="Hoü_vaì_tãn">#REF!</definedName>
    <definedName name="HP">#REF!</definedName>
    <definedName name="HSCT3">0.1</definedName>
    <definedName name="hsdc">#REF!</definedName>
    <definedName name="hsdc1">#REF!</definedName>
    <definedName name="HSDN">#REF!</definedName>
    <definedName name="HSHH">#REF!</definedName>
    <definedName name="HSHHUT">#REF!</definedName>
    <definedName name="hsk">#REF!</definedName>
    <definedName name="hskd">#REF!</definedName>
    <definedName name="hskk">#REF!</definedName>
    <definedName name="HSKK35">#REF!</definedName>
    <definedName name="hslx">#REF!</definedName>
    <definedName name="hslxh">#REF!</definedName>
    <definedName name="HSLXP">#REF!</definedName>
    <definedName name="HSSL">#REF!</definedName>
    <definedName name="HSVC1">#REF!</definedName>
    <definedName name="HSVC2">#REF!</definedName>
    <definedName name="HSVC3">#REF!</definedName>
    <definedName name="HTHH">#REF!</definedName>
    <definedName name="HTML_CodePage" hidden="1">1252</definedName>
    <definedName name="HTML_Control" localSheetId="4" hidden="1">{"'Foglio1'!$J$12:$M$12"}</definedName>
    <definedName name="HTML_Control" localSheetId="7" hidden="1">{"'Foglio1'!$J$12:$M$12"}</definedName>
    <definedName name="HTML_Control" localSheetId="6" hidden="1">{"'Foglio1'!$J$12:$M$12"}</definedName>
    <definedName name="HTML_Control" hidden="1">{"'Foglio1'!$J$12:$M$12"}</definedName>
    <definedName name="HTML_Description" hidden="1">""</definedName>
    <definedName name="HTML_Email" hidden="1">""</definedName>
    <definedName name="HTML_Header" hidden="1">"Foglio1"</definedName>
    <definedName name="HTML_LastUpdate" hidden="1">"22/10/99"</definedName>
    <definedName name="HTML_LineAfter" hidden="1">FALSE</definedName>
    <definedName name="HTML_LineBefore" hidden="1">FALSE</definedName>
    <definedName name="HTML_Name" hidden="1">"CANDY"</definedName>
    <definedName name="HTML_OBDlg2" hidden="1">TRUE</definedName>
    <definedName name="HTML_OBDlg4" hidden="1">TRUE</definedName>
    <definedName name="HTML_OS" hidden="1">0</definedName>
    <definedName name="HTML_PathFile" hidden="1">"C:\WINNT\Profiles\Ippolito\Personale\MioHTML.htm"</definedName>
    <definedName name="HTML_Title" hidden="1">"Auspeit"</definedName>
    <definedName name="HTNC">#REF!</definedName>
    <definedName name="HTVL">#REF!</definedName>
    <definedName name="huy" localSheetId="4" hidden="1">{"'Sheet1'!$L$16"}</definedName>
    <definedName name="huy" localSheetId="7" hidden="1">{"'Sheet1'!$L$16"}</definedName>
    <definedName name="huy" localSheetId="6" hidden="1">{"'Sheet1'!$L$16"}</definedName>
    <definedName name="huy" hidden="1">{"'Sheet1'!$L$16"}</definedName>
    <definedName name="I">#REF!</definedName>
    <definedName name="IDLAB_COST">#REF!</definedName>
    <definedName name="IND_LAB">#REF!</definedName>
    <definedName name="INDMANP">#REF!</definedName>
    <definedName name="IV">#REF!</definedName>
    <definedName name="j">#REF!</definedName>
    <definedName name="j356C8">#REF!</definedName>
    <definedName name="ja">#REF!</definedName>
    <definedName name="January">#REF!</definedName>
    <definedName name="JL">#REF!</definedName>
    <definedName name="Job_Family_Code___Title">#REF!</definedName>
    <definedName name="JP">#REF!</definedName>
    <definedName name="JULY">#N/A</definedName>
    <definedName name="K">#REF!</definedName>
    <definedName name="k2b">#REF!</definedName>
    <definedName name="kapı">#REF!</definedName>
    <definedName name="kcong">#REF!</definedName>
    <definedName name="KH_Chang">#REF!</definedName>
    <definedName name="khoi" localSheetId="4" hidden="1">{"'Sheet1'!$L$16"}</definedName>
    <definedName name="khoi" localSheetId="7" hidden="1">{"'Sheet1'!$L$16"}</definedName>
    <definedName name="khoi" localSheetId="6" hidden="1">{"'Sheet1'!$L$16"}</definedName>
    <definedName name="khoi" hidden="1">{"'Sheet1'!$L$16"}</definedName>
    <definedName name="kind">#REF!</definedName>
    <definedName name="kl_ME">#REF!</definedName>
    <definedName name="KLTHDN">#REF!</definedName>
    <definedName name="KLVANKHUON">#REF!</definedName>
    <definedName name="Kosa_aktuell">#REF!</definedName>
    <definedName name="kp1ph">#REF!</definedName>
    <definedName name="KSTK">#REF!</definedName>
    <definedName name="KVC">#REF!</definedName>
    <definedName name="L">#REF!</definedName>
    <definedName name="L_mong">#REF!</definedName>
    <definedName name="lan" localSheetId="4" hidden="1">{#N/A,#N/A,TRUE,"BT M200 da 10x20"}</definedName>
    <definedName name="lan" localSheetId="7" hidden="1">{#N/A,#N/A,TRUE,"BT M200 da 10x20"}</definedName>
    <definedName name="lan" localSheetId="6" hidden="1">{#N/A,#N/A,TRUE,"BT M200 da 10x20"}</definedName>
    <definedName name="lan" hidden="1">{#N/A,#N/A,TRUE,"BT M200 da 10x20"}</definedName>
    <definedName name="laychua" localSheetId="4">{"Thuxm2.xls","Sheet1"}</definedName>
    <definedName name="laychua" localSheetId="7">{"Thuxm2.xls","Sheet1"}</definedName>
    <definedName name="laychua" localSheetId="6">{"Thuxm2.xls","Sheet1"}</definedName>
    <definedName name="laychua">{"Thuxm2.xls","Sheet1"}</definedName>
    <definedName name="LI">OFFSET(#REF!,4,0,COUNTA(#REF!)-1,1)</definedName>
    <definedName name="LINE">#REF!</definedName>
    <definedName name="LINK">INDIRECT(#REF!&amp;"!A1")</definedName>
    <definedName name="list">#REF!</definedName>
    <definedName name="LK_hathe">#REF!</definedName>
    <definedName name="llll">#REF!</definedName>
    <definedName name="LLLLL" localSheetId="4" hidden="1">{#N/A,#N/A,FALSE,"Chi tiÆt"}</definedName>
    <definedName name="LLLLL" localSheetId="7" hidden="1">{#N/A,#N/A,FALSE,"Chi tiÆt"}</definedName>
    <definedName name="LLLLL" localSheetId="6" hidden="1">{#N/A,#N/A,FALSE,"Chi tiÆt"}</definedName>
    <definedName name="LLLLL" hidden="1">{#N/A,#N/A,FALSE,"Chi tiÆt"}</definedName>
    <definedName name="Lmk">#REF!</definedName>
    <definedName name="LN">#REF!</definedName>
    <definedName name="Loai_TD">#REF!</definedName>
    <definedName name="LOC">#REF!</definedName>
    <definedName name="location">#REF!</definedName>
    <definedName name="location1">#REF!</definedName>
    <definedName name="lVC">#REF!</definedName>
    <definedName name="m">#REF!</definedName>
    <definedName name="M102bnnc">#REF!</definedName>
    <definedName name="M102bnvl">#REF!</definedName>
    <definedName name="M10aanc">#REF!</definedName>
    <definedName name="M10aavc">#REF!</definedName>
    <definedName name="M10aavl">#REF!</definedName>
    <definedName name="M10banc">#REF!</definedName>
    <definedName name="M10bavl">#REF!</definedName>
    <definedName name="M12aavl">#REF!</definedName>
    <definedName name="M12ba3p">#REF!</definedName>
    <definedName name="M12banc">#REF!</definedName>
    <definedName name="M12bavl">#REF!</definedName>
    <definedName name="M12bb1p">#REF!</definedName>
    <definedName name="M12bbnc">#REF!</definedName>
    <definedName name="M12bbvl">#REF!</definedName>
    <definedName name="M12bnnc">#REF!</definedName>
    <definedName name="M12bnvl">#REF!</definedName>
    <definedName name="M136出口">#REF!</definedName>
    <definedName name="M14bb1p">#REF!</definedName>
    <definedName name="M14bbnc">#REF!</definedName>
    <definedName name="M14bbvc">#REF!</definedName>
    <definedName name="M14bbvl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J_CON_EQP">#REF!</definedName>
    <definedName name="MaNV">#REF!</definedName>
    <definedName name="March">#REF!</definedName>
    <definedName name="MAVANKHUON">#REF!</definedName>
    <definedName name="MAVLTHDN">#REF!</definedName>
    <definedName name="May">#REF!</definedName>
    <definedName name="Mba1p">#REF!</definedName>
    <definedName name="Mba3p">#REF!</definedName>
    <definedName name="Mbb3p">#REF!</definedName>
    <definedName name="MBnc">#REF!</definedName>
    <definedName name="MBvl">#REF!</definedName>
    <definedName name="MC">#REF!</definedName>
    <definedName name="Meilenstein">"AutoForm 4"</definedName>
    <definedName name="MG_A">#REF!</definedName>
    <definedName name="MO_NO">"MO85110026"</definedName>
    <definedName name="mod">#REF!,#REF!,#REF!,#REF!,#REF!</definedName>
    <definedName name="mong1pm">#REF!</definedName>
    <definedName name="mong3pm">#REF!</definedName>
    <definedName name="mongct">#REF!</definedName>
    <definedName name="monght">#REF!</definedName>
    <definedName name="mongHTDL">#REF!</definedName>
    <definedName name="mongHTHH">#REF!</definedName>
    <definedName name="mongneo1pm">#REF!</definedName>
    <definedName name="mongneo3pm">#REF!</definedName>
    <definedName name="mongneoct">#REF!</definedName>
    <definedName name="mongneoht">#REF!</definedName>
    <definedName name="mongneoHTDL">#REF!</definedName>
    <definedName name="mongneoHTHH">#REF!</definedName>
    <definedName name="montaj">#REF!</definedName>
    <definedName name="Moùng">#REF!</definedName>
    <definedName name="MRP_BAT_NO">""</definedName>
    <definedName name="MRP_BIL_NO">"MO85110026"</definedName>
    <definedName name="MRP_NOMBC">""</definedName>
    <definedName name="MRP_QTY_B">1.2</definedName>
    <definedName name="MRP_SPC">"NB50D"</definedName>
    <definedName name="MRP_UNIT">"件"</definedName>
    <definedName name="MRP_UNITNM_B">"件"</definedName>
    <definedName name="MRP_ZC_NAME">"外机柜"</definedName>
    <definedName name="MRP_ZC_NAME1">"外机柜"</definedName>
    <definedName name="MSCT">#REF!</definedName>
    <definedName name="MTC1P">#REF!</definedName>
    <definedName name="MTC3P">#REF!</definedName>
    <definedName name="MTCMB">#REF!</definedName>
    <definedName name="MTMAC12">#REF!</definedName>
    <definedName name="mtram">#REF!</definedName>
    <definedName name="MULTIPLICA">#REF!</definedName>
    <definedName name="n">#REF!</definedName>
    <definedName name="N1pIGnc">#REF!</definedName>
    <definedName name="N1pIGvc">#REF!</definedName>
    <definedName name="N1pIGvl">#REF!</definedName>
    <definedName name="N1pINDnc">#REF!</definedName>
    <definedName name="N1pINDvc">#REF!</definedName>
    <definedName name="N1pINDvl">#REF!</definedName>
    <definedName name="N1pINGnc">#REF!</definedName>
    <definedName name="N1pINGvc">#REF!</definedName>
    <definedName name="N1pINGvl">#REF!</definedName>
    <definedName name="N1pINTnc">#REF!</definedName>
    <definedName name="N1pINTvc">#REF!</definedName>
    <definedName name="N1pINTvl">#REF!</definedName>
    <definedName name="n1pig">#REF!</definedName>
    <definedName name="n1pind">#REF!</definedName>
    <definedName name="n1ping">#REF!</definedName>
    <definedName name="n1pint">#REF!</definedName>
    <definedName name="N1pNLnc">#REF!</definedName>
    <definedName name="N1pNLvc">#REF!</definedName>
    <definedName name="N1pNLvl">#REF!</definedName>
    <definedName name="NA">#REF!</definedName>
    <definedName name="Ñaép_ñaát">#REF!</definedName>
    <definedName name="name">#REF!</definedName>
    <definedName name="Ñaøo_ñaát_tieáp_ñòa">#REF!</definedName>
    <definedName name="nc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T3p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AØY">#REF!</definedName>
    <definedName name="NH">#REF!</definedName>
    <definedName name="NHAÂN_COÂNG" localSheetId="4">[0]!BTRAM</definedName>
    <definedName name="NHAÂN_COÂNG" localSheetId="7">[0]!BTRAM</definedName>
    <definedName name="NHAÂN_COÂNG" localSheetId="6">[0]!BTRAM</definedName>
    <definedName name="NHAÂN_COÂNG">[0]!BTRAM</definedName>
    <definedName name="Nhapsolieu">#REF!</definedName>
    <definedName name="nhn">#REF!</definedName>
    <definedName name="NHot">#REF!</definedName>
    <definedName name="NIGnc">#REF!</definedName>
    <definedName name="NIGvc">#REF!</definedName>
    <definedName name="NIGvl">#REF!</definedName>
    <definedName name="NIN190nc">#REF!</definedName>
    <definedName name="NIN190vl">#REF!</definedName>
    <definedName name="NINDnc">#REF!</definedName>
    <definedName name="NINDvc">#REF!</definedName>
    <definedName name="NINDvl">#REF!</definedName>
    <definedName name="NINnc">#REF!</definedName>
    <definedName name="NINvc">#REF!</definedName>
    <definedName name="NINvl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90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vl1p">#REF!</definedName>
    <definedName name="ning1p">#REF!</definedName>
    <definedName name="ningnc1p">#REF!</definedName>
    <definedName name="ningvl1p">#REF!</definedName>
    <definedName name="nint1p">#REF!</definedName>
    <definedName name="nintnc1p">#REF!</definedName>
    <definedName name="nintvl1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TK1p">#REF!</definedName>
    <definedName name="nn">#REF!</definedName>
    <definedName name="nn1p">#REF!</definedName>
    <definedName name="nn3p">#REF!</definedName>
    <definedName name="No">#REF!</definedName>
    <definedName name="NomeTabella">"Dummy"</definedName>
    <definedName name="nota02">#REF!</definedName>
    <definedName name="nota04">#REF!</definedName>
    <definedName name="nota10">#REF!</definedName>
    <definedName name="nota11">#REF!</definedName>
    <definedName name="nota12">#REF!</definedName>
    <definedName name="NOW">#REF!</definedName>
    <definedName name="nsl">#REF!</definedName>
    <definedName name="nx">#REF!</definedName>
    <definedName name="op">#REF!</definedName>
    <definedName name="OrderTable" hidden="1">#REF!</definedName>
    <definedName name="Org_Size">#REF!</definedName>
    <definedName name="osc">#REF!</definedName>
    <definedName name="P_12">!$V1</definedName>
    <definedName name="p_all">#REF!</definedName>
    <definedName name="P_Attributi">25</definedName>
    <definedName name="P_Dimensione">"Account"</definedName>
    <definedName name="PAPELLINER">#REF!</definedName>
    <definedName name="PAPER_LINER">#REF!</definedName>
    <definedName name="Period">#REF!</definedName>
    <definedName name="Personal_Bemerkungen">#REF!,#REF!,#REF!,#REF!,#REF!,#REF!,#REF!</definedName>
    <definedName name="Phanbothue">#REF!</definedName>
    <definedName name="Phone">#REF!</definedName>
    <definedName name="phu_luc_vua">#REF!</definedName>
    <definedName name="PK">#REF!</definedName>
    <definedName name="Plan96b" hidden="1">#REF!</definedName>
    <definedName name="PLANENE99">#REF!</definedName>
    <definedName name="Plant">#REF!</definedName>
    <definedName name="pp_1XDM">#REF!</definedName>
    <definedName name="pp_3NC">#REF!</definedName>
    <definedName name="pp_3XDM">#REF!</definedName>
    <definedName name="PRD_CHG">""</definedName>
    <definedName name="PRD_NM_C">"底盘组件"</definedName>
    <definedName name="PRD_NO">"RYF111A002B"</definedName>
    <definedName name="PRD_NOMBC">"QT10050"</definedName>
    <definedName name="PRECIO">#REF!</definedName>
    <definedName name="PRICE">#REF!</definedName>
    <definedName name="PRICE1">#REF!</definedName>
    <definedName name="PRINTA">#REF!</definedName>
    <definedName name="PRINTB">#REF!</definedName>
    <definedName name="PRINTC">#REF!</definedName>
    <definedName name="_xlnm.Print_Area">#REF!</definedName>
    <definedName name="_xlnm.Print_Titles">#REF!</definedName>
    <definedName name="Print_Titles_MI">#REF!</definedName>
    <definedName name="pro" localSheetId="4" hidden="1">{"'Foglio1'!$J$12:$M$12"}</definedName>
    <definedName name="pro" localSheetId="7" hidden="1">{"'Foglio1'!$J$12:$M$12"}</definedName>
    <definedName name="pro" localSheetId="6" hidden="1">{"'Foglio1'!$J$12:$M$12"}</definedName>
    <definedName name="pro" hidden="1">{"'Foglio1'!$J$12:$M$12"}</definedName>
    <definedName name="ProdForm" hidden="1">#REF!</definedName>
    <definedName name="Product" hidden="1">#REF!</definedName>
    <definedName name="Projekt">#REF!</definedName>
    <definedName name="PROPOSAL">#REF!</definedName>
    <definedName name="PT_Duong">#REF!</definedName>
    <definedName name="ptdg">#REF!</definedName>
    <definedName name="PTDG_cau">#REF!</definedName>
    <definedName name="PtichDTL">#N/A</definedName>
    <definedName name="PTNC">#REF!</definedName>
    <definedName name="Q">#REF!</definedName>
    <definedName name="QTY_RSV">150</definedName>
    <definedName name="QTYB_RTN">1.2</definedName>
    <definedName name="QTYMBC">150</definedName>
    <definedName name="quantity">#REF!</definedName>
    <definedName name="QUERY_DAT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nge2">#REF!</definedName>
    <definedName name="RANK">#REF!</definedName>
    <definedName name="rate">14000</definedName>
    <definedName name="RB">#REF!</definedName>
    <definedName name="RCArea" hidden="1">#REF!</definedName>
    <definedName name="_xlnm.Recorder">#REF!</definedName>
    <definedName name="RECOUT">#N/A</definedName>
    <definedName name="Recover">#REF!</definedName>
    <definedName name="REMARK_H">""</definedName>
    <definedName name="RESULT99">#REF!</definedName>
    <definedName name="RESUME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cAccount">103400</definedName>
    <definedName name="rmcCategory">"ACTUAL"</definedName>
    <definedName name="rmcFrequency">"MON"</definedName>
    <definedName name="rmcName">"CDICON"</definedName>
    <definedName name="RMCOptions">"*010000000000000"</definedName>
    <definedName name="rmcPeriod">9701</definedName>
    <definedName name="rot">"Ellipse 244"</definedName>
    <definedName name="rt">#REF!</definedName>
    <definedName name="sad">#REF!</definedName>
    <definedName name="SAV">#REF!</definedName>
    <definedName name="SBDATA">OFFSET(#REF!,0,0,COUNTA(#REF!),COUNTA(#REF!))</definedName>
    <definedName name="SC">#REF!</definedName>
    <definedName name="SCH">#REF!</definedName>
    <definedName name="sd1p">#REF!</definedName>
    <definedName name="sd3p">#REF!</definedName>
    <definedName name="SDDK">#REF!</definedName>
    <definedName name="SDMONG">#REF!</definedName>
    <definedName name="sds">#REF!</definedName>
    <definedName name="sells">#REF!</definedName>
    <definedName name="Sheet1">#REF!</definedName>
    <definedName name="ShowZeroValues">"TRUE"</definedName>
    <definedName name="sht">#REF!</definedName>
    <definedName name="sht1p">#REF!</definedName>
    <definedName name="sht3p">#REF!</definedName>
    <definedName name="SIZE">#REF!</definedName>
    <definedName name="SL_CRD">#REF!</definedName>
    <definedName name="SL_CRS">#REF!</definedName>
    <definedName name="SL_CS">#REF!</definedName>
    <definedName name="SL_DD">#REF!</definedName>
    <definedName name="slBTLT1pm">#REF!</definedName>
    <definedName name="slBTLT3pm">#REF!</definedName>
    <definedName name="slBTLTct">#REF!</definedName>
    <definedName name="slBTLTHTDL">#REF!</definedName>
    <definedName name="slBTLTHTHH">#REF!</definedName>
    <definedName name="slchang1pm">#REF!</definedName>
    <definedName name="slchang3pm">#REF!</definedName>
    <definedName name="slchangct">#REF!</definedName>
    <definedName name="slchanght">#REF!</definedName>
    <definedName name="slchangHTDL">#REF!</definedName>
    <definedName name="slchangHTHH">#REF!</definedName>
    <definedName name="slmong1pm">#REF!</definedName>
    <definedName name="slmong3pm">#REF!</definedName>
    <definedName name="slmongct">#REF!</definedName>
    <definedName name="slmonght">#REF!</definedName>
    <definedName name="slmongHTDL">#REF!</definedName>
    <definedName name="slmongHTHH">#REF!</definedName>
    <definedName name="slmongneo1pm">#REF!</definedName>
    <definedName name="slmongneo3pm">#REF!</definedName>
    <definedName name="slmongneoct">#REF!</definedName>
    <definedName name="slmongneoht">#REF!</definedName>
    <definedName name="slmongneoHTDL">#REF!</definedName>
    <definedName name="slmongneoHTHH">#REF!</definedName>
    <definedName name="sltdll1pm">#REF!</definedName>
    <definedName name="sltdll3pm">#REF!</definedName>
    <definedName name="sltdllct">#REF!</definedName>
    <definedName name="sltdllHTDL">#REF!</definedName>
    <definedName name="sltdllHTHH">#REF!</definedName>
    <definedName name="slxa1pm">#REF!</definedName>
    <definedName name="slxa3pm">#REF!</definedName>
    <definedName name="slxact">#REF!</definedName>
    <definedName name="Smart_Chart_Data_Table_27f4f82f0c0f4057bbbab2f04b9c894e">#REF!</definedName>
    <definedName name="Smart_Chart_Data_Table_5b72017a517240a799186d1337bfdfce">#REF!</definedName>
    <definedName name="Smart_Chart_Data_Table_64e0f834349d4de3b0d1a7cf5e3f4513">#REF!</definedName>
    <definedName name="Smart_Chart_Data_Table_6f6ecac17fd3421681dd9724a8c66d84">#REF!</definedName>
    <definedName name="Smart_Chart_Data_Table_91c1bef4fd55481e901bf0bd8383a99e">#REF!</definedName>
    <definedName name="Smart_Chart_Data_Table_a957bfd43f894968aaa002649366cc27">#REF!</definedName>
    <definedName name="Smart_Chart_Data_Table_c6a74c0a7dc945569ee569cd5a307e16">#REF!</definedName>
    <definedName name="Smart_Chart_Data_Table_d45706aa413a4b538c90f42abcbf26d2">#REF!</definedName>
    <definedName name="Smart_Chart_Data_Table_dbe9a02b1a194c4e9c625fa64958b6a4">#REF!</definedName>
    <definedName name="Smart_Chart_Data_Table_f05b9a942e73421db797b135b2784000">#REF!</definedName>
    <definedName name="Smart_Chart_Data_Table_f392ba94b11f479e9e0b294fefdc3d10">#REF!</definedName>
    <definedName name="Smart_Chart_Data_Table_f5e48cfbca8f4fb7b042004850329d97">#REF!</definedName>
    <definedName name="SO_NOMRP">""</definedName>
    <definedName name="soc3p">#REF!</definedName>
    <definedName name="solieu">#REF!</definedName>
    <definedName name="sort">#REF!</definedName>
    <definedName name="spec">#REF!</definedName>
    <definedName name="SpecialPrice" hidden="1">#REF!</definedName>
    <definedName name="SPECSUMMARY">#REF!</definedName>
    <definedName name="SPEND">#REF!</definedName>
    <definedName name="st1p">#REF!</definedName>
    <definedName name="st3p">#REF!</definedName>
    <definedName name="Stagegate">#REF!</definedName>
    <definedName name="Stand">#REF!</definedName>
    <definedName name="STANDARCOSTAA">#REF!</definedName>
    <definedName name="STANDARCOSTC">#REF!</definedName>
    <definedName name="STANDARCOSTD">#REF!</definedName>
    <definedName name="Start">"AutoForm 2"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D_H">"2008-05-13"</definedName>
    <definedName name="State">#REF!</definedName>
    <definedName name="Status">#REF!</definedName>
    <definedName name="Statusbericht_Eingabe">#REF!,#REF!</definedName>
    <definedName name="SUMMARY">#REF!</definedName>
    <definedName name="T">#REF!</definedName>
    <definedName name="t_all">#REF!</definedName>
    <definedName name="T_HOP">#REF!</definedName>
    <definedName name="T02_DANH_MUC_CONG_VIEC">#REF!</definedName>
    <definedName name="T03_BANG_GIA_VAT_LIEU">#REF!</definedName>
    <definedName name="T09_DINH_MUC_DU_TOAN">#REF!</definedName>
    <definedName name="t101p">#REF!</definedName>
    <definedName name="t103p">#REF!</definedName>
    <definedName name="t10m">#REF!</definedName>
    <definedName name="T10nc">#REF!</definedName>
    <definedName name="t10nc1p">#REF!</definedName>
    <definedName name="T10vc">#REF!</definedName>
    <definedName name="T10vl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">#REF!</definedName>
    <definedName name="T14vc">#REF!</definedName>
    <definedName name="T14vl">#REF!</definedName>
    <definedName name="t7m">#REF!</definedName>
    <definedName name="t8m">#REF!</definedName>
    <definedName name="TA">#REF!</definedName>
    <definedName name="Tab_sverweis">#REF!</definedName>
    <definedName name="TableName">"Dummy"</definedName>
    <definedName name="TAM">#N/A</definedName>
    <definedName name="TAMTINH">#REF!</definedName>
    <definedName name="TaxTV">10%</definedName>
    <definedName name="TaxXL">5%</definedName>
    <definedName name="tb">#REF!</definedName>
    <definedName name="tbl_ProdInfo" hidden="1">#REF!</definedName>
    <definedName name="tbtram">#REF!</definedName>
    <definedName name="TBXD">#REF!</definedName>
    <definedName name="TC">#REF!</definedName>
    <definedName name="TC_NHANH1">#REF!</definedName>
    <definedName name="td">#REF!</definedName>
    <definedName name="td10vl">#REF!</definedName>
    <definedName name="td12nc">#REF!</definedName>
    <definedName name="TD12vl">#REF!</definedName>
    <definedName name="TD1p1nc">#REF!</definedName>
    <definedName name="td1p1vc">#REF!</definedName>
    <definedName name="TD1p1vl">#REF!</definedName>
    <definedName name="TD1p2nc">#REF!</definedName>
    <definedName name="TD1p2vc">#REF!</definedName>
    <definedName name="TD1p2vl">#REF!</definedName>
    <definedName name="TD1pnc">#REF!</definedName>
    <definedName name="TD1pvl">#REF!</definedName>
    <definedName name="td3p">#REF!</definedName>
    <definedName name="TDctnc">#REF!</definedName>
    <definedName name="TDctvc">#REF!</definedName>
    <definedName name="TDctvl">#REF!</definedName>
    <definedName name="tdll1pm">#REF!</definedName>
    <definedName name="tdll3pm">#REF!</definedName>
    <definedName name="tdllct">#REF!</definedName>
    <definedName name="tdllHTDL">#REF!</definedName>
    <definedName name="tdllHTHH">#REF!</definedName>
    <definedName name="TDmnc">#REF!</definedName>
    <definedName name="TDmvc">#REF!</definedName>
    <definedName name="TDmvl">#REF!</definedName>
    <definedName name="tdnc1p">#REF!</definedName>
    <definedName name="tdtr2cnc">#REF!</definedName>
    <definedName name="tdtr2cvl">#REF!</definedName>
    <definedName name="tdvl1p">#REF!</definedName>
    <definedName name="tempo">#REF!</definedName>
    <definedName name="TENCT">#REF!</definedName>
    <definedName name="Termin_Eingabefelder">#REF!,#REF!,#REF!,#REF!,#REF!</definedName>
    <definedName name="Termin_Soll_Felder">#REF!,#REF!,#REF!,#REF!</definedName>
    <definedName name="Termin_Termine">#REF!,#REF!</definedName>
    <definedName name="TextRefCopy1">#REF!</definedName>
    <definedName name="TextRefCopy10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10</definedName>
    <definedName name="TG">#REF!</definedName>
    <definedName name="THCTAU">#REF!</definedName>
    <definedName name="THGO1pnc">#REF!</definedName>
    <definedName name="thht">#REF!</definedName>
    <definedName name="THI">#REF!</definedName>
    <definedName name="thkp3">#REF!</definedName>
    <definedName name="THT">#REF!</definedName>
    <definedName name="thtt">#REF!</definedName>
    <definedName name="TITAN">#REF!</definedName>
    <definedName name="Tien">#REF!</definedName>
    <definedName name="TienLuong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uong">#REF!</definedName>
    <definedName name="TM" localSheetId="4">[0]!BTRAM</definedName>
    <definedName name="TM" localSheetId="7">[0]!BTRAM</definedName>
    <definedName name="TM" localSheetId="6">[0]!BTRAM</definedName>
    <definedName name="TM">[0]!BTRAM</definedName>
    <definedName name="TNCM">#REF!</definedName>
    <definedName name="TONGDUTOAN">#REF!</definedName>
    <definedName name="TOP">#REF!</definedName>
    <definedName name="total">#REF!</definedName>
    <definedName name="totald">#REF!</definedName>
    <definedName name="Totales">#REF!,#REF!,#REF!,#REF!</definedName>
    <definedName name="Totales2">#REF!,#REF!,#REF!,#REF!,#REF!</definedName>
    <definedName name="TPLRP">#REF!</definedName>
    <definedName name="TPM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DE2">#REF!</definedName>
    <definedName name="TRAM">#REF!</definedName>
    <definedName name="TT_1P">#REF!</definedName>
    <definedName name="TT_3p">#REF!</definedName>
    <definedName name="ttbt">#REF!</definedName>
    <definedName name="TTDD">#REF!</definedName>
    <definedName name="TTDDCT3p">#REF!</definedName>
    <definedName name="tthi">#REF!</definedName>
    <definedName name="ttronmk">#REF!</definedName>
    <definedName name="TURNBACK">INDIRECT("09_STD_EXPORT_标准成本计算表!"&amp;""&amp;"G"&amp;""&amp;MATCH(!$K$1,#REF!,0))</definedName>
    <definedName name="tv75nc">#REF!</definedName>
    <definedName name="tv75vl">#REF!</definedName>
    <definedName name="TXL">#N/A</definedName>
    <definedName name="ty">#REF!</definedName>
    <definedName name="ty_le">#REF!</definedName>
    <definedName name="ty_le_BTN">#REF!</definedName>
    <definedName name="Ty_le1">#REF!</definedName>
    <definedName name="TYU">#REF!</definedName>
    <definedName name="UFPrn20040307090525">#REF!</definedName>
    <definedName name="UFPrn20040726091933">#REF!</definedName>
    <definedName name="UFPrn20040812141748">#REF!</definedName>
    <definedName name="UFPrn20040812141839">#REF!</definedName>
    <definedName name="UFPrn20040907140125">#REF!</definedName>
    <definedName name="UFPrn20040908134652">#REF!</definedName>
    <definedName name="UFPrn20040908142005">#REF!</definedName>
    <definedName name="UFPrn20040908194024">#REF!</definedName>
    <definedName name="UFPrn20060209101325">#REF!</definedName>
    <definedName name="UFPrn20060619133457">#REF!</definedName>
    <definedName name="UFPrn20060718080716">#REF!</definedName>
    <definedName name="UFPrn20060911132821">#REF!</definedName>
    <definedName name="UFPrn20070403092159">#REF!</definedName>
    <definedName name="UFPrn20070408164725">#REF!</definedName>
    <definedName name="UFPrn20070510144339">#REF!</definedName>
    <definedName name="UFPrn20070511091410">#REF!</definedName>
    <definedName name="UFPrn20070511145629">#REF!</definedName>
    <definedName name="UFPrn20070808151404">#REF!</definedName>
    <definedName name="UFPrn20070830143250">#REF!</definedName>
    <definedName name="UFPrn20070910200831">#REF!</definedName>
    <definedName name="UFPrn20080110145527">#REF!</definedName>
    <definedName name="UFPrn20080112173740">#REF!</definedName>
    <definedName name="UFPrn20080113100755">#REF!</definedName>
    <definedName name="UFPrn20080113141141">#REF!</definedName>
    <definedName name="UFPrn20080309105151">#REF!</definedName>
    <definedName name="UFPrn20080309121540">#REF!</definedName>
    <definedName name="UFPrn20080309122017">#REF!</definedName>
    <definedName name="UFPrn20080311203947">#REF!</definedName>
    <definedName name="UFPrn20080311210649">#REF!</definedName>
    <definedName name="UFPrn20080711135145">#REF!</definedName>
    <definedName name="UFPrn20080820202221">#REF!</definedName>
    <definedName name="UFPrn20080821091044">#REF!</definedName>
    <definedName name="UFPrn20080911103747">#REF!</definedName>
    <definedName name="UFPrn20080911103816">#REF!</definedName>
    <definedName name="UFPrn20080911133101">#REF!</definedName>
    <definedName name="UFPrn20080911133300">#REF!</definedName>
    <definedName name="UFPrn20081013131046">#REF!</definedName>
    <definedName name="UFPrn20081013131211">#REF!</definedName>
    <definedName name="UFPrn20081111175139">#REF!</definedName>
    <definedName name="UFPrn20081111180955">#REF!</definedName>
    <definedName name="UFPrn20090111160623">#REF!</definedName>
    <definedName name="UFPrn20090311145703">#REF!</definedName>
    <definedName name="UFPrn20090311145809">#REF!</definedName>
    <definedName name="UFPrn20090311145904">#REF!</definedName>
    <definedName name="UFPrn20090311150600">#REF!</definedName>
    <definedName name="UFPrn20090311154256">#REF!</definedName>
    <definedName name="UFPrn20090316164432">#REF!</definedName>
    <definedName name="UFPrn20090321085735">#REF!</definedName>
    <definedName name="UFPrn20090321090017">#REF!</definedName>
    <definedName name="UFPrn20090321133401">#REF!</definedName>
    <definedName name="UFPrn20090322163121">#REF!</definedName>
    <definedName name="UFPrn20090323114938">#REF!</definedName>
    <definedName name="UFPrn20090323152818">#REF!</definedName>
    <definedName name="UFPrn20090323153515">#REF!</definedName>
    <definedName name="UFPrn20090415154333">#REF!</definedName>
    <definedName name="UFPrn20090415214439">#REF!</definedName>
    <definedName name="UFPrn20090415214838">#REF!</definedName>
    <definedName name="UFPrn20090416090741">#REF!</definedName>
    <definedName name="UFPrn20091020081531">#REF!</definedName>
    <definedName name="UFPrn20091020082219">#REF!</definedName>
    <definedName name="UFPrn20091020082643">#REF!</definedName>
    <definedName name="UFPrn20091201154615">#REF!</definedName>
    <definedName name="UFPrn20100118085714">#REF!</definedName>
    <definedName name="UFPrn20100224145859">#REF!</definedName>
    <definedName name="UFPrn20100618111500">#REF!</definedName>
    <definedName name="UFPrn20100729085941">#REF!</definedName>
    <definedName name="UFPrn20100914083828">#REF!</definedName>
    <definedName name="UFPrn20100915111121">#REF!</definedName>
    <definedName name="UFPrn20101013130415">#REF!</definedName>
    <definedName name="UFPrn20101022114100">#REF!</definedName>
    <definedName name="UFPrn20110223110834">#REF!</definedName>
    <definedName name="UFPrn20110228094712">#REF!</definedName>
    <definedName name="UFPrn20110312113110">#REF!</definedName>
    <definedName name="UFPrn20110312113153">#REF!</definedName>
    <definedName name="UFPrn20110312113228">#REF!</definedName>
    <definedName name="UFPrn20110312113816">#REF!</definedName>
    <definedName name="UFPrn20110314081841">#REF!</definedName>
    <definedName name="UFPrn20110314131511">#REF!</definedName>
    <definedName name="UFPrn20110314132052">#REF!</definedName>
    <definedName name="UFPrn20110506165142">#REF!</definedName>
    <definedName name="UFPrn20110506165356">#REF!</definedName>
    <definedName name="UFPrn20110509084038">#REF!</definedName>
    <definedName name="UFPrn20110607095000">#REF!</definedName>
    <definedName name="UFPrn20110608131553">#REF!</definedName>
    <definedName name="UFPrn20110608154512">#REF!</definedName>
    <definedName name="UFPrn20110608154633">#REF!</definedName>
    <definedName name="UFPrn20110608154741">#REF!</definedName>
    <definedName name="UFPrn20110608154850">#REF!</definedName>
    <definedName name="UFPrn20110706095824">#REF!</definedName>
    <definedName name="UFPrn20110706102816">#REF!</definedName>
    <definedName name="UFPrn20110706103124">#REF!</definedName>
    <definedName name="UFPrn20110706103236">#REF!</definedName>
    <definedName name="UFPrn20110706124743">#REF!</definedName>
    <definedName name="UFPrn20110707081037">#REF!</definedName>
    <definedName name="UFPrn20110802151114">#REF!</definedName>
    <definedName name="UFPrn20110805124424">#REF!</definedName>
    <definedName name="UFPrn20110805131938">#REF!</definedName>
    <definedName name="UFPrn20110901083638">#REF!</definedName>
    <definedName name="UFPrn20110905143956">#REF!</definedName>
    <definedName name="UFPrn20110907083942">#REF!</definedName>
    <definedName name="UFPrn20110907143602">#REF!</definedName>
    <definedName name="UFPrn20111009162258">#REF!</definedName>
    <definedName name="UFPrn20111009162430">#REF!</definedName>
    <definedName name="UFPrn20111104093902">#REF!</definedName>
    <definedName name="UFPrn20111104094418">#REF!</definedName>
    <definedName name="UFPrn20111206174234">#REF!</definedName>
    <definedName name="UFPrn20111207185704">#REF!</definedName>
    <definedName name="UFPrn20120308085547">#REF!</definedName>
    <definedName name="UFPrn20120315101023">#REF!</definedName>
    <definedName name="UFPrn20120406164734">#REF!</definedName>
    <definedName name="UFPrn20120409123857">#REF!</definedName>
    <definedName name="UFPrn20120409161805">#REF!</definedName>
    <definedName name="UFPrn20120410135245">#REF!</definedName>
    <definedName name="UFPrn20120507110003">#REF!</definedName>
    <definedName name="UFPrn20120908122839">#REF!</definedName>
    <definedName name="UFPrn20121106155432">#REF!</definedName>
    <definedName name="UFPrn20121205170425">#REF!</definedName>
    <definedName name="UFPrn20121206151333">#REF!</definedName>
    <definedName name="UFPrn20130926133927">#REF!</definedName>
    <definedName name="UFPrn20160217150326">#REF!</definedName>
    <definedName name="UFPrn20160217150449">#REF!</definedName>
    <definedName name="UFPrn20160301112822">#REF!</definedName>
    <definedName name="UFPrn20160315133614">#REF!</definedName>
    <definedName name="UFPrn20160405103344">#REF!</definedName>
    <definedName name="UFPrn20160405173412">#REF!</definedName>
    <definedName name="UFPrn20160425163611">#REF!</definedName>
    <definedName name="UFPrn20160505100929">#REF!</definedName>
    <definedName name="UFPrn20160505101205">#REF!</definedName>
    <definedName name="UFPrn20160602171851">#REF!</definedName>
    <definedName name="UFPrn20160712102814">#REF!</definedName>
    <definedName name="UFPrn20160804132814">#REF!</definedName>
    <definedName name="UFPrn20160805093936">#REF!</definedName>
    <definedName name="UFPrn20160811132810">#REF!</definedName>
    <definedName name="UFPrn20161214093413">#REF!</definedName>
    <definedName name="UFPrn20170105092535">#REF!</definedName>
    <definedName name="UFPrn20170105162652">#REF!</definedName>
    <definedName name="UFPrn20170106135035">#REF!</definedName>
    <definedName name="UFPrn20170106142914">#REF!</definedName>
    <definedName name="UFPrn20170106142947">#REF!</definedName>
    <definedName name="UFPrn20170107123845">#REF!</definedName>
    <definedName name="UFPrn20170116144549">#REF!</definedName>
    <definedName name="UFPrn20170208135627">#REF!</definedName>
    <definedName name="UFPrn20170209173555">#REF!</definedName>
    <definedName name="UFPrn20170306115246">#REF!</definedName>
    <definedName name="UFPrn20170508104430">#REF!</definedName>
    <definedName name="UFPrn20170508135507">#REF!</definedName>
    <definedName name="UFPrn20170705144357">#REF!</definedName>
    <definedName name="UFPrn20170705144614">#REF!</definedName>
    <definedName name="UFPrn20170807093913">#REF!</definedName>
    <definedName name="UFPrn20170907144938">#REF!</definedName>
    <definedName name="UFPrn20171006175654">#REF!</definedName>
    <definedName name="UFPrn20171006175905">#REF!</definedName>
    <definedName name="UFPrn20171010143532">#REF!</definedName>
    <definedName name="UFPrn20171010144119">#REF!</definedName>
    <definedName name="UFPrn20171206091823">#REF!</definedName>
    <definedName name="UFPrn20171214105740">#REF!</definedName>
    <definedName name="UFPrn20180108112427">#REF!</definedName>
    <definedName name="UFPrn20180110115602">#REF!</definedName>
    <definedName name="UFPrn20180208170946">#REF!</definedName>
    <definedName name="UFPrn20180306110044">#REF!</definedName>
    <definedName name="UFPrn20180413100810">#REF!</definedName>
    <definedName name="UFPrn20180505143952">#REF!</definedName>
    <definedName name="UFPrn20180505154754">#REF!</definedName>
    <definedName name="UFPrn20180516145539">#REF!</definedName>
    <definedName name="UFPrn20180612103610">#REF!</definedName>
    <definedName name="UFPrn20180619160122">#REF!</definedName>
    <definedName name="UFPrn20180803142522">#REF!</definedName>
    <definedName name="UFPrn20180803151337">#REF!</definedName>
    <definedName name="UFPrn20181015091203">#REF!</definedName>
    <definedName name="UFPrn20181019145605">#REF!</definedName>
    <definedName name="UFPrn20181019165642">#REF!</definedName>
    <definedName name="UFPrn20181019170516">#REF!</definedName>
    <definedName name="UFPrn20181105105423">#REF!</definedName>
    <definedName name="UFPrn20181106094035">#REF!</definedName>
    <definedName name="UFPrn20181205132835">#REF!</definedName>
    <definedName name="UFPrn20190107110758">#REF!</definedName>
    <definedName name="UFPrn20190108103414">#REF!</definedName>
    <definedName name="UFPrn20190108180257">#REF!</definedName>
    <definedName name="UFPrn20190109141935">#REF!</definedName>
    <definedName name="UFPrn20190213092225">#REF!</definedName>
    <definedName name="UFPrn20190306151616">#REF!</definedName>
    <definedName name="UFPrn20190409150916">#REF!</definedName>
    <definedName name="UFPrn20190506135146">#REF!</definedName>
    <definedName name="UFPrn20190806091455">#REF!</definedName>
    <definedName name="UFPrn20191008103428">#REF!</definedName>
    <definedName name="UFPrn20191203104536">#REF!</definedName>
    <definedName name="UFPrn20200213153353">#REF!</definedName>
    <definedName name="UFPrn20200224090018">#REF!</definedName>
    <definedName name="UFPrn20200304134318">#REF!</definedName>
    <definedName name="UFPrn20200309140500">#REF!</definedName>
    <definedName name="UFPrn20200503114338">#REF!</definedName>
    <definedName name="UFPrn20200507092901">#REF!</definedName>
    <definedName name="UFPrn20200508091120">#REF!</definedName>
    <definedName name="UFPrn20200713094632">#REF!</definedName>
    <definedName name="UFPrn20200914155832">#REF!</definedName>
    <definedName name="UFPrn20201003160641">#REF!</definedName>
    <definedName name="UFPrn20201004122757">#REF!</definedName>
    <definedName name="UFPrn20201102100110">#REF!</definedName>
    <definedName name="UFPrn20201104091235">#REF!</definedName>
    <definedName name="UFPrn20201207133934">#REF!</definedName>
    <definedName name="UFPrn20210219094824">#REF!</definedName>
    <definedName name="UFPrn20210223165249">#REF!</definedName>
    <definedName name="UFPrn20210305134417">#REF!</definedName>
    <definedName name="UFPrn20210316143204">#REF!</definedName>
    <definedName name="UFPrn20210402093029">#REF!</definedName>
    <definedName name="UFPrn20210406135437">#REF!</definedName>
    <definedName name="UFPrn20210407090422">#REF!</definedName>
    <definedName name="UFPrn20210408145505">#REF!</definedName>
    <definedName name="UFPrn20210601170007">#REF!</definedName>
    <definedName name="UFPrn20210602153204">#REF!</definedName>
    <definedName name="UFPrn20210604090138">#REF!</definedName>
    <definedName name="UFPrn20210607102139">#REF!</definedName>
    <definedName name="UIO">#REF!</definedName>
    <definedName name="unit">#REF!</definedName>
    <definedName name="Überleitung_DB">#REF!</definedName>
    <definedName name="Überleitung_Eingabe">#REF!,#REF!,#REF!,#REF!,#REF!</definedName>
    <definedName name="Überleitung_Ende">#REF!</definedName>
    <definedName name="Überleitung_Start">#REF!</definedName>
    <definedName name="V_12">!G1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IINST">#REF!</definedName>
    <definedName name="VARIPURC">#REF!</definedName>
    <definedName name="VAT">#REF!</definedName>
    <definedName name="Vat_tu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DD1P">#REF!</definedName>
    <definedName name="VCDD3p">#REF!</definedName>
    <definedName name="VCDDCT3p">#REF!</definedName>
    <definedName name="VCDDMBA">#REF!</definedName>
    <definedName name="VCHT">#REF!</definedName>
    <definedName name="VCPKHTK">#REF!</definedName>
    <definedName name="vctb">#REF!</definedName>
    <definedName name="VCVBT1">#REF!</definedName>
    <definedName name="VCVBT2">#REF!</definedName>
    <definedName name="vd3p">#REF!</definedName>
    <definedName name="Vented">#REF!</definedName>
    <definedName name="Veränderungen_Eingabe">#REF!,#REF!,#REF!,#REF!,#REF!,#REF!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tram">#REF!</definedName>
    <definedName name="vr3p">#REF!</definedName>
    <definedName name="VT">#REF!</definedName>
    <definedName name="W">#REF!</definedName>
    <definedName name="WE">#N/A</definedName>
    <definedName name="wer">#REF!</definedName>
    <definedName name="Werk">#REF!</definedName>
    <definedName name="WERT">#REF!</definedName>
    <definedName name="WH_BODY">"2201"</definedName>
    <definedName name="WH_NM">""</definedName>
    <definedName name="WH_NO">"2201"</definedName>
    <definedName name="whatever">#REF!</definedName>
    <definedName name="WJDATA">OFFSET(#REF!,0,0,COUNTA(#REF!),COUNTA(#REF!))</definedName>
    <definedName name="Workstream">#REF!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and._Trend._.Analysis.GG" localSheetId="4" hidden="1">{#N/A,#N/A,FALSE,"Aging Summary";#N/A,#N/A,FALSE,"Ratio Analysis";#N/A,#N/A,FALSE,"Test 120 Day Accts";#N/A,#N/A,FALSE,"Tickmarks"}</definedName>
    <definedName name="wrn.Aging._and._Trend._.Analysis.GG" localSheetId="7" hidden="1">{#N/A,#N/A,FALSE,"Aging Summary";#N/A,#N/A,FALSE,"Ratio Analysis";#N/A,#N/A,FALSE,"Test 120 Day Accts";#N/A,#N/A,FALSE,"Tickmarks"}</definedName>
    <definedName name="wrn.Aging._and._Trend._.Analysis.GG" localSheetId="6" hidden="1">{#N/A,#N/A,FALSE,"Aging Summary";#N/A,#N/A,FALSE,"Ratio Analysis";#N/A,#N/A,FALSE,"Test 120 Day Accts";#N/A,#N/A,FALSE,"Tickmarks"}</definedName>
    <definedName name="wrn.Aging._and._Trend._.Analysis.GG" hidden="1">{#N/A,#N/A,FALSE,"Aging Summary";#N/A,#N/A,FALSE,"Ratio Analysis";#N/A,#N/A,FALSE,"Test 120 Day Accts";#N/A,#N/A,FALSE,"Tickmarks"}</definedName>
    <definedName name="wrn.chi._.tiÆt." localSheetId="4" hidden="1">{#N/A,#N/A,FALSE,"Chi tiÆt"}</definedName>
    <definedName name="wrn.chi._.tiÆt." localSheetId="7" hidden="1">{#N/A,#N/A,FALSE,"Chi tiÆt"}</definedName>
    <definedName name="wrn.chi._.tiÆt." localSheetId="6" hidden="1">{#N/A,#N/A,FALSE,"Chi tiÆt"}</definedName>
    <definedName name="wrn.chi._.tiÆt." hidden="1">{#N/A,#N/A,FALSE,"Chi tiÆt"}</definedName>
    <definedName name="wrn.vd." localSheetId="4" hidden="1">{#N/A,#N/A,TRUE,"BT M200 da 10x20"}</definedName>
    <definedName name="wrn.vd." localSheetId="7" hidden="1">{#N/A,#N/A,TRUE,"BT M200 da 10x20"}</definedName>
    <definedName name="wrn.vd." localSheetId="6" hidden="1">{#N/A,#N/A,TRUE,"BT M200 da 10x20"}</definedName>
    <definedName name="wrn.vd." hidden="1">{#N/A,#N/A,TRUE,"BT M200 da 10x20"}</definedName>
    <definedName name="x">#REF!</definedName>
    <definedName name="X1pFCOnc">#REF!</definedName>
    <definedName name="X1pFCOvc">#REF!</definedName>
    <definedName name="X1pFCOvl">#REF!</definedName>
    <definedName name="X1pIGnc">#REF!</definedName>
    <definedName name="X1pIGvc">#REF!</definedName>
    <definedName name="X1pIGvl">#REF!</definedName>
    <definedName name="X1pINDnc">#REF!</definedName>
    <definedName name="X1pINDvc">#REF!</definedName>
    <definedName name="X1pINDvl">#REF!</definedName>
    <definedName name="X1pINGnc">#REF!</definedName>
    <definedName name="X1pINGvc">#REF!</definedName>
    <definedName name="X1pINGvl">#REF!</definedName>
    <definedName name="X1pINTnc">#REF!</definedName>
    <definedName name="X1pINTvc">#REF!</definedName>
    <definedName name="X1pINTvl">#REF!</definedName>
    <definedName name="X1pITnc">#REF!</definedName>
    <definedName name="X1pITvc">#REF!</definedName>
    <definedName name="X1pITvl">#REF!</definedName>
    <definedName name="x1pind">#REF!</definedName>
    <definedName name="x1ping">#REF!</definedName>
    <definedName name="x1pint">#REF!</definedName>
    <definedName name="xa1pm">#REF!</definedName>
    <definedName name="xa3pm">#REF!</definedName>
    <definedName name="xact">#REF!</definedName>
    <definedName name="XCCT">0.5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c">#REF!</definedName>
    <definedName name="XFCOvl">#REF!</definedName>
    <definedName name="xh">#REF!</definedName>
    <definedName name="xhn">#REF!</definedName>
    <definedName name="XIG1nc">#REF!</definedName>
    <definedName name="XIG1vl">#REF!</definedName>
    <definedName name="XIGnc">#REF!</definedName>
    <definedName name="XIGvc">#REF!</definedName>
    <definedName name="XIGvl">#REF!</definedName>
    <definedName name="XIN190nc">#REF!</definedName>
    <definedName name="XIN190vc">#REF!</definedName>
    <definedName name="XIN190vl">#REF!</definedName>
    <definedName name="XINDnc">#REF!</definedName>
    <definedName name="XINDvc">#REF!</definedName>
    <definedName name="XINDvl">#REF!</definedName>
    <definedName name="XINnc">#REF!</definedName>
    <definedName name="XINvc">#REF!</definedName>
    <definedName name="XINvl">#REF!</definedName>
    <definedName name="XIT1nc">#REF!</definedName>
    <definedName name="XIT1vl">#REF!</definedName>
    <definedName name="XITnc">#REF!</definedName>
    <definedName name="XITvc">#REF!</definedName>
    <definedName name="XITvl">#REF!</definedName>
    <definedName name="xig">#REF!</definedName>
    <definedName name="xig1">#REF!</definedName>
    <definedName name="xig1p">#REF!</definedName>
    <definedName name="xig3p">#REF!</definedName>
    <definedName name="xin">#REF!</definedName>
    <definedName name="xin190">#REF!</definedName>
    <definedName name="xin190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t1p">#REF!</definedName>
    <definedName name="xit">#REF!</definedName>
    <definedName name="xit1">#REF!</definedName>
    <definedName name="xit1p">#REF!</definedName>
    <definedName name="xit3p">#REF!</definedName>
    <definedName name="xlbs">#REF!</definedName>
    <definedName name="xmcax">#REF!</definedName>
    <definedName name="xn">#REF!</definedName>
    <definedName name="xxx">#REF!</definedName>
    <definedName name="y">#REF!,#REF!,#REF!,#REF!,#REF!</definedName>
    <definedName name="Y_N">#REF!</definedName>
    <definedName name="YearMonth">#REF!&amp;""&amp;#REF!</definedName>
    <definedName name="yen" localSheetId="4" hidden="1">{#N/A,#N/A,FALSE,"Chi tiÆt"}</definedName>
    <definedName name="yen" localSheetId="7" hidden="1">{#N/A,#N/A,FALSE,"Chi tiÆt"}</definedName>
    <definedName name="yen" localSheetId="6" hidden="1">{#N/A,#N/A,FALSE,"Chi tiÆt"}</definedName>
    <definedName name="yen" hidden="1">{#N/A,#N/A,FALSE,"Chi tiÆt"}</definedName>
    <definedName name="YJ">#REF!</definedName>
    <definedName name="yt">#REF!</definedName>
    <definedName name="yu">#REF!</definedName>
    <definedName name="Z">#REF!</definedName>
    <definedName name="ZC_NO_B">"WJG"</definedName>
    <definedName name="ZC_NO_H">"WJG"</definedName>
    <definedName name="Zip">#REF!</definedName>
    <definedName name="Zwischenstatus_121099">#REF!</definedName>
    <definedName name="ZXD">#REF!</definedName>
    <definedName name="ZXDF">#REF!</definedName>
    <definedName name="ZYX">#REF!</definedName>
    <definedName name="ZZZ">#REF!</definedName>
    <definedName name="Использование">#REF!</definedName>
    <definedName name="МВЗ">#REF!</definedName>
    <definedName name="СЗ">#REF!</definedName>
    <definedName name="Тип_расходов">#REF!</definedName>
    <definedName name="ЦЗ">#REF!</definedName>
    <definedName name="上和">#REF!</definedName>
    <definedName name="中转出库台数">OFFSET(#REF!,4,0,COUNTA(#REF!)-1,1)</definedName>
    <definedName name="云南">#REF!</definedName>
    <definedName name="仓库">#REF!</definedName>
    <definedName name="体积明细">OFFSET(#REF!,1,0,COUNTA(#REF!)-1,6)</definedName>
    <definedName name="余额表">#REF!</definedName>
    <definedName name="供应商">#REF!</definedName>
    <definedName name="全部末级余额">#REF!</definedName>
    <definedName name="其他费用">#REF!</definedName>
    <definedName name="出口">#REF!</definedName>
    <definedName name="出口机">#REF!</definedName>
    <definedName name="出口销售">#REF!</definedName>
    <definedName name="办公室固定电话费">#REF!</definedName>
    <definedName name="办公用品">#REF!</definedName>
    <definedName name="北京">#REF!</definedName>
    <definedName name="北京分公司">#REF!</definedName>
    <definedName name="半成品">#REF!</definedName>
    <definedName name="单位往来">#REF!</definedName>
    <definedName name="南宁">#REF!</definedName>
    <definedName name="厨房">#REF!</definedName>
    <definedName name="发生额">#REF!</definedName>
    <definedName name="合并">#REF!</definedName>
    <definedName name="哈尔滨分公司">#REF!</definedName>
    <definedName name="四川">#REF!</definedName>
    <definedName name="固定资产">#REF!</definedName>
    <definedName name="固定资产付款申请单">#REF!</definedName>
    <definedName name="国内出库中转体积">OFFSET(#REF!,4,0,COUNTA(#REF!)-1,1)</definedName>
    <definedName name="国内出库中转数量">OFFSET(#REF!,4,0,COUNTA(#REF!)-1,1)</definedName>
    <definedName name="在产品201601">#REF!</definedName>
    <definedName name="在产品201601003">#REF!</definedName>
    <definedName name="在产品20160102">#REF!</definedName>
    <definedName name="基础表3" localSheetId="4" hidden="1">{"'Foglio1'!$J$12:$M$12"}</definedName>
    <definedName name="基础表3" localSheetId="7" hidden="1">{"'Foglio1'!$J$12:$M$12"}</definedName>
    <definedName name="基础表3" localSheetId="6" hidden="1">{"'Foglio1'!$J$12:$M$12"}</definedName>
    <definedName name="基础表3" hidden="1">{"'Foglio1'!$J$12:$M$12"}</definedName>
    <definedName name="存货明细___1_原材料_">#REF!</definedName>
    <definedName name="安徽部">#REF!</definedName>
    <definedName name="差异">#REF!</definedName>
    <definedName name="差异201601">#REF!</definedName>
    <definedName name="差旅费12">#REF!</definedName>
    <definedName name="币种">#REF!</definedName>
    <definedName name="年份">#REF!</definedName>
    <definedName name="广东一">#REF!</definedName>
    <definedName name="广东二">#REF!</definedName>
    <definedName name="广州">#REF!</definedName>
    <definedName name="广州分公司">#REF!</definedName>
    <definedName name="广西">#REF!</definedName>
    <definedName name="广西分公司">#REF!</definedName>
    <definedName name="应付工资">#REF!</definedName>
    <definedName name="应付款">#REF!</definedName>
    <definedName name="往来对账单">#REF!</definedName>
    <definedName name="总部">#REF!</definedName>
    <definedName name="我市">#REF!</definedName>
    <definedName name="折旧1" localSheetId="4" hidden="1">{#N/A,#N/A,FALSE,"Aging Summary";#N/A,#N/A,FALSE,"Ratio Analysis";#N/A,#N/A,FALSE,"Test 120 Day Accts";#N/A,#N/A,FALSE,"Tickmarks"}</definedName>
    <definedName name="折旧1" localSheetId="7" hidden="1">{#N/A,#N/A,FALSE,"Aging Summary";#N/A,#N/A,FALSE,"Ratio Analysis";#N/A,#N/A,FALSE,"Test 120 Day Accts";#N/A,#N/A,FALSE,"Tickmarks"}</definedName>
    <definedName name="折旧1" localSheetId="6" hidden="1">{#N/A,#N/A,FALSE,"Aging Summary";#N/A,#N/A,FALSE,"Ratio Analysis";#N/A,#N/A,FALSE,"Test 120 Day Accts";#N/A,#N/A,FALSE,"Tickmarks"}</definedName>
    <definedName name="折旧1" hidden="1">{#N/A,#N/A,FALSE,"Aging Summary";#N/A,#N/A,FALSE,"Ratio Analysis";#N/A,#N/A,FALSE,"Test 120 Day Accts";#N/A,#N/A,FALSE,"Tickmarks"}</definedName>
    <definedName name="报废">#REF!</definedName>
    <definedName name="招待费12">#REF!</definedName>
    <definedName name="损_益_表_合并">#REF!</definedName>
    <definedName name="损益表_合并">#REF!</definedName>
    <definedName name="数量金额总账">#REF!</definedName>
    <definedName name="新">#REF!</definedName>
    <definedName name="新136">#REF!</definedName>
    <definedName name="月份">#REF!</definedName>
    <definedName name="本部">#REF!</definedName>
    <definedName name="材料">#REF!</definedName>
    <definedName name="材料库存">#REF!</definedName>
    <definedName name="材料销售">#REF!</definedName>
    <definedName name="材料销售11">#REF!</definedName>
    <definedName name="杨总房租">#REF!</definedName>
    <definedName name="核算项目余额表">#REF!</definedName>
    <definedName name="次品仓中转台数">OFFSET(#REF!,4,0,COUNTA(#REF!)-1,1)</definedName>
    <definedName name="次品仓出库中转数量">OFFSET(#REF!,4,0,COUNTA(#REF!)-1,1)</definedName>
    <definedName name="武汉">#REF!</definedName>
    <definedName name="水">#REF!</definedName>
    <definedName name="汇总">#REF!</definedName>
    <definedName name="江西">#REF!</definedName>
    <definedName name="河南部">#REF!</definedName>
    <definedName name="浙江">#REF!</definedName>
    <definedName name="海南">#REF!</definedName>
    <definedName name="湖北">#REF!</definedName>
    <definedName name="湖北分公司">#REF!</definedName>
    <definedName name="湖南">#REF!</definedName>
    <definedName name="物料代码0503">#REF!</definedName>
    <definedName name="用友办公用品">#REF!</definedName>
    <definedName name="用友科目">#REF!</definedName>
    <definedName name="电">#REF!</definedName>
    <definedName name="直接">#REF!</definedName>
    <definedName name="福建">#REF!</definedName>
    <definedName name="科目余额表">#REF!</definedName>
    <definedName name="经办人">#REF!</definedName>
    <definedName name="美心思">#REF!</definedName>
    <definedName name="美心思1">#REF!</definedName>
    <definedName name="表名">"Dummy"</definedName>
    <definedName name="试1" localSheetId="4" hidden="1">{#N/A,#N/A,FALSE,"Aging Summary";#N/A,#N/A,FALSE,"Ratio Analysis";#N/A,#N/A,FALSE,"Test 120 Day Accts";#N/A,#N/A,FALSE,"Tickmarks"}</definedName>
    <definedName name="试1" localSheetId="7" hidden="1">{#N/A,#N/A,FALSE,"Aging Summary";#N/A,#N/A,FALSE,"Ratio Analysis";#N/A,#N/A,FALSE,"Test 120 Day Accts";#N/A,#N/A,FALSE,"Tickmarks"}</definedName>
    <definedName name="试1" localSheetId="6" hidden="1">{#N/A,#N/A,FALSE,"Aging Summary";#N/A,#N/A,FALSE,"Ratio Analysis";#N/A,#N/A,FALSE,"Test 120 Day Accts";#N/A,#N/A,FALSE,"Tickmarks"}</definedName>
    <definedName name="试1" hidden="1">{#N/A,#N/A,FALSE,"Aging Summary";#N/A,#N/A,FALSE,"Ratio Analysis";#N/A,#N/A,FALSE,"Test 120 Day Accts";#N/A,#N/A,FALSE,"Tickmarks"}</definedName>
    <definedName name="试算平衡表">#REF!</definedName>
    <definedName name="负债表_合并">#REF!</definedName>
    <definedName name="负债表合并">#REF!</definedName>
    <definedName name="贵州">#REF!</definedName>
    <definedName name="费用">#REF!</definedName>
    <definedName name="边料">#REF!</definedName>
    <definedName name="郑州">#REF!</definedName>
    <definedName name="郑州分公司">#REF!</definedName>
    <definedName name="部门">#REF!</definedName>
    <definedName name="金羚电器有限公司">#REF!</definedName>
    <definedName name="销售成本" localSheetId="4" hidden="1">{#N/A,#N/A,FALSE,"Aging Summary";#N/A,#N/A,FALSE,"Ratio Analysis";#N/A,#N/A,FALSE,"Test 120 Day Accts";#N/A,#N/A,FALSE,"Tickmarks"}</definedName>
    <definedName name="销售成本" localSheetId="7" hidden="1">{#N/A,#N/A,FALSE,"Aging Summary";#N/A,#N/A,FALSE,"Ratio Analysis";#N/A,#N/A,FALSE,"Test 120 Day Accts";#N/A,#N/A,FALSE,"Tickmarks"}</definedName>
    <definedName name="销售成本" localSheetId="6" hidden="1">{#N/A,#N/A,FALSE,"Aging Summary";#N/A,#N/A,FALSE,"Ratio Analysis";#N/A,#N/A,FALSE,"Test 120 Day Accts";#N/A,#N/A,FALSE,"Tickmarks"}</definedName>
    <definedName name="销售成本" hidden="1">{#N/A,#N/A,FALSE,"Aging Summary";#N/A,#N/A,FALSE,"Ratio Analysis";#N/A,#N/A,FALSE,"Test 120 Day Accts";#N/A,#N/A,FALSE,"Tickmarks"}</definedName>
    <definedName name="门市部">#REF!</definedName>
    <definedName name="间接">#REF!</definedName>
    <definedName name="陕西宁夏">#REF!</definedName>
    <definedName name="项目性质">#REF!</definedName>
    <definedName name="预提">#REF!</definedName>
    <definedName name="预提费用201611">#REF!</definedName>
  </definedNames>
  <calcPr calcId="191028"/>
  <pivotCaches>
    <pivotCache cacheId="8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72" l="1"/>
  <c r="N29" i="72"/>
  <c r="N28" i="72"/>
  <c r="N27" i="72"/>
  <c r="N25" i="72"/>
  <c r="N24" i="72"/>
  <c r="N23" i="72"/>
  <c r="N22" i="72"/>
  <c r="N21" i="72"/>
  <c r="N20" i="72"/>
  <c r="N18" i="72"/>
  <c r="N17" i="72"/>
  <c r="N16" i="72"/>
  <c r="N15" i="72"/>
  <c r="N14" i="72"/>
  <c r="N13" i="72"/>
  <c r="N12" i="72"/>
  <c r="N11" i="72"/>
  <c r="N10" i="72"/>
  <c r="N9" i="72"/>
  <c r="N8" i="72"/>
  <c r="N7" i="72"/>
  <c r="N6" i="72"/>
  <c r="N5" i="72"/>
  <c r="N4" i="72"/>
  <c r="N3" i="72"/>
  <c r="M29" i="72"/>
  <c r="L29" i="72"/>
  <c r="K29" i="72"/>
  <c r="O29" i="72" s="1"/>
  <c r="J29" i="72"/>
  <c r="I29" i="72"/>
  <c r="H29" i="72"/>
  <c r="H31" i="72" s="1"/>
  <c r="G29" i="72"/>
  <c r="G31" i="72" s="1"/>
  <c r="G32" i="72" s="1"/>
  <c r="F29" i="72"/>
  <c r="M25" i="72"/>
  <c r="L25" i="72"/>
  <c r="K25" i="72"/>
  <c r="J25" i="72"/>
  <c r="I25" i="72"/>
  <c r="H25" i="72"/>
  <c r="G25" i="72"/>
  <c r="F25" i="72"/>
  <c r="M16" i="72"/>
  <c r="L16" i="72"/>
  <c r="K16" i="72"/>
  <c r="J16" i="72"/>
  <c r="I16" i="72"/>
  <c r="H16" i="72"/>
  <c r="G16" i="72"/>
  <c r="F16" i="72"/>
  <c r="M14" i="72"/>
  <c r="L14" i="72"/>
  <c r="K14" i="72"/>
  <c r="J14" i="72"/>
  <c r="I14" i="72"/>
  <c r="H14" i="72"/>
  <c r="G14" i="72"/>
  <c r="F14" i="72"/>
  <c r="M13" i="72"/>
  <c r="L13" i="72"/>
  <c r="K13" i="72"/>
  <c r="J13" i="72"/>
  <c r="I13" i="72"/>
  <c r="H13" i="72"/>
  <c r="G13" i="72"/>
  <c r="F13" i="72"/>
  <c r="M6" i="72"/>
  <c r="L6" i="72"/>
  <c r="K6" i="72"/>
  <c r="J6" i="72"/>
  <c r="I6" i="72"/>
  <c r="H6" i="72"/>
  <c r="G6" i="72"/>
  <c r="F6" i="72"/>
  <c r="Q12" i="72"/>
  <c r="Q11" i="72"/>
  <c r="Q10" i="72"/>
  <c r="Q9" i="72"/>
  <c r="Q8" i="72"/>
  <c r="Q7" i="72"/>
  <c r="Q5" i="72"/>
  <c r="Q4" i="72"/>
  <c r="Q3" i="72"/>
  <c r="P12" i="72"/>
  <c r="P11" i="72"/>
  <c r="P10" i="72"/>
  <c r="P9" i="72"/>
  <c r="P8" i="72"/>
  <c r="P7" i="72"/>
  <c r="P5" i="72"/>
  <c r="P4" i="72"/>
  <c r="P3" i="72"/>
  <c r="O28" i="72"/>
  <c r="O27" i="72"/>
  <c r="O24" i="72"/>
  <c r="O23" i="72"/>
  <c r="O22" i="72"/>
  <c r="O21" i="72"/>
  <c r="O20" i="72"/>
  <c r="O17" i="72"/>
  <c r="O16" i="72"/>
  <c r="O15" i="72"/>
  <c r="O11" i="72"/>
  <c r="O10" i="72"/>
  <c r="O9" i="72"/>
  <c r="O8" i="72"/>
  <c r="O7" i="72"/>
  <c r="O6" i="72"/>
  <c r="O5" i="72"/>
  <c r="O4" i="72"/>
  <c r="O3" i="72"/>
  <c r="Z38" i="66"/>
  <c r="Z35" i="66"/>
  <c r="K28" i="65"/>
  <c r="K27" i="65"/>
  <c r="K26" i="65"/>
  <c r="K25" i="65"/>
  <c r="K24" i="65"/>
  <c r="K16" i="65"/>
  <c r="K15" i="65"/>
  <c r="K14" i="65"/>
  <c r="K13" i="65"/>
  <c r="K12" i="65"/>
  <c r="K11" i="65"/>
  <c r="K7" i="65"/>
  <c r="K19" i="65"/>
  <c r="K9" i="65"/>
  <c r="K8" i="65"/>
  <c r="N32" i="65"/>
  <c r="M32" i="65"/>
  <c r="N31" i="65"/>
  <c r="M31" i="65"/>
  <c r="N28" i="65"/>
  <c r="M28" i="65"/>
  <c r="N27" i="65"/>
  <c r="M27" i="65"/>
  <c r="N26" i="65"/>
  <c r="M26" i="65"/>
  <c r="N25" i="65"/>
  <c r="M25" i="65"/>
  <c r="N24" i="65"/>
  <c r="M24" i="65"/>
  <c r="N21" i="65"/>
  <c r="M21" i="65"/>
  <c r="N19" i="65"/>
  <c r="M19" i="65"/>
  <c r="N16" i="65"/>
  <c r="M16" i="65"/>
  <c r="N15" i="65"/>
  <c r="M15" i="65"/>
  <c r="N14" i="65"/>
  <c r="M14" i="65"/>
  <c r="N13" i="65"/>
  <c r="M13" i="65"/>
  <c r="N12" i="65"/>
  <c r="M12" i="65"/>
  <c r="N11" i="65"/>
  <c r="M11" i="65"/>
  <c r="N9" i="65"/>
  <c r="M9" i="65"/>
  <c r="N8" i="65"/>
  <c r="M8" i="65"/>
  <c r="N7" i="65"/>
  <c r="M7" i="65"/>
  <c r="K32" i="65"/>
  <c r="K31" i="65"/>
  <c r="K21" i="65"/>
  <c r="J25" i="65"/>
  <c r="J24" i="65"/>
  <c r="J16" i="65"/>
  <c r="J15" i="65"/>
  <c r="J14" i="65"/>
  <c r="J13" i="65"/>
  <c r="J12" i="65"/>
  <c r="J11" i="65"/>
  <c r="J9" i="65"/>
  <c r="J8" i="65"/>
  <c r="W35" i="65"/>
  <c r="W33" i="65"/>
  <c r="W32" i="65"/>
  <c r="W31" i="65"/>
  <c r="W29" i="65"/>
  <c r="W28" i="65"/>
  <c r="W27" i="65"/>
  <c r="W26" i="65"/>
  <c r="W25" i="65"/>
  <c r="W24" i="65"/>
  <c r="W22" i="65"/>
  <c r="W21" i="65"/>
  <c r="W20" i="65"/>
  <c r="W19" i="65"/>
  <c r="W18" i="65"/>
  <c r="W17" i="65"/>
  <c r="W16" i="65"/>
  <c r="W15" i="65"/>
  <c r="W14" i="65"/>
  <c r="W13" i="65"/>
  <c r="W12" i="65"/>
  <c r="W11" i="65"/>
  <c r="W10" i="65"/>
  <c r="W9" i="65"/>
  <c r="W8" i="65"/>
  <c r="W7" i="65"/>
  <c r="Y35" i="65"/>
  <c r="X35" i="65"/>
  <c r="Y33" i="65"/>
  <c r="X33" i="65"/>
  <c r="Y32" i="65"/>
  <c r="X32" i="65"/>
  <c r="Y31" i="65"/>
  <c r="X31" i="65"/>
  <c r="Y29" i="65"/>
  <c r="X29" i="65"/>
  <c r="Y28" i="65"/>
  <c r="X28" i="65"/>
  <c r="Y27" i="65"/>
  <c r="X27" i="65"/>
  <c r="Y26" i="65"/>
  <c r="X26" i="65"/>
  <c r="Y25" i="65"/>
  <c r="X25" i="65"/>
  <c r="Y24" i="65"/>
  <c r="X24" i="65"/>
  <c r="Y22" i="65"/>
  <c r="X22" i="65"/>
  <c r="Y21" i="65"/>
  <c r="X21" i="65"/>
  <c r="Y20" i="65"/>
  <c r="X20" i="65"/>
  <c r="Y19" i="65"/>
  <c r="X19" i="65"/>
  <c r="Y18" i="65"/>
  <c r="X18" i="65"/>
  <c r="Y17" i="65"/>
  <c r="X17" i="65"/>
  <c r="Y16" i="65"/>
  <c r="X16" i="65"/>
  <c r="Y15" i="65"/>
  <c r="X15" i="65"/>
  <c r="Y14" i="65"/>
  <c r="X14" i="65"/>
  <c r="Y13" i="65"/>
  <c r="X13" i="65"/>
  <c r="Y12" i="65"/>
  <c r="X12" i="65"/>
  <c r="Y11" i="65"/>
  <c r="X11" i="65"/>
  <c r="Y10" i="65"/>
  <c r="X10" i="65"/>
  <c r="Y9" i="65"/>
  <c r="X9" i="65"/>
  <c r="Y8" i="65"/>
  <c r="X8" i="65"/>
  <c r="Y7" i="65"/>
  <c r="X7" i="65"/>
  <c r="M31" i="60"/>
  <c r="M29" i="60"/>
  <c r="M28" i="60"/>
  <c r="M26" i="60"/>
  <c r="M25" i="60"/>
  <c r="M24" i="60"/>
  <c r="M23" i="60"/>
  <c r="M22" i="60"/>
  <c r="M20" i="60"/>
  <c r="M18" i="60"/>
  <c r="M15" i="60"/>
  <c r="M14" i="60"/>
  <c r="M13" i="60"/>
  <c r="M12" i="60"/>
  <c r="M11" i="60"/>
  <c r="M10" i="60"/>
  <c r="M8" i="60"/>
  <c r="M7" i="60"/>
  <c r="M6" i="60"/>
  <c r="K29" i="60"/>
  <c r="K28" i="60"/>
  <c r="K26" i="60"/>
  <c r="K25" i="60"/>
  <c r="K24" i="60"/>
  <c r="K23" i="60"/>
  <c r="K22" i="60"/>
  <c r="K20" i="60"/>
  <c r="K18" i="60"/>
  <c r="K15" i="60"/>
  <c r="K14" i="60"/>
  <c r="K13" i="60"/>
  <c r="K12" i="60"/>
  <c r="K11" i="60"/>
  <c r="K10" i="60"/>
  <c r="K8" i="60"/>
  <c r="K7" i="60"/>
  <c r="K6" i="60"/>
  <c r="Q35" i="1"/>
  <c r="R218" i="5"/>
  <c r="Q218" i="5"/>
  <c r="R217" i="5"/>
  <c r="Q217" i="5"/>
  <c r="R216" i="5"/>
  <c r="Q216" i="5"/>
  <c r="R215" i="5"/>
  <c r="Q215" i="5"/>
  <c r="R214" i="5"/>
  <c r="Q214" i="5"/>
  <c r="R213" i="5"/>
  <c r="Q213" i="5"/>
  <c r="R212" i="5"/>
  <c r="Q212" i="5"/>
  <c r="R208" i="5"/>
  <c r="Q208" i="5"/>
  <c r="R207" i="5"/>
  <c r="Q207" i="5"/>
  <c r="R206" i="5"/>
  <c r="Q206" i="5"/>
  <c r="R205" i="5"/>
  <c r="Q205" i="5"/>
  <c r="R204" i="5"/>
  <c r="Q204" i="5"/>
  <c r="R203" i="5"/>
  <c r="Q203" i="5"/>
  <c r="R202" i="5"/>
  <c r="Q202" i="5"/>
  <c r="R199" i="5"/>
  <c r="Q199" i="5"/>
  <c r="R198" i="5"/>
  <c r="Q198" i="5"/>
  <c r="R197" i="5"/>
  <c r="Q197" i="5"/>
  <c r="R196" i="5"/>
  <c r="Q196" i="5"/>
  <c r="R195" i="5"/>
  <c r="Q195" i="5"/>
  <c r="R194" i="5"/>
  <c r="Q194" i="5"/>
  <c r="R193" i="5"/>
  <c r="Q193" i="5"/>
  <c r="R179" i="5"/>
  <c r="Q179" i="5"/>
  <c r="R178" i="5"/>
  <c r="Q178" i="5"/>
  <c r="R177" i="5"/>
  <c r="Q177" i="5"/>
  <c r="R176" i="5"/>
  <c r="Q176" i="5"/>
  <c r="R175" i="5"/>
  <c r="Q175" i="5"/>
  <c r="R174" i="5"/>
  <c r="Q174" i="5"/>
  <c r="R173" i="5"/>
  <c r="Q173" i="5"/>
  <c r="R172" i="5"/>
  <c r="Q172" i="5"/>
  <c r="R171" i="5"/>
  <c r="Q171" i="5"/>
  <c r="R170" i="5"/>
  <c r="Q170" i="5"/>
  <c r="R169" i="5"/>
  <c r="Q169" i="5"/>
  <c r="R168" i="5"/>
  <c r="Q168" i="5"/>
  <c r="R167" i="5"/>
  <c r="Q167" i="5"/>
  <c r="R166" i="5"/>
  <c r="Q166" i="5"/>
  <c r="R165" i="5"/>
  <c r="Q165" i="5"/>
  <c r="R164" i="5"/>
  <c r="Q164" i="5"/>
  <c r="R163" i="5"/>
  <c r="Q163" i="5"/>
  <c r="R162" i="5"/>
  <c r="Q162" i="5"/>
  <c r="R161" i="5"/>
  <c r="Q161" i="5"/>
  <c r="R160" i="5"/>
  <c r="Q160" i="5"/>
  <c r="R159" i="5"/>
  <c r="Q159" i="5"/>
  <c r="R158" i="5"/>
  <c r="Q158" i="5"/>
  <c r="R157" i="5"/>
  <c r="Q157" i="5"/>
  <c r="R156" i="5"/>
  <c r="Q156" i="5"/>
  <c r="R155" i="5"/>
  <c r="Q155" i="5"/>
  <c r="R154" i="5"/>
  <c r="Q154" i="5"/>
  <c r="R153" i="5"/>
  <c r="Q153" i="5"/>
  <c r="R143" i="5"/>
  <c r="Q143" i="5"/>
  <c r="R142" i="5"/>
  <c r="Q142" i="5"/>
  <c r="R141" i="5"/>
  <c r="Q141" i="5"/>
  <c r="R140" i="5"/>
  <c r="Q140" i="5"/>
  <c r="R139" i="5"/>
  <c r="Q139" i="5"/>
  <c r="R138" i="5"/>
  <c r="Q138" i="5"/>
  <c r="R137" i="5"/>
  <c r="Q137" i="5"/>
  <c r="R136" i="5"/>
  <c r="Q136" i="5"/>
  <c r="R135" i="5"/>
  <c r="Q135" i="5"/>
  <c r="R134" i="5"/>
  <c r="Q134" i="5"/>
  <c r="R133" i="5"/>
  <c r="Q133" i="5"/>
  <c r="R132" i="5"/>
  <c r="Q132" i="5"/>
  <c r="R131" i="5"/>
  <c r="Q131" i="5"/>
  <c r="R130" i="5"/>
  <c r="Q130" i="5"/>
  <c r="R129" i="5"/>
  <c r="Q129" i="5"/>
  <c r="R128" i="5"/>
  <c r="Q128" i="5"/>
  <c r="R127" i="5"/>
  <c r="Q127" i="5"/>
  <c r="R126" i="5"/>
  <c r="Q126" i="5"/>
  <c r="R125" i="5"/>
  <c r="Q125" i="5"/>
  <c r="R124" i="5"/>
  <c r="Q124" i="5"/>
  <c r="R123" i="5"/>
  <c r="Q123" i="5"/>
  <c r="R122" i="5"/>
  <c r="Q122" i="5"/>
  <c r="R121" i="5"/>
  <c r="Q121" i="5"/>
  <c r="R120" i="5"/>
  <c r="Q120" i="5"/>
  <c r="R119" i="5"/>
  <c r="Q119" i="5"/>
  <c r="R118" i="5"/>
  <c r="Q118" i="5"/>
  <c r="R117" i="5"/>
  <c r="Q117" i="5"/>
  <c r="R110" i="5"/>
  <c r="Q110" i="5"/>
  <c r="R109" i="5"/>
  <c r="Q109" i="5"/>
  <c r="R108" i="5"/>
  <c r="Q108" i="5"/>
  <c r="R107" i="5"/>
  <c r="Q107" i="5"/>
  <c r="R106" i="5"/>
  <c r="Q106" i="5"/>
  <c r="R105" i="5"/>
  <c r="Q105" i="5"/>
  <c r="R104" i="5"/>
  <c r="Q104" i="5"/>
  <c r="R103" i="5"/>
  <c r="Q103" i="5"/>
  <c r="R102" i="5"/>
  <c r="Q102" i="5"/>
  <c r="R101" i="5"/>
  <c r="Q101" i="5"/>
  <c r="R100" i="5"/>
  <c r="Q100" i="5"/>
  <c r="R99" i="5"/>
  <c r="Q99" i="5"/>
  <c r="R98" i="5"/>
  <c r="Q98" i="5"/>
  <c r="R97" i="5"/>
  <c r="Q97" i="5"/>
  <c r="R96" i="5"/>
  <c r="Q96" i="5"/>
  <c r="R95" i="5"/>
  <c r="Q95" i="5"/>
  <c r="R94" i="5"/>
  <c r="Q94" i="5"/>
  <c r="R93" i="5"/>
  <c r="Q93" i="5"/>
  <c r="R92" i="5"/>
  <c r="Q92" i="5"/>
  <c r="R91" i="5"/>
  <c r="Q91" i="5"/>
  <c r="R90" i="5"/>
  <c r="Q90" i="5"/>
  <c r="R89" i="5"/>
  <c r="Q89" i="5"/>
  <c r="R88" i="5"/>
  <c r="Q88" i="5"/>
  <c r="R87" i="5"/>
  <c r="Q87" i="5"/>
  <c r="R86" i="5"/>
  <c r="Q86" i="5"/>
  <c r="R85" i="5"/>
  <c r="Q85" i="5"/>
  <c r="R84" i="5"/>
  <c r="Q84" i="5"/>
  <c r="R78" i="5"/>
  <c r="Q78" i="5"/>
  <c r="R77" i="5"/>
  <c r="Q77" i="5"/>
  <c r="R76" i="5"/>
  <c r="Q76" i="5"/>
  <c r="R75" i="5"/>
  <c r="Q75" i="5"/>
  <c r="R74" i="5"/>
  <c r="Q74" i="5"/>
  <c r="R73" i="5"/>
  <c r="Q73" i="5"/>
  <c r="R72" i="5"/>
  <c r="Q72" i="5"/>
  <c r="R65" i="5"/>
  <c r="Q65" i="5"/>
  <c r="R64" i="5"/>
  <c r="Q64" i="5"/>
  <c r="R63" i="5"/>
  <c r="Q63" i="5"/>
  <c r="R62" i="5"/>
  <c r="Q62" i="5"/>
  <c r="R61" i="5"/>
  <c r="Q61" i="5"/>
  <c r="R60" i="5"/>
  <c r="Q60" i="5"/>
  <c r="R59" i="5"/>
  <c r="Q59" i="5"/>
  <c r="R58" i="5"/>
  <c r="Q58" i="5"/>
  <c r="R57" i="5"/>
  <c r="Q57" i="5"/>
  <c r="R56" i="5"/>
  <c r="Q56" i="5"/>
  <c r="R55" i="5"/>
  <c r="Q55" i="5"/>
  <c r="R54" i="5"/>
  <c r="Q54" i="5"/>
  <c r="R53" i="5"/>
  <c r="Q53" i="5"/>
  <c r="R52" i="5"/>
  <c r="Q52" i="5"/>
  <c r="R51" i="5"/>
  <c r="Q51" i="5"/>
  <c r="R50" i="5"/>
  <c r="Q50" i="5"/>
  <c r="R49" i="5"/>
  <c r="Q49" i="5"/>
  <c r="R48" i="5"/>
  <c r="Q48" i="5"/>
  <c r="R47" i="5"/>
  <c r="Q47" i="5"/>
  <c r="R46" i="5"/>
  <c r="Q46" i="5"/>
  <c r="R45" i="5"/>
  <c r="Q45" i="5"/>
  <c r="R44" i="5"/>
  <c r="Q44" i="5"/>
  <c r="R43" i="5"/>
  <c r="Q43" i="5"/>
  <c r="R42" i="5"/>
  <c r="Q42" i="5"/>
  <c r="R41" i="5"/>
  <c r="Q41" i="5"/>
  <c r="R40" i="5"/>
  <c r="Q40" i="5"/>
  <c r="R39" i="5"/>
  <c r="Q39" i="5"/>
  <c r="R31" i="5"/>
  <c r="Q31" i="5"/>
  <c r="R30" i="5"/>
  <c r="Q30" i="5"/>
  <c r="R29" i="5"/>
  <c r="Q29" i="5"/>
  <c r="R28" i="5"/>
  <c r="Q28" i="5"/>
  <c r="R27" i="5"/>
  <c r="Q27" i="5"/>
  <c r="R26" i="5"/>
  <c r="Q26" i="5"/>
  <c r="R25" i="5"/>
  <c r="Q25" i="5"/>
  <c r="R24" i="5"/>
  <c r="Q24" i="5"/>
  <c r="R23" i="5"/>
  <c r="Q23" i="5"/>
  <c r="R22" i="5"/>
  <c r="Q22" i="5"/>
  <c r="R21" i="5"/>
  <c r="Q21" i="5"/>
  <c r="R20" i="5"/>
  <c r="Q20" i="5"/>
  <c r="R19" i="5"/>
  <c r="Q19" i="5"/>
  <c r="R18" i="5"/>
  <c r="Q18" i="5"/>
  <c r="R17" i="5"/>
  <c r="Q17" i="5"/>
  <c r="R16" i="5"/>
  <c r="Q16" i="5"/>
  <c r="R15" i="5"/>
  <c r="Q15" i="5"/>
  <c r="R14" i="5"/>
  <c r="Q14" i="5"/>
  <c r="R13" i="5"/>
  <c r="Q13" i="5"/>
  <c r="R12" i="5"/>
  <c r="Q12" i="5"/>
  <c r="R11" i="5"/>
  <c r="Q11" i="5"/>
  <c r="R10" i="5"/>
  <c r="Q10" i="5"/>
  <c r="R9" i="5"/>
  <c r="Q9" i="5"/>
  <c r="R8" i="5"/>
  <c r="Q8" i="5"/>
  <c r="R7" i="5"/>
  <c r="Q7" i="5"/>
  <c r="R6" i="5"/>
  <c r="Q6" i="5"/>
  <c r="R5" i="5"/>
  <c r="Q5" i="5"/>
  <c r="R3" i="5"/>
  <c r="Q3" i="5"/>
  <c r="X3" i="5"/>
  <c r="R339" i="1"/>
  <c r="Q339" i="1"/>
  <c r="R338" i="1"/>
  <c r="Q338" i="1"/>
  <c r="R337" i="1"/>
  <c r="Q337" i="1"/>
  <c r="R336" i="1"/>
  <c r="Q336" i="1"/>
  <c r="R335" i="1"/>
  <c r="Q335" i="1"/>
  <c r="R334" i="1"/>
  <c r="Q334" i="1"/>
  <c r="R333" i="1"/>
  <c r="Q333" i="1"/>
  <c r="R332" i="1"/>
  <c r="Q332" i="1"/>
  <c r="R331" i="1"/>
  <c r="Q331" i="1"/>
  <c r="R330" i="1"/>
  <c r="Q330" i="1"/>
  <c r="R329" i="1"/>
  <c r="Q329" i="1"/>
  <c r="R328" i="1"/>
  <c r="Q328" i="1"/>
  <c r="R327" i="1"/>
  <c r="Q327" i="1"/>
  <c r="R326" i="1"/>
  <c r="Q326" i="1"/>
  <c r="R325" i="1"/>
  <c r="Q325" i="1"/>
  <c r="R324" i="1"/>
  <c r="Q324" i="1"/>
  <c r="R323" i="1"/>
  <c r="Q323" i="1"/>
  <c r="R299" i="1"/>
  <c r="Q299" i="1"/>
  <c r="R298" i="1"/>
  <c r="Q298" i="1"/>
  <c r="R297" i="1"/>
  <c r="Q297" i="1"/>
  <c r="R296" i="1"/>
  <c r="Q296" i="1"/>
  <c r="R295" i="1"/>
  <c r="Q295" i="1"/>
  <c r="R294" i="1"/>
  <c r="Q294" i="1"/>
  <c r="R293" i="1"/>
  <c r="Q293" i="1"/>
  <c r="R292" i="1"/>
  <c r="Q292" i="1"/>
  <c r="R291" i="1"/>
  <c r="Q291" i="1"/>
  <c r="R290" i="1"/>
  <c r="Q290" i="1"/>
  <c r="R289" i="1"/>
  <c r="Q289" i="1"/>
  <c r="R288" i="1"/>
  <c r="Q288" i="1"/>
  <c r="R287" i="1"/>
  <c r="Q287" i="1"/>
  <c r="R286" i="1"/>
  <c r="Q286" i="1"/>
  <c r="R285" i="1"/>
  <c r="Q285" i="1"/>
  <c r="R284" i="1"/>
  <c r="Q284" i="1"/>
  <c r="R283" i="1"/>
  <c r="Q283" i="1"/>
  <c r="R282" i="1"/>
  <c r="Q282" i="1"/>
  <c r="R281" i="1"/>
  <c r="Q281" i="1"/>
  <c r="R280" i="1"/>
  <c r="Q280" i="1"/>
  <c r="R279" i="1"/>
  <c r="Q279" i="1"/>
  <c r="R278" i="1"/>
  <c r="Q278" i="1"/>
  <c r="R277" i="1"/>
  <c r="Q277" i="1"/>
  <c r="R276" i="1"/>
  <c r="Q276" i="1"/>
  <c r="R275" i="1"/>
  <c r="Q275" i="1"/>
  <c r="R274" i="1"/>
  <c r="Q274" i="1"/>
  <c r="R273" i="1"/>
  <c r="Q273" i="1"/>
  <c r="R268" i="1"/>
  <c r="Q268" i="1"/>
  <c r="R267" i="1"/>
  <c r="Q267" i="1"/>
  <c r="R266" i="1"/>
  <c r="Q266" i="1"/>
  <c r="R265" i="1"/>
  <c r="Q265" i="1"/>
  <c r="R264" i="1"/>
  <c r="Q264" i="1"/>
  <c r="R263" i="1"/>
  <c r="Q263" i="1"/>
  <c r="R262" i="1"/>
  <c r="Q262" i="1"/>
  <c r="R261" i="1"/>
  <c r="Q261" i="1"/>
  <c r="R260" i="1"/>
  <c r="Q260" i="1"/>
  <c r="R259" i="1"/>
  <c r="Q259" i="1"/>
  <c r="R258" i="1"/>
  <c r="Q258" i="1"/>
  <c r="R257" i="1"/>
  <c r="Q257" i="1"/>
  <c r="R256" i="1"/>
  <c r="Q256" i="1"/>
  <c r="R255" i="1"/>
  <c r="Q255" i="1"/>
  <c r="R254" i="1"/>
  <c r="Q254" i="1"/>
  <c r="R253" i="1"/>
  <c r="Q253" i="1"/>
  <c r="R252" i="1"/>
  <c r="Q252" i="1"/>
  <c r="R251" i="1"/>
  <c r="Q251" i="1"/>
  <c r="R250" i="1"/>
  <c r="Q250" i="1"/>
  <c r="R249" i="1"/>
  <c r="Q249" i="1"/>
  <c r="R248" i="1"/>
  <c r="Q248" i="1"/>
  <c r="R247" i="1"/>
  <c r="Q247" i="1"/>
  <c r="R246" i="1"/>
  <c r="Q246" i="1"/>
  <c r="R245" i="1"/>
  <c r="Q245" i="1"/>
  <c r="R244" i="1"/>
  <c r="Q244" i="1"/>
  <c r="R243" i="1"/>
  <c r="Q243" i="1"/>
  <c r="R242" i="1"/>
  <c r="Q242" i="1"/>
  <c r="R237" i="1"/>
  <c r="Q237" i="1"/>
  <c r="R236" i="1"/>
  <c r="Q236" i="1"/>
  <c r="R235" i="1"/>
  <c r="Q235" i="1"/>
  <c r="R234" i="1"/>
  <c r="Q234" i="1"/>
  <c r="R233" i="1"/>
  <c r="Q233" i="1"/>
  <c r="R232" i="1"/>
  <c r="Q232" i="1"/>
  <c r="R231" i="1"/>
  <c r="Q231" i="1"/>
  <c r="R230" i="1"/>
  <c r="Q230" i="1"/>
  <c r="R229" i="1"/>
  <c r="Q229" i="1"/>
  <c r="R228" i="1"/>
  <c r="Q228" i="1"/>
  <c r="R227" i="1"/>
  <c r="Q227" i="1"/>
  <c r="R226" i="1"/>
  <c r="Q226" i="1"/>
  <c r="R225" i="1"/>
  <c r="Q225" i="1"/>
  <c r="R224" i="1"/>
  <c r="Q224" i="1"/>
  <c r="R223" i="1"/>
  <c r="Q223" i="1"/>
  <c r="R222" i="1"/>
  <c r="Q222" i="1"/>
  <c r="R221" i="1"/>
  <c r="Q221" i="1"/>
  <c r="R220" i="1"/>
  <c r="Q220" i="1"/>
  <c r="R219" i="1"/>
  <c r="Q219" i="1"/>
  <c r="R218" i="1"/>
  <c r="Q218" i="1"/>
  <c r="R217" i="1"/>
  <c r="Q217" i="1"/>
  <c r="R216" i="1"/>
  <c r="Q216" i="1"/>
  <c r="R215" i="1"/>
  <c r="Q215" i="1"/>
  <c r="R214" i="1"/>
  <c r="Q214" i="1"/>
  <c r="R213" i="1"/>
  <c r="Q213" i="1"/>
  <c r="R212" i="1"/>
  <c r="Q212" i="1"/>
  <c r="R211" i="1"/>
  <c r="Q211" i="1"/>
  <c r="R206" i="1"/>
  <c r="Q206" i="1"/>
  <c r="R205" i="1"/>
  <c r="Q205" i="1"/>
  <c r="R204" i="1"/>
  <c r="Q204" i="1"/>
  <c r="R203" i="1"/>
  <c r="Q203" i="1"/>
  <c r="R202" i="1"/>
  <c r="Q202" i="1"/>
  <c r="R201" i="1"/>
  <c r="Q201" i="1"/>
  <c r="R200" i="1"/>
  <c r="Q200" i="1"/>
  <c r="R199" i="1"/>
  <c r="Q199" i="1"/>
  <c r="R198" i="1"/>
  <c r="Q198" i="1"/>
  <c r="R197" i="1"/>
  <c r="Q197" i="1"/>
  <c r="R196" i="1"/>
  <c r="Q196" i="1"/>
  <c r="R195" i="1"/>
  <c r="Q195" i="1"/>
  <c r="R194" i="1"/>
  <c r="Q194" i="1"/>
  <c r="R193" i="1"/>
  <c r="Q193" i="1"/>
  <c r="R192" i="1"/>
  <c r="Q192" i="1"/>
  <c r="R191" i="1"/>
  <c r="Q191" i="1"/>
  <c r="R190" i="1"/>
  <c r="Q190" i="1"/>
  <c r="R189" i="1"/>
  <c r="Q189" i="1"/>
  <c r="R188" i="1"/>
  <c r="Q188" i="1"/>
  <c r="R187" i="1"/>
  <c r="Q187" i="1"/>
  <c r="R186" i="1"/>
  <c r="Q186" i="1"/>
  <c r="R185" i="1"/>
  <c r="Q185" i="1"/>
  <c r="R184" i="1"/>
  <c r="Q184" i="1"/>
  <c r="R183" i="1"/>
  <c r="Q183" i="1"/>
  <c r="R182" i="1"/>
  <c r="Q182" i="1"/>
  <c r="R181" i="1"/>
  <c r="Q181" i="1"/>
  <c r="R180" i="1"/>
  <c r="Q180" i="1"/>
  <c r="R175" i="1"/>
  <c r="Q175" i="1"/>
  <c r="R174" i="1"/>
  <c r="Q174" i="1"/>
  <c r="R173" i="1"/>
  <c r="Q173" i="1"/>
  <c r="R172" i="1"/>
  <c r="Q172" i="1"/>
  <c r="R171" i="1"/>
  <c r="Q171" i="1"/>
  <c r="R170" i="1"/>
  <c r="Q170" i="1"/>
  <c r="R169" i="1"/>
  <c r="Q169" i="1"/>
  <c r="R168" i="1"/>
  <c r="Q168" i="1"/>
  <c r="R167" i="1"/>
  <c r="Q167" i="1"/>
  <c r="R166" i="1"/>
  <c r="Q166" i="1"/>
  <c r="R165" i="1"/>
  <c r="Q165" i="1"/>
  <c r="R164" i="1"/>
  <c r="Q164" i="1"/>
  <c r="R163" i="1"/>
  <c r="Q163" i="1"/>
  <c r="R162" i="1"/>
  <c r="Q162" i="1"/>
  <c r="R161" i="1"/>
  <c r="Q161" i="1"/>
  <c r="R160" i="1"/>
  <c r="Q160" i="1"/>
  <c r="R159" i="1"/>
  <c r="Q159" i="1"/>
  <c r="R158" i="1"/>
  <c r="Q158" i="1"/>
  <c r="R157" i="1"/>
  <c r="Q157" i="1"/>
  <c r="R156" i="1"/>
  <c r="Q156" i="1"/>
  <c r="R155" i="1"/>
  <c r="Q155" i="1"/>
  <c r="R154" i="1"/>
  <c r="Q154" i="1"/>
  <c r="R153" i="1"/>
  <c r="Q153" i="1"/>
  <c r="R152" i="1"/>
  <c r="Q152" i="1"/>
  <c r="R151" i="1"/>
  <c r="Q151" i="1"/>
  <c r="R150" i="1"/>
  <c r="Q150" i="1"/>
  <c r="R149" i="1"/>
  <c r="Q149" i="1"/>
  <c r="R144" i="1"/>
  <c r="Q144" i="1"/>
  <c r="R143" i="1"/>
  <c r="Q143" i="1"/>
  <c r="R142" i="1"/>
  <c r="Q142" i="1"/>
  <c r="R141" i="1"/>
  <c r="Q141" i="1"/>
  <c r="R140" i="1"/>
  <c r="Q140" i="1"/>
  <c r="R139" i="1"/>
  <c r="Q139" i="1"/>
  <c r="R138" i="1"/>
  <c r="Q138" i="1"/>
  <c r="R137" i="1"/>
  <c r="Q137" i="1"/>
  <c r="R136" i="1"/>
  <c r="Q136" i="1"/>
  <c r="R135" i="1"/>
  <c r="Q135" i="1"/>
  <c r="R134" i="1"/>
  <c r="Q134" i="1"/>
  <c r="R133" i="1"/>
  <c r="Q133" i="1"/>
  <c r="R132" i="1"/>
  <c r="Q132" i="1"/>
  <c r="R131" i="1"/>
  <c r="Q131" i="1"/>
  <c r="R130" i="1"/>
  <c r="Q130" i="1"/>
  <c r="R129" i="1"/>
  <c r="Q129" i="1"/>
  <c r="R128" i="1"/>
  <c r="Q128" i="1"/>
  <c r="R127" i="1"/>
  <c r="Q127" i="1"/>
  <c r="R126" i="1"/>
  <c r="Q126" i="1"/>
  <c r="R125" i="1"/>
  <c r="Q125" i="1"/>
  <c r="R124" i="1"/>
  <c r="Q124" i="1"/>
  <c r="R123" i="1"/>
  <c r="Q123" i="1"/>
  <c r="R122" i="1"/>
  <c r="Q122" i="1"/>
  <c r="R121" i="1"/>
  <c r="Q121" i="1"/>
  <c r="R120" i="1"/>
  <c r="Q120" i="1"/>
  <c r="R119" i="1"/>
  <c r="Q119" i="1"/>
  <c r="R118" i="1"/>
  <c r="Q118" i="1"/>
  <c r="R112" i="1"/>
  <c r="Q112" i="1"/>
  <c r="R111" i="1"/>
  <c r="Q111" i="1"/>
  <c r="R110" i="1"/>
  <c r="Q110" i="1"/>
  <c r="R109" i="1"/>
  <c r="Q109" i="1"/>
  <c r="R108" i="1"/>
  <c r="Q108" i="1"/>
  <c r="R107" i="1"/>
  <c r="Q107" i="1"/>
  <c r="R106" i="1"/>
  <c r="Q106" i="1"/>
  <c r="R105" i="1"/>
  <c r="Q105" i="1"/>
  <c r="R104" i="1"/>
  <c r="Q104" i="1"/>
  <c r="R103" i="1"/>
  <c r="Q103" i="1"/>
  <c r="R102" i="1"/>
  <c r="Q102" i="1"/>
  <c r="R101" i="1"/>
  <c r="Q101" i="1"/>
  <c r="R100" i="1"/>
  <c r="Q100" i="1"/>
  <c r="R99" i="1"/>
  <c r="Q99" i="1"/>
  <c r="R98" i="1"/>
  <c r="Q98" i="1"/>
  <c r="R97" i="1"/>
  <c r="Q97" i="1"/>
  <c r="R96" i="1"/>
  <c r="Q96" i="1"/>
  <c r="R95" i="1"/>
  <c r="Q95" i="1"/>
  <c r="R94" i="1"/>
  <c r="Q94" i="1"/>
  <c r="R93" i="1"/>
  <c r="Q93" i="1"/>
  <c r="R92" i="1"/>
  <c r="Q92" i="1"/>
  <c r="R91" i="1"/>
  <c r="Q91" i="1"/>
  <c r="R90" i="1"/>
  <c r="Q90" i="1"/>
  <c r="R89" i="1"/>
  <c r="Q89" i="1"/>
  <c r="R88" i="1"/>
  <c r="Q88" i="1"/>
  <c r="R87" i="1"/>
  <c r="Q87" i="1"/>
  <c r="R86" i="1"/>
  <c r="Q86" i="1"/>
  <c r="R81" i="1"/>
  <c r="Q81" i="1"/>
  <c r="R80" i="1"/>
  <c r="Q80" i="1"/>
  <c r="R79" i="1"/>
  <c r="Q79" i="1"/>
  <c r="R78" i="1"/>
  <c r="Q78" i="1"/>
  <c r="R77" i="1"/>
  <c r="Q77" i="1"/>
  <c r="R76" i="1"/>
  <c r="Q76" i="1"/>
  <c r="R75" i="1"/>
  <c r="Q75" i="1"/>
  <c r="R74" i="1"/>
  <c r="Q74" i="1"/>
  <c r="R73" i="1"/>
  <c r="Q73" i="1"/>
  <c r="R72" i="1"/>
  <c r="Q72" i="1"/>
  <c r="R71" i="1"/>
  <c r="Q71" i="1"/>
  <c r="R70" i="1"/>
  <c r="Q70" i="1"/>
  <c r="R66" i="1"/>
  <c r="Q66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AG34" i="67"/>
  <c r="AG30" i="67"/>
  <c r="AG23" i="67"/>
  <c r="X131" i="66"/>
  <c r="Q113" i="66"/>
  <c r="P111" i="66"/>
  <c r="W111" i="66" s="1"/>
  <c r="AA141" i="66"/>
  <c r="AA139" i="66"/>
  <c r="AA135" i="66"/>
  <c r="Z135" i="66"/>
  <c r="Y135" i="66"/>
  <c r="Z138" i="66"/>
  <c r="Z139" i="66" s="1"/>
  <c r="Z131" i="66"/>
  <c r="AA124" i="66"/>
  <c r="AA123" i="66"/>
  <c r="Z121" i="66"/>
  <c r="Z120" i="66"/>
  <c r="AB120" i="66" s="1"/>
  <c r="Z119" i="66"/>
  <c r="AB119" i="66" s="1"/>
  <c r="Z118" i="66"/>
  <c r="Z117" i="66"/>
  <c r="X115" i="66"/>
  <c r="Z115" i="66"/>
  <c r="AB115" i="66" s="1"/>
  <c r="Z114" i="66"/>
  <c r="Y113" i="66"/>
  <c r="Z113" i="66"/>
  <c r="AB136" i="66"/>
  <c r="AB125" i="66"/>
  <c r="AB121" i="66"/>
  <c r="AB117" i="66"/>
  <c r="AB114" i="66"/>
  <c r="Z28" i="66"/>
  <c r="Z22" i="66"/>
  <c r="Z18" i="66"/>
  <c r="Z17" i="66"/>
  <c r="Z16" i="66"/>
  <c r="X14" i="66"/>
  <c r="Z12" i="66"/>
  <c r="Z11" i="66"/>
  <c r="Y10" i="66"/>
  <c r="J123" i="5"/>
  <c r="X10" i="66"/>
  <c r="AD10" i="66"/>
  <c r="AE10" i="66"/>
  <c r="AF11" i="66"/>
  <c r="AF10" i="66"/>
  <c r="AD11" i="66"/>
  <c r="Z15" i="66"/>
  <c r="Z14" i="66"/>
  <c r="Z10" i="66"/>
  <c r="W134" i="66"/>
  <c r="W132" i="66"/>
  <c r="W125" i="66"/>
  <c r="W121" i="66"/>
  <c r="W120" i="66"/>
  <c r="P10" i="66"/>
  <c r="E18" i="72"/>
  <c r="C18" i="72"/>
  <c r="D18" i="72"/>
  <c r="E31" i="72"/>
  <c r="G18" i="72"/>
  <c r="H18" i="72"/>
  <c r="I18" i="72"/>
  <c r="J18" i="72"/>
  <c r="K18" i="72"/>
  <c r="L18" i="72"/>
  <c r="M18" i="72"/>
  <c r="B18" i="72"/>
  <c r="N30" i="72"/>
  <c r="N26" i="72"/>
  <c r="I31" i="72" l="1"/>
  <c r="I32" i="72" s="1"/>
  <c r="K31" i="72"/>
  <c r="K32" i="72" s="1"/>
  <c r="L31" i="72"/>
  <c r="L32" i="72" s="1"/>
  <c r="M31" i="72"/>
  <c r="M32" i="72" s="1"/>
  <c r="J31" i="72"/>
  <c r="J32" i="72" s="1"/>
  <c r="O25" i="72"/>
  <c r="F18" i="72"/>
  <c r="O14" i="72"/>
  <c r="O13" i="72"/>
  <c r="H32" i="72"/>
  <c r="Z140" i="66"/>
  <c r="Y140" i="66"/>
  <c r="X140" i="66"/>
  <c r="W140" i="66"/>
  <c r="Z134" i="66"/>
  <c r="Y132" i="66"/>
  <c r="X132" i="66"/>
  <c r="Z125" i="66"/>
  <c r="Y121" i="66"/>
  <c r="Y114" i="66"/>
  <c r="T141" i="66"/>
  <c r="T139" i="66"/>
  <c r="S138" i="66"/>
  <c r="S139" i="66" s="1"/>
  <c r="R138" i="66"/>
  <c r="R139" i="66" s="1"/>
  <c r="Q138" i="66"/>
  <c r="Q139" i="66" s="1"/>
  <c r="S137" i="66"/>
  <c r="R137" i="66"/>
  <c r="Q137" i="66"/>
  <c r="T135" i="66"/>
  <c r="S134" i="66"/>
  <c r="R134" i="66"/>
  <c r="Q134" i="66"/>
  <c r="S133" i="66"/>
  <c r="R133" i="66"/>
  <c r="S132" i="66"/>
  <c r="S135" i="66" s="1"/>
  <c r="R132" i="66"/>
  <c r="R135" i="66" s="1"/>
  <c r="Q132" i="66"/>
  <c r="Q135" i="66" s="1"/>
  <c r="S131" i="66"/>
  <c r="R131" i="66"/>
  <c r="Q131" i="66"/>
  <c r="S130" i="66"/>
  <c r="R130" i="66"/>
  <c r="Q130" i="66"/>
  <c r="T128" i="66"/>
  <c r="T126" i="66"/>
  <c r="S125" i="66"/>
  <c r="R125" i="66"/>
  <c r="T124" i="66"/>
  <c r="T123" i="66"/>
  <c r="S122" i="66"/>
  <c r="R122" i="66"/>
  <c r="Q122" i="66"/>
  <c r="S121" i="66"/>
  <c r="R121" i="66"/>
  <c r="Q121" i="66"/>
  <c r="S120" i="66"/>
  <c r="R120" i="66"/>
  <c r="Q120" i="66"/>
  <c r="S119" i="66"/>
  <c r="R119" i="66"/>
  <c r="Q119" i="66"/>
  <c r="S118" i="66"/>
  <c r="R118" i="66"/>
  <c r="Q118" i="66"/>
  <c r="S117" i="66"/>
  <c r="S123" i="66" s="1"/>
  <c r="R117" i="66"/>
  <c r="R123" i="66" s="1"/>
  <c r="Q117" i="66"/>
  <c r="Q123" i="66" s="1"/>
  <c r="T116" i="66"/>
  <c r="S115" i="66"/>
  <c r="R115" i="66"/>
  <c r="Q115" i="66"/>
  <c r="S114" i="66"/>
  <c r="R114" i="66"/>
  <c r="Q114" i="66"/>
  <c r="S113" i="66"/>
  <c r="S116" i="66" s="1"/>
  <c r="R113" i="66"/>
  <c r="R116" i="66" s="1"/>
  <c r="Q116" i="66"/>
  <c r="X59" i="66"/>
  <c r="Q59" i="66"/>
  <c r="AA36" i="66"/>
  <c r="Y139" i="66"/>
  <c r="Y137" i="66"/>
  <c r="AA32" i="66"/>
  <c r="Y134" i="66"/>
  <c r="Z133" i="66"/>
  <c r="Z132" i="66"/>
  <c r="Z130" i="66"/>
  <c r="Y125" i="66"/>
  <c r="AA20" i="66"/>
  <c r="AA13" i="66"/>
  <c r="Z122" i="66"/>
  <c r="Z123" i="66" s="1"/>
  <c r="Z124" i="66" s="1"/>
  <c r="Y122" i="66"/>
  <c r="Y118" i="66"/>
  <c r="Y20" i="66"/>
  <c r="Y115" i="66"/>
  <c r="Y13" i="66"/>
  <c r="T38" i="66"/>
  <c r="T36" i="66"/>
  <c r="S36" i="66"/>
  <c r="R36" i="66"/>
  <c r="Q36" i="66"/>
  <c r="T32" i="66"/>
  <c r="S32" i="66"/>
  <c r="R32" i="66"/>
  <c r="Q32" i="66"/>
  <c r="T25" i="66"/>
  <c r="T23" i="66"/>
  <c r="T21" i="66"/>
  <c r="T20" i="66"/>
  <c r="S20" i="66"/>
  <c r="R20" i="66"/>
  <c r="Q20" i="66"/>
  <c r="T13" i="66"/>
  <c r="S13" i="66"/>
  <c r="R13" i="66"/>
  <c r="Q13" i="66"/>
  <c r="AC110" i="66"/>
  <c r="Y123" i="66" l="1"/>
  <c r="Y124" i="66" s="1"/>
  <c r="O18" i="72"/>
  <c r="F31" i="72"/>
  <c r="S21" i="66"/>
  <c r="S23" i="66" s="1"/>
  <c r="R21" i="66"/>
  <c r="R23" i="66" s="1"/>
  <c r="R25" i="66" s="1"/>
  <c r="R38" i="66" s="1"/>
  <c r="Q21" i="66"/>
  <c r="S124" i="66"/>
  <c r="S126" i="66" s="1"/>
  <c r="R124" i="66"/>
  <c r="R126" i="66" s="1"/>
  <c r="R128" i="66" s="1"/>
  <c r="Q124" i="66"/>
  <c r="R141" i="66"/>
  <c r="Z36" i="66"/>
  <c r="Y36" i="66"/>
  <c r="AA21" i="66"/>
  <c r="AA23" i="66" s="1"/>
  <c r="AA25" i="66" s="1"/>
  <c r="Y21" i="66"/>
  <c r="Y116" i="66"/>
  <c r="Z116" i="66"/>
  <c r="Y32" i="66"/>
  <c r="Z32" i="66"/>
  <c r="Y130" i="66"/>
  <c r="Z13" i="66"/>
  <c r="Z20" i="66"/>
  <c r="Y133" i="66"/>
  <c r="Z137" i="66"/>
  <c r="X134" i="66"/>
  <c r="X135" i="66" s="1"/>
  <c r="Y120" i="66"/>
  <c r="AC111" i="66"/>
  <c r="O31" i="72" l="1"/>
  <c r="F32" i="72"/>
  <c r="AA126" i="66"/>
  <c r="AA38" i="66"/>
  <c r="Z21" i="66"/>
  <c r="X32" i="66"/>
  <c r="Y126" i="66"/>
  <c r="Y128" i="66" s="1"/>
  <c r="Y141" i="66" s="1"/>
  <c r="Y23" i="66"/>
  <c r="H35" i="65"/>
  <c r="AA128" i="66" l="1"/>
  <c r="Z126" i="66"/>
  <c r="Z23" i="66"/>
  <c r="Y25" i="66"/>
  <c r="T29" i="70"/>
  <c r="AA130" i="66" l="1"/>
  <c r="Y38" i="66"/>
  <c r="AB75" i="66"/>
  <c r="AB88" i="66"/>
  <c r="AB84" i="66"/>
  <c r="AB130" i="66" l="1"/>
  <c r="AA131" i="66"/>
  <c r="P136" i="66"/>
  <c r="AB86" i="66"/>
  <c r="AB85" i="66"/>
  <c r="AB82" i="66"/>
  <c r="AB81" i="66"/>
  <c r="AB80" i="66"/>
  <c r="AB79" i="66"/>
  <c r="AB78" i="66"/>
  <c r="AB73" i="66"/>
  <c r="AB70" i="66"/>
  <c r="AB69" i="66"/>
  <c r="AB68" i="66"/>
  <c r="AB67" i="66"/>
  <c r="AB66" i="66"/>
  <c r="AB63" i="66"/>
  <c r="AB62" i="66"/>
  <c r="AB131" i="66" l="1"/>
  <c r="AA132" i="66"/>
  <c r="AB61" i="66"/>
  <c r="AB64" i="66"/>
  <c r="AB65" i="66"/>
  <c r="AB132" i="66" l="1"/>
  <c r="AA133" i="66"/>
  <c r="AA134" i="66" s="1"/>
  <c r="AB134" i="66" s="1"/>
  <c r="AB83" i="66"/>
  <c r="AB71" i="66"/>
  <c r="AB87" i="66" l="1"/>
  <c r="AA137" i="66" l="1"/>
  <c r="AB72" i="66"/>
  <c r="AA138" i="66" l="1"/>
  <c r="AB74" i="66"/>
  <c r="AA140" i="66" l="1"/>
  <c r="AB140" i="66" s="1"/>
  <c r="AB76" i="66"/>
  <c r="AB89" i="66"/>
  <c r="P39" i="70" l="1"/>
  <c r="O40" i="70"/>
  <c r="N40" i="70"/>
  <c r="M40" i="70"/>
  <c r="L40" i="70"/>
  <c r="K40" i="70"/>
  <c r="P40" i="70" l="1"/>
  <c r="B273" i="1"/>
  <c r="B39" i="5" l="1"/>
  <c r="F31" i="70" l="1"/>
  <c r="G31" i="70"/>
  <c r="H31" i="70"/>
  <c r="I31" i="70"/>
  <c r="J31" i="70"/>
  <c r="K31" i="70"/>
  <c r="L31" i="70"/>
  <c r="M31" i="70"/>
  <c r="N31" i="70"/>
  <c r="O31" i="70"/>
  <c r="E31" i="70"/>
  <c r="J17" i="65" l="1"/>
  <c r="L17" i="65"/>
  <c r="O17" i="65"/>
  <c r="L10" i="65"/>
  <c r="O10" i="65"/>
  <c r="C61" i="5"/>
  <c r="D61" i="5"/>
  <c r="E61" i="5"/>
  <c r="F61" i="5"/>
  <c r="G61" i="5"/>
  <c r="H61" i="5"/>
  <c r="I61" i="5"/>
  <c r="J61" i="5"/>
  <c r="K61" i="5"/>
  <c r="L61" i="5"/>
  <c r="M61" i="5"/>
  <c r="N61" i="5"/>
  <c r="C62" i="5"/>
  <c r="D62" i="5"/>
  <c r="E62" i="5"/>
  <c r="F62" i="5"/>
  <c r="G62" i="5"/>
  <c r="H62" i="5"/>
  <c r="I62" i="5"/>
  <c r="J62" i="5"/>
  <c r="K62" i="5"/>
  <c r="L62" i="5"/>
  <c r="M62" i="5"/>
  <c r="N62" i="5"/>
  <c r="B62" i="5"/>
  <c r="B61" i="5"/>
  <c r="C53" i="5"/>
  <c r="D53" i="5"/>
  <c r="E53" i="5"/>
  <c r="F53" i="5"/>
  <c r="G53" i="5"/>
  <c r="H53" i="5"/>
  <c r="I53" i="5"/>
  <c r="J53" i="5"/>
  <c r="K53" i="5"/>
  <c r="L53" i="5"/>
  <c r="M53" i="5"/>
  <c r="B53" i="5"/>
  <c r="C48" i="5"/>
  <c r="D48" i="5"/>
  <c r="E48" i="5"/>
  <c r="F48" i="5"/>
  <c r="G48" i="5"/>
  <c r="H48" i="5"/>
  <c r="I48" i="5"/>
  <c r="J48" i="5"/>
  <c r="K48" i="5"/>
  <c r="L48" i="5"/>
  <c r="M48" i="5"/>
  <c r="N48" i="5"/>
  <c r="B48" i="5"/>
  <c r="C47" i="5"/>
  <c r="D47" i="5"/>
  <c r="E47" i="5"/>
  <c r="F47" i="5"/>
  <c r="G47" i="5"/>
  <c r="H47" i="5"/>
  <c r="I47" i="5"/>
  <c r="J47" i="5"/>
  <c r="K47" i="5"/>
  <c r="L47" i="5"/>
  <c r="M47" i="5"/>
  <c r="N47" i="5"/>
  <c r="B47" i="5"/>
  <c r="N43" i="5"/>
  <c r="N44" i="5"/>
  <c r="N45" i="5"/>
  <c r="N46" i="5"/>
  <c r="C46" i="5"/>
  <c r="D46" i="5"/>
  <c r="E46" i="5"/>
  <c r="F46" i="5"/>
  <c r="G46" i="5"/>
  <c r="H46" i="5"/>
  <c r="I46" i="5"/>
  <c r="J46" i="5"/>
  <c r="K46" i="5"/>
  <c r="L46" i="5"/>
  <c r="M46" i="5"/>
  <c r="B46" i="5"/>
  <c r="C45" i="5"/>
  <c r="D45" i="5"/>
  <c r="E45" i="5"/>
  <c r="F45" i="5"/>
  <c r="G45" i="5"/>
  <c r="H45" i="5"/>
  <c r="I45" i="5"/>
  <c r="J45" i="5"/>
  <c r="K45" i="5"/>
  <c r="L45" i="5"/>
  <c r="M45" i="5"/>
  <c r="B45" i="5"/>
  <c r="C44" i="5"/>
  <c r="D44" i="5"/>
  <c r="E44" i="5"/>
  <c r="F44" i="5"/>
  <c r="G44" i="5"/>
  <c r="H44" i="5"/>
  <c r="I44" i="5"/>
  <c r="J44" i="5"/>
  <c r="K44" i="5"/>
  <c r="L44" i="5"/>
  <c r="M44" i="5"/>
  <c r="B44" i="5"/>
  <c r="C43" i="5"/>
  <c r="D43" i="5"/>
  <c r="E43" i="5"/>
  <c r="F43" i="5"/>
  <c r="G43" i="5"/>
  <c r="H43" i="5"/>
  <c r="I43" i="5"/>
  <c r="J43" i="5"/>
  <c r="K43" i="5"/>
  <c r="L43" i="5"/>
  <c r="M43" i="5"/>
  <c r="B43" i="5"/>
  <c r="C40" i="5"/>
  <c r="D40" i="5"/>
  <c r="E40" i="5"/>
  <c r="F40" i="5"/>
  <c r="G40" i="5"/>
  <c r="H40" i="5"/>
  <c r="I40" i="5"/>
  <c r="J40" i="5"/>
  <c r="K40" i="5"/>
  <c r="L40" i="5"/>
  <c r="M40" i="5"/>
  <c r="B40" i="5"/>
  <c r="C192" i="1"/>
  <c r="D192" i="1"/>
  <c r="E192" i="1"/>
  <c r="F192" i="1"/>
  <c r="G192" i="1"/>
  <c r="H192" i="1"/>
  <c r="I192" i="1"/>
  <c r="J192" i="1"/>
  <c r="K192" i="1"/>
  <c r="L192" i="1"/>
  <c r="M192" i="1"/>
  <c r="B192" i="1"/>
  <c r="C39" i="5"/>
  <c r="D39" i="5"/>
  <c r="E39" i="5"/>
  <c r="E153" i="5" s="1"/>
  <c r="F39" i="5"/>
  <c r="G39" i="5"/>
  <c r="H39" i="5"/>
  <c r="I39" i="5"/>
  <c r="J39" i="5"/>
  <c r="K39" i="5"/>
  <c r="L39" i="5"/>
  <c r="M39" i="5"/>
  <c r="O18" i="65" l="1"/>
  <c r="L18" i="65"/>
  <c r="T34" i="65"/>
  <c r="T30" i="65"/>
  <c r="D31" i="70"/>
  <c r="P32" i="70"/>
  <c r="T25" i="70" s="1"/>
  <c r="P31" i="70" l="1"/>
  <c r="R17" i="70" l="1"/>
  <c r="N104" i="5" l="1"/>
  <c r="N103" i="5"/>
  <c r="N102" i="5"/>
  <c r="M26" i="57" l="1"/>
  <c r="Y24" i="57" l="1"/>
  <c r="B333" i="1" l="1"/>
  <c r="B205" i="1" l="1"/>
  <c r="O19" i="1" l="1"/>
  <c r="B51" i="1"/>
  <c r="B100" i="1"/>
  <c r="L7" i="57" l="1"/>
  <c r="B149" i="1"/>
  <c r="B242" i="1"/>
  <c r="T35" i="57" l="1"/>
  <c r="T31" i="57"/>
  <c r="T24" i="57"/>
  <c r="T21" i="57"/>
  <c r="B70" i="1" l="1"/>
  <c r="O5" i="1"/>
  <c r="M7" i="57" l="1"/>
  <c r="K7" i="57"/>
  <c r="M12" i="57" l="1"/>
  <c r="I41" i="70" l="1"/>
  <c r="H41" i="70"/>
  <c r="G41" i="70"/>
  <c r="F41" i="70"/>
  <c r="E41" i="70"/>
  <c r="K41" i="70"/>
  <c r="L41" i="70"/>
  <c r="M41" i="70"/>
  <c r="N41" i="70"/>
  <c r="O41" i="70"/>
  <c r="J41" i="70"/>
  <c r="P20" i="70"/>
  <c r="K35" i="70"/>
  <c r="L35" i="70"/>
  <c r="M35" i="70"/>
  <c r="N35" i="70"/>
  <c r="O35" i="70"/>
  <c r="J35" i="70"/>
  <c r="O38" i="70" l="1"/>
  <c r="N38" i="70"/>
  <c r="M38" i="70"/>
  <c r="L38" i="70"/>
  <c r="K38" i="70"/>
  <c r="J38" i="70"/>
  <c r="P38" i="70" s="1"/>
  <c r="L27" i="70"/>
  <c r="O27" i="70"/>
  <c r="M27" i="70"/>
  <c r="K27" i="70"/>
  <c r="N27" i="70"/>
  <c r="K37" i="70"/>
  <c r="P35" i="70"/>
  <c r="L37" i="70"/>
  <c r="M37" i="70"/>
  <c r="N37" i="70"/>
  <c r="O37" i="70"/>
  <c r="E37" i="70"/>
  <c r="J26" i="70"/>
  <c r="F37" i="70"/>
  <c r="O26" i="70"/>
  <c r="G37" i="70"/>
  <c r="N26" i="70"/>
  <c r="H37" i="70"/>
  <c r="M26" i="70"/>
  <c r="I37" i="70"/>
  <c r="L26" i="70"/>
  <c r="J37" i="70"/>
  <c r="K26" i="70"/>
  <c r="P41" i="70"/>
  <c r="O46" i="70"/>
  <c r="N46" i="70"/>
  <c r="M46" i="70"/>
  <c r="L46" i="70"/>
  <c r="K46" i="70"/>
  <c r="J46" i="70"/>
  <c r="I46" i="70"/>
  <c r="H46" i="70"/>
  <c r="P19" i="70"/>
  <c r="P3" i="70"/>
  <c r="T28" i="70" l="1"/>
  <c r="D24" i="70"/>
  <c r="P27" i="70"/>
  <c r="P37" i="70"/>
  <c r="T30" i="70" s="1"/>
  <c r="E29" i="70"/>
  <c r="H28" i="70"/>
  <c r="I28" i="70"/>
  <c r="J28" i="70"/>
  <c r="K28" i="70"/>
  <c r="L28" i="70"/>
  <c r="M28" i="70"/>
  <c r="N28" i="70"/>
  <c r="O28" i="70"/>
  <c r="E24" i="70"/>
  <c r="E42" i="70" l="1"/>
  <c r="P28" i="70"/>
  <c r="J9" i="57" l="1"/>
  <c r="B107" i="5" l="1"/>
  <c r="B106" i="5"/>
  <c r="M25" i="57"/>
  <c r="H32" i="57" l="1"/>
  <c r="H33" i="57"/>
  <c r="N336" i="1"/>
  <c r="N335" i="1"/>
  <c r="C336" i="1"/>
  <c r="D336" i="1"/>
  <c r="E336" i="1"/>
  <c r="F336" i="1"/>
  <c r="G336" i="1"/>
  <c r="H336" i="1"/>
  <c r="I336" i="1"/>
  <c r="J336" i="1"/>
  <c r="K336" i="1"/>
  <c r="L336" i="1"/>
  <c r="M336" i="1"/>
  <c r="B336" i="1"/>
  <c r="C335" i="1"/>
  <c r="D335" i="1"/>
  <c r="E335" i="1"/>
  <c r="F335" i="1"/>
  <c r="G335" i="1"/>
  <c r="H335" i="1"/>
  <c r="I335" i="1"/>
  <c r="J335" i="1"/>
  <c r="K335" i="1"/>
  <c r="L335" i="1"/>
  <c r="M335" i="1"/>
  <c r="B335" i="1"/>
  <c r="C30" i="6" l="1"/>
  <c r="I27" i="6"/>
  <c r="C16" i="6"/>
  <c r="I9" i="6"/>
  <c r="I18" i="60" l="1"/>
  <c r="B203" i="1"/>
  <c r="C203" i="1"/>
  <c r="D203" i="1"/>
  <c r="E203" i="1"/>
  <c r="F203" i="1"/>
  <c r="G203" i="1"/>
  <c r="H203" i="1"/>
  <c r="I203" i="1"/>
  <c r="J203" i="1"/>
  <c r="K203" i="1"/>
  <c r="L203" i="1"/>
  <c r="M203" i="1"/>
  <c r="C202" i="1"/>
  <c r="D202" i="1"/>
  <c r="E202" i="1"/>
  <c r="F202" i="1"/>
  <c r="G202" i="1"/>
  <c r="H202" i="1"/>
  <c r="I202" i="1"/>
  <c r="J202" i="1"/>
  <c r="K202" i="1"/>
  <c r="L202" i="1"/>
  <c r="M202" i="1"/>
  <c r="B202" i="1"/>
  <c r="N192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B194" i="1"/>
  <c r="N19" i="1"/>
  <c r="N17" i="1"/>
  <c r="N28" i="1"/>
  <c r="N203" i="1" l="1"/>
  <c r="N202" i="1"/>
  <c r="B220" i="1" l="1"/>
  <c r="N195" i="5"/>
  <c r="N196" i="5"/>
  <c r="N197" i="5"/>
  <c r="N198" i="5"/>
  <c r="N199" i="5"/>
  <c r="N208" i="5"/>
  <c r="N207" i="5"/>
  <c r="N206" i="5"/>
  <c r="N205" i="5"/>
  <c r="N194" i="5"/>
  <c r="N193" i="5"/>
  <c r="N202" i="5" l="1"/>
  <c r="N204" i="5"/>
  <c r="N203" i="5"/>
  <c r="C1" i="1" l="1"/>
  <c r="F18" i="6"/>
  <c r="D18" i="6"/>
  <c r="H18" i="6"/>
  <c r="H20" i="6"/>
  <c r="F20" i="6"/>
  <c r="E18" i="6"/>
  <c r="D1" i="1"/>
  <c r="E1" i="1"/>
  <c r="F1" i="1"/>
  <c r="G1" i="1"/>
  <c r="H1" i="1"/>
  <c r="I1" i="1"/>
  <c r="J1" i="1"/>
  <c r="K1" i="1"/>
  <c r="L1" i="1"/>
  <c r="M1" i="1"/>
  <c r="B1" i="1"/>
  <c r="H32" i="61" l="1"/>
  <c r="H33" i="61"/>
  <c r="H18" i="60"/>
  <c r="H1" i="60"/>
  <c r="F18" i="60"/>
  <c r="E18" i="60"/>
  <c r="D18" i="60"/>
  <c r="B105" i="5" l="1"/>
  <c r="C115" i="5" l="1"/>
  <c r="B115" i="5"/>
  <c r="C82" i="5"/>
  <c r="B82" i="5"/>
  <c r="P51" i="70"/>
  <c r="P34" i="70"/>
  <c r="P33" i="70"/>
  <c r="T26" i="70" s="1"/>
  <c r="E54" i="70"/>
  <c r="D29" i="70"/>
  <c r="O16" i="70"/>
  <c r="N16" i="70"/>
  <c r="M16" i="70"/>
  <c r="L16" i="70"/>
  <c r="K16" i="70"/>
  <c r="J16" i="70"/>
  <c r="I16" i="70"/>
  <c r="O15" i="70"/>
  <c r="N15" i="70"/>
  <c r="M15" i="70"/>
  <c r="L15" i="70"/>
  <c r="K15" i="70"/>
  <c r="J15" i="70"/>
  <c r="I15" i="70"/>
  <c r="H15" i="70"/>
  <c r="O14" i="70"/>
  <c r="N14" i="70"/>
  <c r="M14" i="70"/>
  <c r="L14" i="70"/>
  <c r="K14" i="70"/>
  <c r="J14" i="70"/>
  <c r="I14" i="70"/>
  <c r="H14" i="70"/>
  <c r="O13" i="70"/>
  <c r="N13" i="70"/>
  <c r="M13" i="70"/>
  <c r="L13" i="70"/>
  <c r="K13" i="70"/>
  <c r="J13" i="70"/>
  <c r="I13" i="70"/>
  <c r="O12" i="70"/>
  <c r="N12" i="70"/>
  <c r="M12" i="70"/>
  <c r="L12" i="70"/>
  <c r="K12" i="70"/>
  <c r="J12" i="70"/>
  <c r="I12" i="70"/>
  <c r="O11" i="70"/>
  <c r="N11" i="70"/>
  <c r="M11" i="70"/>
  <c r="L11" i="70"/>
  <c r="K11" i="70"/>
  <c r="J11" i="70"/>
  <c r="I11" i="70"/>
  <c r="H11" i="70"/>
  <c r="G11" i="70"/>
  <c r="O10" i="70"/>
  <c r="N10" i="70"/>
  <c r="M10" i="70"/>
  <c r="L10" i="70"/>
  <c r="K10" i="70"/>
  <c r="J10" i="70"/>
  <c r="I10" i="70"/>
  <c r="P9" i="70"/>
  <c r="P8" i="70"/>
  <c r="P7" i="70"/>
  <c r="O6" i="70"/>
  <c r="N6" i="70"/>
  <c r="M6" i="70"/>
  <c r="L6" i="70"/>
  <c r="K6" i="70"/>
  <c r="J6" i="70"/>
  <c r="O5" i="70"/>
  <c r="N5" i="70"/>
  <c r="M5" i="70"/>
  <c r="L5" i="70"/>
  <c r="K5" i="70"/>
  <c r="J5" i="70"/>
  <c r="I5" i="70"/>
  <c r="H5" i="70"/>
  <c r="G5" i="70"/>
  <c r="F5" i="70"/>
  <c r="F17" i="70" s="1"/>
  <c r="E5" i="70"/>
  <c r="E17" i="70" s="1"/>
  <c r="D5" i="70"/>
  <c r="D17" i="70" s="1"/>
  <c r="O13" i="69"/>
  <c r="O12" i="69"/>
  <c r="O11" i="69"/>
  <c r="L82" i="5"/>
  <c r="F10" i="69"/>
  <c r="F7" i="69" s="1"/>
  <c r="E10" i="69"/>
  <c r="E7" i="69" s="1"/>
  <c r="D10" i="69"/>
  <c r="D7" i="69" s="1"/>
  <c r="C10" i="69"/>
  <c r="C7" i="69"/>
  <c r="O5" i="69"/>
  <c r="O3" i="69"/>
  <c r="N49" i="14"/>
  <c r="M49" i="14"/>
  <c r="L49" i="14"/>
  <c r="K49" i="14"/>
  <c r="J49" i="14"/>
  <c r="I49" i="14"/>
  <c r="H49" i="14"/>
  <c r="G49" i="14"/>
  <c r="F49" i="14"/>
  <c r="E49" i="14"/>
  <c r="D49" i="14"/>
  <c r="C49" i="14"/>
  <c r="O49" i="14" s="1"/>
  <c r="O48" i="14"/>
  <c r="O47" i="14"/>
  <c r="O46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O42" i="14" s="1"/>
  <c r="O41" i="14"/>
  <c r="O40" i="14"/>
  <c r="O37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O35" i="14" s="1"/>
  <c r="O34" i="14"/>
  <c r="O33" i="14"/>
  <c r="C25" i="14"/>
  <c r="C27" i="14" s="1"/>
  <c r="N20" i="14"/>
  <c r="M20" i="14"/>
  <c r="L20" i="14"/>
  <c r="K20" i="14"/>
  <c r="J20" i="14"/>
  <c r="I20" i="14"/>
  <c r="H20" i="14"/>
  <c r="G20" i="14"/>
  <c r="F20" i="14"/>
  <c r="E20" i="14"/>
  <c r="D20" i="14"/>
  <c r="C20" i="14"/>
  <c r="O19" i="14"/>
  <c r="O18" i="14"/>
  <c r="O17" i="14"/>
  <c r="N13" i="14"/>
  <c r="N26" i="14" s="1"/>
  <c r="M13" i="14"/>
  <c r="M26" i="14" s="1"/>
  <c r="L13" i="14"/>
  <c r="L26" i="14" s="1"/>
  <c r="K13" i="14"/>
  <c r="K26" i="14" s="1"/>
  <c r="J13" i="14"/>
  <c r="J26" i="14" s="1"/>
  <c r="I13" i="14"/>
  <c r="I26" i="14" s="1"/>
  <c r="H13" i="14"/>
  <c r="H26" i="14" s="1"/>
  <c r="G13" i="14"/>
  <c r="G26" i="14" s="1"/>
  <c r="F13" i="14"/>
  <c r="F26" i="14" s="1"/>
  <c r="E13" i="14"/>
  <c r="E26" i="14" s="1"/>
  <c r="D13" i="14"/>
  <c r="D26" i="14" s="1"/>
  <c r="C13" i="14"/>
  <c r="C26" i="14" s="1"/>
  <c r="O12" i="14"/>
  <c r="O11" i="14"/>
  <c r="O8" i="14"/>
  <c r="N6" i="14"/>
  <c r="N25" i="14" s="1"/>
  <c r="M6" i="14"/>
  <c r="M25" i="14" s="1"/>
  <c r="L6" i="14"/>
  <c r="L25" i="14" s="1"/>
  <c r="K6" i="14"/>
  <c r="K25" i="14" s="1"/>
  <c r="J6" i="14"/>
  <c r="J25" i="14" s="1"/>
  <c r="I6" i="14"/>
  <c r="I25" i="14" s="1"/>
  <c r="H6" i="14"/>
  <c r="H25" i="14" s="1"/>
  <c r="G6" i="14"/>
  <c r="G25" i="14" s="1"/>
  <c r="G27" i="14" s="1"/>
  <c r="F6" i="14"/>
  <c r="F25" i="14" s="1"/>
  <c r="F27" i="14" s="1"/>
  <c r="E6" i="14"/>
  <c r="E25" i="14" s="1"/>
  <c r="D6" i="14"/>
  <c r="D25" i="14" s="1"/>
  <c r="C6" i="14"/>
  <c r="O5" i="14"/>
  <c r="O4" i="14"/>
  <c r="J82" i="5" l="1"/>
  <c r="J115" i="5"/>
  <c r="M82" i="5"/>
  <c r="O22" i="70"/>
  <c r="K22" i="70"/>
  <c r="I115" i="5"/>
  <c r="I82" i="5"/>
  <c r="F22" i="70"/>
  <c r="D82" i="5"/>
  <c r="D115" i="5"/>
  <c r="K115" i="5"/>
  <c r="M22" i="70"/>
  <c r="N22" i="70"/>
  <c r="I22" i="70"/>
  <c r="J22" i="70"/>
  <c r="L115" i="5"/>
  <c r="E115" i="5"/>
  <c r="G22" i="70"/>
  <c r="F115" i="5"/>
  <c r="H22" i="70"/>
  <c r="L22" i="70"/>
  <c r="I27" i="14"/>
  <c r="I29" i="14" s="1"/>
  <c r="H27" i="14"/>
  <c r="H29" i="14" s="1"/>
  <c r="J27" i="14"/>
  <c r="J29" i="14" s="1"/>
  <c r="O20" i="14"/>
  <c r="J7" i="57"/>
  <c r="D42" i="70"/>
  <c r="D54" i="70" s="1"/>
  <c r="L27" i="14"/>
  <c r="L29" i="14" s="1"/>
  <c r="E27" i="14"/>
  <c r="E29" i="14" s="1"/>
  <c r="D27" i="14"/>
  <c r="D29" i="14" s="1"/>
  <c r="O6" i="14"/>
  <c r="O25" i="14" s="1"/>
  <c r="G115" i="5"/>
  <c r="G82" i="5"/>
  <c r="H115" i="5"/>
  <c r="H82" i="5"/>
  <c r="M115" i="5"/>
  <c r="K82" i="5"/>
  <c r="O10" i="69"/>
  <c r="F82" i="5"/>
  <c r="E82" i="5"/>
  <c r="P10" i="70"/>
  <c r="P15" i="70"/>
  <c r="P26" i="70"/>
  <c r="K17" i="70"/>
  <c r="P12" i="70"/>
  <c r="N17" i="70"/>
  <c r="G17" i="70"/>
  <c r="P5" i="70"/>
  <c r="H17" i="70"/>
  <c r="P14" i="70"/>
  <c r="I17" i="70"/>
  <c r="P11" i="70"/>
  <c r="J17" i="70"/>
  <c r="P52" i="70"/>
  <c r="P49" i="70"/>
  <c r="P16" i="70"/>
  <c r="M17" i="70"/>
  <c r="O17" i="70"/>
  <c r="P53" i="70"/>
  <c r="B153" i="5"/>
  <c r="P50" i="70"/>
  <c r="P6" i="70"/>
  <c r="L17" i="70"/>
  <c r="P13" i="70"/>
  <c r="O7" i="69"/>
  <c r="C29" i="14"/>
  <c r="M27" i="14"/>
  <c r="M29" i="14" s="1"/>
  <c r="N27" i="14"/>
  <c r="N29" i="14" s="1"/>
  <c r="F29" i="14"/>
  <c r="G29" i="14"/>
  <c r="K27" i="14"/>
  <c r="K29" i="14" s="1"/>
  <c r="O13" i="14"/>
  <c r="O26" i="14" s="1"/>
  <c r="E4" i="66" l="1"/>
  <c r="R115" i="5"/>
  <c r="M1" i="60" s="1"/>
  <c r="Q115" i="5"/>
  <c r="R82" i="5"/>
  <c r="K1" i="60" s="1"/>
  <c r="Q82" i="5"/>
  <c r="P22" i="70"/>
  <c r="O30" i="70"/>
  <c r="O25" i="70"/>
  <c r="O29" i="70"/>
  <c r="O24" i="70"/>
  <c r="I36" i="70"/>
  <c r="I29" i="70"/>
  <c r="I24" i="70"/>
  <c r="J36" i="70"/>
  <c r="J29" i="70"/>
  <c r="J25" i="70"/>
  <c r="J24" i="70"/>
  <c r="J30" i="70"/>
  <c r="G29" i="70"/>
  <c r="G24" i="70"/>
  <c r="F24" i="70"/>
  <c r="F29" i="70"/>
  <c r="K36" i="70"/>
  <c r="K24" i="70"/>
  <c r="K25" i="70"/>
  <c r="K30" i="70"/>
  <c r="K29" i="70"/>
  <c r="L36" i="70"/>
  <c r="L30" i="70"/>
  <c r="L29" i="70"/>
  <c r="L25" i="70"/>
  <c r="L24" i="70"/>
  <c r="N36" i="70"/>
  <c r="N29" i="70"/>
  <c r="N30" i="70"/>
  <c r="N25" i="70"/>
  <c r="N24" i="70"/>
  <c r="O36" i="70"/>
  <c r="H36" i="70"/>
  <c r="H24" i="70"/>
  <c r="H29" i="70"/>
  <c r="M36" i="70"/>
  <c r="M25" i="70"/>
  <c r="M30" i="70"/>
  <c r="M29" i="70"/>
  <c r="M24" i="70"/>
  <c r="C153" i="5"/>
  <c r="O27" i="14"/>
  <c r="N82" i="5"/>
  <c r="Q4" i="65"/>
  <c r="P17" i="70"/>
  <c r="R16" i="70" s="1"/>
  <c r="R19" i="70" s="1"/>
  <c r="M108" i="5" l="1"/>
  <c r="M105" i="5"/>
  <c r="N90" i="5"/>
  <c r="N86" i="5"/>
  <c r="M94" i="5"/>
  <c r="F108" i="5"/>
  <c r="G94" i="5"/>
  <c r="D108" i="5"/>
  <c r="I94" i="5"/>
  <c r="N42" i="70"/>
  <c r="N54" i="70" s="1"/>
  <c r="G42" i="70"/>
  <c r="G54" i="70" s="1"/>
  <c r="L105" i="5"/>
  <c r="L42" i="70"/>
  <c r="L54" i="70" s="1"/>
  <c r="J42" i="70"/>
  <c r="J54" i="70" s="1"/>
  <c r="P25" i="70"/>
  <c r="G108" i="5"/>
  <c r="H108" i="5"/>
  <c r="K42" i="70"/>
  <c r="K54" i="70" s="1"/>
  <c r="L94" i="5"/>
  <c r="J94" i="5"/>
  <c r="I108" i="5"/>
  <c r="H94" i="5"/>
  <c r="N89" i="5"/>
  <c r="P29" i="70"/>
  <c r="I42" i="70"/>
  <c r="I54" i="70" s="1"/>
  <c r="E105" i="5"/>
  <c r="F42" i="70"/>
  <c r="F54" i="70" s="1"/>
  <c r="K94" i="5"/>
  <c r="J108" i="5"/>
  <c r="E108" i="5"/>
  <c r="P24" i="70"/>
  <c r="N91" i="5"/>
  <c r="M42" i="70"/>
  <c r="M54" i="70" s="1"/>
  <c r="P30" i="70"/>
  <c r="L108" i="5"/>
  <c r="N93" i="5"/>
  <c r="H42" i="70"/>
  <c r="H54" i="70" s="1"/>
  <c r="N92" i="5"/>
  <c r="F94" i="5"/>
  <c r="E94" i="5"/>
  <c r="O42" i="70"/>
  <c r="O54" i="70" s="1"/>
  <c r="D94" i="5"/>
  <c r="K108" i="5"/>
  <c r="N85" i="5"/>
  <c r="D105" i="5" l="1"/>
  <c r="K105" i="5"/>
  <c r="N84" i="5"/>
  <c r="F105" i="5"/>
  <c r="G105" i="5"/>
  <c r="P42" i="70"/>
  <c r="P54" i="70" s="1"/>
  <c r="N101" i="5"/>
  <c r="H105" i="5"/>
  <c r="I105" i="5"/>
  <c r="T24" i="70"/>
  <c r="J105" i="5"/>
  <c r="N100" i="5"/>
  <c r="C105" i="5"/>
  <c r="N88" i="5"/>
  <c r="C94" i="5"/>
  <c r="M29" i="65" l="1"/>
  <c r="N105" i="5"/>
  <c r="M32" i="67"/>
  <c r="L32" i="67"/>
  <c r="K32" i="67"/>
  <c r="J32" i="67"/>
  <c r="I32" i="67"/>
  <c r="H32" i="67"/>
  <c r="G32" i="67"/>
  <c r="F32" i="67"/>
  <c r="E32" i="67"/>
  <c r="D32" i="67"/>
  <c r="C32" i="67"/>
  <c r="B32" i="67"/>
  <c r="C31" i="67"/>
  <c r="D31" i="67"/>
  <c r="E31" i="67"/>
  <c r="F31" i="67"/>
  <c r="G31" i="67"/>
  <c r="H31" i="67"/>
  <c r="I31" i="67"/>
  <c r="J31" i="67"/>
  <c r="K31" i="67"/>
  <c r="L31" i="67"/>
  <c r="M31" i="67"/>
  <c r="B31" i="67"/>
  <c r="M28" i="67"/>
  <c r="L28" i="67"/>
  <c r="K28" i="67"/>
  <c r="J28" i="67"/>
  <c r="I28" i="67"/>
  <c r="H28" i="67"/>
  <c r="G28" i="67"/>
  <c r="F28" i="67"/>
  <c r="E28" i="67"/>
  <c r="D28" i="67"/>
  <c r="C28" i="67"/>
  <c r="B28" i="67"/>
  <c r="M27" i="67"/>
  <c r="L27" i="67"/>
  <c r="K27" i="67"/>
  <c r="J27" i="67"/>
  <c r="I27" i="67"/>
  <c r="H27" i="67"/>
  <c r="G27" i="67"/>
  <c r="F27" i="67"/>
  <c r="E27" i="67"/>
  <c r="D27" i="67"/>
  <c r="C27" i="67"/>
  <c r="B27" i="67"/>
  <c r="M26" i="67"/>
  <c r="L26" i="67"/>
  <c r="K26" i="67"/>
  <c r="J26" i="67"/>
  <c r="I26" i="67"/>
  <c r="H26" i="67"/>
  <c r="G26" i="67"/>
  <c r="F26" i="67"/>
  <c r="E26" i="67"/>
  <c r="D26" i="67"/>
  <c r="C26" i="67"/>
  <c r="B26" i="67"/>
  <c r="M25" i="67"/>
  <c r="L25" i="67"/>
  <c r="K25" i="67"/>
  <c r="J25" i="67"/>
  <c r="I25" i="67"/>
  <c r="H25" i="67"/>
  <c r="G25" i="67"/>
  <c r="F25" i="67"/>
  <c r="E25" i="67"/>
  <c r="B25" i="67"/>
  <c r="M24" i="67"/>
  <c r="L24" i="67"/>
  <c r="K24" i="67"/>
  <c r="J24" i="67"/>
  <c r="I24" i="67"/>
  <c r="H24" i="67"/>
  <c r="G24" i="67"/>
  <c r="F24" i="67"/>
  <c r="E24" i="67"/>
  <c r="D24" i="67"/>
  <c r="C24" i="67"/>
  <c r="B24" i="67"/>
  <c r="M21" i="67"/>
  <c r="L21" i="67"/>
  <c r="K21" i="67"/>
  <c r="J21" i="67"/>
  <c r="I21" i="67"/>
  <c r="H21" i="67"/>
  <c r="G21" i="67"/>
  <c r="F21" i="67"/>
  <c r="E21" i="67"/>
  <c r="D21" i="67"/>
  <c r="C21" i="67"/>
  <c r="B21" i="67"/>
  <c r="M19" i="67"/>
  <c r="L19" i="67"/>
  <c r="K19" i="67"/>
  <c r="J19" i="67"/>
  <c r="I19" i="67"/>
  <c r="H19" i="67"/>
  <c r="G19" i="67"/>
  <c r="F19" i="67"/>
  <c r="E19" i="67"/>
  <c r="D19" i="67"/>
  <c r="C19" i="67"/>
  <c r="B19" i="67"/>
  <c r="M16" i="67"/>
  <c r="L16" i="67"/>
  <c r="K16" i="67"/>
  <c r="J16" i="67"/>
  <c r="I16" i="67"/>
  <c r="H16" i="67"/>
  <c r="G16" i="67"/>
  <c r="F16" i="67"/>
  <c r="E16" i="67"/>
  <c r="D16" i="67"/>
  <c r="C16" i="67"/>
  <c r="B16" i="67"/>
  <c r="M15" i="67"/>
  <c r="L15" i="67"/>
  <c r="K15" i="67"/>
  <c r="J15" i="67"/>
  <c r="I15" i="67"/>
  <c r="H15" i="67"/>
  <c r="G15" i="67"/>
  <c r="F15" i="67"/>
  <c r="E15" i="67"/>
  <c r="D15" i="67"/>
  <c r="C15" i="67"/>
  <c r="B15" i="67"/>
  <c r="M14" i="67"/>
  <c r="L14" i="67"/>
  <c r="K14" i="67"/>
  <c r="J14" i="67"/>
  <c r="I14" i="67"/>
  <c r="H14" i="67"/>
  <c r="G14" i="67"/>
  <c r="F14" i="67"/>
  <c r="E14" i="67"/>
  <c r="D14" i="67"/>
  <c r="B14" i="67"/>
  <c r="M13" i="67"/>
  <c r="L13" i="67"/>
  <c r="K13" i="67"/>
  <c r="J13" i="67"/>
  <c r="I13" i="67"/>
  <c r="H13" i="67"/>
  <c r="G13" i="67"/>
  <c r="F13" i="67"/>
  <c r="E13" i="67"/>
  <c r="D13" i="67"/>
  <c r="C13" i="67"/>
  <c r="B13" i="67"/>
  <c r="M12" i="67"/>
  <c r="L12" i="67"/>
  <c r="K12" i="67"/>
  <c r="J12" i="67"/>
  <c r="I12" i="67"/>
  <c r="H12" i="67"/>
  <c r="G12" i="67"/>
  <c r="F12" i="67"/>
  <c r="E12" i="67"/>
  <c r="D12" i="67"/>
  <c r="C12" i="67"/>
  <c r="B12" i="67"/>
  <c r="M11" i="67"/>
  <c r="L11" i="67"/>
  <c r="K11" i="67"/>
  <c r="J11" i="67"/>
  <c r="I11" i="67"/>
  <c r="H11" i="67"/>
  <c r="G11" i="67"/>
  <c r="F11" i="67"/>
  <c r="E11" i="67"/>
  <c r="D11" i="67"/>
  <c r="C11" i="67"/>
  <c r="B11" i="67"/>
  <c r="M9" i="67"/>
  <c r="L9" i="67"/>
  <c r="K9" i="67"/>
  <c r="J9" i="67"/>
  <c r="I9" i="67"/>
  <c r="H9" i="67"/>
  <c r="G9" i="67"/>
  <c r="F9" i="67"/>
  <c r="E9" i="67"/>
  <c r="D9" i="67"/>
  <c r="C9" i="67"/>
  <c r="B9" i="67"/>
  <c r="M8" i="67"/>
  <c r="L8" i="67"/>
  <c r="K8" i="67"/>
  <c r="J8" i="67"/>
  <c r="I8" i="67"/>
  <c r="H8" i="67"/>
  <c r="G8" i="67"/>
  <c r="F8" i="67"/>
  <c r="E8" i="67"/>
  <c r="D8" i="67"/>
  <c r="B8" i="67"/>
  <c r="C7" i="67"/>
  <c r="D7" i="67"/>
  <c r="F7" i="67"/>
  <c r="G7" i="67"/>
  <c r="H7" i="67"/>
  <c r="I7" i="67"/>
  <c r="J7" i="67"/>
  <c r="K7" i="67"/>
  <c r="L7" i="67"/>
  <c r="M7" i="67"/>
  <c r="B7" i="67"/>
  <c r="F21" i="65"/>
  <c r="F19" i="65"/>
  <c r="C4" i="66"/>
  <c r="C107" i="66" s="1"/>
  <c r="D4" i="66"/>
  <c r="D107" i="66" s="1"/>
  <c r="E107" i="66"/>
  <c r="F4" i="66"/>
  <c r="F107" i="66" s="1"/>
  <c r="G4" i="66"/>
  <c r="G107" i="66" s="1"/>
  <c r="H4" i="66"/>
  <c r="H107" i="66" s="1"/>
  <c r="I4" i="66"/>
  <c r="I107" i="66" s="1"/>
  <c r="J4" i="66"/>
  <c r="J107" i="66" s="1"/>
  <c r="K4" i="66"/>
  <c r="K107" i="66" s="1"/>
  <c r="L4" i="66"/>
  <c r="L107" i="66" s="1"/>
  <c r="M4" i="66"/>
  <c r="M107" i="66" s="1"/>
  <c r="B4" i="66"/>
  <c r="F28" i="65"/>
  <c r="F27" i="65"/>
  <c r="F26" i="65"/>
  <c r="F25" i="65"/>
  <c r="F24" i="65"/>
  <c r="F16" i="65"/>
  <c r="F15" i="65"/>
  <c r="F14" i="65"/>
  <c r="F13" i="65"/>
  <c r="F12" i="65"/>
  <c r="F11" i="65"/>
  <c r="F9" i="65"/>
  <c r="F8" i="65"/>
  <c r="F7" i="65"/>
  <c r="C235" i="1"/>
  <c r="D235" i="1"/>
  <c r="E235" i="1"/>
  <c r="F235" i="1"/>
  <c r="G235" i="1"/>
  <c r="H235" i="1"/>
  <c r="I235" i="1"/>
  <c r="J235" i="1"/>
  <c r="K235" i="1"/>
  <c r="L235" i="1"/>
  <c r="M235" i="1"/>
  <c r="O33" i="65"/>
  <c r="L33" i="65"/>
  <c r="K33" i="65"/>
  <c r="J33" i="65"/>
  <c r="E33" i="65"/>
  <c r="P31" i="65"/>
  <c r="O29" i="65"/>
  <c r="L29" i="65"/>
  <c r="J29" i="65"/>
  <c r="H29" i="65"/>
  <c r="P24" i="65"/>
  <c r="E17" i="65"/>
  <c r="L20" i="65"/>
  <c r="L22" i="65" s="1"/>
  <c r="H10" i="65"/>
  <c r="B107" i="66" l="1"/>
  <c r="P107" i="66" s="1"/>
  <c r="P4" i="66"/>
  <c r="L35" i="65"/>
  <c r="D25" i="67"/>
  <c r="D29" i="67" s="1"/>
  <c r="H33" i="67"/>
  <c r="E2" i="67"/>
  <c r="S21" i="67" s="1"/>
  <c r="M2" i="67"/>
  <c r="B2" i="67"/>
  <c r="K2" i="67"/>
  <c r="I2" i="67"/>
  <c r="D2" i="67"/>
  <c r="L2" i="67"/>
  <c r="J2" i="67"/>
  <c r="H2" i="67"/>
  <c r="G2" i="67"/>
  <c r="F2" i="67"/>
  <c r="C8" i="67"/>
  <c r="AD8" i="67" s="1"/>
  <c r="C14" i="67"/>
  <c r="AD14" i="67" s="1"/>
  <c r="C2" i="67"/>
  <c r="K33" i="67"/>
  <c r="I33" i="67"/>
  <c r="L33" i="67"/>
  <c r="J33" i="67"/>
  <c r="N19" i="67"/>
  <c r="M33" i="67"/>
  <c r="N21" i="67"/>
  <c r="H29" i="67"/>
  <c r="L29" i="67"/>
  <c r="G29" i="67"/>
  <c r="K29" i="67"/>
  <c r="N26" i="67"/>
  <c r="N27" i="67"/>
  <c r="N28" i="67"/>
  <c r="N24" i="67"/>
  <c r="N16" i="67"/>
  <c r="N15" i="67"/>
  <c r="N12" i="67"/>
  <c r="N13" i="67"/>
  <c r="N11" i="67"/>
  <c r="N9" i="67"/>
  <c r="B10" i="67"/>
  <c r="D10" i="67"/>
  <c r="B29" i="67"/>
  <c r="G10" i="67"/>
  <c r="H10" i="67"/>
  <c r="M10" i="67"/>
  <c r="J29" i="67"/>
  <c r="J17" i="67"/>
  <c r="E33" i="67"/>
  <c r="M17" i="67"/>
  <c r="B17" i="67"/>
  <c r="M29" i="67"/>
  <c r="D33" i="67"/>
  <c r="O20" i="65"/>
  <c r="O22" i="65" s="1"/>
  <c r="O35" i="65" s="1"/>
  <c r="Y7" i="67"/>
  <c r="I10" i="67"/>
  <c r="B33" i="67"/>
  <c r="N32" i="67"/>
  <c r="F29" i="67"/>
  <c r="AE29" i="67" s="1"/>
  <c r="D17" i="67"/>
  <c r="F33" i="67"/>
  <c r="AE33" i="67" s="1"/>
  <c r="E17" i="67"/>
  <c r="G33" i="67"/>
  <c r="F10" i="67"/>
  <c r="AE10" i="67" s="1"/>
  <c r="C33" i="67"/>
  <c r="F29" i="65"/>
  <c r="K17" i="67"/>
  <c r="L17" i="67"/>
  <c r="I17" i="67"/>
  <c r="E29" i="67"/>
  <c r="F17" i="65"/>
  <c r="I29" i="67"/>
  <c r="F10" i="65"/>
  <c r="J10" i="67"/>
  <c r="F17" i="67"/>
  <c r="AE17" i="67" s="1"/>
  <c r="N31" i="67"/>
  <c r="K10" i="67"/>
  <c r="G17" i="67"/>
  <c r="L10" i="67"/>
  <c r="H17" i="67"/>
  <c r="AD33" i="67" l="1"/>
  <c r="P21" i="67"/>
  <c r="AD21" i="67"/>
  <c r="AD13" i="67"/>
  <c r="AD12" i="67"/>
  <c r="AD19" i="67"/>
  <c r="AD32" i="67"/>
  <c r="AD31" i="67"/>
  <c r="AD28" i="67"/>
  <c r="AD27" i="67"/>
  <c r="AD11" i="67"/>
  <c r="AD26" i="67"/>
  <c r="AD9" i="67"/>
  <c r="AD24" i="67"/>
  <c r="AD16" i="67"/>
  <c r="AD15" i="67"/>
  <c r="AE14" i="67"/>
  <c r="AE7" i="67"/>
  <c r="AE32" i="67"/>
  <c r="AE26" i="67"/>
  <c r="AE13" i="67"/>
  <c r="AE28" i="67"/>
  <c r="AE31" i="67"/>
  <c r="AE12" i="67"/>
  <c r="AE11" i="67"/>
  <c r="AE25" i="67"/>
  <c r="AE24" i="67"/>
  <c r="AE27" i="67"/>
  <c r="AE21" i="67"/>
  <c r="AE15" i="67"/>
  <c r="AE19" i="67"/>
  <c r="AE16" i="67"/>
  <c r="AE9" i="67"/>
  <c r="AE8" i="67"/>
  <c r="Q21" i="67"/>
  <c r="S2" i="67"/>
  <c r="AA2" i="67"/>
  <c r="AA21" i="67"/>
  <c r="P2" i="67"/>
  <c r="Y2" i="67"/>
  <c r="Y21" i="67"/>
  <c r="W2" i="67"/>
  <c r="W21" i="67"/>
  <c r="R2" i="67"/>
  <c r="R21" i="67"/>
  <c r="Z2" i="67"/>
  <c r="Z21" i="67"/>
  <c r="X2" i="67"/>
  <c r="X21" i="67"/>
  <c r="V2" i="67"/>
  <c r="V21" i="67"/>
  <c r="U2" i="67"/>
  <c r="U21" i="67"/>
  <c r="T2" i="67"/>
  <c r="T21" i="67"/>
  <c r="N8" i="67"/>
  <c r="C17" i="67"/>
  <c r="AD17" i="67" s="1"/>
  <c r="C10" i="67"/>
  <c r="Y11" i="67"/>
  <c r="Y12" i="67"/>
  <c r="V11" i="67"/>
  <c r="Y25" i="67"/>
  <c r="Y32" i="67"/>
  <c r="Y33" i="67"/>
  <c r="S8" i="67"/>
  <c r="S16" i="67"/>
  <c r="Y29" i="67"/>
  <c r="T28" i="67"/>
  <c r="Y27" i="67"/>
  <c r="Y9" i="67"/>
  <c r="Y26" i="67"/>
  <c r="T26" i="67"/>
  <c r="Y14" i="67"/>
  <c r="S15" i="67"/>
  <c r="S32" i="67"/>
  <c r="S9" i="67"/>
  <c r="S25" i="67"/>
  <c r="S24" i="67"/>
  <c r="S26" i="67"/>
  <c r="S19" i="67"/>
  <c r="S27" i="67"/>
  <c r="Y19" i="67"/>
  <c r="S33" i="67"/>
  <c r="S29" i="67"/>
  <c r="S17" i="67"/>
  <c r="Y31" i="67"/>
  <c r="S14" i="67"/>
  <c r="S31" i="67"/>
  <c r="S11" i="67"/>
  <c r="Y16" i="67"/>
  <c r="Y17" i="67"/>
  <c r="Z8" i="67"/>
  <c r="Z24" i="67"/>
  <c r="N14" i="67"/>
  <c r="U15" i="67"/>
  <c r="Z12" i="67"/>
  <c r="U29" i="67"/>
  <c r="Z33" i="67"/>
  <c r="AA7" i="67"/>
  <c r="U17" i="67"/>
  <c r="Z19" i="67"/>
  <c r="U24" i="67"/>
  <c r="Z29" i="67"/>
  <c r="AA12" i="67"/>
  <c r="U32" i="67"/>
  <c r="Z11" i="67"/>
  <c r="U31" i="67"/>
  <c r="U33" i="67"/>
  <c r="Z15" i="67"/>
  <c r="Z13" i="67"/>
  <c r="U27" i="67"/>
  <c r="U9" i="67"/>
  <c r="Z9" i="67"/>
  <c r="Z7" i="67"/>
  <c r="U16" i="67"/>
  <c r="Z17" i="67"/>
  <c r="Z31" i="67"/>
  <c r="Z32" i="67"/>
  <c r="Z27" i="67"/>
  <c r="U12" i="67"/>
  <c r="Z28" i="67"/>
  <c r="U11" i="67"/>
  <c r="X15" i="67"/>
  <c r="X31" i="67"/>
  <c r="X9" i="67"/>
  <c r="X25" i="67"/>
  <c r="T17" i="67"/>
  <c r="X16" i="67"/>
  <c r="X7" i="67"/>
  <c r="X33" i="67"/>
  <c r="X28" i="67"/>
  <c r="X27" i="67"/>
  <c r="T27" i="67"/>
  <c r="T31" i="67"/>
  <c r="X12" i="67"/>
  <c r="T16" i="67"/>
  <c r="T11" i="67"/>
  <c r="P7" i="67"/>
  <c r="T14" i="67"/>
  <c r="X32" i="67"/>
  <c r="X17" i="67"/>
  <c r="X13" i="67"/>
  <c r="T7" i="67"/>
  <c r="T33" i="67"/>
  <c r="X11" i="67"/>
  <c r="X29" i="67"/>
  <c r="X24" i="67"/>
  <c r="X26" i="67"/>
  <c r="X19" i="67"/>
  <c r="T19" i="67"/>
  <c r="P19" i="67"/>
  <c r="Z26" i="67"/>
  <c r="Z16" i="67"/>
  <c r="Y28" i="67"/>
  <c r="X8" i="67"/>
  <c r="U13" i="67"/>
  <c r="Z25" i="67"/>
  <c r="T8" i="67"/>
  <c r="Z14" i="67"/>
  <c r="X14" i="67"/>
  <c r="Y8" i="67"/>
  <c r="T25" i="67"/>
  <c r="T13" i="67"/>
  <c r="T12" i="67"/>
  <c r="U14" i="67"/>
  <c r="T24" i="67"/>
  <c r="U8" i="67"/>
  <c r="T29" i="67"/>
  <c r="U25" i="67"/>
  <c r="U28" i="67"/>
  <c r="T32" i="67"/>
  <c r="S12" i="67"/>
  <c r="U26" i="67"/>
  <c r="S13" i="67"/>
  <c r="T15" i="67"/>
  <c r="U7" i="67"/>
  <c r="U19" i="67"/>
  <c r="S28" i="67"/>
  <c r="T9" i="67"/>
  <c r="R7" i="67"/>
  <c r="Y24" i="67"/>
  <c r="Y15" i="67"/>
  <c r="Y13" i="67"/>
  <c r="W26" i="67"/>
  <c r="AA29" i="67"/>
  <c r="U10" i="67"/>
  <c r="C25" i="67"/>
  <c r="AD25" i="67" s="1"/>
  <c r="AE30" i="67"/>
  <c r="Q2" i="67"/>
  <c r="B18" i="67"/>
  <c r="M18" i="67"/>
  <c r="AA18" i="67" s="1"/>
  <c r="D18" i="67"/>
  <c r="R18" i="67" s="1"/>
  <c r="G18" i="67"/>
  <c r="G20" i="67" s="1"/>
  <c r="G22" i="67" s="1"/>
  <c r="P10" i="67"/>
  <c r="V29" i="67"/>
  <c r="P8" i="67"/>
  <c r="V33" i="67"/>
  <c r="W17" i="67"/>
  <c r="W32" i="67"/>
  <c r="W7" i="67"/>
  <c r="P28" i="67"/>
  <c r="P29" i="67"/>
  <c r="W33" i="67"/>
  <c r="V10" i="67"/>
  <c r="P15" i="67"/>
  <c r="V8" i="67"/>
  <c r="P16" i="67"/>
  <c r="P26" i="67"/>
  <c r="P32" i="67"/>
  <c r="P31" i="67"/>
  <c r="P33" i="67"/>
  <c r="AA31" i="67"/>
  <c r="P25" i="67"/>
  <c r="P27" i="67"/>
  <c r="W9" i="67"/>
  <c r="W12" i="67"/>
  <c r="W8" i="67"/>
  <c r="W24" i="67"/>
  <c r="W15" i="67"/>
  <c r="Q26" i="67"/>
  <c r="W14" i="67"/>
  <c r="W25" i="67"/>
  <c r="V14" i="67"/>
  <c r="W31" i="67"/>
  <c r="W16" i="67"/>
  <c r="W29" i="67"/>
  <c r="W27" i="67"/>
  <c r="W28" i="67"/>
  <c r="P12" i="67"/>
  <c r="W19" i="67"/>
  <c r="P24" i="67"/>
  <c r="P14" i="67"/>
  <c r="P9" i="67"/>
  <c r="W11" i="67"/>
  <c r="W13" i="67"/>
  <c r="V26" i="67"/>
  <c r="V12" i="67"/>
  <c r="AA27" i="67"/>
  <c r="AA33" i="67"/>
  <c r="Q24" i="67"/>
  <c r="AA26" i="67"/>
  <c r="AA17" i="67"/>
  <c r="Q11" i="67"/>
  <c r="R12" i="67"/>
  <c r="AA15" i="67"/>
  <c r="R32" i="67"/>
  <c r="AA9" i="67"/>
  <c r="AA10" i="67"/>
  <c r="V17" i="67"/>
  <c r="AA24" i="67"/>
  <c r="Q15" i="67"/>
  <c r="F18" i="65"/>
  <c r="F20" i="65" s="1"/>
  <c r="Q12" i="67"/>
  <c r="X10" i="67"/>
  <c r="J18" i="67"/>
  <c r="H18" i="67"/>
  <c r="V28" i="67"/>
  <c r="V32" i="67"/>
  <c r="V25" i="67"/>
  <c r="V15" i="67"/>
  <c r="V9" i="67"/>
  <c r="V7" i="67"/>
  <c r="V19" i="67"/>
  <c r="V27" i="67"/>
  <c r="V13" i="67"/>
  <c r="V16" i="67"/>
  <c r="V24" i="67"/>
  <c r="V31" i="67"/>
  <c r="R26" i="67"/>
  <c r="R14" i="67"/>
  <c r="R8" i="67"/>
  <c r="R19" i="67"/>
  <c r="R25" i="67"/>
  <c r="R11" i="67"/>
  <c r="Q16" i="67"/>
  <c r="Q13" i="67"/>
  <c r="R13" i="67"/>
  <c r="Z10" i="67"/>
  <c r="L18" i="67"/>
  <c r="Q33" i="67"/>
  <c r="R27" i="67"/>
  <c r="R10" i="67"/>
  <c r="Q9" i="67"/>
  <c r="R9" i="67"/>
  <c r="T10" i="67"/>
  <c r="F18" i="67"/>
  <c r="AE18" i="67" s="1"/>
  <c r="R17" i="67"/>
  <c r="Y10" i="67"/>
  <c r="K18" i="67"/>
  <c r="Q19" i="67"/>
  <c r="Q7" i="67"/>
  <c r="N33" i="67"/>
  <c r="R29" i="67"/>
  <c r="Q14" i="67"/>
  <c r="R15" i="67"/>
  <c r="Q28" i="67"/>
  <c r="Q10" i="67"/>
  <c r="P17" i="67"/>
  <c r="P13" i="67"/>
  <c r="P11" i="67"/>
  <c r="AA32" i="67"/>
  <c r="AA13" i="67"/>
  <c r="AA28" i="67"/>
  <c r="AA19" i="67"/>
  <c r="AA25" i="67"/>
  <c r="AA11" i="67"/>
  <c r="AA8" i="67"/>
  <c r="AA16" i="67"/>
  <c r="AA14" i="67"/>
  <c r="W10" i="67"/>
  <c r="I18" i="67"/>
  <c r="Q32" i="67"/>
  <c r="Q31" i="67"/>
  <c r="R33" i="67"/>
  <c r="R24" i="67"/>
  <c r="Q27" i="67"/>
  <c r="R31" i="67"/>
  <c r="Q8" i="67"/>
  <c r="R28" i="67"/>
  <c r="R16" i="67"/>
  <c r="AB2" i="67" l="1"/>
  <c r="AG37" i="67" s="1"/>
  <c r="Q17" i="67"/>
  <c r="C18" i="67"/>
  <c r="Q25" i="67"/>
  <c r="B20" i="67"/>
  <c r="G35" i="67"/>
  <c r="U35" i="67" s="1"/>
  <c r="U22" i="67"/>
  <c r="N17" i="67"/>
  <c r="N33" i="65"/>
  <c r="C29" i="67"/>
  <c r="AD29" i="67" s="1"/>
  <c r="N25" i="67"/>
  <c r="M20" i="67"/>
  <c r="D20" i="67"/>
  <c r="D22" i="67" s="1"/>
  <c r="P18" i="67"/>
  <c r="U18" i="67"/>
  <c r="F22" i="65"/>
  <c r="H20" i="67"/>
  <c r="V18" i="67"/>
  <c r="L20" i="67"/>
  <c r="L22" i="67" s="1"/>
  <c r="Z18" i="67"/>
  <c r="F20" i="67"/>
  <c r="T18" i="67"/>
  <c r="X18" i="67"/>
  <c r="J20" i="67"/>
  <c r="J22" i="67" s="1"/>
  <c r="I20" i="67"/>
  <c r="I22" i="67" s="1"/>
  <c r="W18" i="67"/>
  <c r="P20" i="67"/>
  <c r="U20" i="67"/>
  <c r="Y18" i="67"/>
  <c r="K20" i="67"/>
  <c r="H22" i="67" l="1"/>
  <c r="F22" i="67"/>
  <c r="AE22" i="67" s="1"/>
  <c r="AE20" i="67"/>
  <c r="K22" i="67"/>
  <c r="Q18" i="67"/>
  <c r="C20" i="67"/>
  <c r="B22" i="67"/>
  <c r="D35" i="67"/>
  <c r="R22" i="67"/>
  <c r="I35" i="67"/>
  <c r="W35" i="67" s="1"/>
  <c r="W22" i="67"/>
  <c r="K35" i="67"/>
  <c r="Y22" i="67"/>
  <c r="L35" i="67"/>
  <c r="Z35" i="67" s="1"/>
  <c r="Z22" i="67"/>
  <c r="J35" i="67"/>
  <c r="X35" i="67" s="1"/>
  <c r="X22" i="67"/>
  <c r="F35" i="67"/>
  <c r="T22" i="67"/>
  <c r="H35" i="67"/>
  <c r="V22" i="67"/>
  <c r="N29" i="67"/>
  <c r="N17" i="65"/>
  <c r="Q29" i="67"/>
  <c r="C22" i="67"/>
  <c r="AA20" i="67"/>
  <c r="Q20" i="67"/>
  <c r="M22" i="67"/>
  <c r="R20" i="67"/>
  <c r="R35" i="67"/>
  <c r="V20" i="67"/>
  <c r="X20" i="67"/>
  <c r="T20" i="67"/>
  <c r="Z20" i="67"/>
  <c r="W20" i="67"/>
  <c r="Y20" i="67"/>
  <c r="Y35" i="67" l="1"/>
  <c r="T35" i="67"/>
  <c r="V35" i="67"/>
  <c r="P22" i="67"/>
  <c r="B35" i="67"/>
  <c r="C35" i="67"/>
  <c r="Q35" i="67" s="1"/>
  <c r="Q22" i="67"/>
  <c r="M35" i="67"/>
  <c r="AA22" i="67"/>
  <c r="B262" i="1"/>
  <c r="C262" i="1"/>
  <c r="D262" i="1"/>
  <c r="E262" i="1"/>
  <c r="F262" i="1"/>
  <c r="G262" i="1"/>
  <c r="H262" i="1"/>
  <c r="I262" i="1"/>
  <c r="J262" i="1"/>
  <c r="K262" i="1"/>
  <c r="L262" i="1"/>
  <c r="M262" i="1"/>
  <c r="Y3" i="5"/>
  <c r="W3" i="15"/>
  <c r="V3" i="15"/>
  <c r="P5" i="15" s="1"/>
  <c r="B198" i="1"/>
  <c r="C198" i="1"/>
  <c r="D198" i="1"/>
  <c r="E198" i="1"/>
  <c r="F198" i="1"/>
  <c r="G198" i="1"/>
  <c r="H198" i="1"/>
  <c r="I198" i="1"/>
  <c r="J198" i="1"/>
  <c r="K198" i="1"/>
  <c r="L198" i="1"/>
  <c r="M198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P35" i="67" l="1"/>
  <c r="AA35" i="67"/>
  <c r="AE35" i="67"/>
  <c r="M1" i="5"/>
  <c r="I1" i="5"/>
  <c r="B1" i="5"/>
  <c r="Q19" i="57"/>
  <c r="F19" i="53" s="1"/>
  <c r="K6" i="6"/>
  <c r="J1" i="5"/>
  <c r="C1" i="5"/>
  <c r="N29" i="65"/>
  <c r="N198" i="1"/>
  <c r="N200" i="1"/>
  <c r="D1" i="5"/>
  <c r="E1" i="5"/>
  <c r="F1" i="5"/>
  <c r="G1" i="5"/>
  <c r="H1" i="5"/>
  <c r="K1" i="5"/>
  <c r="L1" i="5"/>
  <c r="P11" i="15"/>
  <c r="P28" i="15"/>
  <c r="P12" i="15"/>
  <c r="P30" i="15"/>
  <c r="P13" i="15"/>
  <c r="P31" i="15"/>
  <c r="P14" i="15"/>
  <c r="P32" i="15"/>
  <c r="P15" i="15"/>
  <c r="P33" i="15"/>
  <c r="P16" i="15"/>
  <c r="P34" i="15"/>
  <c r="C1" i="15"/>
  <c r="P17" i="15"/>
  <c r="P35" i="15"/>
  <c r="P19" i="15"/>
  <c r="P36" i="15"/>
  <c r="P9" i="15"/>
  <c r="P24" i="15"/>
  <c r="P38" i="15"/>
  <c r="P8" i="15"/>
  <c r="P25" i="15"/>
  <c r="P7" i="15"/>
  <c r="P26" i="15"/>
  <c r="P6" i="15"/>
  <c r="P27" i="15"/>
  <c r="B1" i="15"/>
  <c r="L1" i="15"/>
  <c r="K1" i="15"/>
  <c r="J1" i="15"/>
  <c r="I1" i="15"/>
  <c r="H1" i="15"/>
  <c r="M1" i="15"/>
  <c r="G1" i="15"/>
  <c r="F1" i="15"/>
  <c r="E1" i="15"/>
  <c r="D1" i="15"/>
  <c r="Q32" i="15" l="1"/>
  <c r="Q38" i="15"/>
  <c r="Q31" i="15"/>
  <c r="Q24" i="15"/>
  <c r="Q13" i="15"/>
  <c r="Q36" i="15"/>
  <c r="Q30" i="15"/>
  <c r="Q19" i="15"/>
  <c r="Q12" i="15"/>
  <c r="Q35" i="15"/>
  <c r="Q28" i="15"/>
  <c r="Q17" i="15"/>
  <c r="Q11" i="15"/>
  <c r="Q34" i="15"/>
  <c r="Q27" i="15"/>
  <c r="Q16" i="15"/>
  <c r="Q6" i="15"/>
  <c r="Q7" i="15"/>
  <c r="Q33" i="15"/>
  <c r="Q26" i="15"/>
  <c r="Q15" i="15"/>
  <c r="Q8" i="15"/>
  <c r="Q9" i="15"/>
  <c r="Q25" i="15"/>
  <c r="Q14" i="15"/>
  <c r="Q5" i="15"/>
  <c r="B184" i="1" l="1"/>
  <c r="M189" i="1"/>
  <c r="L189" i="1"/>
  <c r="K189" i="1"/>
  <c r="J189" i="1"/>
  <c r="I189" i="1"/>
  <c r="H189" i="1"/>
  <c r="G189" i="1"/>
  <c r="F189" i="1"/>
  <c r="E189" i="1"/>
  <c r="D189" i="1"/>
  <c r="C189" i="1"/>
  <c r="B189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M184" i="1"/>
  <c r="L184" i="1"/>
  <c r="K184" i="1"/>
  <c r="J184" i="1"/>
  <c r="I184" i="1"/>
  <c r="H184" i="1"/>
  <c r="G184" i="1"/>
  <c r="F184" i="1"/>
  <c r="E184" i="1"/>
  <c r="D184" i="1"/>
  <c r="C184" i="1"/>
  <c r="O202" i="1"/>
  <c r="O203" i="1"/>
  <c r="N185" i="1" l="1"/>
  <c r="N186" i="1"/>
  <c r="N187" i="1"/>
  <c r="N188" i="1"/>
  <c r="N189" i="1"/>
  <c r="O189" i="1" s="1"/>
  <c r="N184" i="1"/>
  <c r="O184" i="1" s="1"/>
  <c r="O185" i="1"/>
  <c r="O186" i="1"/>
  <c r="O200" i="1"/>
  <c r="O187" i="1"/>
  <c r="O188" i="1"/>
  <c r="B168" i="1" l="1"/>
  <c r="B199" i="1" l="1"/>
  <c r="C168" i="1"/>
  <c r="C199" i="1" s="1"/>
  <c r="D168" i="1" l="1"/>
  <c r="D199" i="1" s="1"/>
  <c r="E168" i="1" l="1"/>
  <c r="E199" i="1" s="1"/>
  <c r="F168" i="1" l="1"/>
  <c r="F199" i="1" s="1"/>
  <c r="G168" i="1" l="1"/>
  <c r="G199" i="1" s="1"/>
  <c r="H168" i="1" l="1"/>
  <c r="H199" i="1" s="1"/>
  <c r="I168" i="1" l="1"/>
  <c r="I199" i="1" s="1"/>
  <c r="J168" i="1" l="1"/>
  <c r="J199" i="1" s="1"/>
  <c r="K168" i="1" l="1"/>
  <c r="K199" i="1" s="1"/>
  <c r="L168" i="1" l="1"/>
  <c r="L199" i="1" s="1"/>
  <c r="M168" i="1" l="1"/>
  <c r="M199" i="1" s="1"/>
  <c r="N199" i="1" s="1"/>
  <c r="O199" i="1" l="1"/>
  <c r="N234" i="1" l="1"/>
  <c r="N233" i="1"/>
  <c r="N231" i="1"/>
  <c r="N230" i="1"/>
  <c r="N229" i="1"/>
  <c r="N228" i="1"/>
  <c r="N227" i="1"/>
  <c r="N223" i="1"/>
  <c r="N220" i="1"/>
  <c r="N219" i="1"/>
  <c r="N218" i="1"/>
  <c r="N217" i="1"/>
  <c r="N216" i="1"/>
  <c r="N215" i="1"/>
  <c r="N213" i="1"/>
  <c r="N212" i="1"/>
  <c r="N211" i="1"/>
  <c r="M66" i="1"/>
  <c r="N66" i="1" s="1"/>
  <c r="N3" i="1"/>
  <c r="O24" i="1" s="1"/>
  <c r="N22" i="1"/>
  <c r="N10" i="1"/>
  <c r="N11" i="1"/>
  <c r="N12" i="1"/>
  <c r="N13" i="1"/>
  <c r="N14" i="1"/>
  <c r="N6" i="1"/>
  <c r="N7" i="1"/>
  <c r="N235" i="1" l="1"/>
  <c r="C149" i="1"/>
  <c r="D149" i="1"/>
  <c r="G149" i="1"/>
  <c r="L149" i="1"/>
  <c r="E149" i="1"/>
  <c r="F149" i="1"/>
  <c r="I149" i="1"/>
  <c r="J149" i="1"/>
  <c r="K149" i="1"/>
  <c r="M149" i="1"/>
  <c r="H149" i="1"/>
  <c r="N35" i="1"/>
  <c r="N321" i="1" s="1"/>
  <c r="O234" i="1"/>
  <c r="O219" i="1"/>
  <c r="O212" i="1"/>
  <c r="O213" i="1"/>
  <c r="O215" i="1"/>
  <c r="O216" i="1"/>
  <c r="O217" i="1"/>
  <c r="O218" i="1"/>
  <c r="O220" i="1"/>
  <c r="O223" i="1"/>
  <c r="O227" i="1"/>
  <c r="O228" i="1"/>
  <c r="O229" i="1"/>
  <c r="O230" i="1"/>
  <c r="O231" i="1"/>
  <c r="O233" i="1"/>
  <c r="O236" i="1"/>
  <c r="O211" i="1"/>
  <c r="E6" i="60" l="1"/>
  <c r="E6" i="6"/>
  <c r="C35" i="1"/>
  <c r="D35" i="1"/>
  <c r="E35" i="1"/>
  <c r="F35" i="1"/>
  <c r="F321" i="1" s="1"/>
  <c r="G35" i="1"/>
  <c r="G321" i="1" s="1"/>
  <c r="H35" i="1"/>
  <c r="H321" i="1" s="1"/>
  <c r="I35" i="1"/>
  <c r="I321" i="1" s="1"/>
  <c r="J35" i="1"/>
  <c r="J321" i="1" s="1"/>
  <c r="K35" i="1"/>
  <c r="K321" i="1" s="1"/>
  <c r="L35" i="1"/>
  <c r="L321" i="1" s="1"/>
  <c r="M35" i="1"/>
  <c r="M321" i="1" s="1"/>
  <c r="B35" i="1"/>
  <c r="C29" i="1"/>
  <c r="D29" i="1"/>
  <c r="E29" i="1"/>
  <c r="F29" i="1"/>
  <c r="G29" i="1"/>
  <c r="H29" i="1"/>
  <c r="I29" i="1"/>
  <c r="J29" i="1"/>
  <c r="K29" i="1"/>
  <c r="L29" i="1"/>
  <c r="M29" i="1"/>
  <c r="B29" i="1"/>
  <c r="N27" i="1"/>
  <c r="N29" i="1" s="1"/>
  <c r="N21" i="1"/>
  <c r="N26" i="1" s="1"/>
  <c r="N9" i="1"/>
  <c r="N15" i="1" s="1"/>
  <c r="N5" i="1"/>
  <c r="Q4" i="61"/>
  <c r="N115" i="5"/>
  <c r="N4" i="66" s="1"/>
  <c r="Q33" i="61"/>
  <c r="Q32" i="61"/>
  <c r="Q29" i="61"/>
  <c r="Q28" i="61"/>
  <c r="Q27" i="61"/>
  <c r="Q26" i="61"/>
  <c r="Q25" i="61"/>
  <c r="Q22" i="61"/>
  <c r="F21" i="53" s="1"/>
  <c r="Q19" i="61"/>
  <c r="Q16" i="61"/>
  <c r="Q15" i="61"/>
  <c r="Q14" i="61"/>
  <c r="Q13" i="61"/>
  <c r="Q12" i="61"/>
  <c r="Q11" i="61"/>
  <c r="Q9" i="61"/>
  <c r="Q8" i="61"/>
  <c r="Q7" i="61"/>
  <c r="F33" i="61"/>
  <c r="F32" i="61"/>
  <c r="F29" i="61"/>
  <c r="F28" i="61"/>
  <c r="F27" i="61"/>
  <c r="F26" i="61"/>
  <c r="F25" i="61"/>
  <c r="F22" i="61"/>
  <c r="F23" i="61" s="1"/>
  <c r="F19" i="61"/>
  <c r="F16" i="61"/>
  <c r="F15" i="61"/>
  <c r="F14" i="61"/>
  <c r="F13" i="61"/>
  <c r="F12" i="61"/>
  <c r="F11" i="61"/>
  <c r="F9" i="61"/>
  <c r="F8" i="61"/>
  <c r="F7" i="61"/>
  <c r="O34" i="61"/>
  <c r="N34" i="61"/>
  <c r="M34" i="61"/>
  <c r="L34" i="61"/>
  <c r="K34" i="61"/>
  <c r="J34" i="61"/>
  <c r="E34" i="61"/>
  <c r="P33" i="61"/>
  <c r="P32" i="61"/>
  <c r="P34" i="61" s="1"/>
  <c r="O30" i="61"/>
  <c r="N30" i="61"/>
  <c r="M30" i="61"/>
  <c r="L30" i="61"/>
  <c r="K30" i="61"/>
  <c r="J30" i="61"/>
  <c r="P29" i="61"/>
  <c r="P28" i="61"/>
  <c r="P27" i="61"/>
  <c r="P30" i="61" s="1"/>
  <c r="P26" i="61"/>
  <c r="P25" i="61"/>
  <c r="O23" i="61"/>
  <c r="N23" i="61"/>
  <c r="M23" i="61"/>
  <c r="L23" i="61"/>
  <c r="K23" i="61"/>
  <c r="J23" i="61"/>
  <c r="H23" i="61"/>
  <c r="E23" i="61"/>
  <c r="P22" i="61"/>
  <c r="P23" i="61" s="1"/>
  <c r="T21" i="61"/>
  <c r="P19" i="61"/>
  <c r="O18" i="61"/>
  <c r="O20" i="61" s="1"/>
  <c r="O36" i="61" s="1"/>
  <c r="N18" i="61"/>
  <c r="N20" i="61" s="1"/>
  <c r="N36" i="61" s="1"/>
  <c r="M18" i="61"/>
  <c r="M20" i="61" s="1"/>
  <c r="M36" i="61" s="1"/>
  <c r="L18" i="61"/>
  <c r="L20" i="61" s="1"/>
  <c r="L36" i="61" s="1"/>
  <c r="O17" i="61"/>
  <c r="N17" i="61"/>
  <c r="M17" i="61"/>
  <c r="L17" i="61"/>
  <c r="K17" i="61"/>
  <c r="J17" i="61"/>
  <c r="E17" i="61"/>
  <c r="P16" i="61"/>
  <c r="P15" i="61"/>
  <c r="P14" i="61"/>
  <c r="P13" i="61"/>
  <c r="P12" i="61"/>
  <c r="P11" i="61"/>
  <c r="P17" i="61" s="1"/>
  <c r="O10" i="61"/>
  <c r="N10" i="61"/>
  <c r="M10" i="61"/>
  <c r="L10" i="61"/>
  <c r="K10" i="61"/>
  <c r="K18" i="61" s="1"/>
  <c r="K20" i="61" s="1"/>
  <c r="K36" i="61" s="1"/>
  <c r="J10" i="61"/>
  <c r="J18" i="61" s="1"/>
  <c r="J20" i="61" s="1"/>
  <c r="J36" i="61" s="1"/>
  <c r="H10" i="61"/>
  <c r="P9" i="61"/>
  <c r="P8" i="61"/>
  <c r="P7" i="61"/>
  <c r="P10" i="61" s="1"/>
  <c r="Q33" i="57"/>
  <c r="F32" i="53" s="1"/>
  <c r="Q32" i="57"/>
  <c r="Q26" i="57"/>
  <c r="F25" i="53" s="1"/>
  <c r="Q27" i="57"/>
  <c r="F26" i="53" s="1"/>
  <c r="Q28" i="57"/>
  <c r="F27" i="53" s="1"/>
  <c r="Q29" i="57"/>
  <c r="F28" i="53" s="1"/>
  <c r="Q25" i="57"/>
  <c r="F24" i="53" s="1"/>
  <c r="Q22" i="57"/>
  <c r="Q12" i="57"/>
  <c r="F12" i="53" s="1"/>
  <c r="Q13" i="57"/>
  <c r="F13" i="53" s="1"/>
  <c r="Q14" i="57"/>
  <c r="F14" i="53" s="1"/>
  <c r="Q15" i="57"/>
  <c r="F15" i="53" s="1"/>
  <c r="Q16" i="57"/>
  <c r="Q11" i="57"/>
  <c r="F11" i="53" s="1"/>
  <c r="Q7" i="57"/>
  <c r="F7" i="53" s="1"/>
  <c r="Q8" i="57"/>
  <c r="F8" i="53" s="1"/>
  <c r="Q9" i="57"/>
  <c r="F9" i="53" s="1"/>
  <c r="J34" i="57"/>
  <c r="K34" i="57"/>
  <c r="L34" i="57"/>
  <c r="M34" i="57"/>
  <c r="N34" i="57"/>
  <c r="O34" i="57"/>
  <c r="J30" i="57"/>
  <c r="L30" i="57"/>
  <c r="M30" i="57"/>
  <c r="N30" i="57"/>
  <c r="O30" i="57"/>
  <c r="J17" i="57"/>
  <c r="K17" i="57"/>
  <c r="L17" i="57"/>
  <c r="M17" i="57"/>
  <c r="N17" i="57"/>
  <c r="O17" i="57"/>
  <c r="H10" i="57"/>
  <c r="J10" i="57"/>
  <c r="K10" i="57"/>
  <c r="L10" i="57"/>
  <c r="M10" i="57"/>
  <c r="N10" i="57"/>
  <c r="O10" i="57"/>
  <c r="P33" i="57"/>
  <c r="P32" i="57"/>
  <c r="P29" i="57"/>
  <c r="P28" i="57"/>
  <c r="P27" i="57"/>
  <c r="P26" i="57"/>
  <c r="P22" i="57"/>
  <c r="P19" i="57"/>
  <c r="P16" i="57"/>
  <c r="P15" i="57"/>
  <c r="P14" i="57"/>
  <c r="P13" i="57"/>
  <c r="P12" i="57"/>
  <c r="P11" i="57"/>
  <c r="P9" i="57"/>
  <c r="P8" i="57"/>
  <c r="P7" i="57"/>
  <c r="F7" i="57"/>
  <c r="F8" i="57"/>
  <c r="F9" i="57"/>
  <c r="F11" i="57"/>
  <c r="F12" i="57"/>
  <c r="F13" i="57"/>
  <c r="F14" i="57"/>
  <c r="F15" i="57"/>
  <c r="F16" i="57"/>
  <c r="F19" i="57"/>
  <c r="F22" i="57"/>
  <c r="F25" i="57"/>
  <c r="F26" i="57"/>
  <c r="F27" i="57"/>
  <c r="F28" i="57"/>
  <c r="F29" i="57"/>
  <c r="F32" i="57"/>
  <c r="F33" i="57"/>
  <c r="E34" i="57"/>
  <c r="E17" i="57"/>
  <c r="K31" i="60"/>
  <c r="I27" i="60"/>
  <c r="I20" i="60"/>
  <c r="W9" i="60"/>
  <c r="R9" i="60"/>
  <c r="I9" i="60"/>
  <c r="I1" i="60"/>
  <c r="W9" i="6"/>
  <c r="R9" i="6"/>
  <c r="M22" i="6"/>
  <c r="M11" i="6"/>
  <c r="M8" i="6"/>
  <c r="K31" i="6"/>
  <c r="K29" i="6"/>
  <c r="K28" i="6"/>
  <c r="K23" i="6"/>
  <c r="K22" i="6"/>
  <c r="K10" i="6"/>
  <c r="K7" i="6"/>
  <c r="N134" i="5"/>
  <c r="Q25" i="65" s="1"/>
  <c r="N142" i="5"/>
  <c r="N140" i="5"/>
  <c r="Q32" i="65" s="1"/>
  <c r="N139" i="5"/>
  <c r="Q31" i="65" s="1"/>
  <c r="N137" i="5"/>
  <c r="Q28" i="65" s="1"/>
  <c r="N136" i="5"/>
  <c r="Q27" i="65" s="1"/>
  <c r="N135" i="5"/>
  <c r="Q26" i="65" s="1"/>
  <c r="N133" i="5"/>
  <c r="Q24" i="65" s="1"/>
  <c r="N131" i="5"/>
  <c r="N129" i="5"/>
  <c r="Q19" i="65" s="1"/>
  <c r="N126" i="5"/>
  <c r="Q16" i="65" s="1"/>
  <c r="N125" i="5"/>
  <c r="Q15" i="65" s="1"/>
  <c r="N124" i="5"/>
  <c r="Q14" i="65" s="1"/>
  <c r="N123" i="5"/>
  <c r="Q13" i="65" s="1"/>
  <c r="N122" i="5"/>
  <c r="Q12" i="65" s="1"/>
  <c r="N121" i="5"/>
  <c r="Q11" i="65" s="1"/>
  <c r="N119" i="5"/>
  <c r="Q9" i="65" s="1"/>
  <c r="N118" i="5"/>
  <c r="Q8" i="65" s="1"/>
  <c r="C120" i="5"/>
  <c r="D120" i="5"/>
  <c r="F120" i="5"/>
  <c r="G120" i="5"/>
  <c r="H120" i="5"/>
  <c r="I120" i="5"/>
  <c r="J120" i="5"/>
  <c r="K120" i="5"/>
  <c r="L120" i="5"/>
  <c r="M120" i="5"/>
  <c r="C127" i="5"/>
  <c r="D127" i="5"/>
  <c r="E127" i="5"/>
  <c r="F127" i="5"/>
  <c r="G127" i="5"/>
  <c r="H127" i="5"/>
  <c r="I127" i="5"/>
  <c r="J127" i="5"/>
  <c r="K127" i="5"/>
  <c r="L127" i="5"/>
  <c r="M127" i="5"/>
  <c r="C138" i="5"/>
  <c r="D138" i="5"/>
  <c r="E138" i="5"/>
  <c r="F138" i="5"/>
  <c r="G138" i="5"/>
  <c r="H138" i="5"/>
  <c r="I138" i="5"/>
  <c r="J138" i="5"/>
  <c r="K138" i="5"/>
  <c r="L138" i="5"/>
  <c r="M138" i="5"/>
  <c r="C141" i="5"/>
  <c r="D141" i="5"/>
  <c r="E141" i="5"/>
  <c r="F141" i="5"/>
  <c r="G141" i="5"/>
  <c r="H141" i="5"/>
  <c r="I141" i="5"/>
  <c r="J141" i="5"/>
  <c r="K141" i="5"/>
  <c r="L141" i="5"/>
  <c r="M141" i="5"/>
  <c r="B141" i="5"/>
  <c r="B138" i="5"/>
  <c r="B127" i="5"/>
  <c r="B120" i="5"/>
  <c r="M23" i="6"/>
  <c r="M15" i="6"/>
  <c r="K24" i="6"/>
  <c r="K20" i="6"/>
  <c r="A72" i="5"/>
  <c r="M59" i="5"/>
  <c r="H293" i="1"/>
  <c r="G293" i="1"/>
  <c r="F293" i="1"/>
  <c r="E293" i="1"/>
  <c r="D293" i="1"/>
  <c r="C293" i="1"/>
  <c r="B59" i="5"/>
  <c r="H29" i="60"/>
  <c r="H28" i="60"/>
  <c r="H26" i="60"/>
  <c r="H25" i="60"/>
  <c r="H23" i="60"/>
  <c r="H22" i="60"/>
  <c r="H15" i="60"/>
  <c r="H14" i="60"/>
  <c r="H13" i="60"/>
  <c r="H12" i="60"/>
  <c r="H11" i="60"/>
  <c r="H10" i="60"/>
  <c r="H8" i="60"/>
  <c r="H7" i="60"/>
  <c r="H6" i="60"/>
  <c r="F29" i="60"/>
  <c r="F28" i="60"/>
  <c r="F26" i="60"/>
  <c r="F25" i="60"/>
  <c r="F15" i="60"/>
  <c r="F14" i="60"/>
  <c r="F13" i="60"/>
  <c r="F12" i="60"/>
  <c r="F11" i="60"/>
  <c r="F10" i="60"/>
  <c r="E29" i="60"/>
  <c r="E28" i="60"/>
  <c r="E26" i="60"/>
  <c r="E25" i="60"/>
  <c r="E15" i="60"/>
  <c r="E14" i="60"/>
  <c r="E12" i="60"/>
  <c r="E11" i="60"/>
  <c r="E10" i="60"/>
  <c r="E8" i="60"/>
  <c r="D31" i="60"/>
  <c r="D29" i="60"/>
  <c r="D28" i="60"/>
  <c r="D26" i="60"/>
  <c r="D14" i="60"/>
  <c r="D11" i="60"/>
  <c r="D10" i="60"/>
  <c r="D8" i="60"/>
  <c r="D6" i="60"/>
  <c r="I18" i="6"/>
  <c r="I20" i="6"/>
  <c r="M31" i="6"/>
  <c r="M29" i="6"/>
  <c r="M24" i="6"/>
  <c r="V24" i="6" s="1"/>
  <c r="X24" i="6" s="1"/>
  <c r="M13" i="6"/>
  <c r="M12" i="6"/>
  <c r="M6" i="6"/>
  <c r="O6" i="6" s="1"/>
  <c r="K26" i="6"/>
  <c r="K25" i="6"/>
  <c r="K14" i="6"/>
  <c r="K13" i="6"/>
  <c r="K12" i="6"/>
  <c r="K11" i="6"/>
  <c r="K8" i="6"/>
  <c r="B94" i="5"/>
  <c r="N94" i="5" s="1"/>
  <c r="C87" i="5"/>
  <c r="D87" i="5"/>
  <c r="D95" i="5" s="1"/>
  <c r="D110" i="5" s="1"/>
  <c r="E87" i="5"/>
  <c r="E95" i="5" s="1"/>
  <c r="E110" i="5" s="1"/>
  <c r="F87" i="5"/>
  <c r="F95" i="5" s="1"/>
  <c r="F110" i="5" s="1"/>
  <c r="G87" i="5"/>
  <c r="G95" i="5" s="1"/>
  <c r="G110" i="5" s="1"/>
  <c r="H87" i="5"/>
  <c r="H95" i="5" s="1"/>
  <c r="H110" i="5" s="1"/>
  <c r="I87" i="5"/>
  <c r="I95" i="5" s="1"/>
  <c r="I110" i="5" s="1"/>
  <c r="J87" i="5"/>
  <c r="J95" i="5" s="1"/>
  <c r="J110" i="5" s="1"/>
  <c r="K87" i="5"/>
  <c r="K95" i="5" s="1"/>
  <c r="K110" i="5" s="1"/>
  <c r="L87" i="5"/>
  <c r="L95" i="5" s="1"/>
  <c r="L110" i="5" s="1"/>
  <c r="M87" i="5"/>
  <c r="M95" i="5" s="1"/>
  <c r="M110" i="5" s="1"/>
  <c r="B87" i="5"/>
  <c r="N30" i="5"/>
  <c r="C5" i="5"/>
  <c r="D5" i="5"/>
  <c r="E5" i="5"/>
  <c r="F5" i="5"/>
  <c r="G5" i="5"/>
  <c r="H5" i="5"/>
  <c r="I5" i="5"/>
  <c r="J5" i="5"/>
  <c r="K5" i="5"/>
  <c r="L5" i="5"/>
  <c r="M5" i="5"/>
  <c r="C6" i="5"/>
  <c r="D6" i="5"/>
  <c r="E6" i="5"/>
  <c r="F6" i="5"/>
  <c r="G6" i="5"/>
  <c r="H6" i="5"/>
  <c r="I6" i="5"/>
  <c r="J6" i="5"/>
  <c r="K6" i="5"/>
  <c r="L6" i="5"/>
  <c r="M6" i="5"/>
  <c r="C7" i="5"/>
  <c r="D7" i="5"/>
  <c r="E7" i="5"/>
  <c r="F7" i="5"/>
  <c r="G7" i="5"/>
  <c r="H7" i="5"/>
  <c r="I7" i="5"/>
  <c r="J7" i="5"/>
  <c r="K7" i="5"/>
  <c r="L7" i="5"/>
  <c r="M7" i="5"/>
  <c r="C9" i="5"/>
  <c r="C157" i="5" s="1"/>
  <c r="C14" i="66" s="1"/>
  <c r="C117" i="66" s="1"/>
  <c r="D9" i="5"/>
  <c r="D157" i="5" s="1"/>
  <c r="D14" i="66" s="1"/>
  <c r="D117" i="66" s="1"/>
  <c r="E9" i="5"/>
  <c r="E157" i="5" s="1"/>
  <c r="E14" i="66" s="1"/>
  <c r="F9" i="5"/>
  <c r="F157" i="5" s="1"/>
  <c r="F14" i="66" s="1"/>
  <c r="F117" i="66" s="1"/>
  <c r="G9" i="5"/>
  <c r="G157" i="5" s="1"/>
  <c r="G14" i="66" s="1"/>
  <c r="G117" i="66" s="1"/>
  <c r="H9" i="5"/>
  <c r="H157" i="5" s="1"/>
  <c r="H14" i="66" s="1"/>
  <c r="H117" i="66" s="1"/>
  <c r="I9" i="5"/>
  <c r="I157" i="5" s="1"/>
  <c r="I14" i="66" s="1"/>
  <c r="I117" i="66" s="1"/>
  <c r="J9" i="5"/>
  <c r="J157" i="5" s="1"/>
  <c r="J14" i="66" s="1"/>
  <c r="J117" i="66" s="1"/>
  <c r="K9" i="5"/>
  <c r="K157" i="5" s="1"/>
  <c r="K14" i="66" s="1"/>
  <c r="K117" i="66" s="1"/>
  <c r="L9" i="5"/>
  <c r="L157" i="5" s="1"/>
  <c r="L14" i="66" s="1"/>
  <c r="L117" i="66" s="1"/>
  <c r="M9" i="5"/>
  <c r="M157" i="5" s="1"/>
  <c r="M14" i="66" s="1"/>
  <c r="M117" i="66" s="1"/>
  <c r="C10" i="5"/>
  <c r="C158" i="5" s="1"/>
  <c r="C15" i="66" s="1"/>
  <c r="C118" i="66" s="1"/>
  <c r="D10" i="5"/>
  <c r="D158" i="5" s="1"/>
  <c r="D15" i="66" s="1"/>
  <c r="D118" i="66" s="1"/>
  <c r="E10" i="5"/>
  <c r="E158" i="5" s="1"/>
  <c r="E15" i="66" s="1"/>
  <c r="F10" i="5"/>
  <c r="F158" i="5" s="1"/>
  <c r="F15" i="66" s="1"/>
  <c r="F118" i="66" s="1"/>
  <c r="G10" i="5"/>
  <c r="G158" i="5" s="1"/>
  <c r="G15" i="66" s="1"/>
  <c r="G118" i="66" s="1"/>
  <c r="H10" i="5"/>
  <c r="H158" i="5" s="1"/>
  <c r="H15" i="66" s="1"/>
  <c r="H118" i="66" s="1"/>
  <c r="I10" i="5"/>
  <c r="I158" i="5" s="1"/>
  <c r="I15" i="66" s="1"/>
  <c r="I118" i="66" s="1"/>
  <c r="J10" i="5"/>
  <c r="J158" i="5" s="1"/>
  <c r="J15" i="66" s="1"/>
  <c r="J118" i="66" s="1"/>
  <c r="K10" i="5"/>
  <c r="K158" i="5" s="1"/>
  <c r="K15" i="66" s="1"/>
  <c r="K118" i="66" s="1"/>
  <c r="L10" i="5"/>
  <c r="L158" i="5" s="1"/>
  <c r="L15" i="66" s="1"/>
  <c r="L118" i="66" s="1"/>
  <c r="M10" i="5"/>
  <c r="M158" i="5" s="1"/>
  <c r="M15" i="66" s="1"/>
  <c r="M118" i="66" s="1"/>
  <c r="C11" i="5"/>
  <c r="C159" i="5" s="1"/>
  <c r="C16" i="66" s="1"/>
  <c r="C119" i="66" s="1"/>
  <c r="D11" i="5"/>
  <c r="D159" i="5" s="1"/>
  <c r="D16" i="66" s="1"/>
  <c r="D119" i="66" s="1"/>
  <c r="E11" i="5"/>
  <c r="E159" i="5" s="1"/>
  <c r="E16" i="66" s="1"/>
  <c r="F11" i="5"/>
  <c r="F159" i="5" s="1"/>
  <c r="F16" i="66" s="1"/>
  <c r="F119" i="66" s="1"/>
  <c r="G11" i="5"/>
  <c r="G159" i="5" s="1"/>
  <c r="G16" i="66" s="1"/>
  <c r="G119" i="66" s="1"/>
  <c r="H11" i="5"/>
  <c r="H159" i="5" s="1"/>
  <c r="H16" i="66" s="1"/>
  <c r="H119" i="66" s="1"/>
  <c r="I11" i="5"/>
  <c r="I159" i="5" s="1"/>
  <c r="I16" i="66" s="1"/>
  <c r="I119" i="66" s="1"/>
  <c r="J11" i="5"/>
  <c r="J159" i="5" s="1"/>
  <c r="J16" i="66" s="1"/>
  <c r="J119" i="66" s="1"/>
  <c r="K11" i="5"/>
  <c r="K159" i="5" s="1"/>
  <c r="K16" i="66" s="1"/>
  <c r="K119" i="66" s="1"/>
  <c r="L11" i="5"/>
  <c r="L159" i="5" s="1"/>
  <c r="L16" i="66" s="1"/>
  <c r="L119" i="66" s="1"/>
  <c r="M11" i="5"/>
  <c r="M159" i="5" s="1"/>
  <c r="M16" i="66" s="1"/>
  <c r="M119" i="66" s="1"/>
  <c r="C12" i="5"/>
  <c r="C160" i="5" s="1"/>
  <c r="C17" i="66" s="1"/>
  <c r="C120" i="66" s="1"/>
  <c r="D12" i="5"/>
  <c r="D160" i="5" s="1"/>
  <c r="D17" i="66" s="1"/>
  <c r="D120" i="66" s="1"/>
  <c r="E12" i="5"/>
  <c r="E160" i="5" s="1"/>
  <c r="E17" i="66" s="1"/>
  <c r="F12" i="5"/>
  <c r="F160" i="5" s="1"/>
  <c r="F17" i="66" s="1"/>
  <c r="F120" i="66" s="1"/>
  <c r="G12" i="5"/>
  <c r="G160" i="5" s="1"/>
  <c r="G17" i="66" s="1"/>
  <c r="G120" i="66" s="1"/>
  <c r="H12" i="5"/>
  <c r="H160" i="5" s="1"/>
  <c r="H17" i="66" s="1"/>
  <c r="H120" i="66" s="1"/>
  <c r="I12" i="5"/>
  <c r="I160" i="5" s="1"/>
  <c r="I17" i="66" s="1"/>
  <c r="I120" i="66" s="1"/>
  <c r="J12" i="5"/>
  <c r="J160" i="5" s="1"/>
  <c r="J17" i="66" s="1"/>
  <c r="J120" i="66" s="1"/>
  <c r="K12" i="5"/>
  <c r="K160" i="5" s="1"/>
  <c r="K17" i="66" s="1"/>
  <c r="K120" i="66" s="1"/>
  <c r="L12" i="5"/>
  <c r="L160" i="5" s="1"/>
  <c r="L17" i="66" s="1"/>
  <c r="L120" i="66" s="1"/>
  <c r="M12" i="5"/>
  <c r="M160" i="5" s="1"/>
  <c r="M17" i="66" s="1"/>
  <c r="M120" i="66" s="1"/>
  <c r="C13" i="5"/>
  <c r="C161" i="5" s="1"/>
  <c r="C18" i="66" s="1"/>
  <c r="C121" i="66" s="1"/>
  <c r="D13" i="5"/>
  <c r="D161" i="5" s="1"/>
  <c r="D18" i="66" s="1"/>
  <c r="D121" i="66" s="1"/>
  <c r="E13" i="5"/>
  <c r="E161" i="5" s="1"/>
  <c r="E18" i="66" s="1"/>
  <c r="F13" i="5"/>
  <c r="F161" i="5" s="1"/>
  <c r="F18" i="66" s="1"/>
  <c r="F121" i="66" s="1"/>
  <c r="G13" i="5"/>
  <c r="G161" i="5" s="1"/>
  <c r="G18" i="66" s="1"/>
  <c r="G121" i="66" s="1"/>
  <c r="H13" i="5"/>
  <c r="H161" i="5" s="1"/>
  <c r="H18" i="66" s="1"/>
  <c r="H121" i="66" s="1"/>
  <c r="I13" i="5"/>
  <c r="I161" i="5" s="1"/>
  <c r="I18" i="66" s="1"/>
  <c r="I121" i="66" s="1"/>
  <c r="J13" i="5"/>
  <c r="J161" i="5" s="1"/>
  <c r="J18" i="66" s="1"/>
  <c r="J121" i="66" s="1"/>
  <c r="K13" i="5"/>
  <c r="K161" i="5" s="1"/>
  <c r="K18" i="66" s="1"/>
  <c r="K121" i="66" s="1"/>
  <c r="L13" i="5"/>
  <c r="L161" i="5" s="1"/>
  <c r="L18" i="66" s="1"/>
  <c r="L121" i="66" s="1"/>
  <c r="M13" i="5"/>
  <c r="M161" i="5" s="1"/>
  <c r="M18" i="66" s="1"/>
  <c r="M121" i="66" s="1"/>
  <c r="C14" i="5"/>
  <c r="C162" i="5" s="1"/>
  <c r="C19" i="66" s="1"/>
  <c r="C122" i="66" s="1"/>
  <c r="D14" i="5"/>
  <c r="D162" i="5" s="1"/>
  <c r="D19" i="66" s="1"/>
  <c r="D122" i="66" s="1"/>
  <c r="E14" i="5"/>
  <c r="E162" i="5" s="1"/>
  <c r="E19" i="66" s="1"/>
  <c r="F14" i="5"/>
  <c r="F162" i="5" s="1"/>
  <c r="F19" i="66" s="1"/>
  <c r="F122" i="66" s="1"/>
  <c r="G14" i="5"/>
  <c r="G162" i="5" s="1"/>
  <c r="G19" i="66" s="1"/>
  <c r="G122" i="66" s="1"/>
  <c r="H14" i="5"/>
  <c r="H162" i="5" s="1"/>
  <c r="H19" i="66" s="1"/>
  <c r="H122" i="66" s="1"/>
  <c r="I14" i="5"/>
  <c r="I162" i="5" s="1"/>
  <c r="I19" i="66" s="1"/>
  <c r="I122" i="66" s="1"/>
  <c r="J14" i="5"/>
  <c r="J162" i="5" s="1"/>
  <c r="J19" i="66" s="1"/>
  <c r="J122" i="66" s="1"/>
  <c r="K14" i="5"/>
  <c r="K162" i="5" s="1"/>
  <c r="K19" i="66" s="1"/>
  <c r="K122" i="66" s="1"/>
  <c r="L14" i="5"/>
  <c r="L162" i="5" s="1"/>
  <c r="L19" i="66" s="1"/>
  <c r="L122" i="66" s="1"/>
  <c r="M14" i="5"/>
  <c r="M162" i="5" s="1"/>
  <c r="M19" i="66" s="1"/>
  <c r="M122" i="66" s="1"/>
  <c r="C17" i="5"/>
  <c r="C165" i="5" s="1"/>
  <c r="C22" i="66" s="1"/>
  <c r="C125" i="66" s="1"/>
  <c r="D17" i="5"/>
  <c r="D165" i="5" s="1"/>
  <c r="D22" i="66" s="1"/>
  <c r="D125" i="66" s="1"/>
  <c r="E17" i="5"/>
  <c r="E165" i="5" s="1"/>
  <c r="E22" i="66" s="1"/>
  <c r="F17" i="5"/>
  <c r="F165" i="5" s="1"/>
  <c r="F22" i="66" s="1"/>
  <c r="F125" i="66" s="1"/>
  <c r="G17" i="5"/>
  <c r="G165" i="5" s="1"/>
  <c r="G22" i="66" s="1"/>
  <c r="G125" i="66" s="1"/>
  <c r="H17" i="5"/>
  <c r="H165" i="5" s="1"/>
  <c r="H22" i="66" s="1"/>
  <c r="H125" i="66" s="1"/>
  <c r="I17" i="5"/>
  <c r="I165" i="5" s="1"/>
  <c r="I22" i="66" s="1"/>
  <c r="I125" i="66" s="1"/>
  <c r="J17" i="5"/>
  <c r="J165" i="5" s="1"/>
  <c r="J22" i="66" s="1"/>
  <c r="J125" i="66" s="1"/>
  <c r="K17" i="5"/>
  <c r="K165" i="5" s="1"/>
  <c r="K22" i="66" s="1"/>
  <c r="K125" i="66" s="1"/>
  <c r="L17" i="5"/>
  <c r="L165" i="5" s="1"/>
  <c r="L22" i="66" s="1"/>
  <c r="L125" i="66" s="1"/>
  <c r="M17" i="5"/>
  <c r="M165" i="5" s="1"/>
  <c r="M22" i="66" s="1"/>
  <c r="M125" i="66" s="1"/>
  <c r="C21" i="5"/>
  <c r="D21" i="5"/>
  <c r="E21" i="5"/>
  <c r="F21" i="5"/>
  <c r="G21" i="5"/>
  <c r="H21" i="5"/>
  <c r="I21" i="5"/>
  <c r="J21" i="5"/>
  <c r="K21" i="5"/>
  <c r="L21" i="5"/>
  <c r="M21" i="5"/>
  <c r="C22" i="5"/>
  <c r="D22" i="5"/>
  <c r="E22" i="5"/>
  <c r="F22" i="5"/>
  <c r="G22" i="5"/>
  <c r="H22" i="5"/>
  <c r="I22" i="5"/>
  <c r="J22" i="5"/>
  <c r="K22" i="5"/>
  <c r="L22" i="5"/>
  <c r="M22" i="5"/>
  <c r="C23" i="5"/>
  <c r="D23" i="5"/>
  <c r="E23" i="5"/>
  <c r="F23" i="5"/>
  <c r="G23" i="5"/>
  <c r="H23" i="5"/>
  <c r="I23" i="5"/>
  <c r="J23" i="5"/>
  <c r="K23" i="5"/>
  <c r="L23" i="5"/>
  <c r="M23" i="5"/>
  <c r="C24" i="5"/>
  <c r="C172" i="5" s="1"/>
  <c r="C30" i="66" s="1"/>
  <c r="C133" i="66" s="1"/>
  <c r="D24" i="5"/>
  <c r="D172" i="5" s="1"/>
  <c r="D30" i="66" s="1"/>
  <c r="D133" i="66" s="1"/>
  <c r="E24" i="5"/>
  <c r="E172" i="5" s="1"/>
  <c r="E30" i="66" s="1"/>
  <c r="E133" i="66" s="1"/>
  <c r="F24" i="5"/>
  <c r="F172" i="5" s="1"/>
  <c r="F30" i="66" s="1"/>
  <c r="F133" i="66" s="1"/>
  <c r="G24" i="5"/>
  <c r="G172" i="5" s="1"/>
  <c r="G30" i="66" s="1"/>
  <c r="G133" i="66" s="1"/>
  <c r="H24" i="5"/>
  <c r="H172" i="5" s="1"/>
  <c r="H30" i="66" s="1"/>
  <c r="H133" i="66" s="1"/>
  <c r="I24" i="5"/>
  <c r="I172" i="5" s="1"/>
  <c r="I30" i="66" s="1"/>
  <c r="I133" i="66" s="1"/>
  <c r="J24" i="5"/>
  <c r="J172" i="5" s="1"/>
  <c r="J30" i="66" s="1"/>
  <c r="J133" i="66" s="1"/>
  <c r="K24" i="5"/>
  <c r="K172" i="5" s="1"/>
  <c r="K30" i="66" s="1"/>
  <c r="K133" i="66" s="1"/>
  <c r="L24" i="5"/>
  <c r="L172" i="5" s="1"/>
  <c r="L30" i="66" s="1"/>
  <c r="L133" i="66" s="1"/>
  <c r="M24" i="5"/>
  <c r="M172" i="5" s="1"/>
  <c r="M30" i="66" s="1"/>
  <c r="M133" i="66" s="1"/>
  <c r="C25" i="5"/>
  <c r="C173" i="5" s="1"/>
  <c r="C31" i="66" s="1"/>
  <c r="C134" i="66" s="1"/>
  <c r="D25" i="5"/>
  <c r="D173" i="5" s="1"/>
  <c r="D31" i="66" s="1"/>
  <c r="D134" i="66" s="1"/>
  <c r="E25" i="5"/>
  <c r="E173" i="5" s="1"/>
  <c r="E31" i="66" s="1"/>
  <c r="E134" i="66" s="1"/>
  <c r="F25" i="5"/>
  <c r="F173" i="5" s="1"/>
  <c r="F31" i="66" s="1"/>
  <c r="F134" i="66" s="1"/>
  <c r="G25" i="5"/>
  <c r="G173" i="5" s="1"/>
  <c r="G31" i="66" s="1"/>
  <c r="G134" i="66" s="1"/>
  <c r="H25" i="5"/>
  <c r="H173" i="5" s="1"/>
  <c r="H31" i="66" s="1"/>
  <c r="H134" i="66" s="1"/>
  <c r="I25" i="5"/>
  <c r="I173" i="5" s="1"/>
  <c r="I31" i="66" s="1"/>
  <c r="I134" i="66" s="1"/>
  <c r="J25" i="5"/>
  <c r="J173" i="5" s="1"/>
  <c r="J31" i="66" s="1"/>
  <c r="J134" i="66" s="1"/>
  <c r="K25" i="5"/>
  <c r="K173" i="5" s="1"/>
  <c r="K31" i="66" s="1"/>
  <c r="K134" i="66" s="1"/>
  <c r="L25" i="5"/>
  <c r="L173" i="5" s="1"/>
  <c r="L31" i="66" s="1"/>
  <c r="L134" i="66" s="1"/>
  <c r="M25" i="5"/>
  <c r="M173" i="5" s="1"/>
  <c r="M31" i="66" s="1"/>
  <c r="M134" i="66" s="1"/>
  <c r="C27" i="5"/>
  <c r="C175" i="5" s="1"/>
  <c r="C34" i="66" s="1"/>
  <c r="C137" i="66" s="1"/>
  <c r="D27" i="5"/>
  <c r="D175" i="5" s="1"/>
  <c r="D34" i="66" s="1"/>
  <c r="D137" i="66" s="1"/>
  <c r="E27" i="5"/>
  <c r="E175" i="5" s="1"/>
  <c r="E34" i="66" s="1"/>
  <c r="E137" i="66" s="1"/>
  <c r="F27" i="5"/>
  <c r="F175" i="5" s="1"/>
  <c r="F34" i="66" s="1"/>
  <c r="F137" i="66" s="1"/>
  <c r="G27" i="5"/>
  <c r="G175" i="5" s="1"/>
  <c r="G34" i="66" s="1"/>
  <c r="G137" i="66" s="1"/>
  <c r="H27" i="5"/>
  <c r="H175" i="5" s="1"/>
  <c r="H34" i="66" s="1"/>
  <c r="H137" i="66" s="1"/>
  <c r="I27" i="5"/>
  <c r="I175" i="5" s="1"/>
  <c r="I34" i="66" s="1"/>
  <c r="I137" i="66" s="1"/>
  <c r="J27" i="5"/>
  <c r="J175" i="5" s="1"/>
  <c r="J34" i="66" s="1"/>
  <c r="J137" i="66" s="1"/>
  <c r="K27" i="5"/>
  <c r="K175" i="5" s="1"/>
  <c r="K34" i="66" s="1"/>
  <c r="K137" i="66" s="1"/>
  <c r="L27" i="5"/>
  <c r="L175" i="5" s="1"/>
  <c r="L34" i="66" s="1"/>
  <c r="L137" i="66" s="1"/>
  <c r="M27" i="5"/>
  <c r="M175" i="5" s="1"/>
  <c r="M34" i="66" s="1"/>
  <c r="M137" i="66" s="1"/>
  <c r="C28" i="5"/>
  <c r="C176" i="5" s="1"/>
  <c r="C35" i="66" s="1"/>
  <c r="C138" i="66" s="1"/>
  <c r="D28" i="5"/>
  <c r="D176" i="5" s="1"/>
  <c r="D35" i="66" s="1"/>
  <c r="D138" i="66" s="1"/>
  <c r="E28" i="5"/>
  <c r="E176" i="5" s="1"/>
  <c r="E35" i="66" s="1"/>
  <c r="E138" i="66" s="1"/>
  <c r="F28" i="5"/>
  <c r="F176" i="5" s="1"/>
  <c r="F35" i="66" s="1"/>
  <c r="F138" i="66" s="1"/>
  <c r="G28" i="5"/>
  <c r="G176" i="5" s="1"/>
  <c r="G35" i="66" s="1"/>
  <c r="G138" i="66" s="1"/>
  <c r="H28" i="5"/>
  <c r="H176" i="5" s="1"/>
  <c r="H35" i="66" s="1"/>
  <c r="H138" i="66" s="1"/>
  <c r="I28" i="5"/>
  <c r="I176" i="5" s="1"/>
  <c r="I35" i="66" s="1"/>
  <c r="I138" i="66" s="1"/>
  <c r="J28" i="5"/>
  <c r="J176" i="5" s="1"/>
  <c r="J35" i="66" s="1"/>
  <c r="J138" i="66" s="1"/>
  <c r="K28" i="5"/>
  <c r="K176" i="5" s="1"/>
  <c r="K35" i="66" s="1"/>
  <c r="K138" i="66" s="1"/>
  <c r="L28" i="5"/>
  <c r="L176" i="5" s="1"/>
  <c r="L35" i="66" s="1"/>
  <c r="L138" i="66" s="1"/>
  <c r="M28" i="5"/>
  <c r="M176" i="5" s="1"/>
  <c r="M35" i="66" s="1"/>
  <c r="M138" i="66" s="1"/>
  <c r="B28" i="5"/>
  <c r="B27" i="5"/>
  <c r="B25" i="5"/>
  <c r="B24" i="5"/>
  <c r="B23" i="5"/>
  <c r="B22" i="5"/>
  <c r="B21" i="5"/>
  <c r="B17" i="5"/>
  <c r="B14" i="5"/>
  <c r="B13" i="5"/>
  <c r="B12" i="5"/>
  <c r="B11" i="5"/>
  <c r="B10" i="5"/>
  <c r="B9" i="5"/>
  <c r="B7" i="5"/>
  <c r="B6" i="5"/>
  <c r="C3" i="5"/>
  <c r="C5" i="66" s="1"/>
  <c r="C108" i="66" s="1"/>
  <c r="D3" i="5"/>
  <c r="D5" i="66" s="1"/>
  <c r="D108" i="66" s="1"/>
  <c r="E3" i="5"/>
  <c r="E5" i="66" s="1"/>
  <c r="F3" i="5"/>
  <c r="F5" i="66" s="1"/>
  <c r="G3" i="5"/>
  <c r="G5" i="66" s="1"/>
  <c r="H3" i="5"/>
  <c r="H5" i="66" s="1"/>
  <c r="I3" i="5"/>
  <c r="I5" i="66" s="1"/>
  <c r="J3" i="5"/>
  <c r="J5" i="66" s="1"/>
  <c r="K3" i="5"/>
  <c r="K5" i="66" s="1"/>
  <c r="L3" i="5"/>
  <c r="L5" i="66" s="1"/>
  <c r="M3" i="5"/>
  <c r="M5" i="66" s="1"/>
  <c r="B3" i="5"/>
  <c r="B5" i="66" s="1"/>
  <c r="B5" i="5"/>
  <c r="H29" i="6"/>
  <c r="H28" i="6"/>
  <c r="H30" i="6" s="1"/>
  <c r="H26" i="6"/>
  <c r="H25" i="6"/>
  <c r="H24" i="6"/>
  <c r="H23" i="6"/>
  <c r="H22" i="6"/>
  <c r="H15" i="6"/>
  <c r="H14" i="6"/>
  <c r="H13" i="6"/>
  <c r="H12" i="6"/>
  <c r="H11" i="6"/>
  <c r="H10" i="6"/>
  <c r="H16" i="6" s="1"/>
  <c r="H8" i="6"/>
  <c r="H7" i="6"/>
  <c r="H6" i="6"/>
  <c r="H9" i="6" s="1"/>
  <c r="H17" i="6" s="1"/>
  <c r="H19" i="6" s="1"/>
  <c r="H21" i="6" s="1"/>
  <c r="F29" i="6"/>
  <c r="F28" i="6"/>
  <c r="F26" i="6"/>
  <c r="F25" i="6"/>
  <c r="F24" i="6"/>
  <c r="F15" i="6"/>
  <c r="F14" i="6"/>
  <c r="F13" i="6"/>
  <c r="F12" i="6"/>
  <c r="F11" i="6"/>
  <c r="F10" i="6"/>
  <c r="F16" i="6" s="1"/>
  <c r="E29" i="6"/>
  <c r="E28" i="6"/>
  <c r="E30" i="6" s="1"/>
  <c r="E26" i="6"/>
  <c r="E25" i="6"/>
  <c r="E24" i="6"/>
  <c r="E23" i="6"/>
  <c r="E22" i="6"/>
  <c r="E15" i="6"/>
  <c r="E14" i="6"/>
  <c r="E13" i="6"/>
  <c r="E12" i="6"/>
  <c r="E11" i="6"/>
  <c r="E10" i="6"/>
  <c r="E16" i="6" s="1"/>
  <c r="E8" i="6"/>
  <c r="E7" i="6"/>
  <c r="D31" i="6"/>
  <c r="D29" i="6"/>
  <c r="D28" i="6"/>
  <c r="D26" i="6"/>
  <c r="D25" i="6"/>
  <c r="D24" i="6"/>
  <c r="D23" i="6"/>
  <c r="D22" i="6"/>
  <c r="D27" i="6" s="1"/>
  <c r="D15" i="6"/>
  <c r="D14" i="6"/>
  <c r="D13" i="6"/>
  <c r="D12" i="6"/>
  <c r="D11" i="6"/>
  <c r="D10" i="6"/>
  <c r="D8" i="6"/>
  <c r="D7" i="6"/>
  <c r="D6" i="6"/>
  <c r="D9" i="6" s="1"/>
  <c r="B26" i="6"/>
  <c r="C321" i="1"/>
  <c r="D321" i="1"/>
  <c r="E3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B235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H24" i="60"/>
  <c r="M19" i="5"/>
  <c r="M167" i="5" s="1"/>
  <c r="M24" i="66" s="1"/>
  <c r="M127" i="66" s="1"/>
  <c r="L19" i="5"/>
  <c r="L167" i="5" s="1"/>
  <c r="L24" i="66" s="1"/>
  <c r="L127" i="66" s="1"/>
  <c r="K19" i="5"/>
  <c r="K167" i="5" s="1"/>
  <c r="K24" i="66" s="1"/>
  <c r="K127" i="66" s="1"/>
  <c r="H19" i="5"/>
  <c r="H167" i="5" s="1"/>
  <c r="H24" i="66" s="1"/>
  <c r="H127" i="66" s="1"/>
  <c r="G19" i="5"/>
  <c r="G167" i="5" s="1"/>
  <c r="G24" i="66" s="1"/>
  <c r="G127" i="66" s="1"/>
  <c r="F19" i="5"/>
  <c r="F167" i="5" s="1"/>
  <c r="F24" i="66" s="1"/>
  <c r="F127" i="66" s="1"/>
  <c r="E19" i="5"/>
  <c r="E167" i="5" s="1"/>
  <c r="E24" i="66" s="1"/>
  <c r="E127" i="66" s="1"/>
  <c r="D19" i="5"/>
  <c r="D167" i="5" s="1"/>
  <c r="D24" i="66" s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O198" i="1"/>
  <c r="M194" i="1"/>
  <c r="L194" i="1"/>
  <c r="K194" i="1"/>
  <c r="J194" i="1"/>
  <c r="I194" i="1"/>
  <c r="H194" i="1"/>
  <c r="G194" i="1"/>
  <c r="F194" i="1"/>
  <c r="E194" i="1"/>
  <c r="D194" i="1"/>
  <c r="C194" i="1"/>
  <c r="O192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N167" i="1"/>
  <c r="E24" i="60" s="1"/>
  <c r="E23" i="60"/>
  <c r="E22" i="60"/>
  <c r="M163" i="1"/>
  <c r="L163" i="1"/>
  <c r="K163" i="1"/>
  <c r="J163" i="1"/>
  <c r="I163" i="1"/>
  <c r="H163" i="1"/>
  <c r="G163" i="1"/>
  <c r="F163" i="1"/>
  <c r="E163" i="1"/>
  <c r="D163" i="1"/>
  <c r="C163" i="1"/>
  <c r="B163" i="1"/>
  <c r="N161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B142" i="1"/>
  <c r="L139" i="1"/>
  <c r="E139" i="1"/>
  <c r="N136" i="1"/>
  <c r="D24" i="60" s="1"/>
  <c r="N135" i="1"/>
  <c r="M139" i="1"/>
  <c r="K139" i="1"/>
  <c r="J139" i="1"/>
  <c r="I139" i="1"/>
  <c r="H139" i="1"/>
  <c r="G139" i="1"/>
  <c r="F139" i="1"/>
  <c r="D139" i="1"/>
  <c r="C139" i="1"/>
  <c r="B139" i="1"/>
  <c r="M132" i="1"/>
  <c r="L132" i="1"/>
  <c r="K132" i="1"/>
  <c r="J132" i="1"/>
  <c r="I132" i="1"/>
  <c r="H132" i="1"/>
  <c r="G132" i="1"/>
  <c r="F132" i="1"/>
  <c r="E132" i="1"/>
  <c r="E205" i="1" s="1"/>
  <c r="D132" i="1"/>
  <c r="C132" i="1"/>
  <c r="B132" i="1"/>
  <c r="N130" i="1"/>
  <c r="L128" i="1"/>
  <c r="M128" i="1"/>
  <c r="D15" i="60"/>
  <c r="C128" i="1"/>
  <c r="D13" i="60"/>
  <c r="D128" i="1"/>
  <c r="E128" i="1"/>
  <c r="K128" i="1"/>
  <c r="J128" i="1"/>
  <c r="I128" i="1"/>
  <c r="H128" i="1"/>
  <c r="G128" i="1"/>
  <c r="F128" i="1"/>
  <c r="I121" i="1"/>
  <c r="H121" i="1"/>
  <c r="G121" i="1"/>
  <c r="D7" i="60"/>
  <c r="M121" i="1"/>
  <c r="L121" i="1"/>
  <c r="K121" i="1"/>
  <c r="J121" i="1"/>
  <c r="F121" i="1"/>
  <c r="E121" i="1"/>
  <c r="D121" i="1"/>
  <c r="C121" i="1"/>
  <c r="B121" i="1"/>
  <c r="N105" i="1"/>
  <c r="N80" i="1"/>
  <c r="N62" i="1"/>
  <c r="W4" i="66" l="1"/>
  <c r="V24" i="60"/>
  <c r="X24" i="60" s="1"/>
  <c r="E6" i="66"/>
  <c r="E109" i="66" s="1"/>
  <c r="E108" i="66"/>
  <c r="F6" i="66"/>
  <c r="F109" i="66" s="1"/>
  <c r="F108" i="66"/>
  <c r="G6" i="66"/>
  <c r="G109" i="66" s="1"/>
  <c r="G108" i="66"/>
  <c r="H6" i="66"/>
  <c r="H109" i="66" s="1"/>
  <c r="H108" i="66"/>
  <c r="I6" i="66"/>
  <c r="I109" i="66" s="1"/>
  <c r="I108" i="66"/>
  <c r="J6" i="66"/>
  <c r="J109" i="66" s="1"/>
  <c r="J108" i="66"/>
  <c r="K6" i="66"/>
  <c r="K109" i="66" s="1"/>
  <c r="K108" i="66"/>
  <c r="L6" i="66"/>
  <c r="L109" i="66" s="1"/>
  <c r="L108" i="66"/>
  <c r="M6" i="66"/>
  <c r="M109" i="66" s="1"/>
  <c r="M108" i="66"/>
  <c r="P5" i="66"/>
  <c r="B108" i="66"/>
  <c r="P108" i="66" s="1"/>
  <c r="E125" i="66"/>
  <c r="E117" i="66"/>
  <c r="E118" i="66"/>
  <c r="X118" i="66"/>
  <c r="AB118" i="66" s="1"/>
  <c r="E121" i="66"/>
  <c r="E119" i="66"/>
  <c r="E122" i="66"/>
  <c r="X123" i="66"/>
  <c r="X124" i="66" s="1"/>
  <c r="E120" i="66"/>
  <c r="X120" i="66"/>
  <c r="D127" i="66"/>
  <c r="N107" i="66"/>
  <c r="W107" i="66" s="1"/>
  <c r="R28" i="65"/>
  <c r="Q21" i="65"/>
  <c r="R21" i="65" s="1"/>
  <c r="D6" i="66"/>
  <c r="R32" i="65"/>
  <c r="R13" i="65"/>
  <c r="R12" i="65"/>
  <c r="R27" i="65"/>
  <c r="R26" i="65"/>
  <c r="R19" i="65"/>
  <c r="R15" i="65"/>
  <c r="R16" i="65"/>
  <c r="K30" i="6"/>
  <c r="R14" i="65"/>
  <c r="Q17" i="65"/>
  <c r="C95" i="5"/>
  <c r="N87" i="5"/>
  <c r="N95" i="5" s="1"/>
  <c r="R24" i="65"/>
  <c r="R9" i="65"/>
  <c r="R8" i="65"/>
  <c r="Q23" i="61"/>
  <c r="R23" i="61" s="1"/>
  <c r="V23" i="6"/>
  <c r="X23" i="6" s="1"/>
  <c r="F16" i="53"/>
  <c r="M18" i="57"/>
  <c r="M20" i="57" s="1"/>
  <c r="M23" i="57" s="1"/>
  <c r="M36" i="57" s="1"/>
  <c r="N18" i="57"/>
  <c r="N20" i="57" s="1"/>
  <c r="N23" i="57" s="1"/>
  <c r="N36" i="57" s="1"/>
  <c r="L18" i="57"/>
  <c r="L20" i="57" s="1"/>
  <c r="L23" i="57" s="1"/>
  <c r="L36" i="57" s="1"/>
  <c r="P10" i="57"/>
  <c r="K18" i="57"/>
  <c r="K20" i="57" s="1"/>
  <c r="K23" i="57" s="1"/>
  <c r="F17" i="57"/>
  <c r="O18" i="57"/>
  <c r="O20" i="57" s="1"/>
  <c r="O23" i="57" s="1"/>
  <c r="O36" i="57" s="1"/>
  <c r="P34" i="57"/>
  <c r="J18" i="57"/>
  <c r="J20" i="57" s="1"/>
  <c r="J23" i="57" s="1"/>
  <c r="J36" i="57" s="1"/>
  <c r="F34" i="61"/>
  <c r="F34" i="57"/>
  <c r="K30" i="60"/>
  <c r="D30" i="6"/>
  <c r="E27" i="6"/>
  <c r="D16" i="6"/>
  <c r="D17" i="6" s="1"/>
  <c r="D19" i="6" s="1"/>
  <c r="E9" i="6"/>
  <c r="E17" i="6" s="1"/>
  <c r="E19" i="6" s="1"/>
  <c r="H27" i="6"/>
  <c r="H32" i="6" s="1"/>
  <c r="B165" i="5"/>
  <c r="B22" i="66" s="1"/>
  <c r="P22" i="66" s="1"/>
  <c r="F30" i="6"/>
  <c r="K36" i="66"/>
  <c r="K139" i="66" s="1"/>
  <c r="Q25" i="60"/>
  <c r="Q10" i="57"/>
  <c r="Q15" i="6"/>
  <c r="M30" i="60"/>
  <c r="P17" i="57"/>
  <c r="F36" i="66"/>
  <c r="F139" i="66" s="1"/>
  <c r="J205" i="1"/>
  <c r="K205" i="1"/>
  <c r="L205" i="1"/>
  <c r="D36" i="66"/>
  <c r="D139" i="66" s="1"/>
  <c r="K328" i="1"/>
  <c r="N190" i="1"/>
  <c r="N194" i="1"/>
  <c r="O194" i="1" s="1"/>
  <c r="M205" i="1"/>
  <c r="C205" i="1"/>
  <c r="D205" i="1"/>
  <c r="B321" i="1"/>
  <c r="B1" i="6"/>
  <c r="R35" i="1"/>
  <c r="B1" i="60" s="1"/>
  <c r="C1" i="60" s="1"/>
  <c r="F205" i="1"/>
  <c r="G205" i="1"/>
  <c r="H205" i="1"/>
  <c r="D20" i="6"/>
  <c r="E20" i="6"/>
  <c r="I205" i="1"/>
  <c r="N204" i="1"/>
  <c r="H36" i="66"/>
  <c r="H139" i="66" s="1"/>
  <c r="J36" i="66"/>
  <c r="J139" i="66" s="1"/>
  <c r="M36" i="66"/>
  <c r="M139" i="66" s="1"/>
  <c r="L36" i="66"/>
  <c r="L139" i="66" s="1"/>
  <c r="I36" i="66"/>
  <c r="I139" i="66" s="1"/>
  <c r="O190" i="1"/>
  <c r="O25" i="60"/>
  <c r="D128" i="5"/>
  <c r="D130" i="5" s="1"/>
  <c r="D132" i="5" s="1"/>
  <c r="D143" i="5" s="1"/>
  <c r="Q34" i="57"/>
  <c r="F31" i="53"/>
  <c r="U298" i="1"/>
  <c r="G31" i="60"/>
  <c r="Q31" i="60" s="1"/>
  <c r="S31" i="60" s="1"/>
  <c r="G36" i="66"/>
  <c r="G139" i="66" s="1"/>
  <c r="C6" i="66"/>
  <c r="C109" i="66" s="1"/>
  <c r="E36" i="66"/>
  <c r="E139" i="66" s="1"/>
  <c r="B6" i="66"/>
  <c r="F30" i="57"/>
  <c r="V23" i="60"/>
  <c r="X23" i="60" s="1"/>
  <c r="K9" i="60"/>
  <c r="F10" i="57"/>
  <c r="C36" i="66"/>
  <c r="C139" i="66" s="1"/>
  <c r="Q33" i="65"/>
  <c r="R31" i="65"/>
  <c r="N141" i="5"/>
  <c r="G128" i="5"/>
  <c r="G130" i="5" s="1"/>
  <c r="G132" i="5" s="1"/>
  <c r="G143" i="5" s="1"/>
  <c r="I128" i="5"/>
  <c r="I130" i="5" s="1"/>
  <c r="I132" i="5" s="1"/>
  <c r="I143" i="5" s="1"/>
  <c r="F128" i="5"/>
  <c r="F130" i="5" s="1"/>
  <c r="F132" i="5" s="1"/>
  <c r="F143" i="5" s="1"/>
  <c r="K128" i="5"/>
  <c r="K130" i="5" s="1"/>
  <c r="K132" i="5" s="1"/>
  <c r="K143" i="5" s="1"/>
  <c r="M128" i="5"/>
  <c r="M130" i="5" s="1"/>
  <c r="M132" i="5" s="1"/>
  <c r="M143" i="5" s="1"/>
  <c r="L128" i="5"/>
  <c r="L130" i="5" s="1"/>
  <c r="L132" i="5" s="1"/>
  <c r="L143" i="5" s="1"/>
  <c r="J128" i="5"/>
  <c r="J130" i="5" s="1"/>
  <c r="J132" i="5" s="1"/>
  <c r="J143" i="5" s="1"/>
  <c r="H128" i="5"/>
  <c r="H130" i="5" s="1"/>
  <c r="H132" i="5" s="1"/>
  <c r="H143" i="5" s="1"/>
  <c r="Q10" i="61"/>
  <c r="R10" i="61" s="1"/>
  <c r="N2" i="67"/>
  <c r="AB21" i="67" s="1"/>
  <c r="AG21" i="67" s="1"/>
  <c r="N138" i="5"/>
  <c r="R25" i="65"/>
  <c r="Q29" i="65"/>
  <c r="Q17" i="57"/>
  <c r="R11" i="65"/>
  <c r="Q13" i="6"/>
  <c r="N127" i="5"/>
  <c r="C128" i="5"/>
  <c r="C130" i="5" s="1"/>
  <c r="C132" i="5" s="1"/>
  <c r="C143" i="5" s="1"/>
  <c r="B128" i="5"/>
  <c r="G31" i="6"/>
  <c r="J31" i="6" s="1"/>
  <c r="T298" i="1"/>
  <c r="B16" i="57"/>
  <c r="B25" i="57"/>
  <c r="C24" i="53" s="1"/>
  <c r="B26" i="57"/>
  <c r="C25" i="53" s="1"/>
  <c r="B15" i="57"/>
  <c r="B7" i="57"/>
  <c r="C7" i="53" s="1"/>
  <c r="B27" i="57"/>
  <c r="C26" i="53" s="1"/>
  <c r="B29" i="57"/>
  <c r="B4" i="61"/>
  <c r="E4" i="61" s="1"/>
  <c r="E5" i="61" s="1"/>
  <c r="B8" i="57"/>
  <c r="C8" i="53" s="1"/>
  <c r="B28" i="57"/>
  <c r="B12" i="57"/>
  <c r="B176" i="5"/>
  <c r="B35" i="66" s="1"/>
  <c r="P35" i="66" s="1"/>
  <c r="B33" i="57"/>
  <c r="I33" i="57" s="1"/>
  <c r="T33" i="57" s="1"/>
  <c r="B9" i="57"/>
  <c r="C9" i="53" s="1"/>
  <c r="B32" i="57"/>
  <c r="B13" i="57"/>
  <c r="B157" i="5"/>
  <c r="B11" i="57"/>
  <c r="B14" i="57"/>
  <c r="I14" i="57" s="1"/>
  <c r="G29" i="57"/>
  <c r="Q17" i="61"/>
  <c r="V8" i="6"/>
  <c r="X8" i="6" s="1"/>
  <c r="V22" i="6"/>
  <c r="X22" i="6" s="1"/>
  <c r="Q11" i="6"/>
  <c r="Q29" i="6"/>
  <c r="Q12" i="6"/>
  <c r="K27" i="60"/>
  <c r="O6" i="60"/>
  <c r="V6" i="60"/>
  <c r="X6" i="60" s="1"/>
  <c r="W26" i="6"/>
  <c r="F30" i="60"/>
  <c r="D30" i="60"/>
  <c r="C59" i="5"/>
  <c r="E59" i="5"/>
  <c r="E30" i="60"/>
  <c r="D59" i="5"/>
  <c r="C19" i="5"/>
  <c r="C167" i="5" s="1"/>
  <c r="C24" i="66" s="1"/>
  <c r="C127" i="66" s="1"/>
  <c r="N225" i="1"/>
  <c r="O225" i="1" s="1"/>
  <c r="B159" i="5"/>
  <c r="B16" i="66" s="1"/>
  <c r="P16" i="66" s="1"/>
  <c r="O214" i="1"/>
  <c r="N8" i="1"/>
  <c r="N16" i="1" s="1"/>
  <c r="N18" i="1" s="1"/>
  <c r="N20" i="1" s="1"/>
  <c r="N31" i="1" s="1"/>
  <c r="O235" i="1"/>
  <c r="O221" i="1"/>
  <c r="C177" i="5"/>
  <c r="D177" i="5"/>
  <c r="G177" i="5"/>
  <c r="J177" i="5"/>
  <c r="F177" i="5"/>
  <c r="D9" i="60"/>
  <c r="M177" i="5"/>
  <c r="L177" i="5"/>
  <c r="K177" i="5"/>
  <c r="E177" i="5"/>
  <c r="B161" i="5"/>
  <c r="B18" i="66" s="1"/>
  <c r="P18" i="66" s="1"/>
  <c r="B160" i="5"/>
  <c r="B17" i="66" s="1"/>
  <c r="P17" i="66" s="1"/>
  <c r="B162" i="5"/>
  <c r="B19" i="66" s="1"/>
  <c r="P19" i="66" s="1"/>
  <c r="H177" i="5"/>
  <c r="I177" i="5"/>
  <c r="B175" i="5"/>
  <c r="B34" i="66" s="1"/>
  <c r="P34" i="66" s="1"/>
  <c r="B172" i="5"/>
  <c r="B30" i="66" s="1"/>
  <c r="P30" i="66" s="1"/>
  <c r="B173" i="5"/>
  <c r="B31" i="66" s="1"/>
  <c r="P31" i="66" s="1"/>
  <c r="B158" i="5"/>
  <c r="B15" i="66" s="1"/>
  <c r="P15" i="66" s="1"/>
  <c r="I163" i="5"/>
  <c r="I20" i="66" s="1"/>
  <c r="I123" i="66" s="1"/>
  <c r="Q29" i="60"/>
  <c r="H16" i="60"/>
  <c r="Q15" i="60"/>
  <c r="Q13" i="60"/>
  <c r="H9" i="60"/>
  <c r="R22" i="61"/>
  <c r="R12" i="61"/>
  <c r="R28" i="61"/>
  <c r="R19" i="61"/>
  <c r="R27" i="61"/>
  <c r="R15" i="61"/>
  <c r="R7" i="61"/>
  <c r="R33" i="61"/>
  <c r="R32" i="61"/>
  <c r="R16" i="61"/>
  <c r="R8" i="61"/>
  <c r="R11" i="61"/>
  <c r="R13" i="61"/>
  <c r="R25" i="61"/>
  <c r="R26" i="61"/>
  <c r="R14" i="61"/>
  <c r="F17" i="61"/>
  <c r="F10" i="61"/>
  <c r="P18" i="61"/>
  <c r="P20" i="61" s="1"/>
  <c r="P36" i="61" s="1"/>
  <c r="R9" i="61"/>
  <c r="Q30" i="61"/>
  <c r="R30" i="61" s="1"/>
  <c r="Q34" i="61"/>
  <c r="R34" i="61" s="1"/>
  <c r="F30" i="61"/>
  <c r="R35" i="61"/>
  <c r="R29" i="61"/>
  <c r="Q30" i="57"/>
  <c r="Q11" i="60"/>
  <c r="F16" i="60"/>
  <c r="E27" i="60"/>
  <c r="Q14" i="60"/>
  <c r="O14" i="60"/>
  <c r="O18" i="60"/>
  <c r="M27" i="60"/>
  <c r="V22" i="60"/>
  <c r="O22" i="60"/>
  <c r="Q10" i="60"/>
  <c r="K16" i="60"/>
  <c r="M16" i="60"/>
  <c r="O31" i="60"/>
  <c r="O7" i="60"/>
  <c r="Q12" i="60"/>
  <c r="O20" i="60"/>
  <c r="O10" i="60"/>
  <c r="O8" i="60"/>
  <c r="O12" i="60"/>
  <c r="H30" i="60"/>
  <c r="M9" i="60"/>
  <c r="V7" i="60"/>
  <c r="H27" i="60"/>
  <c r="O26" i="60"/>
  <c r="O28" i="60"/>
  <c r="O23" i="60"/>
  <c r="Q26" i="60"/>
  <c r="Q28" i="60"/>
  <c r="V8" i="60"/>
  <c r="X8" i="60" s="1"/>
  <c r="O24" i="60"/>
  <c r="O11" i="60"/>
  <c r="O13" i="60"/>
  <c r="O15" i="60"/>
  <c r="O29" i="60"/>
  <c r="M28" i="6"/>
  <c r="M30" i="6" s="1"/>
  <c r="M14" i="6"/>
  <c r="Q14" i="6" s="1"/>
  <c r="O24" i="6"/>
  <c r="O22" i="6"/>
  <c r="K15" i="6"/>
  <c r="K16" i="6" s="1"/>
  <c r="H163" i="5"/>
  <c r="H20" i="66" s="1"/>
  <c r="H123" i="66" s="1"/>
  <c r="G163" i="5"/>
  <c r="G20" i="66" s="1"/>
  <c r="G123" i="66" s="1"/>
  <c r="F163" i="5"/>
  <c r="F20" i="66" s="1"/>
  <c r="F123" i="66" s="1"/>
  <c r="E163" i="5"/>
  <c r="E20" i="66" s="1"/>
  <c r="D163" i="5"/>
  <c r="D20" i="66" s="1"/>
  <c r="D123" i="66" s="1"/>
  <c r="C163" i="5"/>
  <c r="C20" i="66" s="1"/>
  <c r="C123" i="66" s="1"/>
  <c r="M163" i="5"/>
  <c r="M20" i="66" s="1"/>
  <c r="M123" i="66" s="1"/>
  <c r="L163" i="5"/>
  <c r="L20" i="66" s="1"/>
  <c r="L123" i="66" s="1"/>
  <c r="K163" i="5"/>
  <c r="K20" i="66" s="1"/>
  <c r="K123" i="66" s="1"/>
  <c r="J163" i="5"/>
  <c r="J20" i="66" s="1"/>
  <c r="J123" i="66" s="1"/>
  <c r="O23" i="6"/>
  <c r="M20" i="6"/>
  <c r="O20" i="6" s="1"/>
  <c r="M18" i="6"/>
  <c r="Q18" i="6" s="1"/>
  <c r="M7" i="6"/>
  <c r="V7" i="6" s="1"/>
  <c r="X7" i="6" s="1"/>
  <c r="K18" i="6"/>
  <c r="M25" i="6"/>
  <c r="Q25" i="6" s="1"/>
  <c r="M10" i="6"/>
  <c r="M26" i="6"/>
  <c r="O26" i="6" s="1"/>
  <c r="O29" i="6"/>
  <c r="O31" i="6"/>
  <c r="O11" i="6"/>
  <c r="O12" i="6"/>
  <c r="O13" i="6"/>
  <c r="K27" i="6"/>
  <c r="F59" i="5"/>
  <c r="G59" i="5"/>
  <c r="H59" i="5"/>
  <c r="M293" i="1"/>
  <c r="K293" i="1"/>
  <c r="K59" i="5"/>
  <c r="L293" i="1"/>
  <c r="L59" i="5"/>
  <c r="F24" i="60"/>
  <c r="J293" i="1"/>
  <c r="J59" i="5"/>
  <c r="I293" i="1"/>
  <c r="I59" i="5"/>
  <c r="B293" i="1"/>
  <c r="O8" i="6"/>
  <c r="N262" i="1"/>
  <c r="I19" i="5"/>
  <c r="I167" i="5" s="1"/>
  <c r="I24" i="66" s="1"/>
  <c r="I127" i="66" s="1"/>
  <c r="J19" i="5"/>
  <c r="J167" i="5" s="1"/>
  <c r="J24" i="66" s="1"/>
  <c r="J127" i="66" s="1"/>
  <c r="D12" i="60"/>
  <c r="D16" i="60" s="1"/>
  <c r="Q18" i="60"/>
  <c r="D23" i="60"/>
  <c r="B19" i="5"/>
  <c r="H1" i="6"/>
  <c r="E13" i="60"/>
  <c r="E16" i="60" s="1"/>
  <c r="D25" i="60"/>
  <c r="J8" i="5"/>
  <c r="N152" i="1"/>
  <c r="E7" i="60"/>
  <c r="E9" i="60" s="1"/>
  <c r="D29" i="5"/>
  <c r="B15" i="5"/>
  <c r="B95" i="5"/>
  <c r="B110" i="5" s="1"/>
  <c r="I29" i="5"/>
  <c r="K26" i="5"/>
  <c r="K8" i="5"/>
  <c r="E26" i="5"/>
  <c r="M26" i="5"/>
  <c r="K29" i="5"/>
  <c r="G29" i="5"/>
  <c r="N11" i="5"/>
  <c r="D26" i="5"/>
  <c r="H29" i="5"/>
  <c r="N22" i="5"/>
  <c r="B25" i="65" s="1"/>
  <c r="B8" i="5"/>
  <c r="C29" i="5"/>
  <c r="N13" i="5"/>
  <c r="L29" i="5"/>
  <c r="N25" i="5"/>
  <c r="B28" i="65" s="1"/>
  <c r="N12" i="5"/>
  <c r="B14" i="65" s="1"/>
  <c r="N14" i="5"/>
  <c r="L15" i="5"/>
  <c r="N9" i="5"/>
  <c r="B11" i="65" s="1"/>
  <c r="N27" i="5"/>
  <c r="N17" i="5"/>
  <c r="F26" i="5"/>
  <c r="N10" i="5"/>
  <c r="G8" i="5"/>
  <c r="F8" i="5"/>
  <c r="B26" i="5"/>
  <c r="N23" i="5"/>
  <c r="B26" i="65" s="1"/>
  <c r="E8" i="5"/>
  <c r="N7" i="5"/>
  <c r="B9" i="65" s="1"/>
  <c r="N24" i="5"/>
  <c r="E29" i="5"/>
  <c r="M15" i="5"/>
  <c r="I15" i="5"/>
  <c r="F29" i="5"/>
  <c r="I8" i="5"/>
  <c r="N3" i="5"/>
  <c r="B29" i="5"/>
  <c r="K15" i="5"/>
  <c r="F15" i="5"/>
  <c r="C26" i="5"/>
  <c r="J15" i="5"/>
  <c r="H15" i="5"/>
  <c r="G15" i="5"/>
  <c r="H8" i="5"/>
  <c r="E15" i="5"/>
  <c r="N28" i="5"/>
  <c r="B32" i="65" s="1"/>
  <c r="C8" i="5"/>
  <c r="N6" i="5"/>
  <c r="L26" i="5"/>
  <c r="J26" i="5"/>
  <c r="I26" i="5"/>
  <c r="H26" i="5"/>
  <c r="M8" i="5"/>
  <c r="N21" i="5"/>
  <c r="B24" i="65" s="1"/>
  <c r="D15" i="5"/>
  <c r="N5" i="5"/>
  <c r="C15" i="5"/>
  <c r="M29" i="5"/>
  <c r="J29" i="5"/>
  <c r="G26" i="5"/>
  <c r="L8" i="5"/>
  <c r="D8" i="5"/>
  <c r="F328" i="1"/>
  <c r="M328" i="1"/>
  <c r="L328" i="1"/>
  <c r="D328" i="1"/>
  <c r="J328" i="1"/>
  <c r="I328" i="1"/>
  <c r="E328" i="1"/>
  <c r="C328" i="1"/>
  <c r="H328" i="1"/>
  <c r="E160" i="1"/>
  <c r="E162" i="1" s="1"/>
  <c r="E164" i="1" s="1"/>
  <c r="E175" i="1" s="1"/>
  <c r="E308" i="1" s="1"/>
  <c r="E74" i="5" s="1"/>
  <c r="E42" i="66" s="1"/>
  <c r="E145" i="66" s="1"/>
  <c r="G328" i="1"/>
  <c r="I222" i="1"/>
  <c r="I224" i="1" s="1"/>
  <c r="I226" i="1" s="1"/>
  <c r="I237" i="1" s="1"/>
  <c r="J160" i="1"/>
  <c r="J162" i="1" s="1"/>
  <c r="J164" i="1" s="1"/>
  <c r="J175" i="1" s="1"/>
  <c r="J308" i="1" s="1"/>
  <c r="J74" i="5" s="1"/>
  <c r="J42" i="66" s="1"/>
  <c r="J145" i="66" s="1"/>
  <c r="N232" i="1"/>
  <c r="J222" i="1"/>
  <c r="J224" i="1" s="1"/>
  <c r="J226" i="1" s="1"/>
  <c r="J237" i="1" s="1"/>
  <c r="B222" i="1"/>
  <c r="N222" i="1"/>
  <c r="F222" i="1"/>
  <c r="F224" i="1" s="1"/>
  <c r="F226" i="1" s="1"/>
  <c r="F237" i="1" s="1"/>
  <c r="K222" i="1"/>
  <c r="K224" i="1" s="1"/>
  <c r="K226" i="1" s="1"/>
  <c r="K237" i="1" s="1"/>
  <c r="L222" i="1"/>
  <c r="L224" i="1" s="1"/>
  <c r="L226" i="1" s="1"/>
  <c r="L237" i="1" s="1"/>
  <c r="E222" i="1"/>
  <c r="E224" i="1" s="1"/>
  <c r="E226" i="1" s="1"/>
  <c r="E237" i="1" s="1"/>
  <c r="D160" i="1"/>
  <c r="D162" i="1" s="1"/>
  <c r="D164" i="1" s="1"/>
  <c r="D175" i="1" s="1"/>
  <c r="D308" i="1" s="1"/>
  <c r="D74" i="5" s="1"/>
  <c r="D42" i="66" s="1"/>
  <c r="D145" i="66" s="1"/>
  <c r="D222" i="1"/>
  <c r="D224" i="1" s="1"/>
  <c r="D226" i="1" s="1"/>
  <c r="D237" i="1" s="1"/>
  <c r="F160" i="1"/>
  <c r="F162" i="1" s="1"/>
  <c r="F164" i="1" s="1"/>
  <c r="F175" i="1" s="1"/>
  <c r="F308" i="1" s="1"/>
  <c r="F74" i="5" s="1"/>
  <c r="F42" i="66" s="1"/>
  <c r="F145" i="66" s="1"/>
  <c r="G222" i="1"/>
  <c r="G224" i="1" s="1"/>
  <c r="G226" i="1" s="1"/>
  <c r="G237" i="1" s="1"/>
  <c r="M222" i="1"/>
  <c r="M224" i="1" s="1"/>
  <c r="M226" i="1" s="1"/>
  <c r="M237" i="1" s="1"/>
  <c r="C222" i="1"/>
  <c r="C224" i="1" s="1"/>
  <c r="C226" i="1" s="1"/>
  <c r="C237" i="1" s="1"/>
  <c r="H222" i="1"/>
  <c r="H224" i="1" s="1"/>
  <c r="H226" i="1" s="1"/>
  <c r="H237" i="1" s="1"/>
  <c r="H160" i="1"/>
  <c r="H162" i="1" s="1"/>
  <c r="H164" i="1" s="1"/>
  <c r="H175" i="1" s="1"/>
  <c r="H308" i="1" s="1"/>
  <c r="H74" i="5" s="1"/>
  <c r="H42" i="66" s="1"/>
  <c r="H145" i="66" s="1"/>
  <c r="J129" i="1"/>
  <c r="J131" i="1" s="1"/>
  <c r="J133" i="1" s="1"/>
  <c r="J144" i="1" s="1"/>
  <c r="J306" i="1" s="1"/>
  <c r="J73" i="5" s="1"/>
  <c r="J41" i="66" s="1"/>
  <c r="J144" i="66" s="1"/>
  <c r="I160" i="1"/>
  <c r="I162" i="1" s="1"/>
  <c r="I164" i="1" s="1"/>
  <c r="I175" i="1" s="1"/>
  <c r="I308" i="1" s="1"/>
  <c r="I74" i="5" s="1"/>
  <c r="I42" i="66" s="1"/>
  <c r="I145" i="66" s="1"/>
  <c r="K160" i="1"/>
  <c r="K162" i="1" s="1"/>
  <c r="K164" i="1" s="1"/>
  <c r="K175" i="1" s="1"/>
  <c r="K308" i="1" s="1"/>
  <c r="K74" i="5" s="1"/>
  <c r="K42" i="66" s="1"/>
  <c r="K145" i="66" s="1"/>
  <c r="L160" i="1"/>
  <c r="L162" i="1" s="1"/>
  <c r="L164" i="1" s="1"/>
  <c r="L175" i="1" s="1"/>
  <c r="L308" i="1" s="1"/>
  <c r="L74" i="5" s="1"/>
  <c r="L42" i="66" s="1"/>
  <c r="L145" i="66" s="1"/>
  <c r="M160" i="1"/>
  <c r="M162" i="1" s="1"/>
  <c r="M164" i="1" s="1"/>
  <c r="M175" i="1" s="1"/>
  <c r="M308" i="1" s="1"/>
  <c r="M74" i="5" s="1"/>
  <c r="M42" i="66" s="1"/>
  <c r="M145" i="66" s="1"/>
  <c r="G160" i="1"/>
  <c r="G162" i="1" s="1"/>
  <c r="G164" i="1" s="1"/>
  <c r="G175" i="1" s="1"/>
  <c r="G308" i="1" s="1"/>
  <c r="G74" i="5" s="1"/>
  <c r="G42" i="66" s="1"/>
  <c r="G145" i="66" s="1"/>
  <c r="N163" i="1"/>
  <c r="C160" i="1"/>
  <c r="C162" i="1" s="1"/>
  <c r="C164" i="1" s="1"/>
  <c r="C175" i="1" s="1"/>
  <c r="C308" i="1" s="1"/>
  <c r="C74" i="5" s="1"/>
  <c r="C42" i="66" s="1"/>
  <c r="C145" i="66" s="1"/>
  <c r="N159" i="1"/>
  <c r="B160" i="1"/>
  <c r="N170" i="1"/>
  <c r="M129" i="1"/>
  <c r="M131" i="1" s="1"/>
  <c r="M133" i="1" s="1"/>
  <c r="M144" i="1" s="1"/>
  <c r="M306" i="1" s="1"/>
  <c r="M73" i="5" s="1"/>
  <c r="M41" i="66" s="1"/>
  <c r="M144" i="66" s="1"/>
  <c r="N132" i="1"/>
  <c r="N128" i="1"/>
  <c r="K129" i="1"/>
  <c r="K131" i="1" s="1"/>
  <c r="K133" i="1" s="1"/>
  <c r="K144" i="1" s="1"/>
  <c r="K306" i="1" s="1"/>
  <c r="K73" i="5" s="1"/>
  <c r="K41" i="66" s="1"/>
  <c r="K144" i="66" s="1"/>
  <c r="L129" i="1"/>
  <c r="L131" i="1" s="1"/>
  <c r="L133" i="1" s="1"/>
  <c r="L144" i="1" s="1"/>
  <c r="L306" i="1" s="1"/>
  <c r="L73" i="5" s="1"/>
  <c r="L41" i="66" s="1"/>
  <c r="L144" i="66" s="1"/>
  <c r="F129" i="1"/>
  <c r="F131" i="1" s="1"/>
  <c r="F133" i="1" s="1"/>
  <c r="F144" i="1" s="1"/>
  <c r="F306" i="1" s="1"/>
  <c r="F73" i="5" s="1"/>
  <c r="F41" i="66" s="1"/>
  <c r="F144" i="66" s="1"/>
  <c r="G129" i="1"/>
  <c r="G131" i="1" s="1"/>
  <c r="G133" i="1" s="1"/>
  <c r="G144" i="1" s="1"/>
  <c r="G306" i="1" s="1"/>
  <c r="G73" i="5" s="1"/>
  <c r="G41" i="66" s="1"/>
  <c r="G144" i="66" s="1"/>
  <c r="C129" i="1"/>
  <c r="C131" i="1" s="1"/>
  <c r="C133" i="1" s="1"/>
  <c r="C144" i="1" s="1"/>
  <c r="C306" i="1" s="1"/>
  <c r="C73" i="5" s="1"/>
  <c r="C41" i="66" s="1"/>
  <c r="C144" i="66" s="1"/>
  <c r="H129" i="1"/>
  <c r="H131" i="1" s="1"/>
  <c r="H133" i="1" s="1"/>
  <c r="H144" i="1" s="1"/>
  <c r="H306" i="1" s="1"/>
  <c r="H73" i="5" s="1"/>
  <c r="H41" i="66" s="1"/>
  <c r="H144" i="66" s="1"/>
  <c r="D129" i="1"/>
  <c r="D131" i="1" s="1"/>
  <c r="D133" i="1" s="1"/>
  <c r="D144" i="1" s="1"/>
  <c r="D306" i="1" s="1"/>
  <c r="D73" i="5" s="1"/>
  <c r="D41" i="66" s="1"/>
  <c r="D144" i="66" s="1"/>
  <c r="I129" i="1"/>
  <c r="I131" i="1" s="1"/>
  <c r="I133" i="1" s="1"/>
  <c r="I144" i="1" s="1"/>
  <c r="I306" i="1" s="1"/>
  <c r="I73" i="5" s="1"/>
  <c r="I41" i="66" s="1"/>
  <c r="I144" i="66" s="1"/>
  <c r="E129" i="1"/>
  <c r="E131" i="1" s="1"/>
  <c r="E133" i="1" s="1"/>
  <c r="E144" i="1" s="1"/>
  <c r="E306" i="1" s="1"/>
  <c r="E73" i="5" s="1"/>
  <c r="E41" i="66" s="1"/>
  <c r="E144" i="66" s="1"/>
  <c r="N121" i="1"/>
  <c r="B128" i="1"/>
  <c r="N57" i="1"/>
  <c r="B26" i="60" s="1"/>
  <c r="W26" i="60" s="1"/>
  <c r="M56" i="1"/>
  <c r="M261" i="1" s="1"/>
  <c r="L56" i="1"/>
  <c r="L261" i="1" s="1"/>
  <c r="K56" i="1"/>
  <c r="K261" i="1" s="1"/>
  <c r="J56" i="1"/>
  <c r="J261" i="1" s="1"/>
  <c r="I56" i="1"/>
  <c r="I261" i="1" s="1"/>
  <c r="H56" i="1"/>
  <c r="H261" i="1" s="1"/>
  <c r="G56" i="1"/>
  <c r="G261" i="1" s="1"/>
  <c r="F56" i="1"/>
  <c r="F261" i="1" s="1"/>
  <c r="E56" i="1"/>
  <c r="E261" i="1" s="1"/>
  <c r="D56" i="1"/>
  <c r="D261" i="1" s="1"/>
  <c r="C56" i="1"/>
  <c r="C261" i="1" s="1"/>
  <c r="B56" i="1"/>
  <c r="O6" i="1"/>
  <c r="O7" i="1"/>
  <c r="O9" i="1"/>
  <c r="O10" i="1"/>
  <c r="F324" i="1" s="1"/>
  <c r="O11" i="1"/>
  <c r="O12" i="1"/>
  <c r="C44" i="1" s="1"/>
  <c r="C249" i="1" s="1"/>
  <c r="O13" i="1"/>
  <c r="J327" i="1" s="1"/>
  <c r="O14" i="1"/>
  <c r="C46" i="1" s="1"/>
  <c r="C251" i="1" s="1"/>
  <c r="O17" i="1"/>
  <c r="C49" i="1" s="1"/>
  <c r="C254" i="1" s="1"/>
  <c r="C51" i="1"/>
  <c r="C256" i="1" s="1"/>
  <c r="O21" i="1"/>
  <c r="O22" i="1"/>
  <c r="O23" i="1"/>
  <c r="O25" i="1"/>
  <c r="O27" i="1"/>
  <c r="O28" i="1"/>
  <c r="O29" i="1"/>
  <c r="E337" i="1" s="1"/>
  <c r="O30" i="1"/>
  <c r="C15" i="1"/>
  <c r="D15" i="1"/>
  <c r="E15" i="1"/>
  <c r="F15" i="1"/>
  <c r="G15" i="1"/>
  <c r="H15" i="1"/>
  <c r="I15" i="1"/>
  <c r="J15" i="1"/>
  <c r="K15" i="1"/>
  <c r="L15" i="1"/>
  <c r="M15" i="1"/>
  <c r="O15" i="1"/>
  <c r="C8" i="1"/>
  <c r="D8" i="1"/>
  <c r="E8" i="1"/>
  <c r="F8" i="1"/>
  <c r="G8" i="1"/>
  <c r="H8" i="1"/>
  <c r="I8" i="1"/>
  <c r="J8" i="1"/>
  <c r="K8" i="1"/>
  <c r="L8" i="1"/>
  <c r="M8" i="1"/>
  <c r="C26" i="1"/>
  <c r="D26" i="1"/>
  <c r="E26" i="1"/>
  <c r="F26" i="1"/>
  <c r="G26" i="1"/>
  <c r="H26" i="1"/>
  <c r="I26" i="1"/>
  <c r="J26" i="1"/>
  <c r="K26" i="1"/>
  <c r="L26" i="1"/>
  <c r="M26" i="1"/>
  <c r="O26" i="1"/>
  <c r="B26" i="1"/>
  <c r="Q23" i="66" l="1"/>
  <c r="Q25" i="66" s="1"/>
  <c r="Q125" i="66"/>
  <c r="Q126" i="66" s="1"/>
  <c r="Q128" i="66" s="1"/>
  <c r="B109" i="66"/>
  <c r="P6" i="66"/>
  <c r="E123" i="66"/>
  <c r="B134" i="66"/>
  <c r="P134" i="66" s="1"/>
  <c r="D109" i="66"/>
  <c r="B118" i="66"/>
  <c r="P118" i="66" s="1"/>
  <c r="B122" i="66"/>
  <c r="P122" i="66" s="1"/>
  <c r="B120" i="66"/>
  <c r="P120" i="66" s="1"/>
  <c r="B125" i="66"/>
  <c r="P125" i="66" s="1"/>
  <c r="B121" i="66"/>
  <c r="P121" i="66" s="1"/>
  <c r="B137" i="66"/>
  <c r="P137" i="66" s="1"/>
  <c r="B138" i="66"/>
  <c r="P138" i="66" s="1"/>
  <c r="B133" i="66"/>
  <c r="P133" i="66" s="1"/>
  <c r="B119" i="66"/>
  <c r="P119" i="66" s="1"/>
  <c r="R33" i="65"/>
  <c r="R17" i="65"/>
  <c r="R29" i="65"/>
  <c r="N165" i="5"/>
  <c r="N22" i="66" s="1"/>
  <c r="O27" i="60"/>
  <c r="K17" i="60"/>
  <c r="K19" i="60" s="1"/>
  <c r="K21" i="60" s="1"/>
  <c r="K32" i="60" s="1"/>
  <c r="F29" i="53"/>
  <c r="F10" i="53"/>
  <c r="F18" i="57"/>
  <c r="F20" i="57" s="1"/>
  <c r="F23" i="57" s="1"/>
  <c r="F36" i="57" s="1"/>
  <c r="P18" i="57"/>
  <c r="P20" i="57" s="1"/>
  <c r="P23" i="57" s="1"/>
  <c r="I333" i="1"/>
  <c r="E20" i="60"/>
  <c r="D333" i="1"/>
  <c r="D21" i="6"/>
  <c r="D32" i="6" s="1"/>
  <c r="M333" i="1"/>
  <c r="G333" i="1"/>
  <c r="H333" i="1"/>
  <c r="K333" i="1"/>
  <c r="J333" i="1"/>
  <c r="L333" i="1"/>
  <c r="F333" i="1"/>
  <c r="C333" i="1"/>
  <c r="E21" i="6"/>
  <c r="E32" i="6" s="1"/>
  <c r="E333" i="1"/>
  <c r="O10" i="6"/>
  <c r="M16" i="6"/>
  <c r="M9" i="6"/>
  <c r="E331" i="1"/>
  <c r="J31" i="60"/>
  <c r="M331" i="1"/>
  <c r="G331" i="1"/>
  <c r="F331" i="1"/>
  <c r="H331" i="1"/>
  <c r="B327" i="1"/>
  <c r="B326" i="1"/>
  <c r="B331" i="1"/>
  <c r="B325" i="1"/>
  <c r="B324" i="1"/>
  <c r="B323" i="1"/>
  <c r="B329" i="1"/>
  <c r="B328" i="1"/>
  <c r="N328" i="1" s="1"/>
  <c r="I331" i="1"/>
  <c r="D59" i="1"/>
  <c r="D108" i="1" s="1"/>
  <c r="E59" i="1"/>
  <c r="E108" i="1" s="1"/>
  <c r="H59" i="1"/>
  <c r="J59" i="1"/>
  <c r="J108" i="1" s="1"/>
  <c r="M59" i="1"/>
  <c r="M108" i="1" s="1"/>
  <c r="B59" i="1"/>
  <c r="B108" i="1" s="1"/>
  <c r="C59" i="1"/>
  <c r="C108" i="1" s="1"/>
  <c r="F59" i="1"/>
  <c r="F108" i="1" s="1"/>
  <c r="G59" i="1"/>
  <c r="G108" i="1" s="1"/>
  <c r="I59" i="1"/>
  <c r="I108" i="1" s="1"/>
  <c r="K59" i="1"/>
  <c r="K108" i="1" s="1"/>
  <c r="L59" i="1"/>
  <c r="L108" i="1" s="1"/>
  <c r="K331" i="1"/>
  <c r="J331" i="1"/>
  <c r="C331" i="1"/>
  <c r="L331" i="1"/>
  <c r="E60" i="1"/>
  <c r="F60" i="1"/>
  <c r="J60" i="1"/>
  <c r="B60" i="1"/>
  <c r="C60" i="1"/>
  <c r="G60" i="1"/>
  <c r="H60" i="1"/>
  <c r="I60" i="1"/>
  <c r="K60" i="1"/>
  <c r="L60" i="1"/>
  <c r="M60" i="1"/>
  <c r="D60" i="1"/>
  <c r="D331" i="1"/>
  <c r="I29" i="57"/>
  <c r="T29" i="57" s="1"/>
  <c r="C28" i="53"/>
  <c r="T14" i="57"/>
  <c r="C14" i="53"/>
  <c r="I11" i="57"/>
  <c r="T11" i="57" s="1"/>
  <c r="C11" i="53"/>
  <c r="I12" i="57"/>
  <c r="T12" i="57" s="1"/>
  <c r="C12" i="53"/>
  <c r="O204" i="1"/>
  <c r="I28" i="57"/>
  <c r="T28" i="57" s="1"/>
  <c r="C27" i="53"/>
  <c r="N205" i="1"/>
  <c r="O205" i="1" s="1"/>
  <c r="I13" i="57"/>
  <c r="T13" i="57" s="1"/>
  <c r="C13" i="53"/>
  <c r="C26" i="6"/>
  <c r="I32" i="57"/>
  <c r="T32" i="57" s="1"/>
  <c r="C31" i="53"/>
  <c r="O18" i="6"/>
  <c r="B261" i="1"/>
  <c r="B58" i="5" s="1"/>
  <c r="B25" i="6"/>
  <c r="I16" i="57"/>
  <c r="T16" i="57" s="1"/>
  <c r="C16" i="53"/>
  <c r="C32" i="53"/>
  <c r="I15" i="57"/>
  <c r="T15" i="57" s="1"/>
  <c r="C15" i="53"/>
  <c r="O25" i="6"/>
  <c r="Q18" i="61"/>
  <c r="Q20" i="61" s="1"/>
  <c r="Q36" i="61" s="1"/>
  <c r="F33" i="53"/>
  <c r="Q18" i="57"/>
  <c r="F17" i="53"/>
  <c r="B8" i="61"/>
  <c r="B8" i="65"/>
  <c r="B12" i="61"/>
  <c r="C12" i="61" s="1"/>
  <c r="B12" i="65"/>
  <c r="I32" i="65"/>
  <c r="B15" i="61"/>
  <c r="I15" i="61" s="1"/>
  <c r="T15" i="61" s="1"/>
  <c r="B15" i="65"/>
  <c r="I11" i="65"/>
  <c r="B13" i="61"/>
  <c r="I13" i="61" s="1"/>
  <c r="T13" i="61" s="1"/>
  <c r="B13" i="65"/>
  <c r="Q31" i="6"/>
  <c r="S31" i="6" s="1"/>
  <c r="I28" i="65"/>
  <c r="B19" i="61"/>
  <c r="I19" i="61" s="1"/>
  <c r="T19" i="61" s="1"/>
  <c r="B19" i="65"/>
  <c r="B28" i="61"/>
  <c r="I28" i="61" s="1"/>
  <c r="T28" i="61" s="1"/>
  <c r="B27" i="65"/>
  <c r="I14" i="65"/>
  <c r="N5" i="66"/>
  <c r="B4" i="65"/>
  <c r="E4" i="65" s="1"/>
  <c r="E5" i="65" s="1"/>
  <c r="B7" i="61"/>
  <c r="C7" i="61" s="1"/>
  <c r="B7" i="65"/>
  <c r="B32" i="61"/>
  <c r="C32" i="61" s="1"/>
  <c r="B31" i="65"/>
  <c r="B16" i="61"/>
  <c r="C16" i="61" s="1"/>
  <c r="B16" i="65"/>
  <c r="O15" i="6"/>
  <c r="O30" i="60"/>
  <c r="B36" i="66"/>
  <c r="O28" i="6"/>
  <c r="O30" i="6" s="1"/>
  <c r="N157" i="5"/>
  <c r="N14" i="66" s="1"/>
  <c r="B14" i="66"/>
  <c r="O9" i="60"/>
  <c r="AB26" i="67"/>
  <c r="AG26" i="67" s="1"/>
  <c r="AB14" i="67"/>
  <c r="AG14" i="67" s="1"/>
  <c r="AB8" i="67"/>
  <c r="AG8" i="67" s="1"/>
  <c r="AB16" i="67"/>
  <c r="AG16" i="67" s="1"/>
  <c r="AB11" i="67"/>
  <c r="AG11" i="67" s="1"/>
  <c r="AB12" i="67"/>
  <c r="AG12" i="67" s="1"/>
  <c r="AB28" i="67"/>
  <c r="AG28" i="67" s="1"/>
  <c r="AB25" i="67"/>
  <c r="AG25" i="67" s="1"/>
  <c r="AB27" i="67"/>
  <c r="AG27" i="67" s="1"/>
  <c r="AB15" i="67"/>
  <c r="AG15" i="67" s="1"/>
  <c r="AB31" i="67"/>
  <c r="AG31" i="67" s="1"/>
  <c r="AB24" i="67"/>
  <c r="AG24" i="67" s="1"/>
  <c r="AB9" i="67"/>
  <c r="AG9" i="67" s="1"/>
  <c r="AB19" i="67"/>
  <c r="AG19" i="67" s="1"/>
  <c r="AB32" i="67"/>
  <c r="AG32" i="67" s="1"/>
  <c r="AB13" i="67"/>
  <c r="AG13" i="67" s="1"/>
  <c r="AB29" i="67"/>
  <c r="AG29" i="67" s="1"/>
  <c r="AB17" i="67"/>
  <c r="AG17" i="67" s="1"/>
  <c r="AB33" i="67"/>
  <c r="AG33" i="67" s="1"/>
  <c r="R17" i="61"/>
  <c r="Q10" i="6"/>
  <c r="Q16" i="6" s="1"/>
  <c r="B130" i="5"/>
  <c r="B9" i="61"/>
  <c r="C9" i="61" s="1"/>
  <c r="B14" i="61"/>
  <c r="I14" i="61" s="1"/>
  <c r="T14" i="61" s="1"/>
  <c r="B30" i="57"/>
  <c r="C29" i="53" s="1"/>
  <c r="B25" i="61"/>
  <c r="C25" i="61" s="1"/>
  <c r="B27" i="61"/>
  <c r="B10" i="57"/>
  <c r="C10" i="53" s="1"/>
  <c r="B26" i="61"/>
  <c r="C26" i="61" s="1"/>
  <c r="B19" i="57"/>
  <c r="B33" i="61"/>
  <c r="I33" i="61" s="1"/>
  <c r="T33" i="61" s="1"/>
  <c r="B11" i="61"/>
  <c r="I11" i="61" s="1"/>
  <c r="T11" i="61" s="1"/>
  <c r="B22" i="57"/>
  <c r="C8" i="61"/>
  <c r="N176" i="5"/>
  <c r="N35" i="66" s="1"/>
  <c r="N161" i="5"/>
  <c r="N18" i="66" s="1"/>
  <c r="B29" i="61"/>
  <c r="I29" i="61" s="1"/>
  <c r="T29" i="61" s="1"/>
  <c r="Q26" i="6"/>
  <c r="M17" i="60"/>
  <c r="M19" i="60" s="1"/>
  <c r="M21" i="60" s="1"/>
  <c r="Q20" i="6"/>
  <c r="Q28" i="6"/>
  <c r="Q30" i="6" s="1"/>
  <c r="V26" i="6"/>
  <c r="X26" i="6" s="1"/>
  <c r="K9" i="6"/>
  <c r="K17" i="6" s="1"/>
  <c r="K19" i="6" s="1"/>
  <c r="K21" i="6" s="1"/>
  <c r="K32" i="6" s="1"/>
  <c r="V6" i="6"/>
  <c r="X6" i="6" s="1"/>
  <c r="X9" i="6" s="1"/>
  <c r="N159" i="5"/>
  <c r="N16" i="66" s="1"/>
  <c r="B34" i="57"/>
  <c r="O232" i="1"/>
  <c r="O222" i="1"/>
  <c r="O8" i="1"/>
  <c r="B37" i="1"/>
  <c r="E17" i="60"/>
  <c r="E19" i="60" s="1"/>
  <c r="V26" i="60"/>
  <c r="X26" i="60" s="1"/>
  <c r="B17" i="57"/>
  <c r="C17" i="53" s="1"/>
  <c r="N162" i="5"/>
  <c r="N19" i="66" s="1"/>
  <c r="N160" i="5"/>
  <c r="N17" i="66" s="1"/>
  <c r="N19" i="5"/>
  <c r="B21" i="65" s="1"/>
  <c r="I21" i="65" s="1"/>
  <c r="B167" i="5"/>
  <c r="B24" i="66" s="1"/>
  <c r="P24" i="66" s="1"/>
  <c r="S25" i="66" s="1"/>
  <c r="S38" i="66" s="1"/>
  <c r="D17" i="60"/>
  <c r="D19" i="60" s="1"/>
  <c r="B177" i="5"/>
  <c r="N175" i="5"/>
  <c r="N34" i="66" s="1"/>
  <c r="N173" i="5"/>
  <c r="N31" i="66" s="1"/>
  <c r="N172" i="5"/>
  <c r="N30" i="66" s="1"/>
  <c r="N158" i="5"/>
  <c r="N15" i="66" s="1"/>
  <c r="B163" i="5"/>
  <c r="B20" i="66" s="1"/>
  <c r="F18" i="61"/>
  <c r="F20" i="61" s="1"/>
  <c r="F36" i="61" s="1"/>
  <c r="H17" i="60"/>
  <c r="H19" i="60" s="1"/>
  <c r="X22" i="60"/>
  <c r="X7" i="60"/>
  <c r="X9" i="60" s="1"/>
  <c r="V9" i="60"/>
  <c r="Q16" i="60"/>
  <c r="Q30" i="60"/>
  <c r="O16" i="60"/>
  <c r="O14" i="6"/>
  <c r="O7" i="6"/>
  <c r="M27" i="6"/>
  <c r="O27" i="6" s="1"/>
  <c r="E292" i="1"/>
  <c r="E58" i="5"/>
  <c r="D20" i="60"/>
  <c r="F292" i="1"/>
  <c r="F58" i="5"/>
  <c r="N293" i="1"/>
  <c r="N59" i="5"/>
  <c r="G292" i="1"/>
  <c r="G58" i="5"/>
  <c r="H292" i="1"/>
  <c r="H58" i="5"/>
  <c r="C292" i="1"/>
  <c r="C58" i="5"/>
  <c r="J292" i="1"/>
  <c r="J58" i="5"/>
  <c r="K292" i="1"/>
  <c r="K58" i="5"/>
  <c r="L292" i="1"/>
  <c r="L58" i="5"/>
  <c r="D292" i="1"/>
  <c r="D58" i="5"/>
  <c r="I292" i="1"/>
  <c r="I58" i="5"/>
  <c r="M292" i="1"/>
  <c r="M58" i="5"/>
  <c r="C95" i="1"/>
  <c r="H20" i="60"/>
  <c r="Q20" i="60" s="1"/>
  <c r="C93" i="1"/>
  <c r="C100" i="1"/>
  <c r="C98" i="1"/>
  <c r="B129" i="1"/>
  <c r="N139" i="1"/>
  <c r="D22" i="60"/>
  <c r="D27" i="60" s="1"/>
  <c r="J16" i="5"/>
  <c r="J18" i="5" s="1"/>
  <c r="J20" i="5" s="1"/>
  <c r="J31" i="5" s="1"/>
  <c r="F20" i="60"/>
  <c r="N160" i="1"/>
  <c r="B224" i="1"/>
  <c r="N224" i="1"/>
  <c r="B162" i="1"/>
  <c r="K16" i="5"/>
  <c r="K18" i="5" s="1"/>
  <c r="K20" i="5" s="1"/>
  <c r="K31" i="5" s="1"/>
  <c r="B16" i="5"/>
  <c r="C16" i="5"/>
  <c r="C18" i="5" s="1"/>
  <c r="C20" i="5" s="1"/>
  <c r="C31" i="5" s="1"/>
  <c r="E16" i="5"/>
  <c r="E18" i="5" s="1"/>
  <c r="E20" i="5" s="1"/>
  <c r="E31" i="5" s="1"/>
  <c r="F16" i="5"/>
  <c r="F18" i="5" s="1"/>
  <c r="F20" i="5" s="1"/>
  <c r="F31" i="5" s="1"/>
  <c r="N26" i="5"/>
  <c r="B29" i="65" s="1"/>
  <c r="M16" i="5"/>
  <c r="M18" i="5" s="1"/>
  <c r="M20" i="5" s="1"/>
  <c r="M31" i="5" s="1"/>
  <c r="G16" i="5"/>
  <c r="G18" i="5" s="1"/>
  <c r="G20" i="5" s="1"/>
  <c r="G31" i="5" s="1"/>
  <c r="H16" i="5"/>
  <c r="H18" i="5" s="1"/>
  <c r="H20" i="5" s="1"/>
  <c r="H31" i="5" s="1"/>
  <c r="D16" i="5"/>
  <c r="D18" i="5" s="1"/>
  <c r="D20" i="5" s="1"/>
  <c r="D31" i="5" s="1"/>
  <c r="L16" i="5"/>
  <c r="L18" i="5" s="1"/>
  <c r="L20" i="5" s="1"/>
  <c r="L31" i="5" s="1"/>
  <c r="I16" i="5"/>
  <c r="I18" i="5" s="1"/>
  <c r="I20" i="5" s="1"/>
  <c r="I31" i="5" s="1"/>
  <c r="N29" i="5"/>
  <c r="B33" i="65" s="1"/>
  <c r="N8" i="5"/>
  <c r="B10" i="65" s="1"/>
  <c r="N15" i="5"/>
  <c r="B17" i="65" s="1"/>
  <c r="K323" i="1"/>
  <c r="L326" i="1"/>
  <c r="K324" i="1"/>
  <c r="D326" i="1"/>
  <c r="B337" i="1"/>
  <c r="H323" i="1"/>
  <c r="J337" i="1"/>
  <c r="L329" i="1"/>
  <c r="G337" i="1"/>
  <c r="K337" i="1"/>
  <c r="J329" i="1"/>
  <c r="C45" i="1"/>
  <c r="C250" i="1" s="1"/>
  <c r="I327" i="1"/>
  <c r="L327" i="1"/>
  <c r="G327" i="1"/>
  <c r="G329" i="1"/>
  <c r="F327" i="1"/>
  <c r="J326" i="1"/>
  <c r="C327" i="1"/>
  <c r="H327" i="1"/>
  <c r="C43" i="1"/>
  <c r="C248" i="1" s="1"/>
  <c r="G325" i="1"/>
  <c r="J325" i="1"/>
  <c r="C325" i="1"/>
  <c r="D325" i="1"/>
  <c r="E325" i="1"/>
  <c r="I325" i="1"/>
  <c r="L325" i="1"/>
  <c r="M325" i="1"/>
  <c r="G326" i="1"/>
  <c r="F329" i="1"/>
  <c r="K327" i="1"/>
  <c r="K325" i="1"/>
  <c r="I337" i="1"/>
  <c r="C42" i="1"/>
  <c r="C247" i="1" s="1"/>
  <c r="G324" i="1"/>
  <c r="I324" i="1"/>
  <c r="J324" i="1"/>
  <c r="C324" i="1"/>
  <c r="D324" i="1"/>
  <c r="L324" i="1"/>
  <c r="M324" i="1"/>
  <c r="E324" i="1"/>
  <c r="F325" i="1"/>
  <c r="F326" i="1"/>
  <c r="K41" i="1"/>
  <c r="K246" i="1" s="1"/>
  <c r="G323" i="1"/>
  <c r="I323" i="1"/>
  <c r="J323" i="1"/>
  <c r="M323" i="1"/>
  <c r="E323" i="1"/>
  <c r="L323" i="1"/>
  <c r="C323" i="1"/>
  <c r="D323" i="1"/>
  <c r="F323" i="1"/>
  <c r="I329" i="1"/>
  <c r="K329" i="1"/>
  <c r="M337" i="1"/>
  <c r="C329" i="1"/>
  <c r="L337" i="1"/>
  <c r="K326" i="1"/>
  <c r="M329" i="1"/>
  <c r="C326" i="1"/>
  <c r="M327" i="1"/>
  <c r="H337" i="1"/>
  <c r="I326" i="1"/>
  <c r="D327" i="1"/>
  <c r="C337" i="1"/>
  <c r="H329" i="1"/>
  <c r="H324" i="1"/>
  <c r="M326" i="1"/>
  <c r="D337" i="1"/>
  <c r="H325" i="1"/>
  <c r="E329" i="1"/>
  <c r="E327" i="1"/>
  <c r="D329" i="1"/>
  <c r="H326" i="1"/>
  <c r="E326" i="1"/>
  <c r="F337" i="1"/>
  <c r="D16" i="1"/>
  <c r="D18" i="1" s="1"/>
  <c r="D20" i="1" s="1"/>
  <c r="D31" i="1" s="1"/>
  <c r="D32" i="1" s="1"/>
  <c r="I16" i="1"/>
  <c r="I18" i="1" s="1"/>
  <c r="I20" i="1" s="1"/>
  <c r="I31" i="1" s="1"/>
  <c r="I32" i="1" s="1"/>
  <c r="N129" i="1"/>
  <c r="E16" i="1"/>
  <c r="E18" i="1" s="1"/>
  <c r="E20" i="1" s="1"/>
  <c r="E31" i="1" s="1"/>
  <c r="E32" i="1" s="1"/>
  <c r="D55" i="1"/>
  <c r="D260" i="1" s="1"/>
  <c r="D54" i="1"/>
  <c r="D259" i="1" s="1"/>
  <c r="G16" i="1"/>
  <c r="G18" i="1" s="1"/>
  <c r="G20" i="1" s="1"/>
  <c r="G31" i="1" s="1"/>
  <c r="G32" i="1" s="1"/>
  <c r="K37" i="1"/>
  <c r="K242" i="1" s="1"/>
  <c r="C39" i="1"/>
  <c r="C244" i="1" s="1"/>
  <c r="C38" i="1"/>
  <c r="C243" i="1" s="1"/>
  <c r="J37" i="1"/>
  <c r="J242" i="1" s="1"/>
  <c r="D39" i="1"/>
  <c r="D244" i="1" s="1"/>
  <c r="I41" i="1"/>
  <c r="I246" i="1" s="1"/>
  <c r="D43" i="1"/>
  <c r="D248" i="1" s="1"/>
  <c r="L38" i="1"/>
  <c r="L243" i="1" s="1"/>
  <c r="E49" i="1"/>
  <c r="E254" i="1" s="1"/>
  <c r="F49" i="1"/>
  <c r="F254" i="1" s="1"/>
  <c r="E55" i="1"/>
  <c r="D53" i="1"/>
  <c r="D258" i="1" s="1"/>
  <c r="B53" i="1"/>
  <c r="G49" i="1"/>
  <c r="G254" i="1" s="1"/>
  <c r="M37" i="1"/>
  <c r="M242" i="1" s="1"/>
  <c r="H49" i="1"/>
  <c r="H254" i="1" s="1"/>
  <c r="L49" i="1"/>
  <c r="L254" i="1" s="1"/>
  <c r="H108" i="1"/>
  <c r="M49" i="1"/>
  <c r="M254" i="1" s="1"/>
  <c r="E43" i="1"/>
  <c r="E248" i="1" s="1"/>
  <c r="E53" i="1"/>
  <c r="E258" i="1" s="1"/>
  <c r="F43" i="1"/>
  <c r="F248" i="1" s="1"/>
  <c r="F53" i="1"/>
  <c r="F258" i="1" s="1"/>
  <c r="D44" i="1"/>
  <c r="D249" i="1" s="1"/>
  <c r="G53" i="1"/>
  <c r="G258" i="1" s="1"/>
  <c r="E44" i="1"/>
  <c r="E249" i="1" s="1"/>
  <c r="H53" i="1"/>
  <c r="H258" i="1" s="1"/>
  <c r="F44" i="1"/>
  <c r="F249" i="1" s="1"/>
  <c r="I53" i="1"/>
  <c r="I258" i="1" s="1"/>
  <c r="L37" i="1"/>
  <c r="L242" i="1" s="1"/>
  <c r="D49" i="1"/>
  <c r="D254" i="1" s="1"/>
  <c r="M54" i="1"/>
  <c r="M259" i="1" s="1"/>
  <c r="E39" i="1"/>
  <c r="E244" i="1" s="1"/>
  <c r="L41" i="1"/>
  <c r="L246" i="1" s="1"/>
  <c r="F39" i="1"/>
  <c r="F244" i="1" s="1"/>
  <c r="G43" i="1"/>
  <c r="G248" i="1" s="1"/>
  <c r="G55" i="1"/>
  <c r="G260" i="1" s="1"/>
  <c r="G39" i="1"/>
  <c r="G244" i="1" s="1"/>
  <c r="D42" i="1"/>
  <c r="D247" i="1" s="1"/>
  <c r="L43" i="1"/>
  <c r="L248" i="1" s="1"/>
  <c r="J53" i="1"/>
  <c r="J258" i="1" s="1"/>
  <c r="H55" i="1"/>
  <c r="H260" i="1" s="1"/>
  <c r="B41" i="1"/>
  <c r="N56" i="1"/>
  <c r="F42" i="1"/>
  <c r="F247" i="1" s="1"/>
  <c r="B54" i="1"/>
  <c r="I37" i="1"/>
  <c r="I242" i="1" s="1"/>
  <c r="D41" i="1"/>
  <c r="D246" i="1" s="1"/>
  <c r="E51" i="1"/>
  <c r="E256" i="1" s="1"/>
  <c r="E54" i="1"/>
  <c r="E259" i="1" s="1"/>
  <c r="D38" i="1"/>
  <c r="D243" i="1" s="1"/>
  <c r="E41" i="1"/>
  <c r="E246" i="1" s="1"/>
  <c r="H42" i="1"/>
  <c r="H247" i="1" s="1"/>
  <c r="D45" i="1"/>
  <c r="D250" i="1" s="1"/>
  <c r="F51" i="1"/>
  <c r="F256" i="1" s="1"/>
  <c r="F54" i="1"/>
  <c r="F259" i="1" s="1"/>
  <c r="E38" i="1"/>
  <c r="E243" i="1" s="1"/>
  <c r="F41" i="1"/>
  <c r="F246" i="1" s="1"/>
  <c r="I42" i="1"/>
  <c r="I247" i="1" s="1"/>
  <c r="E45" i="1"/>
  <c r="E250" i="1" s="1"/>
  <c r="G54" i="1"/>
  <c r="G259" i="1" s="1"/>
  <c r="J41" i="1"/>
  <c r="J246" i="1" s="1"/>
  <c r="F55" i="1"/>
  <c r="F260" i="1" s="1"/>
  <c r="M41" i="1"/>
  <c r="M246" i="1" s="1"/>
  <c r="E42" i="1"/>
  <c r="E247" i="1" s="1"/>
  <c r="M53" i="1"/>
  <c r="M258" i="1" s="1"/>
  <c r="C41" i="1"/>
  <c r="D51" i="1"/>
  <c r="D256" i="1" s="1"/>
  <c r="G42" i="1"/>
  <c r="G247" i="1" s="1"/>
  <c r="F38" i="1"/>
  <c r="F243" i="1" s="1"/>
  <c r="G41" i="1"/>
  <c r="G246" i="1" s="1"/>
  <c r="L42" i="1"/>
  <c r="L247" i="1" s="1"/>
  <c r="D46" i="1"/>
  <c r="D251" i="1" s="1"/>
  <c r="C53" i="1"/>
  <c r="C258" i="1" s="1"/>
  <c r="H54" i="1"/>
  <c r="H259" i="1" s="1"/>
  <c r="G38" i="1"/>
  <c r="G243" i="1" s="1"/>
  <c r="H41" i="1"/>
  <c r="H246" i="1" s="1"/>
  <c r="M42" i="1"/>
  <c r="M247" i="1" s="1"/>
  <c r="I54" i="1"/>
  <c r="I259" i="1" s="1"/>
  <c r="F46" i="1"/>
  <c r="F251" i="1" s="1"/>
  <c r="G44" i="1"/>
  <c r="G249" i="1" s="1"/>
  <c r="G45" i="1"/>
  <c r="G250" i="1" s="1"/>
  <c r="G46" i="1"/>
  <c r="G251" i="1" s="1"/>
  <c r="G51" i="1"/>
  <c r="G256" i="1" s="1"/>
  <c r="H37" i="1"/>
  <c r="H242" i="1" s="1"/>
  <c r="H38" i="1"/>
  <c r="H243" i="1" s="1"/>
  <c r="H39" i="1"/>
  <c r="H244" i="1" s="1"/>
  <c r="H43" i="1"/>
  <c r="H248" i="1" s="1"/>
  <c r="H44" i="1"/>
  <c r="H249" i="1" s="1"/>
  <c r="H45" i="1"/>
  <c r="H250" i="1" s="1"/>
  <c r="H46" i="1"/>
  <c r="H251" i="1" s="1"/>
  <c r="H51" i="1"/>
  <c r="H256" i="1" s="1"/>
  <c r="I55" i="1"/>
  <c r="I260" i="1" s="1"/>
  <c r="G37" i="1"/>
  <c r="G242" i="1" s="1"/>
  <c r="I38" i="1"/>
  <c r="I243" i="1" s="1"/>
  <c r="I39" i="1"/>
  <c r="I244" i="1" s="1"/>
  <c r="I43" i="1"/>
  <c r="I248" i="1" s="1"/>
  <c r="I44" i="1"/>
  <c r="I249" i="1" s="1"/>
  <c r="I45" i="1"/>
  <c r="I250" i="1" s="1"/>
  <c r="I46" i="1"/>
  <c r="I251" i="1" s="1"/>
  <c r="I49" i="1"/>
  <c r="I254" i="1" s="1"/>
  <c r="I51" i="1"/>
  <c r="I256" i="1" s="1"/>
  <c r="J54" i="1"/>
  <c r="J259" i="1" s="1"/>
  <c r="J55" i="1"/>
  <c r="J260" i="1" s="1"/>
  <c r="F37" i="1"/>
  <c r="F242" i="1" s="1"/>
  <c r="J38" i="1"/>
  <c r="J243" i="1" s="1"/>
  <c r="J39" i="1"/>
  <c r="J244" i="1" s="1"/>
  <c r="J42" i="1"/>
  <c r="J247" i="1" s="1"/>
  <c r="J43" i="1"/>
  <c r="J248" i="1" s="1"/>
  <c r="J44" i="1"/>
  <c r="J249" i="1" s="1"/>
  <c r="J45" i="1"/>
  <c r="J250" i="1" s="1"/>
  <c r="J46" i="1"/>
  <c r="J251" i="1" s="1"/>
  <c r="J49" i="1"/>
  <c r="J254" i="1" s="1"/>
  <c r="J51" i="1"/>
  <c r="J256" i="1" s="1"/>
  <c r="K53" i="1"/>
  <c r="K258" i="1" s="1"/>
  <c r="K54" i="1"/>
  <c r="K259" i="1" s="1"/>
  <c r="K55" i="1"/>
  <c r="E37" i="1"/>
  <c r="E242" i="1" s="1"/>
  <c r="K38" i="1"/>
  <c r="K243" i="1" s="1"/>
  <c r="K39" i="1"/>
  <c r="K244" i="1" s="1"/>
  <c r="K42" i="1"/>
  <c r="K247" i="1" s="1"/>
  <c r="K43" i="1"/>
  <c r="K248" i="1" s="1"/>
  <c r="K44" i="1"/>
  <c r="K249" i="1" s="1"/>
  <c r="K45" i="1"/>
  <c r="K250" i="1" s="1"/>
  <c r="K46" i="1"/>
  <c r="K251" i="1" s="1"/>
  <c r="K49" i="1"/>
  <c r="K254" i="1" s="1"/>
  <c r="K51" i="1"/>
  <c r="K256" i="1" s="1"/>
  <c r="L53" i="1"/>
  <c r="L258" i="1" s="1"/>
  <c r="L54" i="1"/>
  <c r="L259" i="1" s="1"/>
  <c r="L55" i="1"/>
  <c r="F45" i="1"/>
  <c r="F250" i="1" s="1"/>
  <c r="D37" i="1"/>
  <c r="D242" i="1" s="1"/>
  <c r="L39" i="1"/>
  <c r="L244" i="1" s="1"/>
  <c r="L44" i="1"/>
  <c r="L249" i="1" s="1"/>
  <c r="L51" i="1"/>
  <c r="L256" i="1" s="1"/>
  <c r="M55" i="1"/>
  <c r="M260" i="1" s="1"/>
  <c r="L45" i="1"/>
  <c r="L250" i="1" s="1"/>
  <c r="M38" i="1"/>
  <c r="M243" i="1" s="1"/>
  <c r="M43" i="1"/>
  <c r="M248" i="1" s="1"/>
  <c r="M45" i="1"/>
  <c r="M250" i="1" s="1"/>
  <c r="M51" i="1"/>
  <c r="M256" i="1" s="1"/>
  <c r="B55" i="1"/>
  <c r="B38" i="1"/>
  <c r="B39" i="1"/>
  <c r="B42" i="1"/>
  <c r="B43" i="1"/>
  <c r="B44" i="1"/>
  <c r="B45" i="1"/>
  <c r="B94" i="1" s="1"/>
  <c r="B46" i="1"/>
  <c r="B49" i="1"/>
  <c r="B98" i="1" s="1"/>
  <c r="C54" i="1"/>
  <c r="C259" i="1" s="1"/>
  <c r="C55" i="1"/>
  <c r="C260" i="1" s="1"/>
  <c r="E46" i="1"/>
  <c r="E251" i="1" s="1"/>
  <c r="L46" i="1"/>
  <c r="L251" i="1" s="1"/>
  <c r="C37" i="1"/>
  <c r="C242" i="1" s="1"/>
  <c r="M39" i="1"/>
  <c r="M244" i="1" s="1"/>
  <c r="M44" i="1"/>
  <c r="M249" i="1" s="1"/>
  <c r="M46" i="1"/>
  <c r="M251" i="1" s="1"/>
  <c r="C16" i="1"/>
  <c r="C18" i="1" s="1"/>
  <c r="C20" i="1" s="1"/>
  <c r="C31" i="1" s="1"/>
  <c r="C32" i="1" s="1"/>
  <c r="H16" i="1"/>
  <c r="H18" i="1" s="1"/>
  <c r="H20" i="1" s="1"/>
  <c r="H31" i="1" s="1"/>
  <c r="H32" i="1" s="1"/>
  <c r="M16" i="1"/>
  <c r="M18" i="1" s="1"/>
  <c r="M20" i="1" s="1"/>
  <c r="M31" i="1" s="1"/>
  <c r="M32" i="1" s="1"/>
  <c r="L16" i="1"/>
  <c r="L18" i="1" s="1"/>
  <c r="L20" i="1" s="1"/>
  <c r="L31" i="1" s="1"/>
  <c r="L32" i="1" s="1"/>
  <c r="K16" i="1"/>
  <c r="K18" i="1" s="1"/>
  <c r="K20" i="1" s="1"/>
  <c r="K31" i="1" s="1"/>
  <c r="K32" i="1" s="1"/>
  <c r="J16" i="1"/>
  <c r="J18" i="1" s="1"/>
  <c r="J20" i="1" s="1"/>
  <c r="J31" i="1" s="1"/>
  <c r="J32" i="1" s="1"/>
  <c r="F16" i="1"/>
  <c r="F18" i="1" s="1"/>
  <c r="F20" i="1" s="1"/>
  <c r="F31" i="1" s="1"/>
  <c r="F32" i="1" s="1"/>
  <c r="B15" i="1"/>
  <c r="B8" i="1"/>
  <c r="C26" i="60" l="1"/>
  <c r="P109" i="66"/>
  <c r="N125" i="66"/>
  <c r="W22" i="66"/>
  <c r="N6" i="66"/>
  <c r="W5" i="66"/>
  <c r="N108" i="66"/>
  <c r="W108" i="66" s="1"/>
  <c r="B139" i="66"/>
  <c r="P139" i="66" s="1"/>
  <c r="P36" i="66"/>
  <c r="B117" i="66"/>
  <c r="P117" i="66" s="1"/>
  <c r="P14" i="66"/>
  <c r="N138" i="66"/>
  <c r="W138" i="66" s="1"/>
  <c r="AB138" i="66" s="1"/>
  <c r="W35" i="66"/>
  <c r="N137" i="66"/>
  <c r="W137" i="66" s="1"/>
  <c r="W34" i="66"/>
  <c r="N134" i="66"/>
  <c r="W31" i="66"/>
  <c r="N133" i="66"/>
  <c r="W133" i="66" s="1"/>
  <c r="AB133" i="66" s="1"/>
  <c r="W30" i="66"/>
  <c r="B123" i="66"/>
  <c r="P123" i="66" s="1"/>
  <c r="P20" i="66"/>
  <c r="N117" i="66"/>
  <c r="W117" i="66" s="1"/>
  <c r="W14" i="66"/>
  <c r="N121" i="66"/>
  <c r="W18" i="66"/>
  <c r="N119" i="66"/>
  <c r="W119" i="66" s="1"/>
  <c r="W16" i="66"/>
  <c r="N122" i="66"/>
  <c r="W122" i="66" s="1"/>
  <c r="AB122" i="66" s="1"/>
  <c r="W19" i="66"/>
  <c r="N120" i="66"/>
  <c r="W17" i="66"/>
  <c r="N118" i="66"/>
  <c r="W118" i="66" s="1"/>
  <c r="W15" i="66"/>
  <c r="X20" i="66"/>
  <c r="P28" i="65"/>
  <c r="T28" i="65" s="1"/>
  <c r="B127" i="66"/>
  <c r="P127" i="66" s="1"/>
  <c r="S127" i="66" s="1"/>
  <c r="S128" i="66" s="1"/>
  <c r="S141" i="66" s="1"/>
  <c r="P13" i="65"/>
  <c r="P11" i="65"/>
  <c r="T11" i="65" s="1"/>
  <c r="P19" i="65"/>
  <c r="P27" i="65"/>
  <c r="P15" i="65"/>
  <c r="R18" i="61"/>
  <c r="E21" i="60"/>
  <c r="E32" i="60" s="1"/>
  <c r="H28" i="57"/>
  <c r="H30" i="57" s="1"/>
  <c r="N333" i="1"/>
  <c r="H22" i="57"/>
  <c r="O9" i="6"/>
  <c r="O16" i="6"/>
  <c r="I10" i="6"/>
  <c r="L109" i="1"/>
  <c r="L110" i="1" s="1"/>
  <c r="L265" i="1"/>
  <c r="B109" i="1"/>
  <c r="B110" i="1" s="1"/>
  <c r="B29" i="6"/>
  <c r="V29" i="6" s="1"/>
  <c r="X29" i="6" s="1"/>
  <c r="B29" i="60"/>
  <c r="V29" i="60" s="1"/>
  <c r="X29" i="60" s="1"/>
  <c r="B265" i="1"/>
  <c r="N60" i="1"/>
  <c r="N265" i="1" s="1"/>
  <c r="G32" i="65" s="1"/>
  <c r="H12" i="57"/>
  <c r="H28" i="61"/>
  <c r="H30" i="61" s="1"/>
  <c r="C8" i="65"/>
  <c r="J109" i="1"/>
  <c r="J110" i="1" s="1"/>
  <c r="J265" i="1"/>
  <c r="C28" i="65"/>
  <c r="F109" i="1"/>
  <c r="F110" i="1" s="1"/>
  <c r="F265" i="1"/>
  <c r="N331" i="1"/>
  <c r="H19" i="57"/>
  <c r="H19" i="61"/>
  <c r="K109" i="1"/>
  <c r="K110" i="1" s="1"/>
  <c r="K265" i="1"/>
  <c r="E109" i="1"/>
  <c r="E110" i="1" s="1"/>
  <c r="E265" i="1"/>
  <c r="C109" i="1"/>
  <c r="C110" i="1" s="1"/>
  <c r="C265" i="1"/>
  <c r="C29" i="65"/>
  <c r="D109" i="1"/>
  <c r="D110" i="1" s="1"/>
  <c r="D265" i="1"/>
  <c r="I109" i="1"/>
  <c r="I110" i="1" s="1"/>
  <c r="I265" i="1"/>
  <c r="H109" i="1"/>
  <c r="H110" i="1" s="1"/>
  <c r="H265" i="1"/>
  <c r="G109" i="1"/>
  <c r="G110" i="1" s="1"/>
  <c r="G265" i="1"/>
  <c r="C13" i="61"/>
  <c r="C7" i="65"/>
  <c r="M109" i="1"/>
  <c r="M110" i="1" s="1"/>
  <c r="M265" i="1"/>
  <c r="B243" i="1"/>
  <c r="B7" i="6"/>
  <c r="I17" i="57"/>
  <c r="T17" i="57" s="1"/>
  <c r="B24" i="6"/>
  <c r="B259" i="1"/>
  <c r="B23" i="6"/>
  <c r="I12" i="61"/>
  <c r="T12" i="61" s="1"/>
  <c r="I34" i="57"/>
  <c r="T34" i="57" s="1"/>
  <c r="I12" i="6"/>
  <c r="C17" i="65"/>
  <c r="C14" i="65"/>
  <c r="N108" i="1"/>
  <c r="C10" i="65"/>
  <c r="B180" i="1"/>
  <c r="B6" i="6"/>
  <c r="C33" i="65"/>
  <c r="I10" i="60"/>
  <c r="C9" i="65"/>
  <c r="C25" i="65"/>
  <c r="B11" i="6"/>
  <c r="B244" i="1"/>
  <c r="B8" i="6"/>
  <c r="B10" i="6"/>
  <c r="I32" i="61"/>
  <c r="T32" i="61" s="1"/>
  <c r="B13" i="6"/>
  <c r="B258" i="1"/>
  <c r="B22" i="6"/>
  <c r="C24" i="65"/>
  <c r="C32" i="65"/>
  <c r="C21" i="53"/>
  <c r="H14" i="57"/>
  <c r="C29" i="61"/>
  <c r="B12" i="6"/>
  <c r="B25" i="60"/>
  <c r="V25" i="60" s="1"/>
  <c r="B256" i="1"/>
  <c r="B20" i="6"/>
  <c r="B15" i="6"/>
  <c r="I15" i="6"/>
  <c r="I14" i="6"/>
  <c r="B14" i="6"/>
  <c r="B18" i="6"/>
  <c r="B18" i="60"/>
  <c r="I28" i="6"/>
  <c r="I30" i="6" s="1"/>
  <c r="B28" i="6"/>
  <c r="C33" i="61"/>
  <c r="C33" i="53"/>
  <c r="B34" i="61"/>
  <c r="C34" i="61" s="1"/>
  <c r="I19" i="57"/>
  <c r="T19" i="57" s="1"/>
  <c r="C19" i="53"/>
  <c r="M17" i="6"/>
  <c r="M19" i="6" s="1"/>
  <c r="M21" i="6" s="1"/>
  <c r="M32" i="6" s="1"/>
  <c r="O32" i="6" s="1"/>
  <c r="Q20" i="57"/>
  <c r="F18" i="53"/>
  <c r="I27" i="65"/>
  <c r="C27" i="65"/>
  <c r="C15" i="61"/>
  <c r="I31" i="65"/>
  <c r="C31" i="65"/>
  <c r="G29" i="61"/>
  <c r="G28" i="65"/>
  <c r="B10" i="61"/>
  <c r="C10" i="61" s="1"/>
  <c r="C19" i="65"/>
  <c r="I19" i="65"/>
  <c r="I16" i="61"/>
  <c r="T16" i="61" s="1"/>
  <c r="B30" i="61"/>
  <c r="C30" i="61" s="1"/>
  <c r="I12" i="65"/>
  <c r="C12" i="65"/>
  <c r="C19" i="61"/>
  <c r="I13" i="65"/>
  <c r="C13" i="65"/>
  <c r="C26" i="65"/>
  <c r="I15" i="65"/>
  <c r="C15" i="65"/>
  <c r="C14" i="61"/>
  <c r="C28" i="61"/>
  <c r="C11" i="65"/>
  <c r="C16" i="65"/>
  <c r="I16" i="65"/>
  <c r="B22" i="61"/>
  <c r="B23" i="61" s="1"/>
  <c r="C23" i="61" s="1"/>
  <c r="C21" i="65"/>
  <c r="N36" i="66"/>
  <c r="O17" i="60"/>
  <c r="O19" i="60" s="1"/>
  <c r="B132" i="5"/>
  <c r="F264" i="1"/>
  <c r="E264" i="1"/>
  <c r="M264" i="1"/>
  <c r="M295" i="1" s="1"/>
  <c r="C264" i="1"/>
  <c r="C295" i="1" s="1"/>
  <c r="L264" i="1"/>
  <c r="B18" i="57"/>
  <c r="B247" i="1"/>
  <c r="C27" i="61"/>
  <c r="I264" i="1"/>
  <c r="I295" i="1" s="1"/>
  <c r="E260" i="1"/>
  <c r="E57" i="5" s="1"/>
  <c r="E171" i="5" s="1"/>
  <c r="E29" i="66" s="1"/>
  <c r="E132" i="66" s="1"/>
  <c r="K260" i="1"/>
  <c r="K57" i="5" s="1"/>
  <c r="K171" i="5" s="1"/>
  <c r="K29" i="66" s="1"/>
  <c r="K132" i="66" s="1"/>
  <c r="C246" i="1"/>
  <c r="D264" i="1"/>
  <c r="B254" i="1"/>
  <c r="B251" i="1"/>
  <c r="B250" i="1"/>
  <c r="B264" i="1"/>
  <c r="B249" i="1"/>
  <c r="B248" i="1"/>
  <c r="K264" i="1"/>
  <c r="K295" i="1" s="1"/>
  <c r="J264" i="1"/>
  <c r="H264" i="1"/>
  <c r="B246" i="1"/>
  <c r="B260" i="1"/>
  <c r="L260" i="1"/>
  <c r="L57" i="5" s="1"/>
  <c r="L171" i="5" s="1"/>
  <c r="L29" i="66" s="1"/>
  <c r="L132" i="66" s="1"/>
  <c r="G264" i="1"/>
  <c r="G295" i="1" s="1"/>
  <c r="B17" i="61"/>
  <c r="C17" i="61" s="1"/>
  <c r="C11" i="61"/>
  <c r="G28" i="57"/>
  <c r="O224" i="1"/>
  <c r="N163" i="5"/>
  <c r="N20" i="66" s="1"/>
  <c r="D21" i="60"/>
  <c r="D32" i="60" s="1"/>
  <c r="N167" i="5"/>
  <c r="N24" i="66" s="1"/>
  <c r="I22" i="57"/>
  <c r="N177" i="5"/>
  <c r="B18" i="5"/>
  <c r="N226" i="1"/>
  <c r="V25" i="6"/>
  <c r="W25" i="6"/>
  <c r="W27" i="6" s="1"/>
  <c r="R36" i="61"/>
  <c r="R20" i="61"/>
  <c r="O21" i="60"/>
  <c r="M32" i="60"/>
  <c r="O32" i="60" s="1"/>
  <c r="H21" i="60"/>
  <c r="H32" i="60" s="1"/>
  <c r="M95" i="1"/>
  <c r="L100" i="1"/>
  <c r="K93" i="1"/>
  <c r="J94" i="1"/>
  <c r="I94" i="1"/>
  <c r="H75" i="1"/>
  <c r="H103" i="1" s="1"/>
  <c r="F76" i="1"/>
  <c r="F104" i="1" s="1"/>
  <c r="F57" i="5"/>
  <c r="F171" i="5" s="1"/>
  <c r="F29" i="66" s="1"/>
  <c r="F132" i="66" s="1"/>
  <c r="D71" i="1"/>
  <c r="D91" i="1"/>
  <c r="M70" i="1"/>
  <c r="M180" i="1" s="1"/>
  <c r="M153" i="5" s="1"/>
  <c r="M10" i="66" s="1"/>
  <c r="M113" i="66" s="1"/>
  <c r="M93" i="1"/>
  <c r="L93" i="1"/>
  <c r="K92" i="1"/>
  <c r="J93" i="1"/>
  <c r="I93" i="1"/>
  <c r="C74" i="1"/>
  <c r="C196" i="1" s="1"/>
  <c r="J90" i="1"/>
  <c r="E75" i="1"/>
  <c r="E103" i="1" s="1"/>
  <c r="G72" i="1"/>
  <c r="E93" i="1"/>
  <c r="G98" i="1"/>
  <c r="C72" i="1"/>
  <c r="C92" i="1"/>
  <c r="N261" i="1"/>
  <c r="B292" i="1"/>
  <c r="M72" i="1"/>
  <c r="K91" i="1"/>
  <c r="J92" i="1"/>
  <c r="I92" i="1"/>
  <c r="D95" i="1"/>
  <c r="G75" i="1"/>
  <c r="G103" i="1" s="1"/>
  <c r="E100" i="1"/>
  <c r="G76" i="1"/>
  <c r="G104" i="1" s="1"/>
  <c r="G57" i="5"/>
  <c r="G171" i="5" s="1"/>
  <c r="G29" i="66" s="1"/>
  <c r="G132" i="66" s="1"/>
  <c r="G74" i="1"/>
  <c r="G102" i="1" s="1"/>
  <c r="K70" i="1"/>
  <c r="D70" i="1"/>
  <c r="J91" i="1"/>
  <c r="I72" i="1"/>
  <c r="G100" i="1"/>
  <c r="L91" i="1"/>
  <c r="E94" i="1"/>
  <c r="D90" i="1"/>
  <c r="G92" i="1"/>
  <c r="D93" i="1"/>
  <c r="D74" i="1"/>
  <c r="D102" i="1" s="1"/>
  <c r="L95" i="1"/>
  <c r="F94" i="1"/>
  <c r="J72" i="1"/>
  <c r="I71" i="1"/>
  <c r="G95" i="1"/>
  <c r="G90" i="1"/>
  <c r="I91" i="1"/>
  <c r="F72" i="1"/>
  <c r="F182" i="1" s="1"/>
  <c r="F74" i="1"/>
  <c r="F102" i="1" s="1"/>
  <c r="D75" i="1"/>
  <c r="D103" i="1" s="1"/>
  <c r="E95" i="1"/>
  <c r="E70" i="1"/>
  <c r="E180" i="1" s="1"/>
  <c r="G70" i="1"/>
  <c r="G180" i="1" s="1"/>
  <c r="G94" i="1"/>
  <c r="F71" i="1"/>
  <c r="F90" i="1"/>
  <c r="L90" i="1"/>
  <c r="F92" i="1"/>
  <c r="F98" i="1"/>
  <c r="D76" i="1"/>
  <c r="D104" i="1" s="1"/>
  <c r="D57" i="5"/>
  <c r="D171" i="5" s="1"/>
  <c r="D29" i="66" s="1"/>
  <c r="D132" i="66" s="1"/>
  <c r="C280" i="1"/>
  <c r="C76" i="1"/>
  <c r="C104" i="1" s="1"/>
  <c r="M100" i="1"/>
  <c r="L75" i="1"/>
  <c r="L103" i="1" s="1"/>
  <c r="F70" i="1"/>
  <c r="I76" i="1"/>
  <c r="I104" i="1" s="1"/>
  <c r="I57" i="5"/>
  <c r="I171" i="5" s="1"/>
  <c r="I29" i="66" s="1"/>
  <c r="I132" i="66" s="1"/>
  <c r="G93" i="1"/>
  <c r="G91" i="1"/>
  <c r="E71" i="1"/>
  <c r="F91" i="1"/>
  <c r="E72" i="1"/>
  <c r="E74" i="1"/>
  <c r="E102" i="1" s="1"/>
  <c r="E98" i="1"/>
  <c r="C75" i="1"/>
  <c r="C103" i="1" s="1"/>
  <c r="M94" i="1"/>
  <c r="L74" i="1"/>
  <c r="L102" i="1" s="1"/>
  <c r="K75" i="1"/>
  <c r="K103" i="1" s="1"/>
  <c r="J76" i="1"/>
  <c r="J104" i="1" s="1"/>
  <c r="J57" i="5"/>
  <c r="H100" i="1"/>
  <c r="F95" i="1"/>
  <c r="D100" i="1"/>
  <c r="M75" i="1"/>
  <c r="M103" i="1" s="1"/>
  <c r="E92" i="1"/>
  <c r="L71" i="1"/>
  <c r="M92" i="1"/>
  <c r="K100" i="1"/>
  <c r="K74" i="1"/>
  <c r="K102" i="1" s="1"/>
  <c r="H95" i="1"/>
  <c r="I75" i="1"/>
  <c r="I103" i="1" s="1"/>
  <c r="F100" i="1"/>
  <c r="D98" i="1"/>
  <c r="M98" i="1"/>
  <c r="D92" i="1"/>
  <c r="C285" i="1"/>
  <c r="C51" i="5" s="1"/>
  <c r="M71" i="1"/>
  <c r="K98" i="1"/>
  <c r="J100" i="1"/>
  <c r="I100" i="1"/>
  <c r="H94" i="1"/>
  <c r="M91" i="1"/>
  <c r="D94" i="1"/>
  <c r="H76" i="1"/>
  <c r="H104" i="1" s="1"/>
  <c r="H57" i="5"/>
  <c r="H171" i="5" s="1"/>
  <c r="H29" i="66" s="1"/>
  <c r="H132" i="66" s="1"/>
  <c r="L98" i="1"/>
  <c r="I90" i="1"/>
  <c r="L94" i="1"/>
  <c r="K95" i="1"/>
  <c r="J98" i="1"/>
  <c r="I98" i="1"/>
  <c r="H93" i="1"/>
  <c r="H90" i="1"/>
  <c r="E91" i="1"/>
  <c r="H91" i="1"/>
  <c r="H98" i="1"/>
  <c r="C91" i="1"/>
  <c r="C287" i="1"/>
  <c r="M76" i="1"/>
  <c r="M104" i="1" s="1"/>
  <c r="M57" i="5"/>
  <c r="M171" i="5" s="1"/>
  <c r="M29" i="66" s="1"/>
  <c r="M132" i="66" s="1"/>
  <c r="K94" i="1"/>
  <c r="J95" i="1"/>
  <c r="I95" i="1"/>
  <c r="H92" i="1"/>
  <c r="G71" i="1"/>
  <c r="M90" i="1"/>
  <c r="E90" i="1"/>
  <c r="L92" i="1"/>
  <c r="F93" i="1"/>
  <c r="K90" i="1"/>
  <c r="C94" i="1"/>
  <c r="C282" i="1"/>
  <c r="B95" i="1"/>
  <c r="B93" i="1"/>
  <c r="B92" i="1"/>
  <c r="N162" i="1"/>
  <c r="B91" i="1"/>
  <c r="B74" i="1"/>
  <c r="B72" i="1"/>
  <c r="B71" i="1"/>
  <c r="B76" i="1"/>
  <c r="B75" i="1"/>
  <c r="B131" i="1"/>
  <c r="N131" i="1"/>
  <c r="B90" i="1"/>
  <c r="B226" i="1"/>
  <c r="B164" i="1"/>
  <c r="N16" i="5"/>
  <c r="B18" i="65" s="1"/>
  <c r="C18" i="65" s="1"/>
  <c r="K330" i="1"/>
  <c r="H330" i="1"/>
  <c r="N337" i="1"/>
  <c r="N323" i="1"/>
  <c r="E330" i="1"/>
  <c r="N324" i="1"/>
  <c r="M330" i="1"/>
  <c r="J330" i="1"/>
  <c r="I330" i="1"/>
  <c r="G330" i="1"/>
  <c r="N325" i="1"/>
  <c r="B330" i="1"/>
  <c r="B332" i="1" s="1"/>
  <c r="F330" i="1"/>
  <c r="D330" i="1"/>
  <c r="N326" i="1"/>
  <c r="N329" i="1"/>
  <c r="N327" i="1"/>
  <c r="C330" i="1"/>
  <c r="L330" i="1"/>
  <c r="C61" i="1"/>
  <c r="K61" i="1"/>
  <c r="J61" i="1"/>
  <c r="D72" i="1"/>
  <c r="D182" i="1" s="1"/>
  <c r="D41" i="5" s="1"/>
  <c r="D155" i="5" s="1"/>
  <c r="D12" i="66" s="1"/>
  <c r="D115" i="66" s="1"/>
  <c r="L61" i="1"/>
  <c r="I61" i="1"/>
  <c r="D58" i="1"/>
  <c r="C70" i="1"/>
  <c r="C180" i="1" s="1"/>
  <c r="C10" i="66" s="1"/>
  <c r="C113" i="66" s="1"/>
  <c r="C47" i="1"/>
  <c r="C90" i="1"/>
  <c r="D61" i="1"/>
  <c r="M61" i="1"/>
  <c r="H61" i="1"/>
  <c r="K71" i="1"/>
  <c r="K181" i="1" s="1"/>
  <c r="K154" i="5" s="1"/>
  <c r="K11" i="66" s="1"/>
  <c r="K114" i="66" s="1"/>
  <c r="L72" i="1"/>
  <c r="J70" i="1"/>
  <c r="J74" i="1"/>
  <c r="J196" i="1" s="1"/>
  <c r="E76" i="1"/>
  <c r="M74" i="1"/>
  <c r="M196" i="1" s="1"/>
  <c r="C71" i="1"/>
  <c r="G61" i="1"/>
  <c r="J71" i="1"/>
  <c r="K72" i="1"/>
  <c r="I70" i="1"/>
  <c r="I180" i="1" s="1"/>
  <c r="I153" i="5" s="1"/>
  <c r="I10" i="66" s="1"/>
  <c r="I113" i="66" s="1"/>
  <c r="I74" i="1"/>
  <c r="I196" i="1" s="1"/>
  <c r="L76" i="1"/>
  <c r="E61" i="1"/>
  <c r="F75" i="1"/>
  <c r="F197" i="1" s="1"/>
  <c r="L70" i="1"/>
  <c r="L180" i="1" s="1"/>
  <c r="L153" i="5" s="1"/>
  <c r="L10" i="66" s="1"/>
  <c r="L113" i="66" s="1"/>
  <c r="F61" i="1"/>
  <c r="H71" i="1"/>
  <c r="H72" i="1"/>
  <c r="H70" i="1"/>
  <c r="H180" i="1" s="1"/>
  <c r="H74" i="1"/>
  <c r="H196" i="1" s="1"/>
  <c r="J75" i="1"/>
  <c r="J103" i="1" s="1"/>
  <c r="K76" i="1"/>
  <c r="E40" i="1"/>
  <c r="C40" i="1"/>
  <c r="J40" i="1"/>
  <c r="K47" i="1"/>
  <c r="L40" i="1"/>
  <c r="I47" i="1"/>
  <c r="G40" i="1"/>
  <c r="F58" i="1"/>
  <c r="E58" i="1"/>
  <c r="K40" i="1"/>
  <c r="G47" i="1"/>
  <c r="I40" i="1"/>
  <c r="F47" i="1"/>
  <c r="L47" i="1"/>
  <c r="F40" i="1"/>
  <c r="B58" i="1"/>
  <c r="L58" i="1"/>
  <c r="K58" i="1"/>
  <c r="N41" i="1"/>
  <c r="B47" i="1"/>
  <c r="M58" i="1"/>
  <c r="H47" i="1"/>
  <c r="J58" i="1"/>
  <c r="I58" i="1"/>
  <c r="M47" i="1"/>
  <c r="E47" i="1"/>
  <c r="H58" i="1"/>
  <c r="B61" i="1"/>
  <c r="N59" i="1"/>
  <c r="C58" i="1"/>
  <c r="J47" i="1"/>
  <c r="B40" i="1"/>
  <c r="N37" i="1"/>
  <c r="H40" i="1"/>
  <c r="G58" i="1"/>
  <c r="M40" i="1"/>
  <c r="D40" i="1"/>
  <c r="D47" i="1"/>
  <c r="N38" i="1"/>
  <c r="N39" i="1"/>
  <c r="N54" i="1"/>
  <c r="N49" i="1"/>
  <c r="N53" i="1"/>
  <c r="O16" i="1"/>
  <c r="N55" i="1"/>
  <c r="N51" i="1"/>
  <c r="N46" i="1"/>
  <c r="N45" i="1"/>
  <c r="N44" i="1"/>
  <c r="N43" i="1"/>
  <c r="N42" i="1"/>
  <c r="B16" i="1"/>
  <c r="B18" i="1" s="1"/>
  <c r="B20" i="1" s="1"/>
  <c r="B31" i="1" s="1"/>
  <c r="B32" i="1" s="1"/>
  <c r="B10" i="60" l="1"/>
  <c r="W6" i="66"/>
  <c r="N109" i="66"/>
  <c r="W109" i="66" s="1"/>
  <c r="X34" i="66"/>
  <c r="N139" i="66"/>
  <c r="W139" i="66" s="1"/>
  <c r="W36" i="66"/>
  <c r="N127" i="66"/>
  <c r="W127" i="66" s="1"/>
  <c r="W24" i="66"/>
  <c r="N123" i="66"/>
  <c r="W123" i="66" s="1"/>
  <c r="AB123" i="66" s="1"/>
  <c r="W20" i="66"/>
  <c r="T13" i="65"/>
  <c r="T27" i="65"/>
  <c r="M33" i="65"/>
  <c r="P32" i="65"/>
  <c r="T19" i="65"/>
  <c r="T15" i="65"/>
  <c r="I33" i="65"/>
  <c r="T31" i="65"/>
  <c r="P16" i="65"/>
  <c r="T16" i="65" s="1"/>
  <c r="P12" i="65"/>
  <c r="T12" i="65" s="1"/>
  <c r="T22" i="57"/>
  <c r="Q23" i="57"/>
  <c r="L266" i="1"/>
  <c r="B20" i="60"/>
  <c r="B334" i="1"/>
  <c r="I11" i="6"/>
  <c r="H15" i="57"/>
  <c r="B8" i="60"/>
  <c r="I11" i="60"/>
  <c r="F310" i="1"/>
  <c r="F76" i="5" s="1"/>
  <c r="F44" i="66" s="1"/>
  <c r="F147" i="66" s="1"/>
  <c r="J310" i="1"/>
  <c r="J76" i="5" s="1"/>
  <c r="J44" i="66" s="1"/>
  <c r="J147" i="66" s="1"/>
  <c r="I332" i="1"/>
  <c r="I334" i="1" s="1"/>
  <c r="G332" i="1"/>
  <c r="G334" i="1" s="1"/>
  <c r="K332" i="1"/>
  <c r="K334" i="1" s="1"/>
  <c r="M332" i="1"/>
  <c r="M334" i="1" s="1"/>
  <c r="M339" i="1" s="1"/>
  <c r="M310" i="1" s="1"/>
  <c r="M76" i="5" s="1"/>
  <c r="F332" i="1"/>
  <c r="F334" i="1" s="1"/>
  <c r="F339" i="1" s="1"/>
  <c r="J332" i="1"/>
  <c r="J334" i="1" s="1"/>
  <c r="J339" i="1" s="1"/>
  <c r="B7" i="60"/>
  <c r="H332" i="1"/>
  <c r="H334" i="1" s="1"/>
  <c r="I28" i="60"/>
  <c r="I30" i="60" s="1"/>
  <c r="I22" i="61"/>
  <c r="T22" i="61" s="1"/>
  <c r="C332" i="1"/>
  <c r="C334" i="1" s="1"/>
  <c r="B12" i="60"/>
  <c r="W12" i="60" s="1"/>
  <c r="H34" i="57"/>
  <c r="H11" i="57"/>
  <c r="L332" i="1"/>
  <c r="L334" i="1" s="1"/>
  <c r="L339" i="1" s="1"/>
  <c r="L310" i="1" s="1"/>
  <c r="L76" i="5" s="1"/>
  <c r="L44" i="66" s="1"/>
  <c r="L147" i="66" s="1"/>
  <c r="E332" i="1"/>
  <c r="E334" i="1" s="1"/>
  <c r="D332" i="1"/>
  <c r="D334" i="1" s="1"/>
  <c r="C296" i="1"/>
  <c r="C297" i="1" s="1"/>
  <c r="W25" i="60"/>
  <c r="W27" i="60" s="1"/>
  <c r="M297" i="1"/>
  <c r="K296" i="1"/>
  <c r="K297" i="1" s="1"/>
  <c r="N109" i="1"/>
  <c r="N296" i="1" s="1"/>
  <c r="B296" i="1"/>
  <c r="L296" i="1"/>
  <c r="I17" i="61"/>
  <c r="T17" i="61" s="1"/>
  <c r="I296" i="1"/>
  <c r="I297" i="1" s="1"/>
  <c r="F296" i="1"/>
  <c r="G296" i="1"/>
  <c r="G297" i="1" s="1"/>
  <c r="H296" i="1"/>
  <c r="F266" i="1"/>
  <c r="J296" i="1"/>
  <c r="D296" i="1"/>
  <c r="E296" i="1"/>
  <c r="B24" i="60"/>
  <c r="B6" i="60"/>
  <c r="C22" i="61"/>
  <c r="J266" i="1"/>
  <c r="M296" i="1"/>
  <c r="B196" i="1"/>
  <c r="B55" i="5" s="1"/>
  <c r="C22" i="6"/>
  <c r="B23" i="60"/>
  <c r="B197" i="1"/>
  <c r="C23" i="6"/>
  <c r="H13" i="57"/>
  <c r="I12" i="60"/>
  <c r="I34" i="61"/>
  <c r="T34" i="61" s="1"/>
  <c r="B57" i="5"/>
  <c r="B11" i="60"/>
  <c r="W11" i="60" s="1"/>
  <c r="G11" i="57"/>
  <c r="I14" i="60"/>
  <c r="I13" i="6"/>
  <c r="G12" i="57"/>
  <c r="B22" i="60"/>
  <c r="W18" i="60"/>
  <c r="F6" i="6"/>
  <c r="F6" i="60"/>
  <c r="I13" i="60"/>
  <c r="G22" i="57"/>
  <c r="B13" i="60"/>
  <c r="B181" i="1"/>
  <c r="C7" i="6"/>
  <c r="C6" i="6"/>
  <c r="B14" i="60"/>
  <c r="V14" i="60" s="1"/>
  <c r="B15" i="60"/>
  <c r="W15" i="60" s="1"/>
  <c r="B182" i="1"/>
  <c r="C8" i="6"/>
  <c r="O17" i="6"/>
  <c r="O19" i="6" s="1"/>
  <c r="C25" i="6"/>
  <c r="B287" i="1"/>
  <c r="H16" i="57"/>
  <c r="I15" i="60"/>
  <c r="G15" i="57"/>
  <c r="B295" i="1"/>
  <c r="B20" i="57"/>
  <c r="C18" i="53"/>
  <c r="F20" i="53"/>
  <c r="H12" i="61"/>
  <c r="H12" i="65"/>
  <c r="E266" i="1"/>
  <c r="C266" i="1"/>
  <c r="H63" i="5"/>
  <c r="H266" i="1"/>
  <c r="D266" i="1"/>
  <c r="H15" i="61"/>
  <c r="H15" i="65"/>
  <c r="H16" i="61"/>
  <c r="H16" i="65"/>
  <c r="H11" i="61"/>
  <c r="H11" i="65"/>
  <c r="K266" i="1"/>
  <c r="D295" i="1"/>
  <c r="D297" i="1" s="1"/>
  <c r="H14" i="61"/>
  <c r="H14" i="65"/>
  <c r="H34" i="61"/>
  <c r="H31" i="65"/>
  <c r="H33" i="65" s="1"/>
  <c r="F295" i="1"/>
  <c r="L295" i="1"/>
  <c r="H295" i="1"/>
  <c r="B285" i="1"/>
  <c r="B51" i="5" s="1"/>
  <c r="G19" i="57" s="1"/>
  <c r="I17" i="65"/>
  <c r="G266" i="1"/>
  <c r="G32" i="61"/>
  <c r="B266" i="1"/>
  <c r="M63" i="5"/>
  <c r="M266" i="1"/>
  <c r="E295" i="1"/>
  <c r="I266" i="1"/>
  <c r="J295" i="1"/>
  <c r="N264" i="1"/>
  <c r="N266" i="1" s="1"/>
  <c r="H13" i="61"/>
  <c r="H13" i="65"/>
  <c r="O21" i="6"/>
  <c r="B143" i="5"/>
  <c r="G16" i="57"/>
  <c r="B252" i="1"/>
  <c r="D63" i="5"/>
  <c r="B171" i="5"/>
  <c r="E196" i="1"/>
  <c r="E55" i="5" s="1"/>
  <c r="E169" i="5" s="1"/>
  <c r="E27" i="66" s="1"/>
  <c r="E130" i="66" s="1"/>
  <c r="C277" i="1"/>
  <c r="B277" i="1"/>
  <c r="B18" i="61"/>
  <c r="B20" i="61" s="1"/>
  <c r="B36" i="61" s="1"/>
  <c r="M197" i="1"/>
  <c r="M56" i="5" s="1"/>
  <c r="M170" i="5" s="1"/>
  <c r="M28" i="66" s="1"/>
  <c r="M131" i="66" s="1"/>
  <c r="C197" i="1"/>
  <c r="C56" i="5" s="1"/>
  <c r="C170" i="5" s="1"/>
  <c r="C28" i="66" s="1"/>
  <c r="C131" i="66" s="1"/>
  <c r="E197" i="1"/>
  <c r="E56" i="5" s="1"/>
  <c r="E170" i="5" s="1"/>
  <c r="E28" i="66" s="1"/>
  <c r="E131" i="66" s="1"/>
  <c r="H197" i="1"/>
  <c r="H56" i="5" s="1"/>
  <c r="H170" i="5" s="1"/>
  <c r="H28" i="66" s="1"/>
  <c r="H131" i="66" s="1"/>
  <c r="L196" i="1"/>
  <c r="L289" i="1" s="1"/>
  <c r="L197" i="1"/>
  <c r="L56" i="5" s="1"/>
  <c r="L170" i="5" s="1"/>
  <c r="L28" i="66" s="1"/>
  <c r="L131" i="66" s="1"/>
  <c r="I197" i="1"/>
  <c r="I290" i="1" s="1"/>
  <c r="J197" i="1"/>
  <c r="J290" i="1" s="1"/>
  <c r="D197" i="1"/>
  <c r="D56" i="5" s="1"/>
  <c r="D170" i="5" s="1"/>
  <c r="D28" i="66" s="1"/>
  <c r="D131" i="66" s="1"/>
  <c r="K197" i="1"/>
  <c r="K56" i="5" s="1"/>
  <c r="K170" i="5" s="1"/>
  <c r="K28" i="66" s="1"/>
  <c r="K131" i="66" s="1"/>
  <c r="G197" i="1"/>
  <c r="G290" i="1" s="1"/>
  <c r="B10" i="66"/>
  <c r="D196" i="1"/>
  <c r="D55" i="5" s="1"/>
  <c r="K196" i="1"/>
  <c r="K289" i="1" s="1"/>
  <c r="G196" i="1"/>
  <c r="F196" i="1"/>
  <c r="F55" i="5" s="1"/>
  <c r="F169" i="5" s="1"/>
  <c r="F27" i="66" s="1"/>
  <c r="F130" i="66" s="1"/>
  <c r="E87" i="1"/>
  <c r="E181" i="1"/>
  <c r="J87" i="1"/>
  <c r="J181" i="1"/>
  <c r="J154" i="5" s="1"/>
  <c r="J11" i="66" s="1"/>
  <c r="J114" i="66" s="1"/>
  <c r="G87" i="1"/>
  <c r="G181" i="1"/>
  <c r="G154" i="5" s="1"/>
  <c r="G11" i="66" s="1"/>
  <c r="G114" i="66" s="1"/>
  <c r="J88" i="1"/>
  <c r="J182" i="1"/>
  <c r="M88" i="1"/>
  <c r="M182" i="1"/>
  <c r="M41" i="5" s="1"/>
  <c r="M155" i="5" s="1"/>
  <c r="M12" i="66" s="1"/>
  <c r="M115" i="66" s="1"/>
  <c r="E88" i="1"/>
  <c r="E182" i="1"/>
  <c r="E41" i="5" s="1"/>
  <c r="E155" i="5" s="1"/>
  <c r="E12" i="66" s="1"/>
  <c r="F86" i="1"/>
  <c r="F180" i="1"/>
  <c r="F153" i="5" s="1"/>
  <c r="F10" i="66" s="1"/>
  <c r="F113" i="66" s="1"/>
  <c r="G153" i="5"/>
  <c r="G10" i="66" s="1"/>
  <c r="G113" i="66" s="1"/>
  <c r="H87" i="1"/>
  <c r="H181" i="1"/>
  <c r="H154" i="5" s="1"/>
  <c r="H11" i="66" s="1"/>
  <c r="H114" i="66" s="1"/>
  <c r="I87" i="1"/>
  <c r="I181" i="1"/>
  <c r="I88" i="1"/>
  <c r="I182" i="1"/>
  <c r="D86" i="1"/>
  <c r="D180" i="1"/>
  <c r="K88" i="1"/>
  <c r="K182" i="1"/>
  <c r="K41" i="5" s="1"/>
  <c r="K155" i="5" s="1"/>
  <c r="K12" i="66" s="1"/>
  <c r="K115" i="66" s="1"/>
  <c r="J86" i="1"/>
  <c r="J180" i="1"/>
  <c r="G88" i="1"/>
  <c r="G182" i="1"/>
  <c r="G41" i="5" s="1"/>
  <c r="D87" i="1"/>
  <c r="D181" i="1"/>
  <c r="D154" i="5" s="1"/>
  <c r="D11" i="66" s="1"/>
  <c r="D114" i="66" s="1"/>
  <c r="M87" i="1"/>
  <c r="M181" i="1"/>
  <c r="L87" i="1"/>
  <c r="L181" i="1"/>
  <c r="C88" i="1"/>
  <c r="C182" i="1"/>
  <c r="C41" i="5" s="1"/>
  <c r="C155" i="5" s="1"/>
  <c r="C12" i="66" s="1"/>
  <c r="C115" i="66" s="1"/>
  <c r="H88" i="1"/>
  <c r="H182" i="1"/>
  <c r="H41" i="5" s="1"/>
  <c r="H155" i="5" s="1"/>
  <c r="H12" i="66" s="1"/>
  <c r="H115" i="66" s="1"/>
  <c r="F87" i="1"/>
  <c r="F181" i="1"/>
  <c r="C87" i="1"/>
  <c r="C181" i="1"/>
  <c r="C154" i="5" s="1"/>
  <c r="C11" i="66" s="1"/>
  <c r="C114" i="66" s="1"/>
  <c r="L88" i="1"/>
  <c r="L182" i="1"/>
  <c r="L41" i="5" s="1"/>
  <c r="L155" i="5" s="1"/>
  <c r="L12" i="66" s="1"/>
  <c r="L115" i="66" s="1"/>
  <c r="K86" i="1"/>
  <c r="K180" i="1"/>
  <c r="C86" i="1"/>
  <c r="C273" i="1" s="1"/>
  <c r="N70" i="1"/>
  <c r="N71" i="1"/>
  <c r="N72" i="1"/>
  <c r="B102" i="1"/>
  <c r="N74" i="1"/>
  <c r="N75" i="1"/>
  <c r="N237" i="1"/>
  <c r="O226" i="1"/>
  <c r="B20" i="5"/>
  <c r="B31" i="5" s="1"/>
  <c r="N18" i="5"/>
  <c r="B20" i="65" s="1"/>
  <c r="V27" i="60"/>
  <c r="V27" i="6"/>
  <c r="X25" i="6"/>
  <c r="X27" i="6" s="1"/>
  <c r="I73" i="1"/>
  <c r="V20" i="6"/>
  <c r="W20" i="6"/>
  <c r="E96" i="1"/>
  <c r="J171" i="5"/>
  <c r="J29" i="66" s="1"/>
  <c r="M73" i="1"/>
  <c r="V20" i="60"/>
  <c r="W20" i="60"/>
  <c r="W28" i="6"/>
  <c r="W30" i="6" s="1"/>
  <c r="V28" i="6"/>
  <c r="W14" i="6"/>
  <c r="V14" i="6"/>
  <c r="W10" i="6"/>
  <c r="V10" i="6"/>
  <c r="W13" i="6"/>
  <c r="V13" i="6"/>
  <c r="W11" i="6"/>
  <c r="V11" i="6"/>
  <c r="K79" i="1"/>
  <c r="W18" i="6"/>
  <c r="V18" i="6"/>
  <c r="V15" i="6"/>
  <c r="W15" i="6"/>
  <c r="W12" i="6"/>
  <c r="V12" i="6"/>
  <c r="G73" i="1"/>
  <c r="F73" i="1"/>
  <c r="D96" i="1"/>
  <c r="F96" i="1"/>
  <c r="E73" i="1"/>
  <c r="E49" i="5"/>
  <c r="G49" i="5"/>
  <c r="M291" i="1"/>
  <c r="J291" i="1"/>
  <c r="D291" i="1"/>
  <c r="I291" i="1"/>
  <c r="H291" i="1"/>
  <c r="B278" i="1"/>
  <c r="N256" i="1"/>
  <c r="N53" i="5" s="1"/>
  <c r="N260" i="1"/>
  <c r="N57" i="5" s="1"/>
  <c r="C57" i="5"/>
  <c r="C171" i="5" s="1"/>
  <c r="C29" i="66" s="1"/>
  <c r="C132" i="66" s="1"/>
  <c r="J102" i="1"/>
  <c r="F291" i="1"/>
  <c r="M49" i="5"/>
  <c r="M279" i="1"/>
  <c r="L49" i="5"/>
  <c r="J49" i="5"/>
  <c r="N250" i="1"/>
  <c r="G15" i="65" s="1"/>
  <c r="H49" i="5"/>
  <c r="N251" i="1"/>
  <c r="G16" i="65" s="1"/>
  <c r="M278" i="1"/>
  <c r="C291" i="1"/>
  <c r="F49" i="5"/>
  <c r="M280" i="1"/>
  <c r="B282" i="1"/>
  <c r="I49" i="5"/>
  <c r="N258" i="1"/>
  <c r="N292" i="1"/>
  <c r="N58" i="5"/>
  <c r="N254" i="1"/>
  <c r="D287" i="1"/>
  <c r="M281" i="1"/>
  <c r="F278" i="1"/>
  <c r="D73" i="1"/>
  <c r="B281" i="1"/>
  <c r="K49" i="5"/>
  <c r="N259" i="1"/>
  <c r="N243" i="1"/>
  <c r="N248" i="1"/>
  <c r="N247" i="1"/>
  <c r="G12" i="65" s="1"/>
  <c r="N249" i="1"/>
  <c r="G14" i="65" s="1"/>
  <c r="C102" i="1"/>
  <c r="B279" i="1"/>
  <c r="G291" i="1"/>
  <c r="M102" i="1"/>
  <c r="B280" i="1"/>
  <c r="G279" i="1"/>
  <c r="J278" i="1"/>
  <c r="D79" i="1"/>
  <c r="N244" i="1"/>
  <c r="F41" i="5"/>
  <c r="N246" i="1"/>
  <c r="H277" i="1"/>
  <c r="D277" i="1"/>
  <c r="I281" i="1"/>
  <c r="L79" i="1"/>
  <c r="F279" i="1"/>
  <c r="F281" i="1"/>
  <c r="K278" i="1"/>
  <c r="G285" i="1"/>
  <c r="G51" i="5" s="1"/>
  <c r="N95" i="1"/>
  <c r="G86" i="1"/>
  <c r="G273" i="1" s="1"/>
  <c r="I277" i="1"/>
  <c r="H281" i="1"/>
  <c r="F287" i="1"/>
  <c r="F282" i="1"/>
  <c r="M287" i="1"/>
  <c r="E86" i="1"/>
  <c r="E273" i="1" s="1"/>
  <c r="H279" i="1"/>
  <c r="C278" i="1"/>
  <c r="H280" i="1"/>
  <c r="L277" i="1"/>
  <c r="I278" i="1"/>
  <c r="E287" i="1"/>
  <c r="I280" i="1"/>
  <c r="C79" i="1"/>
  <c r="L285" i="1"/>
  <c r="L51" i="5" s="1"/>
  <c r="I287" i="1"/>
  <c r="D279" i="1"/>
  <c r="H287" i="1"/>
  <c r="E285" i="1"/>
  <c r="E51" i="5" s="1"/>
  <c r="G278" i="1"/>
  <c r="L282" i="1"/>
  <c r="E281" i="1"/>
  <c r="J281" i="1"/>
  <c r="I79" i="1"/>
  <c r="J96" i="1"/>
  <c r="H96" i="1"/>
  <c r="F280" i="1"/>
  <c r="I282" i="1"/>
  <c r="H285" i="1"/>
  <c r="H51" i="5" s="1"/>
  <c r="I285" i="1"/>
  <c r="I51" i="5" s="1"/>
  <c r="E282" i="1"/>
  <c r="G277" i="1"/>
  <c r="E280" i="1"/>
  <c r="J280" i="1"/>
  <c r="M86" i="1"/>
  <c r="M273" i="1" s="1"/>
  <c r="F88" i="1"/>
  <c r="J287" i="1"/>
  <c r="H282" i="1"/>
  <c r="G280" i="1"/>
  <c r="F277" i="1"/>
  <c r="L278" i="1"/>
  <c r="D278" i="1"/>
  <c r="K280" i="1"/>
  <c r="G79" i="1"/>
  <c r="I96" i="1"/>
  <c r="B88" i="1"/>
  <c r="C281" i="1"/>
  <c r="L279" i="1"/>
  <c r="J282" i="1"/>
  <c r="J285" i="1"/>
  <c r="J51" i="5" s="1"/>
  <c r="E279" i="1"/>
  <c r="G282" i="1"/>
  <c r="D282" i="1"/>
  <c r="K279" i="1"/>
  <c r="M96" i="1"/>
  <c r="G96" i="1"/>
  <c r="K285" i="1"/>
  <c r="K51" i="5" s="1"/>
  <c r="M285" i="1"/>
  <c r="M51" i="5" s="1"/>
  <c r="G287" i="1"/>
  <c r="L287" i="1"/>
  <c r="K96" i="1"/>
  <c r="K277" i="1"/>
  <c r="E277" i="1"/>
  <c r="K281" i="1"/>
  <c r="H278" i="1"/>
  <c r="K282" i="1"/>
  <c r="F285" i="1"/>
  <c r="F51" i="5" s="1"/>
  <c r="I279" i="1"/>
  <c r="C279" i="1"/>
  <c r="L280" i="1"/>
  <c r="H79" i="1"/>
  <c r="B9" i="6"/>
  <c r="B245" i="1"/>
  <c r="N242" i="1"/>
  <c r="D281" i="1"/>
  <c r="D285" i="1"/>
  <c r="D51" i="5" s="1"/>
  <c r="K287" i="1"/>
  <c r="G281" i="1"/>
  <c r="D280" i="1"/>
  <c r="N92" i="1"/>
  <c r="L96" i="1"/>
  <c r="M277" i="1"/>
  <c r="E278" i="1"/>
  <c r="L281" i="1"/>
  <c r="J279" i="1"/>
  <c r="J277" i="1"/>
  <c r="M282" i="1"/>
  <c r="N61" i="1"/>
  <c r="B28" i="60"/>
  <c r="B96" i="1"/>
  <c r="F252" i="1"/>
  <c r="B73" i="1"/>
  <c r="B87" i="1"/>
  <c r="B237" i="1"/>
  <c r="B30" i="6"/>
  <c r="N133" i="1"/>
  <c r="B103" i="1"/>
  <c r="G263" i="1"/>
  <c r="N100" i="1"/>
  <c r="B104" i="1"/>
  <c r="N93" i="1"/>
  <c r="N91" i="1"/>
  <c r="B27" i="6"/>
  <c r="B79" i="1"/>
  <c r="C245" i="1"/>
  <c r="B16" i="6"/>
  <c r="B133" i="1"/>
  <c r="N164" i="1"/>
  <c r="N98" i="1"/>
  <c r="N94" i="1"/>
  <c r="E263" i="1"/>
  <c r="B175" i="1"/>
  <c r="N330" i="1"/>
  <c r="N332" i="1" s="1"/>
  <c r="N334" i="1" s="1"/>
  <c r="C96" i="1"/>
  <c r="I86" i="1"/>
  <c r="I273" i="1" s="1"/>
  <c r="K73" i="1"/>
  <c r="N76" i="1"/>
  <c r="C48" i="1"/>
  <c r="C50" i="1" s="1"/>
  <c r="C52" i="1" s="1"/>
  <c r="C63" i="1" s="1"/>
  <c r="B48" i="1"/>
  <c r="N90" i="1"/>
  <c r="M79" i="1"/>
  <c r="H73" i="1"/>
  <c r="B86" i="1"/>
  <c r="D88" i="1"/>
  <c r="F48" i="1"/>
  <c r="F50" i="1" s="1"/>
  <c r="F52" i="1" s="1"/>
  <c r="F63" i="1" s="1"/>
  <c r="D107" i="1"/>
  <c r="L104" i="1"/>
  <c r="H86" i="1"/>
  <c r="H273" i="1" s="1"/>
  <c r="F79" i="1"/>
  <c r="L73" i="1"/>
  <c r="K87" i="1"/>
  <c r="H102" i="1"/>
  <c r="E104" i="1"/>
  <c r="L86" i="1"/>
  <c r="L273" i="1" s="1"/>
  <c r="E79" i="1"/>
  <c r="K104" i="1"/>
  <c r="G107" i="1"/>
  <c r="C73" i="1"/>
  <c r="F103" i="1"/>
  <c r="F56" i="5" s="1"/>
  <c r="F170" i="5" s="1"/>
  <c r="F28" i="66" s="1"/>
  <c r="F131" i="66" s="1"/>
  <c r="J79" i="1"/>
  <c r="J73" i="1"/>
  <c r="I102" i="1"/>
  <c r="J48" i="1"/>
  <c r="J50" i="1" s="1"/>
  <c r="J52" i="1" s="1"/>
  <c r="J63" i="1" s="1"/>
  <c r="J252" i="1" s="1"/>
  <c r="E48" i="1"/>
  <c r="E50" i="1" s="1"/>
  <c r="E52" i="1" s="1"/>
  <c r="E63" i="1" s="1"/>
  <c r="E252" i="1" s="1"/>
  <c r="L48" i="1"/>
  <c r="L50" i="1" s="1"/>
  <c r="L52" i="1" s="1"/>
  <c r="L63" i="1" s="1"/>
  <c r="L252" i="1" s="1"/>
  <c r="H48" i="1"/>
  <c r="H50" i="1" s="1"/>
  <c r="H52" i="1" s="1"/>
  <c r="H63" i="1" s="1"/>
  <c r="H252" i="1" s="1"/>
  <c r="K48" i="1"/>
  <c r="K50" i="1" s="1"/>
  <c r="K52" i="1" s="1"/>
  <c r="K63" i="1" s="1"/>
  <c r="K252" i="1" s="1"/>
  <c r="I48" i="1"/>
  <c r="I50" i="1" s="1"/>
  <c r="I52" i="1" s="1"/>
  <c r="I63" i="1" s="1"/>
  <c r="I252" i="1" s="1"/>
  <c r="G48" i="1"/>
  <c r="G50" i="1" s="1"/>
  <c r="G52" i="1" s="1"/>
  <c r="G63" i="1" s="1"/>
  <c r="G252" i="1" s="1"/>
  <c r="N40" i="1"/>
  <c r="N58" i="1"/>
  <c r="N47" i="1"/>
  <c r="D48" i="1"/>
  <c r="D50" i="1" s="1"/>
  <c r="D52" i="1" s="1"/>
  <c r="D63" i="1" s="1"/>
  <c r="D252" i="1" s="1"/>
  <c r="M48" i="1"/>
  <c r="M50" i="1" s="1"/>
  <c r="M52" i="1" s="1"/>
  <c r="M63" i="1" s="1"/>
  <c r="M252" i="1" s="1"/>
  <c r="O18" i="1"/>
  <c r="V10" i="60" l="1"/>
  <c r="W10" i="60"/>
  <c r="C8" i="60"/>
  <c r="C23" i="60"/>
  <c r="W13" i="60"/>
  <c r="V13" i="60"/>
  <c r="X13" i="60" s="1"/>
  <c r="I16" i="6"/>
  <c r="I17" i="6" s="1"/>
  <c r="I19" i="6" s="1"/>
  <c r="I21" i="6" s="1"/>
  <c r="I32" i="6" s="1"/>
  <c r="Z127" i="66"/>
  <c r="Z24" i="66"/>
  <c r="X137" i="66"/>
  <c r="X36" i="66"/>
  <c r="E115" i="66"/>
  <c r="J132" i="66"/>
  <c r="B113" i="66"/>
  <c r="P33" i="65"/>
  <c r="T33" i="65" s="1"/>
  <c r="T32" i="65"/>
  <c r="N51" i="5"/>
  <c r="G19" i="65" s="1"/>
  <c r="Q36" i="57"/>
  <c r="C20" i="53"/>
  <c r="C22" i="53" s="1"/>
  <c r="C35" i="53" s="1"/>
  <c r="B23" i="57"/>
  <c r="B36" i="57" s="1"/>
  <c r="J63" i="5"/>
  <c r="C63" i="5"/>
  <c r="B183" i="1"/>
  <c r="C9" i="6"/>
  <c r="C17" i="6" s="1"/>
  <c r="C19" i="6" s="1"/>
  <c r="C21" i="6" s="1"/>
  <c r="E339" i="1"/>
  <c r="E310" i="1" s="1"/>
  <c r="E76" i="5" s="1"/>
  <c r="K339" i="1"/>
  <c r="K310" i="1" s="1"/>
  <c r="K76" i="5" s="1"/>
  <c r="H339" i="1"/>
  <c r="H310" i="1" s="1"/>
  <c r="H76" i="5" s="1"/>
  <c r="B339" i="1"/>
  <c r="I310" i="1"/>
  <c r="I76" i="5" s="1"/>
  <c r="I182" i="5" s="1"/>
  <c r="I8" i="66" s="1"/>
  <c r="I111" i="66" s="1"/>
  <c r="I339" i="1"/>
  <c r="L63" i="5"/>
  <c r="I16" i="60"/>
  <c r="I17" i="60" s="1"/>
  <c r="I19" i="60" s="1"/>
  <c r="I21" i="60" s="1"/>
  <c r="I32" i="60" s="1"/>
  <c r="B9" i="60"/>
  <c r="D339" i="1"/>
  <c r="D310" i="1" s="1"/>
  <c r="D76" i="5" s="1"/>
  <c r="G339" i="1"/>
  <c r="G310" i="1" s="1"/>
  <c r="G76" i="5" s="1"/>
  <c r="G8" i="57"/>
  <c r="I8" i="57" s="1"/>
  <c r="G20" i="6"/>
  <c r="C339" i="1"/>
  <c r="C310" i="1" s="1"/>
  <c r="C76" i="5" s="1"/>
  <c r="J297" i="1"/>
  <c r="L297" i="1"/>
  <c r="V11" i="60"/>
  <c r="X11" i="60" s="1"/>
  <c r="G14" i="57"/>
  <c r="V15" i="60"/>
  <c r="X15" i="60" s="1"/>
  <c r="G11" i="61"/>
  <c r="E290" i="1"/>
  <c r="X25" i="60"/>
  <c r="X27" i="60" s="1"/>
  <c r="F63" i="5"/>
  <c r="V12" i="60"/>
  <c r="X12" i="60" s="1"/>
  <c r="I23" i="61"/>
  <c r="G63" i="5"/>
  <c r="E63" i="5"/>
  <c r="N180" i="1"/>
  <c r="O180" i="1" s="1"/>
  <c r="K63" i="5"/>
  <c r="E201" i="1"/>
  <c r="H297" i="1"/>
  <c r="G33" i="61"/>
  <c r="G34" i="61" s="1"/>
  <c r="G33" i="57"/>
  <c r="G15" i="61"/>
  <c r="B16" i="60"/>
  <c r="G27" i="57"/>
  <c r="I27" i="57" s="1"/>
  <c r="T27" i="57" s="1"/>
  <c r="G13" i="57"/>
  <c r="N110" i="1"/>
  <c r="H17" i="57"/>
  <c r="H18" i="57" s="1"/>
  <c r="H20" i="57" s="1"/>
  <c r="H23" i="57" s="1"/>
  <c r="H36" i="57" s="1"/>
  <c r="G12" i="61"/>
  <c r="F297" i="1"/>
  <c r="G25" i="6"/>
  <c r="J25" i="6" s="1"/>
  <c r="E297" i="1"/>
  <c r="B27" i="60"/>
  <c r="G29" i="6"/>
  <c r="B49" i="5"/>
  <c r="I63" i="5"/>
  <c r="T292" i="1"/>
  <c r="W14" i="60"/>
  <c r="X14" i="60" s="1"/>
  <c r="B289" i="1"/>
  <c r="N197" i="1"/>
  <c r="O197" i="1" s="1"/>
  <c r="F23" i="6"/>
  <c r="F23" i="60"/>
  <c r="T278" i="1"/>
  <c r="G19" i="61"/>
  <c r="C7" i="60"/>
  <c r="V18" i="60"/>
  <c r="X18" i="60" s="1"/>
  <c r="C6" i="60"/>
  <c r="G22" i="61"/>
  <c r="G23" i="61" s="1"/>
  <c r="G13" i="6"/>
  <c r="N181" i="1"/>
  <c r="N40" i="5" s="1"/>
  <c r="G8" i="65" s="1"/>
  <c r="I8" i="65" s="1"/>
  <c r="F7" i="60"/>
  <c r="F7" i="6"/>
  <c r="T279" i="1"/>
  <c r="B41" i="5"/>
  <c r="N182" i="1"/>
  <c r="O182" i="1" s="1"/>
  <c r="F8" i="60"/>
  <c r="F8" i="6"/>
  <c r="N196" i="1"/>
  <c r="N55" i="5" s="1"/>
  <c r="F22" i="60"/>
  <c r="F22" i="6"/>
  <c r="C25" i="60"/>
  <c r="B297" i="1"/>
  <c r="T295" i="1"/>
  <c r="C18" i="61"/>
  <c r="G18" i="6"/>
  <c r="G18" i="60"/>
  <c r="F22" i="53"/>
  <c r="H290" i="1"/>
  <c r="E289" i="1"/>
  <c r="B63" i="5"/>
  <c r="L55" i="5"/>
  <c r="L169" i="5" s="1"/>
  <c r="L27" i="66" s="1"/>
  <c r="L130" i="66" s="1"/>
  <c r="H17" i="65"/>
  <c r="H18" i="65" s="1"/>
  <c r="H20" i="65" s="1"/>
  <c r="H17" i="61"/>
  <c r="H18" i="61" s="1"/>
  <c r="H20" i="61" s="1"/>
  <c r="H36" i="61" s="1"/>
  <c r="G32" i="57"/>
  <c r="B253" i="1"/>
  <c r="D183" i="1"/>
  <c r="D191" i="1" s="1"/>
  <c r="D193" i="1" s="1"/>
  <c r="D195" i="1" s="1"/>
  <c r="N295" i="1"/>
  <c r="G21" i="65"/>
  <c r="F274" i="1"/>
  <c r="M182" i="5"/>
  <c r="M8" i="66" s="1"/>
  <c r="M111" i="66" s="1"/>
  <c r="M44" i="66"/>
  <c r="M147" i="66" s="1"/>
  <c r="J275" i="1"/>
  <c r="G27" i="61"/>
  <c r="I27" i="61" s="1"/>
  <c r="T27" i="61" s="1"/>
  <c r="G26" i="65"/>
  <c r="I26" i="65" s="1"/>
  <c r="G13" i="61"/>
  <c r="G13" i="65"/>
  <c r="G28" i="61"/>
  <c r="G27" i="65"/>
  <c r="C290" i="1"/>
  <c r="G11" i="65"/>
  <c r="C20" i="65"/>
  <c r="B29" i="66"/>
  <c r="P29" i="66" s="1"/>
  <c r="I274" i="1"/>
  <c r="J182" i="5"/>
  <c r="J8" i="66" s="1"/>
  <c r="J111" i="66" s="1"/>
  <c r="G56" i="5"/>
  <c r="G170" i="5" s="1"/>
  <c r="G28" i="66" s="1"/>
  <c r="G131" i="66" s="1"/>
  <c r="K55" i="5"/>
  <c r="K169" i="5" s="1"/>
  <c r="K27" i="66" s="1"/>
  <c r="K130" i="66" s="1"/>
  <c r="L201" i="1"/>
  <c r="G16" i="61"/>
  <c r="M290" i="1"/>
  <c r="L182" i="5"/>
  <c r="L8" i="66" s="1"/>
  <c r="L111" i="66" s="1"/>
  <c r="E274" i="1"/>
  <c r="G14" i="61"/>
  <c r="G201" i="1"/>
  <c r="J89" i="1"/>
  <c r="J97" i="1" s="1"/>
  <c r="J99" i="1" s="1"/>
  <c r="M183" i="1"/>
  <c r="M191" i="1" s="1"/>
  <c r="M193" i="1" s="1"/>
  <c r="M195" i="1" s="1"/>
  <c r="G25" i="61"/>
  <c r="I25" i="61" s="1"/>
  <c r="G25" i="57"/>
  <c r="I25" i="57" s="1"/>
  <c r="G7" i="61"/>
  <c r="G7" i="57"/>
  <c r="I7" i="57" s="1"/>
  <c r="D290" i="1"/>
  <c r="I275" i="1"/>
  <c r="J56" i="5"/>
  <c r="J170" i="5" s="1"/>
  <c r="J28" i="66" s="1"/>
  <c r="J131" i="66" s="1"/>
  <c r="J41" i="5"/>
  <c r="J155" i="5" s="1"/>
  <c r="J12" i="66" s="1"/>
  <c r="J115" i="66" s="1"/>
  <c r="L290" i="1"/>
  <c r="G183" i="1"/>
  <c r="G191" i="1" s="1"/>
  <c r="G193" i="1" s="1"/>
  <c r="G195" i="1" s="1"/>
  <c r="I56" i="5"/>
  <c r="I170" i="5" s="1"/>
  <c r="I28" i="66" s="1"/>
  <c r="I131" i="66" s="1"/>
  <c r="H274" i="1"/>
  <c r="D201" i="1"/>
  <c r="K290" i="1"/>
  <c r="N20" i="5"/>
  <c r="B22" i="65" s="1"/>
  <c r="L275" i="1"/>
  <c r="E174" i="5"/>
  <c r="E32" i="66" s="1"/>
  <c r="E135" i="66" s="1"/>
  <c r="C156" i="5"/>
  <c r="K275" i="1"/>
  <c r="X10" i="6"/>
  <c r="K183" i="1"/>
  <c r="K191" i="1" s="1"/>
  <c r="K193" i="1" s="1"/>
  <c r="K195" i="1" s="1"/>
  <c r="C275" i="1"/>
  <c r="I183" i="1"/>
  <c r="I191" i="1" s="1"/>
  <c r="I193" i="1" s="1"/>
  <c r="I195" i="1" s="1"/>
  <c r="D169" i="5"/>
  <c r="D60" i="5"/>
  <c r="G274" i="1"/>
  <c r="H275" i="1"/>
  <c r="L183" i="1"/>
  <c r="L191" i="1" s="1"/>
  <c r="L193" i="1" s="1"/>
  <c r="L195" i="1" s="1"/>
  <c r="F273" i="1"/>
  <c r="E275" i="1"/>
  <c r="E276" i="1" s="1"/>
  <c r="G289" i="1"/>
  <c r="G294" i="1" s="1"/>
  <c r="D289" i="1"/>
  <c r="K201" i="1"/>
  <c r="B169" i="5"/>
  <c r="B27" i="66" s="1"/>
  <c r="G275" i="1"/>
  <c r="L274" i="1"/>
  <c r="G55" i="5"/>
  <c r="G169" i="5" s="1"/>
  <c r="G27" i="66" s="1"/>
  <c r="G130" i="66" s="1"/>
  <c r="F289" i="1"/>
  <c r="E183" i="1"/>
  <c r="E191" i="1" s="1"/>
  <c r="E193" i="1" s="1"/>
  <c r="E195" i="1" s="1"/>
  <c r="F174" i="5"/>
  <c r="F32" i="66" s="1"/>
  <c r="F135" i="66" s="1"/>
  <c r="D274" i="1"/>
  <c r="G155" i="5"/>
  <c r="G42" i="5"/>
  <c r="G50" i="5" s="1"/>
  <c r="G52" i="5" s="1"/>
  <c r="G54" i="5" s="1"/>
  <c r="L42" i="5"/>
  <c r="L50" i="5" s="1"/>
  <c r="L52" i="5" s="1"/>
  <c r="L54" i="5" s="1"/>
  <c r="L154" i="5"/>
  <c r="H153" i="5"/>
  <c r="H42" i="5"/>
  <c r="H50" i="5" s="1"/>
  <c r="H52" i="5" s="1"/>
  <c r="H54" i="5" s="1"/>
  <c r="F154" i="5"/>
  <c r="F11" i="66" s="1"/>
  <c r="F114" i="66" s="1"/>
  <c r="I41" i="5"/>
  <c r="I155" i="5" s="1"/>
  <c r="I12" i="66" s="1"/>
  <c r="I115" i="66" s="1"/>
  <c r="M274" i="1"/>
  <c r="I154" i="5"/>
  <c r="I11" i="66" s="1"/>
  <c r="I114" i="66" s="1"/>
  <c r="J273" i="1"/>
  <c r="C274" i="1"/>
  <c r="H201" i="1"/>
  <c r="H55" i="5"/>
  <c r="B201" i="1"/>
  <c r="B56" i="5"/>
  <c r="E60" i="5"/>
  <c r="J183" i="1"/>
  <c r="J191" i="1" s="1"/>
  <c r="J193" i="1" s="1"/>
  <c r="J195" i="1" s="1"/>
  <c r="M275" i="1"/>
  <c r="F201" i="1"/>
  <c r="J274" i="1"/>
  <c r="N171" i="5"/>
  <c r="N29" i="66" s="1"/>
  <c r="H183" i="1"/>
  <c r="H191" i="1" s="1"/>
  <c r="H193" i="1" s="1"/>
  <c r="H195" i="1" s="1"/>
  <c r="C42" i="5"/>
  <c r="F183" i="1"/>
  <c r="F191" i="1" s="1"/>
  <c r="F193" i="1" s="1"/>
  <c r="F195" i="1" s="1"/>
  <c r="F89" i="1"/>
  <c r="F97" i="1" s="1"/>
  <c r="F99" i="1" s="1"/>
  <c r="D273" i="1"/>
  <c r="I289" i="1"/>
  <c r="I294" i="1" s="1"/>
  <c r="K273" i="1"/>
  <c r="F60" i="5"/>
  <c r="C183" i="1"/>
  <c r="C191" i="1" s="1"/>
  <c r="C193" i="1" s="1"/>
  <c r="C195" i="1" s="1"/>
  <c r="C89" i="1"/>
  <c r="C97" i="1" s="1"/>
  <c r="C99" i="1" s="1"/>
  <c r="O237" i="1"/>
  <c r="X12" i="6"/>
  <c r="C20" i="61"/>
  <c r="C36" i="61"/>
  <c r="N31" i="5"/>
  <c r="F182" i="5"/>
  <c r="F8" i="66" s="1"/>
  <c r="F111" i="66" s="1"/>
  <c r="I81" i="1"/>
  <c r="X18" i="6"/>
  <c r="X20" i="60"/>
  <c r="X20" i="6"/>
  <c r="J107" i="1"/>
  <c r="M107" i="1"/>
  <c r="X15" i="6"/>
  <c r="V30" i="6"/>
  <c r="X28" i="6"/>
  <c r="X30" i="6" s="1"/>
  <c r="D81" i="1"/>
  <c r="B30" i="60"/>
  <c r="V28" i="60"/>
  <c r="W28" i="60"/>
  <c r="W30" i="60" s="1"/>
  <c r="X13" i="6"/>
  <c r="E42" i="5"/>
  <c r="E50" i="5" s="1"/>
  <c r="E52" i="5" s="1"/>
  <c r="E54" i="5" s="1"/>
  <c r="E154" i="5"/>
  <c r="E11" i="66" s="1"/>
  <c r="W16" i="6"/>
  <c r="W17" i="6" s="1"/>
  <c r="W19" i="6" s="1"/>
  <c r="W21" i="6" s="1"/>
  <c r="W32" i="6" s="1"/>
  <c r="X14" i="6"/>
  <c r="F155" i="5"/>
  <c r="F12" i="66" s="1"/>
  <c r="F115" i="66" s="1"/>
  <c r="X11" i="6"/>
  <c r="B17" i="6"/>
  <c r="B19" i="6" s="1"/>
  <c r="B21" i="6" s="1"/>
  <c r="B32" i="6" s="1"/>
  <c r="J283" i="1"/>
  <c r="C283" i="1"/>
  <c r="M89" i="1"/>
  <c r="M97" i="1" s="1"/>
  <c r="M99" i="1" s="1"/>
  <c r="N287" i="1"/>
  <c r="G89" i="1"/>
  <c r="G97" i="1" s="1"/>
  <c r="G99" i="1" s="1"/>
  <c r="N282" i="1"/>
  <c r="N281" i="1"/>
  <c r="D49" i="5"/>
  <c r="B274" i="1"/>
  <c r="G81" i="1"/>
  <c r="B291" i="1"/>
  <c r="C107" i="1"/>
  <c r="B290" i="1"/>
  <c r="K274" i="1"/>
  <c r="N285" i="1"/>
  <c r="N49" i="5"/>
  <c r="D275" i="1"/>
  <c r="F275" i="1"/>
  <c r="K291" i="1"/>
  <c r="N280" i="1"/>
  <c r="E291" i="1"/>
  <c r="C252" i="1"/>
  <c r="C253" i="1" s="1"/>
  <c r="C49" i="5"/>
  <c r="B81" i="1"/>
  <c r="L291" i="1"/>
  <c r="N278" i="1"/>
  <c r="N279" i="1"/>
  <c r="B275" i="1"/>
  <c r="M283" i="1"/>
  <c r="G283" i="1"/>
  <c r="E283" i="1"/>
  <c r="K283" i="1"/>
  <c r="F283" i="1"/>
  <c r="N277" i="1"/>
  <c r="I283" i="1"/>
  <c r="B107" i="1"/>
  <c r="E89" i="1"/>
  <c r="F263" i="1"/>
  <c r="F290" i="1"/>
  <c r="D283" i="1"/>
  <c r="H289" i="1"/>
  <c r="L283" i="1"/>
  <c r="H283" i="1"/>
  <c r="L81" i="1"/>
  <c r="E245" i="1"/>
  <c r="E253" i="1" s="1"/>
  <c r="D263" i="1"/>
  <c r="C81" i="1"/>
  <c r="I263" i="1"/>
  <c r="B310" i="1"/>
  <c r="M263" i="1"/>
  <c r="F81" i="1"/>
  <c r="J245" i="1"/>
  <c r="J253" i="1" s="1"/>
  <c r="C263" i="1"/>
  <c r="H81" i="1"/>
  <c r="K81" i="1"/>
  <c r="L263" i="1"/>
  <c r="M81" i="1"/>
  <c r="J263" i="1"/>
  <c r="B283" i="1"/>
  <c r="K263" i="1"/>
  <c r="E81" i="1"/>
  <c r="G245" i="1"/>
  <c r="G253" i="1" s="1"/>
  <c r="N175" i="1"/>
  <c r="F245" i="1"/>
  <c r="F253" i="1" s="1"/>
  <c r="H263" i="1"/>
  <c r="M245" i="1"/>
  <c r="M253" i="1" s="1"/>
  <c r="B144" i="1"/>
  <c r="N144" i="1"/>
  <c r="C22" i="60"/>
  <c r="G25" i="60"/>
  <c r="B50" i="1"/>
  <c r="B308" i="1"/>
  <c r="N87" i="1"/>
  <c r="D89" i="1"/>
  <c r="L107" i="1"/>
  <c r="B89" i="1"/>
  <c r="K107" i="1"/>
  <c r="I89" i="1"/>
  <c r="N103" i="1"/>
  <c r="H89" i="1"/>
  <c r="L89" i="1"/>
  <c r="I107" i="1"/>
  <c r="J81" i="1"/>
  <c r="E107" i="1"/>
  <c r="N96" i="1"/>
  <c r="N88" i="1"/>
  <c r="N102" i="1"/>
  <c r="N79" i="1"/>
  <c r="H107" i="1"/>
  <c r="N73" i="1"/>
  <c r="N104" i="1"/>
  <c r="F107" i="1"/>
  <c r="K89" i="1"/>
  <c r="N86" i="1"/>
  <c r="N48" i="1"/>
  <c r="O20" i="1"/>
  <c r="X10" i="60" l="1"/>
  <c r="X16" i="60" s="1"/>
  <c r="X17" i="60" s="1"/>
  <c r="X19" i="60" s="1"/>
  <c r="X21" i="60" s="1"/>
  <c r="Z128" i="66"/>
  <c r="Z141" i="66" s="1"/>
  <c r="Z142" i="66" s="1"/>
  <c r="AB127" i="66"/>
  <c r="X139" i="66"/>
  <c r="AB139" i="66" s="1"/>
  <c r="AB137" i="66"/>
  <c r="P21" i="65"/>
  <c r="T21" i="65" s="1"/>
  <c r="Z25" i="66"/>
  <c r="B130" i="66"/>
  <c r="N132" i="66"/>
  <c r="W29" i="66"/>
  <c r="E114" i="66"/>
  <c r="B132" i="66"/>
  <c r="P132" i="66" s="1"/>
  <c r="C22" i="65"/>
  <c r="C35" i="65" s="1"/>
  <c r="B35" i="65"/>
  <c r="E8" i="65"/>
  <c r="B191" i="1"/>
  <c r="B193" i="1" s="1"/>
  <c r="N193" i="1" s="1"/>
  <c r="E7" i="57"/>
  <c r="T7" i="57"/>
  <c r="E8" i="57"/>
  <c r="T8" i="57"/>
  <c r="K44" i="66"/>
  <c r="K147" i="66" s="1"/>
  <c r="K182" i="5"/>
  <c r="K8" i="66" s="1"/>
  <c r="K111" i="66" s="1"/>
  <c r="F9" i="6"/>
  <c r="F17" i="6" s="1"/>
  <c r="F19" i="6" s="1"/>
  <c r="F21" i="6" s="1"/>
  <c r="F27" i="6"/>
  <c r="H182" i="5"/>
  <c r="H8" i="66" s="1"/>
  <c r="H111" i="66" s="1"/>
  <c r="H44" i="66"/>
  <c r="H147" i="66" s="1"/>
  <c r="G182" i="5"/>
  <c r="G8" i="66" s="1"/>
  <c r="G111" i="66" s="1"/>
  <c r="G44" i="66"/>
  <c r="G147" i="66" s="1"/>
  <c r="C44" i="66"/>
  <c r="C147" i="66" s="1"/>
  <c r="D44" i="66"/>
  <c r="D147" i="66" s="1"/>
  <c r="D182" i="5"/>
  <c r="E182" i="5"/>
  <c r="E8" i="66" s="1"/>
  <c r="E111" i="66" s="1"/>
  <c r="E44" i="66"/>
  <c r="E147" i="66" s="1"/>
  <c r="N339" i="1"/>
  <c r="H21" i="65" s="1"/>
  <c r="H22" i="65" s="1"/>
  <c r="G8" i="61"/>
  <c r="I8" i="61" s="1"/>
  <c r="E8" i="61" s="1"/>
  <c r="I44" i="66"/>
  <c r="I147" i="66" s="1"/>
  <c r="B154" i="5"/>
  <c r="G17" i="57"/>
  <c r="B17" i="60"/>
  <c r="B19" i="60" s="1"/>
  <c r="G12" i="6"/>
  <c r="R12" i="6" s="1"/>
  <c r="S12" i="6" s="1"/>
  <c r="V16" i="60"/>
  <c r="V17" i="60" s="1"/>
  <c r="V19" i="60" s="1"/>
  <c r="V21" i="60" s="1"/>
  <c r="O181" i="1"/>
  <c r="F9" i="60"/>
  <c r="F17" i="60" s="1"/>
  <c r="F19" i="60" s="1"/>
  <c r="F21" i="60" s="1"/>
  <c r="W16" i="60"/>
  <c r="W17" i="60" s="1"/>
  <c r="W19" i="60" s="1"/>
  <c r="W21" i="60" s="1"/>
  <c r="W32" i="60" s="1"/>
  <c r="N56" i="5"/>
  <c r="G25" i="65" s="1"/>
  <c r="I25" i="65" s="1"/>
  <c r="N39" i="5"/>
  <c r="G7" i="65" s="1"/>
  <c r="I7" i="65" s="1"/>
  <c r="E206" i="1"/>
  <c r="E307" i="1" s="1"/>
  <c r="E75" i="5" s="1"/>
  <c r="E43" i="66" s="1"/>
  <c r="E146" i="66" s="1"/>
  <c r="L60" i="5"/>
  <c r="L65" i="5" s="1"/>
  <c r="R29" i="6"/>
  <c r="S29" i="6" s="1"/>
  <c r="J29" i="6"/>
  <c r="T280" i="1"/>
  <c r="R25" i="6"/>
  <c r="S25" i="6" s="1"/>
  <c r="T296" i="1"/>
  <c r="G206" i="1"/>
  <c r="G307" i="1" s="1"/>
  <c r="G75" i="5" s="1"/>
  <c r="G43" i="66" s="1"/>
  <c r="G146" i="66" s="1"/>
  <c r="U296" i="1"/>
  <c r="G29" i="60"/>
  <c r="N289" i="1"/>
  <c r="N41" i="5"/>
  <c r="G9" i="65" s="1"/>
  <c r="I9" i="65" s="1"/>
  <c r="G34" i="57"/>
  <c r="N183" i="1"/>
  <c r="O183" i="1" s="1"/>
  <c r="G24" i="65"/>
  <c r="I24" i="65" s="1"/>
  <c r="G9" i="61"/>
  <c r="I9" i="61" s="1"/>
  <c r="E9" i="61" s="1"/>
  <c r="B155" i="5"/>
  <c r="N155" i="5" s="1"/>
  <c r="N12" i="66" s="1"/>
  <c r="G9" i="57"/>
  <c r="I9" i="57" s="1"/>
  <c r="T290" i="1"/>
  <c r="B306" i="1"/>
  <c r="B73" i="5" s="1"/>
  <c r="B41" i="66" s="1"/>
  <c r="B144" i="66" s="1"/>
  <c r="T291" i="1"/>
  <c r="G7" i="6"/>
  <c r="Q7" i="6" s="1"/>
  <c r="S7" i="6" s="1"/>
  <c r="H294" i="1"/>
  <c r="G11" i="6"/>
  <c r="R11" i="6" s="1"/>
  <c r="S11" i="6" s="1"/>
  <c r="T273" i="1"/>
  <c r="F27" i="60"/>
  <c r="B42" i="5"/>
  <c r="H206" i="1"/>
  <c r="H307" i="1" s="1"/>
  <c r="H75" i="5" s="1"/>
  <c r="H43" i="66" s="1"/>
  <c r="H146" i="66" s="1"/>
  <c r="G28" i="6"/>
  <c r="K206" i="1"/>
  <c r="K307" i="1" s="1"/>
  <c r="K75" i="5" s="1"/>
  <c r="K43" i="66" s="1"/>
  <c r="K146" i="66" s="1"/>
  <c r="T297" i="1"/>
  <c r="L174" i="5"/>
  <c r="L32" i="66" s="1"/>
  <c r="L135" i="66" s="1"/>
  <c r="F35" i="53"/>
  <c r="E294" i="1"/>
  <c r="D294" i="1"/>
  <c r="G276" i="1"/>
  <c r="G284" i="1" s="1"/>
  <c r="G286" i="1" s="1"/>
  <c r="G288" i="1" s="1"/>
  <c r="G299" i="1" s="1"/>
  <c r="G17" i="65"/>
  <c r="C276" i="1"/>
  <c r="C284" i="1" s="1"/>
  <c r="C286" i="1" s="1"/>
  <c r="C288" i="1" s="1"/>
  <c r="D206" i="1"/>
  <c r="D307" i="1" s="1"/>
  <c r="D75" i="5" s="1"/>
  <c r="D43" i="66" s="1"/>
  <c r="D146" i="66" s="1"/>
  <c r="I276" i="1"/>
  <c r="I284" i="1" s="1"/>
  <c r="I286" i="1" s="1"/>
  <c r="I288" i="1" s="1"/>
  <c r="I299" i="1" s="1"/>
  <c r="G12" i="60"/>
  <c r="J12" i="60" s="1"/>
  <c r="G31" i="65"/>
  <c r="G33" i="65" s="1"/>
  <c r="N63" i="5"/>
  <c r="G11" i="60"/>
  <c r="R11" i="60" s="1"/>
  <c r="S11" i="60" s="1"/>
  <c r="N297" i="1"/>
  <c r="G28" i="60"/>
  <c r="K60" i="5"/>
  <c r="G17" i="61"/>
  <c r="D174" i="5"/>
  <c r="D32" i="66" s="1"/>
  <c r="D135" i="66" s="1"/>
  <c r="D27" i="66"/>
  <c r="D130" i="66" s="1"/>
  <c r="K174" i="5"/>
  <c r="K32" i="66" s="1"/>
  <c r="K135" i="66" s="1"/>
  <c r="G156" i="5"/>
  <c r="G13" i="66" s="1"/>
  <c r="G116" i="66" s="1"/>
  <c r="G12" i="66"/>
  <c r="L156" i="5"/>
  <c r="L164" i="5" s="1"/>
  <c r="L11" i="66"/>
  <c r="L114" i="66" s="1"/>
  <c r="C164" i="5"/>
  <c r="C13" i="66"/>
  <c r="C116" i="66" s="1"/>
  <c r="H156" i="5"/>
  <c r="H10" i="66"/>
  <c r="H113" i="66" s="1"/>
  <c r="U278" i="1"/>
  <c r="R25" i="60"/>
  <c r="S25" i="60" s="1"/>
  <c r="U292" i="1"/>
  <c r="T277" i="1"/>
  <c r="G10" i="6"/>
  <c r="G174" i="5"/>
  <c r="G32" i="66" s="1"/>
  <c r="G135" i="66" s="1"/>
  <c r="G15" i="6"/>
  <c r="T282" i="1"/>
  <c r="U279" i="1"/>
  <c r="T293" i="1"/>
  <c r="G26" i="6"/>
  <c r="L206" i="1"/>
  <c r="L307" i="1" s="1"/>
  <c r="L75" i="5" s="1"/>
  <c r="L43" i="66" s="1"/>
  <c r="L146" i="66" s="1"/>
  <c r="L294" i="1"/>
  <c r="F294" i="1"/>
  <c r="G26" i="61"/>
  <c r="G26" i="57"/>
  <c r="I26" i="57" s="1"/>
  <c r="I7" i="61"/>
  <c r="E7" i="61" s="1"/>
  <c r="L276" i="1"/>
  <c r="L284" i="1" s="1"/>
  <c r="L286" i="1" s="1"/>
  <c r="L288" i="1" s="1"/>
  <c r="J276" i="1"/>
  <c r="J284" i="1" s="1"/>
  <c r="J286" i="1" s="1"/>
  <c r="J288" i="1" s="1"/>
  <c r="K294" i="1"/>
  <c r="M276" i="1"/>
  <c r="M284" i="1" s="1"/>
  <c r="M286" i="1" s="1"/>
  <c r="M288" i="1" s="1"/>
  <c r="H276" i="1"/>
  <c r="H284" i="1" s="1"/>
  <c r="H286" i="1" s="1"/>
  <c r="H288" i="1" s="1"/>
  <c r="F276" i="1"/>
  <c r="F284" i="1" s="1"/>
  <c r="F286" i="1" s="1"/>
  <c r="F288" i="1" s="1"/>
  <c r="G60" i="5"/>
  <c r="G65" i="5" s="1"/>
  <c r="C50" i="5"/>
  <c r="C52" i="5" s="1"/>
  <c r="C54" i="5" s="1"/>
  <c r="D276" i="1"/>
  <c r="D284" i="1" s="1"/>
  <c r="D286" i="1" s="1"/>
  <c r="D288" i="1" s="1"/>
  <c r="M201" i="1"/>
  <c r="M206" i="1" s="1"/>
  <c r="M307" i="1" s="1"/>
  <c r="M75" i="5" s="1"/>
  <c r="M43" i="66" s="1"/>
  <c r="M146" i="66" s="1"/>
  <c r="M55" i="5"/>
  <c r="K153" i="5"/>
  <c r="K42" i="5"/>
  <c r="K50" i="5" s="1"/>
  <c r="K52" i="5" s="1"/>
  <c r="K54" i="5" s="1"/>
  <c r="M154" i="5"/>
  <c r="M42" i="5"/>
  <c r="M50" i="5" s="1"/>
  <c r="M52" i="5" s="1"/>
  <c r="M54" i="5" s="1"/>
  <c r="J153" i="5"/>
  <c r="J42" i="5"/>
  <c r="J50" i="5" s="1"/>
  <c r="J52" i="5" s="1"/>
  <c r="J54" i="5" s="1"/>
  <c r="E65" i="5"/>
  <c r="H169" i="5"/>
  <c r="H60" i="5"/>
  <c r="H65" i="5" s="1"/>
  <c r="K276" i="1"/>
  <c r="K284" i="1" s="1"/>
  <c r="K286" i="1" s="1"/>
  <c r="K288" i="1" s="1"/>
  <c r="I42" i="5"/>
  <c r="I50" i="5" s="1"/>
  <c r="I52" i="5" s="1"/>
  <c r="I54" i="5" s="1"/>
  <c r="O196" i="1"/>
  <c r="C201" i="1"/>
  <c r="C206" i="1" s="1"/>
  <c r="C307" i="1" s="1"/>
  <c r="C75" i="5" s="1"/>
  <c r="C43" i="66" s="1"/>
  <c r="C146" i="66" s="1"/>
  <c r="C55" i="5"/>
  <c r="F206" i="1"/>
  <c r="F307" i="1" s="1"/>
  <c r="F75" i="5" s="1"/>
  <c r="F43" i="66" s="1"/>
  <c r="F146" i="66" s="1"/>
  <c r="D153" i="5"/>
  <c r="D10" i="66" s="1"/>
  <c r="D113" i="66" s="1"/>
  <c r="D42" i="5"/>
  <c r="D50" i="5" s="1"/>
  <c r="D52" i="5" s="1"/>
  <c r="D54" i="5" s="1"/>
  <c r="D65" i="5" s="1"/>
  <c r="B170" i="5"/>
  <c r="B28" i="66" s="1"/>
  <c r="B60" i="5"/>
  <c r="M289" i="1"/>
  <c r="M294" i="1" s="1"/>
  <c r="F42" i="5"/>
  <c r="F50" i="5" s="1"/>
  <c r="F52" i="5" s="1"/>
  <c r="F54" i="5" s="1"/>
  <c r="F65" i="5" s="1"/>
  <c r="C289" i="1"/>
  <c r="C294" i="1" s="1"/>
  <c r="J201" i="1"/>
  <c r="J206" i="1" s="1"/>
  <c r="J307" i="1" s="1"/>
  <c r="J75" i="5" s="1"/>
  <c r="J43" i="66" s="1"/>
  <c r="J146" i="66" s="1"/>
  <c r="J55" i="5"/>
  <c r="I201" i="1"/>
  <c r="I206" i="1" s="1"/>
  <c r="I307" i="1" s="1"/>
  <c r="I75" i="5" s="1"/>
  <c r="I43" i="66" s="1"/>
  <c r="I146" i="66" s="1"/>
  <c r="I55" i="5"/>
  <c r="J289" i="1"/>
  <c r="J294" i="1" s="1"/>
  <c r="I156" i="5"/>
  <c r="J25" i="60"/>
  <c r="X16" i="6"/>
  <c r="X17" i="6" s="1"/>
  <c r="X19" i="6" s="1"/>
  <c r="X21" i="6" s="1"/>
  <c r="X32" i="6" s="1"/>
  <c r="E284" i="1"/>
  <c r="E286" i="1" s="1"/>
  <c r="E288" i="1" s="1"/>
  <c r="T25" i="61"/>
  <c r="E25" i="61"/>
  <c r="F156" i="5"/>
  <c r="V30" i="60"/>
  <c r="X28" i="60"/>
  <c r="X30" i="60" s="1"/>
  <c r="C30" i="60"/>
  <c r="J13" i="6"/>
  <c r="R13" i="6"/>
  <c r="S13" i="6" s="1"/>
  <c r="N283" i="1"/>
  <c r="N291" i="1"/>
  <c r="E97" i="1"/>
  <c r="E99" i="1" s="1"/>
  <c r="N290" i="1"/>
  <c r="N275" i="1"/>
  <c r="N274" i="1"/>
  <c r="N273" i="1"/>
  <c r="D97" i="1"/>
  <c r="D99" i="1" s="1"/>
  <c r="D245" i="1"/>
  <c r="D253" i="1" s="1"/>
  <c r="H97" i="1"/>
  <c r="H99" i="1" s="1"/>
  <c r="H245" i="1"/>
  <c r="H253" i="1" s="1"/>
  <c r="M101" i="1"/>
  <c r="M255" i="1"/>
  <c r="K97" i="1"/>
  <c r="K99" i="1" s="1"/>
  <c r="K245" i="1"/>
  <c r="K253" i="1" s="1"/>
  <c r="B294" i="1"/>
  <c r="E255" i="1"/>
  <c r="E257" i="1" s="1"/>
  <c r="E268" i="1" s="1"/>
  <c r="N308" i="1"/>
  <c r="N74" i="5" s="1"/>
  <c r="N50" i="1"/>
  <c r="U282" i="1"/>
  <c r="N306" i="1"/>
  <c r="N73" i="5" s="1"/>
  <c r="B263" i="1"/>
  <c r="G101" i="1"/>
  <c r="G255" i="1"/>
  <c r="J101" i="1"/>
  <c r="J255" i="1"/>
  <c r="I97" i="1"/>
  <c r="I99" i="1" s="1"/>
  <c r="I245" i="1"/>
  <c r="I253" i="1" s="1"/>
  <c r="B52" i="1"/>
  <c r="B76" i="5"/>
  <c r="N310" i="1"/>
  <c r="N76" i="5" s="1"/>
  <c r="L97" i="1"/>
  <c r="L99" i="1" s="1"/>
  <c r="L245" i="1"/>
  <c r="L253" i="1" s="1"/>
  <c r="B97" i="1"/>
  <c r="F101" i="1"/>
  <c r="F255" i="1"/>
  <c r="F257" i="1" s="1"/>
  <c r="F268" i="1" s="1"/>
  <c r="C101" i="1"/>
  <c r="C255" i="1"/>
  <c r="B276" i="1"/>
  <c r="B74" i="5"/>
  <c r="B42" i="66" s="1"/>
  <c r="B145" i="66" s="1"/>
  <c r="N89" i="1"/>
  <c r="N107" i="1"/>
  <c r="N81" i="1"/>
  <c r="N32" i="1"/>
  <c r="O31" i="1"/>
  <c r="C16" i="21"/>
  <c r="A128" i="27"/>
  <c r="A129" i="27"/>
  <c r="N42" i="66" l="1"/>
  <c r="N145" i="66" s="1"/>
  <c r="N41" i="66"/>
  <c r="N144" i="66" s="1"/>
  <c r="B44" i="66"/>
  <c r="B147" i="66" s="1"/>
  <c r="B182" i="5"/>
  <c r="B8" i="66" s="1"/>
  <c r="B111" i="66" s="1"/>
  <c r="N44" i="66"/>
  <c r="N147" i="66" s="1"/>
  <c r="T26" i="57"/>
  <c r="E26" i="57"/>
  <c r="B131" i="66"/>
  <c r="P131" i="66" s="1"/>
  <c r="P28" i="66"/>
  <c r="N115" i="66"/>
  <c r="W115" i="66" s="1"/>
  <c r="D8" i="66"/>
  <c r="G115" i="66"/>
  <c r="P26" i="65"/>
  <c r="T26" i="65" s="1"/>
  <c r="B11" i="66"/>
  <c r="P11" i="66" s="1"/>
  <c r="E9" i="65"/>
  <c r="E24" i="65"/>
  <c r="T24" i="65"/>
  <c r="E7" i="65"/>
  <c r="E25" i="65"/>
  <c r="T8" i="61"/>
  <c r="N191" i="1"/>
  <c r="O191" i="1" s="1"/>
  <c r="E9" i="57"/>
  <c r="E10" i="57" s="1"/>
  <c r="E18" i="57" s="1"/>
  <c r="E20" i="57" s="1"/>
  <c r="E23" i="57" s="1"/>
  <c r="T9" i="57"/>
  <c r="J12" i="6"/>
  <c r="F32" i="6"/>
  <c r="F32" i="60"/>
  <c r="R10" i="6"/>
  <c r="S10" i="6" s="1"/>
  <c r="G30" i="6"/>
  <c r="J30" i="6" s="1"/>
  <c r="T274" i="1"/>
  <c r="I29" i="65"/>
  <c r="B50" i="5"/>
  <c r="N60" i="5"/>
  <c r="H299" i="1"/>
  <c r="G29" i="65"/>
  <c r="I10" i="57"/>
  <c r="G10" i="61"/>
  <c r="G18" i="61" s="1"/>
  <c r="G20" i="61" s="1"/>
  <c r="V32" i="60"/>
  <c r="E299" i="1"/>
  <c r="E309" i="1" s="1"/>
  <c r="I10" i="65"/>
  <c r="B156" i="5"/>
  <c r="B13" i="66" s="1"/>
  <c r="B116" i="66" s="1"/>
  <c r="G10" i="65"/>
  <c r="G18" i="65" s="1"/>
  <c r="G20" i="65" s="1"/>
  <c r="G24" i="6"/>
  <c r="Q24" i="6" s="1"/>
  <c r="S24" i="6" s="1"/>
  <c r="G30" i="60"/>
  <c r="J30" i="60" s="1"/>
  <c r="R29" i="60"/>
  <c r="S29" i="60" s="1"/>
  <c r="J29" i="60"/>
  <c r="G10" i="57"/>
  <c r="G18" i="57" s="1"/>
  <c r="G20" i="57" s="1"/>
  <c r="G23" i="57" s="1"/>
  <c r="C24" i="60"/>
  <c r="N42" i="5"/>
  <c r="N50" i="5" s="1"/>
  <c r="N52" i="5" s="1"/>
  <c r="T9" i="61"/>
  <c r="C24" i="6"/>
  <c r="C27" i="6" s="1"/>
  <c r="C32" i="6" s="1"/>
  <c r="J11" i="6"/>
  <c r="B12" i="66"/>
  <c r="R28" i="6"/>
  <c r="N201" i="1"/>
  <c r="O201" i="1" s="1"/>
  <c r="J28" i="6"/>
  <c r="D299" i="1"/>
  <c r="G7" i="60"/>
  <c r="J7" i="60" s="1"/>
  <c r="E10" i="61"/>
  <c r="E18" i="61" s="1"/>
  <c r="E20" i="61" s="1"/>
  <c r="K65" i="5"/>
  <c r="U295" i="1"/>
  <c r="G164" i="5"/>
  <c r="G166" i="5" s="1"/>
  <c r="G15" i="60"/>
  <c r="R15" i="60" s="1"/>
  <c r="S15" i="60" s="1"/>
  <c r="U297" i="1"/>
  <c r="J28" i="60"/>
  <c r="R12" i="60"/>
  <c r="S12" i="60" s="1"/>
  <c r="G24" i="60"/>
  <c r="Q24" i="60" s="1"/>
  <c r="S24" i="60" s="1"/>
  <c r="J11" i="60"/>
  <c r="G13" i="60"/>
  <c r="R13" i="60" s="1"/>
  <c r="S13" i="60" s="1"/>
  <c r="J7" i="6"/>
  <c r="G10" i="60"/>
  <c r="J10" i="60" s="1"/>
  <c r="L299" i="1"/>
  <c r="R28" i="60"/>
  <c r="T7" i="61"/>
  <c r="H174" i="5"/>
  <c r="H32" i="66" s="1"/>
  <c r="H135" i="66" s="1"/>
  <c r="H27" i="66"/>
  <c r="H130" i="66" s="1"/>
  <c r="L13" i="66"/>
  <c r="L116" i="66" s="1"/>
  <c r="M156" i="5"/>
  <c r="M164" i="5" s="1"/>
  <c r="M11" i="66"/>
  <c r="H164" i="5"/>
  <c r="H13" i="66"/>
  <c r="H116" i="66" s="1"/>
  <c r="J156" i="5"/>
  <c r="J10" i="66"/>
  <c r="J113" i="66" s="1"/>
  <c r="F164" i="5"/>
  <c r="F13" i="66"/>
  <c r="F116" i="66" s="1"/>
  <c r="I164" i="5"/>
  <c r="I13" i="66"/>
  <c r="I116" i="66" s="1"/>
  <c r="K156" i="5"/>
  <c r="K10" i="66"/>
  <c r="K113" i="66" s="1"/>
  <c r="C166" i="5"/>
  <c r="C21" i="66"/>
  <c r="C124" i="66" s="1"/>
  <c r="L166" i="5"/>
  <c r="L21" i="66"/>
  <c r="L124" i="66" s="1"/>
  <c r="G6" i="6"/>
  <c r="Q6" i="6" s="1"/>
  <c r="S6" i="6" s="1"/>
  <c r="U274" i="1"/>
  <c r="U280" i="1"/>
  <c r="U277" i="1"/>
  <c r="T275" i="1"/>
  <c r="G8" i="6"/>
  <c r="G23" i="6"/>
  <c r="Q23" i="6" s="1"/>
  <c r="S23" i="6" s="1"/>
  <c r="G22" i="6"/>
  <c r="T289" i="1"/>
  <c r="U291" i="1"/>
  <c r="I10" i="61"/>
  <c r="I18" i="61" s="1"/>
  <c r="F299" i="1"/>
  <c r="F309" i="1" s="1"/>
  <c r="K299" i="1"/>
  <c r="I26" i="61"/>
  <c r="G30" i="61"/>
  <c r="N154" i="5"/>
  <c r="N11" i="66" s="1"/>
  <c r="G30" i="57"/>
  <c r="O193" i="1"/>
  <c r="B195" i="1"/>
  <c r="N195" i="1" s="1"/>
  <c r="C299" i="1"/>
  <c r="I169" i="5"/>
  <c r="I60" i="5"/>
  <c r="I65" i="5" s="1"/>
  <c r="D156" i="5"/>
  <c r="B174" i="5"/>
  <c r="B32" i="66" s="1"/>
  <c r="N170" i="5"/>
  <c r="N28" i="66" s="1"/>
  <c r="C169" i="5"/>
  <c r="C27" i="66" s="1"/>
  <c r="P27" i="66" s="1"/>
  <c r="C60" i="5"/>
  <c r="C65" i="5" s="1"/>
  <c r="M169" i="5"/>
  <c r="M60" i="5"/>
  <c r="M65" i="5" s="1"/>
  <c r="M299" i="1"/>
  <c r="J299" i="1"/>
  <c r="J169" i="5"/>
  <c r="J60" i="5"/>
  <c r="J65" i="5" s="1"/>
  <c r="J26" i="6"/>
  <c r="R26" i="6"/>
  <c r="R27" i="6" s="1"/>
  <c r="X32" i="60"/>
  <c r="B21" i="60"/>
  <c r="J15" i="6"/>
  <c r="R15" i="6"/>
  <c r="S15" i="6" s="1"/>
  <c r="C16" i="60"/>
  <c r="J10" i="6"/>
  <c r="N294" i="1"/>
  <c r="N276" i="1"/>
  <c r="N284" i="1" s="1"/>
  <c r="N286" i="1" s="1"/>
  <c r="N288" i="1" s="1"/>
  <c r="G23" i="60"/>
  <c r="Q23" i="60" s="1"/>
  <c r="S23" i="60" s="1"/>
  <c r="E101" i="1"/>
  <c r="D101" i="1"/>
  <c r="D255" i="1"/>
  <c r="G257" i="1"/>
  <c r="G268" i="1" s="1"/>
  <c r="G309" i="1" s="1"/>
  <c r="G77" i="5" s="1"/>
  <c r="G45" i="66" s="1"/>
  <c r="G112" i="1"/>
  <c r="G269" i="1" s="1"/>
  <c r="I101" i="1"/>
  <c r="I255" i="1"/>
  <c r="B99" i="1"/>
  <c r="K101" i="1"/>
  <c r="K255" i="1"/>
  <c r="N97" i="1"/>
  <c r="G8" i="60"/>
  <c r="C112" i="1"/>
  <c r="C257" i="1"/>
  <c r="C268" i="1" s="1"/>
  <c r="L255" i="1"/>
  <c r="B63" i="1"/>
  <c r="J257" i="1"/>
  <c r="J268" i="1" s="1"/>
  <c r="J112" i="1"/>
  <c r="G22" i="60"/>
  <c r="L101" i="1"/>
  <c r="M257" i="1"/>
  <c r="M268" i="1" s="1"/>
  <c r="M112" i="1"/>
  <c r="H255" i="1"/>
  <c r="H101" i="1"/>
  <c r="N245" i="1"/>
  <c r="G26" i="60"/>
  <c r="N52" i="1"/>
  <c r="F112" i="1"/>
  <c r="B284" i="1"/>
  <c r="A127" i="30"/>
  <c r="A128" i="30"/>
  <c r="A126" i="27"/>
  <c r="A127" i="27"/>
  <c r="B115" i="66" l="1"/>
  <c r="P115" i="66" s="1"/>
  <c r="P12" i="66"/>
  <c r="W12" i="66" s="1"/>
  <c r="B135" i="66"/>
  <c r="P135" i="66" s="1"/>
  <c r="P32" i="66"/>
  <c r="N131" i="66"/>
  <c r="W131" i="66" s="1"/>
  <c r="W28" i="66"/>
  <c r="G47" i="66"/>
  <c r="G150" i="66" s="1"/>
  <c r="G148" i="66"/>
  <c r="N114" i="66"/>
  <c r="W114" i="66" s="1"/>
  <c r="W11" i="66"/>
  <c r="E10" i="65"/>
  <c r="E18" i="65" s="1"/>
  <c r="E20" i="65" s="1"/>
  <c r="E22" i="65" s="1"/>
  <c r="D111" i="66"/>
  <c r="C130" i="66"/>
  <c r="P130" i="66" s="1"/>
  <c r="B114" i="66"/>
  <c r="P114" i="66" s="1"/>
  <c r="M114" i="66"/>
  <c r="E29" i="65"/>
  <c r="I18" i="65"/>
  <c r="I18" i="57"/>
  <c r="T10" i="57"/>
  <c r="G36" i="57"/>
  <c r="B52" i="5"/>
  <c r="J6" i="6"/>
  <c r="G9" i="6"/>
  <c r="I30" i="57"/>
  <c r="Q22" i="6"/>
  <c r="Q27" i="6" s="1"/>
  <c r="G27" i="6"/>
  <c r="J27" i="6" s="1"/>
  <c r="J24" i="6"/>
  <c r="G22" i="65"/>
  <c r="G35" i="65" s="1"/>
  <c r="B164" i="5"/>
  <c r="B21" i="66" s="1"/>
  <c r="B124" i="66" s="1"/>
  <c r="R30" i="6"/>
  <c r="S28" i="6"/>
  <c r="S30" i="6" s="1"/>
  <c r="N206" i="1"/>
  <c r="N307" i="1" s="1"/>
  <c r="N75" i="5" s="1"/>
  <c r="Q7" i="60"/>
  <c r="S7" i="60" s="1"/>
  <c r="T294" i="1"/>
  <c r="J15" i="60"/>
  <c r="G36" i="61"/>
  <c r="G21" i="66"/>
  <c r="G124" i="66" s="1"/>
  <c r="F269" i="1"/>
  <c r="U290" i="1"/>
  <c r="J23" i="6"/>
  <c r="J24" i="60"/>
  <c r="T10" i="61"/>
  <c r="G6" i="60"/>
  <c r="J6" i="60" s="1"/>
  <c r="R30" i="60"/>
  <c r="S28" i="60"/>
  <c r="S30" i="60" s="1"/>
  <c r="J13" i="60"/>
  <c r="J174" i="5"/>
  <c r="J32" i="66" s="1"/>
  <c r="J135" i="66" s="1"/>
  <c r="J27" i="66"/>
  <c r="J130" i="66" s="1"/>
  <c r="I174" i="5"/>
  <c r="I32" i="66" s="1"/>
  <c r="I135" i="66" s="1"/>
  <c r="I27" i="66"/>
  <c r="I130" i="66" s="1"/>
  <c r="M174" i="5"/>
  <c r="M32" i="66" s="1"/>
  <c r="M135" i="66" s="1"/>
  <c r="M27" i="66"/>
  <c r="M130" i="66" s="1"/>
  <c r="M13" i="66"/>
  <c r="M116" i="66" s="1"/>
  <c r="F166" i="5"/>
  <c r="F21" i="66"/>
  <c r="F124" i="66" s="1"/>
  <c r="C168" i="5"/>
  <c r="C25" i="66" s="1"/>
  <c r="C128" i="66" s="1"/>
  <c r="C23" i="66"/>
  <c r="C126" i="66" s="1"/>
  <c r="H166" i="5"/>
  <c r="H21" i="66"/>
  <c r="H124" i="66" s="1"/>
  <c r="K164" i="5"/>
  <c r="K13" i="66"/>
  <c r="K116" i="66" s="1"/>
  <c r="M166" i="5"/>
  <c r="M21" i="66"/>
  <c r="M124" i="66" s="1"/>
  <c r="D164" i="5"/>
  <c r="D13" i="66"/>
  <c r="D116" i="66" s="1"/>
  <c r="G168" i="5"/>
  <c r="G23" i="66"/>
  <c r="G126" i="66" s="1"/>
  <c r="J164" i="5"/>
  <c r="J13" i="66"/>
  <c r="J116" i="66" s="1"/>
  <c r="L168" i="5"/>
  <c r="L23" i="66"/>
  <c r="L126" i="66" s="1"/>
  <c r="I166" i="5"/>
  <c r="I21" i="66"/>
  <c r="I124" i="66" s="1"/>
  <c r="R10" i="60"/>
  <c r="S10" i="60" s="1"/>
  <c r="T276" i="1"/>
  <c r="U293" i="1"/>
  <c r="J22" i="60"/>
  <c r="U289" i="1"/>
  <c r="U273" i="1"/>
  <c r="Q8" i="60"/>
  <c r="S8" i="60" s="1"/>
  <c r="U275" i="1"/>
  <c r="J23" i="60"/>
  <c r="F312" i="1"/>
  <c r="F72" i="5" s="1"/>
  <c r="F77" i="5"/>
  <c r="F45" i="66" s="1"/>
  <c r="E312" i="1"/>
  <c r="E72" i="5" s="1"/>
  <c r="E77" i="5"/>
  <c r="E45" i="66" s="1"/>
  <c r="T26" i="61"/>
  <c r="E26" i="61"/>
  <c r="E30" i="61" s="1"/>
  <c r="E36" i="61" s="1"/>
  <c r="I30" i="61"/>
  <c r="T30" i="61" s="1"/>
  <c r="Q182" i="5"/>
  <c r="R182" i="5"/>
  <c r="M269" i="1"/>
  <c r="M309" i="1"/>
  <c r="J269" i="1"/>
  <c r="J309" i="1"/>
  <c r="O195" i="1"/>
  <c r="B206" i="1"/>
  <c r="N169" i="5"/>
  <c r="N27" i="66" s="1"/>
  <c r="C174" i="5"/>
  <c r="C32" i="66" s="1"/>
  <c r="C135" i="66" s="1"/>
  <c r="C309" i="1"/>
  <c r="C269" i="1"/>
  <c r="R26" i="60"/>
  <c r="J26" i="60"/>
  <c r="N299" i="1"/>
  <c r="T18" i="61"/>
  <c r="I20" i="61"/>
  <c r="C9" i="60"/>
  <c r="C17" i="60" s="1"/>
  <c r="N54" i="5"/>
  <c r="J8" i="6"/>
  <c r="Q8" i="6"/>
  <c r="S8" i="6" s="1"/>
  <c r="B32" i="60"/>
  <c r="G27" i="60"/>
  <c r="Q22" i="60"/>
  <c r="J8" i="60"/>
  <c r="C27" i="60"/>
  <c r="E112" i="1"/>
  <c r="E269" i="1" s="1"/>
  <c r="J22" i="6"/>
  <c r="G312" i="1"/>
  <c r="G72" i="5" s="1"/>
  <c r="I257" i="1"/>
  <c r="I268" i="1" s="1"/>
  <c r="I309" i="1" s="1"/>
  <c r="I77" i="5" s="1"/>
  <c r="I45" i="66" s="1"/>
  <c r="D112" i="1"/>
  <c r="D269" i="1" s="1"/>
  <c r="D257" i="1"/>
  <c r="D268" i="1" s="1"/>
  <c r="D309" i="1" s="1"/>
  <c r="D77" i="5" s="1"/>
  <c r="D45" i="66" s="1"/>
  <c r="L257" i="1"/>
  <c r="L268" i="1" s="1"/>
  <c r="L309" i="1" s="1"/>
  <c r="L77" i="5" s="1"/>
  <c r="L45" i="66" s="1"/>
  <c r="K257" i="1"/>
  <c r="K268" i="1" s="1"/>
  <c r="K309" i="1" s="1"/>
  <c r="K77" i="5" s="1"/>
  <c r="K45" i="66" s="1"/>
  <c r="K112" i="1"/>
  <c r="K269" i="1" s="1"/>
  <c r="B101" i="1"/>
  <c r="L112" i="1"/>
  <c r="L269" i="1" s="1"/>
  <c r="H257" i="1"/>
  <c r="H268" i="1" s="1"/>
  <c r="H309" i="1" s="1"/>
  <c r="H77" i="5" s="1"/>
  <c r="H45" i="66" s="1"/>
  <c r="H112" i="1"/>
  <c r="H269" i="1" s="1"/>
  <c r="N63" i="1"/>
  <c r="N263" i="1"/>
  <c r="U294" i="1" s="1"/>
  <c r="N99" i="1"/>
  <c r="I112" i="1"/>
  <c r="I269" i="1" s="1"/>
  <c r="B286" i="1"/>
  <c r="A125" i="30"/>
  <c r="A126" i="30"/>
  <c r="A125" i="27"/>
  <c r="N43" i="66" l="1"/>
  <c r="N146" i="66" s="1"/>
  <c r="F47" i="66"/>
  <c r="F150" i="66" s="1"/>
  <c r="F148" i="66"/>
  <c r="E47" i="66"/>
  <c r="E150" i="66" s="1"/>
  <c r="E148" i="66"/>
  <c r="N130" i="66"/>
  <c r="W130" i="66" s="1"/>
  <c r="W27" i="66"/>
  <c r="I47" i="66"/>
  <c r="I150" i="66" s="1"/>
  <c r="I148" i="66"/>
  <c r="D47" i="66"/>
  <c r="D150" i="66" s="1"/>
  <c r="D148" i="66"/>
  <c r="L47" i="66"/>
  <c r="L150" i="66" s="1"/>
  <c r="L148" i="66"/>
  <c r="K47" i="66"/>
  <c r="K150" i="66" s="1"/>
  <c r="K148" i="66"/>
  <c r="H47" i="66"/>
  <c r="H150" i="66" s="1"/>
  <c r="H148" i="66"/>
  <c r="E35" i="65"/>
  <c r="P9" i="65"/>
  <c r="T9" i="65" s="1"/>
  <c r="K29" i="65"/>
  <c r="P25" i="65"/>
  <c r="I20" i="65"/>
  <c r="I22" i="65" s="1"/>
  <c r="I35" i="65" s="1"/>
  <c r="B54" i="5"/>
  <c r="I20" i="57"/>
  <c r="T18" i="57"/>
  <c r="B166" i="5"/>
  <c r="B23" i="66" s="1"/>
  <c r="B126" i="66" s="1"/>
  <c r="Q6" i="60"/>
  <c r="S6" i="60" s="1"/>
  <c r="S9" i="60" s="1"/>
  <c r="C179" i="5"/>
  <c r="K166" i="5"/>
  <c r="K21" i="66"/>
  <c r="K124" i="66" s="1"/>
  <c r="L25" i="66"/>
  <c r="L128" i="66" s="1"/>
  <c r="L179" i="5"/>
  <c r="H168" i="5"/>
  <c r="H23" i="66"/>
  <c r="H126" i="66" s="1"/>
  <c r="J166" i="5"/>
  <c r="J21" i="66"/>
  <c r="J124" i="66" s="1"/>
  <c r="G25" i="66"/>
  <c r="G128" i="66" s="1"/>
  <c r="G179" i="5"/>
  <c r="M168" i="5"/>
  <c r="M23" i="66"/>
  <c r="M126" i="66" s="1"/>
  <c r="F168" i="5"/>
  <c r="F23" i="66"/>
  <c r="F126" i="66" s="1"/>
  <c r="I168" i="5"/>
  <c r="I23" i="66"/>
  <c r="I126" i="66" s="1"/>
  <c r="D166" i="5"/>
  <c r="D21" i="66"/>
  <c r="D124" i="66" s="1"/>
  <c r="F78" i="5"/>
  <c r="E78" i="5"/>
  <c r="M312" i="1"/>
  <c r="M72" i="5" s="1"/>
  <c r="M77" i="5"/>
  <c r="M45" i="66" s="1"/>
  <c r="T285" i="1"/>
  <c r="G9" i="60"/>
  <c r="J9" i="60" s="1"/>
  <c r="J312" i="1"/>
  <c r="J72" i="5" s="1"/>
  <c r="J77" i="5"/>
  <c r="J45" i="66" s="1"/>
  <c r="C312" i="1"/>
  <c r="C72" i="5" s="1"/>
  <c r="C77" i="5"/>
  <c r="C45" i="66" s="1"/>
  <c r="U276" i="1"/>
  <c r="O206" i="1"/>
  <c r="B307" i="1"/>
  <c r="B75" i="5" s="1"/>
  <c r="B43" i="66" s="1"/>
  <c r="B146" i="66" s="1"/>
  <c r="N174" i="5"/>
  <c r="N32" i="66" s="1"/>
  <c r="S26" i="60"/>
  <c r="R27" i="60"/>
  <c r="Q27" i="60"/>
  <c r="S22" i="60"/>
  <c r="J27" i="60"/>
  <c r="T20" i="61"/>
  <c r="I36" i="61"/>
  <c r="T36" i="61" s="1"/>
  <c r="N65" i="5"/>
  <c r="Q9" i="6"/>
  <c r="Q17" i="6" s="1"/>
  <c r="Q19" i="6" s="1"/>
  <c r="S9" i="6"/>
  <c r="C19" i="60"/>
  <c r="L312" i="1"/>
  <c r="L72" i="5" s="1"/>
  <c r="D312" i="1"/>
  <c r="D72" i="5" s="1"/>
  <c r="K312" i="1"/>
  <c r="K72" i="5" s="1"/>
  <c r="H312" i="1"/>
  <c r="H72" i="5" s="1"/>
  <c r="G78" i="5"/>
  <c r="I312" i="1"/>
  <c r="I72" i="5" s="1"/>
  <c r="B112" i="1"/>
  <c r="N101" i="1"/>
  <c r="J9" i="6"/>
  <c r="B288" i="1"/>
  <c r="M47" i="66" l="1"/>
  <c r="M150" i="66" s="1"/>
  <c r="M148" i="66"/>
  <c r="J47" i="66"/>
  <c r="J150" i="66" s="1"/>
  <c r="J148" i="66"/>
  <c r="C47" i="66"/>
  <c r="C150" i="66" s="1"/>
  <c r="C148" i="66"/>
  <c r="N135" i="66"/>
  <c r="W135" i="66" s="1"/>
  <c r="AB135" i="66" s="1"/>
  <c r="W32" i="66"/>
  <c r="P29" i="65"/>
  <c r="T29" i="65" s="1"/>
  <c r="T25" i="65"/>
  <c r="L38" i="66"/>
  <c r="G38" i="66"/>
  <c r="B65" i="5"/>
  <c r="I23" i="57"/>
  <c r="T20" i="57"/>
  <c r="B168" i="5"/>
  <c r="B179" i="5" s="1"/>
  <c r="Q9" i="60"/>
  <c r="Q17" i="60" s="1"/>
  <c r="Q19" i="60" s="1"/>
  <c r="M78" i="5"/>
  <c r="D168" i="5"/>
  <c r="D23" i="66"/>
  <c r="D126" i="66" s="1"/>
  <c r="I25" i="66"/>
  <c r="I128" i="66" s="1"/>
  <c r="I179" i="5"/>
  <c r="H25" i="66"/>
  <c r="H128" i="66" s="1"/>
  <c r="H179" i="5"/>
  <c r="F179" i="5"/>
  <c r="F25" i="66"/>
  <c r="F128" i="66" s="1"/>
  <c r="J168" i="5"/>
  <c r="J23" i="66"/>
  <c r="J126" i="66" s="1"/>
  <c r="M25" i="66"/>
  <c r="M128" i="66" s="1"/>
  <c r="M179" i="5"/>
  <c r="K168" i="5"/>
  <c r="K23" i="66"/>
  <c r="K126" i="66" s="1"/>
  <c r="J78" i="5"/>
  <c r="C78" i="5"/>
  <c r="G14" i="6"/>
  <c r="T281" i="1"/>
  <c r="T287" i="1"/>
  <c r="U285" i="1"/>
  <c r="S27" i="60"/>
  <c r="L78" i="5"/>
  <c r="K78" i="5"/>
  <c r="D78" i="5"/>
  <c r="C21" i="60"/>
  <c r="R18" i="60"/>
  <c r="S18" i="60" s="1"/>
  <c r="J18" i="60"/>
  <c r="J18" i="6"/>
  <c r="R18" i="6"/>
  <c r="S18" i="6" s="1"/>
  <c r="Q21" i="6"/>
  <c r="H78" i="5"/>
  <c r="I78" i="5"/>
  <c r="T283" i="1"/>
  <c r="G14" i="60"/>
  <c r="N252" i="1"/>
  <c r="G20" i="60"/>
  <c r="N112" i="1"/>
  <c r="B299" i="1"/>
  <c r="A315" i="27"/>
  <c r="A311" i="27"/>
  <c r="A318" i="30"/>
  <c r="A314" i="30"/>
  <c r="A123" i="30"/>
  <c r="A124" i="30"/>
  <c r="A129" i="30"/>
  <c r="G50" i="66" l="1"/>
  <c r="G153" i="66" s="1"/>
  <c r="G141" i="66"/>
  <c r="L50" i="66"/>
  <c r="L153" i="66" s="1"/>
  <c r="L141" i="66"/>
  <c r="F38" i="66"/>
  <c r="I38" i="66"/>
  <c r="H38" i="66"/>
  <c r="M38" i="66"/>
  <c r="T23" i="57"/>
  <c r="I36" i="57"/>
  <c r="B25" i="66"/>
  <c r="R14" i="6"/>
  <c r="S14" i="6" s="1"/>
  <c r="G16" i="6"/>
  <c r="G17" i="6" s="1"/>
  <c r="G19" i="6" s="1"/>
  <c r="G21" i="6" s="1"/>
  <c r="G32" i="6" s="1"/>
  <c r="K179" i="5"/>
  <c r="K25" i="66"/>
  <c r="K128" i="66" s="1"/>
  <c r="J25" i="66"/>
  <c r="J128" i="66" s="1"/>
  <c r="J179" i="5"/>
  <c r="D179" i="5"/>
  <c r="D25" i="66"/>
  <c r="U287" i="1"/>
  <c r="U281" i="1"/>
  <c r="R20" i="60"/>
  <c r="S20" i="60" s="1"/>
  <c r="J20" i="60"/>
  <c r="Q32" i="6"/>
  <c r="R14" i="60"/>
  <c r="J14" i="60"/>
  <c r="G16" i="60"/>
  <c r="Q21" i="60"/>
  <c r="J20" i="6"/>
  <c r="R20" i="6"/>
  <c r="S20" i="6" s="1"/>
  <c r="C32" i="60"/>
  <c r="J14" i="6"/>
  <c r="N269" i="1"/>
  <c r="B269" i="1"/>
  <c r="U283" i="1"/>
  <c r="N253" i="1"/>
  <c r="B255" i="1"/>
  <c r="T284" i="1"/>
  <c r="A123" i="27"/>
  <c r="A124" i="27"/>
  <c r="B38" i="66" l="1"/>
  <c r="B128" i="66"/>
  <c r="M50" i="66"/>
  <c r="M153" i="66" s="1"/>
  <c r="M141" i="66"/>
  <c r="I50" i="66"/>
  <c r="I153" i="66" s="1"/>
  <c r="I141" i="66"/>
  <c r="F50" i="66"/>
  <c r="F153" i="66" s="1"/>
  <c r="F141" i="66"/>
  <c r="H50" i="66"/>
  <c r="H153" i="66" s="1"/>
  <c r="H141" i="66"/>
  <c r="D38" i="66"/>
  <c r="D141" i="66" s="1"/>
  <c r="D128" i="66"/>
  <c r="K38" i="66"/>
  <c r="J38" i="66"/>
  <c r="R16" i="6"/>
  <c r="R17" i="6" s="1"/>
  <c r="R19" i="6" s="1"/>
  <c r="R21" i="6" s="1"/>
  <c r="B257" i="1"/>
  <c r="B268" i="1" s="1"/>
  <c r="T286" i="1"/>
  <c r="Q32" i="60"/>
  <c r="J16" i="60"/>
  <c r="G17" i="60"/>
  <c r="S14" i="60"/>
  <c r="R16" i="60"/>
  <c r="J16" i="6"/>
  <c r="U284" i="1"/>
  <c r="N255" i="1"/>
  <c r="S19" i="6" l="1"/>
  <c r="B141" i="66"/>
  <c r="J50" i="66"/>
  <c r="J153" i="66" s="1"/>
  <c r="J141" i="66"/>
  <c r="K50" i="66"/>
  <c r="K153" i="66" s="1"/>
  <c r="K141" i="66"/>
  <c r="D50" i="66"/>
  <c r="D153" i="66" s="1"/>
  <c r="T288" i="1"/>
  <c r="T299" i="1"/>
  <c r="B309" i="1"/>
  <c r="R32" i="6"/>
  <c r="S21" i="6"/>
  <c r="R17" i="60"/>
  <c r="S16" i="60"/>
  <c r="G19" i="60"/>
  <c r="J17" i="60"/>
  <c r="J17" i="6"/>
  <c r="N257" i="1"/>
  <c r="N268" i="1" s="1"/>
  <c r="N309" i="1" s="1"/>
  <c r="N77" i="5" s="1"/>
  <c r="U286" i="1"/>
  <c r="AK76" i="21"/>
  <c r="AK158" i="21"/>
  <c r="AK159" i="21"/>
  <c r="AK160" i="21"/>
  <c r="AK192" i="21"/>
  <c r="AK257" i="21"/>
  <c r="AK258" i="21"/>
  <c r="AK259" i="21"/>
  <c r="AK260" i="21"/>
  <c r="AK261" i="21"/>
  <c r="AK262" i="21"/>
  <c r="AK263" i="21"/>
  <c r="AK264" i="21"/>
  <c r="AK265" i="21"/>
  <c r="N45" i="66" l="1"/>
  <c r="N47" i="66"/>
  <c r="N150" i="66" s="1"/>
  <c r="N148" i="66"/>
  <c r="B77" i="5"/>
  <c r="B312" i="1"/>
  <c r="B72" i="5" s="1"/>
  <c r="N312" i="1"/>
  <c r="N72" i="5" s="1"/>
  <c r="G21" i="60"/>
  <c r="J19" i="60"/>
  <c r="R19" i="60"/>
  <c r="S17" i="60"/>
  <c r="J19" i="6"/>
  <c r="U288" i="1"/>
  <c r="U299" i="1"/>
  <c r="B78" i="5" l="1"/>
  <c r="B45" i="66"/>
  <c r="R21" i="60"/>
  <c r="S19" i="60"/>
  <c r="G32" i="60"/>
  <c r="J32" i="60" s="1"/>
  <c r="J21" i="60"/>
  <c r="N78" i="5"/>
  <c r="J32" i="6"/>
  <c r="J21" i="6"/>
  <c r="B47" i="66" l="1"/>
  <c r="B148" i="66"/>
  <c r="R32" i="60"/>
  <c r="S32" i="60" s="1"/>
  <c r="S21" i="60"/>
  <c r="A312" i="30"/>
  <c r="A313" i="30"/>
  <c r="B50" i="66" l="1"/>
  <c r="B153" i="66" s="1"/>
  <c r="B150" i="66"/>
  <c r="A317" i="30"/>
  <c r="A130" i="30"/>
  <c r="A131" i="30"/>
  <c r="A132" i="30"/>
  <c r="A133" i="30"/>
  <c r="A134" i="30"/>
  <c r="A120" i="30"/>
  <c r="A121" i="30"/>
  <c r="A122" i="30"/>
  <c r="A130" i="27"/>
  <c r="A131" i="27"/>
  <c r="A132" i="27"/>
  <c r="A133" i="27"/>
  <c r="A134" i="27"/>
  <c r="A135" i="27"/>
  <c r="A136" i="27"/>
  <c r="A137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01" i="27" l="1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314" i="27" l="1"/>
  <c r="A310" i="27"/>
  <c r="A244" i="27"/>
  <c r="J10" i="55" l="1"/>
  <c r="J17" i="55"/>
  <c r="M22" i="55"/>
  <c r="I22" i="55"/>
  <c r="J22" i="55" s="1"/>
  <c r="I21" i="55"/>
  <c r="J21" i="55" s="1"/>
  <c r="I19" i="55"/>
  <c r="J19" i="55" s="1"/>
  <c r="I20" i="55"/>
  <c r="J20" i="55" s="1"/>
  <c r="I18" i="55"/>
  <c r="I17" i="55"/>
  <c r="I15" i="55"/>
  <c r="J15" i="55"/>
  <c r="I16" i="55"/>
  <c r="J16" i="55"/>
  <c r="I14" i="55"/>
  <c r="J14" i="55" s="1"/>
  <c r="I13" i="55"/>
  <c r="J13" i="55" s="1"/>
  <c r="I12" i="55"/>
  <c r="J12" i="55" s="1"/>
  <c r="N11" i="55"/>
  <c r="M11" i="55"/>
  <c r="G11" i="55"/>
  <c r="I10" i="55"/>
  <c r="I11" i="55"/>
  <c r="J11" i="55" s="1"/>
  <c r="I9" i="55"/>
  <c r="J9" i="55" s="1"/>
  <c r="J8" i="55"/>
  <c r="J18" i="55"/>
  <c r="J23" i="55"/>
  <c r="J24" i="55"/>
  <c r="J25" i="55"/>
  <c r="J26" i="55"/>
  <c r="J27" i="55"/>
  <c r="J28" i="55"/>
  <c r="J29" i="55"/>
  <c r="J30" i="55"/>
  <c r="J31" i="55"/>
  <c r="J32" i="55"/>
  <c r="J33" i="55"/>
  <c r="J34" i="55"/>
  <c r="J35" i="55"/>
  <c r="I8" i="55"/>
  <c r="M7" i="55"/>
  <c r="P3" i="55"/>
  <c r="J7" i="55"/>
  <c r="I7" i="55"/>
  <c r="A316" i="30" l="1"/>
  <c r="A119" i="30"/>
  <c r="A135" i="30"/>
  <c r="A313" i="27" l="1"/>
  <c r="A309" i="27"/>
  <c r="A100" i="27"/>
  <c r="M242" i="30" l="1"/>
  <c r="M243" i="30"/>
  <c r="M244" i="30"/>
  <c r="M245" i="30"/>
  <c r="M246" i="30"/>
  <c r="M247" i="30"/>
  <c r="M248" i="30"/>
  <c r="M249" i="30"/>
  <c r="M250" i="30"/>
  <c r="M251" i="30"/>
  <c r="M252" i="30"/>
  <c r="M253" i="30"/>
  <c r="M254" i="30"/>
  <c r="M255" i="30"/>
  <c r="M256" i="30"/>
  <c r="M257" i="30"/>
  <c r="M258" i="30"/>
  <c r="M259" i="30"/>
  <c r="M260" i="30"/>
  <c r="M261" i="30"/>
  <c r="M262" i="30"/>
  <c r="M263" i="30"/>
  <c r="M264" i="30"/>
  <c r="M265" i="30"/>
  <c r="M266" i="30"/>
  <c r="M267" i="30"/>
  <c r="M268" i="30"/>
  <c r="M269" i="30"/>
  <c r="M270" i="30"/>
  <c r="M271" i="30"/>
  <c r="M272" i="30"/>
  <c r="M273" i="30"/>
  <c r="M274" i="30"/>
  <c r="M275" i="30"/>
  <c r="M276" i="30"/>
  <c r="M277" i="30"/>
  <c r="M278" i="30"/>
  <c r="M279" i="30"/>
  <c r="M280" i="30"/>
  <c r="M281" i="30"/>
  <c r="M282" i="30"/>
  <c r="M283" i="30"/>
  <c r="M284" i="30"/>
  <c r="M285" i="30"/>
  <c r="M286" i="30"/>
  <c r="M287" i="30"/>
  <c r="M288" i="30"/>
  <c r="M289" i="30"/>
  <c r="M290" i="30"/>
  <c r="M291" i="30"/>
  <c r="M292" i="30"/>
  <c r="M293" i="30"/>
  <c r="M294" i="30"/>
  <c r="M295" i="30"/>
  <c r="M296" i="30"/>
  <c r="M297" i="30"/>
  <c r="M298" i="30"/>
  <c r="M299" i="30"/>
  <c r="M300" i="30"/>
  <c r="M301" i="30"/>
  <c r="M302" i="30"/>
  <c r="M303" i="30"/>
  <c r="M304" i="30"/>
  <c r="M305" i="30"/>
  <c r="M306" i="30"/>
  <c r="M307" i="30"/>
  <c r="M308" i="30"/>
  <c r="M309" i="30"/>
  <c r="M310" i="30"/>
  <c r="M311" i="30"/>
  <c r="M312" i="30"/>
  <c r="M313" i="30"/>
  <c r="M314" i="30"/>
  <c r="M315" i="30"/>
  <c r="M241" i="30"/>
  <c r="M15" i="30"/>
  <c r="M16" i="30"/>
  <c r="M17" i="30"/>
  <c r="M18" i="30"/>
  <c r="M19" i="30"/>
  <c r="M20" i="30"/>
  <c r="M21" i="30"/>
  <c r="M22" i="30"/>
  <c r="M23" i="30"/>
  <c r="M24" i="30"/>
  <c r="M25" i="30"/>
  <c r="M26" i="30"/>
  <c r="M27" i="30"/>
  <c r="M28" i="30"/>
  <c r="M29" i="30"/>
  <c r="M30" i="30"/>
  <c r="M31" i="30"/>
  <c r="M32" i="30"/>
  <c r="M33" i="30"/>
  <c r="M34" i="30"/>
  <c r="M35" i="30"/>
  <c r="M36" i="30"/>
  <c r="M37" i="30"/>
  <c r="M38" i="30"/>
  <c r="M39" i="30"/>
  <c r="M40" i="30"/>
  <c r="M41" i="30"/>
  <c r="M42" i="30"/>
  <c r="M43" i="30"/>
  <c r="M44" i="30"/>
  <c r="M45" i="30"/>
  <c r="M46" i="30"/>
  <c r="M47" i="30"/>
  <c r="M48" i="30"/>
  <c r="M49" i="30"/>
  <c r="M50" i="30"/>
  <c r="M51" i="30"/>
  <c r="M52" i="30"/>
  <c r="M53" i="30"/>
  <c r="M54" i="30"/>
  <c r="M55" i="30"/>
  <c r="M56" i="30"/>
  <c r="M57" i="30"/>
  <c r="M58" i="30"/>
  <c r="M59" i="30"/>
  <c r="M60" i="30"/>
  <c r="M61" i="30"/>
  <c r="M62" i="30"/>
  <c r="M63" i="30"/>
  <c r="M64" i="30"/>
  <c r="M65" i="30"/>
  <c r="M66" i="30"/>
  <c r="M67" i="30"/>
  <c r="M68" i="30"/>
  <c r="M69" i="30"/>
  <c r="M70" i="30"/>
  <c r="M71" i="30"/>
  <c r="M72" i="30"/>
  <c r="M73" i="30"/>
  <c r="M74" i="30"/>
  <c r="M75" i="30"/>
  <c r="M76" i="30"/>
  <c r="M77" i="30"/>
  <c r="M78" i="30"/>
  <c r="M79" i="30"/>
  <c r="M80" i="30"/>
  <c r="M81" i="30"/>
  <c r="M82" i="30"/>
  <c r="M83" i="30"/>
  <c r="M84" i="30"/>
  <c r="M85" i="30"/>
  <c r="M86" i="30"/>
  <c r="M87" i="30"/>
  <c r="M88" i="30"/>
  <c r="M89" i="30"/>
  <c r="M90" i="30"/>
  <c r="M91" i="30"/>
  <c r="M92" i="30"/>
  <c r="M93" i="30"/>
  <c r="M94" i="30"/>
  <c r="M95" i="30"/>
  <c r="M96" i="30"/>
  <c r="M97" i="30"/>
  <c r="M98" i="30"/>
  <c r="M99" i="30"/>
  <c r="M100" i="30"/>
  <c r="M101" i="30"/>
  <c r="M102" i="30"/>
  <c r="M103" i="30"/>
  <c r="M104" i="30"/>
  <c r="M105" i="30"/>
  <c r="M106" i="30"/>
  <c r="M107" i="30"/>
  <c r="M108" i="30"/>
  <c r="M109" i="30"/>
  <c r="M110" i="30"/>
  <c r="M111" i="30"/>
  <c r="M112" i="30"/>
  <c r="M113" i="30"/>
  <c r="M114" i="30"/>
  <c r="M115" i="30"/>
  <c r="M116" i="30"/>
  <c r="M117" i="30"/>
  <c r="M118" i="30"/>
  <c r="M136" i="30"/>
  <c r="M137" i="30"/>
  <c r="M138" i="30"/>
  <c r="M139" i="30"/>
  <c r="M140" i="30"/>
  <c r="M141" i="30"/>
  <c r="M142" i="30"/>
  <c r="M143" i="30"/>
  <c r="M144" i="30"/>
  <c r="M145" i="30"/>
  <c r="M146" i="30"/>
  <c r="M147" i="30"/>
  <c r="M148" i="30"/>
  <c r="M149" i="30"/>
  <c r="M150" i="30"/>
  <c r="M151" i="30"/>
  <c r="M152" i="30"/>
  <c r="M153" i="30"/>
  <c r="M154" i="30"/>
  <c r="M155" i="30"/>
  <c r="M156" i="30"/>
  <c r="M157" i="30"/>
  <c r="M158" i="30"/>
  <c r="M159" i="30"/>
  <c r="M160" i="30"/>
  <c r="M161" i="30"/>
  <c r="M162" i="30"/>
  <c r="M163" i="30"/>
  <c r="M164" i="30"/>
  <c r="M165" i="30"/>
  <c r="M166" i="30"/>
  <c r="M167" i="30"/>
  <c r="M168" i="30"/>
  <c r="M169" i="30"/>
  <c r="M170" i="30"/>
  <c r="M171" i="30"/>
  <c r="M172" i="30"/>
  <c r="M173" i="30"/>
  <c r="M174" i="30"/>
  <c r="M175" i="30"/>
  <c r="M176" i="30"/>
  <c r="M177" i="30"/>
  <c r="M178" i="30"/>
  <c r="M179" i="30"/>
  <c r="M180" i="30"/>
  <c r="M181" i="30"/>
  <c r="M182" i="30"/>
  <c r="M183" i="30"/>
  <c r="M184" i="30"/>
  <c r="M185" i="30"/>
  <c r="M186" i="30"/>
  <c r="M187" i="30"/>
  <c r="M188" i="30"/>
  <c r="M189" i="30"/>
  <c r="M190" i="30"/>
  <c r="M191" i="30"/>
  <c r="M192" i="30"/>
  <c r="M193" i="30"/>
  <c r="M194" i="30"/>
  <c r="M195" i="30"/>
  <c r="M196" i="30"/>
  <c r="M197" i="30"/>
  <c r="M198" i="30"/>
  <c r="M199" i="30"/>
  <c r="M200" i="30"/>
  <c r="M201" i="30"/>
  <c r="M202" i="30"/>
  <c r="M203" i="30"/>
  <c r="M204" i="30"/>
  <c r="M205" i="30"/>
  <c r="M206" i="30"/>
  <c r="M207" i="30"/>
  <c r="M208" i="30"/>
  <c r="M209" i="30"/>
  <c r="M210" i="30"/>
  <c r="M211" i="30"/>
  <c r="M212" i="30"/>
  <c r="M213" i="30"/>
  <c r="M214" i="30"/>
  <c r="M215" i="30"/>
  <c r="M216" i="30"/>
  <c r="M217" i="30"/>
  <c r="M218" i="30"/>
  <c r="M219" i="30"/>
  <c r="M220" i="30"/>
  <c r="M221" i="30"/>
  <c r="M222" i="30"/>
  <c r="M223" i="30"/>
  <c r="M224" i="30"/>
  <c r="M225" i="30"/>
  <c r="M226" i="30"/>
  <c r="M227" i="30"/>
  <c r="M228" i="30"/>
  <c r="M229" i="30"/>
  <c r="M230" i="30"/>
  <c r="M231" i="30"/>
  <c r="M232" i="30"/>
  <c r="M233" i="30"/>
  <c r="M234" i="30"/>
  <c r="M14" i="30"/>
  <c r="A305" i="21"/>
  <c r="A301" i="21"/>
  <c r="M239" i="27"/>
  <c r="M240" i="27"/>
  <c r="M241" i="27"/>
  <c r="M242" i="27"/>
  <c r="M243" i="27"/>
  <c r="M244" i="27"/>
  <c r="M245" i="27"/>
  <c r="M246" i="27"/>
  <c r="M247" i="27"/>
  <c r="M248" i="27"/>
  <c r="M249" i="27"/>
  <c r="M250" i="27"/>
  <c r="M251" i="27"/>
  <c r="M252" i="27"/>
  <c r="M253" i="27"/>
  <c r="M254" i="27"/>
  <c r="M255" i="27"/>
  <c r="M256" i="27"/>
  <c r="M257" i="27"/>
  <c r="M258" i="27"/>
  <c r="M259" i="27"/>
  <c r="M260" i="27"/>
  <c r="M261" i="27"/>
  <c r="M262" i="27"/>
  <c r="M263" i="27"/>
  <c r="M264" i="27"/>
  <c r="M265" i="27"/>
  <c r="M266" i="27"/>
  <c r="M267" i="27"/>
  <c r="M268" i="27"/>
  <c r="M269" i="27"/>
  <c r="M270" i="27"/>
  <c r="M271" i="27"/>
  <c r="M272" i="27"/>
  <c r="M273" i="27"/>
  <c r="M274" i="27"/>
  <c r="M275" i="27"/>
  <c r="M276" i="27"/>
  <c r="M277" i="27"/>
  <c r="M278" i="27"/>
  <c r="M279" i="27"/>
  <c r="M280" i="27"/>
  <c r="M281" i="27"/>
  <c r="M282" i="27"/>
  <c r="M283" i="27"/>
  <c r="M284" i="27"/>
  <c r="M285" i="27"/>
  <c r="M286" i="27"/>
  <c r="M287" i="27"/>
  <c r="M288" i="27"/>
  <c r="M289" i="27"/>
  <c r="M290" i="27"/>
  <c r="M291" i="27"/>
  <c r="M292" i="27"/>
  <c r="M293" i="27"/>
  <c r="M294" i="27"/>
  <c r="M295" i="27"/>
  <c r="M296" i="27"/>
  <c r="M297" i="27"/>
  <c r="M298" i="27"/>
  <c r="M299" i="27"/>
  <c r="M300" i="27"/>
  <c r="M301" i="27"/>
  <c r="M302" i="27"/>
  <c r="M303" i="27"/>
  <c r="M304" i="27"/>
  <c r="M305" i="27"/>
  <c r="M306" i="27"/>
  <c r="M307" i="27"/>
  <c r="M308" i="27"/>
  <c r="M309" i="27"/>
  <c r="M310" i="27"/>
  <c r="M311" i="27"/>
  <c r="M312" i="27"/>
  <c r="M238" i="27"/>
  <c r="A144" i="21"/>
  <c r="M75" i="27"/>
  <c r="M76" i="27"/>
  <c r="M77" i="27"/>
  <c r="M78" i="27"/>
  <c r="M79" i="27"/>
  <c r="M80" i="27"/>
  <c r="M81" i="27"/>
  <c r="M82" i="27"/>
  <c r="M83" i="27"/>
  <c r="M84" i="27"/>
  <c r="M85" i="27"/>
  <c r="M86" i="27"/>
  <c r="M87" i="27"/>
  <c r="M88" i="27"/>
  <c r="M89" i="27"/>
  <c r="M90" i="27"/>
  <c r="M91" i="27"/>
  <c r="M92" i="27"/>
  <c r="M93" i="27"/>
  <c r="M94" i="27"/>
  <c r="M95" i="27"/>
  <c r="M96" i="27"/>
  <c r="M97" i="27"/>
  <c r="M98" i="27"/>
  <c r="M99" i="27"/>
  <c r="M104" i="27"/>
  <c r="M105" i="27"/>
  <c r="M106" i="27"/>
  <c r="M107" i="27"/>
  <c r="M108" i="27"/>
  <c r="M109" i="27"/>
  <c r="M110" i="27"/>
  <c r="M111" i="27"/>
  <c r="M112" i="27"/>
  <c r="M113" i="27"/>
  <c r="M114" i="27"/>
  <c r="M115" i="27"/>
  <c r="M116" i="27"/>
  <c r="M117" i="27"/>
  <c r="M118" i="27"/>
  <c r="M119" i="27"/>
  <c r="M120" i="27"/>
  <c r="M121" i="27"/>
  <c r="M122" i="27"/>
  <c r="M155" i="27"/>
  <c r="M156" i="27"/>
  <c r="M157" i="27"/>
  <c r="M158" i="27"/>
  <c r="M159" i="27"/>
  <c r="M160" i="27"/>
  <c r="M161" i="27"/>
  <c r="M162" i="27"/>
  <c r="M163" i="27"/>
  <c r="M164" i="27"/>
  <c r="M165" i="27"/>
  <c r="M166" i="27"/>
  <c r="M167" i="27"/>
  <c r="M168" i="27"/>
  <c r="M169" i="27"/>
  <c r="M170" i="27"/>
  <c r="M171" i="27"/>
  <c r="M172" i="27"/>
  <c r="M173" i="27"/>
  <c r="M174" i="27"/>
  <c r="M175" i="27"/>
  <c r="M176" i="27"/>
  <c r="M177" i="27"/>
  <c r="M178" i="27"/>
  <c r="M179" i="27"/>
  <c r="M180" i="27"/>
  <c r="M181" i="27"/>
  <c r="M182" i="27"/>
  <c r="M183" i="27"/>
  <c r="M184" i="27"/>
  <c r="M185" i="27"/>
  <c r="M186" i="27"/>
  <c r="M187" i="27"/>
  <c r="M188" i="27"/>
  <c r="M189" i="27"/>
  <c r="M190" i="27"/>
  <c r="M191" i="27"/>
  <c r="M192" i="27"/>
  <c r="M193" i="27"/>
  <c r="M194" i="27"/>
  <c r="M195" i="27"/>
  <c r="M196" i="27"/>
  <c r="M197" i="27"/>
  <c r="M198" i="27"/>
  <c r="M199" i="27"/>
  <c r="M200" i="27"/>
  <c r="M201" i="27"/>
  <c r="M202" i="27"/>
  <c r="M203" i="27"/>
  <c r="M204" i="27"/>
  <c r="M205" i="27"/>
  <c r="M206" i="27"/>
  <c r="M207" i="27"/>
  <c r="M208" i="27"/>
  <c r="M209" i="27"/>
  <c r="M210" i="27"/>
  <c r="M211" i="27"/>
  <c r="M212" i="27"/>
  <c r="M213" i="27"/>
  <c r="M214" i="27"/>
  <c r="M215" i="27"/>
  <c r="M216" i="27"/>
  <c r="M217" i="27"/>
  <c r="M218" i="27"/>
  <c r="M219" i="27"/>
  <c r="M220" i="27"/>
  <c r="M221" i="27"/>
  <c r="M222" i="27"/>
  <c r="M223" i="27"/>
  <c r="M224" i="27"/>
  <c r="M225" i="27"/>
  <c r="M226" i="27"/>
  <c r="M227" i="27"/>
  <c r="M228" i="27"/>
  <c r="M229" i="27"/>
  <c r="M230" i="27"/>
  <c r="M231" i="27"/>
  <c r="M232" i="27"/>
  <c r="M233" i="27"/>
  <c r="M234" i="27"/>
  <c r="A99" i="21"/>
  <c r="A74" i="21"/>
  <c r="M15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0" i="27"/>
  <c r="M31" i="27"/>
  <c r="M32" i="27"/>
  <c r="M33" i="27"/>
  <c r="M34" i="27"/>
  <c r="M35" i="27"/>
  <c r="M36" i="27"/>
  <c r="M37" i="27"/>
  <c r="M38" i="27"/>
  <c r="M39" i="27"/>
  <c r="M40" i="27"/>
  <c r="M41" i="27"/>
  <c r="M42" i="27"/>
  <c r="M43" i="27"/>
  <c r="M44" i="27"/>
  <c r="M45" i="27"/>
  <c r="M46" i="27"/>
  <c r="M47" i="27"/>
  <c r="M48" i="27"/>
  <c r="M49" i="27"/>
  <c r="M50" i="27"/>
  <c r="M51" i="27"/>
  <c r="M52" i="27"/>
  <c r="M53" i="27"/>
  <c r="M54" i="27"/>
  <c r="M55" i="27"/>
  <c r="M56" i="27"/>
  <c r="M57" i="27"/>
  <c r="M58" i="27"/>
  <c r="M59" i="27"/>
  <c r="M60" i="27"/>
  <c r="M61" i="27"/>
  <c r="M62" i="27"/>
  <c r="M63" i="27"/>
  <c r="M64" i="27"/>
  <c r="M65" i="27"/>
  <c r="M66" i="27"/>
  <c r="M67" i="27"/>
  <c r="M68" i="27"/>
  <c r="M69" i="27"/>
  <c r="M70" i="27"/>
  <c r="M71" i="27"/>
  <c r="M72" i="27"/>
  <c r="M73" i="27"/>
  <c r="M74" i="27"/>
  <c r="M14" i="27"/>
  <c r="C320" i="30" l="1"/>
  <c r="A118" i="30" l="1"/>
  <c r="L118" i="30" s="1"/>
  <c r="A140" i="30"/>
  <c r="L140" i="30" s="1"/>
  <c r="A141" i="30"/>
  <c r="L141" i="30" s="1"/>
  <c r="A142" i="30"/>
  <c r="L142" i="30" s="1"/>
  <c r="A143" i="30"/>
  <c r="L143" i="30" s="1"/>
  <c r="A144" i="30"/>
  <c r="L144" i="30" s="1"/>
  <c r="A145" i="30"/>
  <c r="L145" i="30" s="1"/>
  <c r="A146" i="30"/>
  <c r="L146" i="30" s="1"/>
  <c r="A147" i="30"/>
  <c r="L147" i="30" s="1"/>
  <c r="A148" i="30"/>
  <c r="L148" i="30" s="1"/>
  <c r="A149" i="30"/>
  <c r="L149" i="30" s="1"/>
  <c r="A150" i="30"/>
  <c r="L150" i="30" s="1"/>
  <c r="A151" i="30"/>
  <c r="L151" i="30" s="1"/>
  <c r="A152" i="30"/>
  <c r="L152" i="30" s="1"/>
  <c r="A153" i="30"/>
  <c r="L153" i="30" s="1"/>
  <c r="A154" i="30"/>
  <c r="L154" i="30" s="1"/>
  <c r="A155" i="30"/>
  <c r="L155" i="30" s="1"/>
  <c r="A156" i="30"/>
  <c r="L156" i="30" s="1"/>
  <c r="A157" i="30"/>
  <c r="L157" i="30" s="1"/>
  <c r="A158" i="30"/>
  <c r="L158" i="30" s="1"/>
  <c r="A159" i="30"/>
  <c r="L159" i="30" s="1"/>
  <c r="A160" i="30"/>
  <c r="L160" i="30" s="1"/>
  <c r="A161" i="30"/>
  <c r="L161" i="30" s="1"/>
  <c r="A162" i="30"/>
  <c r="L162" i="30" s="1"/>
  <c r="A163" i="30"/>
  <c r="L163" i="30" s="1"/>
  <c r="A164" i="30"/>
  <c r="L164" i="30" s="1"/>
  <c r="A165" i="30"/>
  <c r="L165" i="30" s="1"/>
  <c r="A166" i="30"/>
  <c r="L166" i="30" s="1"/>
  <c r="A167" i="30"/>
  <c r="L167" i="30" s="1"/>
  <c r="A168" i="30"/>
  <c r="L168" i="30" s="1"/>
  <c r="A169" i="30"/>
  <c r="L169" i="30" s="1"/>
  <c r="A170" i="30"/>
  <c r="L170" i="30" s="1"/>
  <c r="A171" i="30"/>
  <c r="L171" i="30" s="1"/>
  <c r="A172" i="30"/>
  <c r="L172" i="30" s="1"/>
  <c r="A173" i="30"/>
  <c r="L173" i="30" s="1"/>
  <c r="A174" i="30"/>
  <c r="L174" i="30" s="1"/>
  <c r="A175" i="30"/>
  <c r="L175" i="30" s="1"/>
  <c r="A176" i="30"/>
  <c r="L176" i="30" s="1"/>
  <c r="A177" i="30"/>
  <c r="L177" i="30" s="1"/>
  <c r="A178" i="30"/>
  <c r="L178" i="30" s="1"/>
  <c r="A179" i="30"/>
  <c r="L179" i="30" s="1"/>
  <c r="A180" i="30"/>
  <c r="L180" i="30" s="1"/>
  <c r="A181" i="30"/>
  <c r="L181" i="30" s="1"/>
  <c r="A182" i="30"/>
  <c r="L182" i="30" s="1"/>
  <c r="A183" i="30"/>
  <c r="L183" i="30" s="1"/>
  <c r="A184" i="30"/>
  <c r="L184" i="30" s="1"/>
  <c r="A185" i="30"/>
  <c r="L185" i="30" s="1"/>
  <c r="A186" i="30"/>
  <c r="L186" i="30" s="1"/>
  <c r="A187" i="30"/>
  <c r="L187" i="30" s="1"/>
  <c r="A188" i="30"/>
  <c r="L188" i="30" s="1"/>
  <c r="A189" i="30"/>
  <c r="L189" i="30" s="1"/>
  <c r="A190" i="30"/>
  <c r="L190" i="30" s="1"/>
  <c r="A191" i="30"/>
  <c r="L191" i="30" s="1"/>
  <c r="A192" i="30"/>
  <c r="L192" i="30" s="1"/>
  <c r="A193" i="30"/>
  <c r="L193" i="30" s="1"/>
  <c r="A194" i="30"/>
  <c r="L194" i="30" s="1"/>
  <c r="A195" i="30"/>
  <c r="L195" i="30" s="1"/>
  <c r="A196" i="30"/>
  <c r="L196" i="30" s="1"/>
  <c r="A197" i="30"/>
  <c r="L197" i="30" s="1"/>
  <c r="A198" i="30"/>
  <c r="L198" i="30" s="1"/>
  <c r="A199" i="30"/>
  <c r="L199" i="30" s="1"/>
  <c r="A200" i="30"/>
  <c r="L200" i="30" s="1"/>
  <c r="A201" i="30"/>
  <c r="L201" i="30" s="1"/>
  <c r="A202" i="30"/>
  <c r="L202" i="30" s="1"/>
  <c r="A203" i="30"/>
  <c r="L203" i="30" s="1"/>
  <c r="A204" i="30"/>
  <c r="L204" i="30" s="1"/>
  <c r="A205" i="30"/>
  <c r="L205" i="30" s="1"/>
  <c r="A206" i="30"/>
  <c r="L206" i="30" s="1"/>
  <c r="A207" i="30"/>
  <c r="L207" i="30" s="1"/>
  <c r="A208" i="30"/>
  <c r="L208" i="30" s="1"/>
  <c r="A209" i="30"/>
  <c r="L209" i="30" s="1"/>
  <c r="A210" i="30"/>
  <c r="L210" i="30" s="1"/>
  <c r="A211" i="30"/>
  <c r="L211" i="30" s="1"/>
  <c r="A212" i="30"/>
  <c r="L212" i="30" s="1"/>
  <c r="A213" i="30"/>
  <c r="L213" i="30" s="1"/>
  <c r="A214" i="30"/>
  <c r="L214" i="30" s="1"/>
  <c r="A215" i="30"/>
  <c r="L215" i="30" s="1"/>
  <c r="A216" i="30"/>
  <c r="L216" i="30" s="1"/>
  <c r="A217" i="30"/>
  <c r="L217" i="30" s="1"/>
  <c r="A218" i="30"/>
  <c r="L218" i="30" s="1"/>
  <c r="A219" i="30"/>
  <c r="L219" i="30" s="1"/>
  <c r="A220" i="30"/>
  <c r="L220" i="30" s="1"/>
  <c r="A221" i="30"/>
  <c r="L221" i="30" s="1"/>
  <c r="A222" i="30"/>
  <c r="L222" i="30" s="1"/>
  <c r="A223" i="30"/>
  <c r="L223" i="30" s="1"/>
  <c r="A224" i="30"/>
  <c r="L224" i="30" s="1"/>
  <c r="A225" i="30"/>
  <c r="L225" i="30" s="1"/>
  <c r="A226" i="30"/>
  <c r="L226" i="30" s="1"/>
  <c r="A227" i="30"/>
  <c r="L227" i="30" s="1"/>
  <c r="A228" i="30"/>
  <c r="L228" i="30" s="1"/>
  <c r="A229" i="30"/>
  <c r="L229" i="30" s="1"/>
  <c r="A230" i="30"/>
  <c r="L230" i="30" s="1"/>
  <c r="A231" i="30"/>
  <c r="L231" i="30" s="1"/>
  <c r="A232" i="30"/>
  <c r="L232" i="30" s="1"/>
  <c r="A233" i="30"/>
  <c r="L233" i="30" s="1"/>
  <c r="A234" i="30"/>
  <c r="L234" i="30" s="1"/>
  <c r="A136" i="30"/>
  <c r="L136" i="30" s="1"/>
  <c r="A137" i="30"/>
  <c r="L137" i="30" s="1"/>
  <c r="A138" i="30"/>
  <c r="L138" i="30" s="1"/>
  <c r="A99" i="27" l="1"/>
  <c r="L314" i="30" l="1"/>
  <c r="A315" i="30"/>
  <c r="L315" i="30" s="1"/>
  <c r="A304" i="30"/>
  <c r="L304" i="30" s="1"/>
  <c r="A305" i="30"/>
  <c r="L305" i="30" s="1"/>
  <c r="A306" i="30"/>
  <c r="L306" i="30" s="1"/>
  <c r="A307" i="30"/>
  <c r="L307" i="30" s="1"/>
  <c r="A308" i="30"/>
  <c r="L308" i="30" s="1"/>
  <c r="A309" i="30"/>
  <c r="L309" i="30" s="1"/>
  <c r="A310" i="30"/>
  <c r="L310" i="30" s="1"/>
  <c r="A311" i="30"/>
  <c r="L311" i="30" s="1"/>
  <c r="A117" i="30"/>
  <c r="L117" i="30" s="1"/>
  <c r="A301" i="27" l="1"/>
  <c r="A302" i="27"/>
  <c r="A303" i="27"/>
  <c r="A304" i="27"/>
  <c r="A305" i="27"/>
  <c r="A306" i="27"/>
  <c r="A307" i="27"/>
  <c r="A308" i="27"/>
  <c r="A312" i="27"/>
  <c r="A303" i="30" l="1"/>
  <c r="L303" i="30" s="1"/>
  <c r="L312" i="30"/>
  <c r="L313" i="30"/>
  <c r="A139" i="30"/>
  <c r="L139" i="30" s="1"/>
  <c r="A114" i="30"/>
  <c r="L114" i="30" s="1"/>
  <c r="A115" i="30"/>
  <c r="L115" i="30" s="1"/>
  <c r="A116" i="30"/>
  <c r="L116" i="30" s="1"/>
  <c r="A300" i="27" l="1"/>
  <c r="A299" i="27"/>
  <c r="A158" i="21" l="1"/>
  <c r="A159" i="21"/>
  <c r="A160" i="21"/>
  <c r="A310" i="21" l="1"/>
  <c r="A301" i="30" l="1"/>
  <c r="L301" i="30" s="1"/>
  <c r="A302" i="30"/>
  <c r="L302" i="30" s="1"/>
  <c r="A112" i="30"/>
  <c r="L112" i="30" s="1"/>
  <c r="A113" i="30"/>
  <c r="L113" i="30" s="1"/>
  <c r="A298" i="27"/>
  <c r="AF268" i="21" l="1"/>
  <c r="A171" i="27" l="1"/>
  <c r="A55" i="30"/>
  <c r="L55" i="30" s="1"/>
  <c r="A297" i="27" l="1"/>
  <c r="A229" i="27"/>
  <c r="A230" i="27"/>
  <c r="A231" i="27"/>
  <c r="A232" i="27"/>
  <c r="A233" i="27"/>
  <c r="A234" i="27"/>
  <c r="A98" i="27"/>
  <c r="A325" i="21" l="1"/>
  <c r="M2" i="21" l="1"/>
  <c r="N2" i="21"/>
  <c r="A174" i="27" l="1"/>
  <c r="A175" i="27"/>
  <c r="A296" i="27" l="1"/>
  <c r="A297" i="30"/>
  <c r="L297" i="30" s="1"/>
  <c r="A298" i="30"/>
  <c r="L298" i="30" s="1"/>
  <c r="A299" i="30"/>
  <c r="L299" i="30" s="1"/>
  <c r="A300" i="30"/>
  <c r="L300" i="30" s="1"/>
  <c r="A111" i="30" l="1"/>
  <c r="L111" i="30" s="1"/>
  <c r="A291" i="21" l="1"/>
  <c r="A289" i="21"/>
  <c r="A284" i="21"/>
  <c r="A192" i="21"/>
  <c r="A76" i="21"/>
  <c r="A267" i="30" l="1"/>
  <c r="L267" i="30" s="1"/>
  <c r="A266" i="30"/>
  <c r="L266" i="30" s="1"/>
  <c r="A265" i="30"/>
  <c r="L265" i="30" s="1"/>
  <c r="A47" i="30"/>
  <c r="L47" i="30" s="1"/>
  <c r="A46" i="30"/>
  <c r="L46" i="30" s="1"/>
  <c r="A67" i="30"/>
  <c r="L67" i="30" s="1"/>
  <c r="A190" i="27"/>
  <c r="A176" i="27"/>
  <c r="A270" i="27" l="1"/>
  <c r="A271" i="27"/>
  <c r="A272" i="27"/>
  <c r="A273" i="27"/>
  <c r="A274" i="27"/>
  <c r="A275" i="27"/>
  <c r="A276" i="27"/>
  <c r="A277" i="27"/>
  <c r="A278" i="27"/>
  <c r="A279" i="27"/>
  <c r="A280" i="27"/>
  <c r="A281" i="27"/>
  <c r="A282" i="27"/>
  <c r="A283" i="27"/>
  <c r="A284" i="27"/>
  <c r="A285" i="27"/>
  <c r="A286" i="27"/>
  <c r="A287" i="27"/>
  <c r="A288" i="27"/>
  <c r="A289" i="27"/>
  <c r="A290" i="27"/>
  <c r="A291" i="27"/>
  <c r="A292" i="27"/>
  <c r="A293" i="27"/>
  <c r="A294" i="27"/>
  <c r="A295" i="27"/>
  <c r="A97" i="27" l="1"/>
  <c r="A96" i="27"/>
  <c r="A15" i="27" l="1"/>
  <c r="A327" i="21"/>
  <c r="A326" i="21"/>
  <c r="A324" i="21"/>
  <c r="A302" i="21"/>
  <c r="A300" i="21"/>
  <c r="A297" i="21"/>
  <c r="A296" i="21"/>
  <c r="A293" i="21"/>
  <c r="A281" i="21"/>
  <c r="E31" i="36" l="1"/>
  <c r="E32" i="36"/>
  <c r="E33" i="36"/>
  <c r="E34" i="36"/>
  <c r="E35" i="36"/>
  <c r="E36" i="36"/>
  <c r="E37" i="36"/>
  <c r="E38" i="36"/>
  <c r="E39" i="36"/>
  <c r="E40" i="36"/>
  <c r="E41" i="36"/>
  <c r="E42" i="36"/>
  <c r="E43" i="36"/>
  <c r="A270" i="30" l="1"/>
  <c r="L270" i="30" s="1"/>
  <c r="A271" i="30"/>
  <c r="L271" i="30" s="1"/>
  <c r="A272" i="30"/>
  <c r="L272" i="30" s="1"/>
  <c r="A273" i="30"/>
  <c r="L273" i="30" s="1"/>
  <c r="A274" i="30"/>
  <c r="L274" i="30" s="1"/>
  <c r="A275" i="30"/>
  <c r="L275" i="30" s="1"/>
  <c r="A276" i="30"/>
  <c r="L276" i="30" s="1"/>
  <c r="A277" i="30"/>
  <c r="L277" i="30" s="1"/>
  <c r="A293" i="30"/>
  <c r="L293" i="30" s="1"/>
  <c r="A294" i="30"/>
  <c r="L294" i="30" s="1"/>
  <c r="A102" i="30"/>
  <c r="L102" i="30" s="1"/>
  <c r="A103" i="30"/>
  <c r="L103" i="30" s="1"/>
  <c r="A104" i="30"/>
  <c r="L104" i="30" s="1"/>
  <c r="A105" i="30"/>
  <c r="L105" i="30" s="1"/>
  <c r="A224" i="27"/>
  <c r="A225" i="27"/>
  <c r="A226" i="27"/>
  <c r="A264" i="27" l="1"/>
  <c r="A265" i="27"/>
  <c r="A266" i="27"/>
  <c r="A267" i="27"/>
  <c r="A268" i="27"/>
  <c r="A269" i="27"/>
  <c r="A285" i="21" l="1"/>
  <c r="A286" i="21"/>
  <c r="A287" i="21"/>
  <c r="A288" i="21"/>
  <c r="A290" i="21"/>
  <c r="A292" i="21"/>
  <c r="A294" i="21"/>
  <c r="A295" i="21"/>
  <c r="A298" i="21"/>
  <c r="A299" i="21"/>
  <c r="A303" i="21"/>
  <c r="A304" i="21"/>
  <c r="A306" i="21"/>
  <c r="A307" i="21"/>
  <c r="A308" i="21"/>
  <c r="A309" i="21"/>
  <c r="A311" i="21"/>
  <c r="A312" i="21"/>
  <c r="A313" i="21"/>
  <c r="A314" i="21"/>
  <c r="A315" i="21"/>
  <c r="A316" i="21"/>
  <c r="A317" i="21"/>
  <c r="A318" i="21"/>
  <c r="A319" i="21"/>
  <c r="A320" i="21"/>
  <c r="A321" i="21"/>
  <c r="A322" i="21"/>
  <c r="A323" i="21"/>
  <c r="A328" i="21"/>
  <c r="A329" i="21"/>
  <c r="A333" i="21"/>
  <c r="A332" i="21"/>
  <c r="A331" i="21"/>
  <c r="A330" i="21"/>
  <c r="A245" i="30" l="1"/>
  <c r="L245" i="30" s="1"/>
  <c r="A247" i="30"/>
  <c r="L247" i="30" s="1"/>
  <c r="A261" i="30"/>
  <c r="L261" i="30" s="1"/>
  <c r="A263" i="30"/>
  <c r="L263" i="30" s="1"/>
  <c r="A268" i="30"/>
  <c r="L268" i="30" s="1"/>
  <c r="A278" i="30"/>
  <c r="L278" i="30" s="1"/>
  <c r="A284" i="30"/>
  <c r="L284" i="30" s="1"/>
  <c r="A290" i="30"/>
  <c r="L290" i="30" s="1"/>
  <c r="A287" i="30"/>
  <c r="L287" i="30" s="1"/>
  <c r="A286" i="30"/>
  <c r="L286" i="30" s="1"/>
  <c r="A285" i="30"/>
  <c r="L285" i="30" s="1"/>
  <c r="A283" i="30"/>
  <c r="L283" i="30" s="1"/>
  <c r="A282" i="30"/>
  <c r="L282" i="30" s="1"/>
  <c r="A281" i="30"/>
  <c r="L281" i="30" s="1"/>
  <c r="A280" i="30"/>
  <c r="L280" i="30" s="1"/>
  <c r="A279" i="30"/>
  <c r="L279" i="30" s="1"/>
  <c r="A269" i="30"/>
  <c r="L269" i="30" s="1"/>
  <c r="A264" i="30"/>
  <c r="L264" i="30" s="1"/>
  <c r="A262" i="30"/>
  <c r="L262" i="30" s="1"/>
  <c r="A260" i="30"/>
  <c r="L260" i="30" s="1"/>
  <c r="A259" i="30"/>
  <c r="L259" i="30" s="1"/>
  <c r="A258" i="30"/>
  <c r="L258" i="30" s="1"/>
  <c r="A257" i="30"/>
  <c r="L257" i="30" s="1"/>
  <c r="A256" i="30"/>
  <c r="L256" i="30" s="1"/>
  <c r="A255" i="30"/>
  <c r="L255" i="30" s="1"/>
  <c r="A254" i="30"/>
  <c r="L254" i="30" s="1"/>
  <c r="A253" i="30"/>
  <c r="L253" i="30" s="1"/>
  <c r="A252" i="30"/>
  <c r="L252" i="30" s="1"/>
  <c r="A251" i="30"/>
  <c r="L251" i="30" s="1"/>
  <c r="A250" i="30"/>
  <c r="L250" i="30" s="1"/>
  <c r="A249" i="30"/>
  <c r="L249" i="30" s="1"/>
  <c r="A248" i="30"/>
  <c r="L248" i="30" s="1"/>
  <c r="A246" i="30"/>
  <c r="L246" i="30" s="1"/>
  <c r="A289" i="30"/>
  <c r="L289" i="30" s="1"/>
  <c r="A288" i="30"/>
  <c r="L288" i="30" s="1"/>
  <c r="A291" i="30"/>
  <c r="L291" i="30" s="1"/>
  <c r="A244" i="30"/>
  <c r="L244" i="30" s="1"/>
  <c r="A243" i="30"/>
  <c r="L243" i="30" s="1"/>
  <c r="A242" i="30"/>
  <c r="L242" i="30" s="1"/>
  <c r="A110" i="30"/>
  <c r="L110" i="30" s="1"/>
  <c r="A109" i="30"/>
  <c r="L109" i="30" s="1"/>
  <c r="A107" i="30"/>
  <c r="L107" i="30" s="1"/>
  <c r="A91" i="30"/>
  <c r="L91" i="30" s="1"/>
  <c r="A84" i="30"/>
  <c r="L84" i="30" s="1"/>
  <c r="A76" i="30"/>
  <c r="L76" i="30" s="1"/>
  <c r="A72" i="30"/>
  <c r="L72" i="30" s="1"/>
  <c r="A70" i="30"/>
  <c r="L70" i="30" s="1"/>
  <c r="A68" i="30"/>
  <c r="L68" i="30" s="1"/>
  <c r="A65" i="30"/>
  <c r="L65" i="30" s="1"/>
  <c r="A62" i="30"/>
  <c r="L62" i="30" s="1"/>
  <c r="A35" i="30"/>
  <c r="L35" i="30" s="1"/>
  <c r="A108" i="30"/>
  <c r="L108" i="30" s="1"/>
  <c r="A106" i="30"/>
  <c r="L106" i="30" s="1"/>
  <c r="A101" i="30"/>
  <c r="L101" i="30" s="1"/>
  <c r="A100" i="30"/>
  <c r="L100" i="30" s="1"/>
  <c r="A99" i="30"/>
  <c r="L99" i="30" s="1"/>
  <c r="A98" i="30"/>
  <c r="L98" i="30" s="1"/>
  <c r="A97" i="30"/>
  <c r="L97" i="30" s="1"/>
  <c r="A96" i="30"/>
  <c r="L96" i="30" s="1"/>
  <c r="A95" i="30"/>
  <c r="L95" i="30" s="1"/>
  <c r="A94" i="30"/>
  <c r="L94" i="30" s="1"/>
  <c r="A93" i="30"/>
  <c r="L93" i="30" s="1"/>
  <c r="A92" i="30"/>
  <c r="L92" i="30" s="1"/>
  <c r="A90" i="30"/>
  <c r="L90" i="30" s="1"/>
  <c r="A89" i="30"/>
  <c r="L89" i="30" s="1"/>
  <c r="A88" i="30"/>
  <c r="L88" i="30" s="1"/>
  <c r="A87" i="30"/>
  <c r="L87" i="30" s="1"/>
  <c r="A86" i="30"/>
  <c r="L86" i="30" s="1"/>
  <c r="A85" i="30"/>
  <c r="L85" i="30" s="1"/>
  <c r="A83" i="30"/>
  <c r="L83" i="30" s="1"/>
  <c r="A82" i="30"/>
  <c r="L82" i="30" s="1"/>
  <c r="A81" i="30"/>
  <c r="L81" i="30" s="1"/>
  <c r="A80" i="30"/>
  <c r="L80" i="30" s="1"/>
  <c r="A79" i="30"/>
  <c r="L79" i="30" s="1"/>
  <c r="A78" i="30"/>
  <c r="L78" i="30" s="1"/>
  <c r="A77" i="30"/>
  <c r="L77" i="30" s="1"/>
  <c r="A75" i="30"/>
  <c r="L75" i="30" s="1"/>
  <c r="A74" i="30"/>
  <c r="L74" i="30" s="1"/>
  <c r="A73" i="30"/>
  <c r="L73" i="30" s="1"/>
  <c r="A71" i="30"/>
  <c r="L71" i="30" s="1"/>
  <c r="A69" i="30"/>
  <c r="L69" i="30" s="1"/>
  <c r="A66" i="30"/>
  <c r="L66" i="30" s="1"/>
  <c r="A64" i="30"/>
  <c r="L64" i="30" s="1"/>
  <c r="A63" i="30"/>
  <c r="L63" i="30" s="1"/>
  <c r="A61" i="30"/>
  <c r="L61" i="30" s="1"/>
  <c r="A60" i="30"/>
  <c r="L60" i="30" s="1"/>
  <c r="A59" i="30"/>
  <c r="L59" i="30" s="1"/>
  <c r="A58" i="30"/>
  <c r="L58" i="30" s="1"/>
  <c r="A57" i="30"/>
  <c r="L57" i="30" s="1"/>
  <c r="A56" i="30"/>
  <c r="L56" i="30" s="1"/>
  <c r="A54" i="30"/>
  <c r="L54" i="30" s="1"/>
  <c r="A53" i="30"/>
  <c r="L53" i="30" s="1"/>
  <c r="A52" i="30"/>
  <c r="L52" i="30" s="1"/>
  <c r="A51" i="30"/>
  <c r="L51" i="30" s="1"/>
  <c r="A50" i="30"/>
  <c r="L50" i="30" s="1"/>
  <c r="A49" i="30"/>
  <c r="L49" i="30" s="1"/>
  <c r="A48" i="30"/>
  <c r="L48" i="30" s="1"/>
  <c r="A45" i="30"/>
  <c r="L45" i="30" s="1"/>
  <c r="A44" i="30"/>
  <c r="L44" i="30" s="1"/>
  <c r="A43" i="30"/>
  <c r="L43" i="30" s="1"/>
  <c r="A42" i="30"/>
  <c r="L42" i="30" s="1"/>
  <c r="A41" i="30"/>
  <c r="L41" i="30" s="1"/>
  <c r="A40" i="30"/>
  <c r="L40" i="30" s="1"/>
  <c r="A39" i="30"/>
  <c r="L39" i="30" s="1"/>
  <c r="A38" i="30"/>
  <c r="L38" i="30" s="1"/>
  <c r="A37" i="30"/>
  <c r="L37" i="30" s="1"/>
  <c r="A36" i="30"/>
  <c r="L36" i="30" s="1"/>
  <c r="A34" i="30"/>
  <c r="L34" i="30" s="1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3" i="27"/>
  <c r="A242" i="27"/>
  <c r="A241" i="27"/>
  <c r="A240" i="27"/>
  <c r="A239" i="27"/>
  <c r="A195" i="27"/>
  <c r="A193" i="27"/>
  <c r="A191" i="27"/>
  <c r="A188" i="27"/>
  <c r="A185" i="27"/>
  <c r="A197" i="27"/>
  <c r="A196" i="27"/>
  <c r="A194" i="27"/>
  <c r="A192" i="27"/>
  <c r="A189" i="27"/>
  <c r="A187" i="27"/>
  <c r="A186" i="27"/>
  <c r="A184" i="27"/>
  <c r="A183" i="27"/>
  <c r="A182" i="27"/>
  <c r="A181" i="27"/>
  <c r="A180" i="27"/>
  <c r="A179" i="27"/>
  <c r="A178" i="27"/>
  <c r="A177" i="27"/>
  <c r="A173" i="27"/>
  <c r="A172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Q259" i="21" l="1"/>
  <c r="Q260" i="21"/>
  <c r="Q261" i="21"/>
  <c r="Q262" i="21"/>
  <c r="Q263" i="21"/>
  <c r="Q264" i="21"/>
  <c r="Q265" i="21"/>
  <c r="Q258" i="21"/>
  <c r="D32" i="36"/>
  <c r="D33" i="36"/>
  <c r="P19" i="36"/>
  <c r="P20" i="36"/>
  <c r="D36" i="36"/>
  <c r="P36" i="36" s="1"/>
  <c r="D37" i="36"/>
  <c r="D38" i="36"/>
  <c r="D39" i="36"/>
  <c r="D40" i="36"/>
  <c r="P26" i="36"/>
  <c r="D42" i="36"/>
  <c r="D43" i="36"/>
  <c r="P16" i="36"/>
  <c r="P17" i="36"/>
  <c r="P18" i="36"/>
  <c r="P23" i="36"/>
  <c r="P12" i="36"/>
  <c r="P11" i="36"/>
  <c r="P10" i="36"/>
  <c r="P9" i="36"/>
  <c r="P8" i="36"/>
  <c r="P7" i="36"/>
  <c r="P6" i="36"/>
  <c r="P5" i="36"/>
  <c r="P4" i="36"/>
  <c r="P3" i="36"/>
  <c r="P2" i="36"/>
  <c r="D31" i="36" l="1"/>
  <c r="P25" i="36"/>
  <c r="P24" i="36"/>
  <c r="P22" i="36"/>
  <c r="P33" i="36"/>
  <c r="P32" i="36"/>
  <c r="P40" i="36"/>
  <c r="P39" i="36"/>
  <c r="P38" i="36"/>
  <c r="P37" i="36"/>
  <c r="D34" i="36"/>
  <c r="D41" i="36"/>
  <c r="P21" i="36"/>
  <c r="D35" i="36"/>
  <c r="A280" i="21"/>
  <c r="P31" i="36" l="1"/>
  <c r="P34" i="36"/>
  <c r="P35" i="36"/>
  <c r="P41" i="36"/>
  <c r="A214" i="27"/>
  <c r="A215" i="27"/>
  <c r="A216" i="27"/>
  <c r="A217" i="27"/>
  <c r="A218" i="27"/>
  <c r="A219" i="27"/>
  <c r="A220" i="27"/>
  <c r="A221" i="27"/>
  <c r="A222" i="27"/>
  <c r="A223" i="27"/>
  <c r="A227" i="27"/>
  <c r="A228" i="27"/>
  <c r="A89" i="27"/>
  <c r="A90" i="27"/>
  <c r="A91" i="27"/>
  <c r="A92" i="27"/>
  <c r="A93" i="27"/>
  <c r="A94" i="27"/>
  <c r="A95" i="27"/>
  <c r="A256" i="21" l="1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296" i="30" l="1"/>
  <c r="L296" i="30" s="1"/>
  <c r="A295" i="30"/>
  <c r="L295" i="30" s="1"/>
  <c r="A292" i="30"/>
  <c r="L292" i="30" s="1"/>
  <c r="A241" i="30"/>
  <c r="L241" i="30" s="1"/>
  <c r="A33" i="30"/>
  <c r="L33" i="30" s="1"/>
  <c r="A32" i="30"/>
  <c r="L32" i="30" s="1"/>
  <c r="A31" i="30"/>
  <c r="L31" i="30" s="1"/>
  <c r="A30" i="30"/>
  <c r="L30" i="30" s="1"/>
  <c r="A29" i="30"/>
  <c r="L29" i="30" s="1"/>
  <c r="A28" i="30"/>
  <c r="L28" i="30" s="1"/>
  <c r="A27" i="30"/>
  <c r="L27" i="30" s="1"/>
  <c r="A26" i="30"/>
  <c r="L26" i="30" s="1"/>
  <c r="A25" i="30"/>
  <c r="L25" i="30" s="1"/>
  <c r="A24" i="30"/>
  <c r="L24" i="30" s="1"/>
  <c r="A23" i="30"/>
  <c r="L23" i="30" s="1"/>
  <c r="A22" i="30"/>
  <c r="L22" i="30" s="1"/>
  <c r="A21" i="30"/>
  <c r="L21" i="30" s="1"/>
  <c r="A20" i="30"/>
  <c r="L20" i="30" s="1"/>
  <c r="A19" i="30"/>
  <c r="L19" i="30" s="1"/>
  <c r="A18" i="30"/>
  <c r="L18" i="30" s="1"/>
  <c r="A17" i="30"/>
  <c r="L17" i="30" s="1"/>
  <c r="A16" i="30"/>
  <c r="L16" i="30" s="1"/>
  <c r="A15" i="30"/>
  <c r="L15" i="30" s="1"/>
  <c r="A14" i="30"/>
  <c r="A238" i="27"/>
  <c r="L14" i="30" l="1"/>
  <c r="R305" i="21"/>
  <c r="Q305" i="21"/>
  <c r="Q301" i="21"/>
  <c r="R99" i="21"/>
  <c r="Q99" i="21"/>
  <c r="R144" i="21"/>
  <c r="Q74" i="21"/>
  <c r="Q144" i="21"/>
  <c r="R74" i="21"/>
  <c r="Q325" i="21"/>
  <c r="Q158" i="21"/>
  <c r="Q160" i="21"/>
  <c r="Q159" i="21"/>
  <c r="Q310" i="21"/>
  <c r="R284" i="21"/>
  <c r="Q76" i="21"/>
  <c r="R76" i="21"/>
  <c r="R289" i="21"/>
  <c r="Q284" i="21"/>
  <c r="Q289" i="21"/>
  <c r="R291" i="21"/>
  <c r="Q291" i="21"/>
  <c r="Q331" i="21"/>
  <c r="Q318" i="21"/>
  <c r="Q293" i="21"/>
  <c r="Q330" i="21"/>
  <c r="Q317" i="21"/>
  <c r="Q294" i="21"/>
  <c r="Q329" i="21"/>
  <c r="Q316" i="21"/>
  <c r="Q280" i="21"/>
  <c r="Q295" i="21"/>
  <c r="Q328" i="21"/>
  <c r="Q315" i="21"/>
  <c r="Q281" i="21"/>
  <c r="Q296" i="21"/>
  <c r="Q327" i="21"/>
  <c r="Q314" i="21"/>
  <c r="Q297" i="21"/>
  <c r="Q326" i="21"/>
  <c r="Q313" i="21"/>
  <c r="Q298" i="21"/>
  <c r="Q324" i="21"/>
  <c r="Q312" i="21"/>
  <c r="Q285" i="21"/>
  <c r="Q299" i="21"/>
  <c r="Q323" i="21"/>
  <c r="Q311" i="21"/>
  <c r="Q286" i="21"/>
  <c r="Q300" i="21"/>
  <c r="Q322" i="21"/>
  <c r="Q309" i="21"/>
  <c r="Q287" i="21"/>
  <c r="Q302" i="21"/>
  <c r="Q321" i="21"/>
  <c r="Q308" i="21"/>
  <c r="Q288" i="21"/>
  <c r="Q303" i="21"/>
  <c r="Q333" i="21"/>
  <c r="Q320" i="21"/>
  <c r="Q307" i="21"/>
  <c r="Q290" i="21"/>
  <c r="Q304" i="21"/>
  <c r="Q332" i="21"/>
  <c r="Q319" i="21"/>
  <c r="Q306" i="21"/>
  <c r="Q292" i="21"/>
  <c r="R304" i="21"/>
  <c r="R318" i="21"/>
  <c r="R286" i="21"/>
  <c r="R321" i="21"/>
  <c r="R288" i="21"/>
  <c r="R322" i="21"/>
  <c r="R290" i="21"/>
  <c r="R294" i="21"/>
  <c r="R285" i="21"/>
  <c r="R306" i="21"/>
  <c r="R319" i="21"/>
  <c r="R320" i="21"/>
  <c r="R287" i="21"/>
  <c r="R309" i="21"/>
  <c r="R312" i="21"/>
  <c r="R313" i="21"/>
  <c r="R307" i="21"/>
  <c r="R308" i="21"/>
  <c r="R311" i="21"/>
  <c r="R323" i="21"/>
  <c r="R292" i="21"/>
  <c r="R328" i="21"/>
  <c r="R330" i="21"/>
  <c r="R298" i="21"/>
  <c r="R315" i="21"/>
  <c r="R331" i="21"/>
  <c r="R299" i="21"/>
  <c r="R332" i="21"/>
  <c r="R317" i="21"/>
  <c r="R295" i="21"/>
  <c r="R280" i="21"/>
  <c r="R316" i="21"/>
  <c r="R303" i="21"/>
  <c r="R333" i="21"/>
  <c r="R329" i="21"/>
  <c r="R314" i="21"/>
  <c r="R256" i="21"/>
  <c r="Q256" i="21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14" i="27"/>
  <c r="A270" i="21"/>
  <c r="R270" i="21" s="1"/>
  <c r="A271" i="21"/>
  <c r="Q271" i="21" s="1"/>
  <c r="A272" i="21"/>
  <c r="R272" i="21" s="1"/>
  <c r="A273" i="21"/>
  <c r="R273" i="21" s="1"/>
  <c r="A274" i="21"/>
  <c r="R274" i="21" s="1"/>
  <c r="A275" i="21"/>
  <c r="R275" i="21" s="1"/>
  <c r="A276" i="21"/>
  <c r="Q276" i="21" s="1"/>
  <c r="A277" i="21"/>
  <c r="Q277" i="21" s="1"/>
  <c r="A278" i="21"/>
  <c r="Q278" i="21" s="1"/>
  <c r="A279" i="21"/>
  <c r="R279" i="21" s="1"/>
  <c r="A282" i="21"/>
  <c r="R282" i="21" s="1"/>
  <c r="A283" i="21"/>
  <c r="R283" i="21" s="1"/>
  <c r="A269" i="21"/>
  <c r="C305" i="21" l="1"/>
  <c r="AK305" i="21" s="1"/>
  <c r="C99" i="21"/>
  <c r="AK99" i="21" s="1"/>
  <c r="D144" i="21"/>
  <c r="C301" i="21"/>
  <c r="AK301" i="21" s="1"/>
  <c r="C144" i="21"/>
  <c r="AK144" i="21" s="1"/>
  <c r="D99" i="21"/>
  <c r="D74" i="21"/>
  <c r="C74" i="21"/>
  <c r="AK74" i="21" s="1"/>
  <c r="C310" i="21"/>
  <c r="AK310" i="21" s="1"/>
  <c r="C325" i="21"/>
  <c r="AK325" i="21" s="1"/>
  <c r="C328" i="21"/>
  <c r="AK328" i="21" s="1"/>
  <c r="Q283" i="21"/>
  <c r="Q282" i="21"/>
  <c r="Q279" i="21"/>
  <c r="C284" i="21"/>
  <c r="AK284" i="21" s="1"/>
  <c r="D284" i="21"/>
  <c r="C289" i="21"/>
  <c r="AK289" i="21" s="1"/>
  <c r="D289" i="21"/>
  <c r="C291" i="21"/>
  <c r="AK291" i="21" s="1"/>
  <c r="D291" i="21"/>
  <c r="C324" i="21"/>
  <c r="AK324" i="21" s="1"/>
  <c r="C300" i="21"/>
  <c r="AK300" i="21" s="1"/>
  <c r="C281" i="21"/>
  <c r="AK281" i="21" s="1"/>
  <c r="C296" i="21"/>
  <c r="AK296" i="21" s="1"/>
  <c r="C297" i="21"/>
  <c r="AK297" i="21" s="1"/>
  <c r="C302" i="21"/>
  <c r="AK302" i="21" s="1"/>
  <c r="C326" i="21"/>
  <c r="AK326" i="21" s="1"/>
  <c r="C293" i="21"/>
  <c r="AK293" i="21" s="1"/>
  <c r="C327" i="21"/>
  <c r="AK327" i="21" s="1"/>
  <c r="C298" i="21"/>
  <c r="AK298" i="21" s="1"/>
  <c r="R277" i="21"/>
  <c r="R271" i="21"/>
  <c r="Q272" i="21"/>
  <c r="R276" i="21"/>
  <c r="R278" i="21"/>
  <c r="Q274" i="21"/>
  <c r="Q275" i="21"/>
  <c r="Q270" i="21"/>
  <c r="Q273" i="21"/>
  <c r="C270" i="21"/>
  <c r="AK270" i="21" s="1"/>
  <c r="C283" i="21"/>
  <c r="AK283" i="21" s="1"/>
  <c r="C304" i="21"/>
  <c r="AK304" i="21" s="1"/>
  <c r="C318" i="21"/>
  <c r="AK318" i="21" s="1"/>
  <c r="C285" i="21"/>
  <c r="AK285" i="21" s="1"/>
  <c r="C306" i="21"/>
  <c r="AK306" i="21" s="1"/>
  <c r="C319" i="21"/>
  <c r="AK319" i="21" s="1"/>
  <c r="C272" i="21"/>
  <c r="AK272" i="21" s="1"/>
  <c r="C286" i="21"/>
  <c r="AK286" i="21" s="1"/>
  <c r="C307" i="21"/>
  <c r="AK307" i="21" s="1"/>
  <c r="C320" i="21"/>
  <c r="AK320" i="21" s="1"/>
  <c r="C273" i="21"/>
  <c r="AK273" i="21" s="1"/>
  <c r="C287" i="21"/>
  <c r="AK287" i="21" s="1"/>
  <c r="C308" i="21"/>
  <c r="AK308" i="21" s="1"/>
  <c r="C321" i="21"/>
  <c r="AK321" i="21" s="1"/>
  <c r="C271" i="21"/>
  <c r="AK271" i="21" s="1"/>
  <c r="C274" i="21"/>
  <c r="AK274" i="21" s="1"/>
  <c r="C288" i="21"/>
  <c r="AK288" i="21" s="1"/>
  <c r="C309" i="21"/>
  <c r="AK309" i="21" s="1"/>
  <c r="C322" i="21"/>
  <c r="AK322" i="21" s="1"/>
  <c r="C275" i="21"/>
  <c r="AK275" i="21" s="1"/>
  <c r="C290" i="21"/>
  <c r="AK290" i="21" s="1"/>
  <c r="C311" i="21"/>
  <c r="AK311" i="21" s="1"/>
  <c r="C323" i="21"/>
  <c r="AK323" i="21" s="1"/>
  <c r="C276" i="21"/>
  <c r="AK276" i="21" s="1"/>
  <c r="C292" i="21"/>
  <c r="AK292" i="21" s="1"/>
  <c r="C312" i="21"/>
  <c r="AK312" i="21" s="1"/>
  <c r="C277" i="21"/>
  <c r="AK277" i="21" s="1"/>
  <c r="C294" i="21"/>
  <c r="AK294" i="21" s="1"/>
  <c r="C313" i="21"/>
  <c r="AK313" i="21" s="1"/>
  <c r="C329" i="21"/>
  <c r="AK329" i="21" s="1"/>
  <c r="C278" i="21"/>
  <c r="AK278" i="21" s="1"/>
  <c r="C295" i="21"/>
  <c r="AK295" i="21" s="1"/>
  <c r="C314" i="21"/>
  <c r="AK314" i="21" s="1"/>
  <c r="C330" i="21"/>
  <c r="AK330" i="21" s="1"/>
  <c r="C279" i="21"/>
  <c r="AK279" i="21" s="1"/>
  <c r="C315" i="21"/>
  <c r="AK315" i="21" s="1"/>
  <c r="C331" i="21"/>
  <c r="AK331" i="21" s="1"/>
  <c r="C280" i="21"/>
  <c r="AK280" i="21" s="1"/>
  <c r="C299" i="21"/>
  <c r="AK299" i="21" s="1"/>
  <c r="C316" i="21"/>
  <c r="AK316" i="21" s="1"/>
  <c r="C332" i="21"/>
  <c r="AK332" i="21" s="1"/>
  <c r="C282" i="21"/>
  <c r="AK282" i="21" s="1"/>
  <c r="C303" i="21"/>
  <c r="AK303" i="21" s="1"/>
  <c r="C317" i="21"/>
  <c r="AK317" i="21" s="1"/>
  <c r="C333" i="21"/>
  <c r="AK333" i="21" s="1"/>
  <c r="Q269" i="21"/>
  <c r="R269" i="21"/>
  <c r="D292" i="21"/>
  <c r="D283" i="21"/>
  <c r="D275" i="21"/>
  <c r="D269" i="21"/>
  <c r="C269" i="21"/>
  <c r="AK269" i="21" s="1"/>
  <c r="D290" i="21"/>
  <c r="D282" i="21"/>
  <c r="D274" i="21"/>
  <c r="D256" i="21"/>
  <c r="C256" i="21"/>
  <c r="AK256" i="21" s="1"/>
  <c r="D288" i="21"/>
  <c r="D279" i="21"/>
  <c r="D273" i="21"/>
  <c r="D287" i="21"/>
  <c r="D278" i="21"/>
  <c r="D272" i="21"/>
  <c r="D286" i="21"/>
  <c r="D277" i="21"/>
  <c r="D271" i="21"/>
  <c r="D285" i="21"/>
  <c r="D276" i="21"/>
  <c r="D270" i="21"/>
  <c r="A255" i="21"/>
  <c r="D255" i="21" s="1"/>
  <c r="A150" i="21"/>
  <c r="C150" i="21" s="1"/>
  <c r="AK150" i="21" s="1"/>
  <c r="A151" i="21"/>
  <c r="D151" i="21" s="1"/>
  <c r="A152" i="21"/>
  <c r="D152" i="21" s="1"/>
  <c r="A153" i="21"/>
  <c r="D153" i="21" s="1"/>
  <c r="A154" i="21"/>
  <c r="D154" i="21" s="1"/>
  <c r="A155" i="21"/>
  <c r="D155" i="21" s="1"/>
  <c r="A156" i="21"/>
  <c r="C156" i="21" s="1"/>
  <c r="AK156" i="21" s="1"/>
  <c r="A157" i="21"/>
  <c r="D157" i="21" s="1"/>
  <c r="A161" i="21"/>
  <c r="A162" i="21"/>
  <c r="A163" i="21"/>
  <c r="Q163" i="21" s="1"/>
  <c r="A164" i="21"/>
  <c r="A165" i="21"/>
  <c r="C165" i="21" s="1"/>
  <c r="AK165" i="21" s="1"/>
  <c r="A166" i="21"/>
  <c r="C166" i="21" s="1"/>
  <c r="AK166" i="21" s="1"/>
  <c r="A167" i="21"/>
  <c r="C167" i="21" s="1"/>
  <c r="AK167" i="21" s="1"/>
  <c r="A168" i="21"/>
  <c r="C168" i="21" s="1"/>
  <c r="AK168" i="21" s="1"/>
  <c r="A169" i="21"/>
  <c r="D169" i="21" s="1"/>
  <c r="A170" i="21"/>
  <c r="D170" i="21" s="1"/>
  <c r="A171" i="21"/>
  <c r="D171" i="21" s="1"/>
  <c r="A172" i="21"/>
  <c r="A173" i="21"/>
  <c r="A174" i="21"/>
  <c r="D174" i="21" s="1"/>
  <c r="A175" i="21"/>
  <c r="D175" i="21" s="1"/>
  <c r="A176" i="21"/>
  <c r="D176" i="21" s="1"/>
  <c r="A177" i="21"/>
  <c r="C177" i="21" s="1"/>
  <c r="AK177" i="21" s="1"/>
  <c r="A178" i="21"/>
  <c r="D178" i="21" s="1"/>
  <c r="A179" i="21"/>
  <c r="C179" i="21" s="1"/>
  <c r="AK179" i="21" s="1"/>
  <c r="A180" i="21"/>
  <c r="C180" i="21" s="1"/>
  <c r="AK180" i="21" s="1"/>
  <c r="A181" i="21"/>
  <c r="C181" i="21" s="1"/>
  <c r="AK181" i="21" s="1"/>
  <c r="A182" i="21"/>
  <c r="D182" i="21" s="1"/>
  <c r="A183" i="21"/>
  <c r="A184" i="21"/>
  <c r="A185" i="21"/>
  <c r="D185" i="21" s="1"/>
  <c r="A186" i="21"/>
  <c r="A187" i="21"/>
  <c r="A188" i="21"/>
  <c r="D188" i="21" s="1"/>
  <c r="A189" i="21"/>
  <c r="C189" i="21" s="1"/>
  <c r="AK189" i="21" s="1"/>
  <c r="A190" i="21"/>
  <c r="C190" i="21" s="1"/>
  <c r="AK190" i="21" s="1"/>
  <c r="A191" i="21"/>
  <c r="D191" i="21" s="1"/>
  <c r="A193" i="21"/>
  <c r="C193" i="21" s="1"/>
  <c r="AK193" i="21" s="1"/>
  <c r="A194" i="21"/>
  <c r="A195" i="21"/>
  <c r="C195" i="21" s="1"/>
  <c r="AK195" i="21" s="1"/>
  <c r="A196" i="21"/>
  <c r="A197" i="21"/>
  <c r="C197" i="21" s="1"/>
  <c r="AK197" i="21" s="1"/>
  <c r="A198" i="21"/>
  <c r="C198" i="21" s="1"/>
  <c r="AK198" i="21" s="1"/>
  <c r="A199" i="21"/>
  <c r="D199" i="21" s="1"/>
  <c r="A200" i="21"/>
  <c r="A201" i="21"/>
  <c r="D201" i="21" s="1"/>
  <c r="A202" i="21"/>
  <c r="D202" i="21" s="1"/>
  <c r="A203" i="21"/>
  <c r="C203" i="21" s="1"/>
  <c r="AK203" i="21" s="1"/>
  <c r="A204" i="21"/>
  <c r="D204" i="21" s="1"/>
  <c r="A205" i="21"/>
  <c r="D205" i="21" s="1"/>
  <c r="A206" i="21"/>
  <c r="A207" i="21"/>
  <c r="A208" i="21"/>
  <c r="A209" i="21"/>
  <c r="D209" i="21" s="1"/>
  <c r="A210" i="21"/>
  <c r="A211" i="21"/>
  <c r="A212" i="21"/>
  <c r="A213" i="21"/>
  <c r="D213" i="21" s="1"/>
  <c r="A214" i="21"/>
  <c r="A215" i="21"/>
  <c r="D215" i="21" s="1"/>
  <c r="A216" i="21"/>
  <c r="C216" i="21" s="1"/>
  <c r="AK216" i="21" s="1"/>
  <c r="A217" i="21"/>
  <c r="D217" i="21" s="1"/>
  <c r="A218" i="21"/>
  <c r="A219" i="21"/>
  <c r="A220" i="21"/>
  <c r="A221" i="21"/>
  <c r="C221" i="21" s="1"/>
  <c r="AK221" i="21" s="1"/>
  <c r="A222" i="21"/>
  <c r="D222" i="21" s="1"/>
  <c r="A223" i="21"/>
  <c r="D223" i="21" s="1"/>
  <c r="A224" i="21"/>
  <c r="A225" i="21"/>
  <c r="C225" i="21" s="1"/>
  <c r="AK225" i="21" s="1"/>
  <c r="A226" i="21"/>
  <c r="D226" i="21" s="1"/>
  <c r="A227" i="21"/>
  <c r="C227" i="21" s="1"/>
  <c r="AK227" i="21" s="1"/>
  <c r="A228" i="21"/>
  <c r="D228" i="21" s="1"/>
  <c r="A229" i="21"/>
  <c r="D229" i="21" s="1"/>
  <c r="A230" i="21"/>
  <c r="C230" i="21" s="1"/>
  <c r="AK230" i="21" s="1"/>
  <c r="A231" i="21"/>
  <c r="D231" i="21" s="1"/>
  <c r="A232" i="21"/>
  <c r="D232" i="21" s="1"/>
  <c r="A233" i="21"/>
  <c r="D233" i="21" s="1"/>
  <c r="A234" i="21"/>
  <c r="C234" i="21" s="1"/>
  <c r="AK234" i="21" s="1"/>
  <c r="A235" i="21"/>
  <c r="C235" i="21" s="1"/>
  <c r="AK235" i="21" s="1"/>
  <c r="A236" i="21"/>
  <c r="A237" i="21"/>
  <c r="D237" i="21" s="1"/>
  <c r="A238" i="21"/>
  <c r="D238" i="21" s="1"/>
  <c r="A239" i="21"/>
  <c r="C239" i="21" s="1"/>
  <c r="AK239" i="21" s="1"/>
  <c r="A240" i="21"/>
  <c r="C240" i="21" s="1"/>
  <c r="AK240" i="21" s="1"/>
  <c r="A241" i="21"/>
  <c r="C241" i="21" s="1"/>
  <c r="AK241" i="21" s="1"/>
  <c r="A242" i="21"/>
  <c r="D242" i="21" s="1"/>
  <c r="A243" i="21"/>
  <c r="D243" i="21" s="1"/>
  <c r="A244" i="21"/>
  <c r="D244" i="21" s="1"/>
  <c r="A245" i="21"/>
  <c r="A246" i="21"/>
  <c r="D246" i="21" s="1"/>
  <c r="A247" i="21"/>
  <c r="D247" i="21" s="1"/>
  <c r="A248" i="21"/>
  <c r="D248" i="21" s="1"/>
  <c r="A249" i="21"/>
  <c r="D249" i="21" s="1"/>
  <c r="A250" i="21"/>
  <c r="D250" i="21" s="1"/>
  <c r="A251" i="21"/>
  <c r="D251" i="21" s="1"/>
  <c r="A252" i="21"/>
  <c r="C252" i="21" s="1"/>
  <c r="AK252" i="21" s="1"/>
  <c r="A253" i="21"/>
  <c r="C253" i="21" s="1"/>
  <c r="AK253" i="21" s="1"/>
  <c r="A254" i="21"/>
  <c r="D254" i="21" s="1"/>
  <c r="A149" i="21"/>
  <c r="A148" i="21"/>
  <c r="A30" i="21"/>
  <c r="D30" i="21" s="1"/>
  <c r="A31" i="21"/>
  <c r="A32" i="21"/>
  <c r="A33" i="21"/>
  <c r="A34" i="21"/>
  <c r="C34" i="21" s="1"/>
  <c r="AK34" i="21" s="1"/>
  <c r="A35" i="21"/>
  <c r="D35" i="21" s="1"/>
  <c r="A36" i="21"/>
  <c r="D36" i="21" s="1"/>
  <c r="A37" i="21"/>
  <c r="D37" i="21" s="1"/>
  <c r="A38" i="21"/>
  <c r="C38" i="21" s="1"/>
  <c r="AK38" i="21" s="1"/>
  <c r="A39" i="21"/>
  <c r="C39" i="21" s="1"/>
  <c r="AK39" i="21" s="1"/>
  <c r="A40" i="21"/>
  <c r="D40" i="21" s="1"/>
  <c r="A41" i="21"/>
  <c r="A42" i="21"/>
  <c r="D42" i="21" s="1"/>
  <c r="A43" i="21"/>
  <c r="D43" i="21" s="1"/>
  <c r="A44" i="21"/>
  <c r="A45" i="21"/>
  <c r="A46" i="21"/>
  <c r="C46" i="21" s="1"/>
  <c r="AK46" i="21" s="1"/>
  <c r="A47" i="21"/>
  <c r="D47" i="21" s="1"/>
  <c r="A48" i="21"/>
  <c r="C48" i="21" s="1"/>
  <c r="AK48" i="21" s="1"/>
  <c r="A49" i="21"/>
  <c r="D49" i="21" s="1"/>
  <c r="A50" i="21"/>
  <c r="A51" i="21"/>
  <c r="C51" i="21" s="1"/>
  <c r="AK51" i="21" s="1"/>
  <c r="A52" i="21"/>
  <c r="D52" i="21" s="1"/>
  <c r="A53" i="21"/>
  <c r="D53" i="21" s="1"/>
  <c r="A54" i="21"/>
  <c r="C54" i="21" s="1"/>
  <c r="AK54" i="21" s="1"/>
  <c r="A55" i="21"/>
  <c r="A56" i="21"/>
  <c r="A57" i="21"/>
  <c r="A58" i="21"/>
  <c r="D58" i="21" s="1"/>
  <c r="A59" i="21"/>
  <c r="D59" i="21" s="1"/>
  <c r="A60" i="21"/>
  <c r="A61" i="21"/>
  <c r="C61" i="21" s="1"/>
  <c r="AK61" i="21" s="1"/>
  <c r="A62" i="21"/>
  <c r="A63" i="21"/>
  <c r="D63" i="21" s="1"/>
  <c r="A64" i="21"/>
  <c r="D64" i="21" s="1"/>
  <c r="A65" i="21"/>
  <c r="D65" i="21" s="1"/>
  <c r="A66" i="21"/>
  <c r="A67" i="21"/>
  <c r="D67" i="21" s="1"/>
  <c r="A68" i="21"/>
  <c r="A69" i="21"/>
  <c r="D69" i="21" s="1"/>
  <c r="A70" i="21"/>
  <c r="D70" i="21" s="1"/>
  <c r="A71" i="21"/>
  <c r="D71" i="21" s="1"/>
  <c r="A72" i="21"/>
  <c r="C72" i="21" s="1"/>
  <c r="AK72" i="21" s="1"/>
  <c r="A73" i="21"/>
  <c r="R73" i="21" s="1"/>
  <c r="A75" i="21"/>
  <c r="D75" i="21" s="1"/>
  <c r="A77" i="21"/>
  <c r="D77" i="21" s="1"/>
  <c r="A78" i="21"/>
  <c r="C78" i="21" s="1"/>
  <c r="AK78" i="21" s="1"/>
  <c r="A79" i="21"/>
  <c r="A80" i="21"/>
  <c r="C80" i="21" s="1"/>
  <c r="AK80" i="21" s="1"/>
  <c r="A81" i="21"/>
  <c r="D81" i="21" s="1"/>
  <c r="A82" i="21"/>
  <c r="A83" i="21"/>
  <c r="A84" i="21"/>
  <c r="D84" i="21" s="1"/>
  <c r="A85" i="21"/>
  <c r="D85" i="21" s="1"/>
  <c r="A86" i="21"/>
  <c r="D86" i="21" s="1"/>
  <c r="A87" i="21"/>
  <c r="D87" i="21" s="1"/>
  <c r="A88" i="21"/>
  <c r="C88" i="21" s="1"/>
  <c r="AK88" i="21" s="1"/>
  <c r="A89" i="21"/>
  <c r="A90" i="21"/>
  <c r="C90" i="21" s="1"/>
  <c r="AK90" i="21" s="1"/>
  <c r="A91" i="21"/>
  <c r="D91" i="21" s="1"/>
  <c r="A92" i="21"/>
  <c r="D92" i="21" s="1"/>
  <c r="A93" i="21"/>
  <c r="D93" i="21" s="1"/>
  <c r="A94" i="21"/>
  <c r="D94" i="21" s="1"/>
  <c r="A95" i="21"/>
  <c r="A96" i="21"/>
  <c r="D96" i="21" s="1"/>
  <c r="A97" i="21"/>
  <c r="D97" i="21" s="1"/>
  <c r="A98" i="21"/>
  <c r="D98" i="21" s="1"/>
  <c r="A100" i="21"/>
  <c r="D100" i="21" s="1"/>
  <c r="A101" i="21"/>
  <c r="D101" i="21" s="1"/>
  <c r="A102" i="21"/>
  <c r="A103" i="21"/>
  <c r="A104" i="21"/>
  <c r="C104" i="21" s="1"/>
  <c r="AK104" i="21" s="1"/>
  <c r="A105" i="21"/>
  <c r="C105" i="21" s="1"/>
  <c r="AK105" i="21" s="1"/>
  <c r="A106" i="21"/>
  <c r="D106" i="21" s="1"/>
  <c r="A107" i="21"/>
  <c r="A108" i="21"/>
  <c r="A109" i="21"/>
  <c r="C109" i="21" s="1"/>
  <c r="AK109" i="21" s="1"/>
  <c r="A110" i="21"/>
  <c r="C110" i="21" s="1"/>
  <c r="AK110" i="21" s="1"/>
  <c r="A111" i="21"/>
  <c r="C111" i="21" s="1"/>
  <c r="AK111" i="21" s="1"/>
  <c r="A112" i="21"/>
  <c r="C112" i="21" s="1"/>
  <c r="AK112" i="21" s="1"/>
  <c r="A113" i="21"/>
  <c r="D113" i="21" s="1"/>
  <c r="A114" i="21"/>
  <c r="C114" i="21" s="1"/>
  <c r="AK114" i="21" s="1"/>
  <c r="A115" i="21"/>
  <c r="D115" i="21" s="1"/>
  <c r="A116" i="21"/>
  <c r="A117" i="21"/>
  <c r="D117" i="21" s="1"/>
  <c r="A118" i="21"/>
  <c r="A119" i="21"/>
  <c r="A120" i="21"/>
  <c r="A121" i="21"/>
  <c r="C121" i="21" s="1"/>
  <c r="AK121" i="21" s="1"/>
  <c r="A122" i="21"/>
  <c r="D122" i="21" s="1"/>
  <c r="A123" i="21"/>
  <c r="D123" i="21" s="1"/>
  <c r="A124" i="21"/>
  <c r="D124" i="21" s="1"/>
  <c r="A125" i="21"/>
  <c r="A126" i="21"/>
  <c r="D126" i="21" s="1"/>
  <c r="A127" i="21"/>
  <c r="D127" i="21" s="1"/>
  <c r="A128" i="21"/>
  <c r="C128" i="21" s="1"/>
  <c r="AK128" i="21" s="1"/>
  <c r="A129" i="21"/>
  <c r="A130" i="21"/>
  <c r="D130" i="21" s="1"/>
  <c r="A131" i="21"/>
  <c r="A132" i="21"/>
  <c r="C132" i="21" s="1"/>
  <c r="AK132" i="21" s="1"/>
  <c r="A133" i="21"/>
  <c r="D133" i="21" s="1"/>
  <c r="A134" i="21"/>
  <c r="C134" i="21" s="1"/>
  <c r="AK134" i="21" s="1"/>
  <c r="A135" i="21"/>
  <c r="A136" i="21"/>
  <c r="C136" i="21" s="1"/>
  <c r="AK136" i="21" s="1"/>
  <c r="A137" i="21"/>
  <c r="A138" i="21"/>
  <c r="D138" i="21" s="1"/>
  <c r="A139" i="21"/>
  <c r="C139" i="21" s="1"/>
  <c r="AK139" i="21" s="1"/>
  <c r="A140" i="21"/>
  <c r="D140" i="21" s="1"/>
  <c r="A141" i="21"/>
  <c r="A142" i="21"/>
  <c r="A143" i="21"/>
  <c r="A145" i="21"/>
  <c r="D145" i="21" s="1"/>
  <c r="A146" i="21"/>
  <c r="D146" i="21" s="1"/>
  <c r="A147" i="21"/>
  <c r="D147" i="21" s="1"/>
  <c r="A29" i="21"/>
  <c r="L239" i="27" l="1"/>
  <c r="L245" i="27"/>
  <c r="L251" i="27"/>
  <c r="L257" i="27"/>
  <c r="L263" i="27"/>
  <c r="L269" i="27"/>
  <c r="L275" i="27"/>
  <c r="L281" i="27"/>
  <c r="L287" i="27"/>
  <c r="L293" i="27"/>
  <c r="L299" i="27"/>
  <c r="L305" i="27"/>
  <c r="L311" i="27"/>
  <c r="L246" i="27"/>
  <c r="L264" i="27"/>
  <c r="L276" i="27"/>
  <c r="L288" i="27"/>
  <c r="L300" i="27"/>
  <c r="L312" i="27"/>
  <c r="L240" i="27"/>
  <c r="L252" i="27"/>
  <c r="L258" i="27"/>
  <c r="L270" i="27"/>
  <c r="L282" i="27"/>
  <c r="L294" i="27"/>
  <c r="L306" i="27"/>
  <c r="L241" i="27"/>
  <c r="L247" i="27"/>
  <c r="L253" i="27"/>
  <c r="L259" i="27"/>
  <c r="L265" i="27"/>
  <c r="L271" i="27"/>
  <c r="L277" i="27"/>
  <c r="L283" i="27"/>
  <c r="L289" i="27"/>
  <c r="L295" i="27"/>
  <c r="L301" i="27"/>
  <c r="L307" i="27"/>
  <c r="L242" i="27"/>
  <c r="L248" i="27"/>
  <c r="L254" i="27"/>
  <c r="L260" i="27"/>
  <c r="L266" i="27"/>
  <c r="L272" i="27"/>
  <c r="L278" i="27"/>
  <c r="L284" i="27"/>
  <c r="L290" i="27"/>
  <c r="L296" i="27"/>
  <c r="L302" i="27"/>
  <c r="L308" i="27"/>
  <c r="L243" i="27"/>
  <c r="L249" i="27"/>
  <c r="L255" i="27"/>
  <c r="L261" i="27"/>
  <c r="L267" i="27"/>
  <c r="L273" i="27"/>
  <c r="L279" i="27"/>
  <c r="L285" i="27"/>
  <c r="L291" i="27"/>
  <c r="L297" i="27"/>
  <c r="L303" i="27"/>
  <c r="L309" i="27"/>
  <c r="L244" i="27"/>
  <c r="L250" i="27"/>
  <c r="L256" i="27"/>
  <c r="L262" i="27"/>
  <c r="L268" i="27"/>
  <c r="L274" i="27"/>
  <c r="L280" i="27"/>
  <c r="L286" i="27"/>
  <c r="L292" i="27"/>
  <c r="L298" i="27"/>
  <c r="L304" i="27"/>
  <c r="L310" i="27"/>
  <c r="L180" i="27"/>
  <c r="L192" i="27"/>
  <c r="L194" i="27"/>
  <c r="L196" i="27"/>
  <c r="L185" i="27"/>
  <c r="L186" i="27"/>
  <c r="L187" i="27"/>
  <c r="L232" i="27"/>
  <c r="L233" i="27"/>
  <c r="L191" i="27"/>
  <c r="L234" i="27"/>
  <c r="L181" i="27"/>
  <c r="L193" i="27"/>
  <c r="L182" i="27"/>
  <c r="L183" i="27"/>
  <c r="L195" i="27"/>
  <c r="L184" i="27"/>
  <c r="L197" i="27"/>
  <c r="L198" i="27"/>
  <c r="L230" i="27"/>
  <c r="L188" i="27"/>
  <c r="L231" i="27"/>
  <c r="L189" i="27"/>
  <c r="L190" i="27"/>
  <c r="D164" i="21"/>
  <c r="Q164" i="21"/>
  <c r="C162" i="21"/>
  <c r="AK162" i="21" s="1"/>
  <c r="Q162" i="21"/>
  <c r="D161" i="21"/>
  <c r="Q161" i="21"/>
  <c r="C5" i="21"/>
  <c r="V5" i="21" s="1"/>
  <c r="L48" i="27"/>
  <c r="L176" i="27"/>
  <c r="L96" i="27"/>
  <c r="L97" i="27"/>
  <c r="L15" i="27"/>
  <c r="L225" i="27"/>
  <c r="L226" i="27"/>
  <c r="L224" i="27"/>
  <c r="C126" i="21"/>
  <c r="AK126" i="21" s="1"/>
  <c r="D166" i="21"/>
  <c r="D128" i="21"/>
  <c r="C113" i="21"/>
  <c r="AK113" i="21" s="1"/>
  <c r="C232" i="21"/>
  <c r="AK232" i="21" s="1"/>
  <c r="D156" i="21"/>
  <c r="D105" i="21"/>
  <c r="D181" i="21"/>
  <c r="D111" i="21"/>
  <c r="D227" i="21"/>
  <c r="D230" i="21"/>
  <c r="C101" i="21"/>
  <c r="AK101" i="21" s="1"/>
  <c r="C93" i="21"/>
  <c r="AK93" i="21" s="1"/>
  <c r="C215" i="21"/>
  <c r="AK215" i="21" s="1"/>
  <c r="C100" i="21"/>
  <c r="AK100" i="21" s="1"/>
  <c r="C37" i="21"/>
  <c r="AK37" i="21" s="1"/>
  <c r="D29" i="21"/>
  <c r="D216" i="21"/>
  <c r="C182" i="21"/>
  <c r="AK182" i="21" s="1"/>
  <c r="D88" i="21"/>
  <c r="C70" i="21"/>
  <c r="AK70" i="21" s="1"/>
  <c r="C152" i="21"/>
  <c r="AK152" i="21" s="1"/>
  <c r="D80" i="21"/>
  <c r="D51" i="21"/>
  <c r="C47" i="21"/>
  <c r="AK47" i="21" s="1"/>
  <c r="C222" i="21"/>
  <c r="AK222" i="21" s="1"/>
  <c r="C91" i="21"/>
  <c r="AK91" i="21" s="1"/>
  <c r="C117" i="21"/>
  <c r="AK117" i="21" s="1"/>
  <c r="C124" i="21"/>
  <c r="AK124" i="21" s="1"/>
  <c r="C238" i="21"/>
  <c r="AK238" i="21" s="1"/>
  <c r="D165" i="21"/>
  <c r="D203" i="21"/>
  <c r="C36" i="21"/>
  <c r="AK36" i="21" s="1"/>
  <c r="C228" i="21"/>
  <c r="AK228" i="21" s="1"/>
  <c r="C226" i="21"/>
  <c r="AK226" i="21" s="1"/>
  <c r="D150" i="21"/>
  <c r="C97" i="21"/>
  <c r="AK97" i="21" s="1"/>
  <c r="C154" i="21"/>
  <c r="AK154" i="21" s="1"/>
  <c r="C170" i="21"/>
  <c r="AK170" i="21" s="1"/>
  <c r="D112" i="21"/>
  <c r="C75" i="21"/>
  <c r="AK75" i="21" s="1"/>
  <c r="C250" i="21"/>
  <c r="AK250" i="21" s="1"/>
  <c r="D177" i="21"/>
  <c r="D121" i="21"/>
  <c r="C85" i="21"/>
  <c r="AK85" i="21" s="1"/>
  <c r="D134" i="21"/>
  <c r="L28" i="27"/>
  <c r="C169" i="21"/>
  <c r="AK169" i="21" s="1"/>
  <c r="C176" i="21"/>
  <c r="AK176" i="21" s="1"/>
  <c r="D189" i="21"/>
  <c r="C63" i="21"/>
  <c r="AK63" i="21" s="1"/>
  <c r="C64" i="21"/>
  <c r="AK64" i="21" s="1"/>
  <c r="C122" i="21"/>
  <c r="AK122" i="21" s="1"/>
  <c r="D34" i="21"/>
  <c r="C242" i="21"/>
  <c r="AK242" i="21" s="1"/>
  <c r="C243" i="21"/>
  <c r="AK243" i="21" s="1"/>
  <c r="D38" i="21"/>
  <c r="C138" i="21"/>
  <c r="AK138" i="21" s="1"/>
  <c r="D239" i="21"/>
  <c r="L38" i="27"/>
  <c r="C254" i="21"/>
  <c r="AK254" i="21" s="1"/>
  <c r="C249" i="21"/>
  <c r="AK249" i="21" s="1"/>
  <c r="C151" i="21"/>
  <c r="AK151" i="21" s="1"/>
  <c r="C146" i="21"/>
  <c r="AK146" i="21" s="1"/>
  <c r="D46" i="21"/>
  <c r="C255" i="21"/>
  <c r="AK255" i="21" s="1"/>
  <c r="C86" i="21"/>
  <c r="AK86" i="21" s="1"/>
  <c r="C43" i="21"/>
  <c r="AK43" i="21" s="1"/>
  <c r="L24" i="27"/>
  <c r="D109" i="21"/>
  <c r="C35" i="21"/>
  <c r="AK35" i="21" s="1"/>
  <c r="C92" i="21"/>
  <c r="AK92" i="21" s="1"/>
  <c r="C49" i="21"/>
  <c r="AK49" i="21" s="1"/>
  <c r="L164" i="27"/>
  <c r="L162" i="27"/>
  <c r="L170" i="27"/>
  <c r="L172" i="27"/>
  <c r="L157" i="27"/>
  <c r="L178" i="27"/>
  <c r="L167" i="27"/>
  <c r="L173" i="27"/>
  <c r="L161" i="27"/>
  <c r="L169" i="27"/>
  <c r="L155" i="27"/>
  <c r="L160" i="27"/>
  <c r="L177" i="27"/>
  <c r="L118" i="27"/>
  <c r="L117" i="27"/>
  <c r="L158" i="27"/>
  <c r="L156" i="27"/>
  <c r="L163" i="27"/>
  <c r="L165" i="27"/>
  <c r="L166" i="27"/>
  <c r="L179" i="27"/>
  <c r="L159" i="27"/>
  <c r="L168" i="27"/>
  <c r="L222" i="27"/>
  <c r="L218" i="27"/>
  <c r="L214" i="27"/>
  <c r="L91" i="27"/>
  <c r="L92" i="27"/>
  <c r="L228" i="27"/>
  <c r="L89" i="27"/>
  <c r="L215" i="27"/>
  <c r="L217" i="27"/>
  <c r="L90" i="27"/>
  <c r="L216" i="27"/>
  <c r="L227" i="27"/>
  <c r="L94" i="27"/>
  <c r="L221" i="27"/>
  <c r="L219" i="27"/>
  <c r="L95" i="27"/>
  <c r="L223" i="27"/>
  <c r="L93" i="27"/>
  <c r="L220" i="27"/>
  <c r="L238" i="27"/>
  <c r="R143" i="21"/>
  <c r="Q143" i="21"/>
  <c r="R119" i="21"/>
  <c r="Q119" i="21"/>
  <c r="R82" i="21"/>
  <c r="Q82" i="21"/>
  <c r="R44" i="21"/>
  <c r="Q44" i="21"/>
  <c r="R211" i="21"/>
  <c r="Q211" i="21"/>
  <c r="C32" i="21"/>
  <c r="AK32" i="21" s="1"/>
  <c r="L29" i="27"/>
  <c r="L114" i="27"/>
  <c r="L56" i="27"/>
  <c r="L57" i="27"/>
  <c r="Q141" i="21"/>
  <c r="R141" i="21"/>
  <c r="R129" i="21"/>
  <c r="Q129" i="21"/>
  <c r="Q117" i="21"/>
  <c r="R117" i="21"/>
  <c r="Q105" i="21"/>
  <c r="R105" i="21"/>
  <c r="Q92" i="21"/>
  <c r="R92" i="21"/>
  <c r="R80" i="21"/>
  <c r="Q80" i="21"/>
  <c r="Q66" i="21"/>
  <c r="R66" i="21"/>
  <c r="R54" i="21"/>
  <c r="Q54" i="21"/>
  <c r="R42" i="21"/>
  <c r="Q42" i="21"/>
  <c r="Q30" i="21"/>
  <c r="R30" i="21"/>
  <c r="Q245" i="21"/>
  <c r="R245" i="21"/>
  <c r="Q233" i="21"/>
  <c r="R233" i="21"/>
  <c r="Q221" i="21"/>
  <c r="R221" i="21"/>
  <c r="Q209" i="21"/>
  <c r="R209" i="21"/>
  <c r="Q197" i="21"/>
  <c r="R197" i="21"/>
  <c r="Q184" i="21"/>
  <c r="R184" i="21"/>
  <c r="Q172" i="21"/>
  <c r="R172" i="21"/>
  <c r="Q157" i="21"/>
  <c r="R157" i="21"/>
  <c r="C29" i="21"/>
  <c r="AK29" i="21" s="1"/>
  <c r="C98" i="21"/>
  <c r="AK98" i="21" s="1"/>
  <c r="C175" i="21"/>
  <c r="AK175" i="21" s="1"/>
  <c r="C248" i="21"/>
  <c r="AK248" i="21" s="1"/>
  <c r="C188" i="21"/>
  <c r="AK188" i="21" s="1"/>
  <c r="C94" i="21"/>
  <c r="AK94" i="21" s="1"/>
  <c r="C171" i="21"/>
  <c r="AK171" i="21" s="1"/>
  <c r="C244" i="21"/>
  <c r="AK244" i="21" s="1"/>
  <c r="C209" i="21"/>
  <c r="AK209" i="21" s="1"/>
  <c r="D221" i="21"/>
  <c r="C84" i="21"/>
  <c r="AK84" i="21" s="1"/>
  <c r="C161" i="21"/>
  <c r="AK161" i="21" s="1"/>
  <c r="L41" i="27"/>
  <c r="L116" i="27"/>
  <c r="L209" i="27"/>
  <c r="L69" i="27"/>
  <c r="L36" i="27"/>
  <c r="L40" i="27"/>
  <c r="L108" i="27"/>
  <c r="Q145" i="21"/>
  <c r="R145" i="21"/>
  <c r="Q132" i="21"/>
  <c r="R132" i="21"/>
  <c r="Q120" i="21"/>
  <c r="R120" i="21"/>
  <c r="Q108" i="21"/>
  <c r="R108" i="21"/>
  <c r="Q95" i="21"/>
  <c r="R95" i="21"/>
  <c r="Q83" i="21"/>
  <c r="R83" i="21"/>
  <c r="Q69" i="21"/>
  <c r="R69" i="21"/>
  <c r="Q57" i="21"/>
  <c r="R57" i="21"/>
  <c r="Q45" i="21"/>
  <c r="R45" i="21"/>
  <c r="Q33" i="21"/>
  <c r="R33" i="21"/>
  <c r="Q248" i="21"/>
  <c r="R248" i="21"/>
  <c r="Q236" i="21"/>
  <c r="R236" i="21"/>
  <c r="Q224" i="21"/>
  <c r="R224" i="21"/>
  <c r="Q212" i="21"/>
  <c r="R212" i="21"/>
  <c r="Q200" i="21"/>
  <c r="R200" i="21"/>
  <c r="Q187" i="21"/>
  <c r="R187" i="21"/>
  <c r="Q175" i="21"/>
  <c r="R175" i="21"/>
  <c r="R163" i="21"/>
  <c r="C236" i="21"/>
  <c r="AK236" i="21" s="1"/>
  <c r="C120" i="21"/>
  <c r="AK120" i="21" s="1"/>
  <c r="D57" i="21"/>
  <c r="L17" i="27"/>
  <c r="L45" i="27"/>
  <c r="R142" i="21"/>
  <c r="Q142" i="21"/>
  <c r="R118" i="21"/>
  <c r="Q118" i="21"/>
  <c r="R81" i="21"/>
  <c r="Q81" i="21"/>
  <c r="R55" i="21"/>
  <c r="Q55" i="21"/>
  <c r="R31" i="21"/>
  <c r="Q31" i="21"/>
  <c r="R234" i="21"/>
  <c r="Q234" i="21"/>
  <c r="Q210" i="21"/>
  <c r="R210" i="21"/>
  <c r="Q185" i="21"/>
  <c r="R185" i="21"/>
  <c r="R173" i="21"/>
  <c r="Q173" i="21"/>
  <c r="D198" i="21"/>
  <c r="C174" i="21"/>
  <c r="AK174" i="21" s="1"/>
  <c r="C247" i="21"/>
  <c r="AK247" i="21" s="1"/>
  <c r="D211" i="21"/>
  <c r="R116" i="21"/>
  <c r="Q116" i="21"/>
  <c r="R79" i="21"/>
  <c r="Q79" i="21"/>
  <c r="R65" i="21"/>
  <c r="Q65" i="21"/>
  <c r="Q148" i="21"/>
  <c r="R148" i="21"/>
  <c r="R244" i="21"/>
  <c r="Q244" i="21"/>
  <c r="R208" i="21"/>
  <c r="Q208" i="21"/>
  <c r="R196" i="21"/>
  <c r="Q196" i="21"/>
  <c r="Q140" i="21"/>
  <c r="R140" i="21"/>
  <c r="R104" i="21"/>
  <c r="Q104" i="21"/>
  <c r="R41" i="21"/>
  <c r="Q41" i="21"/>
  <c r="R220" i="21"/>
  <c r="Q220" i="21"/>
  <c r="R183" i="21"/>
  <c r="Q183" i="21"/>
  <c r="R156" i="21"/>
  <c r="Q156" i="21"/>
  <c r="C118" i="21"/>
  <c r="AK118" i="21" s="1"/>
  <c r="D31" i="21"/>
  <c r="C44" i="21"/>
  <c r="AK44" i="21" s="1"/>
  <c r="C57" i="21"/>
  <c r="AK57" i="21" s="1"/>
  <c r="L213" i="27"/>
  <c r="R195" i="21"/>
  <c r="Q195" i="21"/>
  <c r="C187" i="21"/>
  <c r="AK187" i="21" s="1"/>
  <c r="C201" i="21"/>
  <c r="AK201" i="21" s="1"/>
  <c r="C246" i="21"/>
  <c r="AK246" i="21" s="1"/>
  <c r="L212" i="27"/>
  <c r="L112" i="27"/>
  <c r="L22" i="27"/>
  <c r="L47" i="27"/>
  <c r="L64" i="27"/>
  <c r="L27" i="27"/>
  <c r="L51" i="27"/>
  <c r="R139" i="21"/>
  <c r="Q139" i="21"/>
  <c r="R115" i="21"/>
  <c r="Q115" i="21"/>
  <c r="R90" i="21"/>
  <c r="Q90" i="21"/>
  <c r="R52" i="21"/>
  <c r="Q52" i="21"/>
  <c r="R149" i="21"/>
  <c r="Q149" i="21"/>
  <c r="R231" i="21"/>
  <c r="Q231" i="21"/>
  <c r="R207" i="21"/>
  <c r="Q207" i="21"/>
  <c r="R170" i="21"/>
  <c r="Q170" i="21"/>
  <c r="C41" i="21"/>
  <c r="AK41" i="21" s="1"/>
  <c r="C145" i="21"/>
  <c r="AK145" i="21" s="1"/>
  <c r="C173" i="21"/>
  <c r="AK173" i="21" s="1"/>
  <c r="L18" i="27"/>
  <c r="L16" i="27"/>
  <c r="L206" i="27"/>
  <c r="Q138" i="21"/>
  <c r="R138" i="21"/>
  <c r="Q102" i="21"/>
  <c r="R102" i="21"/>
  <c r="Q77" i="21"/>
  <c r="R77" i="21"/>
  <c r="Q39" i="21"/>
  <c r="R39" i="21"/>
  <c r="Q230" i="21"/>
  <c r="R230" i="21"/>
  <c r="Q206" i="21"/>
  <c r="R206" i="21"/>
  <c r="Q169" i="21"/>
  <c r="R169" i="21"/>
  <c r="C69" i="21"/>
  <c r="AK69" i="21" s="1"/>
  <c r="C33" i="21"/>
  <c r="AK33" i="21" s="1"/>
  <c r="R113" i="21"/>
  <c r="Q113" i="21"/>
  <c r="R88" i="21"/>
  <c r="Q88" i="21"/>
  <c r="R62" i="21"/>
  <c r="Q62" i="21"/>
  <c r="R38" i="21"/>
  <c r="Q38" i="21"/>
  <c r="R241" i="21"/>
  <c r="Q241" i="21"/>
  <c r="R229" i="21"/>
  <c r="Q229" i="21"/>
  <c r="Q217" i="21"/>
  <c r="R217" i="21"/>
  <c r="R205" i="21"/>
  <c r="Q205" i="21"/>
  <c r="Q193" i="21"/>
  <c r="R193" i="21"/>
  <c r="Q168" i="21"/>
  <c r="R168" i="21"/>
  <c r="Q153" i="21"/>
  <c r="R153" i="21"/>
  <c r="C53" i="21"/>
  <c r="AK53" i="21" s="1"/>
  <c r="C205" i="21"/>
  <c r="AK205" i="21" s="1"/>
  <c r="D168" i="21"/>
  <c r="D241" i="21"/>
  <c r="C123" i="21"/>
  <c r="AK123" i="21" s="1"/>
  <c r="C200" i="21"/>
  <c r="AK200" i="21" s="1"/>
  <c r="D200" i="21"/>
  <c r="C213" i="21"/>
  <c r="AK213" i="21" s="1"/>
  <c r="C119" i="21"/>
  <c r="AK119" i="21" s="1"/>
  <c r="C196" i="21"/>
  <c r="AK196" i="21" s="1"/>
  <c r="D44" i="21"/>
  <c r="D119" i="21"/>
  <c r="D196" i="21"/>
  <c r="C83" i="21"/>
  <c r="AK83" i="21" s="1"/>
  <c r="C157" i="21"/>
  <c r="AK157" i="21" s="1"/>
  <c r="C233" i="21"/>
  <c r="AK233" i="21" s="1"/>
  <c r="D95" i="21"/>
  <c r="D172" i="21"/>
  <c r="D245" i="21"/>
  <c r="C185" i="21"/>
  <c r="AK185" i="21" s="1"/>
  <c r="L42" i="27"/>
  <c r="L55" i="27"/>
  <c r="L204" i="27"/>
  <c r="L34" i="27"/>
  <c r="L111" i="27"/>
  <c r="L63" i="27"/>
  <c r="L53" i="27"/>
  <c r="L19" i="27"/>
  <c r="L62" i="27"/>
  <c r="R127" i="21"/>
  <c r="Q127" i="21"/>
  <c r="R103" i="21"/>
  <c r="Q103" i="21"/>
  <c r="R78" i="21"/>
  <c r="Q78" i="21"/>
  <c r="R64" i="21"/>
  <c r="Q64" i="21"/>
  <c r="Q40" i="21"/>
  <c r="R40" i="21"/>
  <c r="R243" i="21"/>
  <c r="Q243" i="21"/>
  <c r="R219" i="21"/>
  <c r="Q219" i="21"/>
  <c r="R182" i="21"/>
  <c r="Q182" i="21"/>
  <c r="D187" i="21"/>
  <c r="D183" i="21"/>
  <c r="C96" i="21"/>
  <c r="AK96" i="21" s="1"/>
  <c r="L65" i="27"/>
  <c r="L31" i="27"/>
  <c r="L72" i="27"/>
  <c r="L205" i="27"/>
  <c r="Q126" i="21"/>
  <c r="R126" i="21"/>
  <c r="Q89" i="21"/>
  <c r="R89" i="21"/>
  <c r="Q51" i="21"/>
  <c r="R51" i="21"/>
  <c r="Q254" i="21"/>
  <c r="R254" i="21"/>
  <c r="Q218" i="21"/>
  <c r="R218" i="21"/>
  <c r="Q194" i="21"/>
  <c r="R194" i="21"/>
  <c r="Q154" i="21"/>
  <c r="R154" i="21"/>
  <c r="C194" i="21"/>
  <c r="AK194" i="21" s="1"/>
  <c r="D194" i="21"/>
  <c r="C130" i="21"/>
  <c r="AK130" i="21" s="1"/>
  <c r="D41" i="21"/>
  <c r="D118" i="21"/>
  <c r="C103" i="21"/>
  <c r="AK103" i="21" s="1"/>
  <c r="L43" i="27"/>
  <c r="R137" i="21"/>
  <c r="Q137" i="21"/>
  <c r="R125" i="21"/>
  <c r="Q125" i="21"/>
  <c r="R101" i="21"/>
  <c r="Q101" i="21"/>
  <c r="R75" i="21"/>
  <c r="Q75" i="21"/>
  <c r="R50" i="21"/>
  <c r="Q50" i="21"/>
  <c r="R253" i="21"/>
  <c r="Q253" i="21"/>
  <c r="R136" i="21"/>
  <c r="Q136" i="21"/>
  <c r="R124" i="21"/>
  <c r="Q124" i="21"/>
  <c r="R112" i="21"/>
  <c r="Q112" i="21"/>
  <c r="R100" i="21"/>
  <c r="Q100" i="21"/>
  <c r="R87" i="21"/>
  <c r="Q87" i="21"/>
  <c r="Q73" i="21"/>
  <c r="R61" i="21"/>
  <c r="Q61" i="21"/>
  <c r="R49" i="21"/>
  <c r="Q49" i="21"/>
  <c r="R37" i="21"/>
  <c r="Q37" i="21"/>
  <c r="Q252" i="21"/>
  <c r="R252" i="21"/>
  <c r="R240" i="21"/>
  <c r="Q240" i="21"/>
  <c r="Q228" i="21"/>
  <c r="R228" i="21"/>
  <c r="Q216" i="21"/>
  <c r="R216" i="21"/>
  <c r="Q204" i="21"/>
  <c r="R204" i="21"/>
  <c r="R191" i="21"/>
  <c r="Q191" i="21"/>
  <c r="Q179" i="21"/>
  <c r="R179" i="21"/>
  <c r="Q167" i="21"/>
  <c r="R167" i="21"/>
  <c r="R152" i="21"/>
  <c r="Q152" i="21"/>
  <c r="D234" i="21"/>
  <c r="C59" i="21"/>
  <c r="AK59" i="21" s="1"/>
  <c r="C211" i="21"/>
  <c r="AK211" i="21" s="1"/>
  <c r="C129" i="21"/>
  <c r="AK129" i="21" s="1"/>
  <c r="C206" i="21"/>
  <c r="AK206" i="21" s="1"/>
  <c r="D54" i="21"/>
  <c r="D129" i="21"/>
  <c r="D206" i="21"/>
  <c r="C67" i="21"/>
  <c r="AK67" i="21" s="1"/>
  <c r="C142" i="21"/>
  <c r="AK142" i="21" s="1"/>
  <c r="C219" i="21"/>
  <c r="AK219" i="21" s="1"/>
  <c r="C30" i="21"/>
  <c r="AK30" i="21" s="1"/>
  <c r="D55" i="21"/>
  <c r="D207" i="21"/>
  <c r="C50" i="21"/>
  <c r="AK50" i="21" s="1"/>
  <c r="C125" i="21"/>
  <c r="AK125" i="21" s="1"/>
  <c r="C202" i="21"/>
  <c r="AK202" i="21" s="1"/>
  <c r="D50" i="21"/>
  <c r="D125" i="21"/>
  <c r="C89" i="21"/>
  <c r="AK89" i="21" s="1"/>
  <c r="C77" i="21"/>
  <c r="AK77" i="21" s="1"/>
  <c r="D102" i="21"/>
  <c r="C40" i="21"/>
  <c r="AK40" i="21" s="1"/>
  <c r="C115" i="21"/>
  <c r="AK115" i="21" s="1"/>
  <c r="C191" i="21"/>
  <c r="AK191" i="21" s="1"/>
  <c r="L54" i="27"/>
  <c r="L67" i="27"/>
  <c r="L32" i="27"/>
  <c r="L201" i="27"/>
  <c r="L26" i="27"/>
  <c r="L46" i="27"/>
  <c r="L203" i="27"/>
  <c r="L207" i="27"/>
  <c r="L20" i="27"/>
  <c r="L33" i="27"/>
  <c r="L229" i="27"/>
  <c r="L39" i="27"/>
  <c r="L61" i="27"/>
  <c r="R131" i="21"/>
  <c r="Q131" i="21"/>
  <c r="R107" i="21"/>
  <c r="Q107" i="21"/>
  <c r="R94" i="21"/>
  <c r="Q94" i="21"/>
  <c r="R68" i="21"/>
  <c r="Q68" i="21"/>
  <c r="R56" i="21"/>
  <c r="Q56" i="21"/>
  <c r="R32" i="21"/>
  <c r="Q32" i="21"/>
  <c r="Q247" i="21"/>
  <c r="R247" i="21"/>
  <c r="R235" i="21"/>
  <c r="Q235" i="21"/>
  <c r="Q223" i="21"/>
  <c r="R223" i="21"/>
  <c r="Q199" i="21"/>
  <c r="R199" i="21"/>
  <c r="R186" i="21"/>
  <c r="Q186" i="21"/>
  <c r="Q174" i="21"/>
  <c r="R174" i="21"/>
  <c r="R162" i="21"/>
  <c r="C163" i="21"/>
  <c r="AK163" i="21" s="1"/>
  <c r="D163" i="21"/>
  <c r="D236" i="21"/>
  <c r="R171" i="21"/>
  <c r="Q171" i="21"/>
  <c r="C186" i="21"/>
  <c r="AK186" i="21" s="1"/>
  <c r="R155" i="21"/>
  <c r="Q155" i="21"/>
  <c r="D139" i="21"/>
  <c r="C116" i="21"/>
  <c r="AK116" i="21" s="1"/>
  <c r="D32" i="21"/>
  <c r="R180" i="21"/>
  <c r="Q180" i="21"/>
  <c r="D78" i="21"/>
  <c r="Q29" i="21"/>
  <c r="R29" i="21"/>
  <c r="L84" i="27"/>
  <c r="L85" i="27"/>
  <c r="L86" i="27"/>
  <c r="L87" i="27"/>
  <c r="L88" i="27"/>
  <c r="L77" i="27"/>
  <c r="L76" i="27"/>
  <c r="L79" i="27"/>
  <c r="L80" i="27"/>
  <c r="L78" i="27"/>
  <c r="L81" i="27"/>
  <c r="L82" i="27"/>
  <c r="L75" i="27"/>
  <c r="L83" i="27"/>
  <c r="R135" i="21"/>
  <c r="Q135" i="21"/>
  <c r="Q123" i="21"/>
  <c r="R123" i="21"/>
  <c r="Q111" i="21"/>
  <c r="R111" i="21"/>
  <c r="Q98" i="21"/>
  <c r="R98" i="21"/>
  <c r="Q86" i="21"/>
  <c r="R86" i="21"/>
  <c r="Q72" i="21"/>
  <c r="R72" i="21"/>
  <c r="Q60" i="21"/>
  <c r="R60" i="21"/>
  <c r="R48" i="21"/>
  <c r="Q48" i="21"/>
  <c r="Q36" i="21"/>
  <c r="R36" i="21"/>
  <c r="Q251" i="21"/>
  <c r="R251" i="21"/>
  <c r="Q239" i="21"/>
  <c r="R239" i="21"/>
  <c r="Q227" i="21"/>
  <c r="R227" i="21"/>
  <c r="Q215" i="21"/>
  <c r="R215" i="21"/>
  <c r="Q203" i="21"/>
  <c r="R203" i="21"/>
  <c r="Q190" i="21"/>
  <c r="R190" i="21"/>
  <c r="Q178" i="21"/>
  <c r="R178" i="21"/>
  <c r="Q166" i="21"/>
  <c r="R166" i="21"/>
  <c r="Q151" i="21"/>
  <c r="R151" i="21"/>
  <c r="D90" i="21"/>
  <c r="D167" i="21"/>
  <c r="D240" i="21"/>
  <c r="C65" i="21"/>
  <c r="AK65" i="21" s="1"/>
  <c r="C140" i="21"/>
  <c r="AK140" i="21" s="1"/>
  <c r="C217" i="21"/>
  <c r="AK217" i="21" s="1"/>
  <c r="D104" i="21"/>
  <c r="D180" i="21"/>
  <c r="D253" i="21"/>
  <c r="C135" i="21"/>
  <c r="AK135" i="21" s="1"/>
  <c r="C212" i="21"/>
  <c r="AK212" i="21" s="1"/>
  <c r="D60" i="21"/>
  <c r="D135" i="21"/>
  <c r="D212" i="21"/>
  <c r="C73" i="21"/>
  <c r="AK73" i="21" s="1"/>
  <c r="C149" i="21"/>
  <c r="AK149" i="21" s="1"/>
  <c r="C66" i="21"/>
  <c r="AK66" i="21" s="1"/>
  <c r="D61" i="21"/>
  <c r="D136" i="21"/>
  <c r="C56" i="21"/>
  <c r="AK56" i="21" s="1"/>
  <c r="C131" i="21"/>
  <c r="AK131" i="21" s="1"/>
  <c r="C208" i="21"/>
  <c r="AK208" i="21" s="1"/>
  <c r="D56" i="21"/>
  <c r="D131" i="21"/>
  <c r="D208" i="21"/>
  <c r="C95" i="21"/>
  <c r="AK95" i="21" s="1"/>
  <c r="C172" i="21"/>
  <c r="AK172" i="21" s="1"/>
  <c r="C245" i="21"/>
  <c r="AK245" i="21" s="1"/>
  <c r="D33" i="21"/>
  <c r="D108" i="21"/>
  <c r="D184" i="21"/>
  <c r="L66" i="27"/>
  <c r="L199" i="27"/>
  <c r="L23" i="27"/>
  <c r="L50" i="27"/>
  <c r="L58" i="27"/>
  <c r="L110" i="27"/>
  <c r="L25" i="27"/>
  <c r="L52" i="27"/>
  <c r="L208" i="27"/>
  <c r="L200" i="27"/>
  <c r="C107" i="21"/>
  <c r="AK107" i="21" s="1"/>
  <c r="C183" i="21"/>
  <c r="AK183" i="21" s="1"/>
  <c r="D107" i="21"/>
  <c r="D83" i="21"/>
  <c r="L35" i="27"/>
  <c r="Q114" i="21"/>
  <c r="R114" i="21"/>
  <c r="Q63" i="21"/>
  <c r="R63" i="21"/>
  <c r="Q242" i="21"/>
  <c r="R242" i="21"/>
  <c r="Q181" i="21"/>
  <c r="R181" i="21"/>
  <c r="C199" i="21"/>
  <c r="AK199" i="21" s="1"/>
  <c r="D162" i="21"/>
  <c r="D235" i="21"/>
  <c r="C207" i="21"/>
  <c r="AK207" i="21" s="1"/>
  <c r="D195" i="21"/>
  <c r="C45" i="21"/>
  <c r="AK45" i="21" s="1"/>
  <c r="D89" i="21"/>
  <c r="L30" i="27"/>
  <c r="R147" i="21"/>
  <c r="Q147" i="21"/>
  <c r="R134" i="21"/>
  <c r="Q134" i="21"/>
  <c r="R122" i="21"/>
  <c r="Q122" i="21"/>
  <c r="R110" i="21"/>
  <c r="Q110" i="21"/>
  <c r="R97" i="21"/>
  <c r="Q97" i="21"/>
  <c r="R85" i="21"/>
  <c r="Q85" i="21"/>
  <c r="R71" i="21"/>
  <c r="Q71" i="21"/>
  <c r="R59" i="21"/>
  <c r="Q59" i="21"/>
  <c r="R47" i="21"/>
  <c r="Q47" i="21"/>
  <c r="R35" i="21"/>
  <c r="Q35" i="21"/>
  <c r="R250" i="21"/>
  <c r="Q250" i="21"/>
  <c r="R238" i="21"/>
  <c r="Q238" i="21"/>
  <c r="R226" i="21"/>
  <c r="Q226" i="21"/>
  <c r="R214" i="21"/>
  <c r="Q214" i="21"/>
  <c r="R202" i="21"/>
  <c r="Q202" i="21"/>
  <c r="R189" i="21"/>
  <c r="Q189" i="21"/>
  <c r="R177" i="21"/>
  <c r="Q177" i="21"/>
  <c r="R165" i="21"/>
  <c r="Q165" i="21"/>
  <c r="R150" i="21"/>
  <c r="Q150" i="21"/>
  <c r="D173" i="21"/>
  <c r="C71" i="21"/>
  <c r="AK71" i="21" s="1"/>
  <c r="C147" i="21"/>
  <c r="C223" i="21"/>
  <c r="AK223" i="21" s="1"/>
  <c r="D110" i="21"/>
  <c r="D186" i="21"/>
  <c r="C141" i="21"/>
  <c r="AK141" i="21" s="1"/>
  <c r="C218" i="21"/>
  <c r="AK218" i="21" s="1"/>
  <c r="D66" i="21"/>
  <c r="D141" i="21"/>
  <c r="D218" i="21"/>
  <c r="C81" i="21"/>
  <c r="AK81" i="21" s="1"/>
  <c r="C155" i="21"/>
  <c r="AK155" i="21" s="1"/>
  <c r="C231" i="21"/>
  <c r="AK231" i="21" s="1"/>
  <c r="D48" i="21"/>
  <c r="D142" i="21"/>
  <c r="D219" i="21"/>
  <c r="C62" i="21"/>
  <c r="AK62" i="21" s="1"/>
  <c r="C137" i="21"/>
  <c r="AK137" i="21" s="1"/>
  <c r="C214" i="21"/>
  <c r="AK214" i="21" s="1"/>
  <c r="C42" i="21"/>
  <c r="AK42" i="21" s="1"/>
  <c r="D62" i="21"/>
  <c r="D137" i="21"/>
  <c r="D214" i="21"/>
  <c r="C102" i="21"/>
  <c r="AK102" i="21" s="1"/>
  <c r="C178" i="21"/>
  <c r="AK178" i="21" s="1"/>
  <c r="C251" i="21"/>
  <c r="AK251" i="21" s="1"/>
  <c r="D39" i="21"/>
  <c r="D114" i="21"/>
  <c r="D190" i="21"/>
  <c r="C52" i="21"/>
  <c r="AK52" i="21" s="1"/>
  <c r="C127" i="21"/>
  <c r="AK127" i="21" s="1"/>
  <c r="C204" i="21"/>
  <c r="AK204" i="21" s="1"/>
  <c r="L14" i="27"/>
  <c r="L210" i="27"/>
  <c r="L211" i="27"/>
  <c r="L59" i="27"/>
  <c r="L74" i="27"/>
  <c r="L70" i="27"/>
  <c r="L60" i="27"/>
  <c r="L37" i="27"/>
  <c r="C82" i="21"/>
  <c r="AK82" i="21" s="1"/>
  <c r="D82" i="21"/>
  <c r="D132" i="21"/>
  <c r="L44" i="27"/>
  <c r="L202" i="27"/>
  <c r="L73" i="27"/>
  <c r="R130" i="21"/>
  <c r="Q130" i="21"/>
  <c r="R106" i="21"/>
  <c r="Q106" i="21"/>
  <c r="R93" i="21"/>
  <c r="Q93" i="21"/>
  <c r="R67" i="21"/>
  <c r="Q67" i="21"/>
  <c r="R43" i="21"/>
  <c r="Q43" i="21"/>
  <c r="Q246" i="21"/>
  <c r="R246" i="21"/>
  <c r="R222" i="21"/>
  <c r="Q222" i="21"/>
  <c r="R198" i="21"/>
  <c r="Q198" i="21"/>
  <c r="R161" i="21"/>
  <c r="C106" i="21"/>
  <c r="AK106" i="21" s="1"/>
  <c r="C55" i="21"/>
  <c r="AK55" i="21" s="1"/>
  <c r="R128" i="21"/>
  <c r="Q128" i="21"/>
  <c r="R91" i="21"/>
  <c r="Q91" i="21"/>
  <c r="R53" i="21"/>
  <c r="Q53" i="21"/>
  <c r="R232" i="21"/>
  <c r="Q232" i="21"/>
  <c r="D210" i="21"/>
  <c r="R146" i="21"/>
  <c r="Q146" i="21"/>
  <c r="R133" i="21"/>
  <c r="Q133" i="21"/>
  <c r="R121" i="21"/>
  <c r="Q121" i="21"/>
  <c r="R109" i="21"/>
  <c r="Q109" i="21"/>
  <c r="Q96" i="21"/>
  <c r="R96" i="21"/>
  <c r="R84" i="21"/>
  <c r="Q84" i="21"/>
  <c r="R70" i="21"/>
  <c r="Q70" i="21"/>
  <c r="R58" i="21"/>
  <c r="Q58" i="21"/>
  <c r="R46" i="21"/>
  <c r="Q46" i="21"/>
  <c r="Q34" i="21"/>
  <c r="R34" i="21"/>
  <c r="R249" i="21"/>
  <c r="Q249" i="21"/>
  <c r="R237" i="21"/>
  <c r="Q237" i="21"/>
  <c r="R225" i="21"/>
  <c r="Q225" i="21"/>
  <c r="R213" i="21"/>
  <c r="Q213" i="21"/>
  <c r="R201" i="21"/>
  <c r="Q201" i="21"/>
  <c r="R188" i="21"/>
  <c r="Q188" i="21"/>
  <c r="R176" i="21"/>
  <c r="Q176" i="21"/>
  <c r="R164" i="21"/>
  <c r="R255" i="21"/>
  <c r="Q255" i="21"/>
  <c r="D103" i="21"/>
  <c r="D179" i="21"/>
  <c r="D252" i="21"/>
  <c r="C79" i="21"/>
  <c r="AK79" i="21" s="1"/>
  <c r="C153" i="21"/>
  <c r="AK153" i="21" s="1"/>
  <c r="C229" i="21"/>
  <c r="AK229" i="21" s="1"/>
  <c r="D116" i="21"/>
  <c r="D193" i="21"/>
  <c r="C148" i="21"/>
  <c r="AK148" i="21" s="1"/>
  <c r="C224" i="21"/>
  <c r="AK224" i="21" s="1"/>
  <c r="D72" i="21"/>
  <c r="D148" i="21"/>
  <c r="D224" i="21"/>
  <c r="C87" i="21"/>
  <c r="AK87" i="21" s="1"/>
  <c r="C164" i="21"/>
  <c r="AK164" i="21" s="1"/>
  <c r="C237" i="21"/>
  <c r="AK237" i="21" s="1"/>
  <c r="C31" i="21"/>
  <c r="AK31" i="21" s="1"/>
  <c r="D73" i="21"/>
  <c r="D149" i="21"/>
  <c r="D225" i="21"/>
  <c r="C68" i="21"/>
  <c r="AK68" i="21" s="1"/>
  <c r="C143" i="21"/>
  <c r="AK143" i="21" s="1"/>
  <c r="C220" i="21"/>
  <c r="AK220" i="21" s="1"/>
  <c r="C60" i="21"/>
  <c r="AK60" i="21" s="1"/>
  <c r="D68" i="21"/>
  <c r="D143" i="21"/>
  <c r="D220" i="21"/>
  <c r="D79" i="21"/>
  <c r="C108" i="21"/>
  <c r="AK108" i="21" s="1"/>
  <c r="C184" i="21"/>
  <c r="AK184" i="21" s="1"/>
  <c r="D45" i="21"/>
  <c r="D120" i="21"/>
  <c r="D197" i="21"/>
  <c r="C58" i="21"/>
  <c r="AK58" i="21" s="1"/>
  <c r="C133" i="21"/>
  <c r="AK133" i="21" s="1"/>
  <c r="C210" i="21"/>
  <c r="AK210" i="21" s="1"/>
  <c r="L115" i="27"/>
  <c r="L68" i="27"/>
  <c r="L21" i="27"/>
  <c r="L71" i="27"/>
  <c r="L113" i="27"/>
  <c r="L49" i="27"/>
  <c r="V16" i="21" l="1"/>
  <c r="AK147" i="21"/>
  <c r="C11" i="21"/>
  <c r="V11" i="21" s="1"/>
  <c r="C6" i="21"/>
  <c r="V6" i="21" s="1"/>
  <c r="C10" i="21"/>
  <c r="V10" i="21" s="1"/>
  <c r="N5" i="15" l="1"/>
  <c r="B10" i="15"/>
  <c r="J10" i="21" l="1"/>
  <c r="J8" i="21"/>
  <c r="J7" i="21"/>
  <c r="J5" i="21"/>
  <c r="J6" i="21"/>
  <c r="J9" i="21"/>
  <c r="J11" i="21"/>
  <c r="J12" i="21"/>
  <c r="J13" i="21"/>
  <c r="J14" i="21"/>
  <c r="J15" i="21"/>
  <c r="J16" i="21"/>
  <c r="J4" i="21"/>
  <c r="C15" i="21"/>
  <c r="V15" i="21" s="1"/>
  <c r="C14" i="21"/>
  <c r="V14" i="21" s="1"/>
  <c r="C13" i="21"/>
  <c r="V13" i="21" s="1"/>
  <c r="C12" i="21"/>
  <c r="C9" i="21"/>
  <c r="C8" i="21"/>
  <c r="C7" i="21"/>
  <c r="V7" i="21" s="1"/>
  <c r="C4" i="21"/>
  <c r="V4" i="21" s="1"/>
  <c r="V12" i="21" l="1"/>
  <c r="V9" i="21"/>
  <c r="V8" i="21"/>
  <c r="W6" i="21"/>
  <c r="X6" i="21" s="1"/>
  <c r="W10" i="21"/>
  <c r="X10" i="21" s="1"/>
  <c r="W16" i="21"/>
  <c r="X16" i="21" s="1"/>
  <c r="W5" i="21"/>
  <c r="X5" i="21" s="1"/>
  <c r="C17" i="21"/>
  <c r="C19" i="21" s="1"/>
  <c r="K17" i="21"/>
  <c r="J17" i="21"/>
  <c r="J19" i="21" s="1"/>
  <c r="V17" i="21" l="1"/>
  <c r="U17" i="21"/>
  <c r="T17" i="21"/>
  <c r="S17" i="21"/>
  <c r="Q17" i="21"/>
  <c r="P17" i="21"/>
  <c r="O17" i="21"/>
  <c r="N17" i="21"/>
  <c r="W7" i="21"/>
  <c r="X7" i="21" s="1"/>
  <c r="W15" i="21"/>
  <c r="X15" i="21" s="1"/>
  <c r="W14" i="21"/>
  <c r="X14" i="21" s="1"/>
  <c r="W13" i="21"/>
  <c r="X13" i="21" s="1"/>
  <c r="M17" i="21"/>
  <c r="W9" i="21"/>
  <c r="X9" i="21" s="1"/>
  <c r="W4" i="21"/>
  <c r="X4" i="21" s="1"/>
  <c r="W8" i="21"/>
  <c r="X8" i="21" s="1"/>
  <c r="W12" i="21"/>
  <c r="X12" i="21" s="1"/>
  <c r="W11" i="21"/>
  <c r="X11" i="21" s="1"/>
  <c r="L17" i="21"/>
  <c r="W17" i="21" l="1"/>
  <c r="X17" i="21" s="1"/>
  <c r="B4" i="57" l="1"/>
  <c r="C4" i="53" l="1"/>
  <c r="C9" i="57"/>
  <c r="C10" i="57"/>
  <c r="C32" i="57"/>
  <c r="C16" i="57"/>
  <c r="C29" i="57"/>
  <c r="C28" i="57"/>
  <c r="C27" i="57"/>
  <c r="C26" i="57"/>
  <c r="C12" i="57"/>
  <c r="C25" i="57"/>
  <c r="C11" i="57"/>
  <c r="C22" i="57"/>
  <c r="C33" i="57"/>
  <c r="C13" i="57"/>
  <c r="C30" i="57"/>
  <c r="C15" i="57"/>
  <c r="C7" i="57"/>
  <c r="C8" i="57"/>
  <c r="C19" i="57"/>
  <c r="C14" i="57"/>
  <c r="C34" i="57"/>
  <c r="C23" i="57"/>
  <c r="C17" i="57"/>
  <c r="C18" i="57"/>
  <c r="C20" i="57"/>
  <c r="C36" i="57"/>
  <c r="C4" i="55"/>
  <c r="G12" i="55" s="1"/>
  <c r="T4" i="55" s="1"/>
  <c r="T5" i="55" s="1"/>
  <c r="T6" i="55" s="1"/>
  <c r="V6" i="55" s="1"/>
  <c r="Q4" i="57"/>
  <c r="P18" i="15"/>
  <c r="P29" i="15"/>
  <c r="P37" i="15"/>
  <c r="P10" i="15"/>
  <c r="W14" i="57" l="1"/>
  <c r="W32" i="57"/>
  <c r="W17" i="57"/>
  <c r="W28" i="57"/>
  <c r="W27" i="57"/>
  <c r="W18" i="57"/>
  <c r="W16" i="57"/>
  <c r="W13" i="57"/>
  <c r="W12" i="57"/>
  <c r="W29" i="57"/>
  <c r="W15" i="57"/>
  <c r="W26" i="57"/>
  <c r="W11" i="57"/>
  <c r="W19" i="57"/>
  <c r="W10" i="57"/>
  <c r="W8" i="57"/>
  <c r="W20" i="57"/>
  <c r="W23" i="57"/>
  <c r="W9" i="57"/>
  <c r="W22" i="57"/>
  <c r="W7" i="57"/>
  <c r="W34" i="57"/>
  <c r="W33" i="57"/>
  <c r="K25" i="57"/>
  <c r="W25" i="57" s="1"/>
  <c r="F4" i="53"/>
  <c r="E4" i="57"/>
  <c r="E5" i="57" s="1"/>
  <c r="D25" i="53"/>
  <c r="D8" i="53"/>
  <c r="D24" i="53"/>
  <c r="D9" i="53"/>
  <c r="D26" i="53"/>
  <c r="D7" i="53"/>
  <c r="D10" i="53"/>
  <c r="D12" i="53"/>
  <c r="D31" i="53"/>
  <c r="D13" i="53"/>
  <c r="D15" i="53"/>
  <c r="D11" i="53"/>
  <c r="D17" i="53"/>
  <c r="D16" i="53"/>
  <c r="D14" i="53"/>
  <c r="D27" i="53"/>
  <c r="D32" i="53"/>
  <c r="D29" i="53"/>
  <c r="D28" i="53"/>
  <c r="D33" i="53"/>
  <c r="D21" i="53"/>
  <c r="D19" i="53"/>
  <c r="D20" i="53"/>
  <c r="D18" i="53"/>
  <c r="D35" i="53"/>
  <c r="D22" i="53"/>
  <c r="R36" i="57"/>
  <c r="Y36" i="57" s="1"/>
  <c r="R22" i="57"/>
  <c r="Y22" i="57" s="1"/>
  <c r="R9" i="57"/>
  <c r="Y9" i="57" s="1"/>
  <c r="R34" i="57"/>
  <c r="Y34" i="57" s="1"/>
  <c r="R7" i="57"/>
  <c r="Y7" i="57" s="1"/>
  <c r="R35" i="57"/>
  <c r="R20" i="57"/>
  <c r="Y20" i="57" s="1"/>
  <c r="R8" i="57"/>
  <c r="Y8" i="57" s="1"/>
  <c r="R19" i="57"/>
  <c r="Y19" i="57" s="1"/>
  <c r="R33" i="57"/>
  <c r="Y33" i="57" s="1"/>
  <c r="R18" i="57"/>
  <c r="Y18" i="57" s="1"/>
  <c r="R32" i="57"/>
  <c r="Y32" i="57" s="1"/>
  <c r="R17" i="57"/>
  <c r="Y17" i="57" s="1"/>
  <c r="R27" i="57"/>
  <c r="Y27" i="57" s="1"/>
  <c r="R13" i="57"/>
  <c r="Y13" i="57" s="1"/>
  <c r="R26" i="57"/>
  <c r="Y26" i="57" s="1"/>
  <c r="R12" i="57"/>
  <c r="Y12" i="57" s="1"/>
  <c r="R25" i="57"/>
  <c r="Y25" i="57" s="1"/>
  <c r="R11" i="57"/>
  <c r="Y11" i="57" s="1"/>
  <c r="R23" i="57"/>
  <c r="Y23" i="57" s="1"/>
  <c r="R10" i="57"/>
  <c r="Y10" i="57" s="1"/>
  <c r="R30" i="57"/>
  <c r="Y30" i="57" s="1"/>
  <c r="R16" i="57"/>
  <c r="Y16" i="57" s="1"/>
  <c r="R29" i="57"/>
  <c r="Y29" i="57" s="1"/>
  <c r="R15" i="57"/>
  <c r="Y15" i="57" s="1"/>
  <c r="R28" i="57"/>
  <c r="Y28" i="57" s="1"/>
  <c r="R14" i="57"/>
  <c r="Y14" i="57" s="1"/>
  <c r="V5" i="55"/>
  <c r="V7" i="55" s="1"/>
  <c r="Q37" i="15"/>
  <c r="Q18" i="15"/>
  <c r="Q10" i="15"/>
  <c r="Q29" i="15"/>
  <c r="P39" i="15"/>
  <c r="P20" i="15"/>
  <c r="I14" i="17"/>
  <c r="F14" i="17"/>
  <c r="E14" i="17"/>
  <c r="D14" i="17"/>
  <c r="C14" i="17"/>
  <c r="G13" i="17"/>
  <c r="K13" i="17" s="1"/>
  <c r="G12" i="17"/>
  <c r="K12" i="17" s="1"/>
  <c r="K11" i="17"/>
  <c r="G11" i="17"/>
  <c r="G10" i="17"/>
  <c r="K10" i="17" s="1"/>
  <c r="K9" i="17"/>
  <c r="G9" i="17"/>
  <c r="G8" i="17"/>
  <c r="K8" i="17" s="1"/>
  <c r="G7" i="17"/>
  <c r="K7" i="17" s="1"/>
  <c r="G6" i="17"/>
  <c r="K6" i="17" s="1"/>
  <c r="K5" i="17"/>
  <c r="G5" i="17"/>
  <c r="G4" i="17"/>
  <c r="K4" i="17" s="1"/>
  <c r="I1" i="6"/>
  <c r="D7" i="16"/>
  <c r="X32" i="57" l="1"/>
  <c r="Z32" i="57" s="1"/>
  <c r="X17" i="57"/>
  <c r="Z17" i="57" s="1"/>
  <c r="X11" i="57"/>
  <c r="Z11" i="57" s="1"/>
  <c r="X28" i="57"/>
  <c r="Z28" i="57" s="1"/>
  <c r="X27" i="57"/>
  <c r="Z27" i="57" s="1"/>
  <c r="X19" i="57"/>
  <c r="Z19" i="57" s="1"/>
  <c r="X34" i="57"/>
  <c r="Z34" i="57" s="1"/>
  <c r="X29" i="57"/>
  <c r="Z29" i="57" s="1"/>
  <c r="X15" i="57"/>
  <c r="Z15" i="57" s="1"/>
  <c r="X33" i="57"/>
  <c r="Z33" i="57" s="1"/>
  <c r="X22" i="57"/>
  <c r="Z22" i="57" s="1"/>
  <c r="X16" i="57"/>
  <c r="Z16" i="57" s="1"/>
  <c r="X26" i="57"/>
  <c r="Z26" i="57" s="1"/>
  <c r="X25" i="57"/>
  <c r="Z25" i="57" s="1"/>
  <c r="X14" i="57"/>
  <c r="Z14" i="57" s="1"/>
  <c r="X9" i="57"/>
  <c r="Z9" i="57" s="1"/>
  <c r="X8" i="57"/>
  <c r="Z8" i="57" s="1"/>
  <c r="X7" i="57"/>
  <c r="Z7" i="57" s="1"/>
  <c r="X10" i="57"/>
  <c r="Z10" i="57" s="1"/>
  <c r="X18" i="57"/>
  <c r="Z18" i="57" s="1"/>
  <c r="X23" i="57"/>
  <c r="Z23" i="57" s="1"/>
  <c r="X20" i="57"/>
  <c r="Z20" i="57" s="1"/>
  <c r="X12" i="57"/>
  <c r="Z12" i="57" s="1"/>
  <c r="X13" i="57"/>
  <c r="Z13" i="57" s="1"/>
  <c r="G19" i="53"/>
  <c r="G25" i="53"/>
  <c r="G24" i="53"/>
  <c r="G9" i="53"/>
  <c r="G8" i="53"/>
  <c r="G26" i="53"/>
  <c r="G12" i="53"/>
  <c r="G11" i="53"/>
  <c r="G32" i="53"/>
  <c r="G28" i="53"/>
  <c r="G13" i="53"/>
  <c r="G15" i="53"/>
  <c r="G21" i="53"/>
  <c r="G27" i="53"/>
  <c r="G14" i="53"/>
  <c r="G16" i="53"/>
  <c r="G7" i="53"/>
  <c r="G10" i="53"/>
  <c r="G29" i="53"/>
  <c r="G31" i="53"/>
  <c r="G33" i="53"/>
  <c r="G17" i="53"/>
  <c r="G18" i="53"/>
  <c r="G20" i="53"/>
  <c r="G43" i="53" s="1"/>
  <c r="G22" i="53"/>
  <c r="G44" i="53" s="1"/>
  <c r="G35" i="53"/>
  <c r="K30" i="57"/>
  <c r="P25" i="57"/>
  <c r="Q39" i="15"/>
  <c r="Q20" i="15"/>
  <c r="K14" i="17"/>
  <c r="G14" i="17"/>
  <c r="K36" i="57" l="1"/>
  <c r="W36" i="57" s="1"/>
  <c r="X36" i="57" s="1"/>
  <c r="Z36" i="57" s="1"/>
  <c r="W30" i="57"/>
  <c r="X30" i="57" s="1"/>
  <c r="Z30" i="57" s="1"/>
  <c r="P30" i="57"/>
  <c r="T25" i="57"/>
  <c r="G40" i="53"/>
  <c r="P36" i="57" l="1"/>
  <c r="T36" i="57" s="1"/>
  <c r="T30" i="57"/>
  <c r="E7" i="16"/>
  <c r="F7" i="16"/>
  <c r="G7" i="16"/>
  <c r="H7" i="16"/>
  <c r="I7" i="16"/>
  <c r="J7" i="16"/>
  <c r="K7" i="16"/>
  <c r="L7" i="16"/>
  <c r="M7" i="16"/>
  <c r="N7" i="16"/>
  <c r="O7" i="16"/>
  <c r="P7" i="16"/>
  <c r="C57" i="15" l="1"/>
  <c r="D57" i="15"/>
  <c r="E57" i="15"/>
  <c r="F57" i="15"/>
  <c r="G57" i="15"/>
  <c r="H57" i="15"/>
  <c r="I57" i="15"/>
  <c r="J57" i="15"/>
  <c r="K57" i="15"/>
  <c r="L57" i="15"/>
  <c r="M57" i="15"/>
  <c r="B57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44" i="15"/>
  <c r="C44" i="15"/>
  <c r="D44" i="15"/>
  <c r="E44" i="15"/>
  <c r="F44" i="15"/>
  <c r="G44" i="15"/>
  <c r="H44" i="15"/>
  <c r="I44" i="15"/>
  <c r="J44" i="15"/>
  <c r="K44" i="15"/>
  <c r="L44" i="15"/>
  <c r="M44" i="15"/>
  <c r="B45" i="15"/>
  <c r="C45" i="15"/>
  <c r="D45" i="15"/>
  <c r="E45" i="15"/>
  <c r="F45" i="15"/>
  <c r="G45" i="15"/>
  <c r="H45" i="15"/>
  <c r="I45" i="15"/>
  <c r="J45" i="15"/>
  <c r="K45" i="15"/>
  <c r="L45" i="15"/>
  <c r="M45" i="15"/>
  <c r="B46" i="15"/>
  <c r="C46" i="15"/>
  <c r="D46" i="15"/>
  <c r="E46" i="15"/>
  <c r="F46" i="15"/>
  <c r="G46" i="15"/>
  <c r="H46" i="15"/>
  <c r="I46" i="15"/>
  <c r="J46" i="15"/>
  <c r="K46" i="15"/>
  <c r="L46" i="15"/>
  <c r="M46" i="15"/>
  <c r="B47" i="15"/>
  <c r="C47" i="15"/>
  <c r="D47" i="15"/>
  <c r="E47" i="15"/>
  <c r="F47" i="15"/>
  <c r="G47" i="15"/>
  <c r="H47" i="15"/>
  <c r="I47" i="15"/>
  <c r="J47" i="15"/>
  <c r="K47" i="15"/>
  <c r="L47" i="15"/>
  <c r="M47" i="15"/>
  <c r="C43" i="15"/>
  <c r="D43" i="15"/>
  <c r="E43" i="15"/>
  <c r="F43" i="15"/>
  <c r="G43" i="15"/>
  <c r="H43" i="15"/>
  <c r="I43" i="15"/>
  <c r="J43" i="15"/>
  <c r="K43" i="15"/>
  <c r="L43" i="15"/>
  <c r="M43" i="15"/>
  <c r="B43" i="15"/>
  <c r="N30" i="15"/>
  <c r="N38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N36" i="15"/>
  <c r="N35" i="15"/>
  <c r="N34" i="15"/>
  <c r="N33" i="15"/>
  <c r="N32" i="15"/>
  <c r="N31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N28" i="15"/>
  <c r="N27" i="15"/>
  <c r="N26" i="15"/>
  <c r="N25" i="15"/>
  <c r="N24" i="15"/>
  <c r="N19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20" i="15" s="1"/>
  <c r="N17" i="15"/>
  <c r="N16" i="15"/>
  <c r="N15" i="15"/>
  <c r="N14" i="15"/>
  <c r="N13" i="15"/>
  <c r="N12" i="15"/>
  <c r="N11" i="15"/>
  <c r="M10" i="15"/>
  <c r="L10" i="15"/>
  <c r="L20" i="15" s="1"/>
  <c r="K10" i="15"/>
  <c r="K20" i="15" s="1"/>
  <c r="J10" i="15"/>
  <c r="I10" i="15"/>
  <c r="H10" i="15"/>
  <c r="G10" i="15"/>
  <c r="F10" i="15"/>
  <c r="E10" i="15"/>
  <c r="D10" i="15"/>
  <c r="C10" i="15"/>
  <c r="N9" i="15"/>
  <c r="N8" i="15"/>
  <c r="N7" i="15"/>
  <c r="N6" i="15"/>
  <c r="K1" i="6"/>
  <c r="F56" i="15" l="1"/>
  <c r="J39" i="15"/>
  <c r="P49" i="15"/>
  <c r="Q49" i="15"/>
  <c r="P53" i="15"/>
  <c r="Q53" i="15"/>
  <c r="P57" i="15"/>
  <c r="Q57" i="15"/>
  <c r="P43" i="15"/>
  <c r="Q43" i="15"/>
  <c r="P50" i="15"/>
  <c r="Q50" i="15"/>
  <c r="P51" i="15"/>
  <c r="Q51" i="15"/>
  <c r="P52" i="15"/>
  <c r="Q52" i="15"/>
  <c r="P54" i="15"/>
  <c r="Q54" i="15"/>
  <c r="P55" i="15"/>
  <c r="Q55" i="15"/>
  <c r="P47" i="15"/>
  <c r="Q47" i="15"/>
  <c r="P46" i="15"/>
  <c r="Q46" i="15"/>
  <c r="P45" i="15"/>
  <c r="Q45" i="15"/>
  <c r="P44" i="15"/>
  <c r="Q44" i="15"/>
  <c r="E56" i="15"/>
  <c r="G56" i="15"/>
  <c r="I20" i="15"/>
  <c r="J20" i="15"/>
  <c r="C39" i="15"/>
  <c r="H20" i="15"/>
  <c r="M56" i="15"/>
  <c r="M39" i="15"/>
  <c r="L39" i="15"/>
  <c r="L48" i="15"/>
  <c r="K39" i="15"/>
  <c r="K56" i="15"/>
  <c r="J56" i="15"/>
  <c r="N57" i="15"/>
  <c r="C20" i="15"/>
  <c r="D20" i="15"/>
  <c r="E20" i="15"/>
  <c r="D39" i="15"/>
  <c r="F20" i="15"/>
  <c r="E39" i="15"/>
  <c r="M20" i="15"/>
  <c r="G20" i="15"/>
  <c r="I39" i="15"/>
  <c r="I56" i="15"/>
  <c r="H39" i="15"/>
  <c r="H56" i="15"/>
  <c r="H48" i="15"/>
  <c r="G39" i="15"/>
  <c r="F39" i="15"/>
  <c r="N55" i="15"/>
  <c r="N54" i="15"/>
  <c r="D56" i="15"/>
  <c r="N44" i="15"/>
  <c r="C56" i="15"/>
  <c r="B56" i="15"/>
  <c r="N45" i="15"/>
  <c r="B48" i="15"/>
  <c r="B39" i="15"/>
  <c r="L56" i="15"/>
  <c r="N50" i="15"/>
  <c r="N51" i="15"/>
  <c r="N52" i="15"/>
  <c r="N53" i="15"/>
  <c r="N47" i="15"/>
  <c r="E48" i="15"/>
  <c r="C48" i="15"/>
  <c r="J48" i="15"/>
  <c r="N46" i="15"/>
  <c r="G48" i="15"/>
  <c r="N43" i="15"/>
  <c r="J7" i="65" s="1"/>
  <c r="J10" i="65" s="1"/>
  <c r="J18" i="65" s="1"/>
  <c r="J20" i="65" s="1"/>
  <c r="J22" i="65" s="1"/>
  <c r="J35" i="65" s="1"/>
  <c r="M48" i="15"/>
  <c r="I48" i="15"/>
  <c r="C1" i="6"/>
  <c r="N49" i="15"/>
  <c r="K48" i="15"/>
  <c r="F48" i="15"/>
  <c r="D48" i="15"/>
  <c r="N37" i="15"/>
  <c r="N29" i="15"/>
  <c r="N18" i="15"/>
  <c r="N10" i="15"/>
  <c r="M1" i="6"/>
  <c r="F58" i="15" l="1"/>
  <c r="E58" i="15"/>
  <c r="G58" i="15"/>
  <c r="B58" i="15"/>
  <c r="H58" i="15"/>
  <c r="J58" i="15"/>
  <c r="D58" i="15"/>
  <c r="K58" i="15"/>
  <c r="M58" i="15"/>
  <c r="L58" i="15"/>
  <c r="N20" i="15"/>
  <c r="V9" i="6"/>
  <c r="I58" i="15"/>
  <c r="N56" i="15"/>
  <c r="N39" i="15"/>
  <c r="N40" i="15" s="1"/>
  <c r="Q48" i="15"/>
  <c r="P48" i="15"/>
  <c r="C58" i="15"/>
  <c r="P56" i="15"/>
  <c r="Q56" i="15"/>
  <c r="N48" i="15"/>
  <c r="N58" i="15" l="1"/>
  <c r="P58" i="15"/>
  <c r="Q58" i="15"/>
  <c r="V16" i="6" l="1"/>
  <c r="V17" i="6" s="1"/>
  <c r="V19" i="6" l="1"/>
  <c r="V21" i="6" s="1"/>
  <c r="V32" i="6" s="1"/>
  <c r="S16" i="6"/>
  <c r="S17" i="6"/>
  <c r="S22" i="6" l="1"/>
  <c r="S26" i="6"/>
  <c r="S27" i="6" l="1"/>
  <c r="S32" i="6"/>
  <c r="E25" i="57" l="1"/>
  <c r="E30" i="57" l="1"/>
  <c r="E36" i="57" s="1"/>
  <c r="C108" i="5"/>
  <c r="C110" i="5" s="1"/>
  <c r="N106" i="5"/>
  <c r="F31" i="65" s="1"/>
  <c r="C182" i="5"/>
  <c r="N182" i="5" s="1"/>
  <c r="N8" i="66" l="1"/>
  <c r="C8" i="66"/>
  <c r="P8" i="66" s="1"/>
  <c r="Q8" i="66" s="1"/>
  <c r="Q38" i="66" s="1"/>
  <c r="N107" i="5"/>
  <c r="N111" i="66" l="1"/>
  <c r="W8" i="66"/>
  <c r="X8" i="66" s="1"/>
  <c r="C111" i="66"/>
  <c r="C38" i="66"/>
  <c r="F32" i="65"/>
  <c r="F33" i="65" s="1"/>
  <c r="F35" i="65" s="1"/>
  <c r="N108" i="5"/>
  <c r="N110" i="5" s="1"/>
  <c r="X111" i="66" l="1"/>
  <c r="Q111" i="66"/>
  <c r="Q141" i="66" s="1"/>
  <c r="C141" i="66"/>
  <c r="C50" i="66"/>
  <c r="C153" i="66" s="1"/>
  <c r="P8" i="65" l="1"/>
  <c r="T8" i="65" l="1"/>
  <c r="K17" i="65" l="1"/>
  <c r="M17" i="65"/>
  <c r="P14" i="65"/>
  <c r="P17" i="65" l="1"/>
  <c r="T14" i="65"/>
  <c r="T17" i="65" l="1"/>
  <c r="N117" i="5" l="1"/>
  <c r="Q7" i="65" s="1"/>
  <c r="E120" i="5"/>
  <c r="E7" i="67"/>
  <c r="AD7" i="67" s="1"/>
  <c r="M10" i="65"/>
  <c r="M18" i="65" s="1"/>
  <c r="M20" i="65" s="1"/>
  <c r="M22" i="65" s="1"/>
  <c r="M35" i="65" s="1"/>
  <c r="N153" i="5" l="1"/>
  <c r="E156" i="5"/>
  <c r="E10" i="66"/>
  <c r="N7" i="67"/>
  <c r="E10" i="67"/>
  <c r="AD10" i="67" s="1"/>
  <c r="S7" i="67"/>
  <c r="E128" i="5"/>
  <c r="N120" i="5"/>
  <c r="R7" i="65"/>
  <c r="Q10" i="65"/>
  <c r="E164" i="5" l="1"/>
  <c r="E13" i="66"/>
  <c r="P13" i="66" s="1"/>
  <c r="N10" i="66"/>
  <c r="N156" i="5"/>
  <c r="R10" i="65"/>
  <c r="Q18" i="65"/>
  <c r="AB7" i="67"/>
  <c r="AG7" i="67" s="1"/>
  <c r="N10" i="67"/>
  <c r="E113" i="66"/>
  <c r="P113" i="66" s="1"/>
  <c r="E130" i="5"/>
  <c r="N128" i="5"/>
  <c r="S10" i="67"/>
  <c r="E18" i="67"/>
  <c r="AD18" i="67" s="1"/>
  <c r="N113" i="66" l="1"/>
  <c r="W113" i="66" s="1"/>
  <c r="AB113" i="66" s="1"/>
  <c r="W10" i="66"/>
  <c r="X116" i="66"/>
  <c r="AB116" i="66" s="1"/>
  <c r="X13" i="66"/>
  <c r="X21" i="66" s="1"/>
  <c r="Q20" i="65"/>
  <c r="R18" i="65"/>
  <c r="N130" i="5"/>
  <c r="E132" i="5"/>
  <c r="N18" i="67"/>
  <c r="AB10" i="67"/>
  <c r="AG10" i="67" s="1"/>
  <c r="N164" i="5"/>
  <c r="N13" i="66"/>
  <c r="E20" i="67"/>
  <c r="AD20" i="67" s="1"/>
  <c r="S18" i="67"/>
  <c r="E116" i="66"/>
  <c r="P116" i="66" s="1"/>
  <c r="E21" i="66"/>
  <c r="P21" i="66" s="1"/>
  <c r="E166" i="5"/>
  <c r="N116" i="66" l="1"/>
  <c r="W116" i="66" s="1"/>
  <c r="W13" i="66"/>
  <c r="X126" i="66"/>
  <c r="X23" i="66"/>
  <c r="E23" i="66"/>
  <c r="E168" i="5"/>
  <c r="N10" i="65"/>
  <c r="N18" i="65" s="1"/>
  <c r="N20" i="65" s="1"/>
  <c r="N22" i="65" s="1"/>
  <c r="N35" i="65" s="1"/>
  <c r="N21" i="66"/>
  <c r="N166" i="5"/>
  <c r="N132" i="5"/>
  <c r="E143" i="5"/>
  <c r="E124" i="66"/>
  <c r="P124" i="66" s="1"/>
  <c r="AB18" i="67"/>
  <c r="AG18" i="67" s="1"/>
  <c r="N20" i="67"/>
  <c r="E22" i="67"/>
  <c r="AD22" i="67" s="1"/>
  <c r="S20" i="67"/>
  <c r="Q22" i="65"/>
  <c r="R20" i="65"/>
  <c r="X128" i="66" l="1"/>
  <c r="X141" i="66" s="1"/>
  <c r="E126" i="66"/>
  <c r="P126" i="66" s="1"/>
  <c r="P23" i="66"/>
  <c r="N124" i="66"/>
  <c r="W124" i="66" s="1"/>
  <c r="AB124" i="66" s="1"/>
  <c r="W21" i="66"/>
  <c r="X25" i="66"/>
  <c r="E35" i="67"/>
  <c r="AD35" i="67" s="1"/>
  <c r="S22" i="67"/>
  <c r="N23" i="66"/>
  <c r="N168" i="5"/>
  <c r="N143" i="5"/>
  <c r="E25" i="66"/>
  <c r="P25" i="66" s="1"/>
  <c r="E179" i="5"/>
  <c r="R22" i="65"/>
  <c r="R35" i="65" s="1"/>
  <c r="Q35" i="65"/>
  <c r="N22" i="67"/>
  <c r="AB20" i="67"/>
  <c r="AG20" i="67" s="1"/>
  <c r="AB22" i="67" l="1"/>
  <c r="AG22" i="67" s="1"/>
  <c r="P38" i="66"/>
  <c r="N126" i="66"/>
  <c r="W126" i="66" s="1"/>
  <c r="AB126" i="66" s="1"/>
  <c r="W23" i="66"/>
  <c r="X38" i="66"/>
  <c r="S35" i="67"/>
  <c r="E38" i="66"/>
  <c r="E128" i="66"/>
  <c r="P128" i="66" s="1"/>
  <c r="N35" i="67"/>
  <c r="P7" i="65"/>
  <c r="K10" i="65"/>
  <c r="K18" i="65" s="1"/>
  <c r="K20" i="65" s="1"/>
  <c r="K22" i="65" s="1"/>
  <c r="K35" i="65" s="1"/>
  <c r="N25" i="66"/>
  <c r="W25" i="66" s="1"/>
  <c r="W38" i="66" s="1"/>
  <c r="N179" i="5"/>
  <c r="P10" i="65" l="1"/>
  <c r="T7" i="65"/>
  <c r="E141" i="66"/>
  <c r="P141" i="66" s="1"/>
  <c r="E50" i="66"/>
  <c r="E153" i="66" s="1"/>
  <c r="N38" i="66"/>
  <c r="N128" i="66"/>
  <c r="W128" i="66" s="1"/>
  <c r="AB35" i="67"/>
  <c r="AG35" i="67" l="1"/>
  <c r="AH36" i="67"/>
  <c r="AH37" i="67" s="1"/>
  <c r="W141" i="66"/>
  <c r="AB141" i="66" s="1"/>
  <c r="AB128" i="66"/>
  <c r="P18" i="65"/>
  <c r="T10" i="65"/>
  <c r="N141" i="66"/>
  <c r="N50" i="66"/>
  <c r="N153" i="66" s="1"/>
  <c r="P20" i="65" l="1"/>
  <c r="T18" i="65"/>
  <c r="AF25" i="66"/>
  <c r="P22" i="65" l="1"/>
  <c r="T20" i="65"/>
  <c r="P35" i="65" l="1"/>
  <c r="T35" i="65" s="1"/>
  <c r="T22" i="6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tc={1BFF1343-53DE-4286-8DEF-50489254C1ED}</author>
  </authors>
  <commentList>
    <comment ref="M27" authorId="0" shapeId="0" xr:uid="{1BFF1343-53DE-4286-8DEF-50489254C1ED}">
      <text>
        <t>[Threaded comment]
Your version of Excel allows you to read this threaded comment; however, any edits to it will get removed if the file is opened in a newer version of Excel. Learn more: https://go.microsoft.com/fwlink/?linkid=870924
Comment:
    Material Ledger impact</t>
      </text>
    </comment>
  </commentList>
</comments>
</file>

<file path=xl/sharedStrings.xml><?xml version="1.0" encoding="utf-8"?>
<sst xmlns="http://schemas.openxmlformats.org/spreadsheetml/2006/main" count="5002" uniqueCount="569">
  <si>
    <t>Jan</t>
  </si>
  <si>
    <t>Feb</t>
  </si>
  <si>
    <t>March</t>
  </si>
  <si>
    <t>April</t>
  </si>
  <si>
    <t>May</t>
  </si>
  <si>
    <t>June</t>
  </si>
  <si>
    <t>July</t>
  </si>
  <si>
    <t>August</t>
  </si>
  <si>
    <t>Sept</t>
  </si>
  <si>
    <t>Oct</t>
  </si>
  <si>
    <t>Nov</t>
  </si>
  <si>
    <t>Dec</t>
  </si>
  <si>
    <t xml:space="preserve">Total </t>
  </si>
  <si>
    <t>TD</t>
  </si>
  <si>
    <t xml:space="preserve">Actual Reporting </t>
  </si>
  <si>
    <t>1.</t>
  </si>
  <si>
    <t xml:space="preserve">Please update copertura for the period / data entry - line 53 onwords </t>
  </si>
  <si>
    <t>2.</t>
  </si>
  <si>
    <t xml:space="preserve">Please update the actual cost for the period / data entry - line 75 onwords </t>
  </si>
  <si>
    <t xml:space="preserve">3. </t>
  </si>
  <si>
    <t>Update columns "Q" &amp; "R" in the data entry and budget assumption tab</t>
  </si>
  <si>
    <t xml:space="preserve">4. </t>
  </si>
  <si>
    <t xml:space="preserve">YTD and MTD variances, as well as the report is populated automatically </t>
  </si>
  <si>
    <t xml:space="preserve">5. </t>
  </si>
  <si>
    <t xml:space="preserve">Please provide the rootcauses for the variances YTD and MTD Report (column J-P) </t>
  </si>
  <si>
    <t>Checkline in column "U" needs to be zero in each line</t>
  </si>
  <si>
    <t>6.</t>
  </si>
  <si>
    <t xml:space="preserve">SAP extraction actual cost lines as separate sheet </t>
  </si>
  <si>
    <t xml:space="preserve">FCST Reporting </t>
  </si>
  <si>
    <t xml:space="preserve">1. </t>
  </si>
  <si>
    <t>Please fill in the copertura and actuals for the upcoming months _ data entry tab - lines 53-94</t>
  </si>
  <si>
    <t xml:space="preserve">2. </t>
  </si>
  <si>
    <t xml:space="preserve">FCST tab is populated automatically , please check the correctness </t>
  </si>
  <si>
    <t xml:space="preserve">Provide root cause split for the upcoming periods  variances </t>
  </si>
  <si>
    <t>4.</t>
  </si>
  <si>
    <t>Paste values previous submitted FCST in "FCST25" sheet lines 47-87</t>
  </si>
  <si>
    <t>5.</t>
  </si>
  <si>
    <t>Check variances vs last forecast  in "FCST25" sheet lines 91-131</t>
  </si>
  <si>
    <t>Update column AE &amp; AF in "FCST CPU"</t>
  </si>
  <si>
    <t>7.</t>
  </si>
  <si>
    <t xml:space="preserve">Update Material &amp; Freight In part in "FCST CPU" </t>
  </si>
  <si>
    <t xml:space="preserve">Budget Cost </t>
  </si>
  <si>
    <r>
      <t xml:space="preserve">Budgeted cost of the period </t>
    </r>
    <r>
      <rPr>
        <b/>
        <sz val="11"/>
        <color theme="1"/>
        <rFont val="Aptos Narrow"/>
        <family val="2"/>
        <scheme val="minor"/>
      </rPr>
      <t xml:space="preserve">@ Budget FX rate </t>
    </r>
  </si>
  <si>
    <t xml:space="preserve">ACE </t>
  </si>
  <si>
    <t xml:space="preserve">Permanent saving, linked to ACE projects. This line needs to give us the deviation versus the budgeted ACE improvements </t>
  </si>
  <si>
    <t xml:space="preserve">MFG Efficiency </t>
  </si>
  <si>
    <t xml:space="preserve">Saving / Cost in relation with current year standard production process not linked to price , one off or ACE ; e.g delay of hiring , not spending the budget for a specific line or additional consumption due to breakdown etc </t>
  </si>
  <si>
    <t>S&amp;OP</t>
  </si>
  <si>
    <t xml:space="preserve">Increase or decrease of cost due to volume fluctuations; Excess of Manpower, Additional / less vertical closure days impact, Incremental cost increase / decrease on the fixed cost due to volume change </t>
  </si>
  <si>
    <t>Price / Inflation</t>
  </si>
  <si>
    <t xml:space="preserve">Pure Price or Inflation impact </t>
  </si>
  <si>
    <t>fX translation</t>
  </si>
  <si>
    <t xml:space="preserve">fx impact act fx versus budget fx </t>
  </si>
  <si>
    <t xml:space="preserve">One off </t>
  </si>
  <si>
    <t>Extraordinary expense/income not linked to current year standard production process;  previous years income/ loss, write off and sale of assets , one time expenses like restructuring program, cost related to opening ceremony, extra ordinary donations etc</t>
  </si>
  <si>
    <t>Oth Functions</t>
  </si>
  <si>
    <t xml:space="preserve">Cost related to claims , which in the past was recharged to R&amp;D, Procurement , Logistics </t>
  </si>
  <si>
    <t>Actual Cost</t>
  </si>
  <si>
    <r>
      <t xml:space="preserve">Actual cost of the period converted  </t>
    </r>
    <r>
      <rPr>
        <b/>
        <sz val="11"/>
        <color theme="1"/>
        <rFont val="Aptos Narrow"/>
        <family val="2"/>
        <scheme val="minor"/>
      </rPr>
      <t xml:space="preserve">@ actual fx rate </t>
    </r>
  </si>
  <si>
    <t>Budget25</t>
  </si>
  <si>
    <t>Volume Variance</t>
  </si>
  <si>
    <t>Copertura</t>
  </si>
  <si>
    <t xml:space="preserve">HWTW&amp;ACE </t>
  </si>
  <si>
    <t>Budget FCA</t>
  </si>
  <si>
    <t>Budget Flex.</t>
  </si>
  <si>
    <t xml:space="preserve">VARIANCE </t>
  </si>
  <si>
    <t>FCA</t>
  </si>
  <si>
    <t>Total</t>
  </si>
  <si>
    <r>
      <t>- Gain</t>
    </r>
    <r>
      <rPr>
        <i/>
        <sz val="11"/>
        <color rgb="FF000000"/>
        <rFont val="Calibri"/>
        <family val="2"/>
        <charset val="162"/>
      </rPr>
      <t xml:space="preserve"> / </t>
    </r>
    <r>
      <rPr>
        <i/>
        <sz val="11"/>
        <color rgb="FFFF0000"/>
        <rFont val="Calibri"/>
        <family val="2"/>
      </rPr>
      <t>+Loss</t>
    </r>
  </si>
  <si>
    <t xml:space="preserve">checkline </t>
  </si>
  <si>
    <t>ACT</t>
  </si>
  <si>
    <t>EUR/000</t>
  </si>
  <si>
    <t>€/pc</t>
  </si>
  <si>
    <t>EUR/001</t>
  </si>
  <si>
    <t>Direct Labor</t>
  </si>
  <si>
    <t>Variable Utilities</t>
  </si>
  <si>
    <t>Scrap</t>
  </si>
  <si>
    <t>Scrap Reselling</t>
  </si>
  <si>
    <t>Other Variable (Production Consumable, Inventory ADJ)</t>
  </si>
  <si>
    <t>Variable Conv.</t>
  </si>
  <si>
    <t>Indirect Labour</t>
  </si>
  <si>
    <t>Fixed Labour</t>
  </si>
  <si>
    <t>Semifixed</t>
  </si>
  <si>
    <t>Fixed utilities</t>
  </si>
  <si>
    <t>Fixed Cost</t>
  </si>
  <si>
    <t>Obsolete</t>
  </si>
  <si>
    <t>Depreciation</t>
  </si>
  <si>
    <t>Fixed Conv.</t>
  </si>
  <si>
    <t>TOTAL MFG COST w/o SHARES</t>
  </si>
  <si>
    <t>TOTAL SHARES</t>
  </si>
  <si>
    <t>TOTAL MFG COST w/ SHARES</t>
  </si>
  <si>
    <t>Functional Currency Impact</t>
  </si>
  <si>
    <t>TOTAL Including FC</t>
  </si>
  <si>
    <t xml:space="preserve">Shares &amp; Out of Perimeter </t>
  </si>
  <si>
    <t xml:space="preserve">YTD </t>
  </si>
  <si>
    <t>YTD</t>
  </si>
  <si>
    <t xml:space="preserve">Budget Volume </t>
  </si>
  <si>
    <t xml:space="preserve">Delta Volume </t>
  </si>
  <si>
    <t xml:space="preserve">Seasonality </t>
  </si>
  <si>
    <t xml:space="preserve">Variance vs STD </t>
  </si>
  <si>
    <t xml:space="preserve">Direct HC </t>
  </si>
  <si>
    <t xml:space="preserve">Production </t>
  </si>
  <si>
    <t xml:space="preserve">Shared </t>
  </si>
  <si>
    <t xml:space="preserve">Assigned hours </t>
  </si>
  <si>
    <t xml:space="preserve">Indirect HC </t>
  </si>
  <si>
    <t>Lapro</t>
  </si>
  <si>
    <t xml:space="preserve">Fixed HC </t>
  </si>
  <si>
    <t>Aug</t>
  </si>
  <si>
    <t>Direct HC</t>
  </si>
  <si>
    <t>Indirect HC</t>
  </si>
  <si>
    <t>Total HC</t>
  </si>
  <si>
    <t>Temporary ratio</t>
  </si>
  <si>
    <t>RENTA</t>
  </si>
  <si>
    <t>EURASIA</t>
  </si>
  <si>
    <t>TOTAL</t>
  </si>
  <si>
    <t>DW</t>
  </si>
  <si>
    <t>CK</t>
  </si>
  <si>
    <t>INFRA</t>
  </si>
  <si>
    <t>Highlights;</t>
  </si>
  <si>
    <t xml:space="preserve">Association dues (MESS Payment) </t>
  </si>
  <si>
    <t xml:space="preserve">G&amp;A Recharge Eurosia - Renta </t>
  </si>
  <si>
    <t xml:space="preserve">IT Recharge Group </t>
  </si>
  <si>
    <t>Controlling Expenses</t>
  </si>
  <si>
    <t xml:space="preserve">Enterprice Property Insurance </t>
  </si>
  <si>
    <t xml:space="preserve">Profit on Asset Sale </t>
  </si>
  <si>
    <t>Loss on Asset Sale</t>
  </si>
  <si>
    <t xml:space="preserve">Litigation fee </t>
  </si>
  <si>
    <t xml:space="preserve">INFRA </t>
  </si>
  <si>
    <t xml:space="preserve"> …......</t>
  </si>
  <si>
    <t>G&amp;A  _ Out of Perimeter</t>
  </si>
  <si>
    <t>Mar</t>
  </si>
  <si>
    <t>TD
MTD Oct</t>
  </si>
  <si>
    <t>GP</t>
  </si>
  <si>
    <t>TC ALL</t>
  </si>
  <si>
    <t>TC WO GP</t>
  </si>
  <si>
    <t>GP TC</t>
  </si>
  <si>
    <t>HC</t>
  </si>
  <si>
    <t>Unit price TRY</t>
  </si>
  <si>
    <t>Working meal</t>
  </si>
  <si>
    <t>Transport</t>
  </si>
  <si>
    <t>MFG PERIMETER</t>
  </si>
  <si>
    <t>Other Variable (Production Consumable)</t>
  </si>
  <si>
    <t>CKD Impact</t>
  </si>
  <si>
    <t>OTHERS</t>
  </si>
  <si>
    <t>Other Variable (Inventory Adj)</t>
  </si>
  <si>
    <t>Asset Sales</t>
  </si>
  <si>
    <t>TOTAL OTHERS</t>
  </si>
  <si>
    <t>OVERHEAD</t>
  </si>
  <si>
    <t>IT GLOBAL</t>
  </si>
  <si>
    <t>G&amp;A(Insurance included)</t>
  </si>
  <si>
    <t>TOTAL OVERHEAD</t>
  </si>
  <si>
    <t>ALL</t>
  </si>
  <si>
    <t>TOTAL ALL</t>
  </si>
  <si>
    <t>Check</t>
  </si>
  <si>
    <t>Delta FCST vs ACT</t>
  </si>
  <si>
    <t>MFG RATE</t>
  </si>
  <si>
    <t>ASP DEC</t>
  </si>
  <si>
    <t xml:space="preserve">Total Variance </t>
  </si>
  <si>
    <t>Direct Labour</t>
  </si>
  <si>
    <t xml:space="preserve">Volume </t>
  </si>
  <si>
    <t xml:space="preserve">EFF </t>
  </si>
  <si>
    <t xml:space="preserve">variable cost </t>
  </si>
  <si>
    <t xml:space="preserve">Actual minus Copertura </t>
  </si>
  <si>
    <t xml:space="preserve">EUR </t>
  </si>
  <si>
    <t xml:space="preserve">Variances vs Budget </t>
  </si>
  <si>
    <t xml:space="preserve">Variances vs STD </t>
  </si>
  <si>
    <t xml:space="preserve">fixed cost </t>
  </si>
  <si>
    <t xml:space="preserve">Actual minus  Budget </t>
  </si>
  <si>
    <t>Cost Elements</t>
  </si>
  <si>
    <t>STD</t>
  </si>
  <si>
    <t>Plan Costs</t>
  </si>
  <si>
    <t>Budget VAR</t>
  </si>
  <si>
    <t xml:space="preserve">Copertura </t>
  </si>
  <si>
    <t>Act. Costs</t>
  </si>
  <si>
    <t xml:space="preserve">FCA </t>
  </si>
  <si>
    <t xml:space="preserve"> FCA </t>
  </si>
  <si>
    <t>TOTAL MFG COST w SHARES</t>
  </si>
  <si>
    <t>MTD</t>
  </si>
  <si>
    <t>Month</t>
  </si>
  <si>
    <t xml:space="preserve">Budget 2025 </t>
  </si>
  <si>
    <t xml:space="preserve">MTD </t>
  </si>
  <si>
    <t xml:space="preserve">Budget Variances </t>
  </si>
  <si>
    <t>HWTW</t>
  </si>
  <si>
    <t xml:space="preserve">round 2 var </t>
  </si>
  <si>
    <t xml:space="preserve">ACT Cost </t>
  </si>
  <si>
    <t>Wo FC</t>
  </si>
  <si>
    <t xml:space="preserve">Variance vs Budget </t>
  </si>
  <si>
    <t xml:space="preserve">FCA vs Budget </t>
  </si>
  <si>
    <t>Budget</t>
  </si>
  <si>
    <t>IT LOCAL</t>
  </si>
  <si>
    <t>Security</t>
  </si>
  <si>
    <t>Mess Union Fee</t>
  </si>
  <si>
    <t>Inventory Adjustment</t>
  </si>
  <si>
    <t>Actual</t>
  </si>
  <si>
    <t>STD FX</t>
  </si>
  <si>
    <t>Total Units (incl. accessories)</t>
  </si>
  <si>
    <t>Variable Costs</t>
  </si>
  <si>
    <t>VARIABLE CONVERSION</t>
  </si>
  <si>
    <t>FIXED CONVERSION</t>
  </si>
  <si>
    <t>OVH AND OTHERS</t>
  </si>
  <si>
    <t xml:space="preserve">Total assigned hours Budget </t>
  </si>
  <si>
    <t xml:space="preserve">Volume Mix </t>
  </si>
  <si>
    <t xml:space="preserve">Tariffa 2025 adj by volume </t>
  </si>
  <si>
    <t>Grand Total</t>
  </si>
  <si>
    <t xml:space="preserve">pcs </t>
  </si>
  <si>
    <t xml:space="preserve">Budget FCA </t>
  </si>
  <si>
    <t>*** revise the formulas for previous month</t>
  </si>
  <si>
    <t>SUMMARY</t>
  </si>
  <si>
    <t>*   CS_Depreciation</t>
  </si>
  <si>
    <t>*   CS_Direct Labour</t>
  </si>
  <si>
    <t>*   CS_SCRAP_VARIABLE</t>
  </si>
  <si>
    <t>*   CS_Fix Cost</t>
  </si>
  <si>
    <t xml:space="preserve">    6666050312  Inventory count different- Semifinished</t>
  </si>
  <si>
    <t>*   CS_Variable Cost</t>
  </si>
  <si>
    <t>*   CS_Obsolescence</t>
  </si>
  <si>
    <t>*   CS_Reselling</t>
  </si>
  <si>
    <t>*   CS_Fix Utilities</t>
  </si>
  <si>
    <t>*   CS_Variable Utilities</t>
  </si>
  <si>
    <t>*   CS_Indirect Labour</t>
  </si>
  <si>
    <t>*   CS_Fixed Labour</t>
  </si>
  <si>
    <t>*   CS_Semifix</t>
  </si>
  <si>
    <t>*   CS_OVH_ADM</t>
  </si>
  <si>
    <t>Var.(Abs.)</t>
  </si>
  <si>
    <t>Var.(%)</t>
  </si>
  <si>
    <t>Actual Qty</t>
  </si>
  <si>
    <t>Plan Qty</t>
  </si>
  <si>
    <t xml:space="preserve">    6666110101  Depreciation of buildings</t>
  </si>
  <si>
    <t xml:space="preserve">    6666110106  Depreciation of R&amp;D facilities</t>
  </si>
  <si>
    <t xml:space="preserve">    6666110107  Depreciation of mold　</t>
  </si>
  <si>
    <t xml:space="preserve">    6666110110  Depreciation-Plant &amp; Machinery</t>
  </si>
  <si>
    <t xml:space="preserve">    6666110112  Depreciation of Furniture &amp; Fixture</t>
  </si>
  <si>
    <t xml:space="preserve">    6666110204  Amortization of license, trademarks and</t>
  </si>
  <si>
    <t xml:space="preserve">    6666110207  Amortization of Software</t>
  </si>
  <si>
    <t xml:space="preserve">    6666110506  Amortization-Leasehold Improvement</t>
  </si>
  <si>
    <t xml:space="preserve">    5001010205  Unemployment Insurance -blue collar-Dire</t>
  </si>
  <si>
    <t xml:space="preserve">    6666010380  Incentive</t>
  </si>
  <si>
    <t xml:space="preserve">    6666010019  Payroll Taxes - Blue Collar Direct</t>
  </si>
  <si>
    <t xml:space="preserve">    6666010183  Overtime-Blue Collar-Direct</t>
  </si>
  <si>
    <t xml:space="preserve">    6666010229  Staff Leaving Indemnity - Blue Collar Di</t>
  </si>
  <si>
    <t xml:space="preserve">    6666010188  Salary - Blue collar direct employees</t>
  </si>
  <si>
    <t xml:space="preserve">    5102040406  Other revenue-Service/Secondment agreeme</t>
  </si>
  <si>
    <t xml:space="preserve">    6666010115  Salary-Blue collar direct employees-Accr</t>
  </si>
  <si>
    <t xml:space="preserve">    8701530201  Scrap-Raw&amp;#160;Material - Managerial</t>
  </si>
  <si>
    <t xml:space="preserve">    6666050309  SFG scrap</t>
  </si>
  <si>
    <t xml:space="preserve">    6666050308  Raw material scrap</t>
  </si>
  <si>
    <t xml:space="preserve">    6666050306  Finished goods scrap</t>
  </si>
  <si>
    <t xml:space="preserve">    5207000021  Gain of intangible asset disposal</t>
  </si>
  <si>
    <t xml:space="preserve">    6666029996  Non-deductible expense-travel.</t>
  </si>
  <si>
    <t xml:space="preserve">    6666029700  Service fee recharge</t>
  </si>
  <si>
    <t xml:space="preserve">    6666010322  fuel allowance</t>
  </si>
  <si>
    <t xml:space="preserve">    6666020495  Non-deductible expense-travel.</t>
  </si>
  <si>
    <t xml:space="preserve">    5102010151  Other Rev.-Interco-Epidemic problem comp</t>
  </si>
  <si>
    <t xml:space="preserve">    5001010200  Cost of Manufacture - Raw Material</t>
  </si>
  <si>
    <t xml:space="preserve">    5001010201  Cost of Manufacture - Raw Material-Freig</t>
  </si>
  <si>
    <t xml:space="preserve">    5102040893  Other revenue-Charge out-Test Expense</t>
  </si>
  <si>
    <t xml:space="preserve">    5207000012  Loss of tangible asset sold</t>
  </si>
  <si>
    <t xml:space="preserve">    5207000022  Loss of intangible asset disposal</t>
  </si>
  <si>
    <t xml:space="preserve">    5301060000  Other Income-Subsidy income</t>
  </si>
  <si>
    <t xml:space="preserve">    5301999999  Non-operation revenue-Other</t>
  </si>
  <si>
    <t xml:space="preserve">    5405030000  Other cost-others</t>
  </si>
  <si>
    <t xml:space="preserve">    5601050000  Non-Operating Expense - Penalty</t>
  </si>
  <si>
    <t xml:space="preserve">    5601050100  Non-operation Expense-Others</t>
  </si>
  <si>
    <t xml:space="preserve">    6666020101  Entertainment</t>
  </si>
  <si>
    <t xml:space="preserve">    6666020201  Domestic business travel</t>
  </si>
  <si>
    <t xml:space="preserve">    6666020202  Overseas business travel</t>
  </si>
  <si>
    <t xml:space="preserve">    6666020204  Travel expense pay to agency</t>
  </si>
  <si>
    <t xml:space="preserve">    6666020205  Business travel-other</t>
  </si>
  <si>
    <t xml:space="preserve">    6666020301  Staff communication expense</t>
  </si>
  <si>
    <t xml:space="preserve">    6666021104  Consulting expense-Technical</t>
  </si>
  <si>
    <t xml:space="preserve">    6666020302  Communication Expenses</t>
  </si>
  <si>
    <t xml:space="preserve">    6666020403  Company car expense</t>
  </si>
  <si>
    <t xml:space="preserve">    6666020405  Company car expense - maintenance fees</t>
  </si>
  <si>
    <t xml:space="preserve">    6666020504  Newspaper and Periodicals expenditure</t>
  </si>
  <si>
    <t xml:space="preserve">    6666020508  Postage</t>
  </si>
  <si>
    <t xml:space="preserve">    6666020602  Training costs Outside the group</t>
  </si>
  <si>
    <t xml:space="preserve">    6666020701  Enterprise Property Insurance</t>
  </si>
  <si>
    <t xml:space="preserve">    6666020802  Equipment rental cost</t>
  </si>
  <si>
    <t xml:space="preserve">    6666020803  Car rental cost</t>
  </si>
  <si>
    <t xml:space="preserve">    6666021100  Consulting fees</t>
  </si>
  <si>
    <t xml:space="preserve">    6666021902  Cleaning fees</t>
  </si>
  <si>
    <t xml:space="preserve">    6666022100  Security</t>
  </si>
  <si>
    <t xml:space="preserve">    6666022300  Association dues</t>
  </si>
  <si>
    <t xml:space="preserve">    6666029900  Sundry Expenses</t>
  </si>
  <si>
    <t xml:space="preserve">    6666029997  restructure cost</t>
  </si>
  <si>
    <t xml:space="preserve">    6666030300  Design and development fees</t>
  </si>
  <si>
    <t xml:space="preserve">    6666030702  R&amp;D prototype purchased</t>
  </si>
  <si>
    <t xml:space="preserve">    6666031200  Instrument fee</t>
  </si>
  <si>
    <t xml:space="preserve">    6666050107  Special distribution costs</t>
  </si>
  <si>
    <t xml:space="preserve">    6666070100  Software purchase, development and imple</t>
  </si>
  <si>
    <t xml:space="preserve">    6666070300  Software maintenance fees</t>
  </si>
  <si>
    <t xml:space="preserve">    6666070400  IT maint. &amp; repairs hardware</t>
  </si>
  <si>
    <t xml:space="preserve">    5207000011  Gain of tangible asset disposal</t>
  </si>
  <si>
    <t xml:space="preserve">    5401050201  COGS-Freight out-Special and sporadic fr</t>
  </si>
  <si>
    <t xml:space="preserve">    6666110203  Low value consumables</t>
  </si>
  <si>
    <t xml:space="preserve">    5102040000  Other Revenue - Other</t>
  </si>
  <si>
    <t xml:space="preserve">    6666050307  Inventory count different-raw material</t>
  </si>
  <si>
    <t xml:space="preserve">    6666100203  Provision for inventory devaluation - RM</t>
  </si>
  <si>
    <t xml:space="preserve">    5301070000  Non-operation revenue-sales of scrapped</t>
  </si>
  <si>
    <t xml:space="preserve">    6666021602  Electricity</t>
  </si>
  <si>
    <t xml:space="preserve">    6666021600  Energy and power cost</t>
  </si>
  <si>
    <t xml:space="preserve">    6666021603  Water</t>
  </si>
  <si>
    <t xml:space="preserve">    6666021604  Oil &amp; Gas</t>
  </si>
  <si>
    <t xml:space="preserve">    5001010206  Unemployment Insurance -blue collar-Indi</t>
  </si>
  <si>
    <t xml:space="preserve">    6666010184  Salary&amp;Additional Incentive-Blue Collar-</t>
  </si>
  <si>
    <t xml:space="preserve">    6666010186  Overtime-Blue Collar-Indirect</t>
  </si>
  <si>
    <t xml:space="preserve">    6666010189  Salary - Blue collar indirect employees</t>
  </si>
  <si>
    <t xml:space="preserve">    6666010012  Payroll Taxes- Blue Collar Indirect</t>
  </si>
  <si>
    <t xml:space="preserve">    6666010226  Staff Leaving Indemnity - Blue Collar In</t>
  </si>
  <si>
    <t xml:space="preserve">    6666010102  Salary-Blue collar indirect employees- A</t>
  </si>
  <si>
    <t xml:space="preserve">    6666010196  Payroll Taxes-White Collar Employee</t>
  </si>
  <si>
    <t xml:space="preserve">    6666010101  Salary - White collar employees</t>
  </si>
  <si>
    <t xml:space="preserve">    6666010199  Salary-White collar employees -Accrued</t>
  </si>
  <si>
    <t xml:space="preserve">    6666010185  Salary&amp;Additional Incentive-White Collar</t>
  </si>
  <si>
    <t xml:space="preserve">    6666010207  Unemployment insurance companies to pay</t>
  </si>
  <si>
    <t xml:space="preserve">    6666010321  car allowance</t>
  </si>
  <si>
    <t xml:space="preserve">    6666010227  Staff Leaving Indemnity - White collar E</t>
  </si>
  <si>
    <t xml:space="preserve">    6666020903  Other materials</t>
  </si>
  <si>
    <t xml:space="preserve">    6666010302  Medical expenses</t>
  </si>
  <si>
    <t xml:space="preserve">    6666010314  Work uniforms</t>
  </si>
  <si>
    <t xml:space="preserve">    6666020401  local transportation - bus and taxi</t>
  </si>
  <si>
    <t xml:space="preserve">    6666020402  Local transportation-transport subsidies</t>
  </si>
  <si>
    <t xml:space="preserve">    6666020502  Working meals</t>
  </si>
  <si>
    <t xml:space="preserve">    6666020503  Office supplies</t>
  </si>
  <si>
    <t xml:space="preserve">    6666021500  Repairs cost</t>
  </si>
  <si>
    <t xml:space="preserve">    6666021502  Repair &amp; Maintain - Building&amp;office</t>
  </si>
  <si>
    <t xml:space="preserve">    6666021503  Repair &amp; Maintain - Tooling &amp; Equipments</t>
  </si>
  <si>
    <t xml:space="preserve">    6666021505  Repairs &amp; Maintenance - Vehicles</t>
  </si>
  <si>
    <t xml:space="preserve">    6666021506  Repairs &amp; Maintenance - Plant &amp; Machiner</t>
  </si>
  <si>
    <t xml:space="preserve">    6666091600  Garbage disposal charge</t>
  </si>
  <si>
    <t xml:space="preserve">    5401060201  COGS-Repair expense</t>
  </si>
  <si>
    <t xml:space="preserve">    600006      OVH Administrative</t>
  </si>
  <si>
    <t>**  Debit</t>
  </si>
  <si>
    <t>**  Credit</t>
  </si>
  <si>
    <t>*** Over/Underabsorption</t>
  </si>
  <si>
    <t>Gas</t>
  </si>
  <si>
    <t>Water</t>
  </si>
  <si>
    <t>Excess manpower</t>
  </si>
  <si>
    <t>Obsolute ML</t>
  </si>
  <si>
    <t xml:space="preserve">    5601080000  Non-operating expense-VAT non-deductible</t>
  </si>
  <si>
    <t xml:space="preserve">    6666020801  Housing rental cost</t>
  </si>
  <si>
    <t xml:space="preserve">    6666021102  Consulting expense-tax</t>
  </si>
  <si>
    <t xml:space="preserve">    6666021300  Legal fees</t>
  </si>
  <si>
    <t xml:space="preserve">    6666031100  Technical Documentation</t>
  </si>
  <si>
    <t xml:space="preserve">    6666079999  IT Expense-Internal Charge Out</t>
  </si>
  <si>
    <t xml:space="preserve">    6666093800  Other Taxes-CIT Deductible</t>
  </si>
  <si>
    <t xml:space="preserve">    6666090100  Stamp Duty</t>
  </si>
  <si>
    <t xml:space="preserve">  1SIP                          Cost Centers: Actual/Plan/Variance</t>
  </si>
  <si>
    <t xml:space="preserve">  Date:                         07.01.2026</t>
  </si>
  <si>
    <t xml:space="preserve">  Requested by:                 TR_240114837</t>
  </si>
  <si>
    <t xml:space="preserve">  Controlling Area              6000          Haier Europe</t>
  </si>
  <si>
    <t xml:space="preserve">  Fiscal Year                   2025</t>
  </si>
  <si>
    <t xml:space="preserve">  From Period                     1</t>
  </si>
  <si>
    <t xml:space="preserve">  To Period                      12</t>
  </si>
  <si>
    <t xml:space="preserve">  Plan Version                  0</t>
  </si>
  <si>
    <t xml:space="preserve">  Cost Center Group             PTK3M00WAB,PTK</t>
  </si>
  <si>
    <t xml:space="preserve">  Cost Element Group            CS_NEW        New Cost Splitting group</t>
  </si>
  <si>
    <t xml:space="preserve">    600008      Indirect Cost</t>
  </si>
  <si>
    <t xml:space="preserve">    600009      Quality Control</t>
  </si>
  <si>
    <t xml:space="preserve">    5601020000  Loss on disposal fixed asset</t>
  </si>
  <si>
    <t xml:space="preserve">    6666021200  Audit fee</t>
  </si>
  <si>
    <t xml:space="preserve">    6666050202  Custom clearance charge</t>
  </si>
  <si>
    <t xml:space="preserve">    600007      Maintenance</t>
  </si>
  <si>
    <t xml:space="preserve">    6666021504  Repair &amp; Maintain - Elect. Installation</t>
  </si>
  <si>
    <t xml:space="preserve">  From Period                    12</t>
  </si>
  <si>
    <t>CHECK</t>
  </si>
  <si>
    <t xml:space="preserve">ACE Budget </t>
  </si>
  <si>
    <t xml:space="preserve">F-Matrix Actual </t>
  </si>
  <si>
    <t>Over /Underabsorption</t>
  </si>
  <si>
    <t>VOLUME</t>
  </si>
  <si>
    <t>BDG</t>
  </si>
  <si>
    <t>ACE</t>
  </si>
  <si>
    <t>Direct labor</t>
  </si>
  <si>
    <t>Production Consumable</t>
  </si>
  <si>
    <t>Indirect Labor</t>
  </si>
  <si>
    <t>DELTA</t>
  </si>
  <si>
    <t>Project description</t>
  </si>
  <si>
    <t>Project Year</t>
  </si>
  <si>
    <t>Description</t>
  </si>
  <si>
    <t>Cost driver</t>
  </si>
  <si>
    <t>January</t>
  </si>
  <si>
    <t>Row Labels</t>
  </si>
  <si>
    <t>Sum of January</t>
  </si>
  <si>
    <t>EOLO Assembly Lines 140pcs/hr + 1 Operator Improvement Project</t>
  </si>
  <si>
    <t>Capacity increase + HC Reduction</t>
  </si>
  <si>
    <t>Slim HP Line project ( 1 Operator - 60 sec x SKU)</t>
  </si>
  <si>
    <t>HC Reduction</t>
  </si>
  <si>
    <t>Efficiency improvement (1%)</t>
  </si>
  <si>
    <t>Efficiency</t>
  </si>
  <si>
    <t>Assembly Lines Rebalance/TC Reduction- Step1 145pcs/h</t>
  </si>
  <si>
    <t>Capacity increase</t>
  </si>
  <si>
    <t>Liquid Seal Machine</t>
  </si>
  <si>
    <t>Front Flange Automatic Part Feeding System</t>
  </si>
  <si>
    <t>Rear Flange Automatic Part Feeding System</t>
  </si>
  <si>
    <t>Recovering the hot air of compressor by transferring to pres area</t>
  </si>
  <si>
    <t>Energy</t>
  </si>
  <si>
    <t xml:space="preserve">Automisation of radiant heaters to prevent manual intervertion. </t>
  </si>
  <si>
    <t xml:space="preserve">Radiant layout change </t>
  </si>
  <si>
    <t>Security costs</t>
  </si>
  <si>
    <t>Ext HC Reduction</t>
  </si>
  <si>
    <t>Cleaning cost</t>
  </si>
  <si>
    <t>Fuel costs</t>
  </si>
  <si>
    <t>Supplier Change</t>
  </si>
  <si>
    <t>Uniforms costs</t>
  </si>
  <si>
    <t>Low Cost Fx Opportunty</t>
  </si>
  <si>
    <t>Commuting from 70% to 72%</t>
  </si>
  <si>
    <t>Efficiency Improvement</t>
  </si>
  <si>
    <t>Canteen overtime ratio optimization</t>
  </si>
  <si>
    <t>Paper towel elimination</t>
  </si>
  <si>
    <t>Electric Dyer Usage</t>
  </si>
  <si>
    <t>Edenred tax elimination</t>
  </si>
  <si>
    <t>Blue Collar Overhead Semifixed Gain</t>
  </si>
  <si>
    <t>Gain from HC reduction</t>
  </si>
  <si>
    <t>TD - Repacking for Bulky Parts- HC Decrease</t>
  </si>
  <si>
    <t>TD - A Class Material Feeding (Line-1)- HC Decrease</t>
  </si>
  <si>
    <t>TD - A Class Material Feeding (Line-2)- HC Decrease</t>
  </si>
  <si>
    <t>TD - Slim Line NVAA Decrease for all POU- HC Decrease</t>
  </si>
  <si>
    <t>Ramp up efficiency increase</t>
  </si>
  <si>
    <t>Ramp up optimization</t>
  </si>
  <si>
    <t>Maintenance spare parts optimization</t>
  </si>
  <si>
    <t>Maintenance</t>
  </si>
  <si>
    <t>Tariff</t>
  </si>
  <si>
    <t>hwtw</t>
  </si>
  <si>
    <t xml:space="preserve">STD 2026 _1st round </t>
  </si>
  <si>
    <t>STD 2026 _flex</t>
  </si>
  <si>
    <t xml:space="preserve">HWTW </t>
  </si>
  <si>
    <t xml:space="preserve">FX+Price Variances </t>
  </si>
  <si>
    <t xml:space="preserve">Price &amp; FX </t>
  </si>
  <si>
    <t xml:space="preserve">Upload One Plan </t>
  </si>
  <si>
    <t xml:space="preserve">VARIANCES </t>
  </si>
  <si>
    <t xml:space="preserve">HW / TW 
</t>
  </si>
  <si>
    <t xml:space="preserve">Price FX 
</t>
  </si>
  <si>
    <t xml:space="preserve">Mix </t>
  </si>
  <si>
    <t>seasonality 1</t>
  </si>
  <si>
    <t xml:space="preserve">mfg vs upload </t>
  </si>
  <si>
    <t xml:space="preserve">ACE + HWTW+ price +seasonality </t>
  </si>
  <si>
    <t xml:space="preserve">seasonlaity </t>
  </si>
  <si>
    <t>Headcount 2026 (ACT + FCST)</t>
  </si>
  <si>
    <t>Sep</t>
  </si>
  <si>
    <t>Funcitonal Currency</t>
  </si>
  <si>
    <t>Aylandırma detayı olmadığı için aylık üretim adetleri ile kırdım.</t>
  </si>
  <si>
    <t>DW
MTD JAN</t>
  </si>
  <si>
    <t xml:space="preserve">FCST 2026 </t>
  </si>
  <si>
    <t xml:space="preserve">FCST Reporting _ VAR vs Budget </t>
  </si>
  <si>
    <t xml:space="preserve">K€ </t>
  </si>
  <si>
    <t xml:space="preserve">Efficiency </t>
  </si>
  <si>
    <t xml:space="preserve">Price </t>
  </si>
  <si>
    <t xml:space="preserve">FX </t>
  </si>
  <si>
    <t xml:space="preserve">Others </t>
  </si>
  <si>
    <t xml:space="preserve">Actual Volume </t>
  </si>
  <si>
    <t xml:space="preserve">Volume Variance </t>
  </si>
  <si>
    <t xml:space="preserve">Total Budget Variances </t>
  </si>
  <si>
    <t>FCST 2026</t>
  </si>
  <si>
    <t xml:space="preserve">YTG </t>
  </si>
  <si>
    <t>BUDGET</t>
  </si>
  <si>
    <t>1.5 hqd included</t>
  </si>
  <si>
    <t xml:space="preserve">MFG </t>
  </si>
  <si>
    <t>PTK4M00WAB</t>
  </si>
  <si>
    <t>PTK4M00WAC</t>
  </si>
  <si>
    <t>PTK4M00WAD</t>
  </si>
  <si>
    <t>PTK4M00WAE</t>
  </si>
  <si>
    <t>PTK4M00WAF</t>
  </si>
  <si>
    <t>PTK4M00WAG</t>
  </si>
  <si>
    <t>PTK4M00WAH</t>
  </si>
  <si>
    <t>PTK4M00WAI</t>
  </si>
  <si>
    <t>PTK4M00WAJ</t>
  </si>
  <si>
    <t>PTK4M00WAK</t>
  </si>
  <si>
    <t>PTK4M00WYD</t>
  </si>
  <si>
    <t xml:space="preserve">Overhead </t>
  </si>
  <si>
    <t>PTK4Y00WYE</t>
  </si>
  <si>
    <t>Apr</t>
  </si>
  <si>
    <t>Jun</t>
  </si>
  <si>
    <t>Jul</t>
  </si>
  <si>
    <t xml:space="preserve">STD Volume </t>
  </si>
  <si>
    <t>DW 2</t>
  </si>
  <si>
    <t>FS</t>
  </si>
  <si>
    <t>BI</t>
  </si>
  <si>
    <t>KIT</t>
  </si>
  <si>
    <t>DIR HOURLY COST</t>
  </si>
  <si>
    <t>MONTHLY COST</t>
  </si>
  <si>
    <t>Level of P&amp;L</t>
  </si>
  <si>
    <t>FY</t>
  </si>
  <si>
    <t>Line speed 130 to 135</t>
  </si>
  <si>
    <t>Line speed 135 to 140</t>
  </si>
  <si>
    <t>AIDA recycled oil usage in Erkekoğlu Press</t>
  </si>
  <si>
    <t>Factory air conditioning units working optimazation for energy saving</t>
  </si>
  <si>
    <t>Factory lightening optimization for energy saving</t>
  </si>
  <si>
    <t>AGV Replace Operator (Tub transportation)-Chinese Supplier</t>
  </si>
  <si>
    <t>Inner door Scrap reduction</t>
  </si>
  <si>
    <t>Sump Pre-Assy line NEW Semi Automatic Line - Chinese Supplier</t>
  </si>
  <si>
    <t>C/L-Pipe &amp; Heater Auto Assembly and Taping-Chinese Supplier</t>
  </si>
  <si>
    <t>Sump and Hub screwing automation-Chinese Supplier</t>
  </si>
  <si>
    <t>User manual pack automation</t>
  </si>
  <si>
    <t>Automatic EPS assembly</t>
  </si>
  <si>
    <t>ACTUAL</t>
  </si>
  <si>
    <t>PERIMETER</t>
  </si>
  <si>
    <t>HQD REPORTING -EXCLUDED COST ITEMS</t>
  </si>
  <si>
    <t>IN</t>
  </si>
  <si>
    <t>OUT</t>
  </si>
  <si>
    <t>X</t>
  </si>
  <si>
    <t>Production Consummables</t>
  </si>
  <si>
    <t>Should be under shares</t>
  </si>
  <si>
    <t>Target'tan çıkarılırken bütçe değerleri alınabilir.</t>
  </si>
  <si>
    <t>1+11 Forecast</t>
  </si>
  <si>
    <t>???</t>
  </si>
  <si>
    <t>Mess, Local IT, Security</t>
  </si>
  <si>
    <t>BDG FX</t>
  </si>
  <si>
    <t>ACT FX</t>
  </si>
  <si>
    <t xml:space="preserve">Highlights; </t>
  </si>
  <si>
    <t>MFG</t>
  </si>
  <si>
    <t>172 K € stock aging report accrual, Yend 197 K€</t>
  </si>
  <si>
    <t>Act 0.40 €/box, bdg 0.54 €/box</t>
  </si>
  <si>
    <t>7 K€ loss accrual for suitcase, -2 K€ gain travel, -2.5 K€ gain training</t>
  </si>
  <si>
    <t>Price</t>
  </si>
  <si>
    <t>-1 K€ grid price electiricity gain</t>
  </si>
  <si>
    <t>1+11Forecast</t>
  </si>
  <si>
    <t>Ongoing</t>
  </si>
  <si>
    <t>IKEA cartoon bendin&amp;feeding</t>
  </si>
  <si>
    <t>Injection parts TC improvement(3 sec)</t>
  </si>
  <si>
    <t>ADDITION</t>
  </si>
  <si>
    <t xml:space="preserve">Packing line speed </t>
  </si>
  <si>
    <t>İnternal logistic headcound reduction - 1 operator</t>
  </si>
  <si>
    <t>Temporary Worker Effect</t>
  </si>
  <si>
    <t>Forecaste koyma</t>
  </si>
  <si>
    <t>Asset Life Extension (Tools &amp; Macine)</t>
  </si>
  <si>
    <t>SEMIFIXED BENEFIT</t>
  </si>
  <si>
    <t>Canteen(Yearly)</t>
  </si>
  <si>
    <t>Uniforms (Yearly)</t>
  </si>
  <si>
    <t>Service (Yearly)</t>
  </si>
  <si>
    <t>CANCELED</t>
  </si>
  <si>
    <t>-4.31 K€ Direct Electricity consumption Effect, -2 K€ gas consumption effect</t>
  </si>
  <si>
    <t>Fixed Utiliites</t>
  </si>
  <si>
    <t>-1 K€ price gain</t>
  </si>
  <si>
    <t>9K€ loss 593 HOURS UNION PROTEST DIR TO IND + 17 K€ loss 1156 HOURS INVENTORY COUNT DIR TO IND</t>
  </si>
  <si>
    <t>5.22 K€ loss salary, (Bdg 25 % vs act 30%) 3.6 K€ loss overtime salary, 3 K€ loss annual leave, 0.9 K€ loss indemnity,</t>
  </si>
  <si>
    <t>-2.3 K€ shared gain (1 HC HQD)</t>
  </si>
  <si>
    <t>7 K€ loss annual leave, 1 K€ loss MBO, 2.8 K€ loss others</t>
  </si>
  <si>
    <t xml:space="preserve">Semifixed </t>
  </si>
  <si>
    <t>-1 k€ gain meals, -1 K€ gain shuttle</t>
  </si>
  <si>
    <t>-12.4 K€ gain maintenance, -8 K€ gain meals, -1.3 K€ gain shuttle, -1.3 K€ gain stationery,</t>
  </si>
  <si>
    <t>Ace</t>
  </si>
  <si>
    <t>Act 94.96 % eff vs Bdg 98 %--&gt; 19 K€ loss, with transfer 99.75 % --&gt; -23 K€ gain</t>
  </si>
  <si>
    <t>12 K€ loss salary,10 K€ loss overtime, -4 K€ gain annual leave, 7.36 K€ loss indemnity,</t>
  </si>
  <si>
    <t>-3 K€ gain --&gt; Line speed 130 to 135 &amp; Injection parts TC improvement(3 sec)</t>
  </si>
  <si>
    <t>18 K€ loss labour loss related with unused vacation accruals</t>
  </si>
  <si>
    <t>15 K€ loss will be corrected in Feb closure related to IT cycle</t>
  </si>
  <si>
    <t>7 K€ loss will be corrected in Feb closure related to insurance cycle</t>
  </si>
  <si>
    <t>GROSS</t>
  </si>
  <si>
    <t>PRICE&amp;FX</t>
  </si>
  <si>
    <t>ACE TOTAL</t>
  </si>
  <si>
    <t>BDG TOTAL</t>
  </si>
  <si>
    <t>RATIO</t>
  </si>
  <si>
    <t>Low cost effect std vs act bdg</t>
  </si>
  <si>
    <t>AGV Replace Operators-(3 Logistic operators)</t>
  </si>
  <si>
    <t>Bilge Forecast</t>
  </si>
  <si>
    <t>VAR VS PREV FORECAST</t>
  </si>
  <si>
    <t xml:space="preserve">111 HC decrease in March for 1 month 
Budget 25% vs Act 30 % &amp; March increase 13.8 vs forecast 16.29 %
</t>
  </si>
  <si>
    <t>Shutlle price increased</t>
  </si>
  <si>
    <t>3+9</t>
  </si>
  <si>
    <t>YTG</t>
  </si>
  <si>
    <t>4+8</t>
  </si>
  <si>
    <t>Eff : -264K€ 30 HC low cost effect 8 months, -274 K€ gain mix, HC&amp;Efficiency, -90K€ gain MRP project, -290K€ gain İSKUR
Price :220 K€ loss Budget 25% vs Act 30 % &amp; March increase 13.8 vs forecast 16.29 %</t>
  </si>
  <si>
    <t>Delta</t>
  </si>
  <si>
    <t>Δ vs Flex.</t>
  </si>
  <si>
    <t xml:space="preserve">Total Var </t>
  </si>
  <si>
    <t>Salary increase ratio lower than budget</t>
  </si>
  <si>
    <t>Reselling prices are lower than budget.</t>
  </si>
  <si>
    <t>Efficient labour plan, due to 3 k volume increase. -22k€ salary mix impact.</t>
  </si>
  <si>
    <t xml:space="preserve">EFF:5 HDC ISKUR impact </t>
  </si>
  <si>
    <t>-1M €useful life extension impact on YTG, including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</si>
</sst>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&quot;€&quot;_-;\-* #,##0.00\ &quot;€&quot;_-;_-* &quot;-&quot;??\ &quot;€&quot;_-;_-@_-"/>
    <numFmt numFmtId="167" formatCode="#,##0.0"/>
    <numFmt numFmtId="168" formatCode="_ * #,##0.00_ ;_ * \-#,##0.00_ ;_ * &quot;-&quot;??_ ;_ @_ "/>
    <numFmt numFmtId="169" formatCode="_(* #,##0_);_(* \(#,##0\);_(* &quot;-&quot;??_);_(@_)"/>
    <numFmt numFmtId="170" formatCode="#,##0;\(#,##0\);&quot;-&quot;"/>
    <numFmt numFmtId="171" formatCode="_-* #,##0_-;\-* #,##0_-;_-* &quot;-&quot;??_-;_-@_-"/>
    <numFmt numFmtId="172" formatCode="_(* #,##0.0_);_(* \(#,##0.0\);_(* &quot;-&quot;??_);_(@_)"/>
    <numFmt numFmtId="173" formatCode="#,##0.00_-;#,##0.00\-;&quot; &quot;"/>
    <numFmt numFmtId="174" formatCode="#,##0_-\ &quot;   &quot;;#,##0\-\ &quot;   &quot;;&quot; &quot;"/>
    <numFmt numFmtId="175" formatCode="#,##0.00_-\ &quot;   &quot;;#,##0.00\-\ &quot;   &quot;;&quot; &quot;"/>
    <numFmt numFmtId="176" formatCode="#,##0_-;#,##0\-;&quot; &quot;"/>
    <numFmt numFmtId="177" formatCode="0.0%"/>
    <numFmt numFmtId="178" formatCode="#,##0\ [$€-1]"/>
    <numFmt numFmtId="179" formatCode="#,##0.00_ ;\-#,##0.00\ "/>
    <numFmt numFmtId="180" formatCode="_-* #,##0.00\ &quot;₺&quot;_-;\-* #,##0.00\ &quot;₺&quot;_-;_-* &quot;-&quot;??\ &quot;₺&quot;_-;_-@_-"/>
    <numFmt numFmtId="181" formatCode="_-* #,##0.00\ _€_-;\-* #,##0.00\ _€_-;_-* &quot;-&quot;??\ _€_-;_-@_-"/>
    <numFmt numFmtId="182" formatCode="_([$€-2]\ * #,##0.00_);_([$€-2]\ * \(#,##0.00\);_([$€-2]\ * &quot;-&quot;??_);_(@_)"/>
    <numFmt numFmtId="183" formatCode="_([$€-2]\ * #,##0_);_([$€-2]\ * \(#,##0\);_([$€-2]\ * &quot;-&quot;??_);_(@_)"/>
    <numFmt numFmtId="184" formatCode="_([$€-2]\ * #,##0.0000_);_([$€-2]\ * \(#,##0.0000\);_([$€-2]\ * &quot;-&quot;??_);_(@_)"/>
    <numFmt numFmtId="185" formatCode="#,##0.000"/>
  </numFmts>
  <fonts count="13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  <charset val="162"/>
    </font>
    <font>
      <b/>
      <sz val="11"/>
      <color rgb="FF000000"/>
      <name val="Calibri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8"/>
      <color rgb="FFFFFFFF"/>
      <name val="Calibri"/>
      <family val="2"/>
    </font>
    <font>
      <sz val="9"/>
      <color rgb="FFFFFFFF"/>
      <name val="Calibri"/>
      <family val="2"/>
    </font>
    <font>
      <sz val="9"/>
      <color rgb="FF000000"/>
      <name val="Calibri"/>
      <family val="2"/>
    </font>
    <font>
      <sz val="11"/>
      <color theme="1"/>
      <name val="Aptos Narrow"/>
      <family val="2"/>
      <charset val="134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18"/>
      <color theme="0"/>
      <name val="Calibri"/>
      <family val="2"/>
    </font>
    <font>
      <sz val="9"/>
      <color theme="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6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rgb="FF000000"/>
      <name val="等线"/>
      <family val="3"/>
      <charset val="134"/>
    </font>
    <font>
      <b/>
      <sz val="10"/>
      <name val="等线"/>
      <family val="3"/>
      <charset val="134"/>
    </font>
    <font>
      <b/>
      <sz val="10"/>
      <color rgb="FFFFFFFF"/>
      <name val="等线"/>
      <family val="3"/>
      <charset val="134"/>
    </font>
    <font>
      <sz val="10"/>
      <color rgb="FFFFFFFF"/>
      <name val="等线"/>
      <family val="3"/>
      <charset val="134"/>
    </font>
    <font>
      <sz val="10"/>
      <name val="等线"/>
      <family val="3"/>
      <charset val="134"/>
    </font>
    <font>
      <sz val="11"/>
      <name val="Aptos Narrow"/>
      <family val="2"/>
      <scheme val="minor"/>
    </font>
    <font>
      <sz val="11"/>
      <name val="Calibri"/>
      <family val="2"/>
      <charset val="162"/>
    </font>
    <font>
      <sz val="11"/>
      <color rgb="FFFFFFFF"/>
      <name val="Calibri"/>
      <family val="2"/>
      <charset val="162"/>
    </font>
    <font>
      <b/>
      <sz val="11"/>
      <name val="Calibri"/>
      <family val="2"/>
      <charset val="162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i/>
      <sz val="11"/>
      <color rgb="FF000000"/>
      <name val="Calibri"/>
      <family val="2"/>
    </font>
    <font>
      <i/>
      <sz val="11"/>
      <name val="Calibri"/>
      <family val="2"/>
    </font>
    <font>
      <i/>
      <sz val="11"/>
      <color rgb="FF000000"/>
      <name val="Calibri"/>
      <family val="2"/>
      <charset val="162"/>
    </font>
    <font>
      <i/>
      <sz val="11"/>
      <color rgb="FF00B050"/>
      <name val="Calibri"/>
      <family val="2"/>
    </font>
    <font>
      <i/>
      <sz val="11"/>
      <color rgb="FFFF0000"/>
      <name val="Calibri"/>
      <family val="2"/>
    </font>
    <font>
      <b/>
      <i/>
      <sz val="11"/>
      <name val="Calibri"/>
      <family val="2"/>
    </font>
    <font>
      <i/>
      <sz val="11"/>
      <color rgb="FF000000"/>
      <name val="Calibri"/>
      <family val="2"/>
    </font>
    <font>
      <b/>
      <i/>
      <sz val="11"/>
      <color rgb="FFFFFFFF"/>
      <name val="Aptos Narrow"/>
      <family val="2"/>
      <scheme val="minor"/>
    </font>
    <font>
      <sz val="10"/>
      <color theme="0"/>
      <name val="等线"/>
      <family val="3"/>
      <charset val="134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i/>
      <u/>
      <sz val="16"/>
      <name val="Calibri"/>
      <family val="2"/>
    </font>
    <font>
      <b/>
      <sz val="10"/>
      <color theme="0"/>
      <name val="Calibri"/>
      <family val="2"/>
    </font>
    <font>
      <b/>
      <i/>
      <u/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Courie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20"/>
      <color theme="1"/>
      <name val="Calibri"/>
      <family val="2"/>
    </font>
    <font>
      <b/>
      <sz val="24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FFFFFF"/>
      <name val="Roboto"/>
    </font>
    <font>
      <sz val="10"/>
      <color rgb="FF000000"/>
      <name val="Aptos Narrow"/>
      <family val="2"/>
      <charset val="162"/>
    </font>
    <font>
      <sz val="10"/>
      <color rgb="FF000000"/>
      <name val="Aptos Narrow"/>
      <family val="2"/>
    </font>
    <font>
      <sz val="11"/>
      <color theme="1"/>
      <name val="Aptos Narrow"/>
      <family val="2"/>
      <charset val="162"/>
    </font>
    <font>
      <sz val="10"/>
      <color rgb="FFFF0000"/>
      <name val="Aptos Narrow"/>
      <family val="2"/>
      <charset val="162"/>
    </font>
    <font>
      <sz val="10"/>
      <color rgb="FF00B050"/>
      <name val="Aptos Narrow"/>
      <family val="2"/>
      <charset val="162"/>
    </font>
    <font>
      <b/>
      <i/>
      <sz val="11"/>
      <color theme="7"/>
      <name val="Calibri"/>
      <family val="2"/>
    </font>
    <font>
      <b/>
      <i/>
      <sz val="14"/>
      <color theme="7"/>
      <name val="Calibri"/>
      <family val="2"/>
    </font>
    <font>
      <sz val="11"/>
      <color theme="1"/>
      <name val="Calibri"/>
      <family val="2"/>
      <charset val="162"/>
    </font>
    <font>
      <sz val="11"/>
      <color theme="1"/>
      <name val="Aptos Narrow"/>
      <family val="2"/>
      <charset val="162"/>
      <scheme val="minor"/>
    </font>
    <font>
      <sz val="11"/>
      <color theme="0"/>
      <name val="Calibri"/>
      <family val="2"/>
    </font>
    <font>
      <b/>
      <i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FF0000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b/>
      <sz val="11"/>
      <color rgb="FFFFFFFF"/>
      <name val="Calibri"/>
      <family val="2"/>
      <charset val="16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0"/>
      <name val="Arial"/>
      <family val="2"/>
      <charset val="162"/>
    </font>
    <font>
      <sz val="11"/>
      <color rgb="FFFF0000"/>
      <name val="Calibri"/>
      <family val="2"/>
      <charset val="162"/>
    </font>
    <font>
      <sz val="10"/>
      <color rgb="FF000000"/>
      <name val="Aptos Narrow"/>
      <family val="2"/>
      <scheme val="minor"/>
    </font>
    <font>
      <sz val="9"/>
      <color theme="1"/>
      <name val="Calibri"/>
      <family val="2"/>
    </font>
    <font>
      <b/>
      <sz val="12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0" tint="-0.14999847407452621"/>
      <name val="Aptos Narrow"/>
      <family val="2"/>
      <scheme val="minor"/>
    </font>
    <font>
      <sz val="9"/>
      <name val="Aptos Narrow"/>
      <family val="2"/>
      <scheme val="minor"/>
    </font>
    <font>
      <b/>
      <sz val="10.5"/>
      <color rgb="FF000000"/>
      <name val="Aptos"/>
      <family val="2"/>
    </font>
    <font>
      <sz val="10.5"/>
      <color rgb="FF000000"/>
      <name val="Aptos"/>
      <family val="2"/>
    </font>
    <font>
      <b/>
      <sz val="10.5"/>
      <color rgb="FFFFFFFF"/>
      <name val="Aptos"/>
      <family val="2"/>
    </font>
    <font>
      <b/>
      <sz val="10.5"/>
      <name val="Aptos"/>
      <family val="2"/>
    </font>
    <font>
      <sz val="10.5"/>
      <color rgb="FFFFFFFF"/>
      <name val="Aptos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等线"/>
      <family val="2"/>
    </font>
    <font>
      <sz val="11"/>
      <color rgb="FF000000"/>
      <name val="等线"/>
      <family val="2"/>
    </font>
    <font>
      <b/>
      <sz val="9"/>
      <color rgb="FFFFFFFF"/>
      <name val="Calibri"/>
      <family val="2"/>
    </font>
    <font>
      <b/>
      <sz val="11"/>
      <color rgb="FFFFFFFF"/>
      <name val="等线"/>
      <family val="2"/>
    </font>
    <font>
      <b/>
      <sz val="10"/>
      <color rgb="FF000000"/>
      <name val="等线"/>
      <family val="3"/>
      <charset val="134"/>
    </font>
    <font>
      <b/>
      <sz val="10"/>
      <name val="Segoe UI"/>
      <family val="2"/>
    </font>
    <font>
      <b/>
      <sz val="9"/>
      <name val="Arial"/>
      <family val="2"/>
    </font>
    <font>
      <sz val="10"/>
      <color theme="1"/>
      <name val="Arial"/>
      <family val="2"/>
      <charset val="1"/>
    </font>
    <font>
      <sz val="10"/>
      <name val="Aptos Narrow"/>
      <family val="2"/>
      <scheme val="minor"/>
    </font>
    <font>
      <b/>
      <sz val="11"/>
      <color rgb="FF0070C0"/>
      <name val="Calibri"/>
      <family val="2"/>
    </font>
    <font>
      <b/>
      <sz val="9"/>
      <color rgb="FFFF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rgb="FFFFFFFF"/>
      <name val="Calibri"/>
      <family val="2"/>
    </font>
    <font>
      <b/>
      <sz val="11"/>
      <name val="等线"/>
      <family val="2"/>
    </font>
    <font>
      <b/>
      <i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sz val="8"/>
      <color rgb="FF000000"/>
      <name val="Calibri"/>
      <family val="2"/>
      <charset val="162"/>
    </font>
    <font>
      <b/>
      <sz val="8"/>
      <color rgb="FF000000"/>
      <name val="Calibri"/>
      <family val="2"/>
    </font>
    <font>
      <sz val="8"/>
      <name val="Calibri"/>
      <family val="2"/>
    </font>
    <font>
      <sz val="8"/>
      <color theme="0"/>
      <name val="Calibri"/>
      <family val="2"/>
    </font>
    <font>
      <sz val="8"/>
      <name val="Calibri"/>
      <family val="2"/>
      <charset val="162"/>
    </font>
    <font>
      <sz val="11"/>
      <color theme="0"/>
      <name val="Calibri"/>
      <family val="2"/>
      <charset val="162"/>
    </font>
    <font>
      <b/>
      <sz val="11"/>
      <color theme="0"/>
      <name val="Calibri"/>
      <family val="2"/>
    </font>
    <font>
      <sz val="10.5"/>
      <color theme="0"/>
      <name val="Aptos"/>
      <family val="2"/>
    </font>
  </fonts>
  <fills count="10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104861"/>
        <bgColor rgb="FF000000"/>
      </patternFill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333399"/>
        <bgColor rgb="FF073763"/>
      </patternFill>
    </fill>
    <fill>
      <patternFill patternType="solid">
        <fgColor rgb="FFFFFFF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8EA9DB"/>
        <bgColor rgb="FF073763"/>
      </patternFill>
    </fill>
    <fill>
      <patternFill patternType="solid">
        <fgColor rgb="FF757171"/>
        <bgColor rgb="FF000000"/>
      </patternFill>
    </fill>
    <fill>
      <patternFill patternType="solid">
        <fgColor rgb="FFFFFF00"/>
        <bgColor rgb="FF9FC5E8"/>
      </patternFill>
    </fill>
    <fill>
      <patternFill patternType="solid">
        <fgColor rgb="FF00206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AEAAAA"/>
        <bgColor indexed="64"/>
      </patternFill>
    </fill>
    <fill>
      <patternFill patternType="solid">
        <fgColor theme="4" tint="-0.249977111117893"/>
        <bgColor rgb="FF9FC5E8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F1F6"/>
        <bgColor rgb="FF000000"/>
      </patternFill>
    </fill>
    <fill>
      <patternFill patternType="solid">
        <fgColor rgb="FFA6E5F4"/>
        <bgColor rgb="FF000000"/>
      </patternFill>
    </fill>
    <fill>
      <patternFill patternType="solid">
        <fgColor rgb="FFA2C3EA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7035B"/>
        <bgColor rgb="FF073763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8F71FD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4FF22E"/>
        <bgColor rgb="FFFFFFCC"/>
      </patternFill>
    </fill>
    <fill>
      <patternFill patternType="solid">
        <fgColor rgb="FF99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4FF22E"/>
        <bgColor indexed="64"/>
      </patternFill>
    </fill>
    <fill>
      <patternFill patternType="solid">
        <fgColor theme="5" tint="0.59999389629810485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rgb="FFBFBFBF"/>
      </left>
      <right/>
      <top style="hair">
        <color rgb="FFBFBFBF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rgb="FFBFBFBF"/>
      </left>
      <right style="hair">
        <color indexed="64"/>
      </right>
      <top/>
      <bottom style="hair">
        <color indexed="64"/>
      </bottom>
      <diagonal/>
    </border>
    <border>
      <left style="medium">
        <color rgb="FFBFBFBF"/>
      </left>
      <right style="hair">
        <color indexed="64"/>
      </right>
      <top/>
      <bottom style="medium">
        <color rgb="FFBFBFBF"/>
      </bottom>
      <diagonal/>
    </border>
    <border>
      <left style="medium">
        <color rgb="FFBFBFBF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BFBFBF"/>
      </left>
      <right style="hair">
        <color indexed="64"/>
      </right>
      <top style="hair">
        <color indexed="64"/>
      </top>
      <bottom style="medium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rgb="FFBFBFBF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88">
    <xf numFmtId="0" fontId="0" fillId="0" borderId="0"/>
    <xf numFmtId="0" fontId="13" fillId="0" borderId="0">
      <alignment vertical="center"/>
    </xf>
    <xf numFmtId="168" fontId="13" fillId="0" borderId="0" applyFont="0" applyFill="0" applyBorder="0" applyAlignment="0" applyProtection="0">
      <alignment vertical="center"/>
    </xf>
    <xf numFmtId="165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0" fontId="58" fillId="0" borderId="0"/>
    <xf numFmtId="0" fontId="74" fillId="0" borderId="0"/>
    <xf numFmtId="43" fontId="74" fillId="0" borderId="0" applyFont="0" applyFill="0" applyBorder="0" applyAlignment="0" applyProtection="0"/>
    <xf numFmtId="44" fontId="74" fillId="0" borderId="0" applyFont="0" applyFill="0" applyBorder="0" applyAlignment="0" applyProtection="0"/>
    <xf numFmtId="0" fontId="75" fillId="0" borderId="0"/>
    <xf numFmtId="43" fontId="55" fillId="0" borderId="0" applyFont="0" applyFill="0" applyBorder="0" applyAlignment="0" applyProtection="0"/>
    <xf numFmtId="9" fontId="75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58" applyNumberFormat="0" applyFill="0" applyAlignment="0" applyProtection="0"/>
    <xf numFmtId="0" fontId="84" fillId="0" borderId="59" applyNumberFormat="0" applyFill="0" applyAlignment="0" applyProtection="0"/>
    <xf numFmtId="0" fontId="85" fillId="0" borderId="60" applyNumberFormat="0" applyFill="0" applyAlignment="0" applyProtection="0"/>
    <xf numFmtId="0" fontId="85" fillId="0" borderId="0" applyNumberFormat="0" applyFill="0" applyBorder="0" applyAlignment="0" applyProtection="0"/>
    <xf numFmtId="0" fontId="86" fillId="51" borderId="0" applyNumberFormat="0" applyBorder="0" applyAlignment="0" applyProtection="0"/>
    <xf numFmtId="0" fontId="87" fillId="52" borderId="0" applyNumberFormat="0" applyBorder="0" applyAlignment="0" applyProtection="0"/>
    <xf numFmtId="0" fontId="88" fillId="53" borderId="0" applyNumberFormat="0" applyBorder="0" applyAlignment="0" applyProtection="0"/>
    <xf numFmtId="0" fontId="89" fillId="54" borderId="61" applyNumberFormat="0" applyAlignment="0" applyProtection="0"/>
    <xf numFmtId="0" fontId="90" fillId="55" borderId="62" applyNumberFormat="0" applyAlignment="0" applyProtection="0"/>
    <xf numFmtId="0" fontId="91" fillId="55" borderId="61" applyNumberFormat="0" applyAlignment="0" applyProtection="0"/>
    <xf numFmtId="0" fontId="92" fillId="0" borderId="63" applyNumberFormat="0" applyFill="0" applyAlignment="0" applyProtection="0"/>
    <xf numFmtId="0" fontId="1" fillId="56" borderId="64" applyNumberFormat="0" applyAlignment="0" applyProtection="0"/>
    <xf numFmtId="0" fontId="79" fillId="0" borderId="0" applyNumberFormat="0" applyFill="0" applyBorder="0" applyAlignment="0" applyProtection="0"/>
    <xf numFmtId="0" fontId="55" fillId="57" borderId="65" applyNumberFormat="0" applyFont="0" applyAlignment="0" applyProtection="0"/>
    <xf numFmtId="0" fontId="93" fillId="0" borderId="0" applyNumberFormat="0" applyFill="0" applyBorder="0" applyAlignment="0" applyProtection="0"/>
    <xf numFmtId="0" fontId="2" fillId="0" borderId="66" applyNumberFormat="0" applyFill="0" applyAlignment="0" applyProtection="0"/>
    <xf numFmtId="0" fontId="3" fillId="58" borderId="0" applyNumberFormat="0" applyBorder="0" applyAlignment="0" applyProtection="0"/>
    <xf numFmtId="0" fontId="55" fillId="59" borderId="0" applyNumberFormat="0" applyBorder="0" applyAlignment="0" applyProtection="0"/>
    <xf numFmtId="0" fontId="55" fillId="60" borderId="0" applyNumberFormat="0" applyBorder="0" applyAlignment="0" applyProtection="0"/>
    <xf numFmtId="0" fontId="55" fillId="61" borderId="0" applyNumberFormat="0" applyBorder="0" applyAlignment="0" applyProtection="0"/>
    <xf numFmtId="0" fontId="3" fillId="62" borderId="0" applyNumberFormat="0" applyBorder="0" applyAlignment="0" applyProtection="0"/>
    <xf numFmtId="0" fontId="55" fillId="63" borderId="0" applyNumberFormat="0" applyBorder="0" applyAlignment="0" applyProtection="0"/>
    <xf numFmtId="0" fontId="55" fillId="64" borderId="0" applyNumberFormat="0" applyBorder="0" applyAlignment="0" applyProtection="0"/>
    <xf numFmtId="0" fontId="55" fillId="65" borderId="0" applyNumberFormat="0" applyBorder="0" applyAlignment="0" applyProtection="0"/>
    <xf numFmtId="0" fontId="3" fillId="66" borderId="0" applyNumberFormat="0" applyBorder="0" applyAlignment="0" applyProtection="0"/>
    <xf numFmtId="0" fontId="55" fillId="67" borderId="0" applyNumberFormat="0" applyBorder="0" applyAlignment="0" applyProtection="0"/>
    <xf numFmtId="0" fontId="55" fillId="68" borderId="0" applyNumberFormat="0" applyBorder="0" applyAlignment="0" applyProtection="0"/>
    <xf numFmtId="0" fontId="55" fillId="69" borderId="0" applyNumberFormat="0" applyBorder="0" applyAlignment="0" applyProtection="0"/>
    <xf numFmtId="0" fontId="3" fillId="70" borderId="0" applyNumberFormat="0" applyBorder="0" applyAlignment="0" applyProtection="0"/>
    <xf numFmtId="0" fontId="55" fillId="71" borderId="0" applyNumberFormat="0" applyBorder="0" applyAlignment="0" applyProtection="0"/>
    <xf numFmtId="0" fontId="55" fillId="72" borderId="0" applyNumberFormat="0" applyBorder="0" applyAlignment="0" applyProtection="0"/>
    <xf numFmtId="0" fontId="55" fillId="73" borderId="0" applyNumberFormat="0" applyBorder="0" applyAlignment="0" applyProtection="0"/>
    <xf numFmtId="0" fontId="3" fillId="74" borderId="0" applyNumberFormat="0" applyBorder="0" applyAlignment="0" applyProtection="0"/>
    <xf numFmtId="0" fontId="55" fillId="75" borderId="0" applyNumberFormat="0" applyBorder="0" applyAlignment="0" applyProtection="0"/>
    <xf numFmtId="0" fontId="55" fillId="76" borderId="0" applyNumberFormat="0" applyBorder="0" applyAlignment="0" applyProtection="0"/>
    <xf numFmtId="0" fontId="55" fillId="77" borderId="0" applyNumberFormat="0" applyBorder="0" applyAlignment="0" applyProtection="0"/>
    <xf numFmtId="0" fontId="3" fillId="78" borderId="0" applyNumberFormat="0" applyBorder="0" applyAlignment="0" applyProtection="0"/>
    <xf numFmtId="0" fontId="55" fillId="79" borderId="0" applyNumberFormat="0" applyBorder="0" applyAlignment="0" applyProtection="0"/>
    <xf numFmtId="0" fontId="55" fillId="80" borderId="0" applyNumberFormat="0" applyBorder="0" applyAlignment="0" applyProtection="0"/>
    <xf numFmtId="0" fontId="55" fillId="81" borderId="0" applyNumberFormat="0" applyBorder="0" applyAlignment="0" applyProtection="0"/>
    <xf numFmtId="43" fontId="55" fillId="0" borderId="0" applyFont="0" applyFill="0" applyBorder="0" applyAlignment="0" applyProtection="0"/>
    <xf numFmtId="0" fontId="58" fillId="0" borderId="0"/>
    <xf numFmtId="166" fontId="55" fillId="0" borderId="0" applyFont="0" applyFill="0" applyBorder="0" applyAlignment="0" applyProtection="0"/>
    <xf numFmtId="180" fontId="75" fillId="0" borderId="0" applyFont="0" applyFill="0" applyBorder="0" applyAlignment="0" applyProtection="0"/>
    <xf numFmtId="0" fontId="94" fillId="0" borderId="0"/>
    <xf numFmtId="0" fontId="55" fillId="0" borderId="0"/>
    <xf numFmtId="0" fontId="75" fillId="0" borderId="0"/>
    <xf numFmtId="165" fontId="75" fillId="0" borderId="0" applyFont="0" applyFill="0" applyBorder="0" applyAlignment="0" applyProtection="0"/>
    <xf numFmtId="0" fontId="58" fillId="0" borderId="0"/>
    <xf numFmtId="9" fontId="55" fillId="0" borderId="0" applyFont="0" applyFill="0" applyBorder="0" applyAlignment="0" applyProtection="0"/>
    <xf numFmtId="165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75" fillId="0" borderId="0"/>
    <xf numFmtId="0" fontId="75" fillId="0" borderId="0"/>
    <xf numFmtId="43" fontId="75" fillId="0" borderId="0" applyFont="0" applyFill="0" applyBorder="0" applyAlignment="0" applyProtection="0"/>
    <xf numFmtId="0" fontId="13" fillId="0" borderId="0">
      <alignment vertical="center"/>
    </xf>
    <xf numFmtId="0" fontId="75" fillId="0" borderId="0"/>
    <xf numFmtId="165" fontId="75" fillId="0" borderId="0" applyFont="0" applyFill="0" applyBorder="0" applyAlignment="0" applyProtection="0"/>
    <xf numFmtId="0" fontId="58" fillId="0" borderId="0"/>
    <xf numFmtId="181" fontId="55" fillId="0" borderId="0" applyFont="0" applyFill="0" applyBorder="0" applyAlignment="0" applyProtection="0"/>
    <xf numFmtId="9" fontId="75" fillId="0" borderId="0" applyFont="0" applyFill="0" applyBorder="0" applyAlignment="0" applyProtection="0"/>
    <xf numFmtId="0" fontId="74" fillId="0" borderId="0"/>
    <xf numFmtId="0" fontId="55" fillId="0" borderId="0"/>
    <xf numFmtId="9" fontId="55" fillId="0" borderId="0" applyFont="0" applyFill="0" applyBorder="0" applyAlignment="0" applyProtection="0"/>
    <xf numFmtId="9" fontId="75" fillId="0" borderId="0" applyFont="0" applyFill="0" applyBorder="0" applyAlignment="0" applyProtection="0"/>
    <xf numFmtId="0" fontId="96" fillId="0" borderId="0"/>
    <xf numFmtId="0" fontId="96" fillId="0" borderId="0"/>
    <xf numFmtId="9" fontId="96" fillId="0" borderId="0" applyFont="0" applyFill="0" applyBorder="0" applyAlignment="0" applyProtection="0"/>
    <xf numFmtId="164" fontId="96" fillId="0" borderId="0" applyFont="0" applyFill="0" applyBorder="0" applyAlignment="0" applyProtection="0"/>
    <xf numFmtId="0" fontId="75" fillId="0" borderId="0"/>
    <xf numFmtId="43" fontId="74" fillId="0" borderId="0" applyFont="0" applyFill="0" applyBorder="0" applyAlignment="0" applyProtection="0"/>
    <xf numFmtId="44" fontId="74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3" fillId="0" borderId="0"/>
  </cellStyleXfs>
  <cellXfs count="794">
    <xf numFmtId="0" fontId="0" fillId="0" borderId="0" xfId="0"/>
    <xf numFmtId="0" fontId="1" fillId="2" borderId="0" xfId="0" applyFont="1" applyFill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5" fillId="3" borderId="2" xfId="0" applyFont="1" applyFill="1" applyBorder="1"/>
    <xf numFmtId="0" fontId="6" fillId="4" borderId="3" xfId="0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4" xfId="0" applyFont="1" applyFill="1" applyBorder="1"/>
    <xf numFmtId="3" fontId="0" fillId="0" borderId="0" xfId="0" applyNumberFormat="1"/>
    <xf numFmtId="3" fontId="9" fillId="6" borderId="5" xfId="0" applyNumberFormat="1" applyFont="1" applyFill="1" applyBorder="1" applyAlignment="1">
      <alignment horizontal="right"/>
    </xf>
    <xf numFmtId="0" fontId="11" fillId="7" borderId="7" xfId="0" applyFont="1" applyFill="1" applyBorder="1"/>
    <xf numFmtId="0" fontId="12" fillId="0" borderId="8" xfId="0" applyFont="1" applyBorder="1"/>
    <xf numFmtId="3" fontId="12" fillId="8" borderId="8" xfId="0" applyNumberFormat="1" applyFont="1" applyFill="1" applyBorder="1"/>
    <xf numFmtId="3" fontId="12" fillId="3" borderId="8" xfId="0" applyNumberFormat="1" applyFont="1" applyFill="1" applyBorder="1"/>
    <xf numFmtId="0" fontId="11" fillId="7" borderId="9" xfId="0" applyFont="1" applyFill="1" applyBorder="1"/>
    <xf numFmtId="0" fontId="11" fillId="9" borderId="10" xfId="0" applyFont="1" applyFill="1" applyBorder="1"/>
    <xf numFmtId="3" fontId="12" fillId="10" borderId="8" xfId="0" applyNumberFormat="1" applyFont="1" applyFill="1" applyBorder="1"/>
    <xf numFmtId="0" fontId="11" fillId="7" borderId="11" xfId="0" applyFont="1" applyFill="1" applyBorder="1"/>
    <xf numFmtId="0" fontId="11" fillId="11" borderId="9" xfId="0" applyFont="1" applyFill="1" applyBorder="1"/>
    <xf numFmtId="0" fontId="11" fillId="12" borderId="12" xfId="0" applyFont="1" applyFill="1" applyBorder="1"/>
    <xf numFmtId="3" fontId="11" fillId="12" borderId="8" xfId="0" applyNumberFormat="1" applyFont="1" applyFill="1" applyBorder="1"/>
    <xf numFmtId="4" fontId="12" fillId="3" borderId="8" xfId="0" applyNumberFormat="1" applyFont="1" applyFill="1" applyBorder="1"/>
    <xf numFmtId="0" fontId="8" fillId="5" borderId="6" xfId="0" applyFont="1" applyFill="1" applyBorder="1" applyAlignment="1">
      <alignment horizontal="center"/>
    </xf>
    <xf numFmtId="165" fontId="0" fillId="0" borderId="0" xfId="0" applyNumberFormat="1"/>
    <xf numFmtId="169" fontId="15" fillId="6" borderId="13" xfId="1" applyNumberFormat="1" applyFont="1" applyFill="1" applyBorder="1" applyAlignment="1">
      <alignment horizontal="right"/>
    </xf>
    <xf numFmtId="3" fontId="8" fillId="5" borderId="13" xfId="1" applyNumberFormat="1" applyFont="1" applyFill="1" applyBorder="1" applyAlignment="1"/>
    <xf numFmtId="169" fontId="15" fillId="13" borderId="13" xfId="1" applyNumberFormat="1" applyFont="1" applyFill="1" applyBorder="1" applyAlignment="1">
      <alignment horizontal="right"/>
    </xf>
    <xf numFmtId="0" fontId="11" fillId="0" borderId="0" xfId="0" applyFont="1"/>
    <xf numFmtId="0" fontId="11" fillId="0" borderId="12" xfId="0" applyFont="1" applyBorder="1"/>
    <xf numFmtId="3" fontId="11" fillId="0" borderId="8" xfId="0" applyNumberFormat="1" applyFont="1" applyBorder="1"/>
    <xf numFmtId="3" fontId="12" fillId="0" borderId="8" xfId="0" applyNumberFormat="1" applyFont="1" applyBorder="1"/>
    <xf numFmtId="0" fontId="19" fillId="2" borderId="0" xfId="0" applyFont="1" applyFill="1"/>
    <xf numFmtId="0" fontId="2" fillId="0" borderId="0" xfId="0" applyFont="1"/>
    <xf numFmtId="0" fontId="22" fillId="0" borderId="2" xfId="0" applyFont="1" applyBorder="1"/>
    <xf numFmtId="1" fontId="0" fillId="0" borderId="0" xfId="0" applyNumberFormat="1"/>
    <xf numFmtId="4" fontId="0" fillId="0" borderId="0" xfId="0" applyNumberFormat="1"/>
    <xf numFmtId="0" fontId="24" fillId="2" borderId="0" xfId="0" applyFont="1" applyFill="1"/>
    <xf numFmtId="4" fontId="0" fillId="15" borderId="0" xfId="0" applyNumberFormat="1" applyFill="1"/>
    <xf numFmtId="0" fontId="0" fillId="15" borderId="0" xfId="0" applyFill="1"/>
    <xf numFmtId="0" fontId="26" fillId="0" borderId="0" xfId="0" applyFont="1"/>
    <xf numFmtId="0" fontId="27" fillId="0" borderId="0" xfId="0" applyFont="1"/>
    <xf numFmtId="3" fontId="28" fillId="16" borderId="0" xfId="0" applyNumberFormat="1" applyFont="1" applyFill="1" applyAlignment="1">
      <alignment horizontal="center"/>
    </xf>
    <xf numFmtId="0" fontId="26" fillId="0" borderId="0" xfId="0" applyFont="1" applyAlignment="1">
      <alignment horizontal="center"/>
    </xf>
    <xf numFmtId="0" fontId="28" fillId="16" borderId="0" xfId="0" applyFont="1" applyFill="1" applyAlignment="1">
      <alignment horizontal="center"/>
    </xf>
    <xf numFmtId="3" fontId="26" fillId="0" borderId="0" xfId="0" applyNumberFormat="1" applyFont="1"/>
    <xf numFmtId="0" fontId="0" fillId="0" borderId="0" xfId="0" applyAlignment="1">
      <alignment horizontal="center"/>
    </xf>
    <xf numFmtId="0" fontId="29" fillId="0" borderId="0" xfId="0" applyFont="1" applyAlignment="1">
      <alignment horizontal="center"/>
    </xf>
    <xf numFmtId="0" fontId="28" fillId="18" borderId="1" xfId="0" applyFont="1" applyFill="1" applyBorder="1" applyAlignment="1">
      <alignment horizontal="center" wrapText="1"/>
    </xf>
    <xf numFmtId="0" fontId="28" fillId="18" borderId="2" xfId="0" applyFont="1" applyFill="1" applyBorder="1" applyAlignment="1">
      <alignment horizontal="center" wrapText="1"/>
    </xf>
    <xf numFmtId="3" fontId="11" fillId="12" borderId="0" xfId="0" applyNumberFormat="1" applyFont="1" applyFill="1"/>
    <xf numFmtId="0" fontId="31" fillId="0" borderId="0" xfId="0" applyFont="1"/>
    <xf numFmtId="0" fontId="32" fillId="0" borderId="0" xfId="0" applyFont="1"/>
    <xf numFmtId="0" fontId="33" fillId="0" borderId="0" xfId="0" applyFont="1" applyAlignment="1">
      <alignment horizontal="center"/>
    </xf>
    <xf numFmtId="0" fontId="34" fillId="0" borderId="0" xfId="0" applyFont="1"/>
    <xf numFmtId="0" fontId="32" fillId="0" borderId="20" xfId="0" applyFont="1" applyBorder="1"/>
    <xf numFmtId="0" fontId="40" fillId="0" borderId="0" xfId="0" applyFont="1" applyAlignment="1">
      <alignment horizontal="center" vertical="center"/>
    </xf>
    <xf numFmtId="3" fontId="4" fillId="0" borderId="2" xfId="0" applyNumberFormat="1" applyFont="1" applyBorder="1" applyAlignment="1">
      <alignment horizontal="center"/>
    </xf>
    <xf numFmtId="3" fontId="5" fillId="3" borderId="2" xfId="0" applyNumberFormat="1" applyFont="1" applyFill="1" applyBorder="1" applyAlignment="1">
      <alignment horizontal="center"/>
    </xf>
    <xf numFmtId="3" fontId="6" fillId="4" borderId="3" xfId="0" applyNumberFormat="1" applyFont="1" applyFill="1" applyBorder="1" applyAlignment="1">
      <alignment horizontal="center" vertical="center" wrapText="1"/>
    </xf>
    <xf numFmtId="3" fontId="38" fillId="3" borderId="23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3" fontId="21" fillId="0" borderId="0" xfId="0" applyNumberFormat="1" applyFont="1" applyAlignment="1">
      <alignment horizontal="center"/>
    </xf>
    <xf numFmtId="0" fontId="36" fillId="0" borderId="0" xfId="0" applyFont="1"/>
    <xf numFmtId="2" fontId="17" fillId="0" borderId="0" xfId="0" applyNumberFormat="1" applyFont="1" applyAlignment="1">
      <alignment horizontal="center"/>
    </xf>
    <xf numFmtId="3" fontId="12" fillId="3" borderId="8" xfId="0" applyNumberFormat="1" applyFont="1" applyFill="1" applyBorder="1" applyAlignment="1">
      <alignment horizontal="center"/>
    </xf>
    <xf numFmtId="4" fontId="43" fillId="0" borderId="2" xfId="0" applyNumberFormat="1" applyFont="1" applyBorder="1" applyAlignment="1">
      <alignment horizontal="center"/>
    </xf>
    <xf numFmtId="4" fontId="37" fillId="3" borderId="2" xfId="0" applyNumberFormat="1" applyFont="1" applyFill="1" applyBorder="1" applyAlignment="1">
      <alignment horizontal="center"/>
    </xf>
    <xf numFmtId="4" fontId="44" fillId="4" borderId="3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0" fillId="0" borderId="0" xfId="0" applyFont="1"/>
    <xf numFmtId="0" fontId="0" fillId="0" borderId="13" xfId="0" applyBorder="1"/>
    <xf numFmtId="0" fontId="47" fillId="0" borderId="0" xfId="0" applyFont="1"/>
    <xf numFmtId="0" fontId="48" fillId="0" borderId="0" xfId="0" applyFont="1"/>
    <xf numFmtId="0" fontId="0" fillId="26" borderId="0" xfId="0" applyFill="1"/>
    <xf numFmtId="0" fontId="49" fillId="0" borderId="0" xfId="0" applyFont="1"/>
    <xf numFmtId="0" fontId="0" fillId="0" borderId="29" xfId="0" applyBorder="1"/>
    <xf numFmtId="0" fontId="0" fillId="0" borderId="33" xfId="0" applyBorder="1"/>
    <xf numFmtId="0" fontId="31" fillId="0" borderId="13" xfId="0" applyFont="1" applyBorder="1" applyAlignment="1">
      <alignment horizontal="center"/>
    </xf>
    <xf numFmtId="0" fontId="2" fillId="0" borderId="30" xfId="0" applyFont="1" applyBorder="1"/>
    <xf numFmtId="0" fontId="1" fillId="2" borderId="0" xfId="0" applyFont="1" applyFill="1"/>
    <xf numFmtId="0" fontId="2" fillId="0" borderId="29" xfId="0" applyFont="1" applyBorder="1"/>
    <xf numFmtId="0" fontId="51" fillId="0" borderId="0" xfId="0" applyFont="1"/>
    <xf numFmtId="2" fontId="0" fillId="0" borderId="0" xfId="0" applyNumberFormat="1"/>
    <xf numFmtId="3" fontId="12" fillId="28" borderId="8" xfId="0" applyNumberFormat="1" applyFont="1" applyFill="1" applyBorder="1"/>
    <xf numFmtId="170" fontId="52" fillId="29" borderId="37" xfId="0" applyNumberFormat="1" applyFont="1" applyFill="1" applyBorder="1"/>
    <xf numFmtId="170" fontId="9" fillId="30" borderId="5" xfId="0" applyNumberFormat="1" applyFont="1" applyFill="1" applyBorder="1"/>
    <xf numFmtId="171" fontId="2" fillId="31" borderId="0" xfId="0" applyNumberFormat="1" applyFont="1" applyFill="1"/>
    <xf numFmtId="171" fontId="0" fillId="0" borderId="0" xfId="0" applyNumberFormat="1"/>
    <xf numFmtId="3" fontId="7" fillId="0" borderId="0" xfId="0" applyNumberFormat="1" applyFont="1"/>
    <xf numFmtId="4" fontId="26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4" fillId="0" borderId="29" xfId="0" applyFont="1" applyBorder="1" applyAlignment="1">
      <alignment horizontal="left"/>
    </xf>
    <xf numFmtId="0" fontId="3" fillId="2" borderId="29" xfId="0" applyFont="1" applyFill="1" applyBorder="1"/>
    <xf numFmtId="0" fontId="1" fillId="2" borderId="29" xfId="0" applyFont="1" applyFill="1" applyBorder="1"/>
    <xf numFmtId="0" fontId="0" fillId="0" borderId="38" xfId="0" applyBorder="1"/>
    <xf numFmtId="0" fontId="6" fillId="4" borderId="3" xfId="0" applyFont="1" applyFill="1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33" borderId="40" xfId="0" applyFont="1" applyFill="1" applyBorder="1"/>
    <xf numFmtId="0" fontId="2" fillId="33" borderId="41" xfId="0" applyFont="1" applyFill="1" applyBorder="1"/>
    <xf numFmtId="0" fontId="0" fillId="33" borderId="0" xfId="0" applyFill="1"/>
    <xf numFmtId="0" fontId="2" fillId="33" borderId="0" xfId="0" applyFont="1" applyFill="1"/>
    <xf numFmtId="165" fontId="0" fillId="0" borderId="0" xfId="3" applyFont="1"/>
    <xf numFmtId="169" fontId="1" fillId="2" borderId="0" xfId="3" applyNumberFormat="1" applyFont="1" applyFill="1" applyAlignment="1">
      <alignment horizontal="center"/>
    </xf>
    <xf numFmtId="169" fontId="0" fillId="0" borderId="0" xfId="3" applyNumberFormat="1" applyFont="1"/>
    <xf numFmtId="169" fontId="7" fillId="0" borderId="0" xfId="3" applyNumberFormat="1" applyFont="1"/>
    <xf numFmtId="169" fontId="0" fillId="0" borderId="0" xfId="0" applyNumberFormat="1"/>
    <xf numFmtId="0" fontId="57" fillId="34" borderId="0" xfId="0" applyFont="1" applyFill="1"/>
    <xf numFmtId="0" fontId="58" fillId="34" borderId="0" xfId="0" applyFont="1" applyFill="1"/>
    <xf numFmtId="49" fontId="59" fillId="35" borderId="13" xfId="0" applyNumberFormat="1" applyFont="1" applyFill="1" applyBorder="1" applyAlignment="1">
      <alignment horizontal="left"/>
    </xf>
    <xf numFmtId="49" fontId="59" fillId="35" borderId="13" xfId="0" applyNumberFormat="1" applyFont="1" applyFill="1" applyBorder="1" applyAlignment="1">
      <alignment horizontal="center"/>
    </xf>
    <xf numFmtId="49" fontId="58" fillId="36" borderId="2" xfId="0" applyNumberFormat="1" applyFont="1" applyFill="1" applyBorder="1" applyAlignment="1">
      <alignment horizontal="left"/>
    </xf>
    <xf numFmtId="173" fontId="58" fillId="8" borderId="2" xfId="0" applyNumberFormat="1" applyFont="1" applyFill="1" applyBorder="1"/>
    <xf numFmtId="174" fontId="58" fillId="8" borderId="2" xfId="0" applyNumberFormat="1" applyFont="1" applyFill="1" applyBorder="1"/>
    <xf numFmtId="175" fontId="58" fillId="8" borderId="2" xfId="0" applyNumberFormat="1" applyFont="1" applyFill="1" applyBorder="1"/>
    <xf numFmtId="176" fontId="58" fillId="8" borderId="2" xfId="0" applyNumberFormat="1" applyFont="1" applyFill="1" applyBorder="1"/>
    <xf numFmtId="49" fontId="58" fillId="37" borderId="2" xfId="0" applyNumberFormat="1" applyFont="1" applyFill="1" applyBorder="1" applyAlignment="1">
      <alignment horizontal="left"/>
    </xf>
    <xf numFmtId="173" fontId="58" fillId="37" borderId="2" xfId="0" applyNumberFormat="1" applyFont="1" applyFill="1" applyBorder="1"/>
    <xf numFmtId="174" fontId="58" fillId="37" borderId="2" xfId="0" applyNumberFormat="1" applyFont="1" applyFill="1" applyBorder="1"/>
    <xf numFmtId="175" fontId="58" fillId="37" borderId="2" xfId="0" applyNumberFormat="1" applyFont="1" applyFill="1" applyBorder="1"/>
    <xf numFmtId="49" fontId="58" fillId="37" borderId="3" xfId="0" applyNumberFormat="1" applyFont="1" applyFill="1" applyBorder="1" applyAlignment="1">
      <alignment horizontal="left"/>
    </xf>
    <xf numFmtId="173" fontId="58" fillId="37" borderId="3" xfId="0" applyNumberFormat="1" applyFont="1" applyFill="1" applyBorder="1"/>
    <xf numFmtId="174" fontId="58" fillId="37" borderId="3" xfId="0" applyNumberFormat="1" applyFont="1" applyFill="1" applyBorder="1"/>
    <xf numFmtId="175" fontId="58" fillId="37" borderId="3" xfId="0" applyNumberFormat="1" applyFont="1" applyFill="1" applyBorder="1"/>
    <xf numFmtId="176" fontId="58" fillId="37" borderId="2" xfId="0" applyNumberFormat="1" applyFont="1" applyFill="1" applyBorder="1"/>
    <xf numFmtId="49" fontId="60" fillId="38" borderId="13" xfId="0" applyNumberFormat="1" applyFont="1" applyFill="1" applyBorder="1" applyAlignment="1">
      <alignment horizontal="left"/>
    </xf>
    <xf numFmtId="173" fontId="60" fillId="38" borderId="13" xfId="0" applyNumberFormat="1" applyFont="1" applyFill="1" applyBorder="1"/>
    <xf numFmtId="175" fontId="60" fillId="38" borderId="13" xfId="0" applyNumberFormat="1" applyFont="1" applyFill="1" applyBorder="1"/>
    <xf numFmtId="0" fontId="2" fillId="0" borderId="13" xfId="0" applyFont="1" applyBorder="1"/>
    <xf numFmtId="0" fontId="62" fillId="0" borderId="0" xfId="0" applyFont="1"/>
    <xf numFmtId="0" fontId="61" fillId="0" borderId="13" xfId="0" applyFont="1" applyBorder="1" applyAlignment="1">
      <alignment vertical="center"/>
    </xf>
    <xf numFmtId="0" fontId="63" fillId="0" borderId="0" xfId="0" applyFont="1"/>
    <xf numFmtId="169" fontId="62" fillId="0" borderId="13" xfId="3" applyNumberFormat="1" applyFont="1" applyBorder="1" applyAlignment="1">
      <alignment vertical="center"/>
    </xf>
    <xf numFmtId="0" fontId="61" fillId="39" borderId="13" xfId="0" applyFont="1" applyFill="1" applyBorder="1" applyAlignment="1">
      <alignment vertical="center"/>
    </xf>
    <xf numFmtId="169" fontId="62" fillId="39" borderId="13" xfId="3" applyNumberFormat="1" applyFont="1" applyFill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61" fillId="0" borderId="0" xfId="0" applyFont="1" applyAlignment="1">
      <alignment horizontal="right" vertical="center"/>
    </xf>
    <xf numFmtId="49" fontId="58" fillId="40" borderId="2" xfId="0" applyNumberFormat="1" applyFont="1" applyFill="1" applyBorder="1" applyAlignment="1">
      <alignment horizontal="left"/>
    </xf>
    <xf numFmtId="0" fontId="0" fillId="33" borderId="0" xfId="0" applyFill="1" applyAlignment="1">
      <alignment vertical="center"/>
    </xf>
    <xf numFmtId="0" fontId="62" fillId="33" borderId="0" xfId="0" applyFont="1" applyFill="1" applyAlignment="1">
      <alignment vertical="center"/>
    </xf>
    <xf numFmtId="0" fontId="61" fillId="41" borderId="13" xfId="0" applyFont="1" applyFill="1" applyBorder="1" applyAlignment="1">
      <alignment vertical="center"/>
    </xf>
    <xf numFmtId="169" fontId="62" fillId="41" borderId="13" xfId="3" applyNumberFormat="1" applyFont="1" applyFill="1" applyBorder="1" applyAlignment="1">
      <alignment vertical="center"/>
    </xf>
    <xf numFmtId="0" fontId="61" fillId="0" borderId="0" xfId="0" applyFont="1" applyAlignment="1">
      <alignment horizontal="center"/>
    </xf>
    <xf numFmtId="169" fontId="0" fillId="0" borderId="0" xfId="0" applyNumberFormat="1" applyAlignment="1">
      <alignment vertical="center"/>
    </xf>
    <xf numFmtId="0" fontId="64" fillId="0" borderId="0" xfId="0" applyFont="1"/>
    <xf numFmtId="172" fontId="0" fillId="42" borderId="0" xfId="3" applyNumberFormat="1" applyFont="1" applyFill="1"/>
    <xf numFmtId="49" fontId="0" fillId="42" borderId="15" xfId="0" applyNumberFormat="1" applyFill="1" applyBorder="1" applyAlignment="1">
      <alignment horizontal="left"/>
    </xf>
    <xf numFmtId="0" fontId="0" fillId="42" borderId="0" xfId="0" applyFill="1"/>
    <xf numFmtId="0" fontId="61" fillId="0" borderId="0" xfId="0" applyFont="1" applyAlignment="1">
      <alignment horizontal="center" vertical="center"/>
    </xf>
    <xf numFmtId="169" fontId="0" fillId="0" borderId="13" xfId="3" applyNumberFormat="1" applyFont="1" applyBorder="1"/>
    <xf numFmtId="170" fontId="0" fillId="0" borderId="0" xfId="0" applyNumberFormat="1"/>
    <xf numFmtId="169" fontId="7" fillId="20" borderId="0" xfId="3" applyNumberFormat="1" applyFont="1" applyFill="1"/>
    <xf numFmtId="0" fontId="7" fillId="44" borderId="0" xfId="0" applyFont="1" applyFill="1"/>
    <xf numFmtId="0" fontId="58" fillId="40" borderId="0" xfId="0" applyFont="1" applyFill="1"/>
    <xf numFmtId="0" fontId="60" fillId="40" borderId="0" xfId="0" applyFont="1" applyFill="1"/>
    <xf numFmtId="49" fontId="59" fillId="40" borderId="2" xfId="0" applyNumberFormat="1" applyFont="1" applyFill="1" applyBorder="1" applyAlignment="1">
      <alignment horizontal="center"/>
    </xf>
    <xf numFmtId="49" fontId="59" fillId="40" borderId="13" xfId="0" applyNumberFormat="1" applyFont="1" applyFill="1" applyBorder="1" applyAlignment="1">
      <alignment horizontal="center"/>
    </xf>
    <xf numFmtId="0" fontId="0" fillId="45" borderId="0" xfId="0" applyFill="1"/>
    <xf numFmtId="0" fontId="0" fillId="0" borderId="0" xfId="0" applyAlignment="1">
      <alignment horizontal="center" vertical="center"/>
    </xf>
    <xf numFmtId="165" fontId="0" fillId="42" borderId="0" xfId="3" applyFont="1" applyFill="1"/>
    <xf numFmtId="0" fontId="0" fillId="0" borderId="0" xfId="0" pivotButton="1"/>
    <xf numFmtId="0" fontId="0" fillId="46" borderId="0" xfId="0" applyFill="1"/>
    <xf numFmtId="9" fontId="0" fillId="0" borderId="0" xfId="4" applyFont="1"/>
    <xf numFmtId="172" fontId="0" fillId="0" borderId="0" xfId="3" applyNumberFormat="1" applyFont="1"/>
    <xf numFmtId="172" fontId="0" fillId="0" borderId="0" xfId="0" applyNumberFormat="1"/>
    <xf numFmtId="169" fontId="5" fillId="3" borderId="15" xfId="3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9" fontId="62" fillId="45" borderId="13" xfId="3" applyNumberFormat="1" applyFont="1" applyFill="1" applyBorder="1" applyAlignment="1">
      <alignment vertical="center"/>
    </xf>
    <xf numFmtId="3" fontId="30" fillId="0" borderId="28" xfId="0" applyNumberFormat="1" applyFont="1" applyBorder="1"/>
    <xf numFmtId="0" fontId="66" fillId="47" borderId="13" xfId="0" applyFont="1" applyFill="1" applyBorder="1" applyAlignment="1">
      <alignment horizontal="center" vertical="center" wrapText="1"/>
    </xf>
    <xf numFmtId="0" fontId="67" fillId="48" borderId="13" xfId="0" applyFont="1" applyFill="1" applyBorder="1" applyAlignment="1">
      <alignment horizontal="left"/>
    </xf>
    <xf numFmtId="0" fontId="68" fillId="0" borderId="13" xfId="0" applyFont="1" applyBorder="1" applyAlignment="1">
      <alignment horizontal="center" vertical="center"/>
    </xf>
    <xf numFmtId="178" fontId="69" fillId="0" borderId="13" xfId="0" applyNumberFormat="1" applyFont="1" applyBorder="1"/>
    <xf numFmtId="0" fontId="70" fillId="48" borderId="13" xfId="0" applyFont="1" applyFill="1" applyBorder="1" applyAlignment="1">
      <alignment horizontal="left"/>
    </xf>
    <xf numFmtId="0" fontId="71" fillId="48" borderId="13" xfId="0" applyFont="1" applyFill="1" applyBorder="1" applyAlignment="1">
      <alignment horizontal="left"/>
    </xf>
    <xf numFmtId="0" fontId="0" fillId="0" borderId="0" xfId="0" applyAlignment="1">
      <alignment horizontal="left"/>
    </xf>
    <xf numFmtId="178" fontId="0" fillId="0" borderId="0" xfId="0" applyNumberFormat="1"/>
    <xf numFmtId="165" fontId="5" fillId="3" borderId="15" xfId="3" applyFont="1" applyFill="1" applyBorder="1" applyAlignment="1">
      <alignment horizontal="center"/>
    </xf>
    <xf numFmtId="165" fontId="6" fillId="4" borderId="3" xfId="3" applyFont="1" applyFill="1" applyBorder="1" applyAlignment="1">
      <alignment horizontal="center" vertical="center" wrapText="1"/>
    </xf>
    <xf numFmtId="0" fontId="0" fillId="0" borderId="45" xfId="0" applyBorder="1"/>
    <xf numFmtId="169" fontId="0" fillId="0" borderId="45" xfId="3" applyNumberFormat="1" applyFont="1" applyBorder="1"/>
    <xf numFmtId="169" fontId="2" fillId="0" borderId="46" xfId="3" applyNumberFormat="1" applyFont="1" applyBorder="1"/>
    <xf numFmtId="169" fontId="2" fillId="0" borderId="48" xfId="3" applyNumberFormat="1" applyFont="1" applyBorder="1"/>
    <xf numFmtId="0" fontId="0" fillId="0" borderId="50" xfId="0" applyBorder="1"/>
    <xf numFmtId="169" fontId="0" fillId="0" borderId="50" xfId="3" applyNumberFormat="1" applyFont="1" applyBorder="1"/>
    <xf numFmtId="169" fontId="2" fillId="0" borderId="51" xfId="3" applyNumberFormat="1" applyFont="1" applyBorder="1"/>
    <xf numFmtId="169" fontId="0" fillId="42" borderId="0" xfId="3" applyNumberFormat="1" applyFont="1" applyFill="1"/>
    <xf numFmtId="39" fontId="58" fillId="34" borderId="0" xfId="0" applyNumberFormat="1" applyFont="1" applyFill="1"/>
    <xf numFmtId="2" fontId="32" fillId="0" borderId="0" xfId="0" applyNumberFormat="1" applyFont="1"/>
    <xf numFmtId="165" fontId="32" fillId="0" borderId="0" xfId="0" applyNumberFormat="1" applyFont="1"/>
    <xf numFmtId="165" fontId="34" fillId="0" borderId="0" xfId="3" applyFont="1"/>
    <xf numFmtId="169" fontId="6" fillId="4" borderId="3" xfId="3" applyNumberFormat="1" applyFont="1" applyFill="1" applyBorder="1" applyAlignment="1">
      <alignment horizontal="center" vertical="center" wrapText="1"/>
    </xf>
    <xf numFmtId="9" fontId="32" fillId="0" borderId="0" xfId="4" applyFont="1" applyAlignment="1">
      <alignment vertical="center"/>
    </xf>
    <xf numFmtId="169" fontId="32" fillId="0" borderId="0" xfId="3" applyNumberFormat="1" applyFont="1"/>
    <xf numFmtId="169" fontId="32" fillId="0" borderId="0" xfId="0" applyNumberFormat="1" applyFont="1"/>
    <xf numFmtId="169" fontId="0" fillId="0" borderId="29" xfId="3" applyNumberFormat="1" applyFont="1" applyBorder="1"/>
    <xf numFmtId="0" fontId="4" fillId="0" borderId="13" xfId="0" applyFont="1" applyBorder="1"/>
    <xf numFmtId="3" fontId="4" fillId="0" borderId="13" xfId="0" applyNumberFormat="1" applyFont="1" applyBorder="1" applyAlignment="1">
      <alignment horizontal="center"/>
    </xf>
    <xf numFmtId="4" fontId="43" fillId="0" borderId="13" xfId="0" applyNumberFormat="1" applyFont="1" applyBorder="1" applyAlignment="1">
      <alignment horizontal="center"/>
    </xf>
    <xf numFmtId="0" fontId="6" fillId="25" borderId="3" xfId="0" applyFont="1" applyFill="1" applyBorder="1" applyAlignment="1">
      <alignment horizontal="center" vertical="center" wrapText="1"/>
    </xf>
    <xf numFmtId="3" fontId="6" fillId="25" borderId="3" xfId="0" applyNumberFormat="1" applyFont="1" applyFill="1" applyBorder="1" applyAlignment="1">
      <alignment horizontal="center" vertical="center" wrapText="1"/>
    </xf>
    <xf numFmtId="4" fontId="6" fillId="25" borderId="3" xfId="0" applyNumberFormat="1" applyFont="1" applyFill="1" applyBorder="1" applyAlignment="1">
      <alignment horizontal="center" vertical="center" wrapText="1"/>
    </xf>
    <xf numFmtId="9" fontId="32" fillId="0" borderId="0" xfId="4" applyFont="1"/>
    <xf numFmtId="3" fontId="32" fillId="0" borderId="0" xfId="0" applyNumberFormat="1" applyFont="1"/>
    <xf numFmtId="165" fontId="32" fillId="0" borderId="0" xfId="3" applyFont="1"/>
    <xf numFmtId="169" fontId="58" fillId="36" borderId="2" xfId="3" applyNumberFormat="1" applyFont="1" applyFill="1" applyBorder="1" applyAlignment="1">
      <alignment horizontal="left"/>
    </xf>
    <xf numFmtId="169" fontId="58" fillId="37" borderId="2" xfId="3" applyNumberFormat="1" applyFont="1" applyFill="1" applyBorder="1" applyAlignment="1">
      <alignment horizontal="left"/>
    </xf>
    <xf numFmtId="169" fontId="58" fillId="37" borderId="3" xfId="3" applyNumberFormat="1" applyFont="1" applyFill="1" applyBorder="1" applyAlignment="1">
      <alignment horizontal="left"/>
    </xf>
    <xf numFmtId="169" fontId="60" fillId="38" borderId="13" xfId="3" applyNumberFormat="1" applyFont="1" applyFill="1" applyBorder="1" applyAlignment="1">
      <alignment horizontal="left"/>
    </xf>
    <xf numFmtId="3" fontId="12" fillId="49" borderId="8" xfId="0" applyNumberFormat="1" applyFont="1" applyFill="1" applyBorder="1"/>
    <xf numFmtId="0" fontId="73" fillId="0" borderId="0" xfId="0" applyFont="1"/>
    <xf numFmtId="169" fontId="62" fillId="0" borderId="13" xfId="3" applyNumberFormat="1" applyFont="1" applyFill="1" applyBorder="1" applyAlignment="1">
      <alignment vertical="center"/>
    </xf>
    <xf numFmtId="169" fontId="4" fillId="0" borderId="0" xfId="3" applyNumberFormat="1" applyFont="1" applyFill="1" applyAlignment="1">
      <alignment horizontal="center"/>
    </xf>
    <xf numFmtId="179" fontId="0" fillId="0" borderId="0" xfId="0" applyNumberFormat="1"/>
    <xf numFmtId="173" fontId="58" fillId="0" borderId="2" xfId="0" applyNumberFormat="1" applyFont="1" applyBorder="1"/>
    <xf numFmtId="169" fontId="34" fillId="0" borderId="0" xfId="0" applyNumberFormat="1" applyFont="1"/>
    <xf numFmtId="165" fontId="58" fillId="8" borderId="2" xfId="0" applyNumberFormat="1" applyFont="1" applyFill="1" applyBorder="1"/>
    <xf numFmtId="165" fontId="6" fillId="25" borderId="3" xfId="3" applyFont="1" applyFill="1" applyBorder="1" applyAlignment="1">
      <alignment horizontal="center" vertical="center" wrapText="1"/>
    </xf>
    <xf numFmtId="0" fontId="35" fillId="0" borderId="13" xfId="0" applyFont="1" applyBorder="1" applyAlignment="1">
      <alignment horizontal="center"/>
    </xf>
    <xf numFmtId="9" fontId="0" fillId="0" borderId="13" xfId="0" applyNumberFormat="1" applyBorder="1"/>
    <xf numFmtId="0" fontId="42" fillId="10" borderId="13" xfId="0" applyFont="1" applyFill="1" applyBorder="1" applyAlignment="1">
      <alignment horizontal="center" vertical="center"/>
    </xf>
    <xf numFmtId="169" fontId="3" fillId="2" borderId="13" xfId="0" applyNumberFormat="1" applyFont="1" applyFill="1" applyBorder="1" applyAlignment="1">
      <alignment horizontal="center"/>
    </xf>
    <xf numFmtId="0" fontId="42" fillId="10" borderId="23" xfId="0" applyFont="1" applyFill="1" applyBorder="1" applyAlignment="1">
      <alignment horizontal="center" vertical="center"/>
    </xf>
    <xf numFmtId="0" fontId="42" fillId="10" borderId="25" xfId="0" applyFont="1" applyFill="1" applyBorder="1" applyAlignment="1">
      <alignment horizontal="center" vertical="center"/>
    </xf>
    <xf numFmtId="165" fontId="3" fillId="2" borderId="13" xfId="3" applyFont="1" applyFill="1" applyBorder="1" applyAlignment="1">
      <alignment horizontal="center"/>
    </xf>
    <xf numFmtId="165" fontId="42" fillId="3" borderId="2" xfId="3" applyFont="1" applyFill="1" applyBorder="1" applyAlignment="1">
      <alignment horizontal="center"/>
    </xf>
    <xf numFmtId="4" fontId="21" fillId="0" borderId="0" xfId="0" applyNumberFormat="1" applyFont="1" applyAlignment="1">
      <alignment horizontal="center"/>
    </xf>
    <xf numFmtId="169" fontId="76" fillId="0" borderId="0" xfId="0" applyNumberFormat="1" applyFont="1"/>
    <xf numFmtId="165" fontId="76" fillId="0" borderId="26" xfId="0" applyNumberFormat="1" applyFont="1" applyBorder="1"/>
    <xf numFmtId="3" fontId="50" fillId="0" borderId="0" xfId="0" applyNumberFormat="1" applyFont="1" applyAlignment="1">
      <alignment horizontal="center"/>
    </xf>
    <xf numFmtId="0" fontId="76" fillId="0" borderId="0" xfId="0" applyFont="1"/>
    <xf numFmtId="165" fontId="77" fillId="4" borderId="3" xfId="3" applyFont="1" applyFill="1" applyBorder="1" applyAlignment="1">
      <alignment horizontal="center" vertical="center" wrapText="1"/>
    </xf>
    <xf numFmtId="4" fontId="1" fillId="25" borderId="3" xfId="0" applyNumberFormat="1" applyFont="1" applyFill="1" applyBorder="1" applyAlignment="1">
      <alignment horizontal="center" vertical="center" wrapText="1"/>
    </xf>
    <xf numFmtId="169" fontId="6" fillId="25" borderId="3" xfId="3" applyNumberFormat="1" applyFont="1" applyFill="1" applyBorder="1" applyAlignment="1">
      <alignment horizontal="center" vertical="center" wrapText="1"/>
    </xf>
    <xf numFmtId="169" fontId="36" fillId="0" borderId="0" xfId="0" applyNumberFormat="1" applyFont="1"/>
    <xf numFmtId="169" fontId="4" fillId="0" borderId="15" xfId="3" applyNumberFormat="1" applyFont="1" applyFill="1" applyBorder="1" applyAlignment="1">
      <alignment horizontal="center"/>
    </xf>
    <xf numFmtId="165" fontId="38" fillId="0" borderId="2" xfId="3" applyFont="1" applyFill="1" applyBorder="1" applyAlignment="1">
      <alignment horizontal="center"/>
    </xf>
    <xf numFmtId="169" fontId="58" fillId="36" borderId="2" xfId="3" applyNumberFormat="1" applyFont="1" applyFill="1" applyBorder="1" applyAlignment="1"/>
    <xf numFmtId="3" fontId="4" fillId="27" borderId="2" xfId="0" applyNumberFormat="1" applyFont="1" applyFill="1" applyBorder="1" applyAlignment="1">
      <alignment horizontal="center"/>
    </xf>
    <xf numFmtId="4" fontId="43" fillId="27" borderId="2" xfId="0" applyNumberFormat="1" applyFont="1" applyFill="1" applyBorder="1" applyAlignment="1">
      <alignment horizontal="center"/>
    </xf>
    <xf numFmtId="0" fontId="33" fillId="27" borderId="0" xfId="0" applyFont="1" applyFill="1" applyAlignment="1">
      <alignment horizontal="center"/>
    </xf>
    <xf numFmtId="1" fontId="4" fillId="27" borderId="15" xfId="0" applyNumberFormat="1" applyFont="1" applyFill="1" applyBorder="1" applyAlignment="1">
      <alignment horizontal="center"/>
    </xf>
    <xf numFmtId="169" fontId="4" fillId="27" borderId="15" xfId="3" applyNumberFormat="1" applyFont="1" applyFill="1" applyBorder="1" applyAlignment="1">
      <alignment horizontal="center"/>
    </xf>
    <xf numFmtId="169" fontId="4" fillId="27" borderId="2" xfId="3" applyNumberFormat="1" applyFont="1" applyFill="1" applyBorder="1" applyAlignment="1">
      <alignment horizontal="center"/>
    </xf>
    <xf numFmtId="165" fontId="38" fillId="27" borderId="2" xfId="3" applyFont="1" applyFill="1" applyBorder="1" applyAlignment="1">
      <alignment horizontal="center"/>
    </xf>
    <xf numFmtId="167" fontId="4" fillId="27" borderId="2" xfId="0" applyNumberFormat="1" applyFont="1" applyFill="1" applyBorder="1" applyAlignment="1">
      <alignment horizontal="center"/>
    </xf>
    <xf numFmtId="3" fontId="4" fillId="27" borderId="13" xfId="0" applyNumberFormat="1" applyFont="1" applyFill="1" applyBorder="1" applyAlignment="1">
      <alignment horizontal="center"/>
    </xf>
    <xf numFmtId="4" fontId="43" fillId="27" borderId="13" xfId="0" applyNumberFormat="1" applyFont="1" applyFill="1" applyBorder="1" applyAlignment="1">
      <alignment horizontal="center"/>
    </xf>
    <xf numFmtId="169" fontId="21" fillId="27" borderId="13" xfId="3" applyNumberFormat="1" applyFont="1" applyFill="1" applyBorder="1" applyAlignment="1">
      <alignment horizontal="center"/>
    </xf>
    <xf numFmtId="1" fontId="4" fillId="27" borderId="13" xfId="0" applyNumberFormat="1" applyFont="1" applyFill="1" applyBorder="1" applyAlignment="1">
      <alignment horizontal="center"/>
    </xf>
    <xf numFmtId="169" fontId="4" fillId="27" borderId="13" xfId="3" applyNumberFormat="1" applyFont="1" applyFill="1" applyBorder="1" applyAlignment="1">
      <alignment horizontal="center"/>
    </xf>
    <xf numFmtId="165" fontId="38" fillId="27" borderId="13" xfId="3" applyFont="1" applyFill="1" applyBorder="1" applyAlignment="1">
      <alignment horizontal="center"/>
    </xf>
    <xf numFmtId="165" fontId="43" fillId="27" borderId="2" xfId="3" applyFont="1" applyFill="1" applyBorder="1" applyAlignment="1">
      <alignment vertical="center"/>
    </xf>
    <xf numFmtId="169" fontId="18" fillId="27" borderId="17" xfId="3" applyNumberFormat="1" applyFont="1" applyFill="1" applyBorder="1" applyAlignment="1">
      <alignment horizontal="center"/>
    </xf>
    <xf numFmtId="165" fontId="4" fillId="0" borderId="15" xfId="3" applyFont="1" applyFill="1" applyBorder="1" applyAlignment="1">
      <alignment horizontal="center"/>
    </xf>
    <xf numFmtId="0" fontId="0" fillId="27" borderId="0" xfId="0" applyFill="1"/>
    <xf numFmtId="0" fontId="73" fillId="27" borderId="0" xfId="0" applyFont="1" applyFill="1"/>
    <xf numFmtId="0" fontId="74" fillId="27" borderId="0" xfId="0" quotePrefix="1" applyFont="1" applyFill="1" applyAlignment="1">
      <alignment vertical="top" wrapText="1"/>
    </xf>
    <xf numFmtId="0" fontId="32" fillId="27" borderId="0" xfId="0" applyFont="1" applyFill="1"/>
    <xf numFmtId="0" fontId="31" fillId="27" borderId="0" xfId="0" applyFont="1" applyFill="1" applyAlignment="1">
      <alignment vertical="top" wrapText="1"/>
    </xf>
    <xf numFmtId="0" fontId="0" fillId="27" borderId="0" xfId="0" applyFill="1" applyAlignment="1">
      <alignment vertical="top" wrapText="1"/>
    </xf>
    <xf numFmtId="0" fontId="31" fillId="27" borderId="0" xfId="0" quotePrefix="1" applyFont="1" applyFill="1" applyAlignment="1">
      <alignment vertical="top" wrapText="1"/>
    </xf>
    <xf numFmtId="0" fontId="0" fillId="27" borderId="0" xfId="0" quotePrefix="1" applyFill="1"/>
    <xf numFmtId="0" fontId="31" fillId="27" borderId="0" xfId="0" quotePrefix="1" applyFont="1" applyFill="1" applyAlignment="1">
      <alignment wrapText="1"/>
    </xf>
    <xf numFmtId="0" fontId="0" fillId="27" borderId="0" xfId="0" applyFill="1" applyAlignment="1">
      <alignment wrapText="1"/>
    </xf>
    <xf numFmtId="0" fontId="72" fillId="27" borderId="0" xfId="0" applyFont="1" applyFill="1"/>
    <xf numFmtId="0" fontId="0" fillId="27" borderId="0" xfId="0" quotePrefix="1" applyFill="1" applyAlignment="1">
      <alignment wrapText="1"/>
    </xf>
    <xf numFmtId="169" fontId="0" fillId="27" borderId="0" xfId="3" applyNumberFormat="1" applyFont="1" applyFill="1"/>
    <xf numFmtId="3" fontId="4" fillId="0" borderId="1" xfId="0" applyNumberFormat="1" applyFont="1" applyBorder="1" applyAlignment="1">
      <alignment horizontal="center"/>
    </xf>
    <xf numFmtId="0" fontId="4" fillId="0" borderId="3" xfId="0" applyFont="1" applyBorder="1"/>
    <xf numFmtId="3" fontId="4" fillId="27" borderId="1" xfId="0" applyNumberFormat="1" applyFont="1" applyFill="1" applyBorder="1" applyAlignment="1">
      <alignment horizontal="center"/>
    </xf>
    <xf numFmtId="4" fontId="43" fillId="27" borderId="1" xfId="0" applyNumberFormat="1" applyFont="1" applyFill="1" applyBorder="1" applyAlignment="1">
      <alignment horizontal="center"/>
    </xf>
    <xf numFmtId="169" fontId="4" fillId="27" borderId="1" xfId="3" applyNumberFormat="1" applyFont="1" applyFill="1" applyBorder="1" applyAlignment="1">
      <alignment horizontal="center"/>
    </xf>
    <xf numFmtId="165" fontId="38" fillId="27" borderId="1" xfId="3" applyFont="1" applyFill="1" applyBorder="1" applyAlignment="1">
      <alignment horizontal="center"/>
    </xf>
    <xf numFmtId="3" fontId="4" fillId="27" borderId="3" xfId="0" applyNumberFormat="1" applyFont="1" applyFill="1" applyBorder="1" applyAlignment="1">
      <alignment horizontal="center"/>
    </xf>
    <xf numFmtId="4" fontId="43" fillId="27" borderId="3" xfId="0" applyNumberFormat="1" applyFont="1" applyFill="1" applyBorder="1" applyAlignment="1">
      <alignment horizontal="center"/>
    </xf>
    <xf numFmtId="169" fontId="4" fillId="27" borderId="3" xfId="3" applyNumberFormat="1" applyFont="1" applyFill="1" applyBorder="1" applyAlignment="1">
      <alignment horizontal="center"/>
    </xf>
    <xf numFmtId="165" fontId="38" fillId="27" borderId="3" xfId="3" applyFont="1" applyFill="1" applyBorder="1" applyAlignment="1">
      <alignment horizontal="center"/>
    </xf>
    <xf numFmtId="0" fontId="2" fillId="43" borderId="0" xfId="0" applyFont="1" applyFill="1"/>
    <xf numFmtId="0" fontId="34" fillId="43" borderId="0" xfId="0" applyFont="1" applyFill="1"/>
    <xf numFmtId="169" fontId="34" fillId="43" borderId="0" xfId="3" applyNumberFormat="1" applyFont="1" applyFill="1"/>
    <xf numFmtId="0" fontId="81" fillId="43" borderId="0" xfId="0" applyFont="1" applyFill="1" applyAlignment="1">
      <alignment horizontal="center"/>
    </xf>
    <xf numFmtId="165" fontId="34" fillId="43" borderId="0" xfId="3" applyFont="1" applyFill="1"/>
    <xf numFmtId="165" fontId="4" fillId="27" borderId="15" xfId="3" applyFont="1" applyFill="1" applyBorder="1" applyAlignment="1">
      <alignment horizontal="center"/>
    </xf>
    <xf numFmtId="165" fontId="4" fillId="27" borderId="1" xfId="3" applyFont="1" applyFill="1" applyBorder="1" applyAlignment="1">
      <alignment horizontal="center"/>
    </xf>
    <xf numFmtId="165" fontId="4" fillId="27" borderId="2" xfId="3" applyFont="1" applyFill="1" applyBorder="1" applyAlignment="1">
      <alignment horizontal="center"/>
    </xf>
    <xf numFmtId="165" fontId="4" fillId="27" borderId="3" xfId="3" applyFont="1" applyFill="1" applyBorder="1" applyAlignment="1">
      <alignment horizontal="center"/>
    </xf>
    <xf numFmtId="3" fontId="38" fillId="3" borderId="13" xfId="0" applyNumberFormat="1" applyFont="1" applyFill="1" applyBorder="1" applyAlignment="1">
      <alignment vertical="center"/>
    </xf>
    <xf numFmtId="0" fontId="80" fillId="4" borderId="3" xfId="0" applyFont="1" applyFill="1" applyBorder="1" applyAlignment="1">
      <alignment horizontal="center" vertical="center"/>
    </xf>
    <xf numFmtId="0" fontId="0" fillId="32" borderId="13" xfId="0" applyFill="1" applyBorder="1"/>
    <xf numFmtId="0" fontId="4" fillId="27" borderId="1" xfId="0" applyFont="1" applyFill="1" applyBorder="1"/>
    <xf numFmtId="0" fontId="4" fillId="27" borderId="2" xfId="0" applyFont="1" applyFill="1" applyBorder="1"/>
    <xf numFmtId="169" fontId="21" fillId="27" borderId="52" xfId="3" applyNumberFormat="1" applyFont="1" applyFill="1" applyBorder="1" applyAlignment="1">
      <alignment horizontal="center"/>
    </xf>
    <xf numFmtId="0" fontId="4" fillId="27" borderId="13" xfId="0" applyFont="1" applyFill="1" applyBorder="1"/>
    <xf numFmtId="165" fontId="21" fillId="0" borderId="0" xfId="3" applyFont="1" applyAlignment="1">
      <alignment horizontal="center"/>
    </xf>
    <xf numFmtId="0" fontId="74" fillId="27" borderId="0" xfId="0" quotePrefix="1" applyFont="1" applyFill="1" applyAlignment="1">
      <alignment horizontal="left" vertical="top" wrapText="1"/>
    </xf>
    <xf numFmtId="0" fontId="31" fillId="27" borderId="0" xfId="0" applyFont="1" applyFill="1" applyAlignment="1">
      <alignment horizontal="left" vertical="top" wrapText="1"/>
    </xf>
    <xf numFmtId="0" fontId="65" fillId="27" borderId="0" xfId="0" quotePrefix="1" applyFont="1" applyFill="1" applyAlignment="1">
      <alignment horizontal="left" vertical="top" wrapText="1"/>
    </xf>
    <xf numFmtId="169" fontId="4" fillId="32" borderId="13" xfId="3" applyNumberFormat="1" applyFont="1" applyFill="1" applyBorder="1" applyAlignment="1">
      <alignment horizontal="center"/>
    </xf>
    <xf numFmtId="165" fontId="38" fillId="32" borderId="13" xfId="3" applyFont="1" applyFill="1" applyBorder="1" applyAlignment="1">
      <alignment horizontal="center"/>
    </xf>
    <xf numFmtId="165" fontId="4" fillId="41" borderId="15" xfId="3" applyFont="1" applyFill="1" applyBorder="1" applyAlignment="1">
      <alignment horizontal="center"/>
    </xf>
    <xf numFmtId="165" fontId="38" fillId="41" borderId="2" xfId="3" applyFont="1" applyFill="1" applyBorder="1" applyAlignment="1">
      <alignment horizontal="center"/>
    </xf>
    <xf numFmtId="1" fontId="4" fillId="27" borderId="17" xfId="0" applyNumberFormat="1" applyFont="1" applyFill="1" applyBorder="1" applyAlignment="1">
      <alignment horizontal="center"/>
    </xf>
    <xf numFmtId="169" fontId="4" fillId="0" borderId="17" xfId="3" applyNumberFormat="1" applyFont="1" applyFill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4" fillId="27" borderId="3" xfId="0" applyFont="1" applyFill="1" applyBorder="1"/>
    <xf numFmtId="165" fontId="95" fillId="27" borderId="0" xfId="3" applyFont="1" applyFill="1" applyAlignment="1">
      <alignment horizontal="center"/>
    </xf>
    <xf numFmtId="165" fontId="95" fillId="0" borderId="0" xfId="3" applyFont="1" applyAlignment="1">
      <alignment horizontal="center"/>
    </xf>
    <xf numFmtId="169" fontId="4" fillId="0" borderId="2" xfId="3" applyNumberFormat="1" applyFont="1" applyFill="1" applyBorder="1" applyAlignment="1">
      <alignment horizontal="center"/>
    </xf>
    <xf numFmtId="169" fontId="32" fillId="0" borderId="15" xfId="3" applyNumberFormat="1" applyFont="1" applyFill="1" applyBorder="1" applyAlignment="1">
      <alignment horizontal="center"/>
    </xf>
    <xf numFmtId="169" fontId="16" fillId="0" borderId="15" xfId="3" applyNumberFormat="1" applyFont="1" applyFill="1" applyBorder="1" applyAlignment="1">
      <alignment horizontal="center"/>
    </xf>
    <xf numFmtId="165" fontId="16" fillId="0" borderId="15" xfId="3" applyFont="1" applyFill="1" applyBorder="1" applyAlignment="1">
      <alignment horizontal="center"/>
    </xf>
    <xf numFmtId="169" fontId="4" fillId="0" borderId="13" xfId="3" applyNumberFormat="1" applyFont="1" applyFill="1" applyBorder="1" applyAlignment="1">
      <alignment horizontal="center"/>
    </xf>
    <xf numFmtId="165" fontId="4" fillId="0" borderId="13" xfId="3" applyFont="1" applyFill="1" applyBorder="1" applyAlignment="1">
      <alignment horizontal="center"/>
    </xf>
    <xf numFmtId="165" fontId="38" fillId="0" borderId="13" xfId="3" applyFont="1" applyFill="1" applyBorder="1" applyAlignment="1">
      <alignment horizontal="center"/>
    </xf>
    <xf numFmtId="169" fontId="22" fillId="0" borderId="15" xfId="3" applyNumberFormat="1" applyFont="1" applyFill="1" applyBorder="1" applyAlignment="1">
      <alignment horizontal="center"/>
    </xf>
    <xf numFmtId="169" fontId="32" fillId="0" borderId="17" xfId="3" applyNumberFormat="1" applyFont="1" applyFill="1" applyBorder="1" applyAlignment="1">
      <alignment horizontal="center"/>
    </xf>
    <xf numFmtId="169" fontId="22" fillId="0" borderId="17" xfId="3" applyNumberFormat="1" applyFont="1" applyFill="1" applyBorder="1" applyAlignment="1">
      <alignment horizontal="center"/>
    </xf>
    <xf numFmtId="1" fontId="4" fillId="27" borderId="1" xfId="0" applyNumberFormat="1" applyFont="1" applyFill="1" applyBorder="1" applyAlignment="1">
      <alignment horizontal="center"/>
    </xf>
    <xf numFmtId="1" fontId="4" fillId="27" borderId="2" xfId="0" applyNumberFormat="1" applyFont="1" applyFill="1" applyBorder="1" applyAlignment="1">
      <alignment horizontal="center"/>
    </xf>
    <xf numFmtId="165" fontId="43" fillId="0" borderId="1" xfId="3" applyFont="1" applyFill="1" applyBorder="1" applyAlignment="1">
      <alignment vertical="center"/>
    </xf>
    <xf numFmtId="165" fontId="43" fillId="0" borderId="2" xfId="3" applyFont="1" applyFill="1" applyBorder="1" applyAlignment="1">
      <alignment vertical="center"/>
    </xf>
    <xf numFmtId="3" fontId="4" fillId="0" borderId="3" xfId="0" applyNumberFormat="1" applyFont="1" applyBorder="1" applyAlignment="1">
      <alignment horizontal="center"/>
    </xf>
    <xf numFmtId="165" fontId="43" fillId="0" borderId="3" xfId="3" applyFont="1" applyFill="1" applyBorder="1" applyAlignment="1">
      <alignment vertical="center"/>
    </xf>
    <xf numFmtId="3" fontId="0" fillId="0" borderId="67" xfId="0" applyNumberFormat="1" applyBorder="1"/>
    <xf numFmtId="3" fontId="0" fillId="0" borderId="14" xfId="0" applyNumberFormat="1" applyBorder="1"/>
    <xf numFmtId="169" fontId="38" fillId="27" borderId="1" xfId="3" applyNumberFormat="1" applyFont="1" applyFill="1" applyBorder="1" applyAlignment="1">
      <alignment horizontal="center"/>
    </xf>
    <xf numFmtId="169" fontId="38" fillId="27" borderId="2" xfId="3" applyNumberFormat="1" applyFont="1" applyFill="1" applyBorder="1" applyAlignment="1">
      <alignment horizontal="center"/>
    </xf>
    <xf numFmtId="169" fontId="42" fillId="3" borderId="2" xfId="3" applyNumberFormat="1" applyFont="1" applyFill="1" applyBorder="1" applyAlignment="1">
      <alignment horizontal="center"/>
    </xf>
    <xf numFmtId="169" fontId="38" fillId="0" borderId="2" xfId="3" applyNumberFormat="1" applyFont="1" applyFill="1" applyBorder="1" applyAlignment="1">
      <alignment horizontal="center"/>
    </xf>
    <xf numFmtId="169" fontId="77" fillId="4" borderId="3" xfId="3" applyNumberFormat="1" applyFont="1" applyFill="1" applyBorder="1" applyAlignment="1">
      <alignment horizontal="center" vertical="center" wrapText="1"/>
    </xf>
    <xf numFmtId="169" fontId="38" fillId="27" borderId="13" xfId="3" applyNumberFormat="1" applyFont="1" applyFill="1" applyBorder="1" applyAlignment="1">
      <alignment horizontal="center"/>
    </xf>
    <xf numFmtId="169" fontId="38" fillId="27" borderId="3" xfId="3" applyNumberFormat="1" applyFont="1" applyFill="1" applyBorder="1" applyAlignment="1">
      <alignment horizontal="center"/>
    </xf>
    <xf numFmtId="165" fontId="58" fillId="37" borderId="3" xfId="3" applyFont="1" applyFill="1" applyBorder="1" applyAlignment="1">
      <alignment horizontal="left"/>
    </xf>
    <xf numFmtId="165" fontId="58" fillId="36" borderId="2" xfId="3" applyFont="1" applyFill="1" applyBorder="1" applyAlignment="1">
      <alignment horizontal="left"/>
    </xf>
    <xf numFmtId="165" fontId="58" fillId="37" borderId="2" xfId="3" applyFont="1" applyFill="1" applyBorder="1" applyAlignment="1">
      <alignment horizontal="left"/>
    </xf>
    <xf numFmtId="165" fontId="60" fillId="38" borderId="13" xfId="3" applyFont="1" applyFill="1" applyBorder="1" applyAlignment="1">
      <alignment horizontal="left"/>
    </xf>
    <xf numFmtId="3" fontId="12" fillId="8" borderId="8" xfId="66" applyNumberFormat="1" applyFont="1" applyFill="1" applyBorder="1"/>
    <xf numFmtId="3" fontId="12" fillId="8" borderId="31" xfId="0" applyNumberFormat="1" applyFont="1" applyFill="1" applyBorder="1"/>
    <xf numFmtId="165" fontId="0" fillId="0" borderId="29" xfId="3" applyFont="1" applyBorder="1"/>
    <xf numFmtId="0" fontId="17" fillId="0" borderId="7" xfId="0" applyFont="1" applyBorder="1"/>
    <xf numFmtId="0" fontId="17" fillId="0" borderId="9" xfId="0" applyFont="1" applyBorder="1"/>
    <xf numFmtId="0" fontId="17" fillId="0" borderId="11" xfId="0" applyFont="1" applyBorder="1"/>
    <xf numFmtId="0" fontId="11" fillId="82" borderId="10" xfId="0" applyFont="1" applyFill="1" applyBorder="1"/>
    <xf numFmtId="0" fontId="20" fillId="14" borderId="32" xfId="0" applyFont="1" applyFill="1" applyBorder="1"/>
    <xf numFmtId="4" fontId="12" fillId="82" borderId="8" xfId="3" applyNumberFormat="1" applyFont="1" applyFill="1" applyBorder="1"/>
    <xf numFmtId="4" fontId="20" fillId="14" borderId="8" xfId="3" applyNumberFormat="1" applyFont="1" applyFill="1" applyBorder="1"/>
    <xf numFmtId="4" fontId="12" fillId="3" borderId="8" xfId="3" applyNumberFormat="1" applyFont="1" applyFill="1" applyBorder="1"/>
    <xf numFmtId="4" fontId="11" fillId="0" borderId="8" xfId="3" applyNumberFormat="1" applyFont="1" applyFill="1" applyBorder="1"/>
    <xf numFmtId="169" fontId="11" fillId="0" borderId="0" xfId="3" applyNumberFormat="1" applyFont="1" applyFill="1" applyBorder="1"/>
    <xf numFmtId="169" fontId="0" fillId="0" borderId="0" xfId="3" applyNumberFormat="1" applyFont="1" applyFill="1"/>
    <xf numFmtId="3" fontId="11" fillId="0" borderId="0" xfId="0" applyNumberFormat="1" applyFont="1"/>
    <xf numFmtId="3" fontId="12" fillId="82" borderId="8" xfId="3" applyNumberFormat="1" applyFont="1" applyFill="1" applyBorder="1"/>
    <xf numFmtId="3" fontId="20" fillId="14" borderId="8" xfId="3" applyNumberFormat="1" applyFont="1" applyFill="1" applyBorder="1"/>
    <xf numFmtId="3" fontId="12" fillId="0" borderId="8" xfId="3" applyNumberFormat="1" applyFont="1" applyBorder="1"/>
    <xf numFmtId="3" fontId="12" fillId="3" borderId="8" xfId="3" applyNumberFormat="1" applyFont="1" applyFill="1" applyBorder="1"/>
    <xf numFmtId="3" fontId="11" fillId="0" borderId="8" xfId="3" applyNumberFormat="1" applyFont="1" applyFill="1" applyBorder="1"/>
    <xf numFmtId="0" fontId="11" fillId="14" borderId="10" xfId="0" applyFont="1" applyFill="1" applyBorder="1"/>
    <xf numFmtId="0" fontId="14" fillId="0" borderId="68" xfId="0" applyFont="1" applyBorder="1" applyAlignment="1">
      <alignment horizontal="right"/>
    </xf>
    <xf numFmtId="3" fontId="20" fillId="83" borderId="8" xfId="3" applyNumberFormat="1" applyFont="1" applyFill="1" applyBorder="1"/>
    <xf numFmtId="0" fontId="53" fillId="0" borderId="0" xfId="0" applyFont="1"/>
    <xf numFmtId="0" fontId="20" fillId="0" borderId="0" xfId="0" applyFont="1"/>
    <xf numFmtId="3" fontId="20" fillId="0" borderId="0" xfId="3" applyNumberFormat="1" applyFont="1" applyFill="1" applyBorder="1"/>
    <xf numFmtId="1" fontId="0" fillId="0" borderId="0" xfId="3" applyNumberFormat="1" applyFont="1"/>
    <xf numFmtId="0" fontId="0" fillId="85" borderId="0" xfId="0" applyFill="1"/>
    <xf numFmtId="169" fontId="0" fillId="85" borderId="0" xfId="0" applyNumberFormat="1" applyFill="1"/>
    <xf numFmtId="165" fontId="0" fillId="85" borderId="0" xfId="0" applyNumberFormat="1" applyFill="1"/>
    <xf numFmtId="169" fontId="0" fillId="85" borderId="0" xfId="3" applyNumberFormat="1" applyFont="1" applyFill="1"/>
    <xf numFmtId="0" fontId="11" fillId="85" borderId="0" xfId="0" applyFont="1" applyFill="1"/>
    <xf numFmtId="169" fontId="11" fillId="85" borderId="0" xfId="3" applyNumberFormat="1" applyFont="1" applyFill="1" applyBorder="1"/>
    <xf numFmtId="3" fontId="11" fillId="85" borderId="0" xfId="0" applyNumberFormat="1" applyFont="1" applyFill="1"/>
    <xf numFmtId="4" fontId="0" fillId="85" borderId="0" xfId="0" applyNumberFormat="1" applyFill="1"/>
    <xf numFmtId="2" fontId="0" fillId="85" borderId="0" xfId="0" applyNumberFormat="1" applyFill="1"/>
    <xf numFmtId="171" fontId="0" fillId="85" borderId="0" xfId="0" applyNumberFormat="1" applyFill="1"/>
    <xf numFmtId="3" fontId="0" fillId="85" borderId="0" xfId="0" applyNumberFormat="1" applyFill="1"/>
    <xf numFmtId="0" fontId="20" fillId="86" borderId="0" xfId="0" applyFont="1" applyFill="1"/>
    <xf numFmtId="3" fontId="20" fillId="86" borderId="0" xfId="3" applyNumberFormat="1" applyFont="1" applyFill="1" applyBorder="1"/>
    <xf numFmtId="169" fontId="0" fillId="86" borderId="0" xfId="3" applyNumberFormat="1" applyFont="1" applyFill="1"/>
    <xf numFmtId="0" fontId="0" fillId="86" borderId="0" xfId="0" applyFill="1"/>
    <xf numFmtId="0" fontId="0" fillId="0" borderId="69" xfId="0" applyBorder="1"/>
    <xf numFmtId="0" fontId="1" fillId="2" borderId="70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0" fillId="0" borderId="20" xfId="0" applyBorder="1"/>
    <xf numFmtId="169" fontId="0" fillId="0" borderId="0" xfId="3" applyNumberFormat="1" applyFont="1" applyBorder="1"/>
    <xf numFmtId="169" fontId="0" fillId="0" borderId="26" xfId="3" applyNumberFormat="1" applyFont="1" applyBorder="1"/>
    <xf numFmtId="169" fontId="0" fillId="0" borderId="26" xfId="3" applyNumberFormat="1" applyFont="1" applyFill="1" applyBorder="1"/>
    <xf numFmtId="0" fontId="0" fillId="15" borderId="20" xfId="0" applyFill="1" applyBorder="1"/>
    <xf numFmtId="169" fontId="0" fillId="15" borderId="0" xfId="3" applyNumberFormat="1" applyFont="1" applyFill="1" applyBorder="1"/>
    <xf numFmtId="169" fontId="0" fillId="15" borderId="26" xfId="3" applyNumberFormat="1" applyFont="1" applyFill="1" applyBorder="1"/>
    <xf numFmtId="0" fontId="25" fillId="84" borderId="20" xfId="0" applyFont="1" applyFill="1" applyBorder="1"/>
    <xf numFmtId="0" fontId="0" fillId="15" borderId="71" xfId="0" applyFill="1" applyBorder="1"/>
    <xf numFmtId="169" fontId="0" fillId="15" borderId="72" xfId="3" applyNumberFormat="1" applyFont="1" applyFill="1" applyBorder="1"/>
    <xf numFmtId="169" fontId="0" fillId="15" borderId="73" xfId="3" applyNumberFormat="1" applyFont="1" applyFill="1" applyBorder="1"/>
    <xf numFmtId="0" fontId="10" fillId="87" borderId="4" xfId="0" applyFont="1" applyFill="1" applyBorder="1"/>
    <xf numFmtId="3" fontId="30" fillId="88" borderId="28" xfId="0" applyNumberFormat="1" applyFont="1" applyFill="1" applyBorder="1"/>
    <xf numFmtId="3" fontId="45" fillId="2" borderId="28" xfId="0" applyNumberFormat="1" applyFont="1" applyFill="1" applyBorder="1"/>
    <xf numFmtId="3" fontId="30" fillId="23" borderId="28" xfId="0" applyNumberFormat="1" applyFont="1" applyFill="1" applyBorder="1"/>
    <xf numFmtId="4" fontId="26" fillId="0" borderId="0" xfId="0" applyNumberFormat="1" applyFont="1"/>
    <xf numFmtId="165" fontId="26" fillId="0" borderId="0" xfId="0" applyNumberFormat="1" applyFont="1"/>
    <xf numFmtId="3" fontId="97" fillId="0" borderId="0" xfId="3" applyNumberFormat="1" applyFont="1" applyFill="1" applyBorder="1"/>
    <xf numFmtId="169" fontId="18" fillId="27" borderId="17" xfId="3" applyNumberFormat="1" applyFont="1" applyFill="1" applyBorder="1" applyAlignment="1">
      <alignment horizontal="center" vertical="center"/>
    </xf>
    <xf numFmtId="169" fontId="21" fillId="27" borderId="52" xfId="3" applyNumberFormat="1" applyFont="1" applyFill="1" applyBorder="1" applyAlignment="1">
      <alignment horizontal="center" vertical="center"/>
    </xf>
    <xf numFmtId="169" fontId="21" fillId="27" borderId="13" xfId="3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65" fontId="38" fillId="0" borderId="18" xfId="3" applyFont="1" applyFill="1" applyBorder="1" applyAlignment="1">
      <alignment horizontal="center"/>
    </xf>
    <xf numFmtId="165" fontId="38" fillId="0" borderId="19" xfId="3" applyFont="1" applyFill="1" applyBorder="1" applyAlignment="1">
      <alignment horizontal="center"/>
    </xf>
    <xf numFmtId="169" fontId="4" fillId="0" borderId="3" xfId="3" applyNumberFormat="1" applyFont="1" applyFill="1" applyBorder="1" applyAlignment="1">
      <alignment horizontal="center"/>
    </xf>
    <xf numFmtId="169" fontId="31" fillId="0" borderId="13" xfId="0" applyNumberFormat="1" applyFont="1" applyBorder="1" applyAlignment="1">
      <alignment horizontal="center"/>
    </xf>
    <xf numFmtId="169" fontId="35" fillId="0" borderId="13" xfId="0" applyNumberFormat="1" applyFont="1" applyBorder="1" applyAlignment="1">
      <alignment horizontal="center"/>
    </xf>
    <xf numFmtId="3" fontId="2" fillId="0" borderId="0" xfId="0" applyNumberFormat="1" applyFont="1" applyAlignment="1">
      <alignment vertical="center" wrapText="1"/>
    </xf>
    <xf numFmtId="1" fontId="12" fillId="0" borderId="8" xfId="0" applyNumberFormat="1" applyFont="1" applyBorder="1"/>
    <xf numFmtId="0" fontId="52" fillId="0" borderId="37" xfId="0" applyFont="1" applyBorder="1"/>
    <xf numFmtId="3" fontId="12" fillId="45" borderId="8" xfId="0" applyNumberFormat="1" applyFont="1" applyFill="1" applyBorder="1"/>
    <xf numFmtId="3" fontId="7" fillId="89" borderId="0" xfId="0" applyNumberFormat="1" applyFont="1" applyFill="1"/>
    <xf numFmtId="3" fontId="12" fillId="45" borderId="8" xfId="3" applyNumberFormat="1" applyFont="1" applyFill="1" applyBorder="1"/>
    <xf numFmtId="169" fontId="12" fillId="0" borderId="8" xfId="3" applyNumberFormat="1" applyFont="1" applyBorder="1"/>
    <xf numFmtId="169" fontId="12" fillId="45" borderId="8" xfId="3" applyNumberFormat="1" applyFont="1" applyFill="1" applyBorder="1"/>
    <xf numFmtId="0" fontId="17" fillId="0" borderId="12" xfId="0" applyFont="1" applyBorder="1"/>
    <xf numFmtId="3" fontId="17" fillId="0" borderId="8" xfId="3" applyNumberFormat="1" applyFont="1" applyFill="1" applyBorder="1"/>
    <xf numFmtId="0" fontId="98" fillId="0" borderId="0" xfId="0" applyFont="1"/>
    <xf numFmtId="0" fontId="99" fillId="0" borderId="0" xfId="0" applyFont="1"/>
    <xf numFmtId="169" fontId="17" fillId="0" borderId="7" xfId="3" applyNumberFormat="1" applyFont="1" applyBorder="1"/>
    <xf numFmtId="169" fontId="17" fillId="0" borderId="9" xfId="3" applyNumberFormat="1" applyFont="1" applyBorder="1"/>
    <xf numFmtId="169" fontId="11" fillId="82" borderId="10" xfId="3" applyNumberFormat="1" applyFont="1" applyFill="1" applyBorder="1"/>
    <xf numFmtId="169" fontId="17" fillId="0" borderId="11" xfId="3" applyNumberFormat="1" applyFont="1" applyBorder="1"/>
    <xf numFmtId="169" fontId="20" fillId="14" borderId="32" xfId="3" applyNumberFormat="1" applyFont="1" applyFill="1" applyBorder="1"/>
    <xf numFmtId="169" fontId="11" fillId="0" borderId="31" xfId="3" applyNumberFormat="1" applyFont="1" applyBorder="1"/>
    <xf numFmtId="169" fontId="11" fillId="0" borderId="0" xfId="3" applyNumberFormat="1" applyFont="1"/>
    <xf numFmtId="169" fontId="11" fillId="0" borderId="12" xfId="3" applyNumberFormat="1" applyFont="1" applyBorder="1"/>
    <xf numFmtId="169" fontId="11" fillId="7" borderId="11" xfId="3" applyNumberFormat="1" applyFont="1" applyFill="1" applyBorder="1"/>
    <xf numFmtId="169" fontId="12" fillId="49" borderId="8" xfId="3" applyNumberFormat="1" applyFont="1" applyFill="1" applyBorder="1"/>
    <xf numFmtId="169" fontId="12" fillId="3" borderId="8" xfId="3" applyNumberFormat="1" applyFont="1" applyFill="1" applyBorder="1"/>
    <xf numFmtId="169" fontId="11" fillId="7" borderId="0" xfId="3" applyNumberFormat="1" applyFont="1" applyFill="1"/>
    <xf numFmtId="169" fontId="12" fillId="50" borderId="8" xfId="3" applyNumberFormat="1" applyFont="1" applyFill="1" applyBorder="1"/>
    <xf numFmtId="169" fontId="12" fillId="8" borderId="8" xfId="3" applyNumberFormat="1" applyFont="1" applyFill="1" applyBorder="1"/>
    <xf numFmtId="169" fontId="12" fillId="10" borderId="8" xfId="3" applyNumberFormat="1" applyFont="1" applyFill="1" applyBorder="1"/>
    <xf numFmtId="169" fontId="11" fillId="12" borderId="8" xfId="3" applyNumberFormat="1" applyFont="1" applyFill="1" applyBorder="1"/>
    <xf numFmtId="0" fontId="56" fillId="33" borderId="39" xfId="0" applyFont="1" applyFill="1" applyBorder="1" applyAlignment="1">
      <alignment horizontal="center" vertical="center"/>
    </xf>
    <xf numFmtId="0" fontId="56" fillId="33" borderId="40" xfId="0" applyFont="1" applyFill="1" applyBorder="1" applyAlignment="1">
      <alignment horizontal="center" vertical="center"/>
    </xf>
    <xf numFmtId="169" fontId="100" fillId="33" borderId="0" xfId="3" applyNumberFormat="1" applyFont="1" applyFill="1"/>
    <xf numFmtId="169" fontId="101" fillId="33" borderId="0" xfId="3" applyNumberFormat="1" applyFont="1" applyFill="1"/>
    <xf numFmtId="169" fontId="101" fillId="0" borderId="0" xfId="3" applyNumberFormat="1" applyFont="1"/>
    <xf numFmtId="169" fontId="102" fillId="0" borderId="0" xfId="3" applyNumberFormat="1" applyFont="1"/>
    <xf numFmtId="169" fontId="54" fillId="6" borderId="5" xfId="3" applyNumberFormat="1" applyFont="1" applyFill="1" applyBorder="1" applyAlignment="1">
      <alignment horizontal="center" vertical="center"/>
    </xf>
    <xf numFmtId="169" fontId="101" fillId="0" borderId="0" xfId="3" applyNumberFormat="1" applyFont="1" applyAlignment="1">
      <alignment horizontal="center" vertical="center"/>
    </xf>
    <xf numFmtId="169" fontId="100" fillId="33" borderId="39" xfId="3" applyNumberFormat="1" applyFont="1" applyFill="1" applyBorder="1"/>
    <xf numFmtId="169" fontId="100" fillId="33" borderId="40" xfId="3" applyNumberFormat="1" applyFont="1" applyFill="1" applyBorder="1"/>
    <xf numFmtId="169" fontId="103" fillId="2" borderId="0" xfId="3" applyNumberFormat="1" applyFont="1" applyFill="1"/>
    <xf numFmtId="169" fontId="103" fillId="2" borderId="0" xfId="3" applyNumberFormat="1" applyFont="1" applyFill="1" applyAlignment="1">
      <alignment horizontal="center"/>
    </xf>
    <xf numFmtId="169" fontId="104" fillId="2" borderId="0" xfId="3" applyNumberFormat="1" applyFont="1" applyFill="1"/>
    <xf numFmtId="169" fontId="101" fillId="15" borderId="0" xfId="3" applyNumberFormat="1" applyFont="1" applyFill="1"/>
    <xf numFmtId="169" fontId="105" fillId="0" borderId="0" xfId="3" applyNumberFormat="1" applyFont="1" applyAlignment="1">
      <alignment horizontal="center"/>
    </xf>
    <xf numFmtId="169" fontId="101" fillId="0" borderId="13" xfId="3" applyNumberFormat="1" applyFont="1" applyBorder="1"/>
    <xf numFmtId="169" fontId="54" fillId="6" borderId="5" xfId="3" applyNumberFormat="1" applyFont="1" applyFill="1" applyBorder="1" applyAlignment="1">
      <alignment horizontal="right"/>
    </xf>
    <xf numFmtId="169" fontId="103" fillId="19" borderId="0" xfId="3" applyNumberFormat="1" applyFont="1" applyFill="1"/>
    <xf numFmtId="169" fontId="103" fillId="19" borderId="0" xfId="3" applyNumberFormat="1" applyFont="1" applyFill="1" applyAlignment="1">
      <alignment horizontal="center"/>
    </xf>
    <xf numFmtId="169" fontId="106" fillId="0" borderId="0" xfId="3" applyNumberFormat="1" applyFont="1"/>
    <xf numFmtId="169" fontId="101" fillId="0" borderId="0" xfId="3" applyNumberFormat="1" applyFont="1" applyAlignment="1">
      <alignment horizontal="right"/>
    </xf>
    <xf numFmtId="169" fontId="101" fillId="0" borderId="0" xfId="3" applyNumberFormat="1" applyFont="1" applyAlignment="1">
      <alignment horizontal="center"/>
    </xf>
    <xf numFmtId="169" fontId="100" fillId="0" borderId="13" xfId="3" applyNumberFormat="1" applyFont="1" applyBorder="1"/>
    <xf numFmtId="169" fontId="101" fillId="24" borderId="0" xfId="3" applyNumberFormat="1" applyFont="1" applyFill="1"/>
    <xf numFmtId="169" fontId="101" fillId="46" borderId="54" xfId="3" applyNumberFormat="1" applyFont="1" applyFill="1" applyBorder="1"/>
    <xf numFmtId="169" fontId="101" fillId="46" borderId="36" xfId="3" applyNumberFormat="1" applyFont="1" applyFill="1" applyBorder="1"/>
    <xf numFmtId="169" fontId="101" fillId="46" borderId="29" xfId="3" applyNumberFormat="1" applyFont="1" applyFill="1" applyBorder="1"/>
    <xf numFmtId="169" fontId="101" fillId="46" borderId="55" xfId="3" applyNumberFormat="1" applyFont="1" applyFill="1" applyBorder="1"/>
    <xf numFmtId="169" fontId="101" fillId="41" borderId="27" xfId="3" applyNumberFormat="1" applyFont="1" applyFill="1" applyBorder="1"/>
    <xf numFmtId="169" fontId="101" fillId="41" borderId="29" xfId="3" applyNumberFormat="1" applyFont="1" applyFill="1" applyBorder="1"/>
    <xf numFmtId="169" fontId="101" fillId="46" borderId="56" xfId="3" applyNumberFormat="1" applyFont="1" applyFill="1" applyBorder="1"/>
    <xf numFmtId="169" fontId="101" fillId="46" borderId="57" xfId="3" applyNumberFormat="1" applyFont="1" applyFill="1" applyBorder="1"/>
    <xf numFmtId="0" fontId="17" fillId="0" borderId="7" xfId="3" applyNumberFormat="1" applyFont="1" applyBorder="1"/>
    <xf numFmtId="0" fontId="6" fillId="4" borderId="0" xfId="0" applyFont="1" applyFill="1" applyAlignment="1">
      <alignment horizontal="center" vertical="center" wrapText="1"/>
    </xf>
    <xf numFmtId="0" fontId="0" fillId="90" borderId="0" xfId="0" applyFill="1"/>
    <xf numFmtId="165" fontId="34" fillId="0" borderId="0" xfId="3" applyFont="1" applyAlignment="1">
      <alignment horizontal="center" vertical="center"/>
    </xf>
    <xf numFmtId="0" fontId="38" fillId="0" borderId="2" xfId="3" applyNumberFormat="1" applyFont="1" applyFill="1" applyBorder="1" applyAlignment="1">
      <alignment horizontal="center"/>
    </xf>
    <xf numFmtId="3" fontId="5" fillId="3" borderId="2" xfId="0" applyNumberFormat="1" applyFont="1" applyFill="1" applyBorder="1" applyAlignment="1">
      <alignment horizontal="center" vertical="center"/>
    </xf>
    <xf numFmtId="0" fontId="107" fillId="0" borderId="0" xfId="0" applyFont="1"/>
    <xf numFmtId="0" fontId="108" fillId="0" borderId="0" xfId="0" applyFont="1"/>
    <xf numFmtId="0" fontId="109" fillId="14" borderId="0" xfId="0" applyFont="1" applyFill="1" applyAlignment="1">
      <alignment horizontal="center"/>
    </xf>
    <xf numFmtId="0" fontId="110" fillId="91" borderId="0" xfId="0" applyFont="1" applyFill="1" applyAlignment="1">
      <alignment horizontal="center"/>
    </xf>
    <xf numFmtId="0" fontId="111" fillId="7" borderId="7" xfId="0" applyFont="1" applyFill="1" applyBorder="1"/>
    <xf numFmtId="3" fontId="108" fillId="0" borderId="29" xfId="0" applyNumberFormat="1" applyFont="1" applyBorder="1"/>
    <xf numFmtId="3" fontId="107" fillId="0" borderId="29" xfId="0" applyNumberFormat="1" applyFont="1" applyBorder="1"/>
    <xf numFmtId="3" fontId="108" fillId="0" borderId="0" xfId="0" applyNumberFormat="1" applyFont="1"/>
    <xf numFmtId="0" fontId="111" fillId="10" borderId="10" xfId="0" applyFont="1" applyFill="1" applyBorder="1"/>
    <xf numFmtId="3" fontId="108" fillId="91" borderId="0" xfId="0" applyNumberFormat="1" applyFont="1" applyFill="1"/>
    <xf numFmtId="3" fontId="107" fillId="91" borderId="0" xfId="0" applyNumberFormat="1" applyFont="1" applyFill="1"/>
    <xf numFmtId="0" fontId="110" fillId="0" borderId="0" xfId="0" applyFont="1"/>
    <xf numFmtId="3" fontId="107" fillId="0" borderId="0" xfId="0" applyNumberFormat="1" applyFont="1"/>
    <xf numFmtId="0" fontId="111" fillId="9" borderId="10" xfId="0" applyFont="1" applyFill="1" applyBorder="1"/>
    <xf numFmtId="3" fontId="108" fillId="10" borderId="0" xfId="0" applyNumberFormat="1" applyFont="1" applyFill="1"/>
    <xf numFmtId="3" fontId="107" fillId="10" borderId="0" xfId="0" applyNumberFormat="1" applyFont="1" applyFill="1"/>
    <xf numFmtId="0" fontId="109" fillId="0" borderId="0" xfId="0" applyFont="1"/>
    <xf numFmtId="3" fontId="4" fillId="27" borderId="1" xfId="0" applyNumberFormat="1" applyFont="1" applyFill="1" applyBorder="1"/>
    <xf numFmtId="3" fontId="112" fillId="27" borderId="1" xfId="0" applyNumberFormat="1" applyFont="1" applyFill="1" applyBorder="1"/>
    <xf numFmtId="3" fontId="4" fillId="27" borderId="2" xfId="0" applyNumberFormat="1" applyFont="1" applyFill="1" applyBorder="1"/>
    <xf numFmtId="3" fontId="112" fillId="27" borderId="2" xfId="0" applyNumberFormat="1" applyFont="1" applyFill="1" applyBorder="1"/>
    <xf numFmtId="3" fontId="5" fillId="3" borderId="2" xfId="0" applyNumberFormat="1" applyFont="1" applyFill="1" applyBorder="1"/>
    <xf numFmtId="3" fontId="34" fillId="0" borderId="0" xfId="0" applyNumberFormat="1" applyFont="1"/>
    <xf numFmtId="3" fontId="4" fillId="27" borderId="3" xfId="0" applyNumberFormat="1" applyFont="1" applyFill="1" applyBorder="1"/>
    <xf numFmtId="3" fontId="112" fillId="27" borderId="3" xfId="0" applyNumberFormat="1" applyFont="1" applyFill="1" applyBorder="1"/>
    <xf numFmtId="3" fontId="4" fillId="0" borderId="1" xfId="0" applyNumberFormat="1" applyFont="1" applyBorder="1"/>
    <xf numFmtId="3" fontId="112" fillId="0" borderId="1" xfId="0" applyNumberFormat="1" applyFont="1" applyBorder="1"/>
    <xf numFmtId="0" fontId="111" fillId="14" borderId="0" xfId="0" applyFont="1" applyFill="1"/>
    <xf numFmtId="3" fontId="111" fillId="14" borderId="0" xfId="0" applyNumberFormat="1" applyFont="1" applyFill="1"/>
    <xf numFmtId="0" fontId="109" fillId="14" borderId="23" xfId="0" applyFont="1" applyFill="1" applyBorder="1" applyAlignment="1">
      <alignment horizontal="left"/>
    </xf>
    <xf numFmtId="3" fontId="109" fillId="14" borderId="23" xfId="0" applyNumberFormat="1" applyFont="1" applyFill="1" applyBorder="1" applyAlignment="1">
      <alignment horizontal="left"/>
    </xf>
    <xf numFmtId="0" fontId="109" fillId="0" borderId="0" xfId="0" applyFont="1" applyAlignment="1">
      <alignment horizontal="left"/>
    </xf>
    <xf numFmtId="0" fontId="111" fillId="0" borderId="0" xfId="0" applyFont="1"/>
    <xf numFmtId="0" fontId="108" fillId="0" borderId="0" xfId="0" applyFont="1" applyAlignment="1">
      <alignment horizontal="center"/>
    </xf>
    <xf numFmtId="0" fontId="114" fillId="0" borderId="0" xfId="0" applyFont="1" applyAlignment="1">
      <alignment horizontal="center"/>
    </xf>
    <xf numFmtId="0" fontId="113" fillId="0" borderId="0" xfId="0" applyFont="1" applyAlignment="1">
      <alignment horizontal="center"/>
    </xf>
    <xf numFmtId="0" fontId="114" fillId="0" borderId="0" xfId="0" applyFont="1"/>
    <xf numFmtId="0" fontId="116" fillId="14" borderId="0" xfId="0" applyFont="1" applyFill="1" applyAlignment="1">
      <alignment horizontal="center"/>
    </xf>
    <xf numFmtId="0" fontId="4" fillId="27" borderId="0" xfId="0" applyFont="1" applyFill="1"/>
    <xf numFmtId="1" fontId="7" fillId="89" borderId="0" xfId="0" applyNumberFormat="1" applyFont="1" applyFill="1"/>
    <xf numFmtId="3" fontId="6" fillId="4" borderId="0" xfId="0" applyNumberFormat="1" applyFont="1" applyFill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3" fontId="112" fillId="0" borderId="2" xfId="0" applyNumberFormat="1" applyFont="1" applyBorder="1"/>
    <xf numFmtId="0" fontId="2" fillId="32" borderId="0" xfId="0" applyFont="1" applyFill="1"/>
    <xf numFmtId="43" fontId="48" fillId="0" borderId="13" xfId="0" applyNumberFormat="1" applyFont="1" applyBorder="1"/>
    <xf numFmtId="165" fontId="31" fillId="0" borderId="13" xfId="0" applyNumberFormat="1" applyFont="1" applyBorder="1" applyAlignment="1">
      <alignment horizontal="center"/>
    </xf>
    <xf numFmtId="0" fontId="7" fillId="32" borderId="0" xfId="0" applyFont="1" applyFill="1"/>
    <xf numFmtId="0" fontId="117" fillId="0" borderId="0" xfId="0" applyFont="1" applyAlignment="1">
      <alignment horizontal="center" vertical="center"/>
    </xf>
    <xf numFmtId="0" fontId="58" fillId="0" borderId="13" xfId="0" applyFont="1" applyBorder="1"/>
    <xf numFmtId="3" fontId="58" fillId="0" borderId="13" xfId="0" applyNumberFormat="1" applyFont="1" applyBorder="1"/>
    <xf numFmtId="3" fontId="60" fillId="0" borderId="13" xfId="0" applyNumberFormat="1" applyFont="1" applyBorder="1"/>
    <xf numFmtId="0" fontId="7" fillId="0" borderId="13" xfId="0" applyFont="1" applyBorder="1"/>
    <xf numFmtId="3" fontId="7" fillId="0" borderId="13" xfId="0" applyNumberFormat="1" applyFont="1" applyBorder="1"/>
    <xf numFmtId="0" fontId="2" fillId="92" borderId="0" xfId="0" applyFont="1" applyFill="1"/>
    <xf numFmtId="3" fontId="118" fillId="92" borderId="0" xfId="0" applyNumberFormat="1" applyFont="1" applyFill="1" applyAlignment="1">
      <alignment horizontal="right" vertical="center"/>
    </xf>
    <xf numFmtId="3" fontId="119" fillId="0" borderId="13" xfId="55" applyNumberFormat="1" applyFont="1" applyBorder="1" applyAlignment="1">
      <alignment horizontal="left"/>
    </xf>
    <xf numFmtId="3" fontId="120" fillId="0" borderId="13" xfId="0" applyNumberFormat="1" applyFont="1" applyBorder="1"/>
    <xf numFmtId="3" fontId="121" fillId="0" borderId="13" xfId="0" applyNumberFormat="1" applyFont="1" applyBorder="1"/>
    <xf numFmtId="0" fontId="101" fillId="0" borderId="0" xfId="0" applyFont="1"/>
    <xf numFmtId="0" fontId="100" fillId="0" borderId="0" xfId="0" applyFont="1"/>
    <xf numFmtId="182" fontId="101" fillId="0" borderId="0" xfId="3" applyNumberFormat="1" applyFont="1"/>
    <xf numFmtId="183" fontId="101" fillId="0" borderId="0" xfId="0" applyNumberFormat="1" applyFont="1"/>
    <xf numFmtId="169" fontId="100" fillId="0" borderId="0" xfId="3" applyNumberFormat="1" applyFont="1"/>
    <xf numFmtId="0" fontId="100" fillId="93" borderId="13" xfId="0" applyFont="1" applyFill="1" applyBorder="1" applyAlignment="1">
      <alignment horizontal="center" vertical="center"/>
    </xf>
    <xf numFmtId="37" fontId="115" fillId="5" borderId="13" xfId="0" applyNumberFormat="1" applyFont="1" applyFill="1" applyBorder="1" applyAlignment="1">
      <alignment horizontal="left"/>
    </xf>
    <xf numFmtId="37" fontId="115" fillId="5" borderId="13" xfId="0" applyNumberFormat="1" applyFont="1" applyFill="1" applyBorder="1" applyAlignment="1">
      <alignment horizontal="center"/>
    </xf>
    <xf numFmtId="0" fontId="115" fillId="5" borderId="13" xfId="0" applyFont="1" applyFill="1" applyBorder="1" applyAlignment="1">
      <alignment horizontal="center"/>
    </xf>
    <xf numFmtId="0" fontId="101" fillId="93" borderId="13" xfId="0" applyFont="1" applyFill="1" applyBorder="1"/>
    <xf numFmtId="0" fontId="12" fillId="94" borderId="13" xfId="0" applyFont="1" applyFill="1" applyBorder="1" applyAlignment="1">
      <alignment horizontal="left"/>
    </xf>
    <xf numFmtId="0" fontId="101" fillId="0" borderId="13" xfId="0" applyFont="1" applyBorder="1"/>
    <xf numFmtId="169" fontId="101" fillId="0" borderId="13" xfId="0" applyNumberFormat="1" applyFont="1" applyBorder="1"/>
    <xf numFmtId="169" fontId="100" fillId="93" borderId="13" xfId="0" applyNumberFormat="1" applyFont="1" applyFill="1" applyBorder="1"/>
    <xf numFmtId="169" fontId="100" fillId="20" borderId="0" xfId="3" applyNumberFormat="1" applyFont="1" applyFill="1"/>
    <xf numFmtId="169" fontId="100" fillId="32" borderId="0" xfId="3" applyNumberFormat="1" applyFont="1" applyFill="1"/>
    <xf numFmtId="0" fontId="101" fillId="20" borderId="0" xfId="0" applyFont="1" applyFill="1"/>
    <xf numFmtId="169" fontId="101" fillId="20" borderId="0" xfId="0" applyNumberFormat="1" applyFont="1" applyFill="1"/>
    <xf numFmtId="169" fontId="101" fillId="32" borderId="0" xfId="0" applyNumberFormat="1" applyFont="1" applyFill="1"/>
    <xf numFmtId="0" fontId="0" fillId="44" borderId="0" xfId="0" applyFill="1"/>
    <xf numFmtId="0" fontId="100" fillId="33" borderId="0" xfId="0" applyFont="1" applyFill="1"/>
    <xf numFmtId="3" fontId="12" fillId="0" borderId="8" xfId="3" applyNumberFormat="1" applyFont="1" applyFill="1" applyBorder="1"/>
    <xf numFmtId="165" fontId="100" fillId="33" borderId="0" xfId="3" applyFont="1" applyFill="1"/>
    <xf numFmtId="165" fontId="101" fillId="33" borderId="0" xfId="3" applyFont="1" applyFill="1"/>
    <xf numFmtId="0" fontId="32" fillId="44" borderId="0" xfId="0" applyFont="1" applyFill="1"/>
    <xf numFmtId="165" fontId="32" fillId="44" borderId="0" xfId="3" applyFont="1" applyFill="1"/>
    <xf numFmtId="165" fontId="32" fillId="44" borderId="0" xfId="0" applyNumberFormat="1" applyFont="1" applyFill="1"/>
    <xf numFmtId="165" fontId="23" fillId="44" borderId="0" xfId="0" applyNumberFormat="1" applyFont="1" applyFill="1"/>
    <xf numFmtId="0" fontId="2" fillId="44" borderId="0" xfId="0" applyFont="1" applyFill="1"/>
    <xf numFmtId="10" fontId="23" fillId="44" borderId="0" xfId="4" applyNumberFormat="1" applyFont="1" applyFill="1"/>
    <xf numFmtId="177" fontId="32" fillId="44" borderId="0" xfId="4" applyNumberFormat="1" applyFont="1" applyFill="1"/>
    <xf numFmtId="165" fontId="12" fillId="0" borderId="8" xfId="3" applyFont="1" applyBorder="1"/>
    <xf numFmtId="169" fontId="14" fillId="0" borderId="68" xfId="3" applyNumberFormat="1" applyFont="1" applyBorder="1" applyAlignment="1">
      <alignment horizontal="right"/>
    </xf>
    <xf numFmtId="169" fontId="53" fillId="0" borderId="0" xfId="3" applyNumberFormat="1" applyFont="1"/>
    <xf numFmtId="3" fontId="12" fillId="96" borderId="8" xfId="0" applyNumberFormat="1" applyFont="1" applyFill="1" applyBorder="1"/>
    <xf numFmtId="3" fontId="17" fillId="96" borderId="8" xfId="0" applyNumberFormat="1" applyFont="1" applyFill="1" applyBorder="1"/>
    <xf numFmtId="169" fontId="5" fillId="3" borderId="2" xfId="3" applyNumberFormat="1" applyFont="1" applyFill="1" applyBorder="1" applyAlignment="1">
      <alignment horizontal="center"/>
    </xf>
    <xf numFmtId="0" fontId="122" fillId="95" borderId="43" xfId="0" applyFont="1" applyFill="1" applyBorder="1" applyAlignment="1">
      <alignment horizontal="center"/>
    </xf>
    <xf numFmtId="0" fontId="0" fillId="0" borderId="0" xfId="0" quotePrefix="1"/>
    <xf numFmtId="4" fontId="34" fillId="0" borderId="0" xfId="0" applyNumberFormat="1" applyFont="1"/>
    <xf numFmtId="165" fontId="101" fillId="0" borderId="0" xfId="3" applyFont="1"/>
    <xf numFmtId="0" fontId="12" fillId="97" borderId="13" xfId="0" applyFont="1" applyFill="1" applyBorder="1" applyAlignment="1">
      <alignment horizontal="left"/>
    </xf>
    <xf numFmtId="169" fontId="101" fillId="33" borderId="13" xfId="3" applyNumberFormat="1" applyFont="1" applyFill="1" applyBorder="1"/>
    <xf numFmtId="169" fontId="101" fillId="0" borderId="13" xfId="3" applyNumberFormat="1" applyFont="1" applyFill="1" applyBorder="1"/>
    <xf numFmtId="0" fontId="16" fillId="8" borderId="13" xfId="0" applyFont="1" applyFill="1" applyBorder="1" applyAlignment="1">
      <alignment vertical="center"/>
    </xf>
    <xf numFmtId="0" fontId="101" fillId="98" borderId="0" xfId="0" applyFont="1" applyFill="1"/>
    <xf numFmtId="169" fontId="101" fillId="93" borderId="13" xfId="3" applyNumberFormat="1" applyFont="1" applyFill="1" applyBorder="1"/>
    <xf numFmtId="184" fontId="101" fillId="0" borderId="0" xfId="0" applyNumberFormat="1" applyFont="1"/>
    <xf numFmtId="0" fontId="101" fillId="26" borderId="13" xfId="0" applyFont="1" applyFill="1" applyBorder="1"/>
    <xf numFmtId="0" fontId="100" fillId="0" borderId="13" xfId="0" applyFont="1" applyBorder="1"/>
    <xf numFmtId="169" fontId="100" fillId="0" borderId="13" xfId="3" applyNumberFormat="1" applyFont="1" applyFill="1" applyBorder="1"/>
    <xf numFmtId="0" fontId="104" fillId="44" borderId="0" xfId="0" applyFont="1" applyFill="1"/>
    <xf numFmtId="0" fontId="16" fillId="0" borderId="1" xfId="0" applyFont="1" applyBorder="1" applyAlignment="1">
      <alignment vertical="center"/>
    </xf>
    <xf numFmtId="0" fontId="16" fillId="8" borderId="3" xfId="0" applyFont="1" applyFill="1" applyBorder="1" applyAlignment="1">
      <alignment vertical="center"/>
    </xf>
    <xf numFmtId="169" fontId="101" fillId="0" borderId="3" xfId="3" applyNumberFormat="1" applyFont="1" applyFill="1" applyBorder="1"/>
    <xf numFmtId="169" fontId="101" fillId="0" borderId="3" xfId="0" applyNumberFormat="1" applyFont="1" applyBorder="1"/>
    <xf numFmtId="0" fontId="16" fillId="0" borderId="0" xfId="0" applyFont="1" applyAlignment="1">
      <alignment vertical="center"/>
    </xf>
    <xf numFmtId="169" fontId="101" fillId="0" borderId="0" xfId="3" applyNumberFormat="1" applyFont="1" applyFill="1" applyBorder="1"/>
    <xf numFmtId="169" fontId="101" fillId="0" borderId="0" xfId="0" applyNumberFormat="1" applyFont="1"/>
    <xf numFmtId="0" fontId="101" fillId="0" borderId="3" xfId="0" applyFont="1" applyBorder="1"/>
    <xf numFmtId="169" fontId="12" fillId="33" borderId="8" xfId="3" applyNumberFormat="1" applyFont="1" applyFill="1" applyBorder="1"/>
    <xf numFmtId="1" fontId="12" fillId="33" borderId="8" xfId="0" applyNumberFormat="1" applyFont="1" applyFill="1" applyBorder="1"/>
    <xf numFmtId="3" fontId="12" fillId="33" borderId="8" xfId="0" applyNumberFormat="1" applyFont="1" applyFill="1" applyBorder="1"/>
    <xf numFmtId="169" fontId="35" fillId="0" borderId="0" xfId="3" applyNumberFormat="1" applyFont="1" applyAlignment="1">
      <alignment horizontal="center"/>
    </xf>
    <xf numFmtId="169" fontId="21" fillId="0" borderId="0" xfId="3" applyNumberFormat="1" applyFont="1" applyAlignment="1">
      <alignment horizontal="center"/>
    </xf>
    <xf numFmtId="169" fontId="76" fillId="0" borderId="0" xfId="3" applyNumberFormat="1" applyFont="1"/>
    <xf numFmtId="169" fontId="36" fillId="0" borderId="0" xfId="3" applyNumberFormat="1" applyFont="1"/>
    <xf numFmtId="169" fontId="31" fillId="0" borderId="0" xfId="3" applyNumberFormat="1" applyFont="1"/>
    <xf numFmtId="169" fontId="17" fillId="0" borderId="0" xfId="3" applyNumberFormat="1" applyFont="1" applyFill="1" applyAlignment="1">
      <alignment horizontal="center"/>
    </xf>
    <xf numFmtId="169" fontId="32" fillId="0" borderId="0" xfId="3" applyNumberFormat="1" applyFont="1" applyFill="1"/>
    <xf numFmtId="169" fontId="4" fillId="99" borderId="15" xfId="3" applyNumberFormat="1" applyFont="1" applyFill="1" applyBorder="1" applyAlignment="1">
      <alignment horizontal="center"/>
    </xf>
    <xf numFmtId="169" fontId="4" fillId="99" borderId="13" xfId="3" applyNumberFormat="1" applyFont="1" applyFill="1" applyBorder="1" applyAlignment="1">
      <alignment horizontal="center"/>
    </xf>
    <xf numFmtId="169" fontId="22" fillId="99" borderId="15" xfId="3" applyNumberFormat="1" applyFont="1" applyFill="1" applyBorder="1" applyAlignment="1">
      <alignment horizontal="center"/>
    </xf>
    <xf numFmtId="169" fontId="32" fillId="99" borderId="15" xfId="3" applyNumberFormat="1" applyFont="1" applyFill="1" applyBorder="1" applyAlignment="1">
      <alignment horizontal="center"/>
    </xf>
    <xf numFmtId="0" fontId="0" fillId="99" borderId="0" xfId="0" applyFill="1"/>
    <xf numFmtId="4" fontId="32" fillId="0" borderId="0" xfId="0" applyNumberFormat="1" applyFont="1"/>
    <xf numFmtId="165" fontId="114" fillId="0" borderId="0" xfId="3" applyFont="1"/>
    <xf numFmtId="165" fontId="4" fillId="27" borderId="1" xfId="3" applyFont="1" applyFill="1" applyBorder="1"/>
    <xf numFmtId="165" fontId="4" fillId="27" borderId="2" xfId="3" applyFont="1" applyFill="1" applyBorder="1"/>
    <xf numFmtId="165" fontId="5" fillId="3" borderId="2" xfId="3" applyFont="1" applyFill="1" applyBorder="1"/>
    <xf numFmtId="165" fontId="6" fillId="4" borderId="0" xfId="3" applyFont="1" applyFill="1" applyAlignment="1">
      <alignment horizontal="center" vertical="center" wrapText="1"/>
    </xf>
    <xf numFmtId="165" fontId="4" fillId="27" borderId="0" xfId="3" applyFont="1" applyFill="1"/>
    <xf numFmtId="165" fontId="4" fillId="27" borderId="3" xfId="3" applyFont="1" applyFill="1" applyBorder="1"/>
    <xf numFmtId="165" fontId="4" fillId="0" borderId="1" xfId="3" applyFont="1" applyBorder="1"/>
    <xf numFmtId="165" fontId="4" fillId="0" borderId="3" xfId="3" applyFont="1" applyBorder="1"/>
    <xf numFmtId="3" fontId="0" fillId="32" borderId="13" xfId="0" applyNumberFormat="1" applyFill="1" applyBorder="1"/>
    <xf numFmtId="4" fontId="101" fillId="0" borderId="0" xfId="0" applyNumberFormat="1" applyFont="1"/>
    <xf numFmtId="169" fontId="101" fillId="100" borderId="13" xfId="3" applyNumberFormat="1" applyFont="1" applyFill="1" applyBorder="1"/>
    <xf numFmtId="169" fontId="123" fillId="0" borderId="0" xfId="3" applyNumberFormat="1" applyFont="1"/>
    <xf numFmtId="169" fontId="115" fillId="0" borderId="0" xfId="3" applyNumberFormat="1" applyFont="1"/>
    <xf numFmtId="10" fontId="101" fillId="0" borderId="0" xfId="4" applyNumberFormat="1" applyFont="1"/>
    <xf numFmtId="165" fontId="116" fillId="14" borderId="0" xfId="3" applyFont="1" applyFill="1" applyAlignment="1">
      <alignment horizontal="center"/>
    </xf>
    <xf numFmtId="169" fontId="35" fillId="0" borderId="0" xfId="3" applyNumberFormat="1" applyFont="1" applyAlignment="1">
      <alignment horizontal="center" vertical="center" wrapText="1"/>
    </xf>
    <xf numFmtId="0" fontId="125" fillId="7" borderId="7" xfId="0" applyFont="1" applyFill="1" applyBorder="1"/>
    <xf numFmtId="3" fontId="114" fillId="0" borderId="29" xfId="0" applyNumberFormat="1" applyFont="1" applyBorder="1" applyAlignment="1">
      <alignment horizontal="center"/>
    </xf>
    <xf numFmtId="3" fontId="114" fillId="0" borderId="29" xfId="0" applyNumberFormat="1" applyFont="1" applyBorder="1"/>
    <xf numFmtId="0" fontId="125" fillId="0" borderId="0" xfId="0" applyFont="1"/>
    <xf numFmtId="0" fontId="126" fillId="0" borderId="0" xfId="0" applyFont="1"/>
    <xf numFmtId="0" fontId="42" fillId="10" borderId="23" xfId="0" applyFont="1" applyFill="1" applyBorder="1" applyAlignment="1">
      <alignment horizontal="center"/>
    </xf>
    <xf numFmtId="0" fontId="126" fillId="0" borderId="0" xfId="0" applyFont="1" applyAlignment="1">
      <alignment horizontal="center"/>
    </xf>
    <xf numFmtId="0" fontId="126" fillId="0" borderId="15" xfId="0" applyFont="1" applyBorder="1"/>
    <xf numFmtId="169" fontId="22" fillId="0" borderId="9" xfId="3" applyNumberFormat="1" applyFont="1" applyBorder="1"/>
    <xf numFmtId="169" fontId="76" fillId="14" borderId="32" xfId="3" applyNumberFormat="1" applyFont="1" applyFill="1" applyBorder="1"/>
    <xf numFmtId="3" fontId="35" fillId="0" borderId="3" xfId="0" applyNumberFormat="1" applyFont="1" applyBorder="1" applyAlignment="1">
      <alignment horizontal="center" vertical="center" wrapText="1"/>
    </xf>
    <xf numFmtId="4" fontId="127" fillId="0" borderId="3" xfId="0" applyNumberFormat="1" applyFont="1" applyBorder="1" applyAlignment="1">
      <alignment horizontal="center" vertical="center" wrapText="1"/>
    </xf>
    <xf numFmtId="169" fontId="43" fillId="0" borderId="1" xfId="3" applyNumberFormat="1" applyFont="1" applyFill="1" applyBorder="1" applyAlignment="1">
      <alignment vertical="center"/>
    </xf>
    <xf numFmtId="169" fontId="43" fillId="0" borderId="3" xfId="3" applyNumberFormat="1" applyFont="1" applyFill="1" applyBorder="1" applyAlignment="1">
      <alignment vertical="center"/>
    </xf>
    <xf numFmtId="4" fontId="0" fillId="32" borderId="29" xfId="0" applyNumberFormat="1" applyFill="1" applyBorder="1"/>
    <xf numFmtId="0" fontId="0" fillId="32" borderId="29" xfId="0" applyFill="1" applyBorder="1"/>
    <xf numFmtId="169" fontId="112" fillId="27" borderId="1" xfId="3" applyNumberFormat="1" applyFont="1" applyFill="1" applyBorder="1" applyAlignment="1">
      <alignment horizontal="center"/>
    </xf>
    <xf numFmtId="169" fontId="112" fillId="27" borderId="2" xfId="3" applyNumberFormat="1" applyFont="1" applyFill="1" applyBorder="1" applyAlignment="1">
      <alignment horizontal="center"/>
    </xf>
    <xf numFmtId="169" fontId="6" fillId="4" borderId="0" xfId="3" applyNumberFormat="1" applyFont="1" applyFill="1" applyAlignment="1">
      <alignment horizontal="center" vertical="center" wrapText="1"/>
    </xf>
    <xf numFmtId="169" fontId="32" fillId="0" borderId="0" xfId="3" applyNumberFormat="1" applyFont="1" applyAlignment="1">
      <alignment horizontal="center"/>
    </xf>
    <xf numFmtId="169" fontId="34" fillId="0" borderId="0" xfId="3" applyNumberFormat="1" applyFont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169" fontId="4" fillId="0" borderId="3" xfId="3" applyNumberFormat="1" applyFont="1" applyBorder="1" applyAlignment="1">
      <alignment horizontal="center"/>
    </xf>
    <xf numFmtId="0" fontId="124" fillId="0" borderId="0" xfId="0" applyFont="1"/>
    <xf numFmtId="169" fontId="108" fillId="0" borderId="0" xfId="3" applyNumberFormat="1" applyFont="1"/>
    <xf numFmtId="3" fontId="35" fillId="0" borderId="0" xfId="0" applyNumberFormat="1" applyFont="1" applyAlignment="1">
      <alignment horizontal="center" vertical="center" wrapText="1"/>
    </xf>
    <xf numFmtId="3" fontId="112" fillId="0" borderId="13" xfId="0" applyNumberFormat="1" applyFont="1" applyBorder="1"/>
    <xf numFmtId="3" fontId="4" fillId="0" borderId="13" xfId="0" applyNumberFormat="1" applyFont="1" applyBorder="1"/>
    <xf numFmtId="3" fontId="112" fillId="27" borderId="13" xfId="0" applyNumberFormat="1" applyFont="1" applyFill="1" applyBorder="1"/>
    <xf numFmtId="165" fontId="101" fillId="0" borderId="0" xfId="0" applyNumberFormat="1" applyFont="1"/>
    <xf numFmtId="169" fontId="0" fillId="0" borderId="0" xfId="3" quotePrefix="1" applyNumberFormat="1" applyFont="1" applyFill="1"/>
    <xf numFmtId="169" fontId="101" fillId="32" borderId="0" xfId="3" applyNumberFormat="1" applyFont="1" applyFill="1"/>
    <xf numFmtId="3" fontId="2" fillId="27" borderId="0" xfId="0" applyNumberFormat="1" applyFont="1" applyFill="1" applyAlignment="1">
      <alignment horizontal="center" vertical="center" wrapText="1"/>
    </xf>
    <xf numFmtId="165" fontId="128" fillId="27" borderId="0" xfId="3" applyFont="1" applyFill="1" applyBorder="1" applyAlignment="1">
      <alignment horizontal="center" vertical="center" wrapText="1"/>
    </xf>
    <xf numFmtId="4" fontId="108" fillId="0" borderId="0" xfId="0" applyNumberFormat="1" applyFont="1"/>
    <xf numFmtId="185" fontId="0" fillId="0" borderId="0" xfId="0" applyNumberFormat="1"/>
    <xf numFmtId="165" fontId="129" fillId="0" borderId="0" xfId="3" applyFont="1" applyAlignment="1">
      <alignment horizontal="center"/>
    </xf>
    <xf numFmtId="4" fontId="0" fillId="0" borderId="29" xfId="0" applyNumberFormat="1" applyBorder="1"/>
    <xf numFmtId="3" fontId="0" fillId="20" borderId="13" xfId="0" applyNumberFormat="1" applyFill="1" applyBorder="1"/>
    <xf numFmtId="169" fontId="17" fillId="93" borderId="9" xfId="3" applyNumberFormat="1" applyFont="1" applyFill="1" applyBorder="1"/>
    <xf numFmtId="3" fontId="108" fillId="0" borderId="74" xfId="0" applyNumberFormat="1" applyFont="1" applyBorder="1" applyAlignment="1">
      <alignment horizontal="center"/>
    </xf>
    <xf numFmtId="3" fontId="108" fillId="0" borderId="75" xfId="0" applyNumberFormat="1" applyFont="1" applyBorder="1" applyAlignment="1">
      <alignment horizontal="center"/>
    </xf>
    <xf numFmtId="3" fontId="108" fillId="0" borderId="76" xfId="0" applyNumberFormat="1" applyFont="1" applyBorder="1" applyAlignment="1">
      <alignment horizontal="center"/>
    </xf>
    <xf numFmtId="3" fontId="108" fillId="0" borderId="0" xfId="0" applyNumberFormat="1" applyFont="1" applyAlignment="1">
      <alignment horizontal="center"/>
    </xf>
    <xf numFmtId="169" fontId="101" fillId="100" borderId="13" xfId="0" applyNumberFormat="1" applyFont="1" applyFill="1" applyBorder="1"/>
    <xf numFmtId="169" fontId="17" fillId="32" borderId="9" xfId="3" applyNumberFormat="1" applyFont="1" applyFill="1" applyBorder="1"/>
    <xf numFmtId="169" fontId="101" fillId="32" borderId="13" xfId="0" applyNumberFormat="1" applyFont="1" applyFill="1" applyBorder="1"/>
    <xf numFmtId="0" fontId="107" fillId="32" borderId="0" xfId="0" applyFont="1" applyFill="1"/>
    <xf numFmtId="0" fontId="108" fillId="32" borderId="0" xfId="0" applyFont="1" applyFill="1"/>
    <xf numFmtId="3" fontId="109" fillId="14" borderId="23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3" fontId="4" fillId="90" borderId="1" xfId="0" applyNumberFormat="1" applyFont="1" applyFill="1" applyBorder="1"/>
    <xf numFmtId="3" fontId="4" fillId="90" borderId="2" xfId="0" applyNumberFormat="1" applyFont="1" applyFill="1" applyBorder="1"/>
    <xf numFmtId="169" fontId="5" fillId="0" borderId="1" xfId="3" applyNumberFormat="1" applyFont="1" applyBorder="1" applyAlignment="1">
      <alignment horizontal="center"/>
    </xf>
    <xf numFmtId="169" fontId="5" fillId="0" borderId="3" xfId="3" applyNumberFormat="1" applyFont="1" applyBorder="1" applyAlignment="1">
      <alignment horizontal="center"/>
    </xf>
    <xf numFmtId="165" fontId="35" fillId="0" borderId="0" xfId="3" applyFont="1" applyAlignment="1">
      <alignment horizontal="center" vertical="center" wrapText="1"/>
    </xf>
    <xf numFmtId="0" fontId="130" fillId="27" borderId="1" xfId="0" applyFont="1" applyFill="1" applyBorder="1"/>
    <xf numFmtId="0" fontId="130" fillId="27" borderId="2" xfId="0" applyFont="1" applyFill="1" applyBorder="1"/>
    <xf numFmtId="0" fontId="131" fillId="3" borderId="2" xfId="0" applyFont="1" applyFill="1" applyBorder="1"/>
    <xf numFmtId="0" fontId="80" fillId="4" borderId="3" xfId="0" applyFont="1" applyFill="1" applyBorder="1" applyAlignment="1">
      <alignment horizontal="center" vertical="center" wrapText="1"/>
    </xf>
    <xf numFmtId="169" fontId="132" fillId="0" borderId="9" xfId="3" applyNumberFormat="1" applyFont="1" applyBorder="1"/>
    <xf numFmtId="169" fontId="133" fillId="14" borderId="32" xfId="3" applyNumberFormat="1" applyFont="1" applyFill="1" applyBorder="1"/>
    <xf numFmtId="0" fontId="134" fillId="0" borderId="0" xfId="0" applyFont="1"/>
    <xf numFmtId="0" fontId="130" fillId="27" borderId="3" xfId="0" applyFont="1" applyFill="1" applyBorder="1"/>
    <xf numFmtId="0" fontId="80" fillId="25" borderId="3" xfId="0" applyFont="1" applyFill="1" applyBorder="1" applyAlignment="1">
      <alignment horizontal="center" vertical="center" wrapText="1"/>
    </xf>
    <xf numFmtId="0" fontId="130" fillId="0" borderId="1" xfId="0" applyFont="1" applyBorder="1"/>
    <xf numFmtId="0" fontId="130" fillId="0" borderId="3" xfId="0" applyFont="1" applyBorder="1"/>
    <xf numFmtId="169" fontId="4" fillId="27" borderId="1" xfId="3" applyNumberFormat="1" applyFont="1" applyFill="1" applyBorder="1"/>
    <xf numFmtId="169" fontId="4" fillId="27" borderId="2" xfId="3" applyNumberFormat="1" applyFont="1" applyFill="1" applyBorder="1"/>
    <xf numFmtId="169" fontId="5" fillId="3" borderId="2" xfId="3" applyNumberFormat="1" applyFont="1" applyFill="1" applyBorder="1"/>
    <xf numFmtId="169" fontId="4" fillId="27" borderId="3" xfId="3" applyNumberFormat="1" applyFont="1" applyFill="1" applyBorder="1"/>
    <xf numFmtId="169" fontId="4" fillId="0" borderId="1" xfId="3" applyNumberFormat="1" applyFont="1" applyBorder="1"/>
    <xf numFmtId="169" fontId="4" fillId="0" borderId="3" xfId="3" applyNumberFormat="1" applyFont="1" applyBorder="1"/>
    <xf numFmtId="169" fontId="6" fillId="40" borderId="3" xfId="3" applyNumberFormat="1" applyFont="1" applyFill="1" applyBorder="1" applyAlignment="1">
      <alignment horizontal="center" vertical="center" wrapText="1"/>
    </xf>
    <xf numFmtId="169" fontId="17" fillId="33" borderId="9" xfId="3" applyNumberFormat="1" applyFont="1" applyFill="1" applyBorder="1"/>
    <xf numFmtId="169" fontId="97" fillId="0" borderId="0" xfId="3" applyNumberFormat="1" applyFont="1"/>
    <xf numFmtId="169" fontId="97" fillId="0" borderId="0" xfId="3" applyNumberFormat="1" applyFont="1" applyAlignment="1">
      <alignment horizontal="left"/>
    </xf>
    <xf numFmtId="169" fontId="101" fillId="0" borderId="0" xfId="3" applyNumberFormat="1" applyFont="1" applyAlignment="1">
      <alignment horizontal="left"/>
    </xf>
    <xf numFmtId="9" fontId="97" fillId="0" borderId="0" xfId="4" applyFont="1"/>
    <xf numFmtId="1" fontId="31" fillId="0" borderId="13" xfId="0" applyNumberFormat="1" applyFont="1" applyBorder="1" applyAlignment="1">
      <alignment horizontal="center"/>
    </xf>
    <xf numFmtId="1" fontId="0" fillId="0" borderId="29" xfId="0" applyNumberFormat="1" applyBorder="1"/>
    <xf numFmtId="1" fontId="0" fillId="32" borderId="29" xfId="0" applyNumberFormat="1" applyFill="1" applyBorder="1"/>
    <xf numFmtId="165" fontId="17" fillId="0" borderId="9" xfId="3" applyFont="1" applyBorder="1"/>
    <xf numFmtId="165" fontId="17" fillId="32" borderId="9" xfId="3" applyFont="1" applyFill="1" applyBorder="1"/>
    <xf numFmtId="43" fontId="0" fillId="0" borderId="0" xfId="0" applyNumberFormat="1"/>
    <xf numFmtId="169" fontId="6" fillId="18" borderId="16" xfId="3" applyNumberFormat="1" applyFont="1" applyFill="1" applyBorder="1" applyAlignment="1">
      <alignment horizontal="centerContinuous" vertical="center" wrapText="1"/>
    </xf>
    <xf numFmtId="169" fontId="16" fillId="0" borderId="15" xfId="3" applyNumberFormat="1" applyFont="1" applyBorder="1"/>
    <xf numFmtId="169" fontId="16" fillId="0" borderId="0" xfId="3" applyNumberFormat="1" applyFont="1" applyBorder="1"/>
    <xf numFmtId="169" fontId="42" fillId="10" borderId="13" xfId="3" applyNumberFormat="1" applyFont="1" applyFill="1" applyBorder="1" applyAlignment="1">
      <alignment horizontal="center" vertical="center"/>
    </xf>
    <xf numFmtId="169" fontId="0" fillId="101" borderId="0" xfId="0" applyNumberFormat="1" applyFill="1"/>
    <xf numFmtId="3" fontId="135" fillId="27" borderId="1" xfId="0" applyNumberFormat="1" applyFont="1" applyFill="1" applyBorder="1"/>
    <xf numFmtId="3" fontId="135" fillId="27" borderId="2" xfId="0" applyNumberFormat="1" applyFont="1" applyFill="1" applyBorder="1"/>
    <xf numFmtId="3" fontId="135" fillId="27" borderId="3" xfId="0" applyNumberFormat="1" applyFont="1" applyFill="1" applyBorder="1"/>
    <xf numFmtId="3" fontId="136" fillId="49" borderId="2" xfId="0" applyNumberFormat="1" applyFont="1" applyFill="1" applyBorder="1"/>
    <xf numFmtId="3" fontId="1" fillId="49" borderId="3" xfId="0" applyNumberFormat="1" applyFont="1" applyFill="1" applyBorder="1" applyAlignment="1">
      <alignment horizontal="center" vertical="center" wrapText="1"/>
    </xf>
    <xf numFmtId="3" fontId="1" fillId="27" borderId="0" xfId="0" applyNumberFormat="1" applyFont="1" applyFill="1" applyAlignment="1">
      <alignment horizontal="center" vertical="center" wrapText="1"/>
    </xf>
    <xf numFmtId="3" fontId="135" fillId="27" borderId="0" xfId="0" applyNumberFormat="1" applyFont="1" applyFill="1"/>
    <xf numFmtId="3" fontId="137" fillId="27" borderId="0" xfId="0" applyNumberFormat="1" applyFont="1" applyFill="1"/>
    <xf numFmtId="165" fontId="108" fillId="0" borderId="0" xfId="3" applyFont="1"/>
    <xf numFmtId="185" fontId="108" fillId="0" borderId="0" xfId="0" applyNumberFormat="1" applyFont="1"/>
    <xf numFmtId="3" fontId="108" fillId="0" borderId="74" xfId="0" applyNumberFormat="1" applyFont="1" applyBorder="1" applyAlignment="1">
      <alignment horizontal="center"/>
    </xf>
    <xf numFmtId="3" fontId="108" fillId="0" borderId="75" xfId="0" applyNumberFormat="1" applyFont="1" applyBorder="1" applyAlignment="1">
      <alignment horizontal="center"/>
    </xf>
    <xf numFmtId="3" fontId="108" fillId="0" borderId="76" xfId="0" applyNumberFormat="1" applyFont="1" applyBorder="1" applyAlignment="1">
      <alignment horizontal="center"/>
    </xf>
    <xf numFmtId="3" fontId="108" fillId="0" borderId="0" xfId="0" applyNumberFormat="1" applyFont="1" applyAlignment="1">
      <alignment horizontal="center"/>
    </xf>
    <xf numFmtId="0" fontId="35" fillId="27" borderId="34" xfId="0" applyFont="1" applyFill="1" applyBorder="1" applyAlignment="1">
      <alignment horizontal="center" vertical="center"/>
    </xf>
    <xf numFmtId="0" fontId="35" fillId="27" borderId="35" xfId="0" applyFont="1" applyFill="1" applyBorder="1" applyAlignment="1">
      <alignment horizontal="center" vertical="center"/>
    </xf>
    <xf numFmtId="0" fontId="35" fillId="27" borderId="36" xfId="0" applyFont="1" applyFill="1" applyBorder="1" applyAlignment="1">
      <alignment horizontal="center" vertical="center"/>
    </xf>
    <xf numFmtId="0" fontId="35" fillId="27" borderId="5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3" fontId="38" fillId="3" borderId="23" xfId="0" applyNumberFormat="1" applyFont="1" applyFill="1" applyBorder="1" applyAlignment="1">
      <alignment horizontal="center" vertical="center"/>
    </xf>
    <xf numFmtId="3" fontId="38" fillId="3" borderId="24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78" fillId="4" borderId="20" xfId="0" applyFont="1" applyFill="1" applyBorder="1" applyAlignment="1">
      <alignment horizontal="center" vertical="center" wrapText="1"/>
    </xf>
    <xf numFmtId="0" fontId="78" fillId="4" borderId="21" xfId="0" applyFont="1" applyFill="1" applyBorder="1" applyAlignment="1">
      <alignment horizontal="center" vertical="center" wrapText="1"/>
    </xf>
    <xf numFmtId="0" fontId="74" fillId="27" borderId="0" xfId="0" quotePrefix="1" applyFont="1" applyFill="1" applyAlignment="1">
      <alignment horizontal="left" vertical="top"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center"/>
    </xf>
    <xf numFmtId="0" fontId="31" fillId="27" borderId="0" xfId="0" applyFont="1" applyFill="1" applyAlignment="1">
      <alignment horizontal="left" vertical="top" wrapText="1"/>
    </xf>
    <xf numFmtId="0" fontId="65" fillId="27" borderId="0" xfId="0" quotePrefix="1" applyFont="1" applyFill="1" applyAlignment="1">
      <alignment horizontal="left" vertical="top" wrapText="1"/>
    </xf>
    <xf numFmtId="0" fontId="65" fillId="27" borderId="0" xfId="0" applyFont="1" applyFill="1" applyAlignment="1">
      <alignment horizontal="left" vertical="top" wrapText="1"/>
    </xf>
    <xf numFmtId="0" fontId="28" fillId="18" borderId="17" xfId="0" applyFont="1" applyFill="1" applyBorder="1" applyAlignment="1">
      <alignment horizontal="left"/>
    </xf>
    <xf numFmtId="0" fontId="28" fillId="18" borderId="15" xfId="0" applyFont="1" applyFill="1" applyBorder="1" applyAlignment="1">
      <alignment horizontal="left"/>
    </xf>
    <xf numFmtId="0" fontId="28" fillId="18" borderId="16" xfId="0" applyFont="1" applyFill="1" applyBorder="1" applyAlignment="1">
      <alignment horizontal="left"/>
    </xf>
    <xf numFmtId="0" fontId="28" fillId="18" borderId="1" xfId="0" applyFont="1" applyFill="1" applyBorder="1" applyAlignment="1">
      <alignment horizontal="center" wrapText="1"/>
    </xf>
    <xf numFmtId="0" fontId="28" fillId="18" borderId="2" xfId="0" applyFont="1" applyFill="1" applyBorder="1" applyAlignment="1">
      <alignment horizontal="center" wrapText="1"/>
    </xf>
    <xf numFmtId="0" fontId="28" fillId="18" borderId="0" xfId="0" applyFont="1" applyFill="1" applyAlignment="1">
      <alignment horizontal="center" wrapText="1"/>
    </xf>
    <xf numFmtId="0" fontId="28" fillId="16" borderId="1" xfId="0" applyFont="1" applyFill="1" applyBorder="1" applyAlignment="1">
      <alignment horizontal="center"/>
    </xf>
    <xf numFmtId="0" fontId="28" fillId="16" borderId="2" xfId="0" applyFont="1" applyFill="1" applyBorder="1" applyAlignment="1">
      <alignment horizontal="center"/>
    </xf>
    <xf numFmtId="0" fontId="28" fillId="16" borderId="3" xfId="0" applyFont="1" applyFill="1" applyBorder="1" applyAlignment="1">
      <alignment horizontal="center"/>
    </xf>
    <xf numFmtId="0" fontId="28" fillId="18" borderId="1" xfId="0" applyFont="1" applyFill="1" applyBorder="1" applyAlignment="1">
      <alignment horizontal="center"/>
    </xf>
    <xf numFmtId="0" fontId="28" fillId="18" borderId="2" xfId="0" applyFont="1" applyFill="1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28" fillId="18" borderId="0" xfId="0" applyFont="1" applyFill="1" applyAlignment="1">
      <alignment horizontal="center" vertical="center" wrapText="1"/>
    </xf>
    <xf numFmtId="0" fontId="29" fillId="17" borderId="0" xfId="0" applyFont="1" applyFill="1" applyAlignment="1">
      <alignment horizontal="center" vertical="center"/>
    </xf>
    <xf numFmtId="0" fontId="26" fillId="0" borderId="14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2" xfId="0" applyFont="1" applyBorder="1"/>
    <xf numFmtId="0" fontId="26" fillId="0" borderId="0" xfId="0" applyFont="1"/>
    <xf numFmtId="0" fontId="26" fillId="0" borderId="15" xfId="0" applyFont="1" applyBorder="1"/>
    <xf numFmtId="0" fontId="26" fillId="0" borderId="19" xfId="0" applyFont="1" applyBorder="1"/>
    <xf numFmtId="0" fontId="6" fillId="22" borderId="1" xfId="0" applyFont="1" applyFill="1" applyBorder="1" applyAlignment="1">
      <alignment horizontal="center" vertical="center" wrapText="1"/>
    </xf>
    <xf numFmtId="0" fontId="6" fillId="22" borderId="3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1" borderId="3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3" fontId="38" fillId="3" borderId="17" xfId="0" applyNumberFormat="1" applyFont="1" applyFill="1" applyBorder="1" applyAlignment="1">
      <alignment horizontal="center" vertical="center"/>
    </xf>
    <xf numFmtId="3" fontId="38" fillId="3" borderId="16" xfId="0" applyNumberFormat="1" applyFont="1" applyFill="1" applyBorder="1" applyAlignment="1">
      <alignment horizontal="center" vertical="center"/>
    </xf>
    <xf numFmtId="0" fontId="113" fillId="0" borderId="0" xfId="0" applyFont="1" applyAlignment="1">
      <alignment horizontal="left" vertical="top"/>
    </xf>
    <xf numFmtId="0" fontId="114" fillId="0" borderId="0" xfId="0" applyFont="1"/>
    <xf numFmtId="0" fontId="2" fillId="0" borderId="44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</cellXfs>
  <cellStyles count="88">
    <cellStyle name="20% - Accent1" xfId="31" builtinId="30" customBuiltin="1"/>
    <cellStyle name="20% - Accent2" xfId="35" builtinId="34" customBuiltin="1"/>
    <cellStyle name="20% - Accent3" xfId="39" builtinId="38" customBuiltin="1"/>
    <cellStyle name="20% - Accent4" xfId="43" builtinId="42" customBuiltin="1"/>
    <cellStyle name="20% - Accent5" xfId="47" builtinId="46" customBuiltin="1"/>
    <cellStyle name="20% - Accent6" xfId="51" builtinId="50" customBuiltin="1"/>
    <cellStyle name="40% - Accent1" xfId="32" builtinId="31" customBuiltin="1"/>
    <cellStyle name="40% - Accent2" xfId="36" builtinId="35" customBuiltin="1"/>
    <cellStyle name="40% - Accent3" xfId="40" builtinId="39" customBuiltin="1"/>
    <cellStyle name="40% - Accent4" xfId="44" builtinId="43" customBuiltin="1"/>
    <cellStyle name="40% - Accent5" xfId="48" builtinId="47" customBuiltin="1"/>
    <cellStyle name="40% - Accent6" xfId="52" builtinId="51" customBuiltin="1"/>
    <cellStyle name="60% - Accent1" xfId="33" builtinId="32" customBuiltin="1"/>
    <cellStyle name="60% - Accent2" xfId="37" builtinId="36" customBuiltin="1"/>
    <cellStyle name="60% - Accent3" xfId="41" builtinId="40" customBuiltin="1"/>
    <cellStyle name="60% - Accent4" xfId="45" builtinId="44" customBuiltin="1"/>
    <cellStyle name="60% - Accent5" xfId="49" builtinId="48" customBuiltin="1"/>
    <cellStyle name="60% - Accent6" xfId="53" builtinId="52" customBuiltin="1"/>
    <cellStyle name="Accent1" xfId="30" builtinId="29" customBuiltin="1"/>
    <cellStyle name="Accent2" xfId="34" builtinId="33" customBuiltin="1"/>
    <cellStyle name="Accent3" xfId="38" builtinId="37" customBuiltin="1"/>
    <cellStyle name="Accent4" xfId="42" builtinId="41" customBuiltin="1"/>
    <cellStyle name="Accent5" xfId="46" builtinId="45" customBuiltin="1"/>
    <cellStyle name="Accent6" xfId="50" builtinId="49" customBuiltin="1"/>
    <cellStyle name="Bad" xfId="19" builtinId="27" customBuiltin="1"/>
    <cellStyle name="Calculation" xfId="23" builtinId="22" customBuiltin="1"/>
    <cellStyle name="Check Cell" xfId="25" builtinId="23" customBuiltin="1"/>
    <cellStyle name="Comma" xfId="3" builtinId="3"/>
    <cellStyle name="Comma 2" xfId="2" xr:uid="{8F8FC6A2-2D66-4644-B12F-37047D9D35F6}"/>
    <cellStyle name="Comma 2 2" xfId="5" xr:uid="{5932CA5D-816A-4CCF-A569-F6DDBE754D40}"/>
    <cellStyle name="Comma 2 2 2" xfId="73" xr:uid="{61C1C452-6074-43FB-9346-B350D0D71BF1}"/>
    <cellStyle name="Comma 2 2 3" xfId="86" xr:uid="{B3CF0A8F-5D5D-4D90-91F0-037488F2D073}"/>
    <cellStyle name="Comma 2 3" xfId="71" xr:uid="{F9845129-1B21-4D34-884E-74585673C1FB}"/>
    <cellStyle name="Comma 2 4" xfId="54" xr:uid="{EDC37386-5C87-45B7-BF79-C7E4BB6C06A1}"/>
    <cellStyle name="Comma 3" xfId="8" xr:uid="{ED22C08F-490F-4F38-AAB8-7150B042178A}"/>
    <cellStyle name="Comma 3 2" xfId="11" xr:uid="{87016541-39C1-481B-8A64-33AFF627B222}"/>
    <cellStyle name="Comma 3 3" xfId="61" xr:uid="{FC479AD2-08E6-4AAE-B104-C046CEC1F95A}"/>
    <cellStyle name="Comma 4" xfId="65" xr:uid="{0F9E5E88-BF74-4525-B433-2E3A64ABF92B}"/>
    <cellStyle name="Comma 4 2" xfId="84" xr:uid="{E28951FD-3A45-4F6A-B219-FFE4A7854CEF}"/>
    <cellStyle name="Comma 5" xfId="64" xr:uid="{D3246A65-C32D-4813-B8D3-16714F16ED53}"/>
    <cellStyle name="Comma 6" xfId="68" xr:uid="{A92324A2-950B-460F-98C3-A98318F5AA13}"/>
    <cellStyle name="Currency 2" xfId="9" xr:uid="{0A9351BC-A7FB-44CF-B53E-C810AE310FC0}"/>
    <cellStyle name="Currency 2 2" xfId="56" xr:uid="{FA0D16A8-4B30-4A1C-ADE1-67A4ADA83EF2}"/>
    <cellStyle name="Currency 3 2" xfId="85" xr:uid="{3ED40459-7CC8-4750-A4EB-0D6817FBE614}"/>
    <cellStyle name="Explanatory Text" xfId="28" builtinId="53" customBuiltin="1"/>
    <cellStyle name="Good" xfId="18" builtinId="26" customBuiltin="1"/>
    <cellStyle name="Heading 1" xfId="14" builtinId="16" customBuiltin="1"/>
    <cellStyle name="Heading 2" xfId="15" builtinId="17" customBuiltin="1"/>
    <cellStyle name="Heading 3" xfId="16" builtinId="18" customBuiltin="1"/>
    <cellStyle name="Heading 4" xfId="17" builtinId="19" customBuiltin="1"/>
    <cellStyle name="Input" xfId="21" builtinId="20" customBuiltin="1"/>
    <cellStyle name="Linked Cell" xfId="24" builtinId="24" customBuiltin="1"/>
    <cellStyle name="Neutral" xfId="20" builtinId="28" customBuiltin="1"/>
    <cellStyle name="Normal" xfId="0" builtinId="0"/>
    <cellStyle name="Normal 2" xfId="1" xr:uid="{6FD08C8E-F266-467B-97A2-59311D3F8354}"/>
    <cellStyle name="Normal 2 10" xfId="58" xr:uid="{A8507272-8839-4286-AE39-BDBF79368623}"/>
    <cellStyle name="Normal 2 2" xfId="6" xr:uid="{8E0D0EB4-2BFB-46D2-98A7-1A48CC10E0A7}"/>
    <cellStyle name="Normal 2 2 2" xfId="66" xr:uid="{F1D698B8-BAE5-4BFE-B6D0-CEAFE90472B0}"/>
    <cellStyle name="Normal 2 2 3" xfId="67" xr:uid="{D06BF287-7DD2-4AD2-B833-29C2A07D663A}"/>
    <cellStyle name="Normal 2 2 4" xfId="80" xr:uid="{B810A532-B4A8-4D2E-843C-BEA4710FDAD2}"/>
    <cellStyle name="Normal 2 3" xfId="69" xr:uid="{2DFA4147-9E81-4CC5-856C-D9F752224258}"/>
    <cellStyle name="Normal 2 3 2" xfId="83" xr:uid="{ECD95AC1-95C9-4464-A208-344B3BF82537}"/>
    <cellStyle name="Normal 2 4" xfId="70" xr:uid="{6A16613B-59F6-42C4-9D8A-C44EF4EFFD51}"/>
    <cellStyle name="Normal 2 5" xfId="76" xr:uid="{5F97F200-B4D4-4164-B629-AD6FE67AD8EA}"/>
    <cellStyle name="Normal 3" xfId="7" xr:uid="{7719192F-AF86-4F42-994C-137683429653}"/>
    <cellStyle name="Normal 3 2" xfId="59" xr:uid="{85145A9A-E342-47C2-8F3B-B604F3E5EB52}"/>
    <cellStyle name="Normal 3 3" xfId="55" xr:uid="{7F71171B-A111-4367-AC09-653018D03F48}"/>
    <cellStyle name="Normal 3 4" xfId="79" xr:uid="{26C387FC-7F06-4FC0-9F85-4BDF5BF3B71A}"/>
    <cellStyle name="Normal 4" xfId="62" xr:uid="{405C6B7E-86F7-4398-8AF3-D83EBBC9ABBE}"/>
    <cellStyle name="Normal 4 2" xfId="72" xr:uid="{004D98A9-BE12-438B-B112-74593F6FBB98}"/>
    <cellStyle name="Normal 5 2" xfId="75" xr:uid="{EE47527A-7CF9-4EB0-AB3E-47978FCA3EE3}"/>
    <cellStyle name="Normal 7" xfId="87" xr:uid="{9C10B35C-73F1-42D5-B316-B61AD27D28C3}"/>
    <cellStyle name="Normal 8" xfId="60" xr:uid="{DA99B4F1-131B-4A4D-8B2F-DBEFBDFAD60E}"/>
    <cellStyle name="Normal 8 3 2" xfId="10" xr:uid="{609BB0B1-BDE6-4BB2-A820-4B5D22D76E6E}"/>
    <cellStyle name="Note" xfId="27" builtinId="10" customBuiltin="1"/>
    <cellStyle name="Output" xfId="22" builtinId="21" customBuiltin="1"/>
    <cellStyle name="ParaBirimi 2" xfId="82" xr:uid="{5EA85296-433E-4EDE-B6F5-E3C44150B62C}"/>
    <cellStyle name="ParaBirimi 2 5 2" xfId="57" xr:uid="{A8D27B58-E48A-48E2-8B74-C8694543A387}"/>
    <cellStyle name="Per cent 2" xfId="77" xr:uid="{A5160BEF-190A-4AD6-A8D5-03DFC99E28FA}"/>
    <cellStyle name="Percent" xfId="4" builtinId="5"/>
    <cellStyle name="Percent 2" xfId="78" xr:uid="{8FDBCD1C-EE95-4F7F-A4DE-63A6B4D690DF}"/>
    <cellStyle name="Percent 2 3" xfId="63" xr:uid="{DE5B011A-2EF5-4019-93E4-FE2AE3330B1A}"/>
    <cellStyle name="Title" xfId="13" builtinId="15" customBuiltin="1"/>
    <cellStyle name="Total" xfId="29" builtinId="25" customBuiltin="1"/>
    <cellStyle name="Warning Text" xfId="26" builtinId="11" customBuiltin="1"/>
    <cellStyle name="Yüzde 2" xfId="74" xr:uid="{36CD0614-056B-451A-95D2-6C8D5BF6B302}"/>
    <cellStyle name="Yüzde 2 2" xfId="81" xr:uid="{4B7C2FCB-F37C-4026-8B5A-E0D20D16CF06}"/>
    <cellStyle name="Yüzde 2 2 2" xfId="12" xr:uid="{4065D19B-B14D-40A5-BE0D-952199DBCDB8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FF22E"/>
      <color rgb="FF67035B"/>
      <color rgb="FF99CC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503098</xdr:colOff>
      <xdr:row>12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67BE2-33BC-48A4-8D51-1DAF2A722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2941498" cy="21869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lif Uzun" id="{4FB2D67B-92F8-41F0-B21E-5D96C2283F80}" userId="S::elif.uzun@haier-europe.com::4a15808d-e0d9-4d32-a45d-d30bb0e99de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cer Lorcu" refreshedDate="45754.405308217596" createdVersion="8" refreshedVersion="8" minRefreshableVersion="3" recordCount="25" xr:uid="{12D30D8B-698C-47BD-B244-AFB8CBCC5E96}">
  <cacheSource type="worksheet">
    <worksheetSource ref="E52:F77" sheet="ACE"/>
  </cacheSource>
  <cacheFields count="2">
    <cacheField name="Cost driver" numFmtId="0">
      <sharedItems count="5">
        <s v="Direct Labor"/>
        <s v="Fixed utilities"/>
        <s v="Fixed Cost"/>
        <s v="Semifixed"/>
        <s v="Indirect Labor"/>
      </sharedItems>
    </cacheField>
    <cacheField name="January" numFmtId="178">
      <sharedItems containsSemiMixedTypes="0" containsString="0" containsNumber="1" minValue="0" maxValue="15915.9433333333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n v="15915.943333333335"/>
  </r>
  <r>
    <x v="0"/>
    <n v="1680.5629999999999"/>
  </r>
  <r>
    <x v="0"/>
    <n v="5885.7615739708344"/>
  </r>
  <r>
    <x v="0"/>
    <n v="0"/>
  </r>
  <r>
    <x v="0"/>
    <n v="0"/>
  </r>
  <r>
    <x v="0"/>
    <n v="0"/>
  </r>
  <r>
    <x v="0"/>
    <n v="0"/>
  </r>
  <r>
    <x v="1"/>
    <n v="72.198000000000093"/>
  </r>
  <r>
    <x v="1"/>
    <n v="0"/>
  </r>
  <r>
    <x v="1"/>
    <n v="0"/>
  </r>
  <r>
    <x v="2"/>
    <n v="1109.3145555555584"/>
  </r>
  <r>
    <x v="2"/>
    <n v="1008.9571555555584"/>
  </r>
  <r>
    <x v="2"/>
    <n v="77.738960000000006"/>
  </r>
  <r>
    <x v="3"/>
    <n v="1236.9642592592584"/>
  </r>
  <r>
    <x v="3"/>
    <n v="2083.3333333333335"/>
  </r>
  <r>
    <x v="3"/>
    <n v="2500"/>
  </r>
  <r>
    <x v="2"/>
    <n v="0"/>
  </r>
  <r>
    <x v="3"/>
    <n v="0"/>
  </r>
  <r>
    <x v="3"/>
    <n v="2250"/>
  </r>
  <r>
    <x v="3"/>
    <n v="1818.1415134102999"/>
  </r>
  <r>
    <x v="4"/>
    <n v="1818.1415134102999"/>
  </r>
  <r>
    <x v="4"/>
    <n v="1818.1415134102999"/>
  </r>
  <r>
    <x v="4"/>
    <n v="1818.1415134102999"/>
  </r>
  <r>
    <x v="4"/>
    <n v="0"/>
  </r>
  <r>
    <x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832EE-91D4-45B9-AD20-C6F78A76FED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2:J58" firstHeaderRow="1" firstDataRow="1" firstDataCol="1"/>
  <pivotFields count="2">
    <pivotField axis="axisRow" showAll="0">
      <items count="6">
        <item x="0"/>
        <item x="2"/>
        <item x="1"/>
        <item x="4"/>
        <item x="3"/>
        <item t="default"/>
      </items>
    </pivotField>
    <pivotField dataField="1" numFmtId="178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January" fld="1" baseField="0" baseItem="0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7" dT="2026-02-09T12:44:01.09" personId="{4FB2D67B-92F8-41F0-B21E-5D96C2283F80}" id="{1BFF1343-53DE-4286-8DEF-50489254C1ED}">
    <text>Material Ledger impact</text>
  </threadedComment>
</ThreadedComment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20F7-CE18-439F-99AA-D0E642B7F2F2}">
  <sheetPr>
    <tabColor rgb="FFFFC000"/>
  </sheetPr>
  <dimension ref="B1:C19"/>
  <sheetViews>
    <sheetView workbookViewId="0">
      <selection activeCell="C14" sqref="C14"/>
    </sheetView>
  </sheetViews>
  <sheetFormatPr defaultRowHeight="14.4" x14ac:dyDescent="0.3"/>
  <cols>
    <col min="3" max="3" width="75.77734375" bestFit="1" customWidth="1"/>
  </cols>
  <sheetData>
    <row r="1" spans="2:3" x14ac:dyDescent="0.3">
      <c r="B1" s="71" t="s">
        <v>14</v>
      </c>
    </row>
    <row r="2" spans="2:3" x14ac:dyDescent="0.3">
      <c r="B2" t="s">
        <v>15</v>
      </c>
      <c r="C2" t="s">
        <v>16</v>
      </c>
    </row>
    <row r="3" spans="2:3" x14ac:dyDescent="0.3">
      <c r="B3" t="s">
        <v>17</v>
      </c>
      <c r="C3" t="s">
        <v>18</v>
      </c>
    </row>
    <row r="4" spans="2:3" x14ac:dyDescent="0.3">
      <c r="B4" t="s">
        <v>19</v>
      </c>
      <c r="C4" t="s">
        <v>20</v>
      </c>
    </row>
    <row r="6" spans="2:3" x14ac:dyDescent="0.3">
      <c r="B6" t="s">
        <v>21</v>
      </c>
      <c r="C6" t="s">
        <v>22</v>
      </c>
    </row>
    <row r="7" spans="2:3" x14ac:dyDescent="0.3">
      <c r="B7" t="s">
        <v>23</v>
      </c>
      <c r="C7" t="s">
        <v>24</v>
      </c>
    </row>
    <row r="8" spans="2:3" x14ac:dyDescent="0.3">
      <c r="C8" t="s">
        <v>25</v>
      </c>
    </row>
    <row r="9" spans="2:3" x14ac:dyDescent="0.3">
      <c r="B9" t="s">
        <v>26</v>
      </c>
      <c r="C9" t="s">
        <v>27</v>
      </c>
    </row>
    <row r="11" spans="2:3" x14ac:dyDescent="0.3">
      <c r="B11" s="32" t="s">
        <v>28</v>
      </c>
    </row>
    <row r="13" spans="2:3" x14ac:dyDescent="0.3">
      <c r="B13" t="s">
        <v>29</v>
      </c>
      <c r="C13" t="s">
        <v>30</v>
      </c>
    </row>
    <row r="14" spans="2:3" x14ac:dyDescent="0.3">
      <c r="B14" t="s">
        <v>31</v>
      </c>
      <c r="C14" t="s">
        <v>32</v>
      </c>
    </row>
    <row r="15" spans="2:3" x14ac:dyDescent="0.3">
      <c r="B15" t="s">
        <v>19</v>
      </c>
      <c r="C15" t="s">
        <v>33</v>
      </c>
    </row>
    <row r="16" spans="2:3" x14ac:dyDescent="0.3">
      <c r="B16" t="s">
        <v>34</v>
      </c>
      <c r="C16" t="s">
        <v>35</v>
      </c>
    </row>
    <row r="17" spans="2:3" x14ac:dyDescent="0.3">
      <c r="B17" t="s">
        <v>36</v>
      </c>
      <c r="C17" t="s">
        <v>37</v>
      </c>
    </row>
    <row r="18" spans="2:3" x14ac:dyDescent="0.3">
      <c r="B18" t="s">
        <v>26</v>
      </c>
      <c r="C18" t="s">
        <v>38</v>
      </c>
    </row>
    <row r="19" spans="2:3" x14ac:dyDescent="0.3">
      <c r="B19" t="s">
        <v>39</v>
      </c>
      <c r="C19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0697-7D22-4239-B441-947CB1806D71}">
  <sheetPr>
    <tabColor rgb="FFFFC000"/>
  </sheetPr>
  <dimension ref="B2:C18"/>
  <sheetViews>
    <sheetView showGridLines="0" workbookViewId="0">
      <selection activeCell="C2" sqref="C2"/>
    </sheetView>
  </sheetViews>
  <sheetFormatPr defaultRowHeight="14.4" x14ac:dyDescent="0.3"/>
  <cols>
    <col min="2" max="2" width="15.77734375" customWidth="1"/>
    <col min="3" max="3" width="132" customWidth="1"/>
  </cols>
  <sheetData>
    <row r="2" spans="2:3" x14ac:dyDescent="0.3">
      <c r="B2" s="96" t="s">
        <v>41</v>
      </c>
      <c r="C2" s="97" t="s">
        <v>42</v>
      </c>
    </row>
    <row r="3" spans="2:3" x14ac:dyDescent="0.3">
      <c r="B3" s="97"/>
      <c r="C3" s="97"/>
    </row>
    <row r="4" spans="2:3" x14ac:dyDescent="0.3">
      <c r="B4" s="96" t="s">
        <v>43</v>
      </c>
      <c r="C4" s="97" t="s">
        <v>44</v>
      </c>
    </row>
    <row r="5" spans="2:3" x14ac:dyDescent="0.3">
      <c r="B5" s="96"/>
      <c r="C5" s="97"/>
    </row>
    <row r="6" spans="2:3" ht="28.8" x14ac:dyDescent="0.3">
      <c r="B6" s="96" t="s">
        <v>45</v>
      </c>
      <c r="C6" s="98" t="s">
        <v>46</v>
      </c>
    </row>
    <row r="7" spans="2:3" x14ac:dyDescent="0.3">
      <c r="B7" s="96"/>
      <c r="C7" s="97"/>
    </row>
    <row r="8" spans="2:3" ht="28.8" x14ac:dyDescent="0.3">
      <c r="B8" s="96" t="s">
        <v>47</v>
      </c>
      <c r="C8" s="98" t="s">
        <v>48</v>
      </c>
    </row>
    <row r="9" spans="2:3" x14ac:dyDescent="0.3">
      <c r="B9" s="96"/>
      <c r="C9" s="97"/>
    </row>
    <row r="10" spans="2:3" x14ac:dyDescent="0.3">
      <c r="B10" s="96" t="s">
        <v>49</v>
      </c>
      <c r="C10" s="97" t="s">
        <v>50</v>
      </c>
    </row>
    <row r="11" spans="2:3" x14ac:dyDescent="0.3">
      <c r="B11" s="96"/>
      <c r="C11" s="97"/>
    </row>
    <row r="12" spans="2:3" x14ac:dyDescent="0.3">
      <c r="B12" s="96" t="s">
        <v>51</v>
      </c>
      <c r="C12" s="97" t="s">
        <v>52</v>
      </c>
    </row>
    <row r="13" spans="2:3" x14ac:dyDescent="0.3">
      <c r="B13" s="96"/>
      <c r="C13" s="97"/>
    </row>
    <row r="14" spans="2:3" ht="28.8" x14ac:dyDescent="0.3">
      <c r="B14" s="96" t="s">
        <v>53</v>
      </c>
      <c r="C14" s="98" t="s">
        <v>54</v>
      </c>
    </row>
    <row r="15" spans="2:3" x14ac:dyDescent="0.3">
      <c r="B15" s="96"/>
      <c r="C15" s="97"/>
    </row>
    <row r="16" spans="2:3" x14ac:dyDescent="0.3">
      <c r="B16" s="96" t="s">
        <v>55</v>
      </c>
      <c r="C16" s="97" t="s">
        <v>56</v>
      </c>
    </row>
    <row r="17" spans="2:3" x14ac:dyDescent="0.3">
      <c r="B17" s="97"/>
      <c r="C17" s="97"/>
    </row>
    <row r="18" spans="2:3" x14ac:dyDescent="0.3">
      <c r="B18" s="96" t="s">
        <v>57</v>
      </c>
      <c r="C18" s="9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3B95-2A7A-4D7C-8483-1E8D02965F9B}">
  <sheetPr>
    <tabColor rgb="FF0070C0"/>
  </sheetPr>
  <dimension ref="A1:Q49"/>
  <sheetViews>
    <sheetView showGridLines="0" zoomScale="70" zoomScaleNormal="70" workbookViewId="0">
      <selection activeCell="L17" sqref="L17"/>
    </sheetView>
  </sheetViews>
  <sheetFormatPr defaultRowHeight="14.4" x14ac:dyDescent="0.3"/>
  <cols>
    <col min="1" max="1" width="11.21875" style="32" customWidth="1"/>
    <col min="2" max="2" width="14.21875" style="32" bestFit="1" customWidth="1"/>
    <col min="3" max="4" width="10.21875" hidden="1" customWidth="1"/>
    <col min="5" max="5" width="0" hidden="1" customWidth="1"/>
    <col min="6" max="6" width="10.21875" hidden="1" customWidth="1"/>
    <col min="15" max="15" width="10.21875" bestFit="1" customWidth="1"/>
  </cols>
  <sheetData>
    <row r="1" spans="1:17" x14ac:dyDescent="0.3">
      <c r="A1" s="81" t="s">
        <v>436</v>
      </c>
    </row>
    <row r="3" spans="1:17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7" x14ac:dyDescent="0.3">
      <c r="A4" s="731" t="s">
        <v>100</v>
      </c>
      <c r="B4" s="78" t="s">
        <v>101</v>
      </c>
      <c r="C4" s="707">
        <v>236.73</v>
      </c>
      <c r="D4" s="707">
        <v>215</v>
      </c>
      <c r="E4" s="707">
        <v>132</v>
      </c>
      <c r="F4" s="708">
        <v>245</v>
      </c>
      <c r="G4" s="708">
        <v>253.0137207425343</v>
      </c>
      <c r="H4" s="708">
        <v>245.10066769388803</v>
      </c>
      <c r="I4" s="708">
        <v>242.74112772792733</v>
      </c>
      <c r="J4" s="708">
        <v>238.75754708097929</v>
      </c>
      <c r="K4" s="708">
        <v>242.00530499914399</v>
      </c>
      <c r="L4" s="708">
        <v>244.84654915254237</v>
      </c>
      <c r="M4" s="708">
        <v>243.19019854721552</v>
      </c>
      <c r="N4" s="708">
        <v>245.46848454636091</v>
      </c>
      <c r="O4" s="340">
        <f>AVERAGE(C4:N4)</f>
        <v>231.9878000408826</v>
      </c>
    </row>
    <row r="5" spans="1:17" x14ac:dyDescent="0.3">
      <c r="A5" s="732"/>
      <c r="B5" s="78" t="s">
        <v>102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 t="e">
        <f t="shared" ref="O5" si="0">AVERAGE(C5:N5)</f>
        <v>#DIV/0!</v>
      </c>
    </row>
    <row r="6" spans="1:17" x14ac:dyDescent="0.3">
      <c r="A6" s="733"/>
      <c r="B6" s="79" t="s">
        <v>67</v>
      </c>
      <c r="C6" s="77">
        <f>C4+C5</f>
        <v>236.73</v>
      </c>
      <c r="D6" s="77">
        <f t="shared" ref="D6:N6" si="1">D4+D5</f>
        <v>215</v>
      </c>
      <c r="E6" s="77">
        <f t="shared" si="1"/>
        <v>132</v>
      </c>
      <c r="F6" s="77">
        <f t="shared" si="1"/>
        <v>245</v>
      </c>
      <c r="G6" s="706">
        <f t="shared" si="1"/>
        <v>253.0137207425343</v>
      </c>
      <c r="H6" s="706">
        <f t="shared" si="1"/>
        <v>245.10066769388803</v>
      </c>
      <c r="I6" s="706">
        <f t="shared" si="1"/>
        <v>242.74112772792733</v>
      </c>
      <c r="J6" s="706">
        <f t="shared" si="1"/>
        <v>238.75754708097929</v>
      </c>
      <c r="K6" s="706">
        <f t="shared" si="1"/>
        <v>242.00530499914399</v>
      </c>
      <c r="L6" s="706">
        <f t="shared" si="1"/>
        <v>244.84654915254237</v>
      </c>
      <c r="M6" s="706">
        <f t="shared" si="1"/>
        <v>243.19019854721552</v>
      </c>
      <c r="N6" s="706">
        <f t="shared" si="1"/>
        <v>245.46848454636091</v>
      </c>
      <c r="O6" s="225">
        <f>AVERAGE(C6:N6)</f>
        <v>231.9878000408826</v>
      </c>
    </row>
    <row r="8" spans="1:17" x14ac:dyDescent="0.3">
      <c r="B8" s="80" t="s">
        <v>103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 t="e">
        <f>AVERAGE(C8:N8)</f>
        <v>#DIV/0!</v>
      </c>
    </row>
    <row r="10" spans="1:17" x14ac:dyDescent="0.3">
      <c r="C10" s="1" t="s">
        <v>0</v>
      </c>
      <c r="D10" s="1" t="s">
        <v>1</v>
      </c>
      <c r="E10" s="1" t="s">
        <v>2</v>
      </c>
      <c r="F10" s="1" t="s">
        <v>3</v>
      </c>
      <c r="G10" s="1" t="s">
        <v>4</v>
      </c>
      <c r="H10" s="1" t="s">
        <v>5</v>
      </c>
      <c r="I10" s="1" t="s">
        <v>6</v>
      </c>
      <c r="J10" s="1" t="s">
        <v>7</v>
      </c>
      <c r="K10" s="1" t="s">
        <v>8</v>
      </c>
      <c r="L10" s="1" t="s">
        <v>9</v>
      </c>
      <c r="M10" s="1" t="s">
        <v>10</v>
      </c>
      <c r="N10" s="1" t="s">
        <v>11</v>
      </c>
      <c r="O10" s="1" t="s">
        <v>12</v>
      </c>
    </row>
    <row r="11" spans="1:17" x14ac:dyDescent="0.3">
      <c r="A11" s="731" t="s">
        <v>104</v>
      </c>
      <c r="B11" s="78" t="s">
        <v>101</v>
      </c>
      <c r="C11" s="75">
        <v>85</v>
      </c>
      <c r="D11" s="664">
        <v>82</v>
      </c>
      <c r="E11" s="664">
        <v>69</v>
      </c>
      <c r="F11" s="641">
        <v>85</v>
      </c>
      <c r="G11" s="641">
        <v>85</v>
      </c>
      <c r="H11" s="641">
        <v>85</v>
      </c>
      <c r="I11" s="641">
        <v>85</v>
      </c>
      <c r="J11" s="641">
        <v>85</v>
      </c>
      <c r="K11" s="641">
        <v>85</v>
      </c>
      <c r="L11" s="641">
        <v>85</v>
      </c>
      <c r="M11" s="641">
        <v>85</v>
      </c>
      <c r="N11" s="641">
        <v>85</v>
      </c>
      <c r="O11" s="75">
        <f>AVERAGE(C11:N11)</f>
        <v>83.416666666666671</v>
      </c>
    </row>
    <row r="12" spans="1:17" x14ac:dyDescent="0.3">
      <c r="A12" s="732"/>
      <c r="B12" s="78" t="s">
        <v>102</v>
      </c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 t="e">
        <f t="shared" ref="O12:O13" si="2">AVERAGE(C12:N12)</f>
        <v>#DIV/0!</v>
      </c>
    </row>
    <row r="13" spans="1:17" x14ac:dyDescent="0.3">
      <c r="A13" s="733"/>
      <c r="B13" s="79" t="s">
        <v>67</v>
      </c>
      <c r="C13" s="77">
        <f>C11+C12</f>
        <v>85</v>
      </c>
      <c r="D13" s="77">
        <f t="shared" ref="D13:N13" si="3">D11+D12</f>
        <v>82</v>
      </c>
      <c r="E13" s="77">
        <f t="shared" si="3"/>
        <v>69</v>
      </c>
      <c r="F13" s="77">
        <f t="shared" si="3"/>
        <v>85</v>
      </c>
      <c r="G13" s="77">
        <f t="shared" si="3"/>
        <v>85</v>
      </c>
      <c r="H13" s="77">
        <f t="shared" si="3"/>
        <v>85</v>
      </c>
      <c r="I13" s="77">
        <f t="shared" si="3"/>
        <v>85</v>
      </c>
      <c r="J13" s="77">
        <f t="shared" si="3"/>
        <v>85</v>
      </c>
      <c r="K13" s="77">
        <f t="shared" si="3"/>
        <v>85</v>
      </c>
      <c r="L13" s="77">
        <f t="shared" si="3"/>
        <v>85</v>
      </c>
      <c r="M13" s="77">
        <f t="shared" si="3"/>
        <v>85</v>
      </c>
      <c r="N13" s="77">
        <f t="shared" si="3"/>
        <v>85</v>
      </c>
      <c r="O13" s="225">
        <f t="shared" si="2"/>
        <v>83.416666666666671</v>
      </c>
    </row>
    <row r="14" spans="1:17" x14ac:dyDescent="0.3">
      <c r="C14" s="103"/>
      <c r="D14" s="103"/>
      <c r="E14" s="103"/>
      <c r="F14" s="103"/>
      <c r="G14" s="103"/>
    </row>
    <row r="15" spans="1:17" x14ac:dyDescent="0.3"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</row>
    <row r="16" spans="1:17" x14ac:dyDescent="0.3">
      <c r="C16" s="1" t="s">
        <v>0</v>
      </c>
      <c r="D16" s="1" t="s">
        <v>1</v>
      </c>
      <c r="E16" s="1" t="s">
        <v>2</v>
      </c>
      <c r="F16" s="1" t="s">
        <v>3</v>
      </c>
      <c r="G16" s="1" t="s">
        <v>4</v>
      </c>
      <c r="H16" s="1" t="s">
        <v>5</v>
      </c>
      <c r="I16" s="1" t="s">
        <v>6</v>
      </c>
      <c r="J16" s="1" t="s">
        <v>7</v>
      </c>
      <c r="K16" s="1" t="s">
        <v>8</v>
      </c>
      <c r="L16" s="1" t="s">
        <v>9</v>
      </c>
      <c r="M16" s="1" t="s">
        <v>10</v>
      </c>
      <c r="N16" s="1" t="s">
        <v>11</v>
      </c>
      <c r="O16" s="1" t="s">
        <v>12</v>
      </c>
    </row>
    <row r="17" spans="1:15" x14ac:dyDescent="0.3">
      <c r="A17" s="731" t="s">
        <v>106</v>
      </c>
      <c r="B17" s="78" t="s">
        <v>101</v>
      </c>
      <c r="C17" s="75">
        <v>22</v>
      </c>
      <c r="D17" s="664">
        <v>22</v>
      </c>
      <c r="E17" s="664">
        <v>22</v>
      </c>
      <c r="F17" s="641">
        <v>22</v>
      </c>
      <c r="G17" s="641">
        <v>22</v>
      </c>
      <c r="H17" s="641">
        <v>22</v>
      </c>
      <c r="I17" s="641">
        <v>22</v>
      </c>
      <c r="J17" s="641">
        <v>23</v>
      </c>
      <c r="K17" s="641">
        <v>23</v>
      </c>
      <c r="L17" s="641">
        <v>23</v>
      </c>
      <c r="M17" s="641">
        <v>23</v>
      </c>
      <c r="N17" s="641">
        <v>23</v>
      </c>
      <c r="O17" s="196">
        <f>AVERAGE(C17:N17)</f>
        <v>22.416666666666668</v>
      </c>
    </row>
    <row r="18" spans="1:15" x14ac:dyDescent="0.3">
      <c r="A18" s="732"/>
      <c r="B18" s="78" t="s">
        <v>102</v>
      </c>
      <c r="C18" s="75">
        <v>3.5</v>
      </c>
      <c r="D18" s="75">
        <v>3.5</v>
      </c>
      <c r="E18" s="75">
        <v>3.5</v>
      </c>
      <c r="F18" s="642">
        <v>4.5</v>
      </c>
      <c r="G18" s="642">
        <v>4.5</v>
      </c>
      <c r="H18" s="642">
        <v>4.5</v>
      </c>
      <c r="I18" s="642">
        <v>4.5</v>
      </c>
      <c r="J18" s="642">
        <v>4.5</v>
      </c>
      <c r="K18" s="642">
        <v>4.5</v>
      </c>
      <c r="L18" s="642">
        <v>4.5</v>
      </c>
      <c r="M18" s="642">
        <v>4.5</v>
      </c>
      <c r="N18" s="642">
        <v>4.5</v>
      </c>
      <c r="O18" s="196">
        <f>AVERAGE(C18:N18)</f>
        <v>4.25</v>
      </c>
    </row>
    <row r="19" spans="1:15" x14ac:dyDescent="0.3">
      <c r="A19" s="734"/>
      <c r="B19" s="78" t="s">
        <v>105</v>
      </c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196" t="e">
        <f>AVERAGE(C19:N19)</f>
        <v>#DIV/0!</v>
      </c>
    </row>
    <row r="20" spans="1:15" x14ac:dyDescent="0.3">
      <c r="A20" s="733"/>
      <c r="B20" s="79" t="s">
        <v>67</v>
      </c>
      <c r="C20" s="77">
        <f t="shared" ref="C20:N20" si="4">C17+C18+C19</f>
        <v>25.5</v>
      </c>
      <c r="D20" s="77">
        <f t="shared" si="4"/>
        <v>25.5</v>
      </c>
      <c r="E20" s="77">
        <f t="shared" si="4"/>
        <v>25.5</v>
      </c>
      <c r="F20" s="77">
        <f t="shared" si="4"/>
        <v>26.5</v>
      </c>
      <c r="G20" s="77">
        <f t="shared" si="4"/>
        <v>26.5</v>
      </c>
      <c r="H20" s="77">
        <f t="shared" si="4"/>
        <v>26.5</v>
      </c>
      <c r="I20" s="77">
        <f t="shared" si="4"/>
        <v>26.5</v>
      </c>
      <c r="J20" s="77">
        <f t="shared" si="4"/>
        <v>27.5</v>
      </c>
      <c r="K20" s="77">
        <f t="shared" si="4"/>
        <v>27.5</v>
      </c>
      <c r="L20" s="77">
        <f t="shared" si="4"/>
        <v>27.5</v>
      </c>
      <c r="M20" s="77">
        <f t="shared" si="4"/>
        <v>27.5</v>
      </c>
      <c r="N20" s="77">
        <f t="shared" si="4"/>
        <v>27.5</v>
      </c>
      <c r="O20" s="222">
        <f t="shared" ref="O20" si="5">AVERAGE(C20:N20)</f>
        <v>26.666666666666668</v>
      </c>
    </row>
    <row r="22" spans="1:15" x14ac:dyDescent="0.3">
      <c r="C22" s="105"/>
      <c r="D22" s="105"/>
      <c r="E22" s="105"/>
      <c r="F22" s="105"/>
      <c r="G22" s="105"/>
      <c r="H22" s="105"/>
      <c r="I22" s="105"/>
    </row>
    <row r="24" spans="1:15" x14ac:dyDescent="0.3">
      <c r="C24" s="1" t="s">
        <v>0</v>
      </c>
      <c r="D24" s="1" t="s">
        <v>1</v>
      </c>
      <c r="E24" s="1" t="s">
        <v>2</v>
      </c>
      <c r="F24" s="1" t="s">
        <v>3</v>
      </c>
      <c r="G24" s="1" t="s">
        <v>4</v>
      </c>
      <c r="H24" s="1" t="s">
        <v>5</v>
      </c>
      <c r="I24" s="1" t="s">
        <v>6</v>
      </c>
      <c r="J24" s="1" t="s">
        <v>107</v>
      </c>
      <c r="K24" s="1" t="s">
        <v>437</v>
      </c>
      <c r="L24" s="1" t="s">
        <v>9</v>
      </c>
      <c r="M24" s="1" t="s">
        <v>10</v>
      </c>
      <c r="N24" s="1" t="s">
        <v>11</v>
      </c>
      <c r="O24" s="1" t="s">
        <v>12</v>
      </c>
    </row>
    <row r="25" spans="1:15" x14ac:dyDescent="0.3">
      <c r="B25" s="129" t="s">
        <v>108</v>
      </c>
      <c r="C25" s="77">
        <f>+C6</f>
        <v>236.73</v>
      </c>
      <c r="D25" s="77">
        <f t="shared" ref="D25:N25" si="6">+D6</f>
        <v>215</v>
      </c>
      <c r="E25" s="77">
        <f t="shared" si="6"/>
        <v>132</v>
      </c>
      <c r="F25" s="77">
        <f t="shared" si="6"/>
        <v>245</v>
      </c>
      <c r="G25" s="77">
        <f t="shared" si="6"/>
        <v>253.0137207425343</v>
      </c>
      <c r="H25" s="77">
        <f t="shared" si="6"/>
        <v>245.10066769388803</v>
      </c>
      <c r="I25" s="77">
        <f t="shared" si="6"/>
        <v>242.74112772792733</v>
      </c>
      <c r="J25" s="77">
        <f t="shared" si="6"/>
        <v>238.75754708097929</v>
      </c>
      <c r="K25" s="77">
        <f t="shared" si="6"/>
        <v>242.00530499914399</v>
      </c>
      <c r="L25" s="77">
        <f t="shared" si="6"/>
        <v>244.84654915254237</v>
      </c>
      <c r="M25" s="77">
        <f t="shared" si="6"/>
        <v>243.19019854721552</v>
      </c>
      <c r="N25" s="77">
        <f t="shared" si="6"/>
        <v>245.46848454636091</v>
      </c>
      <c r="O25" s="408">
        <f>O6</f>
        <v>231.9878000408826</v>
      </c>
    </row>
    <row r="26" spans="1:15" x14ac:dyDescent="0.3">
      <c r="B26" s="129" t="s">
        <v>109</v>
      </c>
      <c r="C26" s="77">
        <f>+C13</f>
        <v>85</v>
      </c>
      <c r="D26" s="77">
        <f t="shared" ref="D26:N26" si="7">+D13</f>
        <v>82</v>
      </c>
      <c r="E26" s="77">
        <f t="shared" si="7"/>
        <v>69</v>
      </c>
      <c r="F26" s="77">
        <f t="shared" si="7"/>
        <v>85</v>
      </c>
      <c r="G26" s="77">
        <f t="shared" si="7"/>
        <v>85</v>
      </c>
      <c r="H26" s="77">
        <f t="shared" si="7"/>
        <v>85</v>
      </c>
      <c r="I26" s="77">
        <f t="shared" si="7"/>
        <v>85</v>
      </c>
      <c r="J26" s="77">
        <f t="shared" si="7"/>
        <v>85</v>
      </c>
      <c r="K26" s="77">
        <f t="shared" si="7"/>
        <v>85</v>
      </c>
      <c r="L26" s="77">
        <f t="shared" si="7"/>
        <v>85</v>
      </c>
      <c r="M26" s="77">
        <f t="shared" si="7"/>
        <v>85</v>
      </c>
      <c r="N26" s="77">
        <f t="shared" si="7"/>
        <v>85</v>
      </c>
      <c r="O26" s="408">
        <f t="shared" ref="O26" si="8">O13</f>
        <v>83.416666666666671</v>
      </c>
    </row>
    <row r="27" spans="1:15" x14ac:dyDescent="0.3">
      <c r="B27" s="129" t="s">
        <v>110</v>
      </c>
      <c r="C27" s="219">
        <f>C25+C26</f>
        <v>321.73</v>
      </c>
      <c r="D27" s="219">
        <f t="shared" ref="D27:O27" si="9">D25+D26</f>
        <v>297</v>
      </c>
      <c r="E27" s="219">
        <f t="shared" si="9"/>
        <v>201</v>
      </c>
      <c r="F27" s="219">
        <f t="shared" si="9"/>
        <v>330</v>
      </c>
      <c r="G27" s="219">
        <f t="shared" si="9"/>
        <v>338.0137207425343</v>
      </c>
      <c r="H27" s="219">
        <f t="shared" si="9"/>
        <v>330.100667693888</v>
      </c>
      <c r="I27" s="219">
        <f t="shared" si="9"/>
        <v>327.74112772792733</v>
      </c>
      <c r="J27" s="219">
        <f t="shared" si="9"/>
        <v>323.75754708097929</v>
      </c>
      <c r="K27" s="219">
        <f t="shared" si="9"/>
        <v>327.00530499914396</v>
      </c>
      <c r="L27" s="219">
        <f t="shared" si="9"/>
        <v>329.84654915254237</v>
      </c>
      <c r="M27" s="219">
        <f t="shared" si="9"/>
        <v>328.19019854721552</v>
      </c>
      <c r="N27" s="219">
        <f t="shared" si="9"/>
        <v>330.46848454636091</v>
      </c>
      <c r="O27" s="409">
        <f t="shared" si="9"/>
        <v>315.40446670754926</v>
      </c>
    </row>
    <row r="29" spans="1:15" x14ac:dyDescent="0.3">
      <c r="B29" s="129" t="s">
        <v>111</v>
      </c>
      <c r="C29" s="220">
        <f>+C26/C27</f>
        <v>0.26419668666272961</v>
      </c>
      <c r="D29" s="220">
        <f t="shared" ref="D29:N29" si="10">+D26/D27</f>
        <v>0.27609427609427611</v>
      </c>
      <c r="E29" s="220">
        <f t="shared" si="10"/>
        <v>0.34328358208955223</v>
      </c>
      <c r="F29" s="220">
        <f t="shared" si="10"/>
        <v>0.25757575757575757</v>
      </c>
      <c r="G29" s="220">
        <f t="shared" si="10"/>
        <v>0.25146908182684297</v>
      </c>
      <c r="H29" s="220">
        <f t="shared" si="10"/>
        <v>0.25749720712114094</v>
      </c>
      <c r="I29" s="220">
        <f t="shared" si="10"/>
        <v>0.25935103289985117</v>
      </c>
      <c r="J29" s="220">
        <f t="shared" si="10"/>
        <v>0.26254214231101625</v>
      </c>
      <c r="K29" s="220">
        <f t="shared" si="10"/>
        <v>0.25993462093901659</v>
      </c>
      <c r="L29" s="220">
        <f t="shared" si="10"/>
        <v>0.25769558668534231</v>
      </c>
      <c r="M29" s="220">
        <f t="shared" si="10"/>
        <v>0.25899615642473661</v>
      </c>
      <c r="N29" s="220">
        <f t="shared" si="10"/>
        <v>0.25721060849926669</v>
      </c>
      <c r="O29" s="70"/>
    </row>
    <row r="32" spans="1:15" x14ac:dyDescent="0.3">
      <c r="A32" s="519" t="s">
        <v>453</v>
      </c>
      <c r="C32" s="1" t="s">
        <v>0</v>
      </c>
      <c r="D32" s="1" t="s">
        <v>1</v>
      </c>
      <c r="E32" s="1" t="s">
        <v>2</v>
      </c>
      <c r="F32" s="1" t="s">
        <v>3</v>
      </c>
      <c r="G32" s="1" t="s">
        <v>4</v>
      </c>
      <c r="H32" s="1" t="s">
        <v>5</v>
      </c>
      <c r="I32" s="1" t="s">
        <v>6</v>
      </c>
      <c r="J32" s="1" t="s">
        <v>7</v>
      </c>
      <c r="K32" s="1" t="s">
        <v>8</v>
      </c>
      <c r="L32" s="1" t="s">
        <v>9</v>
      </c>
      <c r="M32" s="1" t="s">
        <v>10</v>
      </c>
      <c r="N32" s="1" t="s">
        <v>11</v>
      </c>
      <c r="O32" s="1" t="s">
        <v>12</v>
      </c>
    </row>
    <row r="33" spans="1:16" x14ac:dyDescent="0.3">
      <c r="A33" s="731" t="s">
        <v>100</v>
      </c>
      <c r="B33" s="78" t="s">
        <v>101</v>
      </c>
      <c r="C33" s="75">
        <v>244</v>
      </c>
      <c r="D33" s="75">
        <v>244</v>
      </c>
      <c r="E33" s="75">
        <v>244</v>
      </c>
      <c r="F33" s="75">
        <v>244</v>
      </c>
      <c r="G33" s="75">
        <v>247</v>
      </c>
      <c r="H33" s="75">
        <v>245</v>
      </c>
      <c r="I33" s="75">
        <v>245</v>
      </c>
      <c r="J33" s="75">
        <v>251</v>
      </c>
      <c r="K33" s="75">
        <v>252</v>
      </c>
      <c r="L33" s="75">
        <v>250</v>
      </c>
      <c r="M33" s="75">
        <v>251</v>
      </c>
      <c r="N33" s="75">
        <v>252</v>
      </c>
      <c r="O33" s="340">
        <f>AVERAGE(C33:N33)</f>
        <v>247.41666666666666</v>
      </c>
    </row>
    <row r="34" spans="1:16" x14ac:dyDescent="0.3">
      <c r="A34" s="732"/>
      <c r="B34" s="78" t="s">
        <v>102</v>
      </c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 t="e">
        <f t="shared" ref="O34" si="11">AVERAGE(C34:N34)</f>
        <v>#DIV/0!</v>
      </c>
    </row>
    <row r="35" spans="1:16" x14ac:dyDescent="0.3">
      <c r="A35" s="733"/>
      <c r="B35" s="79" t="s">
        <v>67</v>
      </c>
      <c r="C35" s="77">
        <f>C33+C34</f>
        <v>244</v>
      </c>
      <c r="D35" s="77">
        <f t="shared" ref="D35:N35" si="12">D33+D34</f>
        <v>244</v>
      </c>
      <c r="E35" s="77">
        <f t="shared" si="12"/>
        <v>244</v>
      </c>
      <c r="F35" s="77">
        <f t="shared" si="12"/>
        <v>244</v>
      </c>
      <c r="G35" s="77">
        <f t="shared" si="12"/>
        <v>247</v>
      </c>
      <c r="H35" s="77">
        <f t="shared" si="12"/>
        <v>245</v>
      </c>
      <c r="I35" s="77">
        <f t="shared" si="12"/>
        <v>245</v>
      </c>
      <c r="J35" s="77">
        <f t="shared" si="12"/>
        <v>251</v>
      </c>
      <c r="K35" s="77">
        <f t="shared" si="12"/>
        <v>252</v>
      </c>
      <c r="L35" s="77">
        <f t="shared" si="12"/>
        <v>250</v>
      </c>
      <c r="M35" s="77">
        <f t="shared" si="12"/>
        <v>251</v>
      </c>
      <c r="N35" s="77">
        <f t="shared" si="12"/>
        <v>252</v>
      </c>
      <c r="O35" s="225">
        <f>AVERAGE(C35:N35)</f>
        <v>247.41666666666666</v>
      </c>
    </row>
    <row r="37" spans="1:16" x14ac:dyDescent="0.3">
      <c r="B37" s="80" t="s">
        <v>103</v>
      </c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 t="e">
        <f>AVERAGE(C37:N37)</f>
        <v>#DIV/0!</v>
      </c>
    </row>
    <row r="39" spans="1:16" x14ac:dyDescent="0.3">
      <c r="A39" s="519" t="s">
        <v>453</v>
      </c>
      <c r="C39" s="1" t="s">
        <v>0</v>
      </c>
      <c r="D39" s="1" t="s">
        <v>1</v>
      </c>
      <c r="E39" s="1" t="s">
        <v>2</v>
      </c>
      <c r="F39" s="1" t="s">
        <v>3</v>
      </c>
      <c r="G39" s="1" t="s">
        <v>4</v>
      </c>
      <c r="H39" s="1" t="s">
        <v>5</v>
      </c>
      <c r="I39" s="1" t="s">
        <v>6</v>
      </c>
      <c r="J39" s="1" t="s">
        <v>7</v>
      </c>
      <c r="K39" s="1" t="s">
        <v>8</v>
      </c>
      <c r="L39" s="1" t="s">
        <v>9</v>
      </c>
      <c r="M39" s="1" t="s">
        <v>10</v>
      </c>
      <c r="N39" s="1" t="s">
        <v>11</v>
      </c>
      <c r="O39" s="1" t="s">
        <v>12</v>
      </c>
    </row>
    <row r="40" spans="1:16" x14ac:dyDescent="0.3">
      <c r="A40" s="731" t="s">
        <v>104</v>
      </c>
      <c r="B40" s="78" t="s">
        <v>101</v>
      </c>
      <c r="C40" s="520">
        <v>85</v>
      </c>
      <c r="D40" s="520">
        <v>85</v>
      </c>
      <c r="E40" s="520">
        <v>85</v>
      </c>
      <c r="F40" s="520">
        <v>85</v>
      </c>
      <c r="G40" s="520">
        <v>85</v>
      </c>
      <c r="H40" s="520">
        <v>85</v>
      </c>
      <c r="I40" s="520">
        <v>85</v>
      </c>
      <c r="J40" s="520">
        <v>85</v>
      </c>
      <c r="K40" s="520">
        <v>85</v>
      </c>
      <c r="L40" s="520">
        <v>85</v>
      </c>
      <c r="M40" s="520">
        <v>85</v>
      </c>
      <c r="N40" s="520">
        <v>85</v>
      </c>
      <c r="O40" s="75">
        <f>AVERAGE(C40:N40)</f>
        <v>85</v>
      </c>
    </row>
    <row r="41" spans="1:16" x14ac:dyDescent="0.3">
      <c r="A41" s="732"/>
      <c r="B41" s="78" t="s">
        <v>102</v>
      </c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 t="e">
        <f t="shared" ref="O41:O42" si="13">AVERAGE(C41:N41)</f>
        <v>#DIV/0!</v>
      </c>
    </row>
    <row r="42" spans="1:16" x14ac:dyDescent="0.3">
      <c r="A42" s="733"/>
      <c r="B42" s="79" t="s">
        <v>67</v>
      </c>
      <c r="C42" s="521">
        <f>C40+C41</f>
        <v>85</v>
      </c>
      <c r="D42" s="521">
        <f t="shared" ref="D42:N42" si="14">D40+D41</f>
        <v>85</v>
      </c>
      <c r="E42" s="521">
        <f t="shared" si="14"/>
        <v>85</v>
      </c>
      <c r="F42" s="521">
        <f t="shared" si="14"/>
        <v>85</v>
      </c>
      <c r="G42" s="521">
        <f t="shared" si="14"/>
        <v>85</v>
      </c>
      <c r="H42" s="521">
        <f t="shared" si="14"/>
        <v>85</v>
      </c>
      <c r="I42" s="521">
        <f t="shared" si="14"/>
        <v>85</v>
      </c>
      <c r="J42" s="521">
        <f t="shared" si="14"/>
        <v>85</v>
      </c>
      <c r="K42" s="521">
        <f t="shared" si="14"/>
        <v>85</v>
      </c>
      <c r="L42" s="521">
        <f t="shared" si="14"/>
        <v>85</v>
      </c>
      <c r="M42" s="521">
        <f t="shared" si="14"/>
        <v>85</v>
      </c>
      <c r="N42" s="521">
        <f t="shared" si="14"/>
        <v>85</v>
      </c>
      <c r="O42" s="225">
        <f t="shared" si="13"/>
        <v>85</v>
      </c>
    </row>
    <row r="43" spans="1:16" x14ac:dyDescent="0.3">
      <c r="C43" s="103"/>
      <c r="D43" s="103"/>
      <c r="E43" s="103"/>
      <c r="F43" s="103"/>
      <c r="G43" s="103"/>
    </row>
    <row r="44" spans="1:16" x14ac:dyDescent="0.3"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</row>
    <row r="45" spans="1:16" x14ac:dyDescent="0.3">
      <c r="A45" s="519" t="s">
        <v>453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  <c r="I45" s="1" t="s">
        <v>6</v>
      </c>
      <c r="J45" s="1" t="s">
        <v>7</v>
      </c>
      <c r="K45" s="1" t="s">
        <v>8</v>
      </c>
      <c r="L45" s="1" t="s">
        <v>9</v>
      </c>
      <c r="M45" s="1" t="s">
        <v>10</v>
      </c>
      <c r="N45" s="1" t="s">
        <v>11</v>
      </c>
      <c r="O45" s="1" t="s">
        <v>12</v>
      </c>
    </row>
    <row r="46" spans="1:16" x14ac:dyDescent="0.3">
      <c r="A46" s="731" t="s">
        <v>106</v>
      </c>
      <c r="B46" s="78" t="s">
        <v>101</v>
      </c>
      <c r="C46" s="75">
        <v>22</v>
      </c>
      <c r="D46" s="75">
        <v>22</v>
      </c>
      <c r="E46" s="75">
        <v>22</v>
      </c>
      <c r="F46" s="75">
        <v>22</v>
      </c>
      <c r="G46" s="75">
        <v>22</v>
      </c>
      <c r="H46" s="75">
        <v>22</v>
      </c>
      <c r="I46" s="75">
        <v>22</v>
      </c>
      <c r="J46" s="75">
        <v>23</v>
      </c>
      <c r="K46" s="75">
        <v>23</v>
      </c>
      <c r="L46" s="75">
        <v>23</v>
      </c>
      <c r="M46" s="75">
        <v>23</v>
      </c>
      <c r="N46" s="75">
        <v>23</v>
      </c>
      <c r="O46" s="196">
        <f>AVERAGE(C46:N46)</f>
        <v>22.416666666666668</v>
      </c>
    </row>
    <row r="47" spans="1:16" x14ac:dyDescent="0.3">
      <c r="A47" s="732"/>
      <c r="B47" s="78" t="s">
        <v>102</v>
      </c>
      <c r="C47" s="75">
        <v>4.5</v>
      </c>
      <c r="D47" s="75">
        <v>4.5</v>
      </c>
      <c r="E47" s="75">
        <v>4.5</v>
      </c>
      <c r="F47" s="75">
        <v>4.5</v>
      </c>
      <c r="G47" s="75">
        <v>4.5</v>
      </c>
      <c r="H47" s="75">
        <v>4.5</v>
      </c>
      <c r="I47" s="75">
        <v>4.5</v>
      </c>
      <c r="J47" s="75">
        <v>4.5</v>
      </c>
      <c r="K47" s="75">
        <v>4.5</v>
      </c>
      <c r="L47" s="75">
        <v>4.5</v>
      </c>
      <c r="M47" s="75">
        <v>4.5</v>
      </c>
      <c r="N47" s="75">
        <v>4.5</v>
      </c>
      <c r="O47" s="196">
        <f>AVERAGE(C47:N47)</f>
        <v>4.5</v>
      </c>
      <c r="P47" t="s">
        <v>454</v>
      </c>
    </row>
    <row r="48" spans="1:16" x14ac:dyDescent="0.3">
      <c r="A48" s="734"/>
      <c r="B48" s="78" t="s">
        <v>105</v>
      </c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196" t="e">
        <f>AVERAGE(C48:N48)</f>
        <v>#DIV/0!</v>
      </c>
    </row>
    <row r="49" spans="1:15" x14ac:dyDescent="0.3">
      <c r="A49" s="733"/>
      <c r="B49" s="79" t="s">
        <v>67</v>
      </c>
      <c r="C49" s="77">
        <f t="shared" ref="C49:N49" si="15">C46+C47+C48</f>
        <v>26.5</v>
      </c>
      <c r="D49" s="77">
        <f t="shared" si="15"/>
        <v>26.5</v>
      </c>
      <c r="E49" s="77">
        <f t="shared" si="15"/>
        <v>26.5</v>
      </c>
      <c r="F49" s="77">
        <f t="shared" si="15"/>
        <v>26.5</v>
      </c>
      <c r="G49" s="77">
        <f t="shared" si="15"/>
        <v>26.5</v>
      </c>
      <c r="H49" s="77">
        <f t="shared" si="15"/>
        <v>26.5</v>
      </c>
      <c r="I49" s="77">
        <f t="shared" si="15"/>
        <v>26.5</v>
      </c>
      <c r="J49" s="77">
        <f t="shared" si="15"/>
        <v>27.5</v>
      </c>
      <c r="K49" s="77">
        <f t="shared" si="15"/>
        <v>27.5</v>
      </c>
      <c r="L49" s="77">
        <f t="shared" si="15"/>
        <v>27.5</v>
      </c>
      <c r="M49" s="77">
        <f t="shared" si="15"/>
        <v>27.5</v>
      </c>
      <c r="N49" s="77">
        <f t="shared" si="15"/>
        <v>27.5</v>
      </c>
      <c r="O49" s="222">
        <f t="shared" ref="O49" si="16">AVERAGE(C49:N49)</f>
        <v>26.916666666666668</v>
      </c>
    </row>
  </sheetData>
  <mergeCells count="6">
    <mergeCell ref="A33:A35"/>
    <mergeCell ref="A40:A42"/>
    <mergeCell ref="A46:A49"/>
    <mergeCell ref="A4:A6"/>
    <mergeCell ref="A11:A13"/>
    <mergeCell ref="A17:A20"/>
  </mergeCells>
  <phoneticPr fontId="4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C27C-21FE-45F0-B3B2-B175129D6449}">
  <sheetPr>
    <tabColor rgb="FF002060"/>
  </sheetPr>
  <dimension ref="B2:M14"/>
  <sheetViews>
    <sheetView showGridLines="0" workbookViewId="0">
      <selection activeCell="I28" sqref="I28"/>
    </sheetView>
  </sheetViews>
  <sheetFormatPr defaultRowHeight="14.4" x14ac:dyDescent="0.3"/>
  <cols>
    <col min="2" max="2" width="25.77734375" customWidth="1"/>
    <col min="7" max="7" width="6" bestFit="1" customWidth="1"/>
    <col min="8" max="8" width="2.21875" customWidth="1"/>
    <col min="10" max="10" width="2.44140625" customWidth="1"/>
    <col min="12" max="12" width="2.21875" customWidth="1"/>
    <col min="13" max="13" width="49.77734375" customWidth="1"/>
  </cols>
  <sheetData>
    <row r="2" spans="2:13" x14ac:dyDescent="0.3">
      <c r="C2" s="735" t="s">
        <v>112</v>
      </c>
      <c r="D2" s="736"/>
      <c r="E2" s="736"/>
      <c r="F2" s="736"/>
      <c r="G2" s="736"/>
      <c r="I2" s="79" t="s">
        <v>113</v>
      </c>
      <c r="K2" s="736" t="s">
        <v>114</v>
      </c>
    </row>
    <row r="3" spans="2:13" x14ac:dyDescent="0.3">
      <c r="C3" s="90" t="s">
        <v>13</v>
      </c>
      <c r="D3" s="90" t="s">
        <v>115</v>
      </c>
      <c r="E3" s="90" t="s">
        <v>116</v>
      </c>
      <c r="F3" s="90" t="s">
        <v>117</v>
      </c>
      <c r="G3" s="1" t="s">
        <v>114</v>
      </c>
      <c r="I3" s="1" t="s">
        <v>114</v>
      </c>
      <c r="K3" s="736"/>
      <c r="M3" s="72" t="s">
        <v>118</v>
      </c>
    </row>
    <row r="4" spans="2:13" x14ac:dyDescent="0.3">
      <c r="B4" s="91" t="s">
        <v>119</v>
      </c>
      <c r="C4" s="75"/>
      <c r="D4" s="75"/>
      <c r="E4" s="75"/>
      <c r="F4" s="75"/>
      <c r="G4" s="92">
        <f>SUM(C4:F4)</f>
        <v>0</v>
      </c>
      <c r="I4" s="93"/>
      <c r="K4" s="93">
        <f>G4+I4</f>
        <v>0</v>
      </c>
      <c r="M4" s="94"/>
    </row>
    <row r="5" spans="2:13" x14ac:dyDescent="0.3">
      <c r="B5" s="91" t="s">
        <v>120</v>
      </c>
      <c r="C5" s="75"/>
      <c r="D5" s="75"/>
      <c r="E5" s="75"/>
      <c r="F5" s="75"/>
      <c r="G5" s="92">
        <f t="shared" ref="G5:G13" si="0">SUM(C5:F5)</f>
        <v>0</v>
      </c>
      <c r="I5" s="93"/>
      <c r="K5" s="93">
        <f t="shared" ref="K5:K13" si="1">G5+I5</f>
        <v>0</v>
      </c>
      <c r="M5" s="94"/>
    </row>
    <row r="6" spans="2:13" x14ac:dyDescent="0.3">
      <c r="B6" s="91" t="s">
        <v>121</v>
      </c>
      <c r="C6" s="75"/>
      <c r="D6" s="75"/>
      <c r="E6" s="75"/>
      <c r="F6" s="75"/>
      <c r="G6" s="92">
        <f t="shared" si="0"/>
        <v>0</v>
      </c>
      <c r="I6" s="93"/>
      <c r="K6" s="93">
        <f t="shared" si="1"/>
        <v>0</v>
      </c>
      <c r="M6" s="94"/>
    </row>
    <row r="7" spans="2:13" x14ac:dyDescent="0.3">
      <c r="B7" s="91" t="s">
        <v>122</v>
      </c>
      <c r="C7" s="75"/>
      <c r="D7" s="75"/>
      <c r="E7" s="75"/>
      <c r="F7" s="75"/>
      <c r="G7" s="92">
        <f t="shared" si="0"/>
        <v>0</v>
      </c>
      <c r="I7" s="93"/>
      <c r="K7" s="93">
        <f t="shared" si="1"/>
        <v>0</v>
      </c>
      <c r="M7" s="94"/>
    </row>
    <row r="8" spans="2:13" x14ac:dyDescent="0.3">
      <c r="B8" s="91" t="s">
        <v>123</v>
      </c>
      <c r="C8" s="75"/>
      <c r="D8" s="75"/>
      <c r="E8" s="75"/>
      <c r="F8" s="75"/>
      <c r="G8" s="92">
        <f t="shared" si="0"/>
        <v>0</v>
      </c>
      <c r="I8" s="93"/>
      <c r="K8" s="93">
        <f t="shared" si="1"/>
        <v>0</v>
      </c>
      <c r="M8" s="94"/>
    </row>
    <row r="9" spans="2:13" x14ac:dyDescent="0.3">
      <c r="B9" s="91" t="s">
        <v>124</v>
      </c>
      <c r="C9" s="75"/>
      <c r="D9" s="75"/>
      <c r="E9" s="75"/>
      <c r="F9" s="75"/>
      <c r="G9" s="92">
        <f t="shared" si="0"/>
        <v>0</v>
      </c>
      <c r="I9" s="93"/>
      <c r="K9" s="93">
        <f t="shared" si="1"/>
        <v>0</v>
      </c>
      <c r="M9" s="94"/>
    </row>
    <row r="10" spans="2:13" x14ac:dyDescent="0.3">
      <c r="B10" s="91" t="s">
        <v>125</v>
      </c>
      <c r="C10" s="75"/>
      <c r="D10" s="75"/>
      <c r="E10" s="75"/>
      <c r="F10" s="75"/>
      <c r="G10" s="92">
        <f t="shared" si="0"/>
        <v>0</v>
      </c>
      <c r="I10" s="93"/>
      <c r="K10" s="93">
        <f t="shared" si="1"/>
        <v>0</v>
      </c>
      <c r="M10" s="94"/>
    </row>
    <row r="11" spans="2:13" x14ac:dyDescent="0.3">
      <c r="B11" s="91" t="s">
        <v>126</v>
      </c>
      <c r="C11" s="75"/>
      <c r="D11" s="75"/>
      <c r="E11" s="75"/>
      <c r="F11" s="75"/>
      <c r="G11" s="92">
        <f t="shared" si="0"/>
        <v>0</v>
      </c>
      <c r="I11" s="93"/>
      <c r="K11" s="93">
        <f t="shared" si="1"/>
        <v>0</v>
      </c>
      <c r="M11" s="94"/>
    </row>
    <row r="12" spans="2:13" x14ac:dyDescent="0.3">
      <c r="B12" s="91" t="s">
        <v>127</v>
      </c>
      <c r="C12" s="75"/>
      <c r="D12" s="75"/>
      <c r="E12" s="75"/>
      <c r="F12" s="75"/>
      <c r="G12" s="92">
        <f t="shared" si="0"/>
        <v>0</v>
      </c>
      <c r="I12" s="93"/>
      <c r="K12" s="93">
        <f t="shared" si="1"/>
        <v>0</v>
      </c>
      <c r="M12" s="94"/>
    </row>
    <row r="13" spans="2:13" x14ac:dyDescent="0.3">
      <c r="B13" s="91" t="s">
        <v>128</v>
      </c>
      <c r="C13" s="75"/>
      <c r="D13" s="75"/>
      <c r="E13" s="75"/>
      <c r="F13" s="75"/>
      <c r="G13" s="92">
        <f t="shared" si="0"/>
        <v>0</v>
      </c>
      <c r="I13" s="93"/>
      <c r="K13" s="93">
        <f t="shared" si="1"/>
        <v>0</v>
      </c>
      <c r="M13" s="94"/>
    </row>
    <row r="14" spans="2:13" x14ac:dyDescent="0.3">
      <c r="B14" s="95" t="s">
        <v>129</v>
      </c>
      <c r="C14" s="79">
        <f>SUM(C4:C13)</f>
        <v>0</v>
      </c>
      <c r="D14" s="79">
        <f t="shared" ref="D14:K14" si="2">SUM(D4:D13)</f>
        <v>0</v>
      </c>
      <c r="E14" s="79">
        <f t="shared" si="2"/>
        <v>0</v>
      </c>
      <c r="F14" s="79">
        <f t="shared" si="2"/>
        <v>0</v>
      </c>
      <c r="G14" s="79">
        <f t="shared" si="2"/>
        <v>0</v>
      </c>
      <c r="I14" s="79">
        <f t="shared" si="2"/>
        <v>0</v>
      </c>
      <c r="K14" s="79">
        <f t="shared" si="2"/>
        <v>0</v>
      </c>
      <c r="M14" s="94"/>
    </row>
  </sheetData>
  <mergeCells count="2">
    <mergeCell ref="C2:G2"/>
    <mergeCell ref="K2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AE80-0B62-4F21-85CA-42C706C3921A}">
  <sheetPr>
    <tabColor rgb="FF0070C0"/>
  </sheetPr>
  <dimension ref="I2:J13"/>
  <sheetViews>
    <sheetView workbookViewId="0">
      <selection activeCell="J2" sqref="J2:J12"/>
    </sheetView>
  </sheetViews>
  <sheetFormatPr defaultRowHeight="14.4" x14ac:dyDescent="0.3"/>
  <sheetData>
    <row r="2" spans="9:10" x14ac:dyDescent="0.3">
      <c r="I2" s="737" t="s">
        <v>455</v>
      </c>
      <c r="J2" t="s">
        <v>456</v>
      </c>
    </row>
    <row r="3" spans="9:10" x14ac:dyDescent="0.3">
      <c r="I3" s="737"/>
      <c r="J3" t="s">
        <v>457</v>
      </c>
    </row>
    <row r="4" spans="9:10" x14ac:dyDescent="0.3">
      <c r="I4" s="737"/>
      <c r="J4" t="s">
        <v>458</v>
      </c>
    </row>
    <row r="5" spans="9:10" x14ac:dyDescent="0.3">
      <c r="I5" s="737"/>
      <c r="J5" t="s">
        <v>459</v>
      </c>
    </row>
    <row r="6" spans="9:10" x14ac:dyDescent="0.3">
      <c r="I6" s="737"/>
      <c r="J6" t="s">
        <v>460</v>
      </c>
    </row>
    <row r="7" spans="9:10" x14ac:dyDescent="0.3">
      <c r="I7" s="737"/>
      <c r="J7" t="s">
        <v>461</v>
      </c>
    </row>
    <row r="8" spans="9:10" x14ac:dyDescent="0.3">
      <c r="I8" s="737"/>
      <c r="J8" t="s">
        <v>462</v>
      </c>
    </row>
    <row r="9" spans="9:10" x14ac:dyDescent="0.3">
      <c r="I9" s="737"/>
      <c r="J9" t="s">
        <v>463</v>
      </c>
    </row>
    <row r="10" spans="9:10" x14ac:dyDescent="0.3">
      <c r="I10" s="737"/>
      <c r="J10" t="s">
        <v>464</v>
      </c>
    </row>
    <row r="11" spans="9:10" x14ac:dyDescent="0.3">
      <c r="I11" s="737"/>
      <c r="J11" t="s">
        <v>465</v>
      </c>
    </row>
    <row r="12" spans="9:10" x14ac:dyDescent="0.3">
      <c r="I12" s="737"/>
      <c r="J12" t="s">
        <v>466</v>
      </c>
    </row>
    <row r="13" spans="9:10" x14ac:dyDescent="0.3">
      <c r="I13" t="s">
        <v>467</v>
      </c>
      <c r="J13" t="s">
        <v>468</v>
      </c>
    </row>
  </sheetData>
  <mergeCells count="1">
    <mergeCell ref="I2:I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C7B1-D315-4E53-9E4D-90C9A3611FE0}">
  <sheetPr>
    <tabColor rgb="FF0070C0"/>
  </sheetPr>
  <dimension ref="A1:W61"/>
  <sheetViews>
    <sheetView showGridLines="0" topLeftCell="A5" zoomScale="70" zoomScaleNormal="70" workbookViewId="0">
      <selection activeCell="E39" sqref="E39"/>
    </sheetView>
  </sheetViews>
  <sheetFormatPr defaultRowHeight="14.4" x14ac:dyDescent="0.3"/>
  <cols>
    <col min="1" max="1" width="33.77734375" bestFit="1" customWidth="1"/>
    <col min="2" max="7" width="10.33203125" bestFit="1" customWidth="1"/>
    <col min="8" max="8" width="8.77734375" bestFit="1" customWidth="1"/>
    <col min="9" max="11" width="9" bestFit="1" customWidth="1"/>
    <col min="12" max="12" width="10.33203125" bestFit="1" customWidth="1"/>
    <col min="13" max="13" width="9" bestFit="1" customWidth="1"/>
    <col min="14" max="14" width="9.6640625" bestFit="1" customWidth="1"/>
  </cols>
  <sheetData>
    <row r="1" spans="1:23" x14ac:dyDescent="0.3">
      <c r="A1" s="102" t="s">
        <v>95</v>
      </c>
      <c r="B1" s="102">
        <f>IF($V$3&gt;=B$2,1,0)</f>
        <v>1</v>
      </c>
      <c r="C1" s="102">
        <f t="shared" ref="C1:M1" si="0">IF($V$3&gt;=C$2,1,0)</f>
        <v>0</v>
      </c>
      <c r="D1" s="102">
        <f t="shared" si="0"/>
        <v>0</v>
      </c>
      <c r="E1" s="102">
        <f t="shared" si="0"/>
        <v>0</v>
      </c>
      <c r="F1" s="102">
        <f t="shared" si="0"/>
        <v>0</v>
      </c>
      <c r="G1" s="102">
        <f t="shared" si="0"/>
        <v>0</v>
      </c>
      <c r="H1" s="102">
        <f t="shared" si="0"/>
        <v>0</v>
      </c>
      <c r="I1" s="102">
        <f t="shared" si="0"/>
        <v>0</v>
      </c>
      <c r="J1" s="102">
        <f t="shared" si="0"/>
        <v>0</v>
      </c>
      <c r="K1" s="102">
        <f t="shared" si="0"/>
        <v>0</v>
      </c>
      <c r="L1" s="102">
        <f t="shared" si="0"/>
        <v>0</v>
      </c>
      <c r="M1" s="102">
        <f t="shared" si="0"/>
        <v>0</v>
      </c>
      <c r="N1" s="101"/>
    </row>
    <row r="2" spans="1:23" ht="15" thickBot="1" x14ac:dyDescent="0.35">
      <c r="A2" s="102" t="s">
        <v>177</v>
      </c>
      <c r="B2" s="102">
        <v>1</v>
      </c>
      <c r="C2" s="102">
        <v>2</v>
      </c>
      <c r="D2" s="102">
        <v>3</v>
      </c>
      <c r="E2" s="102">
        <v>4</v>
      </c>
      <c r="F2" s="102">
        <v>5</v>
      </c>
      <c r="G2" s="102">
        <v>6</v>
      </c>
      <c r="H2" s="102">
        <v>7</v>
      </c>
      <c r="I2" s="102">
        <v>8</v>
      </c>
      <c r="J2" s="102">
        <v>9</v>
      </c>
      <c r="K2" s="102">
        <v>10</v>
      </c>
      <c r="L2" s="102">
        <v>11</v>
      </c>
      <c r="M2" s="102">
        <v>12</v>
      </c>
      <c r="N2" s="101"/>
    </row>
    <row r="3" spans="1:23" ht="21.6" thickBot="1" x14ac:dyDescent="0.35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1"/>
      <c r="T3" s="438" t="s">
        <v>178</v>
      </c>
      <c r="U3" s="439" t="s">
        <v>0</v>
      </c>
      <c r="V3" s="99">
        <f>VLOOKUP(U3,List!$C$2:$D$13,2,0)</f>
        <v>1</v>
      </c>
      <c r="W3" s="100">
        <f>VLOOKUP(U3,List!$C$2:$E$13,3,0)</f>
        <v>1</v>
      </c>
    </row>
    <row r="4" spans="1:23" ht="23.4" x14ac:dyDescent="0.45">
      <c r="A4" s="31" t="s">
        <v>365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P4" s="1" t="s">
        <v>180</v>
      </c>
      <c r="Q4" s="1" t="s">
        <v>94</v>
      </c>
    </row>
    <row r="5" spans="1:23" x14ac:dyDescent="0.3">
      <c r="A5" s="10" t="s">
        <v>158</v>
      </c>
      <c r="B5" s="435">
        <v>4644.3971405777302</v>
      </c>
      <c r="C5" s="435">
        <v>5010.6745856952766</v>
      </c>
      <c r="D5" s="435">
        <v>5057.5233751080514</v>
      </c>
      <c r="E5" s="435">
        <v>4872.7557693613098</v>
      </c>
      <c r="F5" s="435">
        <v>15380.889513047947</v>
      </c>
      <c r="G5" s="435">
        <v>49280.033432983895</v>
      </c>
      <c r="H5" s="435">
        <v>49328.754781894822</v>
      </c>
      <c r="I5" s="435">
        <v>49547.307996481068</v>
      </c>
      <c r="J5" s="435">
        <v>58604.94604059984</v>
      </c>
      <c r="K5" s="435">
        <v>54442.466782263764</v>
      </c>
      <c r="L5" s="435">
        <v>52437.071332441541</v>
      </c>
      <c r="M5" s="435">
        <v>52468.258709868118</v>
      </c>
      <c r="N5" s="432">
        <f>SUM(B5:M5)</f>
        <v>401075.07946032338</v>
      </c>
      <c r="P5" s="13">
        <f>+SUMIFS(B5:M5,$B$2:$M$2,$V$3)/1000</f>
        <v>4.6443971405777305</v>
      </c>
      <c r="Q5" s="13">
        <f>+SUMIFS(B5:M5,$B$1:$M$1,$W$3)/1000</f>
        <v>4.6443971405777305</v>
      </c>
    </row>
    <row r="6" spans="1:23" x14ac:dyDescent="0.3">
      <c r="A6" s="10" t="s">
        <v>75</v>
      </c>
      <c r="B6" s="435">
        <v>0</v>
      </c>
      <c r="C6" s="435">
        <v>0</v>
      </c>
      <c r="D6" s="435">
        <v>0</v>
      </c>
      <c r="E6" s="435">
        <v>0</v>
      </c>
      <c r="F6" s="435">
        <v>0</v>
      </c>
      <c r="G6" s="435">
        <v>0</v>
      </c>
      <c r="H6" s="435">
        <v>0</v>
      </c>
      <c r="I6" s="435">
        <v>0</v>
      </c>
      <c r="J6" s="435">
        <v>0</v>
      </c>
      <c r="K6" s="435">
        <v>0</v>
      </c>
      <c r="L6" s="435">
        <v>0</v>
      </c>
      <c r="M6" s="435">
        <v>0</v>
      </c>
      <c r="N6" s="432">
        <f t="shared" ref="N6:N19" si="1">SUM(B6:M6)</f>
        <v>0</v>
      </c>
      <c r="P6" s="13">
        <f t="shared" ref="P6:P9" si="2">+SUMIFS(B6:M6,$B$2:$M$2,$V$3)/1000</f>
        <v>0</v>
      </c>
      <c r="Q6" s="13">
        <f t="shared" ref="Q6:Q9" si="3">+SUMIFS(B6:M6,$B$1:$M$1,$W$3)/1000</f>
        <v>0</v>
      </c>
    </row>
    <row r="7" spans="1:23" x14ac:dyDescent="0.3">
      <c r="A7" s="14" t="s">
        <v>76</v>
      </c>
      <c r="B7" s="435">
        <v>0</v>
      </c>
      <c r="C7" s="435">
        <v>0</v>
      </c>
      <c r="D7" s="435">
        <v>0</v>
      </c>
      <c r="E7" s="435">
        <v>6811.5</v>
      </c>
      <c r="F7" s="435">
        <v>5019</v>
      </c>
      <c r="G7" s="435">
        <v>7528.5</v>
      </c>
      <c r="H7" s="435">
        <v>6094.5</v>
      </c>
      <c r="I7" s="435">
        <v>5557.5</v>
      </c>
      <c r="J7" s="435">
        <v>7780.5</v>
      </c>
      <c r="K7" s="435">
        <v>6669</v>
      </c>
      <c r="L7" s="435">
        <v>7410</v>
      </c>
      <c r="M7" s="435">
        <v>5570.25</v>
      </c>
      <c r="N7" s="432">
        <f t="shared" si="1"/>
        <v>58440.75</v>
      </c>
      <c r="P7" s="13">
        <f t="shared" si="2"/>
        <v>0</v>
      </c>
      <c r="Q7" s="13">
        <f t="shared" si="3"/>
        <v>0</v>
      </c>
    </row>
    <row r="8" spans="1:23" x14ac:dyDescent="0.3">
      <c r="A8" s="14" t="s">
        <v>77</v>
      </c>
      <c r="B8" s="435">
        <v>0</v>
      </c>
      <c r="C8" s="435">
        <v>0</v>
      </c>
      <c r="D8" s="435">
        <v>0</v>
      </c>
      <c r="E8" s="435">
        <v>0</v>
      </c>
      <c r="F8" s="435">
        <v>0</v>
      </c>
      <c r="G8" s="435">
        <v>0</v>
      </c>
      <c r="H8" s="435">
        <v>0</v>
      </c>
      <c r="I8" s="435">
        <v>0</v>
      </c>
      <c r="J8" s="435">
        <v>0</v>
      </c>
      <c r="K8" s="435">
        <v>0</v>
      </c>
      <c r="L8" s="435">
        <v>0</v>
      </c>
      <c r="M8" s="435">
        <v>0</v>
      </c>
      <c r="N8" s="432">
        <f t="shared" si="1"/>
        <v>0</v>
      </c>
      <c r="P8" s="13">
        <f t="shared" si="2"/>
        <v>0</v>
      </c>
      <c r="Q8" s="13">
        <f t="shared" si="3"/>
        <v>0</v>
      </c>
    </row>
    <row r="9" spans="1:23" x14ac:dyDescent="0.3">
      <c r="A9" s="14" t="s">
        <v>196</v>
      </c>
      <c r="B9" s="435">
        <v>1000</v>
      </c>
      <c r="C9" s="435">
        <v>1000</v>
      </c>
      <c r="D9" s="435">
        <v>1000</v>
      </c>
      <c r="E9" s="435">
        <v>1000</v>
      </c>
      <c r="F9" s="435">
        <v>1000</v>
      </c>
      <c r="G9" s="435">
        <v>1000</v>
      </c>
      <c r="H9" s="435">
        <v>1000</v>
      </c>
      <c r="I9" s="435">
        <v>1000</v>
      </c>
      <c r="J9" s="435">
        <v>1000</v>
      </c>
      <c r="K9" s="435">
        <v>1000</v>
      </c>
      <c r="L9" s="435">
        <v>1000</v>
      </c>
      <c r="M9" s="435">
        <v>1000</v>
      </c>
      <c r="N9" s="432">
        <f t="shared" si="1"/>
        <v>12000</v>
      </c>
      <c r="P9" s="13">
        <f t="shared" si="2"/>
        <v>1</v>
      </c>
      <c r="Q9" s="13">
        <f t="shared" si="3"/>
        <v>1</v>
      </c>
    </row>
    <row r="10" spans="1:23" ht="15" thickBot="1" x14ac:dyDescent="0.35">
      <c r="A10" s="15" t="s">
        <v>197</v>
      </c>
      <c r="B10" s="436">
        <f>SUM(B5:B9)</f>
        <v>5644.3971405777302</v>
      </c>
      <c r="C10" s="436">
        <f t="shared" ref="C10:M10" si="4">SUM(C5:C9)</f>
        <v>6010.6745856952766</v>
      </c>
      <c r="D10" s="436">
        <f t="shared" si="4"/>
        <v>6057.5233751080514</v>
      </c>
      <c r="E10" s="436">
        <f t="shared" si="4"/>
        <v>12684.255769361309</v>
      </c>
      <c r="F10" s="436">
        <f t="shared" si="4"/>
        <v>21399.889513047947</v>
      </c>
      <c r="G10" s="436">
        <f t="shared" si="4"/>
        <v>57808.533432983895</v>
      </c>
      <c r="H10" s="436">
        <f t="shared" si="4"/>
        <v>56423.254781894822</v>
      </c>
      <c r="I10" s="436">
        <f t="shared" si="4"/>
        <v>56104.807996481068</v>
      </c>
      <c r="J10" s="436">
        <f t="shared" si="4"/>
        <v>67385.44604059984</v>
      </c>
      <c r="K10" s="436">
        <f t="shared" si="4"/>
        <v>62111.466782263764</v>
      </c>
      <c r="L10" s="436">
        <f t="shared" si="4"/>
        <v>60847.071332441541</v>
      </c>
      <c r="M10" s="436">
        <f t="shared" si="4"/>
        <v>59038.508709868118</v>
      </c>
      <c r="N10" s="436">
        <f t="shared" si="1"/>
        <v>471515.82946032338</v>
      </c>
      <c r="P10" s="16">
        <f>SUM(P5:P9)</f>
        <v>5.6443971405777305</v>
      </c>
      <c r="Q10" s="16">
        <f>SUM(Q5:Q9)</f>
        <v>5.6443971405777305</v>
      </c>
    </row>
    <row r="11" spans="1:23" x14ac:dyDescent="0.3">
      <c r="A11" s="17" t="s">
        <v>80</v>
      </c>
      <c r="B11" s="435">
        <v>0</v>
      </c>
      <c r="C11" s="435">
        <v>0</v>
      </c>
      <c r="D11" s="435">
        <v>0</v>
      </c>
      <c r="E11" s="435">
        <v>0</v>
      </c>
      <c r="F11" s="435">
        <v>0</v>
      </c>
      <c r="G11" s="435">
        <v>0</v>
      </c>
      <c r="H11" s="435">
        <v>0</v>
      </c>
      <c r="I11" s="435">
        <v>0</v>
      </c>
      <c r="J11" s="435">
        <v>0</v>
      </c>
      <c r="K11" s="435">
        <v>0</v>
      </c>
      <c r="L11" s="435">
        <v>0</v>
      </c>
      <c r="M11" s="435">
        <v>0</v>
      </c>
      <c r="N11" s="432">
        <f t="shared" si="1"/>
        <v>0</v>
      </c>
      <c r="P11" s="13">
        <f t="shared" ref="P11:P17" si="5">+SUMIFS(B11:M11,$B$2:$M$2,$V$3)/1000</f>
        <v>0</v>
      </c>
      <c r="Q11" s="13">
        <f t="shared" ref="Q11:Q17" si="6">+SUMIFS(B11:M11,$B$1:$M$1,$W$3)/1000</f>
        <v>0</v>
      </c>
    </row>
    <row r="12" spans="1:23" x14ac:dyDescent="0.3">
      <c r="A12" s="14" t="s">
        <v>81</v>
      </c>
      <c r="B12" s="435">
        <v>0</v>
      </c>
      <c r="C12" s="435">
        <v>0</v>
      </c>
      <c r="D12" s="435">
        <v>0</v>
      </c>
      <c r="E12" s="435">
        <v>0</v>
      </c>
      <c r="F12" s="435">
        <v>0</v>
      </c>
      <c r="G12" s="435">
        <v>0</v>
      </c>
      <c r="H12" s="435">
        <v>0</v>
      </c>
      <c r="I12" s="435">
        <v>0</v>
      </c>
      <c r="J12" s="435">
        <v>0</v>
      </c>
      <c r="K12" s="435">
        <v>0</v>
      </c>
      <c r="L12" s="435">
        <v>0</v>
      </c>
      <c r="M12" s="435">
        <v>0</v>
      </c>
      <c r="N12" s="432">
        <f t="shared" si="1"/>
        <v>0</v>
      </c>
      <c r="P12" s="13">
        <f t="shared" si="5"/>
        <v>0</v>
      </c>
      <c r="Q12" s="13">
        <f t="shared" si="6"/>
        <v>0</v>
      </c>
    </row>
    <row r="13" spans="1:23" x14ac:dyDescent="0.3">
      <c r="A13" s="14" t="s">
        <v>82</v>
      </c>
      <c r="B13" s="435">
        <v>0</v>
      </c>
      <c r="C13" s="435">
        <v>0</v>
      </c>
      <c r="D13" s="435">
        <v>0</v>
      </c>
      <c r="E13" s="435">
        <v>0</v>
      </c>
      <c r="F13" s="435">
        <v>0</v>
      </c>
      <c r="G13" s="435">
        <v>0</v>
      </c>
      <c r="H13" s="435">
        <v>0</v>
      </c>
      <c r="I13" s="435">
        <v>0</v>
      </c>
      <c r="J13" s="435">
        <v>0</v>
      </c>
      <c r="K13" s="435">
        <v>0</v>
      </c>
      <c r="L13" s="435">
        <v>0</v>
      </c>
      <c r="M13" s="435">
        <v>0</v>
      </c>
      <c r="N13" s="432">
        <f t="shared" si="1"/>
        <v>0</v>
      </c>
      <c r="P13" s="13">
        <f t="shared" si="5"/>
        <v>0</v>
      </c>
      <c r="Q13" s="13">
        <f t="shared" si="6"/>
        <v>0</v>
      </c>
    </row>
    <row r="14" spans="1:23" x14ac:dyDescent="0.3">
      <c r="A14" s="14" t="s">
        <v>83</v>
      </c>
      <c r="B14" s="435">
        <v>1100</v>
      </c>
      <c r="C14" s="435">
        <v>1100</v>
      </c>
      <c r="D14" s="435">
        <v>1100</v>
      </c>
      <c r="E14" s="435">
        <v>1100</v>
      </c>
      <c r="F14" s="435">
        <v>1100</v>
      </c>
      <c r="G14" s="435">
        <v>1100</v>
      </c>
      <c r="H14" s="435">
        <v>1100</v>
      </c>
      <c r="I14" s="435">
        <v>1100</v>
      </c>
      <c r="J14" s="435">
        <v>1100</v>
      </c>
      <c r="K14" s="435">
        <v>1100</v>
      </c>
      <c r="L14" s="435">
        <v>1100</v>
      </c>
      <c r="M14" s="435">
        <v>1100</v>
      </c>
      <c r="N14" s="432">
        <f t="shared" si="1"/>
        <v>13200</v>
      </c>
      <c r="P14" s="13">
        <f t="shared" si="5"/>
        <v>1.1000000000000001</v>
      </c>
      <c r="Q14" s="13">
        <f t="shared" si="6"/>
        <v>1.1000000000000001</v>
      </c>
    </row>
    <row r="15" spans="1:23" x14ac:dyDescent="0.3">
      <c r="A15" s="14" t="s">
        <v>84</v>
      </c>
      <c r="B15" s="435">
        <v>0</v>
      </c>
      <c r="C15" s="435">
        <v>0</v>
      </c>
      <c r="D15" s="435">
        <v>0</v>
      </c>
      <c r="E15" s="435">
        <v>0</v>
      </c>
      <c r="F15" s="435">
        <v>0</v>
      </c>
      <c r="G15" s="435">
        <v>0</v>
      </c>
      <c r="H15" s="435">
        <v>0</v>
      </c>
      <c r="I15" s="435">
        <v>0</v>
      </c>
      <c r="J15" s="435">
        <v>0</v>
      </c>
      <c r="K15" s="435">
        <v>0</v>
      </c>
      <c r="L15" s="435">
        <v>0</v>
      </c>
      <c r="M15" s="435">
        <v>0</v>
      </c>
      <c r="N15" s="432">
        <f t="shared" si="1"/>
        <v>0</v>
      </c>
      <c r="P15" s="13">
        <f t="shared" si="5"/>
        <v>0</v>
      </c>
      <c r="Q15" s="13">
        <f t="shared" si="6"/>
        <v>0</v>
      </c>
    </row>
    <row r="16" spans="1:23" x14ac:dyDescent="0.3">
      <c r="A16" s="14" t="s">
        <v>85</v>
      </c>
      <c r="B16" s="435"/>
      <c r="C16" s="435"/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432">
        <f t="shared" si="1"/>
        <v>0</v>
      </c>
      <c r="P16" s="13">
        <f t="shared" si="5"/>
        <v>0</v>
      </c>
      <c r="Q16" s="13">
        <f t="shared" si="6"/>
        <v>0</v>
      </c>
    </row>
    <row r="17" spans="1:17" x14ac:dyDescent="0.3">
      <c r="A17" s="14" t="s">
        <v>86</v>
      </c>
      <c r="B17" s="435"/>
      <c r="C17" s="435"/>
      <c r="D17" s="435"/>
      <c r="E17" s="435"/>
      <c r="F17" s="435"/>
      <c r="G17" s="435"/>
      <c r="H17" s="435"/>
      <c r="I17" s="435"/>
      <c r="J17" s="435"/>
      <c r="K17" s="435"/>
      <c r="L17" s="435"/>
      <c r="M17" s="435"/>
      <c r="N17" s="432">
        <f t="shared" si="1"/>
        <v>0</v>
      </c>
      <c r="P17" s="13">
        <f t="shared" si="5"/>
        <v>0</v>
      </c>
      <c r="Q17" s="13">
        <f t="shared" si="6"/>
        <v>0</v>
      </c>
    </row>
    <row r="18" spans="1:17" ht="15" thickBot="1" x14ac:dyDescent="0.35">
      <c r="A18" s="15" t="s">
        <v>198</v>
      </c>
      <c r="B18" s="436">
        <f>SUM(B11:B17)</f>
        <v>1100</v>
      </c>
      <c r="C18" s="436">
        <f t="shared" ref="C18:M18" si="7">SUM(C11:C17)</f>
        <v>1100</v>
      </c>
      <c r="D18" s="436">
        <f t="shared" si="7"/>
        <v>1100</v>
      </c>
      <c r="E18" s="436">
        <f t="shared" si="7"/>
        <v>1100</v>
      </c>
      <c r="F18" s="436">
        <f t="shared" si="7"/>
        <v>1100</v>
      </c>
      <c r="G18" s="436">
        <f t="shared" si="7"/>
        <v>1100</v>
      </c>
      <c r="H18" s="436">
        <f t="shared" si="7"/>
        <v>1100</v>
      </c>
      <c r="I18" s="436">
        <f t="shared" si="7"/>
        <v>1100</v>
      </c>
      <c r="J18" s="436">
        <f t="shared" si="7"/>
        <v>1100</v>
      </c>
      <c r="K18" s="436">
        <f t="shared" si="7"/>
        <v>1100</v>
      </c>
      <c r="L18" s="436">
        <f t="shared" si="7"/>
        <v>1100</v>
      </c>
      <c r="M18" s="436">
        <f t="shared" si="7"/>
        <v>1100</v>
      </c>
      <c r="N18" s="436">
        <f t="shared" si="1"/>
        <v>13200</v>
      </c>
      <c r="P18" s="16">
        <f>SUM(P11:P17)</f>
        <v>1.1000000000000001</v>
      </c>
      <c r="Q18" s="16">
        <f>SUM(Q11:Q17)</f>
        <v>1.1000000000000001</v>
      </c>
    </row>
    <row r="19" spans="1:17" x14ac:dyDescent="0.3">
      <c r="A19" s="18" t="s">
        <v>199</v>
      </c>
      <c r="B19" s="435">
        <v>0</v>
      </c>
      <c r="C19" s="435">
        <v>0</v>
      </c>
      <c r="D19" s="435">
        <v>0</v>
      </c>
      <c r="E19" s="435">
        <v>0</v>
      </c>
      <c r="F19" s="435">
        <v>0</v>
      </c>
      <c r="G19" s="435">
        <v>0</v>
      </c>
      <c r="H19" s="435">
        <v>0</v>
      </c>
      <c r="I19" s="435">
        <v>0</v>
      </c>
      <c r="J19" s="435">
        <v>0</v>
      </c>
      <c r="K19" s="435">
        <v>0</v>
      </c>
      <c r="L19" s="435">
        <v>0</v>
      </c>
      <c r="M19" s="435">
        <v>0</v>
      </c>
      <c r="N19" s="432">
        <f t="shared" si="1"/>
        <v>0</v>
      </c>
      <c r="P19" s="210">
        <f t="shared" ref="P19" si="8">+SUMIFS(B19:M19,$B$2:$M$2,$V$3)/1000</f>
        <v>0</v>
      </c>
      <c r="Q19" s="210">
        <f t="shared" ref="Q19" si="9">+SUMIFS(B19:M19,$B$1:$M$1,$W$3)/1000</f>
        <v>0</v>
      </c>
    </row>
    <row r="20" spans="1:17" ht="15" thickBot="1" x14ac:dyDescent="0.35">
      <c r="A20" s="19" t="s">
        <v>203</v>
      </c>
      <c r="B20" s="437">
        <f>SUM(B10,B18,B19)</f>
        <v>6744.3971405777302</v>
      </c>
      <c r="C20" s="437">
        <f t="shared" ref="C20:M20" si="10">SUM(C10,C18,C19)</f>
        <v>7110.6745856952766</v>
      </c>
      <c r="D20" s="437">
        <f t="shared" si="10"/>
        <v>7157.5233751080514</v>
      </c>
      <c r="E20" s="437">
        <f t="shared" si="10"/>
        <v>13784.255769361309</v>
      </c>
      <c r="F20" s="437">
        <f t="shared" si="10"/>
        <v>22499.889513047947</v>
      </c>
      <c r="G20" s="437">
        <f t="shared" si="10"/>
        <v>58908.533432983895</v>
      </c>
      <c r="H20" s="437">
        <f t="shared" si="10"/>
        <v>57523.254781894822</v>
      </c>
      <c r="I20" s="437">
        <f t="shared" si="10"/>
        <v>57204.807996481068</v>
      </c>
      <c r="J20" s="437">
        <f t="shared" si="10"/>
        <v>68485.44604059984</v>
      </c>
      <c r="K20" s="437">
        <f t="shared" si="10"/>
        <v>63211.466782263764</v>
      </c>
      <c r="L20" s="437">
        <f t="shared" si="10"/>
        <v>61947.071332441541</v>
      </c>
      <c r="M20" s="437">
        <f t="shared" si="10"/>
        <v>60138.508709868118</v>
      </c>
      <c r="N20" s="437">
        <f>SUM(B20:M20)</f>
        <v>484715.82946032338</v>
      </c>
      <c r="P20" s="20">
        <f>P18+P10+P19</f>
        <v>6.7443971405777301</v>
      </c>
      <c r="Q20" s="20">
        <f>Q18+Q10+Q19</f>
        <v>6.7443971405777301</v>
      </c>
    </row>
    <row r="21" spans="1:17" ht="10.199999999999999" customHeight="1" thickBot="1" x14ac:dyDescent="0.3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</row>
    <row r="22" spans="1:17" ht="10.199999999999999" customHeight="1" x14ac:dyDescent="0.3"/>
    <row r="23" spans="1:17" ht="23.4" x14ac:dyDescent="0.45">
      <c r="A23" s="31" t="s">
        <v>366</v>
      </c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10</v>
      </c>
      <c r="M23" s="1" t="s">
        <v>11</v>
      </c>
      <c r="N23" s="1" t="s">
        <v>12</v>
      </c>
      <c r="P23" s="1" t="s">
        <v>180</v>
      </c>
      <c r="Q23" s="1" t="s">
        <v>94</v>
      </c>
    </row>
    <row r="24" spans="1:17" x14ac:dyDescent="0.3">
      <c r="A24" s="10" t="s">
        <v>158</v>
      </c>
      <c r="B24" s="12">
        <v>40450.380392625753</v>
      </c>
      <c r="C24" s="12">
        <v>48560.940504502738</v>
      </c>
      <c r="D24" s="12">
        <v>24543.182060070245</v>
      </c>
      <c r="E24" s="12">
        <v>26853.443973683563</v>
      </c>
      <c r="F24" s="12">
        <v>26083.253977146251</v>
      </c>
      <c r="G24" s="12">
        <v>29086.994963641762</v>
      </c>
      <c r="H24" s="12">
        <v>27265.033507833101</v>
      </c>
      <c r="I24" s="12">
        <v>27115.924724503479</v>
      </c>
      <c r="J24" s="12">
        <v>29457.764427974827</v>
      </c>
      <c r="K24" s="12">
        <v>28696.970749395266</v>
      </c>
      <c r="L24" s="12">
        <v>29000.117532032353</v>
      </c>
      <c r="M24" s="12">
        <v>27498.863190781827</v>
      </c>
      <c r="N24" s="13">
        <f>SUM(B24:M24)</f>
        <v>364612.87000419124</v>
      </c>
      <c r="P24" s="13">
        <f t="shared" ref="P24:P28" si="11">+SUMIFS(B24:M24,$B$2:$M$2,$V$3)/1000</f>
        <v>40.450380392625753</v>
      </c>
      <c r="Q24" s="13">
        <f t="shared" ref="Q24:Q28" si="12">+SUMIFS(B24:M24,$B$1:$M$1,$W$3)/1000</f>
        <v>40.450380392625753</v>
      </c>
    </row>
    <row r="25" spans="1:17" x14ac:dyDescent="0.3">
      <c r="A25" s="10" t="s">
        <v>75</v>
      </c>
      <c r="B25" s="12"/>
      <c r="C25" s="12"/>
      <c r="D25" s="12"/>
      <c r="E25" s="12"/>
      <c r="F25" s="12"/>
      <c r="G25" s="12"/>
      <c r="H25" s="30"/>
      <c r="I25" s="30"/>
      <c r="J25" s="30"/>
      <c r="K25" s="12"/>
      <c r="L25" s="338"/>
      <c r="M25" s="30"/>
      <c r="N25" s="13">
        <f t="shared" ref="N25:N39" si="13">SUM(B25:M25)</f>
        <v>0</v>
      </c>
      <c r="P25" s="13">
        <f t="shared" si="11"/>
        <v>0</v>
      </c>
      <c r="Q25" s="13">
        <f t="shared" si="12"/>
        <v>0</v>
      </c>
    </row>
    <row r="26" spans="1:17" x14ac:dyDescent="0.3">
      <c r="A26" s="14" t="s">
        <v>76</v>
      </c>
      <c r="B26" s="12">
        <v>0</v>
      </c>
      <c r="C26" s="12">
        <v>0</v>
      </c>
      <c r="D26" s="12">
        <v>0</v>
      </c>
      <c r="E26" s="12">
        <v>0</v>
      </c>
      <c r="F26" s="12">
        <v>5251.9342134472718</v>
      </c>
      <c r="G26" s="12">
        <v>8355.349885029751</v>
      </c>
      <c r="H26" s="12">
        <v>6472.9293433129524</v>
      </c>
      <c r="I26" s="12">
        <v>6318.8726063851655</v>
      </c>
      <c r="J26" s="12">
        <v>8738.4227835681613</v>
      </c>
      <c r="K26" s="12">
        <v>7952.3832962888873</v>
      </c>
      <c r="L26" s="12">
        <v>8265.5895548362878</v>
      </c>
      <c r="M26" s="12">
        <v>6714.5183171315266</v>
      </c>
      <c r="N26" s="13">
        <f t="shared" si="13"/>
        <v>58070.000000000007</v>
      </c>
      <c r="P26" s="13">
        <f t="shared" si="11"/>
        <v>0</v>
      </c>
      <c r="Q26" s="13">
        <f t="shared" si="12"/>
        <v>0</v>
      </c>
    </row>
    <row r="27" spans="1:17" x14ac:dyDescent="0.3">
      <c r="A27" s="14" t="s">
        <v>77</v>
      </c>
      <c r="B27" s="12"/>
      <c r="C27" s="12"/>
      <c r="D27" s="12"/>
      <c r="E27" s="12"/>
      <c r="F27" s="12"/>
      <c r="G27" s="12"/>
      <c r="H27" s="30"/>
      <c r="I27" s="30"/>
      <c r="J27" s="30"/>
      <c r="K27" s="12"/>
      <c r="L27" s="338"/>
      <c r="M27" s="30"/>
      <c r="N27" s="13">
        <f t="shared" si="13"/>
        <v>0</v>
      </c>
      <c r="P27" s="13">
        <f t="shared" si="11"/>
        <v>0</v>
      </c>
      <c r="Q27" s="13">
        <f t="shared" si="12"/>
        <v>0</v>
      </c>
    </row>
    <row r="28" spans="1:17" x14ac:dyDescent="0.3">
      <c r="A28" s="14" t="s">
        <v>196</v>
      </c>
      <c r="B28" s="12">
        <v>1000</v>
      </c>
      <c r="C28" s="12">
        <v>1000</v>
      </c>
      <c r="D28" s="12">
        <v>1000</v>
      </c>
      <c r="E28" s="12">
        <v>1000</v>
      </c>
      <c r="F28" s="12">
        <v>1000</v>
      </c>
      <c r="G28" s="12">
        <v>1000</v>
      </c>
      <c r="H28" s="12">
        <v>1000</v>
      </c>
      <c r="I28" s="12">
        <v>1000</v>
      </c>
      <c r="J28" s="12">
        <v>1000</v>
      </c>
      <c r="K28" s="12">
        <v>1000</v>
      </c>
      <c r="L28" s="12">
        <v>1000</v>
      </c>
      <c r="M28" s="12">
        <v>1000</v>
      </c>
      <c r="N28" s="13">
        <f t="shared" si="13"/>
        <v>12000</v>
      </c>
      <c r="O28" s="339"/>
      <c r="P28" s="13">
        <f t="shared" si="11"/>
        <v>1</v>
      </c>
      <c r="Q28" s="13">
        <f t="shared" si="12"/>
        <v>1</v>
      </c>
    </row>
    <row r="29" spans="1:17" ht="15" thickBot="1" x14ac:dyDescent="0.35">
      <c r="A29" s="15" t="s">
        <v>197</v>
      </c>
      <c r="B29" s="16">
        <f>SUM(B24:B28)</f>
        <v>41450.380392625753</v>
      </c>
      <c r="C29" s="16">
        <f t="shared" ref="C29:M29" si="14">SUM(C24:C28)</f>
        <v>49560.940504502738</v>
      </c>
      <c r="D29" s="16">
        <f t="shared" si="14"/>
        <v>25543.182060070245</v>
      </c>
      <c r="E29" s="16">
        <f t="shared" si="14"/>
        <v>27853.443973683563</v>
      </c>
      <c r="F29" s="16">
        <f t="shared" si="14"/>
        <v>32335.188190593522</v>
      </c>
      <c r="G29" s="16">
        <f t="shared" si="14"/>
        <v>38442.344848671513</v>
      </c>
      <c r="H29" s="16">
        <f t="shared" si="14"/>
        <v>34737.962851146054</v>
      </c>
      <c r="I29" s="16">
        <f>SUM(I24:I28)</f>
        <v>34434.797330888643</v>
      </c>
      <c r="J29" s="16">
        <f t="shared" si="14"/>
        <v>39196.187211542987</v>
      </c>
      <c r="K29" s="16">
        <f t="shared" si="14"/>
        <v>37649.354045684151</v>
      </c>
      <c r="L29" s="16">
        <f t="shared" si="14"/>
        <v>38265.707086868642</v>
      </c>
      <c r="M29" s="16">
        <f t="shared" si="14"/>
        <v>35213.381507913356</v>
      </c>
      <c r="N29" s="16">
        <f t="shared" si="13"/>
        <v>434682.87000419118</v>
      </c>
      <c r="P29" s="16">
        <f>SUM(P24:P28)</f>
        <v>41.450380392625753</v>
      </c>
      <c r="Q29" s="16">
        <f>SUM(Q24:Q28)</f>
        <v>41.450380392625753</v>
      </c>
    </row>
    <row r="30" spans="1:17" x14ac:dyDescent="0.3">
      <c r="A30" s="17" t="s">
        <v>80</v>
      </c>
      <c r="B30" s="12">
        <v>0</v>
      </c>
      <c r="C30" s="12">
        <v>2240.8812947589668</v>
      </c>
      <c r="D30" s="12">
        <v>2240.8812947589668</v>
      </c>
      <c r="E30" s="12">
        <v>2240.8812947589668</v>
      </c>
      <c r="F30" s="12">
        <v>2240.8812947589668</v>
      </c>
      <c r="G30" s="12">
        <v>2240.8812947589668</v>
      </c>
      <c r="H30" s="12">
        <v>2240.8812947589668</v>
      </c>
      <c r="I30" s="12">
        <v>2240.8812947589668</v>
      </c>
      <c r="J30" s="12">
        <v>2240.8812947589668</v>
      </c>
      <c r="K30" s="12">
        <v>2240.8812947589668</v>
      </c>
      <c r="L30" s="12">
        <v>2240.8812947589668</v>
      </c>
      <c r="M30" s="12">
        <v>2240.8812947589668</v>
      </c>
      <c r="N30" s="13">
        <f>SUM(B30:M30)</f>
        <v>24649.69424234864</v>
      </c>
      <c r="P30" s="13">
        <f t="shared" ref="P30:P36" si="15">+SUMIFS(B30:M30,$B$2:$M$2,$V$3)/1000</f>
        <v>0</v>
      </c>
      <c r="Q30" s="13">
        <f t="shared" ref="Q30:Q36" si="16">+SUMIFS(B30:M30,$B$1:$M$1,$W$3)/1000</f>
        <v>0</v>
      </c>
    </row>
    <row r="31" spans="1:17" x14ac:dyDescent="0.3">
      <c r="A31" s="14" t="s">
        <v>81</v>
      </c>
      <c r="B31" s="12"/>
      <c r="C31" s="12"/>
      <c r="D31" s="12"/>
      <c r="E31" s="12"/>
      <c r="F31" s="12"/>
      <c r="G31" s="12"/>
      <c r="H31" s="30"/>
      <c r="I31" s="30"/>
      <c r="J31" s="30"/>
      <c r="K31" s="12"/>
      <c r="L31" s="338"/>
      <c r="M31" s="30"/>
      <c r="N31" s="13">
        <f t="shared" si="13"/>
        <v>0</v>
      </c>
      <c r="P31" s="13">
        <f t="shared" si="15"/>
        <v>0</v>
      </c>
      <c r="Q31" s="13">
        <f t="shared" si="16"/>
        <v>0</v>
      </c>
    </row>
    <row r="32" spans="1:17" x14ac:dyDescent="0.3">
      <c r="A32" s="14" t="s">
        <v>82</v>
      </c>
      <c r="B32" s="12">
        <v>0</v>
      </c>
      <c r="C32" s="12">
        <v>211.30421052631579</v>
      </c>
      <c r="D32" s="12">
        <v>211.30421052631579</v>
      </c>
      <c r="E32" s="12">
        <v>211.30421052631579</v>
      </c>
      <c r="F32" s="12">
        <v>211.30421052631579</v>
      </c>
      <c r="G32" s="12">
        <v>211.30421052631579</v>
      </c>
      <c r="H32" s="12">
        <v>845.21684210526314</v>
      </c>
      <c r="I32" s="12">
        <v>845.21684210526314</v>
      </c>
      <c r="J32" s="12">
        <v>845.21684210526314</v>
      </c>
      <c r="K32" s="12">
        <v>845.21684210526314</v>
      </c>
      <c r="L32" s="12">
        <v>845.21684210526314</v>
      </c>
      <c r="M32" s="12">
        <v>845.21684210526314</v>
      </c>
      <c r="N32" s="13">
        <f t="shared" si="13"/>
        <v>6127.822105263157</v>
      </c>
      <c r="P32" s="13">
        <f t="shared" si="15"/>
        <v>0</v>
      </c>
      <c r="Q32" s="13">
        <f t="shared" si="16"/>
        <v>0</v>
      </c>
    </row>
    <row r="33" spans="1:17" x14ac:dyDescent="0.3">
      <c r="A33" s="14" t="s">
        <v>83</v>
      </c>
      <c r="B33" s="12">
        <v>0</v>
      </c>
      <c r="C33" s="12">
        <v>0</v>
      </c>
      <c r="D33" s="12">
        <v>922.8</v>
      </c>
      <c r="E33" s="12">
        <v>922.8</v>
      </c>
      <c r="F33" s="12">
        <v>922.8</v>
      </c>
      <c r="G33" s="12">
        <v>922.8</v>
      </c>
      <c r="H33" s="12">
        <v>922.8</v>
      </c>
      <c r="I33" s="12">
        <v>922.8</v>
      </c>
      <c r="J33" s="12">
        <v>922.8</v>
      </c>
      <c r="K33" s="12">
        <v>922.8</v>
      </c>
      <c r="L33" s="12">
        <v>922.8</v>
      </c>
      <c r="M33" s="12">
        <v>922.8</v>
      </c>
      <c r="N33" s="13">
        <f t="shared" si="13"/>
        <v>9228</v>
      </c>
      <c r="P33" s="13">
        <f t="shared" si="15"/>
        <v>0</v>
      </c>
      <c r="Q33" s="13">
        <f t="shared" si="16"/>
        <v>0</v>
      </c>
    </row>
    <row r="34" spans="1:17" x14ac:dyDescent="0.3">
      <c r="A34" s="14" t="s">
        <v>84</v>
      </c>
      <c r="B34" s="12"/>
      <c r="C34" s="12"/>
      <c r="D34" s="12"/>
      <c r="E34" s="12"/>
      <c r="F34" s="12"/>
      <c r="G34" s="12"/>
      <c r="H34" s="30"/>
      <c r="I34" s="30"/>
      <c r="J34" s="30"/>
      <c r="K34" s="12"/>
      <c r="L34" s="338"/>
      <c r="M34" s="30"/>
      <c r="N34" s="13">
        <f t="shared" si="13"/>
        <v>0</v>
      </c>
      <c r="P34" s="13">
        <f t="shared" si="15"/>
        <v>0</v>
      </c>
      <c r="Q34" s="13">
        <f t="shared" si="16"/>
        <v>0</v>
      </c>
    </row>
    <row r="35" spans="1:17" x14ac:dyDescent="0.3">
      <c r="A35" s="14" t="s">
        <v>85</v>
      </c>
      <c r="B35" s="12"/>
      <c r="C35" s="12"/>
      <c r="D35" s="12"/>
      <c r="E35" s="12"/>
      <c r="F35" s="12"/>
      <c r="G35" s="12"/>
      <c r="H35" s="30"/>
      <c r="I35" s="30"/>
      <c r="J35" s="30"/>
      <c r="K35" s="12"/>
      <c r="L35" s="338"/>
      <c r="M35" s="30"/>
      <c r="N35" s="13">
        <f t="shared" si="13"/>
        <v>0</v>
      </c>
      <c r="P35" s="13">
        <f t="shared" si="15"/>
        <v>0</v>
      </c>
      <c r="Q35" s="13">
        <f t="shared" si="16"/>
        <v>0</v>
      </c>
    </row>
    <row r="36" spans="1:17" x14ac:dyDescent="0.3">
      <c r="A36" s="14" t="s">
        <v>86</v>
      </c>
      <c r="B36" s="12"/>
      <c r="C36" s="12"/>
      <c r="D36" s="12"/>
      <c r="E36" s="12"/>
      <c r="F36" s="12"/>
      <c r="G36" s="12"/>
      <c r="H36" s="30"/>
      <c r="I36" s="30"/>
      <c r="J36" s="30"/>
      <c r="K36" s="12"/>
      <c r="L36" s="338"/>
      <c r="M36" s="30"/>
      <c r="N36" s="13">
        <f t="shared" si="13"/>
        <v>0</v>
      </c>
      <c r="P36" s="13">
        <f t="shared" si="15"/>
        <v>0</v>
      </c>
      <c r="Q36" s="13">
        <f t="shared" si="16"/>
        <v>0</v>
      </c>
    </row>
    <row r="37" spans="1:17" ht="15" thickBot="1" x14ac:dyDescent="0.35">
      <c r="A37" s="15" t="s">
        <v>198</v>
      </c>
      <c r="B37" s="16">
        <f>SUM(B30:B36)</f>
        <v>0</v>
      </c>
      <c r="C37" s="16">
        <f t="shared" ref="C37:M37" si="17">SUM(C30:C36)</f>
        <v>2452.1855052852825</v>
      </c>
      <c r="D37" s="16">
        <f t="shared" si="17"/>
        <v>3374.9855052852827</v>
      </c>
      <c r="E37" s="16">
        <f t="shared" si="17"/>
        <v>3374.9855052852827</v>
      </c>
      <c r="F37" s="16">
        <f t="shared" si="17"/>
        <v>3374.9855052852827</v>
      </c>
      <c r="G37" s="16">
        <f t="shared" si="17"/>
        <v>3374.9855052852827</v>
      </c>
      <c r="H37" s="16">
        <f t="shared" si="17"/>
        <v>4008.8981368642299</v>
      </c>
      <c r="I37" s="16">
        <f t="shared" si="17"/>
        <v>4008.8981368642299</v>
      </c>
      <c r="J37" s="16">
        <f t="shared" si="17"/>
        <v>4008.8981368642299</v>
      </c>
      <c r="K37" s="16">
        <f t="shared" si="17"/>
        <v>4008.8981368642299</v>
      </c>
      <c r="L37" s="16">
        <f t="shared" si="17"/>
        <v>4008.8981368642299</v>
      </c>
      <c r="M37" s="16">
        <f t="shared" si="17"/>
        <v>4008.8981368642299</v>
      </c>
      <c r="N37" s="16">
        <f t="shared" si="13"/>
        <v>40005.516347611796</v>
      </c>
      <c r="P37" s="16">
        <f>SUM(P30:P36)</f>
        <v>0</v>
      </c>
      <c r="Q37" s="16">
        <f>SUM(Q30:Q36)</f>
        <v>0</v>
      </c>
    </row>
    <row r="38" spans="1:17" x14ac:dyDescent="0.3">
      <c r="A38" s="18" t="s">
        <v>199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30"/>
      <c r="M38" s="30"/>
      <c r="N38" s="13">
        <f t="shared" si="13"/>
        <v>0</v>
      </c>
      <c r="P38" s="210">
        <f t="shared" ref="P38" si="18">+SUMIFS(B38:M38,$B$2:$M$2,$V$3)/1000</f>
        <v>0</v>
      </c>
      <c r="Q38" s="210">
        <f t="shared" ref="Q38" si="19">+SUMIFS(B38:M38,$B$1:$M$1,$W$3)/1000</f>
        <v>0</v>
      </c>
    </row>
    <row r="39" spans="1:17" ht="15" thickBot="1" x14ac:dyDescent="0.35">
      <c r="A39" s="19" t="s">
        <v>203</v>
      </c>
      <c r="B39" s="20">
        <f>B29+B37+B38</f>
        <v>41450.380392625753</v>
      </c>
      <c r="C39" s="20">
        <f t="shared" ref="C39:M39" si="20">C29+C37+C38</f>
        <v>52013.126009788022</v>
      </c>
      <c r="D39" s="20">
        <f t="shared" si="20"/>
        <v>28918.167565355528</v>
      </c>
      <c r="E39" s="20">
        <f t="shared" si="20"/>
        <v>31228.429478968847</v>
      </c>
      <c r="F39" s="20">
        <f t="shared" si="20"/>
        <v>35710.173695878802</v>
      </c>
      <c r="G39" s="20">
        <f t="shared" si="20"/>
        <v>41817.330353956793</v>
      </c>
      <c r="H39" s="20">
        <f t="shared" si="20"/>
        <v>38746.860988010281</v>
      </c>
      <c r="I39" s="20">
        <f t="shared" si="20"/>
        <v>38443.69546775287</v>
      </c>
      <c r="J39" s="20">
        <f t="shared" si="20"/>
        <v>43205.085348407214</v>
      </c>
      <c r="K39" s="20">
        <f t="shared" si="20"/>
        <v>41658.252182548378</v>
      </c>
      <c r="L39" s="20">
        <f t="shared" si="20"/>
        <v>42274.605223732869</v>
      </c>
      <c r="M39" s="20">
        <f t="shared" si="20"/>
        <v>39222.279644777584</v>
      </c>
      <c r="N39" s="20">
        <f t="shared" si="13"/>
        <v>474688.38635180297</v>
      </c>
      <c r="P39" s="20">
        <f>P37+P29+P38</f>
        <v>41.450380392625753</v>
      </c>
      <c r="Q39" s="20">
        <f>Q37+Q29+Q38</f>
        <v>41.450380392625753</v>
      </c>
    </row>
    <row r="40" spans="1:17" x14ac:dyDescent="0.3">
      <c r="B40" s="103"/>
      <c r="C40" s="103"/>
      <c r="D40" s="103"/>
      <c r="E40" s="103"/>
      <c r="F40" s="103"/>
      <c r="G40" s="103"/>
      <c r="N40" s="8">
        <f>+N39-'ACE Details_FULL'!P42</f>
        <v>-131622.81713650771</v>
      </c>
    </row>
    <row r="42" spans="1:17" ht="23.4" x14ac:dyDescent="0.45">
      <c r="A42" s="31" t="s">
        <v>367</v>
      </c>
      <c r="B42" s="1" t="s">
        <v>0</v>
      </c>
      <c r="C42" s="1" t="s">
        <v>1</v>
      </c>
      <c r="D42" s="1" t="s">
        <v>2</v>
      </c>
      <c r="E42" s="1" t="s">
        <v>3</v>
      </c>
      <c r="F42" s="1" t="s">
        <v>4</v>
      </c>
      <c r="G42" s="1" t="s">
        <v>5</v>
      </c>
      <c r="H42" s="1" t="s">
        <v>6</v>
      </c>
      <c r="I42" s="1" t="s">
        <v>7</v>
      </c>
      <c r="J42" s="1" t="s">
        <v>8</v>
      </c>
      <c r="K42" s="1" t="s">
        <v>9</v>
      </c>
      <c r="L42" s="1" t="s">
        <v>10</v>
      </c>
      <c r="M42" s="1" t="s">
        <v>11</v>
      </c>
      <c r="N42" s="1" t="s">
        <v>12</v>
      </c>
      <c r="P42" s="1" t="s">
        <v>180</v>
      </c>
      <c r="Q42" s="1" t="s">
        <v>94</v>
      </c>
    </row>
    <row r="43" spans="1:17" x14ac:dyDescent="0.3">
      <c r="A43" s="10" t="s">
        <v>158</v>
      </c>
      <c r="B43" s="12">
        <f>B24-B5</f>
        <v>35805.983252048027</v>
      </c>
      <c r="C43" s="12">
        <f t="shared" ref="C43:M43" si="21">C24-C5</f>
        <v>43550.265918807461</v>
      </c>
      <c r="D43" s="12">
        <f t="shared" si="21"/>
        <v>19485.658684962193</v>
      </c>
      <c r="E43" s="12">
        <f t="shared" si="21"/>
        <v>21980.688204322254</v>
      </c>
      <c r="F43" s="12">
        <f t="shared" si="21"/>
        <v>10702.364464098304</v>
      </c>
      <c r="G43" s="12">
        <f t="shared" si="21"/>
        <v>-20193.038469342133</v>
      </c>
      <c r="H43" s="12">
        <f t="shared" si="21"/>
        <v>-22063.721274061721</v>
      </c>
      <c r="I43" s="12">
        <f>I24-I5</f>
        <v>-22431.383271977589</v>
      </c>
      <c r="J43" s="12">
        <f t="shared" si="21"/>
        <v>-29147.181612625012</v>
      </c>
      <c r="K43" s="12">
        <f t="shared" si="21"/>
        <v>-25745.496032868497</v>
      </c>
      <c r="L43" s="12">
        <f t="shared" si="21"/>
        <v>-23436.953800409188</v>
      </c>
      <c r="M43" s="12">
        <f t="shared" si="21"/>
        <v>-24969.395519086291</v>
      </c>
      <c r="N43" s="13">
        <f>SUM(B43:M43)</f>
        <v>-36462.209456132194</v>
      </c>
      <c r="P43" s="13">
        <f t="shared" ref="P43:P47" si="22">+SUMIFS(B43:M43,$B$2:$M$2,$V$3)/1000</f>
        <v>35.80598325204803</v>
      </c>
      <c r="Q43" s="13">
        <f t="shared" ref="Q43:Q47" si="23">+SUMIFS(B43:M43,$B$1:$M$1,$W$3)/1000</f>
        <v>35.80598325204803</v>
      </c>
    </row>
    <row r="44" spans="1:17" x14ac:dyDescent="0.3">
      <c r="A44" s="10" t="s">
        <v>75</v>
      </c>
      <c r="B44" s="12">
        <f t="shared" ref="B44:M44" si="24">B25-B6</f>
        <v>0</v>
      </c>
      <c r="C44" s="12">
        <f t="shared" si="24"/>
        <v>0</v>
      </c>
      <c r="D44" s="12">
        <f t="shared" si="24"/>
        <v>0</v>
      </c>
      <c r="E44" s="12">
        <f t="shared" si="24"/>
        <v>0</v>
      </c>
      <c r="F44" s="12">
        <f t="shared" si="24"/>
        <v>0</v>
      </c>
      <c r="G44" s="12">
        <f t="shared" si="24"/>
        <v>0</v>
      </c>
      <c r="H44" s="12">
        <f t="shared" si="24"/>
        <v>0</v>
      </c>
      <c r="I44" s="12">
        <f t="shared" si="24"/>
        <v>0</v>
      </c>
      <c r="J44" s="12">
        <f t="shared" si="24"/>
        <v>0</v>
      </c>
      <c r="K44" s="12">
        <f t="shared" si="24"/>
        <v>0</v>
      </c>
      <c r="L44" s="12">
        <f t="shared" si="24"/>
        <v>0</v>
      </c>
      <c r="M44" s="12">
        <f t="shared" si="24"/>
        <v>0</v>
      </c>
      <c r="N44" s="13">
        <f t="shared" ref="N44:N58" si="25">SUM(B44:M44)</f>
        <v>0</v>
      </c>
      <c r="P44" s="13">
        <f t="shared" si="22"/>
        <v>0</v>
      </c>
      <c r="Q44" s="13">
        <f t="shared" si="23"/>
        <v>0</v>
      </c>
    </row>
    <row r="45" spans="1:17" x14ac:dyDescent="0.3">
      <c r="A45" s="14" t="s">
        <v>76</v>
      </c>
      <c r="B45" s="12">
        <f t="shared" ref="B45:M45" si="26">B26-B7</f>
        <v>0</v>
      </c>
      <c r="C45" s="12">
        <f t="shared" si="26"/>
        <v>0</v>
      </c>
      <c r="D45" s="12">
        <f t="shared" si="26"/>
        <v>0</v>
      </c>
      <c r="E45" s="12">
        <f t="shared" si="26"/>
        <v>-6811.5</v>
      </c>
      <c r="F45" s="12">
        <f t="shared" si="26"/>
        <v>232.93421344727176</v>
      </c>
      <c r="G45" s="12">
        <f t="shared" si="26"/>
        <v>826.84988502975102</v>
      </c>
      <c r="H45" s="12">
        <f t="shared" si="26"/>
        <v>378.42934331295237</v>
      </c>
      <c r="I45" s="12">
        <f t="shared" si="26"/>
        <v>761.37260638516545</v>
      </c>
      <c r="J45" s="12">
        <f t="shared" si="26"/>
        <v>957.92278356816132</v>
      </c>
      <c r="K45" s="12">
        <f t="shared" si="26"/>
        <v>1283.3832962888873</v>
      </c>
      <c r="L45" s="12">
        <f t="shared" si="26"/>
        <v>855.58955483628779</v>
      </c>
      <c r="M45" s="12">
        <f t="shared" si="26"/>
        <v>1144.2683171315266</v>
      </c>
      <c r="N45" s="13">
        <f t="shared" si="25"/>
        <v>-370.74999999999636</v>
      </c>
      <c r="P45" s="13">
        <f t="shared" si="22"/>
        <v>0</v>
      </c>
      <c r="Q45" s="13">
        <f t="shared" si="23"/>
        <v>0</v>
      </c>
    </row>
    <row r="46" spans="1:17" x14ac:dyDescent="0.3">
      <c r="A46" s="14" t="s">
        <v>77</v>
      </c>
      <c r="B46" s="12">
        <f t="shared" ref="B46:M46" si="27">B27-B8</f>
        <v>0</v>
      </c>
      <c r="C46" s="12">
        <f t="shared" si="27"/>
        <v>0</v>
      </c>
      <c r="D46" s="12">
        <f t="shared" si="27"/>
        <v>0</v>
      </c>
      <c r="E46" s="12">
        <f t="shared" si="27"/>
        <v>0</v>
      </c>
      <c r="F46" s="12">
        <f t="shared" si="27"/>
        <v>0</v>
      </c>
      <c r="G46" s="12">
        <f t="shared" si="27"/>
        <v>0</v>
      </c>
      <c r="H46" s="12">
        <f t="shared" si="27"/>
        <v>0</v>
      </c>
      <c r="I46" s="12">
        <f t="shared" si="27"/>
        <v>0</v>
      </c>
      <c r="J46" s="12">
        <f t="shared" si="27"/>
        <v>0</v>
      </c>
      <c r="K46" s="12">
        <f t="shared" si="27"/>
        <v>0</v>
      </c>
      <c r="L46" s="12">
        <f t="shared" si="27"/>
        <v>0</v>
      </c>
      <c r="M46" s="12">
        <f t="shared" si="27"/>
        <v>0</v>
      </c>
      <c r="N46" s="13">
        <f t="shared" si="25"/>
        <v>0</v>
      </c>
      <c r="P46" s="13">
        <f t="shared" si="22"/>
        <v>0</v>
      </c>
      <c r="Q46" s="13">
        <f t="shared" si="23"/>
        <v>0</v>
      </c>
    </row>
    <row r="47" spans="1:17" x14ac:dyDescent="0.3">
      <c r="A47" s="14" t="s">
        <v>196</v>
      </c>
      <c r="B47" s="12">
        <f t="shared" ref="B47:M47" si="28">B28-B9</f>
        <v>0</v>
      </c>
      <c r="C47" s="12">
        <f t="shared" si="28"/>
        <v>0</v>
      </c>
      <c r="D47" s="12">
        <f t="shared" si="28"/>
        <v>0</v>
      </c>
      <c r="E47" s="12">
        <f t="shared" si="28"/>
        <v>0</v>
      </c>
      <c r="F47" s="12">
        <f t="shared" si="28"/>
        <v>0</v>
      </c>
      <c r="G47" s="12">
        <f t="shared" si="28"/>
        <v>0</v>
      </c>
      <c r="H47" s="12">
        <f t="shared" si="28"/>
        <v>0</v>
      </c>
      <c r="I47" s="12">
        <f t="shared" si="28"/>
        <v>0</v>
      </c>
      <c r="J47" s="12">
        <f t="shared" si="28"/>
        <v>0</v>
      </c>
      <c r="K47" s="12">
        <f t="shared" si="28"/>
        <v>0</v>
      </c>
      <c r="L47" s="12">
        <f t="shared" si="28"/>
        <v>0</v>
      </c>
      <c r="M47" s="12">
        <f t="shared" si="28"/>
        <v>0</v>
      </c>
      <c r="N47" s="13">
        <f t="shared" si="25"/>
        <v>0</v>
      </c>
      <c r="P47" s="13">
        <f t="shared" si="22"/>
        <v>0</v>
      </c>
      <c r="Q47" s="13">
        <f t="shared" si="23"/>
        <v>0</v>
      </c>
    </row>
    <row r="48" spans="1:17" ht="15" thickBot="1" x14ac:dyDescent="0.35">
      <c r="A48" s="15" t="s">
        <v>197</v>
      </c>
      <c r="B48" s="16">
        <f>SUM(B43:B47)</f>
        <v>35805.983252048027</v>
      </c>
      <c r="C48" s="16">
        <f t="shared" ref="C48:M48" si="29">SUM(C43:C47)</f>
        <v>43550.265918807461</v>
      </c>
      <c r="D48" s="16">
        <f t="shared" si="29"/>
        <v>19485.658684962193</v>
      </c>
      <c r="E48" s="16">
        <f t="shared" si="29"/>
        <v>15169.188204322254</v>
      </c>
      <c r="F48" s="16">
        <f t="shared" si="29"/>
        <v>10935.298677545576</v>
      </c>
      <c r="G48" s="16">
        <f t="shared" si="29"/>
        <v>-19366.188584312382</v>
      </c>
      <c r="H48" s="16">
        <f t="shared" si="29"/>
        <v>-21685.291930748768</v>
      </c>
      <c r="I48" s="16">
        <f t="shared" si="29"/>
        <v>-21670.010665592425</v>
      </c>
      <c r="J48" s="16">
        <f t="shared" si="29"/>
        <v>-28189.258829056853</v>
      </c>
      <c r="K48" s="16">
        <f t="shared" si="29"/>
        <v>-24462.112736579609</v>
      </c>
      <c r="L48" s="16">
        <f t="shared" si="29"/>
        <v>-22581.364245572899</v>
      </c>
      <c r="M48" s="16">
        <f t="shared" si="29"/>
        <v>-23825.127201954765</v>
      </c>
      <c r="N48" s="16">
        <f t="shared" si="25"/>
        <v>-36832.959456132165</v>
      </c>
      <c r="P48" s="16">
        <f>SUM(P43:P47)</f>
        <v>35.80598325204803</v>
      </c>
      <c r="Q48" s="16">
        <f>SUM(Q43:Q47)</f>
        <v>35.80598325204803</v>
      </c>
    </row>
    <row r="49" spans="1:18" x14ac:dyDescent="0.3">
      <c r="A49" s="17" t="s">
        <v>80</v>
      </c>
      <c r="B49" s="12">
        <f t="shared" ref="B49:M49" si="30">B30-B11</f>
        <v>0</v>
      </c>
      <c r="C49" s="12">
        <f t="shared" si="30"/>
        <v>2240.8812947589668</v>
      </c>
      <c r="D49" s="12">
        <f t="shared" si="30"/>
        <v>2240.8812947589668</v>
      </c>
      <c r="E49" s="12">
        <f t="shared" si="30"/>
        <v>2240.8812947589668</v>
      </c>
      <c r="F49" s="12">
        <f t="shared" si="30"/>
        <v>2240.8812947589668</v>
      </c>
      <c r="G49" s="12">
        <f t="shared" si="30"/>
        <v>2240.8812947589668</v>
      </c>
      <c r="H49" s="12">
        <f t="shared" si="30"/>
        <v>2240.8812947589668</v>
      </c>
      <c r="I49" s="12">
        <f t="shared" si="30"/>
        <v>2240.8812947589668</v>
      </c>
      <c r="J49" s="12">
        <f t="shared" si="30"/>
        <v>2240.8812947589668</v>
      </c>
      <c r="K49" s="12">
        <f t="shared" si="30"/>
        <v>2240.8812947589668</v>
      </c>
      <c r="L49" s="12">
        <f t="shared" si="30"/>
        <v>2240.8812947589668</v>
      </c>
      <c r="M49" s="12">
        <f t="shared" si="30"/>
        <v>2240.8812947589668</v>
      </c>
      <c r="N49" s="13">
        <f t="shared" si="25"/>
        <v>24649.69424234864</v>
      </c>
      <c r="P49" s="13">
        <f t="shared" ref="P49:P55" si="31">+SUMIFS(B49:M49,$B$2:$M$2,$V$3)/1000</f>
        <v>0</v>
      </c>
      <c r="Q49" s="13">
        <f t="shared" ref="Q49:Q55" si="32">+SUMIFS(B49:M49,$B$1:$M$1,$W$3)/1000</f>
        <v>0</v>
      </c>
    </row>
    <row r="50" spans="1:18" x14ac:dyDescent="0.3">
      <c r="A50" s="14" t="s">
        <v>81</v>
      </c>
      <c r="B50" s="12">
        <f t="shared" ref="B50:M50" si="33">B31-B12</f>
        <v>0</v>
      </c>
      <c r="C50" s="12">
        <f t="shared" si="33"/>
        <v>0</v>
      </c>
      <c r="D50" s="12">
        <f t="shared" si="33"/>
        <v>0</v>
      </c>
      <c r="E50" s="12">
        <f t="shared" si="33"/>
        <v>0</v>
      </c>
      <c r="F50" s="12">
        <f t="shared" si="33"/>
        <v>0</v>
      </c>
      <c r="G50" s="12">
        <f t="shared" si="33"/>
        <v>0</v>
      </c>
      <c r="H50" s="12">
        <f t="shared" si="33"/>
        <v>0</v>
      </c>
      <c r="I50" s="12">
        <f t="shared" si="33"/>
        <v>0</v>
      </c>
      <c r="J50" s="12">
        <f t="shared" si="33"/>
        <v>0</v>
      </c>
      <c r="K50" s="12">
        <f t="shared" si="33"/>
        <v>0</v>
      </c>
      <c r="L50" s="12">
        <f t="shared" si="33"/>
        <v>0</v>
      </c>
      <c r="M50" s="12">
        <f t="shared" si="33"/>
        <v>0</v>
      </c>
      <c r="N50" s="13">
        <f t="shared" si="25"/>
        <v>0</v>
      </c>
      <c r="P50" s="13">
        <f t="shared" si="31"/>
        <v>0</v>
      </c>
      <c r="Q50" s="13">
        <f t="shared" si="32"/>
        <v>0</v>
      </c>
    </row>
    <row r="51" spans="1:18" x14ac:dyDescent="0.3">
      <c r="A51" s="14" t="s">
        <v>82</v>
      </c>
      <c r="B51" s="12">
        <f t="shared" ref="B51:M51" si="34">B32-B13</f>
        <v>0</v>
      </c>
      <c r="C51" s="12">
        <f t="shared" si="34"/>
        <v>211.30421052631579</v>
      </c>
      <c r="D51" s="12">
        <f t="shared" si="34"/>
        <v>211.30421052631579</v>
      </c>
      <c r="E51" s="12">
        <f t="shared" si="34"/>
        <v>211.30421052631579</v>
      </c>
      <c r="F51" s="12">
        <f t="shared" si="34"/>
        <v>211.30421052631579</v>
      </c>
      <c r="G51" s="12">
        <f t="shared" si="34"/>
        <v>211.30421052631579</v>
      </c>
      <c r="H51" s="12">
        <f t="shared" si="34"/>
        <v>845.21684210526314</v>
      </c>
      <c r="I51" s="12">
        <f t="shared" si="34"/>
        <v>845.21684210526314</v>
      </c>
      <c r="J51" s="12">
        <f t="shared" si="34"/>
        <v>845.21684210526314</v>
      </c>
      <c r="K51" s="12">
        <f t="shared" si="34"/>
        <v>845.21684210526314</v>
      </c>
      <c r="L51" s="12">
        <f t="shared" si="34"/>
        <v>845.21684210526314</v>
      </c>
      <c r="M51" s="12">
        <f t="shared" si="34"/>
        <v>845.21684210526314</v>
      </c>
      <c r="N51" s="13">
        <f t="shared" si="25"/>
        <v>6127.822105263157</v>
      </c>
      <c r="P51" s="13">
        <f t="shared" si="31"/>
        <v>0</v>
      </c>
      <c r="Q51" s="13">
        <f t="shared" si="32"/>
        <v>0</v>
      </c>
      <c r="R51" s="8"/>
    </row>
    <row r="52" spans="1:18" x14ac:dyDescent="0.3">
      <c r="A52" s="14" t="s">
        <v>83</v>
      </c>
      <c r="B52" s="12">
        <f t="shared" ref="B52:M52" si="35">B33-B14</f>
        <v>-1100</v>
      </c>
      <c r="C52" s="12">
        <f t="shared" si="35"/>
        <v>-1100</v>
      </c>
      <c r="D52" s="12">
        <f t="shared" si="35"/>
        <v>-177.20000000000005</v>
      </c>
      <c r="E52" s="12">
        <f t="shared" si="35"/>
        <v>-177.20000000000005</v>
      </c>
      <c r="F52" s="12">
        <f t="shared" si="35"/>
        <v>-177.20000000000005</v>
      </c>
      <c r="G52" s="12">
        <f t="shared" si="35"/>
        <v>-177.20000000000005</v>
      </c>
      <c r="H52" s="12">
        <f t="shared" si="35"/>
        <v>-177.20000000000005</v>
      </c>
      <c r="I52" s="12">
        <f t="shared" si="35"/>
        <v>-177.20000000000005</v>
      </c>
      <c r="J52" s="12">
        <f t="shared" si="35"/>
        <v>-177.20000000000005</v>
      </c>
      <c r="K52" s="12">
        <f t="shared" si="35"/>
        <v>-177.20000000000005</v>
      </c>
      <c r="L52" s="12">
        <f t="shared" si="35"/>
        <v>-177.20000000000005</v>
      </c>
      <c r="M52" s="12">
        <f t="shared" si="35"/>
        <v>-177.20000000000005</v>
      </c>
      <c r="N52" s="13">
        <f t="shared" si="25"/>
        <v>-3971.9999999999982</v>
      </c>
      <c r="P52" s="13">
        <f t="shared" si="31"/>
        <v>-1.1000000000000001</v>
      </c>
      <c r="Q52" s="13">
        <f t="shared" si="32"/>
        <v>-1.1000000000000001</v>
      </c>
    </row>
    <row r="53" spans="1:18" x14ac:dyDescent="0.3">
      <c r="A53" s="14" t="s">
        <v>84</v>
      </c>
      <c r="B53" s="12">
        <f t="shared" ref="B53:M53" si="36">B34-B15</f>
        <v>0</v>
      </c>
      <c r="C53" s="12">
        <f t="shared" si="36"/>
        <v>0</v>
      </c>
      <c r="D53" s="12">
        <f t="shared" si="36"/>
        <v>0</v>
      </c>
      <c r="E53" s="12">
        <f t="shared" si="36"/>
        <v>0</v>
      </c>
      <c r="F53" s="12">
        <f t="shared" si="36"/>
        <v>0</v>
      </c>
      <c r="G53" s="12">
        <f t="shared" si="36"/>
        <v>0</v>
      </c>
      <c r="H53" s="12">
        <f t="shared" si="36"/>
        <v>0</v>
      </c>
      <c r="I53" s="12">
        <f t="shared" si="36"/>
        <v>0</v>
      </c>
      <c r="J53" s="12">
        <f t="shared" si="36"/>
        <v>0</v>
      </c>
      <c r="K53" s="12">
        <f t="shared" si="36"/>
        <v>0</v>
      </c>
      <c r="L53" s="12">
        <f t="shared" si="36"/>
        <v>0</v>
      </c>
      <c r="M53" s="12">
        <f t="shared" si="36"/>
        <v>0</v>
      </c>
      <c r="N53" s="13">
        <f t="shared" si="25"/>
        <v>0</v>
      </c>
      <c r="P53" s="13">
        <f t="shared" si="31"/>
        <v>0</v>
      </c>
      <c r="Q53" s="13">
        <f t="shared" si="32"/>
        <v>0</v>
      </c>
    </row>
    <row r="54" spans="1:18" x14ac:dyDescent="0.3">
      <c r="A54" s="14" t="s">
        <v>85</v>
      </c>
      <c r="B54" s="12">
        <f t="shared" ref="B54:M54" si="37">B35-B16</f>
        <v>0</v>
      </c>
      <c r="C54" s="12">
        <f t="shared" si="37"/>
        <v>0</v>
      </c>
      <c r="D54" s="12">
        <f t="shared" si="37"/>
        <v>0</v>
      </c>
      <c r="E54" s="12">
        <f t="shared" si="37"/>
        <v>0</v>
      </c>
      <c r="F54" s="12">
        <f t="shared" si="37"/>
        <v>0</v>
      </c>
      <c r="G54" s="12">
        <f t="shared" si="37"/>
        <v>0</v>
      </c>
      <c r="H54" s="12">
        <f t="shared" si="37"/>
        <v>0</v>
      </c>
      <c r="I54" s="12">
        <f t="shared" si="37"/>
        <v>0</v>
      </c>
      <c r="J54" s="12">
        <f t="shared" si="37"/>
        <v>0</v>
      </c>
      <c r="K54" s="12">
        <f t="shared" si="37"/>
        <v>0</v>
      </c>
      <c r="L54" s="12">
        <f t="shared" si="37"/>
        <v>0</v>
      </c>
      <c r="M54" s="12">
        <f t="shared" si="37"/>
        <v>0</v>
      </c>
      <c r="N54" s="13">
        <f t="shared" si="25"/>
        <v>0</v>
      </c>
      <c r="P54" s="13">
        <f t="shared" si="31"/>
        <v>0</v>
      </c>
      <c r="Q54" s="13">
        <f t="shared" si="32"/>
        <v>0</v>
      </c>
    </row>
    <row r="55" spans="1:18" x14ac:dyDescent="0.3">
      <c r="A55" s="14" t="s">
        <v>86</v>
      </c>
      <c r="B55" s="12">
        <f t="shared" ref="B55:M55" si="38">B36-B17</f>
        <v>0</v>
      </c>
      <c r="C55" s="12">
        <f t="shared" si="38"/>
        <v>0</v>
      </c>
      <c r="D55" s="12">
        <f t="shared" si="38"/>
        <v>0</v>
      </c>
      <c r="E55" s="12">
        <f t="shared" si="38"/>
        <v>0</v>
      </c>
      <c r="F55" s="12">
        <f t="shared" si="38"/>
        <v>0</v>
      </c>
      <c r="G55" s="12">
        <f t="shared" si="38"/>
        <v>0</v>
      </c>
      <c r="H55" s="12">
        <f t="shared" si="38"/>
        <v>0</v>
      </c>
      <c r="I55" s="12">
        <f t="shared" si="38"/>
        <v>0</v>
      </c>
      <c r="J55" s="12">
        <f t="shared" si="38"/>
        <v>0</v>
      </c>
      <c r="K55" s="12">
        <f t="shared" si="38"/>
        <v>0</v>
      </c>
      <c r="L55" s="12">
        <f t="shared" si="38"/>
        <v>0</v>
      </c>
      <c r="M55" s="12">
        <f t="shared" si="38"/>
        <v>0</v>
      </c>
      <c r="N55" s="13">
        <f t="shared" si="25"/>
        <v>0</v>
      </c>
      <c r="P55" s="13">
        <f t="shared" si="31"/>
        <v>0</v>
      </c>
      <c r="Q55" s="13">
        <f t="shared" si="32"/>
        <v>0</v>
      </c>
    </row>
    <row r="56" spans="1:18" ht="15" thickBot="1" x14ac:dyDescent="0.35">
      <c r="A56" s="15" t="s">
        <v>198</v>
      </c>
      <c r="B56" s="16">
        <f>SUM(B49:B55)</f>
        <v>-1100</v>
      </c>
      <c r="C56" s="16">
        <f t="shared" ref="C56:M56" si="39">SUM(C49:C55)</f>
        <v>1352.1855052852825</v>
      </c>
      <c r="D56" s="16">
        <f t="shared" si="39"/>
        <v>2274.9855052852827</v>
      </c>
      <c r="E56" s="16">
        <f t="shared" si="39"/>
        <v>2274.9855052852827</v>
      </c>
      <c r="F56" s="16">
        <f t="shared" si="39"/>
        <v>2274.9855052852827</v>
      </c>
      <c r="G56" s="16">
        <f t="shared" si="39"/>
        <v>2274.9855052852827</v>
      </c>
      <c r="H56" s="16">
        <f t="shared" si="39"/>
        <v>2908.8981368642299</v>
      </c>
      <c r="I56" s="16">
        <f t="shared" si="39"/>
        <v>2908.8981368642299</v>
      </c>
      <c r="J56" s="16">
        <f t="shared" si="39"/>
        <v>2908.8981368642299</v>
      </c>
      <c r="K56" s="16">
        <f t="shared" si="39"/>
        <v>2908.8981368642299</v>
      </c>
      <c r="L56" s="16">
        <f t="shared" si="39"/>
        <v>2908.8981368642299</v>
      </c>
      <c r="M56" s="16">
        <f t="shared" si="39"/>
        <v>2908.8981368642299</v>
      </c>
      <c r="N56" s="16">
        <f t="shared" si="25"/>
        <v>26805.516347611796</v>
      </c>
      <c r="P56" s="16">
        <f>SUM(P49:P55)</f>
        <v>-1.1000000000000001</v>
      </c>
      <c r="Q56" s="16">
        <f>SUM(Q49:Q55)</f>
        <v>-1.1000000000000001</v>
      </c>
    </row>
    <row r="57" spans="1:18" x14ac:dyDescent="0.3">
      <c r="A57" s="18" t="s">
        <v>199</v>
      </c>
      <c r="B57" s="12">
        <f>B38-B19</f>
        <v>0</v>
      </c>
      <c r="C57" s="12">
        <f t="shared" ref="C57:M57" si="40">C38-C19</f>
        <v>0</v>
      </c>
      <c r="D57" s="12">
        <f t="shared" si="40"/>
        <v>0</v>
      </c>
      <c r="E57" s="12">
        <f t="shared" si="40"/>
        <v>0</v>
      </c>
      <c r="F57" s="12">
        <f t="shared" si="40"/>
        <v>0</v>
      </c>
      <c r="G57" s="12">
        <f t="shared" si="40"/>
        <v>0</v>
      </c>
      <c r="H57" s="12">
        <f t="shared" si="40"/>
        <v>0</v>
      </c>
      <c r="I57" s="12">
        <f t="shared" si="40"/>
        <v>0</v>
      </c>
      <c r="J57" s="12">
        <f t="shared" si="40"/>
        <v>0</v>
      </c>
      <c r="K57" s="12">
        <f t="shared" si="40"/>
        <v>0</v>
      </c>
      <c r="L57" s="12">
        <f t="shared" si="40"/>
        <v>0</v>
      </c>
      <c r="M57" s="12">
        <f t="shared" si="40"/>
        <v>0</v>
      </c>
      <c r="N57" s="13">
        <f t="shared" si="25"/>
        <v>0</v>
      </c>
      <c r="P57" s="210">
        <f t="shared" ref="P57" si="41">+SUMIFS(B57:M57,$B$2:$M$2,$V$3)/1000</f>
        <v>0</v>
      </c>
      <c r="Q57" s="210">
        <f t="shared" ref="Q57" si="42">+SUMIFS(B57:M57,$B$1:$M$1,$W$3)/1000</f>
        <v>0</v>
      </c>
    </row>
    <row r="58" spans="1:18" ht="15" thickBot="1" x14ac:dyDescent="0.35">
      <c r="A58" s="19" t="s">
        <v>203</v>
      </c>
      <c r="B58" s="20">
        <f>B48+B56+B57</f>
        <v>34705.983252048027</v>
      </c>
      <c r="C58" s="20">
        <f t="shared" ref="C58" si="43">C48+C56+C57</f>
        <v>44902.451424092746</v>
      </c>
      <c r="D58" s="20">
        <f t="shared" ref="D58" si="44">D48+D56+D57</f>
        <v>21760.644190247476</v>
      </c>
      <c r="E58" s="20">
        <f t="shared" ref="E58" si="45">E48+E56+E57</f>
        <v>17444.173709607538</v>
      </c>
      <c r="F58" s="20">
        <f t="shared" ref="F58" si="46">F48+F56+F57</f>
        <v>13210.284182830859</v>
      </c>
      <c r="G58" s="20">
        <f t="shared" ref="G58" si="47">G48+G56+G57</f>
        <v>-17091.203079027098</v>
      </c>
      <c r="H58" s="20">
        <f t="shared" ref="H58" si="48">H48+H56+H57</f>
        <v>-18776.393793884537</v>
      </c>
      <c r="I58" s="20">
        <f t="shared" ref="I58" si="49">I48+I56+I57</f>
        <v>-18761.112528728194</v>
      </c>
      <c r="J58" s="20">
        <f t="shared" ref="J58" si="50">J48+J56+J57</f>
        <v>-25280.360692192622</v>
      </c>
      <c r="K58" s="20">
        <f t="shared" ref="K58" si="51">K48+K56+K57</f>
        <v>-21553.214599715378</v>
      </c>
      <c r="L58" s="20">
        <f t="shared" ref="L58" si="52">L48+L56+L57</f>
        <v>-19672.466108708668</v>
      </c>
      <c r="M58" s="20">
        <f t="shared" ref="M58" si="53">M48+M56+M57</f>
        <v>-20916.229065090534</v>
      </c>
      <c r="N58" s="20">
        <f t="shared" si="25"/>
        <v>-10027.443108520387</v>
      </c>
      <c r="P58" s="20">
        <f>P56+P48+P57</f>
        <v>34.705983252048028</v>
      </c>
      <c r="Q58" s="20">
        <f>Q56+Q48+Q57</f>
        <v>34.705983252048028</v>
      </c>
    </row>
    <row r="60" spans="1:18" x14ac:dyDescent="0.3">
      <c r="N60" s="103"/>
    </row>
    <row r="61" spans="1:18" x14ac:dyDescent="0.3">
      <c r="B61" s="8"/>
      <c r="L61" s="10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7F69A8-FD17-4248-9BBE-99B8F5FCEB69}">
          <x14:formula1>
            <xm:f>List!$C$2:$C$13</xm:f>
          </x14:formula1>
          <xm:sqref>U3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B43F-30DD-4CA8-B10F-9B42F45A561C}">
  <sheetPr>
    <tabColor rgb="FF0070C0"/>
  </sheetPr>
  <dimension ref="B2:O13"/>
  <sheetViews>
    <sheetView zoomScale="110" zoomScaleNormal="110" workbookViewId="0">
      <selection activeCell="F19" sqref="F19"/>
    </sheetView>
  </sheetViews>
  <sheetFormatPr defaultRowHeight="14.4" x14ac:dyDescent="0.3"/>
  <cols>
    <col min="2" max="2" width="13.88671875" bestFit="1" customWidth="1"/>
    <col min="3" max="6" width="7.109375" bestFit="1" customWidth="1"/>
    <col min="7" max="7" width="7.21875" customWidth="1"/>
    <col min="8" max="14" width="7.109375" bestFit="1" customWidth="1"/>
    <col min="15" max="15" width="7.5546875" bestFit="1" customWidth="1"/>
  </cols>
  <sheetData>
    <row r="2" spans="2:15" x14ac:dyDescent="0.3">
      <c r="B2" s="522" t="s">
        <v>180</v>
      </c>
      <c r="C2" s="523" t="s">
        <v>0</v>
      </c>
      <c r="D2" s="523" t="s">
        <v>1</v>
      </c>
      <c r="E2" s="523" t="s">
        <v>130</v>
      </c>
      <c r="F2" s="523" t="s">
        <v>469</v>
      </c>
      <c r="G2" s="523" t="s">
        <v>4</v>
      </c>
      <c r="H2" s="523" t="s">
        <v>470</v>
      </c>
      <c r="I2" s="523" t="s">
        <v>471</v>
      </c>
      <c r="J2" s="523" t="s">
        <v>107</v>
      </c>
      <c r="K2" s="523" t="s">
        <v>437</v>
      </c>
      <c r="L2" s="523" t="s">
        <v>9</v>
      </c>
      <c r="M2" s="523" t="s">
        <v>10</v>
      </c>
      <c r="N2" s="523" t="s">
        <v>11</v>
      </c>
      <c r="O2" s="523" t="s">
        <v>67</v>
      </c>
    </row>
    <row r="3" spans="2:15" x14ac:dyDescent="0.3">
      <c r="B3" s="524" t="s">
        <v>96</v>
      </c>
      <c r="C3" s="525">
        <v>50463</v>
      </c>
      <c r="D3" s="525">
        <v>50446</v>
      </c>
      <c r="E3" s="525">
        <v>50447</v>
      </c>
      <c r="F3" s="525">
        <v>48050</v>
      </c>
      <c r="G3" s="525">
        <v>36788</v>
      </c>
      <c r="H3" s="525">
        <v>53265</v>
      </c>
      <c r="I3" s="525">
        <v>42049</v>
      </c>
      <c r="J3" s="525">
        <v>39150</v>
      </c>
      <c r="K3" s="525">
        <v>53732</v>
      </c>
      <c r="L3" s="525">
        <v>48548</v>
      </c>
      <c r="M3" s="525">
        <v>51408</v>
      </c>
      <c r="N3" s="525">
        <v>40676</v>
      </c>
      <c r="O3" s="526">
        <f>SUM(C3:N3)</f>
        <v>565022</v>
      </c>
    </row>
    <row r="4" spans="2:15" x14ac:dyDescent="0.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2:15" x14ac:dyDescent="0.3">
      <c r="B5" s="527" t="s">
        <v>472</v>
      </c>
      <c r="C5" s="528">
        <v>46000</v>
      </c>
      <c r="D5" s="528">
        <v>46000</v>
      </c>
      <c r="E5" s="528">
        <v>46000</v>
      </c>
      <c r="F5" s="528">
        <v>48300</v>
      </c>
      <c r="G5" s="528">
        <v>32200</v>
      </c>
      <c r="H5" s="528">
        <v>71500</v>
      </c>
      <c r="I5" s="528">
        <v>57750</v>
      </c>
      <c r="J5" s="528">
        <v>52250</v>
      </c>
      <c r="K5" s="528">
        <v>71500</v>
      </c>
      <c r="L5" s="528">
        <v>71500</v>
      </c>
      <c r="M5" s="528">
        <v>68750</v>
      </c>
      <c r="N5" s="528">
        <v>62561</v>
      </c>
      <c r="O5" s="526">
        <f>SUM(C5:N5)</f>
        <v>674311</v>
      </c>
    </row>
    <row r="7" spans="2:15" x14ac:dyDescent="0.3">
      <c r="B7" s="70" t="s">
        <v>448</v>
      </c>
      <c r="C7" s="665">
        <f>+C10</f>
        <v>47357</v>
      </c>
      <c r="D7" s="665">
        <f t="shared" ref="D7:F7" si="0">+D10</f>
        <v>42593.000999999997</v>
      </c>
      <c r="E7" s="665">
        <f t="shared" si="0"/>
        <v>23002.001</v>
      </c>
      <c r="F7" s="619">
        <f t="shared" si="0"/>
        <v>44096</v>
      </c>
      <c r="G7" s="619">
        <v>36000</v>
      </c>
      <c r="H7" s="619">
        <v>54500.000999999997</v>
      </c>
      <c r="I7" s="619">
        <v>41500</v>
      </c>
      <c r="J7" s="619">
        <v>39000.000999999997</v>
      </c>
      <c r="K7" s="619">
        <v>54085</v>
      </c>
      <c r="L7" s="619">
        <v>49968</v>
      </c>
      <c r="M7" s="619">
        <v>51936</v>
      </c>
      <c r="N7" s="619">
        <v>42190</v>
      </c>
      <c r="O7" s="526">
        <f>SUM(C7:N7)</f>
        <v>526227.00399999996</v>
      </c>
    </row>
    <row r="8" spans="2:15" x14ac:dyDescent="0.3">
      <c r="F8" s="8"/>
    </row>
    <row r="10" spans="2:15" ht="15" x14ac:dyDescent="0.3">
      <c r="B10" s="529" t="s">
        <v>473</v>
      </c>
      <c r="C10" s="530">
        <f>SUM(C11:C13)</f>
        <v>47357</v>
      </c>
      <c r="D10" s="530">
        <f t="shared" ref="D10:F10" si="1">SUM(D11:D13)</f>
        <v>42593.000999999997</v>
      </c>
      <c r="E10" s="530">
        <f t="shared" si="1"/>
        <v>23002.001</v>
      </c>
      <c r="F10" s="530">
        <f t="shared" si="1"/>
        <v>44096</v>
      </c>
      <c r="G10" s="530">
        <v>36000</v>
      </c>
      <c r="H10" s="530">
        <v>54500.000999999997</v>
      </c>
      <c r="I10" s="530">
        <v>41500</v>
      </c>
      <c r="J10" s="530">
        <v>39000.000999999997</v>
      </c>
      <c r="K10" s="530">
        <v>54085</v>
      </c>
      <c r="L10" s="530">
        <v>49968</v>
      </c>
      <c r="M10" s="530">
        <v>51936</v>
      </c>
      <c r="N10" s="530">
        <v>42190</v>
      </c>
      <c r="O10" s="526">
        <f>SUM(C10:N10)</f>
        <v>526227.00399999996</v>
      </c>
    </row>
    <row r="11" spans="2:15" x14ac:dyDescent="0.3">
      <c r="B11" s="531" t="s">
        <v>474</v>
      </c>
      <c r="C11" s="532">
        <v>19805</v>
      </c>
      <c r="D11" s="533">
        <v>18495</v>
      </c>
      <c r="E11" s="533">
        <v>10482</v>
      </c>
      <c r="F11" s="533">
        <v>21500</v>
      </c>
      <c r="G11" s="533"/>
      <c r="H11" s="533"/>
      <c r="I11" s="533"/>
      <c r="J11" s="533"/>
      <c r="K11" s="533"/>
      <c r="L11" s="533"/>
      <c r="M11" s="533"/>
      <c r="N11" s="533"/>
      <c r="O11" s="526">
        <f>SUM(C11:N11)</f>
        <v>70282</v>
      </c>
    </row>
    <row r="12" spans="2:15" x14ac:dyDescent="0.3">
      <c r="B12" s="531" t="s">
        <v>475</v>
      </c>
      <c r="C12" s="532">
        <v>27552</v>
      </c>
      <c r="D12" s="533">
        <v>24098</v>
      </c>
      <c r="E12" s="533">
        <v>12520</v>
      </c>
      <c r="F12" s="533">
        <v>21500</v>
      </c>
      <c r="G12" s="533"/>
      <c r="H12" s="533"/>
      <c r="I12" s="533"/>
      <c r="J12" s="533"/>
      <c r="K12" s="533"/>
      <c r="L12" s="533"/>
      <c r="M12" s="533"/>
      <c r="N12" s="533"/>
      <c r="O12" s="526">
        <f>SUM(C12:N12)</f>
        <v>85670</v>
      </c>
    </row>
    <row r="13" spans="2:15" x14ac:dyDescent="0.3">
      <c r="B13" s="531" t="s">
        <v>476</v>
      </c>
      <c r="C13" s="532"/>
      <c r="D13" s="533">
        <v>1E-3</v>
      </c>
      <c r="E13" s="533">
        <v>1E-3</v>
      </c>
      <c r="F13" s="533">
        <v>1096</v>
      </c>
      <c r="G13" s="533"/>
      <c r="H13" s="533"/>
      <c r="I13" s="533"/>
      <c r="J13" s="533"/>
      <c r="K13" s="533"/>
      <c r="L13" s="533"/>
      <c r="M13" s="533"/>
      <c r="N13" s="533"/>
      <c r="O13" s="526">
        <f>SUM(C13:N13)</f>
        <v>1096.002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C618-C79C-4382-9F9C-6D9E4B40C651}">
  <dimension ref="A1:E39"/>
  <sheetViews>
    <sheetView workbookViewId="0">
      <selection activeCell="F22" sqref="F22"/>
    </sheetView>
  </sheetViews>
  <sheetFormatPr defaultRowHeight="14.4" x14ac:dyDescent="0.3"/>
  <cols>
    <col min="1" max="1" width="20.5546875" customWidth="1"/>
    <col min="2" max="2" width="46.77734375" bestFit="1" customWidth="1"/>
    <col min="3" max="4" width="12.77734375" style="45" customWidth="1"/>
    <col min="5" max="5" width="39" bestFit="1" customWidth="1"/>
  </cols>
  <sheetData>
    <row r="1" spans="1:4" x14ac:dyDescent="0.3">
      <c r="A1" s="5" t="s">
        <v>494</v>
      </c>
      <c r="B1" s="5" t="s">
        <v>495</v>
      </c>
      <c r="C1" s="5" t="s">
        <v>496</v>
      </c>
      <c r="D1" s="5" t="s">
        <v>497</v>
      </c>
    </row>
    <row r="3" spans="1:4" x14ac:dyDescent="0.3">
      <c r="A3" s="5" t="s">
        <v>494</v>
      </c>
      <c r="B3" s="2" t="s">
        <v>74</v>
      </c>
      <c r="C3" s="45" t="s">
        <v>498</v>
      </c>
    </row>
    <row r="4" spans="1:4" x14ac:dyDescent="0.3">
      <c r="A4" s="5" t="s">
        <v>494</v>
      </c>
      <c r="B4" s="3" t="s">
        <v>75</v>
      </c>
      <c r="C4" s="45" t="s">
        <v>498</v>
      </c>
    </row>
    <row r="5" spans="1:4" x14ac:dyDescent="0.3">
      <c r="A5" s="5" t="s">
        <v>494</v>
      </c>
      <c r="B5" s="3" t="s">
        <v>76</v>
      </c>
      <c r="D5" s="45" t="s">
        <v>498</v>
      </c>
    </row>
    <row r="6" spans="1:4" x14ac:dyDescent="0.3">
      <c r="A6" s="5" t="s">
        <v>494</v>
      </c>
      <c r="B6" s="3" t="s">
        <v>77</v>
      </c>
      <c r="D6" s="45" t="s">
        <v>498</v>
      </c>
    </row>
    <row r="7" spans="1:4" x14ac:dyDescent="0.3">
      <c r="A7" s="5" t="s">
        <v>494</v>
      </c>
      <c r="B7" s="3" t="s">
        <v>78</v>
      </c>
      <c r="C7" s="738"/>
      <c r="D7" s="739"/>
    </row>
    <row r="8" spans="1:4" x14ac:dyDescent="0.3">
      <c r="A8" s="5" t="s">
        <v>494</v>
      </c>
      <c r="B8" s="3" t="s">
        <v>192</v>
      </c>
      <c r="D8" s="45" t="s">
        <v>498</v>
      </c>
    </row>
    <row r="9" spans="1:4" x14ac:dyDescent="0.3">
      <c r="A9" s="5" t="s">
        <v>494</v>
      </c>
      <c r="B9" s="3" t="s">
        <v>499</v>
      </c>
      <c r="C9" s="45" t="s">
        <v>498</v>
      </c>
    </row>
    <row r="10" spans="1:4" x14ac:dyDescent="0.3">
      <c r="A10" s="5" t="s">
        <v>494</v>
      </c>
      <c r="B10" s="4" t="s">
        <v>79</v>
      </c>
    </row>
    <row r="11" spans="1:4" x14ac:dyDescent="0.3">
      <c r="A11" s="5" t="s">
        <v>494</v>
      </c>
      <c r="B11" s="3" t="s">
        <v>80</v>
      </c>
      <c r="C11" s="45" t="s">
        <v>498</v>
      </c>
    </row>
    <row r="12" spans="1:4" x14ac:dyDescent="0.3">
      <c r="A12" s="5" t="s">
        <v>494</v>
      </c>
      <c r="B12" s="3" t="s">
        <v>81</v>
      </c>
      <c r="C12" s="45" t="s">
        <v>498</v>
      </c>
    </row>
    <row r="13" spans="1:4" x14ac:dyDescent="0.3">
      <c r="A13" s="5" t="s">
        <v>494</v>
      </c>
      <c r="B13" s="3" t="s">
        <v>82</v>
      </c>
      <c r="C13" s="45" t="s">
        <v>498</v>
      </c>
    </row>
    <row r="14" spans="1:4" x14ac:dyDescent="0.3">
      <c r="A14" s="5" t="s">
        <v>494</v>
      </c>
      <c r="B14" s="3" t="s">
        <v>83</v>
      </c>
      <c r="C14" s="45" t="s">
        <v>498</v>
      </c>
    </row>
    <row r="15" spans="1:4" x14ac:dyDescent="0.3">
      <c r="A15" s="5" t="s">
        <v>494</v>
      </c>
      <c r="B15" s="3" t="s">
        <v>84</v>
      </c>
      <c r="C15" s="45" t="s">
        <v>498</v>
      </c>
    </row>
    <row r="16" spans="1:4" x14ac:dyDescent="0.3">
      <c r="A16" s="5" t="s">
        <v>494</v>
      </c>
      <c r="B16" s="3" t="s">
        <v>189</v>
      </c>
      <c r="C16" s="738" t="s">
        <v>500</v>
      </c>
      <c r="D16" s="739"/>
    </row>
    <row r="17" spans="1:5" x14ac:dyDescent="0.3">
      <c r="A17" s="5" t="s">
        <v>494</v>
      </c>
      <c r="B17" s="3" t="s">
        <v>190</v>
      </c>
      <c r="C17" s="738" t="s">
        <v>500</v>
      </c>
      <c r="D17" s="739"/>
    </row>
    <row r="18" spans="1:5" x14ac:dyDescent="0.3">
      <c r="A18" s="5" t="s">
        <v>494</v>
      </c>
      <c r="B18" s="3" t="s">
        <v>85</v>
      </c>
      <c r="D18" s="45" t="s">
        <v>498</v>
      </c>
    </row>
    <row r="19" spans="1:5" x14ac:dyDescent="0.3">
      <c r="A19" s="5" t="s">
        <v>494</v>
      </c>
      <c r="B19" s="3" t="s">
        <v>86</v>
      </c>
      <c r="C19" s="45" t="s">
        <v>498</v>
      </c>
    </row>
    <row r="20" spans="1:5" x14ac:dyDescent="0.3">
      <c r="A20" s="5" t="s">
        <v>494</v>
      </c>
      <c r="B20" s="4" t="s">
        <v>87</v>
      </c>
    </row>
    <row r="21" spans="1:5" x14ac:dyDescent="0.3">
      <c r="A21" s="5" t="s">
        <v>494</v>
      </c>
      <c r="B21" s="5" t="s">
        <v>88</v>
      </c>
    </row>
    <row r="22" spans="1:5" x14ac:dyDescent="0.3">
      <c r="A22" s="5" t="s">
        <v>494</v>
      </c>
      <c r="B22" s="3" t="s">
        <v>89</v>
      </c>
      <c r="C22" s="738"/>
      <c r="D22" s="739"/>
    </row>
    <row r="23" spans="1:5" x14ac:dyDescent="0.3">
      <c r="A23" s="5" t="s">
        <v>494</v>
      </c>
      <c r="B23" s="3" t="s">
        <v>191</v>
      </c>
      <c r="C23" s="45" t="s">
        <v>498</v>
      </c>
      <c r="E23" t="s">
        <v>501</v>
      </c>
    </row>
    <row r="24" spans="1:5" x14ac:dyDescent="0.3">
      <c r="A24" s="5" t="s">
        <v>494</v>
      </c>
      <c r="B24" s="3" t="s">
        <v>189</v>
      </c>
      <c r="C24" s="45" t="s">
        <v>498</v>
      </c>
      <c r="E24" t="s">
        <v>501</v>
      </c>
    </row>
    <row r="25" spans="1:5" x14ac:dyDescent="0.3">
      <c r="A25" s="5" t="s">
        <v>494</v>
      </c>
      <c r="B25" s="3" t="s">
        <v>190</v>
      </c>
      <c r="C25" s="45" t="s">
        <v>498</v>
      </c>
      <c r="E25" t="s">
        <v>501</v>
      </c>
    </row>
    <row r="26" spans="1:5" x14ac:dyDescent="0.3">
      <c r="A26" s="5" t="s">
        <v>494</v>
      </c>
      <c r="B26" s="3" t="s">
        <v>148</v>
      </c>
      <c r="D26" s="45" t="s">
        <v>498</v>
      </c>
    </row>
    <row r="27" spans="1:5" x14ac:dyDescent="0.3">
      <c r="A27" s="5" t="s">
        <v>494</v>
      </c>
      <c r="B27" s="3" t="s">
        <v>149</v>
      </c>
      <c r="D27" s="45" t="s">
        <v>498</v>
      </c>
    </row>
    <row r="28" spans="1:5" x14ac:dyDescent="0.3">
      <c r="A28" s="5" t="s">
        <v>494</v>
      </c>
      <c r="B28" s="5" t="s">
        <v>90</v>
      </c>
    </row>
    <row r="29" spans="1:5" x14ac:dyDescent="0.3">
      <c r="A29" s="5" t="s">
        <v>494</v>
      </c>
      <c r="B29" s="51" t="s">
        <v>91</v>
      </c>
      <c r="C29" s="45" t="s">
        <v>498</v>
      </c>
    </row>
    <row r="32" spans="1:5" x14ac:dyDescent="0.3">
      <c r="A32" s="5" t="s">
        <v>143</v>
      </c>
      <c r="B32" t="s">
        <v>76</v>
      </c>
    </row>
    <row r="33" spans="1:2" x14ac:dyDescent="0.3">
      <c r="A33" s="5" t="s">
        <v>143</v>
      </c>
      <c r="B33" t="s">
        <v>77</v>
      </c>
    </row>
    <row r="34" spans="1:2" x14ac:dyDescent="0.3">
      <c r="A34" s="5" t="s">
        <v>143</v>
      </c>
      <c r="B34" t="s">
        <v>192</v>
      </c>
    </row>
    <row r="35" spans="1:2" x14ac:dyDescent="0.3">
      <c r="A35" s="5" t="s">
        <v>143</v>
      </c>
      <c r="B35" t="s">
        <v>85</v>
      </c>
    </row>
    <row r="36" spans="1:2" x14ac:dyDescent="0.3">
      <c r="A36" s="5" t="s">
        <v>143</v>
      </c>
      <c r="B36" t="s">
        <v>145</v>
      </c>
    </row>
    <row r="38" spans="1:2" x14ac:dyDescent="0.3">
      <c r="A38" s="471" t="s">
        <v>147</v>
      </c>
      <c r="B38" t="s">
        <v>148</v>
      </c>
    </row>
    <row r="39" spans="1:2" x14ac:dyDescent="0.3">
      <c r="A39" s="471" t="s">
        <v>147</v>
      </c>
      <c r="B39" t="s">
        <v>149</v>
      </c>
    </row>
  </sheetData>
  <mergeCells count="4">
    <mergeCell ref="C7:D7"/>
    <mergeCell ref="C16:D16"/>
    <mergeCell ref="C17:D17"/>
    <mergeCell ref="C22:D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082C-5CDD-4AB4-8AAC-D74D040ED99D}">
  <dimension ref="A1"/>
  <sheetViews>
    <sheetView workbookViewId="0">
      <selection activeCell="J33" sqref="J33"/>
    </sheetView>
  </sheetViews>
  <sheetFormatPr defaultColWidth="8.77734375" defaultRowHeight="14.4" x14ac:dyDescent="0.3"/>
  <cols>
    <col min="1" max="16384" width="8.77734375" style="73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CBAE-AE60-4794-B4DE-25E7D3C4C9E6}">
  <sheetPr>
    <tabColor theme="6" tint="0.59999389629810485"/>
  </sheetPr>
  <dimension ref="A1:V85"/>
  <sheetViews>
    <sheetView showGridLines="0" zoomScaleNormal="100" workbookViewId="0">
      <selection activeCell="J22" sqref="J22"/>
    </sheetView>
  </sheetViews>
  <sheetFormatPr defaultRowHeight="14.4" x14ac:dyDescent="0.3"/>
  <cols>
    <col min="1" max="1" width="18.21875" customWidth="1"/>
    <col min="2" max="2" width="34.44140625" customWidth="1"/>
    <col min="3" max="3" width="9.44140625" customWidth="1"/>
    <col min="4" max="4" width="7.77734375" style="50" bestFit="1" customWidth="1"/>
    <col min="5" max="5" width="1.44140625" style="50" customWidth="1"/>
    <col min="6" max="6" width="5.21875" style="50" customWidth="1"/>
    <col min="7" max="7" width="5.5546875" bestFit="1" customWidth="1"/>
    <col min="8" max="8" width="3.44140625" customWidth="1"/>
    <col min="9" max="9" width="9.21875" bestFit="1" customWidth="1"/>
    <col min="11" max="11" width="3.5546875" customWidth="1"/>
    <col min="12" max="12" width="3.44140625" customWidth="1"/>
  </cols>
  <sheetData>
    <row r="1" spans="1:22" x14ac:dyDescent="0.3">
      <c r="B1" s="51"/>
      <c r="C1" s="190"/>
      <c r="D1" s="51"/>
      <c r="E1" s="51"/>
      <c r="F1" s="51"/>
    </row>
    <row r="2" spans="1:22" ht="14.55" customHeight="1" x14ac:dyDescent="0.3">
      <c r="B2" s="742" t="s">
        <v>131</v>
      </c>
      <c r="C2" s="744" t="s">
        <v>57</v>
      </c>
      <c r="D2" s="745"/>
      <c r="E2" s="60"/>
      <c r="F2" s="60"/>
      <c r="I2" s="744" t="s">
        <v>132</v>
      </c>
      <c r="J2" s="745"/>
      <c r="M2" s="167" t="s">
        <v>133</v>
      </c>
      <c r="N2" s="167" t="s">
        <v>134</v>
      </c>
      <c r="O2" s="167" t="s">
        <v>135</v>
      </c>
      <c r="P2" s="45"/>
    </row>
    <row r="3" spans="1:22" x14ac:dyDescent="0.3">
      <c r="B3" s="743"/>
      <c r="C3" s="746"/>
      <c r="D3" s="747"/>
      <c r="E3" s="60"/>
      <c r="F3" s="60"/>
      <c r="I3" s="746"/>
      <c r="J3" s="747"/>
      <c r="M3">
        <v>38.119999999999997</v>
      </c>
      <c r="N3">
        <v>37.43</v>
      </c>
      <c r="O3">
        <v>49.19</v>
      </c>
      <c r="P3" s="163">
        <f>O3/M3-1</f>
        <v>0.29039874081846806</v>
      </c>
      <c r="T3" t="s">
        <v>136</v>
      </c>
      <c r="U3" t="s">
        <v>137</v>
      </c>
    </row>
    <row r="4" spans="1:22" x14ac:dyDescent="0.3">
      <c r="B4" s="51"/>
      <c r="C4" s="740">
        <f>'data entry '!Q115</f>
        <v>44096</v>
      </c>
      <c r="D4" s="741"/>
      <c r="E4" s="61"/>
      <c r="F4" s="61"/>
      <c r="I4" s="740">
        <v>6565</v>
      </c>
      <c r="J4" s="741"/>
      <c r="T4" s="107">
        <f>(G7+G11+G12)</f>
        <v>48.061910377358487</v>
      </c>
    </row>
    <row r="5" spans="1:22" x14ac:dyDescent="0.3">
      <c r="B5" s="55" t="s">
        <v>68</v>
      </c>
      <c r="C5" s="228"/>
      <c r="D5" s="229"/>
      <c r="E5" s="230"/>
      <c r="F5" s="230"/>
      <c r="S5" t="s">
        <v>138</v>
      </c>
      <c r="T5" s="107">
        <f>T4</f>
        <v>48.061910377358487</v>
      </c>
      <c r="U5">
        <v>165.3</v>
      </c>
      <c r="V5" s="107">
        <f>T5*U5</f>
        <v>7944.6337853773584</v>
      </c>
    </row>
    <row r="6" spans="1:22" x14ac:dyDescent="0.3">
      <c r="B6" s="51"/>
      <c r="C6" s="223" t="s">
        <v>71</v>
      </c>
      <c r="D6" s="221" t="s">
        <v>72</v>
      </c>
      <c r="E6" s="61"/>
      <c r="F6" s="61" t="s">
        <v>136</v>
      </c>
      <c r="G6" s="32" t="s">
        <v>132</v>
      </c>
      <c r="I6" s="223" t="s">
        <v>71</v>
      </c>
      <c r="J6" s="221" t="s">
        <v>72</v>
      </c>
      <c r="S6" t="s">
        <v>139</v>
      </c>
      <c r="T6" s="107">
        <f>T5</f>
        <v>48.061910377358487</v>
      </c>
      <c r="U6">
        <v>185.43</v>
      </c>
      <c r="V6" s="107">
        <f>T6*U6*2</f>
        <v>17824.24008254717</v>
      </c>
    </row>
    <row r="7" spans="1:22" x14ac:dyDescent="0.3">
      <c r="A7" s="289" t="s">
        <v>140</v>
      </c>
      <c r="B7" s="2" t="s">
        <v>74</v>
      </c>
      <c r="C7" s="243">
        <v>961.83748000000003</v>
      </c>
      <c r="D7" s="245">
        <v>8.5640540997765129</v>
      </c>
      <c r="E7" s="61"/>
      <c r="F7" s="61">
        <v>447</v>
      </c>
      <c r="G7" s="32">
        <v>34</v>
      </c>
      <c r="I7" s="243">
        <f>C7/F7*G7</f>
        <v>73.159897807606271</v>
      </c>
      <c r="J7" s="245">
        <f>I7/$I$4*1000</f>
        <v>11.14392959750286</v>
      </c>
      <c r="M7" s="163">
        <f>J7/D7-1</f>
        <v>0.30124465208523965</v>
      </c>
      <c r="V7">
        <f>SUM(V4:V6)</f>
        <v>25768.873867924529</v>
      </c>
    </row>
    <row r="8" spans="1:22" x14ac:dyDescent="0.3">
      <c r="A8" s="289" t="s">
        <v>140</v>
      </c>
      <c r="B8" s="3" t="s">
        <v>75</v>
      </c>
      <c r="C8" s="243">
        <v>63.356640000000006</v>
      </c>
      <c r="D8" s="245">
        <v>0.56411785132355696</v>
      </c>
      <c r="E8" s="61"/>
      <c r="F8" s="61"/>
      <c r="I8" s="284">
        <f>D8*$I$4/1000</f>
        <v>3.7034336939391514</v>
      </c>
      <c r="J8" s="245">
        <f t="shared" ref="J8:J35" si="0">I8/$I$4*1000</f>
        <v>0.56411785132355696</v>
      </c>
    </row>
    <row r="9" spans="1:22" x14ac:dyDescent="0.3">
      <c r="A9" s="289" t="s">
        <v>140</v>
      </c>
      <c r="B9" s="3" t="s">
        <v>141</v>
      </c>
      <c r="C9" s="243">
        <v>41.553110000000004</v>
      </c>
      <c r="D9" s="245">
        <v>0.36998254845918921</v>
      </c>
      <c r="E9" s="61"/>
      <c r="F9" s="61"/>
      <c r="I9" s="243">
        <f>D9*$I$4/1000</f>
        <v>2.4289354306345774</v>
      </c>
      <c r="J9" s="245">
        <f t="shared" si="0"/>
        <v>0.36998254845918921</v>
      </c>
    </row>
    <row r="10" spans="1:22" x14ac:dyDescent="0.3">
      <c r="A10" s="289" t="s">
        <v>140</v>
      </c>
      <c r="B10" s="4" t="s">
        <v>79</v>
      </c>
      <c r="C10" s="166">
        <v>1066.7472300000002</v>
      </c>
      <c r="D10" s="226">
        <v>9.4981544995592611</v>
      </c>
      <c r="E10" s="61"/>
      <c r="F10" s="61"/>
      <c r="I10" s="166">
        <f>SUM(I7:I9)</f>
        <v>79.292266932179999</v>
      </c>
      <c r="J10" s="178">
        <f>SUM(J7:J9)</f>
        <v>12.078029997285606</v>
      </c>
    </row>
    <row r="11" spans="1:22" x14ac:dyDescent="0.3">
      <c r="A11" s="289" t="s">
        <v>140</v>
      </c>
      <c r="B11" s="3" t="s">
        <v>80</v>
      </c>
      <c r="C11" s="236">
        <v>409.57862</v>
      </c>
      <c r="D11" s="237">
        <v>3.6468255113034345</v>
      </c>
      <c r="E11" s="61"/>
      <c r="F11" s="61">
        <v>157</v>
      </c>
      <c r="G11" s="32">
        <f>9</f>
        <v>9</v>
      </c>
      <c r="I11" s="243">
        <f>C11/F11*G11</f>
        <v>23.479029171974524</v>
      </c>
      <c r="J11" s="237">
        <f t="shared" si="0"/>
        <v>3.5763943902474522</v>
      </c>
      <c r="K11" s="32">
        <v>4</v>
      </c>
      <c r="M11" s="299">
        <f>C11/F11*K11</f>
        <v>10.435124076433121</v>
      </c>
      <c r="N11" s="300">
        <f>M11*1000/I4</f>
        <v>1.5895086178877564</v>
      </c>
      <c r="O11" s="290" t="s">
        <v>142</v>
      </c>
    </row>
    <row r="12" spans="1:22" x14ac:dyDescent="0.3">
      <c r="A12" s="289" t="s">
        <v>140</v>
      </c>
      <c r="B12" s="3" t="s">
        <v>81</v>
      </c>
      <c r="C12" s="243">
        <v>105.67001</v>
      </c>
      <c r="D12" s="245">
        <v>0.94086963877091301</v>
      </c>
      <c r="E12" s="61"/>
      <c r="F12" s="61">
        <v>34</v>
      </c>
      <c r="G12" s="32">
        <f>F12/C4*I4</f>
        <v>5.0619103773584904</v>
      </c>
      <c r="I12" s="301">
        <f>D12*I4/1000</f>
        <v>6.1768091785310437</v>
      </c>
      <c r="J12" s="302">
        <f t="shared" si="0"/>
        <v>0.94086963877091301</v>
      </c>
    </row>
    <row r="13" spans="1:22" x14ac:dyDescent="0.3">
      <c r="A13" s="289" t="s">
        <v>140</v>
      </c>
      <c r="B13" s="3" t="s">
        <v>82</v>
      </c>
      <c r="C13" s="243">
        <v>191.79625000000004</v>
      </c>
      <c r="D13" s="245">
        <v>1.7077245327706105</v>
      </c>
      <c r="E13" s="61"/>
      <c r="F13" s="61"/>
      <c r="I13" s="301">
        <f>D13*I4/1000</f>
        <v>11.211211557639059</v>
      </c>
      <c r="J13" s="302">
        <f t="shared" si="0"/>
        <v>1.7077245327706108</v>
      </c>
    </row>
    <row r="14" spans="1:22" x14ac:dyDescent="0.3">
      <c r="A14" s="289" t="s">
        <v>140</v>
      </c>
      <c r="B14" s="3" t="s">
        <v>83</v>
      </c>
      <c r="C14" s="243">
        <v>4.0309399999999993</v>
      </c>
      <c r="D14" s="245">
        <v>3.5890874446848478E-2</v>
      </c>
      <c r="E14" s="61"/>
      <c r="F14" s="61"/>
      <c r="I14" s="301">
        <f>D14*$I$4/1000</f>
        <v>0.23562359074356026</v>
      </c>
      <c r="J14" s="302">
        <f t="shared" si="0"/>
        <v>3.5890874446848478E-2</v>
      </c>
    </row>
    <row r="15" spans="1:22" x14ac:dyDescent="0.3">
      <c r="A15" s="289" t="s">
        <v>140</v>
      </c>
      <c r="B15" s="3" t="s">
        <v>84</v>
      </c>
      <c r="C15" s="243">
        <v>52.07714</v>
      </c>
      <c r="D15" s="245">
        <v>0.46368690511169874</v>
      </c>
      <c r="E15" s="227"/>
      <c r="F15" s="227"/>
      <c r="I15" s="301">
        <f t="shared" ref="I15:I16" si="1">D15*$I$4/1000</f>
        <v>3.0441045320583022</v>
      </c>
      <c r="J15" s="302">
        <f t="shared" si="0"/>
        <v>0.46368690511169874</v>
      </c>
    </row>
    <row r="16" spans="1:22" x14ac:dyDescent="0.3">
      <c r="A16" s="289" t="s">
        <v>140</v>
      </c>
      <c r="B16" s="3" t="s">
        <v>86</v>
      </c>
      <c r="C16" s="243">
        <v>78.796309999999991</v>
      </c>
      <c r="D16" s="245">
        <v>0.7015903161756194</v>
      </c>
      <c r="E16" s="61"/>
      <c r="F16" s="61"/>
      <c r="I16" s="301">
        <f t="shared" si="1"/>
        <v>4.6059404256929408</v>
      </c>
      <c r="J16" s="302">
        <f t="shared" si="0"/>
        <v>0.70159031617561929</v>
      </c>
    </row>
    <row r="17" spans="1:13" x14ac:dyDescent="0.3">
      <c r="A17" s="289" t="s">
        <v>140</v>
      </c>
      <c r="B17" s="4" t="s">
        <v>87</v>
      </c>
      <c r="C17" s="166">
        <v>841.94927000000007</v>
      </c>
      <c r="D17" s="226">
        <v>7.4965877785791246</v>
      </c>
      <c r="E17" s="61"/>
      <c r="F17" s="61"/>
      <c r="I17" s="178">
        <f>SUM(I11:I16)</f>
        <v>48.752718456639435</v>
      </c>
      <c r="J17" s="178">
        <f>SUM(J11:J16)</f>
        <v>7.4261566575231424</v>
      </c>
    </row>
    <row r="18" spans="1:13" x14ac:dyDescent="0.3">
      <c r="A18" s="289" t="s">
        <v>140</v>
      </c>
      <c r="B18" s="5" t="s">
        <v>88</v>
      </c>
      <c r="C18" s="192">
        <v>1908.6965000000002</v>
      </c>
      <c r="D18" s="232">
        <v>16.994742278138386</v>
      </c>
      <c r="E18" s="61"/>
      <c r="F18" s="61"/>
      <c r="I18" s="179">
        <f>I17+I10</f>
        <v>128.04498538881944</v>
      </c>
      <c r="J18" s="232">
        <f t="shared" si="0"/>
        <v>19.504186654808748</v>
      </c>
    </row>
    <row r="19" spans="1:13" x14ac:dyDescent="0.3">
      <c r="A19" s="289" t="s">
        <v>140</v>
      </c>
      <c r="B19" s="3" t="s">
        <v>89</v>
      </c>
      <c r="C19" s="243">
        <v>16.806989999999999</v>
      </c>
      <c r="D19" s="245">
        <v>0.14964687341400218</v>
      </c>
      <c r="E19" s="61"/>
      <c r="F19" s="61"/>
      <c r="I19" s="301">
        <f t="shared" ref="I19" si="2">D19*$I$4/1000</f>
        <v>0.98243172396292422</v>
      </c>
      <c r="J19" s="302">
        <f t="shared" si="0"/>
        <v>0.14964687341400218</v>
      </c>
    </row>
    <row r="20" spans="1:13" x14ac:dyDescent="0.3">
      <c r="A20" s="289" t="s">
        <v>140</v>
      </c>
      <c r="B20" s="5" t="s">
        <v>90</v>
      </c>
      <c r="C20" s="192">
        <v>1925.5034900000003</v>
      </c>
      <c r="D20" s="232">
        <v>17.144389151552389</v>
      </c>
      <c r="E20" s="61"/>
      <c r="F20" s="61"/>
      <c r="I20" s="179">
        <f>I19+I18</f>
        <v>129.02741711278236</v>
      </c>
      <c r="J20" s="232">
        <f t="shared" si="0"/>
        <v>19.653833528222748</v>
      </c>
    </row>
    <row r="21" spans="1:13" x14ac:dyDescent="0.3">
      <c r="A21" s="289" t="s">
        <v>140</v>
      </c>
      <c r="B21" s="197" t="s">
        <v>91</v>
      </c>
      <c r="C21" s="251">
        <v>263.21195999999998</v>
      </c>
      <c r="D21" s="252">
        <v>2.3435991131768033</v>
      </c>
      <c r="E21" s="61"/>
      <c r="F21" s="61"/>
      <c r="I21" s="301">
        <f t="shared" ref="I21" si="3">D21*$I$4/1000</f>
        <v>15.385728178005714</v>
      </c>
      <c r="J21" s="302">
        <f t="shared" si="0"/>
        <v>2.3435991131768033</v>
      </c>
    </row>
    <row r="22" spans="1:13" x14ac:dyDescent="0.3">
      <c r="A22" s="289" t="s">
        <v>140</v>
      </c>
      <c r="B22" s="200" t="s">
        <v>92</v>
      </c>
      <c r="C22" s="201">
        <v>2188.7154500000001</v>
      </c>
      <c r="D22" s="233">
        <v>19.487988264729193</v>
      </c>
      <c r="E22" s="61"/>
      <c r="F22" s="61"/>
      <c r="I22" s="218">
        <f>I21+I20</f>
        <v>144.41314529078807</v>
      </c>
      <c r="J22" s="218">
        <f t="shared" si="0"/>
        <v>21.997432641399552</v>
      </c>
      <c r="M22" s="163">
        <f>J22/D22-1</f>
        <v>0.12876877503113748</v>
      </c>
    </row>
    <row r="23" spans="1:13" x14ac:dyDescent="0.3">
      <c r="A23" s="45"/>
      <c r="B23" s="51"/>
      <c r="C23" s="51"/>
      <c r="D23" s="195"/>
      <c r="E23" s="61"/>
      <c r="F23" s="61"/>
      <c r="I23" s="205"/>
      <c r="J23" s="195">
        <f t="shared" si="0"/>
        <v>0</v>
      </c>
    </row>
    <row r="24" spans="1:13" hidden="1" x14ac:dyDescent="0.3">
      <c r="A24" s="289" t="s">
        <v>143</v>
      </c>
      <c r="B24" s="2" t="s">
        <v>76</v>
      </c>
      <c r="C24" s="273">
        <v>43.395480000000006</v>
      </c>
      <c r="D24" s="274">
        <v>0.38638672970590593</v>
      </c>
      <c r="E24" s="61"/>
      <c r="F24" s="61"/>
      <c r="I24" s="285"/>
      <c r="J24" s="274">
        <f t="shared" si="0"/>
        <v>0</v>
      </c>
    </row>
    <row r="25" spans="1:13" hidden="1" x14ac:dyDescent="0.3">
      <c r="A25" s="289" t="s">
        <v>143</v>
      </c>
      <c r="B25" s="3" t="s">
        <v>77</v>
      </c>
      <c r="C25" s="244">
        <v>-128.11905000000002</v>
      </c>
      <c r="D25" s="245">
        <v>-1.1407524641397548</v>
      </c>
      <c r="E25" s="61"/>
      <c r="F25" s="61"/>
      <c r="I25" s="286"/>
      <c r="J25" s="245">
        <f t="shared" si="0"/>
        <v>0</v>
      </c>
    </row>
    <row r="26" spans="1:13" hidden="1" x14ac:dyDescent="0.3">
      <c r="A26" s="289" t="s">
        <v>143</v>
      </c>
      <c r="B26" s="3" t="s">
        <v>144</v>
      </c>
      <c r="C26" s="244">
        <v>11.524239999999999</v>
      </c>
      <c r="D26" s="245">
        <v>0.10261007381289454</v>
      </c>
      <c r="E26" s="61"/>
      <c r="F26" s="61"/>
      <c r="I26" s="286"/>
      <c r="J26" s="245">
        <f t="shared" si="0"/>
        <v>0</v>
      </c>
    </row>
    <row r="27" spans="1:13" hidden="1" x14ac:dyDescent="0.3">
      <c r="A27" s="289" t="s">
        <v>143</v>
      </c>
      <c r="B27" s="3" t="s">
        <v>85</v>
      </c>
      <c r="C27" s="244">
        <v>25</v>
      </c>
      <c r="D27" s="245">
        <v>0.22259618381102472</v>
      </c>
      <c r="E27" s="61"/>
      <c r="F27" s="61"/>
      <c r="I27" s="286"/>
      <c r="J27" s="245">
        <f t="shared" si="0"/>
        <v>0</v>
      </c>
    </row>
    <row r="28" spans="1:13" hidden="1" x14ac:dyDescent="0.3">
      <c r="A28" s="289" t="s">
        <v>143</v>
      </c>
      <c r="B28" s="270" t="s">
        <v>145</v>
      </c>
      <c r="C28" s="277">
        <v>0</v>
      </c>
      <c r="D28" s="278">
        <v>0</v>
      </c>
      <c r="E28" s="61"/>
      <c r="F28" s="61"/>
      <c r="I28" s="287"/>
      <c r="J28" s="278">
        <f t="shared" si="0"/>
        <v>0</v>
      </c>
    </row>
    <row r="29" spans="1:13" hidden="1" x14ac:dyDescent="0.3">
      <c r="A29" s="289" t="s">
        <v>143</v>
      </c>
      <c r="B29" s="200" t="s">
        <v>146</v>
      </c>
      <c r="C29" s="201">
        <v>-48.199330000000003</v>
      </c>
      <c r="D29" s="218">
        <v>-0.42915947680992961</v>
      </c>
      <c r="E29" s="61"/>
      <c r="F29" s="61"/>
      <c r="I29" s="218"/>
      <c r="J29" s="218">
        <f t="shared" si="0"/>
        <v>0</v>
      </c>
    </row>
    <row r="30" spans="1:13" hidden="1" x14ac:dyDescent="0.3">
      <c r="A30" s="45"/>
      <c r="B30" s="51"/>
      <c r="C30" s="51"/>
      <c r="D30" s="195"/>
      <c r="E30" s="61"/>
      <c r="F30" s="61"/>
      <c r="I30" s="205"/>
      <c r="J30" s="195">
        <f t="shared" si="0"/>
        <v>0</v>
      </c>
    </row>
    <row r="31" spans="1:13" hidden="1" x14ac:dyDescent="0.3">
      <c r="A31" s="289" t="s">
        <v>147</v>
      </c>
      <c r="B31" s="2" t="s">
        <v>148</v>
      </c>
      <c r="C31" s="273">
        <v>213.47407999999999</v>
      </c>
      <c r="D31" s="274">
        <v>1.9007406220227758</v>
      </c>
      <c r="E31" s="61"/>
      <c r="F31" s="61"/>
      <c r="I31" s="285"/>
      <c r="J31" s="274">
        <f t="shared" si="0"/>
        <v>0</v>
      </c>
    </row>
    <row r="32" spans="1:13" hidden="1" x14ac:dyDescent="0.3">
      <c r="A32" s="289" t="s">
        <v>147</v>
      </c>
      <c r="B32" s="270" t="s">
        <v>149</v>
      </c>
      <c r="C32" s="277">
        <v>93.097480000000019</v>
      </c>
      <c r="D32" s="278">
        <v>0.82892575081692821</v>
      </c>
      <c r="E32" s="61"/>
      <c r="F32" s="61"/>
      <c r="I32" s="287"/>
      <c r="J32" s="278">
        <f t="shared" si="0"/>
        <v>0</v>
      </c>
    </row>
    <row r="33" spans="1:10" hidden="1" x14ac:dyDescent="0.3">
      <c r="A33" s="289" t="s">
        <v>147</v>
      </c>
      <c r="B33" s="200" t="s">
        <v>150</v>
      </c>
      <c r="C33" s="201">
        <v>306.57155999999998</v>
      </c>
      <c r="D33" s="218">
        <v>2.7296663728397039</v>
      </c>
      <c r="E33" s="61"/>
      <c r="F33" s="61"/>
      <c r="I33" s="218"/>
      <c r="J33" s="218">
        <f t="shared" si="0"/>
        <v>0</v>
      </c>
    </row>
    <row r="34" spans="1:10" hidden="1" x14ac:dyDescent="0.3">
      <c r="A34" s="45"/>
      <c r="B34" s="51"/>
      <c r="C34" s="51"/>
      <c r="D34" s="195"/>
      <c r="E34" s="61"/>
      <c r="F34" s="61"/>
      <c r="I34" s="205"/>
      <c r="J34" s="195">
        <f t="shared" si="0"/>
        <v>0</v>
      </c>
    </row>
    <row r="35" spans="1:10" hidden="1" x14ac:dyDescent="0.3">
      <c r="A35" s="289" t="s">
        <v>151</v>
      </c>
      <c r="B35" s="200" t="s">
        <v>152</v>
      </c>
      <c r="C35" s="201">
        <v>2447.0876800000001</v>
      </c>
      <c r="D35" s="218">
        <v>21.788495160758966</v>
      </c>
      <c r="E35" s="61"/>
      <c r="F35" s="61"/>
      <c r="I35" s="218"/>
      <c r="J35" s="218">
        <f t="shared" si="0"/>
        <v>0</v>
      </c>
    </row>
    <row r="36" spans="1:10" hidden="1" x14ac:dyDescent="0.3">
      <c r="B36" s="51"/>
      <c r="C36" s="51"/>
      <c r="D36" s="195"/>
      <c r="E36" s="61"/>
      <c r="F36" s="61"/>
      <c r="I36" s="205"/>
      <c r="J36" s="195"/>
    </row>
    <row r="37" spans="1:10" hidden="1" x14ac:dyDescent="0.3">
      <c r="A37" s="279" t="s">
        <v>153</v>
      </c>
      <c r="B37" s="280"/>
      <c r="C37" s="281">
        <v>0</v>
      </c>
      <c r="D37" s="281">
        <v>0</v>
      </c>
      <c r="E37" s="61"/>
      <c r="F37" s="61"/>
      <c r="I37" s="283"/>
      <c r="J37" s="283"/>
    </row>
    <row r="38" spans="1:10" hidden="1" x14ac:dyDescent="0.3">
      <c r="B38" s="51"/>
      <c r="C38" s="51"/>
      <c r="D38" s="195"/>
      <c r="E38" s="61"/>
      <c r="F38" s="61"/>
    </row>
    <row r="39" spans="1:10" hidden="1" x14ac:dyDescent="0.3">
      <c r="B39" s="51"/>
      <c r="C39" s="51"/>
      <c r="D39" s="195"/>
      <c r="E39" s="61"/>
      <c r="F39" s="61"/>
      <c r="I39" s="162"/>
      <c r="J39" s="162"/>
    </row>
    <row r="40" spans="1:10" hidden="1" x14ac:dyDescent="0.3">
      <c r="B40" s="51"/>
      <c r="C40" s="51"/>
      <c r="D40" s="195"/>
      <c r="E40" s="61"/>
      <c r="F40" s="61"/>
    </row>
    <row r="41" spans="1:10" ht="21" hidden="1" x14ac:dyDescent="0.4">
      <c r="B41" s="74"/>
      <c r="C41" s="190"/>
      <c r="D41" s="205"/>
      <c r="E41" s="189"/>
      <c r="F41" s="189"/>
    </row>
    <row r="42" spans="1:10" hidden="1" x14ac:dyDescent="0.3">
      <c r="B42" s="51"/>
      <c r="C42" s="190"/>
      <c r="D42" s="51"/>
      <c r="E42" s="51"/>
      <c r="F42" s="51"/>
    </row>
    <row r="43" spans="1:10" ht="17.55" hidden="1" customHeight="1" x14ac:dyDescent="0.35">
      <c r="B43" s="211"/>
      <c r="D43" s="189"/>
    </row>
    <row r="44" spans="1:10" ht="139.80000000000001" hidden="1" customHeight="1" x14ac:dyDescent="0.3">
      <c r="B44" s="297"/>
    </row>
    <row r="45" spans="1:10" ht="123.6" hidden="1" customHeight="1" x14ac:dyDescent="0.3">
      <c r="B45" s="297"/>
    </row>
    <row r="46" spans="1:10" ht="18" hidden="1" x14ac:dyDescent="0.35">
      <c r="B46" s="257"/>
    </row>
    <row r="47" spans="1:10" ht="75.599999999999994" hidden="1" customHeight="1" x14ac:dyDescent="0.3">
      <c r="B47" s="296"/>
    </row>
    <row r="48" spans="1:10" ht="18" hidden="1" x14ac:dyDescent="0.35">
      <c r="B48" s="257"/>
    </row>
    <row r="49" spans="2:2" ht="18" hidden="1" x14ac:dyDescent="0.35">
      <c r="B49" s="257"/>
    </row>
    <row r="50" spans="2:2" ht="87.6" hidden="1" customHeight="1" x14ac:dyDescent="0.3">
      <c r="B50" s="298"/>
    </row>
    <row r="51" spans="2:2" ht="18" hidden="1" x14ac:dyDescent="0.35">
      <c r="B51" s="257"/>
    </row>
    <row r="52" spans="2:2" ht="157.35" hidden="1" customHeight="1" x14ac:dyDescent="0.3">
      <c r="B52" s="296"/>
    </row>
    <row r="53" spans="2:2" ht="18" hidden="1" x14ac:dyDescent="0.35">
      <c r="B53" s="257"/>
    </row>
    <row r="54" spans="2:2" hidden="1" x14ac:dyDescent="0.3">
      <c r="B54" s="258"/>
    </row>
    <row r="55" spans="2:2" hidden="1" x14ac:dyDescent="0.3">
      <c r="B55" s="259"/>
    </row>
    <row r="56" spans="2:2" ht="18" hidden="1" x14ac:dyDescent="0.35">
      <c r="B56" s="257"/>
    </row>
    <row r="57" spans="2:2" hidden="1" x14ac:dyDescent="0.3">
      <c r="B57" s="260"/>
    </row>
    <row r="58" spans="2:2" ht="129" hidden="1" customHeight="1" x14ac:dyDescent="0.3">
      <c r="B58" s="260"/>
    </row>
    <row r="59" spans="2:2" hidden="1" x14ac:dyDescent="0.3">
      <c r="B59" s="256"/>
    </row>
    <row r="60" spans="2:2" ht="18" hidden="1" x14ac:dyDescent="0.35">
      <c r="B60" s="257"/>
    </row>
    <row r="61" spans="2:2" ht="67.8" hidden="1" customHeight="1" x14ac:dyDescent="0.3">
      <c r="B61" s="261"/>
    </row>
    <row r="62" spans="2:2" ht="106.8" hidden="1" customHeight="1" x14ac:dyDescent="0.3">
      <c r="B62" s="260"/>
    </row>
    <row r="63" spans="2:2" x14ac:dyDescent="0.3">
      <c r="B63" s="256"/>
    </row>
    <row r="64" spans="2:2" ht="18" x14ac:dyDescent="0.35">
      <c r="B64" s="257"/>
    </row>
    <row r="65" spans="2:2" ht="132" customHeight="1" x14ac:dyDescent="0.3">
      <c r="B65" s="262"/>
    </row>
    <row r="66" spans="2:2" ht="79.349999999999994" customHeight="1" x14ac:dyDescent="0.3">
      <c r="B66" s="264"/>
    </row>
    <row r="67" spans="2:2" x14ac:dyDescent="0.3">
      <c r="B67" s="256"/>
    </row>
    <row r="68" spans="2:2" ht="18" x14ac:dyDescent="0.35">
      <c r="B68" s="257"/>
    </row>
    <row r="69" spans="2:2" ht="77.55" customHeight="1" x14ac:dyDescent="0.3">
      <c r="B69" s="265"/>
    </row>
    <row r="70" spans="2:2" x14ac:dyDescent="0.3">
      <c r="B70" s="256"/>
    </row>
    <row r="71" spans="2:2" x14ac:dyDescent="0.3">
      <c r="B71" s="256"/>
    </row>
    <row r="72" spans="2:2" ht="18" x14ac:dyDescent="0.35">
      <c r="B72" s="257"/>
    </row>
    <row r="73" spans="2:2" x14ac:dyDescent="0.3">
      <c r="B73" s="264"/>
    </row>
    <row r="74" spans="2:2" x14ac:dyDescent="0.3">
      <c r="B74" s="266"/>
    </row>
    <row r="75" spans="2:2" ht="18" x14ac:dyDescent="0.35">
      <c r="B75" s="257"/>
    </row>
    <row r="76" spans="2:2" x14ac:dyDescent="0.3">
      <c r="B76" s="267"/>
    </row>
    <row r="77" spans="2:2" x14ac:dyDescent="0.3">
      <c r="B77" s="256"/>
    </row>
    <row r="78" spans="2:2" ht="18" x14ac:dyDescent="0.35">
      <c r="B78" s="257"/>
    </row>
    <row r="79" spans="2:2" x14ac:dyDescent="0.3">
      <c r="B79" s="267"/>
    </row>
    <row r="80" spans="2:2" x14ac:dyDescent="0.3">
      <c r="B80" s="256"/>
    </row>
    <row r="81" spans="2:2" x14ac:dyDescent="0.3">
      <c r="B81" s="256"/>
    </row>
    <row r="82" spans="2:2" ht="18" x14ac:dyDescent="0.35">
      <c r="B82" s="257"/>
    </row>
    <row r="83" spans="2:2" x14ac:dyDescent="0.3">
      <c r="B83" s="267"/>
    </row>
    <row r="84" spans="2:2" x14ac:dyDescent="0.3">
      <c r="B84" s="263"/>
    </row>
    <row r="85" spans="2:2" x14ac:dyDescent="0.3">
      <c r="B85" s="263"/>
    </row>
  </sheetData>
  <mergeCells count="5">
    <mergeCell ref="I4:J4"/>
    <mergeCell ref="C4:D4"/>
    <mergeCell ref="B2:B3"/>
    <mergeCell ref="C2:D3"/>
    <mergeCell ref="I2:J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49E3-31D1-4569-B3BD-C5CDB6A3223B}">
  <sheetPr>
    <tabColor theme="6" tint="0.59999389629810485"/>
  </sheetPr>
  <dimension ref="A1:R87"/>
  <sheetViews>
    <sheetView showGridLines="0" topLeftCell="A2" zoomScale="70" zoomScaleNormal="70" workbookViewId="0">
      <selection activeCell="F7" sqref="F7:G35"/>
    </sheetView>
  </sheetViews>
  <sheetFormatPr defaultRowHeight="14.4" x14ac:dyDescent="0.3"/>
  <cols>
    <col min="1" max="1" width="18.21875" customWidth="1"/>
    <col min="2" max="2" width="34.44140625" customWidth="1"/>
    <col min="3" max="3" width="10.5546875" customWidth="1"/>
    <col min="4" max="4" width="8.5546875" customWidth="1"/>
    <col min="5" max="5" width="4.5546875" customWidth="1"/>
    <col min="6" max="6" width="9.44140625" customWidth="1"/>
    <col min="7" max="7" width="7.77734375" style="50" bestFit="1" customWidth="1"/>
    <col min="8" max="8" width="1.44140625" style="50" customWidth="1"/>
    <col min="9" max="9" width="9.21875" bestFit="1" customWidth="1"/>
    <col min="10" max="10" width="7.77734375" style="50" customWidth="1"/>
    <col min="11" max="11" width="2.21875" customWidth="1"/>
    <col min="12" max="12" width="8.77734375" customWidth="1"/>
    <col min="14" max="14" width="18.21875" customWidth="1"/>
    <col min="15" max="15" width="3.44140625" customWidth="1"/>
  </cols>
  <sheetData>
    <row r="1" spans="1:18" x14ac:dyDescent="0.3">
      <c r="B1" s="51"/>
      <c r="C1" s="51"/>
      <c r="D1" s="51"/>
      <c r="E1" s="52"/>
      <c r="F1" s="190"/>
      <c r="G1" s="51"/>
      <c r="H1" s="51"/>
      <c r="I1" s="190"/>
      <c r="J1" s="51"/>
    </row>
    <row r="2" spans="1:18" ht="14.55" customHeight="1" x14ac:dyDescent="0.3">
      <c r="B2" s="742" t="s">
        <v>440</v>
      </c>
      <c r="C2" s="751" t="s">
        <v>59</v>
      </c>
      <c r="D2" s="752"/>
      <c r="E2" s="755"/>
      <c r="F2" s="744" t="s">
        <v>57</v>
      </c>
      <c r="G2" s="745"/>
      <c r="H2" s="60"/>
      <c r="I2" s="744" t="s">
        <v>502</v>
      </c>
      <c r="J2" s="745"/>
      <c r="L2" s="748" t="s">
        <v>154</v>
      </c>
    </row>
    <row r="3" spans="1:18" x14ac:dyDescent="0.3">
      <c r="B3" s="743"/>
      <c r="C3" s="753"/>
      <c r="D3" s="754"/>
      <c r="E3" s="755"/>
      <c r="F3" s="746"/>
      <c r="G3" s="747"/>
      <c r="H3" s="60"/>
      <c r="I3" s="746"/>
      <c r="J3" s="747"/>
      <c r="L3" s="749"/>
    </row>
    <row r="4" spans="1:18" x14ac:dyDescent="0.3">
      <c r="B4" s="51"/>
      <c r="C4" s="740">
        <f>+'MTD Report(HQD)_variance'!B4</f>
        <v>48050</v>
      </c>
      <c r="D4" s="741"/>
      <c r="E4" s="52"/>
      <c r="F4" s="740">
        <f>+'MTD Report(HQD)_variance'!Q4</f>
        <v>44096</v>
      </c>
      <c r="G4" s="741"/>
      <c r="H4" s="61"/>
      <c r="I4" s="740"/>
      <c r="J4" s="741"/>
      <c r="L4" s="288"/>
    </row>
    <row r="5" spans="1:18" x14ac:dyDescent="0.3">
      <c r="B5" s="55" t="s">
        <v>68</v>
      </c>
      <c r="C5" s="54"/>
      <c r="D5" s="51"/>
      <c r="E5" s="52"/>
      <c r="F5" s="228"/>
      <c r="G5" s="229"/>
      <c r="H5" s="230"/>
      <c r="I5" s="228"/>
      <c r="J5" s="229"/>
    </row>
    <row r="6" spans="1:18" x14ac:dyDescent="0.3">
      <c r="B6" s="51"/>
      <c r="C6" s="223" t="s">
        <v>71</v>
      </c>
      <c r="D6" s="221" t="s">
        <v>72</v>
      </c>
      <c r="E6" s="52"/>
      <c r="F6" s="223" t="s">
        <v>71</v>
      </c>
      <c r="G6" s="221" t="s">
        <v>72</v>
      </c>
      <c r="H6" s="61"/>
      <c r="I6" s="223" t="s">
        <v>71</v>
      </c>
      <c r="J6" s="221" t="s">
        <v>72</v>
      </c>
    </row>
    <row r="7" spans="1:18" x14ac:dyDescent="0.3">
      <c r="A7" s="289" t="s">
        <v>140</v>
      </c>
      <c r="B7" s="2" t="s">
        <v>74</v>
      </c>
      <c r="C7" s="239">
        <f>+'MTD Report(HQD)_variance'!B7</f>
        <v>509</v>
      </c>
      <c r="D7" s="253">
        <f>+C7*1000/$C$4</f>
        <v>10.593132154006243</v>
      </c>
      <c r="E7" s="241"/>
      <c r="F7" s="243">
        <f>+'MTD Report(HQD)_variance'!Q7</f>
        <v>363.73443262781774</v>
      </c>
      <c r="G7" s="245">
        <f>+F7*1000/$F$4</f>
        <v>8.2486944989980433</v>
      </c>
      <c r="H7" s="61"/>
      <c r="I7" s="243"/>
      <c r="J7" s="245"/>
      <c r="L7" s="327"/>
    </row>
    <row r="8" spans="1:18" x14ac:dyDescent="0.3">
      <c r="A8" s="289" t="s">
        <v>140</v>
      </c>
      <c r="B8" s="3" t="s">
        <v>75</v>
      </c>
      <c r="C8" s="239">
        <f>+'MTD Report(HQD)_variance'!B8</f>
        <v>35.733561726016738</v>
      </c>
      <c r="D8" s="253">
        <f t="shared" ref="D8:D35" si="0">+C8*1000/$C$4</f>
        <v>0.743674541644469</v>
      </c>
      <c r="E8" s="241"/>
      <c r="F8" s="243">
        <f>+'MTD Report(HQD)_variance'!Q8</f>
        <v>28.068419999999996</v>
      </c>
      <c r="G8" s="245">
        <f t="shared" ref="G8:G22" si="1">+F8*1000/$F$4</f>
        <v>0.63652984397677781</v>
      </c>
      <c r="H8" s="61"/>
      <c r="I8" s="243"/>
      <c r="J8" s="245"/>
      <c r="L8" s="328"/>
      <c r="P8" s="32"/>
      <c r="Q8" s="32"/>
      <c r="R8" s="32"/>
    </row>
    <row r="9" spans="1:18" x14ac:dyDescent="0.3">
      <c r="A9" s="289" t="s">
        <v>140</v>
      </c>
      <c r="B9" s="3" t="s">
        <v>141</v>
      </c>
      <c r="C9" s="239">
        <f>+'MTD Report(HQD)_variance'!B9</f>
        <v>15.893499999999998</v>
      </c>
      <c r="D9" s="253">
        <f t="shared" si="0"/>
        <v>0.33077003121748177</v>
      </c>
      <c r="E9" s="241"/>
      <c r="F9" s="243">
        <f>+'MTD Report(HQD)_variance'!Q9</f>
        <v>38.196779999999997</v>
      </c>
      <c r="G9" s="245">
        <f t="shared" si="1"/>
        <v>0.8662187046444122</v>
      </c>
      <c r="H9" s="61"/>
      <c r="I9" s="243"/>
      <c r="J9" s="245"/>
      <c r="L9" s="328"/>
      <c r="P9" s="32"/>
    </row>
    <row r="10" spans="1:18" x14ac:dyDescent="0.3">
      <c r="A10" s="289" t="s">
        <v>140</v>
      </c>
      <c r="B10" s="4" t="s">
        <v>79</v>
      </c>
      <c r="C10" s="57">
        <f>+'MTD Report(HQD)_variance'!B10</f>
        <v>560.62706172601679</v>
      </c>
      <c r="D10" s="66">
        <f t="shared" si="0"/>
        <v>11.667576726868196</v>
      </c>
      <c r="E10" s="52"/>
      <c r="F10" s="166">
        <f>+'MTD Report(HQD)_variance'!Q10</f>
        <v>429.99963262781773</v>
      </c>
      <c r="G10" s="226">
        <f t="shared" si="1"/>
        <v>9.7514430476192349</v>
      </c>
      <c r="H10" s="61"/>
      <c r="I10" s="166"/>
      <c r="J10" s="226"/>
      <c r="L10" s="329"/>
      <c r="P10" s="32"/>
    </row>
    <row r="11" spans="1:18" x14ac:dyDescent="0.3">
      <c r="A11" s="289" t="s">
        <v>140</v>
      </c>
      <c r="B11" s="3" t="s">
        <v>80</v>
      </c>
      <c r="C11" s="56">
        <f>+'MTD Report(HQD)_variance'!B11</f>
        <v>204.69927393420895</v>
      </c>
      <c r="D11" s="65">
        <f t="shared" si="0"/>
        <v>4.2601305709512785</v>
      </c>
      <c r="E11" s="52"/>
      <c r="F11" s="236">
        <f>+'MTD Report(HQD)_variance'!Q11</f>
        <v>211.9200073721822</v>
      </c>
      <c r="G11" s="237">
        <f t="shared" si="1"/>
        <v>4.8058782513648</v>
      </c>
      <c r="H11" s="61"/>
      <c r="I11" s="236"/>
      <c r="J11" s="237"/>
      <c r="L11" s="330"/>
    </row>
    <row r="12" spans="1:18" x14ac:dyDescent="0.3">
      <c r="A12" s="289" t="s">
        <v>140</v>
      </c>
      <c r="B12" s="3" t="s">
        <v>81</v>
      </c>
      <c r="C12" s="239">
        <f>+'MTD Report(HQD)_variance'!B12</f>
        <v>104.32864647268644</v>
      </c>
      <c r="D12" s="240">
        <f t="shared" si="0"/>
        <v>2.17125174761054</v>
      </c>
      <c r="E12" s="241"/>
      <c r="F12" s="243">
        <f>+'MTD Report(HQD)_variance'!Q12</f>
        <v>86.264239999999987</v>
      </c>
      <c r="G12" s="245">
        <f t="shared" si="1"/>
        <v>1.9562826560232218</v>
      </c>
      <c r="H12" s="61"/>
      <c r="I12" s="243"/>
      <c r="J12" s="245"/>
      <c r="L12" s="328"/>
    </row>
    <row r="13" spans="1:18" x14ac:dyDescent="0.3">
      <c r="A13" s="289" t="s">
        <v>140</v>
      </c>
      <c r="B13" s="3" t="s">
        <v>82</v>
      </c>
      <c r="C13" s="239">
        <f>+'MTD Report(HQD)_variance'!B13</f>
        <v>177.19910679306849</v>
      </c>
      <c r="D13" s="240">
        <f t="shared" si="0"/>
        <v>3.687806592987898</v>
      </c>
      <c r="E13" s="241"/>
      <c r="F13" s="243">
        <f>+'MTD Report(HQD)_variance'!Q13</f>
        <v>86.237830000000017</v>
      </c>
      <c r="G13" s="245">
        <f t="shared" si="1"/>
        <v>1.9556837354862122</v>
      </c>
      <c r="H13" s="61"/>
      <c r="I13" s="243"/>
      <c r="J13" s="245"/>
      <c r="L13" s="328"/>
    </row>
    <row r="14" spans="1:18" x14ac:dyDescent="0.3">
      <c r="A14" s="289" t="s">
        <v>140</v>
      </c>
      <c r="B14" s="3" t="s">
        <v>83</v>
      </c>
      <c r="C14" s="246">
        <f>+'MTD Report(HQD)_variance'!B14</f>
        <v>5</v>
      </c>
      <c r="D14" s="240">
        <f t="shared" si="0"/>
        <v>0.1040582726326743</v>
      </c>
      <c r="E14" s="241"/>
      <c r="F14" s="243">
        <f>+'MTD Report(HQD)_variance'!Q14</f>
        <v>3.8053300000000001</v>
      </c>
      <c r="G14" s="245">
        <f t="shared" si="1"/>
        <v>8.6296489477503624E-2</v>
      </c>
      <c r="H14" s="61"/>
      <c r="I14" s="243"/>
      <c r="J14" s="245"/>
      <c r="L14" s="328"/>
    </row>
    <row r="15" spans="1:18" x14ac:dyDescent="0.3">
      <c r="A15" s="289" t="s">
        <v>140</v>
      </c>
      <c r="B15" s="3" t="s">
        <v>84</v>
      </c>
      <c r="C15" s="239">
        <f>+'MTD Report(HQD)_variance'!B15</f>
        <v>43.218668494505586</v>
      </c>
      <c r="D15" s="240">
        <f t="shared" si="0"/>
        <v>0.89945199780448681</v>
      </c>
      <c r="E15" s="241"/>
      <c r="F15" s="243">
        <f>+'MTD Report(HQD)_variance'!Q15</f>
        <v>-2.6982200000000036</v>
      </c>
      <c r="G15" s="245">
        <f t="shared" si="1"/>
        <v>-6.1189677068214883E-2</v>
      </c>
      <c r="H15" s="227"/>
      <c r="I15" s="243"/>
      <c r="J15" s="245"/>
      <c r="L15" s="328"/>
    </row>
    <row r="16" spans="1:18" x14ac:dyDescent="0.3">
      <c r="A16" s="289" t="s">
        <v>140</v>
      </c>
      <c r="B16" s="3" t="s">
        <v>86</v>
      </c>
      <c r="C16" s="239">
        <f>+'MTD Report(HQD)_variance'!B16</f>
        <v>155.09230143443955</v>
      </c>
      <c r="D16" s="240">
        <f t="shared" si="0"/>
        <v>3.2277273971787626</v>
      </c>
      <c r="E16" s="241"/>
      <c r="F16" s="243">
        <f>+'MTD Report(HQD)_variance'!Q16</f>
        <v>-7.097920000000002</v>
      </c>
      <c r="G16" s="245">
        <f t="shared" si="1"/>
        <v>-0.16096516690856319</v>
      </c>
      <c r="H16" s="61"/>
      <c r="I16" s="243"/>
      <c r="J16" s="245"/>
      <c r="L16" s="328"/>
    </row>
    <row r="17" spans="1:12" x14ac:dyDescent="0.3">
      <c r="A17" s="289" t="s">
        <v>140</v>
      </c>
      <c r="B17" s="4" t="s">
        <v>87</v>
      </c>
      <c r="C17" s="57">
        <f>+'MTD Report(HQD)_variance'!B17</f>
        <v>689.53799712890896</v>
      </c>
      <c r="D17" s="66">
        <f t="shared" si="0"/>
        <v>14.35042657916564</v>
      </c>
      <c r="E17" s="52"/>
      <c r="F17" s="166">
        <f>+'MTD Report(HQD)_variance'!Q17</f>
        <v>378.43126737218228</v>
      </c>
      <c r="G17" s="226">
        <f t="shared" si="1"/>
        <v>8.5819862883749618</v>
      </c>
      <c r="H17" s="61"/>
      <c r="I17" s="166"/>
      <c r="J17" s="226"/>
      <c r="L17" s="329"/>
    </row>
    <row r="18" spans="1:12" x14ac:dyDescent="0.3">
      <c r="A18" s="289" t="s">
        <v>140</v>
      </c>
      <c r="B18" s="5" t="s">
        <v>88</v>
      </c>
      <c r="C18" s="58">
        <f>+'MTD Report(HQD)_variance'!B18</f>
        <v>1250.1650588549257</v>
      </c>
      <c r="D18" s="67">
        <f t="shared" si="0"/>
        <v>26.018003306033833</v>
      </c>
      <c r="E18" s="52"/>
      <c r="F18" s="192">
        <f>+'MTD Report(HQD)_variance'!Q18</f>
        <v>808.43090000000007</v>
      </c>
      <c r="G18" s="232">
        <f t="shared" si="1"/>
        <v>18.333429335994197</v>
      </c>
      <c r="H18" s="61"/>
      <c r="I18" s="192"/>
      <c r="J18" s="232"/>
      <c r="L18" s="331"/>
    </row>
    <row r="19" spans="1:12" x14ac:dyDescent="0.3">
      <c r="A19" s="289" t="s">
        <v>140</v>
      </c>
      <c r="B19" s="3" t="s">
        <v>89</v>
      </c>
      <c r="C19" s="239">
        <f>+'MTD Report(HQD)_variance'!B19</f>
        <v>20.567044044062953</v>
      </c>
      <c r="D19" s="240">
        <f t="shared" si="0"/>
        <v>0.42803421527706459</v>
      </c>
      <c r="E19" s="241"/>
      <c r="F19" s="243">
        <f>+'MTD Report(HQD)_variance'!Q19</f>
        <v>13.047470000000001</v>
      </c>
      <c r="G19" s="245">
        <f t="shared" si="1"/>
        <v>0.29588783563134979</v>
      </c>
      <c r="H19" s="61"/>
      <c r="I19" s="243"/>
      <c r="J19" s="245"/>
      <c r="L19" s="328"/>
    </row>
    <row r="20" spans="1:12" x14ac:dyDescent="0.3">
      <c r="A20" s="289" t="s">
        <v>140</v>
      </c>
      <c r="B20" s="5" t="s">
        <v>90</v>
      </c>
      <c r="C20" s="58">
        <f>+'MTD Report(HQD)_variance'!B20</f>
        <v>1270.7321028989886</v>
      </c>
      <c r="D20" s="67">
        <f t="shared" si="0"/>
        <v>26.446037521310899</v>
      </c>
      <c r="E20" s="52"/>
      <c r="F20" s="192">
        <f>+'MTD Report(HQD)_variance'!Q20</f>
        <v>821.47837000000004</v>
      </c>
      <c r="G20" s="232">
        <f t="shared" si="1"/>
        <v>18.629317171625544</v>
      </c>
      <c r="H20" s="61"/>
      <c r="I20" s="192"/>
      <c r="J20" s="232"/>
      <c r="L20" s="331"/>
    </row>
    <row r="21" spans="1:12" x14ac:dyDescent="0.3">
      <c r="A21" s="289" t="s">
        <v>140</v>
      </c>
      <c r="B21" s="197" t="s">
        <v>91</v>
      </c>
      <c r="C21" s="247">
        <f>+'MTD Report(HQD)_variance'!B22</f>
        <v>413.13905106556064</v>
      </c>
      <c r="D21" s="248">
        <f t="shared" si="0"/>
        <v>8.5981072021968927</v>
      </c>
      <c r="E21" s="241"/>
      <c r="F21" s="251">
        <f>+'YTD Report(HQD)_variance '!Q22</f>
        <v>3696.2599758449851</v>
      </c>
      <c r="G21" s="252">
        <f t="shared" si="1"/>
        <v>83.823021948589101</v>
      </c>
      <c r="H21" s="61"/>
      <c r="I21" s="251"/>
      <c r="J21" s="252"/>
      <c r="L21" s="332"/>
    </row>
    <row r="22" spans="1:12" x14ac:dyDescent="0.3">
      <c r="A22" s="289" t="s">
        <v>140</v>
      </c>
      <c r="B22" s="200" t="s">
        <v>92</v>
      </c>
      <c r="C22" s="201">
        <f>+C21+C20</f>
        <v>1683.8711539645492</v>
      </c>
      <c r="D22" s="202">
        <f t="shared" si="0"/>
        <v>35.044144723507792</v>
      </c>
      <c r="E22" s="52"/>
      <c r="F22" s="201">
        <f>+F21+F20</f>
        <v>4517.7383458449849</v>
      </c>
      <c r="G22" s="233">
        <f t="shared" si="1"/>
        <v>102.45233912021465</v>
      </c>
      <c r="H22" s="61"/>
      <c r="I22" s="201"/>
      <c r="J22" s="233"/>
      <c r="L22" s="234"/>
    </row>
    <row r="23" spans="1:12" x14ac:dyDescent="0.3">
      <c r="A23" s="45"/>
      <c r="B23" s="51"/>
      <c r="C23" s="51"/>
      <c r="D23" s="203"/>
      <c r="E23" s="52"/>
      <c r="F23" s="51"/>
      <c r="G23" s="195"/>
      <c r="H23" s="61"/>
      <c r="I23" s="51"/>
      <c r="J23" s="195"/>
      <c r="L23" s="194"/>
    </row>
    <row r="24" spans="1:12" x14ac:dyDescent="0.3">
      <c r="A24" s="289" t="s">
        <v>143</v>
      </c>
      <c r="B24" s="2" t="s">
        <v>76</v>
      </c>
      <c r="C24" s="271">
        <f>+'MTD Report(HQD)_variance'!B25</f>
        <v>19</v>
      </c>
      <c r="D24" s="272">
        <f t="shared" si="0"/>
        <v>0.39542143600416235</v>
      </c>
      <c r="E24" s="241"/>
      <c r="F24" s="273">
        <f>+'MTD Report(HQD)_variance'!Q25</f>
        <v>50.457409999999996</v>
      </c>
      <c r="G24" s="274">
        <f t="shared" ref="G24:G29" si="2">+F24*1000/$F$4</f>
        <v>1.1442627449201741</v>
      </c>
      <c r="H24" s="61"/>
      <c r="I24" s="273"/>
      <c r="J24" s="274"/>
      <c r="L24" s="327"/>
    </row>
    <row r="25" spans="1:12" x14ac:dyDescent="0.3">
      <c r="A25" s="289" t="s">
        <v>143</v>
      </c>
      <c r="B25" s="3" t="s">
        <v>77</v>
      </c>
      <c r="C25" s="239">
        <f>+'MTD Report(HQD)_variance'!B26</f>
        <v>-48</v>
      </c>
      <c r="D25" s="240">
        <f t="shared" si="0"/>
        <v>-0.99895941727367321</v>
      </c>
      <c r="E25" s="241"/>
      <c r="F25" s="244">
        <f>+'MTD Report(HQD)_variance'!Q26</f>
        <v>-53.893480000000004</v>
      </c>
      <c r="G25" s="245">
        <f t="shared" si="2"/>
        <v>-1.2221852322206097</v>
      </c>
      <c r="H25" s="61"/>
      <c r="I25" s="244"/>
      <c r="J25" s="245"/>
      <c r="L25" s="328"/>
    </row>
    <row r="26" spans="1:12" x14ac:dyDescent="0.3">
      <c r="A26" s="289" t="s">
        <v>143</v>
      </c>
      <c r="B26" s="3" t="s">
        <v>144</v>
      </c>
      <c r="C26" s="239">
        <f>+'MTD Report(HQD)_variance'!B27</f>
        <v>0</v>
      </c>
      <c r="D26" s="240">
        <f t="shared" si="0"/>
        <v>0</v>
      </c>
      <c r="E26" s="241"/>
      <c r="F26" s="244">
        <f>+'MTD Report(HQD)_variance'!Q27</f>
        <v>65.577179999999998</v>
      </c>
      <c r="G26" s="245">
        <f t="shared" si="2"/>
        <v>1.4871457728592161</v>
      </c>
      <c r="H26" s="61"/>
      <c r="I26" s="244"/>
      <c r="J26" s="245"/>
      <c r="L26" s="328"/>
    </row>
    <row r="27" spans="1:12" x14ac:dyDescent="0.3">
      <c r="A27" s="289" t="s">
        <v>143</v>
      </c>
      <c r="B27" s="3" t="s">
        <v>85</v>
      </c>
      <c r="C27" s="239">
        <f>+'MTD Report(HQD)_variance'!B28</f>
        <v>9</v>
      </c>
      <c r="D27" s="240">
        <f t="shared" si="0"/>
        <v>0.18730489073881373</v>
      </c>
      <c r="E27" s="241"/>
      <c r="F27" s="244">
        <f>+'MTD Report(HQD)_variance'!Q28</f>
        <v>-177.1679</v>
      </c>
      <c r="G27" s="245">
        <f t="shared" si="2"/>
        <v>-4.0177771226415091</v>
      </c>
      <c r="H27" s="61"/>
      <c r="I27" s="244"/>
      <c r="J27" s="245"/>
      <c r="L27" s="328"/>
    </row>
    <row r="28" spans="1:12" x14ac:dyDescent="0.3">
      <c r="A28" s="289" t="s">
        <v>143</v>
      </c>
      <c r="B28" s="270" t="s">
        <v>145</v>
      </c>
      <c r="C28" s="275">
        <f>+'MTD Report(HQD)_variance'!B29</f>
        <v>0</v>
      </c>
      <c r="D28" s="276">
        <f t="shared" si="0"/>
        <v>0</v>
      </c>
      <c r="E28" s="241"/>
      <c r="F28" s="277">
        <f>+'MTD Report(HQD)_variance'!Q29</f>
        <v>0</v>
      </c>
      <c r="G28" s="278">
        <f t="shared" si="2"/>
        <v>0</v>
      </c>
      <c r="H28" s="61"/>
      <c r="I28" s="277"/>
      <c r="J28" s="245"/>
      <c r="L28" s="333"/>
    </row>
    <row r="29" spans="1:12" x14ac:dyDescent="0.3">
      <c r="A29" s="289" t="s">
        <v>143</v>
      </c>
      <c r="B29" s="200" t="s">
        <v>146</v>
      </c>
      <c r="C29" s="201">
        <f>+'MTD Report(HQD)_variance'!B30</f>
        <v>-20</v>
      </c>
      <c r="D29" s="218">
        <f t="shared" si="0"/>
        <v>-0.41623309053069718</v>
      </c>
      <c r="E29" s="52"/>
      <c r="F29" s="201">
        <f>+'MTD Report(HQD)_variance'!Q30</f>
        <v>-115.02679000000001</v>
      </c>
      <c r="G29" s="218">
        <f t="shared" si="2"/>
        <v>-2.6085538370827286</v>
      </c>
      <c r="H29" s="61"/>
      <c r="I29" s="201"/>
      <c r="J29" s="218"/>
      <c r="L29" s="234"/>
    </row>
    <row r="30" spans="1:12" x14ac:dyDescent="0.3">
      <c r="A30" s="45"/>
      <c r="B30" s="51"/>
      <c r="C30" s="51"/>
      <c r="D30" s="203"/>
      <c r="E30" s="52"/>
      <c r="F30" s="51"/>
      <c r="G30" s="195"/>
      <c r="H30" s="61"/>
      <c r="I30" s="51"/>
      <c r="J30" s="205"/>
      <c r="L30" s="194"/>
    </row>
    <row r="31" spans="1:12" x14ac:dyDescent="0.3">
      <c r="A31" s="289" t="s">
        <v>147</v>
      </c>
      <c r="B31" s="2" t="s">
        <v>148</v>
      </c>
      <c r="C31" s="271">
        <f>+'MTD Report(HQD)_variance'!B32</f>
        <v>90.697222500000009</v>
      </c>
      <c r="D31" s="272">
        <f t="shared" si="0"/>
        <v>1.8875592611862644</v>
      </c>
      <c r="E31" s="241"/>
      <c r="F31" s="273">
        <f>+'MTD Report(HQD)_variance'!Q32</f>
        <v>89.415120000000002</v>
      </c>
      <c r="G31" s="274">
        <f t="shared" ref="G31:G33" si="3">+F31*1000/$F$4</f>
        <v>2.0277376632801158</v>
      </c>
      <c r="H31" s="61"/>
      <c r="I31" s="273"/>
      <c r="J31" s="274"/>
      <c r="L31" s="327"/>
    </row>
    <row r="32" spans="1:12" x14ac:dyDescent="0.3">
      <c r="A32" s="289" t="s">
        <v>147</v>
      </c>
      <c r="B32" s="270" t="s">
        <v>149</v>
      </c>
      <c r="C32" s="271">
        <f>+'MTD Report(HQD)_variance'!B33</f>
        <v>94.532002141180826</v>
      </c>
      <c r="D32" s="276">
        <f t="shared" si="0"/>
        <v>1.967367370263909</v>
      </c>
      <c r="E32" s="241"/>
      <c r="F32" s="277">
        <f>+'MTD Report(HQD)_variance'!Q33</f>
        <v>68.807230000000004</v>
      </c>
      <c r="G32" s="278">
        <f t="shared" si="3"/>
        <v>1.5603961810595068</v>
      </c>
      <c r="H32" s="61"/>
      <c r="I32" s="277"/>
      <c r="J32" s="245"/>
      <c r="L32" s="333"/>
    </row>
    <row r="33" spans="1:12" x14ac:dyDescent="0.3">
      <c r="A33" s="289" t="s">
        <v>147</v>
      </c>
      <c r="B33" s="200" t="s">
        <v>150</v>
      </c>
      <c r="C33" s="201">
        <f>SUM(C31:C32)</f>
        <v>185.22922464118085</v>
      </c>
      <c r="D33" s="218">
        <f t="shared" si="0"/>
        <v>3.8549266314501738</v>
      </c>
      <c r="E33" s="52"/>
      <c r="F33" s="201">
        <f>SUM(F31:F32)</f>
        <v>158.22235000000001</v>
      </c>
      <c r="G33" s="218">
        <f t="shared" si="3"/>
        <v>3.5881338443396227</v>
      </c>
      <c r="H33" s="61"/>
      <c r="I33" s="201"/>
      <c r="J33" s="218"/>
      <c r="L33" s="234"/>
    </row>
    <row r="34" spans="1:12" x14ac:dyDescent="0.3">
      <c r="A34" s="45"/>
      <c r="B34" s="51"/>
      <c r="C34" s="51"/>
      <c r="D34" s="203"/>
      <c r="E34" s="52"/>
      <c r="F34" s="51"/>
      <c r="G34" s="195"/>
      <c r="H34" s="61"/>
      <c r="I34" s="51"/>
      <c r="J34" s="205"/>
      <c r="L34" s="194"/>
    </row>
    <row r="35" spans="1:12" x14ac:dyDescent="0.3">
      <c r="A35" s="289" t="s">
        <v>151</v>
      </c>
      <c r="B35" s="200" t="s">
        <v>152</v>
      </c>
      <c r="C35" s="201">
        <f>+C33+C29+C22</f>
        <v>1849.1003786057299</v>
      </c>
      <c r="D35" s="218">
        <f t="shared" si="0"/>
        <v>38.482838264427258</v>
      </c>
      <c r="E35" s="52"/>
      <c r="F35" s="201">
        <f>+F33+F29+F22</f>
        <v>4560.933905844985</v>
      </c>
      <c r="G35" s="218">
        <f>+F35*1000/$F$4</f>
        <v>103.43191912747153</v>
      </c>
      <c r="H35" s="61"/>
      <c r="I35" s="201"/>
      <c r="J35" s="218"/>
      <c r="L35" s="234"/>
    </row>
    <row r="36" spans="1:12" x14ac:dyDescent="0.3">
      <c r="B36" s="51"/>
      <c r="C36" s="51"/>
      <c r="D36" s="203"/>
      <c r="E36" s="52"/>
      <c r="F36" s="51"/>
      <c r="G36" s="195"/>
      <c r="H36" s="61"/>
      <c r="I36" s="51"/>
      <c r="J36" s="195"/>
      <c r="L36" s="195"/>
    </row>
    <row r="37" spans="1:12" x14ac:dyDescent="0.3">
      <c r="A37" s="279" t="s">
        <v>153</v>
      </c>
      <c r="B37" s="280"/>
      <c r="C37" s="281"/>
      <c r="D37" s="281"/>
      <c r="E37" s="282"/>
      <c r="F37" s="281"/>
      <c r="G37" s="281"/>
      <c r="H37" s="61"/>
      <c r="I37" s="283"/>
      <c r="J37" s="283"/>
      <c r="L37" s="283"/>
    </row>
    <row r="38" spans="1:12" x14ac:dyDescent="0.3">
      <c r="B38" s="51"/>
      <c r="C38" s="51"/>
      <c r="D38" s="203"/>
      <c r="E38" s="52"/>
      <c r="F38" s="51"/>
      <c r="G38" s="195"/>
      <c r="H38" s="61"/>
      <c r="I38" s="51"/>
      <c r="J38" s="195"/>
    </row>
    <row r="39" spans="1:12" x14ac:dyDescent="0.3">
      <c r="B39" s="51"/>
      <c r="C39" s="51"/>
      <c r="D39" s="203"/>
      <c r="E39" s="52"/>
      <c r="F39" s="51"/>
      <c r="G39" s="195"/>
      <c r="H39" s="61"/>
      <c r="I39" s="51"/>
      <c r="J39" s="195"/>
    </row>
    <row r="40" spans="1:12" x14ac:dyDescent="0.3">
      <c r="B40" s="51"/>
      <c r="C40" s="51"/>
      <c r="D40" s="203"/>
      <c r="E40" s="52"/>
      <c r="F40" s="558"/>
      <c r="G40" s="559">
        <f>G35-G21</f>
        <v>19.60889717888243</v>
      </c>
      <c r="H40" s="61"/>
      <c r="I40" s="51"/>
      <c r="J40" s="195"/>
    </row>
    <row r="41" spans="1:12" ht="21" x14ac:dyDescent="0.4">
      <c r="B41" s="74"/>
      <c r="C41" s="51"/>
      <c r="D41" s="204"/>
      <c r="E41" s="52"/>
      <c r="F41" s="560"/>
      <c r="G41" s="559"/>
      <c r="H41" s="189"/>
      <c r="I41" s="190"/>
      <c r="J41" s="205"/>
    </row>
    <row r="42" spans="1:12" x14ac:dyDescent="0.3">
      <c r="B42" s="51"/>
      <c r="C42" s="51"/>
      <c r="D42" s="51"/>
      <c r="E42" s="52"/>
      <c r="F42" s="561" t="s">
        <v>156</v>
      </c>
      <c r="G42" s="561">
        <v>175.20901920611206</v>
      </c>
      <c r="H42" s="51"/>
      <c r="I42" s="190"/>
      <c r="J42" s="51"/>
    </row>
    <row r="43" spans="1:12" ht="17.55" customHeight="1" x14ac:dyDescent="0.35">
      <c r="B43" s="211"/>
      <c r="F43" s="562" t="s">
        <v>155</v>
      </c>
      <c r="G43" s="563">
        <f>G20/G42</f>
        <v>0.1063262453955662</v>
      </c>
      <c r="J43" s="189"/>
    </row>
    <row r="44" spans="1:12" x14ac:dyDescent="0.3">
      <c r="B44" s="756"/>
      <c r="C44" s="756"/>
      <c r="D44" s="256"/>
      <c r="E44" s="256"/>
      <c r="F44" s="553"/>
      <c r="G44" s="564">
        <f>G22/G42</f>
        <v>0.58474352281883357</v>
      </c>
    </row>
    <row r="45" spans="1:12" x14ac:dyDescent="0.3">
      <c r="B45" s="756"/>
      <c r="C45" s="756"/>
      <c r="D45" s="256"/>
      <c r="E45" s="256"/>
      <c r="F45" s="256"/>
      <c r="G45" s="256"/>
      <c r="H45" s="256"/>
    </row>
    <row r="46" spans="1:12" ht="18" x14ac:dyDescent="0.35">
      <c r="B46" s="257"/>
      <c r="C46" s="256"/>
      <c r="D46" s="256"/>
      <c r="E46" s="256"/>
      <c r="F46" s="256"/>
      <c r="G46" s="256"/>
      <c r="H46" s="256"/>
    </row>
    <row r="47" spans="1:12" ht="75.599999999999994" customHeight="1" x14ac:dyDescent="0.3">
      <c r="B47" s="750"/>
      <c r="C47" s="750"/>
      <c r="D47" s="256"/>
      <c r="E47" s="256"/>
    </row>
    <row r="48" spans="1:12" ht="18" x14ac:dyDescent="0.35">
      <c r="B48" s="257"/>
      <c r="C48" s="256"/>
      <c r="D48" s="256"/>
      <c r="E48" s="256"/>
    </row>
    <row r="49" spans="2:5" ht="18" x14ac:dyDescent="0.35">
      <c r="B49" s="257"/>
      <c r="C49" s="256"/>
      <c r="D49" s="256"/>
      <c r="E49" s="256"/>
    </row>
    <row r="50" spans="2:5" ht="87.6" customHeight="1" x14ac:dyDescent="0.3">
      <c r="B50" s="757"/>
      <c r="C50" s="758"/>
      <c r="D50" s="758"/>
      <c r="E50" s="758"/>
    </row>
    <row r="51" spans="2:5" ht="18" x14ac:dyDescent="0.35">
      <c r="B51" s="257"/>
      <c r="C51" s="256"/>
      <c r="D51" s="256"/>
      <c r="E51" s="256"/>
    </row>
    <row r="52" spans="2:5" ht="157.35" customHeight="1" x14ac:dyDescent="0.3">
      <c r="B52" s="750"/>
      <c r="C52" s="750"/>
      <c r="D52" s="256"/>
      <c r="E52" s="256"/>
    </row>
    <row r="53" spans="2:5" ht="18" x14ac:dyDescent="0.35">
      <c r="B53" s="257"/>
      <c r="C53" s="256"/>
      <c r="D53" s="256"/>
      <c r="E53" s="256"/>
    </row>
    <row r="54" spans="2:5" x14ac:dyDescent="0.3">
      <c r="B54" s="258"/>
      <c r="C54" s="256"/>
      <c r="D54" s="256"/>
      <c r="E54" s="256"/>
    </row>
    <row r="55" spans="2:5" x14ac:dyDescent="0.3">
      <c r="B55" s="259"/>
      <c r="C55" s="256"/>
      <c r="D55" s="256"/>
      <c r="E55" s="256"/>
    </row>
    <row r="56" spans="2:5" ht="18" x14ac:dyDescent="0.35">
      <c r="B56" s="257"/>
      <c r="C56" s="256"/>
      <c r="D56" s="256"/>
      <c r="E56" s="256"/>
    </row>
    <row r="57" spans="2:5" x14ac:dyDescent="0.3">
      <c r="B57" s="260"/>
      <c r="C57" s="256"/>
      <c r="D57" s="256"/>
      <c r="E57" s="256"/>
    </row>
    <row r="58" spans="2:5" ht="129" customHeight="1" x14ac:dyDescent="0.3">
      <c r="B58" s="260"/>
      <c r="C58" s="256"/>
      <c r="D58" s="256"/>
      <c r="E58" s="256"/>
    </row>
    <row r="59" spans="2:5" x14ac:dyDescent="0.3">
      <c r="B59" s="256"/>
      <c r="C59" s="256"/>
      <c r="D59" s="256"/>
      <c r="E59" s="256"/>
    </row>
    <row r="60" spans="2:5" ht="18" x14ac:dyDescent="0.35">
      <c r="B60" s="257"/>
      <c r="C60" s="256"/>
      <c r="D60" s="256"/>
      <c r="E60" s="256"/>
    </row>
    <row r="61" spans="2:5" ht="67.8" customHeight="1" x14ac:dyDescent="0.3">
      <c r="B61" s="261"/>
      <c r="C61" s="261"/>
      <c r="D61" s="256"/>
      <c r="E61" s="256"/>
    </row>
    <row r="62" spans="2:5" ht="106.8" customHeight="1" x14ac:dyDescent="0.3">
      <c r="B62" s="260"/>
      <c r="C62" s="260"/>
      <c r="D62" s="256"/>
      <c r="E62" s="256"/>
    </row>
    <row r="63" spans="2:5" x14ac:dyDescent="0.3">
      <c r="B63" s="256"/>
      <c r="C63" s="256"/>
      <c r="D63" s="256"/>
      <c r="E63" s="256"/>
    </row>
    <row r="64" spans="2:5" ht="18" x14ac:dyDescent="0.35">
      <c r="B64" s="257"/>
      <c r="C64" s="256"/>
      <c r="D64" s="256"/>
      <c r="E64" s="256"/>
    </row>
    <row r="65" spans="2:5" ht="132" customHeight="1" x14ac:dyDescent="0.3">
      <c r="B65" s="262"/>
      <c r="C65" s="263"/>
      <c r="D65" s="256"/>
      <c r="E65" s="256"/>
    </row>
    <row r="66" spans="2:5" ht="79.349999999999994" customHeight="1" x14ac:dyDescent="0.3">
      <c r="B66" s="264"/>
      <c r="C66" s="263"/>
      <c r="D66" s="256"/>
      <c r="E66" s="256"/>
    </row>
    <row r="67" spans="2:5" x14ac:dyDescent="0.3">
      <c r="B67" s="256"/>
      <c r="C67" s="256"/>
      <c r="D67" s="256"/>
      <c r="E67" s="256"/>
    </row>
    <row r="68" spans="2:5" ht="18" x14ac:dyDescent="0.35">
      <c r="B68" s="257"/>
      <c r="C68" s="256"/>
      <c r="D68" s="256"/>
      <c r="E68" s="256"/>
    </row>
    <row r="69" spans="2:5" ht="77.55" customHeight="1" x14ac:dyDescent="0.3">
      <c r="B69" s="265"/>
      <c r="C69" s="256"/>
      <c r="D69" s="256"/>
      <c r="E69" s="256"/>
    </row>
    <row r="70" spans="2:5" x14ac:dyDescent="0.3">
      <c r="B70" s="256"/>
      <c r="C70" s="256"/>
      <c r="D70" s="256"/>
      <c r="E70" s="256"/>
    </row>
    <row r="71" spans="2:5" x14ac:dyDescent="0.3">
      <c r="B71" s="256"/>
      <c r="C71" s="256"/>
      <c r="D71" s="256"/>
      <c r="E71" s="256"/>
    </row>
    <row r="72" spans="2:5" ht="18" x14ac:dyDescent="0.35">
      <c r="B72" s="257"/>
      <c r="C72" s="256"/>
      <c r="D72" s="256"/>
      <c r="E72" s="256"/>
    </row>
    <row r="73" spans="2:5" x14ac:dyDescent="0.3">
      <c r="B73" s="264"/>
      <c r="C73" s="256"/>
      <c r="D73" s="256"/>
      <c r="E73" s="256"/>
    </row>
    <row r="74" spans="2:5" x14ac:dyDescent="0.3">
      <c r="B74" s="266"/>
      <c r="C74" s="256"/>
      <c r="D74" s="256"/>
      <c r="E74" s="256"/>
    </row>
    <row r="75" spans="2:5" ht="18" x14ac:dyDescent="0.35">
      <c r="B75" s="257"/>
      <c r="C75" s="256"/>
      <c r="D75" s="256"/>
      <c r="E75" s="256"/>
    </row>
    <row r="76" spans="2:5" x14ac:dyDescent="0.3">
      <c r="B76" s="267"/>
      <c r="C76" s="256"/>
      <c r="D76" s="256"/>
      <c r="E76" s="256"/>
    </row>
    <row r="77" spans="2:5" x14ac:dyDescent="0.3">
      <c r="B77" s="256"/>
      <c r="C77" s="256"/>
      <c r="D77" s="256"/>
      <c r="E77" s="256"/>
    </row>
    <row r="78" spans="2:5" ht="18" x14ac:dyDescent="0.35">
      <c r="B78" s="257"/>
      <c r="C78" s="256"/>
      <c r="D78" s="256"/>
      <c r="E78" s="256"/>
    </row>
    <row r="79" spans="2:5" x14ac:dyDescent="0.3">
      <c r="B79" s="267"/>
      <c r="C79" s="256"/>
      <c r="D79" s="256"/>
      <c r="E79" s="256"/>
    </row>
    <row r="80" spans="2:5" x14ac:dyDescent="0.3">
      <c r="B80" s="256"/>
      <c r="C80" s="256"/>
      <c r="D80" s="256"/>
      <c r="E80" s="256"/>
    </row>
    <row r="81" spans="2:5" x14ac:dyDescent="0.3">
      <c r="B81" s="256"/>
      <c r="C81" s="256"/>
      <c r="D81" s="256"/>
      <c r="E81" s="256"/>
    </row>
    <row r="82" spans="2:5" ht="18" x14ac:dyDescent="0.35">
      <c r="B82" s="257"/>
      <c r="C82" s="256"/>
      <c r="D82" s="256"/>
      <c r="E82" s="256"/>
    </row>
    <row r="83" spans="2:5" x14ac:dyDescent="0.3">
      <c r="B83" s="267"/>
      <c r="C83" s="256"/>
      <c r="D83" s="256"/>
      <c r="E83" s="256"/>
    </row>
    <row r="84" spans="2:5" x14ac:dyDescent="0.3">
      <c r="B84" s="263"/>
      <c r="C84" s="256"/>
      <c r="D84" s="256"/>
      <c r="E84" s="268"/>
    </row>
    <row r="85" spans="2:5" x14ac:dyDescent="0.3">
      <c r="B85" s="263"/>
      <c r="C85" s="256"/>
      <c r="D85" s="256"/>
      <c r="E85" s="268"/>
    </row>
    <row r="86" spans="2:5" x14ac:dyDescent="0.3">
      <c r="E86" s="105"/>
    </row>
    <row r="87" spans="2:5" x14ac:dyDescent="0.3">
      <c r="E87" s="105"/>
    </row>
  </sheetData>
  <mergeCells count="14">
    <mergeCell ref="I2:J3"/>
    <mergeCell ref="I4:J4"/>
    <mergeCell ref="L2:L3"/>
    <mergeCell ref="B52:C52"/>
    <mergeCell ref="B2:B3"/>
    <mergeCell ref="C2:D3"/>
    <mergeCell ref="E2:E3"/>
    <mergeCell ref="F2:G3"/>
    <mergeCell ref="C4:D4"/>
    <mergeCell ref="F4:G4"/>
    <mergeCell ref="B44:C44"/>
    <mergeCell ref="B45:C45"/>
    <mergeCell ref="B47:C47"/>
    <mergeCell ref="B50:E5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EEB3-2F7F-4999-9D93-D98EB6BD23B8}">
  <dimension ref="A1:AG78"/>
  <sheetViews>
    <sheetView showGridLines="0" topLeftCell="B9" zoomScale="80" zoomScaleNormal="80" workbookViewId="0">
      <selection activeCell="S38" sqref="S37:AA38"/>
    </sheetView>
  </sheetViews>
  <sheetFormatPr defaultRowHeight="14.4" x14ac:dyDescent="0.3"/>
  <cols>
    <col min="1" max="1" width="47.21875" bestFit="1" customWidth="1"/>
    <col min="2" max="2" width="10.44140625" bestFit="1" customWidth="1"/>
    <col min="4" max="7" width="11.5546875" customWidth="1"/>
    <col min="8" max="8" width="11.21875" bestFit="1" customWidth="1"/>
    <col min="9" max="9" width="12.5546875" customWidth="1"/>
    <col min="11" max="11" width="11.44140625" customWidth="1"/>
    <col min="12" max="12" width="1.44140625" customWidth="1"/>
    <col min="13" max="13" width="12.77734375" bestFit="1" customWidth="1"/>
    <col min="14" max="14" width="1.21875" customWidth="1"/>
    <col min="15" max="15" width="14.5546875" bestFit="1" customWidth="1"/>
    <col min="17" max="17" width="12" bestFit="1" customWidth="1"/>
    <col min="18" max="18" width="12.5546875" customWidth="1"/>
    <col min="19" max="19" width="13.21875" customWidth="1"/>
    <col min="20" max="20" width="2.88671875" customWidth="1"/>
    <col min="21" max="21" width="3.77734375" customWidth="1"/>
    <col min="22" max="22" width="6.109375" bestFit="1" customWidth="1"/>
    <col min="23" max="23" width="9.44140625" customWidth="1"/>
    <col min="24" max="24" width="12.88671875" customWidth="1"/>
  </cols>
  <sheetData>
    <row r="1" spans="1:32" x14ac:dyDescent="0.3">
      <c r="A1" s="40" t="s">
        <v>159</v>
      </c>
      <c r="B1" s="41">
        <f>+'Budget assumption'!Q35</f>
        <v>46000</v>
      </c>
      <c r="C1" s="41">
        <f>H1-B1</f>
        <v>4463</v>
      </c>
      <c r="D1" s="43"/>
      <c r="E1" s="43"/>
      <c r="F1" s="43"/>
      <c r="G1" s="43"/>
      <c r="H1" s="41">
        <f>'Budget assumption'!Q66</f>
        <v>50463</v>
      </c>
      <c r="I1" s="41">
        <f>'Budget assumption'!Q321</f>
        <v>0</v>
      </c>
      <c r="J1" s="42"/>
      <c r="K1" s="41">
        <f>'data entry '!Q82</f>
        <v>44096</v>
      </c>
      <c r="L1" s="42"/>
      <c r="M1" s="41">
        <f>'data entry '!Q115</f>
        <v>44096</v>
      </c>
      <c r="N1" s="42"/>
      <c r="O1" s="43"/>
      <c r="P1" s="44"/>
      <c r="Q1" s="39"/>
      <c r="R1" s="39"/>
      <c r="S1" s="39"/>
      <c r="T1" s="39"/>
      <c r="U1" s="39"/>
      <c r="V1" s="39"/>
      <c r="W1" s="44"/>
      <c r="X1" s="39"/>
      <c r="Y1" s="39"/>
      <c r="Z1" s="39"/>
      <c r="AA1" s="772" t="s">
        <v>160</v>
      </c>
      <c r="AB1" s="39" t="s">
        <v>161</v>
      </c>
      <c r="AC1" s="39" t="s">
        <v>162</v>
      </c>
    </row>
    <row r="2" spans="1:32" x14ac:dyDescent="0.3">
      <c r="A2" s="39"/>
      <c r="B2" s="42" t="s">
        <v>163</v>
      </c>
      <c r="C2" s="42" t="s">
        <v>163</v>
      </c>
      <c r="D2" s="46"/>
      <c r="E2" s="46"/>
      <c r="F2" s="46"/>
      <c r="G2" s="46"/>
      <c r="H2" s="42" t="s">
        <v>163</v>
      </c>
      <c r="I2" s="42" t="s">
        <v>163</v>
      </c>
      <c r="J2" s="42"/>
      <c r="K2" s="42" t="s">
        <v>163</v>
      </c>
      <c r="L2" s="42"/>
      <c r="M2" s="42" t="s">
        <v>163</v>
      </c>
      <c r="N2" s="42"/>
      <c r="O2" s="42"/>
      <c r="P2" s="39"/>
      <c r="Q2" s="773" t="s">
        <v>164</v>
      </c>
      <c r="R2" s="773"/>
      <c r="S2" s="773"/>
      <c r="T2" s="39"/>
      <c r="U2" s="39"/>
      <c r="V2" s="773" t="s">
        <v>165</v>
      </c>
      <c r="W2" s="773"/>
      <c r="X2" s="773"/>
      <c r="Y2" s="39"/>
      <c r="Z2" s="39"/>
      <c r="AA2" s="772"/>
      <c r="AB2" s="39" t="s">
        <v>166</v>
      </c>
      <c r="AC2" s="39" t="s">
        <v>167</v>
      </c>
    </row>
    <row r="3" spans="1:32" x14ac:dyDescent="0.3">
      <c r="A3" s="759" t="s">
        <v>168</v>
      </c>
      <c r="B3" s="762" t="s">
        <v>169</v>
      </c>
      <c r="C3" s="762" t="s">
        <v>97</v>
      </c>
      <c r="D3" s="764" t="s">
        <v>43</v>
      </c>
      <c r="E3" s="764" t="s">
        <v>429</v>
      </c>
      <c r="F3" s="764" t="s">
        <v>430</v>
      </c>
      <c r="G3" s="771" t="s">
        <v>98</v>
      </c>
      <c r="H3" s="768" t="s">
        <v>170</v>
      </c>
      <c r="I3" s="47" t="s">
        <v>171</v>
      </c>
      <c r="J3" s="770"/>
      <c r="K3" s="47" t="s">
        <v>172</v>
      </c>
      <c r="L3" s="774"/>
      <c r="M3" s="768" t="s">
        <v>173</v>
      </c>
      <c r="N3" s="774"/>
      <c r="O3" s="768" t="s">
        <v>99</v>
      </c>
      <c r="P3" s="775"/>
      <c r="Q3" s="765" t="s">
        <v>160</v>
      </c>
      <c r="R3" s="765" t="s">
        <v>174</v>
      </c>
      <c r="S3" s="765" t="s">
        <v>157</v>
      </c>
      <c r="T3" s="777"/>
      <c r="U3" s="778"/>
      <c r="V3" s="765" t="s">
        <v>160</v>
      </c>
      <c r="W3" s="765" t="s">
        <v>174</v>
      </c>
      <c r="X3" s="765" t="s">
        <v>157</v>
      </c>
      <c r="Y3" s="777"/>
      <c r="Z3" s="776"/>
      <c r="AA3" s="776"/>
      <c r="AB3" s="776"/>
      <c r="AC3" s="776"/>
    </row>
    <row r="4" spans="1:32" x14ac:dyDescent="0.3">
      <c r="A4" s="760"/>
      <c r="B4" s="763"/>
      <c r="C4" s="763"/>
      <c r="D4" s="764" t="s">
        <v>43</v>
      </c>
      <c r="E4" s="764"/>
      <c r="F4" s="764"/>
      <c r="G4" s="771"/>
      <c r="H4" s="769"/>
      <c r="I4" s="48"/>
      <c r="J4" s="770"/>
      <c r="K4" s="48"/>
      <c r="L4" s="774"/>
      <c r="M4" s="769"/>
      <c r="N4" s="774"/>
      <c r="O4" s="769"/>
      <c r="P4" s="775"/>
      <c r="Q4" s="766"/>
      <c r="R4" s="766"/>
      <c r="S4" s="766"/>
      <c r="T4" s="777"/>
      <c r="U4" s="778"/>
      <c r="V4" s="766"/>
      <c r="W4" s="766"/>
      <c r="X4" s="766"/>
      <c r="Y4" s="777"/>
      <c r="Z4" s="776"/>
      <c r="AA4" s="776"/>
      <c r="AB4" s="776"/>
      <c r="AC4" s="776"/>
    </row>
    <row r="5" spans="1:32" x14ac:dyDescent="0.3">
      <c r="A5" s="761"/>
      <c r="B5" s="763"/>
      <c r="C5" s="763"/>
      <c r="D5" s="764"/>
      <c r="E5" s="764"/>
      <c r="F5" s="764"/>
      <c r="G5" s="771"/>
      <c r="H5" s="769"/>
      <c r="I5" s="48" t="s">
        <v>175</v>
      </c>
      <c r="J5" s="770"/>
      <c r="K5" s="48"/>
      <c r="L5" s="774"/>
      <c r="M5" s="769"/>
      <c r="N5" s="774"/>
      <c r="O5" s="769"/>
      <c r="P5" s="775"/>
      <c r="Q5" s="767"/>
      <c r="R5" s="767"/>
      <c r="S5" s="766"/>
      <c r="T5" s="777"/>
      <c r="U5" s="778"/>
      <c r="V5" s="767"/>
      <c r="W5" s="767"/>
      <c r="X5" s="766"/>
      <c r="Y5" s="777"/>
      <c r="Z5" s="776"/>
      <c r="AA5" s="776"/>
      <c r="AB5" s="776"/>
      <c r="AC5" s="776"/>
    </row>
    <row r="6" spans="1:32" x14ac:dyDescent="0.3">
      <c r="A6" s="341" t="s">
        <v>158</v>
      </c>
      <c r="B6" s="169">
        <f>'Budget assumption'!Q37</f>
        <v>523.40092331283336</v>
      </c>
      <c r="C6" s="169">
        <f>'Budget assumption'!Q70</f>
        <v>50.781267842286411</v>
      </c>
      <c r="D6" s="169">
        <f>'Budget assumption'!Q118</f>
        <v>-4.6443971410000007</v>
      </c>
      <c r="E6" s="169">
        <f>'Budget assumption'!Q149</f>
        <v>-36.708483185840713</v>
      </c>
      <c r="F6" s="169">
        <f>'Budget assumption'!Q180</f>
        <v>-13.073387515445688</v>
      </c>
      <c r="G6" s="169">
        <f>'Budget assumption'!Q242+'Budget assumption'!Q273</f>
        <v>-34.755923312833374</v>
      </c>
      <c r="H6" s="169">
        <f>'Budget assumption'!Q211</f>
        <v>485</v>
      </c>
      <c r="I6" s="169"/>
      <c r="J6" s="89">
        <f t="shared" ref="J6:J32" si="0">H6-SUM(B6:G6)</f>
        <v>0</v>
      </c>
      <c r="K6" s="169">
        <f>'data entry '!Q84</f>
        <v>465.28736087719386</v>
      </c>
      <c r="L6" s="68"/>
      <c r="M6" s="169">
        <f>'data entry '!Q117</f>
        <v>363.73443262781774</v>
      </c>
      <c r="N6" s="68"/>
      <c r="O6" s="169">
        <f>M6-K6</f>
        <v>-101.55292824937612</v>
      </c>
      <c r="P6" s="39"/>
      <c r="Q6" s="169">
        <f>M6-K6-E6-F6-D6-G6</f>
        <v>-12.370737094256341</v>
      </c>
      <c r="R6" s="169"/>
      <c r="S6" s="169">
        <f>Q6+R6</f>
        <v>-12.370737094256341</v>
      </c>
      <c r="T6" s="39"/>
      <c r="U6" s="39"/>
      <c r="V6" s="169">
        <f>M6-K6</f>
        <v>-101.55292824937612</v>
      </c>
      <c r="W6" s="169"/>
      <c r="X6" s="169">
        <f>V6+W6</f>
        <v>-101.55292824937612</v>
      </c>
      <c r="Y6" s="39"/>
      <c r="Z6" s="39"/>
      <c r="AA6" s="39"/>
      <c r="AB6" s="39"/>
      <c r="AC6" s="39"/>
    </row>
    <row r="7" spans="1:32" x14ac:dyDescent="0.3">
      <c r="A7" s="341" t="s">
        <v>75</v>
      </c>
      <c r="B7" s="169">
        <f>'Budget assumption'!Q38</f>
        <v>35.473246024460515</v>
      </c>
      <c r="C7" s="169">
        <f>'Budget assumption'!Q71</f>
        <v>3.441676021894942</v>
      </c>
      <c r="D7" s="169">
        <f>'Budget assumption'!Q119</f>
        <v>0</v>
      </c>
      <c r="E7" s="169">
        <f>'Budget assumption'!Q150</f>
        <v>0</v>
      </c>
      <c r="F7" s="169">
        <f>'Budget assumption'!Q181</f>
        <v>-1.9248993628776461</v>
      </c>
      <c r="G7" s="169">
        <f>'Budget assumption'!Q243+'Budget assumption'!Q274</f>
        <v>1.526753975539485</v>
      </c>
      <c r="H7" s="169">
        <f>'Budget assumption'!Q212</f>
        <v>38.516776659017296</v>
      </c>
      <c r="I7" s="169"/>
      <c r="J7" s="89">
        <f t="shared" si="0"/>
        <v>0</v>
      </c>
      <c r="K7" s="169">
        <f>'data entry '!Q85</f>
        <v>30.9152736842106</v>
      </c>
      <c r="L7" s="68"/>
      <c r="M7" s="169">
        <f>'data entry '!Q118</f>
        <v>28.068419999999996</v>
      </c>
      <c r="N7" s="68"/>
      <c r="O7" s="169">
        <f t="shared" ref="O7:O32" si="1">M7-K7</f>
        <v>-2.846853684210604</v>
      </c>
      <c r="P7" s="39"/>
      <c r="Q7" s="169">
        <f t="shared" ref="Q7:Q31" si="2">M7-K7-E7-F7-D7-G7</f>
        <v>-2.448708296872443</v>
      </c>
      <c r="R7" s="169"/>
      <c r="S7" s="169">
        <f t="shared" ref="S7:S32" si="3">Q7+R7</f>
        <v>-2.448708296872443</v>
      </c>
      <c r="T7" s="39"/>
      <c r="U7" s="39"/>
      <c r="V7" s="169">
        <f t="shared" ref="V7:V8" si="4">M7-K7</f>
        <v>-2.846853684210604</v>
      </c>
      <c r="W7" s="169"/>
      <c r="X7" s="169">
        <f t="shared" ref="X7:X8" si="5">V7+W7</f>
        <v>-2.846853684210604</v>
      </c>
      <c r="Y7" s="39"/>
      <c r="Z7" s="39"/>
      <c r="AA7" s="39"/>
      <c r="AB7" s="39"/>
      <c r="AC7" s="39"/>
    </row>
    <row r="8" spans="1:32" x14ac:dyDescent="0.3">
      <c r="A8" s="342" t="s">
        <v>196</v>
      </c>
      <c r="B8" s="169">
        <f>'Budget assumption'!Q39</f>
        <v>16.169660586880532</v>
      </c>
      <c r="C8" s="169">
        <f>'Budget assumption'!Q72</f>
        <v>1.5688085912879934</v>
      </c>
      <c r="D8" s="169">
        <f>'Budget assumption'!Q120</f>
        <v>-1</v>
      </c>
      <c r="E8" s="169">
        <f>'Budget assumption'!Q151</f>
        <v>0</v>
      </c>
      <c r="F8" s="169">
        <f>'Budget assumption'!Q182</f>
        <v>-8.8085912879947159E-3</v>
      </c>
      <c r="G8" s="169">
        <f>'Budget assumption'!Q244+'Budget assumption'!Q275</f>
        <v>3.394131194696115E-4</v>
      </c>
      <c r="H8" s="169">
        <f>'Budget assumption'!Q213</f>
        <v>16.73</v>
      </c>
      <c r="I8" s="169"/>
      <c r="J8" s="89">
        <f t="shared" si="0"/>
        <v>0</v>
      </c>
      <c r="K8" s="169">
        <f>'data entry '!Q86</f>
        <v>13.272975789473675</v>
      </c>
      <c r="L8" s="68"/>
      <c r="M8" s="169">
        <f>'data entry '!Q119</f>
        <v>38.196779999999997</v>
      </c>
      <c r="N8" s="68"/>
      <c r="O8" s="169">
        <f t="shared" si="1"/>
        <v>24.92380421052632</v>
      </c>
      <c r="P8" s="39"/>
      <c r="Q8" s="169">
        <f t="shared" si="2"/>
        <v>25.932273388694846</v>
      </c>
      <c r="R8" s="169"/>
      <c r="S8" s="169">
        <f t="shared" si="3"/>
        <v>25.932273388694846</v>
      </c>
      <c r="T8" s="39"/>
      <c r="U8" s="39"/>
      <c r="V8" s="169">
        <f t="shared" si="4"/>
        <v>24.92380421052632</v>
      </c>
      <c r="W8" s="169"/>
      <c r="X8" s="169">
        <f t="shared" si="5"/>
        <v>24.92380421052632</v>
      </c>
      <c r="Y8" s="39"/>
      <c r="Z8" s="39"/>
      <c r="AA8" s="39"/>
      <c r="AB8" s="39"/>
      <c r="AC8" s="39"/>
    </row>
    <row r="9" spans="1:32" ht="15" thickBot="1" x14ac:dyDescent="0.35">
      <c r="A9" s="344" t="s">
        <v>197</v>
      </c>
      <c r="B9" s="395">
        <f>SUM(B6:B8)</f>
        <v>575.04382992417447</v>
      </c>
      <c r="C9" s="395">
        <f t="shared" ref="C9:I9" si="6">SUM(C6:C8)</f>
        <v>55.79175245546935</v>
      </c>
      <c r="D9" s="395">
        <f t="shared" si="6"/>
        <v>-5.6443971410000007</v>
      </c>
      <c r="E9" s="395">
        <f t="shared" si="6"/>
        <v>-36.708483185840713</v>
      </c>
      <c r="F9" s="395">
        <f t="shared" si="6"/>
        <v>-15.007095469611329</v>
      </c>
      <c r="G9" s="395">
        <f t="shared" si="6"/>
        <v>-33.22882992417442</v>
      </c>
      <c r="H9" s="395">
        <f t="shared" si="6"/>
        <v>540.24677665901731</v>
      </c>
      <c r="I9" s="395">
        <f t="shared" si="6"/>
        <v>0</v>
      </c>
      <c r="J9" s="89">
        <f t="shared" si="0"/>
        <v>0</v>
      </c>
      <c r="K9" s="395">
        <f t="shared" ref="K9:O9" si="7">SUM(K6:K8)</f>
        <v>509.47561035087813</v>
      </c>
      <c r="L9" s="68"/>
      <c r="M9" s="395">
        <f t="shared" si="7"/>
        <v>429.99963262781773</v>
      </c>
      <c r="N9" s="68"/>
      <c r="O9" s="395">
        <f t="shared" si="7"/>
        <v>-79.475977723060396</v>
      </c>
      <c r="P9" s="39"/>
      <c r="Q9" s="395">
        <f>SUM(Q6:Q8)</f>
        <v>11.112827997566061</v>
      </c>
      <c r="R9" s="395">
        <f>SUM(R6:R8)</f>
        <v>0</v>
      </c>
      <c r="S9" s="395">
        <f t="shared" ref="S9" si="8">SUM(S6:S8)</f>
        <v>11.112827997566061</v>
      </c>
      <c r="T9" s="39"/>
      <c r="U9" s="39"/>
      <c r="V9" s="395">
        <f>SUM(V6:V8)</f>
        <v>-79.475977723060396</v>
      </c>
      <c r="W9" s="395">
        <f t="shared" ref="W9" si="9">SUM(W6:W8)</f>
        <v>0</v>
      </c>
      <c r="X9" s="395">
        <f>SUM(X6:X8)</f>
        <v>-79.475977723060396</v>
      </c>
      <c r="Y9" s="39"/>
      <c r="Z9" s="39"/>
      <c r="AA9" s="39"/>
      <c r="AB9" s="39"/>
      <c r="AC9" s="39"/>
    </row>
    <row r="10" spans="1:32" x14ac:dyDescent="0.3">
      <c r="A10" s="343" t="s">
        <v>80</v>
      </c>
      <c r="B10" s="169">
        <f>'Budget assumption'!Q41</f>
        <v>205.291860877251</v>
      </c>
      <c r="C10" s="397"/>
      <c r="D10" s="169">
        <f>'Budget assumption'!Q122</f>
        <v>0</v>
      </c>
      <c r="E10" s="169">
        <f>'Budget assumption'!Q153</f>
        <v>-42</v>
      </c>
      <c r="F10" s="169">
        <f>'Budget assumption'!Q184</f>
        <v>36.808953488222812</v>
      </c>
      <c r="G10" s="169">
        <f>'Budget assumption'!Q246+'Budget assumption'!Q277</f>
        <v>-5.3518608772509992</v>
      </c>
      <c r="H10" s="169">
        <f>'Budget assumption'!Q215</f>
        <v>194.74895348822281</v>
      </c>
      <c r="I10" s="169">
        <f>'Budget assumption'!Q323</f>
        <v>-19.917773371634159</v>
      </c>
      <c r="J10" s="89">
        <f t="shared" si="0"/>
        <v>0</v>
      </c>
      <c r="K10" s="169">
        <f>'data entry '!Q88</f>
        <v>184.0365763157898</v>
      </c>
      <c r="L10" s="68"/>
      <c r="M10" s="169">
        <f>'data entry '!Q121</f>
        <v>211.9200073721822</v>
      </c>
      <c r="N10" s="68"/>
      <c r="O10" s="169">
        <f t="shared" si="1"/>
        <v>27.883431056392396</v>
      </c>
      <c r="P10" s="39"/>
      <c r="Q10" s="169">
        <f>M10-H10</f>
        <v>17.171053883959388</v>
      </c>
      <c r="R10" s="169">
        <f>H10-K10-E10-I10-F10-G10-D10</f>
        <v>41.17305793309535</v>
      </c>
      <c r="S10" s="169">
        <f t="shared" si="3"/>
        <v>58.344111817054738</v>
      </c>
      <c r="T10" s="39"/>
      <c r="U10" s="39"/>
      <c r="V10" s="169">
        <f>M10-B10</f>
        <v>6.628146494931201</v>
      </c>
      <c r="W10" s="169">
        <f>B10-K10</f>
        <v>21.255284561461195</v>
      </c>
      <c r="X10" s="169">
        <f t="shared" ref="X10:X15" si="10">V10+W10</f>
        <v>27.883431056392396</v>
      </c>
      <c r="Y10" s="39"/>
      <c r="Z10" s="39"/>
      <c r="AA10" s="39"/>
      <c r="AB10" s="39"/>
      <c r="AC10" s="39"/>
    </row>
    <row r="11" spans="1:32" x14ac:dyDescent="0.3">
      <c r="A11" s="342" t="s">
        <v>81</v>
      </c>
      <c r="B11" s="169">
        <f>'Budget assumption'!Q42</f>
        <v>74.257783129742805</v>
      </c>
      <c r="C11" s="397"/>
      <c r="D11" s="169">
        <f>'Budget assumption'!Q123</f>
        <v>0</v>
      </c>
      <c r="E11" s="169">
        <f>'Budget assumption'!Q154</f>
        <v>7</v>
      </c>
      <c r="F11" s="169">
        <f>'Budget assumption'!Q185</f>
        <v>16.249995375852208</v>
      </c>
      <c r="G11" s="169">
        <f>'Budget assumption'!Q247+'Budget assumption'!Q278</f>
        <v>9.0722168702571935</v>
      </c>
      <c r="H11" s="169">
        <f>'Budget assumption'!Q216</f>
        <v>106.57999537585221</v>
      </c>
      <c r="I11" s="169">
        <f>'Budget assumption'!Q324</f>
        <v>-7.2046192632183077</v>
      </c>
      <c r="J11" s="89">
        <f t="shared" si="0"/>
        <v>0</v>
      </c>
      <c r="K11" s="169">
        <f>'data entry '!Q89</f>
        <v>65.067655263157903</v>
      </c>
      <c r="L11" s="69"/>
      <c r="M11" s="169">
        <f>'data entry '!Q122</f>
        <v>86.264239999999987</v>
      </c>
      <c r="N11" s="69"/>
      <c r="O11" s="169">
        <f t="shared" si="1"/>
        <v>21.196584736842084</v>
      </c>
      <c r="P11" s="39"/>
      <c r="Q11" s="169">
        <f t="shared" ref="Q11:Q15" si="11">M11-H11</f>
        <v>-20.31575537585222</v>
      </c>
      <c r="R11" s="169">
        <f t="shared" ref="R11:R15" si="12">H11-K11-E11-I11-F11-G11-D11</f>
        <v>16.394747129803207</v>
      </c>
      <c r="S11" s="169">
        <f t="shared" si="3"/>
        <v>-3.9210082460490128</v>
      </c>
      <c r="T11" s="39"/>
      <c r="U11" s="39"/>
      <c r="V11" s="169">
        <f t="shared" ref="V11:V15" si="13">M11-B11</f>
        <v>12.006456870257182</v>
      </c>
      <c r="W11" s="169">
        <f t="shared" ref="W11:W15" si="14">B11-K11</f>
        <v>9.190127866584902</v>
      </c>
      <c r="X11" s="169">
        <f t="shared" si="10"/>
        <v>21.196584736842084</v>
      </c>
      <c r="Y11" s="39"/>
      <c r="Z11" s="39"/>
      <c r="AA11" s="39"/>
      <c r="AB11" s="39"/>
      <c r="AC11" s="39"/>
      <c r="AD11" s="39"/>
      <c r="AE11" s="39"/>
      <c r="AF11" s="39"/>
    </row>
    <row r="12" spans="1:32" x14ac:dyDescent="0.3">
      <c r="A12" s="342" t="s">
        <v>82</v>
      </c>
      <c r="B12" s="169">
        <f>'Budget assumption'!Q43</f>
        <v>143.36580598566533</v>
      </c>
      <c r="C12" s="397"/>
      <c r="D12" s="169">
        <f>'Budget assumption'!Q124</f>
        <v>0</v>
      </c>
      <c r="E12" s="169">
        <f>'Budget assumption'!Q155</f>
        <v>-13.179533531022013</v>
      </c>
      <c r="F12" s="169">
        <f>'Budget assumption'!Q186</f>
        <v>45.529224078561953</v>
      </c>
      <c r="G12" s="169">
        <f>'Budget assumption'!Q248+'Budget assumption'!Q279</f>
        <v>7.3141940143346744</v>
      </c>
      <c r="H12" s="169">
        <f>'Budget assumption'!Q217</f>
        <v>183.02969054753996</v>
      </c>
      <c r="I12" s="169">
        <f>'Budget assumption'!Q325</f>
        <v>-13.909599828565748</v>
      </c>
      <c r="J12" s="89">
        <f t="shared" si="0"/>
        <v>0</v>
      </c>
      <c r="K12" s="169">
        <f>'data entry '!Q90</f>
        <v>126.16662157894729</v>
      </c>
      <c r="L12" s="68"/>
      <c r="M12" s="169">
        <f>'data entry '!Q123</f>
        <v>86.237830000000017</v>
      </c>
      <c r="N12" s="68"/>
      <c r="O12" s="169">
        <f t="shared" si="1"/>
        <v>-39.928791578947269</v>
      </c>
      <c r="P12" s="39"/>
      <c r="Q12" s="169">
        <f t="shared" si="11"/>
        <v>-96.79186054753994</v>
      </c>
      <c r="R12" s="169">
        <f t="shared" si="12"/>
        <v>31.108784235283807</v>
      </c>
      <c r="S12" s="169">
        <f t="shared" si="3"/>
        <v>-65.683076312256134</v>
      </c>
      <c r="T12" s="39"/>
      <c r="U12" s="39"/>
      <c r="V12" s="169">
        <f t="shared" si="13"/>
        <v>-57.127975985665316</v>
      </c>
      <c r="W12" s="169">
        <f t="shared" si="14"/>
        <v>17.199184406718047</v>
      </c>
      <c r="X12" s="169">
        <f t="shared" si="10"/>
        <v>-39.928791578947269</v>
      </c>
      <c r="Y12" s="39"/>
      <c r="Z12" s="39"/>
      <c r="AA12" s="39"/>
      <c r="AB12" s="39"/>
      <c r="AC12" s="39"/>
    </row>
    <row r="13" spans="1:32" x14ac:dyDescent="0.3">
      <c r="A13" s="342" t="s">
        <v>83</v>
      </c>
      <c r="B13" s="169">
        <f>'Budget assumption'!Q44</f>
        <v>9.1207172951353304</v>
      </c>
      <c r="C13" s="397"/>
      <c r="D13" s="169">
        <f>'Budget assumption'!Q125</f>
        <v>-1.1000000000000001</v>
      </c>
      <c r="E13" s="169">
        <f>'Budget assumption'!Q156</f>
        <v>-2</v>
      </c>
      <c r="F13" s="169">
        <f>'Budget assumption'!Q187</f>
        <v>-0.59999999999999964</v>
      </c>
      <c r="G13" s="169">
        <f>'Budget assumption'!Q249+'Budget assumption'!Q280</f>
        <v>-0.42071729513533107</v>
      </c>
      <c r="H13" s="169">
        <f>'Budget assumption'!Q218</f>
        <v>5</v>
      </c>
      <c r="I13" s="169">
        <f>'Budget assumption'!Q326</f>
        <v>-0.88490785409106465</v>
      </c>
      <c r="J13" s="89">
        <f t="shared" si="0"/>
        <v>0</v>
      </c>
      <c r="K13" s="169">
        <f>'data entry '!Q91</f>
        <v>6.9506099999999975</v>
      </c>
      <c r="L13" s="68"/>
      <c r="M13" s="169">
        <f>'data entry '!Q124</f>
        <v>3.8053300000000001</v>
      </c>
      <c r="N13" s="68"/>
      <c r="O13" s="169">
        <f t="shared" si="1"/>
        <v>-3.1452799999999974</v>
      </c>
      <c r="P13" s="39"/>
      <c r="Q13" s="169">
        <f t="shared" si="11"/>
        <v>-1.1946699999999999</v>
      </c>
      <c r="R13" s="169">
        <f t="shared" si="12"/>
        <v>3.0550151492263979</v>
      </c>
      <c r="S13" s="169">
        <f t="shared" si="3"/>
        <v>1.860345149226398</v>
      </c>
      <c r="T13" s="39"/>
      <c r="U13" s="39"/>
      <c r="V13" s="169">
        <f t="shared" si="13"/>
        <v>-5.3153872951353307</v>
      </c>
      <c r="W13" s="169">
        <f t="shared" si="14"/>
        <v>2.1701072951353328</v>
      </c>
      <c r="X13" s="169">
        <f t="shared" si="10"/>
        <v>-3.1452799999999979</v>
      </c>
      <c r="Y13" s="39"/>
      <c r="Z13" s="39"/>
      <c r="AA13" s="39"/>
      <c r="AB13" s="39"/>
      <c r="AC13" s="39"/>
    </row>
    <row r="14" spans="1:32" x14ac:dyDescent="0.3">
      <c r="A14" s="342" t="s">
        <v>84</v>
      </c>
      <c r="B14" s="169">
        <f>'Budget assumption'!Q45</f>
        <v>32.000366121863642</v>
      </c>
      <c r="C14" s="397"/>
      <c r="D14" s="169">
        <f>'Budget assumption'!Q126</f>
        <v>0</v>
      </c>
      <c r="E14" s="169">
        <f>'Budget assumption'!Q157</f>
        <v>0</v>
      </c>
      <c r="F14" s="169">
        <f>'Budget assumption'!Q188</f>
        <v>5.7693193412276855</v>
      </c>
      <c r="G14" s="169">
        <f>'Budget assumption'!Q250+'Budget assumption'!Q281</f>
        <v>7.090573878136361</v>
      </c>
      <c r="H14" s="169">
        <f>'Budget assumption'!Q219</f>
        <v>44.860259341227689</v>
      </c>
      <c r="I14" s="169">
        <f>'Budget assumption'!Q327</f>
        <v>-3.1047311739538572</v>
      </c>
      <c r="J14" s="89">
        <f t="shared" si="0"/>
        <v>0</v>
      </c>
      <c r="K14" s="169">
        <f>'data entry '!Q92</f>
        <v>32.152643684210531</v>
      </c>
      <c r="L14" s="68"/>
      <c r="M14" s="169">
        <f>'data entry '!Q125</f>
        <v>-2.6982200000000036</v>
      </c>
      <c r="N14" s="68"/>
      <c r="O14" s="169">
        <f t="shared" si="1"/>
        <v>-34.850863684210537</v>
      </c>
      <c r="P14" s="39"/>
      <c r="Q14" s="169">
        <f t="shared" si="11"/>
        <v>-47.558479341227695</v>
      </c>
      <c r="R14" s="169">
        <f t="shared" si="12"/>
        <v>2.952453611606968</v>
      </c>
      <c r="S14" s="169">
        <f t="shared" si="3"/>
        <v>-44.606025729620725</v>
      </c>
      <c r="T14" s="39"/>
      <c r="U14" s="39"/>
      <c r="V14" s="169">
        <f t="shared" si="13"/>
        <v>-34.698586121863649</v>
      </c>
      <c r="W14" s="169">
        <f t="shared" si="14"/>
        <v>-0.15227756234688883</v>
      </c>
      <c r="X14" s="169">
        <f t="shared" si="10"/>
        <v>-34.850863684210537</v>
      </c>
      <c r="Y14" s="39"/>
      <c r="Z14" s="39"/>
      <c r="AA14" s="39"/>
      <c r="AB14" s="39"/>
      <c r="AC14" s="39"/>
    </row>
    <row r="15" spans="1:32" x14ac:dyDescent="0.3">
      <c r="A15" s="342" t="s">
        <v>86</v>
      </c>
      <c r="B15" s="169">
        <f>'Budget assumption'!Q46</f>
        <v>125.28657683420116</v>
      </c>
      <c r="C15" s="397"/>
      <c r="D15" s="169">
        <f>'Budget assumption'!Q127</f>
        <v>0</v>
      </c>
      <c r="E15" s="169">
        <f>'Budget assumption'!Q158</f>
        <v>-5.7388241666646991</v>
      </c>
      <c r="F15" s="169">
        <f>'Budget assumption'!Q189</f>
        <v>-8.0000000036761776E-4</v>
      </c>
      <c r="G15" s="169">
        <f>'Budget assumption'!Q251+'Budget assumption'!Q282</f>
        <v>42.244789108921992</v>
      </c>
      <c r="H15" s="169">
        <f>'Budget assumption'!Q220</f>
        <v>161.79174177645808</v>
      </c>
      <c r="I15" s="169">
        <f>'Budget assumption'!Q329</f>
        <v>-12.155521574153038</v>
      </c>
      <c r="J15" s="89">
        <f t="shared" si="0"/>
        <v>0</v>
      </c>
      <c r="K15" s="169">
        <f>'data entry '!Q93</f>
        <v>424.54616210526245</v>
      </c>
      <c r="L15" s="68"/>
      <c r="M15" s="169">
        <f>'data entry '!Q126</f>
        <v>-7.097920000000002</v>
      </c>
      <c r="N15" s="68"/>
      <c r="O15" s="169">
        <f t="shared" si="1"/>
        <v>-431.64408210526244</v>
      </c>
      <c r="P15" s="39"/>
      <c r="Q15" s="169">
        <f t="shared" si="11"/>
        <v>-168.88966177645807</v>
      </c>
      <c r="R15" s="169">
        <f t="shared" si="12"/>
        <v>-287.10406369690827</v>
      </c>
      <c r="S15" s="169">
        <f t="shared" si="3"/>
        <v>-455.99372547336634</v>
      </c>
      <c r="T15" s="39"/>
      <c r="U15" s="39"/>
      <c r="V15" s="169">
        <f t="shared" si="13"/>
        <v>-132.38449683420117</v>
      </c>
      <c r="W15" s="169">
        <f t="shared" si="14"/>
        <v>-299.25958527106127</v>
      </c>
      <c r="X15" s="169">
        <f t="shared" si="10"/>
        <v>-431.64408210526244</v>
      </c>
      <c r="Y15" s="39"/>
      <c r="Z15" s="39"/>
      <c r="AA15" s="39"/>
      <c r="AB15" s="39"/>
      <c r="AC15" s="39"/>
    </row>
    <row r="16" spans="1:32" ht="15" thickBot="1" x14ac:dyDescent="0.35">
      <c r="A16" s="344" t="s">
        <v>198</v>
      </c>
      <c r="B16" s="395">
        <f>SUM(B10:B15)</f>
        <v>589.32311024385922</v>
      </c>
      <c r="C16" s="395">
        <f t="shared" ref="C16:I16" si="15">SUM(C10:C15)</f>
        <v>0</v>
      </c>
      <c r="D16" s="395">
        <f t="shared" si="15"/>
        <v>-1.1000000000000001</v>
      </c>
      <c r="E16" s="395">
        <f t="shared" si="15"/>
        <v>-55.918357697686716</v>
      </c>
      <c r="F16" s="395">
        <f t="shared" si="15"/>
        <v>103.7566922838643</v>
      </c>
      <c r="G16" s="395">
        <f t="shared" si="15"/>
        <v>59.949195699263889</v>
      </c>
      <c r="H16" s="395">
        <f t="shared" si="15"/>
        <v>696.01064052930064</v>
      </c>
      <c r="I16" s="395">
        <f t="shared" si="15"/>
        <v>-57.177153065616167</v>
      </c>
      <c r="J16" s="89">
        <f t="shared" si="0"/>
        <v>0</v>
      </c>
      <c r="K16" s="395">
        <f>SUM(K10:K15)</f>
        <v>838.92026894736796</v>
      </c>
      <c r="L16" s="68"/>
      <c r="M16" s="395">
        <f>SUM(M10:M15)</f>
        <v>378.43126737218228</v>
      </c>
      <c r="N16" s="68"/>
      <c r="O16" s="395">
        <f>SUM(O10:O15)</f>
        <v>-460.48900157518574</v>
      </c>
      <c r="P16" s="39"/>
      <c r="Q16" s="395">
        <f>SUM(Q10:Q15)</f>
        <v>-317.57937315711854</v>
      </c>
      <c r="R16" s="395">
        <f t="shared" ref="R16" si="16">SUM(R10:R15)</f>
        <v>-192.42000563789253</v>
      </c>
      <c r="S16" s="395">
        <f t="shared" si="3"/>
        <v>-509.99937879501107</v>
      </c>
      <c r="T16" s="39"/>
      <c r="U16" s="39"/>
      <c r="V16" s="395">
        <f>SUM(V10:V15)</f>
        <v>-210.89184287167708</v>
      </c>
      <c r="W16" s="395">
        <f t="shared" ref="W16" si="17">SUM(W10:W15)</f>
        <v>-249.59715870350868</v>
      </c>
      <c r="X16" s="395">
        <f>SUM(X10:X15)</f>
        <v>-460.48900157518574</v>
      </c>
      <c r="Y16" s="39"/>
      <c r="Z16" s="39"/>
      <c r="AA16" s="39"/>
      <c r="AB16" s="39"/>
      <c r="AC16" s="39"/>
    </row>
    <row r="17" spans="1:33" ht="21.45" customHeight="1" x14ac:dyDescent="0.3">
      <c r="A17" s="345" t="s">
        <v>88</v>
      </c>
      <c r="B17" s="396">
        <f>B9+B16</f>
        <v>1164.3669401680336</v>
      </c>
      <c r="C17" s="396">
        <f t="shared" ref="C17:I17" si="18">C9+C16</f>
        <v>55.79175245546935</v>
      </c>
      <c r="D17" s="396">
        <f t="shared" si="18"/>
        <v>-6.7443971410000003</v>
      </c>
      <c r="E17" s="396">
        <f t="shared" si="18"/>
        <v>-92.626840883527422</v>
      </c>
      <c r="F17" s="396">
        <f t="shared" si="18"/>
        <v>88.749596814252968</v>
      </c>
      <c r="G17" s="396">
        <f t="shared" si="18"/>
        <v>26.720365775089469</v>
      </c>
      <c r="H17" s="396">
        <f t="shared" si="18"/>
        <v>1236.257417188318</v>
      </c>
      <c r="I17" s="396">
        <f t="shared" si="18"/>
        <v>-57.177153065616167</v>
      </c>
      <c r="J17" s="89">
        <f t="shared" si="0"/>
        <v>0</v>
      </c>
      <c r="K17" s="396">
        <f>K9+K16</f>
        <v>1348.3958792982462</v>
      </c>
      <c r="L17" s="68"/>
      <c r="M17" s="396">
        <f>M9+M16</f>
        <v>808.43090000000007</v>
      </c>
      <c r="N17" s="68"/>
      <c r="O17" s="396">
        <f t="shared" si="1"/>
        <v>-539.96497929824613</v>
      </c>
      <c r="P17" s="39"/>
      <c r="Q17" s="396">
        <f>Q9+Q16</f>
        <v>-306.46654515955248</v>
      </c>
      <c r="R17" s="396">
        <f t="shared" ref="R17" si="19">R9+R16</f>
        <v>-192.42000563789253</v>
      </c>
      <c r="S17" s="396">
        <f t="shared" si="3"/>
        <v>-498.88655079744501</v>
      </c>
      <c r="T17" s="39"/>
      <c r="U17" s="39"/>
      <c r="V17" s="396">
        <f>V9+V16</f>
        <v>-290.36782059473751</v>
      </c>
      <c r="W17" s="396">
        <f t="shared" ref="W17:X17" si="20">W9+W16</f>
        <v>-249.59715870350868</v>
      </c>
      <c r="X17" s="396">
        <f t="shared" si="20"/>
        <v>-539.96497929824613</v>
      </c>
      <c r="Y17" s="39"/>
      <c r="Z17" s="39"/>
      <c r="AA17" s="39"/>
      <c r="AB17" s="39"/>
      <c r="AC17" s="39"/>
    </row>
    <row r="18" spans="1:33" x14ac:dyDescent="0.3">
      <c r="A18" s="342" t="s">
        <v>89</v>
      </c>
      <c r="B18" s="169">
        <f>'Budget assumption'!Q49</f>
        <v>8.2249305142582578</v>
      </c>
      <c r="C18" s="397"/>
      <c r="D18" s="169">
        <f>'Budget assumption'!Q130</f>
        <v>0</v>
      </c>
      <c r="E18" s="169">
        <f>'Budget assumption'!Q161</f>
        <v>0</v>
      </c>
      <c r="F18" s="169">
        <f>'Budget assumption'!Q192</f>
        <v>10.413939944324135</v>
      </c>
      <c r="G18" s="169">
        <f>'Budget assumption'!Q254+'Budget assumption'!Q285</f>
        <v>2.4941294857417411</v>
      </c>
      <c r="H18" s="169">
        <f>'Budget assumption'!Q223</f>
        <v>21.132999944324133</v>
      </c>
      <c r="I18" s="169">
        <f>'Budget assumption'!V49</f>
        <v>0</v>
      </c>
      <c r="J18" s="89">
        <f t="shared" si="0"/>
        <v>0</v>
      </c>
      <c r="K18" s="169">
        <f>'data entry '!Q96</f>
        <v>0</v>
      </c>
      <c r="L18" s="68"/>
      <c r="M18" s="169">
        <f>'data entry '!Q129</f>
        <v>13.047470000000001</v>
      </c>
      <c r="N18" s="68"/>
      <c r="O18" s="169">
        <f t="shared" si="1"/>
        <v>13.047470000000001</v>
      </c>
      <c r="P18" s="39"/>
      <c r="Q18" s="169">
        <f t="shared" ref="Q18" si="21">M18-H18</f>
        <v>-8.0855299443241329</v>
      </c>
      <c r="R18" s="169">
        <f>H18-K18-E18-I18-F18-G18-D18</f>
        <v>8.2249305142582578</v>
      </c>
      <c r="S18" s="169">
        <f t="shared" si="3"/>
        <v>0.13940056993412497</v>
      </c>
      <c r="T18" s="39"/>
      <c r="U18" s="39"/>
      <c r="V18" s="169">
        <f t="shared" ref="V18" si="22">M18-B18</f>
        <v>4.8225394857417427</v>
      </c>
      <c r="W18" s="169">
        <f t="shared" ref="W18" si="23">B18-K18</f>
        <v>8.2249305142582578</v>
      </c>
      <c r="X18" s="169">
        <f>V18+W18</f>
        <v>13.047470000000001</v>
      </c>
      <c r="Y18" s="39"/>
      <c r="Z18" s="39"/>
      <c r="AA18" s="39"/>
      <c r="AB18" s="39"/>
      <c r="AC18" s="39"/>
    </row>
    <row r="19" spans="1:33" ht="19.95" customHeight="1" x14ac:dyDescent="0.3">
      <c r="A19" s="345" t="s">
        <v>90</v>
      </c>
      <c r="B19" s="396">
        <f>B17+B18</f>
        <v>1172.5918706822918</v>
      </c>
      <c r="C19" s="396">
        <f t="shared" ref="C19:I19" si="24">C17+C18</f>
        <v>55.79175245546935</v>
      </c>
      <c r="D19" s="396">
        <f t="shared" si="24"/>
        <v>-6.7443971410000003</v>
      </c>
      <c r="E19" s="396">
        <f t="shared" si="24"/>
        <v>-92.626840883527422</v>
      </c>
      <c r="F19" s="396">
        <f t="shared" si="24"/>
        <v>99.163536758577095</v>
      </c>
      <c r="G19" s="396">
        <f t="shared" si="24"/>
        <v>29.21449526083121</v>
      </c>
      <c r="H19" s="396">
        <f t="shared" si="24"/>
        <v>1257.3904171326421</v>
      </c>
      <c r="I19" s="396">
        <f t="shared" si="24"/>
        <v>-57.177153065616167</v>
      </c>
      <c r="J19" s="89">
        <f t="shared" si="0"/>
        <v>0</v>
      </c>
      <c r="K19" s="396">
        <f>K17+K18</f>
        <v>1348.3958792982462</v>
      </c>
      <c r="L19" s="39"/>
      <c r="M19" s="396">
        <f>M17+M18</f>
        <v>821.47837000000004</v>
      </c>
      <c r="N19" s="39"/>
      <c r="O19" s="396">
        <f>O17+O18</f>
        <v>-526.91750929824616</v>
      </c>
      <c r="P19" s="39"/>
      <c r="Q19" s="396">
        <f>Q17+Q18</f>
        <v>-314.55207510387663</v>
      </c>
      <c r="R19" s="396">
        <f t="shared" ref="R19" si="25">R17+R18</f>
        <v>-184.19507512363427</v>
      </c>
      <c r="S19" s="396">
        <f t="shared" si="3"/>
        <v>-498.74715022751093</v>
      </c>
      <c r="T19" s="39"/>
      <c r="U19" s="39"/>
      <c r="V19" s="396">
        <f t="shared" ref="V19" si="26">V17+V18</f>
        <v>-285.54528110899577</v>
      </c>
      <c r="W19" s="396">
        <f t="shared" ref="W19" si="27">W17+W18</f>
        <v>-241.37222818925042</v>
      </c>
      <c r="X19" s="396">
        <f t="shared" ref="X19" si="28">X17+X18</f>
        <v>-526.91750929824616</v>
      </c>
      <c r="Y19" s="39"/>
      <c r="Z19" s="39"/>
      <c r="AA19" s="39"/>
      <c r="AB19" s="39"/>
      <c r="AC19" s="39"/>
      <c r="AD19" s="39"/>
      <c r="AE19" s="39"/>
      <c r="AF19" s="39"/>
      <c r="AG19" s="39"/>
    </row>
    <row r="20" spans="1:33" x14ac:dyDescent="0.3">
      <c r="A20" s="342" t="s">
        <v>91</v>
      </c>
      <c r="B20" s="169">
        <f>'Budget assumption'!Q51</f>
        <v>344.37647181842351</v>
      </c>
      <c r="C20" s="397"/>
      <c r="D20" s="169">
        <f>'Budget assumption'!Q132</f>
        <v>0</v>
      </c>
      <c r="E20" s="169">
        <f>'Budget assumption'!Q163</f>
        <v>0</v>
      </c>
      <c r="F20" s="169">
        <f>'Budget assumption'!Q194</f>
        <v>0</v>
      </c>
      <c r="G20" s="169">
        <f>'Budget assumption'!Q256+'Budget assumption'!Q287</f>
        <v>71.312162238453368</v>
      </c>
      <c r="H20" s="169">
        <f>'Budget assumption'!Q225</f>
        <v>415.68863405687688</v>
      </c>
      <c r="I20" s="169">
        <f>'Budget assumption'!V51</f>
        <v>0</v>
      </c>
      <c r="J20" s="89">
        <f t="shared" si="0"/>
        <v>0</v>
      </c>
      <c r="K20" s="169">
        <f>'data entry '!Q98</f>
        <v>0</v>
      </c>
      <c r="L20" s="68"/>
      <c r="M20" s="169">
        <f>'data entry '!Q131</f>
        <v>36.995220000000003</v>
      </c>
      <c r="N20" s="68"/>
      <c r="O20" s="169">
        <f t="shared" si="1"/>
        <v>36.995220000000003</v>
      </c>
      <c r="P20" s="39"/>
      <c r="Q20" s="169">
        <f t="shared" ref="Q20" si="29">M20-H20</f>
        <v>-378.69341405687686</v>
      </c>
      <c r="R20" s="169">
        <f>H20-K20-E20-I20-F20-G20-D20</f>
        <v>344.37647181842351</v>
      </c>
      <c r="S20" s="169">
        <f t="shared" si="3"/>
        <v>-34.31694223845335</v>
      </c>
      <c r="T20" s="39"/>
      <c r="U20" s="39"/>
      <c r="V20" s="169">
        <f t="shared" ref="V20" si="30">M20-B20</f>
        <v>-307.38125181842349</v>
      </c>
      <c r="W20" s="169">
        <f t="shared" ref="W20" si="31">B20-K20</f>
        <v>344.37647181842351</v>
      </c>
      <c r="X20" s="169">
        <f>V20+W20</f>
        <v>36.995220000000018</v>
      </c>
      <c r="Y20" s="39"/>
      <c r="Z20" s="39"/>
      <c r="AA20" s="39"/>
      <c r="AB20" s="39"/>
      <c r="AC20" s="39"/>
    </row>
    <row r="21" spans="1:33" x14ac:dyDescent="0.3">
      <c r="A21" s="345" t="s">
        <v>92</v>
      </c>
      <c r="B21" s="396">
        <f>B19+B20</f>
        <v>1516.9683425007152</v>
      </c>
      <c r="C21" s="396">
        <f t="shared" ref="C21:I21" si="32">C19+C20</f>
        <v>55.79175245546935</v>
      </c>
      <c r="D21" s="396">
        <f t="shared" si="32"/>
        <v>-6.7443971410000003</v>
      </c>
      <c r="E21" s="396">
        <f t="shared" si="32"/>
        <v>-92.626840883527422</v>
      </c>
      <c r="F21" s="396">
        <f t="shared" si="32"/>
        <v>99.163536758577095</v>
      </c>
      <c r="G21" s="396">
        <f t="shared" si="32"/>
        <v>100.52665749928458</v>
      </c>
      <c r="H21" s="396">
        <f t="shared" si="32"/>
        <v>1673.0790511895191</v>
      </c>
      <c r="I21" s="396">
        <f t="shared" si="32"/>
        <v>-57.177153065616167</v>
      </c>
      <c r="J21" s="89">
        <f t="shared" si="0"/>
        <v>0</v>
      </c>
      <c r="K21" s="396">
        <f>K19+K20</f>
        <v>1348.3958792982462</v>
      </c>
      <c r="L21" s="39"/>
      <c r="M21" s="396">
        <f>M19+M20</f>
        <v>858.47359000000006</v>
      </c>
      <c r="N21" s="39"/>
      <c r="O21" s="396">
        <f t="shared" si="1"/>
        <v>-489.92228929824614</v>
      </c>
      <c r="P21" s="39"/>
      <c r="Q21" s="396">
        <f>Q19+Q20</f>
        <v>-693.24548916075355</v>
      </c>
      <c r="R21" s="396">
        <f t="shared" ref="R21" si="33">R19+R20</f>
        <v>160.18139669478924</v>
      </c>
      <c r="S21" s="396">
        <f t="shared" si="3"/>
        <v>-533.06409246596434</v>
      </c>
      <c r="T21" s="39"/>
      <c r="U21" s="39"/>
      <c r="V21" s="396">
        <f t="shared" ref="V21" si="34">V19+V20</f>
        <v>-592.9265329274192</v>
      </c>
      <c r="W21" s="396">
        <f t="shared" ref="W21" si="35">W19+W20</f>
        <v>103.00424362917309</v>
      </c>
      <c r="X21" s="396">
        <f t="shared" ref="X21" si="36">X19+X20</f>
        <v>-489.92228929824614</v>
      </c>
      <c r="Y21" s="39"/>
      <c r="Z21" s="39"/>
      <c r="AA21" s="39"/>
      <c r="AB21" s="39"/>
      <c r="AC21" s="39"/>
      <c r="AD21" s="39"/>
      <c r="AE21" s="39"/>
      <c r="AF21" s="39"/>
    </row>
    <row r="22" spans="1:33" x14ac:dyDescent="0.3">
      <c r="A22" s="342" t="s">
        <v>76</v>
      </c>
      <c r="B22" s="169">
        <f>'Budget assumption'!Q53</f>
        <v>23.020090136450388</v>
      </c>
      <c r="C22" s="169">
        <f>'Budget assumption'!Q74</f>
        <v>2.2334491799777858</v>
      </c>
      <c r="D22" s="169">
        <f>'Budget assumption'!Q134</f>
        <v>0</v>
      </c>
      <c r="E22" s="169">
        <f>'Budget assumption'!Q165</f>
        <v>0</v>
      </c>
      <c r="F22" s="169">
        <f>'Budget assumption'!Q196</f>
        <v>1.7464606835718257</v>
      </c>
      <c r="G22" s="169">
        <f>'Budget assumption'!Q258+'Budget assumption'!Q289</f>
        <v>0</v>
      </c>
      <c r="H22" s="169">
        <f>'Budget assumption'!Q227</f>
        <v>27</v>
      </c>
      <c r="I22" s="169"/>
      <c r="J22" s="89">
        <f t="shared" si="0"/>
        <v>0</v>
      </c>
      <c r="K22" s="169">
        <f>'data entry '!Q100</f>
        <v>19.811557894736829</v>
      </c>
      <c r="L22" s="42"/>
      <c r="M22" s="169">
        <f>'data entry '!Q133</f>
        <v>50.457409999999996</v>
      </c>
      <c r="N22" s="42"/>
      <c r="O22" s="169">
        <f t="shared" si="1"/>
        <v>30.645852105263167</v>
      </c>
      <c r="P22" s="39"/>
      <c r="Q22" s="169">
        <f>M22-K22-E22-F22-D22-G22</f>
        <v>28.899391421691341</v>
      </c>
      <c r="R22" s="169"/>
      <c r="S22" s="169">
        <f t="shared" si="3"/>
        <v>28.899391421691341</v>
      </c>
      <c r="T22" s="39"/>
      <c r="U22" s="39"/>
      <c r="V22" s="169">
        <f t="shared" ref="V22:V24" si="37">M22-K22</f>
        <v>30.645852105263167</v>
      </c>
      <c r="W22" s="169"/>
      <c r="X22" s="169">
        <f t="shared" ref="X22:X26" si="38">V22+W22</f>
        <v>30.645852105263167</v>
      </c>
      <c r="Y22" s="39"/>
      <c r="Z22" s="39"/>
      <c r="AA22" s="39"/>
      <c r="AB22" s="39"/>
      <c r="AC22" s="39"/>
    </row>
    <row r="23" spans="1:33" x14ac:dyDescent="0.3">
      <c r="A23" s="342" t="s">
        <v>77</v>
      </c>
      <c r="B23" s="169">
        <f>'Budget assumption'!Q54</f>
        <v>-56.579999999999984</v>
      </c>
      <c r="C23" s="169">
        <f>'Budget assumption'!Q75</f>
        <v>-5.4894900000000035</v>
      </c>
      <c r="D23" s="169">
        <f>'Budget assumption'!Q135</f>
        <v>0</v>
      </c>
      <c r="E23" s="169">
        <f>'Budget assumption'!Q166</f>
        <v>0</v>
      </c>
      <c r="F23" s="169">
        <f>'Budget assumption'!Q197</f>
        <v>7.0694899999999876</v>
      </c>
      <c r="G23" s="169">
        <f>'Budget assumption'!Q259+'Budget assumption'!Q290</f>
        <v>0</v>
      </c>
      <c r="H23" s="169">
        <f>'Budget assumption'!Q228</f>
        <v>-55</v>
      </c>
      <c r="I23" s="169"/>
      <c r="J23" s="89">
        <f t="shared" si="0"/>
        <v>0</v>
      </c>
      <c r="K23" s="169">
        <f>'data entry '!Q101</f>
        <v>-48.888272631578957</v>
      </c>
      <c r="L23" s="42"/>
      <c r="M23" s="169">
        <f>'data entry '!Q134</f>
        <v>-53.893480000000004</v>
      </c>
      <c r="N23" s="42"/>
      <c r="O23" s="169">
        <f t="shared" si="1"/>
        <v>-5.005207368421047</v>
      </c>
      <c r="P23" s="39"/>
      <c r="Q23" s="169">
        <f>M23-K23-E23-F23-D23-G23</f>
        <v>-12.074697368421035</v>
      </c>
      <c r="R23" s="169"/>
      <c r="S23" s="169">
        <f t="shared" si="3"/>
        <v>-12.074697368421035</v>
      </c>
      <c r="T23" s="39"/>
      <c r="U23" s="39"/>
      <c r="V23" s="169">
        <f t="shared" si="37"/>
        <v>-5.005207368421047</v>
      </c>
      <c r="W23" s="169"/>
      <c r="X23" s="169">
        <f t="shared" si="38"/>
        <v>-5.005207368421047</v>
      </c>
      <c r="Y23" s="39"/>
      <c r="Z23" s="39"/>
      <c r="AA23" s="39"/>
      <c r="AB23" s="39"/>
      <c r="AC23" s="39"/>
    </row>
    <row r="24" spans="1:33" x14ac:dyDescent="0.3">
      <c r="A24" s="342" t="s">
        <v>144</v>
      </c>
      <c r="B24" s="169">
        <f>'Budget assumption'!Q55</f>
        <v>0</v>
      </c>
      <c r="C24" s="169">
        <f>'Budget assumption'!Q76+'Budget assumption'!Q291</f>
        <v>0</v>
      </c>
      <c r="D24" s="169">
        <f>'Budget assumption'!Q136</f>
        <v>0</v>
      </c>
      <c r="E24" s="169">
        <f>'Budget assumption'!Q167</f>
        <v>0</v>
      </c>
      <c r="F24" s="169">
        <f>'Budget assumption'!Q198</f>
        <v>0</v>
      </c>
      <c r="G24" s="169">
        <f>'Budget assumption'!Q260+'Budget assumption'!Q291</f>
        <v>0</v>
      </c>
      <c r="H24" s="169">
        <f>'Budget assumption'!Q229</f>
        <v>0</v>
      </c>
      <c r="I24" s="169"/>
      <c r="J24" s="89">
        <f t="shared" si="0"/>
        <v>0</v>
      </c>
      <c r="K24" s="169">
        <f>'data entry '!Q102</f>
        <v>0</v>
      </c>
      <c r="L24" s="42"/>
      <c r="M24" s="169">
        <f>'data entry '!Q135</f>
        <v>65.577179999999998</v>
      </c>
      <c r="N24" s="42"/>
      <c r="O24" s="169">
        <f t="shared" si="1"/>
        <v>65.577179999999998</v>
      </c>
      <c r="P24" s="39"/>
      <c r="Q24" s="169">
        <f>M24-K24-E24-F24-D24-G24</f>
        <v>65.577179999999998</v>
      </c>
      <c r="R24" s="169"/>
      <c r="S24" s="169">
        <f t="shared" si="3"/>
        <v>65.577179999999998</v>
      </c>
      <c r="T24" s="39"/>
      <c r="U24" s="39"/>
      <c r="V24" s="169">
        <f t="shared" si="37"/>
        <v>65.577179999999998</v>
      </c>
      <c r="W24" s="169"/>
      <c r="X24" s="169">
        <f t="shared" si="38"/>
        <v>65.577179999999998</v>
      </c>
      <c r="Y24" s="39"/>
      <c r="Z24" s="39"/>
      <c r="AA24" s="39"/>
      <c r="AB24" s="39"/>
      <c r="AC24" s="39"/>
    </row>
    <row r="25" spans="1:33" x14ac:dyDescent="0.3">
      <c r="A25" s="342" t="s">
        <v>85</v>
      </c>
      <c r="B25" s="169">
        <f>'Budget assumption'!Q56</f>
        <v>0</v>
      </c>
      <c r="C25" s="169">
        <f>'Budget assumption'!Q77+'Budget assumption'!Q292</f>
        <v>0</v>
      </c>
      <c r="D25" s="169">
        <f>'Budget assumption'!Q137</f>
        <v>0</v>
      </c>
      <c r="E25" s="169">
        <f>'Budget assumption'!Q168</f>
        <v>8.3333333333333339</v>
      </c>
      <c r="F25" s="169">
        <f>'Budget assumption'!Q199</f>
        <v>0.66666666666666607</v>
      </c>
      <c r="G25" s="169">
        <f>'Budget assumption'!Q261+'Budget assumption'!Q292</f>
        <v>0</v>
      </c>
      <c r="H25" s="169">
        <f>'Budget assumption'!Q230</f>
        <v>9</v>
      </c>
      <c r="I25" s="169"/>
      <c r="J25" s="89">
        <f t="shared" si="0"/>
        <v>0</v>
      </c>
      <c r="K25" s="169">
        <f>'data entry '!Q103</f>
        <v>0</v>
      </c>
      <c r="L25" s="42"/>
      <c r="M25" s="169">
        <f>'data entry '!Q136</f>
        <v>-177.1679</v>
      </c>
      <c r="N25" s="42"/>
      <c r="O25" s="169">
        <f t="shared" si="1"/>
        <v>-177.1679</v>
      </c>
      <c r="P25" s="39"/>
      <c r="Q25" s="169">
        <f t="shared" ref="Q25:Q26" si="39">M25-H25</f>
        <v>-186.1679</v>
      </c>
      <c r="R25" s="169">
        <f>H25-K25-E25-I25-F25-G25-D25</f>
        <v>0</v>
      </c>
      <c r="S25" s="169">
        <f t="shared" si="3"/>
        <v>-186.1679</v>
      </c>
      <c r="T25" s="39"/>
      <c r="U25" s="39"/>
      <c r="V25" s="169">
        <f t="shared" ref="V25:V26" si="40">M25-B25</f>
        <v>-177.1679</v>
      </c>
      <c r="W25" s="169">
        <f t="shared" ref="W25:W26" si="41">B25-K25</f>
        <v>0</v>
      </c>
      <c r="X25" s="169">
        <f t="shared" si="38"/>
        <v>-177.1679</v>
      </c>
      <c r="Y25" s="39"/>
      <c r="Z25" s="39"/>
      <c r="AA25" s="39"/>
      <c r="AB25" s="39"/>
      <c r="AC25" s="39"/>
    </row>
    <row r="26" spans="1:33" x14ac:dyDescent="0.3">
      <c r="A26" s="342" t="s">
        <v>145</v>
      </c>
      <c r="B26" s="169">
        <f>'Budget assumption'!Q57</f>
        <v>0</v>
      </c>
      <c r="C26" s="169">
        <f>'Budget assumption'!Q78+'Budget assumption'!Q293</f>
        <v>0</v>
      </c>
      <c r="D26" s="169">
        <f>'Budget assumption'!Q138</f>
        <v>0</v>
      </c>
      <c r="E26" s="169">
        <f>'Budget assumption'!Q169</f>
        <v>0</v>
      </c>
      <c r="F26" s="169">
        <f>'Budget assumption'!Q200</f>
        <v>0</v>
      </c>
      <c r="G26" s="169">
        <f>'Budget assumption'!Q262+'Budget assumption'!Q293</f>
        <v>0</v>
      </c>
      <c r="H26" s="169">
        <f>'Budget assumption'!Q231</f>
        <v>0</v>
      </c>
      <c r="I26" s="169"/>
      <c r="J26" s="89">
        <f t="shared" si="0"/>
        <v>0</v>
      </c>
      <c r="K26" s="169">
        <f>'data entry '!Q104</f>
        <v>0</v>
      </c>
      <c r="L26" s="39"/>
      <c r="M26" s="169">
        <f>'data entry '!Q137</f>
        <v>0</v>
      </c>
      <c r="N26" s="39"/>
      <c r="O26" s="169">
        <f t="shared" si="1"/>
        <v>0</v>
      </c>
      <c r="P26" s="39"/>
      <c r="Q26" s="169">
        <f t="shared" si="39"/>
        <v>0</v>
      </c>
      <c r="R26" s="169">
        <f t="shared" ref="R26" si="42">H26-K26-E26-I26-F26-G26-D26</f>
        <v>0</v>
      </c>
      <c r="S26" s="169">
        <f t="shared" si="3"/>
        <v>0</v>
      </c>
      <c r="T26" s="39"/>
      <c r="U26" s="39"/>
      <c r="V26" s="169">
        <f t="shared" si="40"/>
        <v>0</v>
      </c>
      <c r="W26" s="169">
        <f t="shared" si="41"/>
        <v>0</v>
      </c>
      <c r="X26" s="169">
        <f t="shared" si="38"/>
        <v>0</v>
      </c>
      <c r="Y26" s="39"/>
      <c r="Z26" s="39"/>
      <c r="AA26" s="39"/>
      <c r="AB26" s="39"/>
      <c r="AC26" s="39"/>
    </row>
    <row r="27" spans="1:33" x14ac:dyDescent="0.3">
      <c r="A27" s="345" t="s">
        <v>146</v>
      </c>
      <c r="B27" s="396">
        <f>SUM(B22:B26)</f>
        <v>-33.559909863549592</v>
      </c>
      <c r="C27" s="396">
        <f t="shared" ref="C27:I27" si="43">SUM(C22:C26)</f>
        <v>-3.2560408200222177</v>
      </c>
      <c r="D27" s="396">
        <f t="shared" si="43"/>
        <v>0</v>
      </c>
      <c r="E27" s="396">
        <f t="shared" si="43"/>
        <v>8.3333333333333339</v>
      </c>
      <c r="F27" s="396">
        <f t="shared" si="43"/>
        <v>9.4826173502384794</v>
      </c>
      <c r="G27" s="396">
        <f t="shared" si="43"/>
        <v>0</v>
      </c>
      <c r="H27" s="396">
        <f t="shared" si="43"/>
        <v>-19</v>
      </c>
      <c r="I27" s="396">
        <f t="shared" si="43"/>
        <v>0</v>
      </c>
      <c r="J27" s="89">
        <f t="shared" si="0"/>
        <v>0</v>
      </c>
      <c r="K27" s="396">
        <f>SUM(K22:K26)</f>
        <v>-29.076714736842128</v>
      </c>
      <c r="L27" s="398"/>
      <c r="M27" s="396">
        <f>SUM(M22:M26)</f>
        <v>-115.02679000000001</v>
      </c>
      <c r="N27" s="39"/>
      <c r="O27" s="396">
        <f t="shared" si="1"/>
        <v>-85.950075263157885</v>
      </c>
      <c r="P27" s="39"/>
      <c r="Q27" s="396">
        <f>SUM(Q22:Q26)</f>
        <v>-103.7660259467297</v>
      </c>
      <c r="R27" s="396">
        <f t="shared" ref="R27" si="44">SUM(R22:R26)</f>
        <v>0</v>
      </c>
      <c r="S27" s="396">
        <f t="shared" si="3"/>
        <v>-103.7660259467297</v>
      </c>
      <c r="T27" s="39"/>
      <c r="U27" s="39"/>
      <c r="V27" s="396">
        <f>SUM(V22:V26)</f>
        <v>-85.950075263157885</v>
      </c>
      <c r="W27" s="396">
        <f t="shared" ref="W27:X27" si="45">SUM(W22:W26)</f>
        <v>0</v>
      </c>
      <c r="X27" s="396">
        <f t="shared" si="45"/>
        <v>-85.950075263157885</v>
      </c>
      <c r="Y27" s="39"/>
      <c r="Z27" s="39"/>
      <c r="AA27" s="39"/>
      <c r="AB27" s="39"/>
      <c r="AC27" s="39"/>
    </row>
    <row r="28" spans="1:33" x14ac:dyDescent="0.3">
      <c r="A28" s="342" t="s">
        <v>148</v>
      </c>
      <c r="B28" s="169">
        <f>'Budget assumption'!Q59</f>
        <v>79.533064120264967</v>
      </c>
      <c r="C28" s="397"/>
      <c r="D28" s="169">
        <f>'Budget assumption'!Q140</f>
        <v>0</v>
      </c>
      <c r="E28" s="169">
        <f>'Budget assumption'!Q171</f>
        <v>16.558793615892647</v>
      </c>
      <c r="F28" s="169">
        <f>'Budget assumption'!Q202</f>
        <v>-25.911571115892627</v>
      </c>
      <c r="G28" s="169">
        <f>'Budget assumption'!Q264+'Budget assumption'!Q295</f>
        <v>20.516935879735016</v>
      </c>
      <c r="H28" s="169">
        <f>'Budget assumption'!Q233</f>
        <v>90.697222500000009</v>
      </c>
      <c r="I28" s="169">
        <f>'Budget assumption'!Q337</f>
        <v>-14.234308724016071</v>
      </c>
      <c r="J28" s="89">
        <f t="shared" si="0"/>
        <v>0</v>
      </c>
      <c r="K28" s="169">
        <f>'data entry '!Q106</f>
        <v>64.814166785348817</v>
      </c>
      <c r="L28" s="399"/>
      <c r="M28" s="169">
        <f>'data entry '!Q139</f>
        <v>89.415120000000002</v>
      </c>
      <c r="N28" s="44"/>
      <c r="O28" s="169">
        <f t="shared" si="1"/>
        <v>24.600953214651184</v>
      </c>
      <c r="P28" s="39"/>
      <c r="Q28" s="169">
        <f t="shared" ref="Q28:Q29" si="46">M28-H28</f>
        <v>-1.2821025000000077</v>
      </c>
      <c r="R28" s="169">
        <f>H28-K28-E28-I28-F28-G28-D28</f>
        <v>28.953206058932224</v>
      </c>
      <c r="S28" s="169">
        <f t="shared" si="3"/>
        <v>27.671103558932217</v>
      </c>
      <c r="T28" s="39"/>
      <c r="U28" s="39"/>
      <c r="V28" s="169">
        <f t="shared" ref="V28:V29" si="47">M28-B28</f>
        <v>9.8820558797350344</v>
      </c>
      <c r="W28" s="169">
        <f t="shared" ref="W28" si="48">B28-K28</f>
        <v>14.71889733491615</v>
      </c>
      <c r="X28" s="169">
        <f t="shared" ref="X28:X29" si="49">V28+W28</f>
        <v>24.600953214651184</v>
      </c>
      <c r="Y28" s="39"/>
      <c r="Z28" s="39"/>
      <c r="AA28" s="39"/>
      <c r="AB28" s="39"/>
      <c r="AC28" s="39"/>
    </row>
    <row r="29" spans="1:33" x14ac:dyDescent="0.3">
      <c r="A29" s="342" t="s">
        <v>149</v>
      </c>
      <c r="B29" s="169">
        <f>'Budget assumption'!Q60</f>
        <v>67.179506192246606</v>
      </c>
      <c r="C29" s="397"/>
      <c r="D29" s="169">
        <f>'Budget assumption'!Q141</f>
        <v>0</v>
      </c>
      <c r="E29" s="169">
        <f>'Budget assumption'!Q172</f>
        <v>0</v>
      </c>
      <c r="F29" s="169">
        <f>'Budget assumption'!Q203</f>
        <v>24.722002141180837</v>
      </c>
      <c r="G29" s="169">
        <f>'Budget assumption'!Q265+'Budget assumption'!Q296</f>
        <v>2.6304938077533961</v>
      </c>
      <c r="H29" s="169">
        <f>'Budget assumption'!Q234</f>
        <v>94.53200214118084</v>
      </c>
      <c r="I29" s="169"/>
      <c r="J29" s="89">
        <f t="shared" si="0"/>
        <v>0</v>
      </c>
      <c r="K29" s="169">
        <f>'data entry '!Q107</f>
        <v>67.554581986581184</v>
      </c>
      <c r="L29" s="399"/>
      <c r="M29" s="169">
        <f>'data entry '!Q140</f>
        <v>68.807230000000004</v>
      </c>
      <c r="N29" s="399"/>
      <c r="O29" s="169">
        <f t="shared" si="1"/>
        <v>1.2526480134188205</v>
      </c>
      <c r="P29" s="39"/>
      <c r="Q29" s="169">
        <f t="shared" si="46"/>
        <v>-25.724772141180836</v>
      </c>
      <c r="R29" s="169">
        <f>H29-K29-E29-I29-F29-G29-D29</f>
        <v>-0.37507579433457749</v>
      </c>
      <c r="S29" s="169">
        <f t="shared" si="3"/>
        <v>-26.099847935515413</v>
      </c>
      <c r="T29" s="39"/>
      <c r="U29" s="39"/>
      <c r="V29" s="169">
        <f t="shared" si="47"/>
        <v>1.627723807753398</v>
      </c>
      <c r="W29" s="169"/>
      <c r="X29" s="169">
        <f t="shared" si="49"/>
        <v>1.627723807753398</v>
      </c>
      <c r="Y29" s="39"/>
      <c r="Z29" s="39"/>
      <c r="AA29" s="39"/>
      <c r="AB29" s="39"/>
      <c r="AC29" s="39"/>
    </row>
    <row r="30" spans="1:33" x14ac:dyDescent="0.3">
      <c r="A30" s="345" t="s">
        <v>150</v>
      </c>
      <c r="B30" s="396">
        <f>B28+B29</f>
        <v>146.71257031251156</v>
      </c>
      <c r="C30" s="396">
        <f t="shared" ref="C30:I30" si="50">C28+C29</f>
        <v>0</v>
      </c>
      <c r="D30" s="396">
        <f t="shared" si="50"/>
        <v>0</v>
      </c>
      <c r="E30" s="396">
        <f t="shared" si="50"/>
        <v>16.558793615892647</v>
      </c>
      <c r="F30" s="396">
        <f t="shared" si="50"/>
        <v>-1.1895689747117899</v>
      </c>
      <c r="G30" s="396">
        <f t="shared" si="50"/>
        <v>23.147429687488412</v>
      </c>
      <c r="H30" s="396">
        <f t="shared" si="50"/>
        <v>185.22922464118085</v>
      </c>
      <c r="I30" s="396">
        <f t="shared" si="50"/>
        <v>-14.234308724016071</v>
      </c>
      <c r="J30" s="89">
        <f t="shared" si="0"/>
        <v>0</v>
      </c>
      <c r="K30" s="396">
        <f>K28+K29</f>
        <v>132.36874877193</v>
      </c>
      <c r="M30" s="396">
        <f>M28+M29</f>
        <v>158.22235000000001</v>
      </c>
      <c r="O30" s="396">
        <f>O28+O29</f>
        <v>25.853601228070005</v>
      </c>
      <c r="Q30" s="396">
        <f>Q28+Q29</f>
        <v>-27.006874641180843</v>
      </c>
      <c r="R30" s="396">
        <f t="shared" ref="R30" si="51">R28+R29</f>
        <v>28.578130264597647</v>
      </c>
      <c r="S30" s="396">
        <f t="shared" ref="S30" si="52">S28+S29</f>
        <v>1.5712556234168034</v>
      </c>
      <c r="V30" s="396">
        <f t="shared" ref="V30" si="53">V28+V29</f>
        <v>11.509779687488432</v>
      </c>
      <c r="W30" s="396">
        <f t="shared" ref="W30" si="54">W28+W29</f>
        <v>14.71889733491615</v>
      </c>
      <c r="X30" s="396">
        <f t="shared" ref="X30" si="55">X28+X29</f>
        <v>26.228677022404582</v>
      </c>
    </row>
    <row r="31" spans="1:33" ht="15" thickBot="1" x14ac:dyDescent="0.35">
      <c r="A31" s="28"/>
      <c r="B31" s="169"/>
      <c r="C31" s="169"/>
      <c r="D31" s="169">
        <f>'Budget assumption'!Q143</f>
        <v>0</v>
      </c>
      <c r="E31" s="169"/>
      <c r="F31" s="169"/>
      <c r="G31" s="169">
        <f>'Budget assumption'!Q267</f>
        <v>0</v>
      </c>
      <c r="H31" s="169"/>
      <c r="I31" s="169"/>
      <c r="J31" s="89">
        <f t="shared" si="0"/>
        <v>0</v>
      </c>
      <c r="K31" s="169">
        <f>'data entry '!Q109</f>
        <v>0</v>
      </c>
      <c r="M31" s="169">
        <f>'data entry '!Q142</f>
        <v>0</v>
      </c>
      <c r="O31" s="169">
        <f t="shared" si="1"/>
        <v>0</v>
      </c>
      <c r="Q31" s="169">
        <f t="shared" si="2"/>
        <v>0</v>
      </c>
      <c r="R31" s="169"/>
      <c r="S31" s="169">
        <f t="shared" si="3"/>
        <v>0</v>
      </c>
      <c r="V31" s="169"/>
      <c r="W31" s="169"/>
      <c r="X31" s="169"/>
    </row>
    <row r="32" spans="1:33" x14ac:dyDescent="0.3">
      <c r="A32" s="345" t="s">
        <v>152</v>
      </c>
      <c r="B32" s="396">
        <f>B21+B27+B30</f>
        <v>1630.1210029496772</v>
      </c>
      <c r="C32" s="396">
        <f t="shared" ref="C32:H32" si="56">C21+C27+C30</f>
        <v>52.535711635447129</v>
      </c>
      <c r="D32" s="396">
        <f t="shared" si="56"/>
        <v>-6.7443971410000003</v>
      </c>
      <c r="E32" s="396">
        <f t="shared" si="56"/>
        <v>-67.734713934301453</v>
      </c>
      <c r="F32" s="396">
        <f t="shared" si="56"/>
        <v>107.45658513410379</v>
      </c>
      <c r="G32" s="396">
        <f t="shared" si="56"/>
        <v>123.67408718677299</v>
      </c>
      <c r="H32" s="396">
        <f t="shared" si="56"/>
        <v>1839.3082758307</v>
      </c>
      <c r="I32" s="396">
        <f>I21+I27+I30</f>
        <v>-71.411461789632241</v>
      </c>
      <c r="J32" s="89">
        <f t="shared" si="0"/>
        <v>0</v>
      </c>
      <c r="K32" s="396">
        <f>K21+K27+K30</f>
        <v>1451.6879133333341</v>
      </c>
      <c r="M32" s="396">
        <f>M21+M27+M30</f>
        <v>901.66915000000006</v>
      </c>
      <c r="O32" s="396">
        <f t="shared" si="1"/>
        <v>-550.01876333333405</v>
      </c>
      <c r="Q32" s="396">
        <f>Q21+Q27+Q30</f>
        <v>-824.01838974866405</v>
      </c>
      <c r="R32" s="396">
        <f>R21+R27+R30</f>
        <v>188.7595269593869</v>
      </c>
      <c r="S32" s="396">
        <f t="shared" si="3"/>
        <v>-635.25886278927715</v>
      </c>
      <c r="V32" s="396">
        <f>V21+V27+V30</f>
        <v>-667.36682850308875</v>
      </c>
      <c r="W32" s="396">
        <f t="shared" ref="W32" si="57">W21+W27+W30</f>
        <v>117.72314096408924</v>
      </c>
      <c r="X32" s="396">
        <f>X21+X27+X30</f>
        <v>-549.64368753899953</v>
      </c>
    </row>
    <row r="33" spans="5:9" x14ac:dyDescent="0.3">
      <c r="G33" s="34"/>
    </row>
    <row r="34" spans="5:9" x14ac:dyDescent="0.3">
      <c r="G34" s="34"/>
    </row>
    <row r="35" spans="5:9" x14ac:dyDescent="0.3">
      <c r="E35" s="8"/>
      <c r="F35" s="8"/>
      <c r="G35" s="8"/>
      <c r="H35" s="8"/>
      <c r="I35" s="8"/>
    </row>
    <row r="36" spans="5:9" x14ac:dyDescent="0.3">
      <c r="G36" s="34"/>
      <c r="H36" s="8"/>
      <c r="I36" s="34"/>
    </row>
    <row r="37" spans="5:9" x14ac:dyDescent="0.3">
      <c r="H37" s="8"/>
      <c r="I37" s="34"/>
    </row>
    <row r="38" spans="5:9" x14ac:dyDescent="0.3">
      <c r="H38" s="8"/>
      <c r="I38" s="34"/>
    </row>
    <row r="39" spans="5:9" x14ac:dyDescent="0.3">
      <c r="H39" s="8"/>
      <c r="I39" s="34"/>
    </row>
    <row r="40" spans="5:9" x14ac:dyDescent="0.3">
      <c r="H40" s="8"/>
      <c r="I40" s="34"/>
    </row>
    <row r="41" spans="5:9" x14ac:dyDescent="0.3">
      <c r="H41" s="8"/>
      <c r="I41" s="34"/>
    </row>
    <row r="42" spans="5:9" x14ac:dyDescent="0.3">
      <c r="H42" s="8"/>
      <c r="I42" s="34"/>
    </row>
    <row r="43" spans="5:9" x14ac:dyDescent="0.3">
      <c r="H43" s="8"/>
      <c r="I43" s="34"/>
    </row>
    <row r="44" spans="5:9" x14ac:dyDescent="0.3">
      <c r="H44" s="8"/>
      <c r="I44" s="34"/>
    </row>
    <row r="45" spans="5:9" x14ac:dyDescent="0.3">
      <c r="H45" s="8"/>
      <c r="I45" s="34"/>
    </row>
    <row r="46" spans="5:9" x14ac:dyDescent="0.3">
      <c r="H46" s="8"/>
      <c r="I46" s="34"/>
    </row>
    <row r="47" spans="5:9" x14ac:dyDescent="0.3">
      <c r="H47" s="8"/>
      <c r="I47" s="34"/>
    </row>
    <row r="48" spans="5:9" x14ac:dyDescent="0.3">
      <c r="H48" s="8"/>
      <c r="I48" s="34"/>
    </row>
    <row r="49" spans="8:9" x14ac:dyDescent="0.3">
      <c r="H49" s="8"/>
      <c r="I49" s="34"/>
    </row>
    <row r="50" spans="8:9" x14ac:dyDescent="0.3">
      <c r="H50" s="8"/>
      <c r="I50" s="34"/>
    </row>
    <row r="51" spans="8:9" x14ac:dyDescent="0.3">
      <c r="H51" s="8"/>
      <c r="I51" s="34"/>
    </row>
    <row r="52" spans="8:9" x14ac:dyDescent="0.3">
      <c r="H52" s="8"/>
      <c r="I52" s="34"/>
    </row>
    <row r="53" spans="8:9" x14ac:dyDescent="0.3">
      <c r="H53" s="8"/>
      <c r="I53" s="34"/>
    </row>
    <row r="54" spans="8:9" x14ac:dyDescent="0.3">
      <c r="H54" s="8"/>
      <c r="I54" s="34"/>
    </row>
    <row r="55" spans="8:9" x14ac:dyDescent="0.3">
      <c r="H55" s="8"/>
      <c r="I55" s="34"/>
    </row>
    <row r="56" spans="8:9" x14ac:dyDescent="0.3">
      <c r="H56" s="8"/>
      <c r="I56" s="34"/>
    </row>
    <row r="57" spans="8:9" x14ac:dyDescent="0.3">
      <c r="H57" s="8"/>
      <c r="I57" s="34"/>
    </row>
    <row r="58" spans="8:9" x14ac:dyDescent="0.3">
      <c r="H58" s="8"/>
      <c r="I58" s="34"/>
    </row>
    <row r="59" spans="8:9" x14ac:dyDescent="0.3">
      <c r="H59" s="8"/>
      <c r="I59" s="34"/>
    </row>
    <row r="60" spans="8:9" x14ac:dyDescent="0.3">
      <c r="H60" s="8"/>
      <c r="I60" s="34"/>
    </row>
    <row r="61" spans="8:9" x14ac:dyDescent="0.3">
      <c r="H61" s="8"/>
      <c r="I61" s="34"/>
    </row>
    <row r="62" spans="8:9" x14ac:dyDescent="0.3">
      <c r="H62" s="8"/>
    </row>
    <row r="63" spans="8:9" x14ac:dyDescent="0.3">
      <c r="H63" s="8"/>
    </row>
    <row r="64" spans="8:9" x14ac:dyDescent="0.3">
      <c r="H64" s="8"/>
    </row>
    <row r="65" spans="8:8" x14ac:dyDescent="0.3">
      <c r="H65" s="8"/>
    </row>
    <row r="66" spans="8:8" x14ac:dyDescent="0.3">
      <c r="H66" s="8"/>
    </row>
    <row r="67" spans="8:8" x14ac:dyDescent="0.3">
      <c r="H67" s="8"/>
    </row>
    <row r="68" spans="8:8" x14ac:dyDescent="0.3">
      <c r="H68" s="8"/>
    </row>
    <row r="69" spans="8:8" x14ac:dyDescent="0.3">
      <c r="H69" s="8"/>
    </row>
    <row r="70" spans="8:8" x14ac:dyDescent="0.3">
      <c r="H70" s="8"/>
    </row>
    <row r="71" spans="8:8" x14ac:dyDescent="0.3">
      <c r="H71" s="8"/>
    </row>
    <row r="72" spans="8:8" x14ac:dyDescent="0.3">
      <c r="H72" s="8"/>
    </row>
    <row r="73" spans="8:8" x14ac:dyDescent="0.3">
      <c r="H73" s="8"/>
    </row>
    <row r="74" spans="8:8" x14ac:dyDescent="0.3">
      <c r="H74" s="8"/>
    </row>
    <row r="75" spans="8:8" x14ac:dyDescent="0.3">
      <c r="H75" s="8"/>
    </row>
    <row r="76" spans="8:8" x14ac:dyDescent="0.3">
      <c r="H76" s="8"/>
    </row>
    <row r="77" spans="8:8" x14ac:dyDescent="0.3">
      <c r="H77" s="8"/>
    </row>
    <row r="78" spans="8:8" x14ac:dyDescent="0.3">
      <c r="H78" s="8"/>
    </row>
  </sheetData>
  <mergeCells count="30">
    <mergeCell ref="AC3:AC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A1:AA2"/>
    <mergeCell ref="Q2:S2"/>
    <mergeCell ref="V2:X2"/>
    <mergeCell ref="L3:L5"/>
    <mergeCell ref="M3:M5"/>
    <mergeCell ref="N3:N5"/>
    <mergeCell ref="O3:O5"/>
    <mergeCell ref="P3:P5"/>
    <mergeCell ref="A3:A5"/>
    <mergeCell ref="B3:B5"/>
    <mergeCell ref="C3:C5"/>
    <mergeCell ref="E3:E5"/>
    <mergeCell ref="Q3:Q5"/>
    <mergeCell ref="H3:H5"/>
    <mergeCell ref="J3:J5"/>
    <mergeCell ref="G3:G5"/>
    <mergeCell ref="F3:F5"/>
    <mergeCell ref="D3:D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E467-4E96-44D1-898E-0E7ADB100D85}">
  <sheetPr>
    <tabColor rgb="FFFF0000"/>
  </sheetPr>
  <dimension ref="A1:AB342"/>
  <sheetViews>
    <sheetView showGridLines="0" topLeftCell="A103" zoomScale="70" zoomScaleNormal="70" workbookViewId="0">
      <selection activeCell="F19" sqref="F19"/>
    </sheetView>
  </sheetViews>
  <sheetFormatPr defaultRowHeight="14.4" x14ac:dyDescent="0.3"/>
  <cols>
    <col min="1" max="1" width="40.5546875" customWidth="1"/>
    <col min="2" max="2" width="10.5546875" bestFit="1" customWidth="1"/>
    <col min="3" max="3" width="10.21875" bestFit="1" customWidth="1"/>
    <col min="4" max="4" width="10.5546875" bestFit="1" customWidth="1"/>
    <col min="5" max="5" width="10.21875" bestFit="1" customWidth="1"/>
    <col min="6" max="7" width="10.5546875" bestFit="1" customWidth="1"/>
    <col min="8" max="8" width="9.33203125" customWidth="1"/>
    <col min="9" max="10" width="10.5546875" bestFit="1" customWidth="1"/>
    <col min="11" max="12" width="10.21875" bestFit="1" customWidth="1"/>
    <col min="13" max="13" width="11.88671875" bestFit="1" customWidth="1"/>
    <col min="14" max="14" width="13.44140625" customWidth="1"/>
    <col min="15" max="15" width="9" style="105" bestFit="1" customWidth="1"/>
    <col min="16" max="16" width="7.5546875" bestFit="1" customWidth="1"/>
    <col min="17" max="17" width="14" bestFit="1" customWidth="1"/>
    <col min="18" max="18" width="10.5546875" customWidth="1"/>
    <col min="24" max="25" width="3.77734375" bestFit="1" customWidth="1"/>
    <col min="26" max="26" width="5.5546875" bestFit="1" customWidth="1"/>
    <col min="28" max="28" width="13.77734375" bestFit="1" customWidth="1"/>
    <col min="30" max="30" width="10.21875" bestFit="1" customWidth="1"/>
  </cols>
  <sheetData>
    <row r="1" spans="1:25" x14ac:dyDescent="0.3">
      <c r="A1" s="440" t="s">
        <v>95</v>
      </c>
      <c r="B1" s="556">
        <f>IF($X$3&gt;=B$2,1,0)</f>
        <v>1</v>
      </c>
      <c r="C1" s="556">
        <f t="shared" ref="C1:M1" si="0">IF($X$3&gt;=C$2,1,0)</f>
        <v>1</v>
      </c>
      <c r="D1" s="556">
        <f t="shared" si="0"/>
        <v>1</v>
      </c>
      <c r="E1" s="556">
        <f>IF($X$3&gt;=E$2,1,0)</f>
        <v>1</v>
      </c>
      <c r="F1" s="556">
        <f t="shared" si="0"/>
        <v>1</v>
      </c>
      <c r="G1" s="556">
        <f t="shared" si="0"/>
        <v>1</v>
      </c>
      <c r="H1" s="556">
        <f t="shared" si="0"/>
        <v>1</v>
      </c>
      <c r="I1" s="556">
        <f t="shared" si="0"/>
        <v>1</v>
      </c>
      <c r="J1" s="556">
        <f t="shared" si="0"/>
        <v>1</v>
      </c>
      <c r="K1" s="556">
        <f t="shared" si="0"/>
        <v>1</v>
      </c>
      <c r="L1" s="556">
        <f t="shared" si="0"/>
        <v>1</v>
      </c>
      <c r="M1" s="556">
        <f t="shared" si="0"/>
        <v>1</v>
      </c>
      <c r="N1" s="557"/>
      <c r="O1" s="106"/>
      <c r="P1" s="6"/>
    </row>
    <row r="2" spans="1:25" ht="15" thickBot="1" x14ac:dyDescent="0.35">
      <c r="A2" s="440" t="s">
        <v>177</v>
      </c>
      <c r="B2" s="556">
        <v>1</v>
      </c>
      <c r="C2" s="556">
        <v>0</v>
      </c>
      <c r="D2" s="556">
        <v>0</v>
      </c>
      <c r="E2" s="556">
        <v>0</v>
      </c>
      <c r="F2" s="556">
        <v>0</v>
      </c>
      <c r="G2" s="556">
        <v>0</v>
      </c>
      <c r="H2" s="556">
        <v>0</v>
      </c>
      <c r="I2" s="556">
        <v>0</v>
      </c>
      <c r="J2" s="556">
        <v>0</v>
      </c>
      <c r="K2" s="556">
        <v>0</v>
      </c>
      <c r="L2" s="556">
        <v>0</v>
      </c>
      <c r="M2" s="556">
        <v>0</v>
      </c>
      <c r="N2" s="557"/>
      <c r="O2" s="106"/>
      <c r="P2" s="6"/>
    </row>
    <row r="3" spans="1:25" ht="15" thickBot="1" x14ac:dyDescent="0.35">
      <c r="A3" s="7" t="s">
        <v>195</v>
      </c>
      <c r="B3" s="9">
        <v>46000</v>
      </c>
      <c r="C3" s="9">
        <v>46000</v>
      </c>
      <c r="D3" s="9">
        <v>46000</v>
      </c>
      <c r="E3" s="9">
        <v>48300</v>
      </c>
      <c r="F3" s="9">
        <v>32200</v>
      </c>
      <c r="G3" s="9">
        <v>71500</v>
      </c>
      <c r="H3" s="9">
        <v>57750</v>
      </c>
      <c r="I3" s="9">
        <v>52250</v>
      </c>
      <c r="J3" s="9">
        <v>71500</v>
      </c>
      <c r="K3" s="9">
        <v>71500</v>
      </c>
      <c r="L3" s="9">
        <v>68750</v>
      </c>
      <c r="M3" s="9">
        <v>62561</v>
      </c>
      <c r="N3" s="9">
        <f>SUM(B3:M3)</f>
        <v>674311</v>
      </c>
      <c r="O3" s="106"/>
      <c r="P3" s="6"/>
      <c r="V3" s="446" t="s">
        <v>178</v>
      </c>
      <c r="W3" s="447" t="s">
        <v>0</v>
      </c>
      <c r="X3" s="447">
        <v>12</v>
      </c>
      <c r="Y3" s="447">
        <v>1</v>
      </c>
    </row>
    <row r="4" spans="1:25" ht="23.4" x14ac:dyDescent="0.45">
      <c r="A4" s="394" t="s">
        <v>422</v>
      </c>
      <c r="B4" s="22" t="s">
        <v>169</v>
      </c>
      <c r="C4" s="22" t="s">
        <v>169</v>
      </c>
      <c r="D4" s="22" t="s">
        <v>169</v>
      </c>
      <c r="E4" s="22" t="s">
        <v>169</v>
      </c>
      <c r="F4" s="22" t="s">
        <v>169</v>
      </c>
      <c r="G4" s="22" t="s">
        <v>169</v>
      </c>
      <c r="H4" s="22" t="s">
        <v>169</v>
      </c>
      <c r="I4" s="22" t="s">
        <v>169</v>
      </c>
      <c r="J4" s="22" t="s">
        <v>169</v>
      </c>
      <c r="K4" s="22" t="s">
        <v>169</v>
      </c>
      <c r="L4" s="22" t="s">
        <v>169</v>
      </c>
      <c r="M4" s="22" t="s">
        <v>169</v>
      </c>
      <c r="N4" s="22" t="s">
        <v>169</v>
      </c>
      <c r="O4" s="152"/>
    </row>
    <row r="5" spans="1:25" x14ac:dyDescent="0.3">
      <c r="A5" s="341" t="s">
        <v>158</v>
      </c>
      <c r="B5" s="416">
        <v>488.64499999999998</v>
      </c>
      <c r="C5" s="416">
        <v>521.78499999999997</v>
      </c>
      <c r="D5" s="416">
        <v>488.64499999999998</v>
      </c>
      <c r="E5" s="416">
        <v>488.64499999999998</v>
      </c>
      <c r="F5" s="416">
        <v>531.6</v>
      </c>
      <c r="G5" s="416">
        <v>732.38</v>
      </c>
      <c r="H5" s="416">
        <v>732.38</v>
      </c>
      <c r="I5" s="416">
        <v>732.38</v>
      </c>
      <c r="J5" s="416">
        <v>758.9</v>
      </c>
      <c r="K5" s="416">
        <v>732.38</v>
      </c>
      <c r="L5" s="416">
        <v>732.38</v>
      </c>
      <c r="M5" s="416">
        <v>732.38</v>
      </c>
      <c r="N5" s="13">
        <f>SUM(B5:M5)</f>
        <v>7672.5</v>
      </c>
      <c r="O5" s="21">
        <f>N5/$N$3*1000</f>
        <v>11.378280941583334</v>
      </c>
    </row>
    <row r="6" spans="1:25" x14ac:dyDescent="0.3">
      <c r="A6" s="341" t="s">
        <v>75</v>
      </c>
      <c r="B6" s="11">
        <v>37</v>
      </c>
      <c r="C6" s="11">
        <v>37</v>
      </c>
      <c r="D6" s="11">
        <v>37</v>
      </c>
      <c r="E6" s="11">
        <v>38</v>
      </c>
      <c r="F6" s="11">
        <v>23</v>
      </c>
      <c r="G6" s="11">
        <v>54</v>
      </c>
      <c r="H6" s="11">
        <v>44</v>
      </c>
      <c r="I6" s="11">
        <v>46</v>
      </c>
      <c r="J6" s="11">
        <v>45</v>
      </c>
      <c r="K6" s="11">
        <v>49</v>
      </c>
      <c r="L6" s="11">
        <v>57</v>
      </c>
      <c r="M6" s="11">
        <v>53</v>
      </c>
      <c r="N6" s="13">
        <f t="shared" ref="N6:N7" si="1">SUM(B6:M6)</f>
        <v>520</v>
      </c>
      <c r="O6" s="21">
        <f t="shared" ref="O6:O31" si="2">N6/$N$3*1000</f>
        <v>0.77115752227088086</v>
      </c>
    </row>
    <row r="7" spans="1:25" x14ac:dyDescent="0.3">
      <c r="A7" s="342" t="s">
        <v>196</v>
      </c>
      <c r="B7" s="411">
        <v>16.170000000000002</v>
      </c>
      <c r="C7" s="411">
        <v>16.170000000000002</v>
      </c>
      <c r="D7" s="411">
        <v>16.170000000000002</v>
      </c>
      <c r="E7" s="411">
        <v>16.98</v>
      </c>
      <c r="F7" s="411">
        <v>11.32</v>
      </c>
      <c r="G7" s="411">
        <v>25.13</v>
      </c>
      <c r="H7" s="411">
        <v>20.3</v>
      </c>
      <c r="I7" s="411">
        <v>18.37</v>
      </c>
      <c r="J7" s="411">
        <v>25.13</v>
      </c>
      <c r="K7" s="411">
        <v>25.13</v>
      </c>
      <c r="L7" s="411">
        <v>24.17</v>
      </c>
      <c r="M7" s="411">
        <v>21.99</v>
      </c>
      <c r="N7" s="13">
        <f t="shared" si="1"/>
        <v>237.02999999999997</v>
      </c>
      <c r="O7" s="21">
        <f t="shared" si="2"/>
        <v>0.35151436058435936</v>
      </c>
    </row>
    <row r="8" spans="1:25" ht="15" thickBot="1" x14ac:dyDescent="0.35">
      <c r="A8" s="344" t="s">
        <v>197</v>
      </c>
      <c r="B8" s="353">
        <f>SUM(B5:B7)</f>
        <v>541.81499999999994</v>
      </c>
      <c r="C8" s="353">
        <f t="shared" ref="C8:M8" si="3">SUM(C5:C7)</f>
        <v>574.95499999999993</v>
      </c>
      <c r="D8" s="353">
        <f t="shared" si="3"/>
        <v>541.81499999999994</v>
      </c>
      <c r="E8" s="353">
        <f t="shared" si="3"/>
        <v>543.625</v>
      </c>
      <c r="F8" s="353">
        <f t="shared" si="3"/>
        <v>565.92000000000007</v>
      </c>
      <c r="G8" s="353">
        <f t="shared" si="3"/>
        <v>811.51</v>
      </c>
      <c r="H8" s="353">
        <f t="shared" si="3"/>
        <v>796.68</v>
      </c>
      <c r="I8" s="353">
        <f t="shared" si="3"/>
        <v>796.75</v>
      </c>
      <c r="J8" s="353">
        <f t="shared" si="3"/>
        <v>829.03</v>
      </c>
      <c r="K8" s="353">
        <f t="shared" si="3"/>
        <v>806.51</v>
      </c>
      <c r="L8" s="353">
        <f t="shared" si="3"/>
        <v>813.55</v>
      </c>
      <c r="M8" s="353">
        <f t="shared" si="3"/>
        <v>807.37</v>
      </c>
      <c r="N8" s="353">
        <f>SUM(N5:N7)</f>
        <v>8429.5300000000007</v>
      </c>
      <c r="O8" s="346">
        <f t="shared" si="2"/>
        <v>12.500952824438576</v>
      </c>
    </row>
    <row r="9" spans="1:25" x14ac:dyDescent="0.3">
      <c r="A9" s="343" t="s">
        <v>80</v>
      </c>
      <c r="B9" s="11">
        <v>199.94</v>
      </c>
      <c r="C9" s="11">
        <v>212.35</v>
      </c>
      <c r="D9" s="11">
        <v>199.94</v>
      </c>
      <c r="E9" s="11">
        <v>199.94</v>
      </c>
      <c r="F9" s="11">
        <v>216.03</v>
      </c>
      <c r="G9" s="11">
        <v>278.18</v>
      </c>
      <c r="H9" s="11">
        <v>306.13</v>
      </c>
      <c r="I9" s="11">
        <v>278.18</v>
      </c>
      <c r="J9" s="11">
        <v>287.39999999999998</v>
      </c>
      <c r="K9" s="11">
        <v>278.18</v>
      </c>
      <c r="L9" s="11">
        <v>278.18</v>
      </c>
      <c r="M9" s="11">
        <v>274.91000000000003</v>
      </c>
      <c r="N9" s="13">
        <f t="shared" ref="N9:N14" si="4">SUM(B9:M9)</f>
        <v>3009.3599999999997</v>
      </c>
      <c r="O9" s="21">
        <f t="shared" si="2"/>
        <v>4.4628665408098041</v>
      </c>
    </row>
    <row r="10" spans="1:25" x14ac:dyDescent="0.3">
      <c r="A10" s="342" t="s">
        <v>81</v>
      </c>
      <c r="B10" s="11">
        <v>83.33</v>
      </c>
      <c r="C10" s="11">
        <v>92.97</v>
      </c>
      <c r="D10" s="11">
        <v>88.32</v>
      </c>
      <c r="E10" s="11">
        <v>88.32</v>
      </c>
      <c r="F10" s="11">
        <v>94.14</v>
      </c>
      <c r="G10" s="11">
        <v>88.33</v>
      </c>
      <c r="H10" s="11">
        <v>88.33</v>
      </c>
      <c r="I10" s="11">
        <v>91.82</v>
      </c>
      <c r="J10" s="11">
        <v>94.14</v>
      </c>
      <c r="K10" s="11">
        <v>92.92</v>
      </c>
      <c r="L10" s="11">
        <v>92.92</v>
      </c>
      <c r="M10" s="11">
        <v>93</v>
      </c>
      <c r="N10" s="13">
        <f t="shared" si="4"/>
        <v>1088.54</v>
      </c>
      <c r="O10" s="21">
        <f t="shared" si="2"/>
        <v>1.6142996332552784</v>
      </c>
    </row>
    <row r="11" spans="1:25" x14ac:dyDescent="0.3">
      <c r="A11" s="342" t="s">
        <v>82</v>
      </c>
      <c r="B11" s="11">
        <v>150.68</v>
      </c>
      <c r="C11" s="11">
        <v>150.68</v>
      </c>
      <c r="D11" s="11">
        <v>150.68</v>
      </c>
      <c r="E11" s="11">
        <v>154.21</v>
      </c>
      <c r="F11" s="11">
        <v>129.47999999999999</v>
      </c>
      <c r="G11" s="11">
        <v>206.14</v>
      </c>
      <c r="H11" s="11">
        <v>181.95</v>
      </c>
      <c r="I11" s="11">
        <v>172.45</v>
      </c>
      <c r="J11" s="11">
        <v>206.37</v>
      </c>
      <c r="K11" s="11">
        <v>206.37</v>
      </c>
      <c r="L11" s="11">
        <v>201.52</v>
      </c>
      <c r="M11" s="11">
        <v>191.06</v>
      </c>
      <c r="N11" s="13">
        <f t="shared" si="4"/>
        <v>2101.5899999999997</v>
      </c>
      <c r="O11" s="21">
        <f t="shared" si="2"/>
        <v>3.1166479562101159</v>
      </c>
    </row>
    <row r="12" spans="1:25" x14ac:dyDescent="0.3">
      <c r="A12" s="342" t="s">
        <v>83</v>
      </c>
      <c r="B12" s="11">
        <v>8.6999999999999993</v>
      </c>
      <c r="C12" s="11">
        <v>8.6999999999999993</v>
      </c>
      <c r="D12" s="11">
        <v>8.6999999999999993</v>
      </c>
      <c r="E12" s="11">
        <v>9.1300000000000008</v>
      </c>
      <c r="F12" s="11">
        <v>6</v>
      </c>
      <c r="G12" s="11">
        <v>14.27</v>
      </c>
      <c r="H12" s="11">
        <v>11.55</v>
      </c>
      <c r="I12" s="11">
        <v>10.46</v>
      </c>
      <c r="J12" s="11">
        <v>14.27</v>
      </c>
      <c r="K12" s="11">
        <v>14.78</v>
      </c>
      <c r="L12" s="11">
        <v>14.2</v>
      </c>
      <c r="M12" s="11">
        <v>12.94</v>
      </c>
      <c r="N12" s="13">
        <f t="shared" si="4"/>
        <v>133.69999999999999</v>
      </c>
      <c r="O12" s="21">
        <f t="shared" si="2"/>
        <v>0.19827646293772455</v>
      </c>
    </row>
    <row r="13" spans="1:25" x14ac:dyDescent="0.3">
      <c r="A13" s="342" t="s">
        <v>84</v>
      </c>
      <c r="B13" s="565">
        <v>39.090940000000003</v>
      </c>
      <c r="C13" s="565">
        <v>39.090940000000003</v>
      </c>
      <c r="D13" s="565">
        <v>39.090940000000003</v>
      </c>
      <c r="E13" s="565">
        <v>39.090940000000003</v>
      </c>
      <c r="F13" s="565">
        <v>39.090940000000003</v>
      </c>
      <c r="G13" s="565">
        <v>39.090940000000003</v>
      </c>
      <c r="H13" s="565">
        <v>39.090940000000003</v>
      </c>
      <c r="I13" s="565">
        <v>39.090940000000003</v>
      </c>
      <c r="J13" s="565">
        <v>39.090940000000003</v>
      </c>
      <c r="K13" s="565">
        <v>39.090940000000003</v>
      </c>
      <c r="L13" s="565">
        <v>39.090940000000003</v>
      </c>
      <c r="M13" s="565">
        <v>39.090940000000003</v>
      </c>
      <c r="N13" s="13">
        <f t="shared" si="4"/>
        <v>469.09127999999993</v>
      </c>
      <c r="O13" s="21">
        <f t="shared" si="2"/>
        <v>0.69566013308399222</v>
      </c>
    </row>
    <row r="14" spans="1:25" x14ac:dyDescent="0.3">
      <c r="A14" s="342" t="s">
        <v>86</v>
      </c>
      <c r="B14" s="416">
        <v>167.53136594312315</v>
      </c>
      <c r="C14" s="416">
        <v>156.90108547801754</v>
      </c>
      <c r="D14" s="416">
        <v>161.53884598948025</v>
      </c>
      <c r="E14" s="416">
        <v>156.8209489344394</v>
      </c>
      <c r="F14" s="416">
        <v>156.5543634130284</v>
      </c>
      <c r="G14" s="416">
        <v>151.73733911462341</v>
      </c>
      <c r="H14" s="416">
        <v>152.77940362100617</v>
      </c>
      <c r="I14" s="416">
        <v>151.49564728526292</v>
      </c>
      <c r="J14" s="416">
        <v>148.06126742405587</v>
      </c>
      <c r="K14" s="416">
        <v>147.53006834496011</v>
      </c>
      <c r="L14" s="416">
        <v>142.92660595893932</v>
      </c>
      <c r="M14" s="416">
        <v>142.69081744191141</v>
      </c>
      <c r="N14" s="13">
        <f t="shared" si="4"/>
        <v>1836.567758948848</v>
      </c>
      <c r="O14" s="21">
        <f t="shared" si="2"/>
        <v>2.723621235526112</v>
      </c>
    </row>
    <row r="15" spans="1:25" ht="15" thickBot="1" x14ac:dyDescent="0.35">
      <c r="A15" s="344" t="s">
        <v>198</v>
      </c>
      <c r="B15" s="353">
        <f>SUM(B9:B14)</f>
        <v>649.27230594312311</v>
      </c>
      <c r="C15" s="353">
        <f t="shared" ref="C15:M15" si="5">SUM(C9:C14)</f>
        <v>660.69202547801751</v>
      </c>
      <c r="D15" s="353">
        <f t="shared" si="5"/>
        <v>648.26978598948017</v>
      </c>
      <c r="E15" s="353">
        <f t="shared" si="5"/>
        <v>647.51188893443941</v>
      </c>
      <c r="F15" s="353">
        <f t="shared" si="5"/>
        <v>641.29530341302836</v>
      </c>
      <c r="G15" s="353">
        <f t="shared" si="5"/>
        <v>777.74827911462341</v>
      </c>
      <c r="H15" s="353">
        <f t="shared" si="5"/>
        <v>779.83034362100614</v>
      </c>
      <c r="I15" s="353">
        <f t="shared" si="5"/>
        <v>743.4965872852631</v>
      </c>
      <c r="J15" s="353">
        <f t="shared" si="5"/>
        <v>789.33220742405592</v>
      </c>
      <c r="K15" s="353">
        <f t="shared" si="5"/>
        <v>778.87100834496016</v>
      </c>
      <c r="L15" s="353">
        <f t="shared" si="5"/>
        <v>768.83754595893947</v>
      </c>
      <c r="M15" s="353">
        <f t="shared" si="5"/>
        <v>753.69175744191148</v>
      </c>
      <c r="N15" s="353">
        <f>SUM(N9:N14)</f>
        <v>8638.849038948847</v>
      </c>
      <c r="O15" s="346">
        <f t="shared" si="2"/>
        <v>12.811371961823026</v>
      </c>
    </row>
    <row r="16" spans="1:25" x14ac:dyDescent="0.3">
      <c r="A16" s="345" t="s">
        <v>88</v>
      </c>
      <c r="B16" s="354">
        <f>B8+B15</f>
        <v>1191.0873059431231</v>
      </c>
      <c r="C16" s="354">
        <f t="shared" ref="C16:M16" si="6">C8+C15</f>
        <v>1235.6470254780174</v>
      </c>
      <c r="D16" s="354">
        <f t="shared" si="6"/>
        <v>1190.0847859894802</v>
      </c>
      <c r="E16" s="354">
        <f t="shared" si="6"/>
        <v>1191.1368889344394</v>
      </c>
      <c r="F16" s="354">
        <f t="shared" si="6"/>
        <v>1207.2153034130283</v>
      </c>
      <c r="G16" s="354">
        <f t="shared" si="6"/>
        <v>1589.2582791146233</v>
      </c>
      <c r="H16" s="354">
        <f t="shared" si="6"/>
        <v>1576.5103436210061</v>
      </c>
      <c r="I16" s="354">
        <f t="shared" si="6"/>
        <v>1540.2465872852631</v>
      </c>
      <c r="J16" s="354">
        <f t="shared" si="6"/>
        <v>1618.3622074240559</v>
      </c>
      <c r="K16" s="354">
        <f t="shared" si="6"/>
        <v>1585.3810083449603</v>
      </c>
      <c r="L16" s="354">
        <f t="shared" si="6"/>
        <v>1582.3875459589394</v>
      </c>
      <c r="M16" s="354">
        <f t="shared" si="6"/>
        <v>1561.0617574419116</v>
      </c>
      <c r="N16" s="354">
        <f>N8+N15</f>
        <v>17068.379038948849</v>
      </c>
      <c r="O16" s="347">
        <f t="shared" si="2"/>
        <v>25.312324786261605</v>
      </c>
    </row>
    <row r="17" spans="1:17" x14ac:dyDescent="0.3">
      <c r="A17" s="342" t="s">
        <v>89</v>
      </c>
      <c r="B17" s="355">
        <v>10.719059999999999</v>
      </c>
      <c r="C17" s="355">
        <v>10.67906</v>
      </c>
      <c r="D17" s="355">
        <v>10.699059999999999</v>
      </c>
      <c r="E17" s="355">
        <v>10.699059999999999</v>
      </c>
      <c r="F17" s="355">
        <v>10.649059999999999</v>
      </c>
      <c r="G17" s="355">
        <v>9.7590599999999981</v>
      </c>
      <c r="H17" s="355">
        <v>9.0690600000000003</v>
      </c>
      <c r="I17" s="355">
        <v>9.0690600000000003</v>
      </c>
      <c r="J17" s="355">
        <v>10.029059999999998</v>
      </c>
      <c r="K17" s="355">
        <v>9.7790599999999976</v>
      </c>
      <c r="L17" s="355">
        <v>9.6190600000000011</v>
      </c>
      <c r="M17" s="355">
        <v>9.7990600000000008</v>
      </c>
      <c r="N17" s="13">
        <f t="shared" ref="N17" si="7">SUM(B17:M17)</f>
        <v>120.56872</v>
      </c>
      <c r="O17" s="348">
        <f t="shared" si="2"/>
        <v>0.17880283726648386</v>
      </c>
      <c r="Q17" t="s">
        <v>504</v>
      </c>
    </row>
    <row r="18" spans="1:17" x14ac:dyDescent="0.3">
      <c r="A18" s="345" t="s">
        <v>90</v>
      </c>
      <c r="B18" s="354">
        <f>B16+B17</f>
        <v>1201.806365943123</v>
      </c>
      <c r="C18" s="354">
        <f t="shared" ref="C18:M18" si="8">C16+C17</f>
        <v>1246.3260854780174</v>
      </c>
      <c r="D18" s="354">
        <f t="shared" si="8"/>
        <v>1200.7838459894801</v>
      </c>
      <c r="E18" s="354">
        <f t="shared" si="8"/>
        <v>1201.8359489344393</v>
      </c>
      <c r="F18" s="354">
        <f t="shared" si="8"/>
        <v>1217.8643634130283</v>
      </c>
      <c r="G18" s="354">
        <f t="shared" si="8"/>
        <v>1599.0173391146234</v>
      </c>
      <c r="H18" s="354">
        <f t="shared" si="8"/>
        <v>1585.5794036210061</v>
      </c>
      <c r="I18" s="354">
        <f t="shared" si="8"/>
        <v>1549.3156472852631</v>
      </c>
      <c r="J18" s="354">
        <f t="shared" si="8"/>
        <v>1628.391267424056</v>
      </c>
      <c r="K18" s="354">
        <f t="shared" si="8"/>
        <v>1595.1600683449603</v>
      </c>
      <c r="L18" s="354">
        <f t="shared" si="8"/>
        <v>1592.0066059589394</v>
      </c>
      <c r="M18" s="354">
        <f t="shared" si="8"/>
        <v>1570.8608174419116</v>
      </c>
      <c r="N18" s="354">
        <f>N16+N17</f>
        <v>17188.947758948849</v>
      </c>
      <c r="O18" s="347">
        <f t="shared" si="2"/>
        <v>25.49112762352809</v>
      </c>
    </row>
    <row r="19" spans="1:17" x14ac:dyDescent="0.3">
      <c r="A19" s="342" t="s">
        <v>91</v>
      </c>
      <c r="B19" s="355">
        <v>415.68863405687688</v>
      </c>
      <c r="C19" s="355">
        <v>386.88891452198243</v>
      </c>
      <c r="D19" s="355">
        <v>421.50115401051971</v>
      </c>
      <c r="E19" s="355">
        <v>413.13905106556064</v>
      </c>
      <c r="F19" s="355">
        <v>424.61563658697156</v>
      </c>
      <c r="G19" s="355">
        <v>416.35266088537662</v>
      </c>
      <c r="H19" s="355">
        <v>428.12059637899381</v>
      </c>
      <c r="I19" s="355">
        <v>429.39435271473707</v>
      </c>
      <c r="J19" s="355">
        <v>419.28873257594415</v>
      </c>
      <c r="K19" s="355">
        <v>432.68993165503991</v>
      </c>
      <c r="L19" s="355">
        <v>423.8033940410607</v>
      </c>
      <c r="M19" s="355">
        <v>436.70918255808857</v>
      </c>
      <c r="N19" s="13">
        <f t="shared" ref="N19" si="9">SUM(B19:M19)</f>
        <v>5048.1922410511525</v>
      </c>
      <c r="O19" s="348">
        <f>N19/$N$3*1000</f>
        <v>7.4864450395309463</v>
      </c>
    </row>
    <row r="20" spans="1:17" x14ac:dyDescent="0.3">
      <c r="A20" s="345" t="s">
        <v>92</v>
      </c>
      <c r="B20" s="354">
        <f>B18+B19</f>
        <v>1617.4949999999999</v>
      </c>
      <c r="C20" s="354">
        <f t="shared" ref="C20:M20" si="10">C18+C19</f>
        <v>1633.2149999999997</v>
      </c>
      <c r="D20" s="354">
        <f t="shared" si="10"/>
        <v>1622.2849999999999</v>
      </c>
      <c r="E20" s="354">
        <f t="shared" si="10"/>
        <v>1614.9749999999999</v>
      </c>
      <c r="F20" s="354">
        <f t="shared" si="10"/>
        <v>1642.4799999999998</v>
      </c>
      <c r="G20" s="354">
        <f t="shared" si="10"/>
        <v>2015.37</v>
      </c>
      <c r="H20" s="354">
        <f t="shared" si="10"/>
        <v>2013.6999999999998</v>
      </c>
      <c r="I20" s="354">
        <f t="shared" si="10"/>
        <v>1978.7100000000003</v>
      </c>
      <c r="J20" s="354">
        <f t="shared" si="10"/>
        <v>2047.68</v>
      </c>
      <c r="K20" s="354">
        <f t="shared" si="10"/>
        <v>2027.8500000000004</v>
      </c>
      <c r="L20" s="354">
        <f t="shared" si="10"/>
        <v>2015.8100000000002</v>
      </c>
      <c r="M20" s="354">
        <f t="shared" si="10"/>
        <v>2007.5700000000002</v>
      </c>
      <c r="N20" s="354">
        <f>N18+N19</f>
        <v>22237.14</v>
      </c>
      <c r="O20" s="347">
        <f t="shared" si="2"/>
        <v>32.977572663059036</v>
      </c>
    </row>
    <row r="21" spans="1:17" x14ac:dyDescent="0.3">
      <c r="A21" s="342" t="s">
        <v>76</v>
      </c>
      <c r="B21" s="11">
        <v>23.02</v>
      </c>
      <c r="C21" s="11">
        <v>23.02</v>
      </c>
      <c r="D21" s="11">
        <v>23.02</v>
      </c>
      <c r="E21" s="11">
        <v>24.17</v>
      </c>
      <c r="F21" s="11">
        <v>16.11</v>
      </c>
      <c r="G21" s="11">
        <v>35.78</v>
      </c>
      <c r="H21" s="11">
        <v>28.9</v>
      </c>
      <c r="I21" s="11">
        <v>26.15</v>
      </c>
      <c r="J21" s="11">
        <v>35.78</v>
      </c>
      <c r="K21" s="11">
        <v>35.78</v>
      </c>
      <c r="L21" s="11">
        <v>34.409999999999997</v>
      </c>
      <c r="M21" s="11">
        <v>31.31</v>
      </c>
      <c r="N21" s="21">
        <f t="shared" ref="N21:N22" si="11">SUM(B21:M21)</f>
        <v>337.45</v>
      </c>
      <c r="O21" s="21">
        <f t="shared" si="2"/>
        <v>0.5004367420967476</v>
      </c>
    </row>
    <row r="22" spans="1:17" x14ac:dyDescent="0.3">
      <c r="A22" s="342" t="s">
        <v>77</v>
      </c>
      <c r="B22" s="416">
        <v>-56.58</v>
      </c>
      <c r="C22" s="416">
        <v>-56.58</v>
      </c>
      <c r="D22" s="416">
        <v>-56.58</v>
      </c>
      <c r="E22" s="416">
        <v>-59.408999999999999</v>
      </c>
      <c r="F22" s="416">
        <v>-39.606000000000002</v>
      </c>
      <c r="G22" s="416">
        <v>-87.944999999999993</v>
      </c>
      <c r="H22" s="416">
        <v>-71.032499999999999</v>
      </c>
      <c r="I22" s="416">
        <v>-64.267499999999998</v>
      </c>
      <c r="J22" s="416">
        <v>-87.944999999999993</v>
      </c>
      <c r="K22" s="416">
        <v>-87.944999999999993</v>
      </c>
      <c r="L22" s="416">
        <v>-84.5625</v>
      </c>
      <c r="M22" s="416">
        <v>-76.950029999999998</v>
      </c>
      <c r="N22" s="21">
        <f t="shared" si="11"/>
        <v>-829.40252999999984</v>
      </c>
      <c r="O22" s="21">
        <f t="shared" si="2"/>
        <v>-1.2299999999999998</v>
      </c>
    </row>
    <row r="23" spans="1:17" x14ac:dyDescent="0.3">
      <c r="A23" s="342" t="s">
        <v>144</v>
      </c>
      <c r="B23" s="355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355"/>
      <c r="N23" s="356"/>
      <c r="O23" s="348">
        <f t="shared" si="2"/>
        <v>0</v>
      </c>
    </row>
    <row r="24" spans="1:17" x14ac:dyDescent="0.3">
      <c r="A24" s="342" t="s">
        <v>85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13"/>
      <c r="O24" s="348">
        <f t="shared" si="2"/>
        <v>0</v>
      </c>
    </row>
    <row r="25" spans="1:17" x14ac:dyDescent="0.3">
      <c r="A25" s="342" t="s">
        <v>145</v>
      </c>
      <c r="B25" s="355"/>
      <c r="C25" s="355"/>
      <c r="D25" s="355"/>
      <c r="E25" s="355"/>
      <c r="F25" s="355"/>
      <c r="G25" s="355"/>
      <c r="H25" s="355"/>
      <c r="I25" s="355"/>
      <c r="J25" s="355"/>
      <c r="K25" s="355"/>
      <c r="L25" s="355"/>
      <c r="M25" s="355"/>
      <c r="N25" s="356"/>
      <c r="O25" s="348">
        <f t="shared" si="2"/>
        <v>0</v>
      </c>
    </row>
    <row r="26" spans="1:17" x14ac:dyDescent="0.3">
      <c r="A26" s="345" t="s">
        <v>146</v>
      </c>
      <c r="B26" s="354">
        <f>SUM(B21:B25)</f>
        <v>-33.56</v>
      </c>
      <c r="C26" s="354">
        <f t="shared" ref="C26:M26" si="12">SUM(C21:C25)</f>
        <v>-33.56</v>
      </c>
      <c r="D26" s="354">
        <f t="shared" si="12"/>
        <v>-33.56</v>
      </c>
      <c r="E26" s="354">
        <f t="shared" si="12"/>
        <v>-35.238999999999997</v>
      </c>
      <c r="F26" s="354">
        <f t="shared" si="12"/>
        <v>-23.496000000000002</v>
      </c>
      <c r="G26" s="354">
        <f t="shared" si="12"/>
        <v>-52.164999999999992</v>
      </c>
      <c r="H26" s="354">
        <f t="shared" si="12"/>
        <v>-42.1325</v>
      </c>
      <c r="I26" s="354">
        <f t="shared" si="12"/>
        <v>-38.1175</v>
      </c>
      <c r="J26" s="354">
        <f t="shared" si="12"/>
        <v>-52.164999999999992</v>
      </c>
      <c r="K26" s="354">
        <f t="shared" si="12"/>
        <v>-52.164999999999992</v>
      </c>
      <c r="L26" s="354">
        <f t="shared" si="12"/>
        <v>-50.152500000000003</v>
      </c>
      <c r="M26" s="354">
        <f t="shared" si="12"/>
        <v>-45.640029999999996</v>
      </c>
      <c r="N26" s="354">
        <f>SUM(N21:N25)</f>
        <v>-491.95252999999985</v>
      </c>
      <c r="O26" s="347">
        <f t="shared" si="2"/>
        <v>-0.72956325790325216</v>
      </c>
    </row>
    <row r="27" spans="1:17" x14ac:dyDescent="0.3">
      <c r="A27" s="342" t="s">
        <v>148</v>
      </c>
      <c r="B27" s="416">
        <v>100.05</v>
      </c>
      <c r="C27" s="416">
        <v>100.69</v>
      </c>
      <c r="D27" s="416">
        <v>100.03</v>
      </c>
      <c r="E27" s="416">
        <v>100.04</v>
      </c>
      <c r="F27" s="416">
        <v>110.02</v>
      </c>
      <c r="G27" s="416">
        <v>100.04</v>
      </c>
      <c r="H27" s="416">
        <v>100.05</v>
      </c>
      <c r="I27" s="416">
        <v>100.05</v>
      </c>
      <c r="J27" s="416">
        <v>100.05</v>
      </c>
      <c r="K27" s="416">
        <v>100.05</v>
      </c>
      <c r="L27" s="416">
        <v>100.05</v>
      </c>
      <c r="M27" s="416">
        <v>54.75</v>
      </c>
      <c r="N27" s="356">
        <f t="shared" ref="N27:N28" si="13">SUM(B27:M27)</f>
        <v>1165.8699999999999</v>
      </c>
      <c r="O27" s="348">
        <f t="shared" si="2"/>
        <v>1.7289796547883689</v>
      </c>
    </row>
    <row r="28" spans="1:17" x14ac:dyDescent="0.3">
      <c r="A28" s="342" t="s">
        <v>149</v>
      </c>
      <c r="B28" s="416">
        <v>69.81</v>
      </c>
      <c r="C28" s="416">
        <v>138.12</v>
      </c>
      <c r="D28" s="416">
        <v>114.27000000000001</v>
      </c>
      <c r="E28" s="416">
        <v>56.21</v>
      </c>
      <c r="F28" s="416">
        <v>81.91</v>
      </c>
      <c r="G28" s="416">
        <v>79.92</v>
      </c>
      <c r="H28" s="416">
        <v>74.09</v>
      </c>
      <c r="I28" s="416">
        <v>74.09</v>
      </c>
      <c r="J28" s="416">
        <v>74.09</v>
      </c>
      <c r="K28" s="416">
        <v>74.09</v>
      </c>
      <c r="L28" s="416">
        <v>74.09</v>
      </c>
      <c r="M28" s="416">
        <v>74.09</v>
      </c>
      <c r="N28" s="356">
        <f t="shared" si="13"/>
        <v>984.7800000000002</v>
      </c>
      <c r="O28" s="348">
        <f t="shared" si="2"/>
        <v>1.4604240476575352</v>
      </c>
    </row>
    <row r="29" spans="1:17" x14ac:dyDescent="0.3">
      <c r="A29" s="345" t="s">
        <v>150</v>
      </c>
      <c r="B29" s="354">
        <f>B27</f>
        <v>100.05</v>
      </c>
      <c r="C29" s="354">
        <f t="shared" ref="C29:M29" si="14">C27</f>
        <v>100.69</v>
      </c>
      <c r="D29" s="354">
        <f t="shared" si="14"/>
        <v>100.03</v>
      </c>
      <c r="E29" s="354">
        <f t="shared" si="14"/>
        <v>100.04</v>
      </c>
      <c r="F29" s="354">
        <f t="shared" si="14"/>
        <v>110.02</v>
      </c>
      <c r="G29" s="354">
        <f t="shared" si="14"/>
        <v>100.04</v>
      </c>
      <c r="H29" s="354">
        <f t="shared" si="14"/>
        <v>100.05</v>
      </c>
      <c r="I29" s="354">
        <f t="shared" si="14"/>
        <v>100.05</v>
      </c>
      <c r="J29" s="354">
        <f t="shared" si="14"/>
        <v>100.05</v>
      </c>
      <c r="K29" s="354">
        <f t="shared" si="14"/>
        <v>100.05</v>
      </c>
      <c r="L29" s="354">
        <f t="shared" si="14"/>
        <v>100.05</v>
      </c>
      <c r="M29" s="354">
        <f t="shared" si="14"/>
        <v>54.75</v>
      </c>
      <c r="N29" s="354">
        <f>N27+N28</f>
        <v>2150.65</v>
      </c>
      <c r="O29" s="347">
        <f t="shared" si="2"/>
        <v>3.1894037024459045</v>
      </c>
    </row>
    <row r="30" spans="1:17" ht="15" thickBot="1" x14ac:dyDescent="0.35">
      <c r="A30" s="28"/>
      <c r="B30" s="357"/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357"/>
      <c r="N30" s="357"/>
      <c r="O30" s="349">
        <f t="shared" si="2"/>
        <v>0</v>
      </c>
    </row>
    <row r="31" spans="1:17" x14ac:dyDescent="0.3">
      <c r="A31" s="345" t="s">
        <v>152</v>
      </c>
      <c r="B31" s="354">
        <f>B20+B26+B29</f>
        <v>1683.9849999999999</v>
      </c>
      <c r="C31" s="354">
        <f t="shared" ref="C31:M31" si="15">C20+C26+C29</f>
        <v>1700.3449999999998</v>
      </c>
      <c r="D31" s="354">
        <f t="shared" si="15"/>
        <v>1688.7549999999999</v>
      </c>
      <c r="E31" s="354">
        <f t="shared" si="15"/>
        <v>1679.7759999999998</v>
      </c>
      <c r="F31" s="354">
        <f t="shared" si="15"/>
        <v>1729.0039999999997</v>
      </c>
      <c r="G31" s="354">
        <f t="shared" si="15"/>
        <v>2063.2449999999999</v>
      </c>
      <c r="H31" s="354">
        <f t="shared" si="15"/>
        <v>2071.6174999999998</v>
      </c>
      <c r="I31" s="354">
        <f t="shared" si="15"/>
        <v>2040.6425000000002</v>
      </c>
      <c r="J31" s="354">
        <f t="shared" si="15"/>
        <v>2095.5650000000001</v>
      </c>
      <c r="K31" s="354">
        <f t="shared" si="15"/>
        <v>2075.7350000000006</v>
      </c>
      <c r="L31" s="354">
        <f t="shared" si="15"/>
        <v>2065.7075000000004</v>
      </c>
      <c r="M31" s="354">
        <f t="shared" si="15"/>
        <v>2016.6799700000001</v>
      </c>
      <c r="N31" s="354">
        <f>N20+N26+N29</f>
        <v>23895.837470000002</v>
      </c>
      <c r="O31" s="347">
        <f t="shared" si="2"/>
        <v>35.437413107601685</v>
      </c>
    </row>
    <row r="32" spans="1:17" x14ac:dyDescent="0.3">
      <c r="B32" s="82">
        <f>B31/B3*1000</f>
        <v>36.608369565217387</v>
      </c>
      <c r="C32" s="82">
        <f t="shared" ref="C32:N32" si="16">C31/C3*1000</f>
        <v>36.96402173913043</v>
      </c>
      <c r="D32" s="82">
        <f t="shared" si="16"/>
        <v>36.712065217391299</v>
      </c>
      <c r="E32" s="82">
        <f t="shared" si="16"/>
        <v>34.777971014492749</v>
      </c>
      <c r="F32" s="82">
        <f t="shared" si="16"/>
        <v>53.695776397515523</v>
      </c>
      <c r="G32" s="82">
        <f t="shared" si="16"/>
        <v>28.856573426573426</v>
      </c>
      <c r="H32" s="82">
        <f t="shared" si="16"/>
        <v>35.872164502164502</v>
      </c>
      <c r="I32" s="82">
        <f t="shared" si="16"/>
        <v>39.055358851674647</v>
      </c>
      <c r="J32" s="82">
        <f t="shared" si="16"/>
        <v>29.3086013986014</v>
      </c>
      <c r="K32" s="82">
        <f t="shared" si="16"/>
        <v>29.03125874125875</v>
      </c>
      <c r="L32" s="82">
        <f t="shared" si="16"/>
        <v>30.046654545454551</v>
      </c>
      <c r="M32" s="82">
        <f t="shared" si="16"/>
        <v>32.235417752273783</v>
      </c>
      <c r="N32" s="82">
        <f t="shared" si="16"/>
        <v>35.437413107601685</v>
      </c>
      <c r="O32" s="35"/>
    </row>
    <row r="33" spans="1:28" s="365" customFormat="1" x14ac:dyDescent="0.3">
      <c r="B33" s="366"/>
      <c r="C33" s="367"/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O33" s="368"/>
    </row>
    <row r="34" spans="1:28" x14ac:dyDescent="0.3">
      <c r="A34" s="6" t="s">
        <v>103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</row>
    <row r="35" spans="1:28" x14ac:dyDescent="0.3">
      <c r="A35" s="7" t="s">
        <v>195</v>
      </c>
      <c r="B35" s="9">
        <f>B3</f>
        <v>46000</v>
      </c>
      <c r="C35" s="9">
        <f t="shared" ref="C35:M35" si="17">C3</f>
        <v>46000</v>
      </c>
      <c r="D35" s="9">
        <f t="shared" si="17"/>
        <v>46000</v>
      </c>
      <c r="E35" s="9">
        <f t="shared" si="17"/>
        <v>48300</v>
      </c>
      <c r="F35" s="9">
        <f t="shared" si="17"/>
        <v>32200</v>
      </c>
      <c r="G35" s="9">
        <f t="shared" si="17"/>
        <v>71500</v>
      </c>
      <c r="H35" s="9">
        <f t="shared" si="17"/>
        <v>57750</v>
      </c>
      <c r="I35" s="9">
        <f t="shared" si="17"/>
        <v>52250</v>
      </c>
      <c r="J35" s="9">
        <f t="shared" si="17"/>
        <v>71500</v>
      </c>
      <c r="K35" s="9">
        <f t="shared" si="17"/>
        <v>71500</v>
      </c>
      <c r="L35" s="9">
        <f t="shared" si="17"/>
        <v>68750</v>
      </c>
      <c r="M35" s="9">
        <f t="shared" si="17"/>
        <v>62561</v>
      </c>
      <c r="N35" s="9">
        <f>N3</f>
        <v>674311</v>
      </c>
      <c r="Q35" s="104">
        <f>SUMPRODUCT(B35:M35,B$2:M$2)</f>
        <v>46000</v>
      </c>
      <c r="R35" s="104">
        <f>SUMIFS(B35:M35,$B$1:$M$1,$Y$3)</f>
        <v>674311</v>
      </c>
    </row>
    <row r="36" spans="1:28" ht="23.4" x14ac:dyDescent="0.45">
      <c r="A36" s="394" t="s">
        <v>423</v>
      </c>
      <c r="B36" s="22" t="s">
        <v>169</v>
      </c>
      <c r="C36" s="22" t="s">
        <v>169</v>
      </c>
      <c r="D36" s="22" t="s">
        <v>169</v>
      </c>
      <c r="E36" s="22" t="s">
        <v>169</v>
      </c>
      <c r="F36" s="22" t="s">
        <v>169</v>
      </c>
      <c r="G36" s="22" t="s">
        <v>169</v>
      </c>
      <c r="H36" s="22" t="s">
        <v>169</v>
      </c>
      <c r="I36" s="22" t="s">
        <v>169</v>
      </c>
      <c r="J36" s="22" t="s">
        <v>169</v>
      </c>
      <c r="K36" s="22" t="s">
        <v>169</v>
      </c>
      <c r="L36" s="22" t="s">
        <v>169</v>
      </c>
      <c r="M36" s="22" t="s">
        <v>169</v>
      </c>
      <c r="N36" s="22" t="s">
        <v>169</v>
      </c>
      <c r="Q36" s="64" t="s">
        <v>180</v>
      </c>
      <c r="R36" s="64" t="s">
        <v>94</v>
      </c>
      <c r="AB36" s="38" t="s">
        <v>66</v>
      </c>
    </row>
    <row r="37" spans="1:28" x14ac:dyDescent="0.3">
      <c r="A37" s="341" t="s">
        <v>158</v>
      </c>
      <c r="B37" s="30">
        <f>$O5*B$35/1000</f>
        <v>523.40092331283336</v>
      </c>
      <c r="C37" s="30">
        <f t="shared" ref="C37:L37" si="18">$O5*C$35/1000</f>
        <v>523.40092331283336</v>
      </c>
      <c r="D37" s="30">
        <f t="shared" si="18"/>
        <v>523.40092331283336</v>
      </c>
      <c r="E37" s="30">
        <f t="shared" si="18"/>
        <v>549.57096947847504</v>
      </c>
      <c r="F37" s="30">
        <f t="shared" si="18"/>
        <v>366.38064631898334</v>
      </c>
      <c r="G37" s="30">
        <f t="shared" si="18"/>
        <v>813.5470873232083</v>
      </c>
      <c r="H37" s="30">
        <f t="shared" si="18"/>
        <v>657.0957243764376</v>
      </c>
      <c r="I37" s="30">
        <f t="shared" si="18"/>
        <v>594.51517919772925</v>
      </c>
      <c r="J37" s="30">
        <f t="shared" si="18"/>
        <v>813.5470873232083</v>
      </c>
      <c r="K37" s="30">
        <f t="shared" si="18"/>
        <v>813.5470873232083</v>
      </c>
      <c r="L37" s="30">
        <f t="shared" si="18"/>
        <v>782.2568147338543</v>
      </c>
      <c r="M37" s="30">
        <f>$O5*M$35/1000</f>
        <v>711.83663398639499</v>
      </c>
      <c r="N37" s="13">
        <f>SUM(B37:M37)</f>
        <v>7672.5</v>
      </c>
      <c r="Q37" s="30">
        <f t="shared" ref="Q37:Q63" si="19">SUMPRODUCT(B37:M37,B$2:M$2)</f>
        <v>523.40092331283336</v>
      </c>
      <c r="R37" s="30">
        <f t="shared" ref="R37:R63" si="20">SUMIFS(B37:M37,$B$1:$M$1,$Y$3)</f>
        <v>7672.5</v>
      </c>
    </row>
    <row r="38" spans="1:28" x14ac:dyDescent="0.3">
      <c r="A38" s="341" t="s">
        <v>75</v>
      </c>
      <c r="B38" s="30">
        <f t="shared" ref="B38:M38" si="21">$O6*B$35/1000</f>
        <v>35.473246024460515</v>
      </c>
      <c r="C38" s="30">
        <f t="shared" si="21"/>
        <v>35.473246024460515</v>
      </c>
      <c r="D38" s="30">
        <f t="shared" si="21"/>
        <v>35.473246024460515</v>
      </c>
      <c r="E38" s="30">
        <f t="shared" si="21"/>
        <v>37.246908325683542</v>
      </c>
      <c r="F38" s="30">
        <f t="shared" si="21"/>
        <v>24.831272217122365</v>
      </c>
      <c r="G38" s="30">
        <f t="shared" si="21"/>
        <v>55.137762842367977</v>
      </c>
      <c r="H38" s="30">
        <f t="shared" si="21"/>
        <v>44.534346911143366</v>
      </c>
      <c r="I38" s="30">
        <f t="shared" si="21"/>
        <v>40.292980538653524</v>
      </c>
      <c r="J38" s="30">
        <f t="shared" si="21"/>
        <v>55.137762842367977</v>
      </c>
      <c r="K38" s="30">
        <f t="shared" si="21"/>
        <v>55.137762842367977</v>
      </c>
      <c r="L38" s="30">
        <f t="shared" si="21"/>
        <v>53.017079656123059</v>
      </c>
      <c r="M38" s="30">
        <f t="shared" si="21"/>
        <v>48.244385750788574</v>
      </c>
      <c r="N38" s="13">
        <f t="shared" ref="N38:N62" si="22">SUM(B38:M38)</f>
        <v>519.99999999999989</v>
      </c>
      <c r="Q38" s="30">
        <f t="shared" si="19"/>
        <v>35.473246024460515</v>
      </c>
      <c r="R38" s="30">
        <f t="shared" si="20"/>
        <v>519.99999999999989</v>
      </c>
    </row>
    <row r="39" spans="1:28" x14ac:dyDescent="0.3">
      <c r="A39" s="342" t="s">
        <v>196</v>
      </c>
      <c r="B39" s="30">
        <f t="shared" ref="B39:M39" si="23">$O7*B$35/1000</f>
        <v>16.169660586880532</v>
      </c>
      <c r="C39" s="30">
        <f t="shared" si="23"/>
        <v>16.169660586880532</v>
      </c>
      <c r="D39" s="30">
        <f t="shared" si="23"/>
        <v>16.169660586880532</v>
      </c>
      <c r="E39" s="30">
        <f t="shared" si="23"/>
        <v>16.97814361622456</v>
      </c>
      <c r="F39" s="30">
        <f t="shared" si="23"/>
        <v>11.318762410816371</v>
      </c>
      <c r="G39" s="30">
        <f t="shared" si="23"/>
        <v>25.133276781781692</v>
      </c>
      <c r="H39" s="30">
        <f t="shared" si="23"/>
        <v>20.299954323746753</v>
      </c>
      <c r="I39" s="30">
        <f t="shared" si="23"/>
        <v>18.366625340532778</v>
      </c>
      <c r="J39" s="30">
        <f t="shared" si="23"/>
        <v>25.133276781781692</v>
      </c>
      <c r="K39" s="30">
        <f t="shared" si="23"/>
        <v>25.133276781781692</v>
      </c>
      <c r="L39" s="30">
        <f t="shared" si="23"/>
        <v>24.166612290174708</v>
      </c>
      <c r="M39" s="30">
        <f t="shared" si="23"/>
        <v>21.991089912518106</v>
      </c>
      <c r="N39" s="13">
        <f t="shared" si="22"/>
        <v>237.02999999999994</v>
      </c>
      <c r="Q39" s="30">
        <f t="shared" si="19"/>
        <v>16.169660586880532</v>
      </c>
      <c r="R39" s="30">
        <f t="shared" si="20"/>
        <v>237.02999999999994</v>
      </c>
    </row>
    <row r="40" spans="1:28" ht="15" thickBot="1" x14ac:dyDescent="0.35">
      <c r="A40" s="344" t="s">
        <v>197</v>
      </c>
      <c r="B40" s="353">
        <f>SUM(B37:B39)</f>
        <v>575.04382992417447</v>
      </c>
      <c r="C40" s="353">
        <f t="shared" ref="C40:N40" si="24">SUM(C37:C39)</f>
        <v>575.04382992417447</v>
      </c>
      <c r="D40" s="353">
        <f t="shared" si="24"/>
        <v>575.04382992417447</v>
      </c>
      <c r="E40" s="353">
        <f t="shared" si="24"/>
        <v>603.79602142038311</v>
      </c>
      <c r="F40" s="353">
        <f t="shared" si="24"/>
        <v>402.53068094692208</v>
      </c>
      <c r="G40" s="353">
        <f t="shared" si="24"/>
        <v>893.818126947358</v>
      </c>
      <c r="H40" s="353">
        <f t="shared" si="24"/>
        <v>721.93002561132778</v>
      </c>
      <c r="I40" s="353">
        <f t="shared" si="24"/>
        <v>653.17478507691555</v>
      </c>
      <c r="J40" s="353">
        <f t="shared" si="24"/>
        <v>893.818126947358</v>
      </c>
      <c r="K40" s="353">
        <f t="shared" si="24"/>
        <v>893.818126947358</v>
      </c>
      <c r="L40" s="353">
        <f t="shared" si="24"/>
        <v>859.44050668015211</v>
      </c>
      <c r="M40" s="353">
        <f t="shared" si="24"/>
        <v>782.07210964970159</v>
      </c>
      <c r="N40" s="353">
        <f t="shared" si="24"/>
        <v>8429.5300000000007</v>
      </c>
      <c r="Q40" s="353">
        <f t="shared" si="19"/>
        <v>575.04382992417447</v>
      </c>
      <c r="R40" s="353">
        <f t="shared" si="20"/>
        <v>8429.5299999999988</v>
      </c>
    </row>
    <row r="41" spans="1:28" x14ac:dyDescent="0.3">
      <c r="A41" s="343" t="s">
        <v>80</v>
      </c>
      <c r="B41" s="30">
        <f t="shared" ref="B41:M41" si="25">$O9*B$35/1000</f>
        <v>205.291860877251</v>
      </c>
      <c r="C41" s="30">
        <f t="shared" si="25"/>
        <v>205.291860877251</v>
      </c>
      <c r="D41" s="30">
        <f t="shared" si="25"/>
        <v>205.291860877251</v>
      </c>
      <c r="E41" s="30">
        <f t="shared" si="25"/>
        <v>215.55645392111353</v>
      </c>
      <c r="F41" s="30">
        <f t="shared" si="25"/>
        <v>143.70430261407569</v>
      </c>
      <c r="G41" s="30">
        <f t="shared" si="25"/>
        <v>319.09495766790099</v>
      </c>
      <c r="H41" s="30">
        <f t="shared" si="25"/>
        <v>257.73054273176621</v>
      </c>
      <c r="I41" s="30">
        <f t="shared" si="25"/>
        <v>233.18477675731228</v>
      </c>
      <c r="J41" s="30">
        <f t="shared" si="25"/>
        <v>319.09495766790099</v>
      </c>
      <c r="K41" s="30">
        <f t="shared" si="25"/>
        <v>319.09495766790099</v>
      </c>
      <c r="L41" s="30">
        <f t="shared" si="25"/>
        <v>306.82207468067401</v>
      </c>
      <c r="M41" s="30">
        <f t="shared" si="25"/>
        <v>279.20139365960216</v>
      </c>
      <c r="N41" s="13">
        <f t="shared" si="22"/>
        <v>3009.36</v>
      </c>
      <c r="Q41" s="30">
        <f t="shared" si="19"/>
        <v>205.291860877251</v>
      </c>
      <c r="R41" s="30">
        <f t="shared" si="20"/>
        <v>3009.36</v>
      </c>
    </row>
    <row r="42" spans="1:28" x14ac:dyDescent="0.3">
      <c r="A42" s="342" t="s">
        <v>81</v>
      </c>
      <c r="B42" s="30">
        <f t="shared" ref="B42:M42" si="26">$O10*B$35/1000</f>
        <v>74.257783129742805</v>
      </c>
      <c r="C42" s="30">
        <f t="shared" si="26"/>
        <v>74.257783129742805</v>
      </c>
      <c r="D42" s="30">
        <f t="shared" si="26"/>
        <v>74.257783129742805</v>
      </c>
      <c r="E42" s="30">
        <f t="shared" si="26"/>
        <v>77.970672286229956</v>
      </c>
      <c r="F42" s="30">
        <f t="shared" si="26"/>
        <v>51.980448190819963</v>
      </c>
      <c r="G42" s="30">
        <f t="shared" si="26"/>
        <v>115.42242377775241</v>
      </c>
      <c r="H42" s="30">
        <f t="shared" si="26"/>
        <v>93.225803820492317</v>
      </c>
      <c r="I42" s="30">
        <f t="shared" si="26"/>
        <v>84.347155837588289</v>
      </c>
      <c r="J42" s="30">
        <f t="shared" si="26"/>
        <v>115.42242377775241</v>
      </c>
      <c r="K42" s="30">
        <f t="shared" si="26"/>
        <v>115.42242377775241</v>
      </c>
      <c r="L42" s="30">
        <f t="shared" si="26"/>
        <v>110.98309978630039</v>
      </c>
      <c r="M42" s="30">
        <f t="shared" si="26"/>
        <v>100.99219935608346</v>
      </c>
      <c r="N42" s="13">
        <f t="shared" si="22"/>
        <v>1088.54</v>
      </c>
      <c r="Q42" s="30">
        <f t="shared" si="19"/>
        <v>74.257783129742805</v>
      </c>
      <c r="R42" s="30">
        <f t="shared" si="20"/>
        <v>1088.54</v>
      </c>
    </row>
    <row r="43" spans="1:28" x14ac:dyDescent="0.3">
      <c r="A43" s="342" t="s">
        <v>82</v>
      </c>
      <c r="B43" s="30">
        <f t="shared" ref="B43:M43" si="27">$O11*B$35/1000</f>
        <v>143.36580598566533</v>
      </c>
      <c r="C43" s="30">
        <f t="shared" si="27"/>
        <v>143.36580598566533</v>
      </c>
      <c r="D43" s="30">
        <f t="shared" si="27"/>
        <v>143.36580598566533</v>
      </c>
      <c r="E43" s="30">
        <f t="shared" si="27"/>
        <v>150.53409628494862</v>
      </c>
      <c r="F43" s="30">
        <f t="shared" si="27"/>
        <v>100.35606418996574</v>
      </c>
      <c r="G43" s="30">
        <f t="shared" si="27"/>
        <v>222.8403288690233</v>
      </c>
      <c r="H43" s="30">
        <f t="shared" si="27"/>
        <v>179.98641947113421</v>
      </c>
      <c r="I43" s="30">
        <f t="shared" si="27"/>
        <v>162.84485571197857</v>
      </c>
      <c r="J43" s="30">
        <f t="shared" si="27"/>
        <v>222.8403288690233</v>
      </c>
      <c r="K43" s="30">
        <f t="shared" si="27"/>
        <v>222.8403288690233</v>
      </c>
      <c r="L43" s="30">
        <f t="shared" si="27"/>
        <v>214.26954698944544</v>
      </c>
      <c r="M43" s="30">
        <f t="shared" si="27"/>
        <v>194.98061278846106</v>
      </c>
      <c r="N43" s="13">
        <f t="shared" si="22"/>
        <v>2101.5899999999997</v>
      </c>
      <c r="Q43" s="30">
        <f t="shared" si="19"/>
        <v>143.36580598566533</v>
      </c>
      <c r="R43" s="30">
        <f t="shared" si="20"/>
        <v>2101.5899999999997</v>
      </c>
    </row>
    <row r="44" spans="1:28" x14ac:dyDescent="0.3">
      <c r="A44" s="342" t="s">
        <v>83</v>
      </c>
      <c r="B44" s="30">
        <f t="shared" ref="B44:M44" si="28">$O12*B$35/1000</f>
        <v>9.1207172951353304</v>
      </c>
      <c r="C44" s="30">
        <f t="shared" si="28"/>
        <v>9.1207172951353304</v>
      </c>
      <c r="D44" s="30">
        <f t="shared" si="28"/>
        <v>9.1207172951353304</v>
      </c>
      <c r="E44" s="30">
        <f t="shared" si="28"/>
        <v>9.5767531598920961</v>
      </c>
      <c r="F44" s="30">
        <f t="shared" si="28"/>
        <v>6.3845021065947307</v>
      </c>
      <c r="G44" s="30">
        <f t="shared" si="28"/>
        <v>14.176767100047305</v>
      </c>
      <c r="H44" s="30">
        <f t="shared" si="28"/>
        <v>11.450465734653593</v>
      </c>
      <c r="I44" s="30">
        <f t="shared" si="28"/>
        <v>10.359945188496107</v>
      </c>
      <c r="J44" s="30">
        <f t="shared" si="28"/>
        <v>14.176767100047305</v>
      </c>
      <c r="K44" s="30">
        <f t="shared" si="28"/>
        <v>14.176767100047305</v>
      </c>
      <c r="L44" s="30">
        <f t="shared" si="28"/>
        <v>13.631506826968563</v>
      </c>
      <c r="M44" s="30">
        <f t="shared" si="28"/>
        <v>12.404373797846985</v>
      </c>
      <c r="N44" s="13">
        <f t="shared" si="22"/>
        <v>133.69999999999996</v>
      </c>
      <c r="Q44" s="30">
        <f t="shared" si="19"/>
        <v>9.1207172951353304</v>
      </c>
      <c r="R44" s="30">
        <f t="shared" si="20"/>
        <v>133.69999999999996</v>
      </c>
      <c r="AB44" s="35">
        <v>4.1368100138106803</v>
      </c>
    </row>
    <row r="45" spans="1:28" x14ac:dyDescent="0.3">
      <c r="A45" s="342" t="s">
        <v>84</v>
      </c>
      <c r="B45" s="30">
        <f t="shared" ref="B45:M45" si="29">$O13*B$35/1000</f>
        <v>32.000366121863642</v>
      </c>
      <c r="C45" s="30">
        <f t="shared" si="29"/>
        <v>32.000366121863642</v>
      </c>
      <c r="D45" s="30">
        <f t="shared" si="29"/>
        <v>32.000366121863642</v>
      </c>
      <c r="E45" s="30">
        <f t="shared" si="29"/>
        <v>33.600384427956826</v>
      </c>
      <c r="F45" s="30">
        <f t="shared" si="29"/>
        <v>22.40025628530455</v>
      </c>
      <c r="G45" s="30">
        <f t="shared" si="29"/>
        <v>49.73969951550545</v>
      </c>
      <c r="H45" s="30">
        <f t="shared" si="29"/>
        <v>40.174372685600552</v>
      </c>
      <c r="I45" s="30">
        <f t="shared" si="29"/>
        <v>36.348241953638592</v>
      </c>
      <c r="J45" s="30">
        <f t="shared" si="29"/>
        <v>49.73969951550545</v>
      </c>
      <c r="K45" s="30">
        <f t="shared" si="29"/>
        <v>49.73969951550545</v>
      </c>
      <c r="L45" s="30">
        <f t="shared" si="29"/>
        <v>47.826634149524466</v>
      </c>
      <c r="M45" s="30">
        <f t="shared" si="29"/>
        <v>43.521193585867636</v>
      </c>
      <c r="N45" s="13">
        <f t="shared" si="22"/>
        <v>469.09127999999987</v>
      </c>
      <c r="Q45" s="30">
        <f t="shared" si="19"/>
        <v>32.000366121863642</v>
      </c>
      <c r="R45" s="30">
        <f t="shared" si="20"/>
        <v>469.09127999999987</v>
      </c>
      <c r="AB45" s="35">
        <v>1.7975010422624793</v>
      </c>
    </row>
    <row r="46" spans="1:28" x14ac:dyDescent="0.3">
      <c r="A46" s="342" t="s">
        <v>86</v>
      </c>
      <c r="B46" s="30">
        <f t="shared" ref="B46:M46" si="30">$O14*B$35/1000</f>
        <v>125.28657683420116</v>
      </c>
      <c r="C46" s="30">
        <f t="shared" si="30"/>
        <v>125.28657683420116</v>
      </c>
      <c r="D46" s="30">
        <f t="shared" si="30"/>
        <v>125.28657683420116</v>
      </c>
      <c r="E46" s="30">
        <f t="shared" si="30"/>
        <v>131.5509056759112</v>
      </c>
      <c r="F46" s="30">
        <f t="shared" si="30"/>
        <v>87.700603783940807</v>
      </c>
      <c r="G46" s="30">
        <f t="shared" si="30"/>
        <v>194.73891834011701</v>
      </c>
      <c r="H46" s="30">
        <f t="shared" si="30"/>
        <v>157.28912635163297</v>
      </c>
      <c r="I46" s="30">
        <f t="shared" si="30"/>
        <v>142.30920955623935</v>
      </c>
      <c r="J46" s="30">
        <f t="shared" si="30"/>
        <v>194.73891834011701</v>
      </c>
      <c r="K46" s="30">
        <f t="shared" si="30"/>
        <v>194.73891834011701</v>
      </c>
      <c r="L46" s="30">
        <f t="shared" si="30"/>
        <v>187.24895994242019</v>
      </c>
      <c r="M46" s="30">
        <f t="shared" si="30"/>
        <v>170.3924681157491</v>
      </c>
      <c r="N46" s="13">
        <f t="shared" si="22"/>
        <v>1836.567758948848</v>
      </c>
      <c r="Q46" s="30">
        <f t="shared" si="19"/>
        <v>125.28657683420116</v>
      </c>
      <c r="R46" s="30">
        <f t="shared" si="20"/>
        <v>1836.567758948848</v>
      </c>
      <c r="AB46" s="35">
        <v>3.6451880061715425</v>
      </c>
    </row>
    <row r="47" spans="1:28" ht="15" thickBot="1" x14ac:dyDescent="0.35">
      <c r="A47" s="344" t="s">
        <v>198</v>
      </c>
      <c r="B47" s="353">
        <f>SUM(B41:B46)</f>
        <v>589.32311024385922</v>
      </c>
      <c r="C47" s="353">
        <f t="shared" ref="C47:N47" si="31">SUM(C41:C46)</f>
        <v>589.32311024385922</v>
      </c>
      <c r="D47" s="353">
        <f t="shared" si="31"/>
        <v>589.32311024385922</v>
      </c>
      <c r="E47" s="353">
        <f t="shared" si="31"/>
        <v>618.78926575605226</v>
      </c>
      <c r="F47" s="353">
        <f t="shared" si="31"/>
        <v>412.52617717070143</v>
      </c>
      <c r="G47" s="353">
        <f t="shared" si="31"/>
        <v>916.01309527034653</v>
      </c>
      <c r="H47" s="353">
        <f t="shared" si="31"/>
        <v>739.85673079527987</v>
      </c>
      <c r="I47" s="353">
        <f t="shared" si="31"/>
        <v>669.39418500525323</v>
      </c>
      <c r="J47" s="353">
        <f t="shared" si="31"/>
        <v>916.01309527034653</v>
      </c>
      <c r="K47" s="353">
        <f t="shared" si="31"/>
        <v>916.01309527034653</v>
      </c>
      <c r="L47" s="353">
        <f t="shared" si="31"/>
        <v>880.78182237533315</v>
      </c>
      <c r="M47" s="353">
        <f t="shared" si="31"/>
        <v>801.49224130361051</v>
      </c>
      <c r="N47" s="353">
        <f t="shared" si="31"/>
        <v>8638.849038948847</v>
      </c>
      <c r="Q47" s="353">
        <f t="shared" si="19"/>
        <v>589.32311024385922</v>
      </c>
      <c r="R47" s="353">
        <f t="shared" si="20"/>
        <v>8638.849038948847</v>
      </c>
      <c r="AB47" s="35">
        <v>0.10130454179219703</v>
      </c>
    </row>
    <row r="48" spans="1:28" x14ac:dyDescent="0.3">
      <c r="A48" s="345" t="s">
        <v>88</v>
      </c>
      <c r="B48" s="354">
        <f>B40+B47</f>
        <v>1164.3669401680336</v>
      </c>
      <c r="C48" s="354">
        <f t="shared" ref="C48:N48" si="32">C40+C47</f>
        <v>1164.3669401680336</v>
      </c>
      <c r="D48" s="354">
        <f t="shared" si="32"/>
        <v>1164.3669401680336</v>
      </c>
      <c r="E48" s="354">
        <f t="shared" si="32"/>
        <v>1222.5852871764355</v>
      </c>
      <c r="F48" s="354">
        <f t="shared" si="32"/>
        <v>815.05685811762351</v>
      </c>
      <c r="G48" s="354">
        <f t="shared" si="32"/>
        <v>1809.8312222177046</v>
      </c>
      <c r="H48" s="354">
        <f t="shared" si="32"/>
        <v>1461.7867564066078</v>
      </c>
      <c r="I48" s="354">
        <f t="shared" si="32"/>
        <v>1322.5689700821688</v>
      </c>
      <c r="J48" s="354">
        <f t="shared" si="32"/>
        <v>1809.8312222177046</v>
      </c>
      <c r="K48" s="354">
        <f t="shared" si="32"/>
        <v>1809.8312222177046</v>
      </c>
      <c r="L48" s="354">
        <f t="shared" si="32"/>
        <v>1740.2223290554853</v>
      </c>
      <c r="M48" s="354">
        <f t="shared" si="32"/>
        <v>1583.564350953312</v>
      </c>
      <c r="N48" s="354">
        <f t="shared" si="32"/>
        <v>17068.379038948849</v>
      </c>
      <c r="Q48" s="354">
        <f t="shared" si="19"/>
        <v>1164.3669401680336</v>
      </c>
      <c r="R48" s="354">
        <f t="shared" si="20"/>
        <v>17068.379038948846</v>
      </c>
      <c r="AB48" s="35">
        <v>1.1195977934376233</v>
      </c>
    </row>
    <row r="49" spans="1:28" x14ac:dyDescent="0.3">
      <c r="A49" s="342" t="s">
        <v>89</v>
      </c>
      <c r="B49" s="30">
        <f>$O17*B$35/1000</f>
        <v>8.2249305142582578</v>
      </c>
      <c r="C49" s="30">
        <f t="shared" ref="C49:M49" si="33">$O17*C$35/1000</f>
        <v>8.2249305142582578</v>
      </c>
      <c r="D49" s="30">
        <f t="shared" si="33"/>
        <v>8.2249305142582578</v>
      </c>
      <c r="E49" s="30">
        <f t="shared" si="33"/>
        <v>8.6361770399711695</v>
      </c>
      <c r="F49" s="30">
        <f t="shared" si="33"/>
        <v>5.7574513599807808</v>
      </c>
      <c r="G49" s="30">
        <f t="shared" si="33"/>
        <v>12.784402864553597</v>
      </c>
      <c r="H49" s="30">
        <f t="shared" si="33"/>
        <v>10.325863852139442</v>
      </c>
      <c r="I49" s="30">
        <f t="shared" si="33"/>
        <v>9.3424482471737811</v>
      </c>
      <c r="J49" s="30">
        <f t="shared" si="33"/>
        <v>12.784402864553597</v>
      </c>
      <c r="K49" s="30">
        <f t="shared" si="33"/>
        <v>12.784402864553597</v>
      </c>
      <c r="L49" s="30">
        <f t="shared" si="33"/>
        <v>12.292695062070765</v>
      </c>
      <c r="M49" s="30">
        <f t="shared" si="33"/>
        <v>11.186084302228497</v>
      </c>
      <c r="N49" s="13">
        <f t="shared" si="22"/>
        <v>120.56872</v>
      </c>
      <c r="Q49" s="30">
        <f t="shared" si="19"/>
        <v>8.2249305142582578</v>
      </c>
      <c r="R49" s="30">
        <f t="shared" si="20"/>
        <v>120.56872</v>
      </c>
      <c r="AB49" s="35">
        <v>0.33711993940830953</v>
      </c>
    </row>
    <row r="50" spans="1:28" x14ac:dyDescent="0.3">
      <c r="A50" s="345" t="s">
        <v>90</v>
      </c>
      <c r="B50" s="354">
        <f>B48+B49</f>
        <v>1172.5918706822918</v>
      </c>
      <c r="C50" s="354">
        <f t="shared" ref="C50:N50" si="34">C48+C49</f>
        <v>1172.5918706822918</v>
      </c>
      <c r="D50" s="354">
        <f t="shared" si="34"/>
        <v>1172.5918706822918</v>
      </c>
      <c r="E50" s="354">
        <f t="shared" si="34"/>
        <v>1231.2214642164067</v>
      </c>
      <c r="F50" s="354">
        <f t="shared" si="34"/>
        <v>820.8143094776043</v>
      </c>
      <c r="G50" s="354">
        <f t="shared" si="34"/>
        <v>1822.6156250822582</v>
      </c>
      <c r="H50" s="354">
        <f t="shared" si="34"/>
        <v>1472.1126202587473</v>
      </c>
      <c r="I50" s="354">
        <f t="shared" si="34"/>
        <v>1331.9114183293425</v>
      </c>
      <c r="J50" s="354">
        <f t="shared" si="34"/>
        <v>1822.6156250822582</v>
      </c>
      <c r="K50" s="354">
        <f t="shared" si="34"/>
        <v>1822.6156250822582</v>
      </c>
      <c r="L50" s="354">
        <f t="shared" si="34"/>
        <v>1752.5150241175561</v>
      </c>
      <c r="M50" s="354">
        <f t="shared" si="34"/>
        <v>1594.7504352555404</v>
      </c>
      <c r="N50" s="354">
        <f t="shared" si="34"/>
        <v>17188.947758948849</v>
      </c>
      <c r="Q50" s="354">
        <f t="shared" si="19"/>
        <v>1172.5918706822918</v>
      </c>
      <c r="R50" s="354">
        <f t="shared" si="20"/>
        <v>17188.947758948849</v>
      </c>
      <c r="AB50" s="35">
        <v>2.5085094691372314</v>
      </c>
    </row>
    <row r="51" spans="1:28" x14ac:dyDescent="0.3">
      <c r="A51" s="342" t="s">
        <v>91</v>
      </c>
      <c r="B51" s="30">
        <f>$O19*B$35/1000</f>
        <v>344.37647181842351</v>
      </c>
      <c r="C51" s="30">
        <f t="shared" ref="C51:M51" si="35">$O19*C$35/1000</f>
        <v>344.37647181842351</v>
      </c>
      <c r="D51" s="30">
        <f t="shared" si="35"/>
        <v>344.37647181842351</v>
      </c>
      <c r="E51" s="30">
        <f t="shared" si="35"/>
        <v>361.59529540934471</v>
      </c>
      <c r="F51" s="30">
        <f t="shared" si="35"/>
        <v>241.06353027289646</v>
      </c>
      <c r="G51" s="30">
        <f t="shared" si="35"/>
        <v>535.28082032646262</v>
      </c>
      <c r="H51" s="30">
        <f t="shared" si="35"/>
        <v>432.3422010329121</v>
      </c>
      <c r="I51" s="30">
        <f t="shared" si="35"/>
        <v>391.16675331549197</v>
      </c>
      <c r="J51" s="30">
        <f t="shared" si="35"/>
        <v>535.28082032646262</v>
      </c>
      <c r="K51" s="30">
        <f t="shared" si="35"/>
        <v>535.28082032646262</v>
      </c>
      <c r="L51" s="30">
        <f t="shared" si="35"/>
        <v>514.69309646775253</v>
      </c>
      <c r="M51" s="30">
        <f t="shared" si="35"/>
        <v>468.35948811809556</v>
      </c>
      <c r="N51" s="13">
        <f t="shared" si="22"/>
        <v>5048.1922410511515</v>
      </c>
      <c r="Q51" s="30">
        <f t="shared" si="19"/>
        <v>344.37647181842351</v>
      </c>
      <c r="R51" s="30">
        <f t="shared" si="20"/>
        <v>5048.1922410511515</v>
      </c>
      <c r="AB51" s="37">
        <v>13.646030806020063</v>
      </c>
    </row>
    <row r="52" spans="1:28" x14ac:dyDescent="0.3">
      <c r="A52" s="345" t="s">
        <v>92</v>
      </c>
      <c r="B52" s="354">
        <f>B50+B51</f>
        <v>1516.9683425007152</v>
      </c>
      <c r="C52" s="354">
        <f t="shared" ref="C52:N52" si="36">C50+C51</f>
        <v>1516.9683425007152</v>
      </c>
      <c r="D52" s="354">
        <f t="shared" si="36"/>
        <v>1516.9683425007152</v>
      </c>
      <c r="E52" s="354">
        <f t="shared" si="36"/>
        <v>1592.8167596257515</v>
      </c>
      <c r="F52" s="354">
        <f t="shared" si="36"/>
        <v>1061.8778397505007</v>
      </c>
      <c r="G52" s="354">
        <f t="shared" si="36"/>
        <v>2357.8964454087209</v>
      </c>
      <c r="H52" s="354">
        <f t="shared" si="36"/>
        <v>1904.4548212916593</v>
      </c>
      <c r="I52" s="354">
        <f t="shared" si="36"/>
        <v>1723.0781716448346</v>
      </c>
      <c r="J52" s="354">
        <f t="shared" si="36"/>
        <v>2357.8964454087209</v>
      </c>
      <c r="K52" s="354">
        <f t="shared" si="36"/>
        <v>2357.8964454087209</v>
      </c>
      <c r="L52" s="354">
        <f t="shared" si="36"/>
        <v>2267.2081205853087</v>
      </c>
      <c r="M52" s="354">
        <f t="shared" si="36"/>
        <v>2063.1099233736359</v>
      </c>
      <c r="N52" s="354">
        <f t="shared" si="36"/>
        <v>22237.14</v>
      </c>
      <c r="Q52" s="354">
        <f t="shared" si="19"/>
        <v>1516.9683425007152</v>
      </c>
      <c r="R52" s="354">
        <f t="shared" si="20"/>
        <v>22237.14</v>
      </c>
      <c r="AB52" s="35">
        <v>4.2009189889548271</v>
      </c>
    </row>
    <row r="53" spans="1:28" x14ac:dyDescent="0.3">
      <c r="A53" s="342" t="s">
        <v>76</v>
      </c>
      <c r="B53" s="30">
        <f>$O21*B$35/1000</f>
        <v>23.020090136450388</v>
      </c>
      <c r="C53" s="30">
        <f t="shared" ref="C53:M53" si="37">$O21*C$35/1000</f>
        <v>23.020090136450388</v>
      </c>
      <c r="D53" s="30">
        <f t="shared" si="37"/>
        <v>23.020090136450388</v>
      </c>
      <c r="E53" s="30">
        <f t="shared" si="37"/>
        <v>24.171094643272912</v>
      </c>
      <c r="F53" s="30">
        <f t="shared" si="37"/>
        <v>16.11406309551527</v>
      </c>
      <c r="G53" s="30">
        <f t="shared" si="37"/>
        <v>35.781227059917448</v>
      </c>
      <c r="H53" s="30">
        <f t="shared" si="37"/>
        <v>28.900221856087175</v>
      </c>
      <c r="I53" s="30">
        <f t="shared" si="37"/>
        <v>26.14781977455506</v>
      </c>
      <c r="J53" s="30">
        <f t="shared" si="37"/>
        <v>35.781227059917448</v>
      </c>
      <c r="K53" s="30">
        <f t="shared" si="37"/>
        <v>35.781227059917448</v>
      </c>
      <c r="L53" s="30">
        <f t="shared" si="37"/>
        <v>34.405026019151393</v>
      </c>
      <c r="M53" s="30">
        <f t="shared" si="37"/>
        <v>31.307823022314629</v>
      </c>
      <c r="N53" s="13">
        <f t="shared" si="22"/>
        <v>337.45</v>
      </c>
      <c r="Q53" s="30">
        <f t="shared" si="19"/>
        <v>23.020090136450388</v>
      </c>
      <c r="R53" s="30">
        <f t="shared" si="20"/>
        <v>337.45</v>
      </c>
      <c r="AB53" s="35">
        <v>0</v>
      </c>
    </row>
    <row r="54" spans="1:28" x14ac:dyDescent="0.3">
      <c r="A54" s="342" t="s">
        <v>77</v>
      </c>
      <c r="B54" s="30">
        <f t="shared" ref="B54:M54" si="38">$O22*B$35/1000</f>
        <v>-56.579999999999984</v>
      </c>
      <c r="C54" s="30">
        <f t="shared" si="38"/>
        <v>-56.579999999999984</v>
      </c>
      <c r="D54" s="30">
        <f t="shared" si="38"/>
        <v>-56.579999999999984</v>
      </c>
      <c r="E54" s="30">
        <f t="shared" si="38"/>
        <v>-59.408999999999985</v>
      </c>
      <c r="F54" s="30">
        <f t="shared" si="38"/>
        <v>-39.605999999999995</v>
      </c>
      <c r="G54" s="30">
        <f t="shared" si="38"/>
        <v>-87.944999999999979</v>
      </c>
      <c r="H54" s="30">
        <f t="shared" si="38"/>
        <v>-71.032499999999985</v>
      </c>
      <c r="I54" s="30">
        <f t="shared" si="38"/>
        <v>-64.267499999999984</v>
      </c>
      <c r="J54" s="30">
        <f t="shared" si="38"/>
        <v>-87.944999999999979</v>
      </c>
      <c r="K54" s="30">
        <f t="shared" si="38"/>
        <v>-87.944999999999979</v>
      </c>
      <c r="L54" s="30">
        <f t="shared" si="38"/>
        <v>-84.562499999999986</v>
      </c>
      <c r="M54" s="30">
        <f t="shared" si="38"/>
        <v>-76.950029999999984</v>
      </c>
      <c r="N54" s="13">
        <f t="shared" si="22"/>
        <v>-829.40252999999973</v>
      </c>
      <c r="Q54" s="30">
        <f t="shared" si="19"/>
        <v>-56.579999999999984</v>
      </c>
      <c r="R54" s="30">
        <f t="shared" si="20"/>
        <v>-829.40252999999973</v>
      </c>
      <c r="AB54" s="35">
        <v>0</v>
      </c>
    </row>
    <row r="55" spans="1:28" x14ac:dyDescent="0.3">
      <c r="A55" s="342" t="s">
        <v>144</v>
      </c>
      <c r="B55" s="30">
        <f t="shared" ref="B55:M55" si="39">$O23*B$35/1000</f>
        <v>0</v>
      </c>
      <c r="C55" s="30">
        <f t="shared" si="39"/>
        <v>0</v>
      </c>
      <c r="D55" s="30">
        <f t="shared" si="39"/>
        <v>0</v>
      </c>
      <c r="E55" s="30">
        <f t="shared" si="39"/>
        <v>0</v>
      </c>
      <c r="F55" s="30">
        <f t="shared" si="39"/>
        <v>0</v>
      </c>
      <c r="G55" s="30">
        <f t="shared" si="39"/>
        <v>0</v>
      </c>
      <c r="H55" s="30">
        <f t="shared" si="39"/>
        <v>0</v>
      </c>
      <c r="I55" s="30">
        <f t="shared" si="39"/>
        <v>0</v>
      </c>
      <c r="J55" s="30">
        <f t="shared" si="39"/>
        <v>0</v>
      </c>
      <c r="K55" s="30">
        <f t="shared" si="39"/>
        <v>0</v>
      </c>
      <c r="L55" s="30">
        <f t="shared" si="39"/>
        <v>0</v>
      </c>
      <c r="M55" s="30">
        <f t="shared" si="39"/>
        <v>0</v>
      </c>
      <c r="N55" s="13">
        <f t="shared" si="22"/>
        <v>0</v>
      </c>
      <c r="Q55" s="30">
        <f t="shared" si="19"/>
        <v>0</v>
      </c>
      <c r="R55" s="30">
        <f t="shared" si="20"/>
        <v>0</v>
      </c>
      <c r="AB55" s="37">
        <v>4.2009189889548271</v>
      </c>
    </row>
    <row r="56" spans="1:28" x14ac:dyDescent="0.3">
      <c r="A56" s="342" t="s">
        <v>85</v>
      </c>
      <c r="B56" s="30">
        <f t="shared" ref="B56:M56" si="40">$O24*B$35/1000</f>
        <v>0</v>
      </c>
      <c r="C56" s="30">
        <f t="shared" si="40"/>
        <v>0</v>
      </c>
      <c r="D56" s="30">
        <f t="shared" si="40"/>
        <v>0</v>
      </c>
      <c r="E56" s="30">
        <f t="shared" si="40"/>
        <v>0</v>
      </c>
      <c r="F56" s="30">
        <f t="shared" si="40"/>
        <v>0</v>
      </c>
      <c r="G56" s="30">
        <f t="shared" si="40"/>
        <v>0</v>
      </c>
      <c r="H56" s="30">
        <f t="shared" si="40"/>
        <v>0</v>
      </c>
      <c r="I56" s="30">
        <f t="shared" si="40"/>
        <v>0</v>
      </c>
      <c r="J56" s="30">
        <f t="shared" si="40"/>
        <v>0</v>
      </c>
      <c r="K56" s="30">
        <f t="shared" si="40"/>
        <v>0</v>
      </c>
      <c r="L56" s="30">
        <f t="shared" si="40"/>
        <v>0</v>
      </c>
      <c r="M56" s="30">
        <f t="shared" si="40"/>
        <v>0</v>
      </c>
      <c r="N56" s="13">
        <f t="shared" si="22"/>
        <v>0</v>
      </c>
      <c r="Q56" s="30">
        <f t="shared" si="19"/>
        <v>0</v>
      </c>
      <c r="R56" s="30">
        <f t="shared" si="20"/>
        <v>0</v>
      </c>
      <c r="AB56" s="37">
        <v>17.84694979497489</v>
      </c>
    </row>
    <row r="57" spans="1:28" x14ac:dyDescent="0.3">
      <c r="A57" s="342" t="s">
        <v>145</v>
      </c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  <c r="M57" s="355"/>
      <c r="N57" s="13">
        <f t="shared" si="22"/>
        <v>0</v>
      </c>
      <c r="Q57" s="355">
        <f t="shared" si="19"/>
        <v>0</v>
      </c>
      <c r="R57" s="355">
        <f t="shared" si="20"/>
        <v>0</v>
      </c>
      <c r="AB57" s="37"/>
    </row>
    <row r="58" spans="1:28" x14ac:dyDescent="0.3">
      <c r="A58" s="345" t="s">
        <v>146</v>
      </c>
      <c r="B58" s="354">
        <f>SUM(B53:B57)</f>
        <v>-33.559909863549592</v>
      </c>
      <c r="C58" s="354">
        <f t="shared" ref="C58:N58" si="41">SUM(C53:C57)</f>
        <v>-33.559909863549592</v>
      </c>
      <c r="D58" s="354">
        <f t="shared" si="41"/>
        <v>-33.559909863549592</v>
      </c>
      <c r="E58" s="354">
        <f t="shared" si="41"/>
        <v>-35.237905356727069</v>
      </c>
      <c r="F58" s="354">
        <f t="shared" si="41"/>
        <v>-23.491936904484724</v>
      </c>
      <c r="G58" s="354">
        <f t="shared" si="41"/>
        <v>-52.163772940082531</v>
      </c>
      <c r="H58" s="354">
        <f t="shared" si="41"/>
        <v>-42.132278143912814</v>
      </c>
      <c r="I58" s="354">
        <f t="shared" si="41"/>
        <v>-38.119680225444924</v>
      </c>
      <c r="J58" s="354">
        <f t="shared" si="41"/>
        <v>-52.163772940082531</v>
      </c>
      <c r="K58" s="354">
        <f t="shared" si="41"/>
        <v>-52.163772940082531</v>
      </c>
      <c r="L58" s="354">
        <f t="shared" si="41"/>
        <v>-50.157473980848593</v>
      </c>
      <c r="M58" s="354">
        <f t="shared" si="41"/>
        <v>-45.642206977685355</v>
      </c>
      <c r="N58" s="354">
        <f t="shared" si="41"/>
        <v>-491.95252999999974</v>
      </c>
      <c r="Q58" s="354">
        <f t="shared" si="19"/>
        <v>-33.559909863549592</v>
      </c>
      <c r="R58" s="354">
        <f t="shared" si="20"/>
        <v>-491.95252999999991</v>
      </c>
      <c r="AB58" s="37"/>
    </row>
    <row r="59" spans="1:28" x14ac:dyDescent="0.3">
      <c r="A59" s="342" t="s">
        <v>148</v>
      </c>
      <c r="B59" s="30">
        <f>$O27*B$35/1000</f>
        <v>79.533064120264967</v>
      </c>
      <c r="C59" s="30">
        <f t="shared" ref="C59:M59" si="42">$O27*C$35/1000</f>
        <v>79.533064120264967</v>
      </c>
      <c r="D59" s="30">
        <f t="shared" si="42"/>
        <v>79.533064120264967</v>
      </c>
      <c r="E59" s="30">
        <f t="shared" si="42"/>
        <v>83.509717326278221</v>
      </c>
      <c r="F59" s="30">
        <f t="shared" si="42"/>
        <v>55.673144884185483</v>
      </c>
      <c r="G59" s="30">
        <f t="shared" si="42"/>
        <v>123.62204531736838</v>
      </c>
      <c r="H59" s="30">
        <f t="shared" si="42"/>
        <v>99.84857506402831</v>
      </c>
      <c r="I59" s="30">
        <f t="shared" si="42"/>
        <v>90.339186962692267</v>
      </c>
      <c r="J59" s="30">
        <f t="shared" si="42"/>
        <v>123.62204531736838</v>
      </c>
      <c r="K59" s="30">
        <f t="shared" si="42"/>
        <v>123.62204531736838</v>
      </c>
      <c r="L59" s="30">
        <f t="shared" si="42"/>
        <v>118.86735126670037</v>
      </c>
      <c r="M59" s="30">
        <f t="shared" si="42"/>
        <v>108.16669618321514</v>
      </c>
      <c r="N59" s="13">
        <f t="shared" si="22"/>
        <v>1165.8699999999999</v>
      </c>
      <c r="Q59" s="30">
        <f t="shared" si="19"/>
        <v>79.533064120264967</v>
      </c>
      <c r="R59" s="30">
        <f t="shared" si="20"/>
        <v>1165.8699999999999</v>
      </c>
      <c r="AB59" s="37"/>
    </row>
    <row r="60" spans="1:28" x14ac:dyDescent="0.3">
      <c r="A60" s="342" t="s">
        <v>149</v>
      </c>
      <c r="B60" s="30">
        <f>$O28*B$35/1000</f>
        <v>67.179506192246606</v>
      </c>
      <c r="C60" s="30">
        <f t="shared" ref="C60:M60" si="43">$O28*C$35/1000</f>
        <v>67.179506192246606</v>
      </c>
      <c r="D60" s="30">
        <f t="shared" si="43"/>
        <v>67.179506192246606</v>
      </c>
      <c r="E60" s="30">
        <f t="shared" si="43"/>
        <v>70.538481501858939</v>
      </c>
      <c r="F60" s="30">
        <f t="shared" si="43"/>
        <v>47.025654334572629</v>
      </c>
      <c r="G60" s="30">
        <f t="shared" si="43"/>
        <v>104.42031940751377</v>
      </c>
      <c r="H60" s="30">
        <f t="shared" si="43"/>
        <v>84.339488752222664</v>
      </c>
      <c r="I60" s="30">
        <f t="shared" si="43"/>
        <v>76.307156490106209</v>
      </c>
      <c r="J60" s="30">
        <f t="shared" si="43"/>
        <v>104.42031940751377</v>
      </c>
      <c r="K60" s="30">
        <f t="shared" si="43"/>
        <v>104.42031940751377</v>
      </c>
      <c r="L60" s="30">
        <f t="shared" si="43"/>
        <v>100.40415327645555</v>
      </c>
      <c r="M60" s="30">
        <f t="shared" si="43"/>
        <v>91.365588845503069</v>
      </c>
      <c r="N60" s="13">
        <f t="shared" si="22"/>
        <v>984.7800000000002</v>
      </c>
      <c r="Q60" s="355">
        <f t="shared" si="19"/>
        <v>67.179506192246606</v>
      </c>
      <c r="R60" s="355">
        <f t="shared" si="20"/>
        <v>984.7800000000002</v>
      </c>
      <c r="AB60" s="37"/>
    </row>
    <row r="61" spans="1:28" x14ac:dyDescent="0.3">
      <c r="A61" s="345" t="s">
        <v>150</v>
      </c>
      <c r="B61" s="354">
        <f>B59+B60</f>
        <v>146.71257031251156</v>
      </c>
      <c r="C61" s="354">
        <f t="shared" ref="C61:N61" si="44">C59+C60</f>
        <v>146.71257031251156</v>
      </c>
      <c r="D61" s="354">
        <f t="shared" si="44"/>
        <v>146.71257031251156</v>
      </c>
      <c r="E61" s="354">
        <f t="shared" si="44"/>
        <v>154.04819882813717</v>
      </c>
      <c r="F61" s="354">
        <f t="shared" si="44"/>
        <v>102.69879921875811</v>
      </c>
      <c r="G61" s="354">
        <f t="shared" si="44"/>
        <v>228.04236472488213</v>
      </c>
      <c r="H61" s="354">
        <f t="shared" si="44"/>
        <v>184.18806381625097</v>
      </c>
      <c r="I61" s="354">
        <f t="shared" si="44"/>
        <v>166.64634345279848</v>
      </c>
      <c r="J61" s="354">
        <f t="shared" si="44"/>
        <v>228.04236472488213</v>
      </c>
      <c r="K61" s="354">
        <f t="shared" si="44"/>
        <v>228.04236472488213</v>
      </c>
      <c r="L61" s="354">
        <f t="shared" si="44"/>
        <v>219.27150454315591</v>
      </c>
      <c r="M61" s="354">
        <f t="shared" si="44"/>
        <v>199.53228502871821</v>
      </c>
      <c r="N61" s="354">
        <f t="shared" si="44"/>
        <v>2150.65</v>
      </c>
      <c r="Q61" s="354">
        <f t="shared" si="19"/>
        <v>146.71257031251156</v>
      </c>
      <c r="R61" s="354">
        <f t="shared" si="20"/>
        <v>2150.65</v>
      </c>
      <c r="AB61" s="37"/>
    </row>
    <row r="62" spans="1:28" ht="15" thickBot="1" x14ac:dyDescent="0.35">
      <c r="A62" s="28"/>
      <c r="B62" s="357"/>
      <c r="C62" s="357"/>
      <c r="D62" s="357"/>
      <c r="E62" s="357"/>
      <c r="F62" s="357"/>
      <c r="G62" s="357"/>
      <c r="H62" s="357"/>
      <c r="I62" s="357"/>
      <c r="J62" s="357"/>
      <c r="K62" s="357"/>
      <c r="L62" s="357"/>
      <c r="M62" s="357"/>
      <c r="N62" s="13">
        <f t="shared" si="22"/>
        <v>0</v>
      </c>
      <c r="Q62" s="357">
        <f t="shared" si="19"/>
        <v>0</v>
      </c>
      <c r="R62" s="357">
        <f t="shared" si="20"/>
        <v>0</v>
      </c>
      <c r="AB62" s="37"/>
    </row>
    <row r="63" spans="1:28" x14ac:dyDescent="0.3">
      <c r="A63" s="345" t="s">
        <v>152</v>
      </c>
      <c r="B63" s="354">
        <f>B52+B58+B61</f>
        <v>1630.1210029496772</v>
      </c>
      <c r="C63" s="354">
        <f t="shared" ref="C63:N63" si="45">C52+C58+C61</f>
        <v>1630.1210029496772</v>
      </c>
      <c r="D63" s="354">
        <f t="shared" si="45"/>
        <v>1630.1210029496772</v>
      </c>
      <c r="E63" s="354">
        <f t="shared" si="45"/>
        <v>1711.6270530971617</v>
      </c>
      <c r="F63" s="354">
        <f t="shared" si="45"/>
        <v>1141.0847020647741</v>
      </c>
      <c r="G63" s="354">
        <f t="shared" si="45"/>
        <v>2533.7750371935203</v>
      </c>
      <c r="H63" s="354">
        <f t="shared" si="45"/>
        <v>2046.5106069639974</v>
      </c>
      <c r="I63" s="354">
        <f t="shared" si="45"/>
        <v>1851.6048348721881</v>
      </c>
      <c r="J63" s="354">
        <f t="shared" si="45"/>
        <v>2533.7750371935203</v>
      </c>
      <c r="K63" s="354">
        <f t="shared" si="45"/>
        <v>2533.7750371935203</v>
      </c>
      <c r="L63" s="354">
        <f t="shared" si="45"/>
        <v>2436.3221511476163</v>
      </c>
      <c r="M63" s="354">
        <f t="shared" si="45"/>
        <v>2217.0000014246689</v>
      </c>
      <c r="N63" s="354">
        <f t="shared" si="45"/>
        <v>23895.837470000002</v>
      </c>
      <c r="Q63" s="354">
        <f t="shared" si="19"/>
        <v>1630.1210029496772</v>
      </c>
      <c r="R63" s="354">
        <f t="shared" si="20"/>
        <v>23895.837469999999</v>
      </c>
      <c r="AB63" s="37"/>
    </row>
    <row r="64" spans="1:28" x14ac:dyDescent="0.3">
      <c r="A64" s="27"/>
      <c r="B64" s="350"/>
      <c r="C64" s="350"/>
      <c r="D64" s="350"/>
      <c r="E64" s="350"/>
      <c r="F64" s="350"/>
      <c r="G64" s="350"/>
      <c r="H64" s="350"/>
      <c r="I64" s="350"/>
      <c r="J64" s="350"/>
      <c r="K64" s="350"/>
      <c r="L64" s="350"/>
      <c r="M64" s="350"/>
      <c r="N64" s="350"/>
      <c r="O64" s="351"/>
      <c r="Q64" s="352"/>
      <c r="R64" s="352"/>
      <c r="AB64" s="35"/>
    </row>
    <row r="65" spans="1:28" s="365" customFormat="1" x14ac:dyDescent="0.3">
      <c r="A65" s="369"/>
      <c r="B65" s="370"/>
      <c r="C65" s="370"/>
      <c r="D65" s="370"/>
      <c r="E65" s="370"/>
      <c r="F65" s="370"/>
      <c r="G65" s="370"/>
      <c r="H65" s="370"/>
      <c r="I65" s="370"/>
      <c r="J65" s="370"/>
      <c r="K65" s="370"/>
      <c r="L65" s="370"/>
      <c r="M65" s="370"/>
      <c r="N65" s="370"/>
      <c r="O65" s="368"/>
      <c r="Q65" s="371"/>
      <c r="R65" s="371"/>
      <c r="AB65" s="372"/>
    </row>
    <row r="66" spans="1:28" x14ac:dyDescent="0.3">
      <c r="A66" s="153" t="s">
        <v>96</v>
      </c>
      <c r="B66" s="9">
        <v>50463</v>
      </c>
      <c r="C66" s="9">
        <v>50446</v>
      </c>
      <c r="D66" s="9">
        <v>50447</v>
      </c>
      <c r="E66" s="9">
        <v>48050</v>
      </c>
      <c r="F66" s="9">
        <v>36788</v>
      </c>
      <c r="G66" s="9">
        <v>53265</v>
      </c>
      <c r="H66" s="9">
        <v>42049</v>
      </c>
      <c r="I66" s="9">
        <v>39150</v>
      </c>
      <c r="J66" s="9">
        <v>53732</v>
      </c>
      <c r="K66" s="9">
        <v>48548</v>
      </c>
      <c r="L66" s="9">
        <v>51408</v>
      </c>
      <c r="M66" s="9">
        <f>40676</f>
        <v>40676</v>
      </c>
      <c r="N66" s="410">
        <f>SUM(B66:M66)-22</f>
        <v>565000</v>
      </c>
      <c r="Q66" s="104">
        <f t="shared" ref="Q66" si="46">SUMPRODUCT(B66:M66,B$2:M$2)</f>
        <v>50463</v>
      </c>
      <c r="R66" s="104">
        <f t="shared" ref="R66" si="47">SUMIFS(B66:M66,$B$1:$M$1,$Y$3)</f>
        <v>565022</v>
      </c>
    </row>
    <row r="67" spans="1:28" x14ac:dyDescent="0.3">
      <c r="A67" s="25" t="s">
        <v>200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6"/>
    </row>
    <row r="69" spans="1:28" ht="23.4" x14ac:dyDescent="0.45">
      <c r="A69" s="394" t="s">
        <v>201</v>
      </c>
      <c r="B69" s="22" t="s">
        <v>169</v>
      </c>
      <c r="C69" s="22" t="s">
        <v>169</v>
      </c>
      <c r="D69" s="22" t="s">
        <v>169</v>
      </c>
      <c r="E69" s="22" t="s">
        <v>169</v>
      </c>
      <c r="F69" s="22" t="s">
        <v>169</v>
      </c>
      <c r="G69" s="22" t="s">
        <v>169</v>
      </c>
      <c r="H69" s="22" t="s">
        <v>169</v>
      </c>
      <c r="I69" s="22" t="s">
        <v>169</v>
      </c>
      <c r="J69" s="22" t="s">
        <v>169</v>
      </c>
      <c r="K69" s="22" t="s">
        <v>169</v>
      </c>
      <c r="L69" s="22" t="s">
        <v>169</v>
      </c>
      <c r="M69" s="22" t="s">
        <v>169</v>
      </c>
      <c r="N69" s="22" t="s">
        <v>169</v>
      </c>
      <c r="Q69" s="64" t="s">
        <v>180</v>
      </c>
      <c r="R69" s="64" t="s">
        <v>94</v>
      </c>
    </row>
    <row r="70" spans="1:28" x14ac:dyDescent="0.3">
      <c r="A70" s="341" t="s">
        <v>158</v>
      </c>
      <c r="B70" s="30">
        <f>$O5*B$66/1000-B37</f>
        <v>50.781267842286411</v>
      </c>
      <c r="C70" s="30">
        <f t="shared" ref="C70:M70" si="48">$O5*C$66/1000-C37</f>
        <v>50.587837066279576</v>
      </c>
      <c r="D70" s="30">
        <f t="shared" si="48"/>
        <v>50.599215347221048</v>
      </c>
      <c r="E70" s="30">
        <f t="shared" si="48"/>
        <v>-2.8445702353958495</v>
      </c>
      <c r="F70" s="30">
        <f t="shared" si="48"/>
        <v>52.203552959984336</v>
      </c>
      <c r="G70" s="30">
        <f t="shared" si="48"/>
        <v>-207.48295296977199</v>
      </c>
      <c r="H70" s="30">
        <f t="shared" si="48"/>
        <v>-178.65038906379999</v>
      </c>
      <c r="I70" s="30">
        <f t="shared" si="48"/>
        <v>-149.05548033474173</v>
      </c>
      <c r="J70" s="30">
        <f t="shared" si="48"/>
        <v>-202.1692957700526</v>
      </c>
      <c r="K70" s="30">
        <f t="shared" si="48"/>
        <v>-261.15430417122059</v>
      </c>
      <c r="L70" s="30">
        <f t="shared" si="48"/>
        <v>-197.32214808893821</v>
      </c>
      <c r="M70" s="30">
        <f t="shared" si="48"/>
        <v>-249.01367840655126</v>
      </c>
      <c r="N70" s="13">
        <f>SUM(B70:M70)</f>
        <v>-1243.5209458247009</v>
      </c>
      <c r="Q70" s="30">
        <f t="shared" ref="Q70:Q81" si="49">SUMPRODUCT(B70:M70,B$2:M$2)</f>
        <v>50.781267842286411</v>
      </c>
      <c r="R70" s="30">
        <f t="shared" ref="R70:R81" si="50">SUMIFS(B70:M70,$B$1:$M$1,$Y$3)</f>
        <v>-1243.5209458247009</v>
      </c>
    </row>
    <row r="71" spans="1:28" x14ac:dyDescent="0.3">
      <c r="A71" s="341" t="s">
        <v>75</v>
      </c>
      <c r="B71" s="30">
        <f>$O6*B$66/1000-B38</f>
        <v>3.441676021894942</v>
      </c>
      <c r="C71" s="30">
        <f t="shared" ref="C71:M71" si="51">$O6*C$66/1000-C38</f>
        <v>3.4285663440163461</v>
      </c>
      <c r="D71" s="30">
        <f t="shared" si="51"/>
        <v>3.4293375015386118</v>
      </c>
      <c r="E71" s="30">
        <f t="shared" si="51"/>
        <v>-0.19278938056771722</v>
      </c>
      <c r="F71" s="30">
        <f t="shared" si="51"/>
        <v>3.5380707121788006</v>
      </c>
      <c r="G71" s="30">
        <f t="shared" si="51"/>
        <v>-14.062057418609513</v>
      </c>
      <c r="H71" s="30">
        <f t="shared" si="51"/>
        <v>-12.107944257175099</v>
      </c>
      <c r="I71" s="30">
        <f t="shared" si="51"/>
        <v>-10.102163541748538</v>
      </c>
      <c r="J71" s="30">
        <f t="shared" si="51"/>
        <v>-13.701926855709011</v>
      </c>
      <c r="K71" s="30">
        <f t="shared" si="51"/>
        <v>-17.699607451161249</v>
      </c>
      <c r="L71" s="30">
        <f t="shared" si="51"/>
        <v>-13.373413751221619</v>
      </c>
      <c r="M71" s="30">
        <f t="shared" si="51"/>
        <v>-16.876782374898223</v>
      </c>
      <c r="N71" s="13">
        <f>SUM(B71:M71)</f>
        <v>-84.27903445146228</v>
      </c>
      <c r="Q71" s="30">
        <f t="shared" si="49"/>
        <v>3.441676021894942</v>
      </c>
      <c r="R71" s="30">
        <f t="shared" si="50"/>
        <v>-84.27903445146228</v>
      </c>
    </row>
    <row r="72" spans="1:28" x14ac:dyDescent="0.3">
      <c r="A72" s="342" t="s">
        <v>196</v>
      </c>
      <c r="B72" s="30">
        <f>$O7*B$66/1000-B39</f>
        <v>1.5688085912879934</v>
      </c>
      <c r="C72" s="30">
        <f t="shared" ref="C72:M72" si="52">$O7*C$66/1000-C39</f>
        <v>1.5628328471580595</v>
      </c>
      <c r="D72" s="30">
        <f t="shared" si="52"/>
        <v>1.563184361518644</v>
      </c>
      <c r="E72" s="30">
        <f t="shared" si="52"/>
        <v>-8.7878590146093671E-2</v>
      </c>
      <c r="F72" s="30">
        <f t="shared" si="52"/>
        <v>1.612747886361042</v>
      </c>
      <c r="G72" s="30">
        <f t="shared" si="52"/>
        <v>-6.409864365255789</v>
      </c>
      <c r="H72" s="30">
        <f t="shared" si="52"/>
        <v>-5.5191269755350252</v>
      </c>
      <c r="I72" s="30">
        <f t="shared" si="52"/>
        <v>-4.6048381236551101</v>
      </c>
      <c r="J72" s="30">
        <f t="shared" si="52"/>
        <v>-6.2457071588628956</v>
      </c>
      <c r="K72" s="30">
        <f t="shared" si="52"/>
        <v>-8.0679576041322143</v>
      </c>
      <c r="L72" s="30">
        <f t="shared" si="52"/>
        <v>-6.0959620412539621</v>
      </c>
      <c r="M72" s="30">
        <f t="shared" si="52"/>
        <v>-7.6928917813887043</v>
      </c>
      <c r="N72" s="13">
        <f>SUM(B72:M72)</f>
        <v>-38.416652953904055</v>
      </c>
      <c r="Q72" s="30">
        <f t="shared" si="49"/>
        <v>1.5688085912879934</v>
      </c>
      <c r="R72" s="30">
        <f t="shared" si="50"/>
        <v>-38.416652953904055</v>
      </c>
    </row>
    <row r="73" spans="1:28" ht="15" thickBot="1" x14ac:dyDescent="0.35">
      <c r="A73" s="358" t="s">
        <v>197</v>
      </c>
      <c r="B73" s="354">
        <f>SUM(B70:B72)</f>
        <v>55.79175245546935</v>
      </c>
      <c r="C73" s="354">
        <f t="shared" ref="C73:M73" si="53">SUM(C70:C72)</f>
        <v>55.579236257453985</v>
      </c>
      <c r="D73" s="354">
        <f t="shared" si="53"/>
        <v>55.591737210278303</v>
      </c>
      <c r="E73" s="354">
        <f t="shared" si="53"/>
        <v>-3.1252382061096604</v>
      </c>
      <c r="F73" s="354">
        <f t="shared" si="53"/>
        <v>57.354371558524178</v>
      </c>
      <c r="G73" s="354">
        <f t="shared" si="53"/>
        <v>-227.95487475363731</v>
      </c>
      <c r="H73" s="354">
        <f t="shared" si="53"/>
        <v>-196.2774602965101</v>
      </c>
      <c r="I73" s="354">
        <f t="shared" si="53"/>
        <v>-163.76248200014538</v>
      </c>
      <c r="J73" s="354">
        <f t="shared" si="53"/>
        <v>-222.11692978462452</v>
      </c>
      <c r="K73" s="354">
        <f t="shared" si="53"/>
        <v>-286.92186922651405</v>
      </c>
      <c r="L73" s="354">
        <f t="shared" si="53"/>
        <v>-216.79152388141378</v>
      </c>
      <c r="M73" s="354">
        <f t="shared" si="53"/>
        <v>-273.58335256283817</v>
      </c>
      <c r="N73" s="354">
        <f>SUM(N70:N72)</f>
        <v>-1366.2166332300674</v>
      </c>
      <c r="Q73" s="354">
        <f t="shared" si="49"/>
        <v>55.79175245546935</v>
      </c>
      <c r="R73" s="354">
        <f t="shared" si="50"/>
        <v>-1366.2166332300671</v>
      </c>
    </row>
    <row r="74" spans="1:28" x14ac:dyDescent="0.3">
      <c r="A74" s="342" t="s">
        <v>76</v>
      </c>
      <c r="B74" s="30">
        <f>$O21*B$66/1000-B53</f>
        <v>2.2334491799777858</v>
      </c>
      <c r="C74" s="30">
        <f t="shared" ref="C74:M74" si="54">$O21*C$66/1000-C53</f>
        <v>2.224941755362142</v>
      </c>
      <c r="D74" s="30">
        <f t="shared" si="54"/>
        <v>2.2254421921042358</v>
      </c>
      <c r="E74" s="30">
        <f t="shared" si="54"/>
        <v>-0.1251091855241917</v>
      </c>
      <c r="F74" s="30">
        <f t="shared" si="54"/>
        <v>2.2960037727398799</v>
      </c>
      <c r="G74" s="30">
        <f t="shared" si="54"/>
        <v>-9.1254639921341862</v>
      </c>
      <c r="H74" s="30">
        <f t="shared" si="54"/>
        <v>-7.8573572876610349</v>
      </c>
      <c r="I74" s="30">
        <f t="shared" si="54"/>
        <v>-6.5557213214673915</v>
      </c>
      <c r="J74" s="30">
        <f t="shared" si="54"/>
        <v>-8.8917600335750073</v>
      </c>
      <c r="K74" s="30">
        <f t="shared" si="54"/>
        <v>-11.486024104604546</v>
      </c>
      <c r="L74" s="30">
        <f t="shared" si="54"/>
        <v>-8.6785739814417902</v>
      </c>
      <c r="M74" s="30">
        <f t="shared" si="54"/>
        <v>-10.952058100787323</v>
      </c>
      <c r="N74" s="13">
        <f>SUM(B74:M74)</f>
        <v>-54.692231107011423</v>
      </c>
      <c r="Q74" s="30">
        <f t="shared" si="49"/>
        <v>2.2334491799777858</v>
      </c>
      <c r="R74" s="30">
        <f t="shared" si="50"/>
        <v>-54.692231107011423</v>
      </c>
    </row>
    <row r="75" spans="1:28" x14ac:dyDescent="0.3">
      <c r="A75" s="342" t="s">
        <v>77</v>
      </c>
      <c r="B75" s="30">
        <f>$O22*B$66/1000-B54</f>
        <v>-5.4894900000000035</v>
      </c>
      <c r="C75" s="30">
        <f t="shared" ref="C75:M75" si="55">$O22*C$66/1000-C54</f>
        <v>-5.4685800000000029</v>
      </c>
      <c r="D75" s="30">
        <f t="shared" si="55"/>
        <v>-5.4698100000000096</v>
      </c>
      <c r="E75" s="30">
        <f t="shared" si="55"/>
        <v>0.30749999999999744</v>
      </c>
      <c r="F75" s="30">
        <f t="shared" si="55"/>
        <v>-5.6432399999999987</v>
      </c>
      <c r="G75" s="30">
        <f t="shared" si="55"/>
        <v>22.429049999999989</v>
      </c>
      <c r="H75" s="30">
        <f t="shared" si="55"/>
        <v>19.312229999999992</v>
      </c>
      <c r="I75" s="30">
        <f t="shared" si="55"/>
        <v>16.112999999999992</v>
      </c>
      <c r="J75" s="30">
        <f t="shared" si="55"/>
        <v>21.854639999999989</v>
      </c>
      <c r="K75" s="30">
        <f t="shared" si="55"/>
        <v>28.230959999999996</v>
      </c>
      <c r="L75" s="30">
        <f t="shared" si="55"/>
        <v>21.330659999999995</v>
      </c>
      <c r="M75" s="30">
        <f t="shared" si="55"/>
        <v>26.918549999999996</v>
      </c>
      <c r="N75" s="13">
        <f>SUM(B75:M75)</f>
        <v>134.42546999999993</v>
      </c>
      <c r="Q75" s="30">
        <f t="shared" si="49"/>
        <v>-5.4894900000000035</v>
      </c>
      <c r="R75" s="30">
        <f t="shared" si="50"/>
        <v>134.42546999999993</v>
      </c>
    </row>
    <row r="76" spans="1:28" x14ac:dyDescent="0.3">
      <c r="A76" s="342" t="s">
        <v>144</v>
      </c>
      <c r="B76" s="30">
        <f>$O23*B$66/1000-B55</f>
        <v>0</v>
      </c>
      <c r="C76" s="30">
        <f t="shared" ref="C76:M76" si="56">$O23*C$66/1000-C55</f>
        <v>0</v>
      </c>
      <c r="D76" s="30">
        <f t="shared" si="56"/>
        <v>0</v>
      </c>
      <c r="E76" s="30">
        <f t="shared" si="56"/>
        <v>0</v>
      </c>
      <c r="F76" s="30">
        <f t="shared" si="56"/>
        <v>0</v>
      </c>
      <c r="G76" s="30">
        <f t="shared" si="56"/>
        <v>0</v>
      </c>
      <c r="H76" s="30">
        <f t="shared" si="56"/>
        <v>0</v>
      </c>
      <c r="I76" s="30">
        <f t="shared" si="56"/>
        <v>0</v>
      </c>
      <c r="J76" s="30">
        <f t="shared" si="56"/>
        <v>0</v>
      </c>
      <c r="K76" s="30">
        <f t="shared" si="56"/>
        <v>0</v>
      </c>
      <c r="L76" s="30">
        <f t="shared" si="56"/>
        <v>0</v>
      </c>
      <c r="M76" s="30">
        <f t="shared" si="56"/>
        <v>0</v>
      </c>
      <c r="N76" s="13">
        <f t="shared" ref="N76" si="57">SUM(B76:M76)</f>
        <v>0</v>
      </c>
      <c r="Q76" s="30">
        <f t="shared" si="49"/>
        <v>0</v>
      </c>
      <c r="R76" s="30">
        <f t="shared" si="50"/>
        <v>0</v>
      </c>
    </row>
    <row r="77" spans="1:28" x14ac:dyDescent="0.3">
      <c r="A77" s="34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13"/>
      <c r="Q77" s="30">
        <f t="shared" si="49"/>
        <v>0</v>
      </c>
      <c r="R77" s="30">
        <f t="shared" si="50"/>
        <v>0</v>
      </c>
    </row>
    <row r="78" spans="1:28" x14ac:dyDescent="0.3">
      <c r="A78" s="342"/>
      <c r="B78" s="355"/>
      <c r="C78" s="355"/>
      <c r="D78" s="355"/>
      <c r="E78" s="355"/>
      <c r="F78" s="355"/>
      <c r="G78" s="355"/>
      <c r="H78" s="355"/>
      <c r="I78" s="355"/>
      <c r="J78" s="355"/>
      <c r="K78" s="355"/>
      <c r="L78" s="355"/>
      <c r="M78" s="355"/>
      <c r="N78" s="13"/>
      <c r="Q78" s="355">
        <f t="shared" si="49"/>
        <v>0</v>
      </c>
      <c r="R78" s="355">
        <f t="shared" si="50"/>
        <v>0</v>
      </c>
    </row>
    <row r="79" spans="1:28" x14ac:dyDescent="0.3">
      <c r="A79" s="345" t="s">
        <v>146</v>
      </c>
      <c r="B79" s="354">
        <f>SUM(B74:B78)</f>
        <v>-3.2560408200222177</v>
      </c>
      <c r="C79" s="354">
        <f>SUM(C74:C78)</f>
        <v>-3.2436382446378609</v>
      </c>
      <c r="D79" s="354">
        <f t="shared" ref="D79" si="58">SUM(D74:D78)</f>
        <v>-3.2443678078957738</v>
      </c>
      <c r="E79" s="354">
        <f t="shared" ref="E79" si="59">SUM(E74:E78)</f>
        <v>0.18239081447580574</v>
      </c>
      <c r="F79" s="354">
        <f t="shared" ref="F79" si="60">SUM(F74:F78)</f>
        <v>-3.3472362272601188</v>
      </c>
      <c r="G79" s="354">
        <f t="shared" ref="G79" si="61">SUM(G74:G78)</f>
        <v>13.303586007865803</v>
      </c>
      <c r="H79" s="354">
        <f t="shared" ref="H79" si="62">SUM(H74:H78)</f>
        <v>11.454872712338958</v>
      </c>
      <c r="I79" s="354">
        <f t="shared" ref="I79" si="63">SUM(I74:I78)</f>
        <v>9.5572786785326009</v>
      </c>
      <c r="J79" s="354">
        <f t="shared" ref="J79" si="64">SUM(J74:J78)</f>
        <v>12.962879966424982</v>
      </c>
      <c r="K79" s="354">
        <f t="shared" ref="K79" si="65">SUM(K74:K78)</f>
        <v>16.74493589539545</v>
      </c>
      <c r="L79" s="354">
        <f t="shared" ref="L79" si="66">SUM(L74:L78)</f>
        <v>12.652086018558204</v>
      </c>
      <c r="M79" s="354">
        <f t="shared" ref="M79" si="67">SUM(M74:M78)</f>
        <v>15.966491899212674</v>
      </c>
      <c r="N79" s="354">
        <f t="shared" ref="N79" si="68">SUM(N74:N78)</f>
        <v>79.73323889298851</v>
      </c>
      <c r="Q79" s="354">
        <f t="shared" si="49"/>
        <v>-3.2560408200222177</v>
      </c>
      <c r="R79" s="354">
        <f t="shared" si="50"/>
        <v>79.733238892988496</v>
      </c>
    </row>
    <row r="80" spans="1:28" ht="15" thickBot="1" x14ac:dyDescent="0.35">
      <c r="A80" s="28"/>
      <c r="B80" s="357"/>
      <c r="C80" s="357"/>
      <c r="D80" s="357"/>
      <c r="E80" s="357"/>
      <c r="F80" s="357"/>
      <c r="G80" s="357"/>
      <c r="H80" s="357"/>
      <c r="I80" s="357"/>
      <c r="J80" s="357"/>
      <c r="K80" s="357"/>
      <c r="L80" s="357"/>
      <c r="M80" s="357"/>
      <c r="N80" s="13">
        <f t="shared" ref="N80" si="69">SUM(B80:M80)</f>
        <v>0</v>
      </c>
      <c r="Q80" s="357">
        <f t="shared" si="49"/>
        <v>0</v>
      </c>
      <c r="R80" s="357">
        <f t="shared" si="50"/>
        <v>0</v>
      </c>
    </row>
    <row r="81" spans="1:18" x14ac:dyDescent="0.3">
      <c r="A81" s="345" t="s">
        <v>152</v>
      </c>
      <c r="B81" s="354">
        <f>B73+B79</f>
        <v>52.535711635447129</v>
      </c>
      <c r="C81" s="354">
        <f t="shared" ref="C81:M81" si="70">C73+C79</f>
        <v>52.335598012816121</v>
      </c>
      <c r="D81" s="354">
        <f t="shared" si="70"/>
        <v>52.347369402382526</v>
      </c>
      <c r="E81" s="354">
        <f t="shared" si="70"/>
        <v>-2.9428473916338547</v>
      </c>
      <c r="F81" s="354">
        <f t="shared" si="70"/>
        <v>54.00713533126406</v>
      </c>
      <c r="G81" s="354">
        <f t="shared" si="70"/>
        <v>-214.65128874577152</v>
      </c>
      <c r="H81" s="354">
        <f t="shared" si="70"/>
        <v>-184.82258758417115</v>
      </c>
      <c r="I81" s="354">
        <f t="shared" si="70"/>
        <v>-154.20520332161277</v>
      </c>
      <c r="J81" s="354">
        <f t="shared" si="70"/>
        <v>-209.15404981819952</v>
      </c>
      <c r="K81" s="354">
        <f t="shared" si="70"/>
        <v>-270.17693333111862</v>
      </c>
      <c r="L81" s="354">
        <f t="shared" si="70"/>
        <v>-204.13943786285557</v>
      </c>
      <c r="M81" s="354">
        <f t="shared" si="70"/>
        <v>-257.61686066362552</v>
      </c>
      <c r="N81" s="354">
        <f>N73+N79</f>
        <v>-1286.4833943370788</v>
      </c>
      <c r="Q81" s="354">
        <f t="shared" si="49"/>
        <v>52.535711635447129</v>
      </c>
      <c r="R81" s="354">
        <f t="shared" si="50"/>
        <v>-1286.4833943370786</v>
      </c>
    </row>
    <row r="83" spans="1:18" s="365" customFormat="1" x14ac:dyDescent="0.3">
      <c r="O83" s="368"/>
    </row>
    <row r="85" spans="1:18" ht="23.4" x14ac:dyDescent="0.45">
      <c r="A85" s="394" t="s">
        <v>202</v>
      </c>
      <c r="B85" s="1" t="s">
        <v>0</v>
      </c>
      <c r="C85" s="1" t="s">
        <v>1</v>
      </c>
      <c r="D85" s="1" t="s">
        <v>2</v>
      </c>
      <c r="E85" s="1" t="s">
        <v>3</v>
      </c>
      <c r="F85" s="1" t="s">
        <v>4</v>
      </c>
      <c r="G85" s="1" t="s">
        <v>5</v>
      </c>
      <c r="H85" s="1" t="s">
        <v>6</v>
      </c>
      <c r="I85" s="1" t="s">
        <v>7</v>
      </c>
      <c r="J85" s="1" t="s">
        <v>8</v>
      </c>
      <c r="K85" s="1" t="s">
        <v>9</v>
      </c>
      <c r="L85" s="1" t="s">
        <v>10</v>
      </c>
      <c r="M85" s="1" t="s">
        <v>11</v>
      </c>
      <c r="N85" s="1" t="s">
        <v>12</v>
      </c>
      <c r="Q85" s="64" t="s">
        <v>180</v>
      </c>
      <c r="R85" s="64" t="s">
        <v>94</v>
      </c>
    </row>
    <row r="86" spans="1:18" x14ac:dyDescent="0.3">
      <c r="A86" s="341" t="s">
        <v>158</v>
      </c>
      <c r="B86" s="30">
        <f>B37+B70</f>
        <v>574.18219115511977</v>
      </c>
      <c r="C86" s="30">
        <f t="shared" ref="C86:M86" si="71">C37+C70</f>
        <v>573.98876037911293</v>
      </c>
      <c r="D86" s="30">
        <f t="shared" si="71"/>
        <v>574.0001386600544</v>
      </c>
      <c r="E86" s="30">
        <f t="shared" si="71"/>
        <v>546.72639924307919</v>
      </c>
      <c r="F86" s="30">
        <f t="shared" si="71"/>
        <v>418.58419927896767</v>
      </c>
      <c r="G86" s="30">
        <f t="shared" si="71"/>
        <v>606.06413435343632</v>
      </c>
      <c r="H86" s="30">
        <f t="shared" si="71"/>
        <v>478.44533531263761</v>
      </c>
      <c r="I86" s="30">
        <f t="shared" si="71"/>
        <v>445.45969886298752</v>
      </c>
      <c r="J86" s="30">
        <f t="shared" si="71"/>
        <v>611.3777915531557</v>
      </c>
      <c r="K86" s="30">
        <f t="shared" si="71"/>
        <v>552.39278315198771</v>
      </c>
      <c r="L86" s="30">
        <f t="shared" si="71"/>
        <v>584.93466664491609</v>
      </c>
      <c r="M86" s="30">
        <f t="shared" si="71"/>
        <v>462.82295557984372</v>
      </c>
      <c r="N86" s="13">
        <f t="shared" ref="N86:N88" si="72">SUM(B86:M86)</f>
        <v>6428.9790541752982</v>
      </c>
      <c r="Q86" s="30">
        <f t="shared" ref="Q86:Q112" si="73">SUMPRODUCT(B86:M86,B$2:M$2)</f>
        <v>574.18219115511977</v>
      </c>
      <c r="R86" s="30">
        <f t="shared" ref="R86:R112" si="74">SUMIFS(B86:M86,$B$1:$M$1,$Y$3)</f>
        <v>6428.9790541752982</v>
      </c>
    </row>
    <row r="87" spans="1:18" x14ac:dyDescent="0.3">
      <c r="A87" s="341" t="s">
        <v>75</v>
      </c>
      <c r="B87" s="30">
        <f t="shared" ref="B87:M87" si="75">B38+B71</f>
        <v>38.914922046355457</v>
      </c>
      <c r="C87" s="30">
        <f t="shared" si="75"/>
        <v>38.901812368476861</v>
      </c>
      <c r="D87" s="30">
        <f t="shared" si="75"/>
        <v>38.902583525999127</v>
      </c>
      <c r="E87" s="30">
        <f t="shared" si="75"/>
        <v>37.054118945115825</v>
      </c>
      <c r="F87" s="30">
        <f t="shared" si="75"/>
        <v>28.369342929301165</v>
      </c>
      <c r="G87" s="30">
        <f t="shared" si="75"/>
        <v>41.075705423758464</v>
      </c>
      <c r="H87" s="30">
        <f t="shared" si="75"/>
        <v>32.426402653968267</v>
      </c>
      <c r="I87" s="30">
        <f t="shared" si="75"/>
        <v>30.190816996904985</v>
      </c>
      <c r="J87" s="30">
        <f t="shared" si="75"/>
        <v>41.435835986658965</v>
      </c>
      <c r="K87" s="30">
        <f t="shared" si="75"/>
        <v>37.438155391206728</v>
      </c>
      <c r="L87" s="30">
        <f t="shared" si="75"/>
        <v>39.643665904901439</v>
      </c>
      <c r="M87" s="30">
        <f t="shared" si="75"/>
        <v>31.367603375890351</v>
      </c>
      <c r="N87" s="13">
        <f t="shared" si="72"/>
        <v>435.72096554853761</v>
      </c>
      <c r="Q87" s="30">
        <f t="shared" si="73"/>
        <v>38.914922046355457</v>
      </c>
      <c r="R87" s="30">
        <f t="shared" si="74"/>
        <v>435.72096554853761</v>
      </c>
    </row>
    <row r="88" spans="1:18" x14ac:dyDescent="0.3">
      <c r="A88" s="342" t="s">
        <v>196</v>
      </c>
      <c r="B88" s="30">
        <f t="shared" ref="B88:M88" si="76">B39+B72</f>
        <v>17.738469178168526</v>
      </c>
      <c r="C88" s="30">
        <f t="shared" si="76"/>
        <v>17.732493434038592</v>
      </c>
      <c r="D88" s="30">
        <f t="shared" si="76"/>
        <v>17.732844948399176</v>
      </c>
      <c r="E88" s="30">
        <f t="shared" si="76"/>
        <v>16.890265026078467</v>
      </c>
      <c r="F88" s="30">
        <f t="shared" si="76"/>
        <v>12.931510297177413</v>
      </c>
      <c r="G88" s="30">
        <f t="shared" si="76"/>
        <v>18.723412416525903</v>
      </c>
      <c r="H88" s="30">
        <f t="shared" si="76"/>
        <v>14.780827348211728</v>
      </c>
      <c r="I88" s="30">
        <f t="shared" si="76"/>
        <v>13.761787216877668</v>
      </c>
      <c r="J88" s="30">
        <f t="shared" si="76"/>
        <v>18.887569622918797</v>
      </c>
      <c r="K88" s="30">
        <f t="shared" si="76"/>
        <v>17.065319177649478</v>
      </c>
      <c r="L88" s="30">
        <f t="shared" si="76"/>
        <v>18.070650248920746</v>
      </c>
      <c r="M88" s="30">
        <f t="shared" si="76"/>
        <v>14.298198131129402</v>
      </c>
      <c r="N88" s="13">
        <f t="shared" si="72"/>
        <v>198.6133470460959</v>
      </c>
      <c r="Q88" s="30">
        <f t="shared" si="73"/>
        <v>17.738469178168526</v>
      </c>
      <c r="R88" s="30">
        <f t="shared" si="74"/>
        <v>198.6133470460959</v>
      </c>
    </row>
    <row r="89" spans="1:18" ht="15" thickBot="1" x14ac:dyDescent="0.35">
      <c r="A89" s="344" t="s">
        <v>197</v>
      </c>
      <c r="B89" s="353">
        <f>SUM(B86:B88)</f>
        <v>630.83558237964371</v>
      </c>
      <c r="C89" s="353">
        <f t="shared" ref="C89:N89" si="77">SUM(C86:C88)</f>
        <v>630.62306618162836</v>
      </c>
      <c r="D89" s="353">
        <f t="shared" si="77"/>
        <v>630.63556713445269</v>
      </c>
      <c r="E89" s="353">
        <f t="shared" si="77"/>
        <v>600.67078321427357</v>
      </c>
      <c r="F89" s="353">
        <f t="shared" si="77"/>
        <v>459.88505250544625</v>
      </c>
      <c r="G89" s="353">
        <f t="shared" si="77"/>
        <v>665.86325219372065</v>
      </c>
      <c r="H89" s="353">
        <f t="shared" si="77"/>
        <v>525.65256531481759</v>
      </c>
      <c r="I89" s="353">
        <f t="shared" si="77"/>
        <v>489.41230307677017</v>
      </c>
      <c r="J89" s="353">
        <f t="shared" si="77"/>
        <v>671.70119716273348</v>
      </c>
      <c r="K89" s="353">
        <f t="shared" si="77"/>
        <v>606.89625772084389</v>
      </c>
      <c r="L89" s="353">
        <f t="shared" si="77"/>
        <v>642.6489827987383</v>
      </c>
      <c r="M89" s="353">
        <f t="shared" si="77"/>
        <v>508.48875708686347</v>
      </c>
      <c r="N89" s="353">
        <f t="shared" si="77"/>
        <v>7063.3133667699312</v>
      </c>
      <c r="Q89" s="353">
        <f t="shared" si="73"/>
        <v>630.83558237964371</v>
      </c>
      <c r="R89" s="353">
        <f t="shared" si="74"/>
        <v>7063.3133667699321</v>
      </c>
    </row>
    <row r="90" spans="1:18" x14ac:dyDescent="0.3">
      <c r="A90" s="343" t="s">
        <v>80</v>
      </c>
      <c r="B90" s="30">
        <f>B41</f>
        <v>205.291860877251</v>
      </c>
      <c r="C90" s="30">
        <f t="shared" ref="C90:M90" si="78">C41</f>
        <v>205.291860877251</v>
      </c>
      <c r="D90" s="30">
        <f t="shared" si="78"/>
        <v>205.291860877251</v>
      </c>
      <c r="E90" s="30">
        <f t="shared" si="78"/>
        <v>215.55645392111353</v>
      </c>
      <c r="F90" s="30">
        <f t="shared" si="78"/>
        <v>143.70430261407569</v>
      </c>
      <c r="G90" s="30">
        <f t="shared" si="78"/>
        <v>319.09495766790099</v>
      </c>
      <c r="H90" s="30">
        <f t="shared" si="78"/>
        <v>257.73054273176621</v>
      </c>
      <c r="I90" s="30">
        <f t="shared" si="78"/>
        <v>233.18477675731228</v>
      </c>
      <c r="J90" s="30">
        <f t="shared" si="78"/>
        <v>319.09495766790099</v>
      </c>
      <c r="K90" s="30">
        <f t="shared" si="78"/>
        <v>319.09495766790099</v>
      </c>
      <c r="L90" s="30">
        <f t="shared" si="78"/>
        <v>306.82207468067401</v>
      </c>
      <c r="M90" s="30">
        <f t="shared" si="78"/>
        <v>279.20139365960216</v>
      </c>
      <c r="N90" s="13">
        <f t="shared" ref="N90:N95" si="79">SUM(B90:M90)</f>
        <v>3009.36</v>
      </c>
      <c r="Q90" s="30">
        <f t="shared" si="73"/>
        <v>205.291860877251</v>
      </c>
      <c r="R90" s="30">
        <f t="shared" si="74"/>
        <v>3009.36</v>
      </c>
    </row>
    <row r="91" spans="1:18" x14ac:dyDescent="0.3">
      <c r="A91" s="342" t="s">
        <v>81</v>
      </c>
      <c r="B91" s="30">
        <f t="shared" ref="B91:M91" si="80">B42</f>
        <v>74.257783129742805</v>
      </c>
      <c r="C91" s="30">
        <f t="shared" si="80"/>
        <v>74.257783129742805</v>
      </c>
      <c r="D91" s="30">
        <f t="shared" si="80"/>
        <v>74.257783129742805</v>
      </c>
      <c r="E91" s="30">
        <f t="shared" si="80"/>
        <v>77.970672286229956</v>
      </c>
      <c r="F91" s="30">
        <f t="shared" si="80"/>
        <v>51.980448190819963</v>
      </c>
      <c r="G91" s="30">
        <f t="shared" si="80"/>
        <v>115.42242377775241</v>
      </c>
      <c r="H91" s="30">
        <f t="shared" si="80"/>
        <v>93.225803820492317</v>
      </c>
      <c r="I91" s="30">
        <f t="shared" si="80"/>
        <v>84.347155837588289</v>
      </c>
      <c r="J91" s="30">
        <f t="shared" si="80"/>
        <v>115.42242377775241</v>
      </c>
      <c r="K91" s="30">
        <f t="shared" si="80"/>
        <v>115.42242377775241</v>
      </c>
      <c r="L91" s="30">
        <f t="shared" si="80"/>
        <v>110.98309978630039</v>
      </c>
      <c r="M91" s="30">
        <f t="shared" si="80"/>
        <v>100.99219935608346</v>
      </c>
      <c r="N91" s="13">
        <f t="shared" si="79"/>
        <v>1088.54</v>
      </c>
      <c r="Q91" s="30">
        <f t="shared" si="73"/>
        <v>74.257783129742805</v>
      </c>
      <c r="R91" s="30">
        <f t="shared" si="74"/>
        <v>1088.54</v>
      </c>
    </row>
    <row r="92" spans="1:18" x14ac:dyDescent="0.3">
      <c r="A92" s="342" t="s">
        <v>82</v>
      </c>
      <c r="B92" s="30">
        <f t="shared" ref="B92:M92" si="81">B43</f>
        <v>143.36580598566533</v>
      </c>
      <c r="C92" s="30">
        <f t="shared" si="81"/>
        <v>143.36580598566533</v>
      </c>
      <c r="D92" s="30">
        <f t="shared" si="81"/>
        <v>143.36580598566533</v>
      </c>
      <c r="E92" s="30">
        <f t="shared" si="81"/>
        <v>150.53409628494862</v>
      </c>
      <c r="F92" s="30">
        <f t="shared" si="81"/>
        <v>100.35606418996574</v>
      </c>
      <c r="G92" s="30">
        <f t="shared" si="81"/>
        <v>222.8403288690233</v>
      </c>
      <c r="H92" s="30">
        <f t="shared" si="81"/>
        <v>179.98641947113421</v>
      </c>
      <c r="I92" s="30">
        <f t="shared" si="81"/>
        <v>162.84485571197857</v>
      </c>
      <c r="J92" s="30">
        <f t="shared" si="81"/>
        <v>222.8403288690233</v>
      </c>
      <c r="K92" s="30">
        <f t="shared" si="81"/>
        <v>222.8403288690233</v>
      </c>
      <c r="L92" s="30">
        <f t="shared" si="81"/>
        <v>214.26954698944544</v>
      </c>
      <c r="M92" s="30">
        <f t="shared" si="81"/>
        <v>194.98061278846106</v>
      </c>
      <c r="N92" s="13">
        <f t="shared" si="79"/>
        <v>2101.5899999999997</v>
      </c>
      <c r="Q92" s="30">
        <f t="shared" si="73"/>
        <v>143.36580598566533</v>
      </c>
      <c r="R92" s="30">
        <f t="shared" si="74"/>
        <v>2101.5899999999997</v>
      </c>
    </row>
    <row r="93" spans="1:18" x14ac:dyDescent="0.3">
      <c r="A93" s="342" t="s">
        <v>83</v>
      </c>
      <c r="B93" s="30">
        <f t="shared" ref="B93:M93" si="82">B44</f>
        <v>9.1207172951353304</v>
      </c>
      <c r="C93" s="30">
        <f t="shared" si="82"/>
        <v>9.1207172951353304</v>
      </c>
      <c r="D93" s="30">
        <f t="shared" si="82"/>
        <v>9.1207172951353304</v>
      </c>
      <c r="E93" s="30">
        <f t="shared" si="82"/>
        <v>9.5767531598920961</v>
      </c>
      <c r="F93" s="30">
        <f t="shared" si="82"/>
        <v>6.3845021065947307</v>
      </c>
      <c r="G93" s="30">
        <f t="shared" si="82"/>
        <v>14.176767100047305</v>
      </c>
      <c r="H93" s="30">
        <f t="shared" si="82"/>
        <v>11.450465734653593</v>
      </c>
      <c r="I93" s="30">
        <f t="shared" si="82"/>
        <v>10.359945188496107</v>
      </c>
      <c r="J93" s="30">
        <f t="shared" si="82"/>
        <v>14.176767100047305</v>
      </c>
      <c r="K93" s="30">
        <f t="shared" si="82"/>
        <v>14.176767100047305</v>
      </c>
      <c r="L93" s="30">
        <f t="shared" si="82"/>
        <v>13.631506826968563</v>
      </c>
      <c r="M93" s="30">
        <f t="shared" si="82"/>
        <v>12.404373797846985</v>
      </c>
      <c r="N93" s="13">
        <f t="shared" si="79"/>
        <v>133.69999999999996</v>
      </c>
      <c r="Q93" s="30">
        <f t="shared" si="73"/>
        <v>9.1207172951353304</v>
      </c>
      <c r="R93" s="30">
        <f t="shared" si="74"/>
        <v>133.69999999999996</v>
      </c>
    </row>
    <row r="94" spans="1:18" x14ac:dyDescent="0.3">
      <c r="A94" s="342" t="s">
        <v>84</v>
      </c>
      <c r="B94" s="30">
        <f>B45</f>
        <v>32.000366121863642</v>
      </c>
      <c r="C94" s="30">
        <f t="shared" ref="C94:M94" si="83">C45</f>
        <v>32.000366121863642</v>
      </c>
      <c r="D94" s="30">
        <f t="shared" si="83"/>
        <v>32.000366121863642</v>
      </c>
      <c r="E94" s="30">
        <f t="shared" si="83"/>
        <v>33.600384427956826</v>
      </c>
      <c r="F94" s="30">
        <f t="shared" si="83"/>
        <v>22.40025628530455</v>
      </c>
      <c r="G94" s="30">
        <f t="shared" si="83"/>
        <v>49.73969951550545</v>
      </c>
      <c r="H94" s="30">
        <f t="shared" si="83"/>
        <v>40.174372685600552</v>
      </c>
      <c r="I94" s="30">
        <f t="shared" si="83"/>
        <v>36.348241953638592</v>
      </c>
      <c r="J94" s="30">
        <f t="shared" si="83"/>
        <v>49.73969951550545</v>
      </c>
      <c r="K94" s="30">
        <f t="shared" si="83"/>
        <v>49.73969951550545</v>
      </c>
      <c r="L94" s="30">
        <f t="shared" si="83"/>
        <v>47.826634149524466</v>
      </c>
      <c r="M94" s="30">
        <f t="shared" si="83"/>
        <v>43.521193585867636</v>
      </c>
      <c r="N94" s="13">
        <f t="shared" si="79"/>
        <v>469.09127999999987</v>
      </c>
      <c r="Q94" s="30">
        <f t="shared" si="73"/>
        <v>32.000366121863642</v>
      </c>
      <c r="R94" s="30">
        <f t="shared" si="74"/>
        <v>469.09127999999987</v>
      </c>
    </row>
    <row r="95" spans="1:18" x14ac:dyDescent="0.3">
      <c r="A95" s="342" t="s">
        <v>86</v>
      </c>
      <c r="B95" s="30">
        <f t="shared" ref="B95:M95" si="84">B46</f>
        <v>125.28657683420116</v>
      </c>
      <c r="C95" s="30">
        <f t="shared" si="84"/>
        <v>125.28657683420116</v>
      </c>
      <c r="D95" s="30">
        <f t="shared" si="84"/>
        <v>125.28657683420116</v>
      </c>
      <c r="E95" s="30">
        <f t="shared" si="84"/>
        <v>131.5509056759112</v>
      </c>
      <c r="F95" s="30">
        <f t="shared" si="84"/>
        <v>87.700603783940807</v>
      </c>
      <c r="G95" s="30">
        <f t="shared" si="84"/>
        <v>194.73891834011701</v>
      </c>
      <c r="H95" s="30">
        <f t="shared" si="84"/>
        <v>157.28912635163297</v>
      </c>
      <c r="I95" s="30">
        <f t="shared" si="84"/>
        <v>142.30920955623935</v>
      </c>
      <c r="J95" s="30">
        <f t="shared" si="84"/>
        <v>194.73891834011701</v>
      </c>
      <c r="K95" s="30">
        <f t="shared" si="84"/>
        <v>194.73891834011701</v>
      </c>
      <c r="L95" s="30">
        <f t="shared" si="84"/>
        <v>187.24895994242019</v>
      </c>
      <c r="M95" s="30">
        <f t="shared" si="84"/>
        <v>170.3924681157491</v>
      </c>
      <c r="N95" s="13">
        <f t="shared" si="79"/>
        <v>1836.567758948848</v>
      </c>
      <c r="Q95" s="30">
        <f t="shared" si="73"/>
        <v>125.28657683420116</v>
      </c>
      <c r="R95" s="30">
        <f t="shared" si="74"/>
        <v>1836.567758948848</v>
      </c>
    </row>
    <row r="96" spans="1:18" ht="15" thickBot="1" x14ac:dyDescent="0.35">
      <c r="A96" s="344" t="s">
        <v>198</v>
      </c>
      <c r="B96" s="353">
        <f>SUM(B90:B95)</f>
        <v>589.32311024385922</v>
      </c>
      <c r="C96" s="353">
        <f t="shared" ref="C96:N96" si="85">SUM(C90:C95)</f>
        <v>589.32311024385922</v>
      </c>
      <c r="D96" s="353">
        <f t="shared" si="85"/>
        <v>589.32311024385922</v>
      </c>
      <c r="E96" s="353">
        <f t="shared" si="85"/>
        <v>618.78926575605226</v>
      </c>
      <c r="F96" s="353">
        <f t="shared" si="85"/>
        <v>412.52617717070143</v>
      </c>
      <c r="G96" s="353">
        <f t="shared" si="85"/>
        <v>916.01309527034653</v>
      </c>
      <c r="H96" s="353">
        <f t="shared" si="85"/>
        <v>739.85673079527987</v>
      </c>
      <c r="I96" s="353">
        <f t="shared" si="85"/>
        <v>669.39418500525323</v>
      </c>
      <c r="J96" s="353">
        <f t="shared" si="85"/>
        <v>916.01309527034653</v>
      </c>
      <c r="K96" s="353">
        <f t="shared" si="85"/>
        <v>916.01309527034653</v>
      </c>
      <c r="L96" s="353">
        <f t="shared" si="85"/>
        <v>880.78182237533315</v>
      </c>
      <c r="M96" s="353">
        <f t="shared" si="85"/>
        <v>801.49224130361051</v>
      </c>
      <c r="N96" s="353">
        <f t="shared" si="85"/>
        <v>8638.849038948847</v>
      </c>
      <c r="Q96" s="353">
        <f t="shared" si="73"/>
        <v>589.32311024385922</v>
      </c>
      <c r="R96" s="353">
        <f t="shared" si="74"/>
        <v>8638.849038948847</v>
      </c>
    </row>
    <row r="97" spans="1:18" x14ac:dyDescent="0.3">
      <c r="A97" s="345" t="s">
        <v>88</v>
      </c>
      <c r="B97" s="354">
        <f>B89+B96</f>
        <v>1220.1586926235029</v>
      </c>
      <c r="C97" s="354">
        <f t="shared" ref="C97:N97" si="86">C89+C96</f>
        <v>1219.9461764254875</v>
      </c>
      <c r="D97" s="354">
        <f t="shared" si="86"/>
        <v>1219.9586773783119</v>
      </c>
      <c r="E97" s="354">
        <f t="shared" si="86"/>
        <v>1219.4600489703257</v>
      </c>
      <c r="F97" s="354">
        <f t="shared" si="86"/>
        <v>872.41122967614774</v>
      </c>
      <c r="G97" s="354">
        <f t="shared" si="86"/>
        <v>1581.8763474640673</v>
      </c>
      <c r="H97" s="354">
        <f t="shared" si="86"/>
        <v>1265.5092961100975</v>
      </c>
      <c r="I97" s="354">
        <f t="shared" si="86"/>
        <v>1158.8064880820234</v>
      </c>
      <c r="J97" s="354">
        <f t="shared" si="86"/>
        <v>1587.7142924330801</v>
      </c>
      <c r="K97" s="354">
        <f t="shared" si="86"/>
        <v>1522.9093529911904</v>
      </c>
      <c r="L97" s="354">
        <f t="shared" si="86"/>
        <v>1523.4308051740713</v>
      </c>
      <c r="M97" s="354">
        <f t="shared" si="86"/>
        <v>1309.980998390474</v>
      </c>
      <c r="N97" s="354">
        <f t="shared" si="86"/>
        <v>15702.162405718778</v>
      </c>
      <c r="Q97" s="354">
        <f t="shared" si="73"/>
        <v>1220.1586926235029</v>
      </c>
      <c r="R97" s="354">
        <f t="shared" si="74"/>
        <v>15702.16240571878</v>
      </c>
    </row>
    <row r="98" spans="1:18" x14ac:dyDescent="0.3">
      <c r="A98" s="342" t="s">
        <v>89</v>
      </c>
      <c r="B98" s="355">
        <f>B49</f>
        <v>8.2249305142582578</v>
      </c>
      <c r="C98" s="355">
        <f t="shared" ref="C98:M98" si="87">C49</f>
        <v>8.2249305142582578</v>
      </c>
      <c r="D98" s="355">
        <f t="shared" si="87"/>
        <v>8.2249305142582578</v>
      </c>
      <c r="E98" s="355">
        <f t="shared" si="87"/>
        <v>8.6361770399711695</v>
      </c>
      <c r="F98" s="355">
        <f t="shared" si="87"/>
        <v>5.7574513599807808</v>
      </c>
      <c r="G98" s="355">
        <f t="shared" si="87"/>
        <v>12.784402864553597</v>
      </c>
      <c r="H98" s="355">
        <f t="shared" si="87"/>
        <v>10.325863852139442</v>
      </c>
      <c r="I98" s="355">
        <f t="shared" si="87"/>
        <v>9.3424482471737811</v>
      </c>
      <c r="J98" s="355">
        <f t="shared" si="87"/>
        <v>12.784402864553597</v>
      </c>
      <c r="K98" s="355">
        <f t="shared" si="87"/>
        <v>12.784402864553597</v>
      </c>
      <c r="L98" s="355">
        <f t="shared" si="87"/>
        <v>12.292695062070765</v>
      </c>
      <c r="M98" s="355">
        <f t="shared" si="87"/>
        <v>11.186084302228497</v>
      </c>
      <c r="N98" s="13">
        <f t="shared" ref="N98" si="88">SUM(B98:M98)</f>
        <v>120.56872</v>
      </c>
      <c r="Q98" s="355">
        <f t="shared" si="73"/>
        <v>8.2249305142582578</v>
      </c>
      <c r="R98" s="355">
        <f t="shared" si="74"/>
        <v>120.56872</v>
      </c>
    </row>
    <row r="99" spans="1:18" x14ac:dyDescent="0.3">
      <c r="A99" s="345" t="s">
        <v>90</v>
      </c>
      <c r="B99" s="354">
        <f>B97+B98</f>
        <v>1228.3836231377611</v>
      </c>
      <c r="C99" s="354">
        <f t="shared" ref="C99:N99" si="89">C97+C98</f>
        <v>1228.1711069397456</v>
      </c>
      <c r="D99" s="354">
        <f t="shared" si="89"/>
        <v>1228.1836078925701</v>
      </c>
      <c r="E99" s="354">
        <f t="shared" si="89"/>
        <v>1228.096226010297</v>
      </c>
      <c r="F99" s="354">
        <f t="shared" si="89"/>
        <v>878.16868103612853</v>
      </c>
      <c r="G99" s="354">
        <f t="shared" si="89"/>
        <v>1594.6607503286209</v>
      </c>
      <c r="H99" s="354">
        <f t="shared" si="89"/>
        <v>1275.835159962237</v>
      </c>
      <c r="I99" s="354">
        <f t="shared" si="89"/>
        <v>1168.1489363291971</v>
      </c>
      <c r="J99" s="354">
        <f t="shared" si="89"/>
        <v>1600.4986952976337</v>
      </c>
      <c r="K99" s="354">
        <f t="shared" si="89"/>
        <v>1535.693755855744</v>
      </c>
      <c r="L99" s="354">
        <f t="shared" si="89"/>
        <v>1535.7235002361422</v>
      </c>
      <c r="M99" s="354">
        <f t="shared" si="89"/>
        <v>1321.1670826927025</v>
      </c>
      <c r="N99" s="354">
        <f t="shared" si="89"/>
        <v>15822.731125718778</v>
      </c>
      <c r="Q99" s="354">
        <f t="shared" si="73"/>
        <v>1228.3836231377611</v>
      </c>
      <c r="R99" s="354">
        <f t="shared" si="74"/>
        <v>15822.731125718778</v>
      </c>
    </row>
    <row r="100" spans="1:18" x14ac:dyDescent="0.3">
      <c r="A100" s="342" t="s">
        <v>91</v>
      </c>
      <c r="B100" s="355">
        <f>B51</f>
        <v>344.37647181842351</v>
      </c>
      <c r="C100" s="355">
        <f t="shared" ref="C100:M100" si="90">C51</f>
        <v>344.37647181842351</v>
      </c>
      <c r="D100" s="355">
        <f t="shared" si="90"/>
        <v>344.37647181842351</v>
      </c>
      <c r="E100" s="355">
        <f t="shared" si="90"/>
        <v>361.59529540934471</v>
      </c>
      <c r="F100" s="355">
        <f t="shared" si="90"/>
        <v>241.06353027289646</v>
      </c>
      <c r="G100" s="355">
        <f t="shared" si="90"/>
        <v>535.28082032646262</v>
      </c>
      <c r="H100" s="355">
        <f t="shared" si="90"/>
        <v>432.3422010329121</v>
      </c>
      <c r="I100" s="355">
        <f t="shared" si="90"/>
        <v>391.16675331549197</v>
      </c>
      <c r="J100" s="355">
        <f t="shared" si="90"/>
        <v>535.28082032646262</v>
      </c>
      <c r="K100" s="355">
        <f t="shared" si="90"/>
        <v>535.28082032646262</v>
      </c>
      <c r="L100" s="355">
        <f t="shared" si="90"/>
        <v>514.69309646775253</v>
      </c>
      <c r="M100" s="355">
        <f t="shared" si="90"/>
        <v>468.35948811809556</v>
      </c>
      <c r="N100" s="13">
        <f t="shared" ref="N100" si="91">SUM(B100:M100)</f>
        <v>5048.1922410511515</v>
      </c>
      <c r="Q100" s="355">
        <f t="shared" si="73"/>
        <v>344.37647181842351</v>
      </c>
      <c r="R100" s="355">
        <f t="shared" si="74"/>
        <v>5048.1922410511515</v>
      </c>
    </row>
    <row r="101" spans="1:18" x14ac:dyDescent="0.3">
      <c r="A101" s="345" t="s">
        <v>92</v>
      </c>
      <c r="B101" s="354">
        <f>B99+B100</f>
        <v>1572.7600949561847</v>
      </c>
      <c r="C101" s="354">
        <f t="shared" ref="C101:N101" si="92">C99+C100</f>
        <v>1572.547578758169</v>
      </c>
      <c r="D101" s="354">
        <f t="shared" si="92"/>
        <v>1572.5600797109937</v>
      </c>
      <c r="E101" s="354">
        <f t="shared" si="92"/>
        <v>1589.6915214196417</v>
      </c>
      <c r="F101" s="354">
        <f t="shared" si="92"/>
        <v>1119.2322113090249</v>
      </c>
      <c r="G101" s="354">
        <f t="shared" si="92"/>
        <v>2129.9415706550835</v>
      </c>
      <c r="H101" s="354">
        <f t="shared" si="92"/>
        <v>1708.177360995149</v>
      </c>
      <c r="I101" s="354">
        <f t="shared" si="92"/>
        <v>1559.315689644689</v>
      </c>
      <c r="J101" s="354">
        <f t="shared" si="92"/>
        <v>2135.7795156240963</v>
      </c>
      <c r="K101" s="354">
        <f t="shared" si="92"/>
        <v>2070.9745761822069</v>
      </c>
      <c r="L101" s="354">
        <f t="shared" si="92"/>
        <v>2050.4165967038948</v>
      </c>
      <c r="M101" s="354">
        <f t="shared" si="92"/>
        <v>1789.5265708107981</v>
      </c>
      <c r="N101" s="354">
        <f t="shared" si="92"/>
        <v>20870.92336676993</v>
      </c>
      <c r="Q101" s="354">
        <f t="shared" si="73"/>
        <v>1572.7600949561847</v>
      </c>
      <c r="R101" s="354">
        <f t="shared" si="74"/>
        <v>20870.92336676993</v>
      </c>
    </row>
    <row r="102" spans="1:18" x14ac:dyDescent="0.3">
      <c r="A102" s="342" t="s">
        <v>76</v>
      </c>
      <c r="B102" s="30">
        <f>B53+B74</f>
        <v>25.253539316428174</v>
      </c>
      <c r="C102" s="30">
        <f t="shared" ref="C102:M102" si="93">C53+C74</f>
        <v>25.24503189181253</v>
      </c>
      <c r="D102" s="30">
        <f t="shared" si="93"/>
        <v>25.245532328554624</v>
      </c>
      <c r="E102" s="30">
        <f t="shared" si="93"/>
        <v>24.045985457748721</v>
      </c>
      <c r="F102" s="30">
        <f t="shared" si="93"/>
        <v>18.41006686825515</v>
      </c>
      <c r="G102" s="30">
        <f t="shared" si="93"/>
        <v>26.655763067783262</v>
      </c>
      <c r="H102" s="30">
        <f t="shared" si="93"/>
        <v>21.04286456842614</v>
      </c>
      <c r="I102" s="30">
        <f t="shared" si="93"/>
        <v>19.592098453087669</v>
      </c>
      <c r="J102" s="30">
        <f t="shared" si="93"/>
        <v>26.889467026342441</v>
      </c>
      <c r="K102" s="30">
        <f t="shared" si="93"/>
        <v>24.295202955312902</v>
      </c>
      <c r="L102" s="30">
        <f t="shared" si="93"/>
        <v>25.726452037709603</v>
      </c>
      <c r="M102" s="30">
        <f t="shared" si="93"/>
        <v>20.355764921527307</v>
      </c>
      <c r="N102" s="13">
        <f t="shared" ref="N102:N105" si="94">SUM(B102:M102)</f>
        <v>282.75776889298845</v>
      </c>
      <c r="Q102" s="30">
        <f t="shared" si="73"/>
        <v>25.253539316428174</v>
      </c>
      <c r="R102" s="30">
        <f t="shared" si="74"/>
        <v>282.75776889298845</v>
      </c>
    </row>
    <row r="103" spans="1:18" x14ac:dyDescent="0.3">
      <c r="A103" s="342" t="s">
        <v>77</v>
      </c>
      <c r="B103" s="30">
        <f t="shared" ref="B103:M104" si="95">B54+B75</f>
        <v>-62.069489999999988</v>
      </c>
      <c r="C103" s="30">
        <f t="shared" si="95"/>
        <v>-62.048579999999987</v>
      </c>
      <c r="D103" s="30">
        <f t="shared" si="95"/>
        <v>-62.049809999999994</v>
      </c>
      <c r="E103" s="30">
        <f t="shared" si="95"/>
        <v>-59.101499999999987</v>
      </c>
      <c r="F103" s="30">
        <f t="shared" si="95"/>
        <v>-45.249239999999993</v>
      </c>
      <c r="G103" s="30">
        <f t="shared" si="95"/>
        <v>-65.515949999999989</v>
      </c>
      <c r="H103" s="30">
        <f t="shared" si="95"/>
        <v>-51.720269999999992</v>
      </c>
      <c r="I103" s="30">
        <f t="shared" si="95"/>
        <v>-48.154499999999992</v>
      </c>
      <c r="J103" s="30">
        <f t="shared" si="95"/>
        <v>-66.09035999999999</v>
      </c>
      <c r="K103" s="30">
        <f t="shared" si="95"/>
        <v>-59.714039999999983</v>
      </c>
      <c r="L103" s="30">
        <f t="shared" si="95"/>
        <v>-63.231839999999991</v>
      </c>
      <c r="M103" s="30">
        <f t="shared" si="95"/>
        <v>-50.031479999999988</v>
      </c>
      <c r="N103" s="13">
        <f t="shared" si="94"/>
        <v>-694.97705999999982</v>
      </c>
      <c r="Q103" s="30">
        <f t="shared" si="73"/>
        <v>-62.069489999999988</v>
      </c>
      <c r="R103" s="30">
        <f t="shared" si="74"/>
        <v>-694.97705999999982</v>
      </c>
    </row>
    <row r="104" spans="1:18" x14ac:dyDescent="0.3">
      <c r="A104" s="342" t="s">
        <v>144</v>
      </c>
      <c r="B104" s="30">
        <f t="shared" si="95"/>
        <v>0</v>
      </c>
      <c r="C104" s="30">
        <f t="shared" si="95"/>
        <v>0</v>
      </c>
      <c r="D104" s="30">
        <f t="shared" si="95"/>
        <v>0</v>
      </c>
      <c r="E104" s="30">
        <f t="shared" si="95"/>
        <v>0</v>
      </c>
      <c r="F104" s="30">
        <f t="shared" si="95"/>
        <v>0</v>
      </c>
      <c r="G104" s="30">
        <f t="shared" si="95"/>
        <v>0</v>
      </c>
      <c r="H104" s="30">
        <f t="shared" si="95"/>
        <v>0</v>
      </c>
      <c r="I104" s="30">
        <f t="shared" si="95"/>
        <v>0</v>
      </c>
      <c r="J104" s="30">
        <f t="shared" si="95"/>
        <v>0</v>
      </c>
      <c r="K104" s="30">
        <f t="shared" si="95"/>
        <v>0</v>
      </c>
      <c r="L104" s="30">
        <f t="shared" si="95"/>
        <v>0</v>
      </c>
      <c r="M104" s="30">
        <f t="shared" si="95"/>
        <v>0</v>
      </c>
      <c r="N104" s="13">
        <f t="shared" si="94"/>
        <v>0</v>
      </c>
      <c r="Q104" s="30">
        <f t="shared" si="73"/>
        <v>0</v>
      </c>
      <c r="R104" s="30">
        <f t="shared" si="74"/>
        <v>0</v>
      </c>
    </row>
    <row r="105" spans="1:18" x14ac:dyDescent="0.3">
      <c r="A105" s="342" t="s">
        <v>85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13">
        <f t="shared" si="94"/>
        <v>0</v>
      </c>
      <c r="Q105" s="30">
        <f t="shared" si="73"/>
        <v>0</v>
      </c>
      <c r="R105" s="30">
        <f t="shared" si="74"/>
        <v>0</v>
      </c>
    </row>
    <row r="106" spans="1:18" x14ac:dyDescent="0.3">
      <c r="A106" s="342" t="s">
        <v>145</v>
      </c>
      <c r="B106" s="355"/>
      <c r="C106" s="355"/>
      <c r="D106" s="355"/>
      <c r="E106" s="355"/>
      <c r="F106" s="355"/>
      <c r="G106" s="355"/>
      <c r="H106" s="355"/>
      <c r="I106" s="355"/>
      <c r="J106" s="355"/>
      <c r="K106" s="355"/>
      <c r="L106" s="355"/>
      <c r="M106" s="355"/>
      <c r="N106" s="356"/>
      <c r="Q106" s="355">
        <f t="shared" si="73"/>
        <v>0</v>
      </c>
      <c r="R106" s="355">
        <f t="shared" si="74"/>
        <v>0</v>
      </c>
    </row>
    <row r="107" spans="1:18" x14ac:dyDescent="0.3">
      <c r="A107" s="345" t="s">
        <v>146</v>
      </c>
      <c r="B107" s="354">
        <f>SUM(B102:B106)</f>
        <v>-36.815950683571813</v>
      </c>
      <c r="C107" s="354">
        <f t="shared" ref="C107:M107" si="96">SUM(C102:C106)</f>
        <v>-36.803548108187456</v>
      </c>
      <c r="D107" s="354">
        <f t="shared" si="96"/>
        <v>-36.804277671445369</v>
      </c>
      <c r="E107" s="354">
        <f t="shared" si="96"/>
        <v>-35.055514542251267</v>
      </c>
      <c r="F107" s="354">
        <f t="shared" si="96"/>
        <v>-26.839173131744843</v>
      </c>
      <c r="G107" s="354">
        <f t="shared" si="96"/>
        <v>-38.860186932216727</v>
      </c>
      <c r="H107" s="354">
        <f t="shared" si="96"/>
        <v>-30.677405431573852</v>
      </c>
      <c r="I107" s="354">
        <f t="shared" si="96"/>
        <v>-28.562401546912323</v>
      </c>
      <c r="J107" s="354">
        <f t="shared" si="96"/>
        <v>-39.200892973657545</v>
      </c>
      <c r="K107" s="354">
        <f t="shared" si="96"/>
        <v>-35.418837044687081</v>
      </c>
      <c r="L107" s="354">
        <f t="shared" si="96"/>
        <v>-37.505387962290385</v>
      </c>
      <c r="M107" s="354">
        <f t="shared" si="96"/>
        <v>-29.675715078472681</v>
      </c>
      <c r="N107" s="354">
        <f>SUM(N102:N106)</f>
        <v>-412.21929110701137</v>
      </c>
      <c r="Q107" s="354">
        <f t="shared" si="73"/>
        <v>-36.815950683571813</v>
      </c>
      <c r="R107" s="354">
        <f t="shared" si="74"/>
        <v>-412.21929110701137</v>
      </c>
    </row>
    <row r="108" spans="1:18" x14ac:dyDescent="0.3">
      <c r="A108" s="342" t="s">
        <v>148</v>
      </c>
      <c r="B108" s="355">
        <f>B59</f>
        <v>79.533064120264967</v>
      </c>
      <c r="C108" s="355">
        <f t="shared" ref="C108:M108" si="97">C59</f>
        <v>79.533064120264967</v>
      </c>
      <c r="D108" s="355">
        <f t="shared" si="97"/>
        <v>79.533064120264967</v>
      </c>
      <c r="E108" s="355">
        <f t="shared" si="97"/>
        <v>83.509717326278221</v>
      </c>
      <c r="F108" s="355">
        <f t="shared" si="97"/>
        <v>55.673144884185483</v>
      </c>
      <c r="G108" s="355">
        <f t="shared" si="97"/>
        <v>123.62204531736838</v>
      </c>
      <c r="H108" s="355">
        <f t="shared" si="97"/>
        <v>99.84857506402831</v>
      </c>
      <c r="I108" s="355">
        <f t="shared" si="97"/>
        <v>90.339186962692267</v>
      </c>
      <c r="J108" s="355">
        <f t="shared" si="97"/>
        <v>123.62204531736838</v>
      </c>
      <c r="K108" s="355">
        <f t="shared" si="97"/>
        <v>123.62204531736838</v>
      </c>
      <c r="L108" s="355">
        <f t="shared" si="97"/>
        <v>118.86735126670037</v>
      </c>
      <c r="M108" s="355">
        <f t="shared" si="97"/>
        <v>108.16669618321514</v>
      </c>
      <c r="N108" s="356">
        <f>+SUM(B108:M108)</f>
        <v>1165.8699999999999</v>
      </c>
      <c r="Q108" s="355">
        <f t="shared" si="73"/>
        <v>79.533064120264967</v>
      </c>
      <c r="R108" s="355">
        <f t="shared" si="74"/>
        <v>1165.8699999999999</v>
      </c>
    </row>
    <row r="109" spans="1:18" x14ac:dyDescent="0.3">
      <c r="A109" s="342" t="s">
        <v>149</v>
      </c>
      <c r="B109" s="355">
        <f>B60</f>
        <v>67.179506192246606</v>
      </c>
      <c r="C109" s="355">
        <f t="shared" ref="C109:M109" si="98">C60</f>
        <v>67.179506192246606</v>
      </c>
      <c r="D109" s="355">
        <f t="shared" si="98"/>
        <v>67.179506192246606</v>
      </c>
      <c r="E109" s="355">
        <f t="shared" si="98"/>
        <v>70.538481501858939</v>
      </c>
      <c r="F109" s="355">
        <f t="shared" si="98"/>
        <v>47.025654334572629</v>
      </c>
      <c r="G109" s="355">
        <f t="shared" si="98"/>
        <v>104.42031940751377</v>
      </c>
      <c r="H109" s="355">
        <f t="shared" si="98"/>
        <v>84.339488752222664</v>
      </c>
      <c r="I109" s="355">
        <f t="shared" si="98"/>
        <v>76.307156490106209</v>
      </c>
      <c r="J109" s="355">
        <f t="shared" si="98"/>
        <v>104.42031940751377</v>
      </c>
      <c r="K109" s="355">
        <f t="shared" si="98"/>
        <v>104.42031940751377</v>
      </c>
      <c r="L109" s="355">
        <f t="shared" si="98"/>
        <v>100.40415327645555</v>
      </c>
      <c r="M109" s="355">
        <f t="shared" si="98"/>
        <v>91.365588845503069</v>
      </c>
      <c r="N109" s="356">
        <f>+SUM(B109:M109)</f>
        <v>984.7800000000002</v>
      </c>
      <c r="Q109" s="355">
        <f t="shared" si="73"/>
        <v>67.179506192246606</v>
      </c>
      <c r="R109" s="355">
        <f t="shared" si="74"/>
        <v>984.7800000000002</v>
      </c>
    </row>
    <row r="110" spans="1:18" x14ac:dyDescent="0.3">
      <c r="A110" s="345" t="s">
        <v>150</v>
      </c>
      <c r="B110" s="354">
        <f>SUM(B108:B109)</f>
        <v>146.71257031251156</v>
      </c>
      <c r="C110" s="354">
        <f t="shared" ref="C110:M110" si="99">SUM(C108:C109)</f>
        <v>146.71257031251156</v>
      </c>
      <c r="D110" s="354">
        <f t="shared" si="99"/>
        <v>146.71257031251156</v>
      </c>
      <c r="E110" s="354">
        <f t="shared" si="99"/>
        <v>154.04819882813717</v>
      </c>
      <c r="F110" s="354">
        <f t="shared" si="99"/>
        <v>102.69879921875811</v>
      </c>
      <c r="G110" s="354">
        <f t="shared" si="99"/>
        <v>228.04236472488213</v>
      </c>
      <c r="H110" s="354">
        <f t="shared" si="99"/>
        <v>184.18806381625097</v>
      </c>
      <c r="I110" s="354">
        <f t="shared" si="99"/>
        <v>166.64634345279848</v>
      </c>
      <c r="J110" s="354">
        <f t="shared" si="99"/>
        <v>228.04236472488213</v>
      </c>
      <c r="K110" s="354">
        <f t="shared" si="99"/>
        <v>228.04236472488213</v>
      </c>
      <c r="L110" s="354">
        <f t="shared" si="99"/>
        <v>219.27150454315591</v>
      </c>
      <c r="M110" s="354">
        <f t="shared" si="99"/>
        <v>199.53228502871821</v>
      </c>
      <c r="N110" s="354">
        <f>N109+N108</f>
        <v>2150.65</v>
      </c>
      <c r="Q110" s="354">
        <f t="shared" si="73"/>
        <v>146.71257031251156</v>
      </c>
      <c r="R110" s="354">
        <f t="shared" si="74"/>
        <v>2150.65</v>
      </c>
    </row>
    <row r="111" spans="1:18" ht="15" thickBot="1" x14ac:dyDescent="0.35">
      <c r="A111" s="28"/>
      <c r="B111" s="357"/>
      <c r="C111" s="357"/>
      <c r="D111" s="357"/>
      <c r="E111" s="357"/>
      <c r="F111" s="357"/>
      <c r="G111" s="357"/>
      <c r="H111" s="357"/>
      <c r="I111" s="357"/>
      <c r="J111" s="357"/>
      <c r="K111" s="357"/>
      <c r="L111" s="357"/>
      <c r="M111" s="357"/>
      <c r="N111" s="357"/>
      <c r="Q111" s="357">
        <f t="shared" si="73"/>
        <v>0</v>
      </c>
      <c r="R111" s="357">
        <f t="shared" si="74"/>
        <v>0</v>
      </c>
    </row>
    <row r="112" spans="1:18" x14ac:dyDescent="0.3">
      <c r="A112" s="345" t="s">
        <v>152</v>
      </c>
      <c r="B112" s="354">
        <f>B101+B107+B110</f>
        <v>1682.6567145851245</v>
      </c>
      <c r="C112" s="354">
        <f t="shared" ref="C112:N112" si="100">C101+C107+C110</f>
        <v>1682.4566009624932</v>
      </c>
      <c r="D112" s="354">
        <f t="shared" si="100"/>
        <v>1682.46837235206</v>
      </c>
      <c r="E112" s="354">
        <f t="shared" si="100"/>
        <v>1708.6842057055276</v>
      </c>
      <c r="F112" s="354">
        <f t="shared" si="100"/>
        <v>1195.091837396038</v>
      </c>
      <c r="G112" s="354">
        <f t="shared" si="100"/>
        <v>2319.1237484477488</v>
      </c>
      <c r="H112" s="354">
        <f t="shared" si="100"/>
        <v>1861.6880193798261</v>
      </c>
      <c r="I112" s="354">
        <f t="shared" si="100"/>
        <v>1697.3996315505751</v>
      </c>
      <c r="J112" s="354">
        <f t="shared" si="100"/>
        <v>2324.620987375321</v>
      </c>
      <c r="K112" s="354">
        <f t="shared" si="100"/>
        <v>2263.5981038624018</v>
      </c>
      <c r="L112" s="354">
        <f t="shared" si="100"/>
        <v>2232.1827132847602</v>
      </c>
      <c r="M112" s="354">
        <f t="shared" si="100"/>
        <v>1959.3831407610437</v>
      </c>
      <c r="N112" s="354">
        <f t="shared" si="100"/>
        <v>22609.354075662919</v>
      </c>
      <c r="Q112" s="354">
        <f t="shared" si="73"/>
        <v>1682.6567145851245</v>
      </c>
      <c r="R112" s="354">
        <f t="shared" si="74"/>
        <v>22609.354075662923</v>
      </c>
    </row>
    <row r="114" spans="1:18" s="365" customFormat="1" x14ac:dyDescent="0.3">
      <c r="O114" s="368"/>
    </row>
    <row r="116" spans="1:18" x14ac:dyDescent="0.3">
      <c r="B116">
        <v>-1000</v>
      </c>
    </row>
    <row r="117" spans="1:18" ht="23.4" x14ac:dyDescent="0.45">
      <c r="A117" s="394" t="s">
        <v>43</v>
      </c>
      <c r="B117" s="1" t="s">
        <v>0</v>
      </c>
      <c r="C117" s="1" t="s">
        <v>1</v>
      </c>
      <c r="D117" s="1" t="s">
        <v>2</v>
      </c>
      <c r="E117" s="1" t="s">
        <v>3</v>
      </c>
      <c r="F117" s="1" t="s">
        <v>4</v>
      </c>
      <c r="G117" s="1" t="s">
        <v>5</v>
      </c>
      <c r="H117" s="1" t="s">
        <v>6</v>
      </c>
      <c r="I117" s="1" t="s">
        <v>7</v>
      </c>
      <c r="J117" s="1" t="s">
        <v>8</v>
      </c>
      <c r="K117" s="1" t="s">
        <v>9</v>
      </c>
      <c r="L117" s="1" t="s">
        <v>10</v>
      </c>
      <c r="M117" s="1" t="s">
        <v>11</v>
      </c>
      <c r="N117" s="1" t="s">
        <v>12</v>
      </c>
      <c r="Q117" s="64" t="s">
        <v>180</v>
      </c>
      <c r="R117" s="64" t="s">
        <v>94</v>
      </c>
    </row>
    <row r="118" spans="1:18" x14ac:dyDescent="0.3">
      <c r="A118" s="341" t="s">
        <v>158</v>
      </c>
      <c r="B118" s="595">
        <v>-4.6443971410000007</v>
      </c>
      <c r="C118" s="411">
        <v>-5.0106745860000004</v>
      </c>
      <c r="D118" s="411">
        <v>-5.0575233749999997</v>
      </c>
      <c r="E118" s="411">
        <v>-4.8727557690000003</v>
      </c>
      <c r="F118" s="411">
        <v>-15.380889510000001</v>
      </c>
      <c r="G118" s="411">
        <v>-49.280033430000003</v>
      </c>
      <c r="H118" s="411">
        <v>-49.328754780000004</v>
      </c>
      <c r="I118" s="411">
        <v>-49.547307999999994</v>
      </c>
      <c r="J118" s="411">
        <v>-58.604946040000002</v>
      </c>
      <c r="K118" s="411">
        <v>-54.442466780000004</v>
      </c>
      <c r="L118" s="411">
        <v>-52.437071330000002</v>
      </c>
      <c r="M118" s="411">
        <v>-52.468258710000001</v>
      </c>
      <c r="N118" s="359">
        <v>-401</v>
      </c>
      <c r="Q118" s="30">
        <f t="shared" ref="Q118:Q144" si="101">SUMPRODUCT(B118:M118,B$2:M$2)</f>
        <v>-4.6443971410000007</v>
      </c>
      <c r="R118" s="30">
        <f t="shared" ref="R118:R144" si="102">SUMIFS(B118:M118,$B$1:$M$1,$Y$3)</f>
        <v>-401.07507945099997</v>
      </c>
    </row>
    <row r="119" spans="1:18" x14ac:dyDescent="0.3">
      <c r="A119" s="341" t="s">
        <v>75</v>
      </c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13"/>
      <c r="Q119" s="30">
        <f t="shared" si="101"/>
        <v>0</v>
      </c>
      <c r="R119" s="30">
        <f t="shared" si="102"/>
        <v>0</v>
      </c>
    </row>
    <row r="120" spans="1:18" x14ac:dyDescent="0.3">
      <c r="A120" s="342" t="s">
        <v>196</v>
      </c>
      <c r="B120" s="30">
        <v>-1</v>
      </c>
      <c r="C120" s="30">
        <v>-1</v>
      </c>
      <c r="D120" s="30">
        <v>-1</v>
      </c>
      <c r="E120" s="30">
        <v>-1</v>
      </c>
      <c r="F120" s="30">
        <v>-1</v>
      </c>
      <c r="G120" s="30">
        <v>-1</v>
      </c>
      <c r="H120" s="30">
        <v>-1</v>
      </c>
      <c r="I120" s="30">
        <v>-1</v>
      </c>
      <c r="J120" s="30">
        <v>-1</v>
      </c>
      <c r="K120" s="30">
        <v>-1</v>
      </c>
      <c r="L120" s="30">
        <v>-1</v>
      </c>
      <c r="M120" s="30">
        <v>-1</v>
      </c>
      <c r="N120" s="359">
        <v>-12</v>
      </c>
      <c r="Q120" s="30">
        <f t="shared" si="101"/>
        <v>-1</v>
      </c>
      <c r="R120" s="30">
        <f t="shared" si="102"/>
        <v>-12</v>
      </c>
    </row>
    <row r="121" spans="1:18" ht="15" thickBot="1" x14ac:dyDescent="0.35">
      <c r="A121" s="344" t="s">
        <v>197</v>
      </c>
      <c r="B121" s="353">
        <f>SUM(B118:B120)</f>
        <v>-5.6443971410000007</v>
      </c>
      <c r="C121" s="353">
        <f t="shared" ref="C121:N121" si="103">SUM(C118:C120)</f>
        <v>-6.0106745860000004</v>
      </c>
      <c r="D121" s="353">
        <f t="shared" si="103"/>
        <v>-6.0575233749999997</v>
      </c>
      <c r="E121" s="353">
        <f t="shared" si="103"/>
        <v>-5.8727557690000003</v>
      </c>
      <c r="F121" s="353">
        <f t="shared" si="103"/>
        <v>-16.380889510000003</v>
      </c>
      <c r="G121" s="353">
        <f t="shared" si="103"/>
        <v>-50.280033430000003</v>
      </c>
      <c r="H121" s="353">
        <f t="shared" si="103"/>
        <v>-50.328754780000004</v>
      </c>
      <c r="I121" s="353">
        <f t="shared" si="103"/>
        <v>-50.547307999999994</v>
      </c>
      <c r="J121" s="353">
        <f t="shared" si="103"/>
        <v>-59.604946040000002</v>
      </c>
      <c r="K121" s="353">
        <f t="shared" si="103"/>
        <v>-55.442466780000004</v>
      </c>
      <c r="L121" s="353">
        <f t="shared" si="103"/>
        <v>-53.437071330000002</v>
      </c>
      <c r="M121" s="353">
        <f t="shared" si="103"/>
        <v>-53.468258710000001</v>
      </c>
      <c r="N121" s="353">
        <f t="shared" si="103"/>
        <v>-413</v>
      </c>
      <c r="Q121" s="353">
        <f t="shared" si="101"/>
        <v>-5.6443971410000007</v>
      </c>
      <c r="R121" s="353">
        <f t="shared" si="102"/>
        <v>-413.07507945099997</v>
      </c>
    </row>
    <row r="122" spans="1:18" x14ac:dyDescent="0.3">
      <c r="A122" s="343" t="s">
        <v>80</v>
      </c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59"/>
      <c r="Q122" s="30">
        <f t="shared" si="101"/>
        <v>0</v>
      </c>
      <c r="R122" s="30">
        <f t="shared" si="102"/>
        <v>0</v>
      </c>
    </row>
    <row r="123" spans="1:18" x14ac:dyDescent="0.3">
      <c r="A123" s="342" t="s">
        <v>81</v>
      </c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59"/>
      <c r="Q123" s="30">
        <f t="shared" si="101"/>
        <v>0</v>
      </c>
      <c r="R123" s="30">
        <f t="shared" si="102"/>
        <v>0</v>
      </c>
    </row>
    <row r="124" spans="1:18" x14ac:dyDescent="0.3">
      <c r="A124" s="342" t="s">
        <v>82</v>
      </c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13"/>
      <c r="Q124" s="30">
        <f t="shared" si="101"/>
        <v>0</v>
      </c>
      <c r="R124" s="30">
        <f t="shared" si="102"/>
        <v>0</v>
      </c>
    </row>
    <row r="125" spans="1:18" x14ac:dyDescent="0.3">
      <c r="A125" s="342" t="s">
        <v>83</v>
      </c>
      <c r="B125" s="30">
        <v>-1.1000000000000001</v>
      </c>
      <c r="C125" s="30">
        <v>-1.1000000000000001</v>
      </c>
      <c r="D125" s="30">
        <v>-1.1000000000000001</v>
      </c>
      <c r="E125" s="30">
        <v>-1.1000000000000001</v>
      </c>
      <c r="F125" s="30">
        <v>-1.1000000000000001</v>
      </c>
      <c r="G125" s="30">
        <v>-1.1000000000000001</v>
      </c>
      <c r="H125" s="30">
        <v>-1.1000000000000001</v>
      </c>
      <c r="I125" s="30">
        <v>-1.1000000000000001</v>
      </c>
      <c r="J125" s="30">
        <v>-1.1000000000000001</v>
      </c>
      <c r="K125" s="30">
        <v>-1.1000000000000001</v>
      </c>
      <c r="L125" s="30">
        <v>-1.1000000000000001</v>
      </c>
      <c r="M125" s="30">
        <v>-1.1000000000000001</v>
      </c>
      <c r="N125" s="13">
        <v>-13</v>
      </c>
      <c r="Q125" s="30">
        <f t="shared" si="101"/>
        <v>-1.1000000000000001</v>
      </c>
      <c r="R125" s="30">
        <f t="shared" si="102"/>
        <v>-13.199999999999998</v>
      </c>
    </row>
    <row r="126" spans="1:18" x14ac:dyDescent="0.3">
      <c r="A126" s="342" t="s">
        <v>84</v>
      </c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59"/>
      <c r="Q126" s="30">
        <f t="shared" si="101"/>
        <v>0</v>
      </c>
      <c r="R126" s="30">
        <f t="shared" si="102"/>
        <v>0</v>
      </c>
    </row>
    <row r="127" spans="1:18" x14ac:dyDescent="0.3">
      <c r="A127" s="342" t="s">
        <v>86</v>
      </c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13"/>
      <c r="Q127" s="30">
        <f t="shared" si="101"/>
        <v>0</v>
      </c>
      <c r="R127" s="30">
        <f t="shared" si="102"/>
        <v>0</v>
      </c>
    </row>
    <row r="128" spans="1:18" ht="15" thickBot="1" x14ac:dyDescent="0.35">
      <c r="A128" s="344" t="s">
        <v>198</v>
      </c>
      <c r="B128" s="353">
        <f>SUM(B122:B127)</f>
        <v>-1.1000000000000001</v>
      </c>
      <c r="C128" s="353">
        <f t="shared" ref="C128:N128" si="104">SUM(C122:C127)</f>
        <v>-1.1000000000000001</v>
      </c>
      <c r="D128" s="353">
        <f t="shared" si="104"/>
        <v>-1.1000000000000001</v>
      </c>
      <c r="E128" s="353">
        <f t="shared" si="104"/>
        <v>-1.1000000000000001</v>
      </c>
      <c r="F128" s="353">
        <f t="shared" si="104"/>
        <v>-1.1000000000000001</v>
      </c>
      <c r="G128" s="353">
        <f t="shared" si="104"/>
        <v>-1.1000000000000001</v>
      </c>
      <c r="H128" s="353">
        <f t="shared" si="104"/>
        <v>-1.1000000000000001</v>
      </c>
      <c r="I128" s="353">
        <f t="shared" si="104"/>
        <v>-1.1000000000000001</v>
      </c>
      <c r="J128" s="353">
        <f t="shared" si="104"/>
        <v>-1.1000000000000001</v>
      </c>
      <c r="K128" s="353">
        <f t="shared" si="104"/>
        <v>-1.1000000000000001</v>
      </c>
      <c r="L128" s="353">
        <f t="shared" si="104"/>
        <v>-1.1000000000000001</v>
      </c>
      <c r="M128" s="353">
        <f t="shared" si="104"/>
        <v>-1.1000000000000001</v>
      </c>
      <c r="N128" s="353">
        <f t="shared" si="104"/>
        <v>-13</v>
      </c>
      <c r="Q128" s="353">
        <f t="shared" si="101"/>
        <v>-1.1000000000000001</v>
      </c>
      <c r="R128" s="353">
        <f t="shared" si="102"/>
        <v>-13.199999999999998</v>
      </c>
    </row>
    <row r="129" spans="1:18" x14ac:dyDescent="0.3">
      <c r="A129" s="345" t="s">
        <v>88</v>
      </c>
      <c r="B129" s="354">
        <f>B121+B128</f>
        <v>-6.7443971410000003</v>
      </c>
      <c r="C129" s="354">
        <f t="shared" ref="C129:N129" si="105">C121+C128</f>
        <v>-7.110674586</v>
      </c>
      <c r="D129" s="354">
        <f t="shared" si="105"/>
        <v>-7.1575233750000002</v>
      </c>
      <c r="E129" s="354">
        <f t="shared" si="105"/>
        <v>-6.9727557690000008</v>
      </c>
      <c r="F129" s="354">
        <f t="shared" si="105"/>
        <v>-17.480889510000004</v>
      </c>
      <c r="G129" s="354">
        <f t="shared" si="105"/>
        <v>-51.380033430000005</v>
      </c>
      <c r="H129" s="354">
        <f t="shared" si="105"/>
        <v>-51.428754780000006</v>
      </c>
      <c r="I129" s="354">
        <f t="shared" si="105"/>
        <v>-51.647307999999995</v>
      </c>
      <c r="J129" s="354">
        <f t="shared" si="105"/>
        <v>-60.704946040000003</v>
      </c>
      <c r="K129" s="354">
        <f t="shared" si="105"/>
        <v>-56.542466780000005</v>
      </c>
      <c r="L129" s="354">
        <f t="shared" si="105"/>
        <v>-54.537071330000003</v>
      </c>
      <c r="M129" s="354">
        <f t="shared" si="105"/>
        <v>-54.568258710000002</v>
      </c>
      <c r="N129" s="354">
        <f t="shared" si="105"/>
        <v>-426</v>
      </c>
      <c r="Q129" s="354">
        <f t="shared" si="101"/>
        <v>-6.7443971410000003</v>
      </c>
      <c r="R129" s="354">
        <f t="shared" si="102"/>
        <v>-426.27507945100001</v>
      </c>
    </row>
    <row r="130" spans="1:18" x14ac:dyDescent="0.3">
      <c r="A130" s="342" t="s">
        <v>89</v>
      </c>
      <c r="B130" s="355"/>
      <c r="C130" s="355"/>
      <c r="D130" s="355"/>
      <c r="E130" s="355"/>
      <c r="F130" s="355"/>
      <c r="G130" s="355"/>
      <c r="H130" s="355"/>
      <c r="I130" s="355"/>
      <c r="J130" s="355"/>
      <c r="K130" s="355"/>
      <c r="L130" s="355"/>
      <c r="M130" s="355"/>
      <c r="N130" s="13">
        <f t="shared" ref="N130" si="106">SUM(B130:M130)</f>
        <v>0</v>
      </c>
      <c r="Q130" s="355">
        <f t="shared" si="101"/>
        <v>0</v>
      </c>
      <c r="R130" s="355">
        <f t="shared" si="102"/>
        <v>0</v>
      </c>
    </row>
    <row r="131" spans="1:18" x14ac:dyDescent="0.3">
      <c r="A131" s="345" t="s">
        <v>90</v>
      </c>
      <c r="B131" s="354">
        <f>B129+B130</f>
        <v>-6.7443971410000003</v>
      </c>
      <c r="C131" s="354">
        <f t="shared" ref="C131:N131" si="107">C129+C130</f>
        <v>-7.110674586</v>
      </c>
      <c r="D131" s="354">
        <f t="shared" si="107"/>
        <v>-7.1575233750000002</v>
      </c>
      <c r="E131" s="354">
        <f t="shared" si="107"/>
        <v>-6.9727557690000008</v>
      </c>
      <c r="F131" s="354">
        <f t="shared" si="107"/>
        <v>-17.480889510000004</v>
      </c>
      <c r="G131" s="354">
        <f t="shared" si="107"/>
        <v>-51.380033430000005</v>
      </c>
      <c r="H131" s="354">
        <f t="shared" si="107"/>
        <v>-51.428754780000006</v>
      </c>
      <c r="I131" s="354">
        <f t="shared" si="107"/>
        <v>-51.647307999999995</v>
      </c>
      <c r="J131" s="354">
        <f t="shared" si="107"/>
        <v>-60.704946040000003</v>
      </c>
      <c r="K131" s="354">
        <f t="shared" si="107"/>
        <v>-56.542466780000005</v>
      </c>
      <c r="L131" s="354">
        <f t="shared" si="107"/>
        <v>-54.537071330000003</v>
      </c>
      <c r="M131" s="354">
        <f t="shared" si="107"/>
        <v>-54.568258710000002</v>
      </c>
      <c r="N131" s="354">
        <f t="shared" si="107"/>
        <v>-426</v>
      </c>
      <c r="Q131" s="354">
        <f t="shared" si="101"/>
        <v>-6.7443971410000003</v>
      </c>
      <c r="R131" s="354">
        <f t="shared" si="102"/>
        <v>-426.27507945100001</v>
      </c>
    </row>
    <row r="132" spans="1:18" x14ac:dyDescent="0.3">
      <c r="A132" s="342" t="s">
        <v>91</v>
      </c>
      <c r="B132" s="355">
        <f>B83</f>
        <v>0</v>
      </c>
      <c r="C132" s="355">
        <f t="shared" ref="C132:M132" si="108">C83</f>
        <v>0</v>
      </c>
      <c r="D132" s="355">
        <f t="shared" si="108"/>
        <v>0</v>
      </c>
      <c r="E132" s="355">
        <f t="shared" si="108"/>
        <v>0</v>
      </c>
      <c r="F132" s="355">
        <f t="shared" si="108"/>
        <v>0</v>
      </c>
      <c r="G132" s="355">
        <f t="shared" si="108"/>
        <v>0</v>
      </c>
      <c r="H132" s="355">
        <f t="shared" si="108"/>
        <v>0</v>
      </c>
      <c r="I132" s="355">
        <f t="shared" si="108"/>
        <v>0</v>
      </c>
      <c r="J132" s="355">
        <f t="shared" si="108"/>
        <v>0</v>
      </c>
      <c r="K132" s="355">
        <f t="shared" si="108"/>
        <v>0</v>
      </c>
      <c r="L132" s="355">
        <f t="shared" si="108"/>
        <v>0</v>
      </c>
      <c r="M132" s="355">
        <f t="shared" si="108"/>
        <v>0</v>
      </c>
      <c r="N132" s="13">
        <f t="shared" ref="N132" si="109">SUM(B132:M132)</f>
        <v>0</v>
      </c>
      <c r="Q132" s="355">
        <f t="shared" si="101"/>
        <v>0</v>
      </c>
      <c r="R132" s="355">
        <f t="shared" si="102"/>
        <v>0</v>
      </c>
    </row>
    <row r="133" spans="1:18" x14ac:dyDescent="0.3">
      <c r="A133" s="345" t="s">
        <v>92</v>
      </c>
      <c r="B133" s="354">
        <f>B131+B132</f>
        <v>-6.7443971410000003</v>
      </c>
      <c r="C133" s="354">
        <f t="shared" ref="C133:N133" si="110">C131+C132</f>
        <v>-7.110674586</v>
      </c>
      <c r="D133" s="354">
        <f t="shared" si="110"/>
        <v>-7.1575233750000002</v>
      </c>
      <c r="E133" s="354">
        <f t="shared" si="110"/>
        <v>-6.9727557690000008</v>
      </c>
      <c r="F133" s="354">
        <f t="shared" si="110"/>
        <v>-17.480889510000004</v>
      </c>
      <c r="G133" s="354">
        <f t="shared" si="110"/>
        <v>-51.380033430000005</v>
      </c>
      <c r="H133" s="354">
        <f t="shared" si="110"/>
        <v>-51.428754780000006</v>
      </c>
      <c r="I133" s="354">
        <f t="shared" si="110"/>
        <v>-51.647307999999995</v>
      </c>
      <c r="J133" s="354">
        <f t="shared" si="110"/>
        <v>-60.704946040000003</v>
      </c>
      <c r="K133" s="354">
        <f t="shared" si="110"/>
        <v>-56.542466780000005</v>
      </c>
      <c r="L133" s="354">
        <f t="shared" si="110"/>
        <v>-54.537071330000003</v>
      </c>
      <c r="M133" s="354">
        <f t="shared" si="110"/>
        <v>-54.568258710000002</v>
      </c>
      <c r="N133" s="354">
        <f t="shared" si="110"/>
        <v>-426</v>
      </c>
      <c r="Q133" s="354">
        <f t="shared" si="101"/>
        <v>-6.7443971410000003</v>
      </c>
      <c r="R133" s="354">
        <f t="shared" si="102"/>
        <v>-426.27507945100001</v>
      </c>
    </row>
    <row r="134" spans="1:18" x14ac:dyDescent="0.3">
      <c r="A134" s="342" t="s">
        <v>76</v>
      </c>
      <c r="B134" s="30"/>
      <c r="C134" s="30"/>
      <c r="D134" s="30"/>
      <c r="E134" s="411">
        <v>-6.8114999999999997</v>
      </c>
      <c r="F134" s="411">
        <v>-5.0190000000000001</v>
      </c>
      <c r="G134" s="411">
        <v>-7.5285000000000002</v>
      </c>
      <c r="H134" s="411">
        <v>-6.0945</v>
      </c>
      <c r="I134" s="411">
        <v>-5.5575000000000001</v>
      </c>
      <c r="J134" s="411">
        <v>-7.7805</v>
      </c>
      <c r="K134" s="411">
        <v>-6.6689999999999996</v>
      </c>
      <c r="L134" s="411">
        <v>-7.41</v>
      </c>
      <c r="M134" s="411">
        <v>-5.5702499999999997</v>
      </c>
      <c r="N134" s="13">
        <v>-58</v>
      </c>
      <c r="Q134" s="30">
        <f t="shared" si="101"/>
        <v>0</v>
      </c>
      <c r="R134" s="30">
        <f t="shared" si="102"/>
        <v>-58.440749999999994</v>
      </c>
    </row>
    <row r="135" spans="1:18" x14ac:dyDescent="0.3">
      <c r="A135" s="342" t="s">
        <v>77</v>
      </c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13">
        <f t="shared" ref="N135:N136" si="111">SUM(B135:M135)</f>
        <v>0</v>
      </c>
      <c r="Q135" s="30">
        <f t="shared" si="101"/>
        <v>0</v>
      </c>
      <c r="R135" s="30">
        <f t="shared" si="102"/>
        <v>0</v>
      </c>
    </row>
    <row r="136" spans="1:18" x14ac:dyDescent="0.3">
      <c r="A136" s="342" t="s">
        <v>144</v>
      </c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13">
        <f t="shared" si="111"/>
        <v>0</v>
      </c>
      <c r="Q136" s="30">
        <f t="shared" si="101"/>
        <v>0</v>
      </c>
      <c r="R136" s="30">
        <f t="shared" si="102"/>
        <v>0</v>
      </c>
    </row>
    <row r="137" spans="1:18" x14ac:dyDescent="0.3">
      <c r="A137" s="342" t="s">
        <v>85</v>
      </c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13"/>
      <c r="Q137" s="30">
        <f t="shared" si="101"/>
        <v>0</v>
      </c>
      <c r="R137" s="30">
        <f t="shared" si="102"/>
        <v>0</v>
      </c>
    </row>
    <row r="138" spans="1:18" x14ac:dyDescent="0.3">
      <c r="A138" s="342" t="s">
        <v>145</v>
      </c>
      <c r="B138" s="355"/>
      <c r="C138" s="355"/>
      <c r="D138" s="355"/>
      <c r="E138" s="355"/>
      <c r="F138" s="355"/>
      <c r="G138" s="355"/>
      <c r="H138" s="355"/>
      <c r="I138" s="355"/>
      <c r="J138" s="355"/>
      <c r="K138" s="355"/>
      <c r="L138" s="355"/>
      <c r="M138" s="355"/>
      <c r="N138" s="356"/>
      <c r="Q138" s="355">
        <f t="shared" si="101"/>
        <v>0</v>
      </c>
      <c r="R138" s="355">
        <f t="shared" si="102"/>
        <v>0</v>
      </c>
    </row>
    <row r="139" spans="1:18" x14ac:dyDescent="0.3">
      <c r="A139" s="345" t="s">
        <v>146</v>
      </c>
      <c r="B139" s="354">
        <f>SUM(B134:B138)</f>
        <v>0</v>
      </c>
      <c r="C139" s="354">
        <f t="shared" ref="C139:M139" si="112">SUM(C134:C138)</f>
        <v>0</v>
      </c>
      <c r="D139" s="354">
        <f t="shared" si="112"/>
        <v>0</v>
      </c>
      <c r="E139" s="354">
        <f t="shared" si="112"/>
        <v>-6.8114999999999997</v>
      </c>
      <c r="F139" s="354">
        <f t="shared" si="112"/>
        <v>-5.0190000000000001</v>
      </c>
      <c r="G139" s="354">
        <f t="shared" si="112"/>
        <v>-7.5285000000000002</v>
      </c>
      <c r="H139" s="354">
        <f t="shared" si="112"/>
        <v>-6.0945</v>
      </c>
      <c r="I139" s="354">
        <f t="shared" si="112"/>
        <v>-5.5575000000000001</v>
      </c>
      <c r="J139" s="354">
        <f t="shared" si="112"/>
        <v>-7.7805</v>
      </c>
      <c r="K139" s="354">
        <f t="shared" si="112"/>
        <v>-6.6689999999999996</v>
      </c>
      <c r="L139" s="354">
        <f t="shared" si="112"/>
        <v>-7.41</v>
      </c>
      <c r="M139" s="354">
        <f t="shared" si="112"/>
        <v>-5.5702499999999997</v>
      </c>
      <c r="N139" s="354">
        <f>SUM(N134:N138)</f>
        <v>-58</v>
      </c>
      <c r="Q139" s="354">
        <f t="shared" si="101"/>
        <v>0</v>
      </c>
      <c r="R139" s="354">
        <f t="shared" si="102"/>
        <v>-58.440749999999994</v>
      </c>
    </row>
    <row r="140" spans="1:18" x14ac:dyDescent="0.3">
      <c r="A140" s="342" t="s">
        <v>148</v>
      </c>
      <c r="B140" s="355"/>
      <c r="C140" s="355"/>
      <c r="D140" s="355"/>
      <c r="E140" s="355"/>
      <c r="F140" s="355"/>
      <c r="G140" s="355"/>
      <c r="H140" s="355"/>
      <c r="I140" s="355"/>
      <c r="J140" s="355"/>
      <c r="K140" s="355"/>
      <c r="L140" s="355"/>
      <c r="M140" s="355"/>
      <c r="N140" s="356"/>
      <c r="Q140" s="355">
        <f t="shared" si="101"/>
        <v>0</v>
      </c>
      <c r="R140" s="355">
        <f t="shared" si="102"/>
        <v>0</v>
      </c>
    </row>
    <row r="141" spans="1:18" x14ac:dyDescent="0.3">
      <c r="A141" s="342" t="s">
        <v>149</v>
      </c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6">
        <v>0</v>
      </c>
      <c r="Q141" s="355">
        <f t="shared" si="101"/>
        <v>0</v>
      </c>
      <c r="R141" s="355">
        <f t="shared" si="102"/>
        <v>0</v>
      </c>
    </row>
    <row r="142" spans="1:18" x14ac:dyDescent="0.3">
      <c r="A142" s="345" t="s">
        <v>150</v>
      </c>
      <c r="B142" s="354">
        <f>SUM(B140:B141)</f>
        <v>0</v>
      </c>
      <c r="C142" s="354">
        <f t="shared" ref="C142:N142" si="113">SUM(C140:C141)</f>
        <v>0</v>
      </c>
      <c r="D142" s="354">
        <f t="shared" si="113"/>
        <v>0</v>
      </c>
      <c r="E142" s="354">
        <f t="shared" si="113"/>
        <v>0</v>
      </c>
      <c r="F142" s="354">
        <f t="shared" si="113"/>
        <v>0</v>
      </c>
      <c r="G142" s="354">
        <f t="shared" si="113"/>
        <v>0</v>
      </c>
      <c r="H142" s="354">
        <f t="shared" si="113"/>
        <v>0</v>
      </c>
      <c r="I142" s="354">
        <f t="shared" si="113"/>
        <v>0</v>
      </c>
      <c r="J142" s="354">
        <f t="shared" si="113"/>
        <v>0</v>
      </c>
      <c r="K142" s="354">
        <f t="shared" si="113"/>
        <v>0</v>
      </c>
      <c r="L142" s="354">
        <f t="shared" si="113"/>
        <v>0</v>
      </c>
      <c r="M142" s="354">
        <f t="shared" si="113"/>
        <v>0</v>
      </c>
      <c r="N142" s="354">
        <f t="shared" si="113"/>
        <v>0</v>
      </c>
      <c r="Q142" s="354">
        <f t="shared" si="101"/>
        <v>0</v>
      </c>
      <c r="R142" s="354">
        <f t="shared" si="102"/>
        <v>0</v>
      </c>
    </row>
    <row r="143" spans="1:18" ht="15" thickBot="1" x14ac:dyDescent="0.35">
      <c r="A143" s="28"/>
      <c r="B143" s="357"/>
      <c r="C143" s="357"/>
      <c r="D143" s="357"/>
      <c r="E143" s="357"/>
      <c r="F143" s="357"/>
      <c r="G143" s="357"/>
      <c r="H143" s="357"/>
      <c r="I143" s="357"/>
      <c r="J143" s="357"/>
      <c r="K143" s="357"/>
      <c r="L143" s="357"/>
      <c r="M143" s="357"/>
      <c r="N143" s="357"/>
      <c r="Q143" s="357">
        <f t="shared" si="101"/>
        <v>0</v>
      </c>
      <c r="R143" s="357">
        <f t="shared" si="102"/>
        <v>0</v>
      </c>
    </row>
    <row r="144" spans="1:18" x14ac:dyDescent="0.3">
      <c r="A144" s="345" t="s">
        <v>152</v>
      </c>
      <c r="B144" s="354">
        <f>B133+B139+B142</f>
        <v>-6.7443971410000003</v>
      </c>
      <c r="C144" s="354">
        <f t="shared" ref="C144:N144" si="114">C133+C139+C142</f>
        <v>-7.110674586</v>
      </c>
      <c r="D144" s="354">
        <f t="shared" si="114"/>
        <v>-7.1575233750000002</v>
      </c>
      <c r="E144" s="354">
        <f t="shared" si="114"/>
        <v>-13.784255769000001</v>
      </c>
      <c r="F144" s="354">
        <f t="shared" si="114"/>
        <v>-22.499889510000003</v>
      </c>
      <c r="G144" s="354">
        <f t="shared" si="114"/>
        <v>-58.908533430000006</v>
      </c>
      <c r="H144" s="354">
        <f t="shared" si="114"/>
        <v>-57.523254780000002</v>
      </c>
      <c r="I144" s="354">
        <f t="shared" si="114"/>
        <v>-57.204807999999993</v>
      </c>
      <c r="J144" s="354">
        <f t="shared" si="114"/>
        <v>-68.485446039999999</v>
      </c>
      <c r="K144" s="354">
        <f t="shared" si="114"/>
        <v>-63.211466780000002</v>
      </c>
      <c r="L144" s="354">
        <f t="shared" si="114"/>
        <v>-61.94707133</v>
      </c>
      <c r="M144" s="354">
        <f t="shared" si="114"/>
        <v>-60.138508710000004</v>
      </c>
      <c r="N144" s="360">
        <f t="shared" si="114"/>
        <v>-484</v>
      </c>
      <c r="Q144" s="354">
        <f t="shared" si="101"/>
        <v>-6.7443971410000003</v>
      </c>
      <c r="R144" s="354">
        <f t="shared" si="102"/>
        <v>-484.71582945099999</v>
      </c>
    </row>
    <row r="146" spans="1:25" s="365" customFormat="1" x14ac:dyDescent="0.3">
      <c r="A146" s="369"/>
      <c r="B146" s="373"/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73"/>
      <c r="O146" s="368"/>
    </row>
    <row r="147" spans="1:25" x14ac:dyDescent="0.3">
      <c r="A147" s="27"/>
    </row>
    <row r="148" spans="1:25" ht="23.4" x14ac:dyDescent="0.45">
      <c r="A148" s="394" t="s">
        <v>424</v>
      </c>
      <c r="B148" s="1" t="s">
        <v>0</v>
      </c>
      <c r="C148" s="1" t="s">
        <v>1</v>
      </c>
      <c r="D148" s="1" t="s">
        <v>2</v>
      </c>
      <c r="E148" s="1" t="s">
        <v>3</v>
      </c>
      <c r="F148" s="1" t="s">
        <v>4</v>
      </c>
      <c r="G148" s="1" t="s">
        <v>5</v>
      </c>
      <c r="H148" s="1" t="s">
        <v>6</v>
      </c>
      <c r="I148" s="1" t="s">
        <v>7</v>
      </c>
      <c r="J148" s="1" t="s">
        <v>8</v>
      </c>
      <c r="K148" s="1" t="s">
        <v>9</v>
      </c>
      <c r="L148" s="1" t="s">
        <v>10</v>
      </c>
      <c r="M148" s="1" t="s">
        <v>11</v>
      </c>
      <c r="N148" s="1" t="s">
        <v>12</v>
      </c>
      <c r="Q148" s="64" t="s">
        <v>180</v>
      </c>
      <c r="R148" s="64" t="s">
        <v>94</v>
      </c>
    </row>
    <row r="149" spans="1:25" ht="18" x14ac:dyDescent="0.35">
      <c r="A149" s="341" t="s">
        <v>158</v>
      </c>
      <c r="B149" s="594">
        <f t="shared" ref="B149:M149" si="115">+$N$149/$N$66*B66</f>
        <v>-36.708483185840713</v>
      </c>
      <c r="C149" s="417">
        <f t="shared" si="115"/>
        <v>-36.696116814159296</v>
      </c>
      <c r="D149" s="417">
        <f t="shared" si="115"/>
        <v>-36.69684424778761</v>
      </c>
      <c r="E149" s="417">
        <f t="shared" si="115"/>
        <v>-34.953185840707967</v>
      </c>
      <c r="F149" s="417">
        <f t="shared" si="115"/>
        <v>-26.760828318584071</v>
      </c>
      <c r="G149" s="417">
        <f t="shared" si="115"/>
        <v>-38.746752212389381</v>
      </c>
      <c r="H149" s="417">
        <f t="shared" si="115"/>
        <v>-30.587856637168144</v>
      </c>
      <c r="I149" s="417">
        <f t="shared" si="115"/>
        <v>-28.479026548672568</v>
      </c>
      <c r="J149" s="417">
        <f t="shared" si="115"/>
        <v>-39.086463716814158</v>
      </c>
      <c r="K149" s="417">
        <f t="shared" si="115"/>
        <v>-35.315447787610623</v>
      </c>
      <c r="L149" s="417">
        <f t="shared" si="115"/>
        <v>-37.395907964601768</v>
      </c>
      <c r="M149" s="417">
        <f t="shared" si="115"/>
        <v>-29.589090265486728</v>
      </c>
      <c r="N149" s="359">
        <v>-411</v>
      </c>
      <c r="O149" s="105" t="s">
        <v>503</v>
      </c>
      <c r="Q149" s="30">
        <f t="shared" ref="Q149:Q175" si="116">SUMPRODUCT(B149:M149,B$2:M$2)</f>
        <v>-36.708483185840713</v>
      </c>
      <c r="R149" s="30">
        <f t="shared" ref="R149:R175" si="117">SUMIFS(B149:M149,$B$1:$M$1,$Y$3)</f>
        <v>-411.01600353982298</v>
      </c>
      <c r="T149" s="421" t="s">
        <v>439</v>
      </c>
      <c r="U149" s="421"/>
      <c r="V149" s="421"/>
      <c r="W149" s="421"/>
      <c r="X149" s="421"/>
      <c r="Y149" s="421"/>
    </row>
    <row r="150" spans="1:25" x14ac:dyDescent="0.3">
      <c r="A150" s="341" t="s">
        <v>75</v>
      </c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13"/>
      <c r="Q150" s="30">
        <f t="shared" si="116"/>
        <v>0</v>
      </c>
      <c r="R150" s="30">
        <f t="shared" si="117"/>
        <v>0</v>
      </c>
    </row>
    <row r="151" spans="1:25" x14ac:dyDescent="0.3">
      <c r="A151" s="342" t="s">
        <v>196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59">
        <v>0</v>
      </c>
      <c r="Q151" s="30">
        <f t="shared" si="116"/>
        <v>0</v>
      </c>
      <c r="R151" s="30">
        <f t="shared" si="117"/>
        <v>0</v>
      </c>
    </row>
    <row r="152" spans="1:25" ht="15" thickBot="1" x14ac:dyDescent="0.35">
      <c r="A152" s="344" t="s">
        <v>197</v>
      </c>
      <c r="B152" s="353">
        <f>SUM(B149:B151)</f>
        <v>-36.708483185840713</v>
      </c>
      <c r="C152" s="353">
        <f t="shared" ref="C152:N152" si="118">SUM(C149:C151)</f>
        <v>-36.696116814159296</v>
      </c>
      <c r="D152" s="353">
        <f t="shared" si="118"/>
        <v>-36.69684424778761</v>
      </c>
      <c r="E152" s="353">
        <f t="shared" si="118"/>
        <v>-34.953185840707967</v>
      </c>
      <c r="F152" s="353">
        <f t="shared" si="118"/>
        <v>-26.760828318584071</v>
      </c>
      <c r="G152" s="353">
        <f t="shared" si="118"/>
        <v>-38.746752212389381</v>
      </c>
      <c r="H152" s="353">
        <f t="shared" si="118"/>
        <v>-30.587856637168144</v>
      </c>
      <c r="I152" s="353">
        <f t="shared" si="118"/>
        <v>-28.479026548672568</v>
      </c>
      <c r="J152" s="353">
        <f t="shared" si="118"/>
        <v>-39.086463716814158</v>
      </c>
      <c r="K152" s="353">
        <f t="shared" si="118"/>
        <v>-35.315447787610623</v>
      </c>
      <c r="L152" s="353">
        <f t="shared" si="118"/>
        <v>-37.395907964601768</v>
      </c>
      <c r="M152" s="353">
        <f t="shared" si="118"/>
        <v>-29.589090265486728</v>
      </c>
      <c r="N152" s="353">
        <f t="shared" si="118"/>
        <v>-411</v>
      </c>
      <c r="Q152" s="353">
        <f t="shared" si="116"/>
        <v>-36.708483185840713</v>
      </c>
      <c r="R152" s="353">
        <f t="shared" si="117"/>
        <v>-411.01600353982298</v>
      </c>
    </row>
    <row r="153" spans="1:25" x14ac:dyDescent="0.3">
      <c r="A153" s="343" t="s">
        <v>80</v>
      </c>
      <c r="B153" s="412">
        <v>-42</v>
      </c>
      <c r="C153" s="412">
        <v>-42</v>
      </c>
      <c r="D153" s="412">
        <v>-42</v>
      </c>
      <c r="E153" s="412">
        <v>-42</v>
      </c>
      <c r="F153" s="412">
        <v>-42</v>
      </c>
      <c r="G153" s="412">
        <v>-42</v>
      </c>
      <c r="H153" s="412">
        <v>-15</v>
      </c>
      <c r="I153" s="412">
        <v>-15</v>
      </c>
      <c r="J153" s="412">
        <v>-42</v>
      </c>
      <c r="K153" s="412">
        <v>-42</v>
      </c>
      <c r="L153" s="412">
        <v>-42</v>
      </c>
      <c r="M153" s="412">
        <v>-21</v>
      </c>
      <c r="N153" s="361">
        <v>-428.4</v>
      </c>
      <c r="Q153" s="30">
        <f t="shared" si="116"/>
        <v>-42</v>
      </c>
      <c r="R153" s="30">
        <f t="shared" si="117"/>
        <v>-429</v>
      </c>
    </row>
    <row r="154" spans="1:25" x14ac:dyDescent="0.3">
      <c r="A154" s="342" t="s">
        <v>81</v>
      </c>
      <c r="B154" s="412">
        <v>7</v>
      </c>
      <c r="C154" s="412">
        <v>8</v>
      </c>
      <c r="D154" s="412">
        <v>7</v>
      </c>
      <c r="E154" s="412">
        <v>7</v>
      </c>
      <c r="F154" s="412">
        <v>7</v>
      </c>
      <c r="G154" s="412">
        <v>7</v>
      </c>
      <c r="H154" s="412">
        <v>7</v>
      </c>
      <c r="I154" s="412">
        <v>7</v>
      </c>
      <c r="J154" s="412">
        <v>7</v>
      </c>
      <c r="K154" s="412">
        <v>7</v>
      </c>
      <c r="L154" s="412">
        <v>6</v>
      </c>
      <c r="M154" s="412">
        <v>6</v>
      </c>
      <c r="N154" s="361">
        <v>83</v>
      </c>
      <c r="Q154" s="30">
        <f t="shared" si="116"/>
        <v>7</v>
      </c>
      <c r="R154" s="30">
        <f t="shared" si="117"/>
        <v>83</v>
      </c>
    </row>
    <row r="155" spans="1:25" x14ac:dyDescent="0.3">
      <c r="A155" s="342" t="s">
        <v>82</v>
      </c>
      <c r="B155" s="413">
        <v>-13.179533531022013</v>
      </c>
      <c r="C155" s="413">
        <v>-13.04711058027776</v>
      </c>
      <c r="D155" s="413">
        <v>-12.917156752265736</v>
      </c>
      <c r="E155" s="413">
        <v>-12.259796368771944</v>
      </c>
      <c r="F155" s="413">
        <v>-9.611331647457158</v>
      </c>
      <c r="G155" s="413">
        <v>-13.429082459356131</v>
      </c>
      <c r="H155" s="413">
        <v>-12.076772981911315</v>
      </c>
      <c r="I155" s="413">
        <v>-10.835903269054016</v>
      </c>
      <c r="J155" s="413">
        <v>-14.349496021060355</v>
      </c>
      <c r="K155" s="413">
        <v>-12.462086434645601</v>
      </c>
      <c r="L155" s="413">
        <v>-13.687672810313115</v>
      </c>
      <c r="M155" s="413">
        <v>-10.700239140466527</v>
      </c>
      <c r="N155" s="361">
        <v>-149.76</v>
      </c>
      <c r="Q155" s="30">
        <f t="shared" si="116"/>
        <v>-13.179533531022013</v>
      </c>
      <c r="R155" s="30">
        <f t="shared" si="117"/>
        <v>-148.55618199660165</v>
      </c>
    </row>
    <row r="156" spans="1:25" x14ac:dyDescent="0.3">
      <c r="A156" s="342" t="s">
        <v>83</v>
      </c>
      <c r="B156" s="412">
        <v>-2</v>
      </c>
      <c r="C156" s="412">
        <v>-2</v>
      </c>
      <c r="D156" s="412">
        <v>-2</v>
      </c>
      <c r="E156" s="412">
        <v>-2</v>
      </c>
      <c r="F156" s="412">
        <v>-2</v>
      </c>
      <c r="G156" s="412">
        <v>-2</v>
      </c>
      <c r="H156" s="412">
        <v>-2</v>
      </c>
      <c r="I156" s="412">
        <v>-2</v>
      </c>
      <c r="J156" s="412">
        <v>-2</v>
      </c>
      <c r="K156" s="412">
        <v>-2</v>
      </c>
      <c r="L156" s="412">
        <v>-2</v>
      </c>
      <c r="M156" s="412">
        <v>-2</v>
      </c>
      <c r="N156" s="30">
        <v>-22</v>
      </c>
      <c r="Q156" s="30">
        <f t="shared" si="116"/>
        <v>-2</v>
      </c>
      <c r="R156" s="30">
        <f t="shared" si="117"/>
        <v>-24</v>
      </c>
    </row>
    <row r="157" spans="1:25" x14ac:dyDescent="0.3">
      <c r="A157" s="342" t="s">
        <v>84</v>
      </c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59"/>
      <c r="Q157" s="30">
        <f t="shared" si="116"/>
        <v>0</v>
      </c>
      <c r="R157" s="30">
        <f t="shared" si="117"/>
        <v>0</v>
      </c>
    </row>
    <row r="158" spans="1:25" x14ac:dyDescent="0.3">
      <c r="A158" s="342" t="s">
        <v>86</v>
      </c>
      <c r="B158" s="413">
        <v>-5.7388241666646991</v>
      </c>
      <c r="C158" s="413">
        <v>-7.3085941666662393</v>
      </c>
      <c r="D158" s="413">
        <v>-1.1846774999978607</v>
      </c>
      <c r="E158" s="413">
        <v>-1.728747499999713</v>
      </c>
      <c r="F158" s="413">
        <v>-0.93481749999864405</v>
      </c>
      <c r="G158" s="413">
        <v>1.1397408333348267</v>
      </c>
      <c r="H158" s="413">
        <v>18.503307984299909</v>
      </c>
      <c r="I158" s="413">
        <v>18.796504650966426</v>
      </c>
      <c r="J158" s="413">
        <v>18.228764650966696</v>
      </c>
      <c r="K158" s="413">
        <v>21.213347984300071</v>
      </c>
      <c r="L158" s="413">
        <v>23.99143131763276</v>
      </c>
      <c r="M158" s="413">
        <v>34.23176341182841</v>
      </c>
      <c r="N158" s="30">
        <v>119</v>
      </c>
      <c r="Q158" s="30">
        <f t="shared" si="116"/>
        <v>-5.7388241666646991</v>
      </c>
      <c r="R158" s="30">
        <f t="shared" si="117"/>
        <v>119.20920000000194</v>
      </c>
    </row>
    <row r="159" spans="1:25" ht="15" thickBot="1" x14ac:dyDescent="0.35">
      <c r="A159" s="344" t="s">
        <v>198</v>
      </c>
      <c r="B159" s="353">
        <f>SUM(B153:B158)</f>
        <v>-55.918357697686716</v>
      </c>
      <c r="C159" s="353">
        <f t="shared" ref="C159:N159" si="119">SUM(C153:C158)</f>
        <v>-56.355704746943999</v>
      </c>
      <c r="D159" s="353">
        <f t="shared" si="119"/>
        <v>-51.1018342522636</v>
      </c>
      <c r="E159" s="353">
        <f t="shared" si="119"/>
        <v>-50.988543868771657</v>
      </c>
      <c r="F159" s="353">
        <f t="shared" si="119"/>
        <v>-47.5461491474558</v>
      </c>
      <c r="G159" s="353">
        <f t="shared" si="119"/>
        <v>-49.289341626021304</v>
      </c>
      <c r="H159" s="353">
        <f t="shared" si="119"/>
        <v>-3.5734649976114063</v>
      </c>
      <c r="I159" s="353">
        <f t="shared" si="119"/>
        <v>-2.0393986180875885</v>
      </c>
      <c r="J159" s="353">
        <f t="shared" si="119"/>
        <v>-33.120731370093658</v>
      </c>
      <c r="K159" s="353">
        <f t="shared" si="119"/>
        <v>-28.248738450345527</v>
      </c>
      <c r="L159" s="353">
        <f t="shared" si="119"/>
        <v>-27.696241492680358</v>
      </c>
      <c r="M159" s="353">
        <f t="shared" si="119"/>
        <v>6.5315242713618815</v>
      </c>
      <c r="N159" s="353">
        <f t="shared" si="119"/>
        <v>-398.15999999999997</v>
      </c>
      <c r="Q159" s="353">
        <f t="shared" si="116"/>
        <v>-55.918357697686716</v>
      </c>
      <c r="R159" s="353">
        <f t="shared" si="117"/>
        <v>-399.34698199659977</v>
      </c>
    </row>
    <row r="160" spans="1:25" x14ac:dyDescent="0.3">
      <c r="A160" s="345" t="s">
        <v>88</v>
      </c>
      <c r="B160" s="354">
        <f>B152+B159</f>
        <v>-92.626840883527422</v>
      </c>
      <c r="C160" s="354">
        <f t="shared" ref="C160:N160" si="120">C152+C159</f>
        <v>-93.051821561103296</v>
      </c>
      <c r="D160" s="354">
        <f t="shared" si="120"/>
        <v>-87.79867850005121</v>
      </c>
      <c r="E160" s="354">
        <f t="shared" si="120"/>
        <v>-85.941729709479631</v>
      </c>
      <c r="F160" s="354">
        <f t="shared" si="120"/>
        <v>-74.306977466039868</v>
      </c>
      <c r="G160" s="354">
        <f t="shared" si="120"/>
        <v>-88.036093838410693</v>
      </c>
      <c r="H160" s="354">
        <f t="shared" si="120"/>
        <v>-34.161321634779554</v>
      </c>
      <c r="I160" s="354">
        <f t="shared" si="120"/>
        <v>-30.518425166760156</v>
      </c>
      <c r="J160" s="354">
        <f t="shared" si="120"/>
        <v>-72.207195086907817</v>
      </c>
      <c r="K160" s="354">
        <f t="shared" si="120"/>
        <v>-63.56418623795615</v>
      </c>
      <c r="L160" s="354">
        <f t="shared" si="120"/>
        <v>-65.092149457282119</v>
      </c>
      <c r="M160" s="354">
        <f t="shared" si="120"/>
        <v>-23.057565994124847</v>
      </c>
      <c r="N160" s="354">
        <f t="shared" si="120"/>
        <v>-809.16</v>
      </c>
      <c r="Q160" s="354">
        <f t="shared" si="116"/>
        <v>-92.626840883527422</v>
      </c>
      <c r="R160" s="354">
        <f t="shared" si="117"/>
        <v>-810.36298553642291</v>
      </c>
    </row>
    <row r="161" spans="1:18" x14ac:dyDescent="0.3">
      <c r="A161" s="342" t="s">
        <v>89</v>
      </c>
      <c r="B161" s="355"/>
      <c r="C161" s="355"/>
      <c r="D161" s="355"/>
      <c r="E161" s="355"/>
      <c r="F161" s="355"/>
      <c r="G161" s="355"/>
      <c r="H161" s="355"/>
      <c r="I161" s="355"/>
      <c r="J161" s="355"/>
      <c r="K161" s="355"/>
      <c r="L161" s="355"/>
      <c r="M161" s="355"/>
      <c r="N161" s="13">
        <f t="shared" ref="N161" si="121">SUM(B161:M161)</f>
        <v>0</v>
      </c>
      <c r="Q161" s="355">
        <f t="shared" si="116"/>
        <v>0</v>
      </c>
      <c r="R161" s="355">
        <f t="shared" si="117"/>
        <v>0</v>
      </c>
    </row>
    <row r="162" spans="1:18" x14ac:dyDescent="0.3">
      <c r="A162" s="345" t="s">
        <v>90</v>
      </c>
      <c r="B162" s="354">
        <f>B160+B161</f>
        <v>-92.626840883527422</v>
      </c>
      <c r="C162" s="354">
        <f t="shared" ref="C162:N162" si="122">C160+C161</f>
        <v>-93.051821561103296</v>
      </c>
      <c r="D162" s="354">
        <f t="shared" si="122"/>
        <v>-87.79867850005121</v>
      </c>
      <c r="E162" s="354">
        <f t="shared" si="122"/>
        <v>-85.941729709479631</v>
      </c>
      <c r="F162" s="354">
        <f t="shared" si="122"/>
        <v>-74.306977466039868</v>
      </c>
      <c r="G162" s="354">
        <f t="shared" si="122"/>
        <v>-88.036093838410693</v>
      </c>
      <c r="H162" s="354">
        <f t="shared" si="122"/>
        <v>-34.161321634779554</v>
      </c>
      <c r="I162" s="354">
        <f t="shared" si="122"/>
        <v>-30.518425166760156</v>
      </c>
      <c r="J162" s="354">
        <f t="shared" si="122"/>
        <v>-72.207195086907817</v>
      </c>
      <c r="K162" s="354">
        <f t="shared" si="122"/>
        <v>-63.56418623795615</v>
      </c>
      <c r="L162" s="354">
        <f t="shared" si="122"/>
        <v>-65.092149457282119</v>
      </c>
      <c r="M162" s="354">
        <f t="shared" si="122"/>
        <v>-23.057565994124847</v>
      </c>
      <c r="N162" s="354">
        <f t="shared" si="122"/>
        <v>-809.16</v>
      </c>
      <c r="Q162" s="354">
        <f t="shared" si="116"/>
        <v>-92.626840883527422</v>
      </c>
      <c r="R162" s="354">
        <f t="shared" si="117"/>
        <v>-810.36298553642291</v>
      </c>
    </row>
    <row r="163" spans="1:18" x14ac:dyDescent="0.3">
      <c r="A163" s="342" t="s">
        <v>91</v>
      </c>
      <c r="B163" s="355">
        <f>B114</f>
        <v>0</v>
      </c>
      <c r="C163" s="355">
        <f t="shared" ref="C163:M163" si="123">C114</f>
        <v>0</v>
      </c>
      <c r="D163" s="355">
        <f t="shared" si="123"/>
        <v>0</v>
      </c>
      <c r="E163" s="355">
        <f t="shared" si="123"/>
        <v>0</v>
      </c>
      <c r="F163" s="355">
        <f t="shared" si="123"/>
        <v>0</v>
      </c>
      <c r="G163" s="355">
        <f t="shared" si="123"/>
        <v>0</v>
      </c>
      <c r="H163" s="355">
        <f t="shared" si="123"/>
        <v>0</v>
      </c>
      <c r="I163" s="355">
        <f t="shared" si="123"/>
        <v>0</v>
      </c>
      <c r="J163" s="355">
        <f t="shared" si="123"/>
        <v>0</v>
      </c>
      <c r="K163" s="355">
        <f t="shared" si="123"/>
        <v>0</v>
      </c>
      <c r="L163" s="355">
        <f t="shared" si="123"/>
        <v>0</v>
      </c>
      <c r="M163" s="355">
        <f t="shared" si="123"/>
        <v>0</v>
      </c>
      <c r="N163" s="13">
        <f t="shared" ref="N163" si="124">SUM(B163:M163)</f>
        <v>0</v>
      </c>
      <c r="Q163" s="355">
        <f t="shared" si="116"/>
        <v>0</v>
      </c>
      <c r="R163" s="355">
        <f t="shared" si="117"/>
        <v>0</v>
      </c>
    </row>
    <row r="164" spans="1:18" x14ac:dyDescent="0.3">
      <c r="A164" s="345" t="s">
        <v>92</v>
      </c>
      <c r="B164" s="354">
        <f>B162+B163</f>
        <v>-92.626840883527422</v>
      </c>
      <c r="C164" s="354">
        <f t="shared" ref="C164:N164" si="125">C162+C163</f>
        <v>-93.051821561103296</v>
      </c>
      <c r="D164" s="354">
        <f t="shared" si="125"/>
        <v>-87.79867850005121</v>
      </c>
      <c r="E164" s="354">
        <f t="shared" si="125"/>
        <v>-85.941729709479631</v>
      </c>
      <c r="F164" s="354">
        <f t="shared" si="125"/>
        <v>-74.306977466039868</v>
      </c>
      <c r="G164" s="354">
        <f t="shared" si="125"/>
        <v>-88.036093838410693</v>
      </c>
      <c r="H164" s="354">
        <f t="shared" si="125"/>
        <v>-34.161321634779554</v>
      </c>
      <c r="I164" s="354">
        <f t="shared" si="125"/>
        <v>-30.518425166760156</v>
      </c>
      <c r="J164" s="354">
        <f t="shared" si="125"/>
        <v>-72.207195086907817</v>
      </c>
      <c r="K164" s="354">
        <f t="shared" si="125"/>
        <v>-63.56418623795615</v>
      </c>
      <c r="L164" s="354">
        <f t="shared" si="125"/>
        <v>-65.092149457282119</v>
      </c>
      <c r="M164" s="354">
        <f t="shared" si="125"/>
        <v>-23.057565994124847</v>
      </c>
      <c r="N164" s="354">
        <f t="shared" si="125"/>
        <v>-809.16</v>
      </c>
      <c r="Q164" s="354">
        <f t="shared" si="116"/>
        <v>-92.626840883527422</v>
      </c>
      <c r="R164" s="354">
        <f t="shared" si="117"/>
        <v>-810.36298553642291</v>
      </c>
    </row>
    <row r="165" spans="1:18" x14ac:dyDescent="0.3">
      <c r="A165" s="342" t="s">
        <v>76</v>
      </c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13"/>
      <c r="Q165" s="30">
        <f t="shared" si="116"/>
        <v>0</v>
      </c>
      <c r="R165" s="30">
        <f t="shared" si="117"/>
        <v>0</v>
      </c>
    </row>
    <row r="166" spans="1:18" x14ac:dyDescent="0.3">
      <c r="A166" s="342" t="s">
        <v>77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13"/>
      <c r="Q166" s="30">
        <f t="shared" si="116"/>
        <v>0</v>
      </c>
      <c r="R166" s="30">
        <f t="shared" si="117"/>
        <v>0</v>
      </c>
    </row>
    <row r="167" spans="1:18" x14ac:dyDescent="0.3">
      <c r="A167" s="342" t="s">
        <v>144</v>
      </c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13">
        <f t="shared" ref="N167" si="126">SUM(B167:M167)</f>
        <v>0</v>
      </c>
      <c r="Q167" s="30">
        <f t="shared" si="116"/>
        <v>0</v>
      </c>
      <c r="R167" s="30">
        <f t="shared" si="117"/>
        <v>0</v>
      </c>
    </row>
    <row r="168" spans="1:18" x14ac:dyDescent="0.3">
      <c r="A168" s="342" t="s">
        <v>85</v>
      </c>
      <c r="B168" s="413">
        <f>+N168/12</f>
        <v>8.3333333333333339</v>
      </c>
      <c r="C168" s="413">
        <f>+B168</f>
        <v>8.3333333333333339</v>
      </c>
      <c r="D168" s="413">
        <f t="shared" ref="D168:M168" si="127">+C168</f>
        <v>8.3333333333333339</v>
      </c>
      <c r="E168" s="413">
        <f t="shared" si="127"/>
        <v>8.3333333333333339</v>
      </c>
      <c r="F168" s="413">
        <f t="shared" si="127"/>
        <v>8.3333333333333339</v>
      </c>
      <c r="G168" s="413">
        <f t="shared" si="127"/>
        <v>8.3333333333333339</v>
      </c>
      <c r="H168" s="413">
        <f t="shared" si="127"/>
        <v>8.3333333333333339</v>
      </c>
      <c r="I168" s="413">
        <f t="shared" si="127"/>
        <v>8.3333333333333339</v>
      </c>
      <c r="J168" s="413">
        <f t="shared" si="127"/>
        <v>8.3333333333333339</v>
      </c>
      <c r="K168" s="413">
        <f t="shared" si="127"/>
        <v>8.3333333333333339</v>
      </c>
      <c r="L168" s="413">
        <f t="shared" si="127"/>
        <v>8.3333333333333339</v>
      </c>
      <c r="M168" s="413">
        <f t="shared" si="127"/>
        <v>8.3333333333333339</v>
      </c>
      <c r="N168" s="13">
        <v>100</v>
      </c>
      <c r="Q168" s="30">
        <f t="shared" si="116"/>
        <v>8.3333333333333339</v>
      </c>
      <c r="R168" s="30">
        <f t="shared" si="117"/>
        <v>99.999999999999986</v>
      </c>
    </row>
    <row r="169" spans="1:18" x14ac:dyDescent="0.3">
      <c r="A169" s="342" t="s">
        <v>145</v>
      </c>
      <c r="B169" s="355"/>
      <c r="C169" s="355"/>
      <c r="D169" s="355"/>
      <c r="E169" s="355"/>
      <c r="F169" s="355"/>
      <c r="G169" s="355"/>
      <c r="H169" s="355"/>
      <c r="I169" s="355"/>
      <c r="J169" s="355"/>
      <c r="K169" s="355"/>
      <c r="L169" s="355"/>
      <c r="M169" s="355"/>
      <c r="N169" s="356"/>
      <c r="Q169" s="355">
        <f t="shared" si="116"/>
        <v>0</v>
      </c>
      <c r="R169" s="355">
        <f t="shared" si="117"/>
        <v>0</v>
      </c>
    </row>
    <row r="170" spans="1:18" x14ac:dyDescent="0.3">
      <c r="A170" s="345" t="s">
        <v>146</v>
      </c>
      <c r="B170" s="354">
        <f>SUM(B165:B169)</f>
        <v>8.3333333333333339</v>
      </c>
      <c r="C170" s="354">
        <f t="shared" ref="C170:M170" si="128">SUM(C165:C169)</f>
        <v>8.3333333333333339</v>
      </c>
      <c r="D170" s="354">
        <f t="shared" si="128"/>
        <v>8.3333333333333339</v>
      </c>
      <c r="E170" s="354">
        <f t="shared" si="128"/>
        <v>8.3333333333333339</v>
      </c>
      <c r="F170" s="354">
        <f t="shared" si="128"/>
        <v>8.3333333333333339</v>
      </c>
      <c r="G170" s="354">
        <f t="shared" si="128"/>
        <v>8.3333333333333339</v>
      </c>
      <c r="H170" s="354">
        <f t="shared" si="128"/>
        <v>8.3333333333333339</v>
      </c>
      <c r="I170" s="354">
        <f t="shared" si="128"/>
        <v>8.3333333333333339</v>
      </c>
      <c r="J170" s="354">
        <f t="shared" si="128"/>
        <v>8.3333333333333339</v>
      </c>
      <c r="K170" s="354">
        <f t="shared" si="128"/>
        <v>8.3333333333333339</v>
      </c>
      <c r="L170" s="354">
        <f t="shared" si="128"/>
        <v>8.3333333333333339</v>
      </c>
      <c r="M170" s="354">
        <f t="shared" si="128"/>
        <v>8.3333333333333339</v>
      </c>
      <c r="N170" s="354">
        <f>SUM(N165:N169)</f>
        <v>100</v>
      </c>
      <c r="Q170" s="354">
        <f t="shared" si="116"/>
        <v>8.3333333333333339</v>
      </c>
      <c r="R170" s="354">
        <f t="shared" si="117"/>
        <v>99.999999999999986</v>
      </c>
    </row>
    <row r="171" spans="1:18" x14ac:dyDescent="0.3">
      <c r="A171" s="342" t="s">
        <v>148</v>
      </c>
      <c r="B171" s="415">
        <v>16.558793615892647</v>
      </c>
      <c r="C171" s="415">
        <v>-51.879615778486794</v>
      </c>
      <c r="D171" s="415">
        <v>-27.404935603907333</v>
      </c>
      <c r="E171" s="415">
        <v>30.487822610307251</v>
      </c>
      <c r="F171" s="415">
        <v>-4.3968736607207104</v>
      </c>
      <c r="G171" s="415">
        <v>7.7281598801854123</v>
      </c>
      <c r="H171" s="415">
        <v>14.826236924765661</v>
      </c>
      <c r="I171" s="415">
        <v>14.731521137148345</v>
      </c>
      <c r="J171" s="415">
        <v>14.449181571452675</v>
      </c>
      <c r="K171" s="415">
        <v>14.231529752632895</v>
      </c>
      <c r="L171" s="415">
        <v>14.287312904968479</v>
      </c>
      <c r="M171" s="415">
        <v>59.843071760200544</v>
      </c>
      <c r="N171" s="356">
        <v>103.5</v>
      </c>
      <c r="Q171" s="355">
        <f t="shared" si="116"/>
        <v>16.558793615892647</v>
      </c>
      <c r="R171" s="355">
        <f t="shared" si="117"/>
        <v>103.46220511443909</v>
      </c>
    </row>
    <row r="172" spans="1:18" x14ac:dyDescent="0.3">
      <c r="A172" s="342" t="s">
        <v>149</v>
      </c>
      <c r="B172" s="355"/>
      <c r="C172" s="355"/>
      <c r="D172" s="355"/>
      <c r="E172" s="355"/>
      <c r="F172" s="355"/>
      <c r="G172" s="355"/>
      <c r="H172" s="355"/>
      <c r="I172" s="355"/>
      <c r="J172" s="355"/>
      <c r="K172" s="355"/>
      <c r="L172" s="355"/>
      <c r="M172" s="355"/>
      <c r="N172" s="356">
        <v>0</v>
      </c>
      <c r="Q172" s="355">
        <f t="shared" si="116"/>
        <v>0</v>
      </c>
      <c r="R172" s="355">
        <f t="shared" si="117"/>
        <v>0</v>
      </c>
    </row>
    <row r="173" spans="1:18" x14ac:dyDescent="0.3">
      <c r="A173" s="345" t="s">
        <v>150</v>
      </c>
      <c r="B173" s="354">
        <f>SUM(B171:B172)</f>
        <v>16.558793615892647</v>
      </c>
      <c r="C173" s="354">
        <f t="shared" ref="C173" si="129">SUM(C171:C172)</f>
        <v>-51.879615778486794</v>
      </c>
      <c r="D173" s="354">
        <f t="shared" ref="D173" si="130">SUM(D171:D172)</f>
        <v>-27.404935603907333</v>
      </c>
      <c r="E173" s="354">
        <f t="shared" ref="E173" si="131">SUM(E171:E172)</f>
        <v>30.487822610307251</v>
      </c>
      <c r="F173" s="354">
        <f t="shared" ref="F173" si="132">SUM(F171:F172)</f>
        <v>-4.3968736607207104</v>
      </c>
      <c r="G173" s="354">
        <f t="shared" ref="G173" si="133">SUM(G171:G172)</f>
        <v>7.7281598801854123</v>
      </c>
      <c r="H173" s="354">
        <f t="shared" ref="H173" si="134">SUM(H171:H172)</f>
        <v>14.826236924765661</v>
      </c>
      <c r="I173" s="354">
        <f t="shared" ref="I173" si="135">SUM(I171:I172)</f>
        <v>14.731521137148345</v>
      </c>
      <c r="J173" s="354">
        <f t="shared" ref="J173" si="136">SUM(J171:J172)</f>
        <v>14.449181571452675</v>
      </c>
      <c r="K173" s="354">
        <f t="shared" ref="K173" si="137">SUM(K171:K172)</f>
        <v>14.231529752632895</v>
      </c>
      <c r="L173" s="354">
        <f t="shared" ref="L173" si="138">SUM(L171:L172)</f>
        <v>14.287312904968479</v>
      </c>
      <c r="M173" s="354">
        <f t="shared" ref="M173" si="139">SUM(M171:M172)</f>
        <v>59.843071760200544</v>
      </c>
      <c r="N173" s="354">
        <f t="shared" ref="N173" si="140">SUM(N171:N172)</f>
        <v>103.5</v>
      </c>
      <c r="Q173" s="354">
        <f t="shared" si="116"/>
        <v>16.558793615892647</v>
      </c>
      <c r="R173" s="354">
        <f t="shared" si="117"/>
        <v>103.46220511443909</v>
      </c>
    </row>
    <row r="174" spans="1:18" ht="15" thickBot="1" x14ac:dyDescent="0.35">
      <c r="A174" s="418" t="s">
        <v>438</v>
      </c>
      <c r="B174" s="419"/>
      <c r="C174" s="419"/>
      <c r="D174" s="419"/>
      <c r="E174" s="419"/>
      <c r="F174" s="419"/>
      <c r="G174" s="419"/>
      <c r="H174" s="419"/>
      <c r="I174" s="419"/>
      <c r="J174" s="419"/>
      <c r="K174" s="419"/>
      <c r="L174" s="419"/>
      <c r="M174" s="419"/>
      <c r="N174" s="357"/>
      <c r="Q174" s="357">
        <f t="shared" si="116"/>
        <v>0</v>
      </c>
      <c r="R174" s="357">
        <f t="shared" si="117"/>
        <v>0</v>
      </c>
    </row>
    <row r="175" spans="1:18" x14ac:dyDescent="0.3">
      <c r="A175" s="345" t="s">
        <v>152</v>
      </c>
      <c r="B175" s="354">
        <f>B164+B170+B173</f>
        <v>-67.734713934301453</v>
      </c>
      <c r="C175" s="354">
        <f t="shared" ref="C175:N175" si="141">C164+C170+C173</f>
        <v>-136.59810400625676</v>
      </c>
      <c r="D175" s="354">
        <f t="shared" si="141"/>
        <v>-106.87028077062521</v>
      </c>
      <c r="E175" s="354">
        <f t="shared" si="141"/>
        <v>-47.120573765839055</v>
      </c>
      <c r="F175" s="354">
        <f t="shared" si="141"/>
        <v>-70.370517793427254</v>
      </c>
      <c r="G175" s="354">
        <f t="shared" si="141"/>
        <v>-71.974600624891949</v>
      </c>
      <c r="H175" s="354">
        <f t="shared" si="141"/>
        <v>-11.001751376680557</v>
      </c>
      <c r="I175" s="354">
        <f t="shared" si="141"/>
        <v>-7.4535706962784793</v>
      </c>
      <c r="J175" s="354">
        <f t="shared" si="141"/>
        <v>-49.424680182121804</v>
      </c>
      <c r="K175" s="354">
        <f t="shared" si="141"/>
        <v>-40.99932315198992</v>
      </c>
      <c r="L175" s="354">
        <f t="shared" si="141"/>
        <v>-42.471503218980303</v>
      </c>
      <c r="M175" s="354">
        <f t="shared" si="141"/>
        <v>45.11883909940903</v>
      </c>
      <c r="N175" s="360">
        <f t="shared" si="141"/>
        <v>-605.66</v>
      </c>
      <c r="Q175" s="354">
        <f t="shared" si="116"/>
        <v>-67.734713934301453</v>
      </c>
      <c r="R175" s="354">
        <f t="shared" si="117"/>
        <v>-606.90078042198365</v>
      </c>
    </row>
    <row r="176" spans="1:18" x14ac:dyDescent="0.3">
      <c r="A176" s="2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</row>
    <row r="177" spans="1:18" s="365" customFormat="1" x14ac:dyDescent="0.3">
      <c r="B177" s="374"/>
      <c r="C177" s="374"/>
      <c r="D177" s="374"/>
      <c r="E177" s="374"/>
      <c r="F177" s="374"/>
      <c r="G177" s="374"/>
      <c r="H177" s="374"/>
      <c r="I177" s="374"/>
      <c r="J177" s="374"/>
      <c r="K177" s="374"/>
      <c r="L177" s="374"/>
      <c r="M177" s="374"/>
      <c r="O177" s="368"/>
    </row>
    <row r="178" spans="1:18" x14ac:dyDescent="0.3">
      <c r="A178" s="27"/>
    </row>
    <row r="179" spans="1:18" ht="23.4" x14ac:dyDescent="0.45">
      <c r="A179" s="394" t="s">
        <v>425</v>
      </c>
      <c r="B179" s="1" t="s">
        <v>0</v>
      </c>
      <c r="C179" s="1" t="s">
        <v>1</v>
      </c>
      <c r="D179" s="1" t="s">
        <v>2</v>
      </c>
      <c r="E179" s="1" t="s">
        <v>3</v>
      </c>
      <c r="F179" s="1" t="s">
        <v>4</v>
      </c>
      <c r="G179" s="1" t="s">
        <v>5</v>
      </c>
      <c r="H179" s="1" t="s">
        <v>6</v>
      </c>
      <c r="I179" s="1" t="s">
        <v>7</v>
      </c>
      <c r="J179" s="1" t="s">
        <v>8</v>
      </c>
      <c r="K179" s="1" t="s">
        <v>9</v>
      </c>
      <c r="L179" s="1" t="s">
        <v>10</v>
      </c>
      <c r="M179" s="1" t="s">
        <v>11</v>
      </c>
      <c r="N179" s="1" t="s">
        <v>12</v>
      </c>
      <c r="Q179" s="64" t="s">
        <v>180</v>
      </c>
      <c r="R179" s="64" t="s">
        <v>94</v>
      </c>
    </row>
    <row r="180" spans="1:18" x14ac:dyDescent="0.3">
      <c r="A180" s="341" t="s">
        <v>158</v>
      </c>
      <c r="B180" s="596">
        <f>B211-(B5+B70+B118+B149)</f>
        <v>-13.073387515445688</v>
      </c>
      <c r="C180" s="413">
        <f t="shared" ref="C180:M180" si="142">C211-(C5+C70+C118+C149)</f>
        <v>-6.6660456661202261</v>
      </c>
      <c r="D180" s="413">
        <f t="shared" si="142"/>
        <v>31.510152275566554</v>
      </c>
      <c r="E180" s="413">
        <f t="shared" si="142"/>
        <v>63.025511845103836</v>
      </c>
      <c r="F180" s="413">
        <f t="shared" si="142"/>
        <v>37.338164868599733</v>
      </c>
      <c r="G180" s="413">
        <f t="shared" si="142"/>
        <v>66.129738612161361</v>
      </c>
      <c r="H180" s="413">
        <f t="shared" si="142"/>
        <v>-22.812999519031905</v>
      </c>
      <c r="I180" s="413">
        <f t="shared" si="142"/>
        <v>-45.298185116585728</v>
      </c>
      <c r="J180" s="413">
        <f t="shared" si="142"/>
        <v>90.960705526866775</v>
      </c>
      <c r="K180" s="413">
        <f t="shared" si="142"/>
        <v>125.53221873883126</v>
      </c>
      <c r="L180" s="413">
        <f t="shared" si="142"/>
        <v>42.775127383539939</v>
      </c>
      <c r="M180" s="413">
        <f t="shared" si="142"/>
        <v>90.691027382037987</v>
      </c>
      <c r="N180" s="566">
        <f t="shared" ref="N180:N205" si="143">SUM(B180:M180)</f>
        <v>460.1120288155239</v>
      </c>
      <c r="O180" s="105">
        <f>+SUM(B180:M180)-N180</f>
        <v>0</v>
      </c>
      <c r="Q180" s="30">
        <f t="shared" ref="Q180:Q206" si="144">SUMPRODUCT(B180:M180,B$2:M$2)</f>
        <v>-13.073387515445688</v>
      </c>
      <c r="R180" s="30">
        <f t="shared" ref="R180:R206" si="145">SUMIFS(B180:M180,$B$1:$M$1,$Y$3)</f>
        <v>460.1120288155239</v>
      </c>
    </row>
    <row r="181" spans="1:18" x14ac:dyDescent="0.3">
      <c r="A181" s="341" t="s">
        <v>75</v>
      </c>
      <c r="B181" s="413">
        <f t="shared" ref="B181:M181" si="146">B212-(B6+B71+B119+B150)</f>
        <v>-1.9248993628776461</v>
      </c>
      <c r="C181" s="413">
        <f t="shared" si="146"/>
        <v>-2.8372648417500415</v>
      </c>
      <c r="D181" s="413">
        <f t="shared" si="146"/>
        <v>-2.4847789113554128</v>
      </c>
      <c r="E181" s="413">
        <f t="shared" si="146"/>
        <v>-2.0736488934155446</v>
      </c>
      <c r="F181" s="413">
        <f t="shared" si="146"/>
        <v>-2.5168713273120034</v>
      </c>
      <c r="G181" s="413">
        <f t="shared" si="146"/>
        <v>-4.1759044722314229</v>
      </c>
      <c r="H181" s="413">
        <f t="shared" si="146"/>
        <v>-2.3617859264990315</v>
      </c>
      <c r="I181" s="413">
        <f t="shared" si="146"/>
        <v>-4.6881519624477548</v>
      </c>
      <c r="J181" s="413">
        <f t="shared" si="146"/>
        <v>0.25811197200954439</v>
      </c>
      <c r="K181" s="413">
        <f t="shared" si="146"/>
        <v>-0.73116131183645905</v>
      </c>
      <c r="L181" s="413">
        <f t="shared" si="146"/>
        <v>-2.5263338974652356</v>
      </c>
      <c r="M181" s="413">
        <f t="shared" si="146"/>
        <v>-4.3362095899136577</v>
      </c>
      <c r="N181" s="432">
        <f t="shared" si="143"/>
        <v>-30.398898525094666</v>
      </c>
      <c r="O181" s="105">
        <f t="shared" ref="O181:O206" si="147">+SUM(B181:M181)-N181</f>
        <v>0</v>
      </c>
      <c r="Q181" s="30">
        <f t="shared" si="144"/>
        <v>-1.9248993628776461</v>
      </c>
      <c r="R181" s="30">
        <f t="shared" si="145"/>
        <v>-30.398898525094666</v>
      </c>
    </row>
    <row r="182" spans="1:18" x14ac:dyDescent="0.3">
      <c r="A182" s="342" t="s">
        <v>196</v>
      </c>
      <c r="B182" s="413">
        <f t="shared" ref="B182:M182" si="148">B213-(B7+B72+B120+B151)</f>
        <v>-8.8085912879947159E-3</v>
      </c>
      <c r="C182" s="413">
        <f t="shared" si="148"/>
        <v>-2.8328471580607584E-3</v>
      </c>
      <c r="D182" s="413">
        <f t="shared" si="148"/>
        <v>-3.1843615186453178E-3</v>
      </c>
      <c r="E182" s="413">
        <f t="shared" si="148"/>
        <v>1.3785901460909855E-3</v>
      </c>
      <c r="F182" s="413">
        <f t="shared" si="148"/>
        <v>-0.22174788636104203</v>
      </c>
      <c r="G182" s="413">
        <f t="shared" si="148"/>
        <v>-0.15363563474420872</v>
      </c>
      <c r="H182" s="413">
        <f t="shared" si="148"/>
        <v>0.43962697553502394</v>
      </c>
      <c r="I182" s="413">
        <f t="shared" si="148"/>
        <v>0.2023381236551085</v>
      </c>
      <c r="J182" s="413">
        <f t="shared" si="148"/>
        <v>0.27020715886289537</v>
      </c>
      <c r="K182" s="413">
        <f t="shared" si="148"/>
        <v>-0.50104239586778654</v>
      </c>
      <c r="L182" s="413">
        <f t="shared" si="148"/>
        <v>0.21596204125395957</v>
      </c>
      <c r="M182" s="413">
        <f t="shared" si="148"/>
        <v>-1.8198582186112944</v>
      </c>
      <c r="N182" s="566">
        <f t="shared" si="143"/>
        <v>-1.5815970460959541</v>
      </c>
      <c r="O182" s="105">
        <f t="shared" si="147"/>
        <v>0</v>
      </c>
      <c r="Q182" s="30">
        <f t="shared" si="144"/>
        <v>-8.8085912879947159E-3</v>
      </c>
      <c r="R182" s="30">
        <f t="shared" si="145"/>
        <v>-1.5815970460959541</v>
      </c>
    </row>
    <row r="183" spans="1:18" ht="15" thickBot="1" x14ac:dyDescent="0.35">
      <c r="A183" s="344" t="s">
        <v>197</v>
      </c>
      <c r="B183" s="353">
        <f>SUM(B180:B182)</f>
        <v>-15.007095469611329</v>
      </c>
      <c r="C183" s="353">
        <f t="shared" ref="C183:M183" si="149">SUM(C180:C182)</f>
        <v>-9.5061433550283283</v>
      </c>
      <c r="D183" s="353">
        <f t="shared" si="149"/>
        <v>29.022189002692496</v>
      </c>
      <c r="E183" s="353">
        <f t="shared" si="149"/>
        <v>60.95324154183438</v>
      </c>
      <c r="F183" s="353">
        <f t="shared" si="149"/>
        <v>34.599545654926686</v>
      </c>
      <c r="G183" s="353">
        <f t="shared" si="149"/>
        <v>61.800198505185733</v>
      </c>
      <c r="H183" s="353">
        <f t="shared" si="149"/>
        <v>-24.735158469995913</v>
      </c>
      <c r="I183" s="353">
        <f t="shared" si="149"/>
        <v>-49.783998955378372</v>
      </c>
      <c r="J183" s="353">
        <f t="shared" si="149"/>
        <v>91.489024657739208</v>
      </c>
      <c r="K183" s="353">
        <f t="shared" si="149"/>
        <v>124.30001503112702</v>
      </c>
      <c r="L183" s="353">
        <f t="shared" si="149"/>
        <v>40.464755527328663</v>
      </c>
      <c r="M183" s="353">
        <f t="shared" si="149"/>
        <v>84.534959573513021</v>
      </c>
      <c r="N183" s="353">
        <f>SUM(N180:N182)</f>
        <v>428.1315332443333</v>
      </c>
      <c r="O183" s="105">
        <f t="shared" si="147"/>
        <v>0</v>
      </c>
      <c r="Q183" s="353">
        <f t="shared" si="144"/>
        <v>-15.007095469611329</v>
      </c>
      <c r="R183" s="353">
        <f t="shared" si="145"/>
        <v>428.13153324433324</v>
      </c>
    </row>
    <row r="184" spans="1:18" x14ac:dyDescent="0.3">
      <c r="A184" s="343" t="s">
        <v>80</v>
      </c>
      <c r="B184" s="413">
        <f>B215-(B9+B122+B153)</f>
        <v>36.808953488222812</v>
      </c>
      <c r="C184" s="413">
        <f t="shared" ref="C184:M184" si="150">C215-(C9+C122+C153)</f>
        <v>37.166386811601086</v>
      </c>
      <c r="D184" s="413">
        <f t="shared" si="150"/>
        <v>54.013181005166757</v>
      </c>
      <c r="E184" s="413">
        <f t="shared" si="150"/>
        <v>46.759273934208949</v>
      </c>
      <c r="F184" s="413">
        <f t="shared" si="150"/>
        <v>54.454987028532457</v>
      </c>
      <c r="G184" s="413">
        <f t="shared" si="150"/>
        <v>-18.861441915291721</v>
      </c>
      <c r="H184" s="413">
        <f t="shared" si="150"/>
        <v>-39.577779059149435</v>
      </c>
      <c r="I184" s="413">
        <f t="shared" si="150"/>
        <v>-33.933453181605103</v>
      </c>
      <c r="J184" s="413">
        <f t="shared" si="150"/>
        <v>-10.347514805089588</v>
      </c>
      <c r="K184" s="413">
        <f t="shared" si="150"/>
        <v>-17.196951820654533</v>
      </c>
      <c r="L184" s="413">
        <f t="shared" si="150"/>
        <v>-22.584096701307089</v>
      </c>
      <c r="M184" s="413">
        <f t="shared" si="150"/>
        <v>34.26726158033091</v>
      </c>
      <c r="N184" s="567">
        <f t="shared" si="143"/>
        <v>120.9688063649655</v>
      </c>
      <c r="O184" s="105">
        <f t="shared" si="147"/>
        <v>0</v>
      </c>
      <c r="Q184" s="30">
        <f t="shared" si="144"/>
        <v>36.808953488222812</v>
      </c>
      <c r="R184" s="30">
        <f t="shared" si="145"/>
        <v>120.9688063649655</v>
      </c>
    </row>
    <row r="185" spans="1:18" x14ac:dyDescent="0.3">
      <c r="A185" s="342" t="s">
        <v>81</v>
      </c>
      <c r="B185" s="413">
        <f t="shared" ref="B185:M185" si="151">B216-(B10+B123+B154)</f>
        <v>16.249995375852208</v>
      </c>
      <c r="C185" s="413">
        <f t="shared" si="151"/>
        <v>12.001485589759511</v>
      </c>
      <c r="D185" s="413">
        <f t="shared" si="151"/>
        <v>7.3225254568037883</v>
      </c>
      <c r="E185" s="413">
        <f t="shared" si="151"/>
        <v>9.0086464726864506</v>
      </c>
      <c r="F185" s="413">
        <f t="shared" si="151"/>
        <v>9.6181698651679</v>
      </c>
      <c r="G185" s="413">
        <f t="shared" si="151"/>
        <v>12.297264902578618</v>
      </c>
      <c r="H185" s="413">
        <f t="shared" si="151"/>
        <v>5.1341135110785103</v>
      </c>
      <c r="I185" s="413">
        <f t="shared" si="151"/>
        <v>2.7152650353008312</v>
      </c>
      <c r="J185" s="413">
        <f t="shared" si="151"/>
        <v>5.8318760847840849</v>
      </c>
      <c r="K185" s="413">
        <f t="shared" si="151"/>
        <v>0.30891078188109589</v>
      </c>
      <c r="L185" s="413">
        <f t="shared" si="151"/>
        <v>-0.41492797849524266</v>
      </c>
      <c r="M185" s="413">
        <f t="shared" si="151"/>
        <v>-2.1891184063835425</v>
      </c>
      <c r="N185" s="567">
        <f t="shared" si="143"/>
        <v>77.884206691014214</v>
      </c>
      <c r="O185" s="105">
        <f t="shared" si="147"/>
        <v>0</v>
      </c>
      <c r="Q185" s="30">
        <f t="shared" si="144"/>
        <v>16.249995375852208</v>
      </c>
      <c r="R185" s="30">
        <f t="shared" si="145"/>
        <v>77.884206691014214</v>
      </c>
    </row>
    <row r="186" spans="1:18" x14ac:dyDescent="0.3">
      <c r="A186" s="342" t="s">
        <v>82</v>
      </c>
      <c r="B186" s="413">
        <f t="shared" ref="B186:M186" si="152">B217-(B11+B124+B155)</f>
        <v>45.529224078561953</v>
      </c>
      <c r="C186" s="413">
        <f t="shared" si="152"/>
        <v>42.202236789836149</v>
      </c>
      <c r="D186" s="413">
        <f t="shared" si="152"/>
        <v>38.937293209143462</v>
      </c>
      <c r="E186" s="413">
        <f t="shared" si="152"/>
        <v>35.248903161840417</v>
      </c>
      <c r="F186" s="413">
        <f t="shared" si="152"/>
        <v>35.841405975287316</v>
      </c>
      <c r="G186" s="413">
        <f t="shared" si="152"/>
        <v>-4.3322821624273899</v>
      </c>
      <c r="H186" s="413">
        <f t="shared" si="152"/>
        <v>8.700810784901563</v>
      </c>
      <c r="I186" s="413">
        <f t="shared" si="152"/>
        <v>10.218923085781</v>
      </c>
      <c r="J186" s="413">
        <f t="shared" si="152"/>
        <v>1.1038381048039696</v>
      </c>
      <c r="K186" s="413">
        <f t="shared" si="152"/>
        <v>-4.1258658986061789</v>
      </c>
      <c r="L186" s="413">
        <f t="shared" si="152"/>
        <v>-2.9103764418313176</v>
      </c>
      <c r="M186" s="413">
        <f t="shared" si="152"/>
        <v>-3.6379286906896482</v>
      </c>
      <c r="N186" s="567">
        <f t="shared" si="143"/>
        <v>202.77618199660131</v>
      </c>
      <c r="O186" s="105">
        <f t="shared" si="147"/>
        <v>0</v>
      </c>
      <c r="Q186" s="30">
        <f t="shared" si="144"/>
        <v>45.529224078561953</v>
      </c>
      <c r="R186" s="30">
        <f t="shared" si="145"/>
        <v>202.77618199660131</v>
      </c>
    </row>
    <row r="187" spans="1:18" x14ac:dyDescent="0.3">
      <c r="A187" s="342" t="s">
        <v>83</v>
      </c>
      <c r="B187" s="413">
        <f t="shared" ref="B187:M187" si="153">B218-(B12+B125+B156)</f>
        <v>-0.59999999999999964</v>
      </c>
      <c r="C187" s="413">
        <f t="shared" si="153"/>
        <v>0.40000000000000036</v>
      </c>
      <c r="D187" s="413">
        <f t="shared" si="153"/>
        <v>0.40000000000000036</v>
      </c>
      <c r="E187" s="413">
        <f t="shared" si="153"/>
        <v>-1.0300000000000011</v>
      </c>
      <c r="F187" s="413">
        <f t="shared" si="153"/>
        <v>1.0999999999999996</v>
      </c>
      <c r="G187" s="413">
        <f t="shared" si="153"/>
        <v>-5.17</v>
      </c>
      <c r="H187" s="413">
        <f t="shared" si="153"/>
        <v>-3.4500000000000011</v>
      </c>
      <c r="I187" s="413">
        <f t="shared" si="153"/>
        <v>-3.3600000000000012</v>
      </c>
      <c r="J187" s="413">
        <f t="shared" si="153"/>
        <v>-4.17</v>
      </c>
      <c r="K187" s="413">
        <f t="shared" si="153"/>
        <v>-5.68</v>
      </c>
      <c r="L187" s="413">
        <f t="shared" si="153"/>
        <v>-4.0999999999999996</v>
      </c>
      <c r="M187" s="413">
        <f t="shared" si="153"/>
        <v>-4.84</v>
      </c>
      <c r="N187" s="416">
        <f t="shared" si="143"/>
        <v>-30.500000000000004</v>
      </c>
      <c r="O187" s="105">
        <f t="shared" si="147"/>
        <v>0</v>
      </c>
      <c r="Q187" s="30">
        <f t="shared" si="144"/>
        <v>-0.59999999999999964</v>
      </c>
      <c r="R187" s="30">
        <f t="shared" si="145"/>
        <v>-30.500000000000004</v>
      </c>
    </row>
    <row r="188" spans="1:18" x14ac:dyDescent="0.3">
      <c r="A188" s="342" t="s">
        <v>84</v>
      </c>
      <c r="B188" s="413">
        <f t="shared" ref="B188:M188" si="154">B219-(B13+B126+B157)</f>
        <v>5.7693193412276855</v>
      </c>
      <c r="C188" s="413">
        <f t="shared" si="154"/>
        <v>5.1712153888396983</v>
      </c>
      <c r="D188" s="413">
        <f t="shared" si="154"/>
        <v>4.5842635219231553</v>
      </c>
      <c r="E188" s="413">
        <f t="shared" si="154"/>
        <v>4.1277284945055825</v>
      </c>
      <c r="F188" s="413">
        <f t="shared" si="154"/>
        <v>3.6779402901532876</v>
      </c>
      <c r="G188" s="413">
        <f t="shared" si="154"/>
        <v>4.7347992021214651</v>
      </c>
      <c r="H188" s="413">
        <f t="shared" si="154"/>
        <v>3.0003330179776384</v>
      </c>
      <c r="I188" s="413">
        <f t="shared" si="154"/>
        <v>2.7677276765651868</v>
      </c>
      <c r="J188" s="413">
        <f t="shared" si="154"/>
        <v>2.5369684092908429</v>
      </c>
      <c r="K188" s="413">
        <f t="shared" si="154"/>
        <v>2.0408643334552465</v>
      </c>
      <c r="L188" s="413">
        <f t="shared" si="154"/>
        <v>1.5532927601526225</v>
      </c>
      <c r="M188" s="413">
        <f t="shared" si="154"/>
        <v>4.0557953713941828</v>
      </c>
      <c r="N188" s="566">
        <f t="shared" si="143"/>
        <v>44.020247807606594</v>
      </c>
      <c r="O188" s="105">
        <f t="shared" si="147"/>
        <v>0</v>
      </c>
      <c r="Q188" s="30">
        <f t="shared" si="144"/>
        <v>5.7693193412276855</v>
      </c>
      <c r="R188" s="30">
        <f t="shared" si="145"/>
        <v>44.020247807606594</v>
      </c>
    </row>
    <row r="189" spans="1:18" x14ac:dyDescent="0.3">
      <c r="A189" s="342" t="s">
        <v>86</v>
      </c>
      <c r="B189" s="413">
        <f t="shared" ref="B189:M189" si="155">B220-(B14+B127+B158)</f>
        <v>-8.0000000036761776E-4</v>
      </c>
      <c r="C189" s="413">
        <f t="shared" si="155"/>
        <v>5.9999999996307452E-4</v>
      </c>
      <c r="D189" s="413">
        <f t="shared" si="155"/>
        <v>4.4999999998935891E-3</v>
      </c>
      <c r="E189" s="413">
        <f t="shared" si="155"/>
        <v>9.9999999861211109E-5</v>
      </c>
      <c r="F189" s="413">
        <f t="shared" si="155"/>
        <v>9.9999999861211109E-5</v>
      </c>
      <c r="G189" s="413">
        <f t="shared" si="155"/>
        <v>-3.2999999999674401E-3</v>
      </c>
      <c r="H189" s="413">
        <f t="shared" si="155"/>
        <v>6.9999999982428562E-4</v>
      </c>
      <c r="I189" s="413">
        <f t="shared" si="155"/>
        <v>-3.6000000003468813E-3</v>
      </c>
      <c r="J189" s="413">
        <f t="shared" si="155"/>
        <v>3.9999999989959178E-4</v>
      </c>
      <c r="K189" s="413">
        <f t="shared" si="155"/>
        <v>2.4999999997135092E-3</v>
      </c>
      <c r="L189" s="413">
        <f t="shared" si="155"/>
        <v>-5.0000000010186341E-4</v>
      </c>
      <c r="M189" s="413">
        <f t="shared" si="155"/>
        <v>9.9999999747524271E-5</v>
      </c>
      <c r="N189" s="416">
        <f t="shared" si="143"/>
        <v>7.9999999798019417E-4</v>
      </c>
      <c r="O189" s="105">
        <f t="shared" si="147"/>
        <v>0</v>
      </c>
      <c r="Q189" s="30">
        <f t="shared" si="144"/>
        <v>-8.0000000036761776E-4</v>
      </c>
      <c r="R189" s="30">
        <f t="shared" si="145"/>
        <v>7.9999999798019417E-4</v>
      </c>
    </row>
    <row r="190" spans="1:18" ht="15" thickBot="1" x14ac:dyDescent="0.35">
      <c r="A190" s="344" t="s">
        <v>198</v>
      </c>
      <c r="B190" s="353">
        <f>SUM(B184:B189)</f>
        <v>103.7566922838643</v>
      </c>
      <c r="C190" s="353">
        <f t="shared" ref="C190:M190" si="156">SUM(C184:C189)</f>
        <v>96.941924580036414</v>
      </c>
      <c r="D190" s="353">
        <f t="shared" si="156"/>
        <v>105.26176319303707</v>
      </c>
      <c r="E190" s="353">
        <f t="shared" si="156"/>
        <v>94.114652063241266</v>
      </c>
      <c r="F190" s="353">
        <f t="shared" si="156"/>
        <v>104.69260315914082</v>
      </c>
      <c r="G190" s="353">
        <f t="shared" si="156"/>
        <v>-11.334959973018996</v>
      </c>
      <c r="H190" s="353">
        <f t="shared" si="156"/>
        <v>-26.191821745191902</v>
      </c>
      <c r="I190" s="353">
        <f t="shared" si="156"/>
        <v>-21.595137383958431</v>
      </c>
      <c r="J190" s="353">
        <f t="shared" si="156"/>
        <v>-5.0444322062107911</v>
      </c>
      <c r="K190" s="353">
        <f t="shared" si="156"/>
        <v>-24.650542603924656</v>
      </c>
      <c r="L190" s="353">
        <f t="shared" si="156"/>
        <v>-28.45660836148113</v>
      </c>
      <c r="M190" s="353">
        <f t="shared" si="156"/>
        <v>27.65610985465165</v>
      </c>
      <c r="N190" s="353">
        <f t="shared" si="143"/>
        <v>415.15024286018559</v>
      </c>
      <c r="O190" s="105">
        <f>+SUM(B190:M190)-N190</f>
        <v>0</v>
      </c>
      <c r="Q190" s="353">
        <f t="shared" si="144"/>
        <v>103.7566922838643</v>
      </c>
      <c r="R190" s="353">
        <f t="shared" si="145"/>
        <v>415.15024286018559</v>
      </c>
    </row>
    <row r="191" spans="1:18" x14ac:dyDescent="0.3">
      <c r="A191" s="345" t="s">
        <v>88</v>
      </c>
      <c r="B191" s="354">
        <f>B183+B190</f>
        <v>88.749596814252968</v>
      </c>
      <c r="C191" s="354">
        <f t="shared" ref="C191:M191" si="157">C183+C190</f>
        <v>87.435781225008085</v>
      </c>
      <c r="D191" s="354">
        <f t="shared" si="157"/>
        <v>134.28395219572957</v>
      </c>
      <c r="E191" s="354">
        <f t="shared" si="157"/>
        <v>155.06789360507565</v>
      </c>
      <c r="F191" s="354">
        <f t="shared" si="157"/>
        <v>139.2921488140675</v>
      </c>
      <c r="G191" s="354">
        <f t="shared" si="157"/>
        <v>50.465238532166737</v>
      </c>
      <c r="H191" s="354">
        <f t="shared" si="157"/>
        <v>-50.926980215187811</v>
      </c>
      <c r="I191" s="354">
        <f t="shared" si="157"/>
        <v>-71.37913633933681</v>
      </c>
      <c r="J191" s="354">
        <f t="shared" si="157"/>
        <v>86.444592451528422</v>
      </c>
      <c r="K191" s="354">
        <f t="shared" si="157"/>
        <v>99.649472427202369</v>
      </c>
      <c r="L191" s="354">
        <f t="shared" si="157"/>
        <v>12.008147165847532</v>
      </c>
      <c r="M191" s="354">
        <f t="shared" si="157"/>
        <v>112.19106942816467</v>
      </c>
      <c r="N191" s="354">
        <f t="shared" si="143"/>
        <v>843.28177610451894</v>
      </c>
      <c r="O191" s="105">
        <f t="shared" si="147"/>
        <v>0</v>
      </c>
      <c r="Q191" s="354">
        <f t="shared" si="144"/>
        <v>88.749596814252968</v>
      </c>
      <c r="R191" s="354">
        <f t="shared" si="145"/>
        <v>843.28177610451894</v>
      </c>
    </row>
    <row r="192" spans="1:18" x14ac:dyDescent="0.3">
      <c r="A192" s="342" t="s">
        <v>89</v>
      </c>
      <c r="B192" s="413">
        <f t="shared" ref="B192:M192" si="158">B223-(B17+B130+B161)</f>
        <v>10.413939944324135</v>
      </c>
      <c r="C192" s="413">
        <f t="shared" si="158"/>
        <v>10.530764845989694</v>
      </c>
      <c r="D192" s="413">
        <f t="shared" si="158"/>
        <v>10.23380543203038</v>
      </c>
      <c r="E192" s="413">
        <f t="shared" si="158"/>
        <v>9.867984044062954</v>
      </c>
      <c r="F192" s="413">
        <f t="shared" si="158"/>
        <v>10.369417905147856</v>
      </c>
      <c r="G192" s="413">
        <f t="shared" si="158"/>
        <v>10.715457363192627</v>
      </c>
      <c r="H192" s="413">
        <f t="shared" si="158"/>
        <v>11.148341383560872</v>
      </c>
      <c r="I192" s="413">
        <f t="shared" si="158"/>
        <v>10.969810481997296</v>
      </c>
      <c r="J192" s="413">
        <f t="shared" si="158"/>
        <v>10.561853799326588</v>
      </c>
      <c r="K192" s="413">
        <f t="shared" si="158"/>
        <v>10.164993381251168</v>
      </c>
      <c r="L192" s="413">
        <f t="shared" si="158"/>
        <v>9.9285164913572288</v>
      </c>
      <c r="M192" s="413">
        <f t="shared" si="158"/>
        <v>9.9906974188985025</v>
      </c>
      <c r="N192" s="13">
        <f t="shared" si="143"/>
        <v>124.89558249113931</v>
      </c>
      <c r="O192" s="105">
        <f t="shared" si="147"/>
        <v>0</v>
      </c>
      <c r="Q192" s="355">
        <f t="shared" si="144"/>
        <v>10.413939944324135</v>
      </c>
      <c r="R192" s="355">
        <f t="shared" si="145"/>
        <v>124.89558249113931</v>
      </c>
    </row>
    <row r="193" spans="1:18" x14ac:dyDescent="0.3">
      <c r="A193" s="345" t="s">
        <v>90</v>
      </c>
      <c r="B193" s="354">
        <f>B191+B192</f>
        <v>99.163536758577095</v>
      </c>
      <c r="C193" s="354">
        <f t="shared" ref="C193:M193" si="159">C191+C192</f>
        <v>97.966546070997779</v>
      </c>
      <c r="D193" s="354">
        <f t="shared" si="159"/>
        <v>144.51775762775995</v>
      </c>
      <c r="E193" s="354">
        <f t="shared" si="159"/>
        <v>164.9358776491386</v>
      </c>
      <c r="F193" s="354">
        <f t="shared" si="159"/>
        <v>149.66156671921536</v>
      </c>
      <c r="G193" s="354">
        <f t="shared" si="159"/>
        <v>61.180695895359364</v>
      </c>
      <c r="H193" s="354">
        <f t="shared" si="159"/>
        <v>-39.778638831626935</v>
      </c>
      <c r="I193" s="354">
        <f t="shared" si="159"/>
        <v>-60.40932585733951</v>
      </c>
      <c r="J193" s="354">
        <f t="shared" si="159"/>
        <v>97.006446250855006</v>
      </c>
      <c r="K193" s="354">
        <f t="shared" si="159"/>
        <v>109.81446580845353</v>
      </c>
      <c r="L193" s="354">
        <f t="shared" si="159"/>
        <v>21.936663657204761</v>
      </c>
      <c r="M193" s="354">
        <f t="shared" si="159"/>
        <v>122.18176684706317</v>
      </c>
      <c r="N193" s="354">
        <f t="shared" si="143"/>
        <v>968.17735859565823</v>
      </c>
      <c r="O193" s="105">
        <f t="shared" si="147"/>
        <v>0</v>
      </c>
      <c r="Q193" s="354">
        <f t="shared" si="144"/>
        <v>99.163536758577095</v>
      </c>
      <c r="R193" s="354">
        <f t="shared" si="145"/>
        <v>968.17735859565823</v>
      </c>
    </row>
    <row r="194" spans="1:18" x14ac:dyDescent="0.3">
      <c r="A194" s="342" t="s">
        <v>91</v>
      </c>
      <c r="B194" s="355">
        <f>B145</f>
        <v>0</v>
      </c>
      <c r="C194" s="355">
        <f t="shared" ref="C194:M194" si="160">C145</f>
        <v>0</v>
      </c>
      <c r="D194" s="355">
        <f t="shared" si="160"/>
        <v>0</v>
      </c>
      <c r="E194" s="355">
        <f t="shared" si="160"/>
        <v>0</v>
      </c>
      <c r="F194" s="355">
        <f t="shared" si="160"/>
        <v>0</v>
      </c>
      <c r="G194" s="355">
        <f t="shared" si="160"/>
        <v>0</v>
      </c>
      <c r="H194" s="355">
        <f t="shared" si="160"/>
        <v>0</v>
      </c>
      <c r="I194" s="355">
        <f t="shared" si="160"/>
        <v>0</v>
      </c>
      <c r="J194" s="355">
        <f t="shared" si="160"/>
        <v>0</v>
      </c>
      <c r="K194" s="355">
        <f t="shared" si="160"/>
        <v>0</v>
      </c>
      <c r="L194" s="355">
        <f t="shared" si="160"/>
        <v>0</v>
      </c>
      <c r="M194" s="355">
        <f t="shared" si="160"/>
        <v>0</v>
      </c>
      <c r="N194" s="13">
        <f t="shared" si="143"/>
        <v>0</v>
      </c>
      <c r="O194" s="105">
        <f t="shared" si="147"/>
        <v>0</v>
      </c>
      <c r="Q194" s="355">
        <f t="shared" si="144"/>
        <v>0</v>
      </c>
      <c r="R194" s="355">
        <f t="shared" si="145"/>
        <v>0</v>
      </c>
    </row>
    <row r="195" spans="1:18" x14ac:dyDescent="0.3">
      <c r="A195" s="345" t="s">
        <v>92</v>
      </c>
      <c r="B195" s="354">
        <f>B193+B194</f>
        <v>99.163536758577095</v>
      </c>
      <c r="C195" s="354">
        <f t="shared" ref="C195:M195" si="161">C193+C194</f>
        <v>97.966546070997779</v>
      </c>
      <c r="D195" s="354">
        <f t="shared" si="161"/>
        <v>144.51775762775995</v>
      </c>
      <c r="E195" s="354">
        <f t="shared" si="161"/>
        <v>164.9358776491386</v>
      </c>
      <c r="F195" s="354">
        <f t="shared" si="161"/>
        <v>149.66156671921536</v>
      </c>
      <c r="G195" s="354">
        <f t="shared" si="161"/>
        <v>61.180695895359364</v>
      </c>
      <c r="H195" s="354">
        <f t="shared" si="161"/>
        <v>-39.778638831626935</v>
      </c>
      <c r="I195" s="354">
        <f t="shared" si="161"/>
        <v>-60.40932585733951</v>
      </c>
      <c r="J195" s="354">
        <f t="shared" si="161"/>
        <v>97.006446250855006</v>
      </c>
      <c r="K195" s="354">
        <f t="shared" si="161"/>
        <v>109.81446580845353</v>
      </c>
      <c r="L195" s="354">
        <f t="shared" si="161"/>
        <v>21.936663657204761</v>
      </c>
      <c r="M195" s="354">
        <f t="shared" si="161"/>
        <v>122.18176684706317</v>
      </c>
      <c r="N195" s="354">
        <f t="shared" si="143"/>
        <v>968.17735859565823</v>
      </c>
      <c r="O195" s="105">
        <f t="shared" si="147"/>
        <v>0</v>
      </c>
      <c r="Q195" s="354">
        <f t="shared" si="144"/>
        <v>99.163536758577095</v>
      </c>
      <c r="R195" s="354">
        <f t="shared" si="145"/>
        <v>968.17735859565823</v>
      </c>
    </row>
    <row r="196" spans="1:18" x14ac:dyDescent="0.3">
      <c r="A196" s="342" t="s">
        <v>76</v>
      </c>
      <c r="B196" s="413">
        <f>B227-(B53+B74+B134)</f>
        <v>1.7464606835718257</v>
      </c>
      <c r="C196" s="413">
        <f t="shared" ref="C196:M197" si="162">C227-(C53+C74+C134)</f>
        <v>1.7549681081874695</v>
      </c>
      <c r="D196" s="413">
        <f t="shared" si="162"/>
        <v>1.7544676714453757</v>
      </c>
      <c r="E196" s="413">
        <f t="shared" si="162"/>
        <v>1.7655145422512781</v>
      </c>
      <c r="F196" s="413">
        <f t="shared" si="162"/>
        <v>1.6089331317448501</v>
      </c>
      <c r="G196" s="413">
        <f t="shared" si="162"/>
        <v>1.8727369322167391</v>
      </c>
      <c r="H196" s="413">
        <f t="shared" si="162"/>
        <v>2.0516354315738603</v>
      </c>
      <c r="I196" s="413">
        <f t="shared" si="162"/>
        <v>1.9654015469123323</v>
      </c>
      <c r="J196" s="413">
        <f t="shared" si="162"/>
        <v>2.8910329736575591</v>
      </c>
      <c r="K196" s="413">
        <f t="shared" si="162"/>
        <v>1.3737970446870982</v>
      </c>
      <c r="L196" s="413">
        <f t="shared" si="162"/>
        <v>2.6835479622903975</v>
      </c>
      <c r="M196" s="413">
        <f t="shared" si="162"/>
        <v>1.214485078472693</v>
      </c>
      <c r="N196" s="13">
        <f t="shared" si="143"/>
        <v>22.682981107011479</v>
      </c>
      <c r="O196" s="105">
        <f t="shared" si="147"/>
        <v>0</v>
      </c>
      <c r="Q196" s="30">
        <f t="shared" si="144"/>
        <v>1.7464606835718257</v>
      </c>
      <c r="R196" s="30">
        <f t="shared" si="145"/>
        <v>22.682981107011479</v>
      </c>
    </row>
    <row r="197" spans="1:18" x14ac:dyDescent="0.3">
      <c r="A197" s="342" t="s">
        <v>77</v>
      </c>
      <c r="B197" s="413">
        <f>B228-(B54+B75+B135)</f>
        <v>7.0694899999999876</v>
      </c>
      <c r="C197" s="413">
        <f t="shared" si="162"/>
        <v>7.048579999999987</v>
      </c>
      <c r="D197" s="413">
        <f t="shared" si="162"/>
        <v>6.0498099999999937</v>
      </c>
      <c r="E197" s="413">
        <f t="shared" si="162"/>
        <v>11.101499999999987</v>
      </c>
      <c r="F197" s="413">
        <f t="shared" si="162"/>
        <v>9.2492399999999932</v>
      </c>
      <c r="G197" s="413">
        <f t="shared" si="162"/>
        <v>12.515949999999989</v>
      </c>
      <c r="H197" s="413">
        <f t="shared" si="162"/>
        <v>7.7202699999999922</v>
      </c>
      <c r="I197" s="413">
        <f t="shared" si="162"/>
        <v>8.1544999999999916</v>
      </c>
      <c r="J197" s="413">
        <f t="shared" si="162"/>
        <v>10.09035999999999</v>
      </c>
      <c r="K197" s="413">
        <f t="shared" si="162"/>
        <v>11.714039999999983</v>
      </c>
      <c r="L197" s="413">
        <f t="shared" si="162"/>
        <v>10.231839999999991</v>
      </c>
      <c r="M197" s="413">
        <f t="shared" si="162"/>
        <v>9.0314799999999877</v>
      </c>
      <c r="N197" s="13">
        <f t="shared" si="143"/>
        <v>109.97705999999988</v>
      </c>
      <c r="O197" s="105">
        <f t="shared" si="147"/>
        <v>0</v>
      </c>
      <c r="Q197" s="30">
        <f t="shared" si="144"/>
        <v>7.0694899999999876</v>
      </c>
      <c r="R197" s="30">
        <f t="shared" si="145"/>
        <v>109.97705999999988</v>
      </c>
    </row>
    <row r="198" spans="1:18" x14ac:dyDescent="0.3">
      <c r="A198" s="342" t="s">
        <v>144</v>
      </c>
      <c r="B198" s="413">
        <f t="shared" ref="B198:M198" si="163">B229-(B23+B136+B167)</f>
        <v>0</v>
      </c>
      <c r="C198" s="413">
        <f t="shared" si="163"/>
        <v>0</v>
      </c>
      <c r="D198" s="413">
        <f t="shared" si="163"/>
        <v>0</v>
      </c>
      <c r="E198" s="413">
        <f t="shared" si="163"/>
        <v>0</v>
      </c>
      <c r="F198" s="413">
        <f t="shared" si="163"/>
        <v>0</v>
      </c>
      <c r="G198" s="413">
        <f t="shared" si="163"/>
        <v>0</v>
      </c>
      <c r="H198" s="413">
        <f t="shared" si="163"/>
        <v>0</v>
      </c>
      <c r="I198" s="413">
        <f t="shared" si="163"/>
        <v>0</v>
      </c>
      <c r="J198" s="413">
        <f t="shared" si="163"/>
        <v>0</v>
      </c>
      <c r="K198" s="413">
        <f t="shared" si="163"/>
        <v>0</v>
      </c>
      <c r="L198" s="413">
        <f t="shared" si="163"/>
        <v>0</v>
      </c>
      <c r="M198" s="413">
        <f t="shared" si="163"/>
        <v>0</v>
      </c>
      <c r="N198" s="13">
        <f t="shared" si="143"/>
        <v>0</v>
      </c>
      <c r="O198" s="105">
        <f t="shared" si="147"/>
        <v>0</v>
      </c>
      <c r="Q198" s="30">
        <f t="shared" si="144"/>
        <v>0</v>
      </c>
      <c r="R198" s="30">
        <f t="shared" si="145"/>
        <v>0</v>
      </c>
    </row>
    <row r="199" spans="1:18" x14ac:dyDescent="0.3">
      <c r="A199" s="342" t="s">
        <v>85</v>
      </c>
      <c r="B199" s="413">
        <f t="shared" ref="B199:M199" si="164">B230-(B24+B137+B168)</f>
        <v>0.66666666666666607</v>
      </c>
      <c r="C199" s="413">
        <f t="shared" si="164"/>
        <v>0.66666666666666607</v>
      </c>
      <c r="D199" s="413">
        <f t="shared" si="164"/>
        <v>0.66666666666666607</v>
      </c>
      <c r="E199" s="413">
        <f t="shared" si="164"/>
        <v>0.66666666666666607</v>
      </c>
      <c r="F199" s="413">
        <f t="shared" si="164"/>
        <v>-0.33333333333333393</v>
      </c>
      <c r="G199" s="413">
        <f t="shared" si="164"/>
        <v>-0.33333333333333393</v>
      </c>
      <c r="H199" s="413">
        <f t="shared" si="164"/>
        <v>-0.33333333333333393</v>
      </c>
      <c r="I199" s="413">
        <f t="shared" si="164"/>
        <v>-0.33333333333333393</v>
      </c>
      <c r="J199" s="413">
        <f t="shared" si="164"/>
        <v>-0.33333333333333393</v>
      </c>
      <c r="K199" s="413">
        <f t="shared" si="164"/>
        <v>-0.33333333333333393</v>
      </c>
      <c r="L199" s="413">
        <f t="shared" si="164"/>
        <v>-0.33333333333333393</v>
      </c>
      <c r="M199" s="413">
        <f t="shared" si="164"/>
        <v>-0.33333333333333393</v>
      </c>
      <c r="N199" s="13">
        <f t="shared" si="143"/>
        <v>-7.1054273576010019E-15</v>
      </c>
      <c r="O199" s="105">
        <f t="shared" si="147"/>
        <v>0</v>
      </c>
      <c r="Q199" s="30">
        <f t="shared" si="144"/>
        <v>0.66666666666666607</v>
      </c>
      <c r="R199" s="30">
        <f t="shared" si="145"/>
        <v>-7.1054273576010019E-15</v>
      </c>
    </row>
    <row r="200" spans="1:18" x14ac:dyDescent="0.3">
      <c r="A200" s="342" t="s">
        <v>145</v>
      </c>
      <c r="B200" s="413">
        <f t="shared" ref="B200:M200" si="165">B231-(B25+B138+B169)</f>
        <v>0</v>
      </c>
      <c r="C200" s="413">
        <f t="shared" si="165"/>
        <v>0</v>
      </c>
      <c r="D200" s="413">
        <f t="shared" si="165"/>
        <v>0</v>
      </c>
      <c r="E200" s="413">
        <f t="shared" si="165"/>
        <v>0</v>
      </c>
      <c r="F200" s="413">
        <f t="shared" si="165"/>
        <v>0</v>
      </c>
      <c r="G200" s="413">
        <f t="shared" si="165"/>
        <v>0</v>
      </c>
      <c r="H200" s="413">
        <f t="shared" si="165"/>
        <v>0</v>
      </c>
      <c r="I200" s="413">
        <f t="shared" si="165"/>
        <v>0</v>
      </c>
      <c r="J200" s="413">
        <f t="shared" si="165"/>
        <v>0</v>
      </c>
      <c r="K200" s="413">
        <f t="shared" si="165"/>
        <v>0</v>
      </c>
      <c r="L200" s="413">
        <f t="shared" si="165"/>
        <v>0</v>
      </c>
      <c r="M200" s="413">
        <f t="shared" si="165"/>
        <v>0</v>
      </c>
      <c r="N200" s="356">
        <f t="shared" si="143"/>
        <v>0</v>
      </c>
      <c r="O200" s="105">
        <f t="shared" si="147"/>
        <v>0</v>
      </c>
      <c r="Q200" s="355">
        <f t="shared" si="144"/>
        <v>0</v>
      </c>
      <c r="R200" s="355">
        <f t="shared" si="145"/>
        <v>0</v>
      </c>
    </row>
    <row r="201" spans="1:18" x14ac:dyDescent="0.3">
      <c r="A201" s="345" t="s">
        <v>146</v>
      </c>
      <c r="B201" s="354">
        <f>SUM(B196:B200)</f>
        <v>9.4826173502384794</v>
      </c>
      <c r="C201" s="354">
        <f t="shared" ref="C201:M201" si="166">SUM(C196:C200)</f>
        <v>9.4702147748541226</v>
      </c>
      <c r="D201" s="354">
        <f t="shared" si="166"/>
        <v>8.4709443381120355</v>
      </c>
      <c r="E201" s="354">
        <f t="shared" si="166"/>
        <v>13.533681208917931</v>
      </c>
      <c r="F201" s="354">
        <f t="shared" si="166"/>
        <v>10.524839798411509</v>
      </c>
      <c r="G201" s="354">
        <f t="shared" si="166"/>
        <v>14.055353598883395</v>
      </c>
      <c r="H201" s="354">
        <f t="shared" si="166"/>
        <v>9.4385720982405186</v>
      </c>
      <c r="I201" s="354">
        <f t="shared" si="166"/>
        <v>9.78656821357899</v>
      </c>
      <c r="J201" s="354">
        <f t="shared" si="166"/>
        <v>12.648059640324215</v>
      </c>
      <c r="K201" s="354">
        <f t="shared" si="166"/>
        <v>12.754503711353747</v>
      </c>
      <c r="L201" s="354">
        <f t="shared" si="166"/>
        <v>12.582054628957055</v>
      </c>
      <c r="M201" s="354">
        <f t="shared" si="166"/>
        <v>9.9126317451393469</v>
      </c>
      <c r="N201" s="354">
        <f t="shared" si="143"/>
        <v>132.66004110701135</v>
      </c>
      <c r="O201" s="105">
        <f t="shared" si="147"/>
        <v>0</v>
      </c>
      <c r="Q201" s="354">
        <f t="shared" si="144"/>
        <v>9.4826173502384794</v>
      </c>
      <c r="R201" s="354">
        <f t="shared" si="145"/>
        <v>132.66004110701135</v>
      </c>
    </row>
    <row r="202" spans="1:18" x14ac:dyDescent="0.3">
      <c r="A202" s="342" t="s">
        <v>148</v>
      </c>
      <c r="B202" s="355">
        <f>B233-(B27+B140+B171)</f>
        <v>-25.911571115892627</v>
      </c>
      <c r="C202" s="355">
        <f t="shared" ref="C202:M203" si="167">C233-(C27+C140+C171)</f>
        <v>41.886838278486806</v>
      </c>
      <c r="D202" s="355">
        <f t="shared" si="167"/>
        <v>18.072158103907341</v>
      </c>
      <c r="E202" s="355">
        <f t="shared" si="167"/>
        <v>-39.830600110307245</v>
      </c>
      <c r="F202" s="355">
        <f t="shared" si="167"/>
        <v>-14.925903839279272</v>
      </c>
      <c r="G202" s="355">
        <f t="shared" si="167"/>
        <v>-17.070937380185413</v>
      </c>
      <c r="H202" s="355">
        <f t="shared" si="167"/>
        <v>-24.179014424765654</v>
      </c>
      <c r="I202" s="355">
        <f t="shared" si="167"/>
        <v>-24.084298637148336</v>
      </c>
      <c r="J202" s="355">
        <f t="shared" si="167"/>
        <v>-23.801959071452657</v>
      </c>
      <c r="K202" s="355">
        <f t="shared" si="167"/>
        <v>-23.584307252632883</v>
      </c>
      <c r="L202" s="355">
        <f t="shared" si="167"/>
        <v>-23.640090404968461</v>
      </c>
      <c r="M202" s="355">
        <f t="shared" si="167"/>
        <v>-23.895849260200535</v>
      </c>
      <c r="N202" s="356">
        <f t="shared" si="143"/>
        <v>-180.96553511443892</v>
      </c>
      <c r="O202" s="105">
        <f t="shared" si="147"/>
        <v>0</v>
      </c>
      <c r="Q202" s="355">
        <f t="shared" si="144"/>
        <v>-25.911571115892627</v>
      </c>
      <c r="R202" s="355">
        <f t="shared" si="145"/>
        <v>-180.96553511443892</v>
      </c>
    </row>
    <row r="203" spans="1:18" x14ac:dyDescent="0.3">
      <c r="A203" s="342" t="s">
        <v>149</v>
      </c>
      <c r="B203" s="355">
        <f>B234-(B28+B141+B172)</f>
        <v>24.722002141180837</v>
      </c>
      <c r="C203" s="355">
        <f t="shared" si="167"/>
        <v>-43.587997858819179</v>
      </c>
      <c r="D203" s="355">
        <f t="shared" si="167"/>
        <v>-19.73799785881917</v>
      </c>
      <c r="E203" s="355">
        <f t="shared" si="167"/>
        <v>38.322002141180825</v>
      </c>
      <c r="F203" s="355">
        <f t="shared" si="167"/>
        <v>12.622002141180843</v>
      </c>
      <c r="G203" s="355">
        <f t="shared" si="167"/>
        <v>14.612002141180838</v>
      </c>
      <c r="H203" s="355">
        <f t="shared" si="167"/>
        <v>20.442002141180836</v>
      </c>
      <c r="I203" s="355">
        <f t="shared" si="167"/>
        <v>20.442002141180836</v>
      </c>
      <c r="J203" s="355">
        <f t="shared" si="167"/>
        <v>20.442002141180836</v>
      </c>
      <c r="K203" s="355">
        <f t="shared" si="167"/>
        <v>20.442002141180836</v>
      </c>
      <c r="L203" s="355">
        <f t="shared" si="167"/>
        <v>20.442002141180836</v>
      </c>
      <c r="M203" s="355">
        <f t="shared" si="167"/>
        <v>20.442002141180836</v>
      </c>
      <c r="N203" s="356">
        <f t="shared" si="143"/>
        <v>149.60402569417002</v>
      </c>
      <c r="O203" s="105">
        <f t="shared" si="147"/>
        <v>0</v>
      </c>
      <c r="Q203" s="355">
        <f t="shared" si="144"/>
        <v>24.722002141180837</v>
      </c>
      <c r="R203" s="355">
        <f t="shared" si="145"/>
        <v>149.60402569417002</v>
      </c>
    </row>
    <row r="204" spans="1:18" x14ac:dyDescent="0.3">
      <c r="A204" s="345" t="s">
        <v>150</v>
      </c>
      <c r="B204" s="354">
        <f>SUM(B202:B203)</f>
        <v>-1.1895689747117899</v>
      </c>
      <c r="C204" s="354">
        <f t="shared" ref="C204" si="168">SUM(C202:C203)</f>
        <v>-1.7011595803323729</v>
      </c>
      <c r="D204" s="354">
        <f t="shared" ref="D204" si="169">SUM(D202:D203)</f>
        <v>-1.6658397549118291</v>
      </c>
      <c r="E204" s="354">
        <f t="shared" ref="E204" si="170">SUM(E202:E203)</f>
        <v>-1.50859796912642</v>
      </c>
      <c r="F204" s="354">
        <f t="shared" ref="F204" si="171">SUM(F202:F203)</f>
        <v>-2.3039016980984286</v>
      </c>
      <c r="G204" s="354">
        <f t="shared" ref="G204" si="172">SUM(G202:G203)</f>
        <v>-2.4589352390045747</v>
      </c>
      <c r="H204" s="354">
        <f t="shared" ref="H204" si="173">SUM(H202:H203)</f>
        <v>-3.7370122835848179</v>
      </c>
      <c r="I204" s="354">
        <f t="shared" ref="I204" si="174">SUM(I202:I203)</f>
        <v>-3.6422964959674999</v>
      </c>
      <c r="J204" s="354">
        <f t="shared" ref="J204" si="175">SUM(J202:J203)</f>
        <v>-3.3599569302718209</v>
      </c>
      <c r="K204" s="354">
        <f t="shared" ref="K204" si="176">SUM(K202:K203)</f>
        <v>-3.1423051114520462</v>
      </c>
      <c r="L204" s="354">
        <f t="shared" ref="L204" si="177">SUM(L202:L203)</f>
        <v>-3.1980882637876249</v>
      </c>
      <c r="M204" s="354">
        <f t="shared" ref="M204" si="178">SUM(M202:M203)</f>
        <v>-3.4538471190196987</v>
      </c>
      <c r="N204" s="354">
        <f t="shared" si="143"/>
        <v>-31.361509420268924</v>
      </c>
      <c r="O204" s="105">
        <f t="shared" si="147"/>
        <v>0</v>
      </c>
      <c r="Q204" s="354">
        <f t="shared" si="144"/>
        <v>-1.1895689747117899</v>
      </c>
      <c r="R204" s="354">
        <f t="shared" si="145"/>
        <v>-31.361509420268924</v>
      </c>
    </row>
    <row r="205" spans="1:18" x14ac:dyDescent="0.3">
      <c r="A205" s="342" t="s">
        <v>91</v>
      </c>
      <c r="B205" s="355">
        <f>B225-(B19+B132+B163)</f>
        <v>0</v>
      </c>
      <c r="C205" s="355">
        <f t="shared" ref="C205:M205" si="179">C225-(C19+C132+C163)</f>
        <v>0</v>
      </c>
      <c r="D205" s="355">
        <f t="shared" si="179"/>
        <v>0</v>
      </c>
      <c r="E205" s="355">
        <f t="shared" si="179"/>
        <v>0</v>
      </c>
      <c r="F205" s="355">
        <f t="shared" si="179"/>
        <v>0</v>
      </c>
      <c r="G205" s="355">
        <f t="shared" si="179"/>
        <v>0</v>
      </c>
      <c r="H205" s="355">
        <f t="shared" si="179"/>
        <v>0</v>
      </c>
      <c r="I205" s="355">
        <f t="shared" si="179"/>
        <v>0</v>
      </c>
      <c r="J205" s="355">
        <f t="shared" si="179"/>
        <v>0</v>
      </c>
      <c r="K205" s="355">
        <f t="shared" si="179"/>
        <v>0</v>
      </c>
      <c r="L205" s="355">
        <f t="shared" si="179"/>
        <v>0</v>
      </c>
      <c r="M205" s="355">
        <f t="shared" si="179"/>
        <v>0</v>
      </c>
      <c r="N205" s="356">
        <f t="shared" si="143"/>
        <v>0</v>
      </c>
      <c r="O205" s="105">
        <f t="shared" si="147"/>
        <v>0</v>
      </c>
      <c r="Q205" s="357">
        <f t="shared" si="144"/>
        <v>0</v>
      </c>
      <c r="R205" s="357">
        <f t="shared" si="145"/>
        <v>0</v>
      </c>
    </row>
    <row r="206" spans="1:18" x14ac:dyDescent="0.3">
      <c r="A206" s="345" t="s">
        <v>152</v>
      </c>
      <c r="B206" s="354">
        <f>B195+B201+B204</f>
        <v>107.45658513410379</v>
      </c>
      <c r="C206" s="354">
        <f t="shared" ref="C206:M206" si="180">C195+C201+C204</f>
        <v>105.73560126551953</v>
      </c>
      <c r="D206" s="354">
        <f t="shared" si="180"/>
        <v>151.32286221096018</v>
      </c>
      <c r="E206" s="354">
        <f t="shared" si="180"/>
        <v>176.96096088893012</v>
      </c>
      <c r="F206" s="354">
        <f t="shared" si="180"/>
        <v>157.88250481952844</v>
      </c>
      <c r="G206" s="354">
        <f t="shared" si="180"/>
        <v>72.777114255238189</v>
      </c>
      <c r="H206" s="354">
        <f t="shared" si="180"/>
        <v>-34.077079016971233</v>
      </c>
      <c r="I206" s="354">
        <f t="shared" si="180"/>
        <v>-54.265054139728022</v>
      </c>
      <c r="J206" s="354">
        <f t="shared" si="180"/>
        <v>106.29454896090741</v>
      </c>
      <c r="K206" s="354">
        <f t="shared" si="180"/>
        <v>119.42666440835524</v>
      </c>
      <c r="L206" s="354">
        <f t="shared" si="180"/>
        <v>31.320630022374189</v>
      </c>
      <c r="M206" s="354">
        <f t="shared" si="180"/>
        <v>128.64055147318282</v>
      </c>
      <c r="N206" s="360">
        <f>N195+N201+N204</f>
        <v>1069.4758902824008</v>
      </c>
      <c r="O206" s="105">
        <f t="shared" si="147"/>
        <v>0</v>
      </c>
      <c r="Q206" s="354">
        <f t="shared" si="144"/>
        <v>107.45658513410379</v>
      </c>
      <c r="R206" s="354">
        <f t="shared" si="145"/>
        <v>1069.4758902824005</v>
      </c>
    </row>
    <row r="207" spans="1:18" x14ac:dyDescent="0.3">
      <c r="A207" s="342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</row>
    <row r="208" spans="1:18" s="365" customFormat="1" x14ac:dyDescent="0.3">
      <c r="B208" s="375"/>
      <c r="C208" s="375"/>
      <c r="D208" s="375"/>
      <c r="E208" s="375"/>
      <c r="F208" s="375"/>
      <c r="G208" s="375"/>
      <c r="H208" s="375"/>
      <c r="I208" s="375"/>
      <c r="J208" s="375"/>
      <c r="K208" s="375"/>
      <c r="L208" s="375"/>
      <c r="M208" s="375"/>
      <c r="O208" s="368"/>
    </row>
    <row r="209" spans="1:18" x14ac:dyDescent="0.3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</row>
    <row r="210" spans="1:18" ht="23.4" x14ac:dyDescent="0.45">
      <c r="A210" s="394" t="s">
        <v>41</v>
      </c>
      <c r="B210" s="1" t="s">
        <v>0</v>
      </c>
      <c r="C210" s="1" t="s">
        <v>1</v>
      </c>
      <c r="D210" s="1" t="s">
        <v>2</v>
      </c>
      <c r="E210" s="1" t="s">
        <v>3</v>
      </c>
      <c r="F210" s="1" t="s">
        <v>4</v>
      </c>
      <c r="G210" s="1" t="s">
        <v>5</v>
      </c>
      <c r="H210" s="1" t="s">
        <v>6</v>
      </c>
      <c r="I210" s="1" t="s">
        <v>7</v>
      </c>
      <c r="J210" s="1" t="s">
        <v>8</v>
      </c>
      <c r="K210" s="1" t="s">
        <v>9</v>
      </c>
      <c r="L210" s="1" t="s">
        <v>10</v>
      </c>
      <c r="M210" s="1" t="s">
        <v>11</v>
      </c>
      <c r="N210" s="1" t="s">
        <v>12</v>
      </c>
      <c r="Q210" s="64" t="s">
        <v>180</v>
      </c>
      <c r="R210" s="64" t="s">
        <v>94</v>
      </c>
    </row>
    <row r="211" spans="1:18" x14ac:dyDescent="0.3">
      <c r="A211" s="341" t="s">
        <v>158</v>
      </c>
      <c r="B211" s="11">
        <v>485</v>
      </c>
      <c r="C211" s="11">
        <v>524</v>
      </c>
      <c r="D211" s="11">
        <v>529</v>
      </c>
      <c r="E211" s="11">
        <v>509</v>
      </c>
      <c r="F211" s="11">
        <v>579</v>
      </c>
      <c r="G211" s="11">
        <v>503</v>
      </c>
      <c r="H211" s="11">
        <v>451</v>
      </c>
      <c r="I211" s="11">
        <v>460</v>
      </c>
      <c r="J211" s="11">
        <v>550</v>
      </c>
      <c r="K211" s="11">
        <v>507</v>
      </c>
      <c r="L211" s="11">
        <v>488</v>
      </c>
      <c r="M211" s="11">
        <v>492</v>
      </c>
      <c r="N211" s="13">
        <f>SUM(B211:M211)</f>
        <v>6077</v>
      </c>
      <c r="O211" s="105">
        <f>N211-SUM(B211:M211)</f>
        <v>0</v>
      </c>
      <c r="Q211" s="30">
        <f t="shared" ref="Q211:Q237" si="181">SUMPRODUCT(B211:M211,B$2:M$2)</f>
        <v>485</v>
      </c>
      <c r="R211" s="30">
        <f t="shared" ref="R211:R237" si="182">SUMIFS(B211:M211,$B$1:$M$1,$Y$3)</f>
        <v>6077</v>
      </c>
    </row>
    <row r="212" spans="1:18" x14ac:dyDescent="0.3">
      <c r="A212" s="341" t="s">
        <v>75</v>
      </c>
      <c r="B212" s="416">
        <v>38.516776659017296</v>
      </c>
      <c r="C212" s="416">
        <v>37.591301502266305</v>
      </c>
      <c r="D212" s="416">
        <v>37.944558590183199</v>
      </c>
      <c r="E212" s="416">
        <v>35.733561726016738</v>
      </c>
      <c r="F212" s="416">
        <v>24.021199384866797</v>
      </c>
      <c r="G212" s="416">
        <v>35.762038109159064</v>
      </c>
      <c r="H212" s="416">
        <v>29.53026981632587</v>
      </c>
      <c r="I212" s="416">
        <v>31.209684495803707</v>
      </c>
      <c r="J212" s="416">
        <v>31.556185116300533</v>
      </c>
      <c r="K212" s="416">
        <v>30.569231237002292</v>
      </c>
      <c r="L212" s="416">
        <v>41.100252351313145</v>
      </c>
      <c r="M212" s="416">
        <v>31.787008035188116</v>
      </c>
      <c r="N212" s="13">
        <f t="shared" ref="N212:N213" si="183">SUM(B212:M212)</f>
        <v>405.32206702344303</v>
      </c>
      <c r="O212" s="105">
        <f t="shared" ref="O212:O237" si="184">N212-SUM(B212:M212)</f>
        <v>0</v>
      </c>
      <c r="Q212" s="30">
        <f t="shared" si="181"/>
        <v>38.516776659017296</v>
      </c>
      <c r="R212" s="30">
        <f t="shared" si="182"/>
        <v>405.32206702344303</v>
      </c>
    </row>
    <row r="213" spans="1:18" x14ac:dyDescent="0.3">
      <c r="A213" s="342" t="s">
        <v>196</v>
      </c>
      <c r="B213" s="416">
        <v>16.73</v>
      </c>
      <c r="C213" s="416">
        <v>16.73</v>
      </c>
      <c r="D213" s="416">
        <v>16.73</v>
      </c>
      <c r="E213" s="416">
        <v>15.893499999999998</v>
      </c>
      <c r="F213" s="416">
        <v>11.711</v>
      </c>
      <c r="G213" s="416">
        <v>17.566500000000001</v>
      </c>
      <c r="H213" s="416">
        <v>14.220499999999999</v>
      </c>
      <c r="I213" s="416">
        <v>12.967499999999999</v>
      </c>
      <c r="J213" s="416">
        <v>18.154499999999999</v>
      </c>
      <c r="K213" s="416">
        <v>15.560999999999998</v>
      </c>
      <c r="L213" s="416">
        <v>17.29</v>
      </c>
      <c r="M213" s="416">
        <v>11.47725</v>
      </c>
      <c r="N213" s="13">
        <f t="shared" si="183"/>
        <v>185.03175000000002</v>
      </c>
      <c r="O213" s="105">
        <f t="shared" si="184"/>
        <v>0</v>
      </c>
      <c r="Q213" s="30">
        <f t="shared" si="181"/>
        <v>16.73</v>
      </c>
      <c r="R213" s="30">
        <f t="shared" si="182"/>
        <v>185.03175000000002</v>
      </c>
    </row>
    <row r="214" spans="1:18" ht="15" thickBot="1" x14ac:dyDescent="0.35">
      <c r="A214" s="344" t="s">
        <v>197</v>
      </c>
      <c r="B214" s="353">
        <f>SUM(B211:B213)</f>
        <v>540.24677665901731</v>
      </c>
      <c r="C214" s="353">
        <f t="shared" ref="C214:N214" si="185">SUM(C211:C213)</f>
        <v>578.32130150226635</v>
      </c>
      <c r="D214" s="353">
        <f t="shared" si="185"/>
        <v>583.67455859018321</v>
      </c>
      <c r="E214" s="353">
        <f t="shared" si="185"/>
        <v>560.62706172601679</v>
      </c>
      <c r="F214" s="353">
        <f t="shared" si="185"/>
        <v>614.73219938486682</v>
      </c>
      <c r="G214" s="353">
        <f t="shared" si="185"/>
        <v>556.32853810915913</v>
      </c>
      <c r="H214" s="353">
        <f t="shared" si="185"/>
        <v>494.75076981632589</v>
      </c>
      <c r="I214" s="353">
        <f t="shared" si="185"/>
        <v>504.17718449580366</v>
      </c>
      <c r="J214" s="353">
        <f t="shared" si="185"/>
        <v>599.71068511630051</v>
      </c>
      <c r="K214" s="353">
        <f t="shared" si="185"/>
        <v>553.13023123700236</v>
      </c>
      <c r="L214" s="353">
        <f t="shared" si="185"/>
        <v>546.39025235131317</v>
      </c>
      <c r="M214" s="353">
        <f t="shared" si="185"/>
        <v>535.26425803518816</v>
      </c>
      <c r="N214" s="353">
        <f t="shared" si="185"/>
        <v>6667.3538170234433</v>
      </c>
      <c r="O214" s="105">
        <f t="shared" si="184"/>
        <v>0</v>
      </c>
      <c r="Q214" s="353">
        <f t="shared" si="181"/>
        <v>540.24677665901731</v>
      </c>
      <c r="R214" s="353">
        <f t="shared" si="182"/>
        <v>6667.3538170234442</v>
      </c>
    </row>
    <row r="215" spans="1:18" x14ac:dyDescent="0.3">
      <c r="A215" s="343" t="s">
        <v>80</v>
      </c>
      <c r="B215" s="416">
        <v>194.74895348822281</v>
      </c>
      <c r="C215" s="416">
        <v>207.51638681160108</v>
      </c>
      <c r="D215" s="416">
        <v>211.95318100516675</v>
      </c>
      <c r="E215" s="416">
        <v>204.69927393420895</v>
      </c>
      <c r="F215" s="416">
        <v>228.48498702853246</v>
      </c>
      <c r="G215" s="416">
        <v>217.31855808470829</v>
      </c>
      <c r="H215" s="416">
        <v>251.55222094085056</v>
      </c>
      <c r="I215" s="416">
        <v>229.2465468183949</v>
      </c>
      <c r="J215" s="416">
        <v>235.05248519491039</v>
      </c>
      <c r="K215" s="416">
        <v>218.98304817934547</v>
      </c>
      <c r="L215" s="416">
        <v>213.59590329869292</v>
      </c>
      <c r="M215" s="416">
        <v>288.17726158033093</v>
      </c>
      <c r="N215" s="13">
        <f t="shared" ref="N215:N220" si="186">SUM(B215:M215)</f>
        <v>2701.3288063649657</v>
      </c>
      <c r="O215" s="105">
        <f t="shared" si="184"/>
        <v>0</v>
      </c>
      <c r="Q215" s="30">
        <f t="shared" si="181"/>
        <v>194.74895348822281</v>
      </c>
      <c r="R215" s="30">
        <f t="shared" si="182"/>
        <v>2701.3288063649657</v>
      </c>
    </row>
    <row r="216" spans="1:18" x14ac:dyDescent="0.3">
      <c r="A216" s="342" t="s">
        <v>81</v>
      </c>
      <c r="B216" s="416">
        <v>106.57999537585221</v>
      </c>
      <c r="C216" s="416">
        <v>112.97148558975951</v>
      </c>
      <c r="D216" s="416">
        <v>102.64252545680378</v>
      </c>
      <c r="E216" s="416">
        <v>104.32864647268644</v>
      </c>
      <c r="F216" s="416">
        <v>110.7581698651679</v>
      </c>
      <c r="G216" s="416">
        <v>107.62726490257862</v>
      </c>
      <c r="H216" s="416">
        <v>100.46411351107851</v>
      </c>
      <c r="I216" s="416">
        <v>101.53526503530082</v>
      </c>
      <c r="J216" s="416">
        <v>106.97187608478409</v>
      </c>
      <c r="K216" s="416">
        <v>100.2289107818811</v>
      </c>
      <c r="L216" s="416">
        <v>98.505072021504759</v>
      </c>
      <c r="M216" s="416">
        <v>96.810881593616458</v>
      </c>
      <c r="N216" s="13">
        <f t="shared" si="186"/>
        <v>1249.424206691014</v>
      </c>
      <c r="O216" s="105">
        <f t="shared" si="184"/>
        <v>0</v>
      </c>
      <c r="Q216" s="30">
        <f t="shared" si="181"/>
        <v>106.57999537585221</v>
      </c>
      <c r="R216" s="30">
        <f t="shared" si="182"/>
        <v>1249.424206691014</v>
      </c>
    </row>
    <row r="217" spans="1:18" x14ac:dyDescent="0.3">
      <c r="A217" s="342" t="s">
        <v>82</v>
      </c>
      <c r="B217" s="416">
        <v>183.02969054753996</v>
      </c>
      <c r="C217" s="416">
        <v>179.83512620955838</v>
      </c>
      <c r="D217" s="416">
        <v>176.70013645687774</v>
      </c>
      <c r="E217" s="416">
        <v>177.19910679306849</v>
      </c>
      <c r="F217" s="416">
        <v>155.71007432783014</v>
      </c>
      <c r="G217" s="416">
        <v>188.37863537821647</v>
      </c>
      <c r="H217" s="416">
        <v>178.57403780299023</v>
      </c>
      <c r="I217" s="416">
        <v>171.83301981672696</v>
      </c>
      <c r="J217" s="416">
        <v>193.12434208374361</v>
      </c>
      <c r="K217" s="416">
        <v>189.78204766674821</v>
      </c>
      <c r="L217" s="416">
        <v>184.92195074785559</v>
      </c>
      <c r="M217" s="416">
        <v>176.72183216884383</v>
      </c>
      <c r="N217" s="13">
        <f t="shared" si="186"/>
        <v>2155.81</v>
      </c>
      <c r="O217" s="105">
        <f t="shared" si="184"/>
        <v>0</v>
      </c>
      <c r="Q217" s="30">
        <f t="shared" si="181"/>
        <v>183.02969054753996</v>
      </c>
      <c r="R217" s="30">
        <f t="shared" si="182"/>
        <v>2155.81</v>
      </c>
    </row>
    <row r="218" spans="1:18" x14ac:dyDescent="0.3">
      <c r="A218" s="342" t="s">
        <v>83</v>
      </c>
      <c r="B218" s="11">
        <v>5</v>
      </c>
      <c r="C218" s="11">
        <v>6</v>
      </c>
      <c r="D218" s="11">
        <v>6</v>
      </c>
      <c r="E218" s="11">
        <v>5</v>
      </c>
      <c r="F218" s="11">
        <v>4</v>
      </c>
      <c r="G218" s="11">
        <v>6</v>
      </c>
      <c r="H218" s="11">
        <v>5</v>
      </c>
      <c r="I218" s="11">
        <v>4</v>
      </c>
      <c r="J218" s="11">
        <v>7</v>
      </c>
      <c r="K218" s="11">
        <v>6</v>
      </c>
      <c r="L218" s="11">
        <v>7</v>
      </c>
      <c r="M218" s="11">
        <v>5</v>
      </c>
      <c r="N218" s="13">
        <f t="shared" si="186"/>
        <v>66</v>
      </c>
      <c r="O218" s="105">
        <f t="shared" si="184"/>
        <v>0</v>
      </c>
      <c r="Q218" s="30">
        <f t="shared" si="181"/>
        <v>5</v>
      </c>
      <c r="R218" s="30">
        <f t="shared" si="182"/>
        <v>66</v>
      </c>
    </row>
    <row r="219" spans="1:18" x14ac:dyDescent="0.3">
      <c r="A219" s="342" t="s">
        <v>84</v>
      </c>
      <c r="B219" s="416">
        <f>((59.4677901014734)-1.51280502028151)-13.0947257399642</f>
        <v>44.860259341227689</v>
      </c>
      <c r="C219" s="416">
        <f>((58.5973180583644)-1.4845976646531)-12.8505650048716</f>
        <v>44.262155388839702</v>
      </c>
      <c r="D219" s="416">
        <f>((57.7430766029092)-1.45691625579304)-12.610956825193</f>
        <v>43.675203521923159</v>
      </c>
      <c r="E219" s="416">
        <f>((57.0786419733095)-1.43538547368772)-12.4245880051162</f>
        <v>43.218668494505586</v>
      </c>
      <c r="F219" s="416">
        <f>((56.4240265746892)-1.41417288048051)-12.2409734040554</f>
        <v>42.768880290153291</v>
      </c>
      <c r="G219" s="416">
        <f>((57.2790852952603)-1.39327377387243)-12.0600723192664</f>
        <v>43.825739202121468</v>
      </c>
      <c r="H219" s="416">
        <f>((55.4378465230757)-1.38221604550836)-11.9643574595897</f>
        <v>42.091273017977642</v>
      </c>
      <c r="I219" s="416">
        <f>((55.0993159951148)-1.37124607689321)-11.8694022416564</f>
        <v>41.85866767656519</v>
      </c>
      <c r="J219" s="416">
        <f>((54.7634722173758)-1.36036317152105)-11.7752006365639</f>
        <v>41.627908409290846</v>
      </c>
      <c r="K219" s="416">
        <f>((54.0414493536862)-1.33696626193715)-11.5726787582938</f>
        <v>41.13180433345525</v>
      </c>
      <c r="L219" s="416">
        <f>((53.3318445736474)-1.31397175620358)-11.3736400572912</f>
        <v>40.644232760152626</v>
      </c>
      <c r="M219" s="416">
        <f>((55.6161327310942)-1.29137273336961)-11.1780246263304</f>
        <v>43.146735371394186</v>
      </c>
      <c r="N219" s="13">
        <f t="shared" si="186"/>
        <v>513.11152780760665</v>
      </c>
      <c r="O219" s="105">
        <f>N219-SUM(B219:M219)</f>
        <v>0</v>
      </c>
      <c r="Q219" s="30">
        <f t="shared" si="181"/>
        <v>44.860259341227689</v>
      </c>
      <c r="R219" s="30">
        <f t="shared" si="182"/>
        <v>513.11152780760665</v>
      </c>
    </row>
    <row r="220" spans="1:18" x14ac:dyDescent="0.3">
      <c r="A220" s="342" t="s">
        <v>86</v>
      </c>
      <c r="B220" s="416">
        <f>577.480375833335-B225</f>
        <v>161.79174177645808</v>
      </c>
      <c r="C220" s="416">
        <v>149.59309131135126</v>
      </c>
      <c r="D220" s="416">
        <v>160.35866848948228</v>
      </c>
      <c r="E220" s="416">
        <v>155.09230143443955</v>
      </c>
      <c r="F220" s="416">
        <v>155.61964591302961</v>
      </c>
      <c r="G220" s="416">
        <v>152.87377994795827</v>
      </c>
      <c r="H220" s="416">
        <v>171.2834116053059</v>
      </c>
      <c r="I220" s="416">
        <v>170.288551936229</v>
      </c>
      <c r="J220" s="416">
        <v>166.29043207502247</v>
      </c>
      <c r="K220" s="416">
        <v>168.7459163292599</v>
      </c>
      <c r="L220" s="416">
        <v>166.91753727657198</v>
      </c>
      <c r="M220" s="416">
        <v>176.92268085373956</v>
      </c>
      <c r="N220" s="13">
        <f t="shared" si="186"/>
        <v>1955.7777589488476</v>
      </c>
      <c r="O220" s="105">
        <f t="shared" si="184"/>
        <v>0</v>
      </c>
      <c r="Q220" s="30">
        <f t="shared" si="181"/>
        <v>161.79174177645808</v>
      </c>
      <c r="R220" s="30">
        <f t="shared" si="182"/>
        <v>1955.7777589488476</v>
      </c>
    </row>
    <row r="221" spans="1:18" ht="15" thickBot="1" x14ac:dyDescent="0.35">
      <c r="A221" s="344" t="s">
        <v>198</v>
      </c>
      <c r="B221" s="353">
        <f t="shared" ref="B221:M221" si="187">SUM(B215:B220)</f>
        <v>696.01064052930064</v>
      </c>
      <c r="C221" s="353">
        <f t="shared" si="187"/>
        <v>700.17824531111</v>
      </c>
      <c r="D221" s="353">
        <f t="shared" si="187"/>
        <v>701.32971493025377</v>
      </c>
      <c r="E221" s="353">
        <f t="shared" si="187"/>
        <v>689.53799712890896</v>
      </c>
      <c r="F221" s="353">
        <f t="shared" si="187"/>
        <v>697.34175742471348</v>
      </c>
      <c r="G221" s="353">
        <f t="shared" si="187"/>
        <v>716.02397751558306</v>
      </c>
      <c r="H221" s="353">
        <f t="shared" si="187"/>
        <v>748.96505687820286</v>
      </c>
      <c r="I221" s="353">
        <f t="shared" si="187"/>
        <v>718.76205128321681</v>
      </c>
      <c r="J221" s="353">
        <f t="shared" si="187"/>
        <v>750.06704384775139</v>
      </c>
      <c r="K221" s="353">
        <f t="shared" si="187"/>
        <v>724.87172729068993</v>
      </c>
      <c r="L221" s="353">
        <f t="shared" si="187"/>
        <v>711.58469610477778</v>
      </c>
      <c r="M221" s="353">
        <f t="shared" si="187"/>
        <v>786.77939156792513</v>
      </c>
      <c r="N221" s="353">
        <f t="shared" ref="N221" si="188">SUM(N215:N220)</f>
        <v>8641.4522998124339</v>
      </c>
      <c r="O221" s="105">
        <f t="shared" si="184"/>
        <v>0</v>
      </c>
      <c r="Q221" s="353">
        <f t="shared" si="181"/>
        <v>696.01064052930064</v>
      </c>
      <c r="R221" s="353">
        <f t="shared" si="182"/>
        <v>8641.4522998124339</v>
      </c>
    </row>
    <row r="222" spans="1:18" x14ac:dyDescent="0.3">
      <c r="A222" s="345" t="s">
        <v>88</v>
      </c>
      <c r="B222" s="354">
        <f>B214+B221</f>
        <v>1236.257417188318</v>
      </c>
      <c r="C222" s="354">
        <f t="shared" ref="C222:N222" si="189">C214+C221</f>
        <v>1278.4995468133764</v>
      </c>
      <c r="D222" s="354">
        <f t="shared" si="189"/>
        <v>1285.004273520437</v>
      </c>
      <c r="E222" s="354">
        <f t="shared" si="189"/>
        <v>1250.1650588549257</v>
      </c>
      <c r="F222" s="354">
        <f t="shared" si="189"/>
        <v>1312.0739568095803</v>
      </c>
      <c r="G222" s="354">
        <f t="shared" si="189"/>
        <v>1272.3525156247422</v>
      </c>
      <c r="H222" s="354">
        <f t="shared" si="189"/>
        <v>1243.7158266945287</v>
      </c>
      <c r="I222" s="354">
        <f t="shared" si="189"/>
        <v>1222.9392357790205</v>
      </c>
      <c r="J222" s="354">
        <f t="shared" si="189"/>
        <v>1349.7777289640519</v>
      </c>
      <c r="K222" s="354">
        <f t="shared" si="189"/>
        <v>1278.0019585276923</v>
      </c>
      <c r="L222" s="354">
        <f t="shared" si="189"/>
        <v>1257.9749484560909</v>
      </c>
      <c r="M222" s="354">
        <f t="shared" si="189"/>
        <v>1322.0436496031134</v>
      </c>
      <c r="N222" s="354">
        <f t="shared" si="189"/>
        <v>15308.806116835876</v>
      </c>
      <c r="O222" s="105">
        <f t="shared" si="184"/>
        <v>0</v>
      </c>
      <c r="Q222" s="354">
        <f t="shared" si="181"/>
        <v>1236.257417188318</v>
      </c>
      <c r="R222" s="354">
        <f t="shared" si="182"/>
        <v>15308.806116835876</v>
      </c>
    </row>
    <row r="223" spans="1:18" x14ac:dyDescent="0.3">
      <c r="A223" s="342" t="s">
        <v>89</v>
      </c>
      <c r="B223" s="355">
        <v>21.132999944324133</v>
      </c>
      <c r="C223" s="355">
        <v>21.209824845989694</v>
      </c>
      <c r="D223" s="355">
        <v>20.932865432030379</v>
      </c>
      <c r="E223" s="355">
        <v>20.567044044062953</v>
      </c>
      <c r="F223" s="355">
        <v>21.018477905147854</v>
      </c>
      <c r="G223" s="355">
        <v>20.474517363192625</v>
      </c>
      <c r="H223" s="355">
        <v>20.217401383560873</v>
      </c>
      <c r="I223" s="355">
        <v>20.038870481997296</v>
      </c>
      <c r="J223" s="355">
        <v>20.590913799326586</v>
      </c>
      <c r="K223" s="355">
        <v>19.944053381251166</v>
      </c>
      <c r="L223" s="355">
        <v>19.54757649135723</v>
      </c>
      <c r="M223" s="355">
        <v>19.789757418898503</v>
      </c>
      <c r="N223" s="13">
        <f>SUM(B223:M223)</f>
        <v>245.46430249113934</v>
      </c>
      <c r="O223" s="105">
        <f t="shared" si="184"/>
        <v>0</v>
      </c>
      <c r="Q223" s="355">
        <f t="shared" si="181"/>
        <v>21.132999944324133</v>
      </c>
      <c r="R223" s="355">
        <f t="shared" si="182"/>
        <v>245.46430249113934</v>
      </c>
    </row>
    <row r="224" spans="1:18" x14ac:dyDescent="0.3">
      <c r="A224" s="345" t="s">
        <v>90</v>
      </c>
      <c r="B224" s="354">
        <f>B222+B223</f>
        <v>1257.3904171326421</v>
      </c>
      <c r="C224" s="354">
        <f t="shared" ref="C224:N224" si="190">C222+C223</f>
        <v>1299.7093716593661</v>
      </c>
      <c r="D224" s="354">
        <f t="shared" si="190"/>
        <v>1305.9371389524674</v>
      </c>
      <c r="E224" s="354">
        <f t="shared" si="190"/>
        <v>1270.7321028989886</v>
      </c>
      <c r="F224" s="354">
        <f t="shared" si="190"/>
        <v>1333.0924347147281</v>
      </c>
      <c r="G224" s="354">
        <f t="shared" si="190"/>
        <v>1292.8270329879349</v>
      </c>
      <c r="H224" s="354">
        <f t="shared" si="190"/>
        <v>1263.9332280780895</v>
      </c>
      <c r="I224" s="354">
        <f t="shared" si="190"/>
        <v>1242.9781062610177</v>
      </c>
      <c r="J224" s="354">
        <f t="shared" si="190"/>
        <v>1370.3686427633784</v>
      </c>
      <c r="K224" s="354">
        <f t="shared" si="190"/>
        <v>1297.9460119089435</v>
      </c>
      <c r="L224" s="354">
        <f t="shared" si="190"/>
        <v>1277.5225249474481</v>
      </c>
      <c r="M224" s="354">
        <f t="shared" si="190"/>
        <v>1341.8334070220119</v>
      </c>
      <c r="N224" s="354">
        <f t="shared" si="190"/>
        <v>15554.270419327016</v>
      </c>
      <c r="O224" s="105">
        <f t="shared" si="184"/>
        <v>0</v>
      </c>
      <c r="Q224" s="354">
        <f t="shared" si="181"/>
        <v>1257.3904171326421</v>
      </c>
      <c r="R224" s="354">
        <f t="shared" si="182"/>
        <v>15554.270419327018</v>
      </c>
    </row>
    <row r="225" spans="1:20" ht="15.6" x14ac:dyDescent="0.3">
      <c r="A225" s="342" t="s">
        <v>91</v>
      </c>
      <c r="B225" s="555">
        <v>415.68863405687688</v>
      </c>
      <c r="C225" s="555">
        <v>386.88891452198243</v>
      </c>
      <c r="D225" s="555">
        <v>421.50115401051971</v>
      </c>
      <c r="E225" s="555">
        <v>413.13905106556064</v>
      </c>
      <c r="F225" s="555">
        <v>424.61563658697156</v>
      </c>
      <c r="G225" s="555">
        <v>416.35266088537662</v>
      </c>
      <c r="H225" s="555">
        <v>428.12059637899381</v>
      </c>
      <c r="I225" s="555">
        <v>429.39435271473707</v>
      </c>
      <c r="J225" s="555">
        <v>419.28873257594415</v>
      </c>
      <c r="K225" s="555">
        <v>432.68993165503991</v>
      </c>
      <c r="L225" s="555">
        <v>423.8033940410607</v>
      </c>
      <c r="M225" s="555">
        <v>436.70918255808857</v>
      </c>
      <c r="N225" s="13">
        <f>SUM(B225:M225)</f>
        <v>5048.1922410511525</v>
      </c>
      <c r="O225" s="105">
        <f t="shared" si="184"/>
        <v>0</v>
      </c>
      <c r="Q225" s="355">
        <f t="shared" si="181"/>
        <v>415.68863405687688</v>
      </c>
      <c r="R225" s="355">
        <f t="shared" si="182"/>
        <v>5048.1922410511525</v>
      </c>
      <c r="T225" s="420"/>
    </row>
    <row r="226" spans="1:20" x14ac:dyDescent="0.3">
      <c r="A226" s="345" t="s">
        <v>92</v>
      </c>
      <c r="B226" s="354">
        <f>B224+B225</f>
        <v>1673.0790511895191</v>
      </c>
      <c r="C226" s="354">
        <f t="shared" ref="C226:N226" si="191">C224+C225</f>
        <v>1686.5982861813486</v>
      </c>
      <c r="D226" s="354">
        <f t="shared" si="191"/>
        <v>1727.4382929629871</v>
      </c>
      <c r="E226" s="354">
        <f t="shared" si="191"/>
        <v>1683.8711539645492</v>
      </c>
      <c r="F226" s="354">
        <f t="shared" si="191"/>
        <v>1757.7080713016996</v>
      </c>
      <c r="G226" s="354">
        <f t="shared" si="191"/>
        <v>1709.1796938733114</v>
      </c>
      <c r="H226" s="354">
        <f t="shared" si="191"/>
        <v>1692.0538244570835</v>
      </c>
      <c r="I226" s="354">
        <f t="shared" si="191"/>
        <v>1672.3724589757549</v>
      </c>
      <c r="J226" s="354">
        <f t="shared" si="191"/>
        <v>1789.6573753393225</v>
      </c>
      <c r="K226" s="354">
        <f t="shared" si="191"/>
        <v>1730.6359435639833</v>
      </c>
      <c r="L226" s="354">
        <f t="shared" si="191"/>
        <v>1701.3259189885089</v>
      </c>
      <c r="M226" s="354">
        <f t="shared" si="191"/>
        <v>1778.5425895801004</v>
      </c>
      <c r="N226" s="354">
        <f t="shared" si="191"/>
        <v>20602.462660378169</v>
      </c>
      <c r="O226" s="105">
        <f t="shared" si="184"/>
        <v>0</v>
      </c>
      <c r="Q226" s="354">
        <f t="shared" si="181"/>
        <v>1673.0790511895191</v>
      </c>
      <c r="R226" s="354">
        <f t="shared" si="182"/>
        <v>20602.462660378173</v>
      </c>
    </row>
    <row r="227" spans="1:20" x14ac:dyDescent="0.3">
      <c r="A227" s="342" t="s">
        <v>76</v>
      </c>
      <c r="B227" s="11">
        <v>27</v>
      </c>
      <c r="C227" s="11">
        <v>27</v>
      </c>
      <c r="D227" s="11">
        <v>27</v>
      </c>
      <c r="E227" s="11">
        <v>19</v>
      </c>
      <c r="F227" s="11">
        <v>15</v>
      </c>
      <c r="G227" s="11">
        <v>21</v>
      </c>
      <c r="H227" s="11">
        <v>17</v>
      </c>
      <c r="I227" s="11">
        <v>16</v>
      </c>
      <c r="J227" s="11">
        <v>22</v>
      </c>
      <c r="K227" s="11">
        <v>19</v>
      </c>
      <c r="L227" s="11">
        <v>21</v>
      </c>
      <c r="M227" s="11">
        <v>16</v>
      </c>
      <c r="N227" s="13">
        <f t="shared" ref="N227:N231" si="192">SUM(B227:M227)</f>
        <v>247</v>
      </c>
      <c r="O227" s="105">
        <f t="shared" si="184"/>
        <v>0</v>
      </c>
      <c r="Q227" s="30">
        <f t="shared" si="181"/>
        <v>27</v>
      </c>
      <c r="R227" s="30">
        <f t="shared" si="182"/>
        <v>247</v>
      </c>
    </row>
    <row r="228" spans="1:20" x14ac:dyDescent="0.3">
      <c r="A228" s="342" t="s">
        <v>77</v>
      </c>
      <c r="B228" s="11">
        <v>-55</v>
      </c>
      <c r="C228" s="11">
        <v>-55</v>
      </c>
      <c r="D228" s="11">
        <v>-56</v>
      </c>
      <c r="E228" s="11">
        <v>-48</v>
      </c>
      <c r="F228" s="11">
        <v>-36</v>
      </c>
      <c r="G228" s="11">
        <v>-53</v>
      </c>
      <c r="H228" s="11">
        <v>-44</v>
      </c>
      <c r="I228" s="11">
        <v>-40</v>
      </c>
      <c r="J228" s="11">
        <v>-56</v>
      </c>
      <c r="K228" s="11">
        <v>-48</v>
      </c>
      <c r="L228" s="11">
        <v>-53</v>
      </c>
      <c r="M228" s="11">
        <v>-41</v>
      </c>
      <c r="N228" s="13">
        <f t="shared" si="192"/>
        <v>-585</v>
      </c>
      <c r="O228" s="105">
        <f t="shared" si="184"/>
        <v>0</v>
      </c>
      <c r="Q228" s="30">
        <f t="shared" si="181"/>
        <v>-55</v>
      </c>
      <c r="R228" s="30">
        <f t="shared" si="182"/>
        <v>-585</v>
      </c>
    </row>
    <row r="229" spans="1:20" x14ac:dyDescent="0.3">
      <c r="A229" s="342" t="s">
        <v>144</v>
      </c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13">
        <f t="shared" si="192"/>
        <v>0</v>
      </c>
      <c r="O229" s="105">
        <f t="shared" si="184"/>
        <v>0</v>
      </c>
      <c r="Q229" s="30">
        <f t="shared" si="181"/>
        <v>0</v>
      </c>
      <c r="R229" s="30">
        <f t="shared" si="182"/>
        <v>0</v>
      </c>
    </row>
    <row r="230" spans="1:20" x14ac:dyDescent="0.3">
      <c r="A230" s="342" t="s">
        <v>85</v>
      </c>
      <c r="B230" s="11">
        <v>9</v>
      </c>
      <c r="C230" s="11">
        <v>9</v>
      </c>
      <c r="D230" s="11">
        <v>9</v>
      </c>
      <c r="E230" s="11">
        <v>9</v>
      </c>
      <c r="F230" s="11">
        <v>8</v>
      </c>
      <c r="G230" s="11">
        <v>8</v>
      </c>
      <c r="H230" s="11">
        <v>8</v>
      </c>
      <c r="I230" s="11">
        <v>8</v>
      </c>
      <c r="J230" s="11">
        <v>8</v>
      </c>
      <c r="K230" s="11">
        <v>8</v>
      </c>
      <c r="L230" s="11">
        <v>8</v>
      </c>
      <c r="M230" s="11">
        <v>8</v>
      </c>
      <c r="N230" s="13">
        <f t="shared" si="192"/>
        <v>100</v>
      </c>
      <c r="O230" s="105">
        <f t="shared" si="184"/>
        <v>0</v>
      </c>
      <c r="Q230" s="30">
        <f t="shared" si="181"/>
        <v>9</v>
      </c>
      <c r="R230" s="30">
        <f t="shared" si="182"/>
        <v>100</v>
      </c>
    </row>
    <row r="231" spans="1:20" x14ac:dyDescent="0.3">
      <c r="A231" s="342" t="s">
        <v>145</v>
      </c>
      <c r="B231" s="355"/>
      <c r="C231" s="355"/>
      <c r="D231" s="355"/>
      <c r="E231" s="355"/>
      <c r="F231" s="355"/>
      <c r="G231" s="355"/>
      <c r="H231" s="355"/>
      <c r="I231" s="355"/>
      <c r="J231" s="355"/>
      <c r="K231" s="355"/>
      <c r="L231" s="355"/>
      <c r="M231" s="355"/>
      <c r="N231" s="13">
        <f t="shared" si="192"/>
        <v>0</v>
      </c>
      <c r="O231" s="105">
        <f t="shared" si="184"/>
        <v>0</v>
      </c>
      <c r="Q231" s="355">
        <f t="shared" si="181"/>
        <v>0</v>
      </c>
      <c r="R231" s="355">
        <f t="shared" si="182"/>
        <v>0</v>
      </c>
    </row>
    <row r="232" spans="1:20" x14ac:dyDescent="0.3">
      <c r="A232" s="345" t="s">
        <v>146</v>
      </c>
      <c r="B232" s="354">
        <f>SUM(B227:B231)</f>
        <v>-19</v>
      </c>
      <c r="C232" s="354">
        <f t="shared" ref="C232:M232" si="193">SUM(C227:C231)</f>
        <v>-19</v>
      </c>
      <c r="D232" s="354">
        <f t="shared" si="193"/>
        <v>-20</v>
      </c>
      <c r="E232" s="354">
        <f t="shared" si="193"/>
        <v>-20</v>
      </c>
      <c r="F232" s="354">
        <f t="shared" si="193"/>
        <v>-13</v>
      </c>
      <c r="G232" s="354">
        <f t="shared" si="193"/>
        <v>-24</v>
      </c>
      <c r="H232" s="354">
        <f t="shared" si="193"/>
        <v>-19</v>
      </c>
      <c r="I232" s="354">
        <f t="shared" si="193"/>
        <v>-16</v>
      </c>
      <c r="J232" s="354">
        <f t="shared" si="193"/>
        <v>-26</v>
      </c>
      <c r="K232" s="354">
        <f t="shared" si="193"/>
        <v>-21</v>
      </c>
      <c r="L232" s="354">
        <f t="shared" si="193"/>
        <v>-24</v>
      </c>
      <c r="M232" s="354">
        <f t="shared" si="193"/>
        <v>-17</v>
      </c>
      <c r="N232" s="354">
        <f>SUM(N227:N231)</f>
        <v>-238</v>
      </c>
      <c r="O232" s="105">
        <f t="shared" si="184"/>
        <v>0</v>
      </c>
      <c r="Q232" s="354">
        <f t="shared" si="181"/>
        <v>-19</v>
      </c>
      <c r="R232" s="354">
        <f t="shared" si="182"/>
        <v>-238</v>
      </c>
    </row>
    <row r="233" spans="1:20" x14ac:dyDescent="0.3">
      <c r="A233" s="342" t="s">
        <v>148</v>
      </c>
      <c r="B233" s="416">
        <v>90.697222500000009</v>
      </c>
      <c r="C233" s="416">
        <v>90.697222500000009</v>
      </c>
      <c r="D233" s="416">
        <v>90.697222500000009</v>
      </c>
      <c r="E233" s="416">
        <v>90.697222500000009</v>
      </c>
      <c r="F233" s="416">
        <v>90.697222500000009</v>
      </c>
      <c r="G233" s="416">
        <v>90.697222500000009</v>
      </c>
      <c r="H233" s="416">
        <v>90.697222500000009</v>
      </c>
      <c r="I233" s="416">
        <v>90.697222500000009</v>
      </c>
      <c r="J233" s="416">
        <v>90.697222500000009</v>
      </c>
      <c r="K233" s="416">
        <v>90.697222500000009</v>
      </c>
      <c r="L233" s="416">
        <v>90.697222500000009</v>
      </c>
      <c r="M233" s="416">
        <v>90.697222500000009</v>
      </c>
      <c r="N233" s="13">
        <f t="shared" ref="N233:N234" si="194">SUM(B233:M233)</f>
        <v>1088.3666699999999</v>
      </c>
      <c r="O233" s="105">
        <f t="shared" si="184"/>
        <v>0</v>
      </c>
      <c r="Q233" s="355">
        <f t="shared" si="181"/>
        <v>90.697222500000009</v>
      </c>
      <c r="R233" s="355">
        <f t="shared" si="182"/>
        <v>1088.3666699999999</v>
      </c>
    </row>
    <row r="234" spans="1:20" x14ac:dyDescent="0.3">
      <c r="A234" s="342" t="s">
        <v>149</v>
      </c>
      <c r="B234" s="555">
        <v>94.53200214118084</v>
      </c>
      <c r="C234" s="555">
        <v>94.532002141180826</v>
      </c>
      <c r="D234" s="555">
        <v>94.53200214118084</v>
      </c>
      <c r="E234" s="555">
        <v>94.532002141180826</v>
      </c>
      <c r="F234" s="555">
        <v>94.53200214118084</v>
      </c>
      <c r="G234" s="555">
        <v>94.53200214118084</v>
      </c>
      <c r="H234" s="555">
        <v>94.53200214118084</v>
      </c>
      <c r="I234" s="555">
        <v>94.53200214118084</v>
      </c>
      <c r="J234" s="555">
        <v>94.53200214118084</v>
      </c>
      <c r="K234" s="555">
        <v>94.53200214118084</v>
      </c>
      <c r="L234" s="555">
        <v>94.53200214118084</v>
      </c>
      <c r="M234" s="555">
        <v>94.53200214118084</v>
      </c>
      <c r="N234" s="13">
        <f t="shared" si="194"/>
        <v>1134.3840256941698</v>
      </c>
      <c r="O234" s="105">
        <f t="shared" si="184"/>
        <v>0</v>
      </c>
      <c r="Q234" s="355">
        <f t="shared" si="181"/>
        <v>94.53200214118084</v>
      </c>
      <c r="R234" s="355">
        <f t="shared" si="182"/>
        <v>1134.3840256941698</v>
      </c>
    </row>
    <row r="235" spans="1:20" x14ac:dyDescent="0.3">
      <c r="A235" s="345" t="s">
        <v>150</v>
      </c>
      <c r="B235" s="354">
        <f>SUM(B233:B234)</f>
        <v>185.22922464118085</v>
      </c>
      <c r="C235" s="354">
        <f t="shared" ref="C235:N235" si="195">SUM(C233:C234)</f>
        <v>185.22922464118085</v>
      </c>
      <c r="D235" s="354">
        <f t="shared" si="195"/>
        <v>185.22922464118085</v>
      </c>
      <c r="E235" s="354">
        <f t="shared" si="195"/>
        <v>185.22922464118085</v>
      </c>
      <c r="F235" s="354">
        <f t="shared" si="195"/>
        <v>185.22922464118085</v>
      </c>
      <c r="G235" s="354">
        <f t="shared" si="195"/>
        <v>185.22922464118085</v>
      </c>
      <c r="H235" s="354">
        <f t="shared" si="195"/>
        <v>185.22922464118085</v>
      </c>
      <c r="I235" s="354">
        <f t="shared" si="195"/>
        <v>185.22922464118085</v>
      </c>
      <c r="J235" s="354">
        <f t="shared" si="195"/>
        <v>185.22922464118085</v>
      </c>
      <c r="K235" s="354">
        <f t="shared" si="195"/>
        <v>185.22922464118085</v>
      </c>
      <c r="L235" s="354">
        <f t="shared" si="195"/>
        <v>185.22922464118085</v>
      </c>
      <c r="M235" s="354">
        <f t="shared" si="195"/>
        <v>185.22922464118085</v>
      </c>
      <c r="N235" s="354">
        <f t="shared" si="195"/>
        <v>2222.7506956941697</v>
      </c>
      <c r="O235" s="105">
        <f t="shared" si="184"/>
        <v>0</v>
      </c>
      <c r="Q235" s="354">
        <f t="shared" si="181"/>
        <v>185.22922464118085</v>
      </c>
      <c r="R235" s="354">
        <f t="shared" si="182"/>
        <v>2222.7506956941697</v>
      </c>
    </row>
    <row r="236" spans="1:20" x14ac:dyDescent="0.3"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O236" s="105">
        <f t="shared" si="184"/>
        <v>0</v>
      </c>
      <c r="Q236" s="357">
        <f t="shared" si="181"/>
        <v>0</v>
      </c>
      <c r="R236" s="357">
        <f t="shared" si="182"/>
        <v>0</v>
      </c>
    </row>
    <row r="237" spans="1:20" x14ac:dyDescent="0.3">
      <c r="A237" s="345" t="s">
        <v>152</v>
      </c>
      <c r="B237" s="354">
        <f>B226+B232+B235</f>
        <v>1839.3082758307</v>
      </c>
      <c r="C237" s="354">
        <f t="shared" ref="C237:M237" si="196">C226+C232+C235</f>
        <v>1852.8275108225293</v>
      </c>
      <c r="D237" s="354">
        <f t="shared" si="196"/>
        <v>1892.6675176041681</v>
      </c>
      <c r="E237" s="354">
        <f t="shared" si="196"/>
        <v>1849.1003786057299</v>
      </c>
      <c r="F237" s="354">
        <f t="shared" si="196"/>
        <v>1929.9372959428806</v>
      </c>
      <c r="G237" s="354">
        <f t="shared" si="196"/>
        <v>1870.4089185144921</v>
      </c>
      <c r="H237" s="354">
        <f t="shared" si="196"/>
        <v>1858.2830490982642</v>
      </c>
      <c r="I237" s="354">
        <f t="shared" si="196"/>
        <v>1841.6016836169356</v>
      </c>
      <c r="J237" s="354">
        <f t="shared" si="196"/>
        <v>1948.8865999805034</v>
      </c>
      <c r="K237" s="354">
        <f t="shared" si="196"/>
        <v>1894.8651682051641</v>
      </c>
      <c r="L237" s="354">
        <f t="shared" si="196"/>
        <v>1862.5551436296896</v>
      </c>
      <c r="M237" s="354">
        <f t="shared" si="196"/>
        <v>1946.7718142212811</v>
      </c>
      <c r="N237" s="360">
        <f>N226+N232+N235</f>
        <v>22587.213356072338</v>
      </c>
      <c r="O237" s="105">
        <f t="shared" si="184"/>
        <v>0</v>
      </c>
      <c r="Q237" s="354">
        <f t="shared" si="181"/>
        <v>1839.3082758307</v>
      </c>
      <c r="R237" s="354">
        <f t="shared" si="182"/>
        <v>22587.213356072334</v>
      </c>
    </row>
    <row r="238" spans="1:20" x14ac:dyDescent="0.3">
      <c r="A238" s="362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51"/>
      <c r="Q238" s="363"/>
      <c r="R238" s="363"/>
    </row>
    <row r="239" spans="1:20" s="365" customFormat="1" x14ac:dyDescent="0.3">
      <c r="B239" s="375"/>
      <c r="C239" s="375"/>
      <c r="D239" s="375"/>
      <c r="E239" s="375"/>
      <c r="F239" s="375"/>
      <c r="G239" s="375"/>
      <c r="H239" s="375"/>
      <c r="I239" s="375"/>
      <c r="J239" s="375"/>
      <c r="K239" s="375"/>
      <c r="L239" s="375"/>
      <c r="M239" s="375"/>
      <c r="O239" s="368"/>
    </row>
    <row r="240" spans="1:20" x14ac:dyDescent="0.3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O240" s="351"/>
    </row>
    <row r="241" spans="1:18" ht="23.4" x14ac:dyDescent="0.45">
      <c r="A241" s="394" t="s">
        <v>98</v>
      </c>
      <c r="B241" s="1" t="s">
        <v>0</v>
      </c>
      <c r="C241" s="1" t="s">
        <v>1</v>
      </c>
      <c r="D241" s="1" t="s">
        <v>2</v>
      </c>
      <c r="E241" s="1" t="s">
        <v>3</v>
      </c>
      <c r="F241" s="1" t="s">
        <v>4</v>
      </c>
      <c r="G241" s="1" t="s">
        <v>5</v>
      </c>
      <c r="H241" s="1" t="s">
        <v>6</v>
      </c>
      <c r="I241" s="1" t="s">
        <v>7</v>
      </c>
      <c r="J241" s="1" t="s">
        <v>8</v>
      </c>
      <c r="K241" s="1" t="s">
        <v>9</v>
      </c>
      <c r="L241" s="1" t="s">
        <v>10</v>
      </c>
      <c r="M241" s="1" t="s">
        <v>11</v>
      </c>
      <c r="N241" s="1" t="s">
        <v>12</v>
      </c>
      <c r="Q241" s="64" t="s">
        <v>180</v>
      </c>
      <c r="R241" s="64" t="s">
        <v>94</v>
      </c>
    </row>
    <row r="242" spans="1:18" x14ac:dyDescent="0.3">
      <c r="A242" s="341" t="s">
        <v>158</v>
      </c>
      <c r="B242" s="596">
        <f>B37-B5</f>
        <v>34.755923312833374</v>
      </c>
      <c r="C242" s="30">
        <f t="shared" ref="C242:M242" si="197">C37-C5</f>
        <v>1.6159233128333881</v>
      </c>
      <c r="D242" s="30">
        <f t="shared" si="197"/>
        <v>34.755923312833374</v>
      </c>
      <c r="E242" s="30">
        <f t="shared" si="197"/>
        <v>60.925969478475054</v>
      </c>
      <c r="F242" s="30">
        <f t="shared" si="197"/>
        <v>-165.21935368101668</v>
      </c>
      <c r="G242" s="30">
        <f t="shared" si="197"/>
        <v>81.167087323208307</v>
      </c>
      <c r="H242" s="30">
        <f t="shared" si="197"/>
        <v>-75.284275623562394</v>
      </c>
      <c r="I242" s="30">
        <f t="shared" si="197"/>
        <v>-137.86482080227074</v>
      </c>
      <c r="J242" s="30">
        <f t="shared" si="197"/>
        <v>54.647087323208325</v>
      </c>
      <c r="K242" s="30">
        <f t="shared" si="197"/>
        <v>81.167087323208307</v>
      </c>
      <c r="L242" s="30">
        <f t="shared" si="197"/>
        <v>49.876814733854303</v>
      </c>
      <c r="M242" s="30">
        <f t="shared" si="197"/>
        <v>-20.543366013605009</v>
      </c>
      <c r="N242" s="30">
        <f>SUM(B242:M242)</f>
        <v>-3.979039320256561E-13</v>
      </c>
      <c r="Q242" s="30">
        <f t="shared" ref="Q242:Q268" si="198">SUMPRODUCT(B242:M242,B$2:M$2)</f>
        <v>34.755923312833374</v>
      </c>
      <c r="R242" s="30">
        <f t="shared" ref="R242:R268" si="199">SUMIFS(B242:M242,$B$1:$M$1,$Y$3)</f>
        <v>-3.979039320256561E-13</v>
      </c>
    </row>
    <row r="243" spans="1:18" x14ac:dyDescent="0.3">
      <c r="A243" s="341" t="s">
        <v>75</v>
      </c>
      <c r="B243" s="30">
        <f t="shared" ref="B243:M243" si="200">B38-B6</f>
        <v>-1.526753975539485</v>
      </c>
      <c r="C243" s="30">
        <f t="shared" si="200"/>
        <v>-1.526753975539485</v>
      </c>
      <c r="D243" s="30">
        <f t="shared" si="200"/>
        <v>-1.526753975539485</v>
      </c>
      <c r="E243" s="30">
        <f t="shared" si="200"/>
        <v>-0.75309167431645818</v>
      </c>
      <c r="F243" s="30">
        <f t="shared" si="200"/>
        <v>1.8312722171223648</v>
      </c>
      <c r="G243" s="30">
        <f t="shared" si="200"/>
        <v>1.1377628423679766</v>
      </c>
      <c r="H243" s="30">
        <f t="shared" si="200"/>
        <v>0.5343469111433663</v>
      </c>
      <c r="I243" s="30">
        <f t="shared" si="200"/>
        <v>-5.7070194613464764</v>
      </c>
      <c r="J243" s="30">
        <f t="shared" si="200"/>
        <v>10.137762842367977</v>
      </c>
      <c r="K243" s="30">
        <f t="shared" si="200"/>
        <v>6.1377628423679766</v>
      </c>
      <c r="L243" s="30">
        <f t="shared" si="200"/>
        <v>-3.9829203438769412</v>
      </c>
      <c r="M243" s="30">
        <f t="shared" si="200"/>
        <v>-4.7556142492114262</v>
      </c>
      <c r="N243" s="30">
        <f t="shared" ref="N243:N244" si="201">SUM(B243:M243)</f>
        <v>-9.5923269327613525E-14</v>
      </c>
      <c r="Q243" s="30">
        <f t="shared" si="198"/>
        <v>-1.526753975539485</v>
      </c>
      <c r="R243" s="30">
        <f t="shared" si="199"/>
        <v>-9.5923269327613525E-14</v>
      </c>
    </row>
    <row r="244" spans="1:18" x14ac:dyDescent="0.3">
      <c r="A244" s="342" t="s">
        <v>196</v>
      </c>
      <c r="B244" s="30">
        <f t="shared" ref="B244:M244" si="202">B39-B7</f>
        <v>-3.394131194696115E-4</v>
      </c>
      <c r="C244" s="30">
        <f t="shared" si="202"/>
        <v>-3.394131194696115E-4</v>
      </c>
      <c r="D244" s="30">
        <f t="shared" si="202"/>
        <v>-3.394131194696115E-4</v>
      </c>
      <c r="E244" s="30">
        <f t="shared" si="202"/>
        <v>-1.8563837754399515E-3</v>
      </c>
      <c r="F244" s="30">
        <f t="shared" si="202"/>
        <v>-1.2375891836295949E-3</v>
      </c>
      <c r="G244" s="30">
        <f t="shared" si="202"/>
        <v>3.2767817816932165E-3</v>
      </c>
      <c r="H244" s="30">
        <f t="shared" si="202"/>
        <v>-4.5676253247250997E-5</v>
      </c>
      <c r="I244" s="30">
        <f t="shared" si="202"/>
        <v>-3.3746594672230401E-3</v>
      </c>
      <c r="J244" s="30">
        <f t="shared" si="202"/>
        <v>3.2767817816932165E-3</v>
      </c>
      <c r="K244" s="30">
        <f t="shared" si="202"/>
        <v>3.2767817816932165E-3</v>
      </c>
      <c r="L244" s="30">
        <f t="shared" si="202"/>
        <v>-3.3877098252936833E-3</v>
      </c>
      <c r="M244" s="30">
        <f t="shared" si="202"/>
        <v>1.0899125181076386E-3</v>
      </c>
      <c r="N244" s="30">
        <f t="shared" si="201"/>
        <v>-5.5067062021407764E-14</v>
      </c>
      <c r="Q244" s="30">
        <f t="shared" si="198"/>
        <v>-3.394131194696115E-4</v>
      </c>
      <c r="R244" s="30">
        <f t="shared" si="199"/>
        <v>-5.5067062021407764E-14</v>
      </c>
    </row>
    <row r="245" spans="1:18" ht="15" thickBot="1" x14ac:dyDescent="0.35">
      <c r="A245" s="344" t="s">
        <v>197</v>
      </c>
      <c r="B245" s="353">
        <f>SUM(B242:B244)</f>
        <v>33.22882992417442</v>
      </c>
      <c r="C245" s="353">
        <f t="shared" ref="C245:N245" si="203">SUM(C242:C244)</f>
        <v>8.8829924174433472E-2</v>
      </c>
      <c r="D245" s="353">
        <f t="shared" si="203"/>
        <v>33.22882992417442</v>
      </c>
      <c r="E245" s="353">
        <f t="shared" si="203"/>
        <v>60.171021420383155</v>
      </c>
      <c r="F245" s="353">
        <f t="shared" si="203"/>
        <v>-163.38931905307794</v>
      </c>
      <c r="G245" s="353">
        <f t="shared" si="203"/>
        <v>82.308126947357977</v>
      </c>
      <c r="H245" s="353">
        <f t="shared" si="203"/>
        <v>-74.749974388672285</v>
      </c>
      <c r="I245" s="353">
        <f t="shared" si="203"/>
        <v>-143.57521492308445</v>
      </c>
      <c r="J245" s="353">
        <f t="shared" si="203"/>
        <v>64.788126947357995</v>
      </c>
      <c r="K245" s="353">
        <f t="shared" si="203"/>
        <v>87.308126947357977</v>
      </c>
      <c r="L245" s="353">
        <f t="shared" si="203"/>
        <v>45.890506680152072</v>
      </c>
      <c r="M245" s="353">
        <f t="shared" si="203"/>
        <v>-25.297890350298328</v>
      </c>
      <c r="N245" s="353">
        <f t="shared" si="203"/>
        <v>-5.4889426337467739E-13</v>
      </c>
      <c r="Q245" s="353">
        <f t="shared" si="198"/>
        <v>33.22882992417442</v>
      </c>
      <c r="R245" s="353">
        <f t="shared" si="199"/>
        <v>-5.6488147492927965E-13</v>
      </c>
    </row>
    <row r="246" spans="1:18" x14ac:dyDescent="0.3">
      <c r="A246" s="343" t="s">
        <v>80</v>
      </c>
      <c r="B246" s="30">
        <f t="shared" ref="B246:M246" si="204">B41-B9</f>
        <v>5.3518608772509992</v>
      </c>
      <c r="C246" s="30">
        <f t="shared" si="204"/>
        <v>-7.0581391227489974</v>
      </c>
      <c r="D246" s="30">
        <f t="shared" si="204"/>
        <v>5.3518608772509992</v>
      </c>
      <c r="E246" s="30">
        <f t="shared" si="204"/>
        <v>15.616453921113532</v>
      </c>
      <c r="F246" s="30">
        <f t="shared" si="204"/>
        <v>-72.325697385924315</v>
      </c>
      <c r="G246" s="30">
        <f t="shared" si="204"/>
        <v>40.914957667900978</v>
      </c>
      <c r="H246" s="30">
        <f t="shared" si="204"/>
        <v>-48.399457268233789</v>
      </c>
      <c r="I246" s="30">
        <f t="shared" si="204"/>
        <v>-44.995223242687729</v>
      </c>
      <c r="J246" s="30">
        <f t="shared" si="204"/>
        <v>31.694957667901008</v>
      </c>
      <c r="K246" s="30">
        <f t="shared" si="204"/>
        <v>40.914957667900978</v>
      </c>
      <c r="L246" s="30">
        <f t="shared" si="204"/>
        <v>28.642074680674</v>
      </c>
      <c r="M246" s="30">
        <f t="shared" si="204"/>
        <v>4.2913936596021358</v>
      </c>
      <c r="N246" s="30">
        <f t="shared" ref="N246:N251" si="205">SUM(B246:M246)</f>
        <v>-1.9895196601282805E-13</v>
      </c>
      <c r="Q246" s="30">
        <f t="shared" si="198"/>
        <v>5.3518608772509992</v>
      </c>
      <c r="R246" s="30">
        <f t="shared" si="199"/>
        <v>-1.9895196601282805E-13</v>
      </c>
    </row>
    <row r="247" spans="1:18" x14ac:dyDescent="0.3">
      <c r="A247" s="342" t="s">
        <v>81</v>
      </c>
      <c r="B247" s="30">
        <f t="shared" ref="B247:M247" si="206">B42-B10</f>
        <v>-9.0722168702571935</v>
      </c>
      <c r="C247" s="30">
        <f t="shared" si="206"/>
        <v>-18.712216870257194</v>
      </c>
      <c r="D247" s="30">
        <f t="shared" si="206"/>
        <v>-14.062216870257188</v>
      </c>
      <c r="E247" s="30">
        <f t="shared" si="206"/>
        <v>-10.349327713770037</v>
      </c>
      <c r="F247" s="30">
        <f t="shared" si="206"/>
        <v>-42.159551809180037</v>
      </c>
      <c r="G247" s="30">
        <f t="shared" si="206"/>
        <v>27.092423777752416</v>
      </c>
      <c r="H247" s="30">
        <f t="shared" si="206"/>
        <v>4.8958038204923184</v>
      </c>
      <c r="I247" s="30">
        <f t="shared" si="206"/>
        <v>-7.4728441624117039</v>
      </c>
      <c r="J247" s="30">
        <f t="shared" si="206"/>
        <v>21.282423777752413</v>
      </c>
      <c r="K247" s="30">
        <f t="shared" si="206"/>
        <v>22.502423777752412</v>
      </c>
      <c r="L247" s="30">
        <f t="shared" si="206"/>
        <v>18.063099786300384</v>
      </c>
      <c r="M247" s="30">
        <f t="shared" si="206"/>
        <v>7.9921993560834608</v>
      </c>
      <c r="N247" s="30">
        <f t="shared" si="205"/>
        <v>4.2632564145606011E-14</v>
      </c>
      <c r="Q247" s="30">
        <f t="shared" si="198"/>
        <v>-9.0722168702571935</v>
      </c>
      <c r="R247" s="30">
        <f t="shared" si="199"/>
        <v>4.2632564145606011E-14</v>
      </c>
    </row>
    <row r="248" spans="1:18" x14ac:dyDescent="0.3">
      <c r="A248" s="342" t="s">
        <v>82</v>
      </c>
      <c r="B248" s="30">
        <f t="shared" ref="B248:M248" si="207">B43-B11</f>
        <v>-7.3141940143346744</v>
      </c>
      <c r="C248" s="30">
        <f t="shared" si="207"/>
        <v>-7.3141940143346744</v>
      </c>
      <c r="D248" s="30">
        <f t="shared" si="207"/>
        <v>-7.3141940143346744</v>
      </c>
      <c r="E248" s="30">
        <f t="shared" si="207"/>
        <v>-3.6759037150513905</v>
      </c>
      <c r="F248" s="30">
        <f t="shared" si="207"/>
        <v>-29.123935810034254</v>
      </c>
      <c r="G248" s="30">
        <f t="shared" si="207"/>
        <v>16.700328869023309</v>
      </c>
      <c r="H248" s="30">
        <f t="shared" si="207"/>
        <v>-1.9635805288657764</v>
      </c>
      <c r="I248" s="30">
        <f t="shared" si="207"/>
        <v>-9.6051442880214211</v>
      </c>
      <c r="J248" s="30">
        <f t="shared" si="207"/>
        <v>16.470328869023291</v>
      </c>
      <c r="K248" s="30">
        <f t="shared" si="207"/>
        <v>16.470328869023291</v>
      </c>
      <c r="L248" s="30">
        <f t="shared" si="207"/>
        <v>12.749546989445435</v>
      </c>
      <c r="M248" s="30">
        <f t="shared" si="207"/>
        <v>3.9206127884610567</v>
      </c>
      <c r="N248" s="30">
        <f t="shared" si="205"/>
        <v>-4.8316906031686813E-13</v>
      </c>
      <c r="Q248" s="30">
        <f t="shared" si="198"/>
        <v>-7.3141940143346744</v>
      </c>
      <c r="R248" s="30">
        <f t="shared" si="199"/>
        <v>-4.8316906031686813E-13</v>
      </c>
    </row>
    <row r="249" spans="1:18" x14ac:dyDescent="0.3">
      <c r="A249" s="342" t="s">
        <v>83</v>
      </c>
      <c r="B249" s="30">
        <f t="shared" ref="B249:M249" si="208">B44-B12</f>
        <v>0.42071729513533107</v>
      </c>
      <c r="C249" s="30">
        <f t="shared" si="208"/>
        <v>0.42071729513533107</v>
      </c>
      <c r="D249" s="30">
        <f t="shared" si="208"/>
        <v>0.42071729513533107</v>
      </c>
      <c r="E249" s="30">
        <f t="shared" si="208"/>
        <v>0.4467531598920953</v>
      </c>
      <c r="F249" s="30">
        <f t="shared" si="208"/>
        <v>0.38450210659473072</v>
      </c>
      <c r="G249" s="30">
        <f t="shared" si="208"/>
        <v>-9.3232899952694126E-2</v>
      </c>
      <c r="H249" s="30">
        <f t="shared" si="208"/>
        <v>-9.9534265346408191E-2</v>
      </c>
      <c r="I249" s="30">
        <f t="shared" si="208"/>
        <v>-0.1000548115038935</v>
      </c>
      <c r="J249" s="30">
        <f t="shared" si="208"/>
        <v>-9.3232899952694126E-2</v>
      </c>
      <c r="K249" s="30">
        <f t="shared" si="208"/>
        <v>-0.60323289995269391</v>
      </c>
      <c r="L249" s="30">
        <f t="shared" si="208"/>
        <v>-0.56849317303143643</v>
      </c>
      <c r="M249" s="30">
        <f t="shared" si="208"/>
        <v>-0.53562620215301493</v>
      </c>
      <c r="N249" s="30">
        <f t="shared" si="205"/>
        <v>-1.5987211554602254E-14</v>
      </c>
      <c r="Q249" s="30">
        <f t="shared" si="198"/>
        <v>0.42071729513533107</v>
      </c>
      <c r="R249" s="30">
        <f t="shared" si="199"/>
        <v>-1.5987211554602254E-14</v>
      </c>
    </row>
    <row r="250" spans="1:18" x14ac:dyDescent="0.3">
      <c r="A250" s="342" t="s">
        <v>84</v>
      </c>
      <c r="B250" s="30">
        <f t="shared" ref="B250:M250" si="209">B45-B13</f>
        <v>-7.090573878136361</v>
      </c>
      <c r="C250" s="30">
        <f t="shared" si="209"/>
        <v>-7.090573878136361</v>
      </c>
      <c r="D250" s="30">
        <f t="shared" si="209"/>
        <v>-7.090573878136361</v>
      </c>
      <c r="E250" s="30">
        <f t="shared" si="209"/>
        <v>-5.4905555720431778</v>
      </c>
      <c r="F250" s="30">
        <f t="shared" si="209"/>
        <v>-16.690683714695453</v>
      </c>
      <c r="G250" s="30">
        <f t="shared" si="209"/>
        <v>10.648759515505446</v>
      </c>
      <c r="H250" s="30">
        <f t="shared" si="209"/>
        <v>1.083432685600549</v>
      </c>
      <c r="I250" s="30">
        <f t="shared" si="209"/>
        <v>-2.7426980463614115</v>
      </c>
      <c r="J250" s="30">
        <f t="shared" si="209"/>
        <v>10.648759515505446</v>
      </c>
      <c r="K250" s="30">
        <f t="shared" si="209"/>
        <v>10.648759515505446</v>
      </c>
      <c r="L250" s="30">
        <f t="shared" si="209"/>
        <v>8.7356941495244627</v>
      </c>
      <c r="M250" s="30">
        <f t="shared" si="209"/>
        <v>4.4302535858676322</v>
      </c>
      <c r="N250" s="30">
        <f t="shared" si="205"/>
        <v>-1.4210854715202004E-13</v>
      </c>
      <c r="Q250" s="30">
        <f t="shared" si="198"/>
        <v>-7.090573878136361</v>
      </c>
      <c r="R250" s="30">
        <f t="shared" si="199"/>
        <v>-1.4210854715202004E-13</v>
      </c>
    </row>
    <row r="251" spans="1:18" x14ac:dyDescent="0.3">
      <c r="A251" s="342" t="s">
        <v>86</v>
      </c>
      <c r="B251" s="30">
        <f t="shared" ref="B251:M251" si="210">B46-B14</f>
        <v>-42.244789108921992</v>
      </c>
      <c r="C251" s="30">
        <f t="shared" si="210"/>
        <v>-31.614508643816379</v>
      </c>
      <c r="D251" s="30">
        <f t="shared" si="210"/>
        <v>-36.252269155279095</v>
      </c>
      <c r="E251" s="30">
        <f t="shared" si="210"/>
        <v>-25.270043258528204</v>
      </c>
      <c r="F251" s="30">
        <f t="shared" si="210"/>
        <v>-68.853759629087591</v>
      </c>
      <c r="G251" s="30">
        <f t="shared" si="210"/>
        <v>43.0015792254936</v>
      </c>
      <c r="H251" s="30">
        <f t="shared" si="210"/>
        <v>4.5097227306268053</v>
      </c>
      <c r="I251" s="30">
        <f t="shared" si="210"/>
        <v>-9.1864377290235666</v>
      </c>
      <c r="J251" s="30">
        <f t="shared" si="210"/>
        <v>46.67765091606114</v>
      </c>
      <c r="K251" s="30">
        <f t="shared" si="210"/>
        <v>47.208849995156896</v>
      </c>
      <c r="L251" s="30">
        <f t="shared" si="210"/>
        <v>44.322353983480866</v>
      </c>
      <c r="M251" s="30">
        <f t="shared" si="210"/>
        <v>27.70165067383769</v>
      </c>
      <c r="N251" s="30">
        <f t="shared" si="205"/>
        <v>1.7053025658242404E-13</v>
      </c>
      <c r="Q251" s="30">
        <f t="shared" si="198"/>
        <v>-42.244789108921992</v>
      </c>
      <c r="R251" s="30">
        <f t="shared" si="199"/>
        <v>1.7053025658242404E-13</v>
      </c>
    </row>
    <row r="252" spans="1:18" ht="15" thickBot="1" x14ac:dyDescent="0.35">
      <c r="A252" s="344" t="s">
        <v>198</v>
      </c>
      <c r="B252" s="353">
        <f>SUM(B246:B251)</f>
        <v>-59.949195699263889</v>
      </c>
      <c r="C252" s="353">
        <f t="shared" ref="C252:N252" si="211">SUM(C246:C251)</f>
        <v>-71.368915234158266</v>
      </c>
      <c r="D252" s="353">
        <f t="shared" si="211"/>
        <v>-58.946675745620986</v>
      </c>
      <c r="E252" s="353">
        <f t="shared" si="211"/>
        <v>-28.722623178387181</v>
      </c>
      <c r="F252" s="353">
        <f t="shared" si="211"/>
        <v>-228.76912624232691</v>
      </c>
      <c r="G252" s="353">
        <f t="shared" si="211"/>
        <v>138.26481615572305</v>
      </c>
      <c r="H252" s="353">
        <f t="shared" si="211"/>
        <v>-39.973612825726299</v>
      </c>
      <c r="I252" s="353">
        <f t="shared" si="211"/>
        <v>-74.102402280009727</v>
      </c>
      <c r="J252" s="353">
        <f t="shared" si="211"/>
        <v>126.6808878462906</v>
      </c>
      <c r="K252" s="353">
        <f t="shared" si="211"/>
        <v>137.14208692538634</v>
      </c>
      <c r="L252" s="353">
        <f t="shared" si="211"/>
        <v>111.94427641639371</v>
      </c>
      <c r="M252" s="353">
        <f t="shared" si="211"/>
        <v>47.800483861698964</v>
      </c>
      <c r="N252" s="353">
        <f t="shared" si="211"/>
        <v>-6.2705396430828841E-13</v>
      </c>
      <c r="Q252" s="353">
        <f t="shared" si="198"/>
        <v>-59.949195699263889</v>
      </c>
      <c r="R252" s="353">
        <f t="shared" si="199"/>
        <v>-6.3948846218409017E-13</v>
      </c>
    </row>
    <row r="253" spans="1:18" x14ac:dyDescent="0.3">
      <c r="A253" s="345" t="s">
        <v>88</v>
      </c>
      <c r="B253" s="354">
        <f>B245+B252</f>
        <v>-26.720365775089469</v>
      </c>
      <c r="C253" s="354">
        <f t="shared" ref="C253:N253" si="212">C245+C252</f>
        <v>-71.280085309983832</v>
      </c>
      <c r="D253" s="354">
        <f t="shared" si="212"/>
        <v>-25.717845821446566</v>
      </c>
      <c r="E253" s="354">
        <f t="shared" si="212"/>
        <v>31.448398241995974</v>
      </c>
      <c r="F253" s="354">
        <f t="shared" si="212"/>
        <v>-392.15844529540482</v>
      </c>
      <c r="G253" s="354">
        <f t="shared" si="212"/>
        <v>220.57294310308103</v>
      </c>
      <c r="H253" s="354">
        <f t="shared" si="212"/>
        <v>-114.72358721439858</v>
      </c>
      <c r="I253" s="354">
        <f t="shared" si="212"/>
        <v>-217.67761720309417</v>
      </c>
      <c r="J253" s="354">
        <f t="shared" si="212"/>
        <v>191.4690147936486</v>
      </c>
      <c r="K253" s="354">
        <f t="shared" si="212"/>
        <v>224.45021387274431</v>
      </c>
      <c r="L253" s="354">
        <f t="shared" si="212"/>
        <v>157.83478309654578</v>
      </c>
      <c r="M253" s="354">
        <f t="shared" si="212"/>
        <v>22.502593511400637</v>
      </c>
      <c r="N253" s="354">
        <f t="shared" si="212"/>
        <v>-1.1759482276829658E-12</v>
      </c>
      <c r="Q253" s="354">
        <f t="shared" si="198"/>
        <v>-26.720365775089469</v>
      </c>
      <c r="R253" s="354">
        <f t="shared" si="199"/>
        <v>-1.1191048088221578E-12</v>
      </c>
    </row>
    <row r="254" spans="1:18" x14ac:dyDescent="0.3">
      <c r="A254" s="342" t="s">
        <v>89</v>
      </c>
      <c r="B254" s="30">
        <f t="shared" ref="B254:M254" si="213">B49-B17</f>
        <v>-2.4941294857417411</v>
      </c>
      <c r="C254" s="30">
        <f t="shared" si="213"/>
        <v>-2.4541294857417419</v>
      </c>
      <c r="D254" s="30">
        <f t="shared" si="213"/>
        <v>-2.4741294857417415</v>
      </c>
      <c r="E254" s="30">
        <f t="shared" si="213"/>
        <v>-2.0628829600288299</v>
      </c>
      <c r="F254" s="30">
        <f t="shared" si="213"/>
        <v>-4.8916086400192178</v>
      </c>
      <c r="G254" s="30">
        <f t="shared" si="213"/>
        <v>3.0253428645535987</v>
      </c>
      <c r="H254" s="30">
        <f t="shared" si="213"/>
        <v>1.2568038521394413</v>
      </c>
      <c r="I254" s="30">
        <f t="shared" si="213"/>
        <v>0.27338824717378074</v>
      </c>
      <c r="J254" s="30">
        <f t="shared" si="213"/>
        <v>2.7553428645535991</v>
      </c>
      <c r="K254" s="30">
        <f t="shared" si="213"/>
        <v>3.0053428645535991</v>
      </c>
      <c r="L254" s="30">
        <f t="shared" si="213"/>
        <v>2.6736350620707636</v>
      </c>
      <c r="M254" s="30">
        <f t="shared" si="213"/>
        <v>1.3870243022284967</v>
      </c>
      <c r="N254" s="30">
        <f>SUM(B254:M254)</f>
        <v>7.1054273576010019E-15</v>
      </c>
      <c r="Q254" s="355">
        <f t="shared" si="198"/>
        <v>-2.4941294857417411</v>
      </c>
      <c r="R254" s="355">
        <f t="shared" si="199"/>
        <v>7.1054273576010019E-15</v>
      </c>
    </row>
    <row r="255" spans="1:18" x14ac:dyDescent="0.3">
      <c r="A255" s="345" t="s">
        <v>90</v>
      </c>
      <c r="B255" s="354">
        <f>B253+B254</f>
        <v>-29.21449526083121</v>
      </c>
      <c r="C255" s="354">
        <f t="shared" ref="C255:N255" si="214">C253+C254</f>
        <v>-73.734214795725578</v>
      </c>
      <c r="D255" s="354">
        <f t="shared" si="214"/>
        <v>-28.191975307188308</v>
      </c>
      <c r="E255" s="354">
        <f t="shared" si="214"/>
        <v>29.385515281967145</v>
      </c>
      <c r="F255" s="354">
        <f t="shared" si="214"/>
        <v>-397.05005393542405</v>
      </c>
      <c r="G255" s="354">
        <f t="shared" si="214"/>
        <v>223.59828596763464</v>
      </c>
      <c r="H255" s="354">
        <f t="shared" si="214"/>
        <v>-113.46678336225914</v>
      </c>
      <c r="I255" s="354">
        <f t="shared" si="214"/>
        <v>-217.40422895592039</v>
      </c>
      <c r="J255" s="354">
        <f t="shared" si="214"/>
        <v>194.22435765820219</v>
      </c>
      <c r="K255" s="354">
        <f t="shared" si="214"/>
        <v>227.45555673729791</v>
      </c>
      <c r="L255" s="354">
        <f t="shared" si="214"/>
        <v>160.50841815861654</v>
      </c>
      <c r="M255" s="354">
        <f t="shared" si="214"/>
        <v>23.889617813629133</v>
      </c>
      <c r="N255" s="354">
        <f t="shared" si="214"/>
        <v>-1.1688428003253648E-12</v>
      </c>
      <c r="Q255" s="354">
        <f t="shared" si="198"/>
        <v>-29.21449526083121</v>
      </c>
      <c r="R255" s="354">
        <f t="shared" si="199"/>
        <v>-1.1475265182525618E-12</v>
      </c>
    </row>
    <row r="256" spans="1:18" x14ac:dyDescent="0.3">
      <c r="A256" s="342" t="s">
        <v>91</v>
      </c>
      <c r="B256" s="30">
        <f>B51-B19</f>
        <v>-71.312162238453368</v>
      </c>
      <c r="C256" s="30">
        <f t="shared" ref="C256:M256" si="215">C51-C19</f>
        <v>-42.512442703558918</v>
      </c>
      <c r="D256" s="30">
        <f t="shared" si="215"/>
        <v>-77.124682192096202</v>
      </c>
      <c r="E256" s="30">
        <f t="shared" si="215"/>
        <v>-51.543755656215922</v>
      </c>
      <c r="F256" s="30">
        <f t="shared" si="215"/>
        <v>-183.5521063140751</v>
      </c>
      <c r="G256" s="30">
        <f t="shared" si="215"/>
        <v>118.928159441086</v>
      </c>
      <c r="H256" s="30">
        <f t="shared" si="215"/>
        <v>4.2216046539182912</v>
      </c>
      <c r="I256" s="30">
        <f t="shared" si="215"/>
        <v>-38.227599399245094</v>
      </c>
      <c r="J256" s="30">
        <f t="shared" si="215"/>
        <v>115.99208775051846</v>
      </c>
      <c r="K256" s="30">
        <f t="shared" si="215"/>
        <v>102.5908886714227</v>
      </c>
      <c r="L256" s="30">
        <f t="shared" si="215"/>
        <v>90.889702426691827</v>
      </c>
      <c r="M256" s="30">
        <f t="shared" si="215"/>
        <v>31.650305560006984</v>
      </c>
      <c r="N256" s="30">
        <f>SUM(B256:M256)</f>
        <v>-3.4106051316484809E-13</v>
      </c>
      <c r="Q256" s="355">
        <f t="shared" si="198"/>
        <v>-71.312162238453368</v>
      </c>
      <c r="R256" s="355">
        <f t="shared" si="199"/>
        <v>-3.4106051316484809E-13</v>
      </c>
    </row>
    <row r="257" spans="1:18" x14ac:dyDescent="0.3">
      <c r="A257" s="345" t="s">
        <v>92</v>
      </c>
      <c r="B257" s="354">
        <f>B255+B256</f>
        <v>-100.52665749928458</v>
      </c>
      <c r="C257" s="354">
        <f t="shared" ref="C257:N257" si="216">C255+C256</f>
        <v>-116.2466574992845</v>
      </c>
      <c r="D257" s="354">
        <f t="shared" si="216"/>
        <v>-105.3166574992845</v>
      </c>
      <c r="E257" s="354">
        <f t="shared" si="216"/>
        <v>-22.158240374248777</v>
      </c>
      <c r="F257" s="354">
        <f t="shared" si="216"/>
        <v>-580.60216024949909</v>
      </c>
      <c r="G257" s="354">
        <f t="shared" si="216"/>
        <v>342.52644540872063</v>
      </c>
      <c r="H257" s="354">
        <f t="shared" si="216"/>
        <v>-109.24517870834084</v>
      </c>
      <c r="I257" s="354">
        <f t="shared" si="216"/>
        <v>-255.63182835516548</v>
      </c>
      <c r="J257" s="354">
        <f t="shared" si="216"/>
        <v>310.21644540872069</v>
      </c>
      <c r="K257" s="354">
        <f t="shared" si="216"/>
        <v>330.04644540872061</v>
      </c>
      <c r="L257" s="354">
        <f t="shared" si="216"/>
        <v>251.39812058530836</v>
      </c>
      <c r="M257" s="354">
        <f t="shared" si="216"/>
        <v>55.539923373636114</v>
      </c>
      <c r="N257" s="354">
        <f t="shared" si="216"/>
        <v>-1.5099033134902129E-12</v>
      </c>
      <c r="Q257" s="354">
        <f t="shared" si="198"/>
        <v>-100.52665749928458</v>
      </c>
      <c r="R257" s="354">
        <f t="shared" si="199"/>
        <v>-1.3784529073745944E-12</v>
      </c>
    </row>
    <row r="258" spans="1:18" x14ac:dyDescent="0.3">
      <c r="A258" s="342" t="s">
        <v>76</v>
      </c>
      <c r="B258" s="30">
        <f>B53-B21</f>
        <v>9.0136450388911271E-5</v>
      </c>
      <c r="C258" s="30">
        <f t="shared" ref="C258:M258" si="217">C53-C21</f>
        <v>9.0136450388911271E-5</v>
      </c>
      <c r="D258" s="30">
        <f t="shared" si="217"/>
        <v>9.0136450388911271E-5</v>
      </c>
      <c r="E258" s="30">
        <f t="shared" si="217"/>
        <v>1.0946432729106448E-3</v>
      </c>
      <c r="F258" s="30">
        <f t="shared" si="217"/>
        <v>4.0630955152707315E-3</v>
      </c>
      <c r="G258" s="30">
        <f t="shared" si="217"/>
        <v>1.2270599174470931E-3</v>
      </c>
      <c r="H258" s="30">
        <f t="shared" si="217"/>
        <v>2.2185608717606442E-4</v>
      </c>
      <c r="I258" s="30">
        <f t="shared" si="217"/>
        <v>-2.180225444938344E-3</v>
      </c>
      <c r="J258" s="30">
        <f t="shared" si="217"/>
        <v>1.2270599174470931E-3</v>
      </c>
      <c r="K258" s="30">
        <f t="shared" si="217"/>
        <v>1.2270599174470931E-3</v>
      </c>
      <c r="L258" s="30">
        <f t="shared" si="217"/>
        <v>-4.9739808486037873E-3</v>
      </c>
      <c r="M258" s="30">
        <f t="shared" si="217"/>
        <v>-2.1769776853695078E-3</v>
      </c>
      <c r="N258" s="30">
        <f t="shared" ref="N258:N262" si="218">SUM(B258:M258)</f>
        <v>-4.6185277824406512E-14</v>
      </c>
      <c r="Q258" s="30">
        <f t="shared" si="198"/>
        <v>9.0136450388911271E-5</v>
      </c>
      <c r="R258" s="30">
        <f t="shared" si="199"/>
        <v>-4.6185277824406512E-14</v>
      </c>
    </row>
    <row r="259" spans="1:18" x14ac:dyDescent="0.3">
      <c r="A259" s="342" t="s">
        <v>77</v>
      </c>
      <c r="B259" s="30">
        <f t="shared" ref="B259:M259" si="219">B54-B22</f>
        <v>0</v>
      </c>
      <c r="C259" s="30">
        <f t="shared" si="219"/>
        <v>0</v>
      </c>
      <c r="D259" s="30">
        <f t="shared" si="219"/>
        <v>0</v>
      </c>
      <c r="E259" s="30">
        <f t="shared" si="219"/>
        <v>0</v>
      </c>
      <c r="F259" s="30">
        <f t="shared" si="219"/>
        <v>0</v>
      </c>
      <c r="G259" s="30">
        <f t="shared" si="219"/>
        <v>0</v>
      </c>
      <c r="H259" s="30">
        <f t="shared" si="219"/>
        <v>0</v>
      </c>
      <c r="I259" s="30">
        <f t="shared" si="219"/>
        <v>0</v>
      </c>
      <c r="J259" s="30">
        <f t="shared" si="219"/>
        <v>0</v>
      </c>
      <c r="K259" s="30">
        <f t="shared" si="219"/>
        <v>0</v>
      </c>
      <c r="L259" s="30">
        <f t="shared" si="219"/>
        <v>0</v>
      </c>
      <c r="M259" s="30">
        <f t="shared" si="219"/>
        <v>0</v>
      </c>
      <c r="N259" s="30">
        <f t="shared" si="218"/>
        <v>0</v>
      </c>
      <c r="Q259" s="30">
        <f t="shared" si="198"/>
        <v>0</v>
      </c>
      <c r="R259" s="30">
        <f t="shared" si="199"/>
        <v>0</v>
      </c>
    </row>
    <row r="260" spans="1:18" x14ac:dyDescent="0.3">
      <c r="A260" s="342" t="s">
        <v>144</v>
      </c>
      <c r="B260" s="30">
        <f t="shared" ref="B260:M260" si="220">B55-B23</f>
        <v>0</v>
      </c>
      <c r="C260" s="30">
        <f t="shared" si="220"/>
        <v>0</v>
      </c>
      <c r="D260" s="30">
        <f t="shared" si="220"/>
        <v>0</v>
      </c>
      <c r="E260" s="30">
        <f t="shared" si="220"/>
        <v>0</v>
      </c>
      <c r="F260" s="30">
        <f t="shared" si="220"/>
        <v>0</v>
      </c>
      <c r="G260" s="30">
        <f t="shared" si="220"/>
        <v>0</v>
      </c>
      <c r="H260" s="30">
        <f t="shared" si="220"/>
        <v>0</v>
      </c>
      <c r="I260" s="30">
        <f t="shared" si="220"/>
        <v>0</v>
      </c>
      <c r="J260" s="30">
        <f t="shared" si="220"/>
        <v>0</v>
      </c>
      <c r="K260" s="30">
        <f t="shared" si="220"/>
        <v>0</v>
      </c>
      <c r="L260" s="30">
        <f t="shared" si="220"/>
        <v>0</v>
      </c>
      <c r="M260" s="30">
        <f t="shared" si="220"/>
        <v>0</v>
      </c>
      <c r="N260" s="30">
        <f t="shared" si="218"/>
        <v>0</v>
      </c>
      <c r="Q260" s="30">
        <f t="shared" si="198"/>
        <v>0</v>
      </c>
      <c r="R260" s="30">
        <f t="shared" si="199"/>
        <v>0</v>
      </c>
    </row>
    <row r="261" spans="1:18" x14ac:dyDescent="0.3">
      <c r="A261" s="342" t="s">
        <v>85</v>
      </c>
      <c r="B261" s="30">
        <f t="shared" ref="B261:M261" si="221">B56-B24</f>
        <v>0</v>
      </c>
      <c r="C261" s="30">
        <f t="shared" si="221"/>
        <v>0</v>
      </c>
      <c r="D261" s="30">
        <f t="shared" si="221"/>
        <v>0</v>
      </c>
      <c r="E261" s="30">
        <f t="shared" si="221"/>
        <v>0</v>
      </c>
      <c r="F261" s="30">
        <f t="shared" si="221"/>
        <v>0</v>
      </c>
      <c r="G261" s="30">
        <f t="shared" si="221"/>
        <v>0</v>
      </c>
      <c r="H261" s="30">
        <f t="shared" si="221"/>
        <v>0</v>
      </c>
      <c r="I261" s="30">
        <f t="shared" si="221"/>
        <v>0</v>
      </c>
      <c r="J261" s="30">
        <f t="shared" si="221"/>
        <v>0</v>
      </c>
      <c r="K261" s="30">
        <f t="shared" si="221"/>
        <v>0</v>
      </c>
      <c r="L261" s="30">
        <f t="shared" si="221"/>
        <v>0</v>
      </c>
      <c r="M261" s="30">
        <f t="shared" si="221"/>
        <v>0</v>
      </c>
      <c r="N261" s="30">
        <f t="shared" si="218"/>
        <v>0</v>
      </c>
      <c r="Q261" s="30">
        <f t="shared" si="198"/>
        <v>0</v>
      </c>
      <c r="R261" s="30">
        <f t="shared" si="199"/>
        <v>0</v>
      </c>
    </row>
    <row r="262" spans="1:18" x14ac:dyDescent="0.3">
      <c r="A262" s="342" t="s">
        <v>145</v>
      </c>
      <c r="B262" s="30">
        <f t="shared" ref="B262:N265" si="222">B57-B25</f>
        <v>0</v>
      </c>
      <c r="C262" s="30">
        <f t="shared" si="222"/>
        <v>0</v>
      </c>
      <c r="D262" s="30">
        <f t="shared" si="222"/>
        <v>0</v>
      </c>
      <c r="E262" s="30">
        <f t="shared" si="222"/>
        <v>0</v>
      </c>
      <c r="F262" s="30">
        <f t="shared" si="222"/>
        <v>0</v>
      </c>
      <c r="G262" s="30">
        <f t="shared" si="222"/>
        <v>0</v>
      </c>
      <c r="H262" s="30">
        <f t="shared" si="222"/>
        <v>0</v>
      </c>
      <c r="I262" s="30">
        <f t="shared" si="222"/>
        <v>0</v>
      </c>
      <c r="J262" s="30">
        <f t="shared" si="222"/>
        <v>0</v>
      </c>
      <c r="K262" s="30">
        <f t="shared" si="222"/>
        <v>0</v>
      </c>
      <c r="L262" s="30">
        <f t="shared" si="222"/>
        <v>0</v>
      </c>
      <c r="M262" s="30">
        <f t="shared" si="222"/>
        <v>0</v>
      </c>
      <c r="N262" s="30">
        <f t="shared" si="218"/>
        <v>0</v>
      </c>
      <c r="Q262" s="355">
        <f t="shared" si="198"/>
        <v>0</v>
      </c>
      <c r="R262" s="355">
        <f t="shared" si="199"/>
        <v>0</v>
      </c>
    </row>
    <row r="263" spans="1:18" x14ac:dyDescent="0.3">
      <c r="A263" s="345" t="s">
        <v>146</v>
      </c>
      <c r="B263" s="354">
        <f>SUM(B258:B262)</f>
        <v>9.0136450388911271E-5</v>
      </c>
      <c r="C263" s="354">
        <f t="shared" ref="C263:M263" si="223">SUM(C258:C262)</f>
        <v>9.0136450388911271E-5</v>
      </c>
      <c r="D263" s="354">
        <f t="shared" si="223"/>
        <v>9.0136450388911271E-5</v>
      </c>
      <c r="E263" s="354">
        <f t="shared" si="223"/>
        <v>1.0946432729106448E-3</v>
      </c>
      <c r="F263" s="354">
        <f t="shared" si="223"/>
        <v>4.0630955152707315E-3</v>
      </c>
      <c r="G263" s="354">
        <f t="shared" si="223"/>
        <v>1.2270599174470931E-3</v>
      </c>
      <c r="H263" s="354">
        <f t="shared" si="223"/>
        <v>2.2185608717606442E-4</v>
      </c>
      <c r="I263" s="354">
        <f t="shared" si="223"/>
        <v>-2.180225444938344E-3</v>
      </c>
      <c r="J263" s="354">
        <f t="shared" si="223"/>
        <v>1.2270599174470931E-3</v>
      </c>
      <c r="K263" s="354">
        <f t="shared" si="223"/>
        <v>1.2270599174470931E-3</v>
      </c>
      <c r="L263" s="354">
        <f t="shared" si="223"/>
        <v>-4.9739808486037873E-3</v>
      </c>
      <c r="M263" s="354">
        <f t="shared" si="223"/>
        <v>-2.1769776853695078E-3</v>
      </c>
      <c r="N263" s="354">
        <f>SUM(N258:N262)</f>
        <v>-4.6185277824406512E-14</v>
      </c>
      <c r="Q263" s="354">
        <f t="shared" si="198"/>
        <v>9.0136450388911271E-5</v>
      </c>
      <c r="R263" s="354">
        <f t="shared" si="199"/>
        <v>-4.6185277824406512E-14</v>
      </c>
    </row>
    <row r="264" spans="1:18" x14ac:dyDescent="0.3">
      <c r="A264" s="342" t="s">
        <v>148</v>
      </c>
      <c r="B264" s="30">
        <f>B59-B27</f>
        <v>-20.51693587973503</v>
      </c>
      <c r="C264" s="30">
        <f t="shared" si="222"/>
        <v>-21.15693587973503</v>
      </c>
      <c r="D264" s="30">
        <f t="shared" si="222"/>
        <v>-20.496935879735034</v>
      </c>
      <c r="E264" s="30">
        <f t="shared" si="222"/>
        <v>-16.530282673721786</v>
      </c>
      <c r="F264" s="30">
        <f t="shared" si="222"/>
        <v>-54.346855115814513</v>
      </c>
      <c r="G264" s="30">
        <f t="shared" si="222"/>
        <v>23.582045317368369</v>
      </c>
      <c r="H264" s="30">
        <f t="shared" si="222"/>
        <v>-0.20142493597168709</v>
      </c>
      <c r="I264" s="30">
        <f t="shared" si="222"/>
        <v>-9.7108130373077302</v>
      </c>
      <c r="J264" s="30">
        <f t="shared" si="222"/>
        <v>23.572045317368378</v>
      </c>
      <c r="K264" s="30">
        <f t="shared" si="222"/>
        <v>23.572045317368378</v>
      </c>
      <c r="L264" s="30">
        <f t="shared" si="222"/>
        <v>18.817351266700371</v>
      </c>
      <c r="M264" s="30">
        <f t="shared" si="222"/>
        <v>53.416696183215137</v>
      </c>
      <c r="N264" s="30">
        <f t="shared" si="222"/>
        <v>0</v>
      </c>
      <c r="Q264" s="355">
        <f t="shared" si="198"/>
        <v>-20.51693587973503</v>
      </c>
      <c r="R264" s="355">
        <f t="shared" si="199"/>
        <v>-1.8474111129762605E-13</v>
      </c>
    </row>
    <row r="265" spans="1:18" x14ac:dyDescent="0.3">
      <c r="A265" s="342" t="s">
        <v>149</v>
      </c>
      <c r="B265" s="355">
        <f t="shared" si="222"/>
        <v>-2.6304938077533961</v>
      </c>
      <c r="C265" s="355">
        <f t="shared" si="222"/>
        <v>-70.940493807753398</v>
      </c>
      <c r="D265" s="355">
        <f t="shared" si="222"/>
        <v>-47.090493807753404</v>
      </c>
      <c r="E265" s="355">
        <f t="shared" si="222"/>
        <v>14.328481501858938</v>
      </c>
      <c r="F265" s="355">
        <f t="shared" si="222"/>
        <v>-34.884345665427368</v>
      </c>
      <c r="G265" s="355">
        <f t="shared" si="222"/>
        <v>24.500319407513771</v>
      </c>
      <c r="H265" s="355">
        <f t="shared" si="222"/>
        <v>10.249488752222661</v>
      </c>
      <c r="I265" s="355">
        <f t="shared" si="222"/>
        <v>2.2171564901062055</v>
      </c>
      <c r="J265" s="355">
        <f t="shared" si="222"/>
        <v>30.33031940751377</v>
      </c>
      <c r="K265" s="355">
        <f t="shared" si="222"/>
        <v>30.33031940751377</v>
      </c>
      <c r="L265" s="355">
        <f t="shared" si="222"/>
        <v>26.314153276455542</v>
      </c>
      <c r="M265" s="30">
        <f t="shared" si="222"/>
        <v>17.275588845503066</v>
      </c>
      <c r="N265" s="30">
        <f t="shared" si="222"/>
        <v>0</v>
      </c>
      <c r="P265" s="107">
        <v>0</v>
      </c>
      <c r="Q265" s="355">
        <f t="shared" si="198"/>
        <v>-2.6304938077533961</v>
      </c>
      <c r="R265" s="355">
        <f t="shared" si="199"/>
        <v>1.5631940186722204E-13</v>
      </c>
    </row>
    <row r="266" spans="1:18" x14ac:dyDescent="0.3">
      <c r="A266" s="345" t="s">
        <v>150</v>
      </c>
      <c r="B266" s="354">
        <f>B264+B265</f>
        <v>-23.147429687488426</v>
      </c>
      <c r="C266" s="354">
        <f t="shared" ref="C266:N266" si="224">C264+C265</f>
        <v>-92.097429687488429</v>
      </c>
      <c r="D266" s="354">
        <f t="shared" si="224"/>
        <v>-67.587429687488438</v>
      </c>
      <c r="E266" s="354">
        <f t="shared" si="224"/>
        <v>-2.2018011718628472</v>
      </c>
      <c r="F266" s="354">
        <f t="shared" si="224"/>
        <v>-89.231200781241881</v>
      </c>
      <c r="G266" s="354">
        <f t="shared" si="224"/>
        <v>48.08236472488214</v>
      </c>
      <c r="H266" s="354">
        <f t="shared" si="224"/>
        <v>10.048063816250973</v>
      </c>
      <c r="I266" s="354">
        <f t="shared" si="224"/>
        <v>-7.4936565472015246</v>
      </c>
      <c r="J266" s="354">
        <f t="shared" si="224"/>
        <v>53.902364724882148</v>
      </c>
      <c r="K266" s="354">
        <f t="shared" si="224"/>
        <v>53.902364724882148</v>
      </c>
      <c r="L266" s="354">
        <f t="shared" si="224"/>
        <v>45.131504543155913</v>
      </c>
      <c r="M266" s="354">
        <f t="shared" si="224"/>
        <v>70.692285028718203</v>
      </c>
      <c r="N266" s="354">
        <f t="shared" si="224"/>
        <v>0</v>
      </c>
      <c r="Q266" s="354">
        <f t="shared" si="198"/>
        <v>-23.147429687488426</v>
      </c>
      <c r="R266" s="354">
        <f t="shared" si="199"/>
        <v>1.4210854715202004E-14</v>
      </c>
    </row>
    <row r="267" spans="1:18" x14ac:dyDescent="0.3"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Q267" s="357">
        <f t="shared" si="198"/>
        <v>0</v>
      </c>
      <c r="R267" s="357">
        <f t="shared" si="199"/>
        <v>0</v>
      </c>
    </row>
    <row r="268" spans="1:18" x14ac:dyDescent="0.3">
      <c r="A268" s="345" t="s">
        <v>152</v>
      </c>
      <c r="B268" s="354">
        <f>B257+B263+B266</f>
        <v>-123.67399705032261</v>
      </c>
      <c r="C268" s="354">
        <f>C257+C263+C266</f>
        <v>-208.34399705032251</v>
      </c>
      <c r="D268" s="354">
        <f t="shared" ref="D268:M268" si="225">D257+D263+D266</f>
        <v>-172.90399705032257</v>
      </c>
      <c r="E268" s="354">
        <f t="shared" si="225"/>
        <v>-24.358946902838714</v>
      </c>
      <c r="F268" s="354">
        <f t="shared" si="225"/>
        <v>-669.82929793522578</v>
      </c>
      <c r="G268" s="354">
        <f t="shared" si="225"/>
        <v>390.61003719352021</v>
      </c>
      <c r="H268" s="354">
        <f t="shared" si="225"/>
        <v>-99.196893036002692</v>
      </c>
      <c r="I268" s="354">
        <f t="shared" si="225"/>
        <v>-263.12766512781195</v>
      </c>
      <c r="J268" s="354">
        <f t="shared" si="225"/>
        <v>364.12003719352026</v>
      </c>
      <c r="K268" s="354">
        <f t="shared" si="225"/>
        <v>383.95003719352019</v>
      </c>
      <c r="L268" s="354">
        <f t="shared" si="225"/>
        <v>296.52465114761566</v>
      </c>
      <c r="M268" s="354">
        <f t="shared" si="225"/>
        <v>126.23003142466895</v>
      </c>
      <c r="N268" s="360">
        <f>N257+N263+N266</f>
        <v>-1.5560885913146194E-12</v>
      </c>
      <c r="Q268" s="354">
        <f t="shared" si="198"/>
        <v>-123.67399705032261</v>
      </c>
      <c r="R268" s="354">
        <f t="shared" si="199"/>
        <v>-1.7479351299698465E-12</v>
      </c>
    </row>
    <row r="269" spans="1:18" x14ac:dyDescent="0.3">
      <c r="A269" s="362"/>
      <c r="B269" s="400">
        <f t="shared" ref="B269:N269" si="226">B112+B144+B175+B206-B237+B299</f>
        <v>123.67399705032238</v>
      </c>
      <c r="C269" s="400">
        <f t="shared" si="226"/>
        <v>208.34399705032217</v>
      </c>
      <c r="D269" s="400">
        <f t="shared" si="226"/>
        <v>172.90399705032246</v>
      </c>
      <c r="E269" s="400">
        <f t="shared" si="226"/>
        <v>24.358946902838909</v>
      </c>
      <c r="F269" s="400">
        <f t="shared" si="226"/>
        <v>669.82929793522544</v>
      </c>
      <c r="G269" s="400">
        <f t="shared" si="226"/>
        <v>-390.61003719351993</v>
      </c>
      <c r="H269" s="400">
        <f t="shared" si="226"/>
        <v>99.196893036002422</v>
      </c>
      <c r="I269" s="400">
        <f t="shared" si="226"/>
        <v>263.12766512781184</v>
      </c>
      <c r="J269" s="400">
        <f t="shared" si="226"/>
        <v>-364.12003719352026</v>
      </c>
      <c r="K269" s="400">
        <f t="shared" si="226"/>
        <v>-383.95003719352019</v>
      </c>
      <c r="L269" s="400">
        <f t="shared" si="226"/>
        <v>-296.52465114761549</v>
      </c>
      <c r="M269" s="400">
        <f t="shared" si="226"/>
        <v>-126.23003142466882</v>
      </c>
      <c r="N269" s="400">
        <f t="shared" si="226"/>
        <v>1.4139800441625994E-12</v>
      </c>
      <c r="O269" s="351"/>
    </row>
    <row r="270" spans="1:18" s="379" customFormat="1" x14ac:dyDescent="0.3">
      <c r="A270" s="376"/>
      <c r="B270" s="377"/>
      <c r="C270" s="377"/>
      <c r="D270" s="377"/>
      <c r="E270" s="377"/>
      <c r="F270" s="377"/>
      <c r="G270" s="377"/>
      <c r="H270" s="377"/>
      <c r="I270" s="377"/>
      <c r="J270" s="377"/>
      <c r="K270" s="377"/>
      <c r="L270" s="377"/>
      <c r="M270" s="377"/>
      <c r="N270" s="377"/>
      <c r="O270" s="378"/>
    </row>
    <row r="271" spans="1:18" x14ac:dyDescent="0.3"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O271" s="351"/>
    </row>
    <row r="272" spans="1:18" ht="23.4" x14ac:dyDescent="0.45">
      <c r="A272" s="394" t="s">
        <v>431</v>
      </c>
      <c r="B272" s="1" t="s">
        <v>0</v>
      </c>
      <c r="C272" s="1" t="s">
        <v>1</v>
      </c>
      <c r="D272" s="1" t="s">
        <v>2</v>
      </c>
      <c r="E272" s="1" t="s">
        <v>3</v>
      </c>
      <c r="F272" s="1" t="s">
        <v>4</v>
      </c>
      <c r="G272" s="1" t="s">
        <v>5</v>
      </c>
      <c r="H272" s="1" t="s">
        <v>6</v>
      </c>
      <c r="I272" s="1" t="s">
        <v>7</v>
      </c>
      <c r="J272" s="1" t="s">
        <v>8</v>
      </c>
      <c r="K272" s="1" t="s">
        <v>9</v>
      </c>
      <c r="L272" s="1" t="s">
        <v>10</v>
      </c>
      <c r="M272" s="1" t="s">
        <v>11</v>
      </c>
      <c r="N272" s="1" t="s">
        <v>12</v>
      </c>
      <c r="Q272" s="64" t="s">
        <v>180</v>
      </c>
      <c r="R272" s="64" t="s">
        <v>94</v>
      </c>
    </row>
    <row r="273" spans="1:21" x14ac:dyDescent="0.3">
      <c r="A273" s="341" t="s">
        <v>158</v>
      </c>
      <c r="B273" s="30">
        <f>B211-B180-B149-B118-B86-B242</f>
        <v>-69.511846625666749</v>
      </c>
      <c r="C273" s="30">
        <f t="shared" ref="C273:N273" si="227">C211-C180-C149-C118-C86-C242</f>
        <v>-3.2318466256667762</v>
      </c>
      <c r="D273" s="30">
        <f t="shared" si="227"/>
        <v>-69.511846625666749</v>
      </c>
      <c r="E273" s="30">
        <f t="shared" si="227"/>
        <v>-121.85193895695011</v>
      </c>
      <c r="F273" s="30">
        <f t="shared" si="227"/>
        <v>330.43870736203337</v>
      </c>
      <c r="G273" s="30">
        <f t="shared" si="227"/>
        <v>-162.33417464641661</v>
      </c>
      <c r="H273" s="30">
        <f t="shared" si="227"/>
        <v>150.56855124712484</v>
      </c>
      <c r="I273" s="30">
        <f t="shared" si="227"/>
        <v>275.72964160454154</v>
      </c>
      <c r="J273" s="30">
        <f t="shared" si="227"/>
        <v>-109.29417464641665</v>
      </c>
      <c r="K273" s="30">
        <f t="shared" si="227"/>
        <v>-162.33417464641661</v>
      </c>
      <c r="L273" s="30">
        <f t="shared" si="227"/>
        <v>-99.753629467708606</v>
      </c>
      <c r="M273" s="30">
        <f t="shared" si="227"/>
        <v>41.086732027210019</v>
      </c>
      <c r="N273" s="30">
        <f t="shared" si="227"/>
        <v>-9.1082990821234944E-2</v>
      </c>
      <c r="Q273" s="30">
        <f t="shared" ref="Q273:Q299" si="228">SUMPRODUCT(B273:M273,B$2:M$2)</f>
        <v>-69.511846625666749</v>
      </c>
      <c r="R273" s="30">
        <f t="shared" ref="R273:R299" si="229">SUMIFS(B273:M273,$B$1:$M$1,$Y$3)</f>
        <v>9.0949470177292824E-13</v>
      </c>
      <c r="T273" s="8">
        <f>Q242+Q273</f>
        <v>-34.755923312833374</v>
      </c>
      <c r="U273" s="8">
        <f t="shared" ref="U273:U299" si="230">R242+R273</f>
        <v>5.1159076974727213E-13</v>
      </c>
    </row>
    <row r="274" spans="1:21" x14ac:dyDescent="0.3">
      <c r="A274" s="341" t="s">
        <v>75</v>
      </c>
      <c r="B274" s="30">
        <f t="shared" ref="B274:N274" si="231">B212-B181-B150-B119-B87-B243</f>
        <v>3.05350795107897</v>
      </c>
      <c r="C274" s="30">
        <f t="shared" si="231"/>
        <v>3.05350795107897</v>
      </c>
      <c r="D274" s="30">
        <f t="shared" si="231"/>
        <v>3.05350795107897</v>
      </c>
      <c r="E274" s="30">
        <f t="shared" si="231"/>
        <v>1.5061833486329164</v>
      </c>
      <c r="F274" s="30">
        <f t="shared" si="231"/>
        <v>-3.6625444342447295</v>
      </c>
      <c r="G274" s="30">
        <f t="shared" si="231"/>
        <v>-2.2755256847359533</v>
      </c>
      <c r="H274" s="30">
        <f t="shared" si="231"/>
        <v>-1.0686938222867326</v>
      </c>
      <c r="I274" s="30">
        <f t="shared" si="231"/>
        <v>11.414038922692953</v>
      </c>
      <c r="J274" s="30">
        <f t="shared" si="231"/>
        <v>-20.275525684735953</v>
      </c>
      <c r="K274" s="30">
        <f t="shared" si="231"/>
        <v>-12.275525684735953</v>
      </c>
      <c r="L274" s="30">
        <f t="shared" si="231"/>
        <v>7.9658406877538823</v>
      </c>
      <c r="M274" s="30">
        <f t="shared" si="231"/>
        <v>9.5112284984228488</v>
      </c>
      <c r="N274" s="30">
        <f t="shared" si="231"/>
        <v>2.0961010704922955E-13</v>
      </c>
      <c r="Q274" s="30">
        <f t="shared" si="228"/>
        <v>3.05350795107897</v>
      </c>
      <c r="R274" s="30">
        <f t="shared" si="229"/>
        <v>1.8829382497642655E-13</v>
      </c>
      <c r="T274" s="8">
        <f t="shared" ref="T274:T299" si="232">Q243+Q274</f>
        <v>1.526753975539485</v>
      </c>
      <c r="U274" s="8">
        <f t="shared" si="230"/>
        <v>9.2370555648813024E-14</v>
      </c>
    </row>
    <row r="275" spans="1:21" x14ac:dyDescent="0.3">
      <c r="A275" s="342" t="s">
        <v>196</v>
      </c>
      <c r="B275" s="30">
        <f t="shared" ref="B275:N275" si="233">B213-B182-B151-B120-B88-B244</f>
        <v>6.78826238939223E-4</v>
      </c>
      <c r="C275" s="30">
        <f t="shared" si="233"/>
        <v>6.78826238939223E-4</v>
      </c>
      <c r="D275" s="30">
        <f t="shared" si="233"/>
        <v>6.78826238939223E-4</v>
      </c>
      <c r="E275" s="30">
        <f t="shared" si="233"/>
        <v>3.712767550879903E-3</v>
      </c>
      <c r="F275" s="30">
        <f t="shared" si="233"/>
        <v>2.4751783672591898E-3</v>
      </c>
      <c r="G275" s="30">
        <f t="shared" si="233"/>
        <v>-6.5535635633864331E-3</v>
      </c>
      <c r="H275" s="30">
        <f t="shared" si="233"/>
        <v>9.1352506494501995E-5</v>
      </c>
      <c r="I275" s="30">
        <f t="shared" si="233"/>
        <v>6.7493189344460802E-3</v>
      </c>
      <c r="J275" s="30">
        <f t="shared" si="233"/>
        <v>-6.5535635633864331E-3</v>
      </c>
      <c r="K275" s="30">
        <f t="shared" si="233"/>
        <v>-6.5535635633864331E-3</v>
      </c>
      <c r="L275" s="30">
        <f t="shared" si="233"/>
        <v>6.7754196505873665E-3</v>
      </c>
      <c r="M275" s="30">
        <f t="shared" si="233"/>
        <v>-2.1798250362152771E-3</v>
      </c>
      <c r="N275" s="30">
        <f t="shared" si="233"/>
        <v>1.4033219031261979E-13</v>
      </c>
      <c r="Q275" s="30">
        <f t="shared" si="228"/>
        <v>6.78826238939223E-4</v>
      </c>
      <c r="R275" s="30">
        <f t="shared" si="229"/>
        <v>1.1013412404281553E-13</v>
      </c>
      <c r="T275" s="8">
        <f t="shared" si="232"/>
        <v>3.394131194696115E-4</v>
      </c>
      <c r="U275" s="8">
        <f t="shared" si="230"/>
        <v>5.5067062021407764E-14</v>
      </c>
    </row>
    <row r="276" spans="1:21" ht="15" thickBot="1" x14ac:dyDescent="0.35">
      <c r="A276" s="344" t="s">
        <v>197</v>
      </c>
      <c r="B276" s="353">
        <f>SUM(B273:B275)</f>
        <v>-66.45765984834884</v>
      </c>
      <c r="C276" s="353">
        <f t="shared" ref="C276:M276" si="234">SUM(C273:C275)</f>
        <v>-0.17765984834886694</v>
      </c>
      <c r="D276" s="353">
        <f t="shared" si="234"/>
        <v>-66.45765984834884</v>
      </c>
      <c r="E276" s="353">
        <f t="shared" si="234"/>
        <v>-120.34204284076631</v>
      </c>
      <c r="F276" s="353">
        <f t="shared" si="234"/>
        <v>326.77863810615588</v>
      </c>
      <c r="G276" s="353">
        <f t="shared" si="234"/>
        <v>-164.61625389471595</v>
      </c>
      <c r="H276" s="353">
        <f t="shared" si="234"/>
        <v>149.49994877734463</v>
      </c>
      <c r="I276" s="353">
        <f t="shared" si="234"/>
        <v>287.15042984616895</v>
      </c>
      <c r="J276" s="353">
        <f t="shared" si="234"/>
        <v>-129.57625389471599</v>
      </c>
      <c r="K276" s="353">
        <f t="shared" si="234"/>
        <v>-174.61625389471595</v>
      </c>
      <c r="L276" s="353">
        <f t="shared" si="234"/>
        <v>-91.781013360304144</v>
      </c>
      <c r="M276" s="353">
        <f t="shared" si="234"/>
        <v>50.595780700596656</v>
      </c>
      <c r="N276" s="353">
        <f t="shared" ref="N276" si="235">SUM(N273:N275)</f>
        <v>-9.1082990820885001E-2</v>
      </c>
      <c r="Q276" s="353">
        <f t="shared" si="228"/>
        <v>-66.45765984834884</v>
      </c>
      <c r="R276" s="353">
        <f t="shared" si="229"/>
        <v>1.2434497875801753E-12</v>
      </c>
      <c r="T276" s="8">
        <f t="shared" si="232"/>
        <v>-33.22882992417442</v>
      </c>
      <c r="U276" s="8">
        <f t="shared" si="230"/>
        <v>6.7856831265089568E-13</v>
      </c>
    </row>
    <row r="277" spans="1:21" x14ac:dyDescent="0.3">
      <c r="A277" s="343" t="s">
        <v>80</v>
      </c>
      <c r="B277" s="30">
        <f t="shared" ref="B277:M277" si="236">B215-B184-B153-B122-B90-B246</f>
        <v>-10.703721754501998</v>
      </c>
      <c r="C277" s="30">
        <f t="shared" si="236"/>
        <v>14.116278245497995</v>
      </c>
      <c r="D277" s="30">
        <f t="shared" si="236"/>
        <v>-10.703721754501998</v>
      </c>
      <c r="E277" s="30">
        <f t="shared" si="236"/>
        <v>-31.232907842227064</v>
      </c>
      <c r="F277" s="30">
        <f t="shared" si="236"/>
        <v>144.65139477184863</v>
      </c>
      <c r="G277" s="30">
        <f t="shared" si="236"/>
        <v>-81.829915335801957</v>
      </c>
      <c r="H277" s="30">
        <f t="shared" si="236"/>
        <v>96.798914536467578</v>
      </c>
      <c r="I277" s="30">
        <f t="shared" si="236"/>
        <v>89.990446485375458</v>
      </c>
      <c r="J277" s="30">
        <f t="shared" si="236"/>
        <v>-63.389915335802016</v>
      </c>
      <c r="K277" s="30">
        <f t="shared" si="236"/>
        <v>-81.829915335801957</v>
      </c>
      <c r="L277" s="30">
        <f t="shared" si="236"/>
        <v>-57.284149361348</v>
      </c>
      <c r="M277" s="30">
        <f t="shared" si="236"/>
        <v>-8.5827873192042716</v>
      </c>
      <c r="N277" s="30">
        <f t="shared" ref="N277" si="237">N215-N184-N153-N122-N90-N246</f>
        <v>-0.5999999999997101</v>
      </c>
      <c r="Q277" s="30">
        <f t="shared" si="228"/>
        <v>-10.703721754501998</v>
      </c>
      <c r="R277" s="30">
        <f t="shared" si="229"/>
        <v>3.979039320256561E-13</v>
      </c>
      <c r="T277" s="8">
        <f t="shared" si="232"/>
        <v>-5.3518608772509992</v>
      </c>
      <c r="U277" s="8">
        <f t="shared" si="230"/>
        <v>1.9895196601282805E-13</v>
      </c>
    </row>
    <row r="278" spans="1:21" x14ac:dyDescent="0.3">
      <c r="A278" s="342" t="s">
        <v>81</v>
      </c>
      <c r="B278" s="30">
        <f t="shared" ref="B278:N278" si="238">B216-B185-B154-B123-B91-B247</f>
        <v>18.144433740514387</v>
      </c>
      <c r="C278" s="30">
        <f t="shared" si="238"/>
        <v>37.424433740514388</v>
      </c>
      <c r="D278" s="30">
        <f t="shared" si="238"/>
        <v>28.124433740514377</v>
      </c>
      <c r="E278" s="30">
        <f t="shared" si="238"/>
        <v>20.698655427540075</v>
      </c>
      <c r="F278" s="30">
        <f t="shared" si="238"/>
        <v>84.319103618360074</v>
      </c>
      <c r="G278" s="30">
        <f t="shared" si="238"/>
        <v>-54.184847555504831</v>
      </c>
      <c r="H278" s="30">
        <f t="shared" si="238"/>
        <v>-9.7916076409846369</v>
      </c>
      <c r="I278" s="30">
        <f t="shared" si="238"/>
        <v>14.945688324823408</v>
      </c>
      <c r="J278" s="30">
        <f t="shared" si="238"/>
        <v>-42.564847555504826</v>
      </c>
      <c r="K278" s="30">
        <f t="shared" si="238"/>
        <v>-45.004847555504824</v>
      </c>
      <c r="L278" s="30">
        <f t="shared" si="238"/>
        <v>-36.126199572600768</v>
      </c>
      <c r="M278" s="30">
        <f t="shared" si="238"/>
        <v>-15.984398712166922</v>
      </c>
      <c r="N278" s="30">
        <f t="shared" si="238"/>
        <v>-2.7000623958883807E-13</v>
      </c>
      <c r="Q278" s="30">
        <f t="shared" si="228"/>
        <v>18.144433740514387</v>
      </c>
      <c r="R278" s="30">
        <f t="shared" si="229"/>
        <v>-8.5265128291212022E-14</v>
      </c>
      <c r="T278" s="8">
        <f t="shared" si="232"/>
        <v>9.0722168702571935</v>
      </c>
      <c r="U278" s="8">
        <f t="shared" si="230"/>
        <v>-4.2632564145606011E-14</v>
      </c>
    </row>
    <row r="279" spans="1:21" x14ac:dyDescent="0.3">
      <c r="A279" s="342" t="s">
        <v>82</v>
      </c>
      <c r="B279" s="30">
        <f t="shared" ref="B279:N279" si="239">B217-B186-B155-B124-B92-B248</f>
        <v>14.628388028669349</v>
      </c>
      <c r="C279" s="30">
        <f t="shared" si="239"/>
        <v>14.628388028669349</v>
      </c>
      <c r="D279" s="30">
        <f t="shared" si="239"/>
        <v>14.628388028669349</v>
      </c>
      <c r="E279" s="30">
        <f t="shared" si="239"/>
        <v>7.3518074301028093</v>
      </c>
      <c r="F279" s="30">
        <f t="shared" si="239"/>
        <v>58.247871620068508</v>
      </c>
      <c r="G279" s="30">
        <f t="shared" si="239"/>
        <v>-33.400657738046618</v>
      </c>
      <c r="H279" s="30">
        <f t="shared" si="239"/>
        <v>3.9271610577315528</v>
      </c>
      <c r="I279" s="30">
        <f t="shared" si="239"/>
        <v>19.210288576042842</v>
      </c>
      <c r="J279" s="30">
        <f t="shared" si="239"/>
        <v>-32.940657738046582</v>
      </c>
      <c r="K279" s="30">
        <f t="shared" si="239"/>
        <v>-32.940657738046582</v>
      </c>
      <c r="L279" s="30">
        <f t="shared" si="239"/>
        <v>-25.499093978890869</v>
      </c>
      <c r="M279" s="30">
        <f t="shared" si="239"/>
        <v>-7.8412255769221133</v>
      </c>
      <c r="N279" s="30">
        <f t="shared" si="239"/>
        <v>1.2038180033996753</v>
      </c>
      <c r="Q279" s="30">
        <f t="shared" si="228"/>
        <v>14.628388028669349</v>
      </c>
      <c r="R279" s="30">
        <f t="shared" si="229"/>
        <v>9.9475983006414026E-13</v>
      </c>
      <c r="T279" s="8">
        <f t="shared" si="232"/>
        <v>7.3141940143346744</v>
      </c>
      <c r="U279" s="8">
        <f t="shared" si="230"/>
        <v>5.1159076974727213E-13</v>
      </c>
    </row>
    <row r="280" spans="1:21" x14ac:dyDescent="0.3">
      <c r="A280" s="342" t="s">
        <v>83</v>
      </c>
      <c r="B280" s="30">
        <f t="shared" ref="B280:N280" si="240">B218-B187-B156-B125-B93-B249</f>
        <v>-0.84143459027066214</v>
      </c>
      <c r="C280" s="30">
        <f t="shared" si="240"/>
        <v>-0.84143459027066214</v>
      </c>
      <c r="D280" s="30">
        <f t="shared" si="240"/>
        <v>-0.84143459027066214</v>
      </c>
      <c r="E280" s="30">
        <f t="shared" si="240"/>
        <v>-0.89350631978419059</v>
      </c>
      <c r="F280" s="30">
        <f t="shared" si="240"/>
        <v>-0.76900421318946144</v>
      </c>
      <c r="G280" s="30">
        <f t="shared" si="240"/>
        <v>0.18646579990538825</v>
      </c>
      <c r="H280" s="30">
        <f t="shared" si="240"/>
        <v>0.19906853069281638</v>
      </c>
      <c r="I280" s="30">
        <f t="shared" si="240"/>
        <v>0.20010962300778701</v>
      </c>
      <c r="J280" s="30">
        <f t="shared" si="240"/>
        <v>0.18646579990538825</v>
      </c>
      <c r="K280" s="30">
        <f t="shared" si="240"/>
        <v>1.2064657999053878</v>
      </c>
      <c r="L280" s="30">
        <f t="shared" si="240"/>
        <v>1.1369863460628729</v>
      </c>
      <c r="M280" s="30">
        <f t="shared" si="240"/>
        <v>1.0712524043060299</v>
      </c>
      <c r="N280" s="30">
        <f t="shared" si="240"/>
        <v>-2.1999999999999442</v>
      </c>
      <c r="Q280" s="30">
        <f t="shared" si="228"/>
        <v>-0.84143459027066214</v>
      </c>
      <c r="R280" s="30">
        <f t="shared" si="229"/>
        <v>3.1974423109204508E-14</v>
      </c>
      <c r="T280" s="8">
        <f t="shared" si="232"/>
        <v>-0.42071729513533107</v>
      </c>
      <c r="U280" s="8">
        <f t="shared" si="230"/>
        <v>1.5987211554602254E-14</v>
      </c>
    </row>
    <row r="281" spans="1:21" x14ac:dyDescent="0.3">
      <c r="A281" s="342" t="s">
        <v>84</v>
      </c>
      <c r="B281" s="30">
        <f t="shared" ref="B281:N281" si="241">B219-B188-B157-B126-B94-B250</f>
        <v>14.181147756272722</v>
      </c>
      <c r="C281" s="30">
        <f t="shared" si="241"/>
        <v>14.181147756272722</v>
      </c>
      <c r="D281" s="30">
        <f t="shared" si="241"/>
        <v>14.181147756272722</v>
      </c>
      <c r="E281" s="30">
        <f t="shared" si="241"/>
        <v>10.981111144086356</v>
      </c>
      <c r="F281" s="30">
        <f t="shared" si="241"/>
        <v>33.381367429390906</v>
      </c>
      <c r="G281" s="30">
        <f t="shared" si="241"/>
        <v>-21.297519031010893</v>
      </c>
      <c r="H281" s="30">
        <f t="shared" si="241"/>
        <v>-2.1668653712010979</v>
      </c>
      <c r="I281" s="30">
        <f t="shared" si="241"/>
        <v>5.4853960927228229</v>
      </c>
      <c r="J281" s="30">
        <f t="shared" si="241"/>
        <v>-21.297519031010893</v>
      </c>
      <c r="K281" s="30">
        <f t="shared" si="241"/>
        <v>-21.297519031010893</v>
      </c>
      <c r="L281" s="30">
        <f t="shared" si="241"/>
        <v>-17.471388299048925</v>
      </c>
      <c r="M281" s="30">
        <f t="shared" si="241"/>
        <v>-8.8605071717352644</v>
      </c>
      <c r="N281" s="30">
        <f t="shared" si="241"/>
        <v>3.1263880373444408E-13</v>
      </c>
      <c r="Q281" s="30">
        <f t="shared" si="228"/>
        <v>14.181147756272722</v>
      </c>
      <c r="R281" s="30">
        <f t="shared" si="229"/>
        <v>2.8421709430404007E-13</v>
      </c>
      <c r="T281" s="8">
        <f t="shared" si="232"/>
        <v>7.090573878136361</v>
      </c>
      <c r="U281" s="8">
        <f t="shared" si="230"/>
        <v>1.4210854715202004E-13</v>
      </c>
    </row>
    <row r="282" spans="1:21" x14ac:dyDescent="0.3">
      <c r="A282" s="342" t="s">
        <v>86</v>
      </c>
      <c r="B282" s="30">
        <f t="shared" ref="B282:N282" si="242">B220-B189-B158-B127-B95-B251</f>
        <v>84.489578217843984</v>
      </c>
      <c r="C282" s="30">
        <f t="shared" si="242"/>
        <v>63.229017287632757</v>
      </c>
      <c r="D282" s="30">
        <f t="shared" si="242"/>
        <v>72.504538310558189</v>
      </c>
      <c r="E282" s="30">
        <f t="shared" si="242"/>
        <v>50.540086517056409</v>
      </c>
      <c r="F282" s="30">
        <f t="shared" si="242"/>
        <v>137.70751925817518</v>
      </c>
      <c r="G282" s="30">
        <f t="shared" si="242"/>
        <v>-86.0031584509872</v>
      </c>
      <c r="H282" s="30">
        <f t="shared" si="242"/>
        <v>-9.0194454612536106</v>
      </c>
      <c r="I282" s="30">
        <f t="shared" si="242"/>
        <v>18.372875458047133</v>
      </c>
      <c r="J282" s="30">
        <f t="shared" si="242"/>
        <v>-93.355301832122279</v>
      </c>
      <c r="K282" s="30">
        <f t="shared" si="242"/>
        <v>-94.417699990313793</v>
      </c>
      <c r="L282" s="30">
        <f t="shared" si="242"/>
        <v>-88.644707966961732</v>
      </c>
      <c r="M282" s="30">
        <f t="shared" si="242"/>
        <v>-55.403301347675381</v>
      </c>
      <c r="N282" s="30">
        <f t="shared" si="242"/>
        <v>0.20920000000143091</v>
      </c>
      <c r="Q282" s="30">
        <f t="shared" si="228"/>
        <v>84.489578217843984</v>
      </c>
      <c r="R282" s="30">
        <f t="shared" si="229"/>
        <v>-3.4106051316484809E-13</v>
      </c>
      <c r="T282" s="8">
        <f t="shared" si="232"/>
        <v>42.244789108921992</v>
      </c>
      <c r="U282" s="8">
        <f>R251+R282</f>
        <v>-1.7053025658242404E-13</v>
      </c>
    </row>
    <row r="283" spans="1:21" ht="15" thickBot="1" x14ac:dyDescent="0.35">
      <c r="A283" s="344" t="s">
        <v>198</v>
      </c>
      <c r="B283" s="353">
        <f>SUM(B277:B282)</f>
        <v>119.89839139852778</v>
      </c>
      <c r="C283" s="353">
        <f t="shared" ref="C283:M283" si="243">SUM(C277:C282)</f>
        <v>142.73783046831653</v>
      </c>
      <c r="D283" s="353">
        <f t="shared" si="243"/>
        <v>117.89335149124197</v>
      </c>
      <c r="E283" s="353">
        <f t="shared" si="243"/>
        <v>57.445246356774391</v>
      </c>
      <c r="F283" s="353">
        <f t="shared" si="243"/>
        <v>457.53825248465381</v>
      </c>
      <c r="G283" s="353">
        <f t="shared" si="243"/>
        <v>-276.52963231144611</v>
      </c>
      <c r="H283" s="353">
        <f t="shared" si="243"/>
        <v>79.947225651452598</v>
      </c>
      <c r="I283" s="353">
        <f t="shared" si="243"/>
        <v>148.20480456001945</v>
      </c>
      <c r="J283" s="353">
        <f t="shared" si="243"/>
        <v>-253.3617756925812</v>
      </c>
      <c r="K283" s="353">
        <f t="shared" si="243"/>
        <v>-274.28417385077267</v>
      </c>
      <c r="L283" s="353">
        <f t="shared" si="243"/>
        <v>-223.88855283278741</v>
      </c>
      <c r="M283" s="353">
        <f t="shared" si="243"/>
        <v>-95.600967723397929</v>
      </c>
      <c r="N283" s="353">
        <f t="shared" ref="N283" si="244">SUM(N277:N282)</f>
        <v>-1.3869819965985055</v>
      </c>
      <c r="Q283" s="353">
        <f t="shared" si="228"/>
        <v>119.89839139852778</v>
      </c>
      <c r="R283" s="353">
        <f t="shared" si="229"/>
        <v>1.2789769243681803E-12</v>
      </c>
      <c r="T283" s="8">
        <f t="shared" si="232"/>
        <v>59.949195699263889</v>
      </c>
      <c r="U283" s="8">
        <f t="shared" si="230"/>
        <v>6.3948846218409017E-13</v>
      </c>
    </row>
    <row r="284" spans="1:21" x14ac:dyDescent="0.3">
      <c r="A284" s="345" t="s">
        <v>88</v>
      </c>
      <c r="B284" s="354">
        <f>B276+B283</f>
        <v>53.440731550178938</v>
      </c>
      <c r="C284" s="354">
        <f t="shared" ref="C284:M284" si="245">C276+C283</f>
        <v>142.56017061996766</v>
      </c>
      <c r="D284" s="354">
        <f t="shared" si="245"/>
        <v>51.435691642893133</v>
      </c>
      <c r="E284" s="354">
        <f t="shared" si="245"/>
        <v>-62.89679648399192</v>
      </c>
      <c r="F284" s="354">
        <f t="shared" si="245"/>
        <v>784.31689059080963</v>
      </c>
      <c r="G284" s="354">
        <f t="shared" si="245"/>
        <v>-441.14588620616206</v>
      </c>
      <c r="H284" s="354">
        <f t="shared" si="245"/>
        <v>229.44717442879721</v>
      </c>
      <c r="I284" s="354">
        <f t="shared" si="245"/>
        <v>435.3552344061884</v>
      </c>
      <c r="J284" s="354">
        <f t="shared" si="245"/>
        <v>-382.93802958729719</v>
      </c>
      <c r="K284" s="354">
        <f t="shared" si="245"/>
        <v>-448.90042774548863</v>
      </c>
      <c r="L284" s="354">
        <f t="shared" si="245"/>
        <v>-315.66956619309155</v>
      </c>
      <c r="M284" s="354">
        <f t="shared" si="245"/>
        <v>-45.005187022801273</v>
      </c>
      <c r="N284" s="354">
        <f t="shared" ref="N284" si="246">N276+N283</f>
        <v>-1.4780649874193905</v>
      </c>
      <c r="Q284" s="354">
        <f t="shared" si="228"/>
        <v>53.440731550178938</v>
      </c>
      <c r="R284" s="354">
        <f t="shared" si="229"/>
        <v>2.2382096176443156E-12</v>
      </c>
      <c r="T284" s="8">
        <f t="shared" si="232"/>
        <v>26.720365775089469</v>
      </c>
      <c r="U284" s="8">
        <f t="shared" si="230"/>
        <v>1.1191048088221578E-12</v>
      </c>
    </row>
    <row r="285" spans="1:21" x14ac:dyDescent="0.3">
      <c r="A285" s="342" t="s">
        <v>89</v>
      </c>
      <c r="B285" s="30">
        <f t="shared" ref="B285:N285" si="247">B223-B192-B161-B130-B98-B254</f>
        <v>4.9882589714834822</v>
      </c>
      <c r="C285" s="30">
        <f t="shared" si="247"/>
        <v>4.9082589714834839</v>
      </c>
      <c r="D285" s="30">
        <f t="shared" si="247"/>
        <v>4.948258971483483</v>
      </c>
      <c r="E285" s="30">
        <f t="shared" si="247"/>
        <v>4.1257659200576597</v>
      </c>
      <c r="F285" s="30">
        <f t="shared" si="247"/>
        <v>9.7832172800384356</v>
      </c>
      <c r="G285" s="30">
        <f t="shared" si="247"/>
        <v>-6.0506857291071974</v>
      </c>
      <c r="H285" s="30">
        <f t="shared" si="247"/>
        <v>-2.5136077042788827</v>
      </c>
      <c r="I285" s="30">
        <f t="shared" si="247"/>
        <v>-0.54677649434756148</v>
      </c>
      <c r="J285" s="30">
        <f t="shared" si="247"/>
        <v>-5.5106857291071982</v>
      </c>
      <c r="K285" s="30">
        <f t="shared" si="247"/>
        <v>-6.0106857291071982</v>
      </c>
      <c r="L285" s="30">
        <f t="shared" si="247"/>
        <v>-5.3472701241415272</v>
      </c>
      <c r="M285" s="30">
        <f t="shared" si="247"/>
        <v>-2.7740486044569934</v>
      </c>
      <c r="N285" s="30">
        <f t="shared" si="247"/>
        <v>2.1316282072803006E-14</v>
      </c>
      <c r="Q285" s="355">
        <f t="shared" si="228"/>
        <v>4.9882589714834822</v>
      </c>
      <c r="R285" s="355">
        <f t="shared" si="229"/>
        <v>-1.4210854715202004E-14</v>
      </c>
      <c r="T285" s="8">
        <f t="shared" si="232"/>
        <v>2.4941294857417411</v>
      </c>
      <c r="U285" s="8">
        <f t="shared" si="230"/>
        <v>-7.1054273576010019E-15</v>
      </c>
    </row>
    <row r="286" spans="1:21" x14ac:dyDescent="0.3">
      <c r="A286" s="345" t="s">
        <v>90</v>
      </c>
      <c r="B286" s="354">
        <f>B284+B285</f>
        <v>58.428990521662421</v>
      </c>
      <c r="C286" s="354">
        <f t="shared" ref="C286:M286" si="248">C284+C285</f>
        <v>147.46842959145116</v>
      </c>
      <c r="D286" s="354">
        <f t="shared" si="248"/>
        <v>56.383950614376616</v>
      </c>
      <c r="E286" s="354">
        <f t="shared" si="248"/>
        <v>-58.771030563934261</v>
      </c>
      <c r="F286" s="354">
        <f t="shared" si="248"/>
        <v>794.10010787084809</v>
      </c>
      <c r="G286" s="354">
        <f t="shared" si="248"/>
        <v>-447.19657193526928</v>
      </c>
      <c r="H286" s="354">
        <f t="shared" si="248"/>
        <v>226.93356672451833</v>
      </c>
      <c r="I286" s="354">
        <f t="shared" si="248"/>
        <v>434.80845791184083</v>
      </c>
      <c r="J286" s="354">
        <f t="shared" si="248"/>
        <v>-388.44871531640439</v>
      </c>
      <c r="K286" s="354">
        <f t="shared" si="248"/>
        <v>-454.91111347459582</v>
      </c>
      <c r="L286" s="354">
        <f t="shared" si="248"/>
        <v>-321.01683631723307</v>
      </c>
      <c r="M286" s="354">
        <f t="shared" si="248"/>
        <v>-47.779235627258267</v>
      </c>
      <c r="N286" s="354">
        <f t="shared" ref="N286" si="249">N284+N285</f>
        <v>-1.4780649874193692</v>
      </c>
      <c r="Q286" s="354">
        <f t="shared" si="228"/>
        <v>58.428990521662421</v>
      </c>
      <c r="R286" s="354">
        <f t="shared" si="229"/>
        <v>2.5224267119483557E-12</v>
      </c>
      <c r="T286" s="8">
        <f t="shared" si="232"/>
        <v>29.21449526083121</v>
      </c>
      <c r="U286" s="8">
        <f t="shared" si="230"/>
        <v>1.3749001936957939E-12</v>
      </c>
    </row>
    <row r="287" spans="1:21" x14ac:dyDescent="0.3">
      <c r="A287" s="342" t="s">
        <v>91</v>
      </c>
      <c r="B287" s="30">
        <f t="shared" ref="B287:N287" si="250">B225-B194-B163-B132-B100-B256</f>
        <v>142.62432447690674</v>
      </c>
      <c r="C287" s="30">
        <f t="shared" si="250"/>
        <v>85.024885407117836</v>
      </c>
      <c r="D287" s="30">
        <f t="shared" si="250"/>
        <v>154.2493643841924</v>
      </c>
      <c r="E287" s="30">
        <f t="shared" si="250"/>
        <v>103.08751131243184</v>
      </c>
      <c r="F287" s="30">
        <f t="shared" si="250"/>
        <v>367.10421262815021</v>
      </c>
      <c r="G287" s="30">
        <f t="shared" si="250"/>
        <v>-237.85631888217199</v>
      </c>
      <c r="H287" s="30">
        <f t="shared" si="250"/>
        <v>-8.4432093078365824</v>
      </c>
      <c r="I287" s="30">
        <f t="shared" si="250"/>
        <v>76.455198798490187</v>
      </c>
      <c r="J287" s="30">
        <f t="shared" si="250"/>
        <v>-231.98417550103693</v>
      </c>
      <c r="K287" s="30">
        <f t="shared" si="250"/>
        <v>-205.18177734284541</v>
      </c>
      <c r="L287" s="30">
        <f t="shared" si="250"/>
        <v>-181.77940485338365</v>
      </c>
      <c r="M287" s="30">
        <f t="shared" si="250"/>
        <v>-63.300611120013969</v>
      </c>
      <c r="N287" s="30">
        <f t="shared" si="250"/>
        <v>1.2505552149377763E-12</v>
      </c>
      <c r="Q287" s="355">
        <f t="shared" si="228"/>
        <v>142.62432447690674</v>
      </c>
      <c r="R287" s="355">
        <f t="shared" si="229"/>
        <v>6.8212102632969618E-13</v>
      </c>
      <c r="T287" s="8">
        <f t="shared" si="232"/>
        <v>71.312162238453368</v>
      </c>
      <c r="U287" s="8">
        <f t="shared" si="230"/>
        <v>3.4106051316484809E-13</v>
      </c>
    </row>
    <row r="288" spans="1:21" x14ac:dyDescent="0.3">
      <c r="A288" s="345" t="s">
        <v>92</v>
      </c>
      <c r="B288" s="354">
        <f>B286+B287</f>
        <v>201.05331499856916</v>
      </c>
      <c r="C288" s="354">
        <f t="shared" ref="C288:M288" si="251">C286+C287</f>
        <v>232.49331499856899</v>
      </c>
      <c r="D288" s="354">
        <f t="shared" si="251"/>
        <v>210.63331499856901</v>
      </c>
      <c r="E288" s="354">
        <f t="shared" si="251"/>
        <v>44.316480748497582</v>
      </c>
      <c r="F288" s="354">
        <f t="shared" si="251"/>
        <v>1161.2043204989982</v>
      </c>
      <c r="G288" s="354">
        <f t="shared" si="251"/>
        <v>-685.05289081744127</v>
      </c>
      <c r="H288" s="354">
        <f t="shared" si="251"/>
        <v>218.49035741668175</v>
      </c>
      <c r="I288" s="354">
        <f t="shared" si="251"/>
        <v>511.26365671033102</v>
      </c>
      <c r="J288" s="354">
        <f t="shared" si="251"/>
        <v>-620.43289081744138</v>
      </c>
      <c r="K288" s="354">
        <f t="shared" si="251"/>
        <v>-660.09289081744123</v>
      </c>
      <c r="L288" s="354">
        <f t="shared" si="251"/>
        <v>-502.79624117061672</v>
      </c>
      <c r="M288" s="354">
        <f t="shared" si="251"/>
        <v>-111.07984674727223</v>
      </c>
      <c r="N288" s="354">
        <f t="shared" ref="N288" si="252">N286+N287</f>
        <v>-1.4780649874181186</v>
      </c>
      <c r="Q288" s="354">
        <f t="shared" si="228"/>
        <v>201.05331499856916</v>
      </c>
      <c r="R288" s="354">
        <f t="shared" si="229"/>
        <v>2.7569058147491887E-12</v>
      </c>
      <c r="T288" s="8">
        <f t="shared" si="232"/>
        <v>100.52665749928458</v>
      </c>
      <c r="U288" s="8">
        <f t="shared" si="230"/>
        <v>1.3784529073745944E-12</v>
      </c>
    </row>
    <row r="289" spans="1:21" x14ac:dyDescent="0.3">
      <c r="A289" s="342" t="s">
        <v>76</v>
      </c>
      <c r="B289" s="30">
        <f t="shared" ref="B289:N289" si="253">B227-B196-B165-B134-B102-B258</f>
        <v>-9.0136450388911271E-5</v>
      </c>
      <c r="C289" s="30">
        <f t="shared" si="253"/>
        <v>-9.0136450388911271E-5</v>
      </c>
      <c r="D289" s="30">
        <f t="shared" si="253"/>
        <v>-9.0136450388911271E-5</v>
      </c>
      <c r="E289" s="30">
        <f t="shared" si="253"/>
        <v>-1.0946432729106448E-3</v>
      </c>
      <c r="F289" s="30">
        <f t="shared" si="253"/>
        <v>-4.0630955152707315E-3</v>
      </c>
      <c r="G289" s="30">
        <f t="shared" si="253"/>
        <v>-1.2270599174470931E-3</v>
      </c>
      <c r="H289" s="30">
        <f t="shared" si="253"/>
        <v>-2.2185608717606442E-4</v>
      </c>
      <c r="I289" s="30">
        <f t="shared" si="253"/>
        <v>2.180225444938344E-3</v>
      </c>
      <c r="J289" s="30">
        <f t="shared" si="253"/>
        <v>-1.2270599174470931E-3</v>
      </c>
      <c r="K289" s="30">
        <f t="shared" si="253"/>
        <v>-1.2270599174470931E-3</v>
      </c>
      <c r="L289" s="30">
        <f t="shared" si="253"/>
        <v>4.9739808486037873E-3</v>
      </c>
      <c r="M289" s="30">
        <f t="shared" si="253"/>
        <v>2.1769776853695078E-3</v>
      </c>
      <c r="N289" s="30">
        <f t="shared" si="253"/>
        <v>-0.44074999999987696</v>
      </c>
      <c r="Q289" s="30">
        <f t="shared" si="228"/>
        <v>-9.0136450388911271E-5</v>
      </c>
      <c r="R289" s="30">
        <f t="shared" si="229"/>
        <v>4.6185277824406512E-14</v>
      </c>
      <c r="T289" s="8">
        <f t="shared" si="232"/>
        <v>0</v>
      </c>
      <c r="U289" s="8">
        <f t="shared" si="230"/>
        <v>0</v>
      </c>
    </row>
    <row r="290" spans="1:21" x14ac:dyDescent="0.3">
      <c r="A290" s="342" t="s">
        <v>77</v>
      </c>
      <c r="B290" s="30">
        <f t="shared" ref="B290:N290" si="254">B228-B197-B166-B135-B103-B259</f>
        <v>0</v>
      </c>
      <c r="C290" s="30">
        <f t="shared" si="254"/>
        <v>0</v>
      </c>
      <c r="D290" s="30">
        <f t="shared" si="254"/>
        <v>0</v>
      </c>
      <c r="E290" s="30">
        <f t="shared" si="254"/>
        <v>0</v>
      </c>
      <c r="F290" s="30">
        <f t="shared" si="254"/>
        <v>0</v>
      </c>
      <c r="G290" s="30">
        <f t="shared" si="254"/>
        <v>0</v>
      </c>
      <c r="H290" s="30">
        <f t="shared" si="254"/>
        <v>0</v>
      </c>
      <c r="I290" s="30">
        <f t="shared" si="254"/>
        <v>0</v>
      </c>
      <c r="J290" s="30">
        <f t="shared" si="254"/>
        <v>0</v>
      </c>
      <c r="K290" s="30">
        <f t="shared" si="254"/>
        <v>0</v>
      </c>
      <c r="L290" s="30">
        <f t="shared" si="254"/>
        <v>0</v>
      </c>
      <c r="M290" s="30">
        <f t="shared" si="254"/>
        <v>0</v>
      </c>
      <c r="N290" s="30">
        <f t="shared" si="254"/>
        <v>-1.1368683772161603E-13</v>
      </c>
      <c r="Q290" s="30">
        <f t="shared" si="228"/>
        <v>0</v>
      </c>
      <c r="R290" s="30">
        <f t="shared" si="229"/>
        <v>0</v>
      </c>
      <c r="T290" s="8">
        <f t="shared" si="232"/>
        <v>0</v>
      </c>
      <c r="U290" s="8">
        <f t="shared" si="230"/>
        <v>0</v>
      </c>
    </row>
    <row r="291" spans="1:21" x14ac:dyDescent="0.3">
      <c r="A291" s="342" t="s">
        <v>144</v>
      </c>
      <c r="B291" s="30">
        <f t="shared" ref="B291:N291" si="255">B229-B198-B167-B136-B104-B260</f>
        <v>0</v>
      </c>
      <c r="C291" s="30">
        <f t="shared" si="255"/>
        <v>0</v>
      </c>
      <c r="D291" s="30">
        <f t="shared" si="255"/>
        <v>0</v>
      </c>
      <c r="E291" s="30">
        <f t="shared" si="255"/>
        <v>0</v>
      </c>
      <c r="F291" s="30">
        <f t="shared" si="255"/>
        <v>0</v>
      </c>
      <c r="G291" s="30">
        <f t="shared" si="255"/>
        <v>0</v>
      </c>
      <c r="H291" s="30">
        <f t="shared" si="255"/>
        <v>0</v>
      </c>
      <c r="I291" s="30">
        <f t="shared" si="255"/>
        <v>0</v>
      </c>
      <c r="J291" s="30">
        <f t="shared" si="255"/>
        <v>0</v>
      </c>
      <c r="K291" s="30">
        <f t="shared" si="255"/>
        <v>0</v>
      </c>
      <c r="L291" s="30">
        <f t="shared" si="255"/>
        <v>0</v>
      </c>
      <c r="M291" s="30">
        <f t="shared" si="255"/>
        <v>0</v>
      </c>
      <c r="N291" s="30">
        <f t="shared" si="255"/>
        <v>0</v>
      </c>
      <c r="Q291" s="30">
        <f t="shared" si="228"/>
        <v>0</v>
      </c>
      <c r="R291" s="30">
        <f t="shared" si="229"/>
        <v>0</v>
      </c>
      <c r="T291" s="8">
        <f t="shared" si="232"/>
        <v>0</v>
      </c>
      <c r="U291" s="8">
        <f t="shared" si="230"/>
        <v>0</v>
      </c>
    </row>
    <row r="292" spans="1:21" x14ac:dyDescent="0.3">
      <c r="A292" s="342" t="s">
        <v>85</v>
      </c>
      <c r="B292" s="30">
        <f t="shared" ref="B292:N292" si="256">B230-B199-B168-B137-B105-B261</f>
        <v>0</v>
      </c>
      <c r="C292" s="30">
        <f t="shared" si="256"/>
        <v>0</v>
      </c>
      <c r="D292" s="30">
        <f t="shared" si="256"/>
        <v>0</v>
      </c>
      <c r="E292" s="30">
        <f t="shared" si="256"/>
        <v>0</v>
      </c>
      <c r="F292" s="30">
        <f t="shared" si="256"/>
        <v>0</v>
      </c>
      <c r="G292" s="30">
        <f t="shared" si="256"/>
        <v>0</v>
      </c>
      <c r="H292" s="30">
        <f t="shared" si="256"/>
        <v>0</v>
      </c>
      <c r="I292" s="30">
        <f t="shared" si="256"/>
        <v>0</v>
      </c>
      <c r="J292" s="30">
        <f t="shared" si="256"/>
        <v>0</v>
      </c>
      <c r="K292" s="30">
        <f t="shared" si="256"/>
        <v>0</v>
      </c>
      <c r="L292" s="30">
        <f t="shared" si="256"/>
        <v>0</v>
      </c>
      <c r="M292" s="30">
        <f t="shared" si="256"/>
        <v>0</v>
      </c>
      <c r="N292" s="30">
        <f t="shared" si="256"/>
        <v>0</v>
      </c>
      <c r="Q292" s="30">
        <f t="shared" si="228"/>
        <v>0</v>
      </c>
      <c r="R292" s="30">
        <f t="shared" si="229"/>
        <v>0</v>
      </c>
      <c r="T292" s="8">
        <f t="shared" si="232"/>
        <v>0</v>
      </c>
      <c r="U292" s="8">
        <f t="shared" si="230"/>
        <v>0</v>
      </c>
    </row>
    <row r="293" spans="1:21" x14ac:dyDescent="0.3">
      <c r="A293" s="342" t="s">
        <v>145</v>
      </c>
      <c r="B293" s="30">
        <f t="shared" ref="B293:N293" si="257">B231-B200-B169-B138-B106-B262</f>
        <v>0</v>
      </c>
      <c r="C293" s="30">
        <f t="shared" si="257"/>
        <v>0</v>
      </c>
      <c r="D293" s="30">
        <f t="shared" si="257"/>
        <v>0</v>
      </c>
      <c r="E293" s="30">
        <f t="shared" si="257"/>
        <v>0</v>
      </c>
      <c r="F293" s="30">
        <f t="shared" si="257"/>
        <v>0</v>
      </c>
      <c r="G293" s="30">
        <f t="shared" si="257"/>
        <v>0</v>
      </c>
      <c r="H293" s="30">
        <f t="shared" si="257"/>
        <v>0</v>
      </c>
      <c r="I293" s="30">
        <f t="shared" si="257"/>
        <v>0</v>
      </c>
      <c r="J293" s="30">
        <f t="shared" si="257"/>
        <v>0</v>
      </c>
      <c r="K293" s="30">
        <f t="shared" si="257"/>
        <v>0</v>
      </c>
      <c r="L293" s="30">
        <f t="shared" si="257"/>
        <v>0</v>
      </c>
      <c r="M293" s="30">
        <f t="shared" si="257"/>
        <v>0</v>
      </c>
      <c r="N293" s="30">
        <f t="shared" si="257"/>
        <v>0</v>
      </c>
      <c r="Q293" s="355">
        <f t="shared" si="228"/>
        <v>0</v>
      </c>
      <c r="R293" s="355">
        <f t="shared" si="229"/>
        <v>0</v>
      </c>
      <c r="T293" s="8">
        <f t="shared" si="232"/>
        <v>0</v>
      </c>
      <c r="U293" s="8">
        <f t="shared" si="230"/>
        <v>0</v>
      </c>
    </row>
    <row r="294" spans="1:21" x14ac:dyDescent="0.3">
      <c r="A294" s="345" t="s">
        <v>146</v>
      </c>
      <c r="B294" s="354">
        <f>SUM(B289:B293)</f>
        <v>-9.0136450388911271E-5</v>
      </c>
      <c r="C294" s="354">
        <f t="shared" ref="C294:M294" si="258">SUM(C289:C293)</f>
        <v>-9.0136450388911271E-5</v>
      </c>
      <c r="D294" s="354">
        <f t="shared" si="258"/>
        <v>-9.0136450388911271E-5</v>
      </c>
      <c r="E294" s="354">
        <f t="shared" si="258"/>
        <v>-1.0946432729106448E-3</v>
      </c>
      <c r="F294" s="354">
        <f t="shared" si="258"/>
        <v>-4.0630955152707315E-3</v>
      </c>
      <c r="G294" s="354">
        <f t="shared" si="258"/>
        <v>-1.2270599174470931E-3</v>
      </c>
      <c r="H294" s="354">
        <f t="shared" si="258"/>
        <v>-2.2185608717606442E-4</v>
      </c>
      <c r="I294" s="354">
        <f t="shared" si="258"/>
        <v>2.180225444938344E-3</v>
      </c>
      <c r="J294" s="354">
        <f t="shared" si="258"/>
        <v>-1.2270599174470931E-3</v>
      </c>
      <c r="K294" s="354">
        <f t="shared" si="258"/>
        <v>-1.2270599174470931E-3</v>
      </c>
      <c r="L294" s="354">
        <f t="shared" si="258"/>
        <v>4.9739808486037873E-3</v>
      </c>
      <c r="M294" s="354">
        <f t="shared" si="258"/>
        <v>2.1769776853695078E-3</v>
      </c>
      <c r="N294" s="354">
        <f t="shared" ref="N294" si="259">SUM(N289:N293)</f>
        <v>-0.44074999999999065</v>
      </c>
      <c r="Q294" s="354">
        <f t="shared" si="228"/>
        <v>-9.0136450388911271E-5</v>
      </c>
      <c r="R294" s="354">
        <f t="shared" si="229"/>
        <v>4.6185277824406512E-14</v>
      </c>
      <c r="T294" s="8">
        <f t="shared" si="232"/>
        <v>0</v>
      </c>
      <c r="U294" s="8">
        <f t="shared" si="230"/>
        <v>0</v>
      </c>
    </row>
    <row r="295" spans="1:21" x14ac:dyDescent="0.3">
      <c r="A295" s="342" t="s">
        <v>148</v>
      </c>
      <c r="B295" s="30">
        <f>B233-B202-B171-B140-B108-B264</f>
        <v>41.033871759470046</v>
      </c>
      <c r="C295" s="30">
        <f t="shared" ref="C295:M296" si="260">C233-C202-C171-C140-C108-C264</f>
        <v>42.313871759470061</v>
      </c>
      <c r="D295" s="30">
        <f t="shared" si="260"/>
        <v>40.993871759470068</v>
      </c>
      <c r="E295" s="30">
        <f t="shared" si="260"/>
        <v>33.060565347443571</v>
      </c>
      <c r="F295" s="30">
        <f t="shared" si="260"/>
        <v>108.69371023162903</v>
      </c>
      <c r="G295" s="30">
        <f t="shared" si="260"/>
        <v>-47.164090634736738</v>
      </c>
      <c r="H295" s="30">
        <f t="shared" si="260"/>
        <v>0.40284987194337418</v>
      </c>
      <c r="I295" s="30">
        <f t="shared" si="260"/>
        <v>19.42162607461546</v>
      </c>
      <c r="J295" s="30">
        <f t="shared" si="260"/>
        <v>-47.144090634736756</v>
      </c>
      <c r="K295" s="30">
        <f t="shared" si="260"/>
        <v>-47.144090634736756</v>
      </c>
      <c r="L295" s="30">
        <f t="shared" si="260"/>
        <v>-37.634702533400741</v>
      </c>
      <c r="M295" s="30">
        <f t="shared" si="260"/>
        <v>-106.83339236643027</v>
      </c>
      <c r="N295" s="30">
        <f>N233-N202-N171-N140-N108-N264</f>
        <v>-3.7794885561197589E-2</v>
      </c>
      <c r="Q295" s="355">
        <f t="shared" si="228"/>
        <v>41.033871759470046</v>
      </c>
      <c r="R295" s="355">
        <f t="shared" si="229"/>
        <v>3.694822225952521E-13</v>
      </c>
      <c r="T295" s="8">
        <f t="shared" si="232"/>
        <v>20.516935879735016</v>
      </c>
      <c r="U295" s="8">
        <f t="shared" si="230"/>
        <v>1.8474111129762605E-13</v>
      </c>
    </row>
    <row r="296" spans="1:21" x14ac:dyDescent="0.3">
      <c r="A296" s="342" t="s">
        <v>149</v>
      </c>
      <c r="B296" s="30">
        <f>B234-B203-B172-B141-B109-B265</f>
        <v>5.2609876155067923</v>
      </c>
      <c r="C296" s="30">
        <f t="shared" si="260"/>
        <v>141.8809876155068</v>
      </c>
      <c r="D296" s="30">
        <f t="shared" si="260"/>
        <v>94.180987615506808</v>
      </c>
      <c r="E296" s="30">
        <f t="shared" si="260"/>
        <v>-28.656963003717877</v>
      </c>
      <c r="F296" s="30">
        <f t="shared" si="260"/>
        <v>69.768691330854736</v>
      </c>
      <c r="G296" s="30">
        <f t="shared" si="260"/>
        <v>-49.000638815027543</v>
      </c>
      <c r="H296" s="30">
        <f t="shared" si="260"/>
        <v>-20.498977504445321</v>
      </c>
      <c r="I296" s="30">
        <f t="shared" si="260"/>
        <v>-4.434312980212411</v>
      </c>
      <c r="J296" s="30">
        <f t="shared" si="260"/>
        <v>-60.660638815027539</v>
      </c>
      <c r="K296" s="30">
        <f t="shared" si="260"/>
        <v>-60.660638815027539</v>
      </c>
      <c r="L296" s="30">
        <f t="shared" si="260"/>
        <v>-52.628306552911084</v>
      </c>
      <c r="M296" s="30">
        <f t="shared" si="260"/>
        <v>-34.551177691006131</v>
      </c>
      <c r="N296" s="356">
        <f>N234-N203-N172-N141-N109-N265</f>
        <v>-3.4106051316484809E-13</v>
      </c>
      <c r="P296" s="107">
        <v>0</v>
      </c>
      <c r="Q296" s="355">
        <f t="shared" si="228"/>
        <v>5.2609876155067923</v>
      </c>
      <c r="R296" s="355">
        <f t="shared" si="229"/>
        <v>-3.1263880373444408E-13</v>
      </c>
      <c r="T296" s="8">
        <f t="shared" si="232"/>
        <v>2.6304938077533961</v>
      </c>
      <c r="U296" s="8">
        <f t="shared" si="230"/>
        <v>-1.5631940186722204E-13</v>
      </c>
    </row>
    <row r="297" spans="1:21" x14ac:dyDescent="0.3">
      <c r="A297" s="345" t="s">
        <v>150</v>
      </c>
      <c r="B297" s="354">
        <f>B295+B296</f>
        <v>46.294859374976838</v>
      </c>
      <c r="C297" s="354">
        <f t="shared" ref="C297:M297" si="261">C295+C296</f>
        <v>184.19485937497686</v>
      </c>
      <c r="D297" s="354">
        <f t="shared" si="261"/>
        <v>135.17485937497688</v>
      </c>
      <c r="E297" s="354">
        <f t="shared" si="261"/>
        <v>4.4036023437256944</v>
      </c>
      <c r="F297" s="354">
        <f t="shared" si="261"/>
        <v>178.46240156248376</v>
      </c>
      <c r="G297" s="354">
        <f t="shared" si="261"/>
        <v>-96.16472944976428</v>
      </c>
      <c r="H297" s="354">
        <f t="shared" si="261"/>
        <v>-20.096127632501947</v>
      </c>
      <c r="I297" s="354">
        <f t="shared" si="261"/>
        <v>14.987313094403049</v>
      </c>
      <c r="J297" s="354">
        <f t="shared" si="261"/>
        <v>-107.8047294497643</v>
      </c>
      <c r="K297" s="354">
        <f t="shared" si="261"/>
        <v>-107.8047294497643</v>
      </c>
      <c r="L297" s="354">
        <f t="shared" si="261"/>
        <v>-90.263009086311826</v>
      </c>
      <c r="M297" s="354">
        <f t="shared" si="261"/>
        <v>-141.38457005743641</v>
      </c>
      <c r="N297" s="354">
        <f t="shared" ref="N297" si="262">N295+N296</f>
        <v>-3.7794885561538649E-2</v>
      </c>
      <c r="Q297" s="354">
        <f t="shared" si="228"/>
        <v>46.294859374976838</v>
      </c>
      <c r="R297" s="354">
        <f t="shared" si="229"/>
        <v>-2.8421709430404007E-14</v>
      </c>
      <c r="T297" s="8">
        <f t="shared" si="232"/>
        <v>23.147429687488412</v>
      </c>
      <c r="U297" s="8">
        <f t="shared" si="230"/>
        <v>-1.4210854715202004E-14</v>
      </c>
    </row>
    <row r="298" spans="1:21" x14ac:dyDescent="0.3"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Q298" s="357">
        <f t="shared" si="228"/>
        <v>0</v>
      </c>
      <c r="R298" s="357">
        <f t="shared" si="229"/>
        <v>0</v>
      </c>
      <c r="T298" s="8">
        <f t="shared" si="232"/>
        <v>0</v>
      </c>
      <c r="U298" s="8">
        <f t="shared" si="230"/>
        <v>0</v>
      </c>
    </row>
    <row r="299" spans="1:21" x14ac:dyDescent="0.3">
      <c r="A299" s="345" t="s">
        <v>152</v>
      </c>
      <c r="B299" s="354">
        <f>B288+B294+B297</f>
        <v>247.34808423709563</v>
      </c>
      <c r="C299" s="354">
        <f t="shared" ref="C299:M299" si="263">C288+C294+C297</f>
        <v>416.6880842370955</v>
      </c>
      <c r="D299" s="354">
        <f t="shared" si="263"/>
        <v>345.8080842370955</v>
      </c>
      <c r="E299" s="354">
        <f t="shared" si="263"/>
        <v>48.71898844895037</v>
      </c>
      <c r="F299" s="354">
        <f t="shared" si="263"/>
        <v>1339.6626589659668</v>
      </c>
      <c r="G299" s="354">
        <f t="shared" si="263"/>
        <v>-781.21884732712306</v>
      </c>
      <c r="H299" s="354">
        <f t="shared" si="263"/>
        <v>198.39400792809263</v>
      </c>
      <c r="I299" s="354">
        <f t="shared" si="263"/>
        <v>526.25315003017897</v>
      </c>
      <c r="J299" s="354">
        <f t="shared" si="263"/>
        <v>-728.23884732712315</v>
      </c>
      <c r="K299" s="354">
        <f t="shared" si="263"/>
        <v>-767.89884732712301</v>
      </c>
      <c r="L299" s="354">
        <f t="shared" si="263"/>
        <v>-593.05427627607992</v>
      </c>
      <c r="M299" s="354">
        <f t="shared" si="263"/>
        <v>-252.46223982702327</v>
      </c>
      <c r="N299" s="360">
        <f>N288+N294+N297</f>
        <v>-1.9566098729796479</v>
      </c>
      <c r="Q299" s="354">
        <f t="shared" si="228"/>
        <v>247.34808423709563</v>
      </c>
      <c r="R299" s="354">
        <f t="shared" si="229"/>
        <v>3.0695446184836328E-12</v>
      </c>
      <c r="T299" s="8">
        <f t="shared" si="232"/>
        <v>123.67408718677302</v>
      </c>
      <c r="U299" s="8">
        <f t="shared" si="230"/>
        <v>1.3216094885137863E-12</v>
      </c>
    </row>
    <row r="300" spans="1:21" x14ac:dyDescent="0.3">
      <c r="A300" s="362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51"/>
    </row>
    <row r="301" spans="1:21" s="379" customFormat="1" x14ac:dyDescent="0.3">
      <c r="A301" s="376"/>
      <c r="B301" s="377"/>
      <c r="C301" s="377"/>
      <c r="D301" s="377"/>
      <c r="E301" s="377"/>
      <c r="F301" s="377"/>
      <c r="G301" s="377"/>
      <c r="H301" s="377"/>
      <c r="I301" s="377"/>
      <c r="J301" s="377"/>
      <c r="K301" s="377"/>
      <c r="L301" s="377"/>
      <c r="M301" s="377"/>
      <c r="N301" s="377"/>
      <c r="O301" s="378"/>
    </row>
    <row r="302" spans="1:21" x14ac:dyDescent="0.3">
      <c r="A302" s="362"/>
      <c r="B302" s="363"/>
      <c r="C302" s="363"/>
      <c r="D302" s="363"/>
      <c r="E302" s="363"/>
      <c r="F302" s="363"/>
      <c r="G302" s="363"/>
      <c r="H302" s="363"/>
      <c r="I302" s="363"/>
      <c r="J302" s="363"/>
      <c r="K302" s="363"/>
      <c r="L302" s="363"/>
      <c r="M302" s="363"/>
      <c r="N302" s="363"/>
      <c r="O302" s="351"/>
    </row>
    <row r="303" spans="1:21" ht="15" thickBot="1" x14ac:dyDescent="0.35">
      <c r="A303" s="362"/>
      <c r="B303" s="363"/>
      <c r="C303" s="363"/>
      <c r="D303" s="363"/>
      <c r="E303" s="363"/>
      <c r="F303" s="363"/>
      <c r="G303" s="363"/>
      <c r="H303" s="363"/>
      <c r="I303" s="363"/>
      <c r="J303" s="363"/>
      <c r="K303" s="363"/>
      <c r="L303" s="363"/>
      <c r="M303" s="363"/>
      <c r="N303" s="363"/>
      <c r="O303" s="351"/>
    </row>
    <row r="304" spans="1:21" x14ac:dyDescent="0.3">
      <c r="A304" s="380" t="s">
        <v>428</v>
      </c>
      <c r="B304" s="381" t="s">
        <v>0</v>
      </c>
      <c r="C304" s="381" t="s">
        <v>1</v>
      </c>
      <c r="D304" s="381" t="s">
        <v>2</v>
      </c>
      <c r="E304" s="381" t="s">
        <v>3</v>
      </c>
      <c r="F304" s="381" t="s">
        <v>4</v>
      </c>
      <c r="G304" s="381" t="s">
        <v>5</v>
      </c>
      <c r="H304" s="381" t="s">
        <v>6</v>
      </c>
      <c r="I304" s="381" t="s">
        <v>7</v>
      </c>
      <c r="J304" s="381" t="s">
        <v>8</v>
      </c>
      <c r="K304" s="381" t="s">
        <v>9</v>
      </c>
      <c r="L304" s="381" t="s">
        <v>10</v>
      </c>
      <c r="M304" s="381" t="s">
        <v>11</v>
      </c>
      <c r="N304" s="382" t="s">
        <v>12</v>
      </c>
    </row>
    <row r="305" spans="1:18" x14ac:dyDescent="0.3">
      <c r="A305" s="383"/>
      <c r="B305" s="384"/>
      <c r="C305" s="384"/>
      <c r="D305" s="384"/>
      <c r="E305" s="384"/>
      <c r="F305" s="384"/>
      <c r="G305" s="384"/>
      <c r="H305" s="384"/>
      <c r="I305" s="384"/>
      <c r="J305" s="384"/>
      <c r="K305" s="384"/>
      <c r="L305" s="384"/>
      <c r="M305" s="384"/>
      <c r="N305" s="385"/>
    </row>
    <row r="306" spans="1:18" x14ac:dyDescent="0.3">
      <c r="A306" s="383" t="s">
        <v>43</v>
      </c>
      <c r="B306" s="384">
        <f>B144</f>
        <v>-6.7443971410000003</v>
      </c>
      <c r="C306" s="384">
        <f t="shared" ref="C306:N306" si="264">C144</f>
        <v>-7.110674586</v>
      </c>
      <c r="D306" s="384">
        <f t="shared" si="264"/>
        <v>-7.1575233750000002</v>
      </c>
      <c r="E306" s="384">
        <f t="shared" si="264"/>
        <v>-13.784255769000001</v>
      </c>
      <c r="F306" s="384">
        <f t="shared" si="264"/>
        <v>-22.499889510000003</v>
      </c>
      <c r="G306" s="384">
        <f t="shared" si="264"/>
        <v>-58.908533430000006</v>
      </c>
      <c r="H306" s="384">
        <f t="shared" si="264"/>
        <v>-57.523254780000002</v>
      </c>
      <c r="I306" s="384">
        <f t="shared" si="264"/>
        <v>-57.204807999999993</v>
      </c>
      <c r="J306" s="384">
        <f t="shared" si="264"/>
        <v>-68.485446039999999</v>
      </c>
      <c r="K306" s="384">
        <f t="shared" si="264"/>
        <v>-63.211466780000002</v>
      </c>
      <c r="L306" s="384">
        <f t="shared" si="264"/>
        <v>-61.94707133</v>
      </c>
      <c r="M306" s="384">
        <f t="shared" si="264"/>
        <v>-60.138508710000004</v>
      </c>
      <c r="N306" s="385">
        <f t="shared" si="264"/>
        <v>-484</v>
      </c>
    </row>
    <row r="307" spans="1:18" x14ac:dyDescent="0.3">
      <c r="A307" s="383" t="s">
        <v>426</v>
      </c>
      <c r="B307" s="384">
        <f t="shared" ref="B307:N307" si="265">B206</f>
        <v>107.45658513410379</v>
      </c>
      <c r="C307" s="384">
        <f t="shared" si="265"/>
        <v>105.73560126551953</v>
      </c>
      <c r="D307" s="384">
        <f t="shared" si="265"/>
        <v>151.32286221096018</v>
      </c>
      <c r="E307" s="384">
        <f t="shared" si="265"/>
        <v>176.96096088893012</v>
      </c>
      <c r="F307" s="384">
        <f t="shared" si="265"/>
        <v>157.88250481952844</v>
      </c>
      <c r="G307" s="384">
        <f t="shared" si="265"/>
        <v>72.777114255238189</v>
      </c>
      <c r="H307" s="384">
        <f t="shared" si="265"/>
        <v>-34.077079016971233</v>
      </c>
      <c r="I307" s="384">
        <f t="shared" si="265"/>
        <v>-54.265054139728022</v>
      </c>
      <c r="J307" s="384">
        <f t="shared" si="265"/>
        <v>106.29454896090741</v>
      </c>
      <c r="K307" s="384">
        <f t="shared" si="265"/>
        <v>119.42666440835524</v>
      </c>
      <c r="L307" s="384">
        <f t="shared" si="265"/>
        <v>31.320630022374189</v>
      </c>
      <c r="M307" s="384">
        <f t="shared" si="265"/>
        <v>128.64055147318282</v>
      </c>
      <c r="N307" s="385">
        <f t="shared" si="265"/>
        <v>1069.4758902824008</v>
      </c>
    </row>
    <row r="308" spans="1:18" x14ac:dyDescent="0.3">
      <c r="A308" s="383" t="s">
        <v>182</v>
      </c>
      <c r="B308" s="384">
        <f t="shared" ref="B308:N308" si="266">B175</f>
        <v>-67.734713934301453</v>
      </c>
      <c r="C308" s="384">
        <f t="shared" si="266"/>
        <v>-136.59810400625676</v>
      </c>
      <c r="D308" s="384">
        <f t="shared" si="266"/>
        <v>-106.87028077062521</v>
      </c>
      <c r="E308" s="384">
        <f t="shared" si="266"/>
        <v>-47.120573765839055</v>
      </c>
      <c r="F308" s="384">
        <f t="shared" si="266"/>
        <v>-70.370517793427254</v>
      </c>
      <c r="G308" s="384">
        <f t="shared" si="266"/>
        <v>-71.974600624891949</v>
      </c>
      <c r="H308" s="384">
        <f t="shared" si="266"/>
        <v>-11.001751376680557</v>
      </c>
      <c r="I308" s="384">
        <f t="shared" si="266"/>
        <v>-7.4535706962784793</v>
      </c>
      <c r="J308" s="384">
        <f t="shared" si="266"/>
        <v>-49.424680182121804</v>
      </c>
      <c r="K308" s="384">
        <f t="shared" si="266"/>
        <v>-40.99932315198992</v>
      </c>
      <c r="L308" s="384">
        <f t="shared" si="266"/>
        <v>-42.471503218980303</v>
      </c>
      <c r="M308" s="384">
        <f t="shared" si="266"/>
        <v>45.11883909940903</v>
      </c>
      <c r="N308" s="385">
        <f t="shared" si="266"/>
        <v>-605.66</v>
      </c>
    </row>
    <row r="309" spans="1:18" x14ac:dyDescent="0.3">
      <c r="A309" s="383" t="s">
        <v>432</v>
      </c>
      <c r="B309" s="384">
        <f>B268+B299</f>
        <v>123.67408718677302</v>
      </c>
      <c r="C309" s="384">
        <f t="shared" ref="C309:N309" si="267">C268+C299</f>
        <v>208.34408718677298</v>
      </c>
      <c r="D309" s="384">
        <f t="shared" si="267"/>
        <v>172.90408718677293</v>
      </c>
      <c r="E309" s="384">
        <f t="shared" si="267"/>
        <v>24.360041546111656</v>
      </c>
      <c r="F309" s="384">
        <f t="shared" si="267"/>
        <v>669.833361030741</v>
      </c>
      <c r="G309" s="384">
        <f t="shared" si="267"/>
        <v>-390.60881013360284</v>
      </c>
      <c r="H309" s="384">
        <f t="shared" si="267"/>
        <v>99.197114892089942</v>
      </c>
      <c r="I309" s="384">
        <f t="shared" si="267"/>
        <v>263.12548490236702</v>
      </c>
      <c r="J309" s="384">
        <f t="shared" si="267"/>
        <v>-364.11881013360289</v>
      </c>
      <c r="K309" s="384">
        <f t="shared" si="267"/>
        <v>-383.94881013360282</v>
      </c>
      <c r="L309" s="384">
        <f t="shared" si="267"/>
        <v>-296.52962512846426</v>
      </c>
      <c r="M309" s="384">
        <f t="shared" si="267"/>
        <v>-126.23220840235432</v>
      </c>
      <c r="N309" s="384">
        <f t="shared" si="267"/>
        <v>-1.956609872981204</v>
      </c>
    </row>
    <row r="310" spans="1:18" x14ac:dyDescent="0.3">
      <c r="A310" s="383" t="s">
        <v>66</v>
      </c>
      <c r="B310" s="384">
        <f>B339</f>
        <v>-105.62146306377917</v>
      </c>
      <c r="C310" s="384">
        <f t="shared" ref="C310:M310" si="268">C339</f>
        <v>-105.21914066358104</v>
      </c>
      <c r="D310" s="384">
        <f t="shared" si="268"/>
        <v>-105.24280668712211</v>
      </c>
      <c r="E310" s="384">
        <f t="shared" si="268"/>
        <v>5.9165058852665906</v>
      </c>
      <c r="F310" s="384">
        <f t="shared" si="268"/>
        <v>-108.57971600641248</v>
      </c>
      <c r="G310" s="384">
        <f t="shared" si="268"/>
        <v>431.54993927134512</v>
      </c>
      <c r="H310" s="384">
        <f t="shared" si="268"/>
        <v>371.58023561828293</v>
      </c>
      <c r="I310" s="384">
        <f t="shared" si="268"/>
        <v>310.02490838796928</v>
      </c>
      <c r="J310" s="384">
        <f t="shared" si="268"/>
        <v>420.49790627766714</v>
      </c>
      <c r="K310" s="384">
        <f t="shared" si="268"/>
        <v>543.18257231455516</v>
      </c>
      <c r="L310" s="384">
        <f t="shared" si="268"/>
        <v>410.41618024917284</v>
      </c>
      <c r="M310" s="384">
        <f t="shared" si="268"/>
        <v>517.93092519623724</v>
      </c>
      <c r="N310" s="386">
        <f>SUM(B310:M310)</f>
        <v>2586.4360467796018</v>
      </c>
    </row>
    <row r="311" spans="1:18" x14ac:dyDescent="0.3">
      <c r="A311" s="383"/>
      <c r="B311" s="384"/>
      <c r="C311" s="384"/>
      <c r="D311" s="384"/>
      <c r="E311" s="384"/>
      <c r="F311" s="384"/>
      <c r="G311" s="384"/>
      <c r="H311" s="384"/>
      <c r="I311" s="384"/>
      <c r="J311" s="384"/>
      <c r="K311" s="384"/>
      <c r="L311" s="384"/>
      <c r="M311" s="384"/>
      <c r="N311" s="386"/>
    </row>
    <row r="312" spans="1:18" x14ac:dyDescent="0.3">
      <c r="A312" s="387" t="s">
        <v>183</v>
      </c>
      <c r="B312" s="388">
        <f>SUM(B306:B311)</f>
        <v>51.030098181796177</v>
      </c>
      <c r="C312" s="388">
        <f t="shared" ref="C312:M312" si="269">SUM(C306:C311)</f>
        <v>65.151769196454694</v>
      </c>
      <c r="D312" s="388">
        <f t="shared" si="269"/>
        <v>104.95633856498577</v>
      </c>
      <c r="E312" s="388">
        <f t="shared" si="269"/>
        <v>146.33267878546931</v>
      </c>
      <c r="F312" s="388">
        <f t="shared" si="269"/>
        <v>626.26574254042976</v>
      </c>
      <c r="G312" s="388">
        <f t="shared" si="269"/>
        <v>-17.1648906619115</v>
      </c>
      <c r="H312" s="388">
        <f t="shared" si="269"/>
        <v>368.17526533672105</v>
      </c>
      <c r="I312" s="388">
        <f t="shared" si="269"/>
        <v>454.2269604543298</v>
      </c>
      <c r="J312" s="388">
        <f t="shared" si="269"/>
        <v>44.763518882849837</v>
      </c>
      <c r="K312" s="388">
        <f t="shared" si="269"/>
        <v>174.44963665731768</v>
      </c>
      <c r="L312" s="388">
        <f t="shared" si="269"/>
        <v>40.788610594102465</v>
      </c>
      <c r="M312" s="388">
        <f t="shared" si="269"/>
        <v>505.3195986564748</v>
      </c>
      <c r="N312" s="389">
        <f>SUM(N306:N311)</f>
        <v>2564.2953271890215</v>
      </c>
    </row>
    <row r="313" spans="1:18" x14ac:dyDescent="0.3">
      <c r="A313" s="383"/>
      <c r="B313" s="384"/>
      <c r="C313" s="384"/>
      <c r="D313" s="384"/>
      <c r="E313" s="384"/>
      <c r="F313" s="384"/>
      <c r="G313" s="384"/>
      <c r="H313" s="384"/>
      <c r="I313" s="384"/>
      <c r="J313" s="384"/>
      <c r="K313" s="384"/>
      <c r="L313" s="384"/>
      <c r="M313" s="384"/>
      <c r="N313" s="385"/>
    </row>
    <row r="314" spans="1:18" x14ac:dyDescent="0.3">
      <c r="A314" s="390" t="s">
        <v>427</v>
      </c>
      <c r="B314" s="414">
        <v>195.488</v>
      </c>
      <c r="C314" s="414">
        <v>197.85</v>
      </c>
      <c r="D314" s="414">
        <v>217.62799999999999</v>
      </c>
      <c r="E314" s="414">
        <v>110.264</v>
      </c>
      <c r="F314" s="414">
        <v>728.17600000000004</v>
      </c>
      <c r="G314" s="414">
        <v>81.587000000000003</v>
      </c>
      <c r="H314" s="414">
        <v>444.988</v>
      </c>
      <c r="I314" s="414">
        <v>482.28399999999999</v>
      </c>
      <c r="J314" s="414">
        <v>16.420000000000002</v>
      </c>
      <c r="K314" s="414">
        <v>191.74700000000001</v>
      </c>
      <c r="L314" s="414">
        <v>-91.462000000000003</v>
      </c>
      <c r="M314" s="414">
        <v>-6.9269999999999996</v>
      </c>
      <c r="N314" s="515">
        <v>2568.0430000000001</v>
      </c>
      <c r="O314" s="364"/>
    </row>
    <row r="315" spans="1:18" x14ac:dyDescent="0.3">
      <c r="A315" s="383"/>
      <c r="B315" s="384"/>
      <c r="C315" s="384"/>
      <c r="D315" s="384"/>
      <c r="E315" s="384"/>
      <c r="F315" s="384"/>
      <c r="G315" s="384"/>
      <c r="H315" s="384"/>
      <c r="I315" s="384"/>
      <c r="J315" s="384"/>
      <c r="K315" s="384"/>
      <c r="L315" s="384"/>
      <c r="M315" s="384"/>
      <c r="N315" s="385"/>
    </row>
    <row r="316" spans="1:18" ht="15" thickBot="1" x14ac:dyDescent="0.35">
      <c r="A316" s="391" t="s">
        <v>433</v>
      </c>
      <c r="B316" s="392"/>
      <c r="C316" s="392"/>
      <c r="D316" s="392"/>
      <c r="E316" s="392"/>
      <c r="F316" s="392"/>
      <c r="G316" s="392"/>
      <c r="H316" s="392"/>
      <c r="I316" s="392"/>
      <c r="J316" s="392"/>
      <c r="K316" s="392"/>
      <c r="L316" s="392"/>
      <c r="M316" s="392"/>
      <c r="N316" s="393"/>
    </row>
    <row r="318" spans="1:18" s="379" customFormat="1" x14ac:dyDescent="0.3">
      <c r="O318" s="378"/>
    </row>
    <row r="320" spans="1:18" x14ac:dyDescent="0.3">
      <c r="A320" t="s">
        <v>204</v>
      </c>
      <c r="Q320" s="8"/>
      <c r="R320" s="8"/>
    </row>
    <row r="321" spans="1:18" x14ac:dyDescent="0.3">
      <c r="B321" s="8">
        <f t="shared" ref="B321:M321" si="270">B66-B35</f>
        <v>4463</v>
      </c>
      <c r="C321" s="8">
        <f t="shared" si="270"/>
        <v>4446</v>
      </c>
      <c r="D321" s="8">
        <f t="shared" si="270"/>
        <v>4447</v>
      </c>
      <c r="E321" s="8">
        <f t="shared" si="270"/>
        <v>-250</v>
      </c>
      <c r="F321" s="8">
        <f t="shared" si="270"/>
        <v>4588</v>
      </c>
      <c r="G321" s="8">
        <f t="shared" si="270"/>
        <v>-18235</v>
      </c>
      <c r="H321" s="8">
        <f t="shared" si="270"/>
        <v>-15701</v>
      </c>
      <c r="I321" s="8">
        <f t="shared" si="270"/>
        <v>-13100</v>
      </c>
      <c r="J321" s="8">
        <f t="shared" si="270"/>
        <v>-17768</v>
      </c>
      <c r="K321" s="8">
        <f t="shared" si="270"/>
        <v>-22952</v>
      </c>
      <c r="L321" s="8">
        <f t="shared" si="270"/>
        <v>-17342</v>
      </c>
      <c r="M321" s="8">
        <f t="shared" si="270"/>
        <v>-21885</v>
      </c>
      <c r="N321" s="8">
        <f>N66-N35</f>
        <v>-109311</v>
      </c>
      <c r="Q321" s="8"/>
      <c r="R321" s="8"/>
    </row>
    <row r="322" spans="1:18" ht="21" x14ac:dyDescent="0.4">
      <c r="A322" s="36" t="s">
        <v>205</v>
      </c>
      <c r="B322" s="1" t="s">
        <v>0</v>
      </c>
      <c r="C322" s="1" t="s">
        <v>1</v>
      </c>
      <c r="D322" s="1" t="s">
        <v>2</v>
      </c>
      <c r="E322" s="1" t="s">
        <v>3</v>
      </c>
      <c r="F322" s="1" t="s">
        <v>4</v>
      </c>
      <c r="G322" s="1" t="s">
        <v>5</v>
      </c>
      <c r="H322" s="1" t="s">
        <v>6</v>
      </c>
      <c r="I322" s="1" t="s">
        <v>7</v>
      </c>
      <c r="J322" s="1" t="s">
        <v>8</v>
      </c>
      <c r="K322" s="1" t="s">
        <v>9</v>
      </c>
      <c r="L322" s="1" t="s">
        <v>10</v>
      </c>
      <c r="M322" s="1" t="s">
        <v>11</v>
      </c>
      <c r="N322" s="1" t="s">
        <v>12</v>
      </c>
      <c r="Q322" s="1" t="s">
        <v>180</v>
      </c>
      <c r="R322" s="1" t="s">
        <v>94</v>
      </c>
    </row>
    <row r="323" spans="1:18" x14ac:dyDescent="0.3">
      <c r="A323" s="17" t="s">
        <v>80</v>
      </c>
      <c r="B323" s="12">
        <f>B$321*$O9/-1000</f>
        <v>-19.917773371634159</v>
      </c>
      <c r="C323" s="12">
        <f t="shared" ref="C323:M323" si="271">C$321*$O9/-1000</f>
        <v>-19.84190464044039</v>
      </c>
      <c r="D323" s="12">
        <f t="shared" si="271"/>
        <v>-19.846367506981199</v>
      </c>
      <c r="E323" s="12">
        <f t="shared" si="271"/>
        <v>1.115716635202451</v>
      </c>
      <c r="F323" s="12">
        <f t="shared" si="271"/>
        <v>-20.475631689235382</v>
      </c>
      <c r="G323" s="12">
        <f t="shared" si="271"/>
        <v>81.380371371666769</v>
      </c>
      <c r="H323" s="12">
        <f t="shared" si="271"/>
        <v>70.071467557254721</v>
      </c>
      <c r="I323" s="12">
        <f t="shared" si="271"/>
        <v>58.463551684608433</v>
      </c>
      <c r="J323" s="12">
        <f t="shared" si="271"/>
        <v>79.296212697108601</v>
      </c>
      <c r="K323" s="12">
        <f t="shared" si="271"/>
        <v>102.43171284466662</v>
      </c>
      <c r="L323" s="12">
        <f t="shared" si="271"/>
        <v>77.39503155072363</v>
      </c>
      <c r="M323" s="12">
        <f t="shared" si="271"/>
        <v>97.669834245622567</v>
      </c>
      <c r="N323" s="13">
        <f>SUM(B323:M323)</f>
        <v>487.74222137856265</v>
      </c>
      <c r="O323" s="103"/>
      <c r="Q323" s="13">
        <f t="shared" ref="Q323:Q339" si="272">SUMPRODUCT(B323:M323,B$2:M$2)</f>
        <v>-19.917773371634159</v>
      </c>
      <c r="R323" s="13">
        <f t="shared" ref="R323:R339" si="273">SUMIFS(B323:M323,$B$1:$M$1,$Y$3)</f>
        <v>487.74222137856265</v>
      </c>
    </row>
    <row r="324" spans="1:18" x14ac:dyDescent="0.3">
      <c r="A324" s="14" t="s">
        <v>81</v>
      </c>
      <c r="B324" s="12">
        <f>B$321*$O10/-1000</f>
        <v>-7.2046192632183077</v>
      </c>
      <c r="C324" s="12">
        <f t="shared" ref="C324:M324" si="274">C$321*$O10/-1000</f>
        <v>-7.1771761694529674</v>
      </c>
      <c r="D324" s="12">
        <f t="shared" si="274"/>
        <v>-7.1787904690862234</v>
      </c>
      <c r="E324" s="12">
        <f t="shared" si="274"/>
        <v>0.40357490831381959</v>
      </c>
      <c r="F324" s="12">
        <f t="shared" si="274"/>
        <v>-7.4064067173752175</v>
      </c>
      <c r="G324" s="12">
        <f t="shared" si="274"/>
        <v>29.43675381241</v>
      </c>
      <c r="H324" s="12">
        <f t="shared" si="274"/>
        <v>25.346118541741124</v>
      </c>
      <c r="I324" s="12">
        <f t="shared" si="274"/>
        <v>21.147325195644147</v>
      </c>
      <c r="J324" s="12">
        <f t="shared" si="274"/>
        <v>28.682875883679785</v>
      </c>
      <c r="K324" s="12">
        <f t="shared" si="274"/>
        <v>37.05140518247515</v>
      </c>
      <c r="L324" s="12">
        <f t="shared" si="274"/>
        <v>27.995184239913037</v>
      </c>
      <c r="M324" s="12">
        <f t="shared" si="274"/>
        <v>35.328947473791771</v>
      </c>
      <c r="N324" s="13">
        <f t="shared" ref="N324:N333" si="275">SUM(B324:M324)</f>
        <v>176.42519261883612</v>
      </c>
      <c r="O324" s="103"/>
      <c r="Q324" s="13">
        <f t="shared" si="272"/>
        <v>-7.2046192632183077</v>
      </c>
      <c r="R324" s="13">
        <f t="shared" si="273"/>
        <v>176.42519261883612</v>
      </c>
    </row>
    <row r="325" spans="1:18" x14ac:dyDescent="0.3">
      <c r="A325" s="14" t="s">
        <v>82</v>
      </c>
      <c r="B325" s="12">
        <f>B$321*$O11/-1000</f>
        <v>-13.909599828565748</v>
      </c>
      <c r="C325" s="12">
        <f t="shared" ref="C325:M325" si="276">C$321*$O11/-1000</f>
        <v>-13.856616813310175</v>
      </c>
      <c r="D325" s="12">
        <f t="shared" si="276"/>
        <v>-13.859733461266385</v>
      </c>
      <c r="E325" s="12">
        <f t="shared" si="276"/>
        <v>0.77916198905252898</v>
      </c>
      <c r="F325" s="12">
        <f t="shared" si="276"/>
        <v>-14.299180823092012</v>
      </c>
      <c r="G325" s="12">
        <f t="shared" si="276"/>
        <v>56.832075481491465</v>
      </c>
      <c r="H325" s="12">
        <f t="shared" si="276"/>
        <v>48.934489560455035</v>
      </c>
      <c r="I325" s="12">
        <f t="shared" si="276"/>
        <v>40.82808822635252</v>
      </c>
      <c r="J325" s="12">
        <f t="shared" si="276"/>
        <v>55.376600885941343</v>
      </c>
      <c r="K325" s="12">
        <f t="shared" si="276"/>
        <v>71.533303890934576</v>
      </c>
      <c r="L325" s="12">
        <f t="shared" si="276"/>
        <v>54.04890885659583</v>
      </c>
      <c r="M325" s="12">
        <f t="shared" si="276"/>
        <v>68.207840521658397</v>
      </c>
      <c r="N325" s="13">
        <f t="shared" si="275"/>
        <v>340.61533848624737</v>
      </c>
      <c r="O325" s="103"/>
      <c r="Q325" s="13">
        <f t="shared" si="272"/>
        <v>-13.909599828565748</v>
      </c>
      <c r="R325" s="13">
        <f t="shared" si="273"/>
        <v>340.61533848624737</v>
      </c>
    </row>
    <row r="326" spans="1:18" x14ac:dyDescent="0.3">
      <c r="A326" s="14" t="s">
        <v>83</v>
      </c>
      <c r="B326" s="12">
        <f>B$321*$O12/-1000</f>
        <v>-0.88490785409106465</v>
      </c>
      <c r="C326" s="12">
        <f t="shared" ref="C326:M326" si="277">C$321*$O12/-1000</f>
        <v>-0.88153715422112344</v>
      </c>
      <c r="D326" s="12">
        <f t="shared" si="277"/>
        <v>-0.88173543068406102</v>
      </c>
      <c r="E326" s="12">
        <f t="shared" si="277"/>
        <v>4.9569115734431138E-2</v>
      </c>
      <c r="F326" s="12">
        <f t="shared" si="277"/>
        <v>-0.90969241195828021</v>
      </c>
      <c r="G326" s="12">
        <f t="shared" si="277"/>
        <v>3.6155713016694073</v>
      </c>
      <c r="H326" s="12">
        <f t="shared" si="277"/>
        <v>3.1131387445852132</v>
      </c>
      <c r="I326" s="12">
        <f t="shared" si="277"/>
        <v>2.5974216644841919</v>
      </c>
      <c r="J326" s="12">
        <f t="shared" si="277"/>
        <v>3.5229761934774895</v>
      </c>
      <c r="K326" s="12">
        <f t="shared" si="277"/>
        <v>4.5508413773466536</v>
      </c>
      <c r="L326" s="12">
        <f t="shared" si="277"/>
        <v>3.4385104202660193</v>
      </c>
      <c r="M326" s="12">
        <f t="shared" si="277"/>
        <v>4.3392803913921014</v>
      </c>
      <c r="N326" s="13">
        <f t="shared" si="275"/>
        <v>21.669436358000979</v>
      </c>
      <c r="O326" s="103"/>
      <c r="Q326" s="13">
        <f t="shared" si="272"/>
        <v>-0.88490785409106465</v>
      </c>
      <c r="R326" s="13">
        <f t="shared" si="273"/>
        <v>21.669436358000979</v>
      </c>
    </row>
    <row r="327" spans="1:18" x14ac:dyDescent="0.3">
      <c r="A327" s="14" t="s">
        <v>84</v>
      </c>
      <c r="B327" s="12">
        <f>B$321*$O13/-1000</f>
        <v>-3.1047311739538572</v>
      </c>
      <c r="C327" s="12">
        <f t="shared" ref="C327:M327" si="278">C$321*$O13/-1000</f>
        <v>-3.0929049516914291</v>
      </c>
      <c r="D327" s="12">
        <f t="shared" si="278"/>
        <v>-3.0936006118245132</v>
      </c>
      <c r="E327" s="12">
        <f t="shared" si="278"/>
        <v>0.17391503327099805</v>
      </c>
      <c r="F327" s="12">
        <f t="shared" si="278"/>
        <v>-3.191688690589356</v>
      </c>
      <c r="G327" s="12">
        <f t="shared" si="278"/>
        <v>12.685362526786598</v>
      </c>
      <c r="H327" s="12">
        <f t="shared" si="278"/>
        <v>10.922559749551761</v>
      </c>
      <c r="I327" s="12">
        <f t="shared" si="278"/>
        <v>9.1131477434002974</v>
      </c>
      <c r="J327" s="12">
        <f t="shared" si="278"/>
        <v>12.360489244636375</v>
      </c>
      <c r="K327" s="12">
        <f t="shared" si="278"/>
        <v>15.966791374543789</v>
      </c>
      <c r="L327" s="12">
        <f t="shared" si="278"/>
        <v>12.064138027942594</v>
      </c>
      <c r="M327" s="12">
        <f t="shared" si="278"/>
        <v>15.22452201254317</v>
      </c>
      <c r="N327" s="13">
        <f t="shared" si="275"/>
        <v>76.028000284616439</v>
      </c>
      <c r="O327" s="103"/>
      <c r="Q327" s="13">
        <f t="shared" si="272"/>
        <v>-3.1047311739538572</v>
      </c>
      <c r="R327" s="13">
        <f t="shared" si="273"/>
        <v>76.028000284616439</v>
      </c>
    </row>
    <row r="328" spans="1:18" x14ac:dyDescent="0.3">
      <c r="A328" s="14" t="s">
        <v>85</v>
      </c>
      <c r="B328" s="12">
        <f>B$321*$O24/-1000</f>
        <v>0</v>
      </c>
      <c r="C328" s="12">
        <f t="shared" ref="C328:M328" si="279">C$321*$O24/-1000</f>
        <v>0</v>
      </c>
      <c r="D328" s="12">
        <f t="shared" si="279"/>
        <v>0</v>
      </c>
      <c r="E328" s="12">
        <f t="shared" si="279"/>
        <v>0</v>
      </c>
      <c r="F328" s="12">
        <f t="shared" si="279"/>
        <v>0</v>
      </c>
      <c r="G328" s="12">
        <f t="shared" si="279"/>
        <v>0</v>
      </c>
      <c r="H328" s="12">
        <f t="shared" si="279"/>
        <v>0</v>
      </c>
      <c r="I328" s="12">
        <f t="shared" si="279"/>
        <v>0</v>
      </c>
      <c r="J328" s="12">
        <f t="shared" si="279"/>
        <v>0</v>
      </c>
      <c r="K328" s="12">
        <f t="shared" si="279"/>
        <v>0</v>
      </c>
      <c r="L328" s="12">
        <f t="shared" si="279"/>
        <v>0</v>
      </c>
      <c r="M328" s="12">
        <f t="shared" si="279"/>
        <v>0</v>
      </c>
      <c r="N328" s="13">
        <f t="shared" si="275"/>
        <v>0</v>
      </c>
      <c r="O328" s="103"/>
      <c r="Q328" s="13">
        <f t="shared" si="272"/>
        <v>0</v>
      </c>
      <c r="R328" s="13">
        <f t="shared" si="273"/>
        <v>0</v>
      </c>
    </row>
    <row r="329" spans="1:18" x14ac:dyDescent="0.3">
      <c r="A329" s="14" t="s">
        <v>86</v>
      </c>
      <c r="B329" s="12">
        <f>B$321*$O14/-1000</f>
        <v>-12.155521574153038</v>
      </c>
      <c r="C329" s="12">
        <f t="shared" ref="C329:M329" si="280">C$321*$O14/-1000</f>
        <v>-12.109220013149093</v>
      </c>
      <c r="D329" s="12">
        <f t="shared" si="280"/>
        <v>-12.111943634384621</v>
      </c>
      <c r="E329" s="12">
        <f t="shared" si="280"/>
        <v>0.680905308881528</v>
      </c>
      <c r="F329" s="12">
        <f t="shared" si="280"/>
        <v>-12.495974228593802</v>
      </c>
      <c r="G329" s="12">
        <f t="shared" si="280"/>
        <v>49.665233229818654</v>
      </c>
      <c r="H329" s="12">
        <f t="shared" si="280"/>
        <v>42.763577018995484</v>
      </c>
      <c r="I329" s="12">
        <f t="shared" si="280"/>
        <v>35.679438185392065</v>
      </c>
      <c r="J329" s="12">
        <f t="shared" si="280"/>
        <v>48.393302112827961</v>
      </c>
      <c r="K329" s="12">
        <f t="shared" si="280"/>
        <v>62.512554597795322</v>
      </c>
      <c r="L329" s="12">
        <f t="shared" si="280"/>
        <v>47.233039466493835</v>
      </c>
      <c r="M329" s="12">
        <f t="shared" si="280"/>
        <v>59.606450739488956</v>
      </c>
      <c r="N329" s="13">
        <f t="shared" si="275"/>
        <v>297.66184120941324</v>
      </c>
      <c r="O329" s="103"/>
      <c r="Q329" s="13">
        <f t="shared" si="272"/>
        <v>-12.155521574153038</v>
      </c>
      <c r="R329" s="13">
        <f t="shared" si="273"/>
        <v>297.66184120941324</v>
      </c>
    </row>
    <row r="330" spans="1:18" ht="15" thickBot="1" x14ac:dyDescent="0.35">
      <c r="A330" s="15" t="s">
        <v>87</v>
      </c>
      <c r="B330" s="16">
        <f>SUM(B323:B329)</f>
        <v>-57.177153065616167</v>
      </c>
      <c r="C330" s="16">
        <f t="shared" ref="C330:N330" si="281">SUM(C323:C329)</f>
        <v>-56.959359742265178</v>
      </c>
      <c r="D330" s="16">
        <f t="shared" si="281"/>
        <v>-56.972171114227002</v>
      </c>
      <c r="E330" s="16">
        <f t="shared" si="281"/>
        <v>3.2028429904557569</v>
      </c>
      <c r="F330" s="16">
        <f t="shared" si="281"/>
        <v>-58.778574560844049</v>
      </c>
      <c r="G330" s="16">
        <f t="shared" si="281"/>
        <v>233.61536772384289</v>
      </c>
      <c r="H330" s="16">
        <f t="shared" si="281"/>
        <v>201.1513511725833</v>
      </c>
      <c r="I330" s="16">
        <f t="shared" si="281"/>
        <v>167.82897269988163</v>
      </c>
      <c r="J330" s="16">
        <f t="shared" si="281"/>
        <v>227.63245701767156</v>
      </c>
      <c r="K330" s="16">
        <f t="shared" si="281"/>
        <v>294.04660926776211</v>
      </c>
      <c r="L330" s="16">
        <f t="shared" si="281"/>
        <v>222.17481256193494</v>
      </c>
      <c r="M330" s="16">
        <f t="shared" si="281"/>
        <v>280.37687538449694</v>
      </c>
      <c r="N330" s="16">
        <f t="shared" si="281"/>
        <v>1400.1420303356767</v>
      </c>
      <c r="O330" s="103"/>
      <c r="Q330" s="16">
        <f t="shared" si="272"/>
        <v>-57.177153065616167</v>
      </c>
      <c r="R330" s="16">
        <f t="shared" si="273"/>
        <v>1400.1420303356767</v>
      </c>
    </row>
    <row r="331" spans="1:18" x14ac:dyDescent="0.3">
      <c r="A331" s="342" t="s">
        <v>89</v>
      </c>
      <c r="B331" s="568">
        <f>+B321*$O$17/-1000</f>
        <v>-0.79799706272031745</v>
      </c>
      <c r="C331" s="568">
        <f t="shared" ref="C331:M331" si="282">+C321*$O$17/-1000</f>
        <v>-0.79495741448678725</v>
      </c>
      <c r="D331" s="568">
        <f t="shared" si="282"/>
        <v>-0.79513621732405371</v>
      </c>
      <c r="E331" s="568">
        <f t="shared" si="282"/>
        <v>4.4700709316620964E-2</v>
      </c>
      <c r="F331" s="568">
        <f t="shared" si="282"/>
        <v>-0.82034741737862793</v>
      </c>
      <c r="G331" s="568">
        <f t="shared" si="282"/>
        <v>3.2604697375543332</v>
      </c>
      <c r="H331" s="568">
        <f t="shared" si="282"/>
        <v>2.8073833479210628</v>
      </c>
      <c r="I331" s="568">
        <f t="shared" si="282"/>
        <v>2.3423171681909385</v>
      </c>
      <c r="J331" s="568">
        <f t="shared" si="282"/>
        <v>3.1769688125508853</v>
      </c>
      <c r="K331" s="568">
        <f t="shared" si="282"/>
        <v>4.1038827209403372</v>
      </c>
      <c r="L331" s="568">
        <f t="shared" si="282"/>
        <v>3.1007988038753629</v>
      </c>
      <c r="M331" s="568">
        <f t="shared" si="282"/>
        <v>3.9131000935769995</v>
      </c>
      <c r="N331" s="568">
        <f t="shared" si="275"/>
        <v>19.541183282016757</v>
      </c>
      <c r="O331" s="103"/>
      <c r="Q331" s="103">
        <f t="shared" si="272"/>
        <v>-0.79799706272031745</v>
      </c>
      <c r="R331" s="103">
        <f t="shared" si="273"/>
        <v>19.541183282016757</v>
      </c>
    </row>
    <row r="332" spans="1:18" x14ac:dyDescent="0.3">
      <c r="A332" s="345" t="s">
        <v>90</v>
      </c>
      <c r="B332" s="568">
        <f>+B331+B330</f>
        <v>-57.975150128336487</v>
      </c>
      <c r="C332" s="568">
        <f t="shared" ref="C332:N332" si="283">+C331+C330</f>
        <v>-57.754317156751966</v>
      </c>
      <c r="D332" s="568">
        <f t="shared" si="283"/>
        <v>-57.767307331551059</v>
      </c>
      <c r="E332" s="568">
        <f t="shared" si="283"/>
        <v>3.2475436997723781</v>
      </c>
      <c r="F332" s="568">
        <f t="shared" si="283"/>
        <v>-59.598921978222677</v>
      </c>
      <c r="G332" s="568">
        <f t="shared" si="283"/>
        <v>236.87583746139723</v>
      </c>
      <c r="H332" s="568">
        <f t="shared" si="283"/>
        <v>203.95873452050438</v>
      </c>
      <c r="I332" s="568">
        <f t="shared" si="283"/>
        <v>170.17128986807256</v>
      </c>
      <c r="J332" s="568">
        <f t="shared" si="283"/>
        <v>230.80942583022244</v>
      </c>
      <c r="K332" s="568">
        <f t="shared" si="283"/>
        <v>298.15049198870247</v>
      </c>
      <c r="L332" s="568">
        <f t="shared" si="283"/>
        <v>225.27561136581031</v>
      </c>
      <c r="M332" s="568">
        <f t="shared" si="283"/>
        <v>284.28997547807393</v>
      </c>
      <c r="N332" s="568">
        <f t="shared" si="283"/>
        <v>1419.6832136176936</v>
      </c>
      <c r="O332" s="103"/>
      <c r="Q332" s="103">
        <f t="shared" si="272"/>
        <v>-57.975150128336487</v>
      </c>
      <c r="R332" s="103">
        <f t="shared" si="273"/>
        <v>1419.6832136176936</v>
      </c>
    </row>
    <row r="333" spans="1:18" x14ac:dyDescent="0.3">
      <c r="A333" s="342" t="s">
        <v>91</v>
      </c>
      <c r="B333" s="568">
        <f>+B321*$O$19/-1000</f>
        <v>-33.412004211426613</v>
      </c>
      <c r="C333" s="568">
        <f t="shared" ref="C333:M333" si="284">+C321*$O$19/-1000</f>
        <v>-33.28473464575459</v>
      </c>
      <c r="D333" s="568">
        <f t="shared" si="284"/>
        <v>-33.292221090794122</v>
      </c>
      <c r="E333" s="568">
        <f t="shared" si="284"/>
        <v>1.8716112598827366</v>
      </c>
      <c r="F333" s="568">
        <f t="shared" si="284"/>
        <v>-34.347809841367983</v>
      </c>
      <c r="G333" s="568">
        <f t="shared" si="284"/>
        <v>136.51532529584679</v>
      </c>
      <c r="H333" s="568">
        <f t="shared" si="284"/>
        <v>117.54467356567538</v>
      </c>
      <c r="I333" s="568">
        <f t="shared" si="284"/>
        <v>98.072430017855396</v>
      </c>
      <c r="J333" s="568">
        <f t="shared" si="284"/>
        <v>133.01915546238587</v>
      </c>
      <c r="K333" s="568">
        <f t="shared" si="284"/>
        <v>171.82888654731428</v>
      </c>
      <c r="L333" s="568">
        <f t="shared" si="284"/>
        <v>129.82992987554567</v>
      </c>
      <c r="M333" s="568">
        <f t="shared" si="284"/>
        <v>163.84084969013475</v>
      </c>
      <c r="N333" s="568">
        <f t="shared" si="275"/>
        <v>818.18609192529755</v>
      </c>
      <c r="O333" s="103"/>
      <c r="Q333" s="103">
        <f t="shared" si="272"/>
        <v>-33.412004211426613</v>
      </c>
      <c r="R333" s="103">
        <f t="shared" si="273"/>
        <v>818.18609192529755</v>
      </c>
    </row>
    <row r="334" spans="1:18" x14ac:dyDescent="0.3">
      <c r="A334" s="345" t="s">
        <v>92</v>
      </c>
      <c r="B334" s="568">
        <f>+B333+B332</f>
        <v>-91.3871543397631</v>
      </c>
      <c r="C334" s="568">
        <f t="shared" ref="C334:N334" si="285">+C333+C332</f>
        <v>-91.039051802506549</v>
      </c>
      <c r="D334" s="568">
        <f t="shared" si="285"/>
        <v>-91.059528422345181</v>
      </c>
      <c r="E334" s="568">
        <f t="shared" si="285"/>
        <v>5.1191549596551145</v>
      </c>
      <c r="F334" s="568">
        <f t="shared" si="285"/>
        <v>-93.946731819590667</v>
      </c>
      <c r="G334" s="568">
        <f t="shared" si="285"/>
        <v>373.39116275724405</v>
      </c>
      <c r="H334" s="568">
        <f t="shared" si="285"/>
        <v>321.50340808617977</v>
      </c>
      <c r="I334" s="568">
        <f t="shared" si="285"/>
        <v>268.24371988592793</v>
      </c>
      <c r="J334" s="568">
        <f t="shared" si="285"/>
        <v>363.82858129260831</v>
      </c>
      <c r="K334" s="568">
        <f t="shared" si="285"/>
        <v>469.97937853601672</v>
      </c>
      <c r="L334" s="568">
        <f t="shared" si="285"/>
        <v>355.10554124135598</v>
      </c>
      <c r="M334" s="568">
        <f t="shared" si="285"/>
        <v>448.13082516820867</v>
      </c>
      <c r="N334" s="568">
        <f t="shared" si="285"/>
        <v>2237.8693055429912</v>
      </c>
      <c r="O334" s="103"/>
      <c r="Q334" s="103">
        <f t="shared" si="272"/>
        <v>-91.3871543397631</v>
      </c>
      <c r="R334" s="103">
        <f t="shared" si="273"/>
        <v>2237.8693055429908</v>
      </c>
    </row>
    <row r="335" spans="1:18" x14ac:dyDescent="0.3">
      <c r="A335" s="342" t="s">
        <v>148</v>
      </c>
      <c r="B335" s="568">
        <f>+B321*$O$27/-1000</f>
        <v>-7.7164361993204906</v>
      </c>
      <c r="C335" s="568">
        <f t="shared" ref="C335:M335" si="286">+C321*$O$27/-1000</f>
        <v>-7.6870435451890877</v>
      </c>
      <c r="D335" s="568">
        <f t="shared" si="286"/>
        <v>-7.6887725248438761</v>
      </c>
      <c r="E335" s="568">
        <f t="shared" si="286"/>
        <v>0.43224491369709223</v>
      </c>
      <c r="F335" s="568">
        <f t="shared" si="286"/>
        <v>-7.9325586561690358</v>
      </c>
      <c r="G335" s="568">
        <f t="shared" si="286"/>
        <v>31.527944005065908</v>
      </c>
      <c r="H335" s="568">
        <f t="shared" si="286"/>
        <v>27.146709559832178</v>
      </c>
      <c r="I335" s="568">
        <f t="shared" si="286"/>
        <v>22.649633477727633</v>
      </c>
      <c r="J335" s="568">
        <f t="shared" si="286"/>
        <v>30.720510506279737</v>
      </c>
      <c r="K335" s="568">
        <f t="shared" si="286"/>
        <v>39.683541036702643</v>
      </c>
      <c r="L335" s="568">
        <f t="shared" si="286"/>
        <v>29.983965173339893</v>
      </c>
      <c r="M335" s="568">
        <f t="shared" si="286"/>
        <v>37.838719745043456</v>
      </c>
      <c r="N335" s="568">
        <f>SUM(B335:M335)</f>
        <v>188.95845749216605</v>
      </c>
      <c r="O335" s="103"/>
      <c r="Q335" s="103">
        <f t="shared" si="272"/>
        <v>-7.7164361993204906</v>
      </c>
      <c r="R335" s="103">
        <f t="shared" si="273"/>
        <v>188.95845749216605</v>
      </c>
    </row>
    <row r="336" spans="1:18" x14ac:dyDescent="0.3">
      <c r="A336" s="342" t="s">
        <v>149</v>
      </c>
      <c r="B336" s="568">
        <f>+B321*$O$28/-1000</f>
        <v>-6.5178725246955791</v>
      </c>
      <c r="C336" s="568">
        <f t="shared" ref="C336:M336" si="287">+C321*$O$28/-1000</f>
        <v>-6.4930453158854018</v>
      </c>
      <c r="D336" s="568">
        <f t="shared" si="287"/>
        <v>-6.494505739933059</v>
      </c>
      <c r="E336" s="568">
        <f t="shared" si="287"/>
        <v>0.36510601191438374</v>
      </c>
      <c r="F336" s="568">
        <f t="shared" si="287"/>
        <v>-6.7004255306527716</v>
      </c>
      <c r="G336" s="568">
        <f t="shared" si="287"/>
        <v>26.630832509035155</v>
      </c>
      <c r="H336" s="568">
        <f t="shared" si="287"/>
        <v>22.93011797227096</v>
      </c>
      <c r="I336" s="568">
        <f t="shared" si="287"/>
        <v>19.131555024313712</v>
      </c>
      <c r="J336" s="568">
        <f t="shared" si="287"/>
        <v>25.948814478779084</v>
      </c>
      <c r="K336" s="568">
        <f t="shared" si="287"/>
        <v>33.519652741835749</v>
      </c>
      <c r="L336" s="568">
        <f t="shared" si="287"/>
        <v>25.326673834476978</v>
      </c>
      <c r="M336" s="568">
        <f t="shared" si="287"/>
        <v>31.961380282985161</v>
      </c>
      <c r="N336" s="568">
        <f>SUM(B336:M336)</f>
        <v>159.60828374444438</v>
      </c>
      <c r="O336" s="103"/>
      <c r="Q336" s="103">
        <f t="shared" si="272"/>
        <v>-6.5178725246955791</v>
      </c>
      <c r="R336" s="103">
        <f t="shared" si="273"/>
        <v>159.60828374444438</v>
      </c>
    </row>
    <row r="337" spans="1:18" x14ac:dyDescent="0.3">
      <c r="A337" s="14" t="s">
        <v>93</v>
      </c>
      <c r="B337" s="12">
        <f t="shared" ref="B337:M337" si="288">B$321*$O29/-1000</f>
        <v>-14.234308724016071</v>
      </c>
      <c r="C337" s="12">
        <f t="shared" si="288"/>
        <v>-14.180088861074491</v>
      </c>
      <c r="D337" s="12">
        <f t="shared" si="288"/>
        <v>-14.183278264776938</v>
      </c>
      <c r="E337" s="12">
        <f t="shared" si="288"/>
        <v>0.79735092561147614</v>
      </c>
      <c r="F337" s="12">
        <f t="shared" si="288"/>
        <v>-14.63298418682181</v>
      </c>
      <c r="G337" s="12">
        <f t="shared" si="288"/>
        <v>58.158776514101071</v>
      </c>
      <c r="H337" s="12">
        <f t="shared" si="288"/>
        <v>50.076827532103145</v>
      </c>
      <c r="I337" s="12">
        <f t="shared" si="288"/>
        <v>41.781188502041346</v>
      </c>
      <c r="J337" s="12">
        <f t="shared" si="288"/>
        <v>56.669324985058836</v>
      </c>
      <c r="K337" s="12">
        <f t="shared" si="288"/>
        <v>73.203193778538406</v>
      </c>
      <c r="L337" s="12">
        <f t="shared" si="288"/>
        <v>55.310639007816874</v>
      </c>
      <c r="M337" s="12">
        <f t="shared" si="288"/>
        <v>69.800100028028623</v>
      </c>
      <c r="N337" s="13">
        <f t="shared" ref="N337" si="289">SUM(B337:M337)</f>
        <v>348.56674123661048</v>
      </c>
      <c r="O337" s="103"/>
      <c r="Q337" s="13">
        <f t="shared" si="272"/>
        <v>-14.234308724016071</v>
      </c>
      <c r="R337" s="13">
        <f t="shared" si="273"/>
        <v>348.56674123661048</v>
      </c>
    </row>
    <row r="338" spans="1:18" x14ac:dyDescent="0.3">
      <c r="A338" s="33"/>
      <c r="O338" s="103"/>
      <c r="Q338">
        <f t="shared" si="272"/>
        <v>0</v>
      </c>
      <c r="R338">
        <f t="shared" si="273"/>
        <v>0</v>
      </c>
    </row>
    <row r="339" spans="1:18" ht="15" thickBot="1" x14ac:dyDescent="0.35">
      <c r="A339" s="19" t="s">
        <v>176</v>
      </c>
      <c r="B339" s="569">
        <f>+B334+B337</f>
        <v>-105.62146306377917</v>
      </c>
      <c r="C339" s="569">
        <f t="shared" ref="C339:M339" si="290">+C334+C337</f>
        <v>-105.21914066358104</v>
      </c>
      <c r="D339" s="569">
        <f t="shared" si="290"/>
        <v>-105.24280668712211</v>
      </c>
      <c r="E339" s="569">
        <f t="shared" si="290"/>
        <v>5.9165058852665906</v>
      </c>
      <c r="F339" s="569">
        <f t="shared" si="290"/>
        <v>-108.57971600641248</v>
      </c>
      <c r="G339" s="569">
        <f t="shared" si="290"/>
        <v>431.54993927134512</v>
      </c>
      <c r="H339" s="569">
        <f t="shared" si="290"/>
        <v>371.58023561828293</v>
      </c>
      <c r="I339" s="569">
        <f t="shared" si="290"/>
        <v>310.02490838796928</v>
      </c>
      <c r="J339" s="569">
        <f t="shared" si="290"/>
        <v>420.49790627766714</v>
      </c>
      <c r="K339" s="569">
        <f t="shared" si="290"/>
        <v>543.18257231455516</v>
      </c>
      <c r="L339" s="569">
        <f t="shared" si="290"/>
        <v>410.41618024917284</v>
      </c>
      <c r="M339" s="569">
        <f t="shared" si="290"/>
        <v>517.93092519623724</v>
      </c>
      <c r="N339" s="569">
        <f>SUM(B339:M339)</f>
        <v>2586.4360467796018</v>
      </c>
      <c r="O339" s="103"/>
      <c r="Q339" s="49">
        <f t="shared" si="272"/>
        <v>-105.62146306377917</v>
      </c>
      <c r="R339" s="49">
        <f t="shared" si="273"/>
        <v>2586.4360467796018</v>
      </c>
    </row>
    <row r="340" spans="1:18" x14ac:dyDescent="0.3">
      <c r="O340" s="103"/>
    </row>
    <row r="341" spans="1:18" x14ac:dyDescent="0.3">
      <c r="O341" s="103"/>
    </row>
    <row r="342" spans="1:18" x14ac:dyDescent="0.3">
      <c r="O342" s="103"/>
    </row>
  </sheetData>
  <autoFilter ref="A1:AB339" xr:uid="{D8D8E467-4E96-44D1-898E-0E7ADB100D85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FA850D-70F0-4385-8A79-8CD032E7E49B}">
          <x14:formula1>
            <xm:f>List!$C$2:$C$13</xm:f>
          </x14:formula1>
          <xm:sqref>W3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F2B3-5561-468E-848F-001985DF7C08}">
  <sheetPr>
    <tabColor rgb="FF0070C0"/>
  </sheetPr>
  <dimension ref="A1:AD70"/>
  <sheetViews>
    <sheetView showGridLines="0" zoomScale="70" zoomScaleNormal="70" workbookViewId="0">
      <pane xSplit="1" ySplit="6" topLeftCell="B7" activePane="bottomRight" state="frozen"/>
      <selection activeCell="S38" sqref="S37:AA38"/>
      <selection pane="topRight" activeCell="S38" sqref="S37:AA38"/>
      <selection pane="bottomLeft" activeCell="S38" sqref="S37:AA38"/>
      <selection pane="bottomRight" activeCell="S38" sqref="S37:AA38"/>
    </sheetView>
  </sheetViews>
  <sheetFormatPr defaultRowHeight="14.4" outlineLevelCol="1" x14ac:dyDescent="0.3"/>
  <cols>
    <col min="1" max="1" width="37.33203125" customWidth="1"/>
    <col min="2" max="2" width="10.5546875" customWidth="1"/>
    <col min="3" max="3" width="8.5546875" customWidth="1"/>
    <col min="4" max="4" width="6.77734375" bestFit="1" customWidth="1"/>
    <col min="5" max="5" width="11.44140625" customWidth="1"/>
    <col min="6" max="6" width="9.44140625" hidden="1" customWidth="1" outlineLevel="1"/>
    <col min="7" max="7" width="10.88671875" hidden="1" customWidth="1" outlineLevel="1"/>
    <col min="8" max="8" width="9.5546875" hidden="1" customWidth="1" outlineLevel="1"/>
    <col min="9" max="9" width="11.5546875" customWidth="1" collapsed="1"/>
    <col min="10" max="14" width="11.21875" customWidth="1" outlineLevel="1"/>
    <col min="15" max="15" width="12.44140625" customWidth="1" outlineLevel="1"/>
    <col min="16" max="16" width="10.21875" customWidth="1"/>
    <col min="17" max="17" width="9.44140625" customWidth="1"/>
    <col min="18" max="18" width="7.77734375" style="50" bestFit="1" customWidth="1"/>
    <col min="19" max="19" width="3.33203125" style="50" customWidth="1"/>
    <col min="20" max="20" width="5.21875" style="601" customWidth="1"/>
    <col min="21" max="21" width="1.44140625" style="50" customWidth="1"/>
    <col min="22" max="22" width="5.5546875" customWidth="1"/>
    <col min="27" max="27" width="9.77734375" bestFit="1" customWidth="1"/>
    <col min="28" max="28" width="18.6640625" customWidth="1"/>
  </cols>
  <sheetData>
    <row r="1" spans="1:30" x14ac:dyDescent="0.3">
      <c r="A1" s="51"/>
      <c r="B1" s="51"/>
      <c r="C1" s="51"/>
      <c r="D1" s="52"/>
      <c r="E1" s="51"/>
      <c r="F1" s="53"/>
      <c r="G1" s="53"/>
      <c r="H1" s="53"/>
      <c r="I1" s="53"/>
      <c r="J1" s="51"/>
      <c r="K1" s="190"/>
      <c r="L1" s="51"/>
      <c r="M1" s="51"/>
      <c r="N1" s="51"/>
      <c r="O1" s="51"/>
      <c r="P1" s="53"/>
      <c r="Q1" s="190"/>
      <c r="R1" s="51"/>
      <c r="S1" s="51"/>
      <c r="T1" s="194"/>
      <c r="U1" s="51"/>
    </row>
    <row r="2" spans="1:30" ht="14.55" customHeight="1" x14ac:dyDescent="0.3">
      <c r="A2" s="742" t="s">
        <v>440</v>
      </c>
      <c r="B2" s="751" t="s">
        <v>59</v>
      </c>
      <c r="C2" s="752"/>
      <c r="D2" s="755"/>
      <c r="E2" s="742" t="s">
        <v>60</v>
      </c>
      <c r="F2" s="787" t="s">
        <v>61</v>
      </c>
      <c r="G2" s="785" t="s">
        <v>62</v>
      </c>
      <c r="H2" s="783" t="s">
        <v>63</v>
      </c>
      <c r="I2" s="742" t="s">
        <v>64</v>
      </c>
      <c r="J2" s="779" t="s">
        <v>370</v>
      </c>
      <c r="K2" s="779" t="s">
        <v>45</v>
      </c>
      <c r="L2" s="779" t="s">
        <v>47</v>
      </c>
      <c r="M2" s="779" t="s">
        <v>49</v>
      </c>
      <c r="N2" s="779" t="s">
        <v>51</v>
      </c>
      <c r="O2" s="779" t="s">
        <v>55</v>
      </c>
      <c r="P2" s="781" t="s">
        <v>65</v>
      </c>
      <c r="Q2" s="744" t="s">
        <v>57</v>
      </c>
      <c r="R2" s="745"/>
      <c r="S2" s="60"/>
      <c r="T2" s="597"/>
      <c r="U2" s="60"/>
      <c r="V2" t="s">
        <v>505</v>
      </c>
      <c r="W2" s="103">
        <v>52.488689999999991</v>
      </c>
    </row>
    <row r="3" spans="1:30" x14ac:dyDescent="0.3">
      <c r="A3" s="743"/>
      <c r="B3" s="753"/>
      <c r="C3" s="754"/>
      <c r="D3" s="755"/>
      <c r="E3" s="743"/>
      <c r="F3" s="788"/>
      <c r="G3" s="786"/>
      <c r="H3" s="784"/>
      <c r="I3" s="743"/>
      <c r="J3" s="780"/>
      <c r="K3" s="780"/>
      <c r="L3" s="780"/>
      <c r="M3" s="780"/>
      <c r="N3" s="780"/>
      <c r="O3" s="780"/>
      <c r="P3" s="782"/>
      <c r="Q3" s="746"/>
      <c r="R3" s="747"/>
      <c r="S3" s="60"/>
      <c r="T3" s="597"/>
      <c r="U3" s="60"/>
      <c r="V3" t="s">
        <v>506</v>
      </c>
      <c r="W3" s="103">
        <v>50.745776190476192</v>
      </c>
    </row>
    <row r="4" spans="1:30" x14ac:dyDescent="0.3">
      <c r="A4" s="51"/>
      <c r="B4" s="740">
        <f>'data entry '!Q3</f>
        <v>48050</v>
      </c>
      <c r="C4" s="741"/>
      <c r="D4" s="52"/>
      <c r="E4" s="59">
        <f>Q4-B4</f>
        <v>-3954</v>
      </c>
      <c r="Q4" s="740">
        <f>'data entry '!Q115</f>
        <v>44096</v>
      </c>
      <c r="R4" s="741"/>
      <c r="S4" s="61"/>
      <c r="T4" s="598"/>
      <c r="U4" s="61"/>
    </row>
    <row r="5" spans="1:30" ht="15" thickBot="1" x14ac:dyDescent="0.35">
      <c r="A5" s="55" t="s">
        <v>68</v>
      </c>
      <c r="B5" s="54"/>
      <c r="C5" s="51"/>
      <c r="D5" s="52"/>
      <c r="E5" s="193">
        <f>E4/B4</f>
        <v>-8.2289281997918837E-2</v>
      </c>
      <c r="F5" s="191"/>
      <c r="G5" s="191"/>
      <c r="H5" s="53"/>
      <c r="I5" s="191"/>
      <c r="J5" s="51"/>
      <c r="K5" s="51"/>
      <c r="L5" s="51"/>
      <c r="M5" s="51"/>
      <c r="N5" s="51"/>
      <c r="O5" s="205"/>
      <c r="P5" s="53"/>
      <c r="Q5" s="228"/>
      <c r="R5" s="229"/>
      <c r="S5" s="230"/>
      <c r="T5" s="599" t="s">
        <v>69</v>
      </c>
      <c r="U5" s="231"/>
    </row>
    <row r="6" spans="1:30" ht="30.6" customHeight="1" thickBot="1" x14ac:dyDescent="0.35">
      <c r="A6" s="51"/>
      <c r="B6" s="223" t="s">
        <v>71</v>
      </c>
      <c r="C6" s="221" t="s">
        <v>72</v>
      </c>
      <c r="D6" s="52"/>
      <c r="E6" s="223" t="s">
        <v>71</v>
      </c>
      <c r="F6" s="223" t="s">
        <v>71</v>
      </c>
      <c r="G6" s="223" t="s">
        <v>71</v>
      </c>
      <c r="H6" s="223" t="s">
        <v>71</v>
      </c>
      <c r="I6" s="223" t="s">
        <v>71</v>
      </c>
      <c r="J6" s="223" t="s">
        <v>71</v>
      </c>
      <c r="K6" s="223" t="s">
        <v>71</v>
      </c>
      <c r="L6" s="223" t="s">
        <v>71</v>
      </c>
      <c r="M6" s="223" t="s">
        <v>71</v>
      </c>
      <c r="N6" s="223" t="s">
        <v>73</v>
      </c>
      <c r="O6" s="223" t="s">
        <v>71</v>
      </c>
      <c r="P6" s="221" t="s">
        <v>71</v>
      </c>
      <c r="Q6" s="224" t="s">
        <v>71</v>
      </c>
      <c r="R6" s="221" t="s">
        <v>72</v>
      </c>
      <c r="S6" s="61"/>
      <c r="T6" s="600"/>
      <c r="U6" s="62"/>
      <c r="W6" s="221" t="s">
        <v>508</v>
      </c>
      <c r="X6" s="221" t="s">
        <v>547</v>
      </c>
      <c r="Y6" s="221" t="s">
        <v>546</v>
      </c>
      <c r="AB6" s="571" t="s">
        <v>158</v>
      </c>
      <c r="AC6" t="s">
        <v>539</v>
      </c>
      <c r="AD6" s="572" t="s">
        <v>542</v>
      </c>
    </row>
    <row r="7" spans="1:30" x14ac:dyDescent="0.3">
      <c r="A7" s="291" t="s">
        <v>74</v>
      </c>
      <c r="B7" s="56">
        <f>'data entry '!Q5</f>
        <v>509</v>
      </c>
      <c r="C7" s="322">
        <f>B7/$B$4*1000</f>
        <v>10.593132154006243</v>
      </c>
      <c r="D7" s="307"/>
      <c r="E7" s="239">
        <f>I7-B7</f>
        <v>-81.439038365885324</v>
      </c>
      <c r="F7" s="254">
        <f>'data entry '!Q84</f>
        <v>465.28736087719386</v>
      </c>
      <c r="G7" s="254">
        <f>'data entry '!Q39</f>
        <v>-37.726399243079186</v>
      </c>
      <c r="H7" s="401"/>
      <c r="I7" s="242">
        <f>F7+G7</f>
        <v>427.56096163411468</v>
      </c>
      <c r="J7" s="236">
        <f>+('ACE Details_FULL'!D29)/1000*-1+('ACE Details_FULL'!D5-'ACE Details_FULL'!D24)/1000</f>
        <v>-2.6503803926257508</v>
      </c>
      <c r="K7" s="236">
        <f>19-23</f>
        <v>-4</v>
      </c>
      <c r="L7" s="604">
        <f>(248-302)*1600/1000-3.3</f>
        <v>-89.7</v>
      </c>
      <c r="M7" s="236">
        <f>12+10-4+7.36</f>
        <v>25.36</v>
      </c>
      <c r="N7" s="236">
        <v>5.3312814235904638</v>
      </c>
      <c r="O7" s="236"/>
      <c r="P7" s="309">
        <f>SUM(J7:O7)</f>
        <v>-65.659098969035284</v>
      </c>
      <c r="Q7" s="213">
        <f>'data entry '!Q117</f>
        <v>363.73443262781774</v>
      </c>
      <c r="R7" s="237">
        <f>Q7*1000/$Q$4</f>
        <v>8.2486944989980433</v>
      </c>
      <c r="S7" s="295"/>
      <c r="T7" s="602">
        <f>+Q7-I7-P7</f>
        <v>1.8325699627383472</v>
      </c>
      <c r="U7" s="63"/>
      <c r="W7" s="237">
        <f t="shared" ref="W7:W20" si="0">SUM(I7:L7)*1000/$Q$4</f>
        <v>7.5111253002877572</v>
      </c>
      <c r="X7" s="237">
        <f>+Y7-W7</f>
        <v>0.73756919871028614</v>
      </c>
      <c r="Y7" s="237">
        <f t="shared" ref="Y7:Y20" si="1">R7</f>
        <v>8.2486944989980433</v>
      </c>
      <c r="Z7" s="35">
        <f t="shared" ref="Z7:Z20" si="2">+SUM(M7:O7)*1000/$Q$4-X7</f>
        <v>-4.1558643930023509E-2</v>
      </c>
      <c r="AC7" t="s">
        <v>508</v>
      </c>
      <c r="AD7" t="s">
        <v>540</v>
      </c>
    </row>
    <row r="8" spans="1:30" x14ac:dyDescent="0.3">
      <c r="A8" s="292" t="s">
        <v>75</v>
      </c>
      <c r="B8" s="56">
        <f>'data entry '!Q6</f>
        <v>35.733561726016738</v>
      </c>
      <c r="C8" s="322">
        <f t="shared" ref="C8:C20" si="3">B8/$B$4*1000</f>
        <v>0.743674541644469</v>
      </c>
      <c r="D8" s="307"/>
      <c r="E8" s="239">
        <f t="shared" ref="E8:E9" si="4">I8-B8</f>
        <v>-6.1388452609052244</v>
      </c>
      <c r="F8" s="254">
        <f>'data entry '!Q85</f>
        <v>30.9152736842106</v>
      </c>
      <c r="G8" s="254">
        <f>'data entry '!Q40</f>
        <v>-1.3205572190990864</v>
      </c>
      <c r="H8" s="401"/>
      <c r="I8" s="242">
        <f t="shared" ref="I8:I9" si="5">F8+G8</f>
        <v>29.594716465111514</v>
      </c>
      <c r="J8" s="310"/>
      <c r="K8" s="236">
        <v>-6.31</v>
      </c>
      <c r="L8" s="236"/>
      <c r="M8" s="236">
        <v>-1</v>
      </c>
      <c r="N8" s="310">
        <v>0.41774150477750327</v>
      </c>
      <c r="O8" s="236"/>
      <c r="P8" s="309">
        <f t="shared" ref="P8:P19" si="6">SUM(J8:O8)</f>
        <v>-6.8922584952224959</v>
      </c>
      <c r="Q8" s="213">
        <f>'data entry '!Q118</f>
        <v>28.068419999999996</v>
      </c>
      <c r="R8" s="237">
        <f t="shared" ref="R8:R20" si="7">Q8*1000/$Q$4</f>
        <v>0.63652984397677781</v>
      </c>
      <c r="S8" s="295"/>
      <c r="T8" s="602">
        <f t="shared" ref="T8:T36" si="8">+Q8-I8-P8</f>
        <v>5.3659620301109783</v>
      </c>
      <c r="U8" s="63"/>
      <c r="W8" s="237">
        <f t="shared" si="0"/>
        <v>0.52804600111374089</v>
      </c>
      <c r="X8" s="237">
        <f t="shared" ref="X8:X36" si="9">+Y8-W8</f>
        <v>0.10848384286303692</v>
      </c>
      <c r="Y8" s="237">
        <f t="shared" si="1"/>
        <v>0.63652984397677781</v>
      </c>
      <c r="Z8" s="35">
        <f t="shared" si="2"/>
        <v>-0.12168818101666756</v>
      </c>
      <c r="AC8" t="s">
        <v>512</v>
      </c>
      <c r="AD8" t="s">
        <v>541</v>
      </c>
    </row>
    <row r="9" spans="1:30" ht="15" thickBot="1" x14ac:dyDescent="0.35">
      <c r="A9" s="292" t="s">
        <v>141</v>
      </c>
      <c r="B9" s="56">
        <f>'data entry '!Q7</f>
        <v>15.893499999999998</v>
      </c>
      <c r="C9" s="322">
        <f t="shared" si="3"/>
        <v>0.33077003121748177</v>
      </c>
      <c r="D9" s="307"/>
      <c r="E9" s="239">
        <f t="shared" si="4"/>
        <v>-3.6210020041556721</v>
      </c>
      <c r="F9" s="254">
        <f>'data entry '!Q86</f>
        <v>13.272975789473675</v>
      </c>
      <c r="G9" s="254">
        <f>'data entry '!Q41</f>
        <v>-1.000477793629349</v>
      </c>
      <c r="H9" s="401"/>
      <c r="I9" s="242">
        <f t="shared" si="5"/>
        <v>12.272497995844326</v>
      </c>
      <c r="J9" s="236">
        <f>+'ACE Details_FULL'!D32/1000*-1</f>
        <v>-1</v>
      </c>
      <c r="K9" s="236">
        <v>-1.0900000000000001</v>
      </c>
      <c r="L9" s="236"/>
      <c r="M9" s="236"/>
      <c r="N9" s="236">
        <v>0.25443126242624836</v>
      </c>
      <c r="O9" s="236"/>
      <c r="P9" s="309">
        <f t="shared" si="6"/>
        <v>-1.8355687375737515</v>
      </c>
      <c r="Q9" s="213">
        <f>'data entry '!Q119</f>
        <v>38.196779999999997</v>
      </c>
      <c r="R9" s="237">
        <f t="shared" si="7"/>
        <v>0.8662187046444122</v>
      </c>
      <c r="S9" s="295"/>
      <c r="T9" s="602">
        <f t="shared" si="8"/>
        <v>27.759850741729423</v>
      </c>
      <c r="U9" s="63"/>
      <c r="W9" s="237">
        <f t="shared" si="0"/>
        <v>0.23091659097977879</v>
      </c>
      <c r="X9" s="237">
        <f t="shared" si="9"/>
        <v>0.63530211366463341</v>
      </c>
      <c r="Y9" s="237">
        <f t="shared" si="1"/>
        <v>0.8662187046444122</v>
      </c>
      <c r="Z9" s="35">
        <f t="shared" si="2"/>
        <v>-0.62953217393254324</v>
      </c>
    </row>
    <row r="10" spans="1:30" ht="15" thickBot="1" x14ac:dyDescent="0.35">
      <c r="A10" s="4" t="s">
        <v>79</v>
      </c>
      <c r="B10" s="57">
        <f>SUM(B7:B9)</f>
        <v>560.62706172601679</v>
      </c>
      <c r="C10" s="66">
        <f t="shared" si="3"/>
        <v>11.667576726868194</v>
      </c>
      <c r="D10" s="308"/>
      <c r="E10" s="57">
        <f t="shared" ref="E10" si="10">SUM(E7:E9)</f>
        <v>-91.198885630946222</v>
      </c>
      <c r="F10" s="57">
        <f t="shared" ref="F10" si="11">SUM(F7:F9)</f>
        <v>509.47561035087813</v>
      </c>
      <c r="G10" s="57">
        <f t="shared" ref="G10" si="12">SUM(G7:G9)</f>
        <v>-40.047434255807623</v>
      </c>
      <c r="H10" s="57">
        <f t="shared" ref="H10" si="13">SUM(H7:H9)</f>
        <v>0</v>
      </c>
      <c r="I10" s="57">
        <f t="shared" ref="I10" si="14">SUM(I7:I9)</f>
        <v>469.42817609507051</v>
      </c>
      <c r="J10" s="57">
        <f t="shared" ref="J10" si="15">SUM(J7:J9)</f>
        <v>-3.6503803926257508</v>
      </c>
      <c r="K10" s="57">
        <f t="shared" ref="K10" si="16">SUM(K7:K9)</f>
        <v>-11.399999999999999</v>
      </c>
      <c r="L10" s="57">
        <f t="shared" ref="L10" si="17">SUM(L7:L9)</f>
        <v>-89.7</v>
      </c>
      <c r="M10" s="57">
        <f t="shared" ref="M10" si="18">SUM(M7:M9)</f>
        <v>24.36</v>
      </c>
      <c r="N10" s="570">
        <f t="shared" ref="N10" si="19">SUM(N7:N9)</f>
        <v>6.0034541907942156</v>
      </c>
      <c r="O10" s="57">
        <f t="shared" ref="O10" si="20">SUM(O7:O9)</f>
        <v>0</v>
      </c>
      <c r="P10" s="57">
        <f t="shared" ref="P10" si="21">SUM(P7:P9)</f>
        <v>-74.386926201831528</v>
      </c>
      <c r="Q10" s="57">
        <f t="shared" ref="Q10" si="22">SUM(Q7:Q9)</f>
        <v>429.99963262781773</v>
      </c>
      <c r="R10" s="226">
        <f t="shared" si="7"/>
        <v>9.7514430476192349</v>
      </c>
      <c r="S10" s="295"/>
      <c r="T10" s="602">
        <f t="shared" si="8"/>
        <v>34.958382734578748</v>
      </c>
      <c r="U10" s="63"/>
      <c r="W10" s="226">
        <f t="shared" si="0"/>
        <v>8.2700878923812766</v>
      </c>
      <c r="X10" s="226">
        <f t="shared" si="9"/>
        <v>1.4813551552379582</v>
      </c>
      <c r="Y10" s="226">
        <f t="shared" si="1"/>
        <v>9.7514430476192349</v>
      </c>
      <c r="Z10" s="35">
        <f t="shared" si="2"/>
        <v>-0.79277899887923597</v>
      </c>
      <c r="AB10" s="571" t="s">
        <v>80</v>
      </c>
      <c r="AC10" t="s">
        <v>508</v>
      </c>
      <c r="AD10" t="s">
        <v>532</v>
      </c>
    </row>
    <row r="11" spans="1:30" x14ac:dyDescent="0.3">
      <c r="A11" s="292" t="s">
        <v>80</v>
      </c>
      <c r="B11" s="56">
        <f>'data entry '!Q9</f>
        <v>204.69927393420895</v>
      </c>
      <c r="C11" s="65">
        <f t="shared" si="3"/>
        <v>4.2601305709512785</v>
      </c>
      <c r="D11" s="307"/>
      <c r="E11" s="239"/>
      <c r="F11" s="254">
        <f>'data entry '!Q88</f>
        <v>184.0365763157898</v>
      </c>
      <c r="G11" s="254">
        <f>'data entry '!Q43</f>
        <v>-10.857179986904583</v>
      </c>
      <c r="H11" s="401">
        <f>'Budget assumption'!Q323</f>
        <v>-19.917773371634159</v>
      </c>
      <c r="I11" s="242">
        <f>B11</f>
        <v>204.69927393420895</v>
      </c>
      <c r="J11" s="236"/>
      <c r="K11" s="236">
        <v>26.69</v>
      </c>
      <c r="L11" s="236"/>
      <c r="M11" s="236">
        <v>12.64</v>
      </c>
      <c r="N11" s="236">
        <v>2.44</v>
      </c>
      <c r="O11" s="236"/>
      <c r="P11" s="309">
        <f t="shared" si="6"/>
        <v>41.769999999999996</v>
      </c>
      <c r="Q11" s="213">
        <f>'data entry '!Q121</f>
        <v>211.9200073721822</v>
      </c>
      <c r="R11" s="237">
        <f t="shared" si="7"/>
        <v>4.8058782513648</v>
      </c>
      <c r="S11" s="295"/>
      <c r="T11" s="602">
        <f t="shared" si="8"/>
        <v>-34.549266562026745</v>
      </c>
      <c r="U11" s="63"/>
      <c r="W11" s="237">
        <f t="shared" si="0"/>
        <v>5.2473982659245495</v>
      </c>
      <c r="X11" s="237">
        <f t="shared" si="9"/>
        <v>-0.44152001455974954</v>
      </c>
      <c r="Y11" s="237">
        <f t="shared" si="1"/>
        <v>4.8058782513648</v>
      </c>
      <c r="Z11" s="35">
        <f t="shared" si="2"/>
        <v>0.7835011466352213</v>
      </c>
      <c r="AC11" t="s">
        <v>512</v>
      </c>
      <c r="AD11" t="s">
        <v>533</v>
      </c>
    </row>
    <row r="12" spans="1:30" ht="15" thickBot="1" x14ac:dyDescent="0.35">
      <c r="A12" s="292" t="s">
        <v>81</v>
      </c>
      <c r="B12" s="56">
        <f>'data entry '!Q10</f>
        <v>104.32864647268644</v>
      </c>
      <c r="C12" s="65">
        <f t="shared" si="3"/>
        <v>2.17125174761054</v>
      </c>
      <c r="D12" s="307"/>
      <c r="E12" s="239"/>
      <c r="F12" s="254">
        <f>'data entry '!Q89</f>
        <v>65.067655263157903</v>
      </c>
      <c r="G12" s="254">
        <f>'data entry '!Q44</f>
        <v>26.357974186456488</v>
      </c>
      <c r="H12" s="401">
        <f>'Budget assumption'!Q324</f>
        <v>-7.2046192632183077</v>
      </c>
      <c r="I12" s="242">
        <f t="shared" ref="I12:I16" si="23">B12</f>
        <v>104.32864647268644</v>
      </c>
      <c r="J12" s="236"/>
      <c r="K12" s="236">
        <v>-2.35</v>
      </c>
      <c r="L12" s="255"/>
      <c r="M12" s="604">
        <f>8+2.8</f>
        <v>10.8</v>
      </c>
      <c r="N12" s="236">
        <v>0.14392453935312613</v>
      </c>
      <c r="O12" s="236"/>
      <c r="P12" s="309">
        <f t="shared" si="6"/>
        <v>8.5939245393531269</v>
      </c>
      <c r="Q12" s="213">
        <f>'data entry '!Q122</f>
        <v>86.264239999999987</v>
      </c>
      <c r="R12" s="237">
        <f t="shared" si="7"/>
        <v>1.9562826560232218</v>
      </c>
      <c r="S12" s="295"/>
      <c r="T12" s="602">
        <f t="shared" si="8"/>
        <v>-26.658331012039582</v>
      </c>
      <c r="U12" s="63"/>
      <c r="W12" s="237">
        <f t="shared" si="0"/>
        <v>2.3126507273377732</v>
      </c>
      <c r="X12" s="237">
        <f t="shared" si="9"/>
        <v>-0.35636807131455139</v>
      </c>
      <c r="Y12" s="237">
        <f t="shared" si="1"/>
        <v>1.9562826560232218</v>
      </c>
      <c r="Z12" s="35">
        <f t="shared" si="2"/>
        <v>0.60455213652121698</v>
      </c>
    </row>
    <row r="13" spans="1:30" ht="15" thickBot="1" x14ac:dyDescent="0.35">
      <c r="A13" s="292" t="s">
        <v>82</v>
      </c>
      <c r="B13" s="56">
        <f>'data entry '!Q11</f>
        <v>177.19910679306849</v>
      </c>
      <c r="C13" s="65">
        <f t="shared" si="3"/>
        <v>3.687806592987898</v>
      </c>
      <c r="D13" s="307"/>
      <c r="E13" s="239"/>
      <c r="F13" s="254">
        <f>'data entry '!Q90</f>
        <v>126.16662157894729</v>
      </c>
      <c r="G13" s="254">
        <f>'data entry '!Q45</f>
        <v>26.665010508119892</v>
      </c>
      <c r="H13" s="401">
        <f>'Budget assumption'!Q325</f>
        <v>-13.909599828565748</v>
      </c>
      <c r="I13" s="242">
        <f t="shared" si="23"/>
        <v>177.19910679306849</v>
      </c>
      <c r="J13" s="236"/>
      <c r="K13" s="236">
        <v>-23.07</v>
      </c>
      <c r="L13" s="236"/>
      <c r="M13" s="236">
        <v>-2</v>
      </c>
      <c r="N13" s="236">
        <v>6.138621709061475</v>
      </c>
      <c r="O13" s="236"/>
      <c r="P13" s="309">
        <f t="shared" si="6"/>
        <v>-18.931378290938525</v>
      </c>
      <c r="Q13" s="213">
        <f>'data entry '!Q123</f>
        <v>86.237830000000017</v>
      </c>
      <c r="R13" s="237">
        <f t="shared" si="7"/>
        <v>1.9556837354862122</v>
      </c>
      <c r="S13" s="295"/>
      <c r="T13" s="602">
        <f t="shared" si="8"/>
        <v>-72.029898502129953</v>
      </c>
      <c r="U13" s="63"/>
      <c r="W13" s="237">
        <f t="shared" si="0"/>
        <v>3.4953081184930266</v>
      </c>
      <c r="X13" s="237">
        <f t="shared" si="9"/>
        <v>-1.5396243830068144</v>
      </c>
      <c r="Y13" s="237">
        <f t="shared" si="1"/>
        <v>1.9556837354862122</v>
      </c>
      <c r="Z13" s="35">
        <f t="shared" si="2"/>
        <v>1.6334791931723958</v>
      </c>
      <c r="AB13" s="571" t="s">
        <v>81</v>
      </c>
      <c r="AC13" t="s">
        <v>508</v>
      </c>
      <c r="AD13" s="572" t="s">
        <v>534</v>
      </c>
    </row>
    <row r="14" spans="1:30" x14ac:dyDescent="0.3">
      <c r="A14" s="292" t="s">
        <v>83</v>
      </c>
      <c r="B14" s="56">
        <f>'data entry '!Q12</f>
        <v>5</v>
      </c>
      <c r="C14" s="65">
        <f t="shared" si="3"/>
        <v>0.1040582726326743</v>
      </c>
      <c r="D14" s="307"/>
      <c r="E14" s="239"/>
      <c r="F14" s="254">
        <f>'data entry '!Q91</f>
        <v>6.9506099999999975</v>
      </c>
      <c r="G14" s="254">
        <f>'data entry '!Q46</f>
        <v>-4.5767531598920961</v>
      </c>
      <c r="H14" s="401">
        <f>'Budget assumption'!Q326</f>
        <v>-0.88490785409106465</v>
      </c>
      <c r="I14" s="242">
        <f>B14</f>
        <v>5</v>
      </c>
      <c r="J14" s="236"/>
      <c r="K14" s="236"/>
      <c r="L14" s="311"/>
      <c r="M14" s="236">
        <v>-0.78</v>
      </c>
      <c r="N14" s="310">
        <v>6.0051174978838391E-2</v>
      </c>
      <c r="O14" s="236"/>
      <c r="P14" s="309">
        <f t="shared" si="6"/>
        <v>-0.71994882502116164</v>
      </c>
      <c r="Q14" s="213">
        <f>'data entry '!Q124</f>
        <v>3.8053300000000001</v>
      </c>
      <c r="R14" s="237">
        <f t="shared" si="7"/>
        <v>8.6296489477503624E-2</v>
      </c>
      <c r="S14" s="295"/>
      <c r="T14" s="602">
        <f t="shared" si="8"/>
        <v>-0.47472117497883826</v>
      </c>
      <c r="U14" s="63"/>
      <c r="W14" s="237">
        <f t="shared" si="0"/>
        <v>0.11338896952104499</v>
      </c>
      <c r="X14" s="237">
        <f t="shared" si="9"/>
        <v>-2.7092480043541367E-2</v>
      </c>
      <c r="Y14" s="237">
        <f t="shared" si="1"/>
        <v>8.6296489477503624E-2</v>
      </c>
      <c r="Z14" s="35">
        <f t="shared" si="2"/>
        <v>1.0765628968134038E-2</v>
      </c>
      <c r="AC14" t="s">
        <v>512</v>
      </c>
      <c r="AD14" t="s">
        <v>535</v>
      </c>
    </row>
    <row r="15" spans="1:30" ht="15" thickBot="1" x14ac:dyDescent="0.35">
      <c r="A15" s="292" t="s">
        <v>84</v>
      </c>
      <c r="B15" s="56">
        <f>'data entry '!Q13</f>
        <v>43.218668494505586</v>
      </c>
      <c r="C15" s="65">
        <f t="shared" si="3"/>
        <v>0.8994519978044867</v>
      </c>
      <c r="D15" s="307"/>
      <c r="E15" s="239"/>
      <c r="F15" s="254">
        <f>'data entry '!Q92</f>
        <v>32.152643684210531</v>
      </c>
      <c r="G15" s="254">
        <f>'data entry '!Q47</f>
        <v>9.6182840665487603</v>
      </c>
      <c r="H15" s="401">
        <f>'Budget assumption'!Q327</f>
        <v>-3.1047311739538572</v>
      </c>
      <c r="I15" s="242">
        <f t="shared" si="23"/>
        <v>43.218668494505586</v>
      </c>
      <c r="J15" s="236"/>
      <c r="K15" s="236">
        <v>2.19</v>
      </c>
      <c r="L15" s="312"/>
      <c r="M15" s="236"/>
      <c r="N15" s="310">
        <v>1.2860963261856906</v>
      </c>
      <c r="O15" s="236"/>
      <c r="P15" s="309">
        <f t="shared" si="6"/>
        <v>3.4760963261856905</v>
      </c>
      <c r="Q15" s="213">
        <f>'data entry '!Q125</f>
        <v>-2.6982200000000036</v>
      </c>
      <c r="R15" s="237">
        <f t="shared" si="7"/>
        <v>-6.1189677068214883E-2</v>
      </c>
      <c r="S15" s="295"/>
      <c r="T15" s="602">
        <f t="shared" si="8"/>
        <v>-49.392984820691282</v>
      </c>
      <c r="U15" s="63"/>
      <c r="W15" s="237">
        <f t="shared" si="0"/>
        <v>1.0297684255829458</v>
      </c>
      <c r="X15" s="237">
        <f t="shared" si="9"/>
        <v>-1.0909581026511608</v>
      </c>
      <c r="Y15" s="237">
        <f t="shared" si="1"/>
        <v>-6.1189677068214883E-2</v>
      </c>
      <c r="Z15" s="35">
        <f t="shared" si="2"/>
        <v>1.1201239300773602</v>
      </c>
    </row>
    <row r="16" spans="1:30" ht="15" thickBot="1" x14ac:dyDescent="0.35">
      <c r="A16" s="292" t="s">
        <v>86</v>
      </c>
      <c r="B16" s="56">
        <f>'data entry '!Q14</f>
        <v>155.09230143443955</v>
      </c>
      <c r="C16" s="65">
        <f t="shared" si="3"/>
        <v>3.2277273971787626</v>
      </c>
      <c r="D16" s="307"/>
      <c r="E16" s="239"/>
      <c r="F16" s="254">
        <f>'data entry '!Q93</f>
        <v>424.54616210526245</v>
      </c>
      <c r="G16" s="254">
        <f>'data entry '!Q48</f>
        <v>23.541395758528353</v>
      </c>
      <c r="H16" s="401">
        <f>'Budget assumption'!Q329</f>
        <v>-12.155521574153038</v>
      </c>
      <c r="I16" s="242">
        <f t="shared" si="23"/>
        <v>155.09230143443955</v>
      </c>
      <c r="J16" s="236"/>
      <c r="K16" s="236"/>
      <c r="L16" s="311"/>
      <c r="M16" s="236"/>
      <c r="N16" s="604">
        <v>9.56</v>
      </c>
      <c r="O16" s="255"/>
      <c r="P16" s="309">
        <f t="shared" si="6"/>
        <v>9.56</v>
      </c>
      <c r="Q16" s="213">
        <f>'data entry '!Q126</f>
        <v>-7.097920000000002</v>
      </c>
      <c r="R16" s="237">
        <f t="shared" si="7"/>
        <v>-0.16096516690856319</v>
      </c>
      <c r="S16" s="295"/>
      <c r="T16" s="602">
        <f t="shared" si="8"/>
        <v>-171.75022143443954</v>
      </c>
      <c r="U16" s="63"/>
      <c r="W16" s="237">
        <f t="shared" si="0"/>
        <v>3.5171512480596778</v>
      </c>
      <c r="X16" s="237">
        <f t="shared" si="9"/>
        <v>-3.6781164149682408</v>
      </c>
      <c r="Y16" s="237">
        <f t="shared" si="1"/>
        <v>-0.16096516690856319</v>
      </c>
      <c r="Z16" s="35">
        <f t="shared" si="2"/>
        <v>3.8949161246924788</v>
      </c>
      <c r="AB16" s="571" t="s">
        <v>75</v>
      </c>
      <c r="AC16" t="s">
        <v>508</v>
      </c>
      <c r="AD16" s="572" t="s">
        <v>529</v>
      </c>
    </row>
    <row r="17" spans="1:30" x14ac:dyDescent="0.3">
      <c r="A17" s="4" t="s">
        <v>87</v>
      </c>
      <c r="B17" s="57">
        <f>SUM(B11:B16)</f>
        <v>689.53799712890896</v>
      </c>
      <c r="C17" s="66">
        <f t="shared" si="3"/>
        <v>14.350426579165639</v>
      </c>
      <c r="D17" s="308"/>
      <c r="E17" s="57">
        <f t="shared" ref="E17" si="24">SUM(E11:E16)</f>
        <v>0</v>
      </c>
      <c r="F17" s="57">
        <f t="shared" ref="F17" si="25">SUM(F11:F16)</f>
        <v>838.92026894736796</v>
      </c>
      <c r="G17" s="57">
        <f t="shared" ref="G17" si="26">SUM(G11:G16)</f>
        <v>70.74873137285681</v>
      </c>
      <c r="H17" s="57">
        <f t="shared" ref="H17" si="27">SUM(H11:H16)</f>
        <v>-57.177153065616167</v>
      </c>
      <c r="I17" s="57">
        <f t="shared" ref="I17" si="28">SUM(I11:I16)</f>
        <v>689.53799712890896</v>
      </c>
      <c r="J17" s="57">
        <f t="shared" ref="J17" si="29">SUM(J11:J16)</f>
        <v>0</v>
      </c>
      <c r="K17" s="57">
        <f t="shared" ref="K17" si="30">SUM(K11:K16)</f>
        <v>3.4599999999999995</v>
      </c>
      <c r="L17" s="57">
        <f t="shared" ref="L17" si="31">SUM(L11:L16)</f>
        <v>0</v>
      </c>
      <c r="M17" s="57">
        <f t="shared" ref="M17" si="32">SUM(M11:M16)</f>
        <v>20.66</v>
      </c>
      <c r="N17" s="570">
        <f t="shared" ref="N17" si="33">SUM(N11:N16)</f>
        <v>19.628693749579131</v>
      </c>
      <c r="O17" s="57">
        <f t="shared" ref="O17" si="34">SUM(O11:O16)</f>
        <v>0</v>
      </c>
      <c r="P17" s="57">
        <f t="shared" ref="P17" si="35">SUM(P11:P16)</f>
        <v>43.748693749579125</v>
      </c>
      <c r="Q17" s="57">
        <f t="shared" ref="Q17" si="36">SUM(Q11:Q16)</f>
        <v>378.43126737218228</v>
      </c>
      <c r="R17" s="226">
        <f t="shared" si="7"/>
        <v>8.5819862883749618</v>
      </c>
      <c r="S17" s="295"/>
      <c r="T17" s="602">
        <f t="shared" si="8"/>
        <v>-354.85542350630578</v>
      </c>
      <c r="U17" s="63"/>
      <c r="W17" s="226">
        <f t="shared" si="0"/>
        <v>15.715665754919018</v>
      </c>
      <c r="X17" s="226">
        <f t="shared" si="9"/>
        <v>-7.1336794665440557</v>
      </c>
      <c r="Y17" s="226">
        <f t="shared" si="1"/>
        <v>8.5819862883749618</v>
      </c>
      <c r="Z17" s="35">
        <f t="shared" si="2"/>
        <v>8.0473381600668041</v>
      </c>
      <c r="AC17" t="s">
        <v>512</v>
      </c>
      <c r="AD17" s="572" t="s">
        <v>513</v>
      </c>
    </row>
    <row r="18" spans="1:30" ht="15" thickBot="1" x14ac:dyDescent="0.35">
      <c r="A18" s="5" t="s">
        <v>88</v>
      </c>
      <c r="B18" s="58">
        <f>B10+B17</f>
        <v>1250.1650588549257</v>
      </c>
      <c r="C18" s="67">
        <f t="shared" si="3"/>
        <v>26.018003306033837</v>
      </c>
      <c r="D18" s="308"/>
      <c r="E18" s="58">
        <f t="shared" ref="E18" si="37">E10+E17</f>
        <v>-91.198885630946222</v>
      </c>
      <c r="F18" s="58">
        <f t="shared" ref="F18" si="38">F10+F17</f>
        <v>1348.3958792982462</v>
      </c>
      <c r="G18" s="58">
        <f t="shared" ref="G18" si="39">G10+G17</f>
        <v>30.701297117049187</v>
      </c>
      <c r="H18" s="58">
        <f t="shared" ref="H18" si="40">H10+H17</f>
        <v>-57.177153065616167</v>
      </c>
      <c r="I18" s="58">
        <f t="shared" ref="I18" si="41">I10+I17</f>
        <v>1158.9661732239795</v>
      </c>
      <c r="J18" s="58">
        <f t="shared" ref="J18" si="42">J10+J17</f>
        <v>-3.6503803926257508</v>
      </c>
      <c r="K18" s="58">
        <f t="shared" ref="K18" si="43">K10+K17</f>
        <v>-7.9399999999999995</v>
      </c>
      <c r="L18" s="58">
        <f t="shared" ref="L18" si="44">L10+L17</f>
        <v>-89.7</v>
      </c>
      <c r="M18" s="58">
        <f t="shared" ref="M18" si="45">M10+M17</f>
        <v>45.019999999999996</v>
      </c>
      <c r="N18" s="192">
        <f t="shared" ref="N18" si="46">N10+N17</f>
        <v>25.632147940373347</v>
      </c>
      <c r="O18" s="58">
        <f t="shared" ref="O18" si="47">O10+O17</f>
        <v>0</v>
      </c>
      <c r="P18" s="58">
        <f t="shared" ref="P18" si="48">P10+P17</f>
        <v>-30.638232452252403</v>
      </c>
      <c r="Q18" s="58">
        <f t="shared" ref="Q18" si="49">Q10+Q17</f>
        <v>808.43090000000007</v>
      </c>
      <c r="R18" s="232">
        <f t="shared" si="7"/>
        <v>18.333429335994197</v>
      </c>
      <c r="S18" s="295"/>
      <c r="T18" s="602">
        <f t="shared" si="8"/>
        <v>-319.89704077172701</v>
      </c>
      <c r="U18" s="63"/>
      <c r="W18" s="232">
        <f t="shared" si="0"/>
        <v>23.985753647300289</v>
      </c>
      <c r="X18" s="232">
        <f t="shared" si="9"/>
        <v>-5.6523243113060921</v>
      </c>
      <c r="Y18" s="232">
        <f t="shared" si="1"/>
        <v>18.333429335994197</v>
      </c>
      <c r="Z18" s="35">
        <f t="shared" si="2"/>
        <v>7.2545591611875633</v>
      </c>
    </row>
    <row r="19" spans="1:30" ht="15" thickBot="1" x14ac:dyDescent="0.35">
      <c r="A19" s="292" t="s">
        <v>89</v>
      </c>
      <c r="B19" s="56">
        <f>'data entry '!Q17</f>
        <v>20.567044044062953</v>
      </c>
      <c r="C19" s="65">
        <f t="shared" si="3"/>
        <v>0.42803421527706459</v>
      </c>
      <c r="D19" s="307"/>
      <c r="E19" s="239"/>
      <c r="F19" s="293">
        <f>'data entry '!Q96</f>
        <v>0</v>
      </c>
      <c r="G19" s="293">
        <f>'data entry '!Q51</f>
        <v>11.930867004091784</v>
      </c>
      <c r="H19" s="402">
        <f>'Budget assumption'!Q331</f>
        <v>-0.79799706272031745</v>
      </c>
      <c r="I19" s="242">
        <f t="shared" ref="I19" si="50">B19</f>
        <v>20.567044044062953</v>
      </c>
      <c r="J19" s="236"/>
      <c r="K19" s="313">
        <v>-3.85</v>
      </c>
      <c r="L19" s="236"/>
      <c r="M19" s="236"/>
      <c r="N19" s="236"/>
      <c r="O19" s="236"/>
      <c r="P19" s="309">
        <f t="shared" si="6"/>
        <v>-3.85</v>
      </c>
      <c r="Q19" s="213">
        <f>'data entry '!Q129</f>
        <v>13.047470000000001</v>
      </c>
      <c r="R19" s="237">
        <f t="shared" si="7"/>
        <v>0.29588783563134979</v>
      </c>
      <c r="S19" s="295"/>
      <c r="T19" s="602">
        <f t="shared" si="8"/>
        <v>-3.6695740440629527</v>
      </c>
      <c r="U19" s="63"/>
      <c r="W19" s="237">
        <f t="shared" si="0"/>
        <v>0.37910567951884422</v>
      </c>
      <c r="X19" s="237">
        <f t="shared" si="9"/>
        <v>-8.3217843887494425E-2</v>
      </c>
      <c r="Y19" s="237">
        <f t="shared" si="1"/>
        <v>0.29588783563134979</v>
      </c>
      <c r="Z19" s="35">
        <f t="shared" si="2"/>
        <v>8.3217843887494425E-2</v>
      </c>
      <c r="AB19" s="571" t="s">
        <v>536</v>
      </c>
      <c r="AC19" t="s">
        <v>508</v>
      </c>
      <c r="AD19" s="572" t="s">
        <v>538</v>
      </c>
    </row>
    <row r="20" spans="1:30" x14ac:dyDescent="0.3">
      <c r="A20" s="5" t="s">
        <v>90</v>
      </c>
      <c r="B20" s="58">
        <f>B18+B19</f>
        <v>1270.7321028989886</v>
      </c>
      <c r="C20" s="67">
        <f t="shared" si="3"/>
        <v>26.446037521310895</v>
      </c>
      <c r="D20" s="308"/>
      <c r="E20" s="58">
        <f t="shared" ref="E20" si="51">E18+E19</f>
        <v>-91.198885630946222</v>
      </c>
      <c r="F20" s="58">
        <f t="shared" ref="F20" si="52">F18+F19</f>
        <v>1348.3958792982462</v>
      </c>
      <c r="G20" s="58">
        <f t="shared" ref="G20" si="53">G18+G19</f>
        <v>42.632164121140974</v>
      </c>
      <c r="H20" s="58">
        <f t="shared" ref="H20" si="54">H18+H19</f>
        <v>-57.975150128336487</v>
      </c>
      <c r="I20" s="58">
        <f t="shared" ref="I20" si="55">I18+I19</f>
        <v>1179.5332172680423</v>
      </c>
      <c r="J20" s="58">
        <f t="shared" ref="J20" si="56">J18+J19</f>
        <v>-3.6503803926257508</v>
      </c>
      <c r="K20" s="58">
        <f t="shared" ref="K20" si="57">K18+K19</f>
        <v>-11.79</v>
      </c>
      <c r="L20" s="58">
        <f t="shared" ref="L20" si="58">L18+L19</f>
        <v>-89.7</v>
      </c>
      <c r="M20" s="58">
        <f t="shared" ref="M20" si="59">M18+M19</f>
        <v>45.019999999999996</v>
      </c>
      <c r="N20" s="192">
        <f t="shared" ref="N20" si="60">N18+N19</f>
        <v>25.632147940373347</v>
      </c>
      <c r="O20" s="58">
        <f t="shared" ref="O20" si="61">O18+O19</f>
        <v>0</v>
      </c>
      <c r="P20" s="58">
        <f t="shared" ref="P20" si="62">P18+P19</f>
        <v>-34.488232452252404</v>
      </c>
      <c r="Q20" s="58">
        <f t="shared" ref="Q20" si="63">Q18+Q19</f>
        <v>821.47837000000004</v>
      </c>
      <c r="R20" s="232">
        <f t="shared" si="7"/>
        <v>18.629317171625544</v>
      </c>
      <c r="S20" s="295"/>
      <c r="T20" s="602">
        <f t="shared" si="8"/>
        <v>-323.56661481578988</v>
      </c>
      <c r="U20" s="63"/>
      <c r="W20" s="232">
        <f t="shared" si="0"/>
        <v>24.364859326819136</v>
      </c>
      <c r="X20" s="232">
        <f t="shared" si="9"/>
        <v>-5.7355421551935919</v>
      </c>
      <c r="Y20" s="232">
        <f t="shared" si="1"/>
        <v>18.629317171625544</v>
      </c>
      <c r="Z20" s="35">
        <f t="shared" si="2"/>
        <v>7.337777005075063</v>
      </c>
      <c r="AC20" t="s">
        <v>512</v>
      </c>
      <c r="AD20" s="572" t="s">
        <v>537</v>
      </c>
    </row>
    <row r="21" spans="1:30" ht="15" thickBot="1" x14ac:dyDescent="0.35">
      <c r="A21" s="51"/>
      <c r="B21" s="51"/>
      <c r="C21" s="51"/>
      <c r="D21" s="308"/>
      <c r="E21" s="51"/>
      <c r="F21" s="53"/>
      <c r="G21" s="53"/>
      <c r="H21" s="404"/>
      <c r="I21" s="53"/>
      <c r="J21" s="51"/>
      <c r="K21" s="51"/>
      <c r="L21" s="51"/>
      <c r="M21" s="51"/>
      <c r="N21" s="194"/>
      <c r="O21" s="51"/>
      <c r="P21" s="53"/>
      <c r="Q21" s="51"/>
      <c r="R21" s="51"/>
      <c r="S21" s="295"/>
      <c r="T21" s="602">
        <f t="shared" si="8"/>
        <v>0</v>
      </c>
      <c r="U21" s="51"/>
      <c r="W21" s="51"/>
      <c r="X21" s="51"/>
      <c r="Y21" s="51"/>
      <c r="Z21" s="35"/>
    </row>
    <row r="22" spans="1:30" ht="15" thickBot="1" x14ac:dyDescent="0.35">
      <c r="A22" s="294" t="s">
        <v>91</v>
      </c>
      <c r="B22" s="198">
        <f>'data entry '!Q19</f>
        <v>413.13905106556064</v>
      </c>
      <c r="C22" s="199">
        <f t="shared" ref="C22:C23" si="64">B22/$B$4*1000</f>
        <v>8.5981072021968927</v>
      </c>
      <c r="D22" s="307"/>
      <c r="E22" s="247"/>
      <c r="F22" s="249">
        <f>'data entry '!Q98</f>
        <v>0</v>
      </c>
      <c r="G22" s="249">
        <f>'data entry '!Q53</f>
        <v>51.543755656215922</v>
      </c>
      <c r="H22" s="403">
        <f>+'Budget assumption'!Q333</f>
        <v>-33.412004211426613</v>
      </c>
      <c r="I22" s="250">
        <f t="shared" ref="I22" si="65">B22</f>
        <v>413.13905106556064</v>
      </c>
      <c r="J22" s="313"/>
      <c r="K22" s="313"/>
      <c r="L22" s="313"/>
      <c r="M22" s="313"/>
      <c r="N22" s="605">
        <v>-22.79</v>
      </c>
      <c r="O22" s="314"/>
      <c r="P22" s="313">
        <f t="shared" ref="P22" si="66">SUM(J22:O22)</f>
        <v>-22.79</v>
      </c>
      <c r="Q22" s="313">
        <f>'data entry '!Q131</f>
        <v>36.995220000000003</v>
      </c>
      <c r="R22" s="315">
        <f t="shared" ref="R22:R23" si="67">Q22*1000/$Q$4</f>
        <v>0.83896997460087086</v>
      </c>
      <c r="S22" s="295"/>
      <c r="T22" s="602">
        <f t="shared" si="8"/>
        <v>-353.3538310655606</v>
      </c>
      <c r="U22" s="63"/>
      <c r="W22" s="315">
        <f>SUM(I22:L22)*1000/$Q$4</f>
        <v>9.3690822538452618</v>
      </c>
      <c r="X22" s="315">
        <f t="shared" si="9"/>
        <v>-8.5301122792443902</v>
      </c>
      <c r="Y22" s="315">
        <f t="shared" ref="Y22:Y30" si="68">R22</f>
        <v>0.83896997460087086</v>
      </c>
      <c r="Z22" s="35">
        <f>+SUM(M22:O22)*1000/$Q$4-X22</f>
        <v>8.0132853561674668</v>
      </c>
      <c r="AB22" s="571" t="s">
        <v>530</v>
      </c>
      <c r="AC22" t="s">
        <v>512</v>
      </c>
      <c r="AD22" s="572" t="s">
        <v>531</v>
      </c>
    </row>
    <row r="23" spans="1:30" ht="15" thickBot="1" x14ac:dyDescent="0.35">
      <c r="A23" s="200" t="s">
        <v>92</v>
      </c>
      <c r="B23" s="201">
        <f>+B22+B20</f>
        <v>1683.8711539645492</v>
      </c>
      <c r="C23" s="202">
        <f t="shared" si="64"/>
        <v>35.044144723507785</v>
      </c>
      <c r="D23" s="52"/>
      <c r="E23" s="201">
        <f t="shared" ref="E23:Q23" si="69">+E22+E20</f>
        <v>-91.198885630946222</v>
      </c>
      <c r="F23" s="201">
        <f t="shared" si="69"/>
        <v>1348.3958792982462</v>
      </c>
      <c r="G23" s="201">
        <f t="shared" si="69"/>
        <v>94.175919777356896</v>
      </c>
      <c r="H23" s="201">
        <f t="shared" si="69"/>
        <v>-91.3871543397631</v>
      </c>
      <c r="I23" s="201">
        <f t="shared" si="69"/>
        <v>1592.6722683336029</v>
      </c>
      <c r="J23" s="201">
        <f t="shared" si="69"/>
        <v>-3.6503803926257508</v>
      </c>
      <c r="K23" s="201">
        <f t="shared" si="69"/>
        <v>-11.79</v>
      </c>
      <c r="L23" s="201">
        <f t="shared" si="69"/>
        <v>-89.7</v>
      </c>
      <c r="M23" s="201">
        <f t="shared" si="69"/>
        <v>45.019999999999996</v>
      </c>
      <c r="N23" s="201">
        <f t="shared" si="69"/>
        <v>2.8421479403733478</v>
      </c>
      <c r="O23" s="201">
        <f t="shared" si="69"/>
        <v>0</v>
      </c>
      <c r="P23" s="201">
        <f t="shared" si="69"/>
        <v>-57.278232452252404</v>
      </c>
      <c r="Q23" s="201">
        <f t="shared" si="69"/>
        <v>858.47359000000006</v>
      </c>
      <c r="R23" s="233">
        <f t="shared" si="67"/>
        <v>19.468287146226416</v>
      </c>
      <c r="S23" s="61"/>
      <c r="T23" s="602">
        <f t="shared" si="8"/>
        <v>-676.92044588135047</v>
      </c>
      <c r="U23" s="63"/>
      <c r="W23" s="233">
        <f>SUM(I23:L23)*1000/$Q$4</f>
        <v>33.7339415806644</v>
      </c>
      <c r="X23" s="233">
        <f t="shared" si="9"/>
        <v>-14.265654434437984</v>
      </c>
      <c r="Y23" s="233">
        <f t="shared" si="68"/>
        <v>19.468287146226416</v>
      </c>
      <c r="Z23" s="35">
        <f>+SUM(M23:O23)*1000/$Q$4-X23</f>
        <v>15.351062361242532</v>
      </c>
    </row>
    <row r="24" spans="1:30" ht="15" thickBot="1" x14ac:dyDescent="0.35">
      <c r="A24" s="51"/>
      <c r="B24" s="51"/>
      <c r="C24" s="203"/>
      <c r="D24" s="52"/>
      <c r="E24" s="609"/>
      <c r="F24" s="573"/>
      <c r="G24" s="53"/>
      <c r="H24" s="404"/>
      <c r="I24" s="573"/>
      <c r="J24" s="51"/>
      <c r="K24" s="51"/>
      <c r="L24" s="51"/>
      <c r="M24" s="51"/>
      <c r="N24" s="194"/>
      <c r="O24" s="51"/>
      <c r="P24" s="53"/>
      <c r="Q24" s="51"/>
      <c r="R24" s="195"/>
      <c r="S24" s="61"/>
      <c r="T24" s="603">
        <f t="shared" si="8"/>
        <v>0</v>
      </c>
      <c r="U24" s="51"/>
      <c r="W24" s="195"/>
      <c r="X24" s="195"/>
      <c r="Y24" s="195">
        <f t="shared" si="68"/>
        <v>0</v>
      </c>
      <c r="AB24" s="571" t="s">
        <v>84</v>
      </c>
      <c r="AC24" t="s">
        <v>508</v>
      </c>
      <c r="AD24" t="s">
        <v>511</v>
      </c>
    </row>
    <row r="25" spans="1:30" ht="15" thickBot="1" x14ac:dyDescent="0.35">
      <c r="A25" s="291" t="s">
        <v>76</v>
      </c>
      <c r="B25" s="269">
        <f>'data entry '!Q21</f>
        <v>19</v>
      </c>
      <c r="C25" s="321">
        <f t="shared" ref="C25:C30" si="70">B25/$B$4*1000</f>
        <v>0.3954214360041623</v>
      </c>
      <c r="D25" s="240"/>
      <c r="E25" s="271">
        <f>I25-B25</f>
        <v>-4.2333329197389808</v>
      </c>
      <c r="F25" s="254">
        <f>'data entry '!Q100</f>
        <v>19.811557894736829</v>
      </c>
      <c r="G25" s="254">
        <f>'data entry '!Q55</f>
        <v>-5.0448908144758109</v>
      </c>
      <c r="H25" s="401"/>
      <c r="I25" s="303">
        <f>F25+G25</f>
        <v>14.766667080261019</v>
      </c>
      <c r="J25" s="317"/>
      <c r="K25" s="317">
        <f>+(0.4-0.54)*Q4/1000-0.49</f>
        <v>-6.6634400000000005</v>
      </c>
      <c r="L25" s="317"/>
      <c r="M25" s="318">
        <f>-519.09/1000</f>
        <v>-0.51909000000000005</v>
      </c>
      <c r="N25" s="317">
        <v>1.2846766966483594</v>
      </c>
      <c r="O25" s="304"/>
      <c r="P25" s="304">
        <f t="shared" ref="P25:P29" si="71">SUM(J25:O25)</f>
        <v>-5.8978533033516412</v>
      </c>
      <c r="Q25" s="305">
        <f>'data entry '!Q133</f>
        <v>50.457409999999996</v>
      </c>
      <c r="R25" s="405">
        <f t="shared" ref="R25:R30" si="72">Q25*1000/$Q$4</f>
        <v>1.1442627449201741</v>
      </c>
      <c r="S25" s="61"/>
      <c r="T25" s="602">
        <f t="shared" si="8"/>
        <v>41.588596223090619</v>
      </c>
      <c r="U25" s="63"/>
      <c r="W25" s="405">
        <f t="shared" ref="W25:W30" si="73">SUM(I25:L25)*1000/$Q$4</f>
        <v>0.18376331368516458</v>
      </c>
      <c r="X25" s="405">
        <f t="shared" si="9"/>
        <v>0.96049943123500947</v>
      </c>
      <c r="Y25" s="405">
        <f t="shared" si="68"/>
        <v>1.1442627449201741</v>
      </c>
      <c r="Z25" s="35">
        <f t="shared" ref="Z25:Z30" si="74">+SUM(M25:O25)*1000/$Q$4-X25</f>
        <v>-0.94313761391261375</v>
      </c>
    </row>
    <row r="26" spans="1:30" ht="15" thickBot="1" x14ac:dyDescent="0.35">
      <c r="A26" s="292" t="s">
        <v>77</v>
      </c>
      <c r="B26" s="56">
        <f>'data entry '!Q22</f>
        <v>-48</v>
      </c>
      <c r="C26" s="322">
        <f t="shared" si="70"/>
        <v>-0.99895941727367332</v>
      </c>
      <c r="D26" s="240"/>
      <c r="E26" s="239">
        <f>I26-B26</f>
        <v>10.21322736842103</v>
      </c>
      <c r="F26" s="254">
        <f>'data entry '!Q101</f>
        <v>-48.888272631578957</v>
      </c>
      <c r="G26" s="254">
        <f>'data entry '!Q56</f>
        <v>11.101499999999987</v>
      </c>
      <c r="H26" s="401"/>
      <c r="I26" s="242">
        <f>F26+G26</f>
        <v>-37.78677263157897</v>
      </c>
      <c r="J26" s="310"/>
      <c r="K26" s="607">
        <v>6</v>
      </c>
      <c r="L26" s="310"/>
      <c r="M26" s="606">
        <f>-1-10.13</f>
        <v>-11.13</v>
      </c>
      <c r="N26" s="310">
        <v>-2</v>
      </c>
      <c r="O26" s="236"/>
      <c r="P26" s="236">
        <f t="shared" si="71"/>
        <v>-7.1300000000000008</v>
      </c>
      <c r="Q26" s="309">
        <f>'data entry '!Q134</f>
        <v>-53.893480000000004</v>
      </c>
      <c r="R26" s="406">
        <f t="shared" si="72"/>
        <v>-1.2221852322206097</v>
      </c>
      <c r="S26" s="61"/>
      <c r="T26" s="602">
        <f t="shared" si="8"/>
        <v>-8.9767073684210335</v>
      </c>
      <c r="U26" s="63"/>
      <c r="W26" s="406">
        <f t="shared" si="73"/>
        <v>-0.72085387861889894</v>
      </c>
      <c r="X26" s="406">
        <f t="shared" si="9"/>
        <v>-0.50133135360171077</v>
      </c>
      <c r="Y26" s="406">
        <f t="shared" si="68"/>
        <v>-1.2221852322206097</v>
      </c>
      <c r="Z26" s="35">
        <f t="shared" si="74"/>
        <v>0.2035719196394466</v>
      </c>
      <c r="AB26" s="571" t="s">
        <v>76</v>
      </c>
      <c r="AC26" t="s">
        <v>508</v>
      </c>
      <c r="AD26" t="s">
        <v>510</v>
      </c>
    </row>
    <row r="27" spans="1:30" ht="15" thickBot="1" x14ac:dyDescent="0.35">
      <c r="A27" s="292" t="s">
        <v>144</v>
      </c>
      <c r="B27" s="56">
        <f>'data entry '!Q23</f>
        <v>0</v>
      </c>
      <c r="C27" s="322">
        <f t="shared" si="70"/>
        <v>0</v>
      </c>
      <c r="D27" s="240"/>
      <c r="E27" s="239"/>
      <c r="F27" s="254">
        <f>'data entry '!Q102</f>
        <v>0</v>
      </c>
      <c r="G27" s="254">
        <f>'data entry '!Q57</f>
        <v>0</v>
      </c>
      <c r="H27" s="401"/>
      <c r="I27" s="242">
        <f t="shared" ref="I27" si="75">F27+G27</f>
        <v>0</v>
      </c>
      <c r="J27" s="310"/>
      <c r="K27" s="310">
        <v>-0.23</v>
      </c>
      <c r="L27" s="310"/>
      <c r="M27" s="316">
        <v>-2.5</v>
      </c>
      <c r="N27" s="310"/>
      <c r="O27" s="236"/>
      <c r="P27" s="236">
        <f t="shared" si="71"/>
        <v>-2.73</v>
      </c>
      <c r="Q27" s="309">
        <f>'data entry '!Q135</f>
        <v>65.577179999999998</v>
      </c>
      <c r="R27" s="406">
        <f t="shared" si="72"/>
        <v>1.4871457728592161</v>
      </c>
      <c r="S27" s="61"/>
      <c r="T27" s="602">
        <f t="shared" si="8"/>
        <v>68.307180000000002</v>
      </c>
      <c r="U27" s="63"/>
      <c r="W27" s="406">
        <f t="shared" si="73"/>
        <v>-5.2158925979680698E-3</v>
      </c>
      <c r="X27" s="406">
        <f t="shared" si="9"/>
        <v>1.4923616654571843</v>
      </c>
      <c r="Y27" s="406">
        <f t="shared" si="68"/>
        <v>1.4871457728592161</v>
      </c>
      <c r="Z27" s="35">
        <f t="shared" si="74"/>
        <v>-1.5490561502177067</v>
      </c>
    </row>
    <row r="28" spans="1:30" ht="15" thickBot="1" x14ac:dyDescent="0.35">
      <c r="A28" s="292" t="s">
        <v>85</v>
      </c>
      <c r="B28" s="56">
        <f>'data entry '!Q24</f>
        <v>9</v>
      </c>
      <c r="C28" s="322">
        <f t="shared" si="70"/>
        <v>0.18730489073881373</v>
      </c>
      <c r="D28" s="240"/>
      <c r="E28" s="239"/>
      <c r="F28" s="254">
        <f>'data entry '!Q103</f>
        <v>0</v>
      </c>
      <c r="G28" s="254">
        <f>'data entry '!Q58</f>
        <v>9</v>
      </c>
      <c r="H28" s="401">
        <f>'Budget assumption'!Q328</f>
        <v>0</v>
      </c>
      <c r="I28" s="242">
        <f>B28</f>
        <v>9</v>
      </c>
      <c r="J28" s="310"/>
      <c r="K28" s="310">
        <v>-35.07</v>
      </c>
      <c r="L28" s="310"/>
      <c r="M28" s="316"/>
      <c r="N28" s="310"/>
      <c r="O28" s="236"/>
      <c r="P28" s="236">
        <f t="shared" si="71"/>
        <v>-35.07</v>
      </c>
      <c r="Q28" s="309">
        <f>'data entry '!Q136</f>
        <v>-177.1679</v>
      </c>
      <c r="R28" s="406">
        <f t="shared" si="72"/>
        <v>-4.0177771226415091</v>
      </c>
      <c r="S28" s="61"/>
      <c r="T28" s="602">
        <f t="shared" si="8"/>
        <v>-151.09790000000001</v>
      </c>
      <c r="U28" s="63"/>
      <c r="W28" s="406">
        <f t="shared" si="73"/>
        <v>-0.5912100870827286</v>
      </c>
      <c r="X28" s="406">
        <f t="shared" si="9"/>
        <v>-3.4265670355587803</v>
      </c>
      <c r="Y28" s="406">
        <f t="shared" si="68"/>
        <v>-4.0177771226415091</v>
      </c>
      <c r="Z28" s="35">
        <f t="shared" si="74"/>
        <v>3.4265670355587803</v>
      </c>
      <c r="AB28" s="571" t="s">
        <v>77</v>
      </c>
      <c r="AC28" t="s">
        <v>508</v>
      </c>
    </row>
    <row r="29" spans="1:30" x14ac:dyDescent="0.3">
      <c r="A29" s="306" t="s">
        <v>145</v>
      </c>
      <c r="B29" s="323">
        <f>'data entry '!Q25</f>
        <v>0</v>
      </c>
      <c r="C29" s="324">
        <f t="shared" si="70"/>
        <v>0</v>
      </c>
      <c r="D29" s="240"/>
      <c r="E29" s="239"/>
      <c r="F29" s="254">
        <f>'data entry '!Q104</f>
        <v>0</v>
      </c>
      <c r="G29" s="254">
        <f>'data entry '!Q59</f>
        <v>0</v>
      </c>
      <c r="H29" s="401"/>
      <c r="I29" s="242">
        <f>B29</f>
        <v>0</v>
      </c>
      <c r="J29" s="310"/>
      <c r="K29" s="310"/>
      <c r="L29" s="310"/>
      <c r="M29" s="316"/>
      <c r="N29" s="310"/>
      <c r="O29" s="236"/>
      <c r="P29" s="236">
        <f t="shared" si="71"/>
        <v>0</v>
      </c>
      <c r="Q29" s="407">
        <f>'data entry '!Q137</f>
        <v>0</v>
      </c>
      <c r="R29" s="406">
        <f t="shared" si="72"/>
        <v>0</v>
      </c>
      <c r="S29" s="61"/>
      <c r="T29" s="602">
        <f t="shared" si="8"/>
        <v>0</v>
      </c>
      <c r="U29" s="63"/>
      <c r="W29" s="406">
        <f t="shared" si="73"/>
        <v>0</v>
      </c>
      <c r="X29" s="406">
        <f t="shared" si="9"/>
        <v>0</v>
      </c>
      <c r="Y29" s="406">
        <f t="shared" si="68"/>
        <v>0</v>
      </c>
      <c r="Z29" s="35">
        <f t="shared" si="74"/>
        <v>0</v>
      </c>
      <c r="AC29" t="s">
        <v>512</v>
      </c>
    </row>
    <row r="30" spans="1:30" ht="15" thickBot="1" x14ac:dyDescent="0.35">
      <c r="A30" s="200" t="s">
        <v>146</v>
      </c>
      <c r="B30" s="201">
        <f>SUM(B25:B29)</f>
        <v>-20</v>
      </c>
      <c r="C30" s="218">
        <f t="shared" si="70"/>
        <v>-0.41623309053069718</v>
      </c>
      <c r="D30" s="240"/>
      <c r="E30" s="201">
        <f t="shared" ref="E30" si="76">SUM(E25:E29)</f>
        <v>5.9798944486820496</v>
      </c>
      <c r="F30" s="201">
        <f t="shared" ref="F30" si="77">SUM(F25:F29)</f>
        <v>-29.076714736842128</v>
      </c>
      <c r="G30" s="201">
        <f t="shared" ref="G30" si="78">SUM(G25:G29)</f>
        <v>15.056609185524177</v>
      </c>
      <c r="H30" s="201">
        <f t="shared" ref="H30" si="79">SUM(H25:H29)</f>
        <v>0</v>
      </c>
      <c r="I30" s="201">
        <f t="shared" ref="I30" si="80">SUM(I25:I29)</f>
        <v>-14.02010555131795</v>
      </c>
      <c r="J30" s="201">
        <f t="shared" ref="J30" si="81">SUM(J25:J29)</f>
        <v>0</v>
      </c>
      <c r="K30" s="201">
        <f t="shared" ref="K30" si="82">SUM(K25:K29)</f>
        <v>-35.963439999999999</v>
      </c>
      <c r="L30" s="201">
        <f t="shared" ref="L30" si="83">SUM(L25:L29)</f>
        <v>0</v>
      </c>
      <c r="M30" s="201">
        <f t="shared" ref="M30" si="84">SUM(M25:M29)</f>
        <v>-14.149090000000001</v>
      </c>
      <c r="N30" s="234">
        <f t="shared" ref="N30" si="85">SUM(N25:N29)</f>
        <v>-0.71532330335164063</v>
      </c>
      <c r="O30" s="201">
        <f t="shared" ref="O30" si="86">SUM(O25:O29)</f>
        <v>0</v>
      </c>
      <c r="P30" s="201">
        <f t="shared" ref="P30" si="87">SUM(P25:P29)</f>
        <v>-50.827853303351645</v>
      </c>
      <c r="Q30" s="201">
        <f t="shared" ref="Q30" si="88">SUM(Q25:Q29)</f>
        <v>-115.02679000000001</v>
      </c>
      <c r="R30" s="218">
        <f t="shared" si="72"/>
        <v>-2.6085538370827286</v>
      </c>
      <c r="T30" s="602">
        <f t="shared" si="8"/>
        <v>-50.178831145330406</v>
      </c>
      <c r="W30" s="218">
        <f t="shared" si="73"/>
        <v>-1.1335165446144309</v>
      </c>
      <c r="X30" s="218">
        <f t="shared" si="9"/>
        <v>-1.4750372924682977</v>
      </c>
      <c r="Y30" s="218">
        <f t="shared" si="68"/>
        <v>-2.6085538370827286</v>
      </c>
      <c r="Z30" s="35">
        <f t="shared" si="74"/>
        <v>1.1379451910679068</v>
      </c>
    </row>
    <row r="31" spans="1:30" ht="15" thickBot="1" x14ac:dyDescent="0.35">
      <c r="A31" s="51"/>
      <c r="H31" s="159"/>
      <c r="N31" s="105"/>
      <c r="T31" s="602">
        <f t="shared" si="8"/>
        <v>0</v>
      </c>
      <c r="W31" s="50"/>
      <c r="X31" s="50"/>
      <c r="Y31" s="50"/>
      <c r="AB31" s="571" t="s">
        <v>85</v>
      </c>
      <c r="AC31" t="s">
        <v>508</v>
      </c>
      <c r="AD31" s="572" t="s">
        <v>509</v>
      </c>
    </row>
    <row r="32" spans="1:30" ht="15" thickBot="1" x14ac:dyDescent="0.35">
      <c r="A32" s="2" t="s">
        <v>148</v>
      </c>
      <c r="B32" s="325">
        <f>'data entry '!Q27</f>
        <v>90.697222500000009</v>
      </c>
      <c r="C32" s="321">
        <f t="shared" ref="C32:C33" si="89">B32/$B$4*1000</f>
        <v>1.8875592611862644</v>
      </c>
      <c r="E32" s="271"/>
      <c r="F32" s="254">
        <f>'data entry '!Q106</f>
        <v>64.814166785348817</v>
      </c>
      <c r="G32" s="254">
        <f>'data entry '!Q61</f>
        <v>7.1875051737217923</v>
      </c>
      <c r="H32" s="401">
        <f>'Budget assumption'!Q335</f>
        <v>-7.7164361993204906</v>
      </c>
      <c r="I32" s="319">
        <f>B32</f>
        <v>90.697222500000009</v>
      </c>
      <c r="J32" s="317"/>
      <c r="K32" s="317"/>
      <c r="L32" s="317"/>
      <c r="M32" s="318"/>
      <c r="N32" s="317">
        <v>-1.81</v>
      </c>
      <c r="O32" s="304"/>
      <c r="P32" s="304">
        <f t="shared" ref="P32:P33" si="90">SUM(J32:O32)</f>
        <v>-1.81</v>
      </c>
      <c r="Q32" s="305">
        <f>'data entry '!Q139</f>
        <v>89.415120000000002</v>
      </c>
      <c r="R32" s="405">
        <f t="shared" ref="R32:R35" si="91">Q32*1000/$Q$4</f>
        <v>2.0277376632801158</v>
      </c>
      <c r="T32" s="602">
        <f t="shared" si="8"/>
        <v>0.52789749999999236</v>
      </c>
      <c r="W32" s="405">
        <f>SUM(I32:L32)*1000/$Q$4</f>
        <v>2.0568129195391873</v>
      </c>
      <c r="X32" s="405">
        <f t="shared" si="9"/>
        <v>-2.907525625907148E-2</v>
      </c>
      <c r="Y32" s="405">
        <f>R32</f>
        <v>2.0277376632801158</v>
      </c>
      <c r="Z32" s="35">
        <f>+SUM(M32:O32)*1000/$Q$4-X32</f>
        <v>-1.197155070754681E-2</v>
      </c>
    </row>
    <row r="33" spans="1:30" ht="15" thickBot="1" x14ac:dyDescent="0.35">
      <c r="A33" s="270" t="s">
        <v>149</v>
      </c>
      <c r="B33" s="326">
        <f>'data entry '!Q28</f>
        <v>94.532002141180826</v>
      </c>
      <c r="C33" s="324">
        <f t="shared" si="89"/>
        <v>1.9673673702639087</v>
      </c>
      <c r="E33" s="239"/>
      <c r="F33" s="254">
        <f>'data entry '!Q107</f>
        <v>67.554581986581184</v>
      </c>
      <c r="G33" s="254">
        <f>'data entry '!Q62</f>
        <v>23.993520639321886</v>
      </c>
      <c r="H33" s="401">
        <f>'Budget assumption'!Q336</f>
        <v>-6.5178725246955791</v>
      </c>
      <c r="I33" s="320">
        <f>B33</f>
        <v>94.532002141180826</v>
      </c>
      <c r="J33" s="310"/>
      <c r="K33" s="310"/>
      <c r="L33" s="310"/>
      <c r="M33" s="316">
        <v>24.48</v>
      </c>
      <c r="N33" s="310"/>
      <c r="O33" s="236"/>
      <c r="P33" s="236">
        <f t="shared" si="90"/>
        <v>24.48</v>
      </c>
      <c r="Q33" s="407">
        <f>'data entry '!Q140</f>
        <v>68.807230000000004</v>
      </c>
      <c r="R33" s="406">
        <f t="shared" si="91"/>
        <v>1.5603961810595068</v>
      </c>
      <c r="T33" s="602">
        <f t="shared" si="8"/>
        <v>-50.204772141180825</v>
      </c>
      <c r="W33" s="406">
        <f>SUM(I33:L33)*1000/$Q$4</f>
        <v>2.1437772619099427</v>
      </c>
      <c r="X33" s="406">
        <f t="shared" si="9"/>
        <v>-0.58338108085043583</v>
      </c>
      <c r="Y33" s="406">
        <f>R33</f>
        <v>1.5603961810595068</v>
      </c>
      <c r="Z33" s="35">
        <f>+SUM(M33:O33)*1000/$Q$4-X33</f>
        <v>1.1385334756254721</v>
      </c>
      <c r="AB33" s="571" t="s">
        <v>149</v>
      </c>
      <c r="AC33" t="s">
        <v>512</v>
      </c>
      <c r="AD33" t="s">
        <v>545</v>
      </c>
    </row>
    <row r="34" spans="1:30" x14ac:dyDescent="0.3">
      <c r="A34" s="200" t="s">
        <v>150</v>
      </c>
      <c r="B34" s="201">
        <f>B32+B33</f>
        <v>185.22922464118085</v>
      </c>
      <c r="C34" s="218">
        <f>B34/$B$4*1000</f>
        <v>3.8549266314501738</v>
      </c>
      <c r="E34" s="201">
        <f t="shared" ref="E34" si="92">E32+E33</f>
        <v>0</v>
      </c>
      <c r="F34" s="201">
        <f t="shared" ref="F34" si="93">F32+F33</f>
        <v>132.36874877193</v>
      </c>
      <c r="G34" s="201">
        <f t="shared" ref="G34" si="94">G32+G33</f>
        <v>31.181025813043679</v>
      </c>
      <c r="H34" s="201">
        <f t="shared" ref="H34" si="95">H32+H33</f>
        <v>-14.234308724016071</v>
      </c>
      <c r="I34" s="201">
        <f t="shared" ref="I34" si="96">I32+I33</f>
        <v>185.22922464118085</v>
      </c>
      <c r="J34" s="201">
        <f t="shared" ref="J34" si="97">J32+J33</f>
        <v>0</v>
      </c>
      <c r="K34" s="201">
        <f t="shared" ref="K34" si="98">K32+K33</f>
        <v>0</v>
      </c>
      <c r="L34" s="201">
        <f t="shared" ref="L34" si="99">L32+L33</f>
        <v>0</v>
      </c>
      <c r="M34" s="201">
        <f t="shared" ref="M34" si="100">M32+M33</f>
        <v>24.48</v>
      </c>
      <c r="N34" s="234">
        <f t="shared" ref="N34" si="101">N32+N33</f>
        <v>-1.81</v>
      </c>
      <c r="O34" s="201">
        <f t="shared" ref="O34" si="102">O32+O33</f>
        <v>0</v>
      </c>
      <c r="P34" s="201">
        <f t="shared" ref="P34" si="103">P32+P33</f>
        <v>22.67</v>
      </c>
      <c r="Q34" s="201">
        <f t="shared" ref="Q34" si="104">Q32+Q33</f>
        <v>158.22235000000001</v>
      </c>
      <c r="R34" s="218">
        <f t="shared" si="91"/>
        <v>3.5881338443396227</v>
      </c>
      <c r="T34" s="602">
        <f t="shared" si="8"/>
        <v>-49.676874641180845</v>
      </c>
      <c r="W34" s="218">
        <f>SUM(I34:L34)*1000/$Q$4</f>
        <v>4.2005901814491304</v>
      </c>
      <c r="X34" s="218">
        <f t="shared" si="9"/>
        <v>-0.61245633710950775</v>
      </c>
      <c r="Y34" s="218">
        <f>R34</f>
        <v>3.5881338443396227</v>
      </c>
      <c r="Z34" s="35">
        <f>+SUM(M34:O34)*1000/$Q$4-X34</f>
        <v>1.1265619249179257</v>
      </c>
      <c r="AD34" t="s">
        <v>544</v>
      </c>
    </row>
    <row r="35" spans="1:30" x14ac:dyDescent="0.3">
      <c r="A35" s="51"/>
      <c r="H35" s="159"/>
      <c r="N35" s="105"/>
      <c r="R35">
        <f t="shared" si="91"/>
        <v>0</v>
      </c>
      <c r="T35" s="602">
        <f t="shared" si="8"/>
        <v>0</v>
      </c>
      <c r="AD35" s="608" t="s">
        <v>543</v>
      </c>
    </row>
    <row r="36" spans="1:30" x14ac:dyDescent="0.3">
      <c r="A36" s="200" t="s">
        <v>152</v>
      </c>
      <c r="B36" s="201">
        <f>B23+B30+B34</f>
        <v>1849.1003786057299</v>
      </c>
      <c r="C36" s="218">
        <f>B36/$B$4*1000</f>
        <v>38.482838264427265</v>
      </c>
      <c r="E36" s="201">
        <f t="shared" ref="E36:Q36" si="105">E23+E30+E34</f>
        <v>-85.218991182264176</v>
      </c>
      <c r="F36" s="201">
        <f t="shared" si="105"/>
        <v>1451.6879133333341</v>
      </c>
      <c r="G36" s="201">
        <f t="shared" si="105"/>
        <v>140.41355477592475</v>
      </c>
      <c r="H36" s="201">
        <f t="shared" si="105"/>
        <v>-105.62146306377917</v>
      </c>
      <c r="I36" s="201">
        <f>I23+I30+I34</f>
        <v>1763.8813874234656</v>
      </c>
      <c r="J36" s="201">
        <f t="shared" si="105"/>
        <v>-3.6503803926257508</v>
      </c>
      <c r="K36" s="201">
        <f t="shared" si="105"/>
        <v>-47.753439999999998</v>
      </c>
      <c r="L36" s="201">
        <f t="shared" si="105"/>
        <v>-89.7</v>
      </c>
      <c r="M36" s="201">
        <f t="shared" si="105"/>
        <v>55.350909999999999</v>
      </c>
      <c r="N36" s="201">
        <f t="shared" si="105"/>
        <v>0.31682463702170738</v>
      </c>
      <c r="O36" s="201">
        <f t="shared" si="105"/>
        <v>0</v>
      </c>
      <c r="P36" s="201">
        <f t="shared" si="105"/>
        <v>-85.436085755604054</v>
      </c>
      <c r="Q36" s="201">
        <f t="shared" si="105"/>
        <v>901.66915000000006</v>
      </c>
      <c r="R36" s="218">
        <f>Q36*1000/$Q$4</f>
        <v>20.447867153483308</v>
      </c>
      <c r="T36" s="602">
        <f t="shared" si="8"/>
        <v>-776.77615166786154</v>
      </c>
      <c r="W36" s="218">
        <f>SUM(I36:L36)*1000/$Q$4</f>
        <v>36.801015217499092</v>
      </c>
      <c r="X36" s="218">
        <f t="shared" si="9"/>
        <v>-16.353148064015784</v>
      </c>
      <c r="Y36" s="218">
        <f>R36</f>
        <v>20.447867153483308</v>
      </c>
      <c r="Z36" s="35">
        <f>+SUM(M36:O36)*1000/$Q$4-X36</f>
        <v>17.615569477228359</v>
      </c>
    </row>
    <row r="38" spans="1:30" ht="21" x14ac:dyDescent="0.4">
      <c r="A38" s="74" t="s">
        <v>507</v>
      </c>
      <c r="B38" s="107"/>
      <c r="C38" s="23"/>
      <c r="I38" s="35"/>
      <c r="J38" s="105"/>
      <c r="K38" s="105"/>
      <c r="L38" s="105"/>
      <c r="M38" s="105"/>
      <c r="O38" s="105"/>
      <c r="P38" s="35"/>
      <c r="Q38" s="23"/>
      <c r="R38" s="23"/>
    </row>
    <row r="40" spans="1:30" ht="15" thickBot="1" x14ac:dyDescent="0.35"/>
    <row r="41" spans="1:30" ht="15" thickBot="1" x14ac:dyDescent="0.35">
      <c r="A41" s="571" t="s">
        <v>158</v>
      </c>
      <c r="B41" t="s">
        <v>539</v>
      </c>
      <c r="C41" s="572" t="s">
        <v>542</v>
      </c>
      <c r="N41" s="35"/>
    </row>
    <row r="42" spans="1:30" x14ac:dyDescent="0.3">
      <c r="B42" t="s">
        <v>508</v>
      </c>
      <c r="C42" t="s">
        <v>540</v>
      </c>
    </row>
    <row r="43" spans="1:30" x14ac:dyDescent="0.3">
      <c r="B43" t="s">
        <v>512</v>
      </c>
      <c r="C43" t="s">
        <v>541</v>
      </c>
    </row>
    <row r="44" spans="1:30" ht="15" thickBot="1" x14ac:dyDescent="0.35"/>
    <row r="45" spans="1:30" ht="15" thickBot="1" x14ac:dyDescent="0.35">
      <c r="A45" s="571" t="s">
        <v>80</v>
      </c>
      <c r="B45" t="s">
        <v>508</v>
      </c>
      <c r="C45" t="s">
        <v>532</v>
      </c>
    </row>
    <row r="46" spans="1:30" x14ac:dyDescent="0.3">
      <c r="B46" t="s">
        <v>512</v>
      </c>
      <c r="C46" t="s">
        <v>533</v>
      </c>
    </row>
    <row r="47" spans="1:30" ht="15" thickBot="1" x14ac:dyDescent="0.35"/>
    <row r="48" spans="1:30" ht="15" thickBot="1" x14ac:dyDescent="0.35">
      <c r="A48" s="571" t="s">
        <v>81</v>
      </c>
      <c r="B48" t="s">
        <v>508</v>
      </c>
      <c r="C48" s="572" t="s">
        <v>534</v>
      </c>
    </row>
    <row r="49" spans="1:14" x14ac:dyDescent="0.3">
      <c r="B49" t="s">
        <v>512</v>
      </c>
      <c r="C49" t="s">
        <v>535</v>
      </c>
    </row>
    <row r="50" spans="1:14" ht="15" thickBot="1" x14ac:dyDescent="0.35"/>
    <row r="51" spans="1:14" ht="15" thickBot="1" x14ac:dyDescent="0.35">
      <c r="A51" s="571" t="s">
        <v>75</v>
      </c>
      <c r="B51" t="s">
        <v>508</v>
      </c>
      <c r="C51" s="572" t="s">
        <v>529</v>
      </c>
    </row>
    <row r="52" spans="1:14" x14ac:dyDescent="0.3">
      <c r="B52" t="s">
        <v>512</v>
      </c>
      <c r="C52" s="572" t="s">
        <v>513</v>
      </c>
    </row>
    <row r="53" spans="1:14" ht="15" thickBot="1" x14ac:dyDescent="0.35"/>
    <row r="54" spans="1:14" ht="15" thickBot="1" x14ac:dyDescent="0.35">
      <c r="A54" s="571" t="s">
        <v>536</v>
      </c>
      <c r="B54" t="s">
        <v>508</v>
      </c>
      <c r="C54" s="572" t="s">
        <v>538</v>
      </c>
    </row>
    <row r="55" spans="1:14" x14ac:dyDescent="0.3">
      <c r="B55" t="s">
        <v>512</v>
      </c>
      <c r="C55" s="572" t="s">
        <v>537</v>
      </c>
    </row>
    <row r="56" spans="1:14" ht="15" thickBot="1" x14ac:dyDescent="0.35"/>
    <row r="57" spans="1:14" ht="15" thickBot="1" x14ac:dyDescent="0.35">
      <c r="A57" s="571" t="s">
        <v>530</v>
      </c>
      <c r="B57" t="s">
        <v>512</v>
      </c>
      <c r="C57" s="572" t="s">
        <v>531</v>
      </c>
    </row>
    <row r="58" spans="1:14" ht="15" thickBot="1" x14ac:dyDescent="0.35"/>
    <row r="59" spans="1:14" ht="15" thickBot="1" x14ac:dyDescent="0.35">
      <c r="A59" s="571" t="s">
        <v>84</v>
      </c>
      <c r="B59" t="s">
        <v>508</v>
      </c>
      <c r="C59" t="s">
        <v>511</v>
      </c>
    </row>
    <row r="60" spans="1:14" ht="15" thickBot="1" x14ac:dyDescent="0.35"/>
    <row r="61" spans="1:14" ht="15" thickBot="1" x14ac:dyDescent="0.35">
      <c r="A61" s="571" t="s">
        <v>76</v>
      </c>
      <c r="B61" t="s">
        <v>508</v>
      </c>
      <c r="C61" t="s">
        <v>510</v>
      </c>
    </row>
    <row r="62" spans="1:14" ht="15" thickBot="1" x14ac:dyDescent="0.35">
      <c r="N62" s="107"/>
    </row>
    <row r="63" spans="1:14" ht="15" thickBot="1" x14ac:dyDescent="0.35">
      <c r="A63" s="571" t="s">
        <v>77</v>
      </c>
      <c r="B63" t="s">
        <v>508</v>
      </c>
      <c r="N63" s="107"/>
    </row>
    <row r="64" spans="1:14" x14ac:dyDescent="0.3">
      <c r="B64" t="s">
        <v>512</v>
      </c>
      <c r="N64" s="107"/>
    </row>
    <row r="65" spans="1:14" ht="15" thickBot="1" x14ac:dyDescent="0.35">
      <c r="N65" s="107"/>
    </row>
    <row r="66" spans="1:14" ht="15" thickBot="1" x14ac:dyDescent="0.35">
      <c r="A66" s="571" t="s">
        <v>85</v>
      </c>
      <c r="B66" t="s">
        <v>508</v>
      </c>
      <c r="C66" s="572" t="s">
        <v>509</v>
      </c>
    </row>
    <row r="67" spans="1:14" ht="15" thickBot="1" x14ac:dyDescent="0.35"/>
    <row r="68" spans="1:14" ht="15" thickBot="1" x14ac:dyDescent="0.35">
      <c r="A68" s="571" t="s">
        <v>149</v>
      </c>
      <c r="B68" t="s">
        <v>512</v>
      </c>
      <c r="C68" t="s">
        <v>545</v>
      </c>
    </row>
    <row r="69" spans="1:14" x14ac:dyDescent="0.3">
      <c r="C69" t="s">
        <v>544</v>
      </c>
    </row>
    <row r="70" spans="1:14" x14ac:dyDescent="0.3">
      <c r="C70" t="s">
        <v>543</v>
      </c>
    </row>
  </sheetData>
  <mergeCells count="18">
    <mergeCell ref="A2:A3"/>
    <mergeCell ref="B2:C3"/>
    <mergeCell ref="D2:D3"/>
    <mergeCell ref="E2:E3"/>
    <mergeCell ref="F2:F3"/>
    <mergeCell ref="B4:C4"/>
    <mergeCell ref="Q4:R4"/>
    <mergeCell ref="N2:N3"/>
    <mergeCell ref="O2:O3"/>
    <mergeCell ref="P2:P3"/>
    <mergeCell ref="Q2:R3"/>
    <mergeCell ref="H2:H3"/>
    <mergeCell ref="I2:I3"/>
    <mergeCell ref="J2:J3"/>
    <mergeCell ref="K2:K3"/>
    <mergeCell ref="L2:L3"/>
    <mergeCell ref="M2:M3"/>
    <mergeCell ref="G2:G3"/>
  </mergeCells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BD70-9E44-414C-9EE4-4D34F3049FD1}">
  <sheetPr>
    <tabColor rgb="FF0070C0"/>
  </sheetPr>
  <dimension ref="A1:U41"/>
  <sheetViews>
    <sheetView showGridLines="0" zoomScale="75" zoomScaleNormal="75" workbookViewId="0">
      <selection activeCell="H33" sqref="H33"/>
    </sheetView>
  </sheetViews>
  <sheetFormatPr defaultRowHeight="14.4" outlineLevelCol="1" x14ac:dyDescent="0.3"/>
  <cols>
    <col min="1" max="1" width="61.77734375" customWidth="1"/>
    <col min="2" max="2" width="10.5546875" customWidth="1"/>
    <col min="3" max="3" width="8.5546875" customWidth="1"/>
    <col min="4" max="4" width="6.77734375" bestFit="1" customWidth="1"/>
    <col min="5" max="5" width="11.44140625" customWidth="1"/>
    <col min="6" max="6" width="9.44140625" hidden="1" customWidth="1" outlineLevel="1"/>
    <col min="7" max="7" width="10.88671875" hidden="1" customWidth="1" outlineLevel="1"/>
    <col min="8" max="8" width="9.5546875" hidden="1" customWidth="1" outlineLevel="1"/>
    <col min="9" max="9" width="11.5546875" customWidth="1" collapsed="1"/>
    <col min="10" max="14" width="11.21875" customWidth="1" outlineLevel="1"/>
    <col min="15" max="15" width="12.44140625" customWidth="1" outlineLevel="1"/>
    <col min="16" max="16" width="10.21875" customWidth="1"/>
    <col min="17" max="17" width="9.44140625" customWidth="1"/>
    <col min="18" max="18" width="7.77734375" style="50" bestFit="1" customWidth="1"/>
    <col min="19" max="19" width="6.5546875" style="50" bestFit="1" customWidth="1"/>
    <col min="20" max="20" width="9.5546875" style="50" bestFit="1" customWidth="1"/>
    <col min="21" max="21" width="1.44140625" style="50" customWidth="1"/>
  </cols>
  <sheetData>
    <row r="1" spans="1:21" x14ac:dyDescent="0.3">
      <c r="A1" s="51"/>
      <c r="B1" s="51"/>
      <c r="C1" s="51"/>
      <c r="D1" s="52"/>
      <c r="E1" s="51"/>
      <c r="F1" s="53"/>
      <c r="G1" s="53"/>
      <c r="H1" s="53"/>
      <c r="I1" s="53"/>
      <c r="J1" s="51"/>
      <c r="K1" s="190"/>
      <c r="L1" s="51"/>
      <c r="M1" s="51"/>
      <c r="N1" s="51"/>
      <c r="O1" s="51"/>
      <c r="P1" s="53"/>
      <c r="Q1" s="190"/>
      <c r="R1" s="51"/>
      <c r="S1" s="51"/>
      <c r="T1" s="51"/>
      <c r="U1" s="51"/>
    </row>
    <row r="2" spans="1:21" ht="14.55" customHeight="1" x14ac:dyDescent="0.3">
      <c r="A2" s="742" t="s">
        <v>440</v>
      </c>
      <c r="B2" s="751" t="s">
        <v>59</v>
      </c>
      <c r="C2" s="752"/>
      <c r="D2" s="755"/>
      <c r="E2" s="742" t="s">
        <v>60</v>
      </c>
      <c r="F2" s="787" t="s">
        <v>61</v>
      </c>
      <c r="G2" s="785" t="s">
        <v>62</v>
      </c>
      <c r="H2" s="783" t="s">
        <v>63</v>
      </c>
      <c r="I2" s="742" t="s">
        <v>64</v>
      </c>
      <c r="J2" s="779" t="s">
        <v>370</v>
      </c>
      <c r="K2" s="779" t="s">
        <v>45</v>
      </c>
      <c r="L2" s="779" t="s">
        <v>47</v>
      </c>
      <c r="M2" s="779" t="s">
        <v>49</v>
      </c>
      <c r="N2" s="779" t="s">
        <v>51</v>
      </c>
      <c r="O2" s="779" t="s">
        <v>55</v>
      </c>
      <c r="P2" s="781" t="s">
        <v>65</v>
      </c>
      <c r="Q2" s="744" t="s">
        <v>57</v>
      </c>
      <c r="R2" s="745"/>
      <c r="S2" s="60"/>
      <c r="T2" s="60"/>
      <c r="U2" s="60"/>
    </row>
    <row r="3" spans="1:21" x14ac:dyDescent="0.3">
      <c r="A3" s="743"/>
      <c r="B3" s="753"/>
      <c r="C3" s="754"/>
      <c r="D3" s="755"/>
      <c r="E3" s="743"/>
      <c r="F3" s="788"/>
      <c r="G3" s="786"/>
      <c r="H3" s="784"/>
      <c r="I3" s="743"/>
      <c r="J3" s="780"/>
      <c r="K3" s="780"/>
      <c r="L3" s="780"/>
      <c r="M3" s="780"/>
      <c r="N3" s="780"/>
      <c r="O3" s="780"/>
      <c r="P3" s="782"/>
      <c r="Q3" s="746"/>
      <c r="R3" s="747"/>
      <c r="S3" s="60"/>
      <c r="T3" s="60"/>
      <c r="U3" s="60"/>
    </row>
    <row r="4" spans="1:21" x14ac:dyDescent="0.3">
      <c r="A4" s="51"/>
      <c r="B4" s="740">
        <f>'data entry '!R3</f>
        <v>565022</v>
      </c>
      <c r="C4" s="741"/>
      <c r="D4" s="52"/>
      <c r="E4" s="59">
        <f>Q4-B4</f>
        <v>-38794.996000000043</v>
      </c>
      <c r="Q4" s="740">
        <f>'data entry '!R115</f>
        <v>526227.00399999996</v>
      </c>
      <c r="R4" s="741"/>
      <c r="S4" s="61"/>
      <c r="T4" s="61"/>
      <c r="U4" s="61"/>
    </row>
    <row r="5" spans="1:21" x14ac:dyDescent="0.3">
      <c r="A5" s="55" t="s">
        <v>68</v>
      </c>
      <c r="B5" s="54"/>
      <c r="C5" s="51"/>
      <c r="D5" s="52"/>
      <c r="E5" s="193">
        <f>E4/B4</f>
        <v>-6.8661036207439782E-2</v>
      </c>
      <c r="F5" s="191"/>
      <c r="G5" s="191"/>
      <c r="H5" s="53"/>
      <c r="I5" s="191"/>
      <c r="J5" s="51"/>
      <c r="K5" s="51"/>
      <c r="L5" s="51"/>
      <c r="M5" s="51"/>
      <c r="N5" s="51"/>
      <c r="O5" s="205"/>
      <c r="P5" s="53"/>
      <c r="Q5" s="228"/>
      <c r="R5" s="229"/>
      <c r="S5" s="230"/>
      <c r="T5" s="231" t="s">
        <v>69</v>
      </c>
      <c r="U5" s="231"/>
    </row>
    <row r="6" spans="1:21" ht="25.8" customHeight="1" x14ac:dyDescent="0.3">
      <c r="A6" s="51"/>
      <c r="B6" s="223" t="s">
        <v>71</v>
      </c>
      <c r="C6" s="221" t="s">
        <v>72</v>
      </c>
      <c r="D6" s="52"/>
      <c r="E6" s="223" t="s">
        <v>71</v>
      </c>
      <c r="F6" s="223" t="s">
        <v>71</v>
      </c>
      <c r="G6" s="223" t="s">
        <v>71</v>
      </c>
      <c r="H6" s="223" t="s">
        <v>71</v>
      </c>
      <c r="I6" s="223" t="s">
        <v>71</v>
      </c>
      <c r="J6" s="223" t="s">
        <v>71</v>
      </c>
      <c r="K6" s="223" t="s">
        <v>71</v>
      </c>
      <c r="L6" s="223" t="s">
        <v>71</v>
      </c>
      <c r="M6" s="223" t="s">
        <v>71</v>
      </c>
      <c r="N6" s="223" t="s">
        <v>73</v>
      </c>
      <c r="O6" s="223" t="s">
        <v>71</v>
      </c>
      <c r="P6" s="221" t="s">
        <v>71</v>
      </c>
      <c r="Q6" s="224" t="s">
        <v>71</v>
      </c>
      <c r="R6" s="221" t="s">
        <v>72</v>
      </c>
      <c r="S6" s="61"/>
      <c r="T6" s="235"/>
      <c r="U6" s="62"/>
    </row>
    <row r="7" spans="1:21" x14ac:dyDescent="0.3">
      <c r="A7" s="291" t="s">
        <v>74</v>
      </c>
      <c r="B7" s="56">
        <f>'data entry '!R5</f>
        <v>6077</v>
      </c>
      <c r="C7" s="322">
        <f>B7/$B$4*1000</f>
        <v>10.755333420645568</v>
      </c>
      <c r="D7" s="307"/>
      <c r="E7" s="239">
        <f>I7-B7</f>
        <v>-468.46359133506485</v>
      </c>
      <c r="F7" s="254">
        <f>'data entry '!R84</f>
        <v>5960.5154628402342</v>
      </c>
      <c r="G7" s="254">
        <f>'data entry '!R39</f>
        <v>-351.97905417529864</v>
      </c>
      <c r="H7" s="401"/>
      <c r="I7" s="242">
        <f>F7+G7</f>
        <v>5608.5364086649352</v>
      </c>
      <c r="J7" s="236"/>
      <c r="K7" s="236"/>
      <c r="L7" s="236"/>
      <c r="M7" s="236"/>
      <c r="N7" s="236"/>
      <c r="O7" s="236"/>
      <c r="P7" s="309">
        <f>SUM(J7:O7)</f>
        <v>0</v>
      </c>
      <c r="Q7" s="213">
        <f>'data entry '!R117</f>
        <v>5008.702711933277</v>
      </c>
      <c r="R7" s="237">
        <f>Q7*1000/$Q$4</f>
        <v>9.5181407906867452</v>
      </c>
      <c r="S7" s="295"/>
      <c r="T7" s="63">
        <f t="shared" ref="T7:T22" si="0">I7+P7-Q7</f>
        <v>599.83369673165816</v>
      </c>
      <c r="U7" s="63"/>
    </row>
    <row r="8" spans="1:21" x14ac:dyDescent="0.3">
      <c r="A8" s="292" t="s">
        <v>75</v>
      </c>
      <c r="B8" s="56">
        <f>'data entry '!R6</f>
        <v>405.32206702344303</v>
      </c>
      <c r="C8" s="322">
        <f t="shared" ref="C8:C20" si="1">B8/$B$4*1000</f>
        <v>0.71735625696599958</v>
      </c>
      <c r="D8" s="307"/>
      <c r="E8" s="239">
        <f t="shared" ref="E8:E9" si="2">I8-B8</f>
        <v>-34.043398135684527</v>
      </c>
      <c r="F8" s="254">
        <f>'data entry '!R85</f>
        <v>401.67756741285308</v>
      </c>
      <c r="G8" s="254">
        <f>'data entry '!R40</f>
        <v>-30.39889852509457</v>
      </c>
      <c r="H8" s="401"/>
      <c r="I8" s="242">
        <f t="shared" ref="I8:I9" si="3">F8+G8</f>
        <v>371.2786688877585</v>
      </c>
      <c r="J8" s="310"/>
      <c r="K8" s="236"/>
      <c r="L8" s="236"/>
      <c r="M8" s="236"/>
      <c r="N8" s="310"/>
      <c r="O8" s="236"/>
      <c r="P8" s="309">
        <f t="shared" ref="P8:P19" si="4">SUM(J8:O8)</f>
        <v>0</v>
      </c>
      <c r="Q8" s="213">
        <f>'data entry '!R118</f>
        <v>359.05777436643751</v>
      </c>
      <c r="R8" s="237">
        <f t="shared" ref="R8:R20" si="5">Q8*1000/$Q$4</f>
        <v>0.68232487431685951</v>
      </c>
      <c r="S8" s="295"/>
      <c r="T8" s="63">
        <f t="shared" si="0"/>
        <v>12.220894521320986</v>
      </c>
      <c r="U8" s="63"/>
    </row>
    <row r="9" spans="1:21" x14ac:dyDescent="0.3">
      <c r="A9" s="292" t="s">
        <v>141</v>
      </c>
      <c r="B9" s="56">
        <f>'data entry '!R7</f>
        <v>185.03175000000002</v>
      </c>
      <c r="C9" s="322">
        <f t="shared" si="1"/>
        <v>0.327477071689244</v>
      </c>
      <c r="D9" s="307"/>
      <c r="E9" s="239">
        <f t="shared" si="2"/>
        <v>-18.780878875166621</v>
      </c>
      <c r="F9" s="254">
        <f>'data entry '!R86</f>
        <v>179.83246817092942</v>
      </c>
      <c r="G9" s="254">
        <f>'data entry '!R41</f>
        <v>-13.581597046096009</v>
      </c>
      <c r="H9" s="401"/>
      <c r="I9" s="242">
        <f t="shared" si="3"/>
        <v>166.2508711248334</v>
      </c>
      <c r="J9" s="236"/>
      <c r="K9" s="236"/>
      <c r="L9" s="236"/>
      <c r="M9" s="236"/>
      <c r="N9" s="236"/>
      <c r="O9" s="236"/>
      <c r="P9" s="309">
        <f t="shared" si="4"/>
        <v>0</v>
      </c>
      <c r="Q9" s="213">
        <f>'data entry '!R119</f>
        <v>187.28831999999997</v>
      </c>
      <c r="R9" s="237">
        <f t="shared" si="5"/>
        <v>0.35590784694888061</v>
      </c>
      <c r="S9" s="295"/>
      <c r="T9" s="63">
        <f t="shared" si="0"/>
        <v>-21.037448875166575</v>
      </c>
      <c r="U9" s="63"/>
    </row>
    <row r="10" spans="1:21" x14ac:dyDescent="0.3">
      <c r="A10" s="4" t="s">
        <v>79</v>
      </c>
      <c r="B10" s="57">
        <f>SUM(B7:B9)</f>
        <v>6667.3538170234433</v>
      </c>
      <c r="C10" s="66">
        <f t="shared" si="1"/>
        <v>11.800166749300811</v>
      </c>
      <c r="D10" s="308"/>
      <c r="E10" s="57">
        <f t="shared" ref="E10:Q10" si="6">SUM(E7:E9)</f>
        <v>-521.28786834591597</v>
      </c>
      <c r="F10" s="57">
        <f t="shared" si="6"/>
        <v>6542.0254984240164</v>
      </c>
      <c r="G10" s="57">
        <f t="shared" si="6"/>
        <v>-395.95954974648924</v>
      </c>
      <c r="H10" s="57">
        <f t="shared" si="6"/>
        <v>0</v>
      </c>
      <c r="I10" s="57">
        <f t="shared" si="6"/>
        <v>6146.0659486775276</v>
      </c>
      <c r="J10" s="57">
        <f t="shared" si="6"/>
        <v>0</v>
      </c>
      <c r="K10" s="57">
        <f t="shared" si="6"/>
        <v>0</v>
      </c>
      <c r="L10" s="57">
        <f t="shared" si="6"/>
        <v>0</v>
      </c>
      <c r="M10" s="57">
        <f t="shared" si="6"/>
        <v>0</v>
      </c>
      <c r="N10" s="57">
        <f t="shared" si="6"/>
        <v>0</v>
      </c>
      <c r="O10" s="57">
        <f t="shared" si="6"/>
        <v>0</v>
      </c>
      <c r="P10" s="57">
        <f t="shared" si="6"/>
        <v>0</v>
      </c>
      <c r="Q10" s="57">
        <f t="shared" si="6"/>
        <v>5555.0488062997138</v>
      </c>
      <c r="R10" s="226">
        <f t="shared" si="5"/>
        <v>10.556373511952485</v>
      </c>
      <c r="S10" s="295"/>
      <c r="T10" s="63">
        <f t="shared" si="0"/>
        <v>591.0171423778138</v>
      </c>
      <c r="U10" s="63"/>
    </row>
    <row r="11" spans="1:21" x14ac:dyDescent="0.3">
      <c r="A11" s="292" t="s">
        <v>80</v>
      </c>
      <c r="B11" s="56">
        <f>'data entry '!R9</f>
        <v>2701.3288063649657</v>
      </c>
      <c r="C11" s="65">
        <f t="shared" si="1"/>
        <v>4.7809267716389199</v>
      </c>
      <c r="D11" s="307"/>
      <c r="E11" s="239"/>
      <c r="F11" s="254">
        <f>'data entry '!R88</f>
        <v>2343.4368048936017</v>
      </c>
      <c r="G11" s="254">
        <f>'data entry '!R43</f>
        <v>-308.0311936350343</v>
      </c>
      <c r="H11" s="401">
        <f>'Budget assumption'!R323</f>
        <v>487.74222137856265</v>
      </c>
      <c r="I11" s="242">
        <f>B11</f>
        <v>2701.3288063649657</v>
      </c>
      <c r="J11" s="236"/>
      <c r="K11" s="236"/>
      <c r="L11" s="236"/>
      <c r="M11" s="236"/>
      <c r="N11" s="236"/>
      <c r="O11" s="236"/>
      <c r="P11" s="309">
        <f t="shared" si="4"/>
        <v>0</v>
      </c>
      <c r="Q11" s="213">
        <f>'data entry '!R121</f>
        <v>2800.1828542872195</v>
      </c>
      <c r="R11" s="237">
        <f t="shared" si="5"/>
        <v>5.3212450767487027</v>
      </c>
      <c r="S11" s="295"/>
      <c r="T11" s="63">
        <f t="shared" si="0"/>
        <v>-98.854047922253812</v>
      </c>
      <c r="U11" s="63"/>
    </row>
    <row r="12" spans="1:21" x14ac:dyDescent="0.3">
      <c r="A12" s="292" t="s">
        <v>81</v>
      </c>
      <c r="B12" s="56">
        <f>'data entry '!R10</f>
        <v>1249.424206691014</v>
      </c>
      <c r="C12" s="65">
        <f t="shared" si="1"/>
        <v>2.2112841742286391</v>
      </c>
      <c r="D12" s="307"/>
      <c r="E12" s="239"/>
      <c r="F12" s="254">
        <f>'data entry '!R89</f>
        <v>842.15252946397436</v>
      </c>
      <c r="G12" s="254">
        <f>'data entry '!R44</f>
        <v>160.88420669101419</v>
      </c>
      <c r="H12" s="401">
        <f>'Budget assumption'!R324</f>
        <v>176.42519261883612</v>
      </c>
      <c r="I12" s="242">
        <f t="shared" ref="I12:I16" si="7">B12</f>
        <v>1249.424206691014</v>
      </c>
      <c r="J12" s="236"/>
      <c r="K12" s="236"/>
      <c r="L12" s="255"/>
      <c r="M12" s="236"/>
      <c r="N12" s="236"/>
      <c r="O12" s="236"/>
      <c r="P12" s="309">
        <f t="shared" si="4"/>
        <v>0</v>
      </c>
      <c r="Q12" s="213">
        <f>'data entry '!R122</f>
        <v>1250.2817753772576</v>
      </c>
      <c r="R12" s="237">
        <f t="shared" si="5"/>
        <v>2.3759361755924973</v>
      </c>
      <c r="S12" s="295"/>
      <c r="T12" s="63">
        <f t="shared" si="0"/>
        <v>-0.85756868624366689</v>
      </c>
      <c r="U12" s="63"/>
    </row>
    <row r="13" spans="1:21" x14ac:dyDescent="0.3">
      <c r="A13" s="292" t="s">
        <v>82</v>
      </c>
      <c r="B13" s="56">
        <f>'data entry '!R11</f>
        <v>2155.81</v>
      </c>
      <c r="C13" s="65">
        <f t="shared" si="1"/>
        <v>3.8154443543791214</v>
      </c>
      <c r="D13" s="307"/>
      <c r="E13" s="239"/>
      <c r="F13" s="254">
        <f>'data entry '!R90</f>
        <v>1627.5617220860088</v>
      </c>
      <c r="G13" s="254">
        <f>'data entry '!R45</f>
        <v>54.220000000000105</v>
      </c>
      <c r="H13" s="401">
        <f>'Budget assumption'!R325</f>
        <v>340.61533848624737</v>
      </c>
      <c r="I13" s="242">
        <f t="shared" si="7"/>
        <v>2155.81</v>
      </c>
      <c r="J13" s="236"/>
      <c r="K13" s="236"/>
      <c r="L13" s="236"/>
      <c r="M13" s="236"/>
      <c r="N13" s="236"/>
      <c r="O13" s="236"/>
      <c r="P13" s="309">
        <f t="shared" si="4"/>
        <v>0</v>
      </c>
      <c r="Q13" s="213">
        <f>'data entry '!R123</f>
        <v>2131.3842341197997</v>
      </c>
      <c r="R13" s="237">
        <f t="shared" si="5"/>
        <v>4.0503133018992683</v>
      </c>
      <c r="S13" s="295"/>
      <c r="T13" s="63">
        <f t="shared" si="0"/>
        <v>24.425765880200288</v>
      </c>
      <c r="U13" s="63"/>
    </row>
    <row r="14" spans="1:21" x14ac:dyDescent="0.3">
      <c r="A14" s="292" t="s">
        <v>83</v>
      </c>
      <c r="B14" s="56">
        <f>'data entry '!R12</f>
        <v>66</v>
      </c>
      <c r="C14" s="65">
        <f t="shared" si="1"/>
        <v>0.11680961095320182</v>
      </c>
      <c r="D14" s="307"/>
      <c r="E14" s="239"/>
      <c r="F14" s="254">
        <f>'data entry '!R91</f>
        <v>99.464136707439138</v>
      </c>
      <c r="G14" s="254">
        <f>'data entry '!R46</f>
        <v>-67.699999999999974</v>
      </c>
      <c r="H14" s="401">
        <f>'Budget assumption'!R326</f>
        <v>21.669436358000979</v>
      </c>
      <c r="I14" s="242">
        <f t="shared" si="7"/>
        <v>66</v>
      </c>
      <c r="J14" s="236"/>
      <c r="K14" s="236"/>
      <c r="L14" s="311"/>
      <c r="M14" s="236"/>
      <c r="N14" s="310"/>
      <c r="O14" s="236"/>
      <c r="P14" s="309">
        <f t="shared" si="4"/>
        <v>0</v>
      </c>
      <c r="Q14" s="213">
        <f>'data entry '!R124</f>
        <v>65.036253246420827</v>
      </c>
      <c r="R14" s="237">
        <f t="shared" si="5"/>
        <v>0.12358972981633765</v>
      </c>
      <c r="S14" s="295"/>
      <c r="T14" s="63">
        <f t="shared" si="0"/>
        <v>0.96374675357917283</v>
      </c>
      <c r="U14" s="63"/>
    </row>
    <row r="15" spans="1:21" x14ac:dyDescent="0.3">
      <c r="A15" s="292" t="s">
        <v>84</v>
      </c>
      <c r="B15" s="56">
        <f>'data entry '!R13</f>
        <v>513.11152780760665</v>
      </c>
      <c r="C15" s="65">
        <f t="shared" si="1"/>
        <v>0.90812663543650807</v>
      </c>
      <c r="D15" s="307"/>
      <c r="E15" s="239"/>
      <c r="F15" s="254">
        <f>'data entry '!R92</f>
        <v>415.82132616608396</v>
      </c>
      <c r="G15" s="254">
        <f>'data entry '!R47</f>
        <v>44.020247807606737</v>
      </c>
      <c r="H15" s="401">
        <f>'Budget assumption'!R327</f>
        <v>76.028000284616439</v>
      </c>
      <c r="I15" s="242">
        <f t="shared" si="7"/>
        <v>513.11152780760665</v>
      </c>
      <c r="J15" s="236"/>
      <c r="K15" s="236"/>
      <c r="L15" s="312"/>
      <c r="M15" s="236"/>
      <c r="N15" s="310"/>
      <c r="O15" s="236"/>
      <c r="P15" s="309">
        <f t="shared" si="4"/>
        <v>0</v>
      </c>
      <c r="Q15" s="213">
        <f>'data entry '!R125</f>
        <v>477.52255285744735</v>
      </c>
      <c r="R15" s="237">
        <f t="shared" si="5"/>
        <v>0.90744592966089477</v>
      </c>
      <c r="S15" s="295"/>
      <c r="T15" s="63">
        <f t="shared" si="0"/>
        <v>35.588974950159297</v>
      </c>
      <c r="U15" s="63"/>
    </row>
    <row r="16" spans="1:21" x14ac:dyDescent="0.3">
      <c r="A16" s="292" t="s">
        <v>86</v>
      </c>
      <c r="B16" s="56">
        <f>'data entry '!R14</f>
        <v>1955.7777589488476</v>
      </c>
      <c r="C16" s="65">
        <f t="shared" si="1"/>
        <v>3.4614187747536338</v>
      </c>
      <c r="D16" s="307"/>
      <c r="E16" s="239"/>
      <c r="F16" s="254">
        <f>'data entry '!R93</f>
        <v>5371.6817236667184</v>
      </c>
      <c r="G16" s="254">
        <f>'data entry '!R48</f>
        <v>119.20999999999975</v>
      </c>
      <c r="H16" s="401">
        <f>'Budget assumption'!R329</f>
        <v>297.66184120941324</v>
      </c>
      <c r="I16" s="242">
        <f t="shared" si="7"/>
        <v>1955.7777589488476</v>
      </c>
      <c r="J16" s="236"/>
      <c r="K16" s="236"/>
      <c r="L16" s="311"/>
      <c r="M16" s="236"/>
      <c r="N16" s="236"/>
      <c r="O16" s="255"/>
      <c r="P16" s="309">
        <f t="shared" si="4"/>
        <v>0</v>
      </c>
      <c r="Q16" s="213">
        <f>'data entry '!R126</f>
        <v>1779.6216192363759</v>
      </c>
      <c r="R16" s="237">
        <f t="shared" si="5"/>
        <v>3.3818515692067677</v>
      </c>
      <c r="S16" s="295"/>
      <c r="T16" s="63">
        <f t="shared" si="0"/>
        <v>176.15613971247171</v>
      </c>
      <c r="U16" s="63"/>
    </row>
    <row r="17" spans="1:21" x14ac:dyDescent="0.3">
      <c r="A17" s="4" t="s">
        <v>87</v>
      </c>
      <c r="B17" s="57">
        <f>SUM(B11:B16)</f>
        <v>8641.4522998124339</v>
      </c>
      <c r="C17" s="66">
        <f t="shared" si="1"/>
        <v>15.294010321390024</v>
      </c>
      <c r="D17" s="308"/>
      <c r="E17" s="57">
        <f t="shared" ref="E17:Q17" si="8">SUM(E11:E16)</f>
        <v>0</v>
      </c>
      <c r="F17" s="57">
        <f t="shared" si="8"/>
        <v>10700.118242983826</v>
      </c>
      <c r="G17" s="57">
        <f t="shared" si="8"/>
        <v>2.6032608635865273</v>
      </c>
      <c r="H17" s="57">
        <f t="shared" si="8"/>
        <v>1400.1420303356767</v>
      </c>
      <c r="I17" s="57">
        <f t="shared" si="8"/>
        <v>8641.4522998124339</v>
      </c>
      <c r="J17" s="57">
        <f t="shared" si="8"/>
        <v>0</v>
      </c>
      <c r="K17" s="57">
        <f t="shared" si="8"/>
        <v>0</v>
      </c>
      <c r="L17" s="57">
        <f t="shared" si="8"/>
        <v>0</v>
      </c>
      <c r="M17" s="57">
        <f t="shared" si="8"/>
        <v>0</v>
      </c>
      <c r="N17" s="57">
        <f t="shared" si="8"/>
        <v>0</v>
      </c>
      <c r="O17" s="57">
        <f t="shared" si="8"/>
        <v>0</v>
      </c>
      <c r="P17" s="57">
        <f t="shared" si="8"/>
        <v>0</v>
      </c>
      <c r="Q17" s="57">
        <f t="shared" si="8"/>
        <v>8504.0292891245208</v>
      </c>
      <c r="R17" s="226">
        <f t="shared" si="5"/>
        <v>16.160381782924468</v>
      </c>
      <c r="S17" s="295"/>
      <c r="T17" s="63">
        <f t="shared" si="0"/>
        <v>137.42301068791312</v>
      </c>
      <c r="U17" s="63"/>
    </row>
    <row r="18" spans="1:21" x14ac:dyDescent="0.3">
      <c r="A18" s="5" t="s">
        <v>88</v>
      </c>
      <c r="B18" s="58">
        <f>B10+B17</f>
        <v>15308.806116835876</v>
      </c>
      <c r="C18" s="67">
        <f t="shared" si="1"/>
        <v>27.094177070690833</v>
      </c>
      <c r="D18" s="308"/>
      <c r="E18" s="58">
        <f t="shared" ref="E18:Q18" si="9">E10+E17</f>
        <v>-521.28786834591597</v>
      </c>
      <c r="F18" s="58">
        <f t="shared" si="9"/>
        <v>17242.143741407843</v>
      </c>
      <c r="G18" s="58">
        <f t="shared" si="9"/>
        <v>-393.35628888290273</v>
      </c>
      <c r="H18" s="58">
        <f t="shared" si="9"/>
        <v>1400.1420303356767</v>
      </c>
      <c r="I18" s="58">
        <f t="shared" si="9"/>
        <v>14787.518248489961</v>
      </c>
      <c r="J18" s="58">
        <f t="shared" si="9"/>
        <v>0</v>
      </c>
      <c r="K18" s="58">
        <f t="shared" si="9"/>
        <v>0</v>
      </c>
      <c r="L18" s="58">
        <f t="shared" si="9"/>
        <v>0</v>
      </c>
      <c r="M18" s="58">
        <f t="shared" si="9"/>
        <v>0</v>
      </c>
      <c r="N18" s="58">
        <f t="shared" si="9"/>
        <v>0</v>
      </c>
      <c r="O18" s="58">
        <f t="shared" si="9"/>
        <v>0</v>
      </c>
      <c r="P18" s="58">
        <f t="shared" si="9"/>
        <v>0</v>
      </c>
      <c r="Q18" s="58">
        <f t="shared" si="9"/>
        <v>14059.078095424235</v>
      </c>
      <c r="R18" s="232">
        <f t="shared" si="5"/>
        <v>26.716755294876954</v>
      </c>
      <c r="S18" s="295"/>
      <c r="T18" s="63">
        <f t="shared" si="0"/>
        <v>728.44015306572692</v>
      </c>
      <c r="U18" s="63"/>
    </row>
    <row r="19" spans="1:21" x14ac:dyDescent="0.3">
      <c r="A19" s="292" t="s">
        <v>89</v>
      </c>
      <c r="B19" s="56">
        <f>'data entry '!R17</f>
        <v>245.46430249113934</v>
      </c>
      <c r="C19" s="65">
        <f t="shared" si="1"/>
        <v>0.43443317692256117</v>
      </c>
      <c r="D19" s="307"/>
      <c r="E19" s="239"/>
      <c r="F19" s="293">
        <f>'data entry '!R96</f>
        <v>0</v>
      </c>
      <c r="G19" s="293">
        <f>'data entry '!R51</f>
        <v>124.89558249113931</v>
      </c>
      <c r="H19" s="402">
        <f>'Budget assumption'!R331</f>
        <v>19.541183282016757</v>
      </c>
      <c r="I19" s="242">
        <f t="shared" ref="I19" si="10">B19</f>
        <v>245.46430249113934</v>
      </c>
      <c r="J19" s="236"/>
      <c r="K19" s="313"/>
      <c r="L19" s="236"/>
      <c r="M19" s="236"/>
      <c r="N19" s="236"/>
      <c r="O19" s="236"/>
      <c r="P19" s="309">
        <f t="shared" si="4"/>
        <v>0</v>
      </c>
      <c r="Q19" s="213">
        <f>'data entry '!R129</f>
        <v>218.78145942192785</v>
      </c>
      <c r="R19" s="237">
        <f t="shared" si="5"/>
        <v>0.41575490759483685</v>
      </c>
      <c r="S19" s="295"/>
      <c r="T19" s="63">
        <f t="shared" si="0"/>
        <v>26.682843069211486</v>
      </c>
      <c r="U19" s="63"/>
    </row>
    <row r="20" spans="1:21" x14ac:dyDescent="0.3">
      <c r="A20" s="5" t="s">
        <v>90</v>
      </c>
      <c r="B20" s="58">
        <f>B18+B19</f>
        <v>15554.270419327016</v>
      </c>
      <c r="C20" s="67">
        <f t="shared" si="1"/>
        <v>27.528610247613397</v>
      </c>
      <c r="D20" s="308"/>
      <c r="E20" s="58">
        <f t="shared" ref="E20:Q20" si="11">E18+E19</f>
        <v>-521.28786834591597</v>
      </c>
      <c r="F20" s="58">
        <f t="shared" si="11"/>
        <v>17242.143741407843</v>
      </c>
      <c r="G20" s="58">
        <f t="shared" si="11"/>
        <v>-268.46070639176344</v>
      </c>
      <c r="H20" s="58">
        <f t="shared" si="11"/>
        <v>1419.6832136176936</v>
      </c>
      <c r="I20" s="58">
        <f t="shared" si="11"/>
        <v>15032.982550981102</v>
      </c>
      <c r="J20" s="58">
        <f t="shared" si="11"/>
        <v>0</v>
      </c>
      <c r="K20" s="58">
        <f t="shared" si="11"/>
        <v>0</v>
      </c>
      <c r="L20" s="58">
        <f t="shared" si="11"/>
        <v>0</v>
      </c>
      <c r="M20" s="58">
        <f t="shared" si="11"/>
        <v>0</v>
      </c>
      <c r="N20" s="58">
        <f t="shared" si="11"/>
        <v>0</v>
      </c>
      <c r="O20" s="58">
        <f t="shared" si="11"/>
        <v>0</v>
      </c>
      <c r="P20" s="58">
        <f t="shared" si="11"/>
        <v>0</v>
      </c>
      <c r="Q20" s="58">
        <f t="shared" si="11"/>
        <v>14277.859554846162</v>
      </c>
      <c r="R20" s="232">
        <f t="shared" si="5"/>
        <v>27.132510202471789</v>
      </c>
      <c r="S20" s="295"/>
      <c r="T20" s="63">
        <f t="shared" si="0"/>
        <v>755.12299613493997</v>
      </c>
      <c r="U20" s="63"/>
    </row>
    <row r="21" spans="1:21" x14ac:dyDescent="0.3">
      <c r="A21" s="51"/>
      <c r="B21" s="51"/>
      <c r="C21" s="51"/>
      <c r="D21" s="308"/>
      <c r="E21" s="51"/>
      <c r="F21" s="53"/>
      <c r="G21" s="53"/>
      <c r="H21" s="404"/>
      <c r="I21" s="53"/>
      <c r="J21" s="51"/>
      <c r="K21" s="51"/>
      <c r="L21" s="51"/>
      <c r="M21" s="51"/>
      <c r="N21" s="51"/>
      <c r="O21" s="51"/>
      <c r="P21" s="53"/>
      <c r="Q21" s="51"/>
      <c r="R21" s="51"/>
      <c r="S21" s="295"/>
      <c r="T21" s="63">
        <f t="shared" si="0"/>
        <v>0</v>
      </c>
      <c r="U21" s="51"/>
    </row>
    <row r="22" spans="1:21" x14ac:dyDescent="0.3">
      <c r="A22" s="294" t="s">
        <v>91</v>
      </c>
      <c r="B22" s="198">
        <f>'data entry '!R19</f>
        <v>5048.1922410511525</v>
      </c>
      <c r="C22" s="199">
        <f t="shared" ref="C22:C23" si="12">B22/$B$4*1000</f>
        <v>8.9345056317296532</v>
      </c>
      <c r="D22" s="307"/>
      <c r="E22" s="247"/>
      <c r="F22" s="249">
        <f>'data entry '!R98</f>
        <v>0</v>
      </c>
      <c r="G22" s="249">
        <f>'data entry '!R53</f>
        <v>3.4106051316484809E-13</v>
      </c>
      <c r="H22" s="403"/>
      <c r="I22" s="250">
        <f t="shared" ref="I22" si="13">B22</f>
        <v>5048.1922410511525</v>
      </c>
      <c r="J22" s="313"/>
      <c r="K22" s="313"/>
      <c r="L22" s="313"/>
      <c r="M22" s="313"/>
      <c r="N22" s="313"/>
      <c r="O22" s="314"/>
      <c r="P22" s="313">
        <f t="shared" ref="P22" si="14">SUM(J22:O22)</f>
        <v>0</v>
      </c>
      <c r="Q22" s="313">
        <f>'data entry '!R131</f>
        <v>3696.2599758449851</v>
      </c>
      <c r="R22" s="315">
        <f t="shared" ref="R22:R23" si="15">Q22*1000/$Q$4</f>
        <v>7.0240788628266317</v>
      </c>
      <c r="S22" s="295"/>
      <c r="T22" s="63">
        <f t="shared" si="0"/>
        <v>1351.9322652061674</v>
      </c>
      <c r="U22" s="63"/>
    </row>
    <row r="23" spans="1:21" x14ac:dyDescent="0.3">
      <c r="A23" s="200" t="s">
        <v>92</v>
      </c>
      <c r="B23" s="201">
        <f>B22</f>
        <v>5048.1922410511525</v>
      </c>
      <c r="C23" s="202">
        <f t="shared" si="12"/>
        <v>8.9345056317296532</v>
      </c>
      <c r="D23" s="52"/>
      <c r="E23" s="201">
        <f t="shared" ref="E23:Q23" si="16">E22</f>
        <v>0</v>
      </c>
      <c r="F23" s="201">
        <f t="shared" si="16"/>
        <v>0</v>
      </c>
      <c r="G23" s="201">
        <f t="shared" si="16"/>
        <v>3.4106051316484809E-13</v>
      </c>
      <c r="H23" s="201">
        <f t="shared" si="16"/>
        <v>0</v>
      </c>
      <c r="I23" s="201">
        <f t="shared" si="16"/>
        <v>5048.1922410511525</v>
      </c>
      <c r="J23" s="201">
        <f t="shared" si="16"/>
        <v>0</v>
      </c>
      <c r="K23" s="201">
        <f t="shared" si="16"/>
        <v>0</v>
      </c>
      <c r="L23" s="201">
        <f t="shared" si="16"/>
        <v>0</v>
      </c>
      <c r="M23" s="201">
        <f t="shared" si="16"/>
        <v>0</v>
      </c>
      <c r="N23" s="201">
        <f t="shared" si="16"/>
        <v>0</v>
      </c>
      <c r="O23" s="201">
        <f t="shared" si="16"/>
        <v>0</v>
      </c>
      <c r="P23" s="201">
        <f t="shared" si="16"/>
        <v>0</v>
      </c>
      <c r="Q23" s="201">
        <f t="shared" si="16"/>
        <v>3696.2599758449851</v>
      </c>
      <c r="R23" s="233">
        <f t="shared" si="15"/>
        <v>7.0240788628266317</v>
      </c>
      <c r="S23" s="61"/>
      <c r="T23" s="63"/>
      <c r="U23" s="63"/>
    </row>
    <row r="24" spans="1:21" x14ac:dyDescent="0.3">
      <c r="A24" s="51"/>
      <c r="B24" s="51"/>
      <c r="C24" s="203"/>
      <c r="D24" s="52"/>
      <c r="E24" s="51"/>
      <c r="F24" s="53"/>
      <c r="G24" s="53"/>
      <c r="H24" s="404"/>
      <c r="I24" s="216"/>
      <c r="J24" s="51"/>
      <c r="K24" s="51"/>
      <c r="L24" s="51"/>
      <c r="M24" s="51"/>
      <c r="N24" s="51"/>
      <c r="O24" s="51"/>
      <c r="P24" s="53"/>
      <c r="Q24" s="51"/>
      <c r="R24" s="195"/>
      <c r="S24" s="61"/>
      <c r="T24" s="51"/>
      <c r="U24" s="51"/>
    </row>
    <row r="25" spans="1:21" x14ac:dyDescent="0.3">
      <c r="A25" s="291" t="s">
        <v>76</v>
      </c>
      <c r="B25" s="269">
        <f>'data entry '!R21</f>
        <v>247</v>
      </c>
      <c r="C25" s="321">
        <f t="shared" ref="C25:C30" si="17">B25/$B$4*1000</f>
        <v>0.43715111977940679</v>
      </c>
      <c r="D25" s="240"/>
      <c r="E25" s="271">
        <f>I25-B25</f>
        <v>-23.149367517527196</v>
      </c>
      <c r="F25" s="254">
        <f>'data entry '!R100</f>
        <v>259.60840137546137</v>
      </c>
      <c r="G25" s="254">
        <f>'data entry '!R55</f>
        <v>-35.757768892988565</v>
      </c>
      <c r="H25" s="401"/>
      <c r="I25" s="303">
        <f>F25+G25</f>
        <v>223.8506324824728</v>
      </c>
      <c r="J25" s="317"/>
      <c r="K25" s="317"/>
      <c r="L25" s="317"/>
      <c r="M25" s="318"/>
      <c r="N25" s="317"/>
      <c r="O25" s="304"/>
      <c r="P25" s="304">
        <f t="shared" ref="P25:P29" si="18">SUM(J25:O25)</f>
        <v>0</v>
      </c>
      <c r="Q25" s="305">
        <f>'data entry '!R133</f>
        <v>253.55174999999997</v>
      </c>
      <c r="R25" s="405">
        <f t="shared" ref="R25:R30" si="19">Q25*1000/$Q$4</f>
        <v>0.48182960599262592</v>
      </c>
      <c r="S25" s="61"/>
      <c r="T25" s="63">
        <f t="shared" ref="T25:T30" si="20">I25+P25-Q25</f>
        <v>-29.701117517527166</v>
      </c>
      <c r="U25" s="63"/>
    </row>
    <row r="26" spans="1:21" x14ac:dyDescent="0.3">
      <c r="A26" s="292" t="s">
        <v>77</v>
      </c>
      <c r="B26" s="56">
        <f>'data entry '!R22</f>
        <v>-585</v>
      </c>
      <c r="C26" s="322">
        <f t="shared" si="17"/>
        <v>-1.0353579152670163</v>
      </c>
      <c r="D26" s="240"/>
      <c r="E26" s="239">
        <f>I26-B26</f>
        <v>55.969652276842226</v>
      </c>
      <c r="F26" s="254">
        <f>'data entry '!R101</f>
        <v>-639.00740772315771</v>
      </c>
      <c r="G26" s="254">
        <f>'data entry '!R56</f>
        <v>109.97705999999988</v>
      </c>
      <c r="H26" s="401"/>
      <c r="I26" s="242">
        <f t="shared" ref="I26:I27" si="21">F26+G26</f>
        <v>-529.03034772315777</v>
      </c>
      <c r="J26" s="310"/>
      <c r="K26" s="310"/>
      <c r="L26" s="310"/>
      <c r="M26" s="316"/>
      <c r="N26" s="310"/>
      <c r="O26" s="236"/>
      <c r="P26" s="236">
        <f t="shared" si="18"/>
        <v>0</v>
      </c>
      <c r="Q26" s="309">
        <f>'data entry '!R134</f>
        <v>-551.4187118530956</v>
      </c>
      <c r="R26" s="406">
        <f t="shared" si="19"/>
        <v>-1.0478723206175402</v>
      </c>
      <c r="S26" s="61"/>
      <c r="T26" s="63">
        <f t="shared" si="20"/>
        <v>22.388364129937827</v>
      </c>
      <c r="U26" s="63"/>
    </row>
    <row r="27" spans="1:21" x14ac:dyDescent="0.3">
      <c r="A27" s="292" t="s">
        <v>144</v>
      </c>
      <c r="B27" s="56">
        <f>'data entry '!R23</f>
        <v>0</v>
      </c>
      <c r="C27" s="322">
        <f t="shared" si="17"/>
        <v>0</v>
      </c>
      <c r="D27" s="240"/>
      <c r="E27" s="239"/>
      <c r="F27" s="254">
        <f>'data entry '!R102</f>
        <v>0</v>
      </c>
      <c r="G27" s="254">
        <f>'data entry '!R57</f>
        <v>0</v>
      </c>
      <c r="H27" s="401"/>
      <c r="I27" s="242">
        <f t="shared" si="21"/>
        <v>0</v>
      </c>
      <c r="J27" s="310"/>
      <c r="K27" s="310"/>
      <c r="L27" s="310"/>
      <c r="M27" s="316"/>
      <c r="N27" s="310"/>
      <c r="O27" s="236"/>
      <c r="P27" s="236">
        <f t="shared" si="18"/>
        <v>0</v>
      </c>
      <c r="Q27" s="309">
        <f>'data entry '!R135</f>
        <v>62.134209999999996</v>
      </c>
      <c r="R27" s="406">
        <f t="shared" si="19"/>
        <v>0.11807491734118609</v>
      </c>
      <c r="S27" s="61"/>
      <c r="T27" s="63">
        <f t="shared" si="20"/>
        <v>-62.134209999999996</v>
      </c>
      <c r="U27" s="63"/>
    </row>
    <row r="28" spans="1:21" x14ac:dyDescent="0.3">
      <c r="A28" s="292" t="s">
        <v>85</v>
      </c>
      <c r="B28" s="56">
        <f>'data entry '!R24</f>
        <v>100</v>
      </c>
      <c r="C28" s="322">
        <f t="shared" si="17"/>
        <v>0.17698425902000275</v>
      </c>
      <c r="D28" s="240"/>
      <c r="E28" s="239"/>
      <c r="F28" s="254">
        <f>'data entry '!R103</f>
        <v>0</v>
      </c>
      <c r="G28" s="254">
        <f>'data entry '!R58</f>
        <v>100</v>
      </c>
      <c r="H28" s="401">
        <f>'Budget assumption'!R328</f>
        <v>0</v>
      </c>
      <c r="I28" s="242">
        <f>B28</f>
        <v>100</v>
      </c>
      <c r="J28" s="310"/>
      <c r="K28" s="310"/>
      <c r="L28" s="310"/>
      <c r="M28" s="316"/>
      <c r="N28" s="310"/>
      <c r="O28" s="236"/>
      <c r="P28" s="236">
        <f t="shared" si="18"/>
        <v>0</v>
      </c>
      <c r="Q28" s="309">
        <f>'data entry '!R136</f>
        <v>66.435382223527171</v>
      </c>
      <c r="R28" s="406">
        <f t="shared" si="19"/>
        <v>0.12624852339110892</v>
      </c>
      <c r="S28" s="61"/>
      <c r="T28" s="63">
        <f t="shared" si="20"/>
        <v>33.564617776472829</v>
      </c>
      <c r="U28" s="63"/>
    </row>
    <row r="29" spans="1:21" x14ac:dyDescent="0.3">
      <c r="A29" s="306" t="s">
        <v>145</v>
      </c>
      <c r="B29" s="323">
        <f>'data entry '!R25</f>
        <v>0</v>
      </c>
      <c r="C29" s="324">
        <f t="shared" si="17"/>
        <v>0</v>
      </c>
      <c r="D29" s="240"/>
      <c r="E29" s="239"/>
      <c r="F29" s="254">
        <f>'data entry '!R104</f>
        <v>0</v>
      </c>
      <c r="G29" s="254">
        <f>'data entry '!R59</f>
        <v>0</v>
      </c>
      <c r="H29" s="401"/>
      <c r="I29" s="242">
        <f>B29</f>
        <v>0</v>
      </c>
      <c r="J29" s="310"/>
      <c r="K29" s="310"/>
      <c r="L29" s="310"/>
      <c r="M29" s="316"/>
      <c r="N29" s="310"/>
      <c r="O29" s="236"/>
      <c r="P29" s="236">
        <f t="shared" si="18"/>
        <v>0</v>
      </c>
      <c r="Q29" s="407">
        <f>'data entry '!R137</f>
        <v>0</v>
      </c>
      <c r="R29" s="406">
        <f t="shared" si="19"/>
        <v>0</v>
      </c>
      <c r="S29" s="61"/>
      <c r="T29" s="63">
        <f t="shared" si="20"/>
        <v>0</v>
      </c>
      <c r="U29" s="63"/>
    </row>
    <row r="30" spans="1:21" x14ac:dyDescent="0.3">
      <c r="A30" s="200" t="s">
        <v>146</v>
      </c>
      <c r="B30" s="201">
        <f>SUM(B25:B29)</f>
        <v>-238</v>
      </c>
      <c r="C30" s="218">
        <f t="shared" si="17"/>
        <v>-0.42122253646760655</v>
      </c>
      <c r="D30" s="240"/>
      <c r="E30" s="201">
        <f t="shared" ref="E30:Q30" si="22">SUM(E25:E29)</f>
        <v>32.82028475931503</v>
      </c>
      <c r="F30" s="201">
        <f t="shared" si="22"/>
        <v>-379.39900634769634</v>
      </c>
      <c r="G30" s="201">
        <f t="shared" si="22"/>
        <v>174.21929110701132</v>
      </c>
      <c r="H30" s="201">
        <f t="shared" si="22"/>
        <v>0</v>
      </c>
      <c r="I30" s="201">
        <f t="shared" si="22"/>
        <v>-205.17971524068497</v>
      </c>
      <c r="J30" s="201">
        <f t="shared" si="22"/>
        <v>0</v>
      </c>
      <c r="K30" s="201">
        <f t="shared" si="22"/>
        <v>0</v>
      </c>
      <c r="L30" s="201">
        <f t="shared" si="22"/>
        <v>0</v>
      </c>
      <c r="M30" s="201">
        <f t="shared" si="22"/>
        <v>0</v>
      </c>
      <c r="N30" s="201">
        <f t="shared" si="22"/>
        <v>0</v>
      </c>
      <c r="O30" s="201">
        <f t="shared" si="22"/>
        <v>0</v>
      </c>
      <c r="P30" s="201">
        <f t="shared" si="22"/>
        <v>0</v>
      </c>
      <c r="Q30" s="201">
        <f t="shared" si="22"/>
        <v>-169.29736962956846</v>
      </c>
      <c r="R30" s="218">
        <f t="shared" si="19"/>
        <v>-0.32171927389261934</v>
      </c>
      <c r="T30" s="63">
        <f t="shared" si="20"/>
        <v>-35.882345611116506</v>
      </c>
    </row>
    <row r="31" spans="1:21" x14ac:dyDescent="0.3">
      <c r="A31" s="51"/>
      <c r="H31" s="159"/>
      <c r="T31" s="63"/>
    </row>
    <row r="32" spans="1:21" x14ac:dyDescent="0.3">
      <c r="A32" s="2" t="s">
        <v>148</v>
      </c>
      <c r="B32" s="325">
        <f>'data entry '!R27</f>
        <v>1088.3666699999999</v>
      </c>
      <c r="C32" s="321">
        <f t="shared" ref="C32:C33" si="23">B32/$B$4*1000</f>
        <v>1.9262376863201784</v>
      </c>
      <c r="E32" s="271"/>
      <c r="F32" s="254">
        <f>'data entry '!R106</f>
        <v>835.65603647222952</v>
      </c>
      <c r="G32" s="254">
        <f>'data entry '!R61</f>
        <v>-77.503329999999693</v>
      </c>
      <c r="H32" s="401">
        <f>+'Budget assumption'!R335</f>
        <v>188.95845749216605</v>
      </c>
      <c r="I32" s="319">
        <f>B32</f>
        <v>1088.3666699999999</v>
      </c>
      <c r="J32" s="317"/>
      <c r="K32" s="317"/>
      <c r="L32" s="317"/>
      <c r="M32" s="318"/>
      <c r="N32" s="317"/>
      <c r="O32" s="304"/>
      <c r="P32" s="304">
        <f t="shared" ref="P32:P33" si="24">SUM(J32:O32)</f>
        <v>0</v>
      </c>
      <c r="Q32" s="305">
        <f>'data entry '!R139</f>
        <v>1082.713478944039</v>
      </c>
      <c r="R32" s="405">
        <f t="shared" ref="R32:R35" si="25">Q32*1000/$Q$4</f>
        <v>2.0575026950613107</v>
      </c>
      <c r="T32" s="63">
        <f>I32+P32-Q32</f>
        <v>5.6531910559608605</v>
      </c>
    </row>
    <row r="33" spans="1:20" x14ac:dyDescent="0.3">
      <c r="A33" s="270" t="s">
        <v>149</v>
      </c>
      <c r="B33" s="326">
        <f>'data entry '!R28</f>
        <v>1134.3840256941698</v>
      </c>
      <c r="C33" s="324">
        <f t="shared" si="23"/>
        <v>2.0076811623161044</v>
      </c>
      <c r="E33" s="239"/>
      <c r="F33" s="254">
        <f>'data entry '!R107</f>
        <v>870.98850495761826</v>
      </c>
      <c r="G33" s="254">
        <f>'data entry '!R62</f>
        <v>149.60402569416988</v>
      </c>
      <c r="H33" s="401">
        <f>+'Budget assumption'!R336</f>
        <v>159.60828374444438</v>
      </c>
      <c r="I33" s="320">
        <f>B33</f>
        <v>1134.3840256941698</v>
      </c>
      <c r="J33" s="310"/>
      <c r="K33" s="310"/>
      <c r="L33" s="310"/>
      <c r="M33" s="316"/>
      <c r="N33" s="310"/>
      <c r="O33" s="236"/>
      <c r="P33" s="236">
        <f t="shared" si="24"/>
        <v>0</v>
      </c>
      <c r="Q33" s="407">
        <f>'data entry '!R140</f>
        <v>1079.9198771713891</v>
      </c>
      <c r="R33" s="406">
        <f t="shared" si="25"/>
        <v>2.0521939561493676</v>
      </c>
      <c r="T33" s="63">
        <f>I33+P33-Q33</f>
        <v>54.464148522780761</v>
      </c>
    </row>
    <row r="34" spans="1:20" x14ac:dyDescent="0.3">
      <c r="A34" s="200" t="s">
        <v>150</v>
      </c>
      <c r="B34" s="201">
        <f>B32+B33</f>
        <v>2222.7506956941697</v>
      </c>
      <c r="C34" s="218">
        <f>B34/$B$4*1000</f>
        <v>3.9339188486362824</v>
      </c>
      <c r="E34" s="201">
        <f t="shared" ref="E34:Q34" si="26">E32+E33</f>
        <v>0</v>
      </c>
      <c r="F34" s="201">
        <f t="shared" si="26"/>
        <v>1706.6445414298478</v>
      </c>
      <c r="G34" s="201">
        <f t="shared" si="26"/>
        <v>72.100695694170184</v>
      </c>
      <c r="H34" s="201">
        <f t="shared" si="26"/>
        <v>348.56674123661043</v>
      </c>
      <c r="I34" s="201">
        <f t="shared" si="26"/>
        <v>2222.7506956941697</v>
      </c>
      <c r="J34" s="201">
        <f t="shared" si="26"/>
        <v>0</v>
      </c>
      <c r="K34" s="201">
        <f t="shared" si="26"/>
        <v>0</v>
      </c>
      <c r="L34" s="201">
        <f t="shared" si="26"/>
        <v>0</v>
      </c>
      <c r="M34" s="201">
        <f t="shared" si="26"/>
        <v>0</v>
      </c>
      <c r="N34" s="201">
        <f t="shared" si="26"/>
        <v>0</v>
      </c>
      <c r="O34" s="201">
        <f t="shared" si="26"/>
        <v>0</v>
      </c>
      <c r="P34" s="201">
        <f t="shared" si="26"/>
        <v>0</v>
      </c>
      <c r="Q34" s="201">
        <f t="shared" si="26"/>
        <v>2162.6333561154279</v>
      </c>
      <c r="R34" s="218">
        <f t="shared" si="25"/>
        <v>4.1096966512106778</v>
      </c>
      <c r="T34" s="63">
        <f>I34+P34-Q34</f>
        <v>60.117339578741849</v>
      </c>
    </row>
    <row r="35" spans="1:20" x14ac:dyDescent="0.3">
      <c r="A35" s="51"/>
      <c r="H35" s="159"/>
      <c r="R35">
        <f t="shared" si="25"/>
        <v>0</v>
      </c>
      <c r="T35" s="63"/>
    </row>
    <row r="36" spans="1:20" x14ac:dyDescent="0.3">
      <c r="A36" s="200" t="s">
        <v>152</v>
      </c>
      <c r="B36" s="201">
        <f>B20+B23+B30+B34</f>
        <v>22587.213356072338</v>
      </c>
      <c r="C36" s="218">
        <f>B36/$B$4*1000</f>
        <v>39.975812191511721</v>
      </c>
      <c r="E36" s="201">
        <f t="shared" ref="E36:P36" si="27">E20+E23+E30+E34</f>
        <v>-488.46758358660094</v>
      </c>
      <c r="F36" s="201">
        <f t="shared" si="27"/>
        <v>18569.389276489994</v>
      </c>
      <c r="G36" s="201">
        <f t="shared" si="27"/>
        <v>-22.140719590581597</v>
      </c>
      <c r="H36" s="201">
        <f t="shared" si="27"/>
        <v>1768.249954854304</v>
      </c>
      <c r="I36" s="201">
        <f t="shared" si="27"/>
        <v>22098.745772485738</v>
      </c>
      <c r="J36" s="201">
        <f t="shared" si="27"/>
        <v>0</v>
      </c>
      <c r="K36" s="201">
        <f t="shared" si="27"/>
        <v>0</v>
      </c>
      <c r="L36" s="201">
        <f t="shared" si="27"/>
        <v>0</v>
      </c>
      <c r="M36" s="201">
        <f t="shared" si="27"/>
        <v>0</v>
      </c>
      <c r="N36" s="201">
        <f t="shared" si="27"/>
        <v>0</v>
      </c>
      <c r="O36" s="201">
        <f t="shared" si="27"/>
        <v>0</v>
      </c>
      <c r="P36" s="201">
        <f t="shared" si="27"/>
        <v>0</v>
      </c>
      <c r="Q36" s="201">
        <f>Q20+Q23+Q30+Q34</f>
        <v>19967.455517177008</v>
      </c>
      <c r="R36" s="218">
        <f>Q36*1000/$Q$4</f>
        <v>37.944566442616484</v>
      </c>
      <c r="T36" s="63">
        <f>I36+P36-Q36</f>
        <v>2131.2902553087297</v>
      </c>
    </row>
    <row r="38" spans="1:20" x14ac:dyDescent="0.3">
      <c r="B38" s="107"/>
      <c r="C38" s="23"/>
      <c r="J38" s="105"/>
      <c r="K38" s="105"/>
      <c r="L38" s="105"/>
      <c r="M38" s="105"/>
      <c r="N38" s="105"/>
      <c r="O38" s="105"/>
      <c r="P38" s="23"/>
      <c r="Q38" s="23"/>
      <c r="R38" s="23"/>
    </row>
    <row r="41" spans="1:20" x14ac:dyDescent="0.3">
      <c r="N41" s="107"/>
    </row>
  </sheetData>
  <mergeCells count="18">
    <mergeCell ref="A2:A3"/>
    <mergeCell ref="B2:C3"/>
    <mergeCell ref="D2:D3"/>
    <mergeCell ref="E2:E3"/>
    <mergeCell ref="F2:F3"/>
    <mergeCell ref="N2:N3"/>
    <mergeCell ref="O2:O3"/>
    <mergeCell ref="P2:P3"/>
    <mergeCell ref="Q2:R3"/>
    <mergeCell ref="B4:C4"/>
    <mergeCell ref="Q4:R4"/>
    <mergeCell ref="H2:H3"/>
    <mergeCell ref="I2:I3"/>
    <mergeCell ref="J2:J3"/>
    <mergeCell ref="K2:K3"/>
    <mergeCell ref="L2:L3"/>
    <mergeCell ref="M2:M3"/>
    <mergeCell ref="G2:G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C822-5B08-4981-8858-8EFE47E99985}">
  <dimension ref="A1:AG78"/>
  <sheetViews>
    <sheetView showGridLines="0" zoomScale="70" zoomScaleNormal="70" workbookViewId="0">
      <selection activeCell="F19" sqref="F19"/>
    </sheetView>
  </sheetViews>
  <sheetFormatPr defaultRowHeight="14.4" x14ac:dyDescent="0.3"/>
  <cols>
    <col min="1" max="1" width="47.21875" bestFit="1" customWidth="1"/>
    <col min="2" max="2" width="10.44140625" bestFit="1" customWidth="1"/>
    <col min="4" max="7" width="11.5546875" customWidth="1"/>
    <col min="8" max="8" width="11.21875" bestFit="1" customWidth="1"/>
    <col min="9" max="9" width="12.5546875" customWidth="1"/>
    <col min="11" max="11" width="11.44140625" customWidth="1"/>
    <col min="12" max="12" width="1.44140625" customWidth="1"/>
    <col min="13" max="13" width="12.77734375" bestFit="1" customWidth="1"/>
    <col min="14" max="14" width="1.21875" customWidth="1"/>
    <col min="15" max="15" width="14.5546875" bestFit="1" customWidth="1"/>
    <col min="17" max="17" width="12" bestFit="1" customWidth="1"/>
    <col min="18" max="18" width="12.5546875" customWidth="1"/>
    <col min="19" max="19" width="13.21875" customWidth="1"/>
    <col min="20" max="20" width="2.88671875" customWidth="1"/>
    <col min="21" max="21" width="3.77734375" customWidth="1"/>
    <col min="22" max="22" width="6.109375" bestFit="1" customWidth="1"/>
    <col min="23" max="23" width="9.44140625" customWidth="1"/>
    <col min="24" max="24" width="12.88671875" customWidth="1"/>
  </cols>
  <sheetData>
    <row r="1" spans="1:32" x14ac:dyDescent="0.3">
      <c r="A1" s="40" t="s">
        <v>159</v>
      </c>
      <c r="B1" s="41">
        <f>+'Budget assumption'!R35</f>
        <v>674311</v>
      </c>
      <c r="C1" s="41">
        <f>H1-B1</f>
        <v>-109289</v>
      </c>
      <c r="D1" s="43"/>
      <c r="E1" s="43"/>
      <c r="F1" s="43"/>
      <c r="G1" s="43"/>
      <c r="H1" s="41">
        <f>+'Budget assumption'!R66</f>
        <v>565022</v>
      </c>
      <c r="I1" s="41">
        <f>'Budget assumption'!Q321</f>
        <v>0</v>
      </c>
      <c r="J1" s="42"/>
      <c r="K1" s="41">
        <f>'data entry '!R82</f>
        <v>526227.00399999996</v>
      </c>
      <c r="L1" s="42"/>
      <c r="M1" s="41">
        <f>'data entry '!R115</f>
        <v>526227.00399999996</v>
      </c>
      <c r="N1" s="42"/>
      <c r="O1" s="43"/>
      <c r="P1" s="44"/>
      <c r="Q1" s="39"/>
      <c r="R1" s="39"/>
      <c r="S1" s="39"/>
      <c r="T1" s="39"/>
      <c r="U1" s="39"/>
      <c r="V1" s="39"/>
      <c r="W1" s="44"/>
      <c r="X1" s="39"/>
      <c r="Y1" s="39"/>
      <c r="Z1" s="39"/>
      <c r="AA1" s="772" t="s">
        <v>160</v>
      </c>
      <c r="AB1" s="39" t="s">
        <v>161</v>
      </c>
      <c r="AC1" s="39" t="s">
        <v>162</v>
      </c>
    </row>
    <row r="2" spans="1:32" x14ac:dyDescent="0.3">
      <c r="A2" s="39"/>
      <c r="B2" s="42" t="s">
        <v>163</v>
      </c>
      <c r="C2" s="42" t="s">
        <v>163</v>
      </c>
      <c r="D2" s="46"/>
      <c r="E2" s="46"/>
      <c r="F2" s="46"/>
      <c r="G2" s="46"/>
      <c r="H2" s="42" t="s">
        <v>163</v>
      </c>
      <c r="I2" s="42" t="s">
        <v>163</v>
      </c>
      <c r="J2" s="42"/>
      <c r="K2" s="42" t="s">
        <v>163</v>
      </c>
      <c r="L2" s="42"/>
      <c r="M2" s="42" t="s">
        <v>163</v>
      </c>
      <c r="N2" s="42"/>
      <c r="O2" s="42"/>
      <c r="P2" s="39"/>
      <c r="Q2" s="773" t="s">
        <v>164</v>
      </c>
      <c r="R2" s="773"/>
      <c r="S2" s="773"/>
      <c r="T2" s="39"/>
      <c r="U2" s="39"/>
      <c r="V2" s="773" t="s">
        <v>165</v>
      </c>
      <c r="W2" s="773"/>
      <c r="X2" s="773"/>
      <c r="Y2" s="39"/>
      <c r="Z2" s="39"/>
      <c r="AA2" s="772"/>
      <c r="AB2" s="39" t="s">
        <v>166</v>
      </c>
      <c r="AC2" s="39" t="s">
        <v>167</v>
      </c>
    </row>
    <row r="3" spans="1:32" x14ac:dyDescent="0.3">
      <c r="A3" s="759" t="s">
        <v>168</v>
      </c>
      <c r="B3" s="762" t="s">
        <v>169</v>
      </c>
      <c r="C3" s="762" t="s">
        <v>97</v>
      </c>
      <c r="D3" s="764" t="s">
        <v>43</v>
      </c>
      <c r="E3" s="764" t="s">
        <v>429</v>
      </c>
      <c r="F3" s="764" t="s">
        <v>430</v>
      </c>
      <c r="G3" s="771" t="s">
        <v>98</v>
      </c>
      <c r="H3" s="768" t="s">
        <v>170</v>
      </c>
      <c r="I3" s="47" t="s">
        <v>171</v>
      </c>
      <c r="J3" s="770"/>
      <c r="K3" s="47" t="s">
        <v>172</v>
      </c>
      <c r="L3" s="774"/>
      <c r="M3" s="768" t="s">
        <v>173</v>
      </c>
      <c r="N3" s="774"/>
      <c r="O3" s="768" t="s">
        <v>99</v>
      </c>
      <c r="P3" s="775"/>
      <c r="Q3" s="765" t="s">
        <v>160</v>
      </c>
      <c r="R3" s="765" t="s">
        <v>174</v>
      </c>
      <c r="S3" s="765" t="s">
        <v>157</v>
      </c>
      <c r="T3" s="777"/>
      <c r="U3" s="778"/>
      <c r="V3" s="765" t="s">
        <v>160</v>
      </c>
      <c r="W3" s="765" t="s">
        <v>174</v>
      </c>
      <c r="X3" s="765" t="s">
        <v>157</v>
      </c>
      <c r="Y3" s="777"/>
      <c r="Z3" s="776"/>
      <c r="AA3" s="776"/>
      <c r="AB3" s="776"/>
      <c r="AC3" s="776"/>
    </row>
    <row r="4" spans="1:32" x14ac:dyDescent="0.3">
      <c r="A4" s="760"/>
      <c r="B4" s="763"/>
      <c r="C4" s="763"/>
      <c r="D4" s="764" t="s">
        <v>43</v>
      </c>
      <c r="E4" s="764"/>
      <c r="F4" s="764"/>
      <c r="G4" s="771"/>
      <c r="H4" s="769"/>
      <c r="I4" s="48"/>
      <c r="J4" s="770"/>
      <c r="K4" s="48"/>
      <c r="L4" s="774"/>
      <c r="M4" s="769"/>
      <c r="N4" s="774"/>
      <c r="O4" s="769"/>
      <c r="P4" s="775"/>
      <c r="Q4" s="766"/>
      <c r="R4" s="766"/>
      <c r="S4" s="766"/>
      <c r="T4" s="777"/>
      <c r="U4" s="778"/>
      <c r="V4" s="766"/>
      <c r="W4" s="766"/>
      <c r="X4" s="766"/>
      <c r="Y4" s="777"/>
      <c r="Z4" s="776"/>
      <c r="AA4" s="776"/>
      <c r="AB4" s="776"/>
      <c r="AC4" s="776"/>
    </row>
    <row r="5" spans="1:32" x14ac:dyDescent="0.3">
      <c r="A5" s="761"/>
      <c r="B5" s="763"/>
      <c r="C5" s="763"/>
      <c r="D5" s="764"/>
      <c r="E5" s="764"/>
      <c r="F5" s="764"/>
      <c r="G5" s="771"/>
      <c r="H5" s="769"/>
      <c r="I5" s="48" t="s">
        <v>175</v>
      </c>
      <c r="J5" s="770"/>
      <c r="K5" s="48"/>
      <c r="L5" s="774"/>
      <c r="M5" s="769"/>
      <c r="N5" s="774"/>
      <c r="O5" s="769"/>
      <c r="P5" s="775"/>
      <c r="Q5" s="767"/>
      <c r="R5" s="767"/>
      <c r="S5" s="766"/>
      <c r="T5" s="777"/>
      <c r="U5" s="778"/>
      <c r="V5" s="767"/>
      <c r="W5" s="767"/>
      <c r="X5" s="766"/>
      <c r="Y5" s="777"/>
      <c r="Z5" s="776"/>
      <c r="AA5" s="776"/>
      <c r="AB5" s="776"/>
      <c r="AC5" s="776"/>
    </row>
    <row r="6" spans="1:32" x14ac:dyDescent="0.3">
      <c r="A6" s="341" t="s">
        <v>158</v>
      </c>
      <c r="B6" s="169">
        <f>'Budget assumption'!R37</f>
        <v>7672.5</v>
      </c>
      <c r="C6" s="169">
        <f>'Budget assumption'!R70</f>
        <v>-1243.5209458247009</v>
      </c>
      <c r="D6" s="169">
        <f>'Budget assumption'!R118</f>
        <v>-401.07507945099997</v>
      </c>
      <c r="E6" s="169">
        <f>'Budget assumption'!R149</f>
        <v>-411.01600353982298</v>
      </c>
      <c r="F6" s="169">
        <f>'Budget assumption'!R180</f>
        <v>460.1120288155239</v>
      </c>
      <c r="G6" s="169">
        <f>'Budget assumption'!R242+'Budget assumption'!R273</f>
        <v>5.1159076974727213E-13</v>
      </c>
      <c r="H6" s="169">
        <f>'Budget assumption'!R211</f>
        <v>6077</v>
      </c>
      <c r="I6" s="169"/>
      <c r="J6" s="89">
        <f t="shared" ref="J6:J32" si="0">H6-SUM(B6:G6)</f>
        <v>0</v>
      </c>
      <c r="K6" s="169">
        <f>'data entry '!R84</f>
        <v>5960.5154628402342</v>
      </c>
      <c r="L6" s="68"/>
      <c r="M6" s="169">
        <f>'data entry '!R117</f>
        <v>5008.702711933277</v>
      </c>
      <c r="N6" s="68"/>
      <c r="O6" s="169">
        <f>M6-K6</f>
        <v>-951.81275090695726</v>
      </c>
      <c r="P6" s="39"/>
      <c r="Q6" s="169">
        <f>M6-K6-E6-F6-D6-G6</f>
        <v>-599.83369673165862</v>
      </c>
      <c r="R6" s="169"/>
      <c r="S6" s="169">
        <f>Q6+R6</f>
        <v>-599.83369673165862</v>
      </c>
      <c r="T6" s="39"/>
      <c r="U6" s="39"/>
      <c r="V6" s="169">
        <f>M6-K6</f>
        <v>-951.81275090695726</v>
      </c>
      <c r="W6" s="169"/>
      <c r="X6" s="169">
        <f>V6+W6</f>
        <v>-951.81275090695726</v>
      </c>
      <c r="Y6" s="39"/>
      <c r="Z6" s="39"/>
      <c r="AA6" s="39"/>
      <c r="AB6" s="39"/>
      <c r="AC6" s="39"/>
    </row>
    <row r="7" spans="1:32" x14ac:dyDescent="0.3">
      <c r="A7" s="341" t="s">
        <v>75</v>
      </c>
      <c r="B7" s="169">
        <f>'Budget assumption'!R38</f>
        <v>519.99999999999989</v>
      </c>
      <c r="C7" s="169">
        <f>'Budget assumption'!R71</f>
        <v>-84.27903445146228</v>
      </c>
      <c r="D7" s="169">
        <f>'Budget assumption'!R119</f>
        <v>0</v>
      </c>
      <c r="E7" s="169">
        <f>'Budget assumption'!R150</f>
        <v>0</v>
      </c>
      <c r="F7" s="169">
        <f>'Budget assumption'!R181</f>
        <v>-30.398898525094666</v>
      </c>
      <c r="G7" s="169">
        <f>'Budget assumption'!R243+'Budget assumption'!R274</f>
        <v>9.2370555648813024E-14</v>
      </c>
      <c r="H7" s="169">
        <f>'Budget assumption'!R212</f>
        <v>405.32206702344303</v>
      </c>
      <c r="I7" s="169"/>
      <c r="J7" s="89">
        <f t="shared" si="0"/>
        <v>0</v>
      </c>
      <c r="K7" s="169">
        <f>'data entry '!R85</f>
        <v>401.67756741285308</v>
      </c>
      <c r="L7" s="68"/>
      <c r="M7" s="169">
        <f>'data entry '!R118</f>
        <v>359.05777436643751</v>
      </c>
      <c r="N7" s="68"/>
      <c r="O7" s="169">
        <f t="shared" ref="O7:O32" si="1">M7-K7</f>
        <v>-42.619793046415566</v>
      </c>
      <c r="P7" s="39"/>
      <c r="Q7" s="169">
        <f t="shared" ref="Q7:Q31" si="2">M7-K7-E7-F7-D7-G7</f>
        <v>-12.220894521320993</v>
      </c>
      <c r="R7" s="169"/>
      <c r="S7" s="169">
        <f t="shared" ref="S7:S32" si="3">Q7+R7</f>
        <v>-12.220894521320993</v>
      </c>
      <c r="T7" s="39"/>
      <c r="U7" s="39"/>
      <c r="V7" s="169">
        <f t="shared" ref="V7:V8" si="4">M7-K7</f>
        <v>-42.619793046415566</v>
      </c>
      <c r="W7" s="169"/>
      <c r="X7" s="169">
        <f t="shared" ref="X7:X8" si="5">V7+W7</f>
        <v>-42.619793046415566</v>
      </c>
      <c r="Y7" s="39"/>
      <c r="Z7" s="39"/>
      <c r="AA7" s="39"/>
      <c r="AB7" s="39"/>
      <c r="AC7" s="39"/>
    </row>
    <row r="8" spans="1:32" x14ac:dyDescent="0.3">
      <c r="A8" s="342" t="s">
        <v>196</v>
      </c>
      <c r="B8" s="169">
        <f>'Budget assumption'!R39</f>
        <v>237.02999999999994</v>
      </c>
      <c r="C8" s="169">
        <f>'Budget assumption'!R72</f>
        <v>-38.416652953904055</v>
      </c>
      <c r="D8" s="169">
        <f>'Budget assumption'!R120</f>
        <v>-12</v>
      </c>
      <c r="E8" s="169">
        <f>'Budget assumption'!R151</f>
        <v>0</v>
      </c>
      <c r="F8" s="169">
        <f>'Budget assumption'!R182</f>
        <v>-1.5815970460959541</v>
      </c>
      <c r="G8" s="169">
        <f>'Budget assumption'!R244+'Budget assumption'!R275</f>
        <v>5.5067062021407764E-14</v>
      </c>
      <c r="H8" s="169">
        <f>'Budget assumption'!R213</f>
        <v>185.03175000000002</v>
      </c>
      <c r="I8" s="169"/>
      <c r="J8" s="89">
        <f t="shared" si="0"/>
        <v>0</v>
      </c>
      <c r="K8" s="169">
        <f>'data entry '!R86</f>
        <v>179.83246817092942</v>
      </c>
      <c r="L8" s="68"/>
      <c r="M8" s="169">
        <f>'data entry '!R119</f>
        <v>187.28831999999997</v>
      </c>
      <c r="N8" s="68"/>
      <c r="O8" s="169">
        <f t="shared" si="1"/>
        <v>7.4558518290705535</v>
      </c>
      <c r="P8" s="39"/>
      <c r="Q8" s="169">
        <f t="shared" si="2"/>
        <v>21.037448875166454</v>
      </c>
      <c r="R8" s="169"/>
      <c r="S8" s="169">
        <f t="shared" si="3"/>
        <v>21.037448875166454</v>
      </c>
      <c r="T8" s="39"/>
      <c r="U8" s="39"/>
      <c r="V8" s="169">
        <f t="shared" si="4"/>
        <v>7.4558518290705535</v>
      </c>
      <c r="W8" s="169"/>
      <c r="X8" s="169">
        <f t="shared" si="5"/>
        <v>7.4558518290705535</v>
      </c>
      <c r="Y8" s="39"/>
      <c r="Z8" s="39"/>
      <c r="AA8" s="39"/>
      <c r="AB8" s="39"/>
      <c r="AC8" s="39"/>
    </row>
    <row r="9" spans="1:32" ht="15" thickBot="1" x14ac:dyDescent="0.35">
      <c r="A9" s="344" t="s">
        <v>197</v>
      </c>
      <c r="B9" s="395">
        <f>SUM(B6:B8)</f>
        <v>8429.5300000000007</v>
      </c>
      <c r="C9" s="395">
        <f t="shared" ref="C9:O9" si="6">SUM(C6:C8)</f>
        <v>-1366.2166332300674</v>
      </c>
      <c r="D9" s="395">
        <f t="shared" si="6"/>
        <v>-413.07507945099997</v>
      </c>
      <c r="E9" s="395">
        <f t="shared" si="6"/>
        <v>-411.01600353982298</v>
      </c>
      <c r="F9" s="395">
        <f t="shared" si="6"/>
        <v>428.1315332443333</v>
      </c>
      <c r="G9" s="395">
        <f t="shared" si="6"/>
        <v>6.5902838741749292E-13</v>
      </c>
      <c r="H9" s="395">
        <f>SUM(H6:H8)</f>
        <v>6667.3538170234433</v>
      </c>
      <c r="I9" s="395">
        <f t="shared" si="6"/>
        <v>0</v>
      </c>
      <c r="J9" s="89">
        <f t="shared" si="0"/>
        <v>0</v>
      </c>
      <c r="K9" s="395">
        <f t="shared" si="6"/>
        <v>6542.0254984240164</v>
      </c>
      <c r="L9" s="68"/>
      <c r="M9" s="395">
        <f t="shared" si="6"/>
        <v>5555.0488062997138</v>
      </c>
      <c r="N9" s="68"/>
      <c r="O9" s="395">
        <f t="shared" si="6"/>
        <v>-986.9766921243023</v>
      </c>
      <c r="P9" s="39"/>
      <c r="Q9" s="395">
        <f>SUM(Q6:Q8)</f>
        <v>-591.01714237781323</v>
      </c>
      <c r="R9" s="395">
        <f>SUM(R6:R8)</f>
        <v>0</v>
      </c>
      <c r="S9" s="395">
        <f t="shared" ref="S9" si="7">SUM(S6:S8)</f>
        <v>-591.01714237781323</v>
      </c>
      <c r="T9" s="39"/>
      <c r="U9" s="39"/>
      <c r="V9" s="395">
        <f>SUM(V6:V8)</f>
        <v>-986.9766921243023</v>
      </c>
      <c r="W9" s="395">
        <f t="shared" ref="W9" si="8">SUM(W6:W8)</f>
        <v>0</v>
      </c>
      <c r="X9" s="395">
        <f>SUM(X6:X8)</f>
        <v>-986.9766921243023</v>
      </c>
      <c r="Y9" s="39"/>
      <c r="Z9" s="39"/>
      <c r="AA9" s="39"/>
      <c r="AB9" s="39"/>
      <c r="AC9" s="39"/>
    </row>
    <row r="10" spans="1:32" x14ac:dyDescent="0.3">
      <c r="A10" s="343" t="s">
        <v>80</v>
      </c>
      <c r="B10" s="169">
        <f>'Budget assumption'!R41</f>
        <v>3009.36</v>
      </c>
      <c r="C10" s="397"/>
      <c r="D10" s="169">
        <f>'Budget assumption'!R122</f>
        <v>0</v>
      </c>
      <c r="E10" s="169">
        <f>'Budget assumption'!R153</f>
        <v>-429</v>
      </c>
      <c r="F10" s="169">
        <f>'Budget assumption'!R184</f>
        <v>120.9688063649655</v>
      </c>
      <c r="G10" s="169">
        <f>'Budget assumption'!R246+'Budget assumption'!R277</f>
        <v>1.9895196601282805E-13</v>
      </c>
      <c r="H10" s="169">
        <f>'Budget assumption'!R215</f>
        <v>2701.3288063649657</v>
      </c>
      <c r="I10" s="169">
        <f>'Budget assumption'!Q323</f>
        <v>-19.917773371634159</v>
      </c>
      <c r="J10" s="89">
        <f t="shared" si="0"/>
        <v>0</v>
      </c>
      <c r="K10" s="169">
        <f>'data entry '!R88</f>
        <v>2343.4368048936017</v>
      </c>
      <c r="L10" s="68"/>
      <c r="M10" s="169">
        <f>'data entry '!R121</f>
        <v>2800.1828542872195</v>
      </c>
      <c r="N10" s="68"/>
      <c r="O10" s="169">
        <f t="shared" si="1"/>
        <v>456.7460493936178</v>
      </c>
      <c r="P10" s="39"/>
      <c r="Q10" s="169">
        <f>M10-H10</f>
        <v>98.854047922253812</v>
      </c>
      <c r="R10" s="169">
        <f>H10-K10-E10-I10-F10-G10-D10</f>
        <v>685.84096847803244</v>
      </c>
      <c r="S10" s="169">
        <f t="shared" si="3"/>
        <v>784.69501640028625</v>
      </c>
      <c r="T10" s="39"/>
      <c r="U10" s="39"/>
      <c r="V10" s="169">
        <f>M10-B10</f>
        <v>-209.17714571278066</v>
      </c>
      <c r="W10" s="169">
        <f>B10-K10</f>
        <v>665.92319510639845</v>
      </c>
      <c r="X10" s="169">
        <f t="shared" ref="X10:X15" si="9">V10+W10</f>
        <v>456.7460493936178</v>
      </c>
      <c r="Y10" s="39"/>
      <c r="Z10" s="39"/>
      <c r="AA10" s="39"/>
      <c r="AB10" s="39"/>
      <c r="AC10" s="39"/>
    </row>
    <row r="11" spans="1:32" x14ac:dyDescent="0.3">
      <c r="A11" s="342" t="s">
        <v>81</v>
      </c>
      <c r="B11" s="169">
        <f>'Budget assumption'!R42</f>
        <v>1088.54</v>
      </c>
      <c r="C11" s="397"/>
      <c r="D11" s="169">
        <f>'Budget assumption'!R123</f>
        <v>0</v>
      </c>
      <c r="E11" s="169">
        <f>'Budget assumption'!R154</f>
        <v>83</v>
      </c>
      <c r="F11" s="169">
        <f>'Budget assumption'!R185</f>
        <v>77.884206691014214</v>
      </c>
      <c r="G11" s="169">
        <f>'Budget assumption'!R247+'Budget assumption'!R278</f>
        <v>-4.2632564145606011E-14</v>
      </c>
      <c r="H11" s="169">
        <f>'Budget assumption'!R216</f>
        <v>1249.424206691014</v>
      </c>
      <c r="I11" s="169">
        <f>'Budget assumption'!Q324</f>
        <v>-7.2046192632183077</v>
      </c>
      <c r="J11" s="89">
        <f t="shared" si="0"/>
        <v>0</v>
      </c>
      <c r="K11" s="169">
        <f>'data entry '!R89</f>
        <v>842.15252946397436</v>
      </c>
      <c r="L11" s="69"/>
      <c r="M11" s="169">
        <f>'data entry '!R122</f>
        <v>1250.2817753772576</v>
      </c>
      <c r="N11" s="69"/>
      <c r="O11" s="169">
        <f t="shared" si="1"/>
        <v>408.12924591328328</v>
      </c>
      <c r="P11" s="39"/>
      <c r="Q11" s="169">
        <f t="shared" ref="Q11:Q15" si="10">M11-H11</f>
        <v>0.85756868624366689</v>
      </c>
      <c r="R11" s="169">
        <f t="shared" ref="R11:R15" si="11">H11-K11-E11-I11-F11-G11-D11</f>
        <v>253.59208979924375</v>
      </c>
      <c r="S11" s="169">
        <f t="shared" si="3"/>
        <v>254.44965848548742</v>
      </c>
      <c r="T11" s="39"/>
      <c r="U11" s="39"/>
      <c r="V11" s="169">
        <f t="shared" ref="V11:V15" si="12">M11-B11</f>
        <v>161.74177537725768</v>
      </c>
      <c r="W11" s="169">
        <f t="shared" ref="W11:W15" si="13">B11-K11</f>
        <v>246.3874705360256</v>
      </c>
      <c r="X11" s="169">
        <f t="shared" si="9"/>
        <v>408.12924591328328</v>
      </c>
      <c r="Y11" s="39"/>
      <c r="Z11" s="39"/>
      <c r="AA11" s="39"/>
      <c r="AB11" s="39"/>
      <c r="AC11" s="39"/>
      <c r="AD11" s="39"/>
      <c r="AE11" s="39"/>
      <c r="AF11" s="39"/>
    </row>
    <row r="12" spans="1:32" x14ac:dyDescent="0.3">
      <c r="A12" s="342" t="s">
        <v>82</v>
      </c>
      <c r="B12" s="169">
        <f>'Budget assumption'!R43</f>
        <v>2101.5899999999997</v>
      </c>
      <c r="C12" s="397"/>
      <c r="D12" s="169">
        <f>'Budget assumption'!R124</f>
        <v>0</v>
      </c>
      <c r="E12" s="169">
        <f>'Budget assumption'!R155</f>
        <v>-148.55618199660165</v>
      </c>
      <c r="F12" s="169">
        <f>'Budget assumption'!R186</f>
        <v>202.77618199660131</v>
      </c>
      <c r="G12" s="169">
        <f>'Budget assumption'!R248+'Budget assumption'!R279</f>
        <v>5.1159076974727213E-13</v>
      </c>
      <c r="H12" s="169">
        <f>'Budget assumption'!R217</f>
        <v>2155.81</v>
      </c>
      <c r="I12" s="169">
        <f>'Budget assumption'!Q325</f>
        <v>-13.909599828565748</v>
      </c>
      <c r="J12" s="89">
        <f t="shared" si="0"/>
        <v>0</v>
      </c>
      <c r="K12" s="169">
        <f>'data entry '!R90</f>
        <v>1627.5617220860088</v>
      </c>
      <c r="L12" s="68"/>
      <c r="M12" s="169">
        <f>'data entry '!R123</f>
        <v>2131.3842341197997</v>
      </c>
      <c r="N12" s="68"/>
      <c r="O12" s="169">
        <f t="shared" si="1"/>
        <v>503.82251203379087</v>
      </c>
      <c r="P12" s="39"/>
      <c r="Q12" s="169">
        <f t="shared" si="10"/>
        <v>-24.425765880200288</v>
      </c>
      <c r="R12" s="169">
        <f t="shared" si="11"/>
        <v>487.93787774255685</v>
      </c>
      <c r="S12" s="169">
        <f t="shared" si="3"/>
        <v>463.51211186235656</v>
      </c>
      <c r="T12" s="39"/>
      <c r="U12" s="39"/>
      <c r="V12" s="169">
        <f t="shared" si="12"/>
        <v>29.794234119799967</v>
      </c>
      <c r="W12" s="169">
        <f t="shared" si="13"/>
        <v>474.02827791399091</v>
      </c>
      <c r="X12" s="169">
        <f t="shared" si="9"/>
        <v>503.82251203379087</v>
      </c>
      <c r="Y12" s="39"/>
      <c r="Z12" s="39"/>
      <c r="AA12" s="39"/>
      <c r="AB12" s="39"/>
      <c r="AC12" s="39"/>
    </row>
    <row r="13" spans="1:32" x14ac:dyDescent="0.3">
      <c r="A13" s="342" t="s">
        <v>83</v>
      </c>
      <c r="B13" s="169">
        <f>'Budget assumption'!R44</f>
        <v>133.69999999999996</v>
      </c>
      <c r="C13" s="397"/>
      <c r="D13" s="169">
        <f>'Budget assumption'!R125</f>
        <v>-13.199999999999998</v>
      </c>
      <c r="E13" s="169">
        <f>'Budget assumption'!R156</f>
        <v>-24</v>
      </c>
      <c r="F13" s="169">
        <f>'Budget assumption'!R187</f>
        <v>-30.500000000000004</v>
      </c>
      <c r="G13" s="169">
        <f>'Budget assumption'!R249+'Budget assumption'!R280</f>
        <v>1.5987211554602254E-14</v>
      </c>
      <c r="H13" s="169">
        <f>'Budget assumption'!R218</f>
        <v>66</v>
      </c>
      <c r="I13" s="169">
        <f>'Budget assumption'!Q326</f>
        <v>-0.88490785409106465</v>
      </c>
      <c r="J13" s="89">
        <f t="shared" si="0"/>
        <v>0</v>
      </c>
      <c r="K13" s="169">
        <f>'data entry '!R91</f>
        <v>99.464136707439138</v>
      </c>
      <c r="L13" s="68"/>
      <c r="M13" s="169">
        <f>'data entry '!R124</f>
        <v>65.036253246420827</v>
      </c>
      <c r="N13" s="68"/>
      <c r="O13" s="169">
        <f t="shared" si="1"/>
        <v>-34.427883461018311</v>
      </c>
      <c r="P13" s="39"/>
      <c r="Q13" s="169">
        <f t="shared" si="10"/>
        <v>-0.96374675357917283</v>
      </c>
      <c r="R13" s="169">
        <f t="shared" si="11"/>
        <v>35.120771146651911</v>
      </c>
      <c r="S13" s="169">
        <f t="shared" si="3"/>
        <v>34.157024393072739</v>
      </c>
      <c r="T13" s="39"/>
      <c r="U13" s="39"/>
      <c r="V13" s="169">
        <f t="shared" si="12"/>
        <v>-68.663746753579133</v>
      </c>
      <c r="W13" s="169">
        <f t="shared" si="13"/>
        <v>34.235863292560822</v>
      </c>
      <c r="X13" s="169">
        <f t="shared" si="9"/>
        <v>-34.427883461018311</v>
      </c>
      <c r="Y13" s="39"/>
      <c r="Z13" s="39"/>
      <c r="AA13" s="39"/>
      <c r="AB13" s="39"/>
      <c r="AC13" s="39"/>
    </row>
    <row r="14" spans="1:32" x14ac:dyDescent="0.3">
      <c r="A14" s="342" t="s">
        <v>84</v>
      </c>
      <c r="B14" s="169">
        <f>'Budget assumption'!R45</f>
        <v>469.09127999999987</v>
      </c>
      <c r="C14" s="397"/>
      <c r="D14" s="169">
        <f>'Budget assumption'!R126</f>
        <v>0</v>
      </c>
      <c r="E14" s="169">
        <f>'Budget assumption'!R157</f>
        <v>0</v>
      </c>
      <c r="F14" s="169">
        <f>'Budget assumption'!R188</f>
        <v>44.020247807606594</v>
      </c>
      <c r="G14" s="169">
        <f>'Budget assumption'!R250+'Budget assumption'!R281</f>
        <v>1.4210854715202004E-13</v>
      </c>
      <c r="H14" s="169">
        <f>'Budget assumption'!R219</f>
        <v>513.11152780760665</v>
      </c>
      <c r="I14" s="169">
        <f>'Budget assumption'!Q327</f>
        <v>-3.1047311739538572</v>
      </c>
      <c r="J14" s="89">
        <f t="shared" si="0"/>
        <v>0</v>
      </c>
      <c r="K14" s="169">
        <f>'data entry '!R92</f>
        <v>415.82132616608396</v>
      </c>
      <c r="L14" s="68"/>
      <c r="M14" s="169">
        <f>'data entry '!R125</f>
        <v>477.52255285744735</v>
      </c>
      <c r="N14" s="68"/>
      <c r="O14" s="169">
        <f t="shared" si="1"/>
        <v>61.701226691363388</v>
      </c>
      <c r="P14" s="39"/>
      <c r="Q14" s="169">
        <f t="shared" si="10"/>
        <v>-35.588974950159297</v>
      </c>
      <c r="R14" s="169">
        <f t="shared" si="11"/>
        <v>56.3746850078698</v>
      </c>
      <c r="S14" s="169">
        <f t="shared" si="3"/>
        <v>20.785710057710503</v>
      </c>
      <c r="T14" s="39"/>
      <c r="U14" s="39"/>
      <c r="V14" s="169">
        <f t="shared" si="12"/>
        <v>8.4312728574474818</v>
      </c>
      <c r="W14" s="169">
        <f t="shared" si="13"/>
        <v>53.269953833915906</v>
      </c>
      <c r="X14" s="169">
        <f t="shared" si="9"/>
        <v>61.701226691363388</v>
      </c>
      <c r="Y14" s="39"/>
      <c r="Z14" s="39"/>
      <c r="AA14" s="39"/>
      <c r="AB14" s="39"/>
      <c r="AC14" s="39"/>
    </row>
    <row r="15" spans="1:32" x14ac:dyDescent="0.3">
      <c r="A15" s="342" t="s">
        <v>86</v>
      </c>
      <c r="B15" s="169">
        <f>'Budget assumption'!R46</f>
        <v>1836.567758948848</v>
      </c>
      <c r="C15" s="397"/>
      <c r="D15" s="169">
        <f>'Budget assumption'!R127</f>
        <v>0</v>
      </c>
      <c r="E15" s="169">
        <f>'Budget assumption'!R158</f>
        <v>119.20920000000194</v>
      </c>
      <c r="F15" s="169">
        <f>'Budget assumption'!R189</f>
        <v>7.9999999798019417E-4</v>
      </c>
      <c r="G15" s="169">
        <f>'Budget assumption'!R251+'Budget assumption'!R282</f>
        <v>-1.7053025658242404E-13</v>
      </c>
      <c r="H15" s="169">
        <f>'Budget assumption'!R220</f>
        <v>1955.7777589488476</v>
      </c>
      <c r="I15" s="169">
        <f>'Budget assumption'!Q329</f>
        <v>-12.155521574153038</v>
      </c>
      <c r="J15" s="89">
        <f t="shared" si="0"/>
        <v>0</v>
      </c>
      <c r="K15" s="169">
        <f>'data entry '!R93</f>
        <v>5371.6817236667184</v>
      </c>
      <c r="L15" s="68"/>
      <c r="M15" s="169">
        <f>'data entry '!R126</f>
        <v>1779.6216192363759</v>
      </c>
      <c r="N15" s="68"/>
      <c r="O15" s="169">
        <f t="shared" si="1"/>
        <v>-3592.0601044303426</v>
      </c>
      <c r="P15" s="39"/>
      <c r="Q15" s="169">
        <f t="shared" si="10"/>
        <v>-176.15613971247171</v>
      </c>
      <c r="R15" s="169">
        <f t="shared" si="11"/>
        <v>-3522.9584431437174</v>
      </c>
      <c r="S15" s="169">
        <f t="shared" si="3"/>
        <v>-3699.1145828561894</v>
      </c>
      <c r="T15" s="39"/>
      <c r="U15" s="39"/>
      <c r="V15" s="169">
        <f t="shared" si="12"/>
        <v>-56.946139712472132</v>
      </c>
      <c r="W15" s="169">
        <f t="shared" si="13"/>
        <v>-3535.1139647178707</v>
      </c>
      <c r="X15" s="169">
        <f t="shared" si="9"/>
        <v>-3592.060104430343</v>
      </c>
      <c r="Y15" s="39"/>
      <c r="Z15" s="39"/>
      <c r="AA15" s="39"/>
      <c r="AB15" s="39"/>
      <c r="AC15" s="39"/>
    </row>
    <row r="16" spans="1:32" ht="15" thickBot="1" x14ac:dyDescent="0.35">
      <c r="A16" s="344" t="s">
        <v>198</v>
      </c>
      <c r="B16" s="395">
        <f>SUM(B10:B15)</f>
        <v>8638.849038948847</v>
      </c>
      <c r="C16" s="395">
        <f t="shared" ref="C16:I16" si="14">SUM(C10:C15)</f>
        <v>0</v>
      </c>
      <c r="D16" s="395">
        <f t="shared" si="14"/>
        <v>-13.199999999999998</v>
      </c>
      <c r="E16" s="395">
        <f t="shared" si="14"/>
        <v>-399.34698199659977</v>
      </c>
      <c r="F16" s="395">
        <f t="shared" si="14"/>
        <v>415.15024286018564</v>
      </c>
      <c r="G16" s="395">
        <f t="shared" si="14"/>
        <v>6.5547567373869242E-13</v>
      </c>
      <c r="H16" s="395">
        <f>SUM(H10:H15)</f>
        <v>8641.4522998124339</v>
      </c>
      <c r="I16" s="395">
        <f t="shared" si="14"/>
        <v>-57.177153065616167</v>
      </c>
      <c r="J16" s="89">
        <f t="shared" si="0"/>
        <v>0</v>
      </c>
      <c r="K16" s="395">
        <f>SUM(K10:K15)</f>
        <v>10700.118242983826</v>
      </c>
      <c r="L16" s="68"/>
      <c r="M16" s="395">
        <f>SUM(M10:M15)</f>
        <v>8504.0292891245208</v>
      </c>
      <c r="N16" s="68"/>
      <c r="O16" s="395">
        <f t="shared" si="1"/>
        <v>-2196.0889538593055</v>
      </c>
      <c r="P16" s="39"/>
      <c r="Q16" s="395">
        <f>SUM(Q10:Q15)</f>
        <v>-137.42301068791301</v>
      </c>
      <c r="R16" s="395">
        <f t="shared" ref="R16" si="15">SUM(R10:R15)</f>
        <v>-2004.0920509693628</v>
      </c>
      <c r="S16" s="395">
        <f t="shared" si="3"/>
        <v>-2141.515061657276</v>
      </c>
      <c r="T16" s="39"/>
      <c r="U16" s="39"/>
      <c r="V16" s="395">
        <f>SUM(V10:V15)</f>
        <v>-134.81974982432678</v>
      </c>
      <c r="W16" s="395">
        <f t="shared" ref="W16" si="16">SUM(W10:W15)</f>
        <v>-2061.2692040349789</v>
      </c>
      <c r="X16" s="395">
        <f>SUM(X10:X15)</f>
        <v>-2196.088953859306</v>
      </c>
      <c r="Y16" s="39"/>
      <c r="Z16" s="39"/>
      <c r="AA16" s="39"/>
      <c r="AB16" s="39"/>
      <c r="AC16" s="39"/>
    </row>
    <row r="17" spans="1:33" ht="21.45" customHeight="1" x14ac:dyDescent="0.3">
      <c r="A17" s="345" t="s">
        <v>88</v>
      </c>
      <c r="B17" s="396">
        <f>B9+B16</f>
        <v>17068.379038948849</v>
      </c>
      <c r="C17" s="396">
        <f t="shared" ref="C17:I17" si="17">C9+C16</f>
        <v>-1366.2166332300674</v>
      </c>
      <c r="D17" s="396">
        <f t="shared" si="17"/>
        <v>-426.27507945099995</v>
      </c>
      <c r="E17" s="396">
        <f t="shared" si="17"/>
        <v>-810.36298553642268</v>
      </c>
      <c r="F17" s="396">
        <f t="shared" si="17"/>
        <v>843.28177610451894</v>
      </c>
      <c r="G17" s="396">
        <f t="shared" si="17"/>
        <v>1.3145040611561853E-12</v>
      </c>
      <c r="H17" s="396">
        <f t="shared" si="17"/>
        <v>15308.806116835876</v>
      </c>
      <c r="I17" s="396">
        <f t="shared" si="17"/>
        <v>-57.177153065616167</v>
      </c>
      <c r="J17" s="89">
        <f t="shared" si="0"/>
        <v>0</v>
      </c>
      <c r="K17" s="396">
        <f>K9+K16</f>
        <v>17242.143741407843</v>
      </c>
      <c r="L17" s="68"/>
      <c r="M17" s="396">
        <f>M9+M16</f>
        <v>14059.078095424235</v>
      </c>
      <c r="N17" s="68"/>
      <c r="O17" s="396">
        <f t="shared" si="1"/>
        <v>-3183.0656459836082</v>
      </c>
      <c r="P17" s="39"/>
      <c r="Q17" s="396">
        <f>Q9+Q16</f>
        <v>-728.44015306572624</v>
      </c>
      <c r="R17" s="396">
        <f t="shared" ref="R17" si="18">R9+R16</f>
        <v>-2004.0920509693628</v>
      </c>
      <c r="S17" s="396">
        <f t="shared" si="3"/>
        <v>-2732.5322040350893</v>
      </c>
      <c r="T17" s="39"/>
      <c r="U17" s="39"/>
      <c r="V17" s="396">
        <f>V9+V16</f>
        <v>-1121.7964419486291</v>
      </c>
      <c r="W17" s="396">
        <f t="shared" ref="W17:X17" si="19">W9+W16</f>
        <v>-2061.2692040349789</v>
      </c>
      <c r="X17" s="396">
        <f t="shared" si="19"/>
        <v>-3183.0656459836082</v>
      </c>
      <c r="Y17" s="39"/>
      <c r="Z17" s="39"/>
      <c r="AA17" s="39"/>
      <c r="AB17" s="39"/>
      <c r="AC17" s="39"/>
    </row>
    <row r="18" spans="1:33" x14ac:dyDescent="0.3">
      <c r="A18" s="342" t="s">
        <v>89</v>
      </c>
      <c r="B18" s="169">
        <f>'Budget assumption'!R49</f>
        <v>120.56872</v>
      </c>
      <c r="C18" s="397"/>
      <c r="D18" s="169">
        <f>'Budget assumption'!R130</f>
        <v>0</v>
      </c>
      <c r="E18" s="169">
        <f>'Budget assumption'!R161</f>
        <v>0</v>
      </c>
      <c r="F18" s="169">
        <f>'Budget assumption'!R192</f>
        <v>124.89558249113931</v>
      </c>
      <c r="G18" s="169">
        <f>'Budget assumption'!R254+'Budget assumption'!R285</f>
        <v>-7.1054273576010019E-15</v>
      </c>
      <c r="H18" s="169">
        <f>'Budget assumption'!R223</f>
        <v>245.46430249113934</v>
      </c>
      <c r="I18" s="169">
        <f>'Budget assumption'!V49</f>
        <v>0</v>
      </c>
      <c r="J18" s="89">
        <f t="shared" si="0"/>
        <v>0</v>
      </c>
      <c r="K18" s="169">
        <f>'data entry '!R96</f>
        <v>0</v>
      </c>
      <c r="L18" s="68"/>
      <c r="M18" s="169">
        <f>'data entry '!R129</f>
        <v>218.78145942192785</v>
      </c>
      <c r="N18" s="68"/>
      <c r="O18" s="169">
        <f t="shared" si="1"/>
        <v>218.78145942192785</v>
      </c>
      <c r="P18" s="39"/>
      <c r="Q18" s="169">
        <f t="shared" ref="Q18" si="20">M18-H18</f>
        <v>-26.682843069211486</v>
      </c>
      <c r="R18" s="169">
        <f>H18-K18-E18-I18-F18-G18-D18</f>
        <v>120.56872000000004</v>
      </c>
      <c r="S18" s="169">
        <f t="shared" si="3"/>
        <v>93.885876930788555</v>
      </c>
      <c r="T18" s="39"/>
      <c r="U18" s="39"/>
      <c r="V18" s="169">
        <f t="shared" ref="V18" si="21">M18-B18</f>
        <v>98.21273942192785</v>
      </c>
      <c r="W18" s="169">
        <f t="shared" ref="W18" si="22">B18-K18</f>
        <v>120.56872</v>
      </c>
      <c r="X18" s="169">
        <f>V18+W18</f>
        <v>218.78145942192785</v>
      </c>
      <c r="Y18" s="39"/>
      <c r="Z18" s="39"/>
      <c r="AA18" s="39"/>
      <c r="AB18" s="39"/>
      <c r="AC18" s="39"/>
    </row>
    <row r="19" spans="1:33" ht="19.95" customHeight="1" x14ac:dyDescent="0.3">
      <c r="A19" s="345" t="s">
        <v>90</v>
      </c>
      <c r="B19" s="396">
        <f>B17+B18</f>
        <v>17188.947758948849</v>
      </c>
      <c r="C19" s="396">
        <f t="shared" ref="C19:I19" si="23">C17+C18</f>
        <v>-1366.2166332300674</v>
      </c>
      <c r="D19" s="396">
        <f t="shared" si="23"/>
        <v>-426.27507945099995</v>
      </c>
      <c r="E19" s="396">
        <f t="shared" si="23"/>
        <v>-810.36298553642268</v>
      </c>
      <c r="F19" s="396">
        <f t="shared" si="23"/>
        <v>968.17735859565823</v>
      </c>
      <c r="G19" s="396">
        <f t="shared" si="23"/>
        <v>1.3073986337985843E-12</v>
      </c>
      <c r="H19" s="396">
        <f t="shared" si="23"/>
        <v>15554.270419327016</v>
      </c>
      <c r="I19" s="396">
        <f t="shared" si="23"/>
        <v>-57.177153065616167</v>
      </c>
      <c r="J19" s="89">
        <f t="shared" si="0"/>
        <v>0</v>
      </c>
      <c r="K19" s="396">
        <f>K17+K18</f>
        <v>17242.143741407843</v>
      </c>
      <c r="L19" s="39"/>
      <c r="M19" s="396">
        <f>M17+M18</f>
        <v>14277.859554846162</v>
      </c>
      <c r="N19" s="39"/>
      <c r="O19" s="396">
        <f>O17+O18</f>
        <v>-2964.2841865616801</v>
      </c>
      <c r="P19" s="39"/>
      <c r="Q19" s="396">
        <f>Q17+Q18</f>
        <v>-755.12299613493769</v>
      </c>
      <c r="R19" s="396">
        <f t="shared" ref="R19" si="24">R17+R18</f>
        <v>-1883.5233309693629</v>
      </c>
      <c r="S19" s="396">
        <f t="shared" si="3"/>
        <v>-2638.6463271043003</v>
      </c>
      <c r="T19" s="39"/>
      <c r="U19" s="39"/>
      <c r="V19" s="396">
        <f t="shared" ref="V19:X19" si="25">V17+V18</f>
        <v>-1023.5837025267012</v>
      </c>
      <c r="W19" s="396">
        <f t="shared" si="25"/>
        <v>-1940.7004840349789</v>
      </c>
      <c r="X19" s="396">
        <f t="shared" si="25"/>
        <v>-2964.2841865616801</v>
      </c>
      <c r="Y19" s="39"/>
      <c r="Z19" s="39"/>
      <c r="AA19" s="39"/>
      <c r="AB19" s="39"/>
      <c r="AC19" s="39"/>
      <c r="AD19" s="39"/>
      <c r="AE19" s="39"/>
      <c r="AF19" s="39"/>
      <c r="AG19" s="39"/>
    </row>
    <row r="20" spans="1:33" x14ac:dyDescent="0.3">
      <c r="A20" s="342" t="s">
        <v>91</v>
      </c>
      <c r="B20" s="169">
        <f>'Budget assumption'!R51</f>
        <v>5048.1922410511515</v>
      </c>
      <c r="C20" s="397"/>
      <c r="D20" s="169">
        <f>'Budget assumption'!R132</f>
        <v>0</v>
      </c>
      <c r="E20" s="169">
        <f>'Budget assumption'!R163</f>
        <v>0</v>
      </c>
      <c r="F20" s="169">
        <f>'Budget assumption'!R194</f>
        <v>0</v>
      </c>
      <c r="G20" s="169">
        <f>'Budget assumption'!R256+'Budget assumption'!R287</f>
        <v>3.4106051316484809E-13</v>
      </c>
      <c r="H20" s="169">
        <f>'Budget assumption'!R225</f>
        <v>5048.1922410511525</v>
      </c>
      <c r="I20" s="169">
        <f>'Budget assumption'!V51</f>
        <v>0</v>
      </c>
      <c r="J20" s="89">
        <f t="shared" si="0"/>
        <v>0</v>
      </c>
      <c r="K20" s="169">
        <f>'data entry '!R98</f>
        <v>0</v>
      </c>
      <c r="L20" s="68"/>
      <c r="M20" s="169">
        <f>'data entry '!R131</f>
        <v>3696.2599758449851</v>
      </c>
      <c r="N20" s="68"/>
      <c r="O20" s="169">
        <f t="shared" si="1"/>
        <v>3696.2599758449851</v>
      </c>
      <c r="P20" s="39"/>
      <c r="Q20" s="169">
        <f t="shared" ref="Q20" si="26">M20-H20</f>
        <v>-1351.9322652061674</v>
      </c>
      <c r="R20" s="169">
        <f>H20-K20-E20-I20-F20-G20-D20</f>
        <v>5048.1922410511525</v>
      </c>
      <c r="S20" s="169">
        <f t="shared" si="3"/>
        <v>3696.2599758449851</v>
      </c>
      <c r="T20" s="39"/>
      <c r="U20" s="39"/>
      <c r="V20" s="169">
        <f t="shared" ref="V20" si="27">M20-B20</f>
        <v>-1351.9322652061664</v>
      </c>
      <c r="W20" s="169">
        <f t="shared" ref="W20" si="28">B20-K20</f>
        <v>5048.1922410511515</v>
      </c>
      <c r="X20" s="169">
        <f>V20+W20</f>
        <v>3696.2599758449851</v>
      </c>
      <c r="Y20" s="39"/>
      <c r="Z20" s="39"/>
      <c r="AA20" s="39"/>
      <c r="AB20" s="39"/>
      <c r="AC20" s="39"/>
    </row>
    <row r="21" spans="1:33" x14ac:dyDescent="0.3">
      <c r="A21" s="345" t="s">
        <v>92</v>
      </c>
      <c r="B21" s="396">
        <f>B19+B20</f>
        <v>22237.14</v>
      </c>
      <c r="C21" s="396">
        <f t="shared" ref="C21:I21" si="29">C19+C20</f>
        <v>-1366.2166332300674</v>
      </c>
      <c r="D21" s="396">
        <f t="shared" si="29"/>
        <v>-426.27507945099995</v>
      </c>
      <c r="E21" s="396">
        <f t="shared" si="29"/>
        <v>-810.36298553642268</v>
      </c>
      <c r="F21" s="396">
        <f t="shared" si="29"/>
        <v>968.17735859565823</v>
      </c>
      <c r="G21" s="396">
        <f t="shared" si="29"/>
        <v>1.6484591469634324E-12</v>
      </c>
      <c r="H21" s="396">
        <f t="shared" si="29"/>
        <v>20602.462660378169</v>
      </c>
      <c r="I21" s="396">
        <f t="shared" si="29"/>
        <v>-57.177153065616167</v>
      </c>
      <c r="J21" s="89">
        <f t="shared" si="0"/>
        <v>0</v>
      </c>
      <c r="K21" s="396">
        <f>K19+K20</f>
        <v>17242.143741407843</v>
      </c>
      <c r="L21" s="39"/>
      <c r="M21" s="396">
        <f>M19+M20</f>
        <v>17974.119530691147</v>
      </c>
      <c r="N21" s="39"/>
      <c r="O21" s="396">
        <f t="shared" si="1"/>
        <v>731.97578928330404</v>
      </c>
      <c r="P21" s="39"/>
      <c r="Q21" s="396">
        <f>Q19+Q20</f>
        <v>-2107.0552613411051</v>
      </c>
      <c r="R21" s="396">
        <f t="shared" ref="R21" si="30">R19+R20</f>
        <v>3164.6689100817894</v>
      </c>
      <c r="S21" s="396">
        <f t="shared" si="3"/>
        <v>1057.6136487406843</v>
      </c>
      <c r="T21" s="39"/>
      <c r="U21" s="39"/>
      <c r="V21" s="396">
        <f t="shared" ref="V21:X21" si="31">V19+V20</f>
        <v>-2375.5159677328675</v>
      </c>
      <c r="W21" s="396">
        <f t="shared" si="31"/>
        <v>3107.4917570161724</v>
      </c>
      <c r="X21" s="396">
        <f t="shared" si="31"/>
        <v>731.97578928330495</v>
      </c>
      <c r="Y21" s="39"/>
      <c r="Z21" s="39"/>
      <c r="AA21" s="39"/>
      <c r="AB21" s="39"/>
      <c r="AC21" s="39"/>
      <c r="AD21" s="39"/>
      <c r="AE21" s="39"/>
      <c r="AF21" s="39"/>
    </row>
    <row r="22" spans="1:33" x14ac:dyDescent="0.3">
      <c r="A22" s="342" t="s">
        <v>76</v>
      </c>
      <c r="B22" s="169">
        <f>'Budget assumption'!R53</f>
        <v>337.45</v>
      </c>
      <c r="C22" s="169">
        <f>'Budget assumption'!R74</f>
        <v>-54.692231107011423</v>
      </c>
      <c r="D22" s="169">
        <f>'Budget assumption'!R134</f>
        <v>-58.440749999999994</v>
      </c>
      <c r="E22" s="169">
        <f>'Budget assumption'!R165</f>
        <v>0</v>
      </c>
      <c r="F22" s="169">
        <f>'Budget assumption'!R196</f>
        <v>22.682981107011479</v>
      </c>
      <c r="G22" s="169">
        <f>'Budget assumption'!R258+'Budget assumption'!R289</f>
        <v>0</v>
      </c>
      <c r="H22" s="169">
        <f>'Budget assumption'!R227</f>
        <v>247</v>
      </c>
      <c r="I22" s="169"/>
      <c r="J22" s="89">
        <f t="shared" si="0"/>
        <v>0</v>
      </c>
      <c r="K22" s="169">
        <f>'data entry '!R100</f>
        <v>259.60840137546137</v>
      </c>
      <c r="L22" s="42"/>
      <c r="M22" s="169">
        <f>'data entry '!R133</f>
        <v>253.55174999999997</v>
      </c>
      <c r="N22" s="42"/>
      <c r="O22" s="169">
        <f t="shared" si="1"/>
        <v>-6.0566513754613993</v>
      </c>
      <c r="P22" s="39"/>
      <c r="Q22" s="169">
        <f>M22-K22-E22-F22-D22-G22</f>
        <v>29.701117517527116</v>
      </c>
      <c r="R22" s="169"/>
      <c r="S22" s="169">
        <f t="shared" si="3"/>
        <v>29.701117517527116</v>
      </c>
      <c r="T22" s="39"/>
      <c r="U22" s="39"/>
      <c r="V22" s="169">
        <f t="shared" ref="V22:V24" si="32">M22-K22</f>
        <v>-6.0566513754613993</v>
      </c>
      <c r="W22" s="169"/>
      <c r="X22" s="169">
        <f t="shared" ref="X22:X26" si="33">V22+W22</f>
        <v>-6.0566513754613993</v>
      </c>
      <c r="Y22" s="39"/>
      <c r="Z22" s="39"/>
      <c r="AA22" s="39"/>
      <c r="AB22" s="39"/>
      <c r="AC22" s="39"/>
    </row>
    <row r="23" spans="1:33" x14ac:dyDescent="0.3">
      <c r="A23" s="342" t="s">
        <v>77</v>
      </c>
      <c r="B23" s="169">
        <f>'Budget assumption'!R54</f>
        <v>-829.40252999999973</v>
      </c>
      <c r="C23" s="169">
        <f>'Budget assumption'!R75</f>
        <v>134.42546999999993</v>
      </c>
      <c r="D23" s="169">
        <f>'Budget assumption'!R135</f>
        <v>0</v>
      </c>
      <c r="E23" s="169">
        <f>'Budget assumption'!R166</f>
        <v>0</v>
      </c>
      <c r="F23" s="169">
        <f>'Budget assumption'!R197</f>
        <v>109.97705999999988</v>
      </c>
      <c r="G23" s="169">
        <f>'Budget assumption'!R259+'Budget assumption'!R290</f>
        <v>0</v>
      </c>
      <c r="H23" s="169">
        <f>'Budget assumption'!R228</f>
        <v>-585</v>
      </c>
      <c r="I23" s="169"/>
      <c r="J23" s="89">
        <f t="shared" si="0"/>
        <v>0</v>
      </c>
      <c r="K23" s="169">
        <f>'data entry '!R101</f>
        <v>-639.00740772315771</v>
      </c>
      <c r="L23" s="42"/>
      <c r="M23" s="169">
        <f>'data entry '!R134</f>
        <v>-551.4187118530956</v>
      </c>
      <c r="N23" s="42"/>
      <c r="O23" s="169">
        <f t="shared" si="1"/>
        <v>87.588695870062111</v>
      </c>
      <c r="P23" s="39"/>
      <c r="Q23" s="169">
        <f>M23-K23-E23-F23-D23-G23</f>
        <v>-22.38836412993777</v>
      </c>
      <c r="R23" s="169"/>
      <c r="S23" s="169">
        <f t="shared" si="3"/>
        <v>-22.38836412993777</v>
      </c>
      <c r="T23" s="39"/>
      <c r="U23" s="39"/>
      <c r="V23" s="169">
        <f t="shared" si="32"/>
        <v>87.588695870062111</v>
      </c>
      <c r="W23" s="169"/>
      <c r="X23" s="169">
        <f t="shared" si="33"/>
        <v>87.588695870062111</v>
      </c>
      <c r="Y23" s="39"/>
      <c r="Z23" s="39"/>
      <c r="AA23" s="39"/>
      <c r="AB23" s="39"/>
      <c r="AC23" s="39"/>
    </row>
    <row r="24" spans="1:33" x14ac:dyDescent="0.3">
      <c r="A24" s="342" t="s">
        <v>144</v>
      </c>
      <c r="B24" s="169">
        <f>'Budget assumption'!R55</f>
        <v>0</v>
      </c>
      <c r="C24" s="169">
        <f>'Budget assumption'!R76+'Budget assumption'!R291</f>
        <v>0</v>
      </c>
      <c r="D24" s="169">
        <f>'Budget assumption'!R136</f>
        <v>0</v>
      </c>
      <c r="E24" s="169">
        <f>'Budget assumption'!R167</f>
        <v>0</v>
      </c>
      <c r="F24" s="169">
        <f>'Budget assumption'!R198</f>
        <v>0</v>
      </c>
      <c r="G24" s="169">
        <f>'Budget assumption'!R260+'Budget assumption'!R291</f>
        <v>0</v>
      </c>
      <c r="H24" s="169">
        <f>'Budget assumption'!R229</f>
        <v>0</v>
      </c>
      <c r="I24" s="169"/>
      <c r="J24" s="89">
        <f t="shared" si="0"/>
        <v>0</v>
      </c>
      <c r="K24" s="169">
        <f>'data entry '!R102</f>
        <v>0</v>
      </c>
      <c r="L24" s="42"/>
      <c r="M24" s="169">
        <f>'data entry '!R135</f>
        <v>62.134209999999996</v>
      </c>
      <c r="N24" s="42"/>
      <c r="O24" s="169">
        <f t="shared" si="1"/>
        <v>62.134209999999996</v>
      </c>
      <c r="P24" s="39"/>
      <c r="Q24" s="169">
        <f>M24-K24-E24-F24-D24-G24</f>
        <v>62.134209999999996</v>
      </c>
      <c r="R24" s="169"/>
      <c r="S24" s="169">
        <f t="shared" si="3"/>
        <v>62.134209999999996</v>
      </c>
      <c r="T24" s="39"/>
      <c r="U24" s="39"/>
      <c r="V24" s="169">
        <f t="shared" si="32"/>
        <v>62.134209999999996</v>
      </c>
      <c r="W24" s="169"/>
      <c r="X24" s="169">
        <f t="shared" si="33"/>
        <v>62.134209999999996</v>
      </c>
      <c r="Y24" s="39"/>
      <c r="Z24" s="39"/>
      <c r="AA24" s="39"/>
      <c r="AB24" s="39"/>
      <c r="AC24" s="39"/>
    </row>
    <row r="25" spans="1:33" x14ac:dyDescent="0.3">
      <c r="A25" s="342" t="s">
        <v>85</v>
      </c>
      <c r="B25" s="169">
        <f>'Budget assumption'!R56</f>
        <v>0</v>
      </c>
      <c r="C25" s="169">
        <f>'Budget assumption'!R77+'Budget assumption'!R292</f>
        <v>0</v>
      </c>
      <c r="D25" s="169">
        <f>'Budget assumption'!R137</f>
        <v>0</v>
      </c>
      <c r="E25" s="169">
        <f>'Budget assumption'!R168</f>
        <v>99.999999999999986</v>
      </c>
      <c r="F25" s="169">
        <f>'Budget assumption'!R199</f>
        <v>-7.1054273576010019E-15</v>
      </c>
      <c r="G25" s="169">
        <f>'Budget assumption'!R261+'Budget assumption'!R292</f>
        <v>0</v>
      </c>
      <c r="H25" s="169">
        <f>'Budget assumption'!R230</f>
        <v>100</v>
      </c>
      <c r="I25" s="169"/>
      <c r="J25" s="89">
        <f t="shared" si="0"/>
        <v>0</v>
      </c>
      <c r="K25" s="169">
        <f>'data entry '!R103</f>
        <v>0</v>
      </c>
      <c r="L25" s="42"/>
      <c r="M25" s="169">
        <f>'data entry '!R136</f>
        <v>66.435382223527171</v>
      </c>
      <c r="N25" s="42"/>
      <c r="O25" s="169">
        <f t="shared" si="1"/>
        <v>66.435382223527171</v>
      </c>
      <c r="P25" s="39"/>
      <c r="Q25" s="169">
        <f t="shared" ref="Q25:Q26" si="34">M25-H25</f>
        <v>-33.564617776472829</v>
      </c>
      <c r="R25" s="169">
        <f>H25-K25-E25-I25-F25-G25-D25</f>
        <v>2.1316282072803006E-14</v>
      </c>
      <c r="S25" s="169">
        <f t="shared" si="3"/>
        <v>-33.564617776472808</v>
      </c>
      <c r="T25" s="39"/>
      <c r="U25" s="39"/>
      <c r="V25" s="169">
        <f t="shared" ref="V25:V26" si="35">M25-B25</f>
        <v>66.435382223527171</v>
      </c>
      <c r="W25" s="169">
        <f t="shared" ref="W25:W26" si="36">B25-K25</f>
        <v>0</v>
      </c>
      <c r="X25" s="169">
        <f t="shared" si="33"/>
        <v>66.435382223527171</v>
      </c>
      <c r="Y25" s="39"/>
      <c r="Z25" s="39"/>
      <c r="AA25" s="39"/>
      <c r="AB25" s="39"/>
      <c r="AC25" s="39"/>
    </row>
    <row r="26" spans="1:33" x14ac:dyDescent="0.3">
      <c r="A26" s="342" t="s">
        <v>145</v>
      </c>
      <c r="B26" s="169">
        <f>'Budget assumption'!R57</f>
        <v>0</v>
      </c>
      <c r="C26" s="169">
        <f>'Budget assumption'!R78+'Budget assumption'!R293</f>
        <v>0</v>
      </c>
      <c r="D26" s="169">
        <f>'Budget assumption'!R138</f>
        <v>0</v>
      </c>
      <c r="E26" s="169">
        <f>'Budget assumption'!R169</f>
        <v>0</v>
      </c>
      <c r="F26" s="169">
        <f>'Budget assumption'!R200</f>
        <v>0</v>
      </c>
      <c r="G26" s="169">
        <f>'Budget assumption'!R262+'Budget assumption'!R293</f>
        <v>0</v>
      </c>
      <c r="H26" s="169">
        <f>'Budget assumption'!R231</f>
        <v>0</v>
      </c>
      <c r="I26" s="169"/>
      <c r="J26" s="89">
        <f t="shared" si="0"/>
        <v>0</v>
      </c>
      <c r="K26" s="169">
        <f>'data entry '!R104</f>
        <v>0</v>
      </c>
      <c r="L26" s="39"/>
      <c r="M26" s="169">
        <f>'data entry '!R137</f>
        <v>0</v>
      </c>
      <c r="N26" s="39"/>
      <c r="O26" s="169">
        <f t="shared" si="1"/>
        <v>0</v>
      </c>
      <c r="P26" s="39"/>
      <c r="Q26" s="169">
        <f t="shared" si="34"/>
        <v>0</v>
      </c>
      <c r="R26" s="169">
        <f t="shared" ref="R26" si="37">H26-K26-E26-I26-F26-G26-D26</f>
        <v>0</v>
      </c>
      <c r="S26" s="169">
        <f t="shared" si="3"/>
        <v>0</v>
      </c>
      <c r="T26" s="39"/>
      <c r="U26" s="39"/>
      <c r="V26" s="169">
        <f t="shared" si="35"/>
        <v>0</v>
      </c>
      <c r="W26" s="169">
        <f t="shared" si="36"/>
        <v>0</v>
      </c>
      <c r="X26" s="169">
        <f t="shared" si="33"/>
        <v>0</v>
      </c>
      <c r="Y26" s="39"/>
      <c r="Z26" s="39"/>
      <c r="AA26" s="39"/>
      <c r="AB26" s="39"/>
      <c r="AC26" s="39"/>
    </row>
    <row r="27" spans="1:33" x14ac:dyDescent="0.3">
      <c r="A27" s="345" t="s">
        <v>146</v>
      </c>
      <c r="B27" s="396">
        <f>SUM(B22:B26)</f>
        <v>-491.95252999999974</v>
      </c>
      <c r="C27" s="396">
        <f t="shared" ref="C27:I27" si="38">SUM(C22:C26)</f>
        <v>79.73323889298851</v>
      </c>
      <c r="D27" s="396">
        <f t="shared" si="38"/>
        <v>-58.440749999999994</v>
      </c>
      <c r="E27" s="396">
        <f t="shared" si="38"/>
        <v>99.999999999999986</v>
      </c>
      <c r="F27" s="396">
        <f t="shared" si="38"/>
        <v>132.66004110701135</v>
      </c>
      <c r="G27" s="396">
        <f t="shared" si="38"/>
        <v>0</v>
      </c>
      <c r="H27" s="396">
        <f t="shared" si="38"/>
        <v>-238</v>
      </c>
      <c r="I27" s="396">
        <f t="shared" si="38"/>
        <v>0</v>
      </c>
      <c r="J27" s="89">
        <f t="shared" si="0"/>
        <v>0</v>
      </c>
      <c r="K27" s="396">
        <f>SUM(K22:K26)</f>
        <v>-379.39900634769634</v>
      </c>
      <c r="L27" s="398"/>
      <c r="M27" s="396">
        <f>SUM(M22:M26)</f>
        <v>-169.29736962956846</v>
      </c>
      <c r="N27" s="39"/>
      <c r="O27" s="396">
        <f t="shared" si="1"/>
        <v>210.10163671812788</v>
      </c>
      <c r="P27" s="39"/>
      <c r="Q27" s="396">
        <f>SUM(Q22:Q26)</f>
        <v>35.882345611116506</v>
      </c>
      <c r="R27" s="396">
        <f t="shared" ref="R27" si="39">SUM(R22:R26)</f>
        <v>2.1316282072803006E-14</v>
      </c>
      <c r="S27" s="396">
        <f t="shared" si="3"/>
        <v>35.882345611116527</v>
      </c>
      <c r="T27" s="39"/>
      <c r="U27" s="39"/>
      <c r="V27" s="396">
        <f>SUM(V22:V26)</f>
        <v>210.10163671812788</v>
      </c>
      <c r="W27" s="396">
        <f t="shared" ref="W27:X27" si="40">SUM(W22:W26)</f>
        <v>0</v>
      </c>
      <c r="X27" s="396">
        <f t="shared" si="40"/>
        <v>210.10163671812788</v>
      </c>
      <c r="Y27" s="39"/>
      <c r="Z27" s="39"/>
      <c r="AA27" s="39"/>
      <c r="AB27" s="39"/>
      <c r="AC27" s="39"/>
    </row>
    <row r="28" spans="1:33" x14ac:dyDescent="0.3">
      <c r="A28" s="342" t="s">
        <v>148</v>
      </c>
      <c r="B28" s="169">
        <f>'Budget assumption'!R59</f>
        <v>1165.8699999999999</v>
      </c>
      <c r="C28" s="397"/>
      <c r="D28" s="169">
        <f>'Budget assumption'!R140</f>
        <v>0</v>
      </c>
      <c r="E28" s="169">
        <f>'Budget assumption'!R171</f>
        <v>103.46220511443909</v>
      </c>
      <c r="F28" s="169">
        <f>'Budget assumption'!R202</f>
        <v>-180.96553511443892</v>
      </c>
      <c r="G28" s="169">
        <f>'Budget assumption'!R264+'Budget assumption'!R295</f>
        <v>1.8474111129762605E-13</v>
      </c>
      <c r="H28" s="169">
        <f>'Budget assumption'!R233</f>
        <v>1088.3666699999999</v>
      </c>
      <c r="I28" s="169">
        <f>'Budget assumption'!Q337</f>
        <v>-14.234308724016071</v>
      </c>
      <c r="J28" s="89">
        <f t="shared" si="0"/>
        <v>0</v>
      </c>
      <c r="K28" s="169">
        <f>'data entry '!R106</f>
        <v>835.65603647222952</v>
      </c>
      <c r="L28" s="399"/>
      <c r="M28" s="169">
        <f>'data entry '!R139</f>
        <v>1082.713478944039</v>
      </c>
      <c r="N28" s="44"/>
      <c r="O28" s="169">
        <f t="shared" si="1"/>
        <v>247.05744247180951</v>
      </c>
      <c r="P28" s="39"/>
      <c r="Q28" s="169">
        <f t="shared" ref="Q28:Q29" si="41">M28-H28</f>
        <v>-5.6531910559608605</v>
      </c>
      <c r="R28" s="169">
        <f>H28-K28-E28-I28-F28-G28-D28</f>
        <v>344.44827225178614</v>
      </c>
      <c r="S28" s="169">
        <f t="shared" si="3"/>
        <v>338.79508119582528</v>
      </c>
      <c r="T28" s="39"/>
      <c r="U28" s="39"/>
      <c r="V28" s="169">
        <f t="shared" ref="V28:V29" si="42">M28-B28</f>
        <v>-83.156521055960866</v>
      </c>
      <c r="W28" s="169">
        <f t="shared" ref="W28" si="43">B28-K28</f>
        <v>330.21396352777037</v>
      </c>
      <c r="X28" s="169">
        <f t="shared" ref="X28:X29" si="44">V28+W28</f>
        <v>247.05744247180951</v>
      </c>
      <c r="Y28" s="39"/>
      <c r="Z28" s="39"/>
      <c r="AA28" s="39"/>
      <c r="AB28" s="39"/>
      <c r="AC28" s="39"/>
    </row>
    <row r="29" spans="1:33" x14ac:dyDescent="0.3">
      <c r="A29" s="342" t="s">
        <v>149</v>
      </c>
      <c r="B29" s="169">
        <f>'Budget assumption'!R60</f>
        <v>984.7800000000002</v>
      </c>
      <c r="C29" s="397"/>
      <c r="D29" s="169">
        <f>'Budget assumption'!R141</f>
        <v>0</v>
      </c>
      <c r="E29" s="169">
        <f>'Budget assumption'!R172</f>
        <v>0</v>
      </c>
      <c r="F29" s="169">
        <f>'Budget assumption'!R203</f>
        <v>149.60402569417002</v>
      </c>
      <c r="G29" s="169">
        <f>'Budget assumption'!R265+'Budget assumption'!R296</f>
        <v>-1.5631940186722204E-13</v>
      </c>
      <c r="H29" s="169">
        <f>'Budget assumption'!R234</f>
        <v>1134.3840256941698</v>
      </c>
      <c r="I29" s="169"/>
      <c r="J29" s="89">
        <f t="shared" si="0"/>
        <v>0</v>
      </c>
      <c r="K29" s="169">
        <f>'data entry '!R107</f>
        <v>870.98850495761826</v>
      </c>
      <c r="L29" s="399"/>
      <c r="M29" s="169">
        <f>'data entry '!R140</f>
        <v>1079.9198771713891</v>
      </c>
      <c r="N29" s="399"/>
      <c r="O29" s="169">
        <f t="shared" si="1"/>
        <v>208.93137221377083</v>
      </c>
      <c r="P29" s="39"/>
      <c r="Q29" s="169">
        <f t="shared" si="41"/>
        <v>-54.464148522780761</v>
      </c>
      <c r="R29" s="169">
        <f>H29-K29-E29-I29-F29-G29-D29</f>
        <v>113.79149504238173</v>
      </c>
      <c r="S29" s="169">
        <f t="shared" si="3"/>
        <v>59.327346519600965</v>
      </c>
      <c r="T29" s="39"/>
      <c r="U29" s="39"/>
      <c r="V29" s="169">
        <f t="shared" si="42"/>
        <v>95.139877171388889</v>
      </c>
      <c r="W29" s="169"/>
      <c r="X29" s="169">
        <f t="shared" si="44"/>
        <v>95.139877171388889</v>
      </c>
      <c r="Y29" s="39"/>
      <c r="Z29" s="39"/>
      <c r="AA29" s="39"/>
      <c r="AB29" s="39"/>
      <c r="AC29" s="39"/>
    </row>
    <row r="30" spans="1:33" x14ac:dyDescent="0.3">
      <c r="A30" s="345" t="s">
        <v>150</v>
      </c>
      <c r="B30" s="396">
        <f>B28+B29</f>
        <v>2150.65</v>
      </c>
      <c r="C30" s="396">
        <f t="shared" ref="C30:I30" si="45">C28+C29</f>
        <v>0</v>
      </c>
      <c r="D30" s="396">
        <f t="shared" si="45"/>
        <v>0</v>
      </c>
      <c r="E30" s="396">
        <f t="shared" si="45"/>
        <v>103.46220511443909</v>
      </c>
      <c r="F30" s="396">
        <f t="shared" si="45"/>
        <v>-31.361509420268902</v>
      </c>
      <c r="G30" s="396">
        <f t="shared" si="45"/>
        <v>2.8421709430404007E-14</v>
      </c>
      <c r="H30" s="396">
        <f t="shared" si="45"/>
        <v>2222.7506956941697</v>
      </c>
      <c r="I30" s="396">
        <f t="shared" si="45"/>
        <v>-14.234308724016071</v>
      </c>
      <c r="J30" s="89">
        <f t="shared" si="0"/>
        <v>0</v>
      </c>
      <c r="K30" s="396">
        <f>K28+K29</f>
        <v>1706.6445414298478</v>
      </c>
      <c r="M30" s="396">
        <f>M28+M29</f>
        <v>2162.6333561154279</v>
      </c>
      <c r="O30" s="396">
        <f>O28+O29</f>
        <v>455.98881468558034</v>
      </c>
      <c r="Q30" s="396">
        <f>Q28+Q29</f>
        <v>-60.117339578741621</v>
      </c>
      <c r="R30" s="396">
        <f t="shared" ref="R30:S30" si="46">R28+R29</f>
        <v>458.23976729416785</v>
      </c>
      <c r="S30" s="396">
        <f t="shared" si="46"/>
        <v>398.12242771542623</v>
      </c>
      <c r="V30" s="396">
        <f t="shared" ref="V30:X30" si="47">V28+V29</f>
        <v>11.983356115428023</v>
      </c>
      <c r="W30" s="396">
        <f t="shared" si="47"/>
        <v>330.21396352777037</v>
      </c>
      <c r="X30" s="396">
        <f t="shared" si="47"/>
        <v>342.1973196431984</v>
      </c>
    </row>
    <row r="31" spans="1:33" ht="15" thickBot="1" x14ac:dyDescent="0.35">
      <c r="A31" s="28"/>
      <c r="B31" s="169"/>
      <c r="C31" s="169"/>
      <c r="D31" s="169">
        <f>'Budget assumption'!R143</f>
        <v>0</v>
      </c>
      <c r="E31" s="169"/>
      <c r="F31" s="169"/>
      <c r="G31" s="169">
        <f>'Budget assumption'!R267</f>
        <v>0</v>
      </c>
      <c r="H31" s="169"/>
      <c r="I31" s="169"/>
      <c r="J31" s="89">
        <f t="shared" si="0"/>
        <v>0</v>
      </c>
      <c r="K31" s="169">
        <f>'data entry '!Q109</f>
        <v>0</v>
      </c>
      <c r="M31" s="169">
        <f>'data entry '!R142</f>
        <v>0</v>
      </c>
      <c r="O31" s="169">
        <f t="shared" si="1"/>
        <v>0</v>
      </c>
      <c r="Q31" s="169">
        <f t="shared" si="2"/>
        <v>0</v>
      </c>
      <c r="R31" s="169"/>
      <c r="S31" s="169">
        <f t="shared" si="3"/>
        <v>0</v>
      </c>
      <c r="V31" s="169"/>
      <c r="W31" s="169"/>
      <c r="X31" s="169"/>
    </row>
    <row r="32" spans="1:33" x14ac:dyDescent="0.3">
      <c r="A32" s="345" t="s">
        <v>152</v>
      </c>
      <c r="B32" s="396">
        <f>B21+B27+B30</f>
        <v>23895.837470000002</v>
      </c>
      <c r="C32" s="396">
        <f>C21+C27+C30</f>
        <v>-1286.4833943370788</v>
      </c>
      <c r="D32" s="396">
        <f>D21+D27+D30</f>
        <v>-484.71582945099993</v>
      </c>
      <c r="E32" s="396">
        <f t="shared" ref="E32:I32" si="48">E21+E27+E30</f>
        <v>-606.90078042198365</v>
      </c>
      <c r="F32" s="396">
        <f t="shared" si="48"/>
        <v>1069.4758902824008</v>
      </c>
      <c r="G32" s="396">
        <f t="shared" si="48"/>
        <v>1.6768808563938364E-12</v>
      </c>
      <c r="H32" s="396">
        <f>H21+H27+H30</f>
        <v>22587.213356072338</v>
      </c>
      <c r="I32" s="396">
        <f t="shared" si="48"/>
        <v>-71.411461789632241</v>
      </c>
      <c r="J32" s="89">
        <f t="shared" si="0"/>
        <v>0</v>
      </c>
      <c r="K32" s="396">
        <f>K21+K27+K30</f>
        <v>18569.389276489994</v>
      </c>
      <c r="M32" s="396">
        <f>M21+M27+M30</f>
        <v>19967.455517177008</v>
      </c>
      <c r="O32" s="396">
        <f t="shared" si="1"/>
        <v>1398.0662406870142</v>
      </c>
      <c r="Q32" s="396">
        <f>Q21+Q27+Q30</f>
        <v>-2131.2902553087306</v>
      </c>
      <c r="R32" s="396">
        <f>R21+R27+R30</f>
        <v>3622.9086773759573</v>
      </c>
      <c r="S32" s="396">
        <f t="shared" si="3"/>
        <v>1491.6184220672267</v>
      </c>
      <c r="V32" s="396">
        <f>V21+V27+V30</f>
        <v>-2153.4309748993119</v>
      </c>
      <c r="W32" s="396">
        <f t="shared" ref="W32" si="49">W21+W27+W30</f>
        <v>3437.7057205439428</v>
      </c>
      <c r="X32" s="396">
        <f>X21+X27+X30</f>
        <v>1284.2747456446314</v>
      </c>
    </row>
    <row r="33" spans="5:9" x14ac:dyDescent="0.3">
      <c r="G33" s="34"/>
    </row>
    <row r="34" spans="5:9" x14ac:dyDescent="0.3">
      <c r="G34" s="34"/>
    </row>
    <row r="35" spans="5:9" x14ac:dyDescent="0.3">
      <c r="E35" s="8"/>
      <c r="F35" s="8"/>
      <c r="G35" s="8"/>
      <c r="H35" s="8"/>
      <c r="I35" s="8"/>
    </row>
    <row r="36" spans="5:9" x14ac:dyDescent="0.3">
      <c r="G36" s="34"/>
      <c r="H36" s="8"/>
      <c r="I36" s="34"/>
    </row>
    <row r="37" spans="5:9" x14ac:dyDescent="0.3">
      <c r="H37" s="8"/>
      <c r="I37" s="34"/>
    </row>
    <row r="38" spans="5:9" x14ac:dyDescent="0.3">
      <c r="H38" s="8"/>
      <c r="I38" s="34"/>
    </row>
    <row r="39" spans="5:9" x14ac:dyDescent="0.3">
      <c r="H39" s="8"/>
      <c r="I39" s="34"/>
    </row>
    <row r="40" spans="5:9" x14ac:dyDescent="0.3">
      <c r="H40" s="8"/>
      <c r="I40" s="34"/>
    </row>
    <row r="41" spans="5:9" x14ac:dyDescent="0.3">
      <c r="H41" s="8"/>
      <c r="I41" s="34"/>
    </row>
    <row r="42" spans="5:9" x14ac:dyDescent="0.3">
      <c r="H42" s="8"/>
      <c r="I42" s="34"/>
    </row>
    <row r="43" spans="5:9" x14ac:dyDescent="0.3">
      <c r="H43" s="8"/>
      <c r="I43" s="34"/>
    </row>
    <row r="44" spans="5:9" x14ac:dyDescent="0.3">
      <c r="H44" s="8"/>
      <c r="I44" s="34"/>
    </row>
    <row r="45" spans="5:9" x14ac:dyDescent="0.3">
      <c r="H45" s="8"/>
      <c r="I45" s="34"/>
    </row>
    <row r="46" spans="5:9" x14ac:dyDescent="0.3">
      <c r="H46" s="8"/>
      <c r="I46" s="34"/>
    </row>
    <row r="47" spans="5:9" x14ac:dyDescent="0.3">
      <c r="H47" s="8"/>
      <c r="I47" s="34"/>
    </row>
    <row r="48" spans="5:9" x14ac:dyDescent="0.3">
      <c r="H48" s="8"/>
      <c r="I48" s="34"/>
    </row>
    <row r="49" spans="8:9" x14ac:dyDescent="0.3">
      <c r="H49" s="8"/>
      <c r="I49" s="34"/>
    </row>
    <row r="50" spans="8:9" x14ac:dyDescent="0.3">
      <c r="H50" s="8"/>
      <c r="I50" s="34"/>
    </row>
    <row r="51" spans="8:9" x14ac:dyDescent="0.3">
      <c r="H51" s="8"/>
      <c r="I51" s="34"/>
    </row>
    <row r="52" spans="8:9" x14ac:dyDescent="0.3">
      <c r="H52" s="8"/>
      <c r="I52" s="34"/>
    </row>
    <row r="53" spans="8:9" x14ac:dyDescent="0.3">
      <c r="H53" s="8"/>
      <c r="I53" s="34"/>
    </row>
    <row r="54" spans="8:9" x14ac:dyDescent="0.3">
      <c r="H54" s="8"/>
      <c r="I54" s="34"/>
    </row>
    <row r="55" spans="8:9" x14ac:dyDescent="0.3">
      <c r="H55" s="8"/>
      <c r="I55" s="34"/>
    </row>
    <row r="56" spans="8:9" x14ac:dyDescent="0.3">
      <c r="H56" s="8"/>
      <c r="I56" s="34"/>
    </row>
    <row r="57" spans="8:9" x14ac:dyDescent="0.3">
      <c r="H57" s="8"/>
      <c r="I57" s="34"/>
    </row>
    <row r="58" spans="8:9" x14ac:dyDescent="0.3">
      <c r="H58" s="8"/>
      <c r="I58" s="34"/>
    </row>
    <row r="59" spans="8:9" x14ac:dyDescent="0.3">
      <c r="H59" s="8"/>
      <c r="I59" s="34"/>
    </row>
    <row r="60" spans="8:9" x14ac:dyDescent="0.3">
      <c r="H60" s="8"/>
      <c r="I60" s="34"/>
    </row>
    <row r="61" spans="8:9" x14ac:dyDescent="0.3">
      <c r="H61" s="8"/>
      <c r="I61" s="34"/>
    </row>
    <row r="62" spans="8:9" x14ac:dyDescent="0.3">
      <c r="H62" s="8"/>
    </row>
    <row r="63" spans="8:9" x14ac:dyDescent="0.3">
      <c r="H63" s="8"/>
    </row>
    <row r="64" spans="8:9" x14ac:dyDescent="0.3">
      <c r="H64" s="8"/>
    </row>
    <row r="65" spans="8:8" x14ac:dyDescent="0.3">
      <c r="H65" s="8"/>
    </row>
    <row r="66" spans="8:8" x14ac:dyDescent="0.3">
      <c r="H66" s="8"/>
    </row>
    <row r="67" spans="8:8" x14ac:dyDescent="0.3">
      <c r="H67" s="8"/>
    </row>
    <row r="68" spans="8:8" x14ac:dyDescent="0.3">
      <c r="H68" s="8"/>
    </row>
    <row r="69" spans="8:8" x14ac:dyDescent="0.3">
      <c r="H69" s="8"/>
    </row>
    <row r="70" spans="8:8" x14ac:dyDescent="0.3">
      <c r="H70" s="8"/>
    </row>
    <row r="71" spans="8:8" x14ac:dyDescent="0.3">
      <c r="H71" s="8"/>
    </row>
    <row r="72" spans="8:8" x14ac:dyDescent="0.3">
      <c r="H72" s="8"/>
    </row>
    <row r="73" spans="8:8" x14ac:dyDescent="0.3">
      <c r="H73" s="8"/>
    </row>
    <row r="74" spans="8:8" x14ac:dyDescent="0.3">
      <c r="H74" s="8"/>
    </row>
    <row r="75" spans="8:8" x14ac:dyDescent="0.3">
      <c r="H75" s="8"/>
    </row>
    <row r="76" spans="8:8" x14ac:dyDescent="0.3">
      <c r="H76" s="8"/>
    </row>
    <row r="77" spans="8:8" x14ac:dyDescent="0.3">
      <c r="H77" s="8"/>
    </row>
    <row r="78" spans="8:8" x14ac:dyDescent="0.3">
      <c r="H78" s="8"/>
    </row>
  </sheetData>
  <mergeCells count="30">
    <mergeCell ref="AA1:AA2"/>
    <mergeCell ref="Q2:S2"/>
    <mergeCell ref="V2:X2"/>
    <mergeCell ref="A3:A5"/>
    <mergeCell ref="B3:B5"/>
    <mergeCell ref="C3:C5"/>
    <mergeCell ref="D3:D5"/>
    <mergeCell ref="E3:E5"/>
    <mergeCell ref="F3:F5"/>
    <mergeCell ref="G3:G5"/>
    <mergeCell ref="U3:U5"/>
    <mergeCell ref="H3:H5"/>
    <mergeCell ref="J3:J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AB3:AB5"/>
    <mergeCell ref="AC3:AC5"/>
    <mergeCell ref="V3:V5"/>
    <mergeCell ref="W3:W5"/>
    <mergeCell ref="X3:X5"/>
    <mergeCell ref="Y3:Y5"/>
    <mergeCell ref="Z3:Z5"/>
    <mergeCell ref="AA3:AA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386E-A6B7-44BE-A3D1-535E7C823588}">
  <dimension ref="C2:E13"/>
  <sheetViews>
    <sheetView workbookViewId="0">
      <selection activeCell="N15" sqref="N15"/>
    </sheetView>
  </sheetViews>
  <sheetFormatPr defaultRowHeight="14.4" x14ac:dyDescent="0.3"/>
  <sheetData>
    <row r="2" spans="3:5" x14ac:dyDescent="0.3">
      <c r="C2" s="70" t="s">
        <v>0</v>
      </c>
      <c r="D2" s="70">
        <v>1</v>
      </c>
      <c r="E2" s="70">
        <v>1</v>
      </c>
    </row>
    <row r="3" spans="3:5" x14ac:dyDescent="0.3">
      <c r="C3" s="70" t="s">
        <v>1</v>
      </c>
      <c r="D3" s="70">
        <v>2</v>
      </c>
      <c r="E3" s="70">
        <v>1</v>
      </c>
    </row>
    <row r="4" spans="3:5" x14ac:dyDescent="0.3">
      <c r="C4" s="70" t="s">
        <v>2</v>
      </c>
      <c r="D4" s="70">
        <v>3</v>
      </c>
      <c r="E4" s="70">
        <v>1</v>
      </c>
    </row>
    <row r="5" spans="3:5" x14ac:dyDescent="0.3">
      <c r="C5" s="70" t="s">
        <v>3</v>
      </c>
      <c r="D5" s="70">
        <v>4</v>
      </c>
      <c r="E5" s="70">
        <v>1</v>
      </c>
    </row>
    <row r="6" spans="3:5" x14ac:dyDescent="0.3">
      <c r="C6" s="70" t="s">
        <v>4</v>
      </c>
      <c r="D6" s="70">
        <v>5</v>
      </c>
      <c r="E6" s="70">
        <v>1</v>
      </c>
    </row>
    <row r="7" spans="3:5" x14ac:dyDescent="0.3">
      <c r="C7" s="70" t="s">
        <v>5</v>
      </c>
      <c r="D7" s="70">
        <v>6</v>
      </c>
      <c r="E7" s="70">
        <v>1</v>
      </c>
    </row>
    <row r="8" spans="3:5" x14ac:dyDescent="0.3">
      <c r="C8" s="70" t="s">
        <v>6</v>
      </c>
      <c r="D8" s="70">
        <v>7</v>
      </c>
      <c r="E8" s="70">
        <v>1</v>
      </c>
    </row>
    <row r="9" spans="3:5" x14ac:dyDescent="0.3">
      <c r="C9" s="70" t="s">
        <v>7</v>
      </c>
      <c r="D9" s="70">
        <v>8</v>
      </c>
      <c r="E9" s="70">
        <v>1</v>
      </c>
    </row>
    <row r="10" spans="3:5" x14ac:dyDescent="0.3">
      <c r="C10" s="70" t="s">
        <v>8</v>
      </c>
      <c r="D10" s="70">
        <v>9</v>
      </c>
      <c r="E10" s="70">
        <v>1</v>
      </c>
    </row>
    <row r="11" spans="3:5" x14ac:dyDescent="0.3">
      <c r="C11" s="70" t="s">
        <v>9</v>
      </c>
      <c r="D11" s="70">
        <v>10</v>
      </c>
      <c r="E11" s="70">
        <v>1</v>
      </c>
    </row>
    <row r="12" spans="3:5" x14ac:dyDescent="0.3">
      <c r="C12" s="70" t="s">
        <v>10</v>
      </c>
      <c r="D12" s="70">
        <v>11</v>
      </c>
      <c r="E12" s="70">
        <v>1</v>
      </c>
    </row>
    <row r="13" spans="3:5" x14ac:dyDescent="0.3">
      <c r="C13" s="70" t="s">
        <v>11</v>
      </c>
      <c r="D13" s="70">
        <v>12</v>
      </c>
      <c r="E13" s="70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A7C2-489E-4D4D-A990-CA37BC60B769}">
  <dimension ref="A1:Y218"/>
  <sheetViews>
    <sheetView showGridLines="0" topLeftCell="A69" zoomScale="80" zoomScaleNormal="80" workbookViewId="0">
      <selection activeCell="F19" sqref="F19"/>
    </sheetView>
  </sheetViews>
  <sheetFormatPr defaultColWidth="8.88671875" defaultRowHeight="12" outlineLevelRow="1" x14ac:dyDescent="0.25"/>
  <cols>
    <col min="1" max="1" width="38" style="442" bestFit="1" customWidth="1"/>
    <col min="2" max="2" width="10.21875" style="442" bestFit="1" customWidth="1"/>
    <col min="3" max="8" width="9.109375" style="442" bestFit="1" customWidth="1"/>
    <col min="9" max="9" width="10" style="442" bestFit="1" customWidth="1"/>
    <col min="10" max="10" width="9.109375" style="442" bestFit="1" customWidth="1"/>
    <col min="11" max="11" width="9.109375" style="442" customWidth="1"/>
    <col min="12" max="12" width="8.88671875" style="442" bestFit="1" customWidth="1"/>
    <col min="13" max="13" width="9.109375" style="442" bestFit="1" customWidth="1"/>
    <col min="14" max="14" width="10.21875" style="442" bestFit="1" customWidth="1"/>
    <col min="15" max="15" width="8" style="442" bestFit="1" customWidth="1"/>
    <col min="16" max="16" width="8.88671875" style="442"/>
    <col min="17" max="17" width="9.109375" style="442" bestFit="1" customWidth="1"/>
    <col min="18" max="18" width="10.21875" style="442" bestFit="1" customWidth="1"/>
    <col min="19" max="21" width="8.88671875" style="442"/>
    <col min="22" max="22" width="9" style="442" bestFit="1" customWidth="1"/>
    <col min="23" max="23" width="6.6640625" style="442" bestFit="1" customWidth="1"/>
    <col min="24" max="24" width="4.88671875" style="442" bestFit="1" customWidth="1"/>
    <col min="25" max="25" width="10.77734375" style="442" customWidth="1"/>
    <col min="26" max="16384" width="8.88671875" style="442"/>
  </cols>
  <sheetData>
    <row r="1" spans="1:25" x14ac:dyDescent="0.25">
      <c r="A1" s="440" t="s">
        <v>95</v>
      </c>
      <c r="B1" s="554">
        <f>IF($X$3&gt;=B$2,1,0)</f>
        <v>1</v>
      </c>
      <c r="C1" s="554">
        <f t="shared" ref="C1:M1" si="0">IF($X$3&gt;=C$2,1,0)</f>
        <v>1</v>
      </c>
      <c r="D1" s="554">
        <f t="shared" si="0"/>
        <v>1</v>
      </c>
      <c r="E1" s="554">
        <f>IF($X$3&gt;=E$2,1,0)</f>
        <v>1</v>
      </c>
      <c r="F1" s="554">
        <f t="shared" si="0"/>
        <v>1</v>
      </c>
      <c r="G1" s="554">
        <f t="shared" si="0"/>
        <v>1</v>
      </c>
      <c r="H1" s="554">
        <f t="shared" si="0"/>
        <v>1</v>
      </c>
      <c r="I1" s="554">
        <f t="shared" si="0"/>
        <v>1</v>
      </c>
      <c r="J1" s="554">
        <f t="shared" si="0"/>
        <v>1</v>
      </c>
      <c r="K1" s="554">
        <f t="shared" si="0"/>
        <v>1</v>
      </c>
      <c r="L1" s="554">
        <f t="shared" si="0"/>
        <v>1</v>
      </c>
      <c r="M1" s="554">
        <f t="shared" si="0"/>
        <v>1</v>
      </c>
      <c r="N1" s="441"/>
    </row>
    <row r="2" spans="1:25" ht="12.6" thickBot="1" x14ac:dyDescent="0.3">
      <c r="A2" s="440" t="s">
        <v>177</v>
      </c>
      <c r="B2" s="554">
        <v>0</v>
      </c>
      <c r="C2" s="554">
        <v>0</v>
      </c>
      <c r="D2" s="554">
        <v>0</v>
      </c>
      <c r="E2" s="554">
        <v>1</v>
      </c>
      <c r="F2" s="554">
        <v>0</v>
      </c>
      <c r="G2" s="554">
        <v>0</v>
      </c>
      <c r="H2" s="554">
        <v>0</v>
      </c>
      <c r="I2" s="554">
        <v>0</v>
      </c>
      <c r="J2" s="554">
        <v>0</v>
      </c>
      <c r="K2" s="554">
        <v>0</v>
      </c>
      <c r="L2" s="554">
        <v>0</v>
      </c>
      <c r="M2" s="554">
        <v>0</v>
      </c>
      <c r="N2" s="441"/>
    </row>
    <row r="3" spans="1:25" ht="12.6" outlineLevel="1" thickBot="1" x14ac:dyDescent="0.3">
      <c r="A3" s="443" t="s">
        <v>96</v>
      </c>
      <c r="B3" s="444">
        <f>'Budget assumption'!B66</f>
        <v>50463</v>
      </c>
      <c r="C3" s="444">
        <f>'Budget assumption'!C66</f>
        <v>50446</v>
      </c>
      <c r="D3" s="444">
        <f>'Budget assumption'!D66</f>
        <v>50447</v>
      </c>
      <c r="E3" s="444">
        <f>'Budget assumption'!E66</f>
        <v>48050</v>
      </c>
      <c r="F3" s="444">
        <f>'Budget assumption'!F66</f>
        <v>36788</v>
      </c>
      <c r="G3" s="444">
        <f>'Budget assumption'!G66</f>
        <v>53265</v>
      </c>
      <c r="H3" s="444">
        <f>'Budget assumption'!H66</f>
        <v>42049</v>
      </c>
      <c r="I3" s="444">
        <f>'Budget assumption'!I66</f>
        <v>39150</v>
      </c>
      <c r="J3" s="444">
        <f>'Budget assumption'!J66</f>
        <v>53732</v>
      </c>
      <c r="K3" s="444">
        <f>'Budget assumption'!K66</f>
        <v>48548</v>
      </c>
      <c r="L3" s="444">
        <f>'Budget assumption'!L66</f>
        <v>51408</v>
      </c>
      <c r="M3" s="444">
        <f>'Budget assumption'!M66</f>
        <v>40676</v>
      </c>
      <c r="N3" s="444">
        <f>SUM(B3:M3)</f>
        <v>565022</v>
      </c>
      <c r="O3" s="445"/>
      <c r="P3" s="445"/>
      <c r="Q3" s="444">
        <f>SUMPRODUCT(B3:M3,B$2:M$2)</f>
        <v>48050</v>
      </c>
      <c r="R3" s="444">
        <f>SUMPRODUCT(B3:M3,B$1:M$1)</f>
        <v>565022</v>
      </c>
      <c r="V3" s="446" t="s">
        <v>178</v>
      </c>
      <c r="W3" s="447" t="s">
        <v>11</v>
      </c>
      <c r="X3" s="447">
        <f>VLOOKUP(W3,List!$C$2:$D$13,2,0)</f>
        <v>12</v>
      </c>
      <c r="Y3" s="447">
        <f>VLOOKUP(W3,List!$C$2:$E$13,3,0)</f>
        <v>1</v>
      </c>
    </row>
    <row r="4" spans="1:25" outlineLevel="1" x14ac:dyDescent="0.25">
      <c r="A4" s="448" t="s">
        <v>179</v>
      </c>
      <c r="B4" s="449" t="s">
        <v>0</v>
      </c>
      <c r="C4" s="449" t="s">
        <v>1</v>
      </c>
      <c r="D4" s="449" t="s">
        <v>2</v>
      </c>
      <c r="E4" s="449" t="s">
        <v>3</v>
      </c>
      <c r="F4" s="449" t="s">
        <v>4</v>
      </c>
      <c r="G4" s="449" t="s">
        <v>5</v>
      </c>
      <c r="H4" s="449" t="s">
        <v>6</v>
      </c>
      <c r="I4" s="449" t="s">
        <v>7</v>
      </c>
      <c r="J4" s="449" t="s">
        <v>8</v>
      </c>
      <c r="K4" s="449" t="s">
        <v>9</v>
      </c>
      <c r="L4" s="449" t="s">
        <v>10</v>
      </c>
      <c r="M4" s="449" t="s">
        <v>11</v>
      </c>
      <c r="N4" s="449" t="s">
        <v>12</v>
      </c>
      <c r="Q4" s="449" t="s">
        <v>180</v>
      </c>
      <c r="R4" s="449" t="s">
        <v>94</v>
      </c>
    </row>
    <row r="5" spans="1:25" outlineLevel="1" x14ac:dyDescent="0.25">
      <c r="A5" s="422" t="s">
        <v>158</v>
      </c>
      <c r="B5" s="422">
        <f>'Budget assumption'!B211</f>
        <v>485</v>
      </c>
      <c r="C5" s="422">
        <f>'Budget assumption'!C211</f>
        <v>524</v>
      </c>
      <c r="D5" s="422">
        <f>'Budget assumption'!D211</f>
        <v>529</v>
      </c>
      <c r="E5" s="422">
        <f>'Budget assumption'!E211</f>
        <v>509</v>
      </c>
      <c r="F5" s="422">
        <f>'Budget assumption'!F211</f>
        <v>579</v>
      </c>
      <c r="G5" s="422">
        <f>'Budget assumption'!G211</f>
        <v>503</v>
      </c>
      <c r="H5" s="422">
        <f>'Budget assumption'!H211</f>
        <v>451</v>
      </c>
      <c r="I5" s="422">
        <f>'Budget assumption'!I211</f>
        <v>460</v>
      </c>
      <c r="J5" s="422">
        <f>'Budget assumption'!J211</f>
        <v>550</v>
      </c>
      <c r="K5" s="422">
        <f>'Budget assumption'!K211</f>
        <v>507</v>
      </c>
      <c r="L5" s="422">
        <f>'Budget assumption'!L211</f>
        <v>488</v>
      </c>
      <c r="M5" s="422">
        <f>'Budget assumption'!M211</f>
        <v>492</v>
      </c>
      <c r="N5" s="422">
        <f>SUM(B5:M5)</f>
        <v>6077</v>
      </c>
      <c r="Q5" s="470">
        <f t="shared" ref="Q5:Q31" si="1">SUMPRODUCT(B5:M5,B$2:M$2)</f>
        <v>509</v>
      </c>
      <c r="R5" s="422">
        <f t="shared" ref="R5:R31" si="2">SUMPRODUCT(B5:M5,B$1:M$1)</f>
        <v>6077</v>
      </c>
    </row>
    <row r="6" spans="1:25" outlineLevel="1" x14ac:dyDescent="0.25">
      <c r="A6" s="422" t="s">
        <v>75</v>
      </c>
      <c r="B6" s="422">
        <f>'Budget assumption'!B212</f>
        <v>38.516776659017296</v>
      </c>
      <c r="C6" s="422">
        <f>'Budget assumption'!C212</f>
        <v>37.591301502266305</v>
      </c>
      <c r="D6" s="422">
        <f>'Budget assumption'!D212</f>
        <v>37.944558590183199</v>
      </c>
      <c r="E6" s="422">
        <f>'Budget assumption'!E212</f>
        <v>35.733561726016738</v>
      </c>
      <c r="F6" s="422">
        <f>'Budget assumption'!F212</f>
        <v>24.021199384866797</v>
      </c>
      <c r="G6" s="422">
        <f>'Budget assumption'!G212</f>
        <v>35.762038109159064</v>
      </c>
      <c r="H6" s="422">
        <f>'Budget assumption'!H212</f>
        <v>29.53026981632587</v>
      </c>
      <c r="I6" s="422">
        <f>'Budget assumption'!I212</f>
        <v>31.209684495803707</v>
      </c>
      <c r="J6" s="422">
        <f>'Budget assumption'!J212</f>
        <v>31.556185116300533</v>
      </c>
      <c r="K6" s="422">
        <f>'Budget assumption'!K212</f>
        <v>30.569231237002292</v>
      </c>
      <c r="L6" s="422">
        <f>'Budget assumption'!L212</f>
        <v>41.100252351313145</v>
      </c>
      <c r="M6" s="422">
        <f>'Budget assumption'!M212</f>
        <v>31.787008035188116</v>
      </c>
      <c r="N6" s="422">
        <f t="shared" ref="N6:N31" si="3">SUM(B6:M6)</f>
        <v>405.32206702344303</v>
      </c>
      <c r="Q6" s="422">
        <f t="shared" si="1"/>
        <v>35.733561726016738</v>
      </c>
      <c r="R6" s="422">
        <f t="shared" si="2"/>
        <v>405.32206702344303</v>
      </c>
    </row>
    <row r="7" spans="1:25" outlineLevel="1" x14ac:dyDescent="0.25">
      <c r="A7" s="423" t="s">
        <v>196</v>
      </c>
      <c r="B7" s="422">
        <f>'Budget assumption'!B213</f>
        <v>16.73</v>
      </c>
      <c r="C7" s="422">
        <f>'Budget assumption'!C213</f>
        <v>16.73</v>
      </c>
      <c r="D7" s="422">
        <f>'Budget assumption'!D213</f>
        <v>16.73</v>
      </c>
      <c r="E7" s="422">
        <f>'Budget assumption'!E213</f>
        <v>15.893499999999998</v>
      </c>
      <c r="F7" s="422">
        <f>'Budget assumption'!F213</f>
        <v>11.711</v>
      </c>
      <c r="G7" s="422">
        <f>'Budget assumption'!G213</f>
        <v>17.566500000000001</v>
      </c>
      <c r="H7" s="422">
        <f>'Budget assumption'!H213</f>
        <v>14.220499999999999</v>
      </c>
      <c r="I7" s="422">
        <f>'Budget assumption'!I213</f>
        <v>12.967499999999999</v>
      </c>
      <c r="J7" s="422">
        <f>'Budget assumption'!J213</f>
        <v>18.154499999999999</v>
      </c>
      <c r="K7" s="422">
        <f>'Budget assumption'!K213</f>
        <v>15.560999999999998</v>
      </c>
      <c r="L7" s="422">
        <f>'Budget assumption'!L213</f>
        <v>17.29</v>
      </c>
      <c r="M7" s="422">
        <f>'Budget assumption'!M213</f>
        <v>11.47725</v>
      </c>
      <c r="N7" s="423">
        <f t="shared" si="3"/>
        <v>185.03175000000002</v>
      </c>
      <c r="Q7" s="423">
        <f t="shared" si="1"/>
        <v>15.893499999999998</v>
      </c>
      <c r="R7" s="423">
        <f t="shared" si="2"/>
        <v>185.03175000000002</v>
      </c>
    </row>
    <row r="8" spans="1:25" ht="12.6" outlineLevel="1" thickBot="1" x14ac:dyDescent="0.3">
      <c r="A8" s="424" t="s">
        <v>197</v>
      </c>
      <c r="B8" s="424">
        <f>SUM(B5:B7)</f>
        <v>540.24677665901731</v>
      </c>
      <c r="C8" s="424">
        <f t="shared" ref="C8:M8" si="4">SUM(C5:C7)</f>
        <v>578.32130150226635</v>
      </c>
      <c r="D8" s="424">
        <f t="shared" si="4"/>
        <v>583.67455859018321</v>
      </c>
      <c r="E8" s="424">
        <f t="shared" si="4"/>
        <v>560.62706172601679</v>
      </c>
      <c r="F8" s="424">
        <f t="shared" si="4"/>
        <v>614.73219938486682</v>
      </c>
      <c r="G8" s="424">
        <f t="shared" si="4"/>
        <v>556.32853810915913</v>
      </c>
      <c r="H8" s="424">
        <f t="shared" si="4"/>
        <v>494.75076981632589</v>
      </c>
      <c r="I8" s="424">
        <f t="shared" si="4"/>
        <v>504.17718449580366</v>
      </c>
      <c r="J8" s="424">
        <f t="shared" si="4"/>
        <v>599.71068511630051</v>
      </c>
      <c r="K8" s="424">
        <f t="shared" si="4"/>
        <v>553.13023123700236</v>
      </c>
      <c r="L8" s="424">
        <f t="shared" si="4"/>
        <v>546.39025235131317</v>
      </c>
      <c r="M8" s="424">
        <f t="shared" si="4"/>
        <v>535.26425803518816</v>
      </c>
      <c r="N8" s="424">
        <f t="shared" si="3"/>
        <v>6667.3538170234442</v>
      </c>
      <c r="Q8" s="424">
        <f t="shared" si="1"/>
        <v>560.62706172601679</v>
      </c>
      <c r="R8" s="424">
        <f t="shared" si="2"/>
        <v>6667.3538170234442</v>
      </c>
    </row>
    <row r="9" spans="1:25" outlineLevel="1" x14ac:dyDescent="0.25">
      <c r="A9" s="425" t="s">
        <v>80</v>
      </c>
      <c r="B9" s="422">
        <f>'Budget assumption'!B215</f>
        <v>194.74895348822281</v>
      </c>
      <c r="C9" s="422">
        <f>'Budget assumption'!C215</f>
        <v>207.51638681160108</v>
      </c>
      <c r="D9" s="422">
        <f>'Budget assumption'!D215</f>
        <v>211.95318100516675</v>
      </c>
      <c r="E9" s="422">
        <f>'Budget assumption'!E215</f>
        <v>204.69927393420895</v>
      </c>
      <c r="F9" s="422">
        <f>'Budget assumption'!F215</f>
        <v>228.48498702853246</v>
      </c>
      <c r="G9" s="422">
        <f>'Budget assumption'!G215</f>
        <v>217.31855808470829</v>
      </c>
      <c r="H9" s="422">
        <f>'Budget assumption'!H215</f>
        <v>251.55222094085056</v>
      </c>
      <c r="I9" s="422">
        <f>'Budget assumption'!I215</f>
        <v>229.2465468183949</v>
      </c>
      <c r="J9" s="422">
        <f>'Budget assumption'!J215</f>
        <v>235.05248519491039</v>
      </c>
      <c r="K9" s="422">
        <f>'Budget assumption'!K215</f>
        <v>218.98304817934547</v>
      </c>
      <c r="L9" s="422">
        <f>'Budget assumption'!L215</f>
        <v>213.59590329869292</v>
      </c>
      <c r="M9" s="422">
        <f>'Budget assumption'!M215</f>
        <v>288.17726158033093</v>
      </c>
      <c r="N9" s="425">
        <f t="shared" si="3"/>
        <v>2701.3288063649657</v>
      </c>
      <c r="Q9" s="423">
        <f t="shared" si="1"/>
        <v>204.69927393420895</v>
      </c>
      <c r="R9" s="423">
        <f t="shared" si="2"/>
        <v>2701.3288063649657</v>
      </c>
    </row>
    <row r="10" spans="1:25" outlineLevel="1" x14ac:dyDescent="0.25">
      <c r="A10" s="423" t="s">
        <v>81</v>
      </c>
      <c r="B10" s="422">
        <f>'Budget assumption'!B216</f>
        <v>106.57999537585221</v>
      </c>
      <c r="C10" s="422">
        <f>'Budget assumption'!C216</f>
        <v>112.97148558975951</v>
      </c>
      <c r="D10" s="422">
        <f>'Budget assumption'!D216</f>
        <v>102.64252545680378</v>
      </c>
      <c r="E10" s="422">
        <f>'Budget assumption'!E216</f>
        <v>104.32864647268644</v>
      </c>
      <c r="F10" s="422">
        <f>'Budget assumption'!F216</f>
        <v>110.7581698651679</v>
      </c>
      <c r="G10" s="422">
        <f>'Budget assumption'!G216</f>
        <v>107.62726490257862</v>
      </c>
      <c r="H10" s="422">
        <f>'Budget assumption'!H216</f>
        <v>100.46411351107851</v>
      </c>
      <c r="I10" s="422">
        <f>'Budget assumption'!I216</f>
        <v>101.53526503530082</v>
      </c>
      <c r="J10" s="422">
        <f>'Budget assumption'!J216</f>
        <v>106.97187608478409</v>
      </c>
      <c r="K10" s="422">
        <f>'Budget assumption'!K216</f>
        <v>100.2289107818811</v>
      </c>
      <c r="L10" s="422">
        <f>'Budget assumption'!L216</f>
        <v>98.505072021504759</v>
      </c>
      <c r="M10" s="422">
        <f>'Budget assumption'!M216</f>
        <v>96.810881593616458</v>
      </c>
      <c r="N10" s="423">
        <f t="shared" si="3"/>
        <v>1249.424206691014</v>
      </c>
      <c r="Q10" s="423">
        <f t="shared" si="1"/>
        <v>104.32864647268644</v>
      </c>
      <c r="R10" s="423">
        <f t="shared" si="2"/>
        <v>1249.424206691014</v>
      </c>
    </row>
    <row r="11" spans="1:25" outlineLevel="1" x14ac:dyDescent="0.25">
      <c r="A11" s="423" t="s">
        <v>82</v>
      </c>
      <c r="B11" s="422">
        <f>'Budget assumption'!B217</f>
        <v>183.02969054753996</v>
      </c>
      <c r="C11" s="422">
        <f>'Budget assumption'!C217</f>
        <v>179.83512620955838</v>
      </c>
      <c r="D11" s="422">
        <f>'Budget assumption'!D217</f>
        <v>176.70013645687774</v>
      </c>
      <c r="E11" s="422">
        <f>'Budget assumption'!E217</f>
        <v>177.19910679306849</v>
      </c>
      <c r="F11" s="422">
        <f>'Budget assumption'!F217</f>
        <v>155.71007432783014</v>
      </c>
      <c r="G11" s="422">
        <f>'Budget assumption'!G217</f>
        <v>188.37863537821647</v>
      </c>
      <c r="H11" s="422">
        <f>'Budget assumption'!H217</f>
        <v>178.57403780299023</v>
      </c>
      <c r="I11" s="422">
        <f>'Budget assumption'!I217</f>
        <v>171.83301981672696</v>
      </c>
      <c r="J11" s="422">
        <f>'Budget assumption'!J217</f>
        <v>193.12434208374361</v>
      </c>
      <c r="K11" s="422">
        <f>'Budget assumption'!K217</f>
        <v>189.78204766674821</v>
      </c>
      <c r="L11" s="422">
        <f>'Budget assumption'!L217</f>
        <v>184.92195074785559</v>
      </c>
      <c r="M11" s="422">
        <f>'Budget assumption'!M217</f>
        <v>176.72183216884383</v>
      </c>
      <c r="N11" s="423">
        <f t="shared" si="3"/>
        <v>2155.81</v>
      </c>
      <c r="Q11" s="423">
        <f t="shared" si="1"/>
        <v>177.19910679306849</v>
      </c>
      <c r="R11" s="423">
        <f t="shared" si="2"/>
        <v>2155.81</v>
      </c>
    </row>
    <row r="12" spans="1:25" outlineLevel="1" x14ac:dyDescent="0.25">
      <c r="A12" s="423" t="s">
        <v>83</v>
      </c>
      <c r="B12" s="422">
        <f>'Budget assumption'!B218</f>
        <v>5</v>
      </c>
      <c r="C12" s="422">
        <f>'Budget assumption'!C218</f>
        <v>6</v>
      </c>
      <c r="D12" s="422">
        <f>'Budget assumption'!D218</f>
        <v>6</v>
      </c>
      <c r="E12" s="422">
        <f>'Budget assumption'!E218</f>
        <v>5</v>
      </c>
      <c r="F12" s="422">
        <f>'Budget assumption'!F218</f>
        <v>4</v>
      </c>
      <c r="G12" s="422">
        <f>'Budget assumption'!G218</f>
        <v>6</v>
      </c>
      <c r="H12" s="422">
        <f>'Budget assumption'!H218</f>
        <v>5</v>
      </c>
      <c r="I12" s="422">
        <f>'Budget assumption'!I218</f>
        <v>4</v>
      </c>
      <c r="J12" s="422">
        <f>'Budget assumption'!J218</f>
        <v>7</v>
      </c>
      <c r="K12" s="422">
        <f>'Budget assumption'!K218</f>
        <v>6</v>
      </c>
      <c r="L12" s="422">
        <f>'Budget assumption'!L218</f>
        <v>7</v>
      </c>
      <c r="M12" s="422">
        <f>'Budget assumption'!M218</f>
        <v>5</v>
      </c>
      <c r="N12" s="423">
        <f t="shared" si="3"/>
        <v>66</v>
      </c>
      <c r="Q12" s="423">
        <f t="shared" si="1"/>
        <v>5</v>
      </c>
      <c r="R12" s="423">
        <f t="shared" si="2"/>
        <v>66</v>
      </c>
    </row>
    <row r="13" spans="1:25" outlineLevel="1" x14ac:dyDescent="0.25">
      <c r="A13" s="423" t="s">
        <v>84</v>
      </c>
      <c r="B13" s="422">
        <f>'Budget assumption'!B219</f>
        <v>44.860259341227689</v>
      </c>
      <c r="C13" s="422">
        <f>'Budget assumption'!C219</f>
        <v>44.262155388839702</v>
      </c>
      <c r="D13" s="422">
        <f>'Budget assumption'!D219</f>
        <v>43.675203521923159</v>
      </c>
      <c r="E13" s="422">
        <f>'Budget assumption'!E219</f>
        <v>43.218668494505586</v>
      </c>
      <c r="F13" s="422">
        <f>'Budget assumption'!F219</f>
        <v>42.768880290153291</v>
      </c>
      <c r="G13" s="422">
        <f>'Budget assumption'!G219</f>
        <v>43.825739202121468</v>
      </c>
      <c r="H13" s="422">
        <f>'Budget assumption'!H219</f>
        <v>42.091273017977642</v>
      </c>
      <c r="I13" s="422">
        <f>'Budget assumption'!I219</f>
        <v>41.85866767656519</v>
      </c>
      <c r="J13" s="422">
        <f>'Budget assumption'!J219</f>
        <v>41.627908409290846</v>
      </c>
      <c r="K13" s="422">
        <f>'Budget assumption'!K219</f>
        <v>41.13180433345525</v>
      </c>
      <c r="L13" s="422">
        <f>'Budget assumption'!L219</f>
        <v>40.644232760152626</v>
      </c>
      <c r="M13" s="422">
        <f>'Budget assumption'!M219</f>
        <v>43.146735371394186</v>
      </c>
      <c r="N13" s="423">
        <f t="shared" si="3"/>
        <v>513.11152780760665</v>
      </c>
      <c r="Q13" s="423">
        <f t="shared" si="1"/>
        <v>43.218668494505586</v>
      </c>
      <c r="R13" s="423">
        <f t="shared" si="2"/>
        <v>513.11152780760665</v>
      </c>
    </row>
    <row r="14" spans="1:25" outlineLevel="1" x14ac:dyDescent="0.25">
      <c r="A14" s="423" t="s">
        <v>86</v>
      </c>
      <c r="B14" s="422">
        <f>'Budget assumption'!B220</f>
        <v>161.79174177645808</v>
      </c>
      <c r="C14" s="422">
        <f>'Budget assumption'!C220</f>
        <v>149.59309131135126</v>
      </c>
      <c r="D14" s="422">
        <f>'Budget assumption'!D220</f>
        <v>160.35866848948228</v>
      </c>
      <c r="E14" s="422">
        <f>'Budget assumption'!E220</f>
        <v>155.09230143443955</v>
      </c>
      <c r="F14" s="422">
        <f>'Budget assumption'!F220</f>
        <v>155.61964591302961</v>
      </c>
      <c r="G14" s="422">
        <f>'Budget assumption'!G220</f>
        <v>152.87377994795827</v>
      </c>
      <c r="H14" s="422">
        <f>'Budget assumption'!H220</f>
        <v>171.2834116053059</v>
      </c>
      <c r="I14" s="422">
        <f>'Budget assumption'!I220</f>
        <v>170.288551936229</v>
      </c>
      <c r="J14" s="422">
        <f>'Budget assumption'!J220</f>
        <v>166.29043207502247</v>
      </c>
      <c r="K14" s="422">
        <f>'Budget assumption'!K220</f>
        <v>168.7459163292599</v>
      </c>
      <c r="L14" s="422">
        <f>'Budget assumption'!L220</f>
        <v>166.91753727657198</v>
      </c>
      <c r="M14" s="422">
        <f>'Budget assumption'!M220</f>
        <v>176.92268085373956</v>
      </c>
      <c r="N14" s="423">
        <f t="shared" si="3"/>
        <v>1955.7777589488476</v>
      </c>
      <c r="Q14" s="423">
        <f t="shared" si="1"/>
        <v>155.09230143443955</v>
      </c>
      <c r="R14" s="423">
        <f t="shared" si="2"/>
        <v>1955.7777589488476</v>
      </c>
    </row>
    <row r="15" spans="1:25" ht="12.6" outlineLevel="1" thickBot="1" x14ac:dyDescent="0.3">
      <c r="A15" s="424" t="s">
        <v>198</v>
      </c>
      <c r="B15" s="424">
        <f>SUM(B9:B14)</f>
        <v>696.01064052930064</v>
      </c>
      <c r="C15" s="424">
        <f t="shared" ref="C15:M15" si="5">SUM(C9:C14)</f>
        <v>700.17824531111</v>
      </c>
      <c r="D15" s="424">
        <f t="shared" si="5"/>
        <v>701.32971493025377</v>
      </c>
      <c r="E15" s="424">
        <f t="shared" si="5"/>
        <v>689.53799712890896</v>
      </c>
      <c r="F15" s="424">
        <f t="shared" si="5"/>
        <v>697.34175742471348</v>
      </c>
      <c r="G15" s="424">
        <f t="shared" si="5"/>
        <v>716.02397751558306</v>
      </c>
      <c r="H15" s="424">
        <f t="shared" si="5"/>
        <v>748.96505687820286</v>
      </c>
      <c r="I15" s="424">
        <f t="shared" si="5"/>
        <v>718.76205128321681</v>
      </c>
      <c r="J15" s="424">
        <f t="shared" si="5"/>
        <v>750.06704384775139</v>
      </c>
      <c r="K15" s="424">
        <f t="shared" si="5"/>
        <v>724.87172729068993</v>
      </c>
      <c r="L15" s="424">
        <f t="shared" si="5"/>
        <v>711.58469610477778</v>
      </c>
      <c r="M15" s="424">
        <f t="shared" si="5"/>
        <v>786.77939156792513</v>
      </c>
      <c r="N15" s="424">
        <f t="shared" si="3"/>
        <v>8641.4522998124339</v>
      </c>
      <c r="Q15" s="424">
        <f t="shared" si="1"/>
        <v>689.53799712890896</v>
      </c>
      <c r="R15" s="424">
        <f t="shared" si="2"/>
        <v>8641.4522998124339</v>
      </c>
    </row>
    <row r="16" spans="1:25" outlineLevel="1" x14ac:dyDescent="0.25">
      <c r="A16" s="426" t="s">
        <v>88</v>
      </c>
      <c r="B16" s="426">
        <f>B8+B15</f>
        <v>1236.257417188318</v>
      </c>
      <c r="C16" s="426">
        <f t="shared" ref="C16:M16" si="6">C8+C15</f>
        <v>1278.4995468133764</v>
      </c>
      <c r="D16" s="426">
        <f t="shared" si="6"/>
        <v>1285.004273520437</v>
      </c>
      <c r="E16" s="426">
        <f t="shared" si="6"/>
        <v>1250.1650588549257</v>
      </c>
      <c r="F16" s="426">
        <f t="shared" si="6"/>
        <v>1312.0739568095803</v>
      </c>
      <c r="G16" s="426">
        <f t="shared" si="6"/>
        <v>1272.3525156247422</v>
      </c>
      <c r="H16" s="426">
        <f t="shared" si="6"/>
        <v>1243.7158266945287</v>
      </c>
      <c r="I16" s="426">
        <f t="shared" si="6"/>
        <v>1222.9392357790205</v>
      </c>
      <c r="J16" s="426">
        <f t="shared" si="6"/>
        <v>1349.7777289640519</v>
      </c>
      <c r="K16" s="426">
        <f t="shared" si="6"/>
        <v>1278.0019585276923</v>
      </c>
      <c r="L16" s="426">
        <f t="shared" si="6"/>
        <v>1257.9749484560909</v>
      </c>
      <c r="M16" s="426">
        <f t="shared" si="6"/>
        <v>1322.0436496031134</v>
      </c>
      <c r="N16" s="426">
        <f t="shared" si="3"/>
        <v>15308.806116835876</v>
      </c>
      <c r="Q16" s="426">
        <f t="shared" si="1"/>
        <v>1250.1650588549257</v>
      </c>
      <c r="R16" s="426">
        <f t="shared" si="2"/>
        <v>15308.806116835876</v>
      </c>
    </row>
    <row r="17" spans="1:18" outlineLevel="1" x14ac:dyDescent="0.25">
      <c r="A17" s="423" t="s">
        <v>89</v>
      </c>
      <c r="B17" s="422">
        <f>'Budget assumption'!B223</f>
        <v>21.132999944324133</v>
      </c>
      <c r="C17" s="422">
        <f>'Budget assumption'!C223</f>
        <v>21.209824845989694</v>
      </c>
      <c r="D17" s="422">
        <f>'Budget assumption'!D223</f>
        <v>20.932865432030379</v>
      </c>
      <c r="E17" s="422">
        <f>'Budget assumption'!E223</f>
        <v>20.567044044062953</v>
      </c>
      <c r="F17" s="422">
        <f>'Budget assumption'!F223</f>
        <v>21.018477905147854</v>
      </c>
      <c r="G17" s="422">
        <f>'Budget assumption'!G223</f>
        <v>20.474517363192625</v>
      </c>
      <c r="H17" s="422">
        <f>'Budget assumption'!H223</f>
        <v>20.217401383560873</v>
      </c>
      <c r="I17" s="422">
        <f>'Budget assumption'!I223</f>
        <v>20.038870481997296</v>
      </c>
      <c r="J17" s="422">
        <f>'Budget assumption'!J223</f>
        <v>20.590913799326586</v>
      </c>
      <c r="K17" s="422">
        <f>'Budget assumption'!K223</f>
        <v>19.944053381251166</v>
      </c>
      <c r="L17" s="422">
        <f>'Budget assumption'!L223</f>
        <v>19.54757649135723</v>
      </c>
      <c r="M17" s="422">
        <f>'Budget assumption'!M223</f>
        <v>19.789757418898503</v>
      </c>
      <c r="N17" s="423">
        <f t="shared" si="3"/>
        <v>245.46430249113934</v>
      </c>
      <c r="Q17" s="423">
        <f t="shared" si="1"/>
        <v>20.567044044062953</v>
      </c>
      <c r="R17" s="423">
        <f t="shared" si="2"/>
        <v>245.46430249113934</v>
      </c>
    </row>
    <row r="18" spans="1:18" outlineLevel="1" x14ac:dyDescent="0.25">
      <c r="A18" s="426" t="s">
        <v>90</v>
      </c>
      <c r="B18" s="426">
        <f>B16+B17</f>
        <v>1257.3904171326421</v>
      </c>
      <c r="C18" s="426">
        <f t="shared" ref="C18:M18" si="7">C16+C17</f>
        <v>1299.7093716593661</v>
      </c>
      <c r="D18" s="426">
        <f t="shared" si="7"/>
        <v>1305.9371389524674</v>
      </c>
      <c r="E18" s="426">
        <f t="shared" si="7"/>
        <v>1270.7321028989886</v>
      </c>
      <c r="F18" s="426">
        <f t="shared" si="7"/>
        <v>1333.0924347147281</v>
      </c>
      <c r="G18" s="426">
        <f t="shared" si="7"/>
        <v>1292.8270329879349</v>
      </c>
      <c r="H18" s="426">
        <f t="shared" si="7"/>
        <v>1263.9332280780895</v>
      </c>
      <c r="I18" s="426">
        <f t="shared" si="7"/>
        <v>1242.9781062610177</v>
      </c>
      <c r="J18" s="426">
        <f t="shared" si="7"/>
        <v>1370.3686427633784</v>
      </c>
      <c r="K18" s="426">
        <f t="shared" si="7"/>
        <v>1297.9460119089435</v>
      </c>
      <c r="L18" s="426">
        <f t="shared" si="7"/>
        <v>1277.5225249474481</v>
      </c>
      <c r="M18" s="426">
        <f t="shared" si="7"/>
        <v>1341.8334070220119</v>
      </c>
      <c r="N18" s="426">
        <f t="shared" si="3"/>
        <v>15554.270419327018</v>
      </c>
      <c r="Q18" s="426">
        <f t="shared" si="1"/>
        <v>1270.7321028989886</v>
      </c>
      <c r="R18" s="426">
        <f t="shared" si="2"/>
        <v>15554.270419327018</v>
      </c>
    </row>
    <row r="19" spans="1:18" outlineLevel="1" x14ac:dyDescent="0.25">
      <c r="A19" s="423" t="s">
        <v>91</v>
      </c>
      <c r="B19" s="422">
        <f>'Budget assumption'!B225</f>
        <v>415.68863405687688</v>
      </c>
      <c r="C19" s="422">
        <f>'Budget assumption'!C225</f>
        <v>386.88891452198243</v>
      </c>
      <c r="D19" s="422">
        <f>'Budget assumption'!D225</f>
        <v>421.50115401051971</v>
      </c>
      <c r="E19" s="422">
        <f>'Budget assumption'!E225</f>
        <v>413.13905106556064</v>
      </c>
      <c r="F19" s="422">
        <f>'Budget assumption'!F225</f>
        <v>424.61563658697156</v>
      </c>
      <c r="G19" s="422">
        <f>'Budget assumption'!G225</f>
        <v>416.35266088537662</v>
      </c>
      <c r="H19" s="422">
        <f>'Budget assumption'!H225</f>
        <v>428.12059637899381</v>
      </c>
      <c r="I19" s="422">
        <f>'Budget assumption'!I225</f>
        <v>429.39435271473707</v>
      </c>
      <c r="J19" s="422">
        <f>'Budget assumption'!J225</f>
        <v>419.28873257594415</v>
      </c>
      <c r="K19" s="422">
        <f>'Budget assumption'!K225</f>
        <v>432.68993165503991</v>
      </c>
      <c r="L19" s="422">
        <f>'Budget assumption'!L225</f>
        <v>423.8033940410607</v>
      </c>
      <c r="M19" s="422">
        <f>'Budget assumption'!M225</f>
        <v>436.70918255808857</v>
      </c>
      <c r="N19" s="423">
        <f t="shared" si="3"/>
        <v>5048.1922410511525</v>
      </c>
      <c r="Q19" s="423">
        <f t="shared" si="1"/>
        <v>413.13905106556064</v>
      </c>
      <c r="R19" s="423">
        <f t="shared" si="2"/>
        <v>5048.1922410511525</v>
      </c>
    </row>
    <row r="20" spans="1:18" outlineLevel="1" x14ac:dyDescent="0.25">
      <c r="A20" s="426" t="s">
        <v>92</v>
      </c>
      <c r="B20" s="426">
        <f>B18+B19</f>
        <v>1673.0790511895191</v>
      </c>
      <c r="C20" s="426">
        <f t="shared" ref="C20:M20" si="8">C18+C19</f>
        <v>1686.5982861813486</v>
      </c>
      <c r="D20" s="426">
        <f t="shared" si="8"/>
        <v>1727.4382929629871</v>
      </c>
      <c r="E20" s="426">
        <f t="shared" si="8"/>
        <v>1683.8711539645492</v>
      </c>
      <c r="F20" s="426">
        <f t="shared" si="8"/>
        <v>1757.7080713016996</v>
      </c>
      <c r="G20" s="426">
        <f t="shared" si="8"/>
        <v>1709.1796938733114</v>
      </c>
      <c r="H20" s="426">
        <f t="shared" si="8"/>
        <v>1692.0538244570835</v>
      </c>
      <c r="I20" s="426">
        <f t="shared" si="8"/>
        <v>1672.3724589757549</v>
      </c>
      <c r="J20" s="426">
        <f t="shared" si="8"/>
        <v>1789.6573753393225</v>
      </c>
      <c r="K20" s="426">
        <f t="shared" si="8"/>
        <v>1730.6359435639833</v>
      </c>
      <c r="L20" s="426">
        <f t="shared" si="8"/>
        <v>1701.3259189885089</v>
      </c>
      <c r="M20" s="426">
        <f t="shared" si="8"/>
        <v>1778.5425895801004</v>
      </c>
      <c r="N20" s="426">
        <f t="shared" si="3"/>
        <v>20602.462660378173</v>
      </c>
      <c r="Q20" s="426">
        <f t="shared" si="1"/>
        <v>1683.8711539645492</v>
      </c>
      <c r="R20" s="426">
        <f t="shared" si="2"/>
        <v>20602.462660378173</v>
      </c>
    </row>
    <row r="21" spans="1:18" outlineLevel="1" x14ac:dyDescent="0.25">
      <c r="A21" s="423" t="s">
        <v>76</v>
      </c>
      <c r="B21" s="422">
        <f>'Budget assumption'!B227</f>
        <v>27</v>
      </c>
      <c r="C21" s="422">
        <f>'Budget assumption'!C227</f>
        <v>27</v>
      </c>
      <c r="D21" s="422">
        <f>'Budget assumption'!D227</f>
        <v>27</v>
      </c>
      <c r="E21" s="422">
        <f>'Budget assumption'!E227</f>
        <v>19</v>
      </c>
      <c r="F21" s="422">
        <f>'Budget assumption'!F227</f>
        <v>15</v>
      </c>
      <c r="G21" s="422">
        <f>'Budget assumption'!G227</f>
        <v>21</v>
      </c>
      <c r="H21" s="422">
        <f>'Budget assumption'!H227</f>
        <v>17</v>
      </c>
      <c r="I21" s="422">
        <f>'Budget assumption'!I227</f>
        <v>16</v>
      </c>
      <c r="J21" s="422">
        <f>'Budget assumption'!J227</f>
        <v>22</v>
      </c>
      <c r="K21" s="422">
        <f>'Budget assumption'!K227</f>
        <v>19</v>
      </c>
      <c r="L21" s="422">
        <f>'Budget assumption'!L227</f>
        <v>21</v>
      </c>
      <c r="M21" s="422">
        <f>'Budget assumption'!M227</f>
        <v>16</v>
      </c>
      <c r="N21" s="423">
        <f t="shared" si="3"/>
        <v>247</v>
      </c>
      <c r="Q21" s="423">
        <f t="shared" si="1"/>
        <v>19</v>
      </c>
      <c r="R21" s="423">
        <f t="shared" si="2"/>
        <v>247</v>
      </c>
    </row>
    <row r="22" spans="1:18" outlineLevel="1" x14ac:dyDescent="0.25">
      <c r="A22" s="423" t="s">
        <v>77</v>
      </c>
      <c r="B22" s="422">
        <f>'Budget assumption'!B228</f>
        <v>-55</v>
      </c>
      <c r="C22" s="422">
        <f>'Budget assumption'!C228</f>
        <v>-55</v>
      </c>
      <c r="D22" s="422">
        <f>'Budget assumption'!D228</f>
        <v>-56</v>
      </c>
      <c r="E22" s="422">
        <f>'Budget assumption'!E228</f>
        <v>-48</v>
      </c>
      <c r="F22" s="422">
        <f>'Budget assumption'!F228</f>
        <v>-36</v>
      </c>
      <c r="G22" s="422">
        <f>'Budget assumption'!G228</f>
        <v>-53</v>
      </c>
      <c r="H22" s="422">
        <f>'Budget assumption'!H228</f>
        <v>-44</v>
      </c>
      <c r="I22" s="422">
        <f>'Budget assumption'!I228</f>
        <v>-40</v>
      </c>
      <c r="J22" s="422">
        <f>'Budget assumption'!J228</f>
        <v>-56</v>
      </c>
      <c r="K22" s="422">
        <f>'Budget assumption'!K228</f>
        <v>-48</v>
      </c>
      <c r="L22" s="422">
        <f>'Budget assumption'!L228</f>
        <v>-53</v>
      </c>
      <c r="M22" s="422">
        <f>'Budget assumption'!M228</f>
        <v>-41</v>
      </c>
      <c r="N22" s="423">
        <f t="shared" si="3"/>
        <v>-585</v>
      </c>
      <c r="O22" s="427">
        <v>23.011402520083919</v>
      </c>
      <c r="Q22" s="423">
        <f t="shared" si="1"/>
        <v>-48</v>
      </c>
      <c r="R22" s="423">
        <f t="shared" si="2"/>
        <v>-585</v>
      </c>
    </row>
    <row r="23" spans="1:18" outlineLevel="1" x14ac:dyDescent="0.25">
      <c r="A23" s="423" t="s">
        <v>144</v>
      </c>
      <c r="B23" s="422">
        <f>'Budget assumption'!B229</f>
        <v>0</v>
      </c>
      <c r="C23" s="422">
        <f>'Budget assumption'!C229</f>
        <v>0</v>
      </c>
      <c r="D23" s="422">
        <f>'Budget assumption'!D229</f>
        <v>0</v>
      </c>
      <c r="E23" s="422">
        <f>'Budget assumption'!E229</f>
        <v>0</v>
      </c>
      <c r="F23" s="422">
        <f>'Budget assumption'!F229</f>
        <v>0</v>
      </c>
      <c r="G23" s="422">
        <f>'Budget assumption'!G229</f>
        <v>0</v>
      </c>
      <c r="H23" s="422">
        <f>'Budget assumption'!H229</f>
        <v>0</v>
      </c>
      <c r="I23" s="422">
        <f>'Budget assumption'!I229</f>
        <v>0</v>
      </c>
      <c r="J23" s="422">
        <f>'Budget assumption'!J229</f>
        <v>0</v>
      </c>
      <c r="K23" s="422">
        <f>'Budget assumption'!K229</f>
        <v>0</v>
      </c>
      <c r="L23" s="422">
        <f>'Budget assumption'!L229</f>
        <v>0</v>
      </c>
      <c r="M23" s="422">
        <f>'Budget assumption'!M229</f>
        <v>0</v>
      </c>
      <c r="N23" s="423">
        <f t="shared" si="3"/>
        <v>0</v>
      </c>
      <c r="O23" s="428"/>
      <c r="Q23" s="423">
        <f t="shared" si="1"/>
        <v>0</v>
      </c>
      <c r="R23" s="423">
        <f t="shared" si="2"/>
        <v>0</v>
      </c>
    </row>
    <row r="24" spans="1:18" outlineLevel="1" x14ac:dyDescent="0.25">
      <c r="A24" s="423" t="s">
        <v>85</v>
      </c>
      <c r="B24" s="422">
        <f>'Budget assumption'!B230</f>
        <v>9</v>
      </c>
      <c r="C24" s="422">
        <f>'Budget assumption'!C230</f>
        <v>9</v>
      </c>
      <c r="D24" s="422">
        <f>'Budget assumption'!D230</f>
        <v>9</v>
      </c>
      <c r="E24" s="422">
        <f>'Budget assumption'!E230</f>
        <v>9</v>
      </c>
      <c r="F24" s="422">
        <f>'Budget assumption'!F230</f>
        <v>8</v>
      </c>
      <c r="G24" s="422">
        <f>'Budget assumption'!G230</f>
        <v>8</v>
      </c>
      <c r="H24" s="422">
        <f>'Budget assumption'!H230</f>
        <v>8</v>
      </c>
      <c r="I24" s="422">
        <f>'Budget assumption'!I230</f>
        <v>8</v>
      </c>
      <c r="J24" s="422">
        <f>'Budget assumption'!J230</f>
        <v>8</v>
      </c>
      <c r="K24" s="422">
        <f>'Budget assumption'!K230</f>
        <v>8</v>
      </c>
      <c r="L24" s="422">
        <f>'Budget assumption'!L230</f>
        <v>8</v>
      </c>
      <c r="M24" s="422">
        <f>'Budget assumption'!M230</f>
        <v>8</v>
      </c>
      <c r="N24" s="423">
        <f t="shared" si="3"/>
        <v>100</v>
      </c>
      <c r="O24" s="428"/>
      <c r="Q24" s="423">
        <f t="shared" si="1"/>
        <v>9</v>
      </c>
      <c r="R24" s="423">
        <f t="shared" si="2"/>
        <v>100</v>
      </c>
    </row>
    <row r="25" spans="1:18" outlineLevel="1" x14ac:dyDescent="0.25">
      <c r="A25" s="423" t="s">
        <v>145</v>
      </c>
      <c r="B25" s="422">
        <f>'Budget assumption'!B231</f>
        <v>0</v>
      </c>
      <c r="C25" s="422">
        <f>'Budget assumption'!C231</f>
        <v>0</v>
      </c>
      <c r="D25" s="422">
        <f>'Budget assumption'!D231</f>
        <v>0</v>
      </c>
      <c r="E25" s="422">
        <f>'Budget assumption'!E231</f>
        <v>0</v>
      </c>
      <c r="F25" s="422">
        <f>'Budget assumption'!F231</f>
        <v>0</v>
      </c>
      <c r="G25" s="422">
        <f>'Budget assumption'!G231</f>
        <v>0</v>
      </c>
      <c r="H25" s="422">
        <f>'Budget assumption'!H231</f>
        <v>0</v>
      </c>
      <c r="I25" s="422">
        <f>'Budget assumption'!I231</f>
        <v>0</v>
      </c>
      <c r="J25" s="422">
        <f>'Budget assumption'!J231</f>
        <v>0</v>
      </c>
      <c r="K25" s="422">
        <f>'Budget assumption'!K231</f>
        <v>0</v>
      </c>
      <c r="L25" s="422">
        <f>'Budget assumption'!L231</f>
        <v>0</v>
      </c>
      <c r="M25" s="422">
        <f>'Budget assumption'!M231</f>
        <v>0</v>
      </c>
      <c r="N25" s="423">
        <f t="shared" si="3"/>
        <v>0</v>
      </c>
      <c r="O25" s="428"/>
      <c r="Q25" s="423">
        <f t="shared" si="1"/>
        <v>0</v>
      </c>
      <c r="R25" s="423">
        <f t="shared" si="2"/>
        <v>0</v>
      </c>
    </row>
    <row r="26" spans="1:18" outlineLevel="1" x14ac:dyDescent="0.25">
      <c r="A26" s="426" t="s">
        <v>146</v>
      </c>
      <c r="B26" s="426">
        <f>SUM(B21:B25)</f>
        <v>-19</v>
      </c>
      <c r="C26" s="426">
        <f t="shared" ref="C26:M26" si="9">SUM(C21:C25)</f>
        <v>-19</v>
      </c>
      <c r="D26" s="426">
        <f t="shared" si="9"/>
        <v>-20</v>
      </c>
      <c r="E26" s="426">
        <f t="shared" si="9"/>
        <v>-20</v>
      </c>
      <c r="F26" s="426">
        <f t="shared" si="9"/>
        <v>-13</v>
      </c>
      <c r="G26" s="426">
        <f t="shared" si="9"/>
        <v>-24</v>
      </c>
      <c r="H26" s="426">
        <f t="shared" si="9"/>
        <v>-19</v>
      </c>
      <c r="I26" s="426">
        <f t="shared" si="9"/>
        <v>-16</v>
      </c>
      <c r="J26" s="426">
        <f t="shared" si="9"/>
        <v>-26</v>
      </c>
      <c r="K26" s="426">
        <f t="shared" si="9"/>
        <v>-21</v>
      </c>
      <c r="L26" s="426">
        <f t="shared" si="9"/>
        <v>-24</v>
      </c>
      <c r="M26" s="426">
        <f t="shared" si="9"/>
        <v>-17</v>
      </c>
      <c r="N26" s="426">
        <f t="shared" si="3"/>
        <v>-238</v>
      </c>
      <c r="O26" s="428"/>
      <c r="Q26" s="426">
        <f t="shared" si="1"/>
        <v>-20</v>
      </c>
      <c r="R26" s="426">
        <f t="shared" si="2"/>
        <v>-238</v>
      </c>
    </row>
    <row r="27" spans="1:18" outlineLevel="1" x14ac:dyDescent="0.25">
      <c r="A27" s="423" t="s">
        <v>148</v>
      </c>
      <c r="B27" s="422">
        <f>'Budget assumption'!B233</f>
        <v>90.697222500000009</v>
      </c>
      <c r="C27" s="422">
        <f>'Budget assumption'!C233</f>
        <v>90.697222500000009</v>
      </c>
      <c r="D27" s="422">
        <f>'Budget assumption'!D233</f>
        <v>90.697222500000009</v>
      </c>
      <c r="E27" s="422">
        <f>'Budget assumption'!E233</f>
        <v>90.697222500000009</v>
      </c>
      <c r="F27" s="422">
        <f>'Budget assumption'!F233</f>
        <v>90.697222500000009</v>
      </c>
      <c r="G27" s="422">
        <f>'Budget assumption'!G233</f>
        <v>90.697222500000009</v>
      </c>
      <c r="H27" s="422">
        <f>'Budget assumption'!H233</f>
        <v>90.697222500000009</v>
      </c>
      <c r="I27" s="422">
        <f>'Budget assumption'!I233</f>
        <v>90.697222500000009</v>
      </c>
      <c r="J27" s="422">
        <f>'Budget assumption'!J233</f>
        <v>90.697222500000009</v>
      </c>
      <c r="K27" s="422">
        <f>'Budget assumption'!K233</f>
        <v>90.697222500000009</v>
      </c>
      <c r="L27" s="422">
        <f>'Budget assumption'!L233</f>
        <v>90.697222500000009</v>
      </c>
      <c r="M27" s="422">
        <f>'Budget assumption'!M233</f>
        <v>90.697222500000009</v>
      </c>
      <c r="N27" s="423">
        <f t="shared" si="3"/>
        <v>1088.3666699999999</v>
      </c>
      <c r="O27" s="428"/>
      <c r="Q27" s="423">
        <f t="shared" si="1"/>
        <v>90.697222500000009</v>
      </c>
      <c r="R27" s="423">
        <f t="shared" si="2"/>
        <v>1088.3666699999999</v>
      </c>
    </row>
    <row r="28" spans="1:18" outlineLevel="1" x14ac:dyDescent="0.25">
      <c r="A28" s="423" t="s">
        <v>149</v>
      </c>
      <c r="B28" s="422">
        <f>'Budget assumption'!B234</f>
        <v>94.53200214118084</v>
      </c>
      <c r="C28" s="422">
        <f>'Budget assumption'!C234</f>
        <v>94.532002141180826</v>
      </c>
      <c r="D28" s="422">
        <f>'Budget assumption'!D234</f>
        <v>94.53200214118084</v>
      </c>
      <c r="E28" s="422">
        <f>'Budget assumption'!E234</f>
        <v>94.532002141180826</v>
      </c>
      <c r="F28" s="422">
        <f>'Budget assumption'!F234</f>
        <v>94.53200214118084</v>
      </c>
      <c r="G28" s="422">
        <f>'Budget assumption'!G234</f>
        <v>94.53200214118084</v>
      </c>
      <c r="H28" s="422">
        <f>'Budget assumption'!H234</f>
        <v>94.53200214118084</v>
      </c>
      <c r="I28" s="422">
        <f>'Budget assumption'!I234</f>
        <v>94.53200214118084</v>
      </c>
      <c r="J28" s="422">
        <f>'Budget assumption'!J234</f>
        <v>94.53200214118084</v>
      </c>
      <c r="K28" s="422">
        <f>'Budget assumption'!K234</f>
        <v>94.53200214118084</v>
      </c>
      <c r="L28" s="422">
        <f>'Budget assumption'!L234</f>
        <v>94.53200214118084</v>
      </c>
      <c r="M28" s="422">
        <f>'Budget assumption'!M234</f>
        <v>94.53200214118084</v>
      </c>
      <c r="N28" s="423">
        <f t="shared" si="3"/>
        <v>1134.3840256941698</v>
      </c>
      <c r="O28" s="428"/>
      <c r="Q28" s="423">
        <f t="shared" si="1"/>
        <v>94.532002141180826</v>
      </c>
      <c r="R28" s="423">
        <f t="shared" si="2"/>
        <v>1134.3840256941698</v>
      </c>
    </row>
    <row r="29" spans="1:18" outlineLevel="1" x14ac:dyDescent="0.25">
      <c r="A29" s="426" t="s">
        <v>150</v>
      </c>
      <c r="B29" s="426">
        <f>SUM(B27:B28)</f>
        <v>185.22922464118085</v>
      </c>
      <c r="C29" s="426">
        <f t="shared" ref="C29:M29" si="10">SUM(C27:C28)</f>
        <v>185.22922464118085</v>
      </c>
      <c r="D29" s="426">
        <f t="shared" si="10"/>
        <v>185.22922464118085</v>
      </c>
      <c r="E29" s="426">
        <f t="shared" si="10"/>
        <v>185.22922464118085</v>
      </c>
      <c r="F29" s="426">
        <f t="shared" si="10"/>
        <v>185.22922464118085</v>
      </c>
      <c r="G29" s="426">
        <f t="shared" si="10"/>
        <v>185.22922464118085</v>
      </c>
      <c r="H29" s="426">
        <f t="shared" si="10"/>
        <v>185.22922464118085</v>
      </c>
      <c r="I29" s="426">
        <f t="shared" si="10"/>
        <v>185.22922464118085</v>
      </c>
      <c r="J29" s="426">
        <f t="shared" si="10"/>
        <v>185.22922464118085</v>
      </c>
      <c r="K29" s="426">
        <f t="shared" si="10"/>
        <v>185.22922464118085</v>
      </c>
      <c r="L29" s="426">
        <f t="shared" si="10"/>
        <v>185.22922464118085</v>
      </c>
      <c r="M29" s="426">
        <f t="shared" si="10"/>
        <v>185.22922464118085</v>
      </c>
      <c r="N29" s="426">
        <f t="shared" si="3"/>
        <v>2222.7506956941697</v>
      </c>
      <c r="O29" s="428"/>
      <c r="Q29" s="426">
        <f t="shared" si="1"/>
        <v>185.22922464118085</v>
      </c>
      <c r="R29" s="426">
        <f t="shared" si="2"/>
        <v>2222.7506956941697</v>
      </c>
    </row>
    <row r="30" spans="1:18" ht="12.6" outlineLevel="1" thickBot="1" x14ac:dyDescent="0.3">
      <c r="A30" s="429"/>
      <c r="B30" s="429"/>
      <c r="C30" s="429"/>
      <c r="D30" s="429"/>
      <c r="E30" s="429"/>
      <c r="F30" s="429"/>
      <c r="G30" s="429"/>
      <c r="H30" s="429"/>
      <c r="I30" s="429"/>
      <c r="J30" s="429"/>
      <c r="K30" s="429"/>
      <c r="L30" s="429"/>
      <c r="M30" s="429"/>
      <c r="N30" s="429">
        <f t="shared" si="3"/>
        <v>0</v>
      </c>
      <c r="O30" s="428"/>
      <c r="Q30" s="429">
        <f t="shared" si="1"/>
        <v>0</v>
      </c>
      <c r="R30" s="429">
        <f t="shared" si="2"/>
        <v>0</v>
      </c>
    </row>
    <row r="31" spans="1:18" outlineLevel="1" x14ac:dyDescent="0.25">
      <c r="A31" s="426" t="s">
        <v>152</v>
      </c>
      <c r="B31" s="426">
        <f>B20+B26+B29</f>
        <v>1839.3082758307</v>
      </c>
      <c r="C31" s="426">
        <f t="shared" ref="C31:M31" si="11">C20+C26+C29</f>
        <v>1852.8275108225293</v>
      </c>
      <c r="D31" s="426">
        <f t="shared" si="11"/>
        <v>1892.6675176041681</v>
      </c>
      <c r="E31" s="426">
        <f t="shared" si="11"/>
        <v>1849.1003786057299</v>
      </c>
      <c r="F31" s="426">
        <f t="shared" si="11"/>
        <v>1929.9372959428806</v>
      </c>
      <c r="G31" s="426">
        <f t="shared" si="11"/>
        <v>1870.4089185144921</v>
      </c>
      <c r="H31" s="426">
        <f t="shared" si="11"/>
        <v>1858.2830490982642</v>
      </c>
      <c r="I31" s="426">
        <f t="shared" si="11"/>
        <v>1841.6016836169356</v>
      </c>
      <c r="J31" s="426">
        <f t="shared" si="11"/>
        <v>1948.8865999805034</v>
      </c>
      <c r="K31" s="426">
        <f t="shared" si="11"/>
        <v>1894.8651682051641</v>
      </c>
      <c r="L31" s="426">
        <f t="shared" si="11"/>
        <v>1862.5551436296896</v>
      </c>
      <c r="M31" s="426">
        <f t="shared" si="11"/>
        <v>1946.7718142212811</v>
      </c>
      <c r="N31" s="426">
        <f t="shared" si="3"/>
        <v>22587.213356072334</v>
      </c>
      <c r="O31" s="428"/>
      <c r="Q31" s="426">
        <f t="shared" si="1"/>
        <v>1849.1003786057299</v>
      </c>
      <c r="R31" s="426">
        <f t="shared" si="2"/>
        <v>22587.213356072334</v>
      </c>
    </row>
    <row r="32" spans="1:18" outlineLevel="1" x14ac:dyDescent="0.25">
      <c r="A32" s="428"/>
      <c r="B32" s="428"/>
      <c r="C32" s="428"/>
      <c r="D32" s="428"/>
      <c r="E32" s="428"/>
      <c r="F32" s="428"/>
      <c r="G32" s="428"/>
      <c r="H32" s="428"/>
      <c r="I32" s="428"/>
      <c r="J32" s="428"/>
      <c r="K32" s="428"/>
      <c r="L32" s="428"/>
      <c r="M32" s="428"/>
      <c r="N32" s="428"/>
      <c r="O32" s="428"/>
      <c r="Q32" s="428"/>
      <c r="R32" s="428"/>
    </row>
    <row r="33" spans="1:18" outlineLevel="1" x14ac:dyDescent="0.25">
      <c r="A33" s="428"/>
      <c r="B33" s="428"/>
      <c r="C33" s="428"/>
      <c r="D33" s="428"/>
      <c r="E33" s="428"/>
      <c r="F33" s="428"/>
      <c r="G33" s="428"/>
      <c r="H33" s="428"/>
      <c r="I33" s="428"/>
      <c r="J33" s="428"/>
      <c r="K33" s="428"/>
      <c r="L33" s="428"/>
      <c r="M33" s="428"/>
      <c r="N33" s="428"/>
      <c r="O33" s="428"/>
      <c r="Q33" s="428"/>
      <c r="R33" s="428"/>
    </row>
    <row r="34" spans="1:18" outlineLevel="1" x14ac:dyDescent="0.25">
      <c r="A34" s="428"/>
      <c r="B34" s="428"/>
      <c r="C34" s="428"/>
      <c r="D34" s="428"/>
      <c r="E34" s="428"/>
      <c r="F34" s="428"/>
      <c r="G34" s="428"/>
      <c r="H34" s="428"/>
      <c r="I34" s="428"/>
      <c r="J34" s="428"/>
      <c r="K34" s="428"/>
      <c r="L34" s="428"/>
      <c r="M34" s="428"/>
      <c r="N34" s="428"/>
      <c r="O34" s="428"/>
      <c r="Q34" s="428"/>
      <c r="R34" s="428"/>
    </row>
    <row r="35" spans="1:18" outlineLevel="1" x14ac:dyDescent="0.25">
      <c r="A35" s="428"/>
      <c r="B35" s="428"/>
      <c r="C35" s="428"/>
      <c r="D35" s="428"/>
      <c r="E35" s="428"/>
      <c r="F35" s="428"/>
      <c r="G35" s="428"/>
      <c r="H35" s="428"/>
      <c r="I35" s="428"/>
      <c r="J35" s="428"/>
      <c r="K35" s="428"/>
      <c r="L35" s="428"/>
      <c r="M35" s="428"/>
      <c r="N35" s="428"/>
      <c r="O35" s="428"/>
      <c r="Q35" s="428"/>
      <c r="R35" s="428"/>
    </row>
    <row r="36" spans="1:18" outlineLevel="1" x14ac:dyDescent="0.25"/>
    <row r="37" spans="1:18" outlineLevel="1" x14ac:dyDescent="0.25"/>
    <row r="38" spans="1:18" outlineLevel="1" x14ac:dyDescent="0.25">
      <c r="A38" s="448" t="s">
        <v>434</v>
      </c>
      <c r="B38" s="449" t="s">
        <v>0</v>
      </c>
      <c r="C38" s="449" t="s">
        <v>1</v>
      </c>
      <c r="D38" s="449" t="s">
        <v>2</v>
      </c>
      <c r="E38" s="449" t="s">
        <v>3</v>
      </c>
      <c r="F38" s="449" t="s">
        <v>4</v>
      </c>
      <c r="G38" s="449" t="s">
        <v>5</v>
      </c>
      <c r="H38" s="449" t="s">
        <v>6</v>
      </c>
      <c r="I38" s="449" t="s">
        <v>7</v>
      </c>
      <c r="J38" s="449" t="s">
        <v>8</v>
      </c>
      <c r="K38" s="449" t="s">
        <v>9</v>
      </c>
      <c r="L38" s="449" t="s">
        <v>10</v>
      </c>
      <c r="M38" s="449" t="s">
        <v>11</v>
      </c>
      <c r="N38" s="449" t="s">
        <v>12</v>
      </c>
      <c r="Q38" s="449" t="s">
        <v>180</v>
      </c>
      <c r="R38" s="449" t="s">
        <v>94</v>
      </c>
    </row>
    <row r="39" spans="1:18" outlineLevel="1" x14ac:dyDescent="0.25">
      <c r="A39" s="422" t="s">
        <v>158</v>
      </c>
      <c r="B39" s="422">
        <f>'Budget assumption'!B118+'Budget assumption'!B149+'Budget assumption'!B180+'Budget assumption'!B242+'Budget assumption'!B273</f>
        <v>-89.182191155119767</v>
      </c>
      <c r="C39" s="422">
        <f>'Budget assumption'!C118+'Budget assumption'!C149+'Budget assumption'!C180+'Budget assumption'!C242+'Budget assumption'!C273</f>
        <v>-49.988760379112911</v>
      </c>
      <c r="D39" s="422">
        <f>'Budget assumption'!D118+'Budget assumption'!D149+'Budget assumption'!D180+'Budget assumption'!D242+'Budget assumption'!D273</f>
        <v>-45.000138660054432</v>
      </c>
      <c r="E39" s="422">
        <f>'Budget assumption'!E118+'Budget assumption'!E149+'Budget assumption'!E180+'Budget assumption'!E242+'Budget assumption'!E273</f>
        <v>-37.726399243079186</v>
      </c>
      <c r="F39" s="422">
        <f>'Budget assumption'!F118+'Budget assumption'!F149+'Budget assumption'!F180+'Budget assumption'!F242+'Budget assumption'!F273</f>
        <v>160.41580072103235</v>
      </c>
      <c r="G39" s="422">
        <f>'Budget assumption'!G118+'Budget assumption'!G149+'Budget assumption'!G180+'Budget assumption'!G242+'Budget assumption'!G273</f>
        <v>-103.06413435343633</v>
      </c>
      <c r="H39" s="422">
        <f>'Budget assumption'!H118+'Budget assumption'!H149+'Budget assumption'!H180+'Budget assumption'!H242+'Budget assumption'!H273</f>
        <v>-27.44533531263761</v>
      </c>
      <c r="I39" s="422">
        <f>'Budget assumption'!I118+'Budget assumption'!I149+'Budget assumption'!I180+'Budget assumption'!I242+'Budget assumption'!I273</f>
        <v>14.540301137012477</v>
      </c>
      <c r="J39" s="422">
        <f>'Budget assumption'!J118+'Budget assumption'!J149+'Budget assumption'!J180+'Budget assumption'!J242+'Budget assumption'!J273</f>
        <v>-61.377791553155703</v>
      </c>
      <c r="K39" s="422">
        <f>'Budget assumption'!K118+'Budget assumption'!K149+'Budget assumption'!K180+'Budget assumption'!K242+'Budget assumption'!K273</f>
        <v>-45.392783151987672</v>
      </c>
      <c r="L39" s="422">
        <f>'Budget assumption'!L118+'Budget assumption'!L149+'Budget assumption'!L180+'Budget assumption'!L242+'Budget assumption'!L273</f>
        <v>-96.934666644916135</v>
      </c>
      <c r="M39" s="422">
        <f>'Budget assumption'!M118+'Budget assumption'!M149+'Budget assumption'!M180+'Budget assumption'!M242+'Budget assumption'!M273</f>
        <v>29.177044420156264</v>
      </c>
      <c r="N39" s="422">
        <f>'Budget assumption'!N118+'Budget assumption'!N149+'Budget assumption'!N180+'Budget assumption'!N242</f>
        <v>-351.8879711844765</v>
      </c>
      <c r="Q39" s="422">
        <f t="shared" ref="Q39:Q65" si="12">SUMPRODUCT(B39:M39,B$2:M$2)</f>
        <v>-37.726399243079186</v>
      </c>
      <c r="R39" s="422">
        <f t="shared" ref="R39:R65" si="13">SUMPRODUCT(B39:M39,B$1:M$1)</f>
        <v>-351.97905417529864</v>
      </c>
    </row>
    <row r="40" spans="1:18" outlineLevel="1" x14ac:dyDescent="0.25">
      <c r="A40" s="422" t="s">
        <v>75</v>
      </c>
      <c r="B40" s="422">
        <f>'Budget assumption'!B119+'Budget assumption'!B150+'Budget assumption'!B181+'Budget assumption'!B243+'Budget assumption'!B274</f>
        <v>-0.39814538733816107</v>
      </c>
      <c r="C40" s="422">
        <f>'Budget assumption'!C119+'Budget assumption'!C150+'Budget assumption'!C181+'Budget assumption'!C243+'Budget assumption'!C274</f>
        <v>-1.3105108662105565</v>
      </c>
      <c r="D40" s="422">
        <f>'Budget assumption'!D119+'Budget assumption'!D150+'Budget assumption'!D181+'Budget assumption'!D243+'Budget assumption'!D274</f>
        <v>-0.95802493581592785</v>
      </c>
      <c r="E40" s="422">
        <f>'Budget assumption'!E119+'Budget assumption'!E150+'Budget assumption'!E181+'Budget assumption'!E243+'Budget assumption'!E274</f>
        <v>-1.3205572190990864</v>
      </c>
      <c r="F40" s="422">
        <f>'Budget assumption'!F119+'Budget assumption'!F150+'Budget assumption'!F181+'Budget assumption'!F243+'Budget assumption'!F274</f>
        <v>-4.3481435444343681</v>
      </c>
      <c r="G40" s="422">
        <f>'Budget assumption'!G119+'Budget assumption'!G150+'Budget assumption'!G181+'Budget assumption'!G243+'Budget assumption'!G274</f>
        <v>-5.3136673145993996</v>
      </c>
      <c r="H40" s="422">
        <f>'Budget assumption'!H119+'Budget assumption'!H150+'Budget assumption'!H181+'Budget assumption'!H243+'Budget assumption'!H274</f>
        <v>-2.8961328376423978</v>
      </c>
      <c r="I40" s="422">
        <f>'Budget assumption'!I119+'Budget assumption'!I150+'Budget assumption'!I181+'Budget assumption'!I243+'Budget assumption'!I274</f>
        <v>1.0188674988987216</v>
      </c>
      <c r="J40" s="422">
        <f>'Budget assumption'!J119+'Budget assumption'!J150+'Budget assumption'!J181+'Budget assumption'!J243+'Budget assumption'!J274</f>
        <v>-9.8796508703584323</v>
      </c>
      <c r="K40" s="422">
        <f>'Budget assumption'!K119+'Budget assumption'!K150+'Budget assumption'!K181+'Budget assumption'!K243+'Budget assumption'!K274</f>
        <v>-6.8689241542044357</v>
      </c>
      <c r="L40" s="422">
        <f>'Budget assumption'!L119+'Budget assumption'!L150+'Budget assumption'!L181+'Budget assumption'!L243+'Budget assumption'!L274</f>
        <v>1.4565864464117055</v>
      </c>
      <c r="M40" s="422">
        <f>'Budget assumption'!M119+'Budget assumption'!M150+'Budget assumption'!M181+'Budget assumption'!M243+'Budget assumption'!M274</f>
        <v>0.41940465929776494</v>
      </c>
      <c r="N40" s="422">
        <f>'Budget assumption'!N119+'Budget assumption'!N150+'Budget assumption'!N181+'Budget assumption'!N243</f>
        <v>-30.398898525094761</v>
      </c>
      <c r="Q40" s="422">
        <f t="shared" si="12"/>
        <v>-1.3205572190990864</v>
      </c>
      <c r="R40" s="422">
        <f t="shared" si="13"/>
        <v>-30.39889852509457</v>
      </c>
    </row>
    <row r="41" spans="1:18" outlineLevel="1" x14ac:dyDescent="0.25">
      <c r="A41" s="423" t="s">
        <v>196</v>
      </c>
      <c r="B41" s="422">
        <f>'Budget assumption'!B120+'Budget assumption'!B151+'Budget assumption'!B182+'Budget assumption'!B244</f>
        <v>-1.0091480044074643</v>
      </c>
      <c r="C41" s="422">
        <f>'Budget assumption'!C120+'Budget assumption'!C151+'Budget assumption'!C182+'Budget assumption'!C244</f>
        <v>-1.0031722602775304</v>
      </c>
      <c r="D41" s="422">
        <f>'Budget assumption'!D120+'Budget assumption'!D151+'Budget assumption'!D182+'Budget assumption'!D244</f>
        <v>-1.0035237746381149</v>
      </c>
      <c r="E41" s="422">
        <f>'Budget assumption'!E120+'Budget assumption'!E151+'Budget assumption'!E182+'Budget assumption'!E244</f>
        <v>-1.000477793629349</v>
      </c>
      <c r="F41" s="422">
        <f>'Budget assumption'!F120+'Budget assumption'!F151+'Budget assumption'!F182+'Budget assumption'!F244</f>
        <v>-1.2229854755446716</v>
      </c>
      <c r="G41" s="422">
        <f>'Budget assumption'!G120+'Budget assumption'!G151+'Budget assumption'!G182+'Budget assumption'!G244</f>
        <v>-1.1503588529625155</v>
      </c>
      <c r="H41" s="422">
        <f>'Budget assumption'!H120+'Budget assumption'!H151+'Budget assumption'!H182+'Budget assumption'!H244</f>
        <v>-0.56041870071822331</v>
      </c>
      <c r="I41" s="422">
        <f>'Budget assumption'!I120+'Budget assumption'!I151+'Budget assumption'!I182+'Budget assumption'!I244</f>
        <v>-0.80103653581211454</v>
      </c>
      <c r="J41" s="422">
        <f>'Budget assumption'!J120+'Budget assumption'!J151+'Budget assumption'!J182+'Budget assumption'!J244</f>
        <v>-0.72651605935541141</v>
      </c>
      <c r="K41" s="422">
        <f>'Budget assumption'!K120+'Budget assumption'!K151+'Budget assumption'!K182+'Budget assumption'!K244</f>
        <v>-1.4977656140860933</v>
      </c>
      <c r="L41" s="422">
        <f>'Budget assumption'!L120+'Budget assumption'!L151+'Budget assumption'!L182+'Budget assumption'!L244</f>
        <v>-0.78742566857133411</v>
      </c>
      <c r="M41" s="422">
        <f>'Budget assumption'!M120+'Budget assumption'!M151+'Budget assumption'!M182+'Budget assumption'!M244</f>
        <v>-2.8187683060931867</v>
      </c>
      <c r="N41" s="422">
        <f>'Budget assumption'!N120+'Budget assumption'!N151+'Budget assumption'!N182+'Budget assumption'!N244</f>
        <v>-13.581597046096009</v>
      </c>
      <c r="Q41" s="423">
        <f t="shared" si="12"/>
        <v>-1.000477793629349</v>
      </c>
      <c r="R41" s="423">
        <f t="shared" si="13"/>
        <v>-13.581597046096009</v>
      </c>
    </row>
    <row r="42" spans="1:18" ht="12.6" outlineLevel="1" thickBot="1" x14ac:dyDescent="0.3">
      <c r="A42" s="424" t="s">
        <v>197</v>
      </c>
      <c r="B42" s="424">
        <f>SUM(B39:B41)</f>
        <v>-90.589484546865393</v>
      </c>
      <c r="C42" s="424">
        <f t="shared" ref="C42:N42" si="14">SUM(C39:C41)</f>
        <v>-52.302443505600998</v>
      </c>
      <c r="D42" s="424">
        <f t="shared" si="14"/>
        <v>-46.961687370508471</v>
      </c>
      <c r="E42" s="424">
        <f t="shared" si="14"/>
        <v>-40.047434255807623</v>
      </c>
      <c r="F42" s="424">
        <f t="shared" si="14"/>
        <v>154.8446717010533</v>
      </c>
      <c r="G42" s="424">
        <f t="shared" si="14"/>
        <v>-109.52816052099824</v>
      </c>
      <c r="H42" s="424">
        <f t="shared" si="14"/>
        <v>-30.901886850998231</v>
      </c>
      <c r="I42" s="424">
        <f t="shared" si="14"/>
        <v>14.758132100099084</v>
      </c>
      <c r="J42" s="424">
        <f t="shared" si="14"/>
        <v>-71.983958482869554</v>
      </c>
      <c r="K42" s="424">
        <f t="shared" si="14"/>
        <v>-53.759472920278199</v>
      </c>
      <c r="L42" s="424">
        <f t="shared" si="14"/>
        <v>-96.26550586707576</v>
      </c>
      <c r="M42" s="424">
        <f t="shared" si="14"/>
        <v>26.777680773360842</v>
      </c>
      <c r="N42" s="424">
        <f t="shared" si="14"/>
        <v>-395.86846675566727</v>
      </c>
      <c r="Q42" s="424">
        <f t="shared" si="12"/>
        <v>-40.047434255807623</v>
      </c>
      <c r="R42" s="424">
        <f t="shared" si="13"/>
        <v>-395.9595497464893</v>
      </c>
    </row>
    <row r="43" spans="1:18" outlineLevel="1" x14ac:dyDescent="0.25">
      <c r="A43" s="425" t="s">
        <v>80</v>
      </c>
      <c r="B43" s="422">
        <f>'Budget assumption'!B122+'Budget assumption'!B153+'Budget assumption'!B184+'Budget assumption'!B246+'Budget assumption'!B277</f>
        <v>-10.542907389028187</v>
      </c>
      <c r="C43" s="422">
        <f>'Budget assumption'!C122+'Budget assumption'!C153+'Budget assumption'!C184+'Budget assumption'!C246+'Budget assumption'!C277</f>
        <v>2.2245259343500834</v>
      </c>
      <c r="D43" s="422">
        <f>'Budget assumption'!D122+'Budget assumption'!D153+'Budget assumption'!D184+'Budget assumption'!D246+'Budget assumption'!D277</f>
        <v>6.6613201279157579</v>
      </c>
      <c r="E43" s="422">
        <f>'Budget assumption'!E122+'Budget assumption'!E153+'Budget assumption'!E184+'Budget assumption'!E246+'Budget assumption'!E277</f>
        <v>-10.857179986904583</v>
      </c>
      <c r="F43" s="422">
        <f>'Budget assumption'!F122+'Budget assumption'!F153+'Budget assumption'!F184+'Budget assumption'!F246+'Budget assumption'!F277</f>
        <v>84.780684414456772</v>
      </c>
      <c r="G43" s="422">
        <f>'Budget assumption'!G122+'Budget assumption'!G153+'Budget assumption'!G184+'Budget assumption'!G246+'Budget assumption'!G277</f>
        <v>-101.7763995831927</v>
      </c>
      <c r="H43" s="422">
        <f>'Budget assumption'!H122+'Budget assumption'!H153+'Budget assumption'!H184+'Budget assumption'!H246+'Budget assumption'!H277</f>
        <v>-6.1783217909156463</v>
      </c>
      <c r="I43" s="422">
        <f>'Budget assumption'!I122+'Budget assumption'!I153+'Budget assumption'!I184+'Budget assumption'!I246+'Budget assumption'!I277</f>
        <v>-3.9382299389173738</v>
      </c>
      <c r="J43" s="422">
        <f>'Budget assumption'!J122+'Budget assumption'!J153+'Budget assumption'!J184+'Budget assumption'!J246+'Budget assumption'!J277</f>
        <v>-84.042472472990596</v>
      </c>
      <c r="K43" s="422">
        <f>'Budget assumption'!K122+'Budget assumption'!K153+'Budget assumption'!K184+'Budget assumption'!K246+'Budget assumption'!K277</f>
        <v>-100.11190948855551</v>
      </c>
      <c r="L43" s="422">
        <f>'Budget assumption'!L122+'Budget assumption'!L153+'Budget assumption'!L184+'Budget assumption'!L246+'Budget assumption'!L277</f>
        <v>-93.226171381981089</v>
      </c>
      <c r="M43" s="422">
        <f>'Budget assumption'!M122+'Budget assumption'!M153+'Budget assumption'!M184+'Budget assumption'!M246+'Budget assumption'!M277</f>
        <v>8.9758679207287742</v>
      </c>
      <c r="N43" s="422">
        <f>'Budget assumption'!N122+'Budget assumption'!N153+'Budget assumption'!N184+'Budget assumption'!N246+'Budget assumption'!N277</f>
        <v>-308.03119363503436</v>
      </c>
      <c r="Q43" s="425">
        <f t="shared" si="12"/>
        <v>-10.857179986904583</v>
      </c>
      <c r="R43" s="425">
        <f t="shared" si="13"/>
        <v>-308.0311936350343</v>
      </c>
    </row>
    <row r="44" spans="1:18" outlineLevel="1" x14ac:dyDescent="0.25">
      <c r="A44" s="423" t="s">
        <v>81</v>
      </c>
      <c r="B44" s="422">
        <f>'Budget assumption'!B123+'Budget assumption'!B154+'Budget assumption'!B185+'Budget assumption'!B247+'Budget assumption'!B278</f>
        <v>32.322212246109402</v>
      </c>
      <c r="C44" s="422">
        <f>'Budget assumption'!C123+'Budget assumption'!C154+'Budget assumption'!C185+'Budget assumption'!C247+'Budget assumption'!C278</f>
        <v>38.713702460016705</v>
      </c>
      <c r="D44" s="422">
        <f>'Budget assumption'!D123+'Budget assumption'!D154+'Budget assumption'!D185+'Budget assumption'!D247+'Budget assumption'!D278</f>
        <v>28.384742327060977</v>
      </c>
      <c r="E44" s="422">
        <f>'Budget assumption'!E123+'Budget assumption'!E154+'Budget assumption'!E185+'Budget assumption'!E247+'Budget assumption'!E278</f>
        <v>26.357974186456488</v>
      </c>
      <c r="F44" s="422">
        <f>'Budget assumption'!F123+'Budget assumption'!F154+'Budget assumption'!F185+'Budget assumption'!F247+'Budget assumption'!F278</f>
        <v>58.777721674347937</v>
      </c>
      <c r="G44" s="422">
        <f>'Budget assumption'!G123+'Budget assumption'!G154+'Budget assumption'!G185+'Budget assumption'!G247+'Budget assumption'!G278</f>
        <v>-7.7951588751737972</v>
      </c>
      <c r="H44" s="422">
        <f>'Budget assumption'!H123+'Budget assumption'!H154+'Budget assumption'!H185+'Budget assumption'!H247+'Budget assumption'!H278</f>
        <v>7.2383096905861919</v>
      </c>
      <c r="I44" s="422">
        <f>'Budget assumption'!I123+'Budget assumption'!I154+'Budget assumption'!I185+'Budget assumption'!I247+'Budget assumption'!I278</f>
        <v>17.188109197712535</v>
      </c>
      <c r="J44" s="422">
        <f>'Budget assumption'!J123+'Budget assumption'!J154+'Budget assumption'!J185+'Budget assumption'!J247+'Budget assumption'!J278</f>
        <v>-8.4505476929683283</v>
      </c>
      <c r="K44" s="422">
        <f>'Budget assumption'!K123+'Budget assumption'!K154+'Budget assumption'!K185+'Budget assumption'!K247+'Budget assumption'!K278</f>
        <v>-15.193512995871316</v>
      </c>
      <c r="L44" s="422">
        <f>'Budget assumption'!L123+'Budget assumption'!L154+'Budget assumption'!L185+'Budget assumption'!L247+'Budget assumption'!L278</f>
        <v>-12.478027764795627</v>
      </c>
      <c r="M44" s="422">
        <f>'Budget assumption'!M123+'Budget assumption'!M154+'Budget assumption'!M185+'Budget assumption'!M247+'Budget assumption'!M278</f>
        <v>-4.1813177624670033</v>
      </c>
      <c r="N44" s="422">
        <f>'Budget assumption'!N123+'Budget assumption'!N154+'Budget assumption'!N185+'Budget assumption'!N247+'Budget assumption'!N278</f>
        <v>160.88420669101396</v>
      </c>
      <c r="Q44" s="423">
        <f t="shared" si="12"/>
        <v>26.357974186456488</v>
      </c>
      <c r="R44" s="423">
        <f t="shared" si="13"/>
        <v>160.88420669101419</v>
      </c>
    </row>
    <row r="45" spans="1:18" outlineLevel="1" x14ac:dyDescent="0.25">
      <c r="A45" s="423" t="s">
        <v>82</v>
      </c>
      <c r="B45" s="422">
        <f>'Budget assumption'!B124+'Budget assumption'!B155+'Budget assumption'!B186+'Budget assumption'!B248+'Budget assumption'!B279</f>
        <v>39.66388456187461</v>
      </c>
      <c r="C45" s="422">
        <f>'Budget assumption'!C124+'Budget assumption'!C155+'Budget assumption'!C186+'Budget assumption'!C248+'Budget assumption'!C279</f>
        <v>36.469320223893064</v>
      </c>
      <c r="D45" s="422">
        <f>'Budget assumption'!D124+'Budget assumption'!D155+'Budget assumption'!D186+'Budget assumption'!D248+'Budget assumption'!D279</f>
        <v>33.334330471212397</v>
      </c>
      <c r="E45" s="422">
        <f>'Budget assumption'!E124+'Budget assumption'!E155+'Budget assumption'!E186+'Budget assumption'!E248+'Budget assumption'!E279</f>
        <v>26.665010508119892</v>
      </c>
      <c r="F45" s="422">
        <f>'Budget assumption'!F124+'Budget assumption'!F155+'Budget assumption'!F186+'Budget assumption'!F248+'Budget assumption'!F279</f>
        <v>55.354010137864414</v>
      </c>
      <c r="G45" s="422">
        <f>'Budget assumption'!G124+'Budget assumption'!G155+'Budget assumption'!G186+'Budget assumption'!G248+'Budget assumption'!G279</f>
        <v>-34.46169349080683</v>
      </c>
      <c r="H45" s="422">
        <f>'Budget assumption'!H124+'Budget assumption'!H155+'Budget assumption'!H186+'Budget assumption'!H248+'Budget assumption'!H279</f>
        <v>-1.4123816681439756</v>
      </c>
      <c r="I45" s="422">
        <f>'Budget assumption'!I124+'Budget assumption'!I155+'Budget assumption'!I186+'Budget assumption'!I248+'Budget assumption'!I279</f>
        <v>8.9881641047484049</v>
      </c>
      <c r="J45" s="422">
        <f>'Budget assumption'!J124+'Budget assumption'!J155+'Budget assumption'!J186+'Budget assumption'!J248+'Budget assumption'!J279</f>
        <v>-29.715986785279675</v>
      </c>
      <c r="K45" s="422">
        <f>'Budget assumption'!K124+'Budget assumption'!K155+'Budget assumption'!K186+'Budget assumption'!K248+'Budget assumption'!K279</f>
        <v>-33.058281202275069</v>
      </c>
      <c r="L45" s="422">
        <f>'Budget assumption'!L124+'Budget assumption'!L155+'Budget assumption'!L186+'Budget assumption'!L248+'Budget assumption'!L279</f>
        <v>-29.347596241589869</v>
      </c>
      <c r="M45" s="422">
        <f>'Budget assumption'!M124+'Budget assumption'!M155+'Budget assumption'!M186+'Budget assumption'!M248+'Budget assumption'!M279</f>
        <v>-18.258780619617234</v>
      </c>
      <c r="N45" s="422">
        <f>'Budget assumption'!N124+'Budget assumption'!N155+'Budget assumption'!N186+'Budget assumption'!N248+'Budget assumption'!N279</f>
        <v>54.22000000000051</v>
      </c>
      <c r="Q45" s="423">
        <f t="shared" si="12"/>
        <v>26.665010508119892</v>
      </c>
      <c r="R45" s="423">
        <f t="shared" si="13"/>
        <v>54.220000000000105</v>
      </c>
    </row>
    <row r="46" spans="1:18" outlineLevel="1" x14ac:dyDescent="0.25">
      <c r="A46" s="423" t="s">
        <v>83</v>
      </c>
      <c r="B46" s="422">
        <f>'Budget assumption'!B125+'Budget assumption'!B156+'Budget assumption'!B187+'Budget assumption'!B249+'Budget assumption'!B280</f>
        <v>-4.1207172951353304</v>
      </c>
      <c r="C46" s="422">
        <f>'Budget assumption'!C125+'Budget assumption'!C156+'Budget assumption'!C187+'Budget assumption'!C249+'Budget assumption'!C280</f>
        <v>-3.1207172951353308</v>
      </c>
      <c r="D46" s="422">
        <f>'Budget assumption'!D125+'Budget assumption'!D156+'Budget assumption'!D187+'Budget assumption'!D249+'Budget assumption'!D280</f>
        <v>-3.1207172951353308</v>
      </c>
      <c r="E46" s="422">
        <f>'Budget assumption'!E125+'Budget assumption'!E156+'Budget assumption'!E187+'Budget assumption'!E249+'Budget assumption'!E280</f>
        <v>-4.5767531598920961</v>
      </c>
      <c r="F46" s="422">
        <f>'Budget assumption'!F125+'Budget assumption'!F156+'Budget assumption'!F187+'Budget assumption'!F249+'Budget assumption'!F280</f>
        <v>-2.3845021065947312</v>
      </c>
      <c r="G46" s="422">
        <f>'Budget assumption'!G125+'Budget assumption'!G156+'Budget assumption'!G187+'Budget assumption'!G249+'Budget assumption'!G280</f>
        <v>-8.1767671000473054</v>
      </c>
      <c r="H46" s="422">
        <f>'Budget assumption'!H125+'Budget assumption'!H156+'Budget assumption'!H187+'Budget assumption'!H249+'Budget assumption'!H280</f>
        <v>-6.4504657346535925</v>
      </c>
      <c r="I46" s="422">
        <f>'Budget assumption'!I125+'Budget assumption'!I156+'Budget assumption'!I187+'Budget assumption'!I249+'Budget assumption'!I280</f>
        <v>-6.3599451884961073</v>
      </c>
      <c r="J46" s="422">
        <f>'Budget assumption'!J125+'Budget assumption'!J156+'Budget assumption'!J187+'Budget assumption'!J249+'Budget assumption'!J280</f>
        <v>-7.1767671000473054</v>
      </c>
      <c r="K46" s="422">
        <f>'Budget assumption'!K125+'Budget assumption'!K156+'Budget assumption'!K187+'Budget assumption'!K249+'Budget assumption'!K280</f>
        <v>-8.1767671000473054</v>
      </c>
      <c r="L46" s="422">
        <f>'Budget assumption'!L125+'Budget assumption'!L156+'Budget assumption'!L187+'Budget assumption'!L249+'Budget assumption'!L280</f>
        <v>-6.6315068269685629</v>
      </c>
      <c r="M46" s="422">
        <f>'Budget assumption'!M125+'Budget assumption'!M156+'Budget assumption'!M187+'Budget assumption'!M249+'Budget assumption'!M280</f>
        <v>-7.4043737978469846</v>
      </c>
      <c r="N46" s="422">
        <f>'Budget assumption'!N125+'Budget assumption'!N156+'Budget assumption'!N187+'Budget assumption'!N249+'Budget assumption'!N280</f>
        <v>-67.69999999999996</v>
      </c>
      <c r="Q46" s="423">
        <f t="shared" si="12"/>
        <v>-4.5767531598920961</v>
      </c>
      <c r="R46" s="423">
        <f t="shared" si="13"/>
        <v>-67.699999999999974</v>
      </c>
    </row>
    <row r="47" spans="1:18" outlineLevel="1" x14ac:dyDescent="0.25">
      <c r="A47" s="423" t="s">
        <v>84</v>
      </c>
      <c r="B47" s="422">
        <f>'Budget assumption'!B126+'Budget assumption'!B157+'Budget assumption'!B188+'Budget assumption'!B250+'Budget assumption'!B281</f>
        <v>12.859893219364047</v>
      </c>
      <c r="C47" s="422">
        <f>'Budget assumption'!C126+'Budget assumption'!C157+'Budget assumption'!C188+'Budget assumption'!C250+'Budget assumption'!C281</f>
        <v>12.261789266976059</v>
      </c>
      <c r="D47" s="422">
        <f>'Budget assumption'!D126+'Budget assumption'!D157+'Budget assumption'!D188+'Budget assumption'!D250+'Budget assumption'!D281</f>
        <v>11.674837400059516</v>
      </c>
      <c r="E47" s="422">
        <f>'Budget assumption'!E126+'Budget assumption'!E157+'Budget assumption'!E188+'Budget assumption'!E250+'Budget assumption'!E281</f>
        <v>9.6182840665487603</v>
      </c>
      <c r="F47" s="422">
        <f>'Budget assumption'!F126+'Budget assumption'!F157+'Budget assumption'!F188+'Budget assumption'!F250+'Budget assumption'!F281</f>
        <v>20.368624004848741</v>
      </c>
      <c r="G47" s="422">
        <f>'Budget assumption'!G126+'Budget assumption'!G157+'Budget assumption'!G188+'Budget assumption'!G250+'Budget assumption'!G281</f>
        <v>-5.9139603133839813</v>
      </c>
      <c r="H47" s="422">
        <f>'Budget assumption'!H126+'Budget assumption'!H157+'Budget assumption'!H188+'Budget assumption'!H250+'Budget assumption'!H281</f>
        <v>1.9169003323770895</v>
      </c>
      <c r="I47" s="422">
        <f>'Budget assumption'!I126+'Budget assumption'!I157+'Budget assumption'!I188+'Budget assumption'!I250+'Budget assumption'!I281</f>
        <v>5.5104257229265983</v>
      </c>
      <c r="J47" s="422">
        <f>'Budget assumption'!J126+'Budget assumption'!J157+'Budget assumption'!J188+'Budget assumption'!J250+'Budget assumption'!J281</f>
        <v>-8.1117911062146035</v>
      </c>
      <c r="K47" s="422">
        <f>'Budget assumption'!K126+'Budget assumption'!K157+'Budget assumption'!K188+'Budget assumption'!K250+'Budget assumption'!K281</f>
        <v>-8.6078951820501999</v>
      </c>
      <c r="L47" s="422">
        <f>'Budget assumption'!L126+'Budget assumption'!L157+'Budget assumption'!L188+'Budget assumption'!L250+'Budget assumption'!L281</f>
        <v>-7.1824013893718401</v>
      </c>
      <c r="M47" s="422">
        <f>'Budget assumption'!M126+'Budget assumption'!M157+'Budget assumption'!M188+'Budget assumption'!M250+'Budget assumption'!M281</f>
        <v>-0.3744582144734494</v>
      </c>
      <c r="N47" s="422">
        <f>'Budget assumption'!N126+'Budget assumption'!N157+'Budget assumption'!N188+'Budget assumption'!N250+'Budget assumption'!N281</f>
        <v>44.020247807606765</v>
      </c>
      <c r="Q47" s="423">
        <f t="shared" si="12"/>
        <v>9.6182840665487603</v>
      </c>
      <c r="R47" s="423">
        <f t="shared" si="13"/>
        <v>44.020247807606737</v>
      </c>
    </row>
    <row r="48" spans="1:18" outlineLevel="1" x14ac:dyDescent="0.25">
      <c r="A48" s="423" t="s">
        <v>86</v>
      </c>
      <c r="B48" s="422">
        <f>'Budget assumption'!B127+'Budget assumption'!B158+'Budget assumption'!B189+'Budget assumption'!B251+'Budget assumption'!B282</f>
        <v>36.505164942256926</v>
      </c>
      <c r="C48" s="422">
        <f>'Budget assumption'!C127+'Budget assumption'!C158+'Budget assumption'!C189+'Budget assumption'!C251+'Budget assumption'!C282</f>
        <v>24.306514477150102</v>
      </c>
      <c r="D48" s="422">
        <f>'Budget assumption'!D127+'Budget assumption'!D158+'Budget assumption'!D189+'Budget assumption'!D251+'Budget assumption'!D282</f>
        <v>35.072091655281127</v>
      </c>
      <c r="E48" s="422">
        <f>'Budget assumption'!E127+'Budget assumption'!E158+'Budget assumption'!E189+'Budget assumption'!E251+'Budget assumption'!E282</f>
        <v>23.541395758528353</v>
      </c>
      <c r="F48" s="422">
        <f>'Budget assumption'!F127+'Budget assumption'!F158+'Budget assumption'!F189+'Budget assumption'!F251+'Budget assumption'!F282</f>
        <v>67.919042129088808</v>
      </c>
      <c r="G48" s="422">
        <f>'Budget assumption'!G127+'Budget assumption'!G158+'Budget assumption'!G189+'Budget assumption'!G251+'Budget assumption'!G282</f>
        <v>-41.865138392158741</v>
      </c>
      <c r="H48" s="422">
        <f>'Budget assumption'!H127+'Budget assumption'!H158+'Budget assumption'!H189+'Budget assumption'!H251+'Budget assumption'!H282</f>
        <v>13.994285253672928</v>
      </c>
      <c r="I48" s="422">
        <f>'Budget assumption'!I127+'Budget assumption'!I158+'Budget assumption'!I189+'Budget assumption'!I251+'Budget assumption'!I282</f>
        <v>27.979342379989646</v>
      </c>
      <c r="J48" s="422">
        <f>'Budget assumption'!J127+'Budget assumption'!J158+'Budget assumption'!J189+'Budget assumption'!J251+'Budget assumption'!J282</f>
        <v>-28.448486265094544</v>
      </c>
      <c r="K48" s="422">
        <f>'Budget assumption'!K127+'Budget assumption'!K158+'Budget assumption'!K189+'Budget assumption'!K251+'Budget assumption'!K282</f>
        <v>-25.993002010857111</v>
      </c>
      <c r="L48" s="422">
        <f>'Budget assumption'!L127+'Budget assumption'!L158+'Budget assumption'!L189+'Budget assumption'!L251+'Budget assumption'!L282</f>
        <v>-20.331422665848208</v>
      </c>
      <c r="M48" s="422">
        <f>'Budget assumption'!M127+'Budget assumption'!M158+'Budget assumption'!M189+'Budget assumption'!M251+'Budget assumption'!M282</f>
        <v>6.5302127379904675</v>
      </c>
      <c r="N48" s="422">
        <f>'Budget assumption'!N127+'Budget assumption'!N158+'Budget assumption'!N189+'Budget assumption'!N251+'Budget assumption'!N282</f>
        <v>119.20999999999958</v>
      </c>
      <c r="Q48" s="423">
        <f t="shared" si="12"/>
        <v>23.541395758528353</v>
      </c>
      <c r="R48" s="423">
        <f t="shared" si="13"/>
        <v>119.20999999999975</v>
      </c>
    </row>
    <row r="49" spans="1:18" ht="12.6" outlineLevel="1" thickBot="1" x14ac:dyDescent="0.3">
      <c r="A49" s="424" t="s">
        <v>198</v>
      </c>
      <c r="B49" s="424">
        <f>SUM(B43:B48)</f>
        <v>106.68753028544147</v>
      </c>
      <c r="C49" s="424">
        <f t="shared" ref="C49:N49" si="15">SUM(C43:C48)</f>
        <v>110.85513506725067</v>
      </c>
      <c r="D49" s="424">
        <f t="shared" si="15"/>
        <v>112.00660468639444</v>
      </c>
      <c r="E49" s="424">
        <f t="shared" si="15"/>
        <v>70.74873137285681</v>
      </c>
      <c r="F49" s="424">
        <f t="shared" si="15"/>
        <v>284.81558025401193</v>
      </c>
      <c r="G49" s="424">
        <f t="shared" si="15"/>
        <v>-199.98911775476333</v>
      </c>
      <c r="H49" s="424">
        <f t="shared" si="15"/>
        <v>9.1083260829229946</v>
      </c>
      <c r="I49" s="424">
        <f t="shared" si="15"/>
        <v>49.367866277963707</v>
      </c>
      <c r="J49" s="424">
        <f t="shared" si="15"/>
        <v>-165.94605142259505</v>
      </c>
      <c r="K49" s="424">
        <f t="shared" si="15"/>
        <v>-191.14136797965651</v>
      </c>
      <c r="L49" s="424">
        <f t="shared" si="15"/>
        <v>-169.19712627055523</v>
      </c>
      <c r="M49" s="424">
        <f t="shared" si="15"/>
        <v>-14.712849735685431</v>
      </c>
      <c r="N49" s="424">
        <f t="shared" si="15"/>
        <v>2.6032608635864989</v>
      </c>
      <c r="Q49" s="424">
        <f t="shared" si="12"/>
        <v>70.74873137285681</v>
      </c>
      <c r="R49" s="424">
        <f t="shared" si="13"/>
        <v>2.6032608635864065</v>
      </c>
    </row>
    <row r="50" spans="1:18" outlineLevel="1" x14ac:dyDescent="0.25">
      <c r="A50" s="426" t="s">
        <v>88</v>
      </c>
      <c r="B50" s="426">
        <f>B42+B49</f>
        <v>16.098045738576076</v>
      </c>
      <c r="C50" s="426">
        <f t="shared" ref="C50:N50" si="16">C42+C49</f>
        <v>58.552691561649674</v>
      </c>
      <c r="D50" s="426">
        <f t="shared" si="16"/>
        <v>65.044917315885968</v>
      </c>
      <c r="E50" s="426">
        <f t="shared" si="16"/>
        <v>30.701297117049187</v>
      </c>
      <c r="F50" s="426">
        <f t="shared" si="16"/>
        <v>439.66025195506523</v>
      </c>
      <c r="G50" s="426">
        <f t="shared" si="16"/>
        <v>-309.51727827576156</v>
      </c>
      <c r="H50" s="426">
        <f t="shared" si="16"/>
        <v>-21.793560768075238</v>
      </c>
      <c r="I50" s="426">
        <f t="shared" si="16"/>
        <v>64.125998378062789</v>
      </c>
      <c r="J50" s="426">
        <f t="shared" si="16"/>
        <v>-237.9300099054646</v>
      </c>
      <c r="K50" s="426">
        <f t="shared" si="16"/>
        <v>-244.90084089993471</v>
      </c>
      <c r="L50" s="426">
        <f t="shared" si="16"/>
        <v>-265.46263213763098</v>
      </c>
      <c r="M50" s="426">
        <f t="shared" si="16"/>
        <v>12.064831037675411</v>
      </c>
      <c r="N50" s="426">
        <f t="shared" si="16"/>
        <v>-393.26520589208076</v>
      </c>
      <c r="Q50" s="426">
        <f t="shared" si="12"/>
        <v>30.701297117049187</v>
      </c>
      <c r="R50" s="426">
        <f t="shared" si="13"/>
        <v>-393.35628888290285</v>
      </c>
    </row>
    <row r="51" spans="1:18" outlineLevel="1" x14ac:dyDescent="0.25">
      <c r="A51" s="423" t="s">
        <v>89</v>
      </c>
      <c r="B51" s="422">
        <f>'Budget assumption'!B130+'Budget assumption'!B161+'Budget assumption'!B192+'Budget assumption'!B254+'Budget assumption'!B285</f>
        <v>12.908069430065876</v>
      </c>
      <c r="C51" s="422">
        <f>'Budget assumption'!C130+'Budget assumption'!C161+'Budget assumption'!C192+'Budget assumption'!C254+'Budget assumption'!C285</f>
        <v>12.984894331731436</v>
      </c>
      <c r="D51" s="422">
        <f>'Budget assumption'!D130+'Budget assumption'!D161+'Budget assumption'!D192+'Budget assumption'!D254+'Budget assumption'!D285</f>
        <v>12.707934917772121</v>
      </c>
      <c r="E51" s="422">
        <f>'Budget assumption'!E130+'Budget assumption'!E161+'Budget assumption'!E192+'Budget assumption'!E254+'Budget assumption'!E285</f>
        <v>11.930867004091784</v>
      </c>
      <c r="F51" s="422">
        <f>'Budget assumption'!F130+'Budget assumption'!F161+'Budget assumption'!F192+'Budget assumption'!F254+'Budget assumption'!F285</f>
        <v>15.261026545167073</v>
      </c>
      <c r="G51" s="422">
        <f>'Budget assumption'!G130+'Budget assumption'!G161+'Budget assumption'!G192+'Budget assumption'!G254+'Budget assumption'!G285</f>
        <v>7.6901144986390282</v>
      </c>
      <c r="H51" s="422">
        <f>'Budget assumption'!H130+'Budget assumption'!H161+'Budget assumption'!H192+'Budget assumption'!H254+'Budget assumption'!H285</f>
        <v>9.8915375314214309</v>
      </c>
      <c r="I51" s="422">
        <f>'Budget assumption'!I130+'Budget assumption'!I161+'Budget assumption'!I192+'Budget assumption'!I254+'Budget assumption'!I285</f>
        <v>10.696422234823515</v>
      </c>
      <c r="J51" s="422">
        <f>'Budget assumption'!J130+'Budget assumption'!J161+'Budget assumption'!J192+'Budget assumption'!J254+'Budget assumption'!J285</f>
        <v>7.8065109347729891</v>
      </c>
      <c r="K51" s="422">
        <f>'Budget assumption'!K130+'Budget assumption'!K161+'Budget assumption'!K192+'Budget assumption'!K254+'Budget assumption'!K285</f>
        <v>7.1596505166975692</v>
      </c>
      <c r="L51" s="422">
        <f>'Budget assumption'!L130+'Budget assumption'!L161+'Budget assumption'!L192+'Budget assumption'!L254+'Budget assumption'!L285</f>
        <v>7.2548814292864652</v>
      </c>
      <c r="M51" s="422">
        <f>'Budget assumption'!M130+'Budget assumption'!M161+'Budget assumption'!M192+'Budget assumption'!M254+'Budget assumption'!M285</f>
        <v>8.6036731166700058</v>
      </c>
      <c r="N51" s="422">
        <f>SUM(B51:M51)</f>
        <v>124.89558249113931</v>
      </c>
      <c r="Q51" s="423">
        <f t="shared" si="12"/>
        <v>11.930867004091784</v>
      </c>
      <c r="R51" s="423">
        <f t="shared" si="13"/>
        <v>124.89558249113931</v>
      </c>
    </row>
    <row r="52" spans="1:18" outlineLevel="1" x14ac:dyDescent="0.25">
      <c r="A52" s="426" t="s">
        <v>90</v>
      </c>
      <c r="B52" s="426">
        <f>B50+B51</f>
        <v>29.006115168641951</v>
      </c>
      <c r="C52" s="426">
        <f t="shared" ref="C52:N52" si="17">C50+C51</f>
        <v>71.537585893381106</v>
      </c>
      <c r="D52" s="426">
        <f t="shared" si="17"/>
        <v>77.752852233658089</v>
      </c>
      <c r="E52" s="426">
        <f t="shared" si="17"/>
        <v>42.632164121140974</v>
      </c>
      <c r="F52" s="426">
        <f t="shared" si="17"/>
        <v>454.92127850023229</v>
      </c>
      <c r="G52" s="426">
        <f t="shared" si="17"/>
        <v>-301.82716377712251</v>
      </c>
      <c r="H52" s="426">
        <f t="shared" si="17"/>
        <v>-11.902023236653807</v>
      </c>
      <c r="I52" s="426">
        <f t="shared" si="17"/>
        <v>74.822420612886305</v>
      </c>
      <c r="J52" s="426">
        <f t="shared" si="17"/>
        <v>-230.1234989706916</v>
      </c>
      <c r="K52" s="426">
        <f t="shared" si="17"/>
        <v>-237.74119038323713</v>
      </c>
      <c r="L52" s="426">
        <f t="shared" si="17"/>
        <v>-258.20775070834452</v>
      </c>
      <c r="M52" s="426">
        <f t="shared" si="17"/>
        <v>20.668504154345417</v>
      </c>
      <c r="N52" s="426">
        <f t="shared" si="17"/>
        <v>-268.36962340094146</v>
      </c>
      <c r="Q52" s="426">
        <f t="shared" si="12"/>
        <v>42.632164121140974</v>
      </c>
      <c r="R52" s="426">
        <f t="shared" si="13"/>
        <v>-268.46070639176332</v>
      </c>
    </row>
    <row r="53" spans="1:18" outlineLevel="1" x14ac:dyDescent="0.25">
      <c r="A53" s="423" t="s">
        <v>91</v>
      </c>
      <c r="B53" s="422">
        <f>'Budget assumption'!B132+'Budget assumption'!B163+'Budget assumption'!B194+'Budget assumption'!B256+'Budget assumption'!B287</f>
        <v>71.312162238453368</v>
      </c>
      <c r="C53" s="422">
        <f>'Budget assumption'!C132+'Budget assumption'!C163+'Budget assumption'!C194+'Budget assumption'!C256+'Budget assumption'!C287</f>
        <v>42.512442703558918</v>
      </c>
      <c r="D53" s="422">
        <f>'Budget assumption'!D132+'Budget assumption'!D163+'Budget assumption'!D194+'Budget assumption'!D256+'Budget assumption'!D287</f>
        <v>77.124682192096202</v>
      </c>
      <c r="E53" s="422">
        <f>'Budget assumption'!E132+'Budget assumption'!E163+'Budget assumption'!E194+'Budget assumption'!E256+'Budget assumption'!E287</f>
        <v>51.543755656215922</v>
      </c>
      <c r="F53" s="422">
        <f>'Budget assumption'!F132+'Budget assumption'!F163+'Budget assumption'!F194+'Budget assumption'!F256+'Budget assumption'!F287</f>
        <v>183.5521063140751</v>
      </c>
      <c r="G53" s="422">
        <f>'Budget assumption'!G132+'Budget assumption'!G163+'Budget assumption'!G194+'Budget assumption'!G256+'Budget assumption'!G287</f>
        <v>-118.928159441086</v>
      </c>
      <c r="H53" s="422">
        <f>'Budget assumption'!H132+'Budget assumption'!H163+'Budget assumption'!H194+'Budget assumption'!H256+'Budget assumption'!H287</f>
        <v>-4.2216046539182912</v>
      </c>
      <c r="I53" s="422">
        <f>'Budget assumption'!I132+'Budget assumption'!I163+'Budget assumption'!I194+'Budget assumption'!I256+'Budget assumption'!I287</f>
        <v>38.227599399245094</v>
      </c>
      <c r="J53" s="422">
        <f>'Budget assumption'!J132+'Budget assumption'!J163+'Budget assumption'!J194+'Budget assumption'!J256+'Budget assumption'!J287</f>
        <v>-115.99208775051846</v>
      </c>
      <c r="K53" s="422">
        <f>'Budget assumption'!K132+'Budget assumption'!K163+'Budget assumption'!K194+'Budget assumption'!K256+'Budget assumption'!K287</f>
        <v>-102.5908886714227</v>
      </c>
      <c r="L53" s="422">
        <f>'Budget assumption'!L132+'Budget assumption'!L163+'Budget assumption'!L194+'Budget assumption'!L256+'Budget assumption'!L287</f>
        <v>-90.889702426691827</v>
      </c>
      <c r="M53" s="422">
        <f>'Budget assumption'!M132+'Budget assumption'!M163+'Budget assumption'!M194+'Budget assumption'!M256+'Budget assumption'!M287</f>
        <v>-31.650305560006984</v>
      </c>
      <c r="N53" s="422">
        <f>'Budget assumption'!N132+'Budget assumption'!N163+'Budget assumption'!N194+'Budget assumption'!N256</f>
        <v>-3.4106051316484809E-13</v>
      </c>
      <c r="Q53" s="423">
        <f t="shared" si="12"/>
        <v>51.543755656215922</v>
      </c>
      <c r="R53" s="423">
        <f t="shared" si="13"/>
        <v>3.4106051316484809E-13</v>
      </c>
    </row>
    <row r="54" spans="1:18" outlineLevel="1" x14ac:dyDescent="0.25">
      <c r="A54" s="426" t="s">
        <v>92</v>
      </c>
      <c r="B54" s="426">
        <f>B52+B53</f>
        <v>100.31827740709532</v>
      </c>
      <c r="C54" s="426">
        <f t="shared" ref="C54:N54" si="18">C52+C53</f>
        <v>114.05002859694002</v>
      </c>
      <c r="D54" s="426">
        <f t="shared" si="18"/>
        <v>154.87753442575428</v>
      </c>
      <c r="E54" s="426">
        <f t="shared" si="18"/>
        <v>94.175919777356896</v>
      </c>
      <c r="F54" s="426">
        <f t="shared" si="18"/>
        <v>638.47338481430734</v>
      </c>
      <c r="G54" s="426">
        <f t="shared" si="18"/>
        <v>-420.7553232182085</v>
      </c>
      <c r="H54" s="426">
        <f t="shared" si="18"/>
        <v>-16.123627890572099</v>
      </c>
      <c r="I54" s="426">
        <f t="shared" si="18"/>
        <v>113.0500200121314</v>
      </c>
      <c r="J54" s="426">
        <f t="shared" si="18"/>
        <v>-346.11558672121009</v>
      </c>
      <c r="K54" s="426">
        <f t="shared" si="18"/>
        <v>-340.33207905465986</v>
      </c>
      <c r="L54" s="426">
        <f t="shared" si="18"/>
        <v>-349.09745313503635</v>
      </c>
      <c r="M54" s="426">
        <f t="shared" si="18"/>
        <v>-10.981801405661567</v>
      </c>
      <c r="N54" s="426">
        <f t="shared" si="18"/>
        <v>-268.3696234009418</v>
      </c>
      <c r="Q54" s="426">
        <f t="shared" si="12"/>
        <v>94.175919777356896</v>
      </c>
      <c r="R54" s="426">
        <f t="shared" si="13"/>
        <v>-268.46070639176332</v>
      </c>
    </row>
    <row r="55" spans="1:18" outlineLevel="1" x14ac:dyDescent="0.25">
      <c r="A55" s="423" t="s">
        <v>76</v>
      </c>
      <c r="B55" s="422">
        <f>'Budget assumption'!B134+'Budget assumption'!B165+'Budget assumption'!B196+'Budget assumption'!B258</f>
        <v>1.7465508200222146</v>
      </c>
      <c r="C55" s="422">
        <f>'Budget assumption'!C134+'Budget assumption'!C165+'Budget assumption'!C196+'Budget assumption'!C258</f>
        <v>1.7550582446378584</v>
      </c>
      <c r="D55" s="422">
        <f>'Budget assumption'!D134+'Budget assumption'!D165+'Budget assumption'!D196+'Budget assumption'!D258</f>
        <v>1.7545578078957647</v>
      </c>
      <c r="E55" s="422">
        <f>'Budget assumption'!E134+'Budget assumption'!E165+'Budget assumption'!E196+'Budget assumption'!E258</f>
        <v>-5.0448908144758109</v>
      </c>
      <c r="F55" s="422">
        <f>'Budget assumption'!F134+'Budget assumption'!F165+'Budget assumption'!F196+'Budget assumption'!F258</f>
        <v>-3.4060037727398793</v>
      </c>
      <c r="G55" s="422">
        <f>'Budget assumption'!G134+'Budget assumption'!G165+'Budget assumption'!G196+'Budget assumption'!G258</f>
        <v>-5.654536007865814</v>
      </c>
      <c r="H55" s="422">
        <f>'Budget assumption'!H134+'Budget assumption'!H165+'Budget assumption'!H196+'Budget assumption'!H258</f>
        <v>-4.0426427123389637</v>
      </c>
      <c r="I55" s="422">
        <f>'Budget assumption'!I134+'Budget assumption'!I165+'Budget assumption'!I196+'Budget assumption'!I258</f>
        <v>-3.5942786785326062</v>
      </c>
      <c r="J55" s="422">
        <f>'Budget assumption'!J134+'Budget assumption'!J165+'Budget assumption'!J196+'Budget assumption'!J258</f>
        <v>-4.8882399664249938</v>
      </c>
      <c r="K55" s="422">
        <f>'Budget assumption'!K134+'Budget assumption'!K165+'Budget assumption'!K196+'Budget assumption'!K258</f>
        <v>-5.2939758953954543</v>
      </c>
      <c r="L55" s="422">
        <f>'Budget assumption'!L134+'Budget assumption'!L165+'Budget assumption'!L196+'Budget assumption'!L258</f>
        <v>-4.7314260185582064</v>
      </c>
      <c r="M55" s="422">
        <f>'Budget assumption'!M134+'Budget assumption'!M165+'Budget assumption'!M196+'Budget assumption'!M258</f>
        <v>-4.3579418992126762</v>
      </c>
      <c r="N55" s="422">
        <f>'Budget assumption'!N134+'Budget assumption'!N165+'Budget assumption'!N196+'Budget assumption'!N258</f>
        <v>-35.317018892988571</v>
      </c>
      <c r="Q55" s="423">
        <f t="shared" si="12"/>
        <v>-5.0448908144758109</v>
      </c>
      <c r="R55" s="423">
        <f t="shared" si="13"/>
        <v>-35.757768892988565</v>
      </c>
    </row>
    <row r="56" spans="1:18" outlineLevel="1" x14ac:dyDescent="0.25">
      <c r="A56" s="423" t="s">
        <v>77</v>
      </c>
      <c r="B56" s="422">
        <f>'Budget assumption'!B135+'Budget assumption'!B166+'Budget assumption'!B197+'Budget assumption'!B259</f>
        <v>7.0694899999999876</v>
      </c>
      <c r="C56" s="422">
        <f>'Budget assumption'!C135+'Budget assumption'!C166+'Budget assumption'!C197+'Budget assumption'!C259</f>
        <v>7.048579999999987</v>
      </c>
      <c r="D56" s="422">
        <f>'Budget assumption'!D135+'Budget assumption'!D166+'Budget assumption'!D197+'Budget assumption'!D259</f>
        <v>6.0498099999999937</v>
      </c>
      <c r="E56" s="422">
        <f>'Budget assumption'!E135+'Budget assumption'!E166+'Budget assumption'!E197+'Budget assumption'!E259</f>
        <v>11.101499999999987</v>
      </c>
      <c r="F56" s="422">
        <f>'Budget assumption'!F135+'Budget assumption'!F166+'Budget assumption'!F197+'Budget assumption'!F259</f>
        <v>9.2492399999999932</v>
      </c>
      <c r="G56" s="422">
        <f>'Budget assumption'!G135+'Budget assumption'!G166+'Budget assumption'!G197+'Budget assumption'!G259</f>
        <v>12.515949999999989</v>
      </c>
      <c r="H56" s="422">
        <f>'Budget assumption'!H135+'Budget assumption'!H166+'Budget assumption'!H197+'Budget assumption'!H259</f>
        <v>7.7202699999999922</v>
      </c>
      <c r="I56" s="422">
        <f>'Budget assumption'!I135+'Budget assumption'!I166+'Budget assumption'!I197+'Budget assumption'!I259</f>
        <v>8.1544999999999916</v>
      </c>
      <c r="J56" s="422">
        <f>'Budget assumption'!J135+'Budget assumption'!J166+'Budget assumption'!J197+'Budget assumption'!J259</f>
        <v>10.09035999999999</v>
      </c>
      <c r="K56" s="422">
        <f>'Budget assumption'!K135+'Budget assumption'!K166+'Budget assumption'!K197+'Budget assumption'!K259</f>
        <v>11.714039999999983</v>
      </c>
      <c r="L56" s="422">
        <f>'Budget assumption'!L135+'Budget assumption'!L166+'Budget assumption'!L197+'Budget assumption'!L259</f>
        <v>10.231839999999991</v>
      </c>
      <c r="M56" s="422">
        <f>'Budget assumption'!M135+'Budget assumption'!M166+'Budget assumption'!M197+'Budget assumption'!M259</f>
        <v>9.0314799999999877</v>
      </c>
      <c r="N56" s="422">
        <f>'Budget assumption'!N135+'Budget assumption'!N166+'Budget assumption'!N197+'Budget assumption'!N259</f>
        <v>109.97705999999988</v>
      </c>
      <c r="Q56" s="423">
        <f t="shared" si="12"/>
        <v>11.101499999999987</v>
      </c>
      <c r="R56" s="423">
        <f t="shared" si="13"/>
        <v>109.97705999999988</v>
      </c>
    </row>
    <row r="57" spans="1:18" outlineLevel="1" x14ac:dyDescent="0.25">
      <c r="A57" s="423" t="s">
        <v>144</v>
      </c>
      <c r="B57" s="422">
        <f>'Budget assumption'!B136+'Budget assumption'!B167+'Budget assumption'!B198+'Budget assumption'!B260</f>
        <v>0</v>
      </c>
      <c r="C57" s="422">
        <f>'Budget assumption'!C136+'Budget assumption'!C167+'Budget assumption'!C198+'Budget assumption'!C260</f>
        <v>0</v>
      </c>
      <c r="D57" s="422">
        <f>'Budget assumption'!D136+'Budget assumption'!D167+'Budget assumption'!D198+'Budget assumption'!D260</f>
        <v>0</v>
      </c>
      <c r="E57" s="422">
        <f>'Budget assumption'!E136+'Budget assumption'!E167+'Budget assumption'!E198+'Budget assumption'!E260</f>
        <v>0</v>
      </c>
      <c r="F57" s="422">
        <f>'Budget assumption'!F136+'Budget assumption'!F167+'Budget assumption'!F198+'Budget assumption'!F260</f>
        <v>0</v>
      </c>
      <c r="G57" s="422">
        <f>'Budget assumption'!G136+'Budget assumption'!G167+'Budget assumption'!G198+'Budget assumption'!G260</f>
        <v>0</v>
      </c>
      <c r="H57" s="422">
        <f>'Budget assumption'!H136+'Budget assumption'!H167+'Budget assumption'!H198+'Budget assumption'!H260</f>
        <v>0</v>
      </c>
      <c r="I57" s="422">
        <f>'Budget assumption'!I136+'Budget assumption'!I167+'Budget assumption'!I198+'Budget assumption'!I260</f>
        <v>0</v>
      </c>
      <c r="J57" s="422">
        <f>'Budget assumption'!J136+'Budget assumption'!J167+'Budget assumption'!J198+'Budget assumption'!J260</f>
        <v>0</v>
      </c>
      <c r="K57" s="422">
        <f>'Budget assumption'!K136+'Budget assumption'!K167+'Budget assumption'!K198+'Budget assumption'!K260</f>
        <v>0</v>
      </c>
      <c r="L57" s="422">
        <f>'Budget assumption'!L136+'Budget assumption'!L167+'Budget assumption'!L198+'Budget assumption'!L260</f>
        <v>0</v>
      </c>
      <c r="M57" s="422">
        <f>'Budget assumption'!M136+'Budget assumption'!M167+'Budget assumption'!M198+'Budget assumption'!M260</f>
        <v>0</v>
      </c>
      <c r="N57" s="422">
        <f>'Budget assumption'!N136+'Budget assumption'!N167+'Budget assumption'!N198+'Budget assumption'!N260</f>
        <v>0</v>
      </c>
      <c r="Q57" s="423">
        <f t="shared" si="12"/>
        <v>0</v>
      </c>
      <c r="R57" s="423">
        <f t="shared" si="13"/>
        <v>0</v>
      </c>
    </row>
    <row r="58" spans="1:18" outlineLevel="1" x14ac:dyDescent="0.25">
      <c r="A58" s="423" t="s">
        <v>85</v>
      </c>
      <c r="B58" s="422">
        <f>'Budget assumption'!B137+'Budget assumption'!B168+'Budget assumption'!B199+'Budget assumption'!B261</f>
        <v>9</v>
      </c>
      <c r="C58" s="422">
        <f>'Budget assumption'!C137+'Budget assumption'!C168+'Budget assumption'!C199+'Budget assumption'!C261</f>
        <v>9</v>
      </c>
      <c r="D58" s="422">
        <f>'Budget assumption'!D137+'Budget assumption'!D168+'Budget assumption'!D199+'Budget assumption'!D261</f>
        <v>9</v>
      </c>
      <c r="E58" s="422">
        <f>'Budget assumption'!E137+'Budget assumption'!E168+'Budget assumption'!E199+'Budget assumption'!E261</f>
        <v>9</v>
      </c>
      <c r="F58" s="422">
        <f>'Budget assumption'!F137+'Budget assumption'!F168+'Budget assumption'!F199+'Budget assumption'!F261</f>
        <v>8</v>
      </c>
      <c r="G58" s="422">
        <f>'Budget assumption'!G137+'Budget assumption'!G168+'Budget assumption'!G199+'Budget assumption'!G261</f>
        <v>8</v>
      </c>
      <c r="H58" s="422">
        <f>'Budget assumption'!H137+'Budget assumption'!H168+'Budget assumption'!H199+'Budget assumption'!H261</f>
        <v>8</v>
      </c>
      <c r="I58" s="422">
        <f>'Budget assumption'!I137+'Budget assumption'!I168+'Budget assumption'!I199+'Budget assumption'!I261</f>
        <v>8</v>
      </c>
      <c r="J58" s="422">
        <f>'Budget assumption'!J137+'Budget assumption'!J168+'Budget assumption'!J199+'Budget assumption'!J261</f>
        <v>8</v>
      </c>
      <c r="K58" s="422">
        <f>'Budget assumption'!K137+'Budget assumption'!K168+'Budget assumption'!K199+'Budget assumption'!K261</f>
        <v>8</v>
      </c>
      <c r="L58" s="422">
        <f>'Budget assumption'!L137+'Budget assumption'!L168+'Budget assumption'!L199+'Budget assumption'!L261</f>
        <v>8</v>
      </c>
      <c r="M58" s="422">
        <f>'Budget assumption'!M137+'Budget assumption'!M168+'Budget assumption'!M199+'Budget assumption'!M261</f>
        <v>8</v>
      </c>
      <c r="N58" s="422">
        <f>'Budget assumption'!N137+'Budget assumption'!N168+'Budget assumption'!N199+'Budget assumption'!N261</f>
        <v>100</v>
      </c>
      <c r="Q58" s="423">
        <f t="shared" si="12"/>
        <v>9</v>
      </c>
      <c r="R58" s="423">
        <f t="shared" si="13"/>
        <v>100</v>
      </c>
    </row>
    <row r="59" spans="1:18" outlineLevel="1" x14ac:dyDescent="0.25">
      <c r="A59" s="423" t="s">
        <v>145</v>
      </c>
      <c r="B59" s="422">
        <f>'Budget assumption'!B138+'Budget assumption'!B169+'Budget assumption'!B200+'Budget assumption'!B262</f>
        <v>0</v>
      </c>
      <c r="C59" s="422">
        <f>'Budget assumption'!C138+'Budget assumption'!C169+'Budget assumption'!C200+'Budget assumption'!C262</f>
        <v>0</v>
      </c>
      <c r="D59" s="422">
        <f>'Budget assumption'!D138+'Budget assumption'!D169+'Budget assumption'!D200+'Budget assumption'!D262</f>
        <v>0</v>
      </c>
      <c r="E59" s="422">
        <f>'Budget assumption'!E138+'Budget assumption'!E169+'Budget assumption'!E200+'Budget assumption'!E262</f>
        <v>0</v>
      </c>
      <c r="F59" s="422">
        <f>'Budget assumption'!F138+'Budget assumption'!F169+'Budget assumption'!F200+'Budget assumption'!F262</f>
        <v>0</v>
      </c>
      <c r="G59" s="422">
        <f>'Budget assumption'!G138+'Budget assumption'!G169+'Budget assumption'!G200+'Budget assumption'!G262</f>
        <v>0</v>
      </c>
      <c r="H59" s="422">
        <f>'Budget assumption'!H138+'Budget assumption'!H169+'Budget assumption'!H200+'Budget assumption'!H262</f>
        <v>0</v>
      </c>
      <c r="I59" s="422">
        <f>'Budget assumption'!I138+'Budget assumption'!I169+'Budget assumption'!I200+'Budget assumption'!I262</f>
        <v>0</v>
      </c>
      <c r="J59" s="422">
        <f>'Budget assumption'!J138+'Budget assumption'!J169+'Budget assumption'!J200+'Budget assumption'!J262</f>
        <v>0</v>
      </c>
      <c r="K59" s="422">
        <f>'Budget assumption'!K138+'Budget assumption'!K169+'Budget assumption'!K200+'Budget assumption'!K262</f>
        <v>0</v>
      </c>
      <c r="L59" s="422">
        <f>'Budget assumption'!L138+'Budget assumption'!L169+'Budget assumption'!L200+'Budget assumption'!L262</f>
        <v>0</v>
      </c>
      <c r="M59" s="422">
        <f>'Budget assumption'!M138+'Budget assumption'!M169+'Budget assumption'!M200+'Budget assumption'!M262</f>
        <v>0</v>
      </c>
      <c r="N59" s="422">
        <f>'Budget assumption'!N138+'Budget assumption'!N169+'Budget assumption'!N200+'Budget assumption'!N262</f>
        <v>0</v>
      </c>
      <c r="Q59" s="423">
        <f t="shared" si="12"/>
        <v>0</v>
      </c>
      <c r="R59" s="423">
        <f t="shared" si="13"/>
        <v>0</v>
      </c>
    </row>
    <row r="60" spans="1:18" outlineLevel="1" x14ac:dyDescent="0.25">
      <c r="A60" s="426" t="s">
        <v>146</v>
      </c>
      <c r="B60" s="426">
        <f>SUM(B55:B59)</f>
        <v>17.816040820022202</v>
      </c>
      <c r="C60" s="426">
        <f t="shared" ref="C60:N60" si="19">SUM(C55:C59)</f>
        <v>17.803638244637845</v>
      </c>
      <c r="D60" s="426">
        <f t="shared" si="19"/>
        <v>16.804367807895758</v>
      </c>
      <c r="E60" s="426">
        <f t="shared" si="19"/>
        <v>15.056609185524177</v>
      </c>
      <c r="F60" s="426">
        <f t="shared" si="19"/>
        <v>13.843236227260114</v>
      </c>
      <c r="G60" s="426">
        <f t="shared" si="19"/>
        <v>14.861413992134175</v>
      </c>
      <c r="H60" s="426">
        <f t="shared" si="19"/>
        <v>11.677627287661029</v>
      </c>
      <c r="I60" s="426">
        <f t="shared" si="19"/>
        <v>12.560221321467385</v>
      </c>
      <c r="J60" s="426">
        <f t="shared" si="19"/>
        <v>13.202120033574996</v>
      </c>
      <c r="K60" s="426">
        <f t="shared" si="19"/>
        <v>14.420064104604528</v>
      </c>
      <c r="L60" s="426">
        <f t="shared" si="19"/>
        <v>13.500413981441785</v>
      </c>
      <c r="M60" s="426">
        <f t="shared" si="19"/>
        <v>12.673538100787312</v>
      </c>
      <c r="N60" s="426">
        <f t="shared" si="19"/>
        <v>174.6600411070113</v>
      </c>
      <c r="Q60" s="426">
        <f t="shared" si="12"/>
        <v>15.056609185524177</v>
      </c>
      <c r="R60" s="426">
        <f t="shared" si="13"/>
        <v>174.21929110701132</v>
      </c>
    </row>
    <row r="61" spans="1:18" outlineLevel="1" x14ac:dyDescent="0.25">
      <c r="A61" s="423" t="s">
        <v>148</v>
      </c>
      <c r="B61" s="422">
        <f>'Budget assumption'!B140+'Budget assumption'!B171+'Budget assumption'!B202+'Budget assumption'!B264+'Budget assumption'!B295</f>
        <v>11.164158379735035</v>
      </c>
      <c r="C61" s="422">
        <f>'Budget assumption'!C140+'Budget assumption'!C171+'Budget assumption'!C202+'Budget assumption'!C264+'Budget assumption'!C295</f>
        <v>11.164158379735042</v>
      </c>
      <c r="D61" s="422">
        <f>'Budget assumption'!D140+'Budget assumption'!D171+'Budget assumption'!D202+'Budget assumption'!D264+'Budget assumption'!D295</f>
        <v>11.164158379735042</v>
      </c>
      <c r="E61" s="422">
        <f>'Budget assumption'!E140+'Budget assumption'!E171+'Budget assumption'!E202+'Budget assumption'!E264+'Budget assumption'!E295</f>
        <v>7.1875051737217923</v>
      </c>
      <c r="F61" s="422">
        <f>'Budget assumption'!F140+'Budget assumption'!F171+'Budget assumption'!F202+'Budget assumption'!F264+'Budget assumption'!F295</f>
        <v>35.024077615814534</v>
      </c>
      <c r="G61" s="422">
        <f>'Budget assumption'!G140+'Budget assumption'!G171+'Budget assumption'!G202+'Budget assumption'!G264+'Budget assumption'!G295</f>
        <v>-32.924822817368366</v>
      </c>
      <c r="H61" s="422">
        <f>'Budget assumption'!H140+'Budget assumption'!H171+'Budget assumption'!H202+'Budget assumption'!H264+'Budget assumption'!H295</f>
        <v>-9.151352564028306</v>
      </c>
      <c r="I61" s="422">
        <f>'Budget assumption'!I140+'Budget assumption'!I171+'Budget assumption'!I202+'Budget assumption'!I264+'Budget assumption'!I295</f>
        <v>0.35803553730773885</v>
      </c>
      <c r="J61" s="422">
        <f>'Budget assumption'!J140+'Budget assumption'!J171+'Budget assumption'!J202+'Budget assumption'!J264+'Budget assumption'!J295</f>
        <v>-32.924822817368359</v>
      </c>
      <c r="K61" s="422">
        <f>'Budget assumption'!K140+'Budget assumption'!K171+'Budget assumption'!K202+'Budget assumption'!K264+'Budget assumption'!K295</f>
        <v>-32.924822817368366</v>
      </c>
      <c r="L61" s="422">
        <f>'Budget assumption'!L140+'Budget assumption'!L171+'Budget assumption'!L202+'Budget assumption'!L264+'Budget assumption'!L295</f>
        <v>-28.170128766700351</v>
      </c>
      <c r="M61" s="422">
        <f>'Budget assumption'!M140+'Budget assumption'!M171+'Budget assumption'!M202+'Budget assumption'!M264+'Budget assumption'!M295</f>
        <v>-17.469473683215128</v>
      </c>
      <c r="N61" s="422">
        <f>'Budget assumption'!N140+'Budget assumption'!N171+'Budget assumption'!N202+'Budget assumption'!N264+'Budget assumption'!N295</f>
        <v>-77.503330000000119</v>
      </c>
      <c r="Q61" s="423">
        <f t="shared" si="12"/>
        <v>7.1875051737217923</v>
      </c>
      <c r="R61" s="423">
        <f t="shared" si="13"/>
        <v>-77.503329999999693</v>
      </c>
    </row>
    <row r="62" spans="1:18" outlineLevel="1" x14ac:dyDescent="0.25">
      <c r="A62" s="423" t="s">
        <v>149</v>
      </c>
      <c r="B62" s="422">
        <f>'Budget assumption'!B141+'Budget assumption'!B172+'Budget assumption'!B203+'Budget assumption'!B265+'Budget assumption'!B296</f>
        <v>27.352495948934234</v>
      </c>
      <c r="C62" s="422">
        <f>'Budget assumption'!C141+'Budget assumption'!C172+'Budget assumption'!C203+'Budget assumption'!C265+'Budget assumption'!C296</f>
        <v>27.352495948934219</v>
      </c>
      <c r="D62" s="422">
        <f>'Budget assumption'!D141+'Budget assumption'!D172+'Budget assumption'!D203+'Budget assumption'!D265+'Budget assumption'!D296</f>
        <v>27.352495948934234</v>
      </c>
      <c r="E62" s="422">
        <f>'Budget assumption'!E141+'Budget assumption'!E172+'Budget assumption'!E203+'Budget assumption'!E265+'Budget assumption'!E296</f>
        <v>23.993520639321886</v>
      </c>
      <c r="F62" s="422">
        <f>'Budget assumption'!F141+'Budget assumption'!F172+'Budget assumption'!F203+'Budget assumption'!F265+'Budget assumption'!F296</f>
        <v>47.506347806608211</v>
      </c>
      <c r="G62" s="422">
        <f>'Budget assumption'!G141+'Budget assumption'!G172+'Budget assumption'!G203+'Budget assumption'!G265+'Budget assumption'!G296</f>
        <v>-9.8883172663329333</v>
      </c>
      <c r="H62" s="422">
        <f>'Budget assumption'!H141+'Budget assumption'!H172+'Budget assumption'!H203+'Budget assumption'!H265+'Budget assumption'!H296</f>
        <v>10.192513388958176</v>
      </c>
      <c r="I62" s="422">
        <f>'Budget assumption'!I141+'Budget assumption'!I172+'Budget assumption'!I203+'Budget assumption'!I265+'Budget assumption'!I296</f>
        <v>18.224845651074631</v>
      </c>
      <c r="J62" s="422">
        <f>'Budget assumption'!J141+'Budget assumption'!J172+'Budget assumption'!J203+'Budget assumption'!J265+'Budget assumption'!J296</f>
        <v>-9.8883172663329333</v>
      </c>
      <c r="K62" s="422">
        <f>'Budget assumption'!K141+'Budget assumption'!K172+'Budget assumption'!K203+'Budget assumption'!K265+'Budget assumption'!K296</f>
        <v>-9.8883172663329333</v>
      </c>
      <c r="L62" s="422">
        <f>'Budget assumption'!L141+'Budget assumption'!L172+'Budget assumption'!L203+'Budget assumption'!L265+'Budget assumption'!L296</f>
        <v>-5.8721511352747058</v>
      </c>
      <c r="M62" s="422">
        <f>'Budget assumption'!M141+'Budget assumption'!M172+'Budget assumption'!M203+'Budget assumption'!M265+'Budget assumption'!M296</f>
        <v>3.1664132956777706</v>
      </c>
      <c r="N62" s="422">
        <f>'Budget assumption'!N141+'Budget assumption'!N172+'Budget assumption'!N203+'Budget assumption'!N265+'Budget assumption'!N296</f>
        <v>149.60402569416968</v>
      </c>
      <c r="Q62" s="423">
        <f t="shared" si="12"/>
        <v>23.993520639321886</v>
      </c>
      <c r="R62" s="423">
        <f t="shared" si="13"/>
        <v>149.60402569416988</v>
      </c>
    </row>
    <row r="63" spans="1:18" outlineLevel="1" x14ac:dyDescent="0.25">
      <c r="A63" s="426" t="s">
        <v>150</v>
      </c>
      <c r="B63" s="426">
        <f>SUM(B61:B62)</f>
        <v>38.516654328669269</v>
      </c>
      <c r="C63" s="426">
        <f t="shared" ref="C63:N63" si="20">SUM(C61:C62)</f>
        <v>38.516654328669262</v>
      </c>
      <c r="D63" s="426">
        <f t="shared" si="20"/>
        <v>38.516654328669276</v>
      </c>
      <c r="E63" s="426">
        <f t="shared" si="20"/>
        <v>31.181025813043679</v>
      </c>
      <c r="F63" s="426">
        <f t="shared" si="20"/>
        <v>82.530425422422752</v>
      </c>
      <c r="G63" s="426">
        <f t="shared" si="20"/>
        <v>-42.813140083701299</v>
      </c>
      <c r="H63" s="426">
        <f t="shared" si="20"/>
        <v>1.0411608249298698</v>
      </c>
      <c r="I63" s="426">
        <f t="shared" si="20"/>
        <v>18.58288118838237</v>
      </c>
      <c r="J63" s="426">
        <f t="shared" si="20"/>
        <v>-42.813140083701292</v>
      </c>
      <c r="K63" s="426">
        <f t="shared" si="20"/>
        <v>-42.813140083701299</v>
      </c>
      <c r="L63" s="426">
        <f t="shared" si="20"/>
        <v>-34.042279901975057</v>
      </c>
      <c r="M63" s="426">
        <f t="shared" si="20"/>
        <v>-14.303060387537357</v>
      </c>
      <c r="N63" s="426">
        <f t="shared" si="20"/>
        <v>72.100695694169559</v>
      </c>
      <c r="Q63" s="426">
        <f t="shared" si="12"/>
        <v>31.181025813043679</v>
      </c>
      <c r="R63" s="426">
        <f t="shared" si="13"/>
        <v>72.100695694170213</v>
      </c>
    </row>
    <row r="64" spans="1:18" ht="12.6" outlineLevel="1" thickBot="1" x14ac:dyDescent="0.3">
      <c r="A64" s="429"/>
      <c r="B64" s="429"/>
      <c r="C64" s="429"/>
      <c r="D64" s="429"/>
      <c r="E64" s="429"/>
      <c r="F64" s="429"/>
      <c r="G64" s="429"/>
      <c r="H64" s="429"/>
      <c r="I64" s="429"/>
      <c r="J64" s="429"/>
      <c r="K64" s="429"/>
      <c r="L64" s="429"/>
      <c r="M64" s="429"/>
      <c r="N64" s="429"/>
      <c r="Q64" s="429">
        <f t="shared" si="12"/>
        <v>0</v>
      </c>
      <c r="R64" s="429">
        <f t="shared" si="13"/>
        <v>0</v>
      </c>
    </row>
    <row r="65" spans="1:18" outlineLevel="1" x14ac:dyDescent="0.25">
      <c r="A65" s="426" t="s">
        <v>152</v>
      </c>
      <c r="B65" s="426">
        <f>B54+B60+B63</f>
        <v>156.65097255578678</v>
      </c>
      <c r="C65" s="426">
        <f t="shared" ref="C65:M65" si="21">C54+C60+C63</f>
        <v>170.37032117024714</v>
      </c>
      <c r="D65" s="426">
        <f t="shared" si="21"/>
        <v>210.19855656231931</v>
      </c>
      <c r="E65" s="426">
        <f t="shared" si="21"/>
        <v>140.41355477592475</v>
      </c>
      <c r="F65" s="426">
        <f t="shared" si="21"/>
        <v>734.84704646399018</v>
      </c>
      <c r="G65" s="426">
        <f t="shared" si="21"/>
        <v>-448.70704930977564</v>
      </c>
      <c r="H65" s="426">
        <f t="shared" si="21"/>
        <v>-3.4048397779812003</v>
      </c>
      <c r="I65" s="426">
        <f t="shared" si="21"/>
        <v>144.19312252198114</v>
      </c>
      <c r="J65" s="426">
        <f t="shared" si="21"/>
        <v>-375.72660677133638</v>
      </c>
      <c r="K65" s="426">
        <f t="shared" si="21"/>
        <v>-368.72515503375661</v>
      </c>
      <c r="L65" s="426">
        <f t="shared" si="21"/>
        <v>-369.63931905556962</v>
      </c>
      <c r="M65" s="426">
        <f t="shared" si="21"/>
        <v>-12.611323692411613</v>
      </c>
      <c r="N65" s="426">
        <f>N54+N60+N63</f>
        <v>-21.60888659976095</v>
      </c>
      <c r="Q65" s="426">
        <f t="shared" si="12"/>
        <v>140.41355477592475</v>
      </c>
      <c r="R65" s="426">
        <f t="shared" si="13"/>
        <v>-22.140719590581877</v>
      </c>
    </row>
    <row r="66" spans="1:18" outlineLevel="1" x14ac:dyDescent="0.25">
      <c r="A66" s="428"/>
      <c r="B66" s="428"/>
      <c r="C66" s="428"/>
      <c r="D66" s="428"/>
      <c r="E66" s="428"/>
      <c r="F66" s="428"/>
      <c r="G66" s="428"/>
      <c r="H66" s="428"/>
      <c r="I66" s="428"/>
      <c r="J66" s="428"/>
      <c r="K66" s="428"/>
      <c r="L66" s="428"/>
      <c r="M66" s="428"/>
      <c r="N66" s="428"/>
      <c r="Q66" s="428"/>
      <c r="R66" s="428"/>
    </row>
    <row r="67" spans="1:18" outlineLevel="1" x14ac:dyDescent="0.25">
      <c r="A67" s="428"/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Q67" s="428"/>
      <c r="R67" s="428"/>
    </row>
    <row r="68" spans="1:18" outlineLevel="1" x14ac:dyDescent="0.25">
      <c r="A68" s="428"/>
      <c r="B68" s="428"/>
      <c r="C68" s="428"/>
      <c r="D68" s="428"/>
      <c r="E68" s="428"/>
      <c r="F68" s="428"/>
      <c r="G68" s="428"/>
      <c r="H68" s="428"/>
      <c r="I68" s="428"/>
      <c r="J68" s="428"/>
      <c r="K68" s="428"/>
      <c r="L68" s="428"/>
      <c r="M68" s="428"/>
      <c r="N68" s="428"/>
      <c r="Q68" s="428"/>
      <c r="R68" s="428"/>
    </row>
    <row r="69" spans="1:18" outlineLevel="1" x14ac:dyDescent="0.25">
      <c r="A69" s="428"/>
      <c r="B69" s="42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Q69" s="428"/>
      <c r="R69" s="428"/>
    </row>
    <row r="70" spans="1:18" outlineLevel="1" x14ac:dyDescent="0.25"/>
    <row r="71" spans="1:18" outlineLevel="1" x14ac:dyDescent="0.25">
      <c r="A71" s="450" t="s">
        <v>181</v>
      </c>
      <c r="B71" s="449" t="s">
        <v>0</v>
      </c>
      <c r="C71" s="449" t="s">
        <v>1</v>
      </c>
      <c r="D71" s="449" t="s">
        <v>2</v>
      </c>
      <c r="E71" s="449" t="s">
        <v>3</v>
      </c>
      <c r="F71" s="449" t="s">
        <v>4</v>
      </c>
      <c r="G71" s="449" t="s">
        <v>5</v>
      </c>
      <c r="H71" s="449" t="s">
        <v>6</v>
      </c>
      <c r="I71" s="449" t="s">
        <v>7</v>
      </c>
      <c r="J71" s="449" t="s">
        <v>8</v>
      </c>
      <c r="K71" s="449" t="s">
        <v>9</v>
      </c>
      <c r="L71" s="449" t="s">
        <v>10</v>
      </c>
      <c r="M71" s="449" t="s">
        <v>11</v>
      </c>
      <c r="N71" s="449" t="s">
        <v>12</v>
      </c>
      <c r="Q71" s="449"/>
      <c r="R71" s="449"/>
    </row>
    <row r="72" spans="1:18" outlineLevel="1" x14ac:dyDescent="0.25">
      <c r="A72" s="442" t="str">
        <f>'Budget assumption'!A316</f>
        <v xml:space="preserve">mfg vs upload </v>
      </c>
      <c r="B72" s="442">
        <f>'Budget assumption'!B316</f>
        <v>0</v>
      </c>
      <c r="C72" s="442">
        <f>'Budget assumption'!C316</f>
        <v>0</v>
      </c>
      <c r="D72" s="442">
        <f>'Budget assumption'!D316</f>
        <v>0</v>
      </c>
      <c r="E72" s="442">
        <f>'Budget assumption'!E316</f>
        <v>0</v>
      </c>
      <c r="F72" s="442">
        <f>'Budget assumption'!F316</f>
        <v>0</v>
      </c>
      <c r="G72" s="442">
        <f>'Budget assumption'!G316</f>
        <v>0</v>
      </c>
      <c r="H72" s="442">
        <f>'Budget assumption'!H316</f>
        <v>0</v>
      </c>
      <c r="I72" s="442">
        <f>'Budget assumption'!I316</f>
        <v>0</v>
      </c>
      <c r="J72" s="442">
        <f>'Budget assumption'!J316</f>
        <v>0</v>
      </c>
      <c r="K72" s="442">
        <f>'Budget assumption'!K316</f>
        <v>0</v>
      </c>
      <c r="L72" s="442">
        <f>'Budget assumption'!L316</f>
        <v>0</v>
      </c>
      <c r="M72" s="442">
        <f>'Budget assumption'!M316</f>
        <v>0</v>
      </c>
      <c r="N72" s="451">
        <f>'Budget assumption'!N316</f>
        <v>0</v>
      </c>
      <c r="Q72" s="451">
        <f t="shared" ref="Q72:Q78" si="22">SUMPRODUCT(B72:M72,B$2:M$2)</f>
        <v>0</v>
      </c>
      <c r="R72" s="658">
        <f t="shared" ref="R72:R78" si="23">SUMPRODUCT(B72:M72,B$1:M$1)</f>
        <v>0</v>
      </c>
    </row>
    <row r="73" spans="1:18" outlineLevel="1" x14ac:dyDescent="0.25">
      <c r="A73" s="442" t="s">
        <v>43</v>
      </c>
      <c r="B73" s="442">
        <f>'Budget assumption'!B306</f>
        <v>-6.7443971410000003</v>
      </c>
      <c r="C73" s="442">
        <f>'Budget assumption'!C306</f>
        <v>-7.110674586</v>
      </c>
      <c r="D73" s="442">
        <f>'Budget assumption'!D306</f>
        <v>-7.1575233750000002</v>
      </c>
      <c r="E73" s="442">
        <f>'Budget assumption'!E306</f>
        <v>-13.784255769000001</v>
      </c>
      <c r="F73" s="442">
        <f>'Budget assumption'!F306</f>
        <v>-22.499889510000003</v>
      </c>
      <c r="G73" s="442">
        <f>'Budget assumption'!G306</f>
        <v>-58.908533430000006</v>
      </c>
      <c r="H73" s="442">
        <f>'Budget assumption'!H306</f>
        <v>-57.523254780000002</v>
      </c>
      <c r="I73" s="442">
        <f>'Budget assumption'!I306</f>
        <v>-57.204807999999993</v>
      </c>
      <c r="J73" s="442">
        <f>'Budget assumption'!J306</f>
        <v>-68.485446039999999</v>
      </c>
      <c r="K73" s="442">
        <f>'Budget assumption'!K306</f>
        <v>-63.211466780000002</v>
      </c>
      <c r="L73" s="442">
        <f>'Budget assumption'!L306</f>
        <v>-61.94707133</v>
      </c>
      <c r="M73" s="442">
        <f>'Budget assumption'!M306</f>
        <v>-60.138508710000004</v>
      </c>
      <c r="N73" s="451">
        <f>'Budget assumption'!N306</f>
        <v>-484</v>
      </c>
      <c r="Q73" s="451">
        <f t="shared" si="22"/>
        <v>-13.784255769000001</v>
      </c>
      <c r="R73" s="658">
        <f t="shared" si="23"/>
        <v>-484.71582945099999</v>
      </c>
    </row>
    <row r="74" spans="1:18" outlineLevel="1" x14ac:dyDescent="0.25">
      <c r="A74" s="442" t="s">
        <v>182</v>
      </c>
      <c r="B74" s="442">
        <f>'Budget assumption'!B308</f>
        <v>-67.734713934301453</v>
      </c>
      <c r="C74" s="442">
        <f>'Budget assumption'!C308</f>
        <v>-136.59810400625676</v>
      </c>
      <c r="D74" s="442">
        <f>'Budget assumption'!D308</f>
        <v>-106.87028077062521</v>
      </c>
      <c r="E74" s="442">
        <f>'Budget assumption'!E308</f>
        <v>-47.120573765839055</v>
      </c>
      <c r="F74" s="442">
        <f>'Budget assumption'!F308</f>
        <v>-70.370517793427254</v>
      </c>
      <c r="G74" s="442">
        <f>'Budget assumption'!G308</f>
        <v>-71.974600624891949</v>
      </c>
      <c r="H74" s="442">
        <f>'Budget assumption'!H308</f>
        <v>-11.001751376680557</v>
      </c>
      <c r="I74" s="442">
        <f>'Budget assumption'!I308</f>
        <v>-7.4535706962784793</v>
      </c>
      <c r="J74" s="442">
        <f>'Budget assumption'!J308</f>
        <v>-49.424680182121804</v>
      </c>
      <c r="K74" s="442">
        <f>'Budget assumption'!K308</f>
        <v>-40.99932315198992</v>
      </c>
      <c r="L74" s="442">
        <f>'Budget assumption'!L308</f>
        <v>-42.471503218980303</v>
      </c>
      <c r="M74" s="442">
        <f>'Budget assumption'!M308</f>
        <v>45.11883909940903</v>
      </c>
      <c r="N74" s="451">
        <f>'Budget assumption'!N308</f>
        <v>-605.66</v>
      </c>
      <c r="Q74" s="451">
        <f t="shared" si="22"/>
        <v>-47.120573765839055</v>
      </c>
      <c r="R74" s="658">
        <f t="shared" si="23"/>
        <v>-606.90078042198365</v>
      </c>
    </row>
    <row r="75" spans="1:18" outlineLevel="1" x14ac:dyDescent="0.25">
      <c r="A75" s="442" t="s">
        <v>426</v>
      </c>
      <c r="B75" s="442">
        <f>'Budget assumption'!B307</f>
        <v>107.45658513410379</v>
      </c>
      <c r="C75" s="442">
        <f>'Budget assumption'!C307</f>
        <v>105.73560126551953</v>
      </c>
      <c r="D75" s="442">
        <f>'Budget assumption'!D307</f>
        <v>151.32286221096018</v>
      </c>
      <c r="E75" s="442">
        <f>'Budget assumption'!E307</f>
        <v>176.96096088893012</v>
      </c>
      <c r="F75" s="442">
        <f>'Budget assumption'!F307</f>
        <v>157.88250481952844</v>
      </c>
      <c r="G75" s="442">
        <f>'Budget assumption'!G307</f>
        <v>72.777114255238189</v>
      </c>
      <c r="H75" s="442">
        <f>'Budget assumption'!H307</f>
        <v>-34.077079016971233</v>
      </c>
      <c r="I75" s="442">
        <f>'Budget assumption'!I307</f>
        <v>-54.265054139728022</v>
      </c>
      <c r="J75" s="442">
        <f>'Budget assumption'!J307</f>
        <v>106.29454896090741</v>
      </c>
      <c r="K75" s="442">
        <f>'Budget assumption'!K307</f>
        <v>119.42666440835524</v>
      </c>
      <c r="L75" s="442">
        <f>'Budget assumption'!L307</f>
        <v>31.320630022374189</v>
      </c>
      <c r="M75" s="442">
        <f>'Budget assumption'!M307</f>
        <v>128.64055147318282</v>
      </c>
      <c r="N75" s="451">
        <f>'Budget assumption'!N307</f>
        <v>1069.4758902824008</v>
      </c>
      <c r="Q75" s="451">
        <f t="shared" si="22"/>
        <v>176.96096088893012</v>
      </c>
      <c r="R75" s="658">
        <f t="shared" si="23"/>
        <v>1069.4758902824005</v>
      </c>
    </row>
    <row r="76" spans="1:18" outlineLevel="1" x14ac:dyDescent="0.25">
      <c r="A76" s="442" t="s">
        <v>66</v>
      </c>
      <c r="B76" s="442">
        <f>'Budget assumption'!B310</f>
        <v>-105.62146306377917</v>
      </c>
      <c r="C76" s="442">
        <f>'Budget assumption'!C310</f>
        <v>-105.21914066358104</v>
      </c>
      <c r="D76" s="442">
        <f>'Budget assumption'!D310</f>
        <v>-105.24280668712211</v>
      </c>
      <c r="E76" s="442">
        <f>'Budget assumption'!E310</f>
        <v>5.9165058852665906</v>
      </c>
      <c r="F76" s="442">
        <f>'Budget assumption'!F310</f>
        <v>-108.57971600641248</v>
      </c>
      <c r="G76" s="442">
        <f>'Budget assumption'!G310</f>
        <v>431.54993927134512</v>
      </c>
      <c r="H76" s="442">
        <f>'Budget assumption'!H310</f>
        <v>371.58023561828293</v>
      </c>
      <c r="I76" s="442">
        <f>'Budget assumption'!I310</f>
        <v>310.02490838796928</v>
      </c>
      <c r="J76" s="442">
        <f>'Budget assumption'!J310</f>
        <v>420.49790627766714</v>
      </c>
      <c r="K76" s="442">
        <f>'Budget assumption'!K310</f>
        <v>543.18257231455516</v>
      </c>
      <c r="L76" s="442">
        <f>'Budget assumption'!L310</f>
        <v>410.41618024917284</v>
      </c>
      <c r="M76" s="442">
        <f>'Budget assumption'!M310</f>
        <v>517.93092519623724</v>
      </c>
      <c r="N76" s="451">
        <f>'Budget assumption'!N310</f>
        <v>2586.4360467796018</v>
      </c>
      <c r="Q76" s="451">
        <f t="shared" si="22"/>
        <v>5.9165058852665906</v>
      </c>
      <c r="R76" s="658">
        <f t="shared" si="23"/>
        <v>2586.4360467796018</v>
      </c>
    </row>
    <row r="77" spans="1:18" outlineLevel="1" x14ac:dyDescent="0.25">
      <c r="A77" s="442" t="s">
        <v>435</v>
      </c>
      <c r="B77" s="442">
        <f>'Budget assumption'!B309</f>
        <v>123.67408718677302</v>
      </c>
      <c r="C77" s="442">
        <f>'Budget assumption'!C309</f>
        <v>208.34408718677298</v>
      </c>
      <c r="D77" s="442">
        <f>'Budget assumption'!D309</f>
        <v>172.90408718677293</v>
      </c>
      <c r="E77" s="442">
        <f>'Budget assumption'!E309</f>
        <v>24.360041546111656</v>
      </c>
      <c r="F77" s="442">
        <f>'Budget assumption'!F309</f>
        <v>669.833361030741</v>
      </c>
      <c r="G77" s="442">
        <f>'Budget assumption'!G309</f>
        <v>-390.60881013360284</v>
      </c>
      <c r="H77" s="442">
        <f>'Budget assumption'!H309</f>
        <v>99.197114892089942</v>
      </c>
      <c r="I77" s="442">
        <f>'Budget assumption'!I309</f>
        <v>263.12548490236702</v>
      </c>
      <c r="J77" s="442">
        <f>'Budget assumption'!J309</f>
        <v>-364.11881013360289</v>
      </c>
      <c r="K77" s="442">
        <f>'Budget assumption'!K309</f>
        <v>-383.94881013360282</v>
      </c>
      <c r="L77" s="442">
        <f>'Budget assumption'!L309</f>
        <v>-296.52962512846426</v>
      </c>
      <c r="M77" s="442">
        <f>'Budget assumption'!M309</f>
        <v>-126.23220840235432</v>
      </c>
      <c r="N77" s="451">
        <f>'Budget assumption'!N309</f>
        <v>-1.956609872981204</v>
      </c>
      <c r="Q77" s="442">
        <f t="shared" si="22"/>
        <v>24.360041546111656</v>
      </c>
      <c r="R77" s="658">
        <f t="shared" si="23"/>
        <v>1.6626700016786344E-12</v>
      </c>
    </row>
    <row r="78" spans="1:18" outlineLevel="1" x14ac:dyDescent="0.25">
      <c r="A78" s="450" t="s">
        <v>183</v>
      </c>
      <c r="B78" s="450">
        <f>SUM(B72:B77)</f>
        <v>51.030098181796177</v>
      </c>
      <c r="C78" s="450">
        <f t="shared" ref="C78:N78" si="24">SUM(C72:C77)</f>
        <v>65.151769196454723</v>
      </c>
      <c r="D78" s="450">
        <f t="shared" si="24"/>
        <v>104.95633856498578</v>
      </c>
      <c r="E78" s="450">
        <f t="shared" si="24"/>
        <v>146.33267878546931</v>
      </c>
      <c r="F78" s="450">
        <f t="shared" si="24"/>
        <v>626.26574254042976</v>
      </c>
      <c r="G78" s="450">
        <f t="shared" si="24"/>
        <v>-17.1648906619115</v>
      </c>
      <c r="H78" s="450">
        <f t="shared" si="24"/>
        <v>368.17526533672105</v>
      </c>
      <c r="I78" s="450">
        <f t="shared" si="24"/>
        <v>454.2269604543298</v>
      </c>
      <c r="J78" s="450">
        <f t="shared" si="24"/>
        <v>44.763518882849837</v>
      </c>
      <c r="K78" s="450">
        <f t="shared" si="24"/>
        <v>174.44963665731768</v>
      </c>
      <c r="L78" s="450">
        <f t="shared" si="24"/>
        <v>40.788610594102465</v>
      </c>
      <c r="M78" s="450">
        <f t="shared" si="24"/>
        <v>505.3195986564748</v>
      </c>
      <c r="N78" s="450">
        <f t="shared" si="24"/>
        <v>2564.2953271890219</v>
      </c>
      <c r="Q78" s="450">
        <f t="shared" si="22"/>
        <v>146.33267878546931</v>
      </c>
      <c r="R78" s="450">
        <f t="shared" si="23"/>
        <v>2564.2953271890196</v>
      </c>
    </row>
    <row r="79" spans="1:18" outlineLevel="1" x14ac:dyDescent="0.25"/>
    <row r="80" spans="1:18" x14ac:dyDescent="0.25">
      <c r="B80" s="574"/>
      <c r="C80" s="574"/>
      <c r="D80" s="574"/>
      <c r="E80" s="574"/>
    </row>
    <row r="81" spans="1:18" x14ac:dyDescent="0.25">
      <c r="B81" s="452">
        <v>3</v>
      </c>
      <c r="C81" s="452">
        <v>4</v>
      </c>
      <c r="D81" s="452">
        <v>5</v>
      </c>
      <c r="E81" s="452">
        <v>6</v>
      </c>
      <c r="F81" s="452">
        <v>7</v>
      </c>
      <c r="G81" s="452">
        <v>8</v>
      </c>
      <c r="H81" s="452">
        <v>9</v>
      </c>
      <c r="I81" s="452">
        <v>10</v>
      </c>
      <c r="J81" s="452">
        <v>11</v>
      </c>
      <c r="K81" s="452">
        <v>12</v>
      </c>
      <c r="L81" s="452">
        <v>13</v>
      </c>
      <c r="M81" s="452">
        <v>14</v>
      </c>
    </row>
    <row r="82" spans="1:18" x14ac:dyDescent="0.25">
      <c r="A82" s="453" t="s">
        <v>159</v>
      </c>
      <c r="B82" s="621">
        <f>+VOLUME!C7</f>
        <v>47357</v>
      </c>
      <c r="C82" s="621">
        <f>+VOLUME!D7</f>
        <v>42593.000999999997</v>
      </c>
      <c r="D82" s="621">
        <f>+VOLUME!E7</f>
        <v>23002.001</v>
      </c>
      <c r="E82" s="453">
        <f>+VOLUME!F7</f>
        <v>44096</v>
      </c>
      <c r="F82" s="453">
        <f>+VOLUME!G7</f>
        <v>36000</v>
      </c>
      <c r="G82" s="453">
        <f>+VOLUME!H7</f>
        <v>54500.000999999997</v>
      </c>
      <c r="H82" s="453">
        <f>+VOLUME!I7</f>
        <v>41500</v>
      </c>
      <c r="I82" s="453">
        <f>+VOLUME!J7</f>
        <v>39000.000999999997</v>
      </c>
      <c r="J82" s="453">
        <f>+VOLUME!K7</f>
        <v>54085</v>
      </c>
      <c r="K82" s="453">
        <f>+VOLUME!L7</f>
        <v>49968</v>
      </c>
      <c r="L82" s="453">
        <f>+VOLUME!M7</f>
        <v>51936</v>
      </c>
      <c r="M82" s="453">
        <f>+VOLUME!N7</f>
        <v>42190</v>
      </c>
      <c r="N82" s="453">
        <f>+VOLUME!O7</f>
        <v>526227.00399999996</v>
      </c>
      <c r="Q82" s="454">
        <f>SUMPRODUCT(B82:M82,B$2:M$2)</f>
        <v>44096</v>
      </c>
      <c r="R82" s="454">
        <f>SUMPRODUCT(B82:M82,B$1:M$1)</f>
        <v>526227.00399999996</v>
      </c>
    </row>
    <row r="83" spans="1:18" x14ac:dyDescent="0.25">
      <c r="A83" s="455" t="s">
        <v>172</v>
      </c>
      <c r="B83" s="456" t="s">
        <v>0</v>
      </c>
      <c r="C83" s="456" t="s">
        <v>1</v>
      </c>
      <c r="D83" s="456" t="s">
        <v>2</v>
      </c>
      <c r="E83" s="456" t="s">
        <v>3</v>
      </c>
      <c r="F83" s="456" t="s">
        <v>4</v>
      </c>
      <c r="G83" s="456" t="s">
        <v>5</v>
      </c>
      <c r="H83" s="456" t="s">
        <v>6</v>
      </c>
      <c r="I83" s="456" t="s">
        <v>7</v>
      </c>
      <c r="J83" s="456" t="s">
        <v>8</v>
      </c>
      <c r="K83" s="456" t="s">
        <v>9</v>
      </c>
      <c r="L83" s="456" t="s">
        <v>10</v>
      </c>
      <c r="M83" s="456" t="s">
        <v>11</v>
      </c>
      <c r="N83" s="456" t="s">
        <v>12</v>
      </c>
      <c r="Q83" s="449" t="s">
        <v>180</v>
      </c>
      <c r="R83" s="449" t="s">
        <v>94</v>
      </c>
    </row>
    <row r="84" spans="1:18" x14ac:dyDescent="0.25">
      <c r="A84" s="422" t="s">
        <v>158</v>
      </c>
      <c r="B84" s="422">
        <v>536.4457998245615</v>
      </c>
      <c r="C84" s="422">
        <v>482.03677614035087</v>
      </c>
      <c r="D84" s="422">
        <v>276.12312350877193</v>
      </c>
      <c r="E84" s="422">
        <v>465.28736087719386</v>
      </c>
      <c r="F84" s="422">
        <v>409.61811389700006</v>
      </c>
      <c r="G84" s="422">
        <v>620.11632269457266</v>
      </c>
      <c r="H84" s="422">
        <v>472.19865907570835</v>
      </c>
      <c r="I84" s="422">
        <v>443.7529681000309</v>
      </c>
      <c r="J84" s="422">
        <v>615.3943247255346</v>
      </c>
      <c r="K84" s="422">
        <v>568.54994208903599</v>
      </c>
      <c r="L84" s="422">
        <v>590.94239898207206</v>
      </c>
      <c r="M84" s="422">
        <v>480.04967292540084</v>
      </c>
      <c r="N84" s="422">
        <f>SUM(B84:M84)</f>
        <v>5960.5154628402342</v>
      </c>
      <c r="Q84" s="422">
        <f t="shared" ref="Q84:Q110" si="25">SUMPRODUCT(B84:M84,B$2:M$2)</f>
        <v>465.28736087719386</v>
      </c>
      <c r="R84" s="422">
        <f t="shared" ref="R84:R110" si="26">SUMPRODUCT(B84:M84,B$1:M$1)</f>
        <v>5960.5154628402342</v>
      </c>
    </row>
    <row r="85" spans="1:18" x14ac:dyDescent="0.25">
      <c r="A85" s="422" t="s">
        <v>75</v>
      </c>
      <c r="B85" s="422">
        <v>35.686211052631577</v>
      </c>
      <c r="C85" s="422">
        <v>32.002356315789477</v>
      </c>
      <c r="D85" s="422">
        <v>18.351187368421055</v>
      </c>
      <c r="E85" s="422">
        <v>30.9152736842106</v>
      </c>
      <c r="F85" s="422">
        <v>27.764340193174952</v>
      </c>
      <c r="G85" s="422">
        <v>42.032126897010421</v>
      </c>
      <c r="H85" s="422">
        <v>32.006114389354458</v>
      </c>
      <c r="I85" s="422">
        <v>30.078035980504538</v>
      </c>
      <c r="J85" s="422">
        <v>41.712064981885213</v>
      </c>
      <c r="K85" s="422">
        <v>38.536904188126833</v>
      </c>
      <c r="L85" s="422">
        <v>40.054688118687068</v>
      </c>
      <c r="M85" s="422">
        <v>32.538264243056986</v>
      </c>
      <c r="N85" s="422">
        <f t="shared" ref="N85:N94" si="27">SUM(B85:M85)</f>
        <v>401.67756741285308</v>
      </c>
      <c r="Q85" s="422">
        <f t="shared" si="25"/>
        <v>30.9152736842106</v>
      </c>
      <c r="R85" s="422">
        <f t="shared" si="26"/>
        <v>401.67756741285308</v>
      </c>
    </row>
    <row r="86" spans="1:18" x14ac:dyDescent="0.25">
      <c r="A86" s="423" t="s">
        <v>196</v>
      </c>
      <c r="B86" s="423">
        <v>15.171200000000001</v>
      </c>
      <c r="C86" s="422">
        <v>13.746192631578948</v>
      </c>
      <c r="D86" s="422">
        <v>7.8790031578947364</v>
      </c>
      <c r="E86" s="422">
        <v>13.272975789473675</v>
      </c>
      <c r="F86" s="422">
        <v>12.653676000000001</v>
      </c>
      <c r="G86" s="422">
        <v>19.156259851491001</v>
      </c>
      <c r="H86" s="422">
        <v>14.586876500000002</v>
      </c>
      <c r="I86" s="422">
        <v>13.708149351491002</v>
      </c>
      <c r="J86" s="422">
        <v>19.010390735000005</v>
      </c>
      <c r="K86" s="422">
        <v>17.563302288000003</v>
      </c>
      <c r="L86" s="422">
        <v>18.255036576000002</v>
      </c>
      <c r="M86" s="422">
        <v>14.829405290000002</v>
      </c>
      <c r="N86" s="423">
        <f t="shared" si="27"/>
        <v>179.83246817092942</v>
      </c>
      <c r="Q86" s="423">
        <f t="shared" si="25"/>
        <v>13.272975789473675</v>
      </c>
      <c r="R86" s="423">
        <f t="shared" si="26"/>
        <v>179.83246817092942</v>
      </c>
    </row>
    <row r="87" spans="1:18" ht="12.6" thickBot="1" x14ac:dyDescent="0.3">
      <c r="A87" s="424" t="s">
        <v>197</v>
      </c>
      <c r="B87" s="424">
        <f>SUM(B84:B86)</f>
        <v>587.30321087719312</v>
      </c>
      <c r="C87" s="424">
        <f t="shared" ref="C87:M87" si="28">SUM(C84:C86)</f>
        <v>527.78532508771934</v>
      </c>
      <c r="D87" s="424">
        <f t="shared" si="28"/>
        <v>302.35331403508769</v>
      </c>
      <c r="E87" s="424">
        <f t="shared" si="28"/>
        <v>509.47561035087813</v>
      </c>
      <c r="F87" s="424">
        <f t="shared" si="28"/>
        <v>450.03613009017505</v>
      </c>
      <c r="G87" s="424">
        <f t="shared" si="28"/>
        <v>681.3047094430741</v>
      </c>
      <c r="H87" s="424">
        <f t="shared" si="28"/>
        <v>518.79164996506279</v>
      </c>
      <c r="I87" s="424">
        <f t="shared" si="28"/>
        <v>487.53915343202641</v>
      </c>
      <c r="J87" s="424">
        <f t="shared" si="28"/>
        <v>676.11678044241978</v>
      </c>
      <c r="K87" s="424">
        <f t="shared" si="28"/>
        <v>624.65014856516291</v>
      </c>
      <c r="L87" s="424">
        <f t="shared" si="28"/>
        <v>649.25212367675908</v>
      </c>
      <c r="M87" s="424">
        <f t="shared" si="28"/>
        <v>527.41734245845782</v>
      </c>
      <c r="N87" s="424">
        <f t="shared" si="27"/>
        <v>6542.0254984240155</v>
      </c>
      <c r="Q87" s="424">
        <f t="shared" si="25"/>
        <v>509.47561035087813</v>
      </c>
      <c r="R87" s="424">
        <f t="shared" si="26"/>
        <v>6542.0254984240155</v>
      </c>
    </row>
    <row r="88" spans="1:18" x14ac:dyDescent="0.25">
      <c r="A88" s="425" t="s">
        <v>80</v>
      </c>
      <c r="B88" s="425">
        <v>212.14049263157892</v>
      </c>
      <c r="C88" s="425">
        <v>190.5489038596491</v>
      </c>
      <c r="D88" s="425">
        <v>109.11421649122808</v>
      </c>
      <c r="E88" s="425">
        <v>184.0365763157898</v>
      </c>
      <c r="F88" s="422">
        <v>160.66319546915295</v>
      </c>
      <c r="G88" s="422">
        <v>243.22623093700085</v>
      </c>
      <c r="H88" s="422">
        <v>185.20896144360688</v>
      </c>
      <c r="I88" s="422">
        <v>174.05179955444891</v>
      </c>
      <c r="J88" s="422">
        <v>241.37413685969824</v>
      </c>
      <c r="K88" s="422">
        <v>223.00051531118427</v>
      </c>
      <c r="L88" s="422">
        <v>231.78343666349801</v>
      </c>
      <c r="M88" s="422">
        <v>188.28833935676565</v>
      </c>
      <c r="N88" s="425">
        <f t="shared" si="27"/>
        <v>2343.4368048936017</v>
      </c>
      <c r="Q88" s="425">
        <f t="shared" si="25"/>
        <v>184.0365763157898</v>
      </c>
      <c r="R88" s="425">
        <f t="shared" si="26"/>
        <v>2343.4368048936017</v>
      </c>
    </row>
    <row r="89" spans="1:18" x14ac:dyDescent="0.25">
      <c r="A89" s="423" t="s">
        <v>81</v>
      </c>
      <c r="B89" s="423">
        <v>74.965892280701766</v>
      </c>
      <c r="C89" s="425">
        <v>67.454868421052623</v>
      </c>
      <c r="D89" s="425">
        <v>38.698585964912283</v>
      </c>
      <c r="E89" s="425">
        <v>65.067655263157903</v>
      </c>
      <c r="F89" s="422">
        <v>58.114786797190021</v>
      </c>
      <c r="G89" s="422">
        <v>87.979331626712295</v>
      </c>
      <c r="H89" s="422">
        <v>66.993434780094049</v>
      </c>
      <c r="I89" s="422">
        <v>62.957687311255484</v>
      </c>
      <c r="J89" s="422">
        <v>87.309395664611728</v>
      </c>
      <c r="K89" s="422">
        <v>80.663324074499741</v>
      </c>
      <c r="L89" s="422">
        <v>83.840265752746149</v>
      </c>
      <c r="M89" s="422">
        <v>68.107301527040192</v>
      </c>
      <c r="N89" s="423">
        <f t="shared" si="27"/>
        <v>842.15252946397436</v>
      </c>
      <c r="Q89" s="423">
        <f t="shared" si="25"/>
        <v>65.067655263157903</v>
      </c>
      <c r="R89" s="423">
        <f t="shared" si="26"/>
        <v>842.15252946397436</v>
      </c>
    </row>
    <row r="90" spans="1:18" x14ac:dyDescent="0.25">
      <c r="A90" s="423" t="s">
        <v>82</v>
      </c>
      <c r="B90" s="423">
        <v>145.37436859649122</v>
      </c>
      <c r="C90" s="425">
        <v>130.62198842105263</v>
      </c>
      <c r="D90" s="425">
        <v>74.809422982456141</v>
      </c>
      <c r="E90" s="425">
        <v>126.16662157894729</v>
      </c>
      <c r="F90" s="422">
        <v>112.19818926281791</v>
      </c>
      <c r="G90" s="422">
        <v>169.85559519504901</v>
      </c>
      <c r="H90" s="422">
        <v>129.33957928908174</v>
      </c>
      <c r="I90" s="422">
        <v>121.54804148466908</v>
      </c>
      <c r="J90" s="422">
        <v>168.56219628554183</v>
      </c>
      <c r="K90" s="422">
        <v>155.73108669679127</v>
      </c>
      <c r="L90" s="422">
        <v>161.86458770982529</v>
      </c>
      <c r="M90" s="422">
        <v>131.49004458328574</v>
      </c>
      <c r="N90" s="423">
        <f t="shared" si="27"/>
        <v>1627.5617220860088</v>
      </c>
      <c r="Q90" s="423">
        <f t="shared" si="25"/>
        <v>126.16662157894729</v>
      </c>
      <c r="R90" s="423">
        <f t="shared" si="26"/>
        <v>1627.5617220860088</v>
      </c>
    </row>
    <row r="91" spans="1:18" x14ac:dyDescent="0.25">
      <c r="A91" s="423" t="s">
        <v>83</v>
      </c>
      <c r="B91" s="423">
        <v>7.9977999999999989</v>
      </c>
      <c r="C91" s="425">
        <v>7.2339699999999993</v>
      </c>
      <c r="D91" s="425">
        <v>4.0822500000000002</v>
      </c>
      <c r="E91" s="425">
        <v>6.9506099999999975</v>
      </c>
      <c r="F91" s="422">
        <v>7.1379526657580836</v>
      </c>
      <c r="G91" s="422">
        <v>10.80606742838245</v>
      </c>
      <c r="H91" s="422">
        <v>8.2284732119155688</v>
      </c>
      <c r="I91" s="422">
        <v>7.7327822528477199</v>
      </c>
      <c r="J91" s="422">
        <v>10.723782497986832</v>
      </c>
      <c r="K91" s="422">
        <v>9.9074783000722206</v>
      </c>
      <c r="L91" s="422">
        <v>10.297686379133662</v>
      </c>
      <c r="M91" s="422">
        <v>8.365283971342599</v>
      </c>
      <c r="N91" s="423">
        <f t="shared" si="27"/>
        <v>99.464136707439138</v>
      </c>
      <c r="Q91" s="423">
        <f t="shared" si="25"/>
        <v>6.9506099999999975</v>
      </c>
      <c r="R91" s="423">
        <f t="shared" si="26"/>
        <v>99.464136707439138</v>
      </c>
    </row>
    <row r="92" spans="1:18" x14ac:dyDescent="0.25">
      <c r="A92" s="423" t="s">
        <v>84</v>
      </c>
      <c r="B92" s="423">
        <v>37.110271052631582</v>
      </c>
      <c r="C92" s="425">
        <v>33.289206315789471</v>
      </c>
      <c r="D92" s="425">
        <v>19.053177368421053</v>
      </c>
      <c r="E92" s="425">
        <v>32.152643684210531</v>
      </c>
      <c r="F92" s="422">
        <v>28.690085138756434</v>
      </c>
      <c r="G92" s="422">
        <v>43.433601909786404</v>
      </c>
      <c r="H92" s="422">
        <v>33.073292590510889</v>
      </c>
      <c r="I92" s="422">
        <v>31.080926363932942</v>
      </c>
      <c r="J92" s="422">
        <v>43.102868186934494</v>
      </c>
      <c r="K92" s="422">
        <v>39.821838172593935</v>
      </c>
      <c r="L92" s="422">
        <v>41.390229493512614</v>
      </c>
      <c r="M92" s="422">
        <v>33.623185889003722</v>
      </c>
      <c r="N92" s="423">
        <f t="shared" si="27"/>
        <v>415.82132616608396</v>
      </c>
      <c r="Q92" s="423">
        <f t="shared" si="25"/>
        <v>32.152643684210531</v>
      </c>
      <c r="R92" s="423">
        <f t="shared" si="26"/>
        <v>415.82132616608396</v>
      </c>
    </row>
    <row r="93" spans="1:18" x14ac:dyDescent="0.25">
      <c r="A93" s="423" t="s">
        <v>86</v>
      </c>
      <c r="B93" s="423">
        <v>489.9565129824561</v>
      </c>
      <c r="C93" s="425">
        <v>441.20390842105269</v>
      </c>
      <c r="D93" s="425">
        <v>246.6326243859649</v>
      </c>
      <c r="E93" s="425">
        <v>424.54616210526245</v>
      </c>
      <c r="F93" s="422">
        <v>367.56242861231692</v>
      </c>
      <c r="G93" s="422">
        <v>556.4486868592694</v>
      </c>
      <c r="H93" s="422">
        <v>423.71779965030976</v>
      </c>
      <c r="I93" s="422">
        <v>398.19264120674404</v>
      </c>
      <c r="J93" s="422">
        <v>552.21149865269899</v>
      </c>
      <c r="K93" s="422">
        <v>510.17665091389586</v>
      </c>
      <c r="L93" s="422">
        <v>530.27006367803585</v>
      </c>
      <c r="M93" s="422">
        <v>430.76274619871248</v>
      </c>
      <c r="N93" s="423">
        <f t="shared" si="27"/>
        <v>5371.6817236667184</v>
      </c>
      <c r="Q93" s="423">
        <f t="shared" si="25"/>
        <v>424.54616210526245</v>
      </c>
      <c r="R93" s="423">
        <f t="shared" si="26"/>
        <v>5371.6817236667184</v>
      </c>
    </row>
    <row r="94" spans="1:18" ht="12.6" thickBot="1" x14ac:dyDescent="0.3">
      <c r="A94" s="424" t="s">
        <v>198</v>
      </c>
      <c r="B94" s="424">
        <f>SUM(B88:B93)</f>
        <v>967.54533754385966</v>
      </c>
      <c r="C94" s="424">
        <f t="shared" ref="C94:M94" si="29">SUM(C88:C93)</f>
        <v>870.35284543859643</v>
      </c>
      <c r="D94" s="424">
        <f t="shared" si="29"/>
        <v>492.39027719298247</v>
      </c>
      <c r="E94" s="424">
        <f t="shared" si="29"/>
        <v>838.92026894736796</v>
      </c>
      <c r="F94" s="424">
        <f t="shared" si="29"/>
        <v>734.36663794599235</v>
      </c>
      <c r="G94" s="424">
        <f t="shared" si="29"/>
        <v>1111.7495139562004</v>
      </c>
      <c r="H94" s="424">
        <f t="shared" si="29"/>
        <v>846.56154096551882</v>
      </c>
      <c r="I94" s="424">
        <f t="shared" si="29"/>
        <v>795.56387817389805</v>
      </c>
      <c r="J94" s="424">
        <f t="shared" si="29"/>
        <v>1103.283878147472</v>
      </c>
      <c r="K94" s="424">
        <f t="shared" si="29"/>
        <v>1019.3008934690373</v>
      </c>
      <c r="L94" s="424">
        <f t="shared" si="29"/>
        <v>1059.4462696767516</v>
      </c>
      <c r="M94" s="424">
        <f t="shared" si="29"/>
        <v>860.63690152615038</v>
      </c>
      <c r="N94" s="424">
        <f t="shared" si="27"/>
        <v>10700.118242983826</v>
      </c>
      <c r="Q94" s="424">
        <f t="shared" si="25"/>
        <v>838.92026894736796</v>
      </c>
      <c r="R94" s="424">
        <f t="shared" si="26"/>
        <v>10700.118242983826</v>
      </c>
    </row>
    <row r="95" spans="1:18" x14ac:dyDescent="0.25">
      <c r="A95" s="426" t="s">
        <v>88</v>
      </c>
      <c r="B95" s="426">
        <f>B87+B94</f>
        <v>1554.8485484210528</v>
      </c>
      <c r="C95" s="426">
        <f t="shared" ref="C95:N95" si="30">C87+C94</f>
        <v>1398.1381705263157</v>
      </c>
      <c r="D95" s="426">
        <f t="shared" si="30"/>
        <v>794.74359122807016</v>
      </c>
      <c r="E95" s="426">
        <f t="shared" si="30"/>
        <v>1348.3958792982462</v>
      </c>
      <c r="F95" s="426">
        <f t="shared" si="30"/>
        <v>1184.4027680361673</v>
      </c>
      <c r="G95" s="426">
        <f t="shared" si="30"/>
        <v>1793.0542233992746</v>
      </c>
      <c r="H95" s="426">
        <f t="shared" si="30"/>
        <v>1365.3531909305816</v>
      </c>
      <c r="I95" s="426">
        <f t="shared" si="30"/>
        <v>1283.1030316059246</v>
      </c>
      <c r="J95" s="426">
        <f t="shared" si="30"/>
        <v>1779.4006585898919</v>
      </c>
      <c r="K95" s="426">
        <f t="shared" si="30"/>
        <v>1643.9510420342003</v>
      </c>
      <c r="L95" s="426">
        <f t="shared" si="30"/>
        <v>1708.6983933535107</v>
      </c>
      <c r="M95" s="426">
        <f t="shared" si="30"/>
        <v>1388.0542439846081</v>
      </c>
      <c r="N95" s="426">
        <f t="shared" si="30"/>
        <v>17242.143741407843</v>
      </c>
      <c r="Q95" s="426">
        <f t="shared" si="25"/>
        <v>1348.3958792982462</v>
      </c>
      <c r="R95" s="426">
        <f t="shared" si="26"/>
        <v>17242.143741407843</v>
      </c>
    </row>
    <row r="96" spans="1:18" x14ac:dyDescent="0.25">
      <c r="A96" s="423" t="s">
        <v>89</v>
      </c>
      <c r="B96" s="423"/>
      <c r="C96" s="423"/>
      <c r="D96" s="423"/>
      <c r="E96" s="423"/>
      <c r="F96" s="423"/>
      <c r="G96" s="423"/>
      <c r="H96" s="423"/>
      <c r="I96" s="423"/>
      <c r="J96" s="423"/>
      <c r="K96" s="423"/>
      <c r="L96" s="423"/>
      <c r="M96" s="423"/>
      <c r="N96" s="423"/>
      <c r="Q96" s="423">
        <f t="shared" si="25"/>
        <v>0</v>
      </c>
      <c r="R96" s="423">
        <f t="shared" si="26"/>
        <v>0</v>
      </c>
    </row>
    <row r="97" spans="1:18" x14ac:dyDescent="0.25">
      <c r="A97" s="426" t="s">
        <v>90</v>
      </c>
      <c r="B97" s="426"/>
      <c r="C97" s="426"/>
      <c r="D97" s="426"/>
      <c r="E97" s="426"/>
      <c r="F97" s="426"/>
      <c r="G97" s="426"/>
      <c r="H97" s="426"/>
      <c r="I97" s="426"/>
      <c r="J97" s="426"/>
      <c r="K97" s="426"/>
      <c r="L97" s="426"/>
      <c r="M97" s="426"/>
      <c r="N97" s="426"/>
      <c r="Q97" s="426">
        <f t="shared" si="25"/>
        <v>0</v>
      </c>
      <c r="R97" s="426">
        <f t="shared" si="26"/>
        <v>0</v>
      </c>
    </row>
    <row r="98" spans="1:18" x14ac:dyDescent="0.25">
      <c r="A98" s="423" t="s">
        <v>91</v>
      </c>
      <c r="B98" s="423"/>
      <c r="C98" s="423"/>
      <c r="D98" s="423"/>
      <c r="E98" s="423"/>
      <c r="F98" s="423"/>
      <c r="G98" s="423"/>
      <c r="H98" s="423"/>
      <c r="I98" s="423"/>
      <c r="J98" s="423"/>
      <c r="K98" s="423"/>
      <c r="L98" s="423"/>
      <c r="M98" s="423"/>
      <c r="N98" s="423"/>
      <c r="Q98" s="423">
        <f t="shared" si="25"/>
        <v>0</v>
      </c>
      <c r="R98" s="423">
        <f t="shared" si="26"/>
        <v>0</v>
      </c>
    </row>
    <row r="99" spans="1:18" s="457" customFormat="1" x14ac:dyDescent="0.25">
      <c r="A99" s="426" t="s">
        <v>92</v>
      </c>
      <c r="B99" s="426"/>
      <c r="C99" s="426"/>
      <c r="D99" s="426"/>
      <c r="E99" s="426"/>
      <c r="F99" s="426"/>
      <c r="G99" s="426"/>
      <c r="H99" s="426"/>
      <c r="I99" s="426"/>
      <c r="J99" s="426"/>
      <c r="K99" s="426"/>
      <c r="L99" s="426"/>
      <c r="M99" s="426"/>
      <c r="N99" s="426"/>
      <c r="O99" s="442"/>
      <c r="Q99" s="426">
        <f t="shared" si="25"/>
        <v>0</v>
      </c>
      <c r="R99" s="426">
        <f t="shared" si="26"/>
        <v>0</v>
      </c>
    </row>
    <row r="100" spans="1:18" s="457" customFormat="1" x14ac:dyDescent="0.25">
      <c r="A100" s="423" t="s">
        <v>76</v>
      </c>
      <c r="B100" s="423">
        <v>22.8328149122807</v>
      </c>
      <c r="C100" s="423">
        <v>20.516916140350876</v>
      </c>
      <c r="D100" s="423">
        <v>11.691480877192983</v>
      </c>
      <c r="E100" s="423">
        <v>19.811557894736829</v>
      </c>
      <c r="F100" s="422">
        <v>18.016199999999998</v>
      </c>
      <c r="G100" s="422">
        <v>27.274525500449997</v>
      </c>
      <c r="H100" s="422">
        <v>20.768674999999998</v>
      </c>
      <c r="I100" s="422">
        <v>19.517550500449996</v>
      </c>
      <c r="J100" s="422">
        <v>27.066838249999996</v>
      </c>
      <c r="K100" s="422">
        <v>25.006485599999998</v>
      </c>
      <c r="L100" s="422">
        <v>25.991371199999996</v>
      </c>
      <c r="M100" s="422">
        <v>21.113985499999998</v>
      </c>
      <c r="N100" s="423">
        <f t="shared" ref="N100:N107" si="31">SUM(B100:M100)</f>
        <v>259.60840137546137</v>
      </c>
      <c r="O100" s="442"/>
      <c r="Q100" s="423">
        <f t="shared" si="25"/>
        <v>19.811557894736829</v>
      </c>
      <c r="R100" s="423">
        <f t="shared" si="26"/>
        <v>259.60840137546137</v>
      </c>
    </row>
    <row r="101" spans="1:18" x14ac:dyDescent="0.25">
      <c r="A101" s="423" t="s">
        <v>77</v>
      </c>
      <c r="B101" s="423">
        <v>-56.297268070175434</v>
      </c>
      <c r="C101" s="423">
        <v>-50.701756666666668</v>
      </c>
      <c r="D101" s="423">
        <v>-29.029937894736843</v>
      </c>
      <c r="E101" s="423">
        <v>-48.888272631578957</v>
      </c>
      <c r="F101" s="422">
        <v>-44.279999999999994</v>
      </c>
      <c r="G101" s="422">
        <v>-67.035001229999978</v>
      </c>
      <c r="H101" s="422">
        <v>-51.044999999999995</v>
      </c>
      <c r="I101" s="422">
        <v>-47.970001229999987</v>
      </c>
      <c r="J101" s="422">
        <v>-66.524549999999991</v>
      </c>
      <c r="K101" s="422">
        <v>-61.460639999999984</v>
      </c>
      <c r="L101" s="422">
        <v>-63.881279999999983</v>
      </c>
      <c r="M101" s="422">
        <v>-51.893699999999988</v>
      </c>
      <c r="N101" s="423">
        <f t="shared" si="31"/>
        <v>-639.00740772315771</v>
      </c>
      <c r="Q101" s="423">
        <f t="shared" si="25"/>
        <v>-48.888272631578957</v>
      </c>
      <c r="R101" s="423">
        <f t="shared" si="26"/>
        <v>-639.00740772315771</v>
      </c>
    </row>
    <row r="102" spans="1:18" x14ac:dyDescent="0.25">
      <c r="A102" s="423" t="s">
        <v>144</v>
      </c>
      <c r="B102" s="423"/>
      <c r="C102" s="423"/>
      <c r="D102" s="423"/>
      <c r="E102" s="423"/>
      <c r="F102" s="423"/>
      <c r="G102" s="423"/>
      <c r="H102" s="423"/>
      <c r="I102" s="423"/>
      <c r="J102" s="423"/>
      <c r="K102" s="423"/>
      <c r="L102" s="423"/>
      <c r="M102" s="423"/>
      <c r="N102" s="423">
        <f t="shared" si="31"/>
        <v>0</v>
      </c>
      <c r="Q102" s="423">
        <f t="shared" si="25"/>
        <v>0</v>
      </c>
      <c r="R102" s="423">
        <f t="shared" si="26"/>
        <v>0</v>
      </c>
    </row>
    <row r="103" spans="1:18" x14ac:dyDescent="0.25">
      <c r="A103" s="423" t="s">
        <v>85</v>
      </c>
      <c r="B103" s="423"/>
      <c r="C103" s="423"/>
      <c r="D103" s="423"/>
      <c r="E103" s="423"/>
      <c r="F103" s="423"/>
      <c r="G103" s="423"/>
      <c r="H103" s="423"/>
      <c r="I103" s="423"/>
      <c r="J103" s="423"/>
      <c r="K103" s="423"/>
      <c r="L103" s="423"/>
      <c r="M103" s="423"/>
      <c r="N103" s="423">
        <f t="shared" si="31"/>
        <v>0</v>
      </c>
      <c r="Q103" s="423">
        <f t="shared" si="25"/>
        <v>0</v>
      </c>
      <c r="R103" s="423">
        <f t="shared" si="26"/>
        <v>0</v>
      </c>
    </row>
    <row r="104" spans="1:18" x14ac:dyDescent="0.25">
      <c r="A104" s="423" t="s">
        <v>145</v>
      </c>
      <c r="B104" s="423"/>
      <c r="C104" s="423"/>
      <c r="D104" s="423"/>
      <c r="E104" s="423"/>
      <c r="F104" s="423"/>
      <c r="G104" s="423"/>
      <c r="H104" s="423"/>
      <c r="I104" s="423"/>
      <c r="J104" s="423"/>
      <c r="K104" s="423"/>
      <c r="L104" s="423"/>
      <c r="M104" s="423"/>
      <c r="N104" s="423">
        <f t="shared" si="31"/>
        <v>0</v>
      </c>
      <c r="Q104" s="423">
        <f t="shared" si="25"/>
        <v>0</v>
      </c>
      <c r="R104" s="423">
        <f t="shared" si="26"/>
        <v>0</v>
      </c>
    </row>
    <row r="105" spans="1:18" x14ac:dyDescent="0.25">
      <c r="A105" s="426" t="s">
        <v>146</v>
      </c>
      <c r="B105" s="426">
        <f>SUM(B100:B104)</f>
        <v>-33.464453157894738</v>
      </c>
      <c r="C105" s="426">
        <f t="shared" ref="C105:M105" si="32">SUM(C100:C104)</f>
        <v>-30.184840526315792</v>
      </c>
      <c r="D105" s="426">
        <f t="shared" si="32"/>
        <v>-17.33845701754386</v>
      </c>
      <c r="E105" s="426">
        <f t="shared" si="32"/>
        <v>-29.076714736842128</v>
      </c>
      <c r="F105" s="426">
        <f t="shared" si="32"/>
        <v>-26.263799999999996</v>
      </c>
      <c r="G105" s="426">
        <f t="shared" si="32"/>
        <v>-39.760475729549981</v>
      </c>
      <c r="H105" s="426">
        <f t="shared" si="32"/>
        <v>-30.276324999999996</v>
      </c>
      <c r="I105" s="426">
        <f t="shared" si="32"/>
        <v>-28.452450729549991</v>
      </c>
      <c r="J105" s="426">
        <f t="shared" si="32"/>
        <v>-39.457711749999994</v>
      </c>
      <c r="K105" s="426">
        <f t="shared" si="32"/>
        <v>-36.454154399999986</v>
      </c>
      <c r="L105" s="426">
        <f t="shared" si="32"/>
        <v>-37.889908799999986</v>
      </c>
      <c r="M105" s="426">
        <f t="shared" si="32"/>
        <v>-30.77971449999999</v>
      </c>
      <c r="N105" s="426">
        <f t="shared" si="31"/>
        <v>-379.39900634769646</v>
      </c>
      <c r="Q105" s="426">
        <f t="shared" si="25"/>
        <v>-29.076714736842128</v>
      </c>
      <c r="R105" s="426">
        <f t="shared" si="26"/>
        <v>-379.39900634769646</v>
      </c>
    </row>
    <row r="106" spans="1:18" x14ac:dyDescent="0.25">
      <c r="A106" s="423" t="s">
        <v>148</v>
      </c>
      <c r="B106" s="423">
        <f>+B108*('Budget assumption'!B233/'Budget assumption'!B235)</f>
        <v>74.699582793265066</v>
      </c>
      <c r="C106" s="423">
        <v>67.140322401581443</v>
      </c>
      <c r="D106" s="423">
        <v>38.43946504468159</v>
      </c>
      <c r="E106" s="423">
        <v>64.814166785348817</v>
      </c>
      <c r="F106" s="422">
        <v>57.587917690141794</v>
      </c>
      <c r="G106" s="422">
        <v>87.181710325017917</v>
      </c>
      <c r="H106" s="422">
        <v>66.386071781691243</v>
      </c>
      <c r="I106" s="422">
        <v>62.386912430651321</v>
      </c>
      <c r="J106" s="422">
        <v>86.517848007536642</v>
      </c>
      <c r="K106" s="422">
        <v>79.932029753916808</v>
      </c>
      <c r="L106" s="422">
        <v>83.08016925431123</v>
      </c>
      <c r="M106" s="422">
        <v>67.48984020408561</v>
      </c>
      <c r="N106" s="423">
        <f t="shared" si="31"/>
        <v>835.65603647222952</v>
      </c>
      <c r="Q106" s="423">
        <f t="shared" si="25"/>
        <v>64.814166785348817</v>
      </c>
      <c r="R106" s="423">
        <f t="shared" si="26"/>
        <v>835.65603647222952</v>
      </c>
    </row>
    <row r="107" spans="1:18" x14ac:dyDescent="0.25">
      <c r="A107" s="423" t="s">
        <v>149</v>
      </c>
      <c r="B107" s="423">
        <f>+B108*('Budget assumption'!B234/'Budget assumption'!B235)</f>
        <v>77.857964399717403</v>
      </c>
      <c r="C107" s="423">
        <v>69.979090054558924</v>
      </c>
      <c r="D107" s="423">
        <v>40.064728464090344</v>
      </c>
      <c r="E107" s="423">
        <v>67.554581986581184</v>
      </c>
      <c r="F107" s="422">
        <v>60.022799026625407</v>
      </c>
      <c r="G107" s="422">
        <v>90.867850193718994</v>
      </c>
      <c r="H107" s="422">
        <v>69.192948877915384</v>
      </c>
      <c r="I107" s="422">
        <v>65.024700612810818</v>
      </c>
      <c r="J107" s="422">
        <v>90.175919037639858</v>
      </c>
      <c r="K107" s="422">
        <v>83.311645048956066</v>
      </c>
      <c r="L107" s="422">
        <v>86.592891395744914</v>
      </c>
      <c r="M107" s="422">
        <v>70.343385859259058</v>
      </c>
      <c r="N107" s="423">
        <f t="shared" si="31"/>
        <v>870.98850495761826</v>
      </c>
      <c r="Q107" s="423">
        <f t="shared" si="25"/>
        <v>67.554581986581184</v>
      </c>
      <c r="R107" s="423">
        <f t="shared" si="26"/>
        <v>870.98850495761826</v>
      </c>
    </row>
    <row r="108" spans="1:18" x14ac:dyDescent="0.25">
      <c r="A108" s="426" t="s">
        <v>150</v>
      </c>
      <c r="B108" s="426">
        <v>152.55754719298247</v>
      </c>
      <c r="C108" s="426">
        <f>SUM(C106:C107)</f>
        <v>137.11941245614037</v>
      </c>
      <c r="D108" s="426">
        <f t="shared" ref="D108:M108" si="33">SUM(D106:D107)</f>
        <v>78.504193508771934</v>
      </c>
      <c r="E108" s="426">
        <f t="shared" si="33"/>
        <v>132.36874877193</v>
      </c>
      <c r="F108" s="426">
        <f t="shared" si="33"/>
        <v>117.6107167167672</v>
      </c>
      <c r="G108" s="426">
        <f t="shared" si="33"/>
        <v>178.04956051873691</v>
      </c>
      <c r="H108" s="426">
        <f t="shared" si="33"/>
        <v>135.57902065960661</v>
      </c>
      <c r="I108" s="426">
        <f t="shared" si="33"/>
        <v>127.41161304346214</v>
      </c>
      <c r="J108" s="426">
        <f t="shared" si="33"/>
        <v>176.69376704517651</v>
      </c>
      <c r="K108" s="426">
        <f t="shared" si="33"/>
        <v>163.24367480287287</v>
      </c>
      <c r="L108" s="426">
        <f t="shared" si="33"/>
        <v>169.67306065005613</v>
      </c>
      <c r="M108" s="426">
        <f t="shared" si="33"/>
        <v>137.83322606334468</v>
      </c>
      <c r="N108" s="426">
        <f>SUM(N106:N107)</f>
        <v>1706.6445414298478</v>
      </c>
      <c r="Q108" s="426">
        <f t="shared" si="25"/>
        <v>132.36874877193</v>
      </c>
      <c r="R108" s="426">
        <f t="shared" si="26"/>
        <v>1706.6445414298482</v>
      </c>
    </row>
    <row r="109" spans="1:18" ht="12.6" thickBot="1" x14ac:dyDescent="0.3">
      <c r="A109" s="429"/>
      <c r="B109" s="429"/>
      <c r="C109" s="429"/>
      <c r="D109" s="429"/>
      <c r="E109" s="429"/>
      <c r="F109" s="429"/>
      <c r="G109" s="429"/>
      <c r="H109" s="429"/>
      <c r="I109" s="429"/>
      <c r="J109" s="429"/>
      <c r="K109" s="429"/>
      <c r="L109" s="429"/>
      <c r="M109" s="429"/>
      <c r="N109" s="429"/>
      <c r="Q109" s="429">
        <f t="shared" si="25"/>
        <v>0</v>
      </c>
      <c r="R109" s="429">
        <f t="shared" si="26"/>
        <v>0</v>
      </c>
    </row>
    <row r="110" spans="1:18" x14ac:dyDescent="0.25">
      <c r="A110" s="426" t="s">
        <v>152</v>
      </c>
      <c r="B110" s="426">
        <f>+B95+B105+B108</f>
        <v>1673.9416424561405</v>
      </c>
      <c r="C110" s="426">
        <f t="shared" ref="C110:N110" si="34">+C95+C105+C108</f>
        <v>1505.0727424561401</v>
      </c>
      <c r="D110" s="426">
        <f t="shared" si="34"/>
        <v>855.90932771929818</v>
      </c>
      <c r="E110" s="426">
        <f t="shared" si="34"/>
        <v>1451.6879133333341</v>
      </c>
      <c r="F110" s="426">
        <f t="shared" si="34"/>
        <v>1275.7496847529346</v>
      </c>
      <c r="G110" s="426">
        <f t="shared" si="34"/>
        <v>1931.3433081884614</v>
      </c>
      <c r="H110" s="426">
        <f t="shared" si="34"/>
        <v>1470.6558865901882</v>
      </c>
      <c r="I110" s="426">
        <f t="shared" si="34"/>
        <v>1382.0621939198368</v>
      </c>
      <c r="J110" s="426">
        <f t="shared" si="34"/>
        <v>1916.6367138850683</v>
      </c>
      <c r="K110" s="426">
        <f t="shared" si="34"/>
        <v>1770.7405624370733</v>
      </c>
      <c r="L110" s="426">
        <f t="shared" si="34"/>
        <v>1840.4815452035668</v>
      </c>
      <c r="M110" s="426">
        <f>+M95+M105+M108</f>
        <v>1495.1077555479528</v>
      </c>
      <c r="N110" s="426">
        <f t="shared" si="34"/>
        <v>18569.389276489994</v>
      </c>
      <c r="Q110" s="426">
        <f t="shared" si="25"/>
        <v>1451.6879133333341</v>
      </c>
      <c r="R110" s="426">
        <f t="shared" si="26"/>
        <v>18569.389276489994</v>
      </c>
    </row>
    <row r="111" spans="1:18" s="538" customFormat="1" x14ac:dyDescent="0.25">
      <c r="A111" s="622" t="s">
        <v>364</v>
      </c>
      <c r="B111" s="622"/>
      <c r="C111" s="622"/>
      <c r="D111" s="622"/>
      <c r="E111" s="622"/>
      <c r="F111" s="622"/>
      <c r="G111" s="622"/>
      <c r="H111" s="622"/>
      <c r="I111" s="622"/>
      <c r="J111" s="622"/>
      <c r="K111" s="622"/>
      <c r="L111" s="622"/>
      <c r="M111" s="622"/>
      <c r="N111" s="622"/>
      <c r="Q111" s="623"/>
      <c r="R111" s="623"/>
    </row>
    <row r="112" spans="1:18" x14ac:dyDescent="0.25">
      <c r="A112" s="703" t="s">
        <v>557</v>
      </c>
      <c r="B112" s="705"/>
      <c r="C112" s="705"/>
      <c r="D112" s="705"/>
      <c r="E112" s="705"/>
      <c r="F112" s="702">
        <v>53.588433333333334</v>
      </c>
      <c r="G112" s="702">
        <v>54.811</v>
      </c>
      <c r="H112" s="702">
        <v>55.699666666666666</v>
      </c>
      <c r="I112" s="702">
        <v>56.588333333333331</v>
      </c>
      <c r="J112" s="702">
        <v>57.476999999999997</v>
      </c>
      <c r="K112" s="702">
        <v>58.333999999999996</v>
      </c>
      <c r="L112" s="702">
        <v>59.190999999999995</v>
      </c>
      <c r="M112" s="702">
        <v>60.047999999999995</v>
      </c>
      <c r="N112" s="705"/>
      <c r="O112" s="442">
        <v>1000</v>
      </c>
      <c r="Q112" s="428"/>
      <c r="R112" s="428"/>
    </row>
    <row r="113" spans="1:18" x14ac:dyDescent="0.25">
      <c r="A113" s="704" t="s">
        <v>559</v>
      </c>
      <c r="B113" s="459"/>
      <c r="C113" s="459"/>
      <c r="D113" s="459"/>
      <c r="E113" s="459"/>
      <c r="F113" s="459">
        <v>52.927766666666663</v>
      </c>
      <c r="G113" s="459">
        <v>53.819999999999993</v>
      </c>
      <c r="H113" s="459">
        <v>54.721666666666664</v>
      </c>
      <c r="I113" s="459">
        <v>55.623333333333335</v>
      </c>
      <c r="J113" s="459">
        <v>56.524999999999999</v>
      </c>
      <c r="K113" s="459">
        <v>57.283333333333331</v>
      </c>
      <c r="L113" s="459">
        <v>58.041666666666664</v>
      </c>
      <c r="M113" s="459">
        <v>58.8</v>
      </c>
    </row>
    <row r="114" spans="1:18" x14ac:dyDescent="0.25">
      <c r="B114" s="452">
        <v>4</v>
      </c>
      <c r="C114" s="452">
        <v>5</v>
      </c>
      <c r="D114" s="452">
        <v>6</v>
      </c>
      <c r="E114" s="452">
        <v>7</v>
      </c>
      <c r="F114" s="452">
        <v>8</v>
      </c>
      <c r="G114" s="452">
        <v>9</v>
      </c>
      <c r="H114" s="452">
        <v>10</v>
      </c>
      <c r="I114" s="452">
        <v>11</v>
      </c>
      <c r="J114" s="452">
        <v>12</v>
      </c>
      <c r="K114" s="452">
        <v>13</v>
      </c>
      <c r="L114" s="452">
        <v>14</v>
      </c>
      <c r="M114" s="452">
        <v>15</v>
      </c>
    </row>
    <row r="115" spans="1:18" x14ac:dyDescent="0.25">
      <c r="A115" s="460" t="s">
        <v>159</v>
      </c>
      <c r="B115" s="453">
        <f>+VOLUME!C7</f>
        <v>47357</v>
      </c>
      <c r="C115" s="453">
        <f>+VOLUME!D7</f>
        <v>42593.000999999997</v>
      </c>
      <c r="D115" s="453">
        <f>+VOLUME!E7</f>
        <v>23002.001</v>
      </c>
      <c r="E115" s="453">
        <f>+VOLUME!F7</f>
        <v>44096</v>
      </c>
      <c r="F115" s="453">
        <f>+VOLUME!G7</f>
        <v>36000</v>
      </c>
      <c r="G115" s="453">
        <f>+VOLUME!H7</f>
        <v>54500.000999999997</v>
      </c>
      <c r="H115" s="453">
        <f>+VOLUME!I7</f>
        <v>41500</v>
      </c>
      <c r="I115" s="453">
        <f>+VOLUME!J7</f>
        <v>39000.000999999997</v>
      </c>
      <c r="J115" s="453">
        <f>+VOLUME!K7</f>
        <v>54085</v>
      </c>
      <c r="K115" s="453">
        <f>+VOLUME!L7</f>
        <v>49968</v>
      </c>
      <c r="L115" s="453">
        <f>+VOLUME!M7</f>
        <v>51936</v>
      </c>
      <c r="M115" s="453">
        <f>+VOLUME!N7</f>
        <v>42190</v>
      </c>
      <c r="N115" s="453">
        <f>SUM(B115:M115)</f>
        <v>526227.00399999996</v>
      </c>
      <c r="Q115" s="454">
        <f>SUMPRODUCT(B115:M115,B$2:M$2)</f>
        <v>44096</v>
      </c>
      <c r="R115" s="454">
        <f>SUMPRODUCT(B115:M115,B$1:M$1)</f>
        <v>526227.00399999996</v>
      </c>
    </row>
    <row r="116" spans="1:18" x14ac:dyDescent="0.25">
      <c r="A116" s="455" t="s">
        <v>184</v>
      </c>
      <c r="B116" s="456" t="s">
        <v>0</v>
      </c>
      <c r="C116" s="456" t="s">
        <v>1</v>
      </c>
      <c r="D116" s="456" t="s">
        <v>2</v>
      </c>
      <c r="E116" s="456" t="s">
        <v>3</v>
      </c>
      <c r="F116" s="456" t="s">
        <v>4</v>
      </c>
      <c r="G116" s="456" t="s">
        <v>5</v>
      </c>
      <c r="H116" s="456" t="s">
        <v>6</v>
      </c>
      <c r="I116" s="456" t="s">
        <v>7</v>
      </c>
      <c r="J116" s="456" t="s">
        <v>8</v>
      </c>
      <c r="K116" s="456" t="s">
        <v>9</v>
      </c>
      <c r="L116" s="456" t="s">
        <v>10</v>
      </c>
      <c r="M116" s="456" t="s">
        <v>11</v>
      </c>
      <c r="N116" s="456" t="s">
        <v>12</v>
      </c>
      <c r="Q116" s="449" t="s">
        <v>180</v>
      </c>
      <c r="R116" s="449" t="s">
        <v>94</v>
      </c>
    </row>
    <row r="117" spans="1:18" x14ac:dyDescent="0.25">
      <c r="A117" s="422" t="s">
        <v>158</v>
      </c>
      <c r="B117" s="422">
        <v>451.11424</v>
      </c>
      <c r="C117" s="422">
        <v>457.78683000000007</v>
      </c>
      <c r="D117" s="422">
        <v>275.96458999999999</v>
      </c>
      <c r="E117" s="422">
        <v>363.73443262781774</v>
      </c>
      <c r="F117" s="422">
        <v>420.5017868724629</v>
      </c>
      <c r="G117" s="422">
        <v>393.77114671381526</v>
      </c>
      <c r="H117" s="422">
        <v>355.32956447675423</v>
      </c>
      <c r="I117" s="422">
        <v>355.48085755082604</v>
      </c>
      <c r="J117" s="422">
        <v>485.59337260514707</v>
      </c>
      <c r="K117" s="422">
        <v>492.4737820462725</v>
      </c>
      <c r="L117" s="422">
        <v>476.6685772215763</v>
      </c>
      <c r="M117" s="422">
        <v>480.28353181860513</v>
      </c>
      <c r="N117" s="422">
        <f>SUM(B117:M117)</f>
        <v>5008.702711933277</v>
      </c>
      <c r="Q117" s="422">
        <f t="shared" ref="Q117:Q143" si="35">SUMPRODUCT(B117:M117,B$2:M$2)</f>
        <v>363.73443262781774</v>
      </c>
      <c r="R117" s="422">
        <f t="shared" ref="R117:R143" si="36">SUMPRODUCT(B117:M117,B$1:M$1)</f>
        <v>5008.702711933277</v>
      </c>
    </row>
    <row r="118" spans="1:18" x14ac:dyDescent="0.25">
      <c r="A118" s="422" t="s">
        <v>75</v>
      </c>
      <c r="B118" s="422">
        <v>25.342169999999999</v>
      </c>
      <c r="C118" s="422">
        <v>16.14554</v>
      </c>
      <c r="D118" s="422">
        <v>21.752949999999998</v>
      </c>
      <c r="E118" s="422">
        <v>28.068419999999996</v>
      </c>
      <c r="F118" s="422">
        <v>20.87373247947826</v>
      </c>
      <c r="G118" s="422">
        <v>39.518984472144915</v>
      </c>
      <c r="H118" s="422">
        <v>31.336747612461661</v>
      </c>
      <c r="I118" s="422">
        <v>35.003255011720206</v>
      </c>
      <c r="J118" s="422">
        <v>37.217068177037383</v>
      </c>
      <c r="K118" s="422">
        <v>33.698872914246401</v>
      </c>
      <c r="L118" s="422">
        <v>38.412616897953001</v>
      </c>
      <c r="M118" s="422">
        <v>31.687416801395667</v>
      </c>
      <c r="N118" s="422">
        <f t="shared" ref="N118:N143" si="37">SUM(B118:M118)</f>
        <v>359.05777436643751</v>
      </c>
      <c r="Q118" s="422">
        <f t="shared" si="35"/>
        <v>28.068419999999996</v>
      </c>
      <c r="R118" s="422">
        <f t="shared" si="36"/>
        <v>359.05777436643751</v>
      </c>
    </row>
    <row r="119" spans="1:18" x14ac:dyDescent="0.25">
      <c r="A119" s="423" t="s">
        <v>196</v>
      </c>
      <c r="B119" s="423">
        <v>12.326379999999999</v>
      </c>
      <c r="C119" s="423">
        <v>10.969389999999999</v>
      </c>
      <c r="D119" s="423">
        <v>8.7221700000000002</v>
      </c>
      <c r="E119" s="423">
        <v>38.196779999999997</v>
      </c>
      <c r="F119" s="423">
        <v>10.72</v>
      </c>
      <c r="G119" s="423">
        <v>16.949760000000001</v>
      </c>
      <c r="H119" s="423">
        <v>12.990720000000001</v>
      </c>
      <c r="I119" s="423">
        <v>12.732800000000001</v>
      </c>
      <c r="J119" s="423">
        <v>17.570240000000002</v>
      </c>
      <c r="K119" s="423">
        <v>15.98976</v>
      </c>
      <c r="L119" s="423">
        <v>16.619520000000001</v>
      </c>
      <c r="M119" s="423">
        <v>13.500800000000002</v>
      </c>
      <c r="N119" s="423">
        <f t="shared" si="37"/>
        <v>187.28831999999997</v>
      </c>
      <c r="Q119" s="423">
        <f t="shared" si="35"/>
        <v>38.196779999999997</v>
      </c>
      <c r="R119" s="423">
        <f t="shared" si="36"/>
        <v>187.28831999999997</v>
      </c>
    </row>
    <row r="120" spans="1:18" ht="12.6" thickBot="1" x14ac:dyDescent="0.3">
      <c r="A120" s="424" t="s">
        <v>197</v>
      </c>
      <c r="B120" s="424">
        <f>SUM(B117:B119)</f>
        <v>488.78278999999998</v>
      </c>
      <c r="C120" s="424">
        <f t="shared" ref="C120:M120" si="38">SUM(C117:C119)</f>
        <v>484.90176000000002</v>
      </c>
      <c r="D120" s="424">
        <f t="shared" si="38"/>
        <v>306.43970999999999</v>
      </c>
      <c r="E120" s="424">
        <f t="shared" si="38"/>
        <v>429.99963262781773</v>
      </c>
      <c r="F120" s="424">
        <f t="shared" si="38"/>
        <v>452.09551935194116</v>
      </c>
      <c r="G120" s="424">
        <f t="shared" si="38"/>
        <v>450.23989118596018</v>
      </c>
      <c r="H120" s="424">
        <f t="shared" si="38"/>
        <v>399.65703208921587</v>
      </c>
      <c r="I120" s="424">
        <f t="shared" si="38"/>
        <v>403.21691256254627</v>
      </c>
      <c r="J120" s="424">
        <f t="shared" si="38"/>
        <v>540.38068078218441</v>
      </c>
      <c r="K120" s="424">
        <f t="shared" si="38"/>
        <v>542.16241496051896</v>
      </c>
      <c r="L120" s="424">
        <f t="shared" si="38"/>
        <v>531.70071411952927</v>
      </c>
      <c r="M120" s="424">
        <f t="shared" si="38"/>
        <v>525.47174862000077</v>
      </c>
      <c r="N120" s="424">
        <f t="shared" si="37"/>
        <v>5555.0488062997147</v>
      </c>
      <c r="Q120" s="424">
        <f t="shared" si="35"/>
        <v>429.99963262781773</v>
      </c>
      <c r="R120" s="424">
        <f t="shared" si="36"/>
        <v>5555.0488062997147</v>
      </c>
    </row>
    <row r="121" spans="1:18" x14ac:dyDescent="0.25">
      <c r="A121" s="425" t="s">
        <v>80</v>
      </c>
      <c r="B121" s="425">
        <v>236.51712000000001</v>
      </c>
      <c r="C121" s="425">
        <v>210.33045999999996</v>
      </c>
      <c r="D121" s="425">
        <v>189.488</v>
      </c>
      <c r="E121" s="425">
        <v>211.9200073721822</v>
      </c>
      <c r="F121" s="425">
        <v>253.53065539502001</v>
      </c>
      <c r="G121" s="425">
        <v>241.41790715468619</v>
      </c>
      <c r="H121" s="425">
        <v>262.65420091567171</v>
      </c>
      <c r="I121" s="425">
        <v>248.29040373098536</v>
      </c>
      <c r="J121" s="425">
        <v>233.83450010482071</v>
      </c>
      <c r="K121" s="425">
        <v>218.04243940693019</v>
      </c>
      <c r="L121" s="425">
        <v>213.64209148995394</v>
      </c>
      <c r="M121" s="425">
        <v>280.51506871696927</v>
      </c>
      <c r="N121" s="425">
        <f t="shared" si="37"/>
        <v>2800.1828542872195</v>
      </c>
      <c r="Q121" s="425">
        <f t="shared" si="35"/>
        <v>211.9200073721822</v>
      </c>
      <c r="R121" s="425">
        <f t="shared" si="36"/>
        <v>2800.1828542872195</v>
      </c>
    </row>
    <row r="122" spans="1:18" x14ac:dyDescent="0.25">
      <c r="A122" s="423" t="s">
        <v>81</v>
      </c>
      <c r="B122" s="423">
        <v>115.16989000000001</v>
      </c>
      <c r="C122" s="423">
        <v>111.05252999999999</v>
      </c>
      <c r="D122" s="423">
        <v>104.43832999999998</v>
      </c>
      <c r="E122" s="423">
        <v>86.264239999999987</v>
      </c>
      <c r="F122" s="701">
        <v>113.29639650515468</v>
      </c>
      <c r="G122" s="701">
        <v>109.83602172792594</v>
      </c>
      <c r="H122" s="701">
        <v>101.40649464948595</v>
      </c>
      <c r="I122" s="701">
        <v>102.13246854517206</v>
      </c>
      <c r="J122" s="701">
        <v>107.52925904504205</v>
      </c>
      <c r="K122" s="701">
        <v>101.02732109817424</v>
      </c>
      <c r="L122" s="701">
        <v>99.707366149152875</v>
      </c>
      <c r="M122" s="701">
        <v>98.421457657149915</v>
      </c>
      <c r="N122" s="423">
        <f t="shared" si="37"/>
        <v>1250.2817753772576</v>
      </c>
      <c r="Q122" s="423">
        <f t="shared" si="35"/>
        <v>86.264239999999987</v>
      </c>
      <c r="R122" s="423">
        <f t="shared" si="36"/>
        <v>1250.2817753772576</v>
      </c>
    </row>
    <row r="123" spans="1:18" x14ac:dyDescent="0.25">
      <c r="A123" s="423" t="s">
        <v>82</v>
      </c>
      <c r="B123" s="423">
        <v>164.10092</v>
      </c>
      <c r="C123" s="423">
        <v>247.34623999999999</v>
      </c>
      <c r="D123" s="423">
        <v>129.98053999999999</v>
      </c>
      <c r="E123" s="423">
        <v>86.237830000000017</v>
      </c>
      <c r="F123" s="423">
        <v>166.13002452217566</v>
      </c>
      <c r="G123" s="423">
        <v>198.44184994645423</v>
      </c>
      <c r="H123" s="423">
        <v>186.27026685954991</v>
      </c>
      <c r="I123" s="423">
        <v>185.51646217738815</v>
      </c>
      <c r="J123" s="423">
        <f>190.958712057261+40</f>
        <v>230.95871205726101</v>
      </c>
      <c r="K123" s="423">
        <v>183.04144050634793</v>
      </c>
      <c r="L123" s="423">
        <v>184.2494103402089</v>
      </c>
      <c r="M123" s="423">
        <v>169.11053771041409</v>
      </c>
      <c r="N123" s="423">
        <f t="shared" si="37"/>
        <v>2131.3842341197997</v>
      </c>
      <c r="Q123" s="423">
        <f t="shared" si="35"/>
        <v>86.237830000000017</v>
      </c>
      <c r="R123" s="423">
        <f t="shared" si="36"/>
        <v>2131.3842341197997</v>
      </c>
    </row>
    <row r="124" spans="1:18" x14ac:dyDescent="0.25">
      <c r="A124" s="423" t="s">
        <v>83</v>
      </c>
      <c r="B124" s="423">
        <v>4.2840400000000001</v>
      </c>
      <c r="C124" s="423">
        <v>4.0777099999999997</v>
      </c>
      <c r="D124" s="423">
        <v>3.5422699999999998</v>
      </c>
      <c r="E124" s="423">
        <v>3.8053300000000001</v>
      </c>
      <c r="F124" s="423">
        <v>4.0867188786738131</v>
      </c>
      <c r="G124" s="423">
        <v>6.9739940107147689</v>
      </c>
      <c r="H124" s="423">
        <v>5.3685160218724608</v>
      </c>
      <c r="I124" s="423">
        <v>5.2648378197233843</v>
      </c>
      <c r="J124" s="423">
        <v>7.2190414621849888</v>
      </c>
      <c r="K124" s="423">
        <v>7.0368274334861702</v>
      </c>
      <c r="L124" s="423">
        <v>7.3555647541687987</v>
      </c>
      <c r="M124" s="423">
        <v>6.0214028655964391</v>
      </c>
      <c r="N124" s="423">
        <f t="shared" si="37"/>
        <v>65.036253246420827</v>
      </c>
      <c r="Q124" s="423">
        <f t="shared" si="35"/>
        <v>3.8053300000000001</v>
      </c>
      <c r="R124" s="423">
        <f t="shared" si="36"/>
        <v>65.036253246420827</v>
      </c>
    </row>
    <row r="125" spans="1:18" x14ac:dyDescent="0.25">
      <c r="A125" s="423" t="s">
        <v>84</v>
      </c>
      <c r="B125" s="423">
        <v>48.336139999999986</v>
      </c>
      <c r="C125" s="423">
        <v>36.683690000000027</v>
      </c>
      <c r="D125" s="423">
        <v>35.33921999999999</v>
      </c>
      <c r="E125" s="423">
        <v>-2.6982200000000036</v>
      </c>
      <c r="F125" s="423">
        <v>47.925299705522804</v>
      </c>
      <c r="G125" s="423">
        <v>49.178995328349941</v>
      </c>
      <c r="H125" s="423">
        <v>39.994182967879439</v>
      </c>
      <c r="I125" s="423">
        <v>39.771689286135498</v>
      </c>
      <c r="J125" s="423">
        <v>39.551654697117662</v>
      </c>
      <c r="K125" s="423">
        <v>47.153518395848572</v>
      </c>
      <c r="L125" s="423">
        <v>46.79684933157202</v>
      </c>
      <c r="M125" s="423">
        <v>49.489533145021426</v>
      </c>
      <c r="N125" s="423">
        <f t="shared" si="37"/>
        <v>477.52255285744735</v>
      </c>
      <c r="Q125" s="423">
        <f t="shared" si="35"/>
        <v>-2.6982200000000036</v>
      </c>
      <c r="R125" s="423">
        <f t="shared" si="36"/>
        <v>477.52255285744735</v>
      </c>
    </row>
    <row r="126" spans="1:18" x14ac:dyDescent="0.25">
      <c r="A126" s="423" t="s">
        <v>86</v>
      </c>
      <c r="B126" s="423">
        <v>171.34822992298916</v>
      </c>
      <c r="C126" s="423">
        <v>158.03624719540193</v>
      </c>
      <c r="D126" s="423">
        <v>171.02916982572503</v>
      </c>
      <c r="E126" s="709">
        <v>-7.097920000000002</v>
      </c>
      <c r="F126" s="423">
        <v>148.91044775300276</v>
      </c>
      <c r="G126" s="423">
        <v>148.20746272927659</v>
      </c>
      <c r="H126" s="423">
        <v>166.04382670792239</v>
      </c>
      <c r="I126" s="423">
        <v>164.4118413552539</v>
      </c>
      <c r="J126" s="423">
        <v>160.15944368846539</v>
      </c>
      <c r="K126" s="423">
        <v>163.35063501998039</v>
      </c>
      <c r="L126" s="423">
        <v>162.86554560284378</v>
      </c>
      <c r="M126" s="423">
        <v>172.35668943551457</v>
      </c>
      <c r="N126" s="423">
        <f t="shared" si="37"/>
        <v>1779.6216192363759</v>
      </c>
      <c r="Q126" s="423">
        <f t="shared" si="35"/>
        <v>-7.097920000000002</v>
      </c>
      <c r="R126" s="423">
        <f t="shared" si="36"/>
        <v>1779.6216192363759</v>
      </c>
    </row>
    <row r="127" spans="1:18" ht="12.6" thickBot="1" x14ac:dyDescent="0.3">
      <c r="A127" s="424" t="s">
        <v>198</v>
      </c>
      <c r="B127" s="424">
        <f>SUM(B121:B126)</f>
        <v>739.75633992298913</v>
      </c>
      <c r="C127" s="424">
        <f t="shared" ref="C127:M127" si="39">SUM(C121:C126)</f>
        <v>767.52687719540199</v>
      </c>
      <c r="D127" s="424">
        <f t="shared" si="39"/>
        <v>633.81752982572505</v>
      </c>
      <c r="E127" s="424">
        <f t="shared" si="39"/>
        <v>378.43126737218228</v>
      </c>
      <c r="F127" s="424">
        <f t="shared" si="39"/>
        <v>733.87954275954962</v>
      </c>
      <c r="G127" s="424">
        <f t="shared" si="39"/>
        <v>754.05623089740766</v>
      </c>
      <c r="H127" s="424">
        <f t="shared" si="39"/>
        <v>761.73748812238182</v>
      </c>
      <c r="I127" s="424">
        <f t="shared" si="39"/>
        <v>745.38770291465835</v>
      </c>
      <c r="J127" s="424">
        <f t="shared" si="39"/>
        <v>779.25261105489176</v>
      </c>
      <c r="K127" s="424">
        <f t="shared" si="39"/>
        <v>719.65218186076754</v>
      </c>
      <c r="L127" s="424">
        <f t="shared" si="39"/>
        <v>714.61682766790034</v>
      </c>
      <c r="M127" s="424">
        <f t="shared" si="39"/>
        <v>775.91468953066567</v>
      </c>
      <c r="N127" s="424">
        <f t="shared" si="37"/>
        <v>8504.0292891245208</v>
      </c>
      <c r="Q127" s="424">
        <f t="shared" si="35"/>
        <v>378.43126737218228</v>
      </c>
      <c r="R127" s="424">
        <f t="shared" si="36"/>
        <v>8504.0292891245208</v>
      </c>
    </row>
    <row r="128" spans="1:18" x14ac:dyDescent="0.25">
      <c r="A128" s="426" t="s">
        <v>88</v>
      </c>
      <c r="B128" s="426">
        <f>B120+B127</f>
        <v>1228.5391299229891</v>
      </c>
      <c r="C128" s="426">
        <f t="shared" ref="C128:M128" si="40">C120+C127</f>
        <v>1252.428637195402</v>
      </c>
      <c r="D128" s="426">
        <f t="shared" si="40"/>
        <v>940.25723982572504</v>
      </c>
      <c r="E128" s="426">
        <f t="shared" si="40"/>
        <v>808.43090000000007</v>
      </c>
      <c r="F128" s="426">
        <f t="shared" si="40"/>
        <v>1185.9750621114908</v>
      </c>
      <c r="G128" s="426">
        <f t="shared" si="40"/>
        <v>1204.2961220833679</v>
      </c>
      <c r="H128" s="426">
        <f t="shared" si="40"/>
        <v>1161.3945202115976</v>
      </c>
      <c r="I128" s="426">
        <f t="shared" si="40"/>
        <v>1148.6046154772046</v>
      </c>
      <c r="J128" s="426">
        <f t="shared" si="40"/>
        <v>1319.6332918370763</v>
      </c>
      <c r="K128" s="426">
        <f t="shared" si="40"/>
        <v>1261.8145968212866</v>
      </c>
      <c r="L128" s="426">
        <f t="shared" si="40"/>
        <v>1246.3175417874295</v>
      </c>
      <c r="M128" s="426">
        <f t="shared" si="40"/>
        <v>1301.3864381506664</v>
      </c>
      <c r="N128" s="426">
        <f t="shared" si="37"/>
        <v>14059.078095424236</v>
      </c>
      <c r="Q128" s="426">
        <f t="shared" si="35"/>
        <v>808.43090000000007</v>
      </c>
      <c r="R128" s="426">
        <f t="shared" si="36"/>
        <v>14059.078095424236</v>
      </c>
    </row>
    <row r="129" spans="1:18" x14ac:dyDescent="0.25">
      <c r="A129" s="423" t="s">
        <v>89</v>
      </c>
      <c r="B129" s="423">
        <v>17.28707</v>
      </c>
      <c r="C129" s="423">
        <v>14.930529999999997</v>
      </c>
      <c r="D129" s="423">
        <v>35.234139999999996</v>
      </c>
      <c r="E129" s="423">
        <v>13.047470000000001</v>
      </c>
      <c r="F129" s="423">
        <v>17.74960722302119</v>
      </c>
      <c r="G129" s="423">
        <v>17.392199962583572</v>
      </c>
      <c r="H129" s="423">
        <v>17.17300956478093</v>
      </c>
      <c r="I129" s="423">
        <v>16.924985701559013</v>
      </c>
      <c r="J129" s="423">
        <v>17.253361592691448</v>
      </c>
      <c r="K129" s="423">
        <v>17.409525596571697</v>
      </c>
      <c r="L129" s="423">
        <v>17.080714220784344</v>
      </c>
      <c r="M129" s="423">
        <v>17.298845559935646</v>
      </c>
      <c r="N129" s="423">
        <f t="shared" si="37"/>
        <v>218.78145942192785</v>
      </c>
      <c r="O129" s="442" t="s">
        <v>185</v>
      </c>
      <c r="Q129" s="423">
        <f t="shared" si="35"/>
        <v>13.047470000000001</v>
      </c>
      <c r="R129" s="423">
        <f t="shared" si="36"/>
        <v>218.78145942192785</v>
      </c>
    </row>
    <row r="130" spans="1:18" x14ac:dyDescent="0.25">
      <c r="A130" s="426" t="s">
        <v>90</v>
      </c>
      <c r="B130" s="426">
        <f>B128+B129</f>
        <v>1245.8261999229892</v>
      </c>
      <c r="C130" s="426">
        <f t="shared" ref="C130:M130" si="41">C128+C129</f>
        <v>1267.3591671954021</v>
      </c>
      <c r="D130" s="426">
        <f t="shared" si="41"/>
        <v>975.49137982572506</v>
      </c>
      <c r="E130" s="426">
        <f>E128+E129</f>
        <v>821.47837000000004</v>
      </c>
      <c r="F130" s="426">
        <f t="shared" si="41"/>
        <v>1203.7246693345121</v>
      </c>
      <c r="G130" s="426">
        <f t="shared" si="41"/>
        <v>1221.6883220459515</v>
      </c>
      <c r="H130" s="426">
        <f t="shared" si="41"/>
        <v>1178.5675297763785</v>
      </c>
      <c r="I130" s="426">
        <f t="shared" si="41"/>
        <v>1165.5296011787636</v>
      </c>
      <c r="J130" s="426">
        <f t="shared" si="41"/>
        <v>1336.8866534297676</v>
      </c>
      <c r="K130" s="426">
        <f t="shared" si="41"/>
        <v>1279.2241224178583</v>
      </c>
      <c r="L130" s="426">
        <f t="shared" si="41"/>
        <v>1263.3982560082138</v>
      </c>
      <c r="M130" s="426">
        <f t="shared" si="41"/>
        <v>1318.6852837106021</v>
      </c>
      <c r="N130" s="426">
        <f t="shared" si="37"/>
        <v>14277.859554846162</v>
      </c>
      <c r="Q130" s="426">
        <f t="shared" si="35"/>
        <v>821.47837000000004</v>
      </c>
      <c r="R130" s="426">
        <f t="shared" si="36"/>
        <v>14277.859554846162</v>
      </c>
    </row>
    <row r="131" spans="1:18" x14ac:dyDescent="0.25">
      <c r="A131" s="423" t="s">
        <v>91</v>
      </c>
      <c r="B131" s="666">
        <v>392.90298007701097</v>
      </c>
      <c r="C131" s="666">
        <v>366.36480280459801</v>
      </c>
      <c r="D131" s="666">
        <v>394.15364017427498</v>
      </c>
      <c r="E131" s="710">
        <v>36.995220000000003</v>
      </c>
      <c r="F131" s="672">
        <v>309.69852585293307</v>
      </c>
      <c r="G131" s="672">
        <v>303.97954589743586</v>
      </c>
      <c r="H131" s="672">
        <v>313.81512993847633</v>
      </c>
      <c r="I131" s="672">
        <v>315.73582195781159</v>
      </c>
      <c r="J131" s="672">
        <v>309.41235527642624</v>
      </c>
      <c r="K131" s="672">
        <v>319.01422162641825</v>
      </c>
      <c r="L131" s="672">
        <v>312.32812002871498</v>
      </c>
      <c r="M131" s="672">
        <v>321.85961221088411</v>
      </c>
      <c r="N131" s="423">
        <f t="shared" si="37"/>
        <v>3696.2599758449851</v>
      </c>
      <c r="O131" s="442" t="s">
        <v>553</v>
      </c>
      <c r="Q131" s="423">
        <f t="shared" si="35"/>
        <v>36.995220000000003</v>
      </c>
      <c r="R131" s="423">
        <f t="shared" si="36"/>
        <v>3696.2599758449851</v>
      </c>
    </row>
    <row r="132" spans="1:18" s="457" customFormat="1" x14ac:dyDescent="0.25">
      <c r="A132" s="426" t="s">
        <v>92</v>
      </c>
      <c r="B132" s="426">
        <f>B130+B131</f>
        <v>1638.7291800000003</v>
      </c>
      <c r="C132" s="426">
        <f t="shared" ref="C132:M132" si="42">C130+C131</f>
        <v>1633.72397</v>
      </c>
      <c r="D132" s="426">
        <f t="shared" si="42"/>
        <v>1369.6450199999999</v>
      </c>
      <c r="E132" s="426">
        <f t="shared" si="42"/>
        <v>858.47359000000006</v>
      </c>
      <c r="F132" s="426">
        <f t="shared" si="42"/>
        <v>1513.4231951874451</v>
      </c>
      <c r="G132" s="426">
        <f t="shared" si="42"/>
        <v>1525.6678679433874</v>
      </c>
      <c r="H132" s="426">
        <f t="shared" si="42"/>
        <v>1492.3826597148548</v>
      </c>
      <c r="I132" s="426">
        <f t="shared" si="42"/>
        <v>1481.2654231365752</v>
      </c>
      <c r="J132" s="426">
        <f t="shared" si="42"/>
        <v>1646.2990087061939</v>
      </c>
      <c r="K132" s="426">
        <f t="shared" si="42"/>
        <v>1598.2383440442766</v>
      </c>
      <c r="L132" s="426">
        <f t="shared" si="42"/>
        <v>1575.7263760369287</v>
      </c>
      <c r="M132" s="426">
        <f t="shared" si="42"/>
        <v>1640.5448959214862</v>
      </c>
      <c r="N132" s="426">
        <f t="shared" si="37"/>
        <v>17974.119530691147</v>
      </c>
      <c r="O132" s="442"/>
      <c r="Q132" s="426">
        <f t="shared" si="35"/>
        <v>858.47359000000006</v>
      </c>
      <c r="R132" s="426">
        <f t="shared" si="36"/>
        <v>17974.119530691147</v>
      </c>
    </row>
    <row r="133" spans="1:18" s="457" customFormat="1" x14ac:dyDescent="0.25">
      <c r="A133" s="423" t="s">
        <v>76</v>
      </c>
      <c r="B133" s="423">
        <v>18.225650000000002</v>
      </c>
      <c r="C133" s="423">
        <v>14.337690000000006</v>
      </c>
      <c r="D133" s="423">
        <v>9.554800000000002</v>
      </c>
      <c r="E133" s="423">
        <v>50.457409999999996</v>
      </c>
      <c r="F133" s="423">
        <v>14.74</v>
      </c>
      <c r="G133" s="423">
        <v>23.30592</v>
      </c>
      <c r="H133" s="423">
        <v>17.86224</v>
      </c>
      <c r="I133" s="423">
        <v>17.5076</v>
      </c>
      <c r="J133" s="423">
        <v>24.159080000000003</v>
      </c>
      <c r="K133" s="423">
        <v>21.98592</v>
      </c>
      <c r="L133" s="423">
        <v>22.851839999999999</v>
      </c>
      <c r="M133" s="423">
        <v>18.563599999999997</v>
      </c>
      <c r="N133" s="423">
        <f t="shared" si="37"/>
        <v>253.55174999999997</v>
      </c>
      <c r="O133" s="442"/>
      <c r="Q133" s="423">
        <f t="shared" si="35"/>
        <v>50.457409999999996</v>
      </c>
      <c r="R133" s="423">
        <f t="shared" si="36"/>
        <v>253.55174999999997</v>
      </c>
    </row>
    <row r="134" spans="1:18" x14ac:dyDescent="0.25">
      <c r="A134" s="423" t="s">
        <v>77</v>
      </c>
      <c r="B134" s="423">
        <v>-56.35548</v>
      </c>
      <c r="C134" s="423">
        <v>-55.948819999999998</v>
      </c>
      <c r="D134" s="423">
        <v>-30.366419999999998</v>
      </c>
      <c r="E134" s="423">
        <v>-53.893480000000004</v>
      </c>
      <c r="F134" s="423">
        <v>-31.28553668625938</v>
      </c>
      <c r="G134" s="423">
        <v>-51.571118382193724</v>
      </c>
      <c r="H134" s="423">
        <v>-39.488540813848189</v>
      </c>
      <c r="I134" s="423">
        <v>-38.658510144472473</v>
      </c>
      <c r="J134" s="423">
        <v>-53.347192542572024</v>
      </c>
      <c r="K134" s="423">
        <v>-48.635137103373353</v>
      </c>
      <c r="L134" s="423">
        <v>-50.750043862884446</v>
      </c>
      <c r="M134" s="423">
        <v>-41.118432317492008</v>
      </c>
      <c r="N134" s="423">
        <f>SUM(B134:M134)</f>
        <v>-551.4187118530956</v>
      </c>
      <c r="Q134" s="423">
        <f t="shared" si="35"/>
        <v>-53.893480000000004</v>
      </c>
      <c r="R134" s="423">
        <f t="shared" si="36"/>
        <v>-551.4187118530956</v>
      </c>
    </row>
    <row r="135" spans="1:18" x14ac:dyDescent="0.25">
      <c r="A135" s="423" t="s">
        <v>144</v>
      </c>
      <c r="B135" s="423">
        <v>-2.7324800000000007</v>
      </c>
      <c r="C135" s="423">
        <v>-0.15481999999999996</v>
      </c>
      <c r="D135" s="423">
        <v>-0.55567000000000011</v>
      </c>
      <c r="E135" s="423">
        <v>65.577179999999998</v>
      </c>
      <c r="F135" s="423">
        <v>0</v>
      </c>
      <c r="G135" s="423">
        <v>0</v>
      </c>
      <c r="H135" s="423">
        <v>0</v>
      </c>
      <c r="I135" s="423">
        <v>0</v>
      </c>
      <c r="J135" s="423">
        <v>0</v>
      </c>
      <c r="K135" s="423">
        <v>0</v>
      </c>
      <c r="L135" s="423">
        <v>0</v>
      </c>
      <c r="M135" s="423">
        <v>0</v>
      </c>
      <c r="N135" s="423">
        <f t="shared" si="37"/>
        <v>62.134209999999996</v>
      </c>
      <c r="Q135" s="423">
        <f t="shared" si="35"/>
        <v>65.577179999999998</v>
      </c>
      <c r="R135" s="423">
        <f t="shared" si="36"/>
        <v>62.134209999999996</v>
      </c>
    </row>
    <row r="136" spans="1:18" x14ac:dyDescent="0.25">
      <c r="A136" s="423" t="s">
        <v>85</v>
      </c>
      <c r="B136" s="423">
        <v>-26.068060000000003</v>
      </c>
      <c r="C136" s="423">
        <v>5.0938100000000004</v>
      </c>
      <c r="D136" s="423">
        <v>200.17382999999998</v>
      </c>
      <c r="E136" s="423">
        <v>-177.1679</v>
      </c>
      <c r="F136" s="423">
        <v>8</v>
      </c>
      <c r="G136" s="423">
        <v>8.3164769610052787</v>
      </c>
      <c r="H136" s="423">
        <v>8.2504731756004741</v>
      </c>
      <c r="I136" s="423">
        <v>8.1849932297623766</v>
      </c>
      <c r="J136" s="423">
        <v>8.1200329660341026</v>
      </c>
      <c r="K136" s="423">
        <v>7.9803763793946958</v>
      </c>
      <c r="L136" s="423">
        <v>7.8431217487908542</v>
      </c>
      <c r="M136" s="423">
        <v>7.7082277629394138</v>
      </c>
      <c r="N136" s="423">
        <f t="shared" si="37"/>
        <v>66.435382223527171</v>
      </c>
      <c r="Q136" s="423">
        <f t="shared" si="35"/>
        <v>-177.1679</v>
      </c>
      <c r="R136" s="423">
        <f t="shared" si="36"/>
        <v>66.435382223527171</v>
      </c>
    </row>
    <row r="137" spans="1:18" x14ac:dyDescent="0.25">
      <c r="A137" s="423" t="s">
        <v>145</v>
      </c>
      <c r="B137" s="423">
        <v>0</v>
      </c>
      <c r="C137" s="423"/>
      <c r="D137" s="423"/>
      <c r="E137" s="423"/>
      <c r="F137" s="423"/>
      <c r="G137" s="423"/>
      <c r="H137" s="423"/>
      <c r="I137" s="423"/>
      <c r="J137" s="423"/>
      <c r="K137" s="423"/>
      <c r="L137" s="423"/>
      <c r="M137" s="423"/>
      <c r="N137" s="423">
        <f t="shared" si="37"/>
        <v>0</v>
      </c>
      <c r="Q137" s="423">
        <f t="shared" si="35"/>
        <v>0</v>
      </c>
      <c r="R137" s="423">
        <f t="shared" si="36"/>
        <v>0</v>
      </c>
    </row>
    <row r="138" spans="1:18" x14ac:dyDescent="0.25">
      <c r="A138" s="426" t="s">
        <v>146</v>
      </c>
      <c r="B138" s="426">
        <f>SUM(B133:B137)</f>
        <v>-66.930370000000011</v>
      </c>
      <c r="C138" s="426">
        <f t="shared" ref="C138:M138" si="43">SUM(C133:C137)</f>
        <v>-36.672139999999992</v>
      </c>
      <c r="D138" s="426">
        <f t="shared" si="43"/>
        <v>178.80653999999998</v>
      </c>
      <c r="E138" s="426">
        <f t="shared" si="43"/>
        <v>-115.02679000000001</v>
      </c>
      <c r="F138" s="426">
        <f t="shared" si="43"/>
        <v>-8.545536686259382</v>
      </c>
      <c r="G138" s="426">
        <f t="shared" si="43"/>
        <v>-19.948721421188445</v>
      </c>
      <c r="H138" s="426">
        <f t="shared" si="43"/>
        <v>-13.375827638247715</v>
      </c>
      <c r="I138" s="426">
        <f t="shared" si="43"/>
        <v>-12.965916914710096</v>
      </c>
      <c r="J138" s="426">
        <f t="shared" si="43"/>
        <v>-21.068079576537919</v>
      </c>
      <c r="K138" s="426">
        <f t="shared" si="43"/>
        <v>-18.668840723978658</v>
      </c>
      <c r="L138" s="426">
        <f t="shared" si="43"/>
        <v>-20.055082114093594</v>
      </c>
      <c r="M138" s="426">
        <f t="shared" si="43"/>
        <v>-14.846604554552597</v>
      </c>
      <c r="N138" s="426">
        <f t="shared" si="37"/>
        <v>-169.29736962956838</v>
      </c>
      <c r="Q138" s="426">
        <f t="shared" si="35"/>
        <v>-115.02679000000001</v>
      </c>
      <c r="R138" s="426">
        <f t="shared" si="36"/>
        <v>-169.29736962956838</v>
      </c>
    </row>
    <row r="139" spans="1:18" x14ac:dyDescent="0.25">
      <c r="A139" s="423" t="s">
        <v>148</v>
      </c>
      <c r="B139" s="423">
        <v>88.890339999999995</v>
      </c>
      <c r="C139" s="423">
        <v>89.415120000000002</v>
      </c>
      <c r="D139" s="423">
        <v>89.415120000000002</v>
      </c>
      <c r="E139" s="423">
        <v>89.415120000000002</v>
      </c>
      <c r="F139" s="423">
        <v>90.697222368004915</v>
      </c>
      <c r="G139" s="423">
        <v>90.697222368004915</v>
      </c>
      <c r="H139" s="423">
        <v>90.697222368004915</v>
      </c>
      <c r="I139" s="423">
        <v>90.697222368004915</v>
      </c>
      <c r="J139" s="423">
        <v>90.697222368004915</v>
      </c>
      <c r="K139" s="423">
        <v>90.697222368004915</v>
      </c>
      <c r="L139" s="423">
        <v>90.697222368004915</v>
      </c>
      <c r="M139" s="423">
        <v>90.697222368004915</v>
      </c>
      <c r="N139" s="423">
        <f t="shared" si="37"/>
        <v>1082.713478944039</v>
      </c>
      <c r="Q139" s="423">
        <f t="shared" si="35"/>
        <v>89.415120000000002</v>
      </c>
      <c r="R139" s="423">
        <f t="shared" si="36"/>
        <v>1082.713478944039</v>
      </c>
    </row>
    <row r="140" spans="1:18" x14ac:dyDescent="0.25">
      <c r="A140" s="423" t="s">
        <v>149</v>
      </c>
      <c r="B140" s="423">
        <v>119.01565000000006</v>
      </c>
      <c r="C140" s="423">
        <v>64.739339999999999</v>
      </c>
      <c r="D140" s="423">
        <v>75.012450000000001</v>
      </c>
      <c r="E140" s="423">
        <v>68.807230000000004</v>
      </c>
      <c r="F140" s="423">
        <v>98.390591500776807</v>
      </c>
      <c r="G140" s="423">
        <v>96.833305392241044</v>
      </c>
      <c r="H140" s="423">
        <v>94.250767484749417</v>
      </c>
      <c r="I140" s="423">
        <v>93.639126078573113</v>
      </c>
      <c r="J140" s="423">
        <v>100.27359748474939</v>
      </c>
      <c r="K140" s="423">
        <v>93.927514672396825</v>
      </c>
      <c r="L140" s="423">
        <v>93.530514868173853</v>
      </c>
      <c r="M140" s="423">
        <v>81.499789689728601</v>
      </c>
      <c r="N140" s="423">
        <f t="shared" si="37"/>
        <v>1079.9198771713891</v>
      </c>
      <c r="Q140" s="423">
        <f t="shared" si="35"/>
        <v>68.807230000000004</v>
      </c>
      <c r="R140" s="423">
        <f t="shared" si="36"/>
        <v>1079.9198771713891</v>
      </c>
    </row>
    <row r="141" spans="1:18" x14ac:dyDescent="0.25">
      <c r="A141" s="426" t="s">
        <v>150</v>
      </c>
      <c r="B141" s="426">
        <f>SUM(B139:B140)</f>
        <v>207.90599000000006</v>
      </c>
      <c r="C141" s="426">
        <f t="shared" ref="C141:M141" si="44">SUM(C139:C140)</f>
        <v>154.15446</v>
      </c>
      <c r="D141" s="426">
        <f t="shared" si="44"/>
        <v>164.42757</v>
      </c>
      <c r="E141" s="426">
        <f t="shared" si="44"/>
        <v>158.22235000000001</v>
      </c>
      <c r="F141" s="426">
        <f t="shared" si="44"/>
        <v>189.08781386878172</v>
      </c>
      <c r="G141" s="426">
        <f t="shared" si="44"/>
        <v>187.53052776024595</v>
      </c>
      <c r="H141" s="426">
        <f t="shared" si="44"/>
        <v>184.94798985275435</v>
      </c>
      <c r="I141" s="426">
        <f t="shared" si="44"/>
        <v>184.33634844657803</v>
      </c>
      <c r="J141" s="426">
        <f t="shared" si="44"/>
        <v>190.97081985275429</v>
      </c>
      <c r="K141" s="426">
        <f t="shared" si="44"/>
        <v>184.62473704040173</v>
      </c>
      <c r="L141" s="426">
        <f t="shared" si="44"/>
        <v>184.22773723617877</v>
      </c>
      <c r="M141" s="426">
        <f t="shared" si="44"/>
        <v>172.1970120577335</v>
      </c>
      <c r="N141" s="426">
        <f t="shared" si="37"/>
        <v>2162.6333561154279</v>
      </c>
      <c r="Q141" s="426">
        <f t="shared" si="35"/>
        <v>158.22235000000001</v>
      </c>
      <c r="R141" s="426">
        <f t="shared" si="36"/>
        <v>2162.6333561154279</v>
      </c>
    </row>
    <row r="142" spans="1:18" ht="12.6" thickBot="1" x14ac:dyDescent="0.3">
      <c r="A142" s="429"/>
      <c r="B142" s="429"/>
      <c r="C142" s="429"/>
      <c r="D142" s="429"/>
      <c r="E142" s="429"/>
      <c r="F142" s="429"/>
      <c r="G142" s="429"/>
      <c r="H142" s="429"/>
      <c r="I142" s="429"/>
      <c r="J142" s="429"/>
      <c r="K142" s="429"/>
      <c r="L142" s="429"/>
      <c r="M142" s="429"/>
      <c r="N142" s="429">
        <f t="shared" si="37"/>
        <v>0</v>
      </c>
      <c r="Q142" s="429">
        <f t="shared" si="35"/>
        <v>0</v>
      </c>
      <c r="R142" s="429">
        <f t="shared" si="36"/>
        <v>0</v>
      </c>
    </row>
    <row r="143" spans="1:18" x14ac:dyDescent="0.25">
      <c r="A143" s="426" t="s">
        <v>152</v>
      </c>
      <c r="B143" s="426">
        <f>B132+B138+B141</f>
        <v>1779.7048000000002</v>
      </c>
      <c r="C143" s="426">
        <f t="shared" ref="C143:M143" si="45">C132+C138+C141</f>
        <v>1751.2062900000001</v>
      </c>
      <c r="D143" s="426">
        <f t="shared" si="45"/>
        <v>1712.87913</v>
      </c>
      <c r="E143" s="426">
        <f t="shared" si="45"/>
        <v>901.66915000000006</v>
      </c>
      <c r="F143" s="426">
        <f t="shared" si="45"/>
        <v>1693.9654723699675</v>
      </c>
      <c r="G143" s="426">
        <f t="shared" si="45"/>
        <v>1693.2496742824451</v>
      </c>
      <c r="H143" s="426">
        <f t="shared" si="45"/>
        <v>1663.9548219293613</v>
      </c>
      <c r="I143" s="426">
        <f t="shared" si="45"/>
        <v>1652.6358546684432</v>
      </c>
      <c r="J143" s="426">
        <f t="shared" si="45"/>
        <v>1816.2017489824102</v>
      </c>
      <c r="K143" s="426">
        <f t="shared" si="45"/>
        <v>1764.1942403606995</v>
      </c>
      <c r="L143" s="426">
        <f t="shared" si="45"/>
        <v>1739.8990311590137</v>
      </c>
      <c r="M143" s="426">
        <f t="shared" si="45"/>
        <v>1797.895303424667</v>
      </c>
      <c r="N143" s="426">
        <f t="shared" si="37"/>
        <v>19967.455517177004</v>
      </c>
      <c r="Q143" s="426">
        <f t="shared" si="35"/>
        <v>901.66915000000006</v>
      </c>
      <c r="R143" s="426">
        <f t="shared" si="36"/>
        <v>19967.455517177004</v>
      </c>
    </row>
    <row r="144" spans="1:18" x14ac:dyDescent="0.25">
      <c r="A144" s="428"/>
      <c r="B144" s="428"/>
      <c r="C144" s="428"/>
      <c r="D144" s="428"/>
      <c r="E144" s="428"/>
      <c r="F144" s="428">
        <v>4</v>
      </c>
      <c r="G144" s="428"/>
      <c r="H144" s="428"/>
      <c r="I144" s="428"/>
      <c r="J144" s="428"/>
      <c r="K144" s="428"/>
      <c r="L144" s="428"/>
      <c r="M144" s="428"/>
      <c r="N144" s="428"/>
      <c r="Q144" s="428"/>
      <c r="R144" s="428"/>
    </row>
    <row r="145" spans="1:18" x14ac:dyDescent="0.25">
      <c r="A145" s="428"/>
      <c r="B145" s="428"/>
      <c r="C145" s="428"/>
      <c r="D145" s="428"/>
      <c r="E145" s="428"/>
      <c r="F145" s="428"/>
      <c r="G145" s="428"/>
      <c r="H145" s="428"/>
      <c r="I145" s="428"/>
      <c r="J145" s="428"/>
      <c r="K145" s="428"/>
      <c r="L145" s="428"/>
      <c r="M145" s="428"/>
      <c r="N145" s="428"/>
      <c r="Q145" s="428"/>
      <c r="R145" s="428"/>
    </row>
    <row r="146" spans="1:18" x14ac:dyDescent="0.25">
      <c r="A146" s="428"/>
      <c r="B146" s="428"/>
      <c r="C146" s="428"/>
      <c r="D146" s="428"/>
      <c r="E146" s="428"/>
      <c r="F146" s="428"/>
      <c r="G146" s="428"/>
      <c r="H146" s="428"/>
      <c r="I146" s="428"/>
      <c r="J146" s="428"/>
      <c r="K146" s="428"/>
      <c r="L146" s="428"/>
      <c r="M146" s="428"/>
      <c r="N146" s="428"/>
      <c r="Q146" s="428"/>
      <c r="R146" s="428"/>
    </row>
    <row r="147" spans="1:18" x14ac:dyDescent="0.25">
      <c r="A147" s="428"/>
      <c r="B147" s="428"/>
      <c r="C147" s="428"/>
      <c r="D147" s="428"/>
      <c r="E147" s="428"/>
      <c r="F147" s="428"/>
      <c r="G147" s="428"/>
      <c r="H147" s="428"/>
      <c r="I147" s="428"/>
      <c r="J147" s="428"/>
      <c r="K147" s="428"/>
      <c r="L147" s="428"/>
      <c r="M147" s="428">
        <v>1000</v>
      </c>
      <c r="N147" s="428"/>
      <c r="Q147" s="428"/>
      <c r="R147" s="428"/>
    </row>
    <row r="148" spans="1:18" x14ac:dyDescent="0.25">
      <c r="A148" s="428"/>
      <c r="B148" s="428"/>
      <c r="C148" s="428"/>
      <c r="D148" s="428"/>
      <c r="E148" s="428"/>
      <c r="F148" s="428"/>
      <c r="G148" s="428"/>
      <c r="H148" s="428"/>
      <c r="I148" s="428"/>
      <c r="J148" s="428"/>
      <c r="K148" s="428"/>
      <c r="L148" s="428"/>
      <c r="M148" s="428"/>
      <c r="N148" s="428"/>
      <c r="Q148" s="428"/>
      <c r="R148" s="428"/>
    </row>
    <row r="149" spans="1:18" x14ac:dyDescent="0.25">
      <c r="A149" s="458"/>
      <c r="B149" s="459"/>
      <c r="C149" s="459"/>
      <c r="D149" s="459"/>
      <c r="E149" s="459"/>
      <c r="F149" s="459"/>
      <c r="G149" s="459"/>
      <c r="H149" s="459"/>
      <c r="I149" s="459"/>
      <c r="J149" s="459"/>
      <c r="K149" s="459"/>
      <c r="L149" s="459"/>
      <c r="M149" s="459"/>
    </row>
    <row r="152" spans="1:18" x14ac:dyDescent="0.25">
      <c r="A152" s="455" t="s">
        <v>186</v>
      </c>
      <c r="B152" s="456" t="s">
        <v>0</v>
      </c>
      <c r="C152" s="456" t="s">
        <v>1</v>
      </c>
      <c r="D152" s="456" t="s">
        <v>2</v>
      </c>
      <c r="E152" s="456" t="s">
        <v>3</v>
      </c>
      <c r="F152" s="456" t="s">
        <v>4</v>
      </c>
      <c r="G152" s="456" t="s">
        <v>5</v>
      </c>
      <c r="H152" s="456" t="s">
        <v>6</v>
      </c>
      <c r="I152" s="456" t="s">
        <v>7</v>
      </c>
      <c r="J152" s="456" t="s">
        <v>8</v>
      </c>
      <c r="K152" s="456" t="s">
        <v>9</v>
      </c>
      <c r="L152" s="456" t="s">
        <v>10</v>
      </c>
      <c r="M152" s="456" t="s">
        <v>11</v>
      </c>
      <c r="N152" s="456" t="s">
        <v>12</v>
      </c>
      <c r="Q152" s="449" t="s">
        <v>180</v>
      </c>
      <c r="R152" s="449" t="s">
        <v>94</v>
      </c>
    </row>
    <row r="153" spans="1:18" x14ac:dyDescent="0.25">
      <c r="A153" s="422" t="s">
        <v>158</v>
      </c>
      <c r="B153" s="422">
        <f>B117-B84-B39</f>
        <v>3.850631330558258</v>
      </c>
      <c r="C153" s="422">
        <f>C117-C84-C39</f>
        <v>25.73881423876211</v>
      </c>
      <c r="D153" s="422">
        <f t="shared" ref="D153:M153" si="46">D117-D84-D39</f>
        <v>44.841605151282494</v>
      </c>
      <c r="E153" s="422">
        <f>E117-E84-E39</f>
        <v>-63.826529006296937</v>
      </c>
      <c r="F153" s="422">
        <f t="shared" si="46"/>
        <v>-149.53212774556951</v>
      </c>
      <c r="G153" s="422">
        <f t="shared" si="46"/>
        <v>-123.28104162732107</v>
      </c>
      <c r="H153" s="422">
        <f t="shared" si="46"/>
        <v>-89.42375928631651</v>
      </c>
      <c r="I153" s="422">
        <f t="shared" si="46"/>
        <v>-102.81241168621733</v>
      </c>
      <c r="J153" s="422">
        <f t="shared" si="46"/>
        <v>-68.423160567231832</v>
      </c>
      <c r="K153" s="422">
        <f t="shared" si="46"/>
        <v>-30.683376890775818</v>
      </c>
      <c r="L153" s="422">
        <f t="shared" si="46"/>
        <v>-17.339155115579629</v>
      </c>
      <c r="M153" s="422">
        <f t="shared" si="46"/>
        <v>-28.943185526951979</v>
      </c>
      <c r="N153" s="422">
        <f>SUM(B153:M153)</f>
        <v>-599.83369673165771</v>
      </c>
      <c r="Q153" s="422">
        <f t="shared" ref="Q153:Q179" si="47">SUMPRODUCT(B153:M153,B$2:M$2)</f>
        <v>-63.826529006296937</v>
      </c>
      <c r="R153" s="422">
        <f t="shared" ref="R153:R179" si="48">SUMPRODUCT(B153:M153,B$1:M$1)</f>
        <v>-599.83369673165771</v>
      </c>
    </row>
    <row r="154" spans="1:18" x14ac:dyDescent="0.25">
      <c r="A154" s="422" t="s">
        <v>75</v>
      </c>
      <c r="B154" s="422">
        <f t="shared" ref="B154:M155" si="49">B118-B85-B40</f>
        <v>-9.945895665293417</v>
      </c>
      <c r="C154" s="422">
        <f t="shared" si="49"/>
        <v>-14.54630544957892</v>
      </c>
      <c r="D154" s="422">
        <f t="shared" si="49"/>
        <v>4.3597875673948714</v>
      </c>
      <c r="E154" s="422">
        <f t="shared" si="49"/>
        <v>-1.5262964651115176</v>
      </c>
      <c r="F154" s="422">
        <f t="shared" si="49"/>
        <v>-2.542464169262324</v>
      </c>
      <c r="G154" s="422">
        <f t="shared" si="49"/>
        <v>2.800524889733893</v>
      </c>
      <c r="H154" s="422">
        <f t="shared" si="49"/>
        <v>2.2267660607496005</v>
      </c>
      <c r="I154" s="422">
        <f t="shared" si="49"/>
        <v>3.9063515323169469</v>
      </c>
      <c r="J154" s="422">
        <f t="shared" si="49"/>
        <v>5.3846540655106025</v>
      </c>
      <c r="K154" s="422">
        <f t="shared" si="49"/>
        <v>2.0308928803240036</v>
      </c>
      <c r="L154" s="422">
        <f t="shared" si="49"/>
        <v>-3.0986576671457726</v>
      </c>
      <c r="M154" s="422">
        <f t="shared" si="49"/>
        <v>-1.2702521009590839</v>
      </c>
      <c r="N154" s="422">
        <f t="shared" ref="N154:N155" si="50">SUM(B154:M154)</f>
        <v>-12.220894521321117</v>
      </c>
      <c r="Q154" s="422">
        <f t="shared" si="47"/>
        <v>-1.5262964651115176</v>
      </c>
      <c r="R154" s="422">
        <f t="shared" si="48"/>
        <v>-12.220894521321117</v>
      </c>
    </row>
    <row r="155" spans="1:18" x14ac:dyDescent="0.25">
      <c r="A155" s="423" t="s">
        <v>196</v>
      </c>
      <c r="B155" s="422">
        <f t="shared" si="49"/>
        <v>-1.8356719955925378</v>
      </c>
      <c r="C155" s="422">
        <f t="shared" si="49"/>
        <v>-1.7736303713014188</v>
      </c>
      <c r="D155" s="422">
        <f t="shared" si="49"/>
        <v>1.8466906167433788</v>
      </c>
      <c r="E155" s="422">
        <f t="shared" si="49"/>
        <v>25.924282004155671</v>
      </c>
      <c r="F155" s="422">
        <f t="shared" si="49"/>
        <v>-0.71069052445532854</v>
      </c>
      <c r="G155" s="422">
        <f t="shared" si="49"/>
        <v>-1.056140998528484</v>
      </c>
      <c r="H155" s="422">
        <f t="shared" si="49"/>
        <v>-1.0357377992817778</v>
      </c>
      <c r="I155" s="422">
        <f t="shared" si="49"/>
        <v>-0.17431281567888668</v>
      </c>
      <c r="J155" s="422">
        <f t="shared" si="49"/>
        <v>-0.71363467564459171</v>
      </c>
      <c r="K155" s="422">
        <f t="shared" si="49"/>
        <v>-7.5776673913908965E-2</v>
      </c>
      <c r="L155" s="422">
        <f t="shared" si="49"/>
        <v>-0.84809090742866644</v>
      </c>
      <c r="M155" s="422">
        <f t="shared" si="49"/>
        <v>1.4901630160931862</v>
      </c>
      <c r="N155" s="422">
        <f t="shared" si="50"/>
        <v>21.037448875166639</v>
      </c>
      <c r="Q155" s="423">
        <f t="shared" si="47"/>
        <v>25.924282004155671</v>
      </c>
      <c r="R155" s="423">
        <f t="shared" si="48"/>
        <v>21.037448875166639</v>
      </c>
    </row>
    <row r="156" spans="1:18" ht="12.6" thickBot="1" x14ac:dyDescent="0.3">
      <c r="A156" s="424" t="s">
        <v>197</v>
      </c>
      <c r="B156" s="424">
        <f>SUM(B153:B155)</f>
        <v>-7.9309363303276967</v>
      </c>
      <c r="C156" s="424">
        <f t="shared" ref="C156:N156" si="51">SUM(C153:C155)</f>
        <v>9.4188784178817713</v>
      </c>
      <c r="D156" s="424">
        <f t="shared" si="51"/>
        <v>51.048083335420749</v>
      </c>
      <c r="E156" s="424">
        <f t="shared" si="51"/>
        <v>-39.42854346725278</v>
      </c>
      <c r="F156" s="424">
        <f t="shared" si="51"/>
        <v>-152.78528243928716</v>
      </c>
      <c r="G156" s="424">
        <f t="shared" si="51"/>
        <v>-121.53665773611567</v>
      </c>
      <c r="H156" s="424">
        <f t="shared" si="51"/>
        <v>-88.23273102484869</v>
      </c>
      <c r="I156" s="424">
        <f t="shared" si="51"/>
        <v>-99.080372969579273</v>
      </c>
      <c r="J156" s="424">
        <f t="shared" si="51"/>
        <v>-63.752141177365822</v>
      </c>
      <c r="K156" s="424">
        <f t="shared" si="51"/>
        <v>-28.728260684365722</v>
      </c>
      <c r="L156" s="424">
        <f t="shared" si="51"/>
        <v>-21.285903690154068</v>
      </c>
      <c r="M156" s="424">
        <f t="shared" si="51"/>
        <v>-28.723274611817878</v>
      </c>
      <c r="N156" s="424">
        <f t="shared" si="51"/>
        <v>-591.01714237781221</v>
      </c>
      <c r="Q156" s="424">
        <f t="shared" si="47"/>
        <v>-39.42854346725278</v>
      </c>
      <c r="R156" s="424">
        <f t="shared" si="48"/>
        <v>-591.01714237781221</v>
      </c>
    </row>
    <row r="157" spans="1:18" x14ac:dyDescent="0.25">
      <c r="A157" s="425" t="s">
        <v>80</v>
      </c>
      <c r="B157" s="422">
        <f>B121-B9</f>
        <v>41.768166511777196</v>
      </c>
      <c r="C157" s="422">
        <f t="shared" ref="C157:M157" si="52">C121-C9</f>
        <v>2.8140731883988792</v>
      </c>
      <c r="D157" s="422">
        <f t="shared" si="52"/>
        <v>-22.465181005166755</v>
      </c>
      <c r="E157" s="422">
        <f t="shared" si="52"/>
        <v>7.2207334379732515</v>
      </c>
      <c r="F157" s="422">
        <f t="shared" si="52"/>
        <v>25.045668366487547</v>
      </c>
      <c r="G157" s="422">
        <f t="shared" si="52"/>
        <v>24.099349069977904</v>
      </c>
      <c r="H157" s="422">
        <f t="shared" si="52"/>
        <v>11.101979974821148</v>
      </c>
      <c r="I157" s="422">
        <f t="shared" si="52"/>
        <v>19.043856912590456</v>
      </c>
      <c r="J157" s="422">
        <f t="shared" si="52"/>
        <v>-1.2179850900896838</v>
      </c>
      <c r="K157" s="422">
        <f t="shared" si="52"/>
        <v>-0.94060877241528829</v>
      </c>
      <c r="L157" s="422">
        <f t="shared" si="52"/>
        <v>4.6188191261023803E-2</v>
      </c>
      <c r="M157" s="422">
        <f t="shared" si="52"/>
        <v>-7.6621928633616676</v>
      </c>
      <c r="N157" s="422">
        <f t="shared" ref="N157:N162" si="53">SUM(B157:M157)</f>
        <v>98.854047922254011</v>
      </c>
      <c r="Q157" s="425">
        <f t="shared" si="47"/>
        <v>7.2207334379732515</v>
      </c>
      <c r="R157" s="425">
        <f t="shared" si="48"/>
        <v>98.854047922254011</v>
      </c>
    </row>
    <row r="158" spans="1:18" x14ac:dyDescent="0.25">
      <c r="A158" s="423" t="s">
        <v>81</v>
      </c>
      <c r="B158" s="422">
        <f t="shared" ref="B158:M162" si="54">B122-B10</f>
        <v>8.5898946241478029</v>
      </c>
      <c r="C158" s="422">
        <f t="shared" si="54"/>
        <v>-1.9189555897595199</v>
      </c>
      <c r="D158" s="422">
        <f t="shared" si="54"/>
        <v>1.7958045431961978</v>
      </c>
      <c r="E158" s="422">
        <f t="shared" si="54"/>
        <v>-18.064406472686457</v>
      </c>
      <c r="F158" s="422">
        <f t="shared" si="54"/>
        <v>2.5382266399867746</v>
      </c>
      <c r="G158" s="422">
        <f t="shared" si="54"/>
        <v>2.2087568253473222</v>
      </c>
      <c r="H158" s="422">
        <f t="shared" si="54"/>
        <v>0.9423811384074412</v>
      </c>
      <c r="I158" s="422">
        <f t="shared" si="54"/>
        <v>0.59720350987123538</v>
      </c>
      <c r="J158" s="422">
        <f t="shared" si="54"/>
        <v>0.55738296025796785</v>
      </c>
      <c r="K158" s="422">
        <f t="shared" si="54"/>
        <v>0.7984103162931433</v>
      </c>
      <c r="L158" s="422">
        <f t="shared" si="54"/>
        <v>1.2022941276481163</v>
      </c>
      <c r="M158" s="422">
        <f t="shared" si="54"/>
        <v>1.6105760635334576</v>
      </c>
      <c r="N158" s="422">
        <f t="shared" si="53"/>
        <v>0.85756868624348215</v>
      </c>
      <c r="Q158" s="423">
        <f t="shared" si="47"/>
        <v>-18.064406472686457</v>
      </c>
      <c r="R158" s="423">
        <f t="shared" si="48"/>
        <v>0.85756868624348215</v>
      </c>
    </row>
    <row r="159" spans="1:18" x14ac:dyDescent="0.25">
      <c r="A159" s="423" t="s">
        <v>82</v>
      </c>
      <c r="B159" s="422">
        <f t="shared" si="54"/>
        <v>-18.928770547539955</v>
      </c>
      <c r="C159" s="422">
        <f t="shared" si="54"/>
        <v>67.511113790441613</v>
      </c>
      <c r="D159" s="422">
        <f t="shared" si="54"/>
        <v>-46.719596456877753</v>
      </c>
      <c r="E159" s="422">
        <f t="shared" si="54"/>
        <v>-90.961276793068478</v>
      </c>
      <c r="F159" s="422">
        <f t="shared" si="54"/>
        <v>10.419950194345518</v>
      </c>
      <c r="G159" s="422">
        <f t="shared" si="54"/>
        <v>10.063214568237754</v>
      </c>
      <c r="H159" s="422">
        <f t="shared" si="54"/>
        <v>7.6962290565596732</v>
      </c>
      <c r="I159" s="422">
        <f t="shared" si="54"/>
        <v>13.683442360661189</v>
      </c>
      <c r="J159" s="422">
        <f t="shared" si="54"/>
        <v>37.834369973517397</v>
      </c>
      <c r="K159" s="422">
        <f t="shared" si="54"/>
        <v>-6.7406071604002875</v>
      </c>
      <c r="L159" s="422">
        <f t="shared" si="54"/>
        <v>-0.67254040764669298</v>
      </c>
      <c r="M159" s="422">
        <f t="shared" si="54"/>
        <v>-7.6112944584297395</v>
      </c>
      <c r="N159" s="422">
        <f t="shared" si="53"/>
        <v>-24.425765880199762</v>
      </c>
      <c r="Q159" s="423">
        <f t="shared" si="47"/>
        <v>-90.961276793068478</v>
      </c>
      <c r="R159" s="423">
        <f t="shared" si="48"/>
        <v>-24.425765880199762</v>
      </c>
    </row>
    <row r="160" spans="1:18" x14ac:dyDescent="0.25">
      <c r="A160" s="423" t="s">
        <v>83</v>
      </c>
      <c r="B160" s="422">
        <f t="shared" si="54"/>
        <v>-0.71595999999999993</v>
      </c>
      <c r="C160" s="422">
        <f t="shared" si="54"/>
        <v>-1.9222900000000003</v>
      </c>
      <c r="D160" s="422">
        <f t="shared" si="54"/>
        <v>-2.4577300000000002</v>
      </c>
      <c r="E160" s="422">
        <f t="shared" si="54"/>
        <v>-1.1946699999999999</v>
      </c>
      <c r="F160" s="422">
        <f t="shared" si="54"/>
        <v>8.6718878673813116E-2</v>
      </c>
      <c r="G160" s="422">
        <f t="shared" si="54"/>
        <v>0.97399401071476888</v>
      </c>
      <c r="H160" s="422">
        <f t="shared" si="54"/>
        <v>0.3685160218724608</v>
      </c>
      <c r="I160" s="422">
        <f t="shared" si="54"/>
        <v>1.2648378197233843</v>
      </c>
      <c r="J160" s="422">
        <f t="shared" si="54"/>
        <v>0.21904146218498877</v>
      </c>
      <c r="K160" s="422">
        <f t="shared" si="54"/>
        <v>1.0368274334861702</v>
      </c>
      <c r="L160" s="422">
        <f t="shared" si="54"/>
        <v>0.35556475416879874</v>
      </c>
      <c r="M160" s="422">
        <f t="shared" si="54"/>
        <v>1.0214028655964391</v>
      </c>
      <c r="N160" s="422">
        <f t="shared" si="53"/>
        <v>-0.96374675357917727</v>
      </c>
      <c r="Q160" s="423">
        <f t="shared" si="47"/>
        <v>-1.1946699999999999</v>
      </c>
      <c r="R160" s="423">
        <f t="shared" si="48"/>
        <v>-0.96374675357917727</v>
      </c>
    </row>
    <row r="161" spans="1:18" x14ac:dyDescent="0.25">
      <c r="A161" s="423" t="s">
        <v>84</v>
      </c>
      <c r="B161" s="422">
        <f t="shared" si="54"/>
        <v>3.4758806587722972</v>
      </c>
      <c r="C161" s="422">
        <f t="shared" si="54"/>
        <v>-7.5784653888396747</v>
      </c>
      <c r="D161" s="422">
        <f t="shared" si="54"/>
        <v>-8.3359835219231684</v>
      </c>
      <c r="E161" s="422">
        <f t="shared" si="54"/>
        <v>-45.916888494505592</v>
      </c>
      <c r="F161" s="422">
        <f t="shared" si="54"/>
        <v>5.1564194153695126</v>
      </c>
      <c r="G161" s="422">
        <f t="shared" si="54"/>
        <v>5.353256126228473</v>
      </c>
      <c r="H161" s="422">
        <f t="shared" si="54"/>
        <v>-2.0970900500982026</v>
      </c>
      <c r="I161" s="422">
        <f t="shared" si="54"/>
        <v>-2.0869783904296924</v>
      </c>
      <c r="J161" s="422">
        <f t="shared" si="54"/>
        <v>-2.0762537121731839</v>
      </c>
      <c r="K161" s="422">
        <f t="shared" si="54"/>
        <v>6.0217140623933219</v>
      </c>
      <c r="L161" s="422">
        <f t="shared" si="54"/>
        <v>6.1526165714193937</v>
      </c>
      <c r="M161" s="422">
        <f t="shared" si="54"/>
        <v>6.3427977736272396</v>
      </c>
      <c r="N161" s="422">
        <f t="shared" si="53"/>
        <v>-35.588974950159276</v>
      </c>
      <c r="Q161" s="423">
        <f t="shared" si="47"/>
        <v>-45.916888494505592</v>
      </c>
      <c r="R161" s="423">
        <f t="shared" si="48"/>
        <v>-35.588974950159276</v>
      </c>
    </row>
    <row r="162" spans="1:18" x14ac:dyDescent="0.25">
      <c r="A162" s="423" t="s">
        <v>86</v>
      </c>
      <c r="B162" s="422">
        <f t="shared" si="54"/>
        <v>9.5564881465310805</v>
      </c>
      <c r="C162" s="422">
        <f>C126-C14</f>
        <v>8.4431558840506682</v>
      </c>
      <c r="D162" s="422">
        <f t="shared" si="54"/>
        <v>10.670501336242751</v>
      </c>
      <c r="E162" s="422">
        <f t="shared" si="54"/>
        <v>-162.19022143443954</v>
      </c>
      <c r="F162" s="422">
        <f t="shared" si="54"/>
        <v>-6.7091981600268582</v>
      </c>
      <c r="G162" s="422">
        <f t="shared" si="54"/>
        <v>-4.6663172186816837</v>
      </c>
      <c r="H162" s="422">
        <f t="shared" si="54"/>
        <v>-5.2395848973835086</v>
      </c>
      <c r="I162" s="422">
        <f t="shared" si="54"/>
        <v>-5.8767105809751001</v>
      </c>
      <c r="J162" s="422">
        <f t="shared" si="54"/>
        <v>-6.1309883865570782</v>
      </c>
      <c r="K162" s="422">
        <f t="shared" si="54"/>
        <v>-5.3952813092795111</v>
      </c>
      <c r="L162" s="422">
        <f t="shared" si="54"/>
        <v>-4.051991673728196</v>
      </c>
      <c r="M162" s="422">
        <f t="shared" si="54"/>
        <v>-4.5659914182249963</v>
      </c>
      <c r="N162" s="422">
        <f t="shared" si="53"/>
        <v>-176.15613971247197</v>
      </c>
      <c r="Q162" s="423">
        <f t="shared" si="47"/>
        <v>-162.19022143443954</v>
      </c>
      <c r="R162" s="423">
        <f t="shared" si="48"/>
        <v>-176.15613971247197</v>
      </c>
    </row>
    <row r="163" spans="1:18" ht="12.6" thickBot="1" x14ac:dyDescent="0.3">
      <c r="A163" s="424" t="s">
        <v>198</v>
      </c>
      <c r="B163" s="424">
        <f>SUM(B157:B162)</f>
        <v>43.745699393688426</v>
      </c>
      <c r="C163" s="424">
        <f t="shared" ref="C163:N163" si="55">SUM(C157:C162)</f>
        <v>67.348631884291962</v>
      </c>
      <c r="D163" s="424">
        <f t="shared" si="55"/>
        <v>-67.512185104528726</v>
      </c>
      <c r="E163" s="424">
        <f t="shared" si="55"/>
        <v>-311.10672975672685</v>
      </c>
      <c r="F163" s="424">
        <f t="shared" si="55"/>
        <v>36.537785334836308</v>
      </c>
      <c r="G163" s="424">
        <f t="shared" si="55"/>
        <v>38.032253381824539</v>
      </c>
      <c r="H163" s="424">
        <f t="shared" si="55"/>
        <v>12.77243124417901</v>
      </c>
      <c r="I163" s="424">
        <f t="shared" si="55"/>
        <v>26.625651631441471</v>
      </c>
      <c r="J163" s="424">
        <f t="shared" si="55"/>
        <v>29.185567207140409</v>
      </c>
      <c r="K163" s="424">
        <f t="shared" si="55"/>
        <v>-5.2195454299224515</v>
      </c>
      <c r="L163" s="424">
        <f t="shared" si="55"/>
        <v>3.0321315631224435</v>
      </c>
      <c r="M163" s="424">
        <f t="shared" si="55"/>
        <v>-10.864702037259267</v>
      </c>
      <c r="N163" s="424">
        <f t="shared" si="55"/>
        <v>-137.42301068791269</v>
      </c>
      <c r="Q163" s="424">
        <f t="shared" si="47"/>
        <v>-311.10672975672685</v>
      </c>
      <c r="R163" s="424">
        <f t="shared" si="48"/>
        <v>-137.42301068791272</v>
      </c>
    </row>
    <row r="164" spans="1:18" x14ac:dyDescent="0.25">
      <c r="A164" s="426" t="s">
        <v>88</v>
      </c>
      <c r="B164" s="426">
        <f>B156+B163</f>
        <v>35.814763063360729</v>
      </c>
      <c r="C164" s="426">
        <f t="shared" ref="C164:N164" si="56">C156+C163</f>
        <v>76.767510302173733</v>
      </c>
      <c r="D164" s="426">
        <f t="shared" si="56"/>
        <v>-16.464101769107977</v>
      </c>
      <c r="E164" s="426">
        <f t="shared" si="56"/>
        <v>-350.53527322397963</v>
      </c>
      <c r="F164" s="426">
        <f t="shared" si="56"/>
        <v>-116.24749710445084</v>
      </c>
      <c r="G164" s="426">
        <f t="shared" si="56"/>
        <v>-83.504404354291125</v>
      </c>
      <c r="H164" s="426">
        <f t="shared" si="56"/>
        <v>-75.460299780669686</v>
      </c>
      <c r="I164" s="426">
        <f t="shared" si="56"/>
        <v>-72.454721338137801</v>
      </c>
      <c r="J164" s="426">
        <f t="shared" si="56"/>
        <v>-34.566573970225413</v>
      </c>
      <c r="K164" s="426">
        <f t="shared" si="56"/>
        <v>-33.94780611428817</v>
      </c>
      <c r="L164" s="426">
        <f t="shared" si="56"/>
        <v>-18.253772127031624</v>
      </c>
      <c r="M164" s="426">
        <f t="shared" si="56"/>
        <v>-39.587976649077149</v>
      </c>
      <c r="N164" s="426">
        <f t="shared" si="56"/>
        <v>-728.44015306572487</v>
      </c>
      <c r="Q164" s="426">
        <f t="shared" si="47"/>
        <v>-350.53527322397963</v>
      </c>
      <c r="R164" s="426">
        <f t="shared" si="48"/>
        <v>-728.44015306572487</v>
      </c>
    </row>
    <row r="165" spans="1:18" x14ac:dyDescent="0.25">
      <c r="A165" s="423" t="s">
        <v>89</v>
      </c>
      <c r="B165" s="422">
        <f t="shared" ref="B165:M165" si="57">B129-B17</f>
        <v>-3.8459299443241335</v>
      </c>
      <c r="C165" s="422">
        <f t="shared" si="57"/>
        <v>-6.2792948459896962</v>
      </c>
      <c r="D165" s="422">
        <f t="shared" si="57"/>
        <v>14.301274567969617</v>
      </c>
      <c r="E165" s="422">
        <f>E129-E17</f>
        <v>-7.5195740440629528</v>
      </c>
      <c r="F165" s="422">
        <f t="shared" si="57"/>
        <v>-3.2688706821266642</v>
      </c>
      <c r="G165" s="422">
        <f t="shared" si="57"/>
        <v>-3.0823174006090532</v>
      </c>
      <c r="H165" s="422">
        <f t="shared" si="57"/>
        <v>-3.0443918187799426</v>
      </c>
      <c r="I165" s="422">
        <f t="shared" si="57"/>
        <v>-3.1138847804382834</v>
      </c>
      <c r="J165" s="422">
        <f t="shared" si="57"/>
        <v>-3.337552206635138</v>
      </c>
      <c r="K165" s="422">
        <f t="shared" si="57"/>
        <v>-2.5345277846794687</v>
      </c>
      <c r="L165" s="422">
        <f t="shared" si="57"/>
        <v>-2.4668622705728858</v>
      </c>
      <c r="M165" s="422">
        <f t="shared" si="57"/>
        <v>-2.4909118589628569</v>
      </c>
      <c r="N165" s="422">
        <f>SUM(B165:M165)</f>
        <v>-26.682843069211458</v>
      </c>
      <c r="Q165" s="423">
        <f t="shared" si="47"/>
        <v>-7.5195740440629528</v>
      </c>
      <c r="R165" s="423">
        <f t="shared" si="48"/>
        <v>-26.682843069211458</v>
      </c>
    </row>
    <row r="166" spans="1:18" x14ac:dyDescent="0.25">
      <c r="A166" s="426" t="s">
        <v>90</v>
      </c>
      <c r="B166" s="426">
        <f>B164+B165</f>
        <v>31.968833119036596</v>
      </c>
      <c r="C166" s="426">
        <f t="shared" ref="C166:N166" si="58">C164+C165</f>
        <v>70.488215456184037</v>
      </c>
      <c r="D166" s="426">
        <f t="shared" si="58"/>
        <v>-2.1628272011383594</v>
      </c>
      <c r="E166" s="426">
        <f t="shared" si="58"/>
        <v>-358.05484726804258</v>
      </c>
      <c r="F166" s="426">
        <f t="shared" si="58"/>
        <v>-119.5163677865775</v>
      </c>
      <c r="G166" s="426">
        <f t="shared" si="58"/>
        <v>-86.586721754900182</v>
      </c>
      <c r="H166" s="426">
        <f t="shared" si="58"/>
        <v>-78.504691599449629</v>
      </c>
      <c r="I166" s="426">
        <f t="shared" si="58"/>
        <v>-75.568606118576085</v>
      </c>
      <c r="J166" s="426">
        <f t="shared" si="58"/>
        <v>-37.904126176860551</v>
      </c>
      <c r="K166" s="426">
        <f t="shared" si="58"/>
        <v>-36.482333898967639</v>
      </c>
      <c r="L166" s="426">
        <f t="shared" si="58"/>
        <v>-20.72063439760451</v>
      </c>
      <c r="M166" s="426">
        <f t="shared" si="58"/>
        <v>-42.078888508040009</v>
      </c>
      <c r="N166" s="426">
        <f t="shared" si="58"/>
        <v>-755.12299613493633</v>
      </c>
      <c r="Q166" s="426">
        <f t="shared" si="47"/>
        <v>-358.05484726804258</v>
      </c>
      <c r="R166" s="426">
        <f t="shared" si="48"/>
        <v>-755.12299613493644</v>
      </c>
    </row>
    <row r="167" spans="1:18" x14ac:dyDescent="0.25">
      <c r="A167" s="423" t="s">
        <v>91</v>
      </c>
      <c r="B167" s="422">
        <f t="shared" ref="B167:M167" si="59">B131-B19</f>
        <v>-22.785653979865913</v>
      </c>
      <c r="C167" s="422">
        <f>C131-C19</f>
        <v>-20.524111717384415</v>
      </c>
      <c r="D167" s="422">
        <f t="shared" si="59"/>
        <v>-27.34751383624473</v>
      </c>
      <c r="E167" s="422">
        <f t="shared" si="59"/>
        <v>-376.14383106556062</v>
      </c>
      <c r="F167" s="422">
        <f t="shared" si="59"/>
        <v>-114.91711073403849</v>
      </c>
      <c r="G167" s="422">
        <f t="shared" si="59"/>
        <v>-112.37311498794077</v>
      </c>
      <c r="H167" s="422">
        <f t="shared" si="59"/>
        <v>-114.30546644051748</v>
      </c>
      <c r="I167" s="422">
        <f t="shared" si="59"/>
        <v>-113.65853075692547</v>
      </c>
      <c r="J167" s="422">
        <f t="shared" si="59"/>
        <v>-109.87637729951791</v>
      </c>
      <c r="K167" s="422">
        <f t="shared" si="59"/>
        <v>-113.67571002862167</v>
      </c>
      <c r="L167" s="422">
        <f t="shared" si="59"/>
        <v>-111.47527401234572</v>
      </c>
      <c r="M167" s="422">
        <f t="shared" si="59"/>
        <v>-114.84957034720446</v>
      </c>
      <c r="N167" s="422">
        <f>SUM(B167:M167)</f>
        <v>-1351.9322652061678</v>
      </c>
      <c r="Q167" s="423">
        <f t="shared" si="47"/>
        <v>-376.14383106556062</v>
      </c>
      <c r="R167" s="423">
        <f t="shared" si="48"/>
        <v>-1351.9322652061678</v>
      </c>
    </row>
    <row r="168" spans="1:18" x14ac:dyDescent="0.25">
      <c r="A168" s="426" t="s">
        <v>92</v>
      </c>
      <c r="B168" s="426">
        <f>B166+B167</f>
        <v>9.183179139170683</v>
      </c>
      <c r="C168" s="426">
        <f t="shared" ref="C168:N168" si="60">C166+C167</f>
        <v>49.964103738799622</v>
      </c>
      <c r="D168" s="426">
        <f t="shared" si="60"/>
        <v>-29.510341037383089</v>
      </c>
      <c r="E168" s="426">
        <f t="shared" si="60"/>
        <v>-734.1986783336032</v>
      </c>
      <c r="F168" s="426">
        <f t="shared" si="60"/>
        <v>-234.43347852061601</v>
      </c>
      <c r="G168" s="426">
        <f t="shared" si="60"/>
        <v>-198.95983674284093</v>
      </c>
      <c r="H168" s="426">
        <f t="shared" si="60"/>
        <v>-192.81015803996712</v>
      </c>
      <c r="I168" s="426">
        <f t="shared" si="60"/>
        <v>-189.22713687550157</v>
      </c>
      <c r="J168" s="426">
        <f t="shared" si="60"/>
        <v>-147.78050347637847</v>
      </c>
      <c r="K168" s="426">
        <f t="shared" si="60"/>
        <v>-150.15804392758929</v>
      </c>
      <c r="L168" s="426">
        <f t="shared" si="60"/>
        <v>-132.19590840995022</v>
      </c>
      <c r="M168" s="426">
        <f t="shared" si="60"/>
        <v>-156.92845885524446</v>
      </c>
      <c r="N168" s="426">
        <f t="shared" si="60"/>
        <v>-2107.0552613411041</v>
      </c>
      <c r="Q168" s="426">
        <f t="shared" si="47"/>
        <v>-734.1986783336032</v>
      </c>
      <c r="R168" s="426">
        <f t="shared" si="48"/>
        <v>-2107.0552613411041</v>
      </c>
    </row>
    <row r="169" spans="1:18" x14ac:dyDescent="0.25">
      <c r="A169" s="423" t="s">
        <v>76</v>
      </c>
      <c r="B169" s="422">
        <f t="shared" ref="B169:M171" si="61">B133-B100-B55</f>
        <v>-6.3537157323029128</v>
      </c>
      <c r="C169" s="422">
        <f t="shared" si="61"/>
        <v>-7.9342843849887288</v>
      </c>
      <c r="D169" s="422">
        <f t="shared" si="61"/>
        <v>-3.8912386850887462</v>
      </c>
      <c r="E169" s="422">
        <f t="shared" si="61"/>
        <v>35.69074291973898</v>
      </c>
      <c r="F169" s="422">
        <f t="shared" si="61"/>
        <v>0.12980377273988175</v>
      </c>
      <c r="G169" s="422">
        <f t="shared" si="61"/>
        <v>1.6859305074158177</v>
      </c>
      <c r="H169" s="422">
        <f t="shared" si="61"/>
        <v>1.1362077123389653</v>
      </c>
      <c r="I169" s="422">
        <f t="shared" si="61"/>
        <v>1.5843281780826102</v>
      </c>
      <c r="J169" s="422">
        <f t="shared" si="61"/>
        <v>1.9804817164250004</v>
      </c>
      <c r="K169" s="422">
        <f t="shared" si="61"/>
        <v>2.2734102953954567</v>
      </c>
      <c r="L169" s="422">
        <f t="shared" si="61"/>
        <v>1.5918948185582096</v>
      </c>
      <c r="M169" s="422">
        <f t="shared" si="61"/>
        <v>1.8075563992126753</v>
      </c>
      <c r="N169" s="422">
        <f t="shared" ref="N169:N173" si="62">SUM(B169:M169)</f>
        <v>29.701117517527212</v>
      </c>
      <c r="Q169" s="423">
        <f t="shared" si="47"/>
        <v>35.69074291973898</v>
      </c>
      <c r="R169" s="423">
        <f t="shared" si="48"/>
        <v>29.701117517527212</v>
      </c>
    </row>
    <row r="170" spans="1:18" x14ac:dyDescent="0.25">
      <c r="A170" s="423" t="s">
        <v>77</v>
      </c>
      <c r="B170" s="422">
        <f t="shared" si="61"/>
        <v>-7.1277019298245534</v>
      </c>
      <c r="C170" s="422">
        <f>C134-C101-C56</f>
        <v>-12.295643333333317</v>
      </c>
      <c r="D170" s="422">
        <f t="shared" si="61"/>
        <v>-7.3862921052631485</v>
      </c>
      <c r="E170" s="422">
        <f t="shared" si="61"/>
        <v>-16.106707368421034</v>
      </c>
      <c r="F170" s="422">
        <f t="shared" si="61"/>
        <v>3.7452233137406203</v>
      </c>
      <c r="G170" s="422">
        <f t="shared" si="61"/>
        <v>2.9479328478062641</v>
      </c>
      <c r="H170" s="422">
        <f t="shared" si="61"/>
        <v>3.8361891861518131</v>
      </c>
      <c r="I170" s="422">
        <f t="shared" si="61"/>
        <v>1.1569910855275225</v>
      </c>
      <c r="J170" s="422">
        <f t="shared" si="61"/>
        <v>3.0869974574279766</v>
      </c>
      <c r="K170" s="422">
        <f t="shared" si="61"/>
        <v>1.111462896626648</v>
      </c>
      <c r="L170" s="422">
        <f t="shared" si="61"/>
        <v>2.899396137115545</v>
      </c>
      <c r="M170" s="422">
        <f t="shared" si="61"/>
        <v>1.7437876825079925</v>
      </c>
      <c r="N170" s="422">
        <f t="shared" si="62"/>
        <v>-22.388364129937663</v>
      </c>
      <c r="Q170" s="423">
        <f t="shared" si="47"/>
        <v>-16.106707368421034</v>
      </c>
      <c r="R170" s="423">
        <f t="shared" si="48"/>
        <v>-22.388364129937663</v>
      </c>
    </row>
    <row r="171" spans="1:18" x14ac:dyDescent="0.25">
      <c r="A171" s="423" t="s">
        <v>144</v>
      </c>
      <c r="B171" s="422">
        <f t="shared" si="61"/>
        <v>-2.7324800000000007</v>
      </c>
      <c r="C171" s="422">
        <f t="shared" si="61"/>
        <v>-0.15481999999999996</v>
      </c>
      <c r="D171" s="422">
        <f t="shared" si="61"/>
        <v>-0.55567000000000011</v>
      </c>
      <c r="E171" s="422">
        <f t="shared" si="61"/>
        <v>65.577179999999998</v>
      </c>
      <c r="F171" s="422">
        <f t="shared" si="61"/>
        <v>0</v>
      </c>
      <c r="G171" s="422">
        <f t="shared" si="61"/>
        <v>0</v>
      </c>
      <c r="H171" s="422">
        <f t="shared" si="61"/>
        <v>0</v>
      </c>
      <c r="I171" s="422">
        <f t="shared" si="61"/>
        <v>0</v>
      </c>
      <c r="J171" s="422">
        <f t="shared" si="61"/>
        <v>0</v>
      </c>
      <c r="K171" s="422">
        <f t="shared" si="61"/>
        <v>0</v>
      </c>
      <c r="L171" s="422">
        <f t="shared" si="61"/>
        <v>0</v>
      </c>
      <c r="M171" s="422">
        <f t="shared" si="61"/>
        <v>0</v>
      </c>
      <c r="N171" s="422">
        <f t="shared" si="62"/>
        <v>62.134209999999996</v>
      </c>
      <c r="Q171" s="423">
        <f t="shared" si="47"/>
        <v>65.577179999999998</v>
      </c>
      <c r="R171" s="423">
        <f t="shared" si="48"/>
        <v>62.134209999999996</v>
      </c>
    </row>
    <row r="172" spans="1:18" x14ac:dyDescent="0.25">
      <c r="A172" s="423" t="s">
        <v>85</v>
      </c>
      <c r="B172" s="422">
        <f>B136-B24</f>
        <v>-35.068060000000003</v>
      </c>
      <c r="C172" s="422">
        <f t="shared" ref="B172:M173" si="63">C136-C24</f>
        <v>-3.9061899999999996</v>
      </c>
      <c r="D172" s="422">
        <f t="shared" si="63"/>
        <v>191.17382999999998</v>
      </c>
      <c r="E172" s="422">
        <f t="shared" si="63"/>
        <v>-186.1679</v>
      </c>
      <c r="F172" s="422">
        <f t="shared" si="63"/>
        <v>0</v>
      </c>
      <c r="G172" s="422">
        <f t="shared" si="63"/>
        <v>0.31647696100527867</v>
      </c>
      <c r="H172" s="422">
        <f t="shared" si="63"/>
        <v>0.25047317560047411</v>
      </c>
      <c r="I172" s="422">
        <f t="shared" si="63"/>
        <v>0.18499322976237664</v>
      </c>
      <c r="J172" s="422">
        <f t="shared" si="63"/>
        <v>0.12003296603410263</v>
      </c>
      <c r="K172" s="422">
        <f t="shared" si="63"/>
        <v>-1.9623620605304204E-2</v>
      </c>
      <c r="L172" s="422">
        <f t="shared" si="63"/>
        <v>-0.15687825120914578</v>
      </c>
      <c r="M172" s="422">
        <f t="shared" si="63"/>
        <v>-0.29177223706058619</v>
      </c>
      <c r="N172" s="422">
        <f t="shared" si="62"/>
        <v>-33.564617776472829</v>
      </c>
      <c r="Q172" s="423">
        <f t="shared" si="47"/>
        <v>-186.1679</v>
      </c>
      <c r="R172" s="423">
        <f t="shared" si="48"/>
        <v>-33.564617776472829</v>
      </c>
    </row>
    <row r="173" spans="1:18" x14ac:dyDescent="0.25">
      <c r="A173" s="423" t="s">
        <v>145</v>
      </c>
      <c r="B173" s="422">
        <f t="shared" si="63"/>
        <v>0</v>
      </c>
      <c r="C173" s="422">
        <f t="shared" si="63"/>
        <v>0</v>
      </c>
      <c r="D173" s="422">
        <f t="shared" si="63"/>
        <v>0</v>
      </c>
      <c r="E173" s="422">
        <f t="shared" si="63"/>
        <v>0</v>
      </c>
      <c r="F173" s="422">
        <f t="shared" si="63"/>
        <v>0</v>
      </c>
      <c r="G173" s="422">
        <f t="shared" si="63"/>
        <v>0</v>
      </c>
      <c r="H173" s="422">
        <f t="shared" si="63"/>
        <v>0</v>
      </c>
      <c r="I173" s="422">
        <f t="shared" si="63"/>
        <v>0</v>
      </c>
      <c r="J173" s="422">
        <f t="shared" si="63"/>
        <v>0</v>
      </c>
      <c r="K173" s="422">
        <f t="shared" si="63"/>
        <v>0</v>
      </c>
      <c r="L173" s="422">
        <f t="shared" si="63"/>
        <v>0</v>
      </c>
      <c r="M173" s="422">
        <f t="shared" si="63"/>
        <v>0</v>
      </c>
      <c r="N173" s="422">
        <f t="shared" si="62"/>
        <v>0</v>
      </c>
      <c r="Q173" s="423">
        <f t="shared" si="47"/>
        <v>0</v>
      </c>
      <c r="R173" s="423">
        <f t="shared" si="48"/>
        <v>0</v>
      </c>
    </row>
    <row r="174" spans="1:18" x14ac:dyDescent="0.25">
      <c r="A174" s="426" t="s">
        <v>146</v>
      </c>
      <c r="B174" s="426">
        <f>SUM(B169:B173)</f>
        <v>-51.281957662127468</v>
      </c>
      <c r="C174" s="426">
        <f t="shared" ref="C174:N174" si="64">SUM(C169:C173)</f>
        <v>-24.290937718322045</v>
      </c>
      <c r="D174" s="426">
        <f t="shared" si="64"/>
        <v>179.34062920964809</v>
      </c>
      <c r="E174" s="426">
        <f t="shared" si="64"/>
        <v>-101.00668444868205</v>
      </c>
      <c r="F174" s="426">
        <f t="shared" si="64"/>
        <v>3.8750270864805021</v>
      </c>
      <c r="G174" s="426">
        <f t="shared" si="64"/>
        <v>4.9503403162273605</v>
      </c>
      <c r="H174" s="426">
        <f t="shared" si="64"/>
        <v>5.2228700740912526</v>
      </c>
      <c r="I174" s="426">
        <f t="shared" si="64"/>
        <v>2.9263124933725093</v>
      </c>
      <c r="J174" s="426">
        <f t="shared" si="64"/>
        <v>5.1875121398870796</v>
      </c>
      <c r="K174" s="426">
        <f t="shared" si="64"/>
        <v>3.3652495714168005</v>
      </c>
      <c r="L174" s="426">
        <f t="shared" si="64"/>
        <v>4.3344127044646088</v>
      </c>
      <c r="M174" s="426">
        <f t="shared" si="64"/>
        <v>3.2595718446600817</v>
      </c>
      <c r="N174" s="426">
        <f t="shared" si="64"/>
        <v>35.882345611116719</v>
      </c>
      <c r="Q174" s="426">
        <f t="shared" si="47"/>
        <v>-101.00668444868205</v>
      </c>
      <c r="R174" s="426">
        <f t="shared" si="48"/>
        <v>35.882345611116719</v>
      </c>
    </row>
    <row r="175" spans="1:18" x14ac:dyDescent="0.25">
      <c r="A175" s="423" t="s">
        <v>148</v>
      </c>
      <c r="B175" s="422">
        <f t="shared" ref="B175:M176" si="65">B139-B27</f>
        <v>-1.8068825000000146</v>
      </c>
      <c r="C175" s="422">
        <f t="shared" si="65"/>
        <v>-1.2821025000000077</v>
      </c>
      <c r="D175" s="422">
        <f t="shared" si="65"/>
        <v>-1.2821025000000077</v>
      </c>
      <c r="E175" s="422">
        <f t="shared" si="65"/>
        <v>-1.2821025000000077</v>
      </c>
      <c r="F175" s="422">
        <f t="shared" si="65"/>
        <v>-1.3199509396599751E-7</v>
      </c>
      <c r="G175" s="422">
        <f t="shared" si="65"/>
        <v>-1.3199509396599751E-7</v>
      </c>
      <c r="H175" s="422">
        <f t="shared" si="65"/>
        <v>-1.3199509396599751E-7</v>
      </c>
      <c r="I175" s="422">
        <f t="shared" si="65"/>
        <v>-1.3199509396599751E-7</v>
      </c>
      <c r="J175" s="422">
        <f t="shared" si="65"/>
        <v>-1.3199509396599751E-7</v>
      </c>
      <c r="K175" s="422">
        <f t="shared" si="65"/>
        <v>-1.3199509396599751E-7</v>
      </c>
      <c r="L175" s="422">
        <f t="shared" si="65"/>
        <v>-1.3199509396599751E-7</v>
      </c>
      <c r="M175" s="422">
        <f t="shared" si="65"/>
        <v>-1.3199509396599751E-7</v>
      </c>
      <c r="N175" s="422">
        <f>SUM(B175:M175)</f>
        <v>-5.6531910559607894</v>
      </c>
      <c r="Q175" s="423">
        <f t="shared" si="47"/>
        <v>-1.2821025000000077</v>
      </c>
      <c r="R175" s="423">
        <f t="shared" si="48"/>
        <v>-5.6531910559607894</v>
      </c>
    </row>
    <row r="176" spans="1:18" x14ac:dyDescent="0.25">
      <c r="A176" s="423" t="s">
        <v>149</v>
      </c>
      <c r="B176" s="422">
        <f t="shared" si="65"/>
        <v>24.483647858819225</v>
      </c>
      <c r="C176" s="422">
        <f t="shared" si="65"/>
        <v>-29.792662141180827</v>
      </c>
      <c r="D176" s="422">
        <f t="shared" si="65"/>
        <v>-19.519552141180839</v>
      </c>
      <c r="E176" s="422">
        <f t="shared" si="65"/>
        <v>-25.724772141180821</v>
      </c>
      <c r="F176" s="422">
        <f t="shared" si="65"/>
        <v>3.8585893595959675</v>
      </c>
      <c r="G176" s="422">
        <f t="shared" si="65"/>
        <v>2.3013032510602045</v>
      </c>
      <c r="H176" s="422">
        <f t="shared" si="65"/>
        <v>-0.28123465643142254</v>
      </c>
      <c r="I176" s="422">
        <f t="shared" si="65"/>
        <v>-0.89287606260772634</v>
      </c>
      <c r="J176" s="422">
        <f t="shared" si="65"/>
        <v>5.7415953435685481</v>
      </c>
      <c r="K176" s="422">
        <f t="shared" si="65"/>
        <v>-0.60448746878401494</v>
      </c>
      <c r="L176" s="422">
        <f t="shared" si="65"/>
        <v>-1.0014872730069868</v>
      </c>
      <c r="M176" s="422">
        <f t="shared" si="65"/>
        <v>-13.032212451452239</v>
      </c>
      <c r="N176" s="422">
        <f>SUM(B176:M176)</f>
        <v>-54.464148522780931</v>
      </c>
      <c r="Q176" s="423">
        <f t="shared" si="47"/>
        <v>-25.724772141180821</v>
      </c>
      <c r="R176" s="423">
        <f t="shared" si="48"/>
        <v>-54.464148522780931</v>
      </c>
    </row>
    <row r="177" spans="1:18" x14ac:dyDescent="0.25">
      <c r="A177" s="426" t="s">
        <v>150</v>
      </c>
      <c r="B177" s="426">
        <f>SUM(B175:B176)</f>
        <v>22.67676535881921</v>
      </c>
      <c r="C177" s="426">
        <f t="shared" ref="C177:N177" si="66">SUM(C175:C176)</f>
        <v>-31.074764641180835</v>
      </c>
      <c r="D177" s="426">
        <f t="shared" si="66"/>
        <v>-20.801654641180846</v>
      </c>
      <c r="E177" s="426">
        <f t="shared" si="66"/>
        <v>-27.006874641180829</v>
      </c>
      <c r="F177" s="426">
        <f t="shared" si="66"/>
        <v>3.8585892276008735</v>
      </c>
      <c r="G177" s="426">
        <f t="shared" si="66"/>
        <v>2.3013031190651105</v>
      </c>
      <c r="H177" s="426">
        <f t="shared" si="66"/>
        <v>-0.2812347884265165</v>
      </c>
      <c r="I177" s="426">
        <f t="shared" si="66"/>
        <v>-0.89287619460282031</v>
      </c>
      <c r="J177" s="426">
        <f t="shared" si="66"/>
        <v>5.7415952115734541</v>
      </c>
      <c r="K177" s="426">
        <f t="shared" si="66"/>
        <v>-0.6044876007791089</v>
      </c>
      <c r="L177" s="426">
        <f t="shared" si="66"/>
        <v>-1.0014874050020808</v>
      </c>
      <c r="M177" s="426">
        <f t="shared" si="66"/>
        <v>-13.032212583447333</v>
      </c>
      <c r="N177" s="426">
        <f t="shared" si="66"/>
        <v>-60.117339578741721</v>
      </c>
      <c r="Q177" s="426">
        <f t="shared" si="47"/>
        <v>-27.006874641180829</v>
      </c>
      <c r="R177" s="426">
        <f t="shared" si="48"/>
        <v>-60.117339578741721</v>
      </c>
    </row>
    <row r="178" spans="1:18" ht="12.6" thickBot="1" x14ac:dyDescent="0.3">
      <c r="A178" s="429"/>
      <c r="B178" s="422"/>
      <c r="C178" s="429"/>
      <c r="D178" s="429"/>
      <c r="E178" s="429"/>
      <c r="F178" s="429"/>
      <c r="G178" s="429"/>
      <c r="H178" s="429"/>
      <c r="I178" s="429"/>
      <c r="J178" s="429"/>
      <c r="K178" s="429"/>
      <c r="L178" s="429"/>
      <c r="M178" s="429"/>
      <c r="N178" s="422"/>
      <c r="Q178" s="429">
        <f t="shared" si="47"/>
        <v>0</v>
      </c>
      <c r="R178" s="429">
        <f t="shared" si="48"/>
        <v>0</v>
      </c>
    </row>
    <row r="179" spans="1:18" x14ac:dyDescent="0.25">
      <c r="A179" s="426" t="s">
        <v>152</v>
      </c>
      <c r="B179" s="426">
        <f>B168+B174+B177</f>
        <v>-19.422013164137574</v>
      </c>
      <c r="C179" s="426">
        <f t="shared" ref="C179:N179" si="67">C168+C174+C177</f>
        <v>-5.4015986207032576</v>
      </c>
      <c r="D179" s="426">
        <f t="shared" si="67"/>
        <v>129.02863353108415</v>
      </c>
      <c r="E179" s="426">
        <f t="shared" si="67"/>
        <v>-862.21223742346604</v>
      </c>
      <c r="F179" s="426">
        <f t="shared" si="67"/>
        <v>-226.69986220653462</v>
      </c>
      <c r="G179" s="426">
        <f t="shared" si="67"/>
        <v>-191.70819330754847</v>
      </c>
      <c r="H179" s="426">
        <f t="shared" si="67"/>
        <v>-187.86852275430238</v>
      </c>
      <c r="I179" s="426">
        <f t="shared" si="67"/>
        <v>-187.19370057673189</v>
      </c>
      <c r="J179" s="426">
        <f t="shared" si="67"/>
        <v>-136.85139612491793</v>
      </c>
      <c r="K179" s="426">
        <f t="shared" si="67"/>
        <v>-147.39728195695159</v>
      </c>
      <c r="L179" s="426">
        <f t="shared" si="67"/>
        <v>-128.86298311048768</v>
      </c>
      <c r="M179" s="426">
        <f t="shared" si="67"/>
        <v>-166.70109959403169</v>
      </c>
      <c r="N179" s="426">
        <f t="shared" si="67"/>
        <v>-2131.2902553087292</v>
      </c>
      <c r="Q179" s="426">
        <f t="shared" si="47"/>
        <v>-862.21223742346604</v>
      </c>
      <c r="R179" s="426">
        <f t="shared" si="48"/>
        <v>-2131.2902553087288</v>
      </c>
    </row>
    <row r="182" spans="1:18" x14ac:dyDescent="0.25">
      <c r="A182" s="461" t="s">
        <v>187</v>
      </c>
      <c r="B182" s="461">
        <f>(SUM(B9,B10,B11,B12,B13,B14,B17,B19,B24,B27,B28)-SUM(B88,B89,B90,B91,B92,B93,B96,B98,B103,B106,B107)-SUM(B62,B61,B58,B59,B53,B51,B43:B48)-B76)</f>
        <v>74.155661215989426</v>
      </c>
      <c r="C182" s="461">
        <f t="shared" ref="C182:M182" si="68">(SUM(C9,C10,C11,C12,C13,C14,C17,C19,C24,C27,C28)-SUM(C88,C89,C90,C91,C92,C93,C96,C98,C103,C106,C107)-SUM(C62,C61,C58,C59,C53,C51,C43:C48)-C76)</f>
        <v>186.38396565789671</v>
      </c>
      <c r="D182" s="461">
        <f t="shared" si="68"/>
        <v>622.98541887442025</v>
      </c>
      <c r="E182" s="461">
        <f t="shared" si="68"/>
        <v>165.86341342894065</v>
      </c>
      <c r="F182" s="461">
        <f t="shared" si="68"/>
        <v>18.648319365989565</v>
      </c>
      <c r="G182" s="461">
        <f t="shared" si="68"/>
        <v>-29.228330560037989</v>
      </c>
      <c r="H182" s="461">
        <f t="shared" si="68"/>
        <v>12.992062253174026</v>
      </c>
      <c r="I182" s="461">
        <f t="shared" si="68"/>
        <v>3.5493304153876579</v>
      </c>
      <c r="J182" s="461">
        <f t="shared" si="68"/>
        <v>-8.354868284071074</v>
      </c>
      <c r="K182" s="461">
        <f t="shared" si="68"/>
        <v>-33.60645740022062</v>
      </c>
      <c r="L182" s="461">
        <f t="shared" si="68"/>
        <v>-12.496392127668571</v>
      </c>
      <c r="M182" s="461">
        <f t="shared" si="68"/>
        <v>-35.830954033079536</v>
      </c>
      <c r="N182" s="461">
        <f>SUM(B182:M182)</f>
        <v>965.06116880672062</v>
      </c>
      <c r="Q182" s="442">
        <f t="shared" ref="Q182" si="69">SUMIFS(B182:M182,$B$2:$M$2,$X$3)</f>
        <v>0</v>
      </c>
      <c r="R182" s="442">
        <f t="shared" ref="R182" si="70">SUMIFS(B182:M182,$B$1:$M$1,$Y$3)</f>
        <v>965.06116880672062</v>
      </c>
    </row>
    <row r="184" spans="1:18" x14ac:dyDescent="0.25">
      <c r="A184" s="461"/>
      <c r="B184" s="461"/>
      <c r="C184" s="461"/>
      <c r="D184" s="461"/>
      <c r="E184" s="461"/>
      <c r="F184" s="461"/>
      <c r="G184" s="461"/>
      <c r="H184" s="461"/>
      <c r="I184" s="461"/>
      <c r="J184" s="461"/>
      <c r="K184" s="461"/>
      <c r="L184" s="461"/>
      <c r="M184" s="461"/>
      <c r="N184" s="461"/>
    </row>
    <row r="192" spans="1:18" x14ac:dyDescent="0.25">
      <c r="A192" s="449" t="s">
        <v>188</v>
      </c>
      <c r="B192" s="449" t="s">
        <v>0</v>
      </c>
      <c r="C192" s="449" t="s">
        <v>1</v>
      </c>
      <c r="D192" s="449" t="s">
        <v>2</v>
      </c>
      <c r="E192" s="449" t="s">
        <v>3</v>
      </c>
      <c r="F192" s="449" t="s">
        <v>4</v>
      </c>
      <c r="G192" s="449" t="s">
        <v>5</v>
      </c>
      <c r="H192" s="449" t="s">
        <v>6</v>
      </c>
      <c r="I192" s="449" t="s">
        <v>7</v>
      </c>
      <c r="J192" s="449" t="s">
        <v>8</v>
      </c>
      <c r="K192" s="449" t="s">
        <v>9</v>
      </c>
      <c r="L192" s="449" t="s">
        <v>10</v>
      </c>
      <c r="M192" s="449" t="s">
        <v>11</v>
      </c>
      <c r="N192" s="449" t="s">
        <v>12</v>
      </c>
      <c r="Q192" s="449" t="s">
        <v>180</v>
      </c>
      <c r="R192" s="449" t="s">
        <v>94</v>
      </c>
    </row>
    <row r="193" spans="1:18" x14ac:dyDescent="0.25">
      <c r="A193" s="430" t="s">
        <v>189</v>
      </c>
      <c r="B193" s="431">
        <v>13.094725739964174</v>
      </c>
      <c r="C193" s="431">
        <v>12.850565004871614</v>
      </c>
      <c r="D193" s="431">
        <v>12.61095682519295</v>
      </c>
      <c r="E193" s="431">
        <v>12.424588005116208</v>
      </c>
      <c r="F193" s="431">
        <v>12.24097340405538</v>
      </c>
      <c r="G193" s="431">
        <v>12.060072319266382</v>
      </c>
      <c r="H193" s="431">
        <v>11.964357459589666</v>
      </c>
      <c r="I193" s="431">
        <v>11.869402241656415</v>
      </c>
      <c r="J193" s="431">
        <v>11.775200636563902</v>
      </c>
      <c r="K193" s="431">
        <v>11.572678758293762</v>
      </c>
      <c r="L193" s="431">
        <v>11.373640057291164</v>
      </c>
      <c r="M193" s="431">
        <v>11.178024626330382</v>
      </c>
      <c r="N193" s="432">
        <f>SUM(B193:M193)</f>
        <v>145.01518507819199</v>
      </c>
      <c r="Q193" s="432">
        <f t="shared" ref="Q193:Q199" si="71">SUMPRODUCT(B193:M193,B$2:M$2)</f>
        <v>12.424588005116208</v>
      </c>
      <c r="R193" s="432">
        <f t="shared" ref="R193:R199" si="72">SUMPRODUCT(B193:M193,B$1:M$1)</f>
        <v>145.01518507819199</v>
      </c>
    </row>
    <row r="194" spans="1:18" x14ac:dyDescent="0.25">
      <c r="A194" s="430" t="s">
        <v>190</v>
      </c>
      <c r="B194" s="431">
        <v>1.5128050202815124</v>
      </c>
      <c r="C194" s="431">
        <v>1.4845976646531036</v>
      </c>
      <c r="D194" s="431">
        <v>1.4569162557930362</v>
      </c>
      <c r="E194" s="431">
        <v>1.4353854736877203</v>
      </c>
      <c r="F194" s="431">
        <v>1.4141728804805129</v>
      </c>
      <c r="G194" s="431">
        <v>1.3932737738724266</v>
      </c>
      <c r="H194" s="431">
        <v>1.3822160455083596</v>
      </c>
      <c r="I194" s="431">
        <v>1.371246076893214</v>
      </c>
      <c r="J194" s="431">
        <v>1.3603631715210456</v>
      </c>
      <c r="K194" s="431">
        <v>1.3369662619371454</v>
      </c>
      <c r="L194" s="431">
        <v>1.3139717562035826</v>
      </c>
      <c r="M194" s="431">
        <v>1.2913727333696143</v>
      </c>
      <c r="N194" s="432">
        <f>SUM(B194:M194)</f>
        <v>16.753287114201274</v>
      </c>
      <c r="Q194" s="432">
        <f t="shared" si="71"/>
        <v>1.4353854736877203</v>
      </c>
      <c r="R194" s="432">
        <f t="shared" si="72"/>
        <v>16.753287114201274</v>
      </c>
    </row>
    <row r="195" spans="1:18" x14ac:dyDescent="0.25">
      <c r="A195" s="430" t="s">
        <v>191</v>
      </c>
      <c r="B195" s="431">
        <v>6.5254691840784469</v>
      </c>
      <c r="C195" s="431">
        <v>6.8746621764649749</v>
      </c>
      <c r="D195" s="431">
        <v>6.8649923510443909</v>
      </c>
      <c r="E195" s="431">
        <v>6.7070705652590243</v>
      </c>
      <c r="F195" s="431">
        <v>7.3633316206119588</v>
      </c>
      <c r="G195" s="431">
        <v>7.0211712700538156</v>
      </c>
      <c r="H195" s="431">
        <v>6.8708278784628449</v>
      </c>
      <c r="I195" s="431">
        <v>6.7982221634476678</v>
      </c>
      <c r="J195" s="431">
        <v>7.4553499912416399</v>
      </c>
      <c r="K195" s="431">
        <v>7.034408361020259</v>
      </c>
      <c r="L195" s="431">
        <v>6.8599646778624859</v>
      </c>
      <c r="M195" s="431">
        <v>7.3203600591985065</v>
      </c>
      <c r="N195" s="432">
        <f t="shared" ref="N195:N199" si="73">SUM(B195:M195)</f>
        <v>83.695830298746003</v>
      </c>
      <c r="Q195" s="432">
        <f t="shared" si="71"/>
        <v>6.7070705652590243</v>
      </c>
      <c r="R195" s="432">
        <f t="shared" si="72"/>
        <v>83.695830298746003</v>
      </c>
    </row>
    <row r="196" spans="1:18" x14ac:dyDescent="0.25">
      <c r="A196" s="430" t="s">
        <v>192</v>
      </c>
      <c r="B196" s="431"/>
      <c r="C196" s="431"/>
      <c r="D196" s="431"/>
      <c r="E196" s="431"/>
      <c r="F196" s="431"/>
      <c r="G196" s="431"/>
      <c r="H196" s="431"/>
      <c r="I196" s="431"/>
      <c r="J196" s="431"/>
      <c r="K196" s="431"/>
      <c r="L196" s="431"/>
      <c r="M196" s="431"/>
      <c r="N196" s="432">
        <f t="shared" si="73"/>
        <v>0</v>
      </c>
      <c r="Q196" s="432">
        <f t="shared" si="71"/>
        <v>0</v>
      </c>
      <c r="R196" s="432">
        <f t="shared" si="72"/>
        <v>0</v>
      </c>
    </row>
    <row r="197" spans="1:18" x14ac:dyDescent="0.25">
      <c r="A197" s="430" t="s">
        <v>148</v>
      </c>
      <c r="B197" s="431"/>
      <c r="C197" s="431"/>
      <c r="D197" s="431"/>
      <c r="E197" s="431"/>
      <c r="F197" s="431"/>
      <c r="G197" s="431"/>
      <c r="H197" s="431"/>
      <c r="I197" s="431"/>
      <c r="J197" s="431"/>
      <c r="K197" s="431"/>
      <c r="L197" s="431"/>
      <c r="M197" s="431"/>
      <c r="N197" s="432">
        <f t="shared" si="73"/>
        <v>0</v>
      </c>
      <c r="Q197" s="432">
        <f t="shared" si="71"/>
        <v>0</v>
      </c>
      <c r="R197" s="432">
        <f t="shared" si="72"/>
        <v>0</v>
      </c>
    </row>
    <row r="198" spans="1:18" x14ac:dyDescent="0.25">
      <c r="A198" s="430" t="s">
        <v>149</v>
      </c>
      <c r="B198" s="431"/>
      <c r="C198" s="431"/>
      <c r="D198" s="431"/>
      <c r="E198" s="431"/>
      <c r="F198" s="431"/>
      <c r="G198" s="431"/>
      <c r="H198" s="431"/>
      <c r="I198" s="431"/>
      <c r="J198" s="431"/>
      <c r="K198" s="431"/>
      <c r="L198" s="431"/>
      <c r="M198" s="431"/>
      <c r="N198" s="432">
        <f t="shared" si="73"/>
        <v>0</v>
      </c>
      <c r="Q198" s="432">
        <f t="shared" si="71"/>
        <v>0</v>
      </c>
      <c r="R198" s="432">
        <f t="shared" si="72"/>
        <v>0</v>
      </c>
    </row>
    <row r="199" spans="1:18" x14ac:dyDescent="0.25">
      <c r="A199" s="430" t="s">
        <v>145</v>
      </c>
      <c r="B199" s="431"/>
      <c r="C199" s="431"/>
      <c r="D199" s="431"/>
      <c r="E199" s="431"/>
      <c r="F199" s="431"/>
      <c r="G199" s="431"/>
      <c r="H199" s="431"/>
      <c r="I199" s="431"/>
      <c r="J199" s="431"/>
      <c r="K199" s="431"/>
      <c r="L199" s="431"/>
      <c r="M199" s="431"/>
      <c r="N199" s="432">
        <f t="shared" si="73"/>
        <v>0</v>
      </c>
      <c r="Q199" s="432">
        <f t="shared" si="71"/>
        <v>0</v>
      </c>
      <c r="R199" s="432">
        <f t="shared" si="72"/>
        <v>0</v>
      </c>
    </row>
    <row r="201" spans="1:18" x14ac:dyDescent="0.25">
      <c r="A201" s="449" t="s">
        <v>193</v>
      </c>
      <c r="B201" s="449" t="s">
        <v>0</v>
      </c>
      <c r="C201" s="449" t="s">
        <v>1</v>
      </c>
      <c r="D201" s="449" t="s">
        <v>2</v>
      </c>
      <c r="E201" s="449" t="s">
        <v>3</v>
      </c>
      <c r="F201" s="449" t="s">
        <v>4</v>
      </c>
      <c r="G201" s="449" t="s">
        <v>5</v>
      </c>
      <c r="H201" s="449" t="s">
        <v>6</v>
      </c>
      <c r="I201" s="449" t="s">
        <v>7</v>
      </c>
      <c r="J201" s="449" t="s">
        <v>8</v>
      </c>
      <c r="K201" s="449" t="s">
        <v>9</v>
      </c>
      <c r="L201" s="449" t="s">
        <v>10</v>
      </c>
      <c r="M201" s="449" t="s">
        <v>11</v>
      </c>
      <c r="N201" s="449" t="s">
        <v>12</v>
      </c>
      <c r="Q201" s="449" t="s">
        <v>180</v>
      </c>
      <c r="R201" s="449" t="s">
        <v>94</v>
      </c>
    </row>
    <row r="202" spans="1:18" x14ac:dyDescent="0.25">
      <c r="A202" s="430" t="s">
        <v>189</v>
      </c>
      <c r="B202" s="431">
        <v>11.192729999999999</v>
      </c>
      <c r="C202" s="431">
        <v>11.39457</v>
      </c>
      <c r="D202" s="431">
        <v>27.28304</v>
      </c>
      <c r="E202" s="431">
        <v>12.424588005116208</v>
      </c>
      <c r="F202" s="431">
        <v>12.24097340405538</v>
      </c>
      <c r="G202" s="431">
        <v>12.060072319266382</v>
      </c>
      <c r="H202" s="431">
        <v>11.964357459589666</v>
      </c>
      <c r="I202" s="431">
        <v>11.869402241656415</v>
      </c>
      <c r="J202" s="431">
        <v>11.775200636563902</v>
      </c>
      <c r="K202" s="431">
        <v>11.572678758293762</v>
      </c>
      <c r="L202" s="431">
        <v>11.373640057291164</v>
      </c>
      <c r="M202" s="431">
        <v>11.178024626330382</v>
      </c>
      <c r="N202" s="432">
        <f>SUM(B202:M202)</f>
        <v>156.32927750816324</v>
      </c>
      <c r="Q202" s="432">
        <f t="shared" ref="Q202:Q208" si="74">SUMPRODUCT(B202:M202,B$2:M$2)</f>
        <v>12.424588005116208</v>
      </c>
      <c r="R202" s="432">
        <f t="shared" ref="R202:R208" si="75">SUMPRODUCT(B202:M202,B$1:M$1)</f>
        <v>156.32927750816324</v>
      </c>
    </row>
    <row r="203" spans="1:18" x14ac:dyDescent="0.25">
      <c r="A203" s="430" t="s">
        <v>190</v>
      </c>
      <c r="B203" s="431">
        <v>1.4245999999999999</v>
      </c>
      <c r="C203" s="431">
        <v>1.2397199999999999</v>
      </c>
      <c r="D203" s="431">
        <v>1.19478</v>
      </c>
      <c r="E203" s="431">
        <v>1.4353854736877203</v>
      </c>
      <c r="F203" s="431">
        <v>1.4141728804805129</v>
      </c>
      <c r="G203" s="431">
        <v>1.3932737738724266</v>
      </c>
      <c r="H203" s="431">
        <v>1.3822160455083596</v>
      </c>
      <c r="I203" s="431">
        <v>1.371246076893214</v>
      </c>
      <c r="J203" s="431">
        <v>1.3603631715210456</v>
      </c>
      <c r="K203" s="431">
        <v>1.3369662619371454</v>
      </c>
      <c r="L203" s="431">
        <v>1.3139717562035826</v>
      </c>
      <c r="M203" s="431">
        <v>1.2913727333696143</v>
      </c>
      <c r="N203" s="432">
        <f>SUM(B203:M203)</f>
        <v>16.158068173473623</v>
      </c>
      <c r="Q203" s="432">
        <f t="shared" si="74"/>
        <v>1.4353854736877203</v>
      </c>
      <c r="R203" s="432">
        <f t="shared" si="75"/>
        <v>16.158068173473623</v>
      </c>
    </row>
    <row r="204" spans="1:18" x14ac:dyDescent="0.25">
      <c r="A204" s="430" t="s">
        <v>191</v>
      </c>
      <c r="B204" s="431">
        <v>4.66974</v>
      </c>
      <c r="C204" s="431">
        <v>2.2962399999999996</v>
      </c>
      <c r="D204" s="431">
        <v>6.7563199999999997</v>
      </c>
      <c r="E204" s="431">
        <v>4.3311475160922361</v>
      </c>
      <c r="F204" s="431">
        <v>4.9131941285598844</v>
      </c>
      <c r="G204" s="431">
        <v>4.5833973449516856</v>
      </c>
      <c r="H204" s="431">
        <v>4.4271830677561983</v>
      </c>
      <c r="I204" s="431">
        <v>4.3336334936200203</v>
      </c>
      <c r="J204" s="431">
        <v>4.9138383471144245</v>
      </c>
      <c r="K204" s="431">
        <v>4.550506254836848</v>
      </c>
      <c r="L204" s="431">
        <v>4.4135174791182132</v>
      </c>
      <c r="M204" s="431">
        <v>4.8439105094553288</v>
      </c>
      <c r="N204" s="432">
        <f t="shared" ref="N204:N208" si="76">SUM(B204:M204)</f>
        <v>55.03262814150483</v>
      </c>
      <c r="Q204" s="432">
        <f t="shared" si="74"/>
        <v>4.3311475160922361</v>
      </c>
      <c r="R204" s="432">
        <f t="shared" si="75"/>
        <v>55.03262814150483</v>
      </c>
    </row>
    <row r="205" spans="1:18" x14ac:dyDescent="0.25">
      <c r="A205" s="430" t="s">
        <v>192</v>
      </c>
      <c r="B205" s="431"/>
      <c r="C205" s="431"/>
      <c r="D205" s="431"/>
      <c r="E205" s="431"/>
      <c r="F205" s="431"/>
      <c r="G205" s="431"/>
      <c r="H205" s="431"/>
      <c r="I205" s="431"/>
      <c r="J205" s="431"/>
      <c r="K205" s="431"/>
      <c r="L205" s="431"/>
      <c r="M205" s="416"/>
      <c r="N205" s="432">
        <f t="shared" si="76"/>
        <v>0</v>
      </c>
      <c r="Q205" s="432">
        <f t="shared" si="74"/>
        <v>0</v>
      </c>
      <c r="R205" s="432">
        <f t="shared" si="75"/>
        <v>0</v>
      </c>
    </row>
    <row r="206" spans="1:18" x14ac:dyDescent="0.25">
      <c r="A206" s="430" t="s">
        <v>148</v>
      </c>
      <c r="B206" s="431"/>
      <c r="C206" s="431"/>
      <c r="D206" s="431"/>
      <c r="E206" s="431"/>
      <c r="F206" s="431"/>
      <c r="G206" s="431"/>
      <c r="H206" s="431"/>
      <c r="I206" s="431"/>
      <c r="J206" s="431"/>
      <c r="K206" s="431"/>
      <c r="L206" s="431"/>
      <c r="M206" s="431"/>
      <c r="N206" s="432">
        <f t="shared" si="76"/>
        <v>0</v>
      </c>
      <c r="Q206" s="432">
        <f t="shared" si="74"/>
        <v>0</v>
      </c>
      <c r="R206" s="432">
        <f t="shared" si="75"/>
        <v>0</v>
      </c>
    </row>
    <row r="207" spans="1:18" x14ac:dyDescent="0.25">
      <c r="A207" s="430" t="s">
        <v>149</v>
      </c>
      <c r="B207" s="431"/>
      <c r="C207" s="431"/>
      <c r="D207" s="431"/>
      <c r="E207" s="431"/>
      <c r="F207" s="431"/>
      <c r="G207" s="431"/>
      <c r="H207" s="431"/>
      <c r="I207" s="431"/>
      <c r="J207" s="431"/>
      <c r="K207" s="431"/>
      <c r="L207" s="431"/>
      <c r="M207" s="431"/>
      <c r="N207" s="432">
        <f t="shared" si="76"/>
        <v>0</v>
      </c>
      <c r="Q207" s="432">
        <f t="shared" si="74"/>
        <v>0</v>
      </c>
      <c r="R207" s="432">
        <f t="shared" si="75"/>
        <v>0</v>
      </c>
    </row>
    <row r="208" spans="1:18" x14ac:dyDescent="0.25">
      <c r="A208" s="430" t="s">
        <v>145</v>
      </c>
      <c r="B208" s="431"/>
      <c r="C208" s="431"/>
      <c r="D208" s="431"/>
      <c r="E208" s="431"/>
      <c r="F208" s="431"/>
      <c r="G208" s="431"/>
      <c r="H208" s="431"/>
      <c r="I208" s="431"/>
      <c r="J208" s="431"/>
      <c r="K208" s="431"/>
      <c r="L208" s="431"/>
      <c r="M208" s="431"/>
      <c r="N208" s="432">
        <f t="shared" si="76"/>
        <v>0</v>
      </c>
      <c r="Q208" s="432">
        <f t="shared" si="74"/>
        <v>0</v>
      </c>
      <c r="R208" s="432">
        <f t="shared" si="75"/>
        <v>0</v>
      </c>
    </row>
    <row r="211" spans="1:18" x14ac:dyDescent="0.25">
      <c r="A211" s="433" t="s">
        <v>194</v>
      </c>
      <c r="B211" s="449" t="s">
        <v>0</v>
      </c>
      <c r="C211" s="449" t="s">
        <v>1</v>
      </c>
      <c r="D211" s="449" t="s">
        <v>2</v>
      </c>
      <c r="E211" s="449" t="s">
        <v>3</v>
      </c>
      <c r="F211" s="449" t="s">
        <v>4</v>
      </c>
      <c r="G211" s="449" t="s">
        <v>5</v>
      </c>
      <c r="H211" s="449" t="s">
        <v>6</v>
      </c>
      <c r="I211" s="449" t="s">
        <v>7</v>
      </c>
      <c r="J211" s="449" t="s">
        <v>8</v>
      </c>
      <c r="K211" s="449" t="s">
        <v>9</v>
      </c>
      <c r="L211" s="449" t="s">
        <v>10</v>
      </c>
      <c r="M211" s="449" t="s">
        <v>11</v>
      </c>
      <c r="N211" s="449" t="s">
        <v>12</v>
      </c>
      <c r="Q211" s="449" t="s">
        <v>180</v>
      </c>
      <c r="R211" s="449" t="s">
        <v>94</v>
      </c>
    </row>
    <row r="212" spans="1:18" x14ac:dyDescent="0.25">
      <c r="A212" s="430" t="s">
        <v>189</v>
      </c>
      <c r="B212" s="462"/>
      <c r="C212" s="463"/>
      <c r="D212" s="463"/>
      <c r="E212" s="463"/>
      <c r="F212" s="463"/>
      <c r="G212" s="463"/>
      <c r="H212" s="463"/>
      <c r="I212" s="463"/>
      <c r="J212" s="463"/>
      <c r="K212" s="464"/>
      <c r="L212" s="434"/>
      <c r="M212" s="434"/>
      <c r="N212" s="432"/>
      <c r="Q212" s="432">
        <f t="shared" ref="Q212:Q218" si="77">SUMPRODUCT(B212:M212,B$2:M$2)</f>
        <v>0</v>
      </c>
      <c r="R212" s="432">
        <f t="shared" ref="R212:R218" si="78">SUMPRODUCT(B212:M212,B$1:M$1)</f>
        <v>0</v>
      </c>
    </row>
    <row r="213" spans="1:18" x14ac:dyDescent="0.25">
      <c r="A213" s="430" t="s">
        <v>190</v>
      </c>
      <c r="B213" s="465"/>
      <c r="C213" s="464"/>
      <c r="D213" s="464"/>
      <c r="E213" s="464"/>
      <c r="F213" s="464"/>
      <c r="G213" s="464"/>
      <c r="H213" s="464"/>
      <c r="I213" s="464"/>
      <c r="J213" s="464"/>
      <c r="K213" s="464"/>
      <c r="L213" s="434"/>
      <c r="M213" s="434"/>
      <c r="N213" s="432"/>
      <c r="Q213" s="432">
        <f t="shared" si="77"/>
        <v>0</v>
      </c>
      <c r="R213" s="432">
        <f t="shared" si="78"/>
        <v>0</v>
      </c>
    </row>
    <row r="214" spans="1:18" x14ac:dyDescent="0.25">
      <c r="A214" s="430" t="s">
        <v>191</v>
      </c>
      <c r="B214" s="466"/>
      <c r="C214" s="466"/>
      <c r="D214" s="466"/>
      <c r="E214" s="466"/>
      <c r="F214" s="466"/>
      <c r="G214" s="466"/>
      <c r="H214" s="466"/>
      <c r="I214" s="466"/>
      <c r="J214" s="466"/>
      <c r="K214" s="466"/>
      <c r="L214" s="466"/>
      <c r="M214" s="466"/>
      <c r="N214" s="432"/>
      <c r="Q214" s="432">
        <f t="shared" si="77"/>
        <v>0</v>
      </c>
      <c r="R214" s="432">
        <f t="shared" si="78"/>
        <v>0</v>
      </c>
    </row>
    <row r="215" spans="1:18" x14ac:dyDescent="0.25">
      <c r="A215" s="430" t="s">
        <v>192</v>
      </c>
      <c r="B215" s="465"/>
      <c r="C215" s="464"/>
      <c r="D215" s="464"/>
      <c r="E215" s="464"/>
      <c r="F215" s="464"/>
      <c r="G215" s="464"/>
      <c r="H215" s="464"/>
      <c r="I215" s="464"/>
      <c r="J215" s="464"/>
      <c r="K215" s="464"/>
      <c r="L215" s="464"/>
      <c r="M215" s="464"/>
      <c r="N215" s="432"/>
      <c r="Q215" s="432">
        <f t="shared" si="77"/>
        <v>0</v>
      </c>
      <c r="R215" s="432">
        <f t="shared" si="78"/>
        <v>0</v>
      </c>
    </row>
    <row r="216" spans="1:18" x14ac:dyDescent="0.25">
      <c r="A216" s="430" t="s">
        <v>148</v>
      </c>
      <c r="B216" s="466"/>
      <c r="C216" s="466"/>
      <c r="D216" s="466"/>
      <c r="E216" s="466"/>
      <c r="F216" s="466"/>
      <c r="G216" s="466"/>
      <c r="H216" s="466"/>
      <c r="I216" s="466"/>
      <c r="J216" s="466"/>
      <c r="K216" s="466"/>
      <c r="L216" s="466"/>
      <c r="M216" s="466"/>
      <c r="N216" s="432"/>
      <c r="Q216" s="432">
        <f t="shared" si="77"/>
        <v>0</v>
      </c>
      <c r="R216" s="432">
        <f t="shared" si="78"/>
        <v>0</v>
      </c>
    </row>
    <row r="217" spans="1:18" x14ac:dyDescent="0.25">
      <c r="A217" s="430" t="s">
        <v>149</v>
      </c>
      <c r="B217" s="467"/>
      <c r="C217" s="467"/>
      <c r="D217" s="467"/>
      <c r="E217" s="467"/>
      <c r="F217" s="467"/>
      <c r="G217" s="467"/>
      <c r="H217" s="467"/>
      <c r="I217" s="467"/>
      <c r="J217" s="467"/>
      <c r="K217" s="467"/>
      <c r="L217" s="467"/>
      <c r="M217" s="467"/>
      <c r="N217" s="432"/>
      <c r="Q217" s="432">
        <f t="shared" si="77"/>
        <v>0</v>
      </c>
      <c r="R217" s="432">
        <f t="shared" si="78"/>
        <v>0</v>
      </c>
    </row>
    <row r="218" spans="1:18" x14ac:dyDescent="0.25">
      <c r="A218" s="430" t="s">
        <v>145</v>
      </c>
      <c r="B218" s="468"/>
      <c r="C218" s="469"/>
      <c r="D218" s="469"/>
      <c r="E218" s="469"/>
      <c r="F218" s="469"/>
      <c r="G218" s="469"/>
      <c r="H218" s="469"/>
      <c r="I218" s="469"/>
      <c r="J218" s="469"/>
      <c r="K218" s="469"/>
      <c r="L218" s="469"/>
      <c r="M218" s="469"/>
      <c r="N218" s="432"/>
      <c r="Q218" s="432">
        <f t="shared" si="77"/>
        <v>0</v>
      </c>
      <c r="R218" s="432">
        <f t="shared" si="78"/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1C99E3D-F13F-420B-8787-58C8F7920481}">
          <x14:formula1>
            <xm:f>List!$C$2:$C$13</xm:f>
          </x14:formula1>
          <xm:sqref>W3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7A34-8FA8-4647-B9D7-2CD4573A1361}">
  <sheetPr>
    <tabColor rgb="FFFF0000"/>
  </sheetPr>
  <dimension ref="A2:AM333"/>
  <sheetViews>
    <sheetView showGridLines="0" topLeftCell="O7" zoomScale="55" zoomScaleNormal="55" workbookViewId="0">
      <selection activeCell="C16" sqref="C16"/>
    </sheetView>
  </sheetViews>
  <sheetFormatPr defaultRowHeight="14.4" x14ac:dyDescent="0.3"/>
  <cols>
    <col min="1" max="1" width="60.5546875" bestFit="1" customWidth="1"/>
    <col min="2" max="2" width="72.5546875" bestFit="1" customWidth="1"/>
    <col min="3" max="3" width="21.21875" bestFit="1" customWidth="1"/>
    <col min="4" max="4" width="18.5546875" bestFit="1" customWidth="1"/>
    <col min="5" max="5" width="17" bestFit="1" customWidth="1"/>
    <col min="6" max="6" width="10.21875" bestFit="1" customWidth="1"/>
    <col min="7" max="7" width="55.21875" bestFit="1" customWidth="1"/>
    <col min="8" max="8" width="25.77734375" customWidth="1"/>
    <col min="9" max="9" width="50.44140625" bestFit="1" customWidth="1"/>
    <col min="10" max="11" width="22" bestFit="1" customWidth="1"/>
    <col min="12" max="13" width="15.5546875" bestFit="1" customWidth="1"/>
    <col min="14" max="15" width="16.21875" bestFit="1" customWidth="1"/>
    <col min="16" max="16" width="21.5546875" customWidth="1"/>
    <col min="17" max="17" width="23.77734375" bestFit="1" customWidth="1"/>
    <col min="18" max="18" width="23.77734375" customWidth="1"/>
    <col min="19" max="19" width="22.44140625" customWidth="1"/>
    <col min="20" max="20" width="15.5546875" bestFit="1" customWidth="1"/>
    <col min="21" max="21" width="19.77734375" customWidth="1"/>
    <col min="22" max="22" width="16.44140625" customWidth="1"/>
    <col min="23" max="23" width="17.21875" bestFit="1" customWidth="1"/>
    <col min="24" max="24" width="16.77734375" customWidth="1"/>
    <col min="25" max="25" width="10.21875" customWidth="1"/>
    <col min="26" max="26" width="14.5546875" bestFit="1" customWidth="1"/>
    <col min="27" max="27" width="15" bestFit="1" customWidth="1"/>
    <col min="28" max="29" width="14.5546875" bestFit="1" customWidth="1"/>
    <col min="30" max="30" width="13.21875" bestFit="1" customWidth="1"/>
    <col min="31" max="31" width="12.77734375" bestFit="1" customWidth="1"/>
    <col min="32" max="36" width="13.21875" bestFit="1" customWidth="1"/>
    <col min="37" max="37" width="12.44140625" bestFit="1" customWidth="1"/>
  </cols>
  <sheetData>
    <row r="2" spans="2:24" ht="21" x14ac:dyDescent="0.4">
      <c r="C2" s="130"/>
      <c r="H2" t="s">
        <v>206</v>
      </c>
      <c r="M2" s="107">
        <f>M4-36000</f>
        <v>376577.93000000005</v>
      </c>
      <c r="N2" s="107">
        <f>N4+36000</f>
        <v>370421.89999999997</v>
      </c>
      <c r="O2" s="107"/>
      <c r="R2" s="107"/>
      <c r="V2" s="107"/>
    </row>
    <row r="3" spans="2:24" ht="25.8" x14ac:dyDescent="0.5">
      <c r="B3" s="132" t="s">
        <v>207</v>
      </c>
      <c r="C3" s="143" t="s">
        <v>177</v>
      </c>
      <c r="I3" s="132" t="s">
        <v>207</v>
      </c>
      <c r="J3" s="143" t="s">
        <v>95</v>
      </c>
      <c r="K3" s="149" t="s">
        <v>0</v>
      </c>
      <c r="L3" s="149" t="s">
        <v>1</v>
      </c>
      <c r="M3" s="149" t="s">
        <v>2</v>
      </c>
      <c r="N3" s="149" t="s">
        <v>3</v>
      </c>
      <c r="O3" s="149" t="s">
        <v>4</v>
      </c>
      <c r="P3" s="149" t="s">
        <v>5</v>
      </c>
      <c r="Q3" s="149" t="s">
        <v>6</v>
      </c>
      <c r="R3" s="149" t="s">
        <v>7</v>
      </c>
      <c r="S3" s="149" t="s">
        <v>8</v>
      </c>
      <c r="T3" s="149" t="s">
        <v>9</v>
      </c>
      <c r="U3" s="149" t="s">
        <v>10</v>
      </c>
      <c r="V3" s="149" t="s">
        <v>11</v>
      </c>
      <c r="W3" s="149" t="s">
        <v>114</v>
      </c>
      <c r="X3" s="137" t="s">
        <v>153</v>
      </c>
    </row>
    <row r="4" spans="2:24" s="97" customFormat="1" ht="33.6" customHeight="1" x14ac:dyDescent="0.3">
      <c r="B4" s="131" t="s">
        <v>208</v>
      </c>
      <c r="C4" s="133">
        <f>SUMIF($B$29:$B$265,$B4,$C$29:$C$265)</f>
        <v>425496.57</v>
      </c>
      <c r="H4" s="131" t="s">
        <v>86</v>
      </c>
      <c r="I4" s="131" t="s">
        <v>208</v>
      </c>
      <c r="J4" s="133">
        <f>SUMIF($P$29:$P$265,$I4,$Q$29:$Q$265)</f>
        <v>4619880.87</v>
      </c>
      <c r="K4" s="133">
        <v>375963.08</v>
      </c>
      <c r="L4" s="133">
        <v>346086.06999999995</v>
      </c>
      <c r="M4" s="133">
        <v>412577.93000000005</v>
      </c>
      <c r="N4" s="133">
        <v>334421.89999999997</v>
      </c>
      <c r="O4" s="133">
        <v>403917.55000000005</v>
      </c>
      <c r="P4" s="133">
        <v>395811.35</v>
      </c>
      <c r="Q4" s="133">
        <v>401611.09</v>
      </c>
      <c r="R4" s="133">
        <v>401425.44999999995</v>
      </c>
      <c r="S4" s="133">
        <v>392242.52999999997</v>
      </c>
      <c r="T4" s="133">
        <v>342008.27</v>
      </c>
      <c r="U4" s="133">
        <v>388319.08</v>
      </c>
      <c r="V4" s="133">
        <f>C4</f>
        <v>425496.57</v>
      </c>
      <c r="W4" s="133">
        <f>SUM(K4:V4)</f>
        <v>4619880.87</v>
      </c>
      <c r="X4" s="144">
        <f>W4-J4</f>
        <v>0</v>
      </c>
    </row>
    <row r="5" spans="2:24" s="97" customFormat="1" ht="33.6" customHeight="1" x14ac:dyDescent="0.3">
      <c r="B5" s="131" t="s">
        <v>209</v>
      </c>
      <c r="C5" s="212">
        <f>SUMIF($B$29:$B$265,$B5,$C$29:$C$265)</f>
        <v>761873.35</v>
      </c>
      <c r="H5" s="131" t="s">
        <v>74</v>
      </c>
      <c r="I5" s="131" t="s">
        <v>209</v>
      </c>
      <c r="J5" s="133">
        <f>SUMIF($P$29:$P$265,$I5,$Q$29:$Q$265)</f>
        <v>7159466.4500000002</v>
      </c>
      <c r="K5" s="133">
        <v>751784.6</v>
      </c>
      <c r="L5" s="133">
        <v>351146.64</v>
      </c>
      <c r="M5" s="133">
        <v>504814.36</v>
      </c>
      <c r="N5" s="133">
        <v>447695.15</v>
      </c>
      <c r="O5" s="133">
        <v>481373</v>
      </c>
      <c r="P5" s="133">
        <v>325889.24000000005</v>
      </c>
      <c r="Q5" s="133">
        <v>481125.28</v>
      </c>
      <c r="R5" s="133">
        <v>562670.21</v>
      </c>
      <c r="S5" s="133">
        <v>812328.16</v>
      </c>
      <c r="T5" s="133">
        <v>961837.48</v>
      </c>
      <c r="U5" s="133">
        <v>716928.98</v>
      </c>
      <c r="V5" s="133">
        <f t="shared" ref="V5:V16" si="0">C5</f>
        <v>761873.35</v>
      </c>
      <c r="W5" s="133">
        <f t="shared" ref="W5:W17" si="1">SUM(K5:V5)</f>
        <v>7159466.4500000011</v>
      </c>
      <c r="X5" s="144">
        <f t="shared" ref="X5:X17" si="2">W5-J5</f>
        <v>0</v>
      </c>
    </row>
    <row r="6" spans="2:24" s="97" customFormat="1" ht="33.6" customHeight="1" x14ac:dyDescent="0.3">
      <c r="B6" s="131" t="s">
        <v>210</v>
      </c>
      <c r="C6" s="212">
        <f>SUMIF($B$29:$B$265,$B6,$C$29:$C$265)</f>
        <v>25658.44</v>
      </c>
      <c r="H6" s="131" t="s">
        <v>76</v>
      </c>
      <c r="I6" s="131" t="s">
        <v>210</v>
      </c>
      <c r="J6" s="133">
        <f>SUMIF($P$29:$P$265,$I6,$Q$29:$Q$265)</f>
        <v>325569.19999999995</v>
      </c>
      <c r="K6" s="133">
        <v>32834.379999999997</v>
      </c>
      <c r="L6" s="133">
        <v>19979.829999999998</v>
      </c>
      <c r="M6" s="133">
        <v>21245.64</v>
      </c>
      <c r="N6" s="133">
        <v>27696.570000000003</v>
      </c>
      <c r="O6" s="133">
        <v>19102.93</v>
      </c>
      <c r="P6" s="133">
        <v>2066.9700000000003</v>
      </c>
      <c r="Q6" s="133">
        <v>23466.750000000004</v>
      </c>
      <c r="R6" s="133">
        <v>26892.589999999997</v>
      </c>
      <c r="S6" s="133">
        <v>29389.619999999995</v>
      </c>
      <c r="T6" s="133">
        <v>43395.48</v>
      </c>
      <c r="U6" s="133">
        <v>41727.860000000008</v>
      </c>
      <c r="V6" s="133">
        <f t="shared" si="0"/>
        <v>25658.44</v>
      </c>
      <c r="W6" s="133">
        <f t="shared" si="1"/>
        <v>313457.06</v>
      </c>
      <c r="X6" s="144">
        <f t="shared" si="2"/>
        <v>-12112.139999999956</v>
      </c>
    </row>
    <row r="7" spans="2:24" s="97" customFormat="1" ht="33.6" customHeight="1" x14ac:dyDescent="0.3">
      <c r="B7" s="141" t="s">
        <v>211</v>
      </c>
      <c r="C7" s="142">
        <f>SUMIF($B$29:$B$265,$B7,$C$29:$C$265)-SUMIF($B$29:$B$265,$D$7,$C$29:$C$265)</f>
        <v>-39181.52999999997</v>
      </c>
      <c r="D7" s="139" t="s">
        <v>212</v>
      </c>
      <c r="H7" s="141" t="s">
        <v>84</v>
      </c>
      <c r="I7" s="141" t="s">
        <v>211</v>
      </c>
      <c r="J7" s="142">
        <f>SUMIF($P$29:$P$265,$I7,$Q$29:$Q$265)-SUMIF($P$29:$P$265,$D$7,$Q$29:$Q$265)</f>
        <v>642922.42000000004</v>
      </c>
      <c r="K7" s="142">
        <v>61839.479999999996</v>
      </c>
      <c r="L7" s="142">
        <v>65350.86</v>
      </c>
      <c r="M7" s="142">
        <v>68629.339999999982</v>
      </c>
      <c r="N7" s="142">
        <v>67421.69</v>
      </c>
      <c r="O7" s="142">
        <v>75825</v>
      </c>
      <c r="P7" s="142">
        <v>58807.190000000017</v>
      </c>
      <c r="Q7" s="142">
        <v>61424.560000000005</v>
      </c>
      <c r="R7" s="142">
        <v>50182.71</v>
      </c>
      <c r="S7" s="142">
        <v>52085.46</v>
      </c>
      <c r="T7" s="142">
        <v>63695.24</v>
      </c>
      <c r="U7" s="142">
        <v>56842.42</v>
      </c>
      <c r="V7" s="142">
        <f t="shared" si="0"/>
        <v>-39181.52999999997</v>
      </c>
      <c r="W7" s="142">
        <f t="shared" si="1"/>
        <v>642922.42000000016</v>
      </c>
      <c r="X7" s="144">
        <f t="shared" si="2"/>
        <v>0</v>
      </c>
    </row>
    <row r="8" spans="2:24" s="97" customFormat="1" ht="33.6" customHeight="1" x14ac:dyDescent="0.3">
      <c r="B8" s="141" t="s">
        <v>213</v>
      </c>
      <c r="C8" s="142">
        <f>SUMIF($B$29:$B$265,$B8,$C$29:$C$265)+SUMIF($B$29:$B$265,$D$7,$C$29:$C$265)</f>
        <v>-139062.89000000001</v>
      </c>
      <c r="E8" s="144"/>
      <c r="H8" s="141" t="s">
        <v>78</v>
      </c>
      <c r="I8" s="141" t="s">
        <v>213</v>
      </c>
      <c r="J8" s="142">
        <f>SUMIF($P$29:$P$265,$I8,$Q$29:$Q$265)+SUMIF($P$29:$P$265,$D$7,$Q$29:$Q$265)</f>
        <v>-10833.720000000059</v>
      </c>
      <c r="K8" s="142">
        <v>9381.74</v>
      </c>
      <c r="L8" s="142">
        <v>14433.909999999998</v>
      </c>
      <c r="M8" s="142">
        <v>8302.39</v>
      </c>
      <c r="N8" s="142">
        <v>7490.26</v>
      </c>
      <c r="O8" s="142">
        <v>41244.880000000005</v>
      </c>
      <c r="P8" s="142">
        <v>-61537.729999999996</v>
      </c>
      <c r="Q8" s="142">
        <v>11031.76</v>
      </c>
      <c r="R8" s="142">
        <v>19370.210000000003</v>
      </c>
      <c r="S8" s="142">
        <v>10808.11</v>
      </c>
      <c r="T8" s="142">
        <v>53077.350000000006</v>
      </c>
      <c r="U8" s="142">
        <v>14626.289999999999</v>
      </c>
      <c r="V8" s="142">
        <f t="shared" si="0"/>
        <v>-139062.89000000001</v>
      </c>
      <c r="W8" s="142">
        <f t="shared" si="1"/>
        <v>-10833.720000000016</v>
      </c>
      <c r="X8" s="144">
        <f t="shared" si="2"/>
        <v>4.3655745685100555E-11</v>
      </c>
    </row>
    <row r="9" spans="2:24" s="97" customFormat="1" ht="33.6" customHeight="1" x14ac:dyDescent="0.3">
      <c r="B9" s="131" t="s">
        <v>214</v>
      </c>
      <c r="C9" s="133">
        <f t="shared" ref="C9:C15" si="3">SUMIF($B$29:$B$265,$B9,$C$29:$C$265)</f>
        <v>114586.24000000001</v>
      </c>
      <c r="H9" s="131" t="s">
        <v>85</v>
      </c>
      <c r="I9" s="131" t="s">
        <v>214</v>
      </c>
      <c r="J9" s="133">
        <f t="shared" ref="J9:J16" si="4">SUMIF($P$29:$P$265,$I9,$Q$29:$Q$265)</f>
        <v>264585.31</v>
      </c>
      <c r="K9" s="133">
        <v>27874.31</v>
      </c>
      <c r="L9" s="133">
        <v>25000</v>
      </c>
      <c r="M9" s="133">
        <v>25000</v>
      </c>
      <c r="N9" s="133">
        <v>25000</v>
      </c>
      <c r="O9" s="133">
        <v>25000</v>
      </c>
      <c r="P9" s="133">
        <v>31056.07</v>
      </c>
      <c r="Q9" s="133">
        <v>25000</v>
      </c>
      <c r="R9" s="133">
        <v>-25000</v>
      </c>
      <c r="S9" s="133">
        <v>-36819.17</v>
      </c>
      <c r="T9" s="133">
        <v>25000</v>
      </c>
      <c r="U9" s="133">
        <v>15000</v>
      </c>
      <c r="V9" s="133">
        <f t="shared" si="0"/>
        <v>114586.24000000001</v>
      </c>
      <c r="W9" s="133">
        <f t="shared" si="1"/>
        <v>276697.45</v>
      </c>
      <c r="X9" s="144">
        <f t="shared" si="2"/>
        <v>12112.140000000014</v>
      </c>
    </row>
    <row r="10" spans="2:24" s="97" customFormat="1" ht="33.6" customHeight="1" x14ac:dyDescent="0.3">
      <c r="B10" s="131" t="s">
        <v>215</v>
      </c>
      <c r="C10" s="212">
        <f t="shared" si="3"/>
        <v>-112054.34</v>
      </c>
      <c r="H10" s="131" t="s">
        <v>77</v>
      </c>
      <c r="I10" s="131" t="s">
        <v>215</v>
      </c>
      <c r="J10" s="133">
        <f t="shared" si="4"/>
        <v>-1094625.3400000001</v>
      </c>
      <c r="K10" s="133">
        <v>-112278.31999999999</v>
      </c>
      <c r="L10" s="133">
        <v>-85893.39</v>
      </c>
      <c r="M10" s="133">
        <v>-67927.73</v>
      </c>
      <c r="N10" s="133">
        <v>-72652.89</v>
      </c>
      <c r="O10" s="133">
        <v>-73397.41</v>
      </c>
      <c r="P10" s="133">
        <v>-41000.620000000003</v>
      </c>
      <c r="Q10" s="133">
        <v>-68022.12</v>
      </c>
      <c r="R10" s="133">
        <v>-112161.92</v>
      </c>
      <c r="S10" s="133">
        <v>-118823.18</v>
      </c>
      <c r="T10" s="133">
        <v>-128119.05</v>
      </c>
      <c r="U10" s="133">
        <v>-102294.37</v>
      </c>
      <c r="V10" s="133">
        <f t="shared" si="0"/>
        <v>-112054.34</v>
      </c>
      <c r="W10" s="133">
        <f t="shared" si="1"/>
        <v>-1094625.3400000001</v>
      </c>
      <c r="X10" s="144">
        <f t="shared" si="2"/>
        <v>0</v>
      </c>
    </row>
    <row r="11" spans="2:24" s="97" customFormat="1" ht="33.6" customHeight="1" x14ac:dyDescent="0.3">
      <c r="B11" s="131" t="s">
        <v>216</v>
      </c>
      <c r="C11" s="133">
        <f t="shared" si="3"/>
        <v>8548.0500000000011</v>
      </c>
      <c r="H11" s="131" t="s">
        <v>83</v>
      </c>
      <c r="I11" s="131" t="s">
        <v>216</v>
      </c>
      <c r="J11" s="133">
        <f t="shared" si="4"/>
        <v>58547.42</v>
      </c>
      <c r="K11" s="133">
        <v>2921.76</v>
      </c>
      <c r="L11" s="133">
        <v>5863.85</v>
      </c>
      <c r="M11" s="133">
        <v>4120.75</v>
      </c>
      <c r="N11" s="133">
        <v>3334.89</v>
      </c>
      <c r="O11" s="133">
        <v>4336.07</v>
      </c>
      <c r="P11" s="133">
        <v>1059.71</v>
      </c>
      <c r="Q11" s="133">
        <v>3511.4400000000005</v>
      </c>
      <c r="R11" s="133">
        <v>5318.79</v>
      </c>
      <c r="S11" s="133">
        <v>6496.7999999999993</v>
      </c>
      <c r="T11" s="133">
        <v>4030.9399999999996</v>
      </c>
      <c r="U11" s="133">
        <v>9004.3700000000008</v>
      </c>
      <c r="V11" s="133">
        <f t="shared" si="0"/>
        <v>8548.0500000000011</v>
      </c>
      <c r="W11" s="133">
        <f t="shared" si="1"/>
        <v>58547.420000000006</v>
      </c>
      <c r="X11" s="144">
        <f t="shared" si="2"/>
        <v>0</v>
      </c>
    </row>
    <row r="12" spans="2:24" s="97" customFormat="1" ht="33.6" customHeight="1" x14ac:dyDescent="0.3">
      <c r="B12" s="131" t="s">
        <v>217</v>
      </c>
      <c r="C12" s="133">
        <f t="shared" si="3"/>
        <v>34153.769999999997</v>
      </c>
      <c r="H12" s="131" t="s">
        <v>75</v>
      </c>
      <c r="I12" s="131" t="s">
        <v>217</v>
      </c>
      <c r="J12" s="133">
        <f t="shared" si="4"/>
        <v>550099.01000000013</v>
      </c>
      <c r="K12" s="133">
        <v>58426.780000000006</v>
      </c>
      <c r="L12" s="133">
        <v>44301.279999999992</v>
      </c>
      <c r="M12" s="133">
        <v>43208.990000000005</v>
      </c>
      <c r="N12" s="133">
        <v>25781.84</v>
      </c>
      <c r="O12" s="133">
        <v>39352.909999999996</v>
      </c>
      <c r="P12" s="133">
        <v>22841.97</v>
      </c>
      <c r="Q12" s="133">
        <v>41803.600000000006</v>
      </c>
      <c r="R12" s="133">
        <v>64419.74</v>
      </c>
      <c r="S12" s="133">
        <v>50371.85</v>
      </c>
      <c r="T12" s="133">
        <v>63356.640000000007</v>
      </c>
      <c r="U12" s="133">
        <v>62079.639999999985</v>
      </c>
      <c r="V12" s="133">
        <f t="shared" si="0"/>
        <v>34153.769999999997</v>
      </c>
      <c r="W12" s="133">
        <f t="shared" si="1"/>
        <v>550099.01</v>
      </c>
      <c r="X12" s="144">
        <f t="shared" si="2"/>
        <v>0</v>
      </c>
    </row>
    <row r="13" spans="2:24" s="97" customFormat="1" ht="33.6" customHeight="1" x14ac:dyDescent="0.3">
      <c r="B13" s="131" t="s">
        <v>218</v>
      </c>
      <c r="C13" s="133">
        <f t="shared" si="3"/>
        <v>331422.28000000003</v>
      </c>
      <c r="H13" s="131" t="s">
        <v>80</v>
      </c>
      <c r="I13" s="131" t="s">
        <v>218</v>
      </c>
      <c r="J13" s="133">
        <f t="shared" si="4"/>
        <v>3474698.3899999997</v>
      </c>
      <c r="K13" s="133">
        <v>321977.39</v>
      </c>
      <c r="L13" s="133">
        <v>198443.41</v>
      </c>
      <c r="M13" s="133">
        <v>285535.62</v>
      </c>
      <c r="N13" s="133">
        <v>225529.23000000004</v>
      </c>
      <c r="O13" s="133">
        <v>213264.63</v>
      </c>
      <c r="P13" s="133">
        <v>236216.62999999998</v>
      </c>
      <c r="Q13" s="133">
        <v>288816.19</v>
      </c>
      <c r="R13" s="133">
        <v>269213.84999999998</v>
      </c>
      <c r="S13" s="133">
        <v>348394.51999999996</v>
      </c>
      <c r="T13" s="133">
        <v>409578.62</v>
      </c>
      <c r="U13" s="133">
        <v>346306.02</v>
      </c>
      <c r="V13" s="133">
        <f t="shared" si="0"/>
        <v>331422.28000000003</v>
      </c>
      <c r="W13" s="133">
        <f t="shared" si="1"/>
        <v>3474698.3900000006</v>
      </c>
      <c r="X13" s="144">
        <f t="shared" si="2"/>
        <v>0</v>
      </c>
    </row>
    <row r="14" spans="2:24" s="97" customFormat="1" ht="33.6" customHeight="1" x14ac:dyDescent="0.3">
      <c r="B14" s="131" t="s">
        <v>219</v>
      </c>
      <c r="C14" s="133">
        <f t="shared" si="3"/>
        <v>108584.04999999999</v>
      </c>
      <c r="H14" s="131" t="s">
        <v>81</v>
      </c>
      <c r="I14" s="131" t="s">
        <v>219</v>
      </c>
      <c r="J14" s="133">
        <f t="shared" si="4"/>
        <v>1420340.9300000002</v>
      </c>
      <c r="K14" s="133">
        <v>140072.02000000002</v>
      </c>
      <c r="L14" s="133">
        <v>154529.78999999998</v>
      </c>
      <c r="M14" s="133">
        <v>123496</v>
      </c>
      <c r="N14" s="133">
        <v>87980.42</v>
      </c>
      <c r="O14" s="133">
        <v>133242.52999999997</v>
      </c>
      <c r="P14" s="133">
        <v>130965.49</v>
      </c>
      <c r="Q14" s="133">
        <v>109540.08</v>
      </c>
      <c r="R14" s="133">
        <v>113113.51000000001</v>
      </c>
      <c r="S14" s="133">
        <v>107933.55</v>
      </c>
      <c r="T14" s="133">
        <v>105670.01000000001</v>
      </c>
      <c r="U14" s="133">
        <v>105213.48</v>
      </c>
      <c r="V14" s="133">
        <f t="shared" si="0"/>
        <v>108584.04999999999</v>
      </c>
      <c r="W14" s="133">
        <f t="shared" si="1"/>
        <v>1420340.93</v>
      </c>
      <c r="X14" s="144">
        <f t="shared" si="2"/>
        <v>0</v>
      </c>
    </row>
    <row r="15" spans="2:24" s="97" customFormat="1" ht="33.6" customHeight="1" x14ac:dyDescent="0.3">
      <c r="B15" s="131" t="s">
        <v>220</v>
      </c>
      <c r="C15" s="133">
        <f t="shared" si="3"/>
        <v>149924.34</v>
      </c>
      <c r="H15" s="131" t="s">
        <v>82</v>
      </c>
      <c r="I15" s="131" t="s">
        <v>220</v>
      </c>
      <c r="J15" s="133">
        <f t="shared" si="4"/>
        <v>1907628.6700000002</v>
      </c>
      <c r="K15" s="133">
        <v>211060.15000000002</v>
      </c>
      <c r="L15" s="133">
        <v>182080.40000000002</v>
      </c>
      <c r="M15" s="133">
        <v>163505.71</v>
      </c>
      <c r="N15" s="133">
        <v>137378.03</v>
      </c>
      <c r="O15" s="133">
        <v>133422.29</v>
      </c>
      <c r="P15" s="133">
        <v>110913.8</v>
      </c>
      <c r="Q15" s="133">
        <v>110802.10999999999</v>
      </c>
      <c r="R15" s="133">
        <v>146197.63000000003</v>
      </c>
      <c r="S15" s="133">
        <v>219780.68</v>
      </c>
      <c r="T15" s="133">
        <v>191796.25000000003</v>
      </c>
      <c r="U15" s="133">
        <v>150767.28</v>
      </c>
      <c r="V15" s="133">
        <f t="shared" si="0"/>
        <v>149924.34</v>
      </c>
      <c r="W15" s="133">
        <f t="shared" si="1"/>
        <v>1907628.6700000004</v>
      </c>
      <c r="X15" s="144">
        <f t="shared" si="2"/>
        <v>0</v>
      </c>
    </row>
    <row r="16" spans="2:24" s="97" customFormat="1" ht="33.6" customHeight="1" x14ac:dyDescent="0.3">
      <c r="B16" s="131" t="s">
        <v>221</v>
      </c>
      <c r="C16" s="168">
        <f>SUMIF($B$29:$B$265,$B16,$C$29:$C$265)</f>
        <v>-135958.59</v>
      </c>
      <c r="H16" s="131" t="s">
        <v>93</v>
      </c>
      <c r="I16" s="131" t="s">
        <v>221</v>
      </c>
      <c r="J16" s="133">
        <f t="shared" si="4"/>
        <v>3113518.86</v>
      </c>
      <c r="K16" s="133">
        <v>289689.19</v>
      </c>
      <c r="L16" s="133">
        <v>355134.83</v>
      </c>
      <c r="M16" s="133">
        <v>297322.5</v>
      </c>
      <c r="N16" s="133">
        <v>264191.68</v>
      </c>
      <c r="O16" s="133">
        <v>298717.94</v>
      </c>
      <c r="P16" s="133">
        <v>281687.49</v>
      </c>
      <c r="Q16" s="133">
        <v>284409.78000000003</v>
      </c>
      <c r="R16" s="133">
        <v>269045.75</v>
      </c>
      <c r="S16" s="133">
        <v>313719.86</v>
      </c>
      <c r="T16" s="133">
        <v>311760.45</v>
      </c>
      <c r="U16" s="133">
        <v>283797.98</v>
      </c>
      <c r="V16" s="133">
        <f t="shared" si="0"/>
        <v>-135958.59</v>
      </c>
      <c r="W16" s="133">
        <f t="shared" si="1"/>
        <v>3113518.8600000003</v>
      </c>
      <c r="X16" s="144">
        <f t="shared" si="2"/>
        <v>0</v>
      </c>
    </row>
    <row r="17" spans="1:39" s="97" customFormat="1" ht="33.6" customHeight="1" x14ac:dyDescent="0.3">
      <c r="B17" s="134" t="s">
        <v>114</v>
      </c>
      <c r="C17" s="135">
        <f>SUM(C4:C16)</f>
        <v>1533989.74</v>
      </c>
      <c r="I17" s="134" t="s">
        <v>114</v>
      </c>
      <c r="J17" s="135">
        <f>SUM(J4:J16)</f>
        <v>22431798.469999999</v>
      </c>
      <c r="K17" s="135">
        <f t="shared" ref="K17:V17" si="5">SUM(K4:K16)</f>
        <v>2171546.5599999996</v>
      </c>
      <c r="L17" s="135">
        <f t="shared" si="5"/>
        <v>1676457.48</v>
      </c>
      <c r="M17" s="135">
        <f t="shared" si="5"/>
        <v>1889831.5</v>
      </c>
      <c r="N17" s="135">
        <f t="shared" si="5"/>
        <v>1581268.77</v>
      </c>
      <c r="O17" s="135">
        <f t="shared" si="5"/>
        <v>1795402.32</v>
      </c>
      <c r="P17" s="135">
        <f t="shared" si="5"/>
        <v>1494777.56</v>
      </c>
      <c r="Q17" s="135">
        <f t="shared" si="5"/>
        <v>1774520.5200000003</v>
      </c>
      <c r="R17" s="135">
        <v>1790688.52</v>
      </c>
      <c r="S17" s="135">
        <f t="shared" si="5"/>
        <v>2187908.7900000005</v>
      </c>
      <c r="T17" s="135">
        <f t="shared" si="5"/>
        <v>2447087.6800000002</v>
      </c>
      <c r="U17" s="135">
        <f t="shared" si="5"/>
        <v>2088319.0300000003</v>
      </c>
      <c r="V17" s="135">
        <f t="shared" si="5"/>
        <v>1533989.74</v>
      </c>
      <c r="W17" s="135">
        <f t="shared" si="1"/>
        <v>22431798.469999999</v>
      </c>
      <c r="X17" s="144">
        <f t="shared" si="2"/>
        <v>0</v>
      </c>
    </row>
    <row r="19" spans="1:39" ht="36.6" customHeight="1" x14ac:dyDescent="0.3">
      <c r="B19" s="137" t="s">
        <v>153</v>
      </c>
      <c r="C19" s="136">
        <f>C17-C256</f>
        <v>0</v>
      </c>
      <c r="I19" s="137" t="s">
        <v>153</v>
      </c>
      <c r="J19" s="136">
        <f>J17-Q256</f>
        <v>0</v>
      </c>
    </row>
    <row r="21" spans="1:39" ht="42" customHeight="1" x14ac:dyDescent="0.3">
      <c r="B21" s="139" t="s">
        <v>212</v>
      </c>
      <c r="C21" s="140" t="s">
        <v>211</v>
      </c>
      <c r="D21" s="140" t="s">
        <v>213</v>
      </c>
      <c r="E21" s="139"/>
    </row>
    <row r="24" spans="1:39" s="158" customFormat="1" x14ac:dyDescent="0.3"/>
    <row r="25" spans="1:39" ht="31.2" x14ac:dyDescent="0.6">
      <c r="B25" s="145" t="s">
        <v>177</v>
      </c>
      <c r="P25" s="145" t="s">
        <v>95</v>
      </c>
    </row>
    <row r="27" spans="1:39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</row>
    <row r="28" spans="1:39" x14ac:dyDescent="0.3">
      <c r="A28" s="109"/>
      <c r="B28" s="110" t="s">
        <v>168</v>
      </c>
      <c r="C28" s="111" t="s">
        <v>173</v>
      </c>
      <c r="D28" s="111" t="s">
        <v>170</v>
      </c>
      <c r="E28" s="111" t="s">
        <v>222</v>
      </c>
      <c r="F28" s="111" t="s">
        <v>223</v>
      </c>
      <c r="G28" s="110" t="s">
        <v>168</v>
      </c>
      <c r="H28" s="111" t="s">
        <v>224</v>
      </c>
      <c r="I28" s="111" t="s">
        <v>225</v>
      </c>
      <c r="J28" s="111" t="s">
        <v>222</v>
      </c>
      <c r="K28" s="111" t="s">
        <v>223</v>
      </c>
      <c r="P28" s="110" t="s">
        <v>168</v>
      </c>
      <c r="Q28" s="111" t="s">
        <v>173</v>
      </c>
      <c r="R28" s="111" t="s">
        <v>170</v>
      </c>
      <c r="S28" s="111" t="s">
        <v>222</v>
      </c>
      <c r="T28" s="111" t="s">
        <v>223</v>
      </c>
      <c r="U28" s="110" t="s">
        <v>168</v>
      </c>
      <c r="V28" s="111" t="s">
        <v>224</v>
      </c>
      <c r="W28" s="111" t="s">
        <v>225</v>
      </c>
      <c r="X28" s="111" t="s">
        <v>222</v>
      </c>
      <c r="Y28" s="111" t="s">
        <v>223</v>
      </c>
      <c r="Z28" s="157" t="s">
        <v>0</v>
      </c>
      <c r="AA28" s="157" t="s">
        <v>1</v>
      </c>
      <c r="AB28" s="157" t="s">
        <v>2</v>
      </c>
      <c r="AC28" s="157" t="s">
        <v>3</v>
      </c>
      <c r="AD28" s="157" t="s">
        <v>4</v>
      </c>
      <c r="AE28" s="157" t="s">
        <v>5</v>
      </c>
      <c r="AF28" s="157" t="s">
        <v>6</v>
      </c>
      <c r="AG28" s="157" t="s">
        <v>7</v>
      </c>
      <c r="AH28" s="157" t="s">
        <v>8</v>
      </c>
      <c r="AI28" s="157" t="s">
        <v>9</v>
      </c>
      <c r="AJ28" s="157" t="s">
        <v>10</v>
      </c>
      <c r="AK28" s="157" t="s">
        <v>11</v>
      </c>
    </row>
    <row r="29" spans="1:39" x14ac:dyDescent="0.3">
      <c r="A29" s="109" t="str">
        <f>"debit"&amp;B29</f>
        <v>debit    6666110101  Depreciation of buildings</v>
      </c>
      <c r="B29" s="112" t="s">
        <v>226</v>
      </c>
      <c r="C29" s="113">
        <f>IFERROR(VLOOKUP($A29,MTD!$A$13:$D$1048576,3,0),0)</f>
        <v>46969.19</v>
      </c>
      <c r="D29" s="113">
        <f>IFERROR(VLOOKUP($A29,MTD!$A$13:$D$1048576,4,0),0)</f>
        <v>330497.21000000002</v>
      </c>
      <c r="E29" s="113"/>
      <c r="F29" s="113"/>
      <c r="G29" s="112" t="s">
        <v>226</v>
      </c>
      <c r="H29" s="114">
        <v>0</v>
      </c>
      <c r="I29" s="114">
        <v>0</v>
      </c>
      <c r="J29" s="115">
        <v>0</v>
      </c>
      <c r="K29" s="113">
        <v>0</v>
      </c>
      <c r="P29" s="112" t="s">
        <v>226</v>
      </c>
      <c r="Q29" s="113">
        <f>IFERROR(VLOOKUP($A29,YTD!$A$13:$D$1048576,3,0),0)</f>
        <v>548912.24</v>
      </c>
      <c r="R29" s="113">
        <f>IFERROR(VLOOKUP($A29,YTD!$A$13:$D$1048576,4,0),0)</f>
        <v>3469128.23</v>
      </c>
      <c r="S29" s="113"/>
      <c r="T29" s="113"/>
      <c r="U29" s="112" t="s">
        <v>226</v>
      </c>
      <c r="V29" s="114">
        <v>0</v>
      </c>
      <c r="W29" s="114">
        <v>0</v>
      </c>
      <c r="X29" s="115">
        <v>0</v>
      </c>
      <c r="Y29" s="113">
        <v>0</v>
      </c>
      <c r="Z29" s="113">
        <v>45923.91</v>
      </c>
      <c r="AA29" s="113">
        <v>41479.79</v>
      </c>
      <c r="AB29" s="113">
        <v>45941.97</v>
      </c>
      <c r="AC29" s="113">
        <v>44483.77</v>
      </c>
      <c r="AD29" s="113">
        <v>46469.17</v>
      </c>
      <c r="AE29" s="113">
        <v>45512.58</v>
      </c>
      <c r="AF29" s="113">
        <v>47031.15</v>
      </c>
      <c r="AG29" s="113">
        <v>47080.79</v>
      </c>
      <c r="AH29" s="113">
        <v>45581.2</v>
      </c>
      <c r="AI29" s="113">
        <v>46969.21</v>
      </c>
      <c r="AJ29" s="113">
        <v>45469.51</v>
      </c>
      <c r="AK29" s="113">
        <f>C29</f>
        <v>46969.19</v>
      </c>
      <c r="AM29" s="214"/>
    </row>
    <row r="30" spans="1:39" x14ac:dyDescent="0.3">
      <c r="A30" s="109" t="str">
        <f t="shared" ref="A30:A95" si="6">"debit"&amp;B30</f>
        <v>debit    6666110106  Depreciation of R&amp;D facilities</v>
      </c>
      <c r="B30" s="112" t="s">
        <v>227</v>
      </c>
      <c r="C30" s="113">
        <f>IFERROR(VLOOKUP($A30,MTD!$A$13:$D$1048576,3,0),0)</f>
        <v>0</v>
      </c>
      <c r="D30" s="116">
        <f>IFERROR(VLOOKUP($A30,MTD!$A$13:$D$1048576,4,0),0)</f>
        <v>0</v>
      </c>
      <c r="E30" s="113"/>
      <c r="F30" s="113"/>
      <c r="G30" s="112" t="s">
        <v>227</v>
      </c>
      <c r="H30" s="114">
        <v>0</v>
      </c>
      <c r="I30" s="114">
        <v>0</v>
      </c>
      <c r="J30" s="115">
        <v>0</v>
      </c>
      <c r="K30" s="113">
        <v>0</v>
      </c>
      <c r="P30" s="112" t="s">
        <v>227</v>
      </c>
      <c r="Q30" s="113">
        <f>IFERROR(VLOOKUP($A30,YTD!$A$13:$D$1048576,3,0),0)</f>
        <v>0</v>
      </c>
      <c r="R30" s="116">
        <f>IFERROR(VLOOKUP($A30,YTD!$A$13:$D$1048576,4,0),0)</f>
        <v>0</v>
      </c>
      <c r="S30" s="113"/>
      <c r="T30" s="113"/>
      <c r="U30" s="112" t="s">
        <v>227</v>
      </c>
      <c r="V30" s="114">
        <v>0</v>
      </c>
      <c r="W30" s="114">
        <v>0</v>
      </c>
      <c r="X30" s="115">
        <v>0</v>
      </c>
      <c r="Y30" s="113">
        <v>0</v>
      </c>
      <c r="Z30" s="113">
        <v>0</v>
      </c>
      <c r="AA30" s="113">
        <v>0</v>
      </c>
      <c r="AB30" s="113">
        <v>0</v>
      </c>
      <c r="AC30" s="113">
        <v>0</v>
      </c>
      <c r="AD30" s="113">
        <v>0</v>
      </c>
      <c r="AE30" s="113">
        <v>0</v>
      </c>
      <c r="AF30" s="113">
        <v>0</v>
      </c>
      <c r="AG30" s="113">
        <v>0</v>
      </c>
      <c r="AH30" s="113">
        <v>0</v>
      </c>
      <c r="AI30" s="113">
        <v>0</v>
      </c>
      <c r="AJ30" s="113">
        <v>0</v>
      </c>
      <c r="AK30" s="113">
        <f t="shared" ref="AK30:AK93" si="7">C30</f>
        <v>0</v>
      </c>
      <c r="AM30" s="214"/>
    </row>
    <row r="31" spans="1:39" x14ac:dyDescent="0.3">
      <c r="A31" s="109" t="str">
        <f t="shared" si="6"/>
        <v>debit    6666110107  Depreciation of mold　</v>
      </c>
      <c r="B31" s="112" t="s">
        <v>228</v>
      </c>
      <c r="C31" s="113">
        <f>IFERROR(VLOOKUP($A31,MTD!$A$13:$D$1048576,3,0),0)</f>
        <v>177796.77</v>
      </c>
      <c r="D31" s="116">
        <f>IFERROR(VLOOKUP($A31,MTD!$A$13:$D$1048576,4,0),0)</f>
        <v>0</v>
      </c>
      <c r="E31" s="113"/>
      <c r="F31" s="113"/>
      <c r="G31" s="112" t="s">
        <v>228</v>
      </c>
      <c r="H31" s="114">
        <v>0</v>
      </c>
      <c r="I31" s="114">
        <v>0</v>
      </c>
      <c r="J31" s="115">
        <v>0</v>
      </c>
      <c r="K31" s="113">
        <v>0</v>
      </c>
      <c r="P31" s="112" t="s">
        <v>228</v>
      </c>
      <c r="Q31" s="113">
        <f>IFERROR(VLOOKUP($A31,YTD!$A$13:$D$1048576,3,0),0)</f>
        <v>1828204.56</v>
      </c>
      <c r="R31" s="116">
        <f>IFERROR(VLOOKUP($A31,YTD!$A$13:$D$1048576,4,0),0)</f>
        <v>0</v>
      </c>
      <c r="S31" s="113"/>
      <c r="T31" s="113"/>
      <c r="U31" s="112" t="s">
        <v>228</v>
      </c>
      <c r="V31" s="114">
        <v>0</v>
      </c>
      <c r="W31" s="114">
        <v>0</v>
      </c>
      <c r="X31" s="115">
        <v>0</v>
      </c>
      <c r="Y31" s="113">
        <v>0</v>
      </c>
      <c r="Z31" s="113">
        <v>147257.32</v>
      </c>
      <c r="AA31" s="113">
        <v>138406.09</v>
      </c>
      <c r="AB31" s="113">
        <v>147503.04000000001</v>
      </c>
      <c r="AC31" s="113">
        <v>146664.60999999999</v>
      </c>
      <c r="AD31" s="113">
        <v>161578.67000000001</v>
      </c>
      <c r="AE31" s="113">
        <v>159006.60999999999</v>
      </c>
      <c r="AF31" s="113">
        <v>158446.85</v>
      </c>
      <c r="AG31" s="113">
        <v>158859.47</v>
      </c>
      <c r="AH31" s="113">
        <v>156919.59</v>
      </c>
      <c r="AI31" s="113">
        <v>118146.1</v>
      </c>
      <c r="AJ31" s="113">
        <v>157619.44</v>
      </c>
      <c r="AK31" s="113">
        <f t="shared" si="7"/>
        <v>177796.77</v>
      </c>
      <c r="AM31" s="214"/>
    </row>
    <row r="32" spans="1:39" x14ac:dyDescent="0.3">
      <c r="A32" s="109" t="str">
        <f t="shared" si="6"/>
        <v>debit    6666110110  Depreciation-Plant &amp; Machinery</v>
      </c>
      <c r="B32" s="112" t="s">
        <v>229</v>
      </c>
      <c r="C32" s="113">
        <f>IFERROR(VLOOKUP($A32,MTD!$A$13:$D$1048576,3,0),0)</f>
        <v>249195.66</v>
      </c>
      <c r="D32" s="116">
        <f>IFERROR(VLOOKUP($A32,MTD!$A$13:$D$1048576,4,0),0)</f>
        <v>0</v>
      </c>
      <c r="E32" s="113"/>
      <c r="F32" s="113"/>
      <c r="G32" s="112" t="s">
        <v>229</v>
      </c>
      <c r="H32" s="114">
        <v>0</v>
      </c>
      <c r="I32" s="114">
        <v>0</v>
      </c>
      <c r="J32" s="115">
        <v>0</v>
      </c>
      <c r="K32" s="113">
        <v>0</v>
      </c>
      <c r="P32" s="112" t="s">
        <v>229</v>
      </c>
      <c r="Q32" s="113">
        <f>IFERROR(VLOOKUP($A32,YTD!$A$13:$D$1048576,3,0),0)</f>
        <v>2885061.37</v>
      </c>
      <c r="R32" s="116">
        <f>IFERROR(VLOOKUP($A32,YTD!$A$13:$D$1048576,4,0),0)</f>
        <v>0</v>
      </c>
      <c r="S32" s="113"/>
      <c r="T32" s="113"/>
      <c r="U32" s="112" t="s">
        <v>229</v>
      </c>
      <c r="V32" s="114">
        <v>0</v>
      </c>
      <c r="W32" s="114">
        <v>0</v>
      </c>
      <c r="X32" s="115">
        <v>0</v>
      </c>
      <c r="Y32" s="113">
        <v>0</v>
      </c>
      <c r="Z32" s="113">
        <v>242965.46</v>
      </c>
      <c r="AA32" s="113">
        <v>220337.68</v>
      </c>
      <c r="AB32" s="113">
        <v>315349.55</v>
      </c>
      <c r="AC32" s="113">
        <v>164811.69</v>
      </c>
      <c r="AD32" s="113">
        <v>249097.73</v>
      </c>
      <c r="AE32" s="113">
        <v>243816.67</v>
      </c>
      <c r="AF32" s="113">
        <v>251413.9</v>
      </c>
      <c r="AG32" s="113">
        <v>250385.06</v>
      </c>
      <c r="AH32" s="113">
        <v>242599.9</v>
      </c>
      <c r="AI32" s="113">
        <v>223480.22</v>
      </c>
      <c r="AJ32" s="113">
        <v>231607.85</v>
      </c>
      <c r="AK32" s="113">
        <f t="shared" si="7"/>
        <v>249195.66</v>
      </c>
      <c r="AM32" s="214"/>
    </row>
    <row r="33" spans="1:39" x14ac:dyDescent="0.3">
      <c r="A33" s="109" t="str">
        <f t="shared" si="6"/>
        <v>debit    6666110112  Depreciation of Furniture &amp; Fixture</v>
      </c>
      <c r="B33" s="112" t="s">
        <v>230</v>
      </c>
      <c r="C33" s="113">
        <f>IFERROR(VLOOKUP($A33,MTD!$A$13:$D$1048576,3,0),0)</f>
        <v>19898.27</v>
      </c>
      <c r="D33" s="116">
        <f>IFERROR(VLOOKUP($A33,MTD!$A$13:$D$1048576,4,0),0)</f>
        <v>0</v>
      </c>
      <c r="E33" s="113"/>
      <c r="F33" s="113"/>
      <c r="G33" s="112" t="s">
        <v>230</v>
      </c>
      <c r="H33" s="114">
        <v>0</v>
      </c>
      <c r="I33" s="114">
        <v>0</v>
      </c>
      <c r="J33" s="115">
        <v>0</v>
      </c>
      <c r="K33" s="113">
        <v>0</v>
      </c>
      <c r="P33" s="112" t="s">
        <v>230</v>
      </c>
      <c r="Q33" s="113">
        <f>IFERROR(VLOOKUP($A33,YTD!$A$13:$D$1048576,3,0),0)</f>
        <v>226228.88</v>
      </c>
      <c r="R33" s="116">
        <f>IFERROR(VLOOKUP($A33,YTD!$A$13:$D$1048576,4,0),0)</f>
        <v>0</v>
      </c>
      <c r="S33" s="113"/>
      <c r="T33" s="113"/>
      <c r="U33" s="112" t="s">
        <v>230</v>
      </c>
      <c r="V33" s="114">
        <v>0</v>
      </c>
      <c r="W33" s="114">
        <v>0</v>
      </c>
      <c r="X33" s="115">
        <v>0</v>
      </c>
      <c r="Y33" s="113">
        <v>0</v>
      </c>
      <c r="Z33" s="113">
        <v>14022.56</v>
      </c>
      <c r="AA33" s="113">
        <v>13233.28</v>
      </c>
      <c r="AB33" s="113">
        <v>14967.9</v>
      </c>
      <c r="AC33" s="113">
        <v>16045.61</v>
      </c>
      <c r="AD33" s="113">
        <v>23017.45</v>
      </c>
      <c r="AE33" s="113">
        <v>22057.61</v>
      </c>
      <c r="AF33" s="113">
        <v>22590.04</v>
      </c>
      <c r="AG33" s="113">
        <v>22860.29</v>
      </c>
      <c r="AH33" s="113">
        <v>22617.78</v>
      </c>
      <c r="AI33" s="113">
        <v>15508.81</v>
      </c>
      <c r="AJ33" s="113">
        <v>19409.28</v>
      </c>
      <c r="AK33" s="113">
        <f t="shared" si="7"/>
        <v>19898.27</v>
      </c>
      <c r="AM33" s="214"/>
    </row>
    <row r="34" spans="1:39" x14ac:dyDescent="0.3">
      <c r="A34" s="109" t="str">
        <f t="shared" si="6"/>
        <v>debit    6666110204  Amortization of license, trademarks and</v>
      </c>
      <c r="B34" s="112" t="s">
        <v>231</v>
      </c>
      <c r="C34" s="113">
        <f>IFERROR(VLOOKUP($A34,MTD!$A$13:$D$1048576,3,0),0)</f>
        <v>505.04</v>
      </c>
      <c r="D34" s="116">
        <f>IFERROR(VLOOKUP($A34,MTD!$A$13:$D$1048576,4,0),0)</f>
        <v>0</v>
      </c>
      <c r="E34" s="113"/>
      <c r="F34" s="113"/>
      <c r="G34" s="112" t="s">
        <v>231</v>
      </c>
      <c r="H34" s="114">
        <v>0</v>
      </c>
      <c r="I34" s="114">
        <v>0</v>
      </c>
      <c r="J34" s="115">
        <v>0</v>
      </c>
      <c r="K34" s="113">
        <v>0</v>
      </c>
      <c r="P34" s="112" t="s">
        <v>231</v>
      </c>
      <c r="Q34" s="113">
        <f>IFERROR(VLOOKUP($A34,YTD!$A$13:$D$1048576,3,0),0)</f>
        <v>6060.4</v>
      </c>
      <c r="R34" s="116">
        <f>IFERROR(VLOOKUP($A34,YTD!$A$13:$D$1048576,4,0),0)</f>
        <v>0</v>
      </c>
      <c r="S34" s="113"/>
      <c r="T34" s="113"/>
      <c r="U34" s="112" t="s">
        <v>231</v>
      </c>
      <c r="V34" s="114">
        <v>0</v>
      </c>
      <c r="W34" s="114">
        <v>0</v>
      </c>
      <c r="X34" s="115">
        <v>0</v>
      </c>
      <c r="Y34" s="113">
        <v>0</v>
      </c>
      <c r="Z34" s="113">
        <v>505.04</v>
      </c>
      <c r="AA34" s="113">
        <v>505.02</v>
      </c>
      <c r="AB34" s="113">
        <v>505.04</v>
      </c>
      <c r="AC34" s="113">
        <v>505.04</v>
      </c>
      <c r="AD34" s="113">
        <v>505.02</v>
      </c>
      <c r="AE34" s="113">
        <v>505.04</v>
      </c>
      <c r="AF34" s="113">
        <v>505.04</v>
      </c>
      <c r="AG34" s="113">
        <v>505.02</v>
      </c>
      <c r="AH34" s="113">
        <v>505.04</v>
      </c>
      <c r="AI34" s="113">
        <v>505.04</v>
      </c>
      <c r="AJ34" s="113">
        <v>505.02</v>
      </c>
      <c r="AK34" s="113">
        <f t="shared" si="7"/>
        <v>505.04</v>
      </c>
      <c r="AM34" s="214"/>
    </row>
    <row r="35" spans="1:39" x14ac:dyDescent="0.3">
      <c r="A35" s="109" t="str">
        <f t="shared" si="6"/>
        <v>debit    6666110207  Amortization of Software</v>
      </c>
      <c r="B35" s="112" t="s">
        <v>232</v>
      </c>
      <c r="C35" s="113">
        <f>IFERROR(VLOOKUP($A35,MTD!$A$13:$D$1048576,3,0),0)</f>
        <v>13848.17</v>
      </c>
      <c r="D35" s="116">
        <f>IFERROR(VLOOKUP($A35,MTD!$A$13:$D$1048576,4,0),0)</f>
        <v>0</v>
      </c>
      <c r="E35" s="113"/>
      <c r="F35" s="113"/>
      <c r="G35" s="112" t="s">
        <v>232</v>
      </c>
      <c r="H35" s="114">
        <v>0</v>
      </c>
      <c r="I35" s="114">
        <v>0</v>
      </c>
      <c r="J35" s="115">
        <v>0</v>
      </c>
      <c r="K35" s="113">
        <v>0</v>
      </c>
      <c r="P35" s="112" t="s">
        <v>232</v>
      </c>
      <c r="Q35" s="113">
        <f>IFERROR(VLOOKUP($A35,YTD!$A$13:$D$1048576,3,0),0)</f>
        <v>162846.74</v>
      </c>
      <c r="R35" s="116">
        <f>IFERROR(VLOOKUP($A35,YTD!$A$13:$D$1048576,4,0),0)</f>
        <v>0</v>
      </c>
      <c r="S35" s="113"/>
      <c r="T35" s="113"/>
      <c r="U35" s="112" t="s">
        <v>232</v>
      </c>
      <c r="V35" s="114">
        <v>0</v>
      </c>
      <c r="W35" s="114">
        <v>0</v>
      </c>
      <c r="X35" s="115">
        <v>0</v>
      </c>
      <c r="Y35" s="113">
        <v>0</v>
      </c>
      <c r="Z35" s="113">
        <v>11451.1</v>
      </c>
      <c r="AA35" s="113">
        <v>10550.55</v>
      </c>
      <c r="AB35" s="113">
        <v>10917.22</v>
      </c>
      <c r="AC35" s="113">
        <v>10794.97</v>
      </c>
      <c r="AD35" s="113">
        <v>17082.53</v>
      </c>
      <c r="AE35" s="113">
        <v>15672.48</v>
      </c>
      <c r="AF35" s="113">
        <v>15090.63</v>
      </c>
      <c r="AG35" s="113">
        <v>15072.84</v>
      </c>
      <c r="AH35" s="113">
        <v>14714.12</v>
      </c>
      <c r="AI35" s="113">
        <v>13848.15</v>
      </c>
      <c r="AJ35" s="113">
        <v>13803.98</v>
      </c>
      <c r="AK35" s="113">
        <f t="shared" si="7"/>
        <v>13848.17</v>
      </c>
      <c r="AM35" s="214"/>
    </row>
    <row r="36" spans="1:39" x14ac:dyDescent="0.3">
      <c r="A36" s="109" t="str">
        <f t="shared" si="6"/>
        <v>debit    6666110506  Amortization-Leasehold Improvement</v>
      </c>
      <c r="B36" s="112" t="s">
        <v>233</v>
      </c>
      <c r="C36" s="113">
        <f>IFERROR(VLOOKUP($A36,MTD!$A$13:$D$1048576,3,0),0)</f>
        <v>350.02</v>
      </c>
      <c r="D36" s="116">
        <f>IFERROR(VLOOKUP($A36,MTD!$A$13:$D$1048576,4,0),0)</f>
        <v>0</v>
      </c>
      <c r="E36" s="113"/>
      <c r="F36" s="113"/>
      <c r="G36" s="112" t="s">
        <v>233</v>
      </c>
      <c r="H36" s="114">
        <v>0</v>
      </c>
      <c r="I36" s="114">
        <v>0</v>
      </c>
      <c r="J36" s="115">
        <v>0</v>
      </c>
      <c r="K36" s="113">
        <v>0</v>
      </c>
      <c r="P36" s="112" t="s">
        <v>233</v>
      </c>
      <c r="Q36" s="113">
        <f>IFERROR(VLOOKUP($A36,YTD!$A$13:$D$1048576,3,0),0)</f>
        <v>10297.42</v>
      </c>
      <c r="R36" s="116">
        <f>IFERROR(VLOOKUP($A36,YTD!$A$13:$D$1048576,4,0),0)</f>
        <v>0</v>
      </c>
      <c r="S36" s="113"/>
      <c r="T36" s="113"/>
      <c r="U36" s="112" t="s">
        <v>233</v>
      </c>
      <c r="V36" s="114">
        <v>0</v>
      </c>
      <c r="W36" s="114">
        <v>0</v>
      </c>
      <c r="X36" s="115">
        <v>0</v>
      </c>
      <c r="Y36" s="113">
        <v>0</v>
      </c>
      <c r="Z36" s="113">
        <v>1380.49</v>
      </c>
      <c r="AA36" s="113">
        <v>1219.3800000000001</v>
      </c>
      <c r="AB36" s="113">
        <v>1166.55</v>
      </c>
      <c r="AC36" s="113">
        <v>1076.8599999999999</v>
      </c>
      <c r="AD36" s="113">
        <v>1079.8800000000001</v>
      </c>
      <c r="AE36" s="113">
        <v>662.69</v>
      </c>
      <c r="AF36" s="113">
        <v>683.65</v>
      </c>
      <c r="AG36" s="113">
        <v>683.63</v>
      </c>
      <c r="AH36" s="113">
        <v>661.54</v>
      </c>
      <c r="AI36" s="113">
        <v>683.41</v>
      </c>
      <c r="AJ36" s="113">
        <v>649.32000000000005</v>
      </c>
      <c r="AK36" s="113">
        <f t="shared" si="7"/>
        <v>350.02</v>
      </c>
      <c r="AM36" s="214"/>
    </row>
    <row r="37" spans="1:39" x14ac:dyDescent="0.3">
      <c r="A37" s="109" t="str">
        <f t="shared" si="6"/>
        <v>debit*   CS_Depreciation</v>
      </c>
      <c r="B37" s="117" t="s">
        <v>208</v>
      </c>
      <c r="C37" s="118">
        <f>IFERROR(VLOOKUP($A37,MTD!$A$13:$D$1048576,3,0),0)</f>
        <v>508563.12</v>
      </c>
      <c r="D37" s="118">
        <f>IFERROR(VLOOKUP($A37,MTD!$A$13:$D$1048576,4,0),0)</f>
        <v>330497.21000000002</v>
      </c>
      <c r="E37" s="118"/>
      <c r="F37" s="118"/>
      <c r="G37" s="117" t="s">
        <v>208</v>
      </c>
      <c r="H37" s="119">
        <v>0</v>
      </c>
      <c r="I37" s="119">
        <v>0</v>
      </c>
      <c r="J37" s="120">
        <v>0</v>
      </c>
      <c r="K37" s="118">
        <v>0</v>
      </c>
      <c r="P37" s="117" t="s">
        <v>208</v>
      </c>
      <c r="Q37" s="118">
        <f>IFERROR(VLOOKUP($A37,YTD!$A$13:$D$1048576,3,0),0)</f>
        <v>5667611.6100000003</v>
      </c>
      <c r="R37" s="118">
        <f>IFERROR(VLOOKUP($A37,YTD!$A$13:$D$1048576,4,0),0)</f>
        <v>3469128.23</v>
      </c>
      <c r="S37" s="118"/>
      <c r="T37" s="118"/>
      <c r="U37" s="117" t="s">
        <v>208</v>
      </c>
      <c r="V37" s="119">
        <v>0</v>
      </c>
      <c r="W37" s="119">
        <v>0</v>
      </c>
      <c r="X37" s="120">
        <v>0</v>
      </c>
      <c r="Y37" s="118">
        <v>0</v>
      </c>
      <c r="Z37" s="118">
        <v>463505.88</v>
      </c>
      <c r="AA37" s="118">
        <v>425731.79</v>
      </c>
      <c r="AB37" s="118">
        <v>536351.27</v>
      </c>
      <c r="AC37" s="118">
        <v>384382.55</v>
      </c>
      <c r="AD37" s="118">
        <v>498830.45</v>
      </c>
      <c r="AE37" s="118">
        <v>487233.68</v>
      </c>
      <c r="AF37" s="118">
        <v>495761.26</v>
      </c>
      <c r="AG37" s="118">
        <v>495447.1</v>
      </c>
      <c r="AH37" s="118">
        <v>483599.17</v>
      </c>
      <c r="AI37" s="118">
        <v>419140.94</v>
      </c>
      <c r="AJ37" s="118">
        <v>469064.4</v>
      </c>
      <c r="AK37" s="118">
        <f t="shared" si="7"/>
        <v>508563.12</v>
      </c>
      <c r="AM37" s="214"/>
    </row>
    <row r="38" spans="1:39" x14ac:dyDescent="0.3">
      <c r="A38" s="109" t="str">
        <f t="shared" si="6"/>
        <v>debit    5001010205  Unemployment Insurance -blue collar-Dire</v>
      </c>
      <c r="B38" s="112" t="s">
        <v>234</v>
      </c>
      <c r="C38" s="113">
        <f>IFERROR(VLOOKUP($A38,MTD!$A$13:$D$1048576,3,0),0)</f>
        <v>11595.25</v>
      </c>
      <c r="D38" s="116">
        <f>IFERROR(VLOOKUP($A38,MTD!$A$13:$D$1048576,4,0),0)</f>
        <v>0</v>
      </c>
      <c r="E38" s="113"/>
      <c r="F38" s="113"/>
      <c r="G38" s="112" t="s">
        <v>234</v>
      </c>
      <c r="H38" s="114">
        <v>0</v>
      </c>
      <c r="I38" s="114">
        <v>0</v>
      </c>
      <c r="J38" s="115">
        <v>0</v>
      </c>
      <c r="K38" s="113">
        <v>0</v>
      </c>
      <c r="P38" s="112" t="s">
        <v>234</v>
      </c>
      <c r="Q38" s="113">
        <f>IFERROR(VLOOKUP($A38,YTD!$A$13:$D$1048576,3,0),0)</f>
        <v>126557.26</v>
      </c>
      <c r="R38" s="116">
        <f>IFERROR(VLOOKUP($A38,YTD!$A$13:$D$1048576,4,0),0)</f>
        <v>0</v>
      </c>
      <c r="S38" s="113"/>
      <c r="T38" s="113"/>
      <c r="U38" s="112" t="s">
        <v>234</v>
      </c>
      <c r="V38" s="114">
        <v>0</v>
      </c>
      <c r="W38" s="114">
        <v>0</v>
      </c>
      <c r="X38" s="115">
        <v>0</v>
      </c>
      <c r="Y38" s="113">
        <v>0</v>
      </c>
      <c r="Z38" s="113">
        <v>11262.72</v>
      </c>
      <c r="AA38" s="113">
        <v>7980.84</v>
      </c>
      <c r="AB38" s="113">
        <v>9196.27</v>
      </c>
      <c r="AC38" s="113">
        <v>7793.82</v>
      </c>
      <c r="AD38" s="113">
        <v>8170.54</v>
      </c>
      <c r="AE38" s="113">
        <v>7584.95</v>
      </c>
      <c r="AF38" s="113">
        <v>9366.48</v>
      </c>
      <c r="AG38" s="113">
        <v>11061.61</v>
      </c>
      <c r="AH38" s="113">
        <v>14360.9</v>
      </c>
      <c r="AI38" s="113">
        <v>16658.3</v>
      </c>
      <c r="AJ38" s="113">
        <v>11525.58</v>
      </c>
      <c r="AK38" s="113">
        <f t="shared" si="7"/>
        <v>11595.25</v>
      </c>
      <c r="AM38" s="214"/>
    </row>
    <row r="39" spans="1:39" x14ac:dyDescent="0.3">
      <c r="A39" s="109" t="str">
        <f t="shared" si="6"/>
        <v>debit    6666010380  Incentive</v>
      </c>
      <c r="B39" s="112" t="s">
        <v>235</v>
      </c>
      <c r="C39" s="113">
        <f>IFERROR(VLOOKUP($A39,MTD!$A$13:$D$1048576,3,0),0)</f>
        <v>6772.56</v>
      </c>
      <c r="D39" s="116">
        <f>IFERROR(VLOOKUP($A39,MTD!$A$13:$D$1048576,4,0),0)</f>
        <v>0</v>
      </c>
      <c r="E39" s="113"/>
      <c r="F39" s="113"/>
      <c r="G39" s="112" t="s">
        <v>235</v>
      </c>
      <c r="H39" s="114">
        <v>0</v>
      </c>
      <c r="I39" s="114">
        <v>0</v>
      </c>
      <c r="J39" s="115">
        <v>0</v>
      </c>
      <c r="K39" s="113">
        <v>0</v>
      </c>
      <c r="P39" s="112" t="s">
        <v>235</v>
      </c>
      <c r="Q39" s="113">
        <f>IFERROR(VLOOKUP($A39,YTD!$A$13:$D$1048576,3,0),0)</f>
        <v>8285.91</v>
      </c>
      <c r="R39" s="116">
        <f>IFERROR(VLOOKUP($A39,YTD!$A$13:$D$1048576,4,0),0)</f>
        <v>0</v>
      </c>
      <c r="S39" s="113"/>
      <c r="T39" s="113"/>
      <c r="U39" s="112" t="s">
        <v>235</v>
      </c>
      <c r="V39" s="114">
        <v>0</v>
      </c>
      <c r="W39" s="114">
        <v>0</v>
      </c>
      <c r="X39" s="115">
        <v>0</v>
      </c>
      <c r="Y39" s="113">
        <v>0</v>
      </c>
      <c r="Z39" s="113">
        <v>-2998.5</v>
      </c>
      <c r="AA39" s="113">
        <v>-2308.02</v>
      </c>
      <c r="AB39" s="113">
        <v>-2107.85</v>
      </c>
      <c r="AC39" s="113">
        <v>-1824.35</v>
      </c>
      <c r="AD39" s="113">
        <v>-1101.02</v>
      </c>
      <c r="AE39" s="113">
        <v>-1584.38</v>
      </c>
      <c r="AF39" s="113">
        <v>-1870.52</v>
      </c>
      <c r="AG39" s="113">
        <v>-3546.81</v>
      </c>
      <c r="AH39" s="113">
        <v>4909.1499999999996</v>
      </c>
      <c r="AI39" s="113">
        <v>5992.93</v>
      </c>
      <c r="AJ39" s="113">
        <v>7952.72</v>
      </c>
      <c r="AK39" s="113">
        <f t="shared" si="7"/>
        <v>6772.56</v>
      </c>
      <c r="AM39" s="214"/>
    </row>
    <row r="40" spans="1:39" x14ac:dyDescent="0.3">
      <c r="A40" s="109" t="str">
        <f t="shared" si="6"/>
        <v>debit    6666010019  Payroll Taxes - Blue Collar Direct</v>
      </c>
      <c r="B40" s="112" t="s">
        <v>236</v>
      </c>
      <c r="C40" s="113">
        <f>IFERROR(VLOOKUP($A40,MTD!$A$13:$D$1048576,3,0),0)</f>
        <v>91781.58</v>
      </c>
      <c r="D40" s="116">
        <f>IFERROR(VLOOKUP($A40,MTD!$A$13:$D$1048576,4,0),0)</f>
        <v>0</v>
      </c>
      <c r="E40" s="113"/>
      <c r="F40" s="113"/>
      <c r="G40" s="112" t="s">
        <v>236</v>
      </c>
      <c r="H40" s="114">
        <v>0</v>
      </c>
      <c r="I40" s="114">
        <v>0</v>
      </c>
      <c r="J40" s="115">
        <v>0</v>
      </c>
      <c r="K40" s="113">
        <v>0</v>
      </c>
      <c r="P40" s="112" t="s">
        <v>236</v>
      </c>
      <c r="Q40" s="113">
        <f>IFERROR(VLOOKUP($A40,YTD!$A$13:$D$1048576,3,0),0)</f>
        <v>1003180.47</v>
      </c>
      <c r="R40" s="116">
        <f>IFERROR(VLOOKUP($A40,YTD!$A$13:$D$1048576,4,0),0)</f>
        <v>0</v>
      </c>
      <c r="S40" s="113"/>
      <c r="T40" s="113"/>
      <c r="U40" s="112" t="s">
        <v>236</v>
      </c>
      <c r="V40" s="114">
        <v>0</v>
      </c>
      <c r="W40" s="114">
        <v>0</v>
      </c>
      <c r="X40" s="115">
        <v>0</v>
      </c>
      <c r="Y40" s="113">
        <v>0</v>
      </c>
      <c r="Z40" s="113">
        <v>89493.94</v>
      </c>
      <c r="AA40" s="113">
        <v>63247.63</v>
      </c>
      <c r="AB40" s="113">
        <v>72948.27</v>
      </c>
      <c r="AC40" s="113">
        <v>61776.62</v>
      </c>
      <c r="AD40" s="113">
        <v>64103.85</v>
      </c>
      <c r="AE40" s="113">
        <v>60143.89</v>
      </c>
      <c r="AF40" s="113">
        <v>74159.600000000006</v>
      </c>
      <c r="AG40" s="113">
        <v>87810.26</v>
      </c>
      <c r="AH40" s="113">
        <v>114154.28</v>
      </c>
      <c r="AI40" s="113">
        <v>132289.1</v>
      </c>
      <c r="AJ40" s="113">
        <v>91271.45</v>
      </c>
      <c r="AK40" s="113">
        <f t="shared" si="7"/>
        <v>91781.58</v>
      </c>
      <c r="AM40" s="214"/>
    </row>
    <row r="41" spans="1:39" x14ac:dyDescent="0.3">
      <c r="A41" s="109" t="str">
        <f t="shared" si="6"/>
        <v>debit    6666010183  Overtime-Blue Collar-Direct</v>
      </c>
      <c r="B41" s="112" t="s">
        <v>237</v>
      </c>
      <c r="C41" s="113">
        <f>IFERROR(VLOOKUP($A41,MTD!$A$13:$D$1048576,3,0),0)</f>
        <v>23427.23</v>
      </c>
      <c r="D41" s="116">
        <f>IFERROR(VLOOKUP($A41,MTD!$A$13:$D$1048576,4,0),0)</f>
        <v>0</v>
      </c>
      <c r="E41" s="113"/>
      <c r="F41" s="113"/>
      <c r="G41" s="112" t="s">
        <v>237</v>
      </c>
      <c r="H41" s="114">
        <v>0</v>
      </c>
      <c r="I41" s="114">
        <v>0</v>
      </c>
      <c r="J41" s="115">
        <v>0</v>
      </c>
      <c r="K41" s="113">
        <v>0</v>
      </c>
      <c r="P41" s="112" t="s">
        <v>237</v>
      </c>
      <c r="Q41" s="113">
        <f>IFERROR(VLOOKUP($A41,YTD!$A$13:$D$1048576,3,0),0)</f>
        <v>309703.39</v>
      </c>
      <c r="R41" s="116">
        <f>IFERROR(VLOOKUP($A41,YTD!$A$13:$D$1048576,4,0),0)</f>
        <v>0</v>
      </c>
      <c r="S41" s="113"/>
      <c r="T41" s="113"/>
      <c r="U41" s="112" t="s">
        <v>237</v>
      </c>
      <c r="V41" s="114">
        <v>0</v>
      </c>
      <c r="W41" s="114">
        <v>0</v>
      </c>
      <c r="X41" s="115">
        <v>0</v>
      </c>
      <c r="Y41" s="113">
        <v>0</v>
      </c>
      <c r="Z41" s="113">
        <v>20270.259999999998</v>
      </c>
      <c r="AA41" s="113">
        <v>18027.919999999998</v>
      </c>
      <c r="AB41" s="113">
        <v>12109.14</v>
      </c>
      <c r="AC41" s="113">
        <v>10190.629999999999</v>
      </c>
      <c r="AD41" s="113">
        <v>8196.2900000000009</v>
      </c>
      <c r="AE41" s="113">
        <v>2048.11</v>
      </c>
      <c r="AF41" s="113">
        <v>17418.02</v>
      </c>
      <c r="AG41" s="113">
        <v>47122.27</v>
      </c>
      <c r="AH41" s="113">
        <v>24366.75</v>
      </c>
      <c r="AI41" s="113">
        <v>105733.46</v>
      </c>
      <c r="AJ41" s="113">
        <v>20793.310000000001</v>
      </c>
      <c r="AK41" s="113">
        <f t="shared" si="7"/>
        <v>23427.23</v>
      </c>
      <c r="AM41" s="214"/>
    </row>
    <row r="42" spans="1:39" x14ac:dyDescent="0.3">
      <c r="A42" s="109" t="str">
        <f t="shared" si="6"/>
        <v>debit    6666010229  Staff Leaving Indemnity - Blue Collar Di</v>
      </c>
      <c r="B42" s="112" t="s">
        <v>238</v>
      </c>
      <c r="C42" s="113">
        <f>IFERROR(VLOOKUP($A42,MTD!$A$13:$D$1048576,3,0),0)</f>
        <v>25050.12</v>
      </c>
      <c r="D42" s="116">
        <f>IFERROR(VLOOKUP($A42,MTD!$A$13:$D$1048576,4,0),0)</f>
        <v>0</v>
      </c>
      <c r="E42" s="113"/>
      <c r="F42" s="113"/>
      <c r="G42" s="112" t="s">
        <v>238</v>
      </c>
      <c r="H42" s="114">
        <v>0</v>
      </c>
      <c r="I42" s="114">
        <v>0</v>
      </c>
      <c r="J42" s="115">
        <v>0</v>
      </c>
      <c r="K42" s="113">
        <v>0</v>
      </c>
      <c r="P42" s="112" t="s">
        <v>238</v>
      </c>
      <c r="Q42" s="113">
        <f>IFERROR(VLOOKUP($A42,YTD!$A$13:$D$1048576,3,0),0)</f>
        <v>171583.57</v>
      </c>
      <c r="R42" s="116">
        <f>IFERROR(VLOOKUP($A42,YTD!$A$13:$D$1048576,4,0),0)</f>
        <v>0</v>
      </c>
      <c r="S42" s="113"/>
      <c r="T42" s="113"/>
      <c r="U42" s="112" t="s">
        <v>238</v>
      </c>
      <c r="V42" s="114">
        <v>0</v>
      </c>
      <c r="W42" s="114">
        <v>0</v>
      </c>
      <c r="X42" s="115">
        <v>0</v>
      </c>
      <c r="Y42" s="113">
        <v>0</v>
      </c>
      <c r="Z42" s="113">
        <v>85011.21</v>
      </c>
      <c r="AA42" s="113">
        <v>-91594.98</v>
      </c>
      <c r="AB42" s="113">
        <v>13078.36</v>
      </c>
      <c r="AC42" s="113">
        <v>12611.24</v>
      </c>
      <c r="AD42" s="113">
        <v>12682.41</v>
      </c>
      <c r="AE42" s="113">
        <v>2087.5500000000002</v>
      </c>
      <c r="AF42" s="113">
        <v>11601.88</v>
      </c>
      <c r="AG42" s="113">
        <v>26143.040000000001</v>
      </c>
      <c r="AH42" s="113">
        <v>24979.759999999998</v>
      </c>
      <c r="AI42" s="113">
        <v>26808.63</v>
      </c>
      <c r="AJ42" s="113">
        <v>23124.35</v>
      </c>
      <c r="AK42" s="113">
        <f t="shared" si="7"/>
        <v>25050.12</v>
      </c>
      <c r="AM42" s="214"/>
    </row>
    <row r="43" spans="1:39" x14ac:dyDescent="0.3">
      <c r="A43" s="109" t="str">
        <f t="shared" si="6"/>
        <v>debit    6666010188  Salary - Blue collar direct employees</v>
      </c>
      <c r="B43" s="112" t="s">
        <v>239</v>
      </c>
      <c r="C43" s="113">
        <f>IFERROR(VLOOKUP($A43,MTD!$A$13:$D$1048576,3,0),0)</f>
        <v>689710.27</v>
      </c>
      <c r="D43" s="113">
        <f>IFERROR(VLOOKUP($A43,MTD!$A$13:$D$1048576,4,0),0)</f>
        <v>948977.55</v>
      </c>
      <c r="E43" s="113"/>
      <c r="F43" s="113"/>
      <c r="G43" s="112" t="s">
        <v>239</v>
      </c>
      <c r="H43" s="114">
        <v>0</v>
      </c>
      <c r="I43" s="114">
        <v>0</v>
      </c>
      <c r="J43" s="115">
        <v>0</v>
      </c>
      <c r="K43" s="113">
        <v>0</v>
      </c>
      <c r="P43" s="112" t="s">
        <v>239</v>
      </c>
      <c r="Q43" s="113">
        <f>IFERROR(VLOOKUP($A43,YTD!$A$13:$D$1048576,3,0),0)</f>
        <v>5631501.4400000004</v>
      </c>
      <c r="R43" s="113">
        <f>IFERROR(VLOOKUP($A43,YTD!$A$13:$D$1048576,4,0),0)</f>
        <v>6777862.1600000001</v>
      </c>
      <c r="S43" s="113"/>
      <c r="T43" s="113"/>
      <c r="U43" s="112" t="s">
        <v>239</v>
      </c>
      <c r="V43" s="114">
        <v>0</v>
      </c>
      <c r="W43" s="114">
        <v>0</v>
      </c>
      <c r="X43" s="115">
        <v>0</v>
      </c>
      <c r="Y43" s="113">
        <v>0</v>
      </c>
      <c r="Z43" s="113">
        <v>549068.35</v>
      </c>
      <c r="AA43" s="113">
        <v>355640.4</v>
      </c>
      <c r="AB43" s="113">
        <v>422466.81</v>
      </c>
      <c r="AC43" s="113">
        <v>332231.63</v>
      </c>
      <c r="AD43" s="113">
        <v>390059.63</v>
      </c>
      <c r="AE43" s="113">
        <v>256366.13</v>
      </c>
      <c r="AF43" s="113">
        <v>370956.92</v>
      </c>
      <c r="AG43" s="113">
        <v>394241.04</v>
      </c>
      <c r="AH43" s="113">
        <v>629782.85</v>
      </c>
      <c r="AI43" s="113">
        <v>674869.81</v>
      </c>
      <c r="AJ43" s="113">
        <v>566107.6</v>
      </c>
      <c r="AK43" s="113">
        <f t="shared" si="7"/>
        <v>689710.27</v>
      </c>
      <c r="AM43" s="214"/>
    </row>
    <row r="44" spans="1:39" x14ac:dyDescent="0.3">
      <c r="A44" s="109" t="str">
        <f t="shared" si="6"/>
        <v>debit    5102040406  Other revenue-Service/Secondment agreeme</v>
      </c>
      <c r="B44" s="112" t="s">
        <v>240</v>
      </c>
      <c r="C44" s="113">
        <f>IFERROR(VLOOKUP($A44,MTD!$A$13:$D$1048576,3,0),0)</f>
        <v>0</v>
      </c>
      <c r="D44" s="116">
        <f>IFERROR(VLOOKUP($A44,MTD!$A$13:$D$1048576,4,0),0)</f>
        <v>0</v>
      </c>
      <c r="E44" s="113"/>
      <c r="F44" s="113"/>
      <c r="G44" s="112" t="s">
        <v>240</v>
      </c>
      <c r="H44" s="114">
        <v>0</v>
      </c>
      <c r="I44" s="114">
        <v>0</v>
      </c>
      <c r="J44" s="115">
        <v>0</v>
      </c>
      <c r="K44" s="113">
        <v>0</v>
      </c>
      <c r="P44" s="112" t="s">
        <v>240</v>
      </c>
      <c r="Q44" s="113">
        <f>IFERROR(VLOOKUP($A44,YTD!$A$13:$D$1048576,3,0),0)</f>
        <v>101.12</v>
      </c>
      <c r="R44" s="116">
        <f>IFERROR(VLOOKUP($A44,YTD!$A$13:$D$1048576,4,0),0)</f>
        <v>0</v>
      </c>
      <c r="S44" s="113"/>
      <c r="T44" s="113"/>
      <c r="U44" s="112" t="s">
        <v>240</v>
      </c>
      <c r="V44" s="114">
        <v>0</v>
      </c>
      <c r="W44" s="114">
        <v>0</v>
      </c>
      <c r="X44" s="115">
        <v>0</v>
      </c>
      <c r="Y44" s="113">
        <v>0</v>
      </c>
      <c r="Z44" s="113">
        <v>-13.18</v>
      </c>
      <c r="AA44" s="113">
        <v>0</v>
      </c>
      <c r="AB44" s="113">
        <v>0</v>
      </c>
      <c r="AC44" s="113">
        <v>0</v>
      </c>
      <c r="AD44" s="113">
        <v>0</v>
      </c>
      <c r="AE44" s="113">
        <v>0</v>
      </c>
      <c r="AF44" s="113">
        <v>0</v>
      </c>
      <c r="AG44" s="113">
        <v>0</v>
      </c>
      <c r="AH44" s="113">
        <v>0</v>
      </c>
      <c r="AI44" s="113">
        <v>0</v>
      </c>
      <c r="AJ44" s="113">
        <v>114.3</v>
      </c>
      <c r="AK44" s="113">
        <f t="shared" si="7"/>
        <v>0</v>
      </c>
      <c r="AM44" s="214"/>
    </row>
    <row r="45" spans="1:39" x14ac:dyDescent="0.3">
      <c r="A45" s="109" t="str">
        <f t="shared" si="6"/>
        <v>debit    6666010115  Salary-Blue collar direct employees-Accr</v>
      </c>
      <c r="B45" s="112" t="s">
        <v>241</v>
      </c>
      <c r="C45" s="113">
        <f>IFERROR(VLOOKUP($A45,MTD!$A$13:$D$1048576,3,0),0)</f>
        <v>-84906.27</v>
      </c>
      <c r="D45" s="116">
        <f>IFERROR(VLOOKUP($A45,MTD!$A$13:$D$1048576,4,0),0)</f>
        <v>0</v>
      </c>
      <c r="E45" s="113"/>
      <c r="F45" s="113"/>
      <c r="G45" s="112" t="s">
        <v>241</v>
      </c>
      <c r="H45" s="114">
        <v>0</v>
      </c>
      <c r="I45" s="114">
        <v>0</v>
      </c>
      <c r="J45" s="115">
        <v>0</v>
      </c>
      <c r="K45" s="113">
        <v>0</v>
      </c>
      <c r="P45" s="112" t="s">
        <v>241</v>
      </c>
      <c r="Q45" s="113">
        <f>IFERROR(VLOOKUP($A45,YTD!$A$13:$D$1048576,3,0),0)</f>
        <v>-83220.03</v>
      </c>
      <c r="R45" s="116">
        <f>IFERROR(VLOOKUP($A45,YTD!$A$13:$D$1048576,4,0),0)</f>
        <v>0</v>
      </c>
      <c r="S45" s="113"/>
      <c r="T45" s="113"/>
      <c r="U45" s="112" t="s">
        <v>241</v>
      </c>
      <c r="V45" s="114">
        <v>0</v>
      </c>
      <c r="W45" s="114">
        <v>0</v>
      </c>
      <c r="X45" s="115">
        <v>0</v>
      </c>
      <c r="Y45" s="113">
        <v>0</v>
      </c>
      <c r="Z45" s="113">
        <v>-152.66</v>
      </c>
      <c r="AA45" s="113">
        <v>-11.28</v>
      </c>
      <c r="AB45" s="113">
        <v>2123.36</v>
      </c>
      <c r="AC45" s="113">
        <v>-84.44</v>
      </c>
      <c r="AD45" s="113">
        <v>-738.7</v>
      </c>
      <c r="AE45" s="113">
        <v>-4.72</v>
      </c>
      <c r="AF45" s="113">
        <v>-507.1</v>
      </c>
      <c r="AG45" s="113">
        <v>1033.07</v>
      </c>
      <c r="AH45" s="113">
        <v>1331.86</v>
      </c>
      <c r="AI45" s="113">
        <v>1042.6400000000001</v>
      </c>
      <c r="AJ45" s="113">
        <v>-2345.79</v>
      </c>
      <c r="AK45" s="113">
        <f t="shared" si="7"/>
        <v>-84906.27</v>
      </c>
      <c r="AM45" s="214"/>
    </row>
    <row r="46" spans="1:39" x14ac:dyDescent="0.3">
      <c r="A46" s="109" t="str">
        <f t="shared" si="6"/>
        <v>debit*   CS_Direct Labour</v>
      </c>
      <c r="B46" s="117" t="s">
        <v>209</v>
      </c>
      <c r="C46" s="118">
        <f>IFERROR(VLOOKUP($A46,MTD!$A$13:$D$1048576,3,0),0)</f>
        <v>763430.74</v>
      </c>
      <c r="D46" s="118">
        <f>IFERROR(VLOOKUP($A46,MTD!$A$13:$D$1048576,4,0),0)</f>
        <v>948977.55</v>
      </c>
      <c r="E46" s="118"/>
      <c r="F46" s="118"/>
      <c r="G46" s="117" t="s">
        <v>209</v>
      </c>
      <c r="H46" s="119">
        <v>0</v>
      </c>
      <c r="I46" s="119">
        <v>0</v>
      </c>
      <c r="J46" s="120">
        <v>0</v>
      </c>
      <c r="K46" s="118">
        <v>0</v>
      </c>
      <c r="P46" s="117" t="s">
        <v>209</v>
      </c>
      <c r="Q46" s="118">
        <f>IFERROR(VLOOKUP($A46,YTD!$A$13:$D$1048576,3,0),0)</f>
        <v>7167693.1299999999</v>
      </c>
      <c r="R46" s="118">
        <f>IFERROR(VLOOKUP($A46,YTD!$A$13:$D$1048576,4,0),0)</f>
        <v>6777862.1600000001</v>
      </c>
      <c r="S46" s="118"/>
      <c r="T46" s="118"/>
      <c r="U46" s="117" t="s">
        <v>209</v>
      </c>
      <c r="V46" s="119">
        <v>0</v>
      </c>
      <c r="W46" s="119">
        <v>0</v>
      </c>
      <c r="X46" s="120">
        <v>0</v>
      </c>
      <c r="Y46" s="118">
        <v>0</v>
      </c>
      <c r="Z46" s="118">
        <v>751942.14</v>
      </c>
      <c r="AA46" s="118">
        <v>350982.51</v>
      </c>
      <c r="AB46" s="118">
        <v>529814.36</v>
      </c>
      <c r="AC46" s="118">
        <v>422695.15</v>
      </c>
      <c r="AD46" s="118">
        <v>481373</v>
      </c>
      <c r="AE46" s="118">
        <v>326641.53000000003</v>
      </c>
      <c r="AF46" s="118">
        <v>481125.28</v>
      </c>
      <c r="AG46" s="118">
        <v>563864.48</v>
      </c>
      <c r="AH46" s="118">
        <v>813885.55</v>
      </c>
      <c r="AI46" s="118">
        <v>963394.87</v>
      </c>
      <c r="AJ46" s="118">
        <v>718543.52</v>
      </c>
      <c r="AK46" s="118">
        <f t="shared" si="7"/>
        <v>763430.74</v>
      </c>
      <c r="AM46" s="214"/>
    </row>
    <row r="47" spans="1:39" x14ac:dyDescent="0.3">
      <c r="A47" s="109" t="str">
        <f t="shared" si="6"/>
        <v>debit    8701530201  Scrap-Raw&amp;#160;Material - Managerial</v>
      </c>
      <c r="B47" s="112" t="s">
        <v>242</v>
      </c>
      <c r="C47" s="116">
        <f>IFERROR(VLOOKUP($A47,MTD!$A$13:$D$1048576,3,0),0)</f>
        <v>0</v>
      </c>
      <c r="D47" s="113">
        <f>IFERROR(VLOOKUP($A47,MTD!$A$13:$D$1048576,4,0),0)</f>
        <v>77644.7</v>
      </c>
      <c r="E47" s="113"/>
      <c r="F47" s="113"/>
      <c r="G47" s="112" t="s">
        <v>242</v>
      </c>
      <c r="H47" s="114">
        <v>0</v>
      </c>
      <c r="I47" s="114">
        <v>0</v>
      </c>
      <c r="J47" s="115">
        <v>0</v>
      </c>
      <c r="K47" s="113">
        <v>0</v>
      </c>
      <c r="P47" s="112" t="s">
        <v>242</v>
      </c>
      <c r="Q47" s="116">
        <f>IFERROR(VLOOKUP($A47,YTD!$A$13:$D$1048576,3,0),0)</f>
        <v>0</v>
      </c>
      <c r="R47" s="113">
        <f>IFERROR(VLOOKUP($A47,YTD!$A$13:$D$1048576,4,0),0)</f>
        <v>622923.69999999995</v>
      </c>
      <c r="S47" s="113"/>
      <c r="T47" s="113"/>
      <c r="U47" s="112" t="s">
        <v>242</v>
      </c>
      <c r="V47" s="114">
        <v>0</v>
      </c>
      <c r="W47" s="114">
        <v>0</v>
      </c>
      <c r="X47" s="115">
        <v>0</v>
      </c>
      <c r="Y47" s="113">
        <v>0</v>
      </c>
      <c r="Z47" s="113">
        <v>0</v>
      </c>
      <c r="AA47" s="113">
        <v>0</v>
      </c>
      <c r="AB47" s="113">
        <v>0</v>
      </c>
      <c r="AC47" s="113">
        <v>0</v>
      </c>
      <c r="AD47" s="113">
        <v>0</v>
      </c>
      <c r="AE47" s="113">
        <v>0</v>
      </c>
      <c r="AF47" s="113">
        <v>0</v>
      </c>
      <c r="AG47" s="113">
        <v>0</v>
      </c>
      <c r="AH47" s="113">
        <v>0</v>
      </c>
      <c r="AI47" s="113">
        <v>0</v>
      </c>
      <c r="AJ47" s="113">
        <v>0</v>
      </c>
      <c r="AK47" s="113">
        <f t="shared" si="7"/>
        <v>0</v>
      </c>
      <c r="AM47" s="214"/>
    </row>
    <row r="48" spans="1:39" x14ac:dyDescent="0.3">
      <c r="A48" s="109" t="str">
        <f t="shared" si="6"/>
        <v>debit    6666050309  SFG scrap</v>
      </c>
      <c r="B48" s="112" t="s">
        <v>243</v>
      </c>
      <c r="C48" s="113">
        <f>IFERROR(VLOOKUP($A48,MTD!$A$13:$D$1048576,3,0),0)</f>
        <v>41331.019999999997</v>
      </c>
      <c r="D48" s="116">
        <f>IFERROR(VLOOKUP($A48,MTD!$A$13:$D$1048576,4,0),0)</f>
        <v>0</v>
      </c>
      <c r="E48" s="113"/>
      <c r="F48" s="113"/>
      <c r="G48" s="112" t="s">
        <v>243</v>
      </c>
      <c r="H48" s="114">
        <v>0</v>
      </c>
      <c r="I48" s="114">
        <v>0</v>
      </c>
      <c r="J48" s="115">
        <v>0</v>
      </c>
      <c r="K48" s="113">
        <v>0</v>
      </c>
      <c r="P48" s="112" t="s">
        <v>243</v>
      </c>
      <c r="Q48" s="113">
        <f>IFERROR(VLOOKUP($A48,YTD!$A$13:$D$1048576,3,0),0)</f>
        <v>532426.13</v>
      </c>
      <c r="R48" s="116">
        <f>IFERROR(VLOOKUP($A48,YTD!$A$13:$D$1048576,4,0),0)</f>
        <v>0</v>
      </c>
      <c r="S48" s="113"/>
      <c r="T48" s="113"/>
      <c r="U48" s="112" t="s">
        <v>243</v>
      </c>
      <c r="V48" s="114">
        <v>0</v>
      </c>
      <c r="W48" s="114">
        <v>0</v>
      </c>
      <c r="X48" s="115">
        <v>0</v>
      </c>
      <c r="Y48" s="113">
        <v>0</v>
      </c>
      <c r="Z48" s="113">
        <v>41636.550000000003</v>
      </c>
      <c r="AA48" s="113">
        <v>24370.5</v>
      </c>
      <c r="AB48" s="113">
        <v>26387.09</v>
      </c>
      <c r="AC48" s="113">
        <v>45675.42</v>
      </c>
      <c r="AD48" s="113">
        <v>36506.300000000003</v>
      </c>
      <c r="AE48" s="113">
        <v>69804.160000000003</v>
      </c>
      <c r="AF48" s="113">
        <v>37274.699999999997</v>
      </c>
      <c r="AG48" s="113">
        <v>31057.52</v>
      </c>
      <c r="AH48" s="113">
        <v>35029.129999999997</v>
      </c>
      <c r="AI48" s="113">
        <v>63117.53</v>
      </c>
      <c r="AJ48" s="113">
        <v>80236.210000000006</v>
      </c>
      <c r="AK48" s="113">
        <f t="shared" si="7"/>
        <v>41331.019999999997</v>
      </c>
      <c r="AM48" s="214"/>
    </row>
    <row r="49" spans="1:39" x14ac:dyDescent="0.3">
      <c r="A49" s="109" t="str">
        <f t="shared" si="6"/>
        <v>debit    6666050308  Raw material scrap</v>
      </c>
      <c r="B49" s="112" t="s">
        <v>244</v>
      </c>
      <c r="C49" s="113">
        <f>IFERROR(VLOOKUP($A49,MTD!$A$13:$D$1048576,3,0),0)</f>
        <v>11211.37</v>
      </c>
      <c r="D49" s="116">
        <f>IFERROR(VLOOKUP($A49,MTD!$A$13:$D$1048576,4,0),0)</f>
        <v>0</v>
      </c>
      <c r="E49" s="113"/>
      <c r="F49" s="113"/>
      <c r="G49" s="112" t="s">
        <v>244</v>
      </c>
      <c r="H49" s="114">
        <v>0</v>
      </c>
      <c r="I49" s="114">
        <v>0</v>
      </c>
      <c r="J49" s="115">
        <v>0</v>
      </c>
      <c r="K49" s="113">
        <v>0</v>
      </c>
      <c r="P49" s="112" t="s">
        <v>244</v>
      </c>
      <c r="Q49" s="113">
        <f>IFERROR(VLOOKUP($A49,YTD!$A$13:$D$1048576,3,0),0)</f>
        <v>139157.59</v>
      </c>
      <c r="R49" s="116">
        <f>IFERROR(VLOOKUP($A49,YTD!$A$13:$D$1048576,4,0),0)</f>
        <v>0</v>
      </c>
      <c r="S49" s="113"/>
      <c r="T49" s="113"/>
      <c r="U49" s="112" t="s">
        <v>244</v>
      </c>
      <c r="V49" s="114">
        <v>0</v>
      </c>
      <c r="W49" s="114">
        <v>0</v>
      </c>
      <c r="X49" s="115">
        <v>0</v>
      </c>
      <c r="Y49" s="113">
        <v>0</v>
      </c>
      <c r="Z49" s="113">
        <v>22722.45</v>
      </c>
      <c r="AA49" s="113">
        <v>13795.8</v>
      </c>
      <c r="AB49" s="113">
        <v>12990.08</v>
      </c>
      <c r="AC49" s="113">
        <v>9191.56</v>
      </c>
      <c r="AD49" s="113">
        <v>3847.13</v>
      </c>
      <c r="AE49" s="113">
        <v>-62100.87</v>
      </c>
      <c r="AF49" s="113">
        <v>22986.1</v>
      </c>
      <c r="AG49" s="113">
        <v>24776.58</v>
      </c>
      <c r="AH49" s="113">
        <v>14848.87</v>
      </c>
      <c r="AI49" s="113">
        <v>56697.1</v>
      </c>
      <c r="AJ49" s="113">
        <v>8191.42</v>
      </c>
      <c r="AK49" s="113">
        <f t="shared" si="7"/>
        <v>11211.37</v>
      </c>
      <c r="AM49" s="214"/>
    </row>
    <row r="50" spans="1:39" x14ac:dyDescent="0.3">
      <c r="A50" s="109" t="str">
        <f t="shared" si="6"/>
        <v>debit    6666050306  Finished goods scrap</v>
      </c>
      <c r="B50" s="112" t="s">
        <v>245</v>
      </c>
      <c r="C50" s="113">
        <f>IFERROR(VLOOKUP($A50,MTD!$A$13:$D$1048576,3,0),0)</f>
        <v>-166</v>
      </c>
      <c r="D50" s="116">
        <f>IFERROR(VLOOKUP($A50,MTD!$A$13:$D$1048576,4,0),0)</f>
        <v>0</v>
      </c>
      <c r="E50" s="113"/>
      <c r="F50" s="113"/>
      <c r="G50" s="112" t="s">
        <v>245</v>
      </c>
      <c r="H50" s="114">
        <v>0</v>
      </c>
      <c r="I50" s="114">
        <v>0</v>
      </c>
      <c r="J50" s="115">
        <v>0</v>
      </c>
      <c r="K50" s="113">
        <v>0</v>
      </c>
      <c r="P50" s="112" t="s">
        <v>245</v>
      </c>
      <c r="Q50" s="113">
        <f>IFERROR(VLOOKUP($A50,YTD!$A$13:$D$1048576,3,0),0)</f>
        <v>1542.01</v>
      </c>
      <c r="R50" s="116">
        <f>IFERROR(VLOOKUP($A50,YTD!$A$13:$D$1048576,4,0),0)</f>
        <v>0</v>
      </c>
      <c r="S50" s="113"/>
      <c r="T50" s="113"/>
      <c r="U50" s="112" t="s">
        <v>245</v>
      </c>
      <c r="V50" s="114">
        <v>0</v>
      </c>
      <c r="W50" s="114">
        <v>0</v>
      </c>
      <c r="X50" s="115">
        <v>0</v>
      </c>
      <c r="Y50" s="113">
        <v>0</v>
      </c>
      <c r="Z50" s="113">
        <v>1822.12</v>
      </c>
      <c r="AA50" s="113">
        <v>1349.76</v>
      </c>
      <c r="AB50" s="113">
        <v>0</v>
      </c>
      <c r="AC50" s="113">
        <v>0</v>
      </c>
      <c r="AD50" s="113">
        <v>-2333.4299999999998</v>
      </c>
      <c r="AE50" s="113">
        <v>0</v>
      </c>
      <c r="AF50" s="113">
        <v>0</v>
      </c>
      <c r="AG50" s="113">
        <v>648.64</v>
      </c>
      <c r="AH50" s="113">
        <v>368</v>
      </c>
      <c r="AI50" s="113">
        <v>-147.08000000000001</v>
      </c>
      <c r="AJ50" s="113">
        <v>0</v>
      </c>
      <c r="AK50" s="113">
        <f t="shared" si="7"/>
        <v>-166</v>
      </c>
      <c r="AM50" s="214"/>
    </row>
    <row r="51" spans="1:39" x14ac:dyDescent="0.3">
      <c r="A51" s="109" t="str">
        <f t="shared" si="6"/>
        <v>debit*   CS_SCRAP_VARIABLE</v>
      </c>
      <c r="B51" s="117" t="s">
        <v>210</v>
      </c>
      <c r="C51" s="118">
        <f>IFERROR(VLOOKUP($A51,MTD!$A$13:$D$1048576,3,0),0)</f>
        <v>52376.39</v>
      </c>
      <c r="D51" s="118">
        <f>IFERROR(VLOOKUP($A51,MTD!$A$13:$D$1048576,4,0),0)</f>
        <v>77644.7</v>
      </c>
      <c r="E51" s="118"/>
      <c r="F51" s="118"/>
      <c r="G51" s="117" t="s">
        <v>210</v>
      </c>
      <c r="H51" s="119">
        <v>0</v>
      </c>
      <c r="I51" s="119">
        <v>0</v>
      </c>
      <c r="J51" s="120">
        <v>0</v>
      </c>
      <c r="K51" s="118">
        <v>0</v>
      </c>
      <c r="P51" s="117" t="s">
        <v>210</v>
      </c>
      <c r="Q51" s="118">
        <f>IFERROR(VLOOKUP($A51,YTD!$A$13:$D$1048576,3,0),0)</f>
        <v>673125.73</v>
      </c>
      <c r="R51" s="118">
        <f>IFERROR(VLOOKUP($A51,YTD!$A$13:$D$1048576,4,0),0)</f>
        <v>622923.69999999995</v>
      </c>
      <c r="S51" s="118"/>
      <c r="T51" s="118"/>
      <c r="U51" s="117" t="s">
        <v>210</v>
      </c>
      <c r="V51" s="119">
        <v>0</v>
      </c>
      <c r="W51" s="119">
        <v>0</v>
      </c>
      <c r="X51" s="120">
        <v>0</v>
      </c>
      <c r="Y51" s="118">
        <v>0</v>
      </c>
      <c r="Z51" s="118">
        <v>66181.119999999995</v>
      </c>
      <c r="AA51" s="118">
        <v>39516.06</v>
      </c>
      <c r="AB51" s="118">
        <v>39377.17</v>
      </c>
      <c r="AC51" s="118">
        <v>54866.98</v>
      </c>
      <c r="AD51" s="118">
        <v>38020</v>
      </c>
      <c r="AE51" s="118">
        <v>7703.29</v>
      </c>
      <c r="AF51" s="118">
        <v>60260.800000000003</v>
      </c>
      <c r="AG51" s="118">
        <v>56482.74</v>
      </c>
      <c r="AH51" s="118">
        <v>50246</v>
      </c>
      <c r="AI51" s="118">
        <v>119667.55</v>
      </c>
      <c r="AJ51" s="118">
        <v>88427.63</v>
      </c>
      <c r="AK51" s="118">
        <f t="shared" si="7"/>
        <v>52376.39</v>
      </c>
      <c r="AM51" s="214"/>
    </row>
    <row r="52" spans="1:39" x14ac:dyDescent="0.3">
      <c r="A52" s="109" t="str">
        <f t="shared" si="6"/>
        <v>debit    5207000021  Gain of intangible asset disposal</v>
      </c>
      <c r="B52" s="112" t="s">
        <v>246</v>
      </c>
      <c r="C52" s="116">
        <f>IFERROR(VLOOKUP($A52,MTD!$A$13:$D$1048576,3,0),0)</f>
        <v>0</v>
      </c>
      <c r="D52" s="116">
        <f>IFERROR(VLOOKUP($A52,MTD!$A$13:$D$1048576,4,0),0)</f>
        <v>0</v>
      </c>
      <c r="E52" s="113"/>
      <c r="F52" s="113"/>
      <c r="G52" s="112" t="s">
        <v>246</v>
      </c>
      <c r="H52" s="114">
        <v>0</v>
      </c>
      <c r="I52" s="114">
        <v>0</v>
      </c>
      <c r="J52" s="115">
        <v>0</v>
      </c>
      <c r="K52" s="113">
        <v>0</v>
      </c>
      <c r="P52" s="112" t="s">
        <v>246</v>
      </c>
      <c r="Q52" s="116">
        <f>IFERROR(VLOOKUP($A52,YTD!$A$13:$D$1048576,3,0),0)</f>
        <v>0</v>
      </c>
      <c r="R52" s="116">
        <f>IFERROR(VLOOKUP($A52,YTD!$A$13:$D$1048576,4,0),0)</f>
        <v>0</v>
      </c>
      <c r="S52" s="113"/>
      <c r="T52" s="113"/>
      <c r="U52" s="112" t="s">
        <v>246</v>
      </c>
      <c r="V52" s="114">
        <v>0</v>
      </c>
      <c r="W52" s="114">
        <v>0</v>
      </c>
      <c r="X52" s="115">
        <v>0</v>
      </c>
      <c r="Y52" s="113">
        <v>0</v>
      </c>
      <c r="Z52" s="113">
        <v>0</v>
      </c>
      <c r="AA52" s="113">
        <v>0</v>
      </c>
      <c r="AB52" s="113">
        <v>0</v>
      </c>
      <c r="AC52" s="113">
        <v>0</v>
      </c>
      <c r="AD52" s="113">
        <v>0</v>
      </c>
      <c r="AE52" s="113">
        <v>0</v>
      </c>
      <c r="AF52" s="113">
        <v>0</v>
      </c>
      <c r="AG52" s="113">
        <v>0</v>
      </c>
      <c r="AH52" s="113">
        <v>0</v>
      </c>
      <c r="AI52" s="113">
        <v>0</v>
      </c>
      <c r="AJ52" s="113">
        <v>0</v>
      </c>
      <c r="AK52" s="113">
        <f t="shared" si="7"/>
        <v>0</v>
      </c>
      <c r="AM52" s="214"/>
    </row>
    <row r="53" spans="1:39" x14ac:dyDescent="0.3">
      <c r="A53" s="109" t="str">
        <f t="shared" si="6"/>
        <v>debit    6666029996  Non-deductible expense-travel.</v>
      </c>
      <c r="B53" s="112" t="s">
        <v>247</v>
      </c>
      <c r="C53" s="113">
        <f>IFERROR(VLOOKUP($A53,MTD!$A$13:$D$1048576,3,0),0)</f>
        <v>349.22</v>
      </c>
      <c r="D53" s="116">
        <f>IFERROR(VLOOKUP($A53,MTD!$A$13:$D$1048576,4,0),0)</f>
        <v>0</v>
      </c>
      <c r="E53" s="113"/>
      <c r="F53" s="113"/>
      <c r="G53" s="112" t="s">
        <v>247</v>
      </c>
      <c r="H53" s="114">
        <v>0</v>
      </c>
      <c r="I53" s="114">
        <v>0</v>
      </c>
      <c r="J53" s="115">
        <v>0</v>
      </c>
      <c r="K53" s="113">
        <v>0</v>
      </c>
      <c r="P53" s="112" t="s">
        <v>247</v>
      </c>
      <c r="Q53" s="113">
        <f>IFERROR(VLOOKUP($A53,YTD!$A$13:$D$1048576,3,0),0)</f>
        <v>382.95</v>
      </c>
      <c r="R53" s="116">
        <f>IFERROR(VLOOKUP($A53,YTD!$A$13:$D$1048576,4,0),0)</f>
        <v>0</v>
      </c>
      <c r="S53" s="113"/>
      <c r="T53" s="113"/>
      <c r="U53" s="112" t="s">
        <v>247</v>
      </c>
      <c r="V53" s="114">
        <v>0</v>
      </c>
      <c r="W53" s="114">
        <v>0</v>
      </c>
      <c r="X53" s="115">
        <v>0</v>
      </c>
      <c r="Y53" s="113">
        <v>0</v>
      </c>
      <c r="Z53" s="113">
        <v>0</v>
      </c>
      <c r="AA53" s="113">
        <v>0</v>
      </c>
      <c r="AB53" s="113">
        <v>0</v>
      </c>
      <c r="AC53" s="113">
        <v>0</v>
      </c>
      <c r="AD53" s="113">
        <v>0</v>
      </c>
      <c r="AE53" s="113">
        <v>0</v>
      </c>
      <c r="AF53" s="113">
        <v>0</v>
      </c>
      <c r="AG53" s="113">
        <v>0</v>
      </c>
      <c r="AH53" s="113">
        <v>0</v>
      </c>
      <c r="AI53" s="113">
        <v>33.729999999999997</v>
      </c>
      <c r="AJ53" s="113">
        <v>0</v>
      </c>
      <c r="AK53" s="113">
        <f t="shared" si="7"/>
        <v>349.22</v>
      </c>
      <c r="AM53" s="214"/>
    </row>
    <row r="54" spans="1:39" x14ac:dyDescent="0.3">
      <c r="A54" s="109" t="str">
        <f t="shared" si="6"/>
        <v>debit    6666029700  Service fee recharge</v>
      </c>
      <c r="B54" s="112" t="s">
        <v>248</v>
      </c>
      <c r="C54" s="116">
        <f>IFERROR(VLOOKUP($A54,MTD!$A$13:$D$1048576,3,0),0)</f>
        <v>0</v>
      </c>
      <c r="D54" s="116">
        <f>IFERROR(VLOOKUP($A54,MTD!$A$13:$D$1048576,4,0),0)</f>
        <v>0</v>
      </c>
      <c r="E54" s="113"/>
      <c r="F54" s="113"/>
      <c r="G54" s="112" t="s">
        <v>248</v>
      </c>
      <c r="H54" s="114">
        <v>0</v>
      </c>
      <c r="I54" s="114">
        <v>0</v>
      </c>
      <c r="J54" s="115">
        <v>0</v>
      </c>
      <c r="K54" s="113">
        <v>0</v>
      </c>
      <c r="P54" s="112" t="s">
        <v>248</v>
      </c>
      <c r="Q54" s="116">
        <f>IFERROR(VLOOKUP($A54,YTD!$A$13:$D$1048576,3,0),0)</f>
        <v>0</v>
      </c>
      <c r="R54" s="116">
        <f>IFERROR(VLOOKUP($A54,YTD!$A$13:$D$1048576,4,0),0)</f>
        <v>0</v>
      </c>
      <c r="S54" s="113"/>
      <c r="T54" s="113"/>
      <c r="U54" s="112" t="s">
        <v>248</v>
      </c>
      <c r="V54" s="114">
        <v>0</v>
      </c>
      <c r="W54" s="114">
        <v>0</v>
      </c>
      <c r="X54" s="115">
        <v>0</v>
      </c>
      <c r="Y54" s="113">
        <v>0</v>
      </c>
      <c r="Z54" s="113">
        <v>0</v>
      </c>
      <c r="AA54" s="113">
        <v>0</v>
      </c>
      <c r="AB54" s="113">
        <v>0</v>
      </c>
      <c r="AC54" s="113">
        <v>0</v>
      </c>
      <c r="AD54" s="113">
        <v>0</v>
      </c>
      <c r="AE54" s="113">
        <v>0</v>
      </c>
      <c r="AF54" s="113">
        <v>0</v>
      </c>
      <c r="AG54" s="113">
        <v>0</v>
      </c>
      <c r="AH54" s="113">
        <v>0</v>
      </c>
      <c r="AI54" s="113">
        <v>0</v>
      </c>
      <c r="AJ54" s="113">
        <v>0</v>
      </c>
      <c r="AK54" s="113">
        <f t="shared" si="7"/>
        <v>0</v>
      </c>
      <c r="AM54" s="214"/>
    </row>
    <row r="55" spans="1:39" x14ac:dyDescent="0.3">
      <c r="A55" s="109" t="str">
        <f t="shared" si="6"/>
        <v>debit    6666010322  fuel allowance</v>
      </c>
      <c r="B55" s="112" t="s">
        <v>249</v>
      </c>
      <c r="C55" s="113">
        <f>IFERROR(VLOOKUP($A55,MTD!$A$13:$D$1048576,3,0),0)</f>
        <v>-9806.92</v>
      </c>
      <c r="D55" s="116">
        <f>IFERROR(VLOOKUP($A55,MTD!$A$13:$D$1048576,4,0),0)</f>
        <v>0</v>
      </c>
      <c r="E55" s="113"/>
      <c r="F55" s="113"/>
      <c r="G55" s="112" t="s">
        <v>249</v>
      </c>
      <c r="H55" s="114">
        <v>0</v>
      </c>
      <c r="I55" s="114">
        <v>0</v>
      </c>
      <c r="J55" s="115">
        <v>0</v>
      </c>
      <c r="K55" s="113">
        <v>0</v>
      </c>
      <c r="P55" s="112" t="s">
        <v>249</v>
      </c>
      <c r="Q55" s="113">
        <f>IFERROR(VLOOKUP($A55,YTD!$A$13:$D$1048576,3,0),0)</f>
        <v>37421.58</v>
      </c>
      <c r="R55" s="116">
        <f>IFERROR(VLOOKUP($A55,YTD!$A$13:$D$1048576,4,0),0)</f>
        <v>0</v>
      </c>
      <c r="S55" s="113"/>
      <c r="T55" s="113"/>
      <c r="U55" s="112" t="s">
        <v>249</v>
      </c>
      <c r="V55" s="114">
        <v>0</v>
      </c>
      <c r="W55" s="114">
        <v>0</v>
      </c>
      <c r="X55" s="115">
        <v>0</v>
      </c>
      <c r="Y55" s="113">
        <v>0</v>
      </c>
      <c r="Z55" s="113">
        <v>5949.2</v>
      </c>
      <c r="AA55" s="113">
        <v>2577.9699999999998</v>
      </c>
      <c r="AB55" s="113">
        <v>4854.13</v>
      </c>
      <c r="AC55" s="113">
        <v>5419.35</v>
      </c>
      <c r="AD55" s="113">
        <v>5624.45</v>
      </c>
      <c r="AE55" s="113">
        <v>4622.1400000000003</v>
      </c>
      <c r="AF55" s="113">
        <v>4337.4399999999996</v>
      </c>
      <c r="AG55" s="113">
        <v>3189.98</v>
      </c>
      <c r="AH55" s="113">
        <v>3273.85</v>
      </c>
      <c r="AI55" s="113">
        <v>3759.68</v>
      </c>
      <c r="AJ55" s="113">
        <v>3620.31</v>
      </c>
      <c r="AK55" s="113">
        <f t="shared" si="7"/>
        <v>-9806.92</v>
      </c>
      <c r="AM55" s="214"/>
    </row>
    <row r="56" spans="1:39" x14ac:dyDescent="0.3">
      <c r="A56" s="109" t="str">
        <f t="shared" si="6"/>
        <v>debit    6666020495  Non-deductible expense-travel.</v>
      </c>
      <c r="B56" s="112" t="s">
        <v>250</v>
      </c>
      <c r="C56" s="113">
        <f>IFERROR(VLOOKUP($A56,MTD!$A$13:$D$1048576,3,0),0)</f>
        <v>1889.39</v>
      </c>
      <c r="D56" s="116">
        <f>IFERROR(VLOOKUP($A56,MTD!$A$13:$D$1048576,4,0),0)</f>
        <v>0</v>
      </c>
      <c r="E56" s="113"/>
      <c r="F56" s="113"/>
      <c r="G56" s="112" t="s">
        <v>250</v>
      </c>
      <c r="H56" s="114">
        <v>0</v>
      </c>
      <c r="I56" s="114">
        <v>0</v>
      </c>
      <c r="J56" s="115">
        <v>0</v>
      </c>
      <c r="K56" s="113">
        <v>0</v>
      </c>
      <c r="P56" s="112" t="s">
        <v>250</v>
      </c>
      <c r="Q56" s="113">
        <f>IFERROR(VLOOKUP($A56,YTD!$A$13:$D$1048576,3,0),0)</f>
        <v>11023.7</v>
      </c>
      <c r="R56" s="116">
        <f>IFERROR(VLOOKUP($A56,YTD!$A$13:$D$1048576,4,0),0)</f>
        <v>0</v>
      </c>
      <c r="S56" s="113"/>
      <c r="T56" s="113"/>
      <c r="U56" s="112" t="s">
        <v>250</v>
      </c>
      <c r="V56" s="114">
        <v>0</v>
      </c>
      <c r="W56" s="114">
        <v>0</v>
      </c>
      <c r="X56" s="115">
        <v>0</v>
      </c>
      <c r="Y56" s="113">
        <v>0</v>
      </c>
      <c r="Z56" s="113">
        <v>61.45</v>
      </c>
      <c r="AA56" s="113">
        <v>278.83999999999997</v>
      </c>
      <c r="AB56" s="113">
        <v>779.42</v>
      </c>
      <c r="AC56" s="113">
        <v>961.67</v>
      </c>
      <c r="AD56" s="113">
        <v>372.4</v>
      </c>
      <c r="AE56" s="113">
        <v>372.43</v>
      </c>
      <c r="AF56" s="113">
        <v>348.28</v>
      </c>
      <c r="AG56" s="113">
        <v>831.88</v>
      </c>
      <c r="AH56" s="113">
        <v>399.38</v>
      </c>
      <c r="AI56" s="113">
        <v>10.97</v>
      </c>
      <c r="AJ56" s="113">
        <v>4717.59</v>
      </c>
      <c r="AK56" s="113">
        <f t="shared" si="7"/>
        <v>1889.39</v>
      </c>
      <c r="AM56" s="214"/>
    </row>
    <row r="57" spans="1:39" x14ac:dyDescent="0.3">
      <c r="A57" s="109" t="str">
        <f t="shared" si="6"/>
        <v>debit    5102010151  Other Rev.-Interco-Epidemic problem comp</v>
      </c>
      <c r="B57" s="112" t="s">
        <v>251</v>
      </c>
      <c r="C57" s="113">
        <f>IFERROR(VLOOKUP($A57,MTD!$A$13:$D$1048576,3,0),0)</f>
        <v>1518.42</v>
      </c>
      <c r="D57" s="116">
        <f>IFERROR(VLOOKUP($A57,MTD!$A$13:$D$1048576,4,0),0)</f>
        <v>0</v>
      </c>
      <c r="E57" s="113"/>
      <c r="F57" s="113"/>
      <c r="G57" s="112" t="s">
        <v>251</v>
      </c>
      <c r="H57" s="114">
        <v>0</v>
      </c>
      <c r="I57" s="114">
        <v>0</v>
      </c>
      <c r="J57" s="115">
        <v>0</v>
      </c>
      <c r="K57" s="113">
        <v>0</v>
      </c>
      <c r="P57" s="112" t="s">
        <v>251</v>
      </c>
      <c r="Q57" s="113">
        <f>IFERROR(VLOOKUP($A57,YTD!$A$13:$D$1048576,3,0),0)</f>
        <v>-1137.56</v>
      </c>
      <c r="R57" s="116">
        <f>IFERROR(VLOOKUP($A57,YTD!$A$13:$D$1048576,4,0),0)</f>
        <v>0</v>
      </c>
      <c r="S57" s="113"/>
      <c r="T57" s="113"/>
      <c r="U57" s="112" t="s">
        <v>251</v>
      </c>
      <c r="V57" s="114">
        <v>0</v>
      </c>
      <c r="W57" s="114">
        <v>0</v>
      </c>
      <c r="X57" s="115">
        <v>0</v>
      </c>
      <c r="Y57" s="113">
        <v>0</v>
      </c>
      <c r="Z57" s="113">
        <v>0</v>
      </c>
      <c r="AA57" s="113">
        <v>0</v>
      </c>
      <c r="AB57" s="113">
        <v>0</v>
      </c>
      <c r="AC57" s="113">
        <v>0</v>
      </c>
      <c r="AD57" s="113">
        <v>-2655.98</v>
      </c>
      <c r="AE57" s="113">
        <v>0</v>
      </c>
      <c r="AF57" s="113">
        <v>0</v>
      </c>
      <c r="AG57" s="113">
        <v>0</v>
      </c>
      <c r="AH57" s="113">
        <v>0</v>
      </c>
      <c r="AI57" s="113">
        <v>0</v>
      </c>
      <c r="AJ57" s="113">
        <v>0</v>
      </c>
      <c r="AK57" s="113">
        <f t="shared" si="7"/>
        <v>1518.42</v>
      </c>
      <c r="AM57" s="214"/>
    </row>
    <row r="58" spans="1:39" x14ac:dyDescent="0.3">
      <c r="A58" s="109" t="str">
        <f t="shared" si="6"/>
        <v>debit    5001010200  Cost of Manufacture - Raw Material</v>
      </c>
      <c r="B58" s="112" t="s">
        <v>252</v>
      </c>
      <c r="C58" s="113">
        <f>IFERROR(VLOOKUP($A58,MTD!$A$13:$D$1048576,3,0),0)</f>
        <v>0</v>
      </c>
      <c r="D58" s="116">
        <f>IFERROR(VLOOKUP($A58,MTD!$A$13:$D$1048576,4,0),0)</f>
        <v>0</v>
      </c>
      <c r="E58" s="113"/>
      <c r="F58" s="113"/>
      <c r="G58" s="112" t="s">
        <v>252</v>
      </c>
      <c r="H58" s="114">
        <v>0</v>
      </c>
      <c r="I58" s="114">
        <v>0</v>
      </c>
      <c r="J58" s="115">
        <v>0</v>
      </c>
      <c r="K58" s="113">
        <v>0</v>
      </c>
      <c r="P58" s="112" t="s">
        <v>252</v>
      </c>
      <c r="Q58" s="113">
        <f>IFERROR(VLOOKUP($A58,YTD!$A$13:$D$1048576,3,0),0)</f>
        <v>525.6</v>
      </c>
      <c r="R58" s="116">
        <f>IFERROR(VLOOKUP($A58,YTD!$A$13:$D$1048576,4,0),0)</f>
        <v>0</v>
      </c>
      <c r="S58" s="113"/>
      <c r="T58" s="113"/>
      <c r="U58" s="112" t="s">
        <v>252</v>
      </c>
      <c r="V58" s="114">
        <v>0</v>
      </c>
      <c r="W58" s="114">
        <v>0</v>
      </c>
      <c r="X58" s="115">
        <v>0</v>
      </c>
      <c r="Y58" s="113">
        <v>0</v>
      </c>
      <c r="Z58" s="113">
        <v>361.9</v>
      </c>
      <c r="AA58" s="113">
        <v>0</v>
      </c>
      <c r="AB58" s="113">
        <v>143.15</v>
      </c>
      <c r="AC58" s="113">
        <v>0</v>
      </c>
      <c r="AD58" s="113">
        <v>5.6</v>
      </c>
      <c r="AE58" s="113">
        <v>0</v>
      </c>
      <c r="AF58" s="113">
        <v>0</v>
      </c>
      <c r="AG58" s="113">
        <v>0</v>
      </c>
      <c r="AH58" s="113">
        <v>0</v>
      </c>
      <c r="AI58" s="113">
        <v>14.95</v>
      </c>
      <c r="AJ58" s="113">
        <v>0</v>
      </c>
      <c r="AK58" s="113">
        <f t="shared" si="7"/>
        <v>0</v>
      </c>
      <c r="AM58" s="214"/>
    </row>
    <row r="59" spans="1:39" x14ac:dyDescent="0.3">
      <c r="A59" s="109" t="str">
        <f t="shared" si="6"/>
        <v>debit    5001010201  Cost of Manufacture - Raw Material-Freig</v>
      </c>
      <c r="B59" s="112" t="s">
        <v>253</v>
      </c>
      <c r="C59" s="113">
        <f>IFERROR(VLOOKUP($A59,MTD!$A$13:$D$1048576,3,0),0)</f>
        <v>0</v>
      </c>
      <c r="D59" s="116">
        <f>IFERROR(VLOOKUP($A59,MTD!$A$13:$D$1048576,4,0),0)</f>
        <v>0</v>
      </c>
      <c r="E59" s="113"/>
      <c r="F59" s="113"/>
      <c r="G59" s="112" t="s">
        <v>253</v>
      </c>
      <c r="H59" s="114">
        <v>0</v>
      </c>
      <c r="I59" s="114">
        <v>0</v>
      </c>
      <c r="J59" s="115">
        <v>0</v>
      </c>
      <c r="K59" s="113">
        <v>0</v>
      </c>
      <c r="P59" s="112" t="s">
        <v>253</v>
      </c>
      <c r="Q59" s="113">
        <f>IFERROR(VLOOKUP($A59,YTD!$A$13:$D$1048576,3,0),0)</f>
        <v>0.85</v>
      </c>
      <c r="R59" s="116">
        <f>IFERROR(VLOOKUP($A59,YTD!$A$13:$D$1048576,4,0),0)</f>
        <v>0</v>
      </c>
      <c r="S59" s="113"/>
      <c r="T59" s="113"/>
      <c r="U59" s="112" t="s">
        <v>253</v>
      </c>
      <c r="V59" s="114">
        <v>0</v>
      </c>
      <c r="W59" s="114">
        <v>0</v>
      </c>
      <c r="X59" s="115">
        <v>0</v>
      </c>
      <c r="Y59" s="113">
        <v>0</v>
      </c>
      <c r="Z59" s="113">
        <v>0.85</v>
      </c>
      <c r="AA59" s="113">
        <v>0</v>
      </c>
      <c r="AB59" s="113">
        <v>0</v>
      </c>
      <c r="AC59" s="113">
        <v>0</v>
      </c>
      <c r="AD59" s="113">
        <v>0</v>
      </c>
      <c r="AE59" s="113">
        <v>0</v>
      </c>
      <c r="AF59" s="113">
        <v>0</v>
      </c>
      <c r="AG59" s="113">
        <v>0</v>
      </c>
      <c r="AH59" s="113">
        <v>0</v>
      </c>
      <c r="AI59" s="113">
        <v>0</v>
      </c>
      <c r="AJ59" s="113">
        <v>0</v>
      </c>
      <c r="AK59" s="113">
        <f t="shared" si="7"/>
        <v>0</v>
      </c>
      <c r="AM59" s="214"/>
    </row>
    <row r="60" spans="1:39" x14ac:dyDescent="0.3">
      <c r="A60" s="109" t="str">
        <f t="shared" si="6"/>
        <v>debit    5102040893  Other revenue-Charge out-Test Expense</v>
      </c>
      <c r="B60" s="112" t="s">
        <v>254</v>
      </c>
      <c r="C60" s="116">
        <f>IFERROR(VLOOKUP($A60,MTD!$A$13:$D$1048576,3,0),0)</f>
        <v>0</v>
      </c>
      <c r="D60" s="116">
        <f>IFERROR(VLOOKUP($A60,MTD!$A$13:$D$1048576,4,0),0)</f>
        <v>0</v>
      </c>
      <c r="E60" s="113"/>
      <c r="F60" s="113"/>
      <c r="G60" s="112" t="s">
        <v>254</v>
      </c>
      <c r="H60" s="114">
        <v>0</v>
      </c>
      <c r="I60" s="114">
        <v>0</v>
      </c>
      <c r="J60" s="115">
        <v>0</v>
      </c>
      <c r="K60" s="113">
        <v>0</v>
      </c>
      <c r="P60" s="112" t="s">
        <v>254</v>
      </c>
      <c r="Q60" s="116">
        <f>IFERROR(VLOOKUP($A60,YTD!$A$13:$D$1048576,3,0),0)</f>
        <v>0</v>
      </c>
      <c r="R60" s="116">
        <f>IFERROR(VLOOKUP($A60,YTD!$A$13:$D$1048576,4,0),0)</f>
        <v>0</v>
      </c>
      <c r="S60" s="113"/>
      <c r="T60" s="113"/>
      <c r="U60" s="112" t="s">
        <v>254</v>
      </c>
      <c r="V60" s="114">
        <v>0</v>
      </c>
      <c r="W60" s="114">
        <v>0</v>
      </c>
      <c r="X60" s="115">
        <v>0</v>
      </c>
      <c r="Y60" s="113">
        <v>0</v>
      </c>
      <c r="Z60" s="113">
        <v>0</v>
      </c>
      <c r="AA60" s="113">
        <v>0</v>
      </c>
      <c r="AB60" s="113">
        <v>0</v>
      </c>
      <c r="AC60" s="113">
        <v>0</v>
      </c>
      <c r="AD60" s="113">
        <v>0</v>
      </c>
      <c r="AE60" s="113">
        <v>0</v>
      </c>
      <c r="AF60" s="113">
        <v>0</v>
      </c>
      <c r="AG60" s="113">
        <v>0</v>
      </c>
      <c r="AH60" s="113">
        <v>0</v>
      </c>
      <c r="AI60" s="113">
        <v>0</v>
      </c>
      <c r="AJ60" s="113">
        <v>0</v>
      </c>
      <c r="AK60" s="113">
        <f t="shared" si="7"/>
        <v>0</v>
      </c>
      <c r="AM60" s="214"/>
    </row>
    <row r="61" spans="1:39" x14ac:dyDescent="0.3">
      <c r="A61" s="109" t="str">
        <f t="shared" si="6"/>
        <v>debit    5207000012  Loss of tangible asset sold</v>
      </c>
      <c r="B61" s="112" t="s">
        <v>255</v>
      </c>
      <c r="C61" s="116">
        <f>IFERROR(VLOOKUP($A61,MTD!$A$13:$D$1048576,3,0),0)</f>
        <v>0</v>
      </c>
      <c r="D61" s="116">
        <f>IFERROR(VLOOKUP($A61,MTD!$A$13:$D$1048576,4,0),0)</f>
        <v>0</v>
      </c>
      <c r="E61" s="113"/>
      <c r="F61" s="113"/>
      <c r="G61" s="112" t="s">
        <v>255</v>
      </c>
      <c r="H61" s="114">
        <v>0</v>
      </c>
      <c r="I61" s="114">
        <v>0</v>
      </c>
      <c r="J61" s="115">
        <v>0</v>
      </c>
      <c r="K61" s="113">
        <v>0</v>
      </c>
      <c r="P61" s="112" t="s">
        <v>255</v>
      </c>
      <c r="Q61" s="116">
        <f>IFERROR(VLOOKUP($A61,YTD!$A$13:$D$1048576,3,0),0)</f>
        <v>0</v>
      </c>
      <c r="R61" s="116">
        <f>IFERROR(VLOOKUP($A61,YTD!$A$13:$D$1048576,4,0),0)</f>
        <v>0</v>
      </c>
      <c r="S61" s="113"/>
      <c r="T61" s="113"/>
      <c r="U61" s="112" t="s">
        <v>255</v>
      </c>
      <c r="V61" s="114">
        <v>0</v>
      </c>
      <c r="W61" s="114">
        <v>0</v>
      </c>
      <c r="X61" s="115">
        <v>0</v>
      </c>
      <c r="Y61" s="113">
        <v>0</v>
      </c>
      <c r="Z61" s="113">
        <v>0</v>
      </c>
      <c r="AA61" s="113">
        <v>0</v>
      </c>
      <c r="AB61" s="113">
        <v>0</v>
      </c>
      <c r="AC61" s="113">
        <v>0</v>
      </c>
      <c r="AD61" s="113">
        <v>0</v>
      </c>
      <c r="AE61" s="113">
        <v>0</v>
      </c>
      <c r="AF61" s="113">
        <v>0</v>
      </c>
      <c r="AG61" s="113">
        <v>0</v>
      </c>
      <c r="AH61" s="113">
        <v>0</v>
      </c>
      <c r="AI61" s="113">
        <v>0</v>
      </c>
      <c r="AJ61" s="113">
        <v>0</v>
      </c>
      <c r="AK61" s="113">
        <f t="shared" si="7"/>
        <v>0</v>
      </c>
      <c r="AM61" s="214"/>
    </row>
    <row r="62" spans="1:39" x14ac:dyDescent="0.3">
      <c r="A62" s="109" t="str">
        <f t="shared" si="6"/>
        <v>debit    5207000022  Loss of intangible asset disposal</v>
      </c>
      <c r="B62" s="112" t="s">
        <v>256</v>
      </c>
      <c r="C62" s="116">
        <f>IFERROR(VLOOKUP($A62,MTD!$A$13:$D$1048576,3,0),0)</f>
        <v>0</v>
      </c>
      <c r="D62" s="116">
        <f>IFERROR(VLOOKUP($A62,MTD!$A$13:$D$1048576,4,0),0)</f>
        <v>0</v>
      </c>
      <c r="E62" s="113"/>
      <c r="F62" s="113"/>
      <c r="G62" s="112" t="s">
        <v>256</v>
      </c>
      <c r="H62" s="114">
        <v>0</v>
      </c>
      <c r="I62" s="114">
        <v>0</v>
      </c>
      <c r="J62" s="115">
        <v>0</v>
      </c>
      <c r="K62" s="113">
        <v>0</v>
      </c>
      <c r="P62" s="112" t="s">
        <v>256</v>
      </c>
      <c r="Q62" s="116">
        <f>IFERROR(VLOOKUP($A62,YTD!$A$13:$D$1048576,3,0),0)</f>
        <v>0</v>
      </c>
      <c r="R62" s="116">
        <f>IFERROR(VLOOKUP($A62,YTD!$A$13:$D$1048576,4,0),0)</f>
        <v>0</v>
      </c>
      <c r="S62" s="113"/>
      <c r="T62" s="113"/>
      <c r="U62" s="112" t="s">
        <v>256</v>
      </c>
      <c r="V62" s="114">
        <v>0</v>
      </c>
      <c r="W62" s="114">
        <v>0</v>
      </c>
      <c r="X62" s="115">
        <v>0</v>
      </c>
      <c r="Y62" s="113">
        <v>0</v>
      </c>
      <c r="Z62" s="113">
        <v>0</v>
      </c>
      <c r="AA62" s="113">
        <v>0</v>
      </c>
      <c r="AB62" s="113">
        <v>0</v>
      </c>
      <c r="AC62" s="113">
        <v>0</v>
      </c>
      <c r="AD62" s="113">
        <v>0</v>
      </c>
      <c r="AE62" s="113">
        <v>0</v>
      </c>
      <c r="AF62" s="113">
        <v>0</v>
      </c>
      <c r="AG62" s="113">
        <v>0</v>
      </c>
      <c r="AH62" s="113">
        <v>0</v>
      </c>
      <c r="AI62" s="113">
        <v>0</v>
      </c>
      <c r="AJ62" s="113">
        <v>0</v>
      </c>
      <c r="AK62" s="113">
        <f t="shared" si="7"/>
        <v>0</v>
      </c>
      <c r="AM62" s="214"/>
    </row>
    <row r="63" spans="1:39" x14ac:dyDescent="0.3">
      <c r="A63" s="109" t="str">
        <f t="shared" si="6"/>
        <v>debit    5301060000  Other Income-Subsidy income</v>
      </c>
      <c r="B63" s="112" t="s">
        <v>257</v>
      </c>
      <c r="C63" s="116">
        <f>IFERROR(VLOOKUP($A63,MTD!$A$13:$D$1048576,3,0),0)</f>
        <v>0</v>
      </c>
      <c r="D63" s="116">
        <f>IFERROR(VLOOKUP($A63,MTD!$A$13:$D$1048576,4,0),0)</f>
        <v>0</v>
      </c>
      <c r="E63" s="113"/>
      <c r="F63" s="113"/>
      <c r="G63" s="112" t="s">
        <v>257</v>
      </c>
      <c r="H63" s="114">
        <v>0</v>
      </c>
      <c r="I63" s="114">
        <v>0</v>
      </c>
      <c r="J63" s="115">
        <v>0</v>
      </c>
      <c r="K63" s="113">
        <v>0</v>
      </c>
      <c r="P63" s="112" t="s">
        <v>257</v>
      </c>
      <c r="Q63" s="116">
        <f>IFERROR(VLOOKUP($A63,YTD!$A$13:$D$1048576,3,0),0)</f>
        <v>0</v>
      </c>
      <c r="R63" s="116">
        <f>IFERROR(VLOOKUP($A63,YTD!$A$13:$D$1048576,4,0),0)</f>
        <v>0</v>
      </c>
      <c r="S63" s="113"/>
      <c r="T63" s="113"/>
      <c r="U63" s="112" t="s">
        <v>257</v>
      </c>
      <c r="V63" s="114">
        <v>0</v>
      </c>
      <c r="W63" s="114">
        <v>0</v>
      </c>
      <c r="X63" s="115">
        <v>0</v>
      </c>
      <c r="Y63" s="113">
        <v>0</v>
      </c>
      <c r="Z63" s="113">
        <v>0</v>
      </c>
      <c r="AA63" s="113">
        <v>0</v>
      </c>
      <c r="AB63" s="113">
        <v>0</v>
      </c>
      <c r="AC63" s="113">
        <v>0</v>
      </c>
      <c r="AD63" s="113">
        <v>0</v>
      </c>
      <c r="AE63" s="113">
        <v>0</v>
      </c>
      <c r="AF63" s="113">
        <v>0</v>
      </c>
      <c r="AG63" s="113">
        <v>0</v>
      </c>
      <c r="AH63" s="113">
        <v>0</v>
      </c>
      <c r="AI63" s="113">
        <v>0</v>
      </c>
      <c r="AJ63" s="113">
        <v>0</v>
      </c>
      <c r="AK63" s="113">
        <f t="shared" si="7"/>
        <v>0</v>
      </c>
      <c r="AM63" s="214"/>
    </row>
    <row r="64" spans="1:39" x14ac:dyDescent="0.3">
      <c r="A64" s="109" t="str">
        <f t="shared" si="6"/>
        <v>debit    5301999999  Non-operation revenue-Other</v>
      </c>
      <c r="B64" s="112" t="s">
        <v>258</v>
      </c>
      <c r="C64" s="113">
        <f>IFERROR(VLOOKUP($A64,MTD!$A$13:$D$1048576,3,0),0)</f>
        <v>-5.42</v>
      </c>
      <c r="D64" s="116">
        <f>IFERROR(VLOOKUP($A64,MTD!$A$13:$D$1048576,4,0),0)</f>
        <v>0</v>
      </c>
      <c r="E64" s="113"/>
      <c r="F64" s="113"/>
      <c r="G64" s="112" t="s">
        <v>258</v>
      </c>
      <c r="H64" s="114">
        <v>0</v>
      </c>
      <c r="I64" s="114">
        <v>0</v>
      </c>
      <c r="J64" s="115">
        <v>0</v>
      </c>
      <c r="K64" s="113">
        <v>0</v>
      </c>
      <c r="P64" s="112" t="s">
        <v>258</v>
      </c>
      <c r="Q64" s="113">
        <f>IFERROR(VLOOKUP($A64,YTD!$A$13:$D$1048576,3,0),0)</f>
        <v>-71.319999999999993</v>
      </c>
      <c r="R64" s="116">
        <f>IFERROR(VLOOKUP($A64,YTD!$A$13:$D$1048576,4,0),0)</f>
        <v>0</v>
      </c>
      <c r="S64" s="113"/>
      <c r="T64" s="113"/>
      <c r="U64" s="112" t="s">
        <v>258</v>
      </c>
      <c r="V64" s="114">
        <v>0</v>
      </c>
      <c r="W64" s="114">
        <v>0</v>
      </c>
      <c r="X64" s="115">
        <v>0</v>
      </c>
      <c r="Y64" s="113">
        <v>0</v>
      </c>
      <c r="Z64" s="113">
        <v>0</v>
      </c>
      <c r="AA64" s="113">
        <v>0</v>
      </c>
      <c r="AB64" s="113">
        <v>0</v>
      </c>
      <c r="AC64" s="113">
        <v>0</v>
      </c>
      <c r="AD64" s="113">
        <v>0</v>
      </c>
      <c r="AE64" s="113">
        <v>0</v>
      </c>
      <c r="AF64" s="113">
        <v>0</v>
      </c>
      <c r="AG64" s="113">
        <v>0</v>
      </c>
      <c r="AH64" s="113">
        <v>0</v>
      </c>
      <c r="AI64" s="113">
        <v>0</v>
      </c>
      <c r="AJ64" s="113">
        <v>-65.900000000000006</v>
      </c>
      <c r="AK64" s="113">
        <f t="shared" si="7"/>
        <v>-5.42</v>
      </c>
      <c r="AM64" s="214"/>
    </row>
    <row r="65" spans="1:39" x14ac:dyDescent="0.3">
      <c r="A65" s="109" t="str">
        <f t="shared" si="6"/>
        <v>debit    5405030000  Other cost-others</v>
      </c>
      <c r="B65" s="112" t="s">
        <v>259</v>
      </c>
      <c r="C65" s="113">
        <f>IFERROR(VLOOKUP($A65,MTD!$A$13:$D$1048576,3,0),0)</f>
        <v>0</v>
      </c>
      <c r="D65" s="113">
        <f>IFERROR(VLOOKUP($A65,MTD!$A$13:$D$1048576,4,0),0)</f>
        <v>0</v>
      </c>
      <c r="E65" s="113"/>
      <c r="F65" s="113"/>
      <c r="G65" s="112" t="s">
        <v>259</v>
      </c>
      <c r="H65" s="114">
        <v>0</v>
      </c>
      <c r="I65" s="114">
        <v>0</v>
      </c>
      <c r="J65" s="115">
        <v>0</v>
      </c>
      <c r="K65" s="113">
        <v>0</v>
      </c>
      <c r="P65" s="112" t="s">
        <v>259</v>
      </c>
      <c r="Q65" s="113">
        <f>IFERROR(VLOOKUP($A65,YTD!$A$13:$D$1048576,3,0),0)</f>
        <v>6880.62</v>
      </c>
      <c r="R65" s="113">
        <f>IFERROR(VLOOKUP($A65,YTD!$A$13:$D$1048576,4,0),0)</f>
        <v>0</v>
      </c>
      <c r="S65" s="113"/>
      <c r="T65" s="113"/>
      <c r="U65" s="112" t="s">
        <v>259</v>
      </c>
      <c r="V65" s="114">
        <v>0</v>
      </c>
      <c r="W65" s="114">
        <v>0</v>
      </c>
      <c r="X65" s="115">
        <v>0</v>
      </c>
      <c r="Y65" s="113">
        <v>0</v>
      </c>
      <c r="Z65" s="113">
        <v>19.72</v>
      </c>
      <c r="AA65" s="113">
        <v>280.54000000000002</v>
      </c>
      <c r="AB65" s="113">
        <v>3956.62</v>
      </c>
      <c r="AC65" s="113">
        <v>0</v>
      </c>
      <c r="AD65" s="113">
        <v>-0.02</v>
      </c>
      <c r="AE65" s="113">
        <v>-0.02</v>
      </c>
      <c r="AF65" s="113">
        <v>395.46</v>
      </c>
      <c r="AG65" s="113">
        <v>2013.96</v>
      </c>
      <c r="AH65" s="113">
        <v>198.96</v>
      </c>
      <c r="AI65" s="113">
        <v>0</v>
      </c>
      <c r="AJ65" s="113">
        <v>15.4</v>
      </c>
      <c r="AK65" s="113">
        <f t="shared" si="7"/>
        <v>0</v>
      </c>
      <c r="AM65" s="214"/>
    </row>
    <row r="66" spans="1:39" x14ac:dyDescent="0.3">
      <c r="A66" s="109" t="str">
        <f t="shared" si="6"/>
        <v>debit    5601050000  Non-Operating Expense - Penalty</v>
      </c>
      <c r="B66" s="112" t="s">
        <v>260</v>
      </c>
      <c r="C66" s="113">
        <f>IFERROR(VLOOKUP($A66,MTD!$A$13:$D$1048576,3,0),0)</f>
        <v>0</v>
      </c>
      <c r="D66" s="116">
        <f>IFERROR(VLOOKUP($A66,MTD!$A$13:$D$1048576,4,0),0)</f>
        <v>0</v>
      </c>
      <c r="E66" s="113"/>
      <c r="F66" s="113"/>
      <c r="G66" s="112" t="s">
        <v>260</v>
      </c>
      <c r="H66" s="114">
        <v>0</v>
      </c>
      <c r="I66" s="114">
        <v>0</v>
      </c>
      <c r="J66" s="115">
        <v>0</v>
      </c>
      <c r="K66" s="113">
        <v>0</v>
      </c>
      <c r="P66" s="112" t="s">
        <v>260</v>
      </c>
      <c r="Q66" s="113">
        <f>IFERROR(VLOOKUP($A66,YTD!$A$13:$D$1048576,3,0),0)</f>
        <v>0</v>
      </c>
      <c r="R66" s="116">
        <f>IFERROR(VLOOKUP($A66,YTD!$A$13:$D$1048576,4,0),0)</f>
        <v>0</v>
      </c>
      <c r="S66" s="113"/>
      <c r="T66" s="113"/>
      <c r="U66" s="112" t="s">
        <v>260</v>
      </c>
      <c r="V66" s="114">
        <v>0</v>
      </c>
      <c r="W66" s="114">
        <v>0</v>
      </c>
      <c r="X66" s="115">
        <v>0</v>
      </c>
      <c r="Y66" s="113">
        <v>0</v>
      </c>
      <c r="Z66" s="113">
        <v>0</v>
      </c>
      <c r="AA66" s="113">
        <v>0</v>
      </c>
      <c r="AB66" s="113">
        <v>0</v>
      </c>
      <c r="AC66" s="113">
        <v>0</v>
      </c>
      <c r="AD66" s="113">
        <v>0</v>
      </c>
      <c r="AE66" s="113">
        <v>0</v>
      </c>
      <c r="AF66" s="113">
        <v>0</v>
      </c>
      <c r="AG66" s="113">
        <v>0</v>
      </c>
      <c r="AH66" s="113">
        <v>0</v>
      </c>
      <c r="AI66" s="113">
        <v>0</v>
      </c>
      <c r="AJ66" s="113">
        <v>0</v>
      </c>
      <c r="AK66" s="113">
        <f t="shared" si="7"/>
        <v>0</v>
      </c>
      <c r="AM66" s="214"/>
    </row>
    <row r="67" spans="1:39" x14ac:dyDescent="0.3">
      <c r="A67" s="109" t="str">
        <f t="shared" si="6"/>
        <v>debit    5601050100  Non-operation Expense-Others</v>
      </c>
      <c r="B67" s="112" t="s">
        <v>261</v>
      </c>
      <c r="C67" s="113">
        <f>IFERROR(VLOOKUP($A67,MTD!$A$13:$D$1048576,3,0),0)</f>
        <v>34.78</v>
      </c>
      <c r="D67" s="116">
        <f>IFERROR(VLOOKUP($A67,MTD!$A$13:$D$1048576,4,0),0)</f>
        <v>0</v>
      </c>
      <c r="E67" s="113"/>
      <c r="F67" s="113"/>
      <c r="G67" s="112" t="s">
        <v>261</v>
      </c>
      <c r="H67" s="114">
        <v>0</v>
      </c>
      <c r="I67" s="114">
        <v>0</v>
      </c>
      <c r="J67" s="115">
        <v>0</v>
      </c>
      <c r="K67" s="113">
        <v>0</v>
      </c>
      <c r="P67" s="112" t="s">
        <v>261</v>
      </c>
      <c r="Q67" s="113">
        <f>IFERROR(VLOOKUP($A67,YTD!$A$13:$D$1048576,3,0),0)</f>
        <v>881.25</v>
      </c>
      <c r="R67" s="116">
        <f>IFERROR(VLOOKUP($A67,YTD!$A$13:$D$1048576,4,0),0)</f>
        <v>0</v>
      </c>
      <c r="S67" s="113"/>
      <c r="T67" s="113"/>
      <c r="U67" s="112" t="s">
        <v>261</v>
      </c>
      <c r="V67" s="114">
        <v>0</v>
      </c>
      <c r="W67" s="114">
        <v>0</v>
      </c>
      <c r="X67" s="115">
        <v>0</v>
      </c>
      <c r="Y67" s="113">
        <v>0</v>
      </c>
      <c r="Z67" s="113">
        <v>310.45999999999998</v>
      </c>
      <c r="AA67" s="113">
        <v>0</v>
      </c>
      <c r="AB67" s="113">
        <v>0</v>
      </c>
      <c r="AC67" s="113">
        <v>0</v>
      </c>
      <c r="AD67" s="113">
        <v>0</v>
      </c>
      <c r="AE67" s="113">
        <v>2</v>
      </c>
      <c r="AF67" s="113">
        <v>264.23</v>
      </c>
      <c r="AG67" s="113">
        <v>210.26</v>
      </c>
      <c r="AH67" s="113">
        <v>34.72</v>
      </c>
      <c r="AI67" s="113">
        <v>0</v>
      </c>
      <c r="AJ67" s="113">
        <v>24.8</v>
      </c>
      <c r="AK67" s="113">
        <f t="shared" si="7"/>
        <v>34.78</v>
      </c>
      <c r="AM67" s="214"/>
    </row>
    <row r="68" spans="1:39" x14ac:dyDescent="0.3">
      <c r="A68" s="109" t="str">
        <f t="shared" si="6"/>
        <v>debit    6666020101  Entertainment</v>
      </c>
      <c r="B68" s="112" t="s">
        <v>262</v>
      </c>
      <c r="C68" s="113">
        <f>IFERROR(VLOOKUP($A68,MTD!$A$13:$D$1048576,3,0),0)</f>
        <v>-104982.82</v>
      </c>
      <c r="D68" s="113">
        <f>IFERROR(VLOOKUP($A68,MTD!$A$13:$D$1048576,4,0),0)</f>
        <v>19847.810000000001</v>
      </c>
      <c r="E68" s="113"/>
      <c r="F68" s="113"/>
      <c r="G68" s="112" t="s">
        <v>262</v>
      </c>
      <c r="H68" s="114">
        <v>0</v>
      </c>
      <c r="I68" s="114">
        <v>0</v>
      </c>
      <c r="J68" s="115">
        <v>0</v>
      </c>
      <c r="K68" s="113">
        <v>0</v>
      </c>
      <c r="P68" s="112" t="s">
        <v>262</v>
      </c>
      <c r="Q68" s="113">
        <f>IFERROR(VLOOKUP($A68,YTD!$A$13:$D$1048576,3,0),0)</f>
        <v>2692.31</v>
      </c>
      <c r="R68" s="113">
        <f>IFERROR(VLOOKUP($A68,YTD!$A$13:$D$1048576,4,0),0)</f>
        <v>238031.87</v>
      </c>
      <c r="S68" s="113"/>
      <c r="T68" s="113"/>
      <c r="U68" s="112" t="s">
        <v>262</v>
      </c>
      <c r="V68" s="114">
        <v>0</v>
      </c>
      <c r="W68" s="114">
        <v>0</v>
      </c>
      <c r="X68" s="115">
        <v>0</v>
      </c>
      <c r="Y68" s="113">
        <v>0</v>
      </c>
      <c r="Z68" s="113">
        <v>0</v>
      </c>
      <c r="AA68" s="113">
        <v>23893.72</v>
      </c>
      <c r="AB68" s="113">
        <v>19794.05</v>
      </c>
      <c r="AC68" s="113">
        <v>17727.46</v>
      </c>
      <c r="AD68" s="113">
        <v>18964.66</v>
      </c>
      <c r="AE68" s="113">
        <v>16797.5</v>
      </c>
      <c r="AF68" s="113">
        <v>15824.12</v>
      </c>
      <c r="AG68" s="113">
        <v>-2705.18</v>
      </c>
      <c r="AH68" s="113">
        <v>-1915.48</v>
      </c>
      <c r="AI68" s="113">
        <v>521.02</v>
      </c>
      <c r="AJ68" s="113">
        <v>-1226.74</v>
      </c>
      <c r="AK68" s="113">
        <f t="shared" si="7"/>
        <v>-104982.82</v>
      </c>
      <c r="AM68" s="214"/>
    </row>
    <row r="69" spans="1:39" x14ac:dyDescent="0.3">
      <c r="A69" s="109" t="str">
        <f t="shared" si="6"/>
        <v>debit    6666020201  Domestic business travel</v>
      </c>
      <c r="B69" s="112" t="s">
        <v>263</v>
      </c>
      <c r="C69" s="113">
        <f>IFERROR(VLOOKUP($A69,MTD!$A$13:$D$1048576,3,0),0)</f>
        <v>315.83</v>
      </c>
      <c r="D69" s="113">
        <f>IFERROR(VLOOKUP($A69,MTD!$A$13:$D$1048576,4,0),0)</f>
        <v>3623.06</v>
      </c>
      <c r="E69" s="113"/>
      <c r="F69" s="113"/>
      <c r="G69" s="112" t="s">
        <v>263</v>
      </c>
      <c r="H69" s="114">
        <v>0</v>
      </c>
      <c r="I69" s="114">
        <v>0</v>
      </c>
      <c r="J69" s="115">
        <v>0</v>
      </c>
      <c r="K69" s="113">
        <v>0</v>
      </c>
      <c r="P69" s="112" t="s">
        <v>263</v>
      </c>
      <c r="Q69" s="113">
        <f>IFERROR(VLOOKUP($A69,YTD!$A$13:$D$1048576,3,0),0)</f>
        <v>1861.84</v>
      </c>
      <c r="R69" s="113">
        <f>IFERROR(VLOOKUP($A69,YTD!$A$13:$D$1048576,4,0),0)</f>
        <v>43476.72</v>
      </c>
      <c r="S69" s="113"/>
      <c r="T69" s="113"/>
      <c r="U69" s="112" t="s">
        <v>263</v>
      </c>
      <c r="V69" s="114">
        <v>0</v>
      </c>
      <c r="W69" s="114">
        <v>0</v>
      </c>
      <c r="X69" s="115">
        <v>0</v>
      </c>
      <c r="Y69" s="113">
        <v>0</v>
      </c>
      <c r="Z69" s="113">
        <v>3.96</v>
      </c>
      <c r="AA69" s="113">
        <v>10.69</v>
      </c>
      <c r="AB69" s="113">
        <v>272.83999999999997</v>
      </c>
      <c r="AC69" s="113">
        <v>34.76</v>
      </c>
      <c r="AD69" s="113">
        <v>0</v>
      </c>
      <c r="AE69" s="113">
        <v>138.16</v>
      </c>
      <c r="AF69" s="113">
        <v>244.72</v>
      </c>
      <c r="AG69" s="113">
        <v>24.8</v>
      </c>
      <c r="AH69" s="113">
        <v>194.19</v>
      </c>
      <c r="AI69" s="113">
        <v>397.22</v>
      </c>
      <c r="AJ69" s="113">
        <v>224.67</v>
      </c>
      <c r="AK69" s="113">
        <f t="shared" si="7"/>
        <v>315.83</v>
      </c>
      <c r="AM69" s="214"/>
    </row>
    <row r="70" spans="1:39" x14ac:dyDescent="0.3">
      <c r="A70" s="109" t="str">
        <f t="shared" si="6"/>
        <v>debit    6666020202  Overseas business travel</v>
      </c>
      <c r="B70" s="112" t="s">
        <v>264</v>
      </c>
      <c r="C70" s="113">
        <f>IFERROR(VLOOKUP($A70,MTD!$A$13:$D$1048576,3,0),0)</f>
        <v>410.84</v>
      </c>
      <c r="D70" s="116">
        <f>IFERROR(VLOOKUP($A70,MTD!$A$13:$D$1048576,4,0),0)</f>
        <v>0</v>
      </c>
      <c r="E70" s="113"/>
      <c r="F70" s="113"/>
      <c r="G70" s="112" t="s">
        <v>264</v>
      </c>
      <c r="H70" s="114">
        <v>0</v>
      </c>
      <c r="I70" s="114">
        <v>0</v>
      </c>
      <c r="J70" s="115">
        <v>0</v>
      </c>
      <c r="K70" s="113">
        <v>0</v>
      </c>
      <c r="P70" s="112" t="s">
        <v>264</v>
      </c>
      <c r="Q70" s="113">
        <f>IFERROR(VLOOKUP($A70,YTD!$A$13:$D$1048576,3,0),0)</f>
        <v>7560.75</v>
      </c>
      <c r="R70" s="116">
        <f>IFERROR(VLOOKUP($A70,YTD!$A$13:$D$1048576,4,0),0)</f>
        <v>0</v>
      </c>
      <c r="S70" s="113"/>
      <c r="T70" s="113"/>
      <c r="U70" s="112" t="s">
        <v>264</v>
      </c>
      <c r="V70" s="114">
        <v>0</v>
      </c>
      <c r="W70" s="114">
        <v>0</v>
      </c>
      <c r="X70" s="115">
        <v>0</v>
      </c>
      <c r="Y70" s="113">
        <v>0</v>
      </c>
      <c r="Z70" s="113">
        <v>0</v>
      </c>
      <c r="AA70" s="113">
        <v>0</v>
      </c>
      <c r="AB70" s="113">
        <v>0</v>
      </c>
      <c r="AC70" s="113">
        <v>0</v>
      </c>
      <c r="AD70" s="113">
        <v>9.1199999999999992</v>
      </c>
      <c r="AE70" s="113">
        <v>702.1</v>
      </c>
      <c r="AF70" s="113">
        <v>4762.93</v>
      </c>
      <c r="AG70" s="113">
        <v>50.58</v>
      </c>
      <c r="AH70" s="113">
        <v>11.58</v>
      </c>
      <c r="AI70" s="113">
        <v>1613.6</v>
      </c>
      <c r="AJ70" s="113">
        <v>0</v>
      </c>
      <c r="AK70" s="113">
        <f t="shared" si="7"/>
        <v>410.84</v>
      </c>
      <c r="AM70" s="214"/>
    </row>
    <row r="71" spans="1:39" x14ac:dyDescent="0.3">
      <c r="A71" s="109" t="str">
        <f t="shared" si="6"/>
        <v>debit    6666020204  Travel expense pay to agency</v>
      </c>
      <c r="B71" s="112" t="s">
        <v>265</v>
      </c>
      <c r="C71" s="113">
        <f>IFERROR(VLOOKUP($A71,MTD!$A$13:$D$1048576,3,0),0)</f>
        <v>151.86000000000001</v>
      </c>
      <c r="D71" s="116">
        <f>IFERROR(VLOOKUP($A71,MTD!$A$13:$D$1048576,4,0),0)</f>
        <v>0</v>
      </c>
      <c r="E71" s="113"/>
      <c r="F71" s="113"/>
      <c r="G71" s="112" t="s">
        <v>265</v>
      </c>
      <c r="H71" s="114">
        <v>0</v>
      </c>
      <c r="I71" s="114">
        <v>0</v>
      </c>
      <c r="J71" s="115">
        <v>0</v>
      </c>
      <c r="K71" s="113">
        <v>0</v>
      </c>
      <c r="P71" s="112" t="s">
        <v>265</v>
      </c>
      <c r="Q71" s="113">
        <f>IFERROR(VLOOKUP($A71,YTD!$A$13:$D$1048576,3,0),0)</f>
        <v>22412.44</v>
      </c>
      <c r="R71" s="116">
        <f>IFERROR(VLOOKUP($A71,YTD!$A$13:$D$1048576,4,0),0)</f>
        <v>0</v>
      </c>
      <c r="S71" s="113"/>
      <c r="T71" s="113"/>
      <c r="U71" s="112" t="s">
        <v>265</v>
      </c>
      <c r="V71" s="114">
        <v>0</v>
      </c>
      <c r="W71" s="114">
        <v>0</v>
      </c>
      <c r="X71" s="115">
        <v>0</v>
      </c>
      <c r="Y71" s="113">
        <v>0</v>
      </c>
      <c r="Z71" s="113">
        <v>585.89</v>
      </c>
      <c r="AA71" s="113">
        <v>68.81</v>
      </c>
      <c r="AB71" s="113">
        <v>6.21</v>
      </c>
      <c r="AC71" s="113">
        <v>41.53</v>
      </c>
      <c r="AD71" s="113">
        <v>84.75</v>
      </c>
      <c r="AE71" s="113">
        <v>70.48</v>
      </c>
      <c r="AF71" s="113">
        <v>138.96</v>
      </c>
      <c r="AG71" s="113">
        <v>255.12</v>
      </c>
      <c r="AH71" s="113">
        <v>341.29</v>
      </c>
      <c r="AI71" s="113">
        <v>18816.080000000002</v>
      </c>
      <c r="AJ71" s="113">
        <v>1851.46</v>
      </c>
      <c r="AK71" s="113">
        <f t="shared" si="7"/>
        <v>151.86000000000001</v>
      </c>
      <c r="AM71" s="214"/>
    </row>
    <row r="72" spans="1:39" x14ac:dyDescent="0.3">
      <c r="A72" s="109" t="str">
        <f t="shared" si="6"/>
        <v>debit    6666020205  Business travel-other</v>
      </c>
      <c r="B72" s="112" t="s">
        <v>266</v>
      </c>
      <c r="C72" s="116">
        <f>IFERROR(VLOOKUP($A72,MTD!$A$13:$D$1048576,3,0),0)</f>
        <v>0</v>
      </c>
      <c r="D72" s="113">
        <f>IFERROR(VLOOKUP($A72,MTD!$A$13:$D$1048576,4,0),0)</f>
        <v>4926.99</v>
      </c>
      <c r="E72" s="113"/>
      <c r="F72" s="113"/>
      <c r="G72" s="112" t="s">
        <v>266</v>
      </c>
      <c r="H72" s="114">
        <v>0</v>
      </c>
      <c r="I72" s="114">
        <v>0</v>
      </c>
      <c r="J72" s="115">
        <v>0</v>
      </c>
      <c r="K72" s="113">
        <v>0</v>
      </c>
      <c r="P72" s="112" t="s">
        <v>266</v>
      </c>
      <c r="Q72" s="116">
        <f>IFERROR(VLOOKUP($A72,YTD!$A$13:$D$1048576,3,0),0)</f>
        <v>0</v>
      </c>
      <c r="R72" s="113">
        <f>IFERROR(VLOOKUP($A72,YTD!$A$13:$D$1048576,4,0),0)</f>
        <v>58857.48</v>
      </c>
      <c r="S72" s="113"/>
      <c r="T72" s="113"/>
      <c r="U72" s="112" t="s">
        <v>266</v>
      </c>
      <c r="V72" s="114">
        <v>0</v>
      </c>
      <c r="W72" s="114">
        <v>0</v>
      </c>
      <c r="X72" s="115">
        <v>0</v>
      </c>
      <c r="Y72" s="113">
        <v>0</v>
      </c>
      <c r="Z72" s="113">
        <v>0</v>
      </c>
      <c r="AA72" s="113">
        <v>0</v>
      </c>
      <c r="AB72" s="113">
        <v>0</v>
      </c>
      <c r="AC72" s="113">
        <v>0</v>
      </c>
      <c r="AD72" s="113">
        <v>0</v>
      </c>
      <c r="AE72" s="113">
        <v>0</v>
      </c>
      <c r="AF72" s="113">
        <v>0</v>
      </c>
      <c r="AG72" s="113">
        <v>0</v>
      </c>
      <c r="AH72" s="113">
        <v>0</v>
      </c>
      <c r="AI72" s="113">
        <v>0</v>
      </c>
      <c r="AJ72" s="113">
        <v>0</v>
      </c>
      <c r="AK72" s="113">
        <f t="shared" si="7"/>
        <v>0</v>
      </c>
      <c r="AM72" s="214"/>
    </row>
    <row r="73" spans="1:39" x14ac:dyDescent="0.3">
      <c r="A73" s="109" t="str">
        <f t="shared" si="6"/>
        <v>debit    6666020301  Staff communication expense</v>
      </c>
      <c r="B73" s="112" t="s">
        <v>267</v>
      </c>
      <c r="C73" s="113">
        <f>IFERROR(VLOOKUP($A73,MTD!$A$13:$D$1048576,3,0),0)</f>
        <v>1265.99</v>
      </c>
      <c r="D73" s="116">
        <f>IFERROR(VLOOKUP($A73,MTD!$A$13:$D$1048576,4,0),0)</f>
        <v>0</v>
      </c>
      <c r="E73" s="113"/>
      <c r="F73" s="113"/>
      <c r="G73" s="112" t="s">
        <v>267</v>
      </c>
      <c r="H73" s="114">
        <v>0</v>
      </c>
      <c r="I73" s="114">
        <v>0</v>
      </c>
      <c r="J73" s="115">
        <v>0</v>
      </c>
      <c r="K73" s="113">
        <v>0</v>
      </c>
      <c r="P73" s="112" t="s">
        <v>267</v>
      </c>
      <c r="Q73" s="113">
        <f>IFERROR(VLOOKUP($A73,YTD!$A$13:$D$1048576,3,0),0)</f>
        <v>14843.78</v>
      </c>
      <c r="R73" s="113">
        <f>IFERROR(VLOOKUP($A73,YTD!$A$13:$D$1048576,4,0),0)</f>
        <v>0</v>
      </c>
      <c r="S73" s="113"/>
      <c r="T73" s="113"/>
      <c r="U73" s="112" t="s">
        <v>267</v>
      </c>
      <c r="V73" s="114">
        <v>0</v>
      </c>
      <c r="W73" s="114">
        <v>0</v>
      </c>
      <c r="X73" s="115">
        <v>0</v>
      </c>
      <c r="Y73" s="113">
        <v>0</v>
      </c>
      <c r="Z73" s="113">
        <v>0</v>
      </c>
      <c r="AA73" s="113">
        <v>0</v>
      </c>
      <c r="AB73" s="113">
        <v>0</v>
      </c>
      <c r="AC73" s="113">
        <v>4288.79</v>
      </c>
      <c r="AD73" s="113">
        <v>1335.8</v>
      </c>
      <c r="AE73" s="113">
        <v>1211.72</v>
      </c>
      <c r="AF73" s="113">
        <v>1353.54</v>
      </c>
      <c r="AG73" s="113">
        <v>1409.43</v>
      </c>
      <c r="AH73" s="113">
        <v>294.7</v>
      </c>
      <c r="AI73" s="113">
        <v>2262.8200000000002</v>
      </c>
      <c r="AJ73" s="113">
        <v>1420.99</v>
      </c>
      <c r="AK73" s="113">
        <f t="shared" si="7"/>
        <v>1265.99</v>
      </c>
      <c r="AM73" s="214"/>
    </row>
    <row r="74" spans="1:39" x14ac:dyDescent="0.3">
      <c r="A74" s="109" t="str">
        <f t="shared" si="6"/>
        <v>debit    6666021104  Consulting expense-Technical</v>
      </c>
      <c r="B74" s="112" t="s">
        <v>268</v>
      </c>
      <c r="C74" s="113">
        <f>IFERROR(VLOOKUP($A74,MTD!$A$13:$D$1048576,3,0),0)</f>
        <v>0</v>
      </c>
      <c r="D74" s="116">
        <f>IFERROR(VLOOKUP($A74,MTD!$A$13:$D$1048576,4,0),0)</f>
        <v>0</v>
      </c>
      <c r="E74" s="113"/>
      <c r="F74" s="113"/>
      <c r="G74" s="112" t="s">
        <v>268</v>
      </c>
      <c r="H74" s="114"/>
      <c r="I74" s="114"/>
      <c r="J74" s="115"/>
      <c r="K74" s="113"/>
      <c r="P74" s="112" t="s">
        <v>268</v>
      </c>
      <c r="Q74" s="113">
        <f>IFERROR(VLOOKUP($A74,YTD!$A$13:$D$1048576,3,0),0)</f>
        <v>-2.36</v>
      </c>
      <c r="R74" s="113">
        <f>IFERROR(VLOOKUP($A74,YTD!$A$13:$D$1048576,4,0),0)</f>
        <v>0</v>
      </c>
      <c r="S74" s="113"/>
      <c r="T74" s="113"/>
      <c r="U74" s="112" t="s">
        <v>268</v>
      </c>
      <c r="V74" s="114"/>
      <c r="W74" s="114"/>
      <c r="X74" s="115"/>
      <c r="Y74" s="113"/>
      <c r="Z74" s="113"/>
      <c r="AA74" s="113"/>
      <c r="AB74" s="113"/>
      <c r="AC74" s="113"/>
      <c r="AD74" s="113"/>
      <c r="AE74" s="113"/>
      <c r="AF74" s="113"/>
      <c r="AG74" s="113"/>
      <c r="AH74" s="113">
        <v>0</v>
      </c>
      <c r="AI74" s="113">
        <v>0</v>
      </c>
      <c r="AJ74" s="113">
        <v>0</v>
      </c>
      <c r="AK74" s="113">
        <f t="shared" si="7"/>
        <v>0</v>
      </c>
      <c r="AM74" s="214"/>
    </row>
    <row r="75" spans="1:39" x14ac:dyDescent="0.3">
      <c r="A75" s="109" t="str">
        <f t="shared" si="6"/>
        <v>debit    6666020302  Communication Expenses</v>
      </c>
      <c r="B75" s="112" t="s">
        <v>269</v>
      </c>
      <c r="C75" s="113">
        <f>IFERROR(VLOOKUP($A75,MTD!$A$13:$D$1048576,3,0),0)</f>
        <v>0</v>
      </c>
      <c r="D75" s="113">
        <f>IFERROR(VLOOKUP($A75,MTD!$A$13:$D$1048576,4,0),0)</f>
        <v>603.02</v>
      </c>
      <c r="E75" s="113"/>
      <c r="F75" s="113"/>
      <c r="G75" s="112" t="s">
        <v>269</v>
      </c>
      <c r="H75" s="114">
        <v>0</v>
      </c>
      <c r="I75" s="114">
        <v>0</v>
      </c>
      <c r="J75" s="115">
        <v>0</v>
      </c>
      <c r="K75" s="113">
        <v>0</v>
      </c>
      <c r="P75" s="112" t="s">
        <v>269</v>
      </c>
      <c r="Q75" s="113">
        <f>IFERROR(VLOOKUP($A75,YTD!$A$13:$D$1048576,3,0),0)</f>
        <v>2217.36</v>
      </c>
      <c r="R75" s="113">
        <f>IFERROR(VLOOKUP($A75,YTD!$A$13:$D$1048576,4,0),0)</f>
        <v>7206.84</v>
      </c>
      <c r="S75" s="113"/>
      <c r="T75" s="113"/>
      <c r="U75" s="112" t="s">
        <v>269</v>
      </c>
      <c r="V75" s="114">
        <v>0</v>
      </c>
      <c r="W75" s="114">
        <v>0</v>
      </c>
      <c r="X75" s="115">
        <v>0</v>
      </c>
      <c r="Y75" s="113">
        <v>0</v>
      </c>
      <c r="Z75" s="113">
        <v>1103.58</v>
      </c>
      <c r="AA75" s="113">
        <v>474.6</v>
      </c>
      <c r="AB75" s="113">
        <v>639.17999999999995</v>
      </c>
      <c r="AC75" s="113">
        <v>0</v>
      </c>
      <c r="AD75" s="113">
        <v>0</v>
      </c>
      <c r="AE75" s="113">
        <v>0</v>
      </c>
      <c r="AF75" s="113">
        <v>0</v>
      </c>
      <c r="AG75" s="113">
        <v>0</v>
      </c>
      <c r="AH75" s="113">
        <v>0</v>
      </c>
      <c r="AI75" s="113">
        <v>0</v>
      </c>
      <c r="AJ75" s="113">
        <v>0</v>
      </c>
      <c r="AK75" s="113">
        <f t="shared" si="7"/>
        <v>0</v>
      </c>
      <c r="AM75" s="214"/>
    </row>
    <row r="76" spans="1:39" x14ac:dyDescent="0.3">
      <c r="A76" s="109" t="str">
        <f>"debit"&amp;B76</f>
        <v>debit    6666020403  Company car expense</v>
      </c>
      <c r="B76" s="112" t="s">
        <v>270</v>
      </c>
      <c r="C76" s="113"/>
      <c r="D76" s="113"/>
      <c r="E76" s="113"/>
      <c r="F76" s="113"/>
      <c r="G76" s="112" t="s">
        <v>270</v>
      </c>
      <c r="H76" s="114"/>
      <c r="I76" s="114"/>
      <c r="J76" s="115"/>
      <c r="K76" s="113"/>
      <c r="P76" s="112" t="s">
        <v>270</v>
      </c>
      <c r="Q76" s="113">
        <f>IFERROR(VLOOKUP($A76,YTD!$A$13:$D$1048576,3,0),0)</f>
        <v>14.06</v>
      </c>
      <c r="R76" s="113">
        <f>IFERROR(VLOOKUP($A76,YTD!$A$13:$D$1048576,4,0),0)</f>
        <v>0</v>
      </c>
      <c r="S76" s="113"/>
      <c r="T76" s="113"/>
      <c r="U76" s="112" t="s">
        <v>270</v>
      </c>
      <c r="V76" s="114"/>
      <c r="W76" s="114"/>
      <c r="X76" s="115"/>
      <c r="Y76" s="113"/>
      <c r="Z76" s="215"/>
      <c r="AA76" s="215"/>
      <c r="AB76" s="215"/>
      <c r="AC76" s="113"/>
      <c r="AD76" s="113"/>
      <c r="AE76" s="113">
        <v>0</v>
      </c>
      <c r="AF76" s="113">
        <v>0</v>
      </c>
      <c r="AG76" s="113">
        <v>0</v>
      </c>
      <c r="AH76" s="113">
        <v>0</v>
      </c>
      <c r="AI76" s="113">
        <v>0</v>
      </c>
      <c r="AJ76" s="113">
        <v>0</v>
      </c>
      <c r="AK76" s="113">
        <f t="shared" si="7"/>
        <v>0</v>
      </c>
      <c r="AM76" s="214"/>
    </row>
    <row r="77" spans="1:39" x14ac:dyDescent="0.3">
      <c r="A77" s="109" t="str">
        <f t="shared" si="6"/>
        <v>debit    6666020405  Company car expense - maintenance fees</v>
      </c>
      <c r="B77" s="112" t="s">
        <v>271</v>
      </c>
      <c r="C77" s="113">
        <f>IFERROR(VLOOKUP($A77,MTD!$A$13:$D$1048576,3,0),0)</f>
        <v>0</v>
      </c>
      <c r="D77" s="116">
        <f>IFERROR(VLOOKUP($A77,MTD!$A$13:$D$1048576,4,0),0)</f>
        <v>0</v>
      </c>
      <c r="E77" s="113"/>
      <c r="F77" s="113"/>
      <c r="G77" s="112" t="s">
        <v>271</v>
      </c>
      <c r="H77" s="114">
        <v>0</v>
      </c>
      <c r="I77" s="114">
        <v>0</v>
      </c>
      <c r="J77" s="115">
        <v>0</v>
      </c>
      <c r="K77" s="113">
        <v>0</v>
      </c>
      <c r="P77" s="112" t="s">
        <v>271</v>
      </c>
      <c r="Q77" s="113">
        <f>IFERROR(VLOOKUP($A77,YTD!$A$13:$D$1048576,3,0),0)</f>
        <v>0</v>
      </c>
      <c r="R77" s="116">
        <f>IFERROR(VLOOKUP($A77,YTD!$A$13:$D$1048576,4,0),0)</f>
        <v>0</v>
      </c>
      <c r="S77" s="113"/>
      <c r="T77" s="113"/>
      <c r="U77" s="112" t="s">
        <v>271</v>
      </c>
      <c r="V77" s="114">
        <v>0</v>
      </c>
      <c r="W77" s="114">
        <v>0</v>
      </c>
      <c r="X77" s="115">
        <v>0</v>
      </c>
      <c r="Y77" s="113">
        <v>0</v>
      </c>
      <c r="Z77" s="113">
        <v>0</v>
      </c>
      <c r="AA77" s="113">
        <v>0</v>
      </c>
      <c r="AB77" s="113">
        <v>0</v>
      </c>
      <c r="AC77" s="113">
        <v>0</v>
      </c>
      <c r="AD77" s="113">
        <v>0</v>
      </c>
      <c r="AE77" s="113">
        <v>0</v>
      </c>
      <c r="AF77" s="113">
        <v>0</v>
      </c>
      <c r="AG77" s="113">
        <v>0</v>
      </c>
      <c r="AH77" s="113">
        <v>0</v>
      </c>
      <c r="AI77" s="113">
        <v>0</v>
      </c>
      <c r="AJ77" s="113">
        <v>0</v>
      </c>
      <c r="AK77" s="113">
        <f t="shared" si="7"/>
        <v>0</v>
      </c>
      <c r="AM77" s="214"/>
    </row>
    <row r="78" spans="1:39" x14ac:dyDescent="0.3">
      <c r="A78" s="109" t="str">
        <f t="shared" si="6"/>
        <v>debit    6666020504  Newspaper and Periodicals expenditure</v>
      </c>
      <c r="B78" s="112" t="s">
        <v>272</v>
      </c>
      <c r="C78" s="113">
        <f>IFERROR(VLOOKUP($A78,MTD!$A$13:$D$1048576,3,0),0)</f>
        <v>-463.88</v>
      </c>
      <c r="D78" s="113">
        <f>IFERROR(VLOOKUP($A78,MTD!$A$13:$D$1048576,4,0),0)</f>
        <v>168.98</v>
      </c>
      <c r="E78" s="113"/>
      <c r="F78" s="113"/>
      <c r="G78" s="112" t="s">
        <v>272</v>
      </c>
      <c r="H78" s="114">
        <v>0</v>
      </c>
      <c r="I78" s="114">
        <v>0</v>
      </c>
      <c r="J78" s="115">
        <v>0</v>
      </c>
      <c r="K78" s="113">
        <v>0</v>
      </c>
      <c r="P78" s="112" t="s">
        <v>272</v>
      </c>
      <c r="Q78" s="113">
        <f>IFERROR(VLOOKUP($A78,YTD!$A$13:$D$1048576,3,0),0)</f>
        <v>597.32000000000005</v>
      </c>
      <c r="R78" s="113">
        <f>IFERROR(VLOOKUP($A78,YTD!$A$13:$D$1048576,4,0),0)</f>
        <v>2027.76</v>
      </c>
      <c r="S78" s="113"/>
      <c r="T78" s="113"/>
      <c r="U78" s="112" t="s">
        <v>272</v>
      </c>
      <c r="V78" s="114">
        <v>0</v>
      </c>
      <c r="W78" s="114">
        <v>0</v>
      </c>
      <c r="X78" s="115">
        <v>0</v>
      </c>
      <c r="Y78" s="113">
        <v>0</v>
      </c>
      <c r="Z78" s="113">
        <v>0</v>
      </c>
      <c r="AA78" s="113">
        <v>0</v>
      </c>
      <c r="AB78" s="113">
        <v>0</v>
      </c>
      <c r="AC78" s="113">
        <v>0</v>
      </c>
      <c r="AD78" s="113">
        <v>0</v>
      </c>
      <c r="AE78" s="113">
        <v>0</v>
      </c>
      <c r="AF78" s="113">
        <v>187.52</v>
      </c>
      <c r="AG78" s="113">
        <v>409.8</v>
      </c>
      <c r="AH78" s="113">
        <v>155.76</v>
      </c>
      <c r="AI78" s="113">
        <v>157.1</v>
      </c>
      <c r="AJ78" s="113">
        <v>151.02000000000001</v>
      </c>
      <c r="AK78" s="113">
        <f t="shared" si="7"/>
        <v>-463.88</v>
      </c>
      <c r="AM78" s="214"/>
    </row>
    <row r="79" spans="1:39" x14ac:dyDescent="0.3">
      <c r="A79" s="109" t="str">
        <f t="shared" si="6"/>
        <v>debit    6666020508  Postage</v>
      </c>
      <c r="B79" s="112" t="s">
        <v>273</v>
      </c>
      <c r="C79" s="113">
        <f>IFERROR(VLOOKUP($A79,MTD!$A$13:$D$1048576,3,0),0)</f>
        <v>-2781.9</v>
      </c>
      <c r="D79" s="113">
        <f>IFERROR(VLOOKUP($A79,MTD!$A$13:$D$1048576,4,0),0)</f>
        <v>414.48</v>
      </c>
      <c r="E79" s="113"/>
      <c r="F79" s="113"/>
      <c r="G79" s="112" t="s">
        <v>273</v>
      </c>
      <c r="H79" s="114">
        <v>0</v>
      </c>
      <c r="I79" s="114">
        <v>0</v>
      </c>
      <c r="J79" s="115">
        <v>0</v>
      </c>
      <c r="K79" s="113">
        <v>0</v>
      </c>
      <c r="P79" s="112" t="s">
        <v>273</v>
      </c>
      <c r="Q79" s="113">
        <f>IFERROR(VLOOKUP($A79,YTD!$A$13:$D$1048576,3,0),0)</f>
        <v>654.16</v>
      </c>
      <c r="R79" s="113">
        <f>IFERROR(VLOOKUP($A79,YTD!$A$13:$D$1048576,4,0),0)</f>
        <v>4973.76</v>
      </c>
      <c r="S79" s="113"/>
      <c r="T79" s="113"/>
      <c r="U79" s="112" t="s">
        <v>273</v>
      </c>
      <c r="V79" s="114">
        <v>0</v>
      </c>
      <c r="W79" s="114">
        <v>0</v>
      </c>
      <c r="X79" s="115">
        <v>0</v>
      </c>
      <c r="Y79" s="113">
        <v>0</v>
      </c>
      <c r="Z79" s="113">
        <v>661.68</v>
      </c>
      <c r="AA79" s="113">
        <v>285.22000000000003</v>
      </c>
      <c r="AB79" s="113">
        <v>417.66</v>
      </c>
      <c r="AC79" s="113">
        <v>326.58</v>
      </c>
      <c r="AD79" s="113">
        <v>376.48</v>
      </c>
      <c r="AE79" s="113">
        <v>309.66000000000003</v>
      </c>
      <c r="AF79" s="113">
        <v>308.52</v>
      </c>
      <c r="AG79" s="113">
        <v>229.02</v>
      </c>
      <c r="AH79" s="113">
        <v>133.47999999999999</v>
      </c>
      <c r="AI79" s="113">
        <v>384.64</v>
      </c>
      <c r="AJ79" s="113">
        <v>3.12</v>
      </c>
      <c r="AK79" s="113">
        <f t="shared" si="7"/>
        <v>-2781.9</v>
      </c>
      <c r="AM79" s="214"/>
    </row>
    <row r="80" spans="1:39" x14ac:dyDescent="0.3">
      <c r="A80" s="109" t="str">
        <f t="shared" si="6"/>
        <v>debit    6666020602  Training costs Outside the group</v>
      </c>
      <c r="B80" s="112" t="s">
        <v>274</v>
      </c>
      <c r="C80" s="113">
        <f>IFERROR(VLOOKUP($A80,MTD!$A$13:$D$1048576,3,0),0)</f>
        <v>271.35000000000002</v>
      </c>
      <c r="D80" s="113">
        <f>IFERROR(VLOOKUP($A80,MTD!$A$13:$D$1048576,4,0),0)</f>
        <v>8623.0300000000007</v>
      </c>
      <c r="E80" s="113"/>
      <c r="F80" s="113"/>
      <c r="G80" s="112" t="s">
        <v>274</v>
      </c>
      <c r="H80" s="114">
        <v>0</v>
      </c>
      <c r="I80" s="114">
        <v>0</v>
      </c>
      <c r="J80" s="115">
        <v>0</v>
      </c>
      <c r="K80" s="113">
        <v>0</v>
      </c>
      <c r="P80" s="112" t="s">
        <v>274</v>
      </c>
      <c r="Q80" s="113">
        <f>IFERROR(VLOOKUP($A80,YTD!$A$13:$D$1048576,3,0),0)</f>
        <v>887.63</v>
      </c>
      <c r="R80" s="113">
        <f>IFERROR(VLOOKUP($A80,YTD!$A$13:$D$1048576,4,0),0)</f>
        <v>103406.51</v>
      </c>
      <c r="S80" s="113"/>
      <c r="T80" s="113"/>
      <c r="U80" s="112" t="s">
        <v>274</v>
      </c>
      <c r="V80" s="114">
        <v>0</v>
      </c>
      <c r="W80" s="114">
        <v>0</v>
      </c>
      <c r="X80" s="115">
        <v>0</v>
      </c>
      <c r="Y80" s="113">
        <v>0</v>
      </c>
      <c r="Z80" s="113">
        <v>0</v>
      </c>
      <c r="AA80" s="113">
        <v>0</v>
      </c>
      <c r="AB80" s="113">
        <v>97.88</v>
      </c>
      <c r="AC80" s="113">
        <v>7.56</v>
      </c>
      <c r="AD80" s="113">
        <v>0</v>
      </c>
      <c r="AE80" s="113">
        <v>406.66</v>
      </c>
      <c r="AF80" s="113">
        <v>79.680000000000007</v>
      </c>
      <c r="AG80" s="113">
        <v>0.22</v>
      </c>
      <c r="AH80" s="113">
        <v>0</v>
      </c>
      <c r="AI80" s="113">
        <v>576.34</v>
      </c>
      <c r="AJ80" s="113">
        <v>-552.05999999999995</v>
      </c>
      <c r="AK80" s="113">
        <f t="shared" si="7"/>
        <v>271.35000000000002</v>
      </c>
      <c r="AM80" s="214"/>
    </row>
    <row r="81" spans="1:39" x14ac:dyDescent="0.3">
      <c r="A81" s="109" t="str">
        <f t="shared" si="6"/>
        <v>debit    6666020701  Enterprise Property Insurance</v>
      </c>
      <c r="B81" s="112" t="s">
        <v>275</v>
      </c>
      <c r="C81" s="113">
        <f>IFERROR(VLOOKUP($A81,MTD!$A$13:$D$1048576,3,0),0)</f>
        <v>0</v>
      </c>
      <c r="D81" s="116">
        <f>IFERROR(VLOOKUP($A81,MTD!$A$13:$D$1048576,4,0),0)</f>
        <v>0</v>
      </c>
      <c r="E81" s="113"/>
      <c r="F81" s="113"/>
      <c r="G81" s="112" t="s">
        <v>275</v>
      </c>
      <c r="H81" s="114">
        <v>0</v>
      </c>
      <c r="I81" s="114">
        <v>0</v>
      </c>
      <c r="J81" s="115">
        <v>0</v>
      </c>
      <c r="K81" s="113">
        <v>0</v>
      </c>
      <c r="P81" s="112" t="s">
        <v>275</v>
      </c>
      <c r="Q81" s="113">
        <f>IFERROR(VLOOKUP($A81,YTD!$A$13:$D$1048576,3,0),0)</f>
        <v>0</v>
      </c>
      <c r="R81" s="116">
        <f>IFERROR(VLOOKUP($A81,YTD!$A$13:$D$1048576,4,0),0)</f>
        <v>0</v>
      </c>
      <c r="S81" s="113"/>
      <c r="T81" s="113"/>
      <c r="U81" s="112" t="s">
        <v>275</v>
      </c>
      <c r="V81" s="114">
        <v>0</v>
      </c>
      <c r="W81" s="114">
        <v>0</v>
      </c>
      <c r="X81" s="115">
        <v>0</v>
      </c>
      <c r="Y81" s="113">
        <v>0</v>
      </c>
      <c r="Z81" s="113">
        <v>0</v>
      </c>
      <c r="AA81" s="113">
        <v>0</v>
      </c>
      <c r="AB81" s="113">
        <v>0</v>
      </c>
      <c r="AC81" s="113">
        <v>0</v>
      </c>
      <c r="AD81" s="113">
        <v>0</v>
      </c>
      <c r="AE81" s="113">
        <v>0</v>
      </c>
      <c r="AF81" s="113">
        <v>0</v>
      </c>
      <c r="AG81" s="113">
        <v>0</v>
      </c>
      <c r="AH81" s="113">
        <v>0</v>
      </c>
      <c r="AI81" s="113">
        <v>0</v>
      </c>
      <c r="AJ81" s="113">
        <v>0</v>
      </c>
      <c r="AK81" s="113">
        <f t="shared" si="7"/>
        <v>0</v>
      </c>
      <c r="AM81" s="214"/>
    </row>
    <row r="82" spans="1:39" x14ac:dyDescent="0.3">
      <c r="A82" s="109" t="str">
        <f t="shared" si="6"/>
        <v>debit    6666020802  Equipment rental cost</v>
      </c>
      <c r="B82" s="112" t="s">
        <v>276</v>
      </c>
      <c r="C82" s="113">
        <f>IFERROR(VLOOKUP($A82,MTD!$A$13:$D$1048576,3,0),0)</f>
        <v>23864.86</v>
      </c>
      <c r="D82" s="113">
        <f>IFERROR(VLOOKUP($A82,MTD!$A$13:$D$1048576,4,0),0)</f>
        <v>37098.519999999997</v>
      </c>
      <c r="E82" s="113"/>
      <c r="F82" s="113"/>
      <c r="G82" s="112" t="s">
        <v>276</v>
      </c>
      <c r="H82" s="114">
        <v>0</v>
      </c>
      <c r="I82" s="114">
        <v>0</v>
      </c>
      <c r="J82" s="115">
        <v>0</v>
      </c>
      <c r="K82" s="113">
        <v>0</v>
      </c>
      <c r="P82" s="112" t="s">
        <v>276</v>
      </c>
      <c r="Q82" s="113">
        <f>IFERROR(VLOOKUP($A82,YTD!$A$13:$D$1048576,3,0),0)</f>
        <v>284725.03000000003</v>
      </c>
      <c r="R82" s="113">
        <f>IFERROR(VLOOKUP($A82,YTD!$A$13:$D$1048576,4,0),0)</f>
        <v>403077.04</v>
      </c>
      <c r="S82" s="113"/>
      <c r="T82" s="113"/>
      <c r="U82" s="112" t="s">
        <v>276</v>
      </c>
      <c r="V82" s="114">
        <v>0</v>
      </c>
      <c r="W82" s="114">
        <v>0</v>
      </c>
      <c r="X82" s="115">
        <v>0</v>
      </c>
      <c r="Y82" s="113">
        <v>0</v>
      </c>
      <c r="Z82" s="113">
        <v>25195.9</v>
      </c>
      <c r="AA82" s="113">
        <v>23156.02</v>
      </c>
      <c r="AB82" s="113">
        <v>23270</v>
      </c>
      <c r="AC82" s="113">
        <v>23270</v>
      </c>
      <c r="AD82" s="113">
        <v>23270</v>
      </c>
      <c r="AE82" s="113">
        <v>25124.44</v>
      </c>
      <c r="AF82" s="113">
        <v>23253.54</v>
      </c>
      <c r="AG82" s="113">
        <v>21670</v>
      </c>
      <c r="AH82" s="113">
        <v>23305.13</v>
      </c>
      <c r="AI82" s="113">
        <v>26720.62</v>
      </c>
      <c r="AJ82" s="113">
        <v>22624.52</v>
      </c>
      <c r="AK82" s="113">
        <f t="shared" si="7"/>
        <v>23864.86</v>
      </c>
      <c r="AM82" s="214"/>
    </row>
    <row r="83" spans="1:39" x14ac:dyDescent="0.3">
      <c r="A83" s="109" t="str">
        <f t="shared" si="6"/>
        <v>debit    6666020803  Car rental cost</v>
      </c>
      <c r="B83" s="112" t="s">
        <v>277</v>
      </c>
      <c r="C83" s="113">
        <f>IFERROR(VLOOKUP($A83,MTD!$A$13:$D$1048576,3,0),0)</f>
        <v>-1184.03</v>
      </c>
      <c r="D83" s="113">
        <f>IFERROR(VLOOKUP($A83,MTD!$A$13:$D$1048576,4,0),0)</f>
        <v>8535.82</v>
      </c>
      <c r="E83" s="113"/>
      <c r="F83" s="113"/>
      <c r="G83" s="112" t="s">
        <v>277</v>
      </c>
      <c r="H83" s="114">
        <v>0</v>
      </c>
      <c r="I83" s="114">
        <v>0</v>
      </c>
      <c r="J83" s="115">
        <v>0</v>
      </c>
      <c r="K83" s="113">
        <v>0</v>
      </c>
      <c r="P83" s="112" t="s">
        <v>277</v>
      </c>
      <c r="Q83" s="113">
        <f>IFERROR(VLOOKUP($A83,YTD!$A$13:$D$1048576,3,0),0)</f>
        <v>103456.31</v>
      </c>
      <c r="R83" s="113">
        <f>IFERROR(VLOOKUP($A83,YTD!$A$13:$D$1048576,4,0),0)</f>
        <v>101929.89</v>
      </c>
      <c r="S83" s="113"/>
      <c r="T83" s="113"/>
      <c r="U83" s="112" t="s">
        <v>277</v>
      </c>
      <c r="V83" s="114">
        <v>0</v>
      </c>
      <c r="W83" s="114">
        <v>0</v>
      </c>
      <c r="X83" s="115">
        <v>0</v>
      </c>
      <c r="Y83" s="113">
        <v>0</v>
      </c>
      <c r="Z83" s="113">
        <v>10249.84</v>
      </c>
      <c r="AA83" s="113">
        <v>9865.61</v>
      </c>
      <c r="AB83" s="113">
        <v>10302.879999999999</v>
      </c>
      <c r="AC83" s="113">
        <v>8263.58</v>
      </c>
      <c r="AD83" s="113">
        <v>9214.14</v>
      </c>
      <c r="AE83" s="113">
        <v>7842</v>
      </c>
      <c r="AF83" s="113">
        <v>7965.17</v>
      </c>
      <c r="AG83" s="113">
        <v>11993.7</v>
      </c>
      <c r="AH83" s="113">
        <v>7761.88</v>
      </c>
      <c r="AI83" s="113">
        <v>14376.68</v>
      </c>
      <c r="AJ83" s="113">
        <v>6804.86</v>
      </c>
      <c r="AK83" s="113">
        <f t="shared" si="7"/>
        <v>-1184.03</v>
      </c>
      <c r="AM83" s="214"/>
    </row>
    <row r="84" spans="1:39" x14ac:dyDescent="0.3">
      <c r="A84" s="109" t="str">
        <f t="shared" si="6"/>
        <v>debit    6666021100  Consulting fees</v>
      </c>
      <c r="B84" s="112" t="s">
        <v>278</v>
      </c>
      <c r="C84" s="113">
        <f>IFERROR(VLOOKUP($A84,MTD!$A$13:$D$1048576,3,0),0)</f>
        <v>-6831.4</v>
      </c>
      <c r="D84" s="113">
        <f>IFERROR(VLOOKUP($A84,MTD!$A$13:$D$1048576,4,0),0)</f>
        <v>24854.78</v>
      </c>
      <c r="E84" s="113"/>
      <c r="F84" s="113"/>
      <c r="G84" s="112" t="s">
        <v>278</v>
      </c>
      <c r="H84" s="114">
        <v>0</v>
      </c>
      <c r="I84" s="114">
        <v>0</v>
      </c>
      <c r="J84" s="115">
        <v>0</v>
      </c>
      <c r="K84" s="113">
        <v>0</v>
      </c>
      <c r="P84" s="112" t="s">
        <v>278</v>
      </c>
      <c r="Q84" s="113">
        <f>IFERROR(VLOOKUP($A84,YTD!$A$13:$D$1048576,3,0),0)</f>
        <v>209322.45</v>
      </c>
      <c r="R84" s="113">
        <f>IFERROR(VLOOKUP($A84,YTD!$A$13:$D$1048576,4,0),0)</f>
        <v>297253.76000000001</v>
      </c>
      <c r="S84" s="113"/>
      <c r="T84" s="113"/>
      <c r="U84" s="112" t="s">
        <v>278</v>
      </c>
      <c r="V84" s="114">
        <v>0</v>
      </c>
      <c r="W84" s="114">
        <v>0</v>
      </c>
      <c r="X84" s="115">
        <v>0</v>
      </c>
      <c r="Y84" s="113">
        <v>0</v>
      </c>
      <c r="Z84" s="113">
        <v>28142.18</v>
      </c>
      <c r="AA84" s="113">
        <v>28428.3</v>
      </c>
      <c r="AB84" s="113">
        <v>21171.78</v>
      </c>
      <c r="AC84" s="113">
        <v>18680.060000000001</v>
      </c>
      <c r="AD84" s="113">
        <v>19459.04</v>
      </c>
      <c r="AE84" s="113">
        <v>17154.38</v>
      </c>
      <c r="AF84" s="113">
        <v>17600.060000000001</v>
      </c>
      <c r="AG84" s="113">
        <v>16881.900000000001</v>
      </c>
      <c r="AH84" s="113">
        <v>16885.45</v>
      </c>
      <c r="AI84" s="113">
        <v>17327.8</v>
      </c>
      <c r="AJ84" s="113">
        <v>14422.9</v>
      </c>
      <c r="AK84" s="113">
        <f t="shared" si="7"/>
        <v>-6831.4</v>
      </c>
      <c r="AM84" s="214"/>
    </row>
    <row r="85" spans="1:39" x14ac:dyDescent="0.3">
      <c r="A85" s="109" t="str">
        <f t="shared" si="6"/>
        <v>debit    6666021902  Cleaning fees</v>
      </c>
      <c r="B85" s="112" t="s">
        <v>279</v>
      </c>
      <c r="C85" s="113">
        <f>IFERROR(VLOOKUP($A85,MTD!$A$13:$D$1048576,3,0),0)</f>
        <v>15041.11</v>
      </c>
      <c r="D85" s="113">
        <f>IFERROR(VLOOKUP($A85,MTD!$A$13:$D$1048576,4,0),0)</f>
        <v>21742.2</v>
      </c>
      <c r="E85" s="113"/>
      <c r="F85" s="113"/>
      <c r="G85" s="112" t="s">
        <v>279</v>
      </c>
      <c r="H85" s="114">
        <v>0</v>
      </c>
      <c r="I85" s="114">
        <v>0</v>
      </c>
      <c r="J85" s="115">
        <v>0</v>
      </c>
      <c r="K85" s="113">
        <v>0</v>
      </c>
      <c r="P85" s="112" t="s">
        <v>279</v>
      </c>
      <c r="Q85" s="113">
        <f>IFERROR(VLOOKUP($A85,YTD!$A$13:$D$1048576,3,0),0)</f>
        <v>207841.02</v>
      </c>
      <c r="R85" s="113">
        <f>IFERROR(VLOOKUP($A85,YTD!$A$13:$D$1048576,4,0),0)</f>
        <v>260906.4</v>
      </c>
      <c r="S85" s="113"/>
      <c r="T85" s="113"/>
      <c r="U85" s="112" t="s">
        <v>279</v>
      </c>
      <c r="V85" s="114">
        <v>0</v>
      </c>
      <c r="W85" s="114">
        <v>0</v>
      </c>
      <c r="X85" s="115">
        <v>0</v>
      </c>
      <c r="Y85" s="113">
        <v>0</v>
      </c>
      <c r="Z85" s="113">
        <v>20192.580000000002</v>
      </c>
      <c r="AA85" s="113">
        <v>20847.09</v>
      </c>
      <c r="AB85" s="113">
        <v>28332.69</v>
      </c>
      <c r="AC85" s="113">
        <v>17626.16</v>
      </c>
      <c r="AD85" s="113">
        <v>16176.88</v>
      </c>
      <c r="AE85" s="113">
        <v>13898.58</v>
      </c>
      <c r="AF85" s="113">
        <v>12470.51</v>
      </c>
      <c r="AG85" s="113">
        <v>16073.65</v>
      </c>
      <c r="AH85" s="113">
        <v>16504.66</v>
      </c>
      <c r="AI85" s="113">
        <v>16465.849999999999</v>
      </c>
      <c r="AJ85" s="113">
        <v>14211.26</v>
      </c>
      <c r="AK85" s="113">
        <f t="shared" si="7"/>
        <v>15041.11</v>
      </c>
      <c r="AM85" s="214"/>
    </row>
    <row r="86" spans="1:39" x14ac:dyDescent="0.3">
      <c r="A86" s="109" t="str">
        <f t="shared" si="6"/>
        <v>debit    6666022100  Security</v>
      </c>
      <c r="B86" s="112" t="s">
        <v>280</v>
      </c>
      <c r="C86" s="113">
        <f>IFERROR(VLOOKUP($A86,MTD!$A$13:$D$1048576,3,0),0)</f>
        <v>7492.8</v>
      </c>
      <c r="D86" s="113">
        <f>IFERROR(VLOOKUP($A86,MTD!$A$13:$D$1048576,4,0),0)</f>
        <v>16092.62</v>
      </c>
      <c r="E86" s="113"/>
      <c r="F86" s="113"/>
      <c r="G86" s="112" t="s">
        <v>280</v>
      </c>
      <c r="H86" s="114">
        <v>0</v>
      </c>
      <c r="I86" s="114">
        <v>0</v>
      </c>
      <c r="J86" s="115">
        <v>0</v>
      </c>
      <c r="K86" s="113">
        <v>0</v>
      </c>
      <c r="P86" s="112" t="s">
        <v>280</v>
      </c>
      <c r="Q86" s="113">
        <f>IFERROR(VLOOKUP($A86,YTD!$A$13:$D$1048576,3,0),0)</f>
        <v>106658.66</v>
      </c>
      <c r="R86" s="113">
        <f>IFERROR(VLOOKUP($A86,YTD!$A$13:$D$1048576,4,0),0)</f>
        <v>193111.44</v>
      </c>
      <c r="S86" s="113"/>
      <c r="T86" s="113"/>
      <c r="U86" s="112" t="s">
        <v>280</v>
      </c>
      <c r="V86" s="114">
        <v>0</v>
      </c>
      <c r="W86" s="114">
        <v>0</v>
      </c>
      <c r="X86" s="115">
        <v>0</v>
      </c>
      <c r="Y86" s="113">
        <v>0</v>
      </c>
      <c r="Z86" s="113">
        <v>12175.02</v>
      </c>
      <c r="AA86" s="113">
        <v>10018.620000000001</v>
      </c>
      <c r="AB86" s="113">
        <v>12439.36</v>
      </c>
      <c r="AC86" s="113">
        <v>9585.74</v>
      </c>
      <c r="AD86" s="113">
        <v>9937.34</v>
      </c>
      <c r="AE86" s="113">
        <v>9841.14</v>
      </c>
      <c r="AF86" s="113">
        <v>7999.58</v>
      </c>
      <c r="AG86" s="113">
        <v>6232.98</v>
      </c>
      <c r="AH86" s="113">
        <v>6062.08</v>
      </c>
      <c r="AI86" s="113">
        <v>7421.6</v>
      </c>
      <c r="AJ86" s="113">
        <v>7452.4</v>
      </c>
      <c r="AK86" s="113">
        <f t="shared" si="7"/>
        <v>7492.8</v>
      </c>
      <c r="AM86" s="214"/>
    </row>
    <row r="87" spans="1:39" x14ac:dyDescent="0.3">
      <c r="A87" s="109" t="str">
        <f t="shared" si="6"/>
        <v>debit    6666022300  Association dues</v>
      </c>
      <c r="B87" s="112" t="s">
        <v>281</v>
      </c>
      <c r="C87" s="113">
        <f>IFERROR(VLOOKUP($A87,MTD!$A$13:$D$1048576,3,0),0)</f>
        <v>0</v>
      </c>
      <c r="D87" s="116">
        <f>IFERROR(VLOOKUP($A87,MTD!$A$13:$D$1048576,4,0),0)</f>
        <v>0</v>
      </c>
      <c r="E87" s="113"/>
      <c r="F87" s="113"/>
      <c r="G87" s="112" t="s">
        <v>281</v>
      </c>
      <c r="H87" s="114">
        <v>0</v>
      </c>
      <c r="I87" s="114">
        <v>0</v>
      </c>
      <c r="J87" s="115">
        <v>0</v>
      </c>
      <c r="K87" s="113">
        <v>0</v>
      </c>
      <c r="P87" s="112" t="s">
        <v>281</v>
      </c>
      <c r="Q87" s="113">
        <f>IFERROR(VLOOKUP($A87,YTD!$A$13:$D$1048576,3,0),0)</f>
        <v>0</v>
      </c>
      <c r="R87" s="116">
        <f>IFERROR(VLOOKUP($A87,YTD!$A$13:$D$1048576,4,0),0)</f>
        <v>0</v>
      </c>
      <c r="S87" s="113"/>
      <c r="T87" s="113"/>
      <c r="U87" s="112" t="s">
        <v>281</v>
      </c>
      <c r="V87" s="114">
        <v>0</v>
      </c>
      <c r="W87" s="114">
        <v>0</v>
      </c>
      <c r="X87" s="115">
        <v>0</v>
      </c>
      <c r="Y87" s="113">
        <v>0</v>
      </c>
      <c r="Z87" s="113">
        <v>0</v>
      </c>
      <c r="AA87" s="113">
        <v>0</v>
      </c>
      <c r="AB87" s="113">
        <v>0</v>
      </c>
      <c r="AC87" s="113">
        <v>0</v>
      </c>
      <c r="AD87" s="113">
        <v>0</v>
      </c>
      <c r="AE87" s="113">
        <v>0</v>
      </c>
      <c r="AF87" s="113">
        <v>0</v>
      </c>
      <c r="AG87" s="113">
        <v>0</v>
      </c>
      <c r="AH87" s="113">
        <v>0</v>
      </c>
      <c r="AI87" s="113">
        <v>0</v>
      </c>
      <c r="AJ87" s="113">
        <v>0</v>
      </c>
      <c r="AK87" s="113">
        <f t="shared" si="7"/>
        <v>0</v>
      </c>
      <c r="AM87" s="214"/>
    </row>
    <row r="88" spans="1:39" x14ac:dyDescent="0.3">
      <c r="A88" s="109" t="str">
        <f t="shared" si="6"/>
        <v>debit    6666029900  Sundry Expenses</v>
      </c>
      <c r="B88" s="112" t="s">
        <v>282</v>
      </c>
      <c r="C88" s="116">
        <f>IFERROR(VLOOKUP($A88,MTD!$A$13:$D$1048576,3,0),0)</f>
        <v>0</v>
      </c>
      <c r="D88" s="116">
        <f>IFERROR(VLOOKUP($A88,MTD!$A$13:$D$1048576,4,0),0)</f>
        <v>0</v>
      </c>
      <c r="E88" s="113"/>
      <c r="F88" s="113"/>
      <c r="G88" s="112" t="s">
        <v>282</v>
      </c>
      <c r="H88" s="114">
        <v>0</v>
      </c>
      <c r="I88" s="114">
        <v>0</v>
      </c>
      <c r="J88" s="115">
        <v>0</v>
      </c>
      <c r="K88" s="113">
        <v>0</v>
      </c>
      <c r="P88" s="112" t="s">
        <v>282</v>
      </c>
      <c r="Q88" s="116">
        <f>IFERROR(VLOOKUP($A88,YTD!$A$13:$D$1048576,3,0),0)</f>
        <v>10153.23</v>
      </c>
      <c r="R88" s="116">
        <f>IFERROR(VLOOKUP($A88,YTD!$A$13:$D$1048576,4,0),0)</f>
        <v>0</v>
      </c>
      <c r="S88" s="113"/>
      <c r="T88" s="113"/>
      <c r="U88" s="112" t="s">
        <v>282</v>
      </c>
      <c r="V88" s="114">
        <v>0</v>
      </c>
      <c r="W88" s="114">
        <v>0</v>
      </c>
      <c r="X88" s="115">
        <v>0</v>
      </c>
      <c r="Y88" s="113">
        <v>0</v>
      </c>
      <c r="Z88" s="113">
        <v>0</v>
      </c>
      <c r="AA88" s="113">
        <v>0</v>
      </c>
      <c r="AB88" s="113">
        <v>0</v>
      </c>
      <c r="AC88" s="113">
        <v>3920.7</v>
      </c>
      <c r="AD88" s="113">
        <v>103.1</v>
      </c>
      <c r="AE88" s="113">
        <v>288.79000000000002</v>
      </c>
      <c r="AF88" s="113">
        <v>5840.64</v>
      </c>
      <c r="AG88" s="113">
        <v>0</v>
      </c>
      <c r="AH88" s="113">
        <v>0</v>
      </c>
      <c r="AI88" s="113">
        <v>0</v>
      </c>
      <c r="AJ88" s="113">
        <v>0</v>
      </c>
      <c r="AK88" s="113">
        <f t="shared" si="7"/>
        <v>0</v>
      </c>
      <c r="AM88" s="214"/>
    </row>
    <row r="89" spans="1:39" x14ac:dyDescent="0.3">
      <c r="A89" s="109" t="str">
        <f t="shared" si="6"/>
        <v>debit    6666029997  restructure cost</v>
      </c>
      <c r="B89" s="112" t="s">
        <v>283</v>
      </c>
      <c r="C89" s="113">
        <f>IFERROR(VLOOKUP($A89,MTD!$A$13:$D$1048576,3,0),0)</f>
        <v>0</v>
      </c>
      <c r="D89" s="113">
        <f>IFERROR(VLOOKUP($A89,MTD!$A$13:$D$1048576,4,0),0)</f>
        <v>889.68</v>
      </c>
      <c r="E89" s="113"/>
      <c r="F89" s="113"/>
      <c r="G89" s="112" t="s">
        <v>283</v>
      </c>
      <c r="H89" s="114">
        <v>0</v>
      </c>
      <c r="I89" s="114">
        <v>0</v>
      </c>
      <c r="J89" s="115">
        <v>0</v>
      </c>
      <c r="K89" s="113">
        <v>0</v>
      </c>
      <c r="P89" s="112" t="s">
        <v>283</v>
      </c>
      <c r="Q89" s="113">
        <f>IFERROR(VLOOKUP($A89,YTD!$A$13:$D$1048576,3,0),0)</f>
        <v>29510.78</v>
      </c>
      <c r="R89" s="113">
        <f>IFERROR(VLOOKUP($A89,YTD!$A$13:$D$1048576,4,0),0)</f>
        <v>10676.16</v>
      </c>
      <c r="S89" s="113"/>
      <c r="T89" s="113"/>
      <c r="U89" s="112" t="s">
        <v>283</v>
      </c>
      <c r="V89" s="114">
        <v>0</v>
      </c>
      <c r="W89" s="114">
        <v>0</v>
      </c>
      <c r="X89" s="115">
        <v>0</v>
      </c>
      <c r="Y89" s="113">
        <v>0</v>
      </c>
      <c r="Z89" s="113">
        <v>1073.3800000000001</v>
      </c>
      <c r="AA89" s="113">
        <v>1030.8599999999999</v>
      </c>
      <c r="AB89" s="113">
        <v>819.82</v>
      </c>
      <c r="AC89" s="113">
        <v>732.46</v>
      </c>
      <c r="AD89" s="113">
        <v>15013.52</v>
      </c>
      <c r="AE89" s="113">
        <v>658.9</v>
      </c>
      <c r="AF89" s="113">
        <v>832.04</v>
      </c>
      <c r="AG89" s="113">
        <v>687.34</v>
      </c>
      <c r="AH89" s="113">
        <v>3652.48</v>
      </c>
      <c r="AI89" s="113">
        <v>824.32</v>
      </c>
      <c r="AJ89" s="113">
        <v>4185.66</v>
      </c>
      <c r="AK89" s="113">
        <f t="shared" si="7"/>
        <v>0</v>
      </c>
      <c r="AM89" s="214"/>
    </row>
    <row r="90" spans="1:39" x14ac:dyDescent="0.3">
      <c r="A90" s="109" t="str">
        <f t="shared" si="6"/>
        <v>debit    6666030300  Design and development fees</v>
      </c>
      <c r="B90" s="112" t="s">
        <v>284</v>
      </c>
      <c r="C90" s="113">
        <f>IFERROR(VLOOKUP($A90,MTD!$A$13:$D$1048576,3,0),0)</f>
        <v>0</v>
      </c>
      <c r="D90" s="116">
        <f>IFERROR(VLOOKUP($A90,MTD!$A$13:$D$1048576,4,0),0)</f>
        <v>0</v>
      </c>
      <c r="E90" s="113"/>
      <c r="F90" s="113"/>
      <c r="G90" s="112" t="s">
        <v>284</v>
      </c>
      <c r="H90" s="114">
        <v>0</v>
      </c>
      <c r="I90" s="114">
        <v>0</v>
      </c>
      <c r="J90" s="115">
        <v>0</v>
      </c>
      <c r="K90" s="113">
        <v>0</v>
      </c>
      <c r="P90" s="112" t="s">
        <v>284</v>
      </c>
      <c r="Q90" s="113">
        <f>IFERROR(VLOOKUP($A90,YTD!$A$13:$D$1048576,3,0),0)</f>
        <v>0</v>
      </c>
      <c r="R90" s="116">
        <f>IFERROR(VLOOKUP($A90,YTD!$A$13:$D$1048576,4,0),0)</f>
        <v>0</v>
      </c>
      <c r="S90" s="113"/>
      <c r="T90" s="113"/>
      <c r="U90" s="112" t="s">
        <v>284</v>
      </c>
      <c r="V90" s="114">
        <v>0</v>
      </c>
      <c r="W90" s="114">
        <v>0</v>
      </c>
      <c r="X90" s="115">
        <v>0</v>
      </c>
      <c r="Y90" s="113">
        <v>0</v>
      </c>
      <c r="Z90" s="113">
        <v>0</v>
      </c>
      <c r="AA90" s="113">
        <v>0</v>
      </c>
      <c r="AB90" s="113">
        <v>0</v>
      </c>
      <c r="AC90" s="113">
        <v>0</v>
      </c>
      <c r="AD90" s="113">
        <v>0</v>
      </c>
      <c r="AE90" s="113">
        <v>0</v>
      </c>
      <c r="AF90" s="113">
        <v>0</v>
      </c>
      <c r="AG90" s="113">
        <v>0</v>
      </c>
      <c r="AH90" s="113">
        <v>0</v>
      </c>
      <c r="AI90" s="113">
        <v>0</v>
      </c>
      <c r="AJ90" s="113">
        <v>0</v>
      </c>
      <c r="AK90" s="113">
        <f t="shared" si="7"/>
        <v>0</v>
      </c>
      <c r="AM90" s="214"/>
    </row>
    <row r="91" spans="1:39" x14ac:dyDescent="0.3">
      <c r="A91" s="109" t="str">
        <f t="shared" si="6"/>
        <v>debit    6666030702  R&amp;D prototype purchased</v>
      </c>
      <c r="B91" s="112" t="s">
        <v>285</v>
      </c>
      <c r="C91" s="113">
        <f>IFERROR(VLOOKUP($A91,MTD!$A$13:$D$1048576,3,0),0)</f>
        <v>0</v>
      </c>
      <c r="D91" s="116">
        <f>IFERROR(VLOOKUP($A91,MTD!$A$13:$D$1048576,4,0),0)</f>
        <v>0</v>
      </c>
      <c r="E91" s="113"/>
      <c r="F91" s="113"/>
      <c r="G91" s="112" t="s">
        <v>285</v>
      </c>
      <c r="H91" s="114">
        <v>0</v>
      </c>
      <c r="I91" s="114">
        <v>0</v>
      </c>
      <c r="J91" s="115">
        <v>0</v>
      </c>
      <c r="K91" s="113">
        <v>0</v>
      </c>
      <c r="P91" s="112" t="s">
        <v>285</v>
      </c>
      <c r="Q91" s="113">
        <f>IFERROR(VLOOKUP($A91,YTD!$A$13:$D$1048576,3,0),0)</f>
        <v>0</v>
      </c>
      <c r="R91" s="116">
        <f>IFERROR(VLOOKUP($A91,YTD!$A$13:$D$1048576,4,0),0)</f>
        <v>0</v>
      </c>
      <c r="S91" s="113"/>
      <c r="T91" s="113"/>
      <c r="U91" s="112" t="s">
        <v>285</v>
      </c>
      <c r="V91" s="114">
        <v>0</v>
      </c>
      <c r="W91" s="114">
        <v>0</v>
      </c>
      <c r="X91" s="115">
        <v>0</v>
      </c>
      <c r="Y91" s="113">
        <v>0</v>
      </c>
      <c r="Z91" s="113">
        <v>0</v>
      </c>
      <c r="AA91" s="113">
        <v>0</v>
      </c>
      <c r="AB91" s="113">
        <v>0</v>
      </c>
      <c r="AC91" s="113">
        <v>0</v>
      </c>
      <c r="AD91" s="113">
        <v>0</v>
      </c>
      <c r="AE91" s="113">
        <v>0</v>
      </c>
      <c r="AF91" s="113">
        <v>0</v>
      </c>
      <c r="AG91" s="113">
        <v>0</v>
      </c>
      <c r="AH91" s="113">
        <v>0</v>
      </c>
      <c r="AI91" s="113">
        <v>0</v>
      </c>
      <c r="AJ91" s="113">
        <v>0</v>
      </c>
      <c r="AK91" s="113">
        <f t="shared" si="7"/>
        <v>0</v>
      </c>
      <c r="AM91" s="214"/>
    </row>
    <row r="92" spans="1:39" x14ac:dyDescent="0.3">
      <c r="A92" s="109" t="str">
        <f t="shared" si="6"/>
        <v>debit    6666031200  Instrument fee</v>
      </c>
      <c r="B92" s="112" t="s">
        <v>286</v>
      </c>
      <c r="C92" s="113">
        <f>IFERROR(VLOOKUP($A92,MTD!$A$13:$D$1048576,3,0),0)</f>
        <v>0</v>
      </c>
      <c r="D92" s="116">
        <f>IFERROR(VLOOKUP($A92,MTD!$A$13:$D$1048576,4,0),0)</f>
        <v>0</v>
      </c>
      <c r="E92" s="113"/>
      <c r="F92" s="113"/>
      <c r="G92" s="112" t="s">
        <v>286</v>
      </c>
      <c r="H92" s="114">
        <v>0</v>
      </c>
      <c r="I92" s="114">
        <v>0</v>
      </c>
      <c r="J92" s="115">
        <v>0</v>
      </c>
      <c r="K92" s="113">
        <v>0</v>
      </c>
      <c r="P92" s="112" t="s">
        <v>286</v>
      </c>
      <c r="Q92" s="113">
        <f>IFERROR(VLOOKUP($A92,YTD!$A$13:$D$1048576,3,0),0)</f>
        <v>0</v>
      </c>
      <c r="R92" s="116">
        <f>IFERROR(VLOOKUP($A92,YTD!$A$13:$D$1048576,4,0),0)</f>
        <v>0</v>
      </c>
      <c r="S92" s="113"/>
      <c r="T92" s="113"/>
      <c r="U92" s="112" t="s">
        <v>286</v>
      </c>
      <c r="V92" s="114">
        <v>0</v>
      </c>
      <c r="W92" s="114">
        <v>0</v>
      </c>
      <c r="X92" s="115">
        <v>0</v>
      </c>
      <c r="Y92" s="113">
        <v>0</v>
      </c>
      <c r="Z92" s="113">
        <v>0</v>
      </c>
      <c r="AA92" s="113">
        <v>0</v>
      </c>
      <c r="AB92" s="113">
        <v>0</v>
      </c>
      <c r="AC92" s="113">
        <v>0</v>
      </c>
      <c r="AD92" s="113">
        <v>0</v>
      </c>
      <c r="AE92" s="113">
        <v>0</v>
      </c>
      <c r="AF92" s="113">
        <v>0</v>
      </c>
      <c r="AG92" s="113">
        <v>0</v>
      </c>
      <c r="AH92" s="113">
        <v>0</v>
      </c>
      <c r="AI92" s="113">
        <v>0</v>
      </c>
      <c r="AJ92" s="113">
        <v>0</v>
      </c>
      <c r="AK92" s="113">
        <f t="shared" si="7"/>
        <v>0</v>
      </c>
      <c r="AM92" s="214"/>
    </row>
    <row r="93" spans="1:39" x14ac:dyDescent="0.3">
      <c r="A93" s="109" t="str">
        <f t="shared" si="6"/>
        <v>debit    6666050107  Special distribution costs</v>
      </c>
      <c r="B93" s="112" t="s">
        <v>287</v>
      </c>
      <c r="C93" s="113">
        <f>IFERROR(VLOOKUP($A93,MTD!$A$13:$D$1048576,3,0),0)</f>
        <v>0</v>
      </c>
      <c r="D93" s="116">
        <f>IFERROR(VLOOKUP($A93,MTD!$A$13:$D$1048576,4,0),0)</f>
        <v>0</v>
      </c>
      <c r="E93" s="113"/>
      <c r="F93" s="113"/>
      <c r="G93" s="112" t="s">
        <v>287</v>
      </c>
      <c r="H93" s="114">
        <v>0</v>
      </c>
      <c r="I93" s="114">
        <v>0</v>
      </c>
      <c r="J93" s="115">
        <v>0</v>
      </c>
      <c r="K93" s="113">
        <v>0</v>
      </c>
      <c r="P93" s="112" t="s">
        <v>287</v>
      </c>
      <c r="Q93" s="113">
        <f>IFERROR(VLOOKUP($A93,YTD!$A$13:$D$1048576,3,0),0)</f>
        <v>3.13</v>
      </c>
      <c r="R93" s="116">
        <f>IFERROR(VLOOKUP($A93,YTD!$A$13:$D$1048576,4,0),0)</f>
        <v>0</v>
      </c>
      <c r="S93" s="113"/>
      <c r="T93" s="113"/>
      <c r="U93" s="112" t="s">
        <v>287</v>
      </c>
      <c r="V93" s="114">
        <v>0</v>
      </c>
      <c r="W93" s="114">
        <v>0</v>
      </c>
      <c r="X93" s="115">
        <v>0</v>
      </c>
      <c r="Y93" s="113">
        <v>0</v>
      </c>
      <c r="Z93" s="113">
        <v>0</v>
      </c>
      <c r="AA93" s="113">
        <v>0</v>
      </c>
      <c r="AB93" s="113">
        <v>0</v>
      </c>
      <c r="AC93" s="113">
        <v>1.24</v>
      </c>
      <c r="AD93" s="113">
        <v>2.0699999999999998</v>
      </c>
      <c r="AE93" s="113">
        <v>0</v>
      </c>
      <c r="AF93" s="113">
        <v>0</v>
      </c>
      <c r="AG93" s="113">
        <v>0</v>
      </c>
      <c r="AH93" s="113">
        <v>-0.18</v>
      </c>
      <c r="AI93" s="113">
        <v>0</v>
      </c>
      <c r="AJ93" s="113">
        <v>0</v>
      </c>
      <c r="AK93" s="113">
        <f t="shared" si="7"/>
        <v>0</v>
      </c>
      <c r="AM93" s="214"/>
    </row>
    <row r="94" spans="1:39" x14ac:dyDescent="0.3">
      <c r="A94" s="109" t="str">
        <f t="shared" si="6"/>
        <v>debit    6666050312  Inventory count different- Semifinished</v>
      </c>
      <c r="B94" s="138" t="s">
        <v>212</v>
      </c>
      <c r="C94" s="113">
        <f>IFERROR(VLOOKUP($A94,MTD!$A$13:$D$1048576,3,0),0)</f>
        <v>220553.27</v>
      </c>
      <c r="D94" s="116">
        <f>IFERROR(VLOOKUP($A94,MTD!$A$13:$D$1048576,4,0),0)</f>
        <v>0</v>
      </c>
      <c r="E94" s="113"/>
      <c r="F94" s="113"/>
      <c r="G94" s="112" t="s">
        <v>212</v>
      </c>
      <c r="H94" s="114">
        <v>0</v>
      </c>
      <c r="I94" s="114">
        <v>0</v>
      </c>
      <c r="J94" s="115">
        <v>0</v>
      </c>
      <c r="K94" s="113">
        <v>0</v>
      </c>
      <c r="P94" s="138" t="s">
        <v>212</v>
      </c>
      <c r="Q94" s="113">
        <f>IFERROR(VLOOKUP($A94,YTD!$A$13:$D$1048576,3,0),0)</f>
        <v>402034.93</v>
      </c>
      <c r="R94" s="116">
        <f>IFERROR(VLOOKUP($A94,YTD!$A$13:$D$1048576,4,0),0)</f>
        <v>0</v>
      </c>
      <c r="S94" s="113"/>
      <c r="T94" s="113"/>
      <c r="U94" s="112" t="s">
        <v>212</v>
      </c>
      <c r="V94" s="114">
        <v>0</v>
      </c>
      <c r="W94" s="114">
        <v>0</v>
      </c>
      <c r="X94" s="115">
        <v>0</v>
      </c>
      <c r="Y94" s="113">
        <v>0</v>
      </c>
      <c r="Z94" s="113">
        <v>0</v>
      </c>
      <c r="AA94" s="113">
        <v>374.16</v>
      </c>
      <c r="AB94" s="113">
        <v>549.27</v>
      </c>
      <c r="AC94" s="113">
        <v>243.42</v>
      </c>
      <c r="AD94" s="113">
        <v>2780.73</v>
      </c>
      <c r="AE94" s="113">
        <v>164159.06</v>
      </c>
      <c r="AF94" s="113">
        <v>-1000.07</v>
      </c>
      <c r="AG94" s="113">
        <v>4599.3</v>
      </c>
      <c r="AH94" s="113">
        <v>10193.76</v>
      </c>
      <c r="AI94" s="113">
        <v>4132.33</v>
      </c>
      <c r="AJ94" s="113">
        <v>-4550.3</v>
      </c>
      <c r="AK94" s="113">
        <f t="shared" ref="AK94:AK157" si="8">C94</f>
        <v>220553.27</v>
      </c>
      <c r="AM94" s="214"/>
    </row>
    <row r="95" spans="1:39" x14ac:dyDescent="0.3">
      <c r="A95" s="109" t="str">
        <f t="shared" si="6"/>
        <v>debit    6666070100  Software purchase, development and imple</v>
      </c>
      <c r="B95" s="112" t="s">
        <v>288</v>
      </c>
      <c r="C95" s="113">
        <f>IFERROR(VLOOKUP($A95,MTD!$A$13:$D$1048576,3,0),0)</f>
        <v>0</v>
      </c>
      <c r="D95" s="116">
        <f>IFERROR(VLOOKUP($A95,MTD!$A$13:$D$1048576,4,0),0)</f>
        <v>0</v>
      </c>
      <c r="E95" s="113"/>
      <c r="F95" s="113"/>
      <c r="G95" s="112" t="s">
        <v>288</v>
      </c>
      <c r="H95" s="114">
        <v>0</v>
      </c>
      <c r="I95" s="114">
        <v>0</v>
      </c>
      <c r="J95" s="115">
        <v>0</v>
      </c>
      <c r="K95" s="113">
        <v>0</v>
      </c>
      <c r="P95" s="112" t="s">
        <v>288</v>
      </c>
      <c r="Q95" s="113">
        <f>IFERROR(VLOOKUP($A95,YTD!$A$13:$D$1048576,3,0),0)</f>
        <v>0</v>
      </c>
      <c r="R95" s="116">
        <f>IFERROR(VLOOKUP($A95,YTD!$A$13:$D$1048576,4,0),0)</f>
        <v>0</v>
      </c>
      <c r="S95" s="113"/>
      <c r="T95" s="113"/>
      <c r="U95" s="112" t="s">
        <v>288</v>
      </c>
      <c r="V95" s="114">
        <v>0</v>
      </c>
      <c r="W95" s="114">
        <v>0</v>
      </c>
      <c r="X95" s="115">
        <v>0</v>
      </c>
      <c r="Y95" s="113">
        <v>0</v>
      </c>
      <c r="Z95" s="113">
        <v>0</v>
      </c>
      <c r="AA95" s="113">
        <v>0</v>
      </c>
      <c r="AB95" s="113">
        <v>0</v>
      </c>
      <c r="AC95" s="113">
        <v>0</v>
      </c>
      <c r="AD95" s="113">
        <v>0</v>
      </c>
      <c r="AE95" s="113">
        <v>0</v>
      </c>
      <c r="AF95" s="113">
        <v>0</v>
      </c>
      <c r="AG95" s="113">
        <v>0</v>
      </c>
      <c r="AH95" s="113">
        <v>0</v>
      </c>
      <c r="AI95" s="113">
        <v>0</v>
      </c>
      <c r="AJ95" s="113">
        <v>0</v>
      </c>
      <c r="AK95" s="113">
        <f t="shared" si="8"/>
        <v>0</v>
      </c>
      <c r="AM95" s="214"/>
    </row>
    <row r="96" spans="1:39" x14ac:dyDescent="0.3">
      <c r="A96" s="109" t="str">
        <f t="shared" ref="A96:A148" si="9">"debit"&amp;B96</f>
        <v>debit    6666070300  Software maintenance fees</v>
      </c>
      <c r="B96" s="112" t="s">
        <v>289</v>
      </c>
      <c r="C96" s="116">
        <f>IFERROR(VLOOKUP($A96,MTD!$A$13:$D$1048576,3,0),0)</f>
        <v>0</v>
      </c>
      <c r="D96" s="116">
        <f>IFERROR(VLOOKUP($A96,MTD!$A$13:$D$1048576,4,0),0)</f>
        <v>0</v>
      </c>
      <c r="E96" s="113"/>
      <c r="F96" s="113"/>
      <c r="G96" s="112" t="s">
        <v>289</v>
      </c>
      <c r="H96" s="114">
        <v>0</v>
      </c>
      <c r="I96" s="114">
        <v>0</v>
      </c>
      <c r="J96" s="115">
        <v>0</v>
      </c>
      <c r="K96" s="113">
        <v>0</v>
      </c>
      <c r="P96" s="112" t="s">
        <v>289</v>
      </c>
      <c r="Q96" s="116">
        <f>IFERROR(VLOOKUP($A96,YTD!$A$13:$D$1048576,3,0),0)</f>
        <v>0</v>
      </c>
      <c r="R96" s="116">
        <f>IFERROR(VLOOKUP($A96,YTD!$A$13:$D$1048576,4,0),0)</f>
        <v>0</v>
      </c>
      <c r="S96" s="113"/>
      <c r="T96" s="113"/>
      <c r="U96" s="112" t="s">
        <v>289</v>
      </c>
      <c r="V96" s="114">
        <v>0</v>
      </c>
      <c r="W96" s="114">
        <v>0</v>
      </c>
      <c r="X96" s="115">
        <v>0</v>
      </c>
      <c r="Y96" s="113">
        <v>0</v>
      </c>
      <c r="Z96" s="113">
        <v>0</v>
      </c>
      <c r="AA96" s="113">
        <v>0</v>
      </c>
      <c r="AB96" s="113">
        <v>0</v>
      </c>
      <c r="AC96" s="113">
        <v>0</v>
      </c>
      <c r="AD96" s="113">
        <v>0</v>
      </c>
      <c r="AE96" s="113">
        <v>0</v>
      </c>
      <c r="AF96" s="113">
        <v>0</v>
      </c>
      <c r="AG96" s="113">
        <v>0</v>
      </c>
      <c r="AH96" s="113">
        <v>0</v>
      </c>
      <c r="AI96" s="113">
        <v>0</v>
      </c>
      <c r="AJ96" s="113">
        <v>0</v>
      </c>
      <c r="AK96" s="113">
        <f t="shared" si="8"/>
        <v>0</v>
      </c>
      <c r="AM96" s="214"/>
    </row>
    <row r="97" spans="1:39" x14ac:dyDescent="0.3">
      <c r="A97" s="109" t="str">
        <f t="shared" si="9"/>
        <v>debit    6666070400  IT maint. &amp; repairs hardware</v>
      </c>
      <c r="B97" s="112" t="s">
        <v>290</v>
      </c>
      <c r="C97" s="113">
        <f>IFERROR(VLOOKUP($A97,MTD!$A$13:$D$1048576,3,0),0)</f>
        <v>-3253.54</v>
      </c>
      <c r="D97" s="113">
        <f>IFERROR(VLOOKUP($A97,MTD!$A$13:$D$1048576,4,0),0)</f>
        <v>16439.400000000001</v>
      </c>
      <c r="E97" s="113"/>
      <c r="F97" s="113"/>
      <c r="G97" s="112" t="s">
        <v>290</v>
      </c>
      <c r="H97" s="114">
        <v>0</v>
      </c>
      <c r="I97" s="114">
        <v>0</v>
      </c>
      <c r="J97" s="115">
        <v>0</v>
      </c>
      <c r="K97" s="113">
        <v>0</v>
      </c>
      <c r="P97" s="112" t="s">
        <v>290</v>
      </c>
      <c r="Q97" s="113">
        <f>IFERROR(VLOOKUP($A97,YTD!$A$13:$D$1048576,3,0),0)</f>
        <v>146324.29</v>
      </c>
      <c r="R97" s="113">
        <f>IFERROR(VLOOKUP($A97,YTD!$A$13:$D$1048576,4,0),0)</f>
        <v>197272.8</v>
      </c>
      <c r="S97" s="113"/>
      <c r="T97" s="113"/>
      <c r="U97" s="112" t="s">
        <v>290</v>
      </c>
      <c r="V97" s="114">
        <v>0</v>
      </c>
      <c r="W97" s="114">
        <v>0</v>
      </c>
      <c r="X97" s="115">
        <v>0</v>
      </c>
      <c r="Y97" s="113">
        <v>0</v>
      </c>
      <c r="Z97" s="113">
        <v>14469.2</v>
      </c>
      <c r="AA97" s="113">
        <v>5781.5</v>
      </c>
      <c r="AB97" s="113">
        <v>5166.68</v>
      </c>
      <c r="AC97" s="113">
        <v>19061.939999999999</v>
      </c>
      <c r="AD97" s="113">
        <v>16445.88</v>
      </c>
      <c r="AE97" s="113">
        <v>13644.2</v>
      </c>
      <c r="AF97" s="113">
        <v>14141.76</v>
      </c>
      <c r="AG97" s="113">
        <v>11401.5</v>
      </c>
      <c r="AH97" s="113">
        <v>8813.5400000000009</v>
      </c>
      <c r="AI97" s="113">
        <v>15750.59</v>
      </c>
      <c r="AJ97" s="113">
        <v>24901.040000000001</v>
      </c>
      <c r="AK97" s="113">
        <f t="shared" si="8"/>
        <v>-3253.54</v>
      </c>
      <c r="AM97" s="214"/>
    </row>
    <row r="98" spans="1:39" x14ac:dyDescent="0.3">
      <c r="A98" s="109" t="str">
        <f t="shared" si="9"/>
        <v>debit    5207000011  Gain of tangible asset disposal</v>
      </c>
      <c r="B98" s="112" t="s">
        <v>291</v>
      </c>
      <c r="C98" s="113">
        <f>IFERROR(VLOOKUP($A98,MTD!$A$13:$D$1048576,3,0),0)</f>
        <v>0</v>
      </c>
      <c r="D98" s="116">
        <f>IFERROR(VLOOKUP($A98,MTD!$A$13:$D$1048576,4,0),0)</f>
        <v>0</v>
      </c>
      <c r="E98" s="113"/>
      <c r="F98" s="113"/>
      <c r="G98" s="112" t="s">
        <v>291</v>
      </c>
      <c r="H98" s="114">
        <v>0</v>
      </c>
      <c r="I98" s="114">
        <v>0</v>
      </c>
      <c r="J98" s="115">
        <v>0</v>
      </c>
      <c r="K98" s="113">
        <v>0</v>
      </c>
      <c r="P98" s="112" t="s">
        <v>291</v>
      </c>
      <c r="Q98" s="113">
        <f>IFERROR(VLOOKUP($A98,YTD!$A$13:$D$1048576,3,0),0)</f>
        <v>0</v>
      </c>
      <c r="R98" s="116">
        <f>IFERROR(VLOOKUP($A98,YTD!$A$13:$D$1048576,4,0),0)</f>
        <v>0</v>
      </c>
      <c r="S98" s="113"/>
      <c r="T98" s="113"/>
      <c r="U98" s="112" t="s">
        <v>291</v>
      </c>
      <c r="V98" s="114">
        <v>0</v>
      </c>
      <c r="W98" s="114">
        <v>0</v>
      </c>
      <c r="X98" s="115">
        <v>0</v>
      </c>
      <c r="Y98" s="113">
        <v>0</v>
      </c>
      <c r="Z98" s="113">
        <v>0</v>
      </c>
      <c r="AA98" s="113">
        <v>0</v>
      </c>
      <c r="AB98" s="113">
        <v>0</v>
      </c>
      <c r="AC98" s="113">
        <v>0</v>
      </c>
      <c r="AD98" s="113">
        <v>0</v>
      </c>
      <c r="AE98" s="113">
        <v>0</v>
      </c>
      <c r="AF98" s="113">
        <v>0</v>
      </c>
      <c r="AG98" s="113">
        <v>0</v>
      </c>
      <c r="AH98" s="113">
        <v>0</v>
      </c>
      <c r="AI98" s="113">
        <v>0</v>
      </c>
      <c r="AJ98" s="113">
        <v>0</v>
      </c>
      <c r="AK98" s="113">
        <f t="shared" si="8"/>
        <v>0</v>
      </c>
      <c r="AM98" s="214"/>
    </row>
    <row r="99" spans="1:39" x14ac:dyDescent="0.3">
      <c r="A99" s="109" t="str">
        <f t="shared" si="9"/>
        <v>debit    5401050201  COGS-Freight out-Special and sporadic fr</v>
      </c>
      <c r="B99" s="112" t="s">
        <v>292</v>
      </c>
      <c r="C99" s="113">
        <f>IFERROR(VLOOKUP($A99,MTD!$A$13:$D$1048576,3,0),0)</f>
        <v>0</v>
      </c>
      <c r="D99" s="116">
        <f>IFERROR(VLOOKUP($A99,MTD!$A$13:$D$1048576,4,0),0)</f>
        <v>0</v>
      </c>
      <c r="E99" s="113"/>
      <c r="F99" s="113"/>
      <c r="G99" s="112" t="s">
        <v>292</v>
      </c>
      <c r="H99" s="114"/>
      <c r="I99" s="114"/>
      <c r="J99" s="115"/>
      <c r="K99" s="113"/>
      <c r="P99" s="112" t="s">
        <v>292</v>
      </c>
      <c r="Q99" s="113">
        <f>IFERROR(VLOOKUP($A99,YTD!$A$13:$D$1048576,3,0),0)</f>
        <v>184.69</v>
      </c>
      <c r="R99" s="116">
        <f>IFERROR(VLOOKUP($A99,YTD!$A$13:$D$1048576,4,0),0)</f>
        <v>0</v>
      </c>
      <c r="S99" s="113"/>
      <c r="T99" s="113"/>
      <c r="U99" s="112" t="s">
        <v>292</v>
      </c>
      <c r="V99" s="114"/>
      <c r="W99" s="114"/>
      <c r="X99" s="115"/>
      <c r="Y99" s="113"/>
      <c r="Z99" s="113"/>
      <c r="AA99" s="113"/>
      <c r="AB99" s="113"/>
      <c r="AC99" s="113"/>
      <c r="AD99" s="113"/>
      <c r="AE99" s="113"/>
      <c r="AF99" s="113"/>
      <c r="AG99" s="113"/>
      <c r="AH99" s="113">
        <v>184.69</v>
      </c>
      <c r="AI99" s="113">
        <v>0</v>
      </c>
      <c r="AJ99" s="113">
        <v>0</v>
      </c>
      <c r="AK99" s="113">
        <f t="shared" si="8"/>
        <v>0</v>
      </c>
      <c r="AM99" s="214"/>
    </row>
    <row r="100" spans="1:39" x14ac:dyDescent="0.3">
      <c r="A100" s="109" t="str">
        <f t="shared" si="9"/>
        <v>debit*   CS_Fix Cost</v>
      </c>
      <c r="B100" s="117" t="s">
        <v>211</v>
      </c>
      <c r="C100" s="118">
        <f>IFERROR(VLOOKUP($A100,MTD!$A$13:$D$1048576,3,0),0)</f>
        <v>143862.70000000001</v>
      </c>
      <c r="D100" s="118">
        <f>IFERROR(VLOOKUP($A100,MTD!$A$13:$D$1048576,4,0),0)</f>
        <v>163860.39000000001</v>
      </c>
      <c r="E100" s="118"/>
      <c r="F100" s="118"/>
      <c r="G100" s="117" t="s">
        <v>211</v>
      </c>
      <c r="H100" s="119">
        <v>0</v>
      </c>
      <c r="I100" s="119">
        <v>0</v>
      </c>
      <c r="J100" s="120">
        <v>0</v>
      </c>
      <c r="K100" s="118">
        <v>0</v>
      </c>
      <c r="P100" s="117" t="s">
        <v>211</v>
      </c>
      <c r="Q100" s="118">
        <f>IFERROR(VLOOKUP($A100,YTD!$A$13:$D$1048576,3,0),0)</f>
        <v>1609874.37</v>
      </c>
      <c r="R100" s="118">
        <f>IFERROR(VLOOKUP($A100,YTD!$A$13:$D$1048576,4,0),0)</f>
        <v>1922208.43</v>
      </c>
      <c r="S100" s="118"/>
      <c r="T100" s="118"/>
      <c r="U100" s="117" t="s">
        <v>211</v>
      </c>
      <c r="V100" s="119">
        <v>0</v>
      </c>
      <c r="W100" s="119">
        <v>0</v>
      </c>
      <c r="X100" s="120">
        <v>0</v>
      </c>
      <c r="Y100" s="118">
        <v>0</v>
      </c>
      <c r="Z100" s="118">
        <v>120556.79</v>
      </c>
      <c r="AA100" s="118">
        <v>127372.55</v>
      </c>
      <c r="AB100" s="118">
        <v>133013.62</v>
      </c>
      <c r="AC100" s="118">
        <v>130193.7</v>
      </c>
      <c r="AD100" s="118">
        <v>136519.96</v>
      </c>
      <c r="AE100" s="118">
        <v>277244.32</v>
      </c>
      <c r="AF100" s="118">
        <v>117359.63</v>
      </c>
      <c r="AG100" s="118">
        <v>95460.24</v>
      </c>
      <c r="AH100" s="118">
        <v>96485.92</v>
      </c>
      <c r="AI100" s="118">
        <v>131567.94</v>
      </c>
      <c r="AJ100" s="118">
        <v>100237</v>
      </c>
      <c r="AK100" s="118">
        <f t="shared" si="8"/>
        <v>143862.70000000001</v>
      </c>
      <c r="AM100" s="214"/>
    </row>
    <row r="101" spans="1:39" x14ac:dyDescent="0.3">
      <c r="A101" s="109" t="str">
        <f t="shared" si="9"/>
        <v>debit    6666110203  Low value consumables</v>
      </c>
      <c r="B101" s="112" t="s">
        <v>293</v>
      </c>
      <c r="C101" s="113">
        <f>IFERROR(VLOOKUP($A101,MTD!$A$13:$D$1048576,3,0),0)</f>
        <v>-82039.399999999994</v>
      </c>
      <c r="D101" s="113">
        <f>IFERROR(VLOOKUP($A101,MTD!$A$13:$D$1048576,4,0),0)</f>
        <v>52728.66</v>
      </c>
      <c r="E101" s="113"/>
      <c r="F101" s="113"/>
      <c r="G101" s="112" t="s">
        <v>293</v>
      </c>
      <c r="H101" s="114">
        <v>0</v>
      </c>
      <c r="I101" s="114">
        <v>0</v>
      </c>
      <c r="J101" s="115">
        <v>0</v>
      </c>
      <c r="K101" s="113">
        <v>0</v>
      </c>
      <c r="P101" s="112" t="s">
        <v>293</v>
      </c>
      <c r="Q101" s="113">
        <f>IFERROR(VLOOKUP($A101,YTD!$A$13:$D$1048576,3,0),0)</f>
        <v>270438.76</v>
      </c>
      <c r="R101" s="113">
        <f>IFERROR(VLOOKUP($A101,YTD!$A$13:$D$1048576,4,0),0)</f>
        <v>429809.88</v>
      </c>
      <c r="S101" s="113"/>
      <c r="T101" s="113"/>
      <c r="U101" s="112" t="s">
        <v>293</v>
      </c>
      <c r="V101" s="114">
        <v>0</v>
      </c>
      <c r="W101" s="114">
        <v>0</v>
      </c>
      <c r="X101" s="115">
        <v>0</v>
      </c>
      <c r="Y101" s="113">
        <v>0</v>
      </c>
      <c r="Z101" s="113">
        <v>35761.949999999997</v>
      </c>
      <c r="AA101" s="113">
        <v>41344.01</v>
      </c>
      <c r="AB101" s="113">
        <v>25937.759999999998</v>
      </c>
      <c r="AC101" s="113">
        <v>24368.9</v>
      </c>
      <c r="AD101" s="113">
        <v>26554.560000000001</v>
      </c>
      <c r="AE101" s="113">
        <v>14361.35</v>
      </c>
      <c r="AF101" s="113">
        <v>11339.75</v>
      </c>
      <c r="AG101" s="113">
        <v>58917.61</v>
      </c>
      <c r="AH101" s="113">
        <v>36793.839999999997</v>
      </c>
      <c r="AI101" s="113">
        <v>59227.68</v>
      </c>
      <c r="AJ101" s="113">
        <v>17870.75</v>
      </c>
      <c r="AK101" s="113">
        <f t="shared" si="8"/>
        <v>-82039.399999999994</v>
      </c>
      <c r="AM101" s="214"/>
    </row>
    <row r="102" spans="1:39" x14ac:dyDescent="0.3">
      <c r="A102" s="109" t="str">
        <f t="shared" si="9"/>
        <v>debit    5102040000  Other Revenue - Other</v>
      </c>
      <c r="B102" s="112" t="s">
        <v>294</v>
      </c>
      <c r="C102" s="116">
        <f>IFERROR(VLOOKUP($A102,MTD!$A$13:$D$1048576,3,0),0)</f>
        <v>0</v>
      </c>
      <c r="D102" s="116">
        <f>IFERROR(VLOOKUP($A102,MTD!$A$13:$D$1048576,4,0),0)</f>
        <v>0</v>
      </c>
      <c r="E102" s="113"/>
      <c r="F102" s="113"/>
      <c r="G102" s="112" t="s">
        <v>294</v>
      </c>
      <c r="H102" s="114">
        <v>0</v>
      </c>
      <c r="I102" s="114">
        <v>0</v>
      </c>
      <c r="J102" s="115">
        <v>0</v>
      </c>
      <c r="K102" s="113">
        <v>0</v>
      </c>
      <c r="P102" s="112" t="s">
        <v>294</v>
      </c>
      <c r="Q102" s="116">
        <f>IFERROR(VLOOKUP($A102,YTD!$A$13:$D$1048576,3,0),0)</f>
        <v>0</v>
      </c>
      <c r="R102" s="116">
        <f>IFERROR(VLOOKUP($A102,YTD!$A$13:$D$1048576,4,0),0)</f>
        <v>0</v>
      </c>
      <c r="S102" s="113"/>
      <c r="T102" s="113"/>
      <c r="U102" s="112" t="s">
        <v>294</v>
      </c>
      <c r="V102" s="114">
        <v>0</v>
      </c>
      <c r="W102" s="114">
        <v>0</v>
      </c>
      <c r="X102" s="115">
        <v>0</v>
      </c>
      <c r="Y102" s="113">
        <v>0</v>
      </c>
      <c r="Z102" s="113">
        <v>0</v>
      </c>
      <c r="AA102" s="113">
        <v>0</v>
      </c>
      <c r="AB102" s="113">
        <v>0</v>
      </c>
      <c r="AC102" s="113">
        <v>0</v>
      </c>
      <c r="AD102" s="113">
        <v>0</v>
      </c>
      <c r="AE102" s="113">
        <v>0</v>
      </c>
      <c r="AF102" s="113">
        <v>0</v>
      </c>
      <c r="AG102" s="113">
        <v>0</v>
      </c>
      <c r="AH102" s="113">
        <v>0</v>
      </c>
      <c r="AI102" s="113">
        <v>0</v>
      </c>
      <c r="AJ102" s="113">
        <v>0</v>
      </c>
      <c r="AK102" s="113">
        <f t="shared" si="8"/>
        <v>0</v>
      </c>
      <c r="AM102" s="214"/>
    </row>
    <row r="103" spans="1:39" x14ac:dyDescent="0.3">
      <c r="A103" s="109" t="str">
        <f t="shared" si="9"/>
        <v>debit    6666050307  Inventory count different-raw material</v>
      </c>
      <c r="B103" s="138" t="s">
        <v>295</v>
      </c>
      <c r="C103" s="113">
        <f>IFERROR(VLOOKUP($A103,MTD!$A$13:$D$1048576,3,0),0)</f>
        <v>-481026.6</v>
      </c>
      <c r="D103" s="116">
        <f>IFERROR(VLOOKUP($A103,MTD!$A$13:$D$1048576,4,0),0)</f>
        <v>0</v>
      </c>
      <c r="E103" s="113"/>
      <c r="F103" s="113"/>
      <c r="G103" s="112" t="s">
        <v>295</v>
      </c>
      <c r="H103" s="114">
        <v>0</v>
      </c>
      <c r="I103" s="114">
        <v>0</v>
      </c>
      <c r="J103" s="115">
        <v>0</v>
      </c>
      <c r="K103" s="113">
        <v>0</v>
      </c>
      <c r="P103" s="138" t="s">
        <v>295</v>
      </c>
      <c r="Q103" s="113">
        <f>IFERROR(VLOOKUP($A103,YTD!$A$13:$D$1048576,3,0),0)</f>
        <v>-997336.67</v>
      </c>
      <c r="R103" s="116">
        <f>IFERROR(VLOOKUP($A103,YTD!$A$13:$D$1048576,4,0),0)</f>
        <v>0</v>
      </c>
      <c r="S103" s="113"/>
      <c r="T103" s="113"/>
      <c r="U103" s="112" t="s">
        <v>295</v>
      </c>
      <c r="V103" s="114">
        <v>0</v>
      </c>
      <c r="W103" s="114">
        <v>0</v>
      </c>
      <c r="X103" s="115">
        <v>0</v>
      </c>
      <c r="Y103" s="113">
        <v>0</v>
      </c>
      <c r="Z103" s="113">
        <v>-22729.19</v>
      </c>
      <c r="AA103" s="113">
        <v>-36472.21</v>
      </c>
      <c r="AB103" s="113">
        <v>-26628.2</v>
      </c>
      <c r="AC103" s="113">
        <v>-25929.43</v>
      </c>
      <c r="AD103" s="113">
        <v>35641.370000000003</v>
      </c>
      <c r="AE103" s="113">
        <v>-316594.65000000002</v>
      </c>
      <c r="AF103" s="113">
        <v>-11249.92</v>
      </c>
      <c r="AG103" s="113">
        <v>-33978.78</v>
      </c>
      <c r="AH103" s="113">
        <v>-70632.41</v>
      </c>
      <c r="AI103" s="113">
        <v>7320.64</v>
      </c>
      <c r="AJ103" s="113">
        <v>-15057.29</v>
      </c>
      <c r="AK103" s="113">
        <f t="shared" si="8"/>
        <v>-481026.6</v>
      </c>
      <c r="AM103" s="214"/>
    </row>
    <row r="104" spans="1:39" x14ac:dyDescent="0.3">
      <c r="A104" s="109" t="str">
        <f t="shared" si="9"/>
        <v>debit*   CS_Variable Cost</v>
      </c>
      <c r="B104" s="117" t="s">
        <v>213</v>
      </c>
      <c r="C104" s="118">
        <f>IFERROR(VLOOKUP($A104,MTD!$A$13:$D$1048576,3,0),0)</f>
        <v>-563066</v>
      </c>
      <c r="D104" s="118">
        <f>IFERROR(VLOOKUP($A104,MTD!$A$13:$D$1048576,4,0),0)</f>
        <v>52728.66</v>
      </c>
      <c r="E104" s="118"/>
      <c r="F104" s="118"/>
      <c r="G104" s="117" t="s">
        <v>213</v>
      </c>
      <c r="H104" s="119">
        <v>0</v>
      </c>
      <c r="I104" s="119">
        <v>0</v>
      </c>
      <c r="J104" s="120">
        <v>0</v>
      </c>
      <c r="K104" s="118">
        <v>0</v>
      </c>
      <c r="P104" s="117" t="s">
        <v>213</v>
      </c>
      <c r="Q104" s="118">
        <f>IFERROR(VLOOKUP($A104,YTD!$A$13:$D$1048576,3,0),0)</f>
        <v>-726897.91</v>
      </c>
      <c r="R104" s="118">
        <f>IFERROR(VLOOKUP($A104,YTD!$A$13:$D$1048576,4,0),0)</f>
        <v>429809.88</v>
      </c>
      <c r="S104" s="118"/>
      <c r="T104" s="118"/>
      <c r="U104" s="117" t="s">
        <v>213</v>
      </c>
      <c r="V104" s="119">
        <v>0</v>
      </c>
      <c r="W104" s="119">
        <v>0</v>
      </c>
      <c r="X104" s="120">
        <v>0</v>
      </c>
      <c r="Y104" s="118">
        <v>0</v>
      </c>
      <c r="Z104" s="118">
        <v>13032.76</v>
      </c>
      <c r="AA104" s="118">
        <v>4871.8</v>
      </c>
      <c r="AB104" s="118">
        <v>-690.44</v>
      </c>
      <c r="AC104" s="118">
        <v>-1560.53</v>
      </c>
      <c r="AD104" s="118">
        <v>62195.93</v>
      </c>
      <c r="AE104" s="118">
        <v>-302233.3</v>
      </c>
      <c r="AF104" s="118">
        <v>89.83</v>
      </c>
      <c r="AG104" s="118">
        <v>24938.83</v>
      </c>
      <c r="AH104" s="118">
        <v>-33838.57</v>
      </c>
      <c r="AI104" s="118">
        <v>66548.320000000007</v>
      </c>
      <c r="AJ104" s="118">
        <v>2813.46</v>
      </c>
      <c r="AK104" s="118">
        <f t="shared" si="8"/>
        <v>-563066</v>
      </c>
      <c r="AM104" s="214"/>
    </row>
    <row r="105" spans="1:39" x14ac:dyDescent="0.3">
      <c r="A105" s="109" t="str">
        <f t="shared" si="9"/>
        <v>debit    6666100203  Provision for inventory devaluation - RM</v>
      </c>
      <c r="B105" s="112" t="s">
        <v>296</v>
      </c>
      <c r="C105" s="113">
        <f>IFERROR(VLOOKUP($A105,MTD!$A$13:$D$1048576,3,0),0)</f>
        <v>229172.48000000001</v>
      </c>
      <c r="D105" s="113">
        <f>IFERROR(VLOOKUP($A105,MTD!$A$13:$D$1048576,4,0),0)</f>
        <v>50000</v>
      </c>
      <c r="E105" s="113"/>
      <c r="F105" s="113"/>
      <c r="G105" s="112" t="s">
        <v>296</v>
      </c>
      <c r="H105" s="114">
        <v>0</v>
      </c>
      <c r="I105" s="114">
        <v>0</v>
      </c>
      <c r="J105" s="115">
        <v>0</v>
      </c>
      <c r="K105" s="113">
        <v>0</v>
      </c>
      <c r="P105" s="112" t="s">
        <v>296</v>
      </c>
      <c r="Q105" s="113">
        <f>IFERROR(VLOOKUP($A105,YTD!$A$13:$D$1048576,3,0),0)</f>
        <v>529170.62</v>
      </c>
      <c r="R105" s="113">
        <f>IFERROR(VLOOKUP($A105,YTD!$A$13:$D$1048576,4,0),0)</f>
        <v>600000</v>
      </c>
      <c r="S105" s="113"/>
      <c r="T105" s="113"/>
      <c r="U105" s="112" t="s">
        <v>296</v>
      </c>
      <c r="V105" s="114">
        <v>0</v>
      </c>
      <c r="W105" s="114">
        <v>0</v>
      </c>
      <c r="X105" s="115">
        <v>0</v>
      </c>
      <c r="Y105" s="113">
        <v>0</v>
      </c>
      <c r="Z105" s="113">
        <v>55748.62</v>
      </c>
      <c r="AA105" s="113">
        <v>50000</v>
      </c>
      <c r="AB105" s="113">
        <v>50000</v>
      </c>
      <c r="AC105" s="113">
        <v>50000</v>
      </c>
      <c r="AD105" s="113">
        <v>50000</v>
      </c>
      <c r="AE105" s="113">
        <v>50000</v>
      </c>
      <c r="AF105" s="113">
        <v>37887.86</v>
      </c>
      <c r="AG105" s="113">
        <v>-50000</v>
      </c>
      <c r="AH105" s="113">
        <v>-48260.28</v>
      </c>
      <c r="AI105" s="113">
        <v>24621.94</v>
      </c>
      <c r="AJ105" s="113">
        <v>30000</v>
      </c>
      <c r="AK105" s="113">
        <f t="shared" si="8"/>
        <v>229172.48000000001</v>
      </c>
      <c r="AM105" s="214"/>
    </row>
    <row r="106" spans="1:39" x14ac:dyDescent="0.3">
      <c r="A106" s="109" t="str">
        <f t="shared" si="9"/>
        <v>debit*   CS_Obsolescence</v>
      </c>
      <c r="B106" s="117" t="s">
        <v>214</v>
      </c>
      <c r="C106" s="118">
        <f>IFERROR(VLOOKUP($A106,MTD!$A$13:$D$1048576,3,0),0)</f>
        <v>229172.48000000001</v>
      </c>
      <c r="D106" s="118">
        <f>IFERROR(VLOOKUP($A106,MTD!$A$13:$D$1048576,4,0),0)</f>
        <v>50000</v>
      </c>
      <c r="E106" s="118"/>
      <c r="F106" s="118"/>
      <c r="G106" s="117" t="s">
        <v>214</v>
      </c>
      <c r="H106" s="119">
        <v>0</v>
      </c>
      <c r="I106" s="119">
        <v>0</v>
      </c>
      <c r="J106" s="120">
        <v>0</v>
      </c>
      <c r="K106" s="118">
        <v>0</v>
      </c>
      <c r="P106" s="117" t="s">
        <v>214</v>
      </c>
      <c r="Q106" s="118">
        <f>IFERROR(VLOOKUP($A106,YTD!$A$13:$D$1048576,3,0),0)</f>
        <v>529170.62</v>
      </c>
      <c r="R106" s="118">
        <f>IFERROR(VLOOKUP($A106,YTD!$A$13:$D$1048576,4,0),0)</f>
        <v>600000</v>
      </c>
      <c r="S106" s="118"/>
      <c r="T106" s="118"/>
      <c r="U106" s="117" t="s">
        <v>214</v>
      </c>
      <c r="V106" s="119">
        <v>0</v>
      </c>
      <c r="W106" s="119">
        <v>0</v>
      </c>
      <c r="X106" s="120">
        <v>0</v>
      </c>
      <c r="Y106" s="118">
        <v>0</v>
      </c>
      <c r="Z106" s="118">
        <v>55748.62</v>
      </c>
      <c r="AA106" s="118">
        <v>50000</v>
      </c>
      <c r="AB106" s="118">
        <v>50000</v>
      </c>
      <c r="AC106" s="118">
        <v>50000</v>
      </c>
      <c r="AD106" s="118">
        <v>50000</v>
      </c>
      <c r="AE106" s="118">
        <v>50000</v>
      </c>
      <c r="AF106" s="118">
        <v>37887.86</v>
      </c>
      <c r="AG106" s="118">
        <v>-50000</v>
      </c>
      <c r="AH106" s="118">
        <v>-48260.28</v>
      </c>
      <c r="AI106" s="118">
        <v>24621.94</v>
      </c>
      <c r="AJ106" s="118">
        <v>30000</v>
      </c>
      <c r="AK106" s="118">
        <f t="shared" si="8"/>
        <v>229172.48000000001</v>
      </c>
      <c r="AM106" s="214"/>
    </row>
    <row r="107" spans="1:39" x14ac:dyDescent="0.3">
      <c r="A107" s="109" t="str">
        <f t="shared" si="9"/>
        <v>debit    5301070000  Non-operation revenue-sales of scrapped</v>
      </c>
      <c r="B107" s="112" t="s">
        <v>297</v>
      </c>
      <c r="C107" s="113">
        <f>IFERROR(VLOOKUP($A107,MTD!$A$13:$D$1048576,3,0),0)</f>
        <v>-224108.68</v>
      </c>
      <c r="D107" s="113">
        <f>IFERROR(VLOOKUP($A107,MTD!$A$13:$D$1048576,4,0),0)</f>
        <v>-249838.04</v>
      </c>
      <c r="E107" s="113"/>
      <c r="F107" s="113"/>
      <c r="G107" s="112" t="s">
        <v>297</v>
      </c>
      <c r="H107" s="114">
        <v>0</v>
      </c>
      <c r="I107" s="114">
        <v>0</v>
      </c>
      <c r="J107" s="115">
        <v>0</v>
      </c>
      <c r="K107" s="113">
        <v>0</v>
      </c>
      <c r="P107" s="112" t="s">
        <v>297</v>
      </c>
      <c r="Q107" s="113">
        <f>IFERROR(VLOOKUP($A107,YTD!$A$13:$D$1048576,3,0),0)</f>
        <v>-2189060.41</v>
      </c>
      <c r="R107" s="113">
        <f>IFERROR(VLOOKUP($A107,YTD!$A$13:$D$1048576,4,0),0)</f>
        <v>-1882507.62</v>
      </c>
      <c r="S107" s="113"/>
      <c r="T107" s="113"/>
      <c r="U107" s="112" t="s">
        <v>297</v>
      </c>
      <c r="V107" s="114">
        <v>0</v>
      </c>
      <c r="W107" s="114">
        <v>0</v>
      </c>
      <c r="X107" s="115">
        <v>0</v>
      </c>
      <c r="Y107" s="113">
        <v>0</v>
      </c>
      <c r="Z107" s="113">
        <v>-225081.84</v>
      </c>
      <c r="AA107" s="113">
        <v>-171261.58</v>
      </c>
      <c r="AB107" s="113">
        <v>-135855.46</v>
      </c>
      <c r="AC107" s="113">
        <v>-145305.78</v>
      </c>
      <c r="AD107" s="113">
        <v>-146794.82</v>
      </c>
      <c r="AE107" s="113">
        <v>-82001.240000000005</v>
      </c>
      <c r="AF107" s="113">
        <v>-135853.97</v>
      </c>
      <c r="AG107" s="113">
        <v>-224323.84</v>
      </c>
      <c r="AH107" s="113">
        <v>-237646.36</v>
      </c>
      <c r="AI107" s="113">
        <v>-256238.1</v>
      </c>
      <c r="AJ107" s="113">
        <v>-204588.74</v>
      </c>
      <c r="AK107" s="113">
        <f t="shared" si="8"/>
        <v>-224108.68</v>
      </c>
      <c r="AM107" s="214"/>
    </row>
    <row r="108" spans="1:39" x14ac:dyDescent="0.3">
      <c r="A108" s="109" t="str">
        <f t="shared" si="9"/>
        <v>debit*   CS_Reselling</v>
      </c>
      <c r="B108" s="117" t="s">
        <v>215</v>
      </c>
      <c r="C108" s="118">
        <f>IFERROR(VLOOKUP($A108,MTD!$A$13:$D$1048576,3,0),0)</f>
        <v>-224108.68</v>
      </c>
      <c r="D108" s="118">
        <f>IFERROR(VLOOKUP($A108,MTD!$A$13:$D$1048576,4,0),0)</f>
        <v>-249838.04</v>
      </c>
      <c r="E108" s="118"/>
      <c r="F108" s="118"/>
      <c r="G108" s="117" t="s">
        <v>215</v>
      </c>
      <c r="H108" s="119">
        <v>0</v>
      </c>
      <c r="I108" s="119">
        <v>0</v>
      </c>
      <c r="J108" s="120">
        <v>0</v>
      </c>
      <c r="K108" s="118">
        <v>0</v>
      </c>
      <c r="P108" s="117" t="s">
        <v>215</v>
      </c>
      <c r="Q108" s="118">
        <f>IFERROR(VLOOKUP($A108,YTD!$A$13:$D$1048576,3,0),0)</f>
        <v>-2189060.41</v>
      </c>
      <c r="R108" s="118">
        <f>IFERROR(VLOOKUP($A108,YTD!$A$13:$D$1048576,4,0),0)</f>
        <v>-1882507.62</v>
      </c>
      <c r="S108" s="118"/>
      <c r="T108" s="118"/>
      <c r="U108" s="117" t="s">
        <v>215</v>
      </c>
      <c r="V108" s="119">
        <v>0</v>
      </c>
      <c r="W108" s="119">
        <v>0</v>
      </c>
      <c r="X108" s="120">
        <v>0</v>
      </c>
      <c r="Y108" s="118">
        <v>0</v>
      </c>
      <c r="Z108" s="118">
        <v>-225081.84</v>
      </c>
      <c r="AA108" s="118">
        <v>-171261.58</v>
      </c>
      <c r="AB108" s="118">
        <v>-135855.46</v>
      </c>
      <c r="AC108" s="118">
        <v>-145305.78</v>
      </c>
      <c r="AD108" s="118">
        <v>-146794.82</v>
      </c>
      <c r="AE108" s="118">
        <v>-82001.240000000005</v>
      </c>
      <c r="AF108" s="118">
        <v>-135853.97</v>
      </c>
      <c r="AG108" s="118">
        <v>-224323.84</v>
      </c>
      <c r="AH108" s="118">
        <v>-237646.36</v>
      </c>
      <c r="AI108" s="118">
        <v>-256238.1</v>
      </c>
      <c r="AJ108" s="118">
        <v>-204588.74</v>
      </c>
      <c r="AK108" s="118">
        <f t="shared" si="8"/>
        <v>-224108.68</v>
      </c>
      <c r="AM108" s="214"/>
    </row>
    <row r="109" spans="1:39" x14ac:dyDescent="0.3">
      <c r="A109" s="109" t="str">
        <f t="shared" si="9"/>
        <v>debit    6666021602  Electricity</v>
      </c>
      <c r="B109" s="112" t="s">
        <v>298</v>
      </c>
      <c r="C109" s="113">
        <f>IFERROR(VLOOKUP($A109,MTD!$A$13:$D$1048576,3,0),0)</f>
        <v>1174.02</v>
      </c>
      <c r="D109" s="113">
        <f>IFERROR(VLOOKUP($A109,MTD!$A$13:$D$1048576,4,0),0)</f>
        <v>23873.3</v>
      </c>
      <c r="E109" s="113"/>
      <c r="F109" s="113"/>
      <c r="G109" s="112" t="s">
        <v>298</v>
      </c>
      <c r="H109" s="114">
        <v>0</v>
      </c>
      <c r="I109" s="114">
        <v>0</v>
      </c>
      <c r="J109" s="115">
        <v>0</v>
      </c>
      <c r="K109" s="113">
        <v>0</v>
      </c>
      <c r="P109" s="112" t="s">
        <v>298</v>
      </c>
      <c r="Q109" s="113">
        <f>IFERROR(VLOOKUP($A109,YTD!$A$13:$D$1048576,3,0),0)</f>
        <v>16288.92</v>
      </c>
      <c r="R109" s="113">
        <f>IFERROR(VLOOKUP($A109,YTD!$A$13:$D$1048576,4,0),0)</f>
        <v>180296.76</v>
      </c>
      <c r="S109" s="113"/>
      <c r="T109" s="113"/>
      <c r="U109" s="112" t="s">
        <v>298</v>
      </c>
      <c r="V109" s="114">
        <v>0</v>
      </c>
      <c r="W109" s="114">
        <v>0</v>
      </c>
      <c r="X109" s="115">
        <v>0</v>
      </c>
      <c r="Y109" s="113">
        <v>0</v>
      </c>
      <c r="Z109" s="113">
        <v>1466.9</v>
      </c>
      <c r="AA109" s="113">
        <v>2109.14</v>
      </c>
      <c r="AB109" s="113">
        <v>1154.1199999999999</v>
      </c>
      <c r="AC109" s="113">
        <v>932.74</v>
      </c>
      <c r="AD109" s="113">
        <v>1111.28</v>
      </c>
      <c r="AE109" s="113">
        <v>-919.76</v>
      </c>
      <c r="AF109" s="113">
        <v>1466.68</v>
      </c>
      <c r="AG109" s="113">
        <v>1800.44</v>
      </c>
      <c r="AH109" s="113">
        <v>1817.31</v>
      </c>
      <c r="AI109" s="113">
        <v>1807.17</v>
      </c>
      <c r="AJ109" s="113">
        <v>2368.88</v>
      </c>
      <c r="AK109" s="113">
        <f t="shared" si="8"/>
        <v>1174.02</v>
      </c>
      <c r="AM109" s="214"/>
    </row>
    <row r="110" spans="1:39" x14ac:dyDescent="0.3">
      <c r="A110" s="109" t="str">
        <f t="shared" si="9"/>
        <v>debit*   CS_Fix Utilities</v>
      </c>
      <c r="B110" s="117" t="s">
        <v>216</v>
      </c>
      <c r="C110" s="118">
        <f>IFERROR(VLOOKUP($A110,MTD!$A$13:$D$1048576,3,0),0)</f>
        <v>1174.02</v>
      </c>
      <c r="D110" s="118">
        <f>IFERROR(VLOOKUP($A110,MTD!$A$13:$D$1048576,4,0),0)</f>
        <v>23873.3</v>
      </c>
      <c r="E110" s="118"/>
      <c r="F110" s="118"/>
      <c r="G110" s="117" t="s">
        <v>216</v>
      </c>
      <c r="H110" s="119">
        <v>0</v>
      </c>
      <c r="I110" s="119">
        <v>0</v>
      </c>
      <c r="J110" s="120">
        <v>0</v>
      </c>
      <c r="K110" s="118">
        <v>0</v>
      </c>
      <c r="P110" s="117" t="s">
        <v>216</v>
      </c>
      <c r="Q110" s="118">
        <f>IFERROR(VLOOKUP($A110,YTD!$A$13:$D$1048576,3,0),0)</f>
        <v>16288.92</v>
      </c>
      <c r="R110" s="118">
        <f>IFERROR(VLOOKUP($A110,YTD!$A$13:$D$1048576,4,0),0)</f>
        <v>180296.76</v>
      </c>
      <c r="S110" s="118"/>
      <c r="T110" s="118"/>
      <c r="U110" s="117" t="s">
        <v>216</v>
      </c>
      <c r="V110" s="119">
        <v>0</v>
      </c>
      <c r="W110" s="119">
        <v>0</v>
      </c>
      <c r="X110" s="120">
        <v>0</v>
      </c>
      <c r="Y110" s="118">
        <v>0</v>
      </c>
      <c r="Z110" s="118">
        <v>1466.9</v>
      </c>
      <c r="AA110" s="118">
        <v>2109.14</v>
      </c>
      <c r="AB110" s="118">
        <v>1154.1199999999999</v>
      </c>
      <c r="AC110" s="118">
        <v>932.74</v>
      </c>
      <c r="AD110" s="118">
        <v>1111.28</v>
      </c>
      <c r="AE110" s="118">
        <v>-919.76</v>
      </c>
      <c r="AF110" s="118">
        <v>1466.68</v>
      </c>
      <c r="AG110" s="118">
        <v>1800.44</v>
      </c>
      <c r="AH110" s="118">
        <v>1817.31</v>
      </c>
      <c r="AI110" s="118">
        <v>1807.17</v>
      </c>
      <c r="AJ110" s="118">
        <v>2368.88</v>
      </c>
      <c r="AK110" s="118">
        <f t="shared" si="8"/>
        <v>1174.02</v>
      </c>
      <c r="AM110" s="214"/>
    </row>
    <row r="111" spans="1:39" x14ac:dyDescent="0.3">
      <c r="A111" s="109" t="str">
        <f t="shared" si="9"/>
        <v>debit    6666021600  Energy and power cost</v>
      </c>
      <c r="B111" s="112" t="s">
        <v>299</v>
      </c>
      <c r="C111" s="113">
        <f>IFERROR(VLOOKUP($A111,MTD!$A$13:$D$1048576,3,0),0)</f>
        <v>34611.85</v>
      </c>
      <c r="D111" s="113">
        <f>IFERROR(VLOOKUP($A111,MTD!$A$13:$D$1048576,4,0),0)</f>
        <v>69880.509999999995</v>
      </c>
      <c r="E111" s="113"/>
      <c r="F111" s="113"/>
      <c r="G111" s="112" t="s">
        <v>299</v>
      </c>
      <c r="H111" s="114">
        <v>0</v>
      </c>
      <c r="I111" s="114">
        <v>0</v>
      </c>
      <c r="J111" s="115">
        <v>0</v>
      </c>
      <c r="K111" s="113">
        <v>0</v>
      </c>
      <c r="P111" s="112" t="s">
        <v>299</v>
      </c>
      <c r="Q111" s="113">
        <f>IFERROR(VLOOKUP($A111,YTD!$A$13:$D$1048576,3,0),0)</f>
        <v>451500.12</v>
      </c>
      <c r="R111" s="113">
        <f>IFERROR(VLOOKUP($A111,YTD!$A$13:$D$1048576,4,0),0)</f>
        <v>532582.1</v>
      </c>
      <c r="S111" s="113"/>
      <c r="T111" s="113"/>
      <c r="U111" s="112" t="s">
        <v>299</v>
      </c>
      <c r="V111" s="114">
        <v>0</v>
      </c>
      <c r="W111" s="114">
        <v>0</v>
      </c>
      <c r="X111" s="115">
        <v>0</v>
      </c>
      <c r="Y111" s="113">
        <v>0</v>
      </c>
      <c r="Z111" s="113">
        <v>46954.35</v>
      </c>
      <c r="AA111" s="113">
        <v>36303.83</v>
      </c>
      <c r="AB111" s="113">
        <v>33682.269999999997</v>
      </c>
      <c r="AC111" s="113">
        <v>19584.09</v>
      </c>
      <c r="AD111" s="113">
        <v>31029.24</v>
      </c>
      <c r="AE111" s="113">
        <v>19586.86</v>
      </c>
      <c r="AF111" s="113">
        <v>36810.47</v>
      </c>
      <c r="AG111" s="113">
        <v>54579.54</v>
      </c>
      <c r="AH111" s="113">
        <v>44383.19</v>
      </c>
      <c r="AI111" s="113">
        <v>54085.73</v>
      </c>
      <c r="AJ111" s="113">
        <v>39888.699999999997</v>
      </c>
      <c r="AK111" s="113">
        <f t="shared" si="8"/>
        <v>34611.85</v>
      </c>
      <c r="AM111" s="214"/>
    </row>
    <row r="112" spans="1:39" x14ac:dyDescent="0.3">
      <c r="A112" s="109" t="str">
        <f t="shared" si="9"/>
        <v>debit    6666021603  Water</v>
      </c>
      <c r="B112" s="112" t="s">
        <v>300</v>
      </c>
      <c r="C112" s="113">
        <f>IFERROR(VLOOKUP($A112,MTD!$A$13:$D$1048576,3,0),0)</f>
        <v>2237.3000000000002</v>
      </c>
      <c r="D112" s="116">
        <f>IFERROR(VLOOKUP($A112,MTD!$A$13:$D$1048576,4,0),0)</f>
        <v>0</v>
      </c>
      <c r="E112" s="113"/>
      <c r="F112" s="113"/>
      <c r="G112" s="112" t="s">
        <v>300</v>
      </c>
      <c r="H112" s="114">
        <v>0</v>
      </c>
      <c r="I112" s="114">
        <v>0</v>
      </c>
      <c r="J112" s="115">
        <v>0</v>
      </c>
      <c r="K112" s="113">
        <v>0</v>
      </c>
      <c r="P112" s="112" t="s">
        <v>300</v>
      </c>
      <c r="Q112" s="113">
        <f>IFERROR(VLOOKUP($A112,YTD!$A$13:$D$1048576,3,0),0)</f>
        <v>20101.28</v>
      </c>
      <c r="R112" s="116">
        <f>IFERROR(VLOOKUP($A112,YTD!$A$13:$D$1048576,4,0),0)</f>
        <v>0</v>
      </c>
      <c r="S112" s="113"/>
      <c r="T112" s="113"/>
      <c r="U112" s="112" t="s">
        <v>300</v>
      </c>
      <c r="V112" s="114">
        <v>0</v>
      </c>
      <c r="W112" s="114">
        <v>0</v>
      </c>
      <c r="X112" s="115">
        <v>0</v>
      </c>
      <c r="Y112" s="113">
        <v>0</v>
      </c>
      <c r="Z112" s="113">
        <v>1009.92</v>
      </c>
      <c r="AA112" s="113">
        <v>3167.52</v>
      </c>
      <c r="AB112" s="113">
        <v>1742.18</v>
      </c>
      <c r="AC112" s="113">
        <v>1402</v>
      </c>
      <c r="AD112" s="113">
        <v>1657.26</v>
      </c>
      <c r="AE112" s="113">
        <v>1238.56</v>
      </c>
      <c r="AF112" s="113">
        <v>1389.4</v>
      </c>
      <c r="AG112" s="113">
        <v>912.26</v>
      </c>
      <c r="AH112" s="113">
        <v>1412.54</v>
      </c>
      <c r="AI112" s="113">
        <v>940.9</v>
      </c>
      <c r="AJ112" s="113">
        <v>2991.44</v>
      </c>
      <c r="AK112" s="113">
        <f t="shared" si="8"/>
        <v>2237.3000000000002</v>
      </c>
      <c r="AM112" s="214"/>
    </row>
    <row r="113" spans="1:39" x14ac:dyDescent="0.3">
      <c r="A113" s="109" t="str">
        <f t="shared" si="9"/>
        <v>debit    6666021604  Oil &amp; Gas</v>
      </c>
      <c r="B113" s="112" t="s">
        <v>301</v>
      </c>
      <c r="C113" s="217">
        <f>IFERROR(VLOOKUP($A113,MTD!$A$13:$D$1048576,3,0),0)</f>
        <v>13226.7</v>
      </c>
      <c r="D113" s="113">
        <f>IFERROR(VLOOKUP($A113,MTD!$A$13:$D$1048576,4,0),0)</f>
        <v>19005.849999999999</v>
      </c>
      <c r="E113" s="113"/>
      <c r="F113" s="113"/>
      <c r="G113" s="112" t="s">
        <v>301</v>
      </c>
      <c r="H113" s="114">
        <v>0</v>
      </c>
      <c r="I113" s="114">
        <v>0</v>
      </c>
      <c r="J113" s="115">
        <v>0</v>
      </c>
      <c r="K113" s="113">
        <v>0</v>
      </c>
      <c r="P113" s="112" t="s">
        <v>301</v>
      </c>
      <c r="Q113" s="113">
        <f>IFERROR(VLOOKUP($A113,YTD!$A$13:$D$1048576,3,0),0)</f>
        <v>181314.51</v>
      </c>
      <c r="R113" s="113">
        <f>IFERROR(VLOOKUP($A113,YTD!$A$13:$D$1048576,4,0),0)</f>
        <v>135392.01999999999</v>
      </c>
      <c r="S113" s="113"/>
      <c r="T113" s="113"/>
      <c r="U113" s="112" t="s">
        <v>301</v>
      </c>
      <c r="V113" s="114">
        <v>0</v>
      </c>
      <c r="W113" s="114">
        <v>0</v>
      </c>
      <c r="X113" s="115">
        <v>0</v>
      </c>
      <c r="Y113" s="113">
        <v>0</v>
      </c>
      <c r="Z113" s="113">
        <v>14839.13</v>
      </c>
      <c r="AA113" s="113">
        <v>16475.490000000002</v>
      </c>
      <c r="AB113" s="113">
        <v>14871.92</v>
      </c>
      <c r="AC113" s="113">
        <v>10532.79</v>
      </c>
      <c r="AD113" s="113">
        <v>14227.27</v>
      </c>
      <c r="AE113" s="113">
        <v>5055.7299999999996</v>
      </c>
      <c r="AF113" s="113">
        <v>9159.93</v>
      </c>
      <c r="AG113" s="113">
        <v>17765.080000000002</v>
      </c>
      <c r="AH113" s="113">
        <v>15749.04</v>
      </c>
      <c r="AI113" s="113">
        <v>14572.89</v>
      </c>
      <c r="AJ113" s="113">
        <v>34838.54</v>
      </c>
      <c r="AK113" s="113">
        <f t="shared" si="8"/>
        <v>13226.7</v>
      </c>
      <c r="AM113" s="214"/>
    </row>
    <row r="114" spans="1:39" x14ac:dyDescent="0.3">
      <c r="A114" s="109" t="str">
        <f t="shared" si="9"/>
        <v>debit*   CS_Variable Utilities</v>
      </c>
      <c r="B114" s="117" t="s">
        <v>217</v>
      </c>
      <c r="C114" s="118">
        <f>IFERROR(VLOOKUP($A114,MTD!$A$13:$D$1048576,3,0),0)</f>
        <v>50075.85</v>
      </c>
      <c r="D114" s="118">
        <f>IFERROR(VLOOKUP($A114,MTD!$A$13:$D$1048576,4,0),0)</f>
        <v>88886.36</v>
      </c>
      <c r="E114" s="118"/>
      <c r="F114" s="118"/>
      <c r="G114" s="117" t="s">
        <v>217</v>
      </c>
      <c r="H114" s="119">
        <v>0</v>
      </c>
      <c r="I114" s="119">
        <v>0</v>
      </c>
      <c r="J114" s="120">
        <v>0</v>
      </c>
      <c r="K114" s="118">
        <v>0</v>
      </c>
      <c r="P114" s="117" t="s">
        <v>217</v>
      </c>
      <c r="Q114" s="118">
        <f>IFERROR(VLOOKUP($A114,YTD!$A$13:$D$1048576,3,0),0)</f>
        <v>652915.91</v>
      </c>
      <c r="R114" s="118">
        <f>IFERROR(VLOOKUP($A114,YTD!$A$13:$D$1048576,4,0),0)</f>
        <v>667974.12</v>
      </c>
      <c r="S114" s="118"/>
      <c r="T114" s="118"/>
      <c r="U114" s="117" t="s">
        <v>217</v>
      </c>
      <c r="V114" s="119">
        <v>0</v>
      </c>
      <c r="W114" s="119">
        <v>0</v>
      </c>
      <c r="X114" s="120">
        <v>0</v>
      </c>
      <c r="Y114" s="118">
        <v>0</v>
      </c>
      <c r="Z114" s="118">
        <v>62803.4</v>
      </c>
      <c r="AA114" s="118">
        <v>55946.84</v>
      </c>
      <c r="AB114" s="118">
        <v>50296.37</v>
      </c>
      <c r="AC114" s="118">
        <v>31518.880000000001</v>
      </c>
      <c r="AD114" s="118">
        <v>46913.77</v>
      </c>
      <c r="AE114" s="118">
        <v>25881.15</v>
      </c>
      <c r="AF114" s="118">
        <v>47359.8</v>
      </c>
      <c r="AG114" s="118">
        <v>73256.88</v>
      </c>
      <c r="AH114" s="118">
        <v>61544.77</v>
      </c>
      <c r="AI114" s="118">
        <v>69599.520000000004</v>
      </c>
      <c r="AJ114" s="118">
        <v>77718.679999999993</v>
      </c>
      <c r="AK114" s="118">
        <f t="shared" si="8"/>
        <v>50075.85</v>
      </c>
      <c r="AM114" s="214"/>
    </row>
    <row r="115" spans="1:39" x14ac:dyDescent="0.3">
      <c r="A115" s="109" t="str">
        <f t="shared" si="9"/>
        <v>debit    5001010206  Unemployment Insurance -blue collar-Indi</v>
      </c>
      <c r="B115" s="112" t="s">
        <v>302</v>
      </c>
      <c r="C115" s="113">
        <f>IFERROR(VLOOKUP($A115,MTD!$A$13:$D$1048576,3,0),0)</f>
        <v>7533.53</v>
      </c>
      <c r="D115" s="116">
        <f>IFERROR(VLOOKUP($A115,MTD!$A$13:$D$1048576,4,0),0)</f>
        <v>0</v>
      </c>
      <c r="E115" s="113"/>
      <c r="F115" s="113"/>
      <c r="G115" s="112" t="s">
        <v>302</v>
      </c>
      <c r="H115" s="114">
        <v>0</v>
      </c>
      <c r="I115" s="114">
        <v>0</v>
      </c>
      <c r="J115" s="115">
        <v>0</v>
      </c>
      <c r="K115" s="113">
        <v>0</v>
      </c>
      <c r="P115" s="112" t="s">
        <v>302</v>
      </c>
      <c r="Q115" s="113">
        <f>IFERROR(VLOOKUP($A115,YTD!$A$13:$D$1048576,3,0),0)</f>
        <v>81917.13</v>
      </c>
      <c r="R115" s="116">
        <f>IFERROR(VLOOKUP($A115,YTD!$A$13:$D$1048576,4,0),0)</f>
        <v>0</v>
      </c>
      <c r="S115" s="113"/>
      <c r="T115" s="113"/>
      <c r="U115" s="112" t="s">
        <v>302</v>
      </c>
      <c r="V115" s="114">
        <v>0</v>
      </c>
      <c r="W115" s="114">
        <v>0</v>
      </c>
      <c r="X115" s="115">
        <v>0</v>
      </c>
      <c r="Y115" s="113">
        <v>0</v>
      </c>
      <c r="Z115" s="113">
        <v>7494.42</v>
      </c>
      <c r="AA115" s="113">
        <v>5191.9399999999996</v>
      </c>
      <c r="AB115" s="113">
        <v>6205.28</v>
      </c>
      <c r="AC115" s="113">
        <v>5196.5</v>
      </c>
      <c r="AD115" s="113">
        <v>5652.14</v>
      </c>
      <c r="AE115" s="113">
        <v>5330.77</v>
      </c>
      <c r="AF115" s="113">
        <v>5947.19</v>
      </c>
      <c r="AG115" s="113">
        <v>6958.99</v>
      </c>
      <c r="AH115" s="113">
        <v>8818.8700000000008</v>
      </c>
      <c r="AI115" s="113">
        <v>9999.82</v>
      </c>
      <c r="AJ115" s="113">
        <v>7587.68</v>
      </c>
      <c r="AK115" s="113">
        <f t="shared" si="8"/>
        <v>7533.53</v>
      </c>
      <c r="AM115" s="214"/>
    </row>
    <row r="116" spans="1:39" x14ac:dyDescent="0.3">
      <c r="A116" s="109" t="str">
        <f t="shared" si="9"/>
        <v>debit    6666010184  Salary&amp;Additional Incentive-Blue Collar-</v>
      </c>
      <c r="B116" s="112" t="s">
        <v>303</v>
      </c>
      <c r="C116" s="113">
        <f>IFERROR(VLOOKUP($A116,MTD!$A$13:$D$1048576,3,0),0)</f>
        <v>-196.23</v>
      </c>
      <c r="D116" s="116">
        <f>IFERROR(VLOOKUP($A116,MTD!$A$13:$D$1048576,4,0),0)</f>
        <v>0</v>
      </c>
      <c r="E116" s="113"/>
      <c r="F116" s="113"/>
      <c r="G116" s="112" t="s">
        <v>303</v>
      </c>
      <c r="H116" s="114">
        <v>0</v>
      </c>
      <c r="I116" s="114">
        <v>0</v>
      </c>
      <c r="J116" s="115">
        <v>0</v>
      </c>
      <c r="K116" s="113">
        <v>0</v>
      </c>
      <c r="P116" s="112" t="s">
        <v>303</v>
      </c>
      <c r="Q116" s="113">
        <f>IFERROR(VLOOKUP($A116,YTD!$A$13:$D$1048576,3,0),0)</f>
        <v>-4878.17</v>
      </c>
      <c r="R116" s="116">
        <f>IFERROR(VLOOKUP($A116,YTD!$A$13:$D$1048576,4,0),0)</f>
        <v>0</v>
      </c>
      <c r="S116" s="113"/>
      <c r="T116" s="113"/>
      <c r="U116" s="112" t="s">
        <v>303</v>
      </c>
      <c r="V116" s="114">
        <v>0</v>
      </c>
      <c r="W116" s="114">
        <v>0</v>
      </c>
      <c r="X116" s="115">
        <v>0</v>
      </c>
      <c r="Y116" s="113">
        <v>0</v>
      </c>
      <c r="Z116" s="113">
        <v>-841.26</v>
      </c>
      <c r="AA116" s="113">
        <v>-538.58000000000004</v>
      </c>
      <c r="AB116" s="113">
        <v>-702.27</v>
      </c>
      <c r="AC116" s="113">
        <v>-592.65</v>
      </c>
      <c r="AD116" s="113">
        <v>-598.94000000000005</v>
      </c>
      <c r="AE116" s="113">
        <v>-588.16999999999996</v>
      </c>
      <c r="AF116" s="113">
        <v>-328.93</v>
      </c>
      <c r="AG116" s="113">
        <v>-199.3</v>
      </c>
      <c r="AH116" s="113">
        <v>-118.86</v>
      </c>
      <c r="AI116" s="113">
        <v>-36.5</v>
      </c>
      <c r="AJ116" s="113">
        <v>-136.47999999999999</v>
      </c>
      <c r="AK116" s="113">
        <f t="shared" si="8"/>
        <v>-196.23</v>
      </c>
      <c r="AM116" s="214"/>
    </row>
    <row r="117" spans="1:39" x14ac:dyDescent="0.3">
      <c r="A117" s="109" t="str">
        <f t="shared" si="9"/>
        <v>debit    6666010186  Overtime-Blue Collar-Indirect</v>
      </c>
      <c r="B117" s="112" t="s">
        <v>304</v>
      </c>
      <c r="C117" s="113">
        <f>IFERROR(VLOOKUP($A117,MTD!$A$13:$D$1048576,3,0),0)</f>
        <v>18531.71</v>
      </c>
      <c r="D117" s="116">
        <f>IFERROR(VLOOKUP($A117,MTD!$A$13:$D$1048576,4,0),0)</f>
        <v>0</v>
      </c>
      <c r="E117" s="113"/>
      <c r="F117" s="113"/>
      <c r="G117" s="112" t="s">
        <v>304</v>
      </c>
      <c r="H117" s="114">
        <v>0</v>
      </c>
      <c r="I117" s="114">
        <v>0</v>
      </c>
      <c r="J117" s="115">
        <v>0</v>
      </c>
      <c r="K117" s="113">
        <v>0</v>
      </c>
      <c r="P117" s="112" t="s">
        <v>304</v>
      </c>
      <c r="Q117" s="113">
        <f>IFERROR(VLOOKUP($A117,YTD!$A$13:$D$1048576,3,0),0)</f>
        <v>240171.08</v>
      </c>
      <c r="R117" s="116">
        <f>IFERROR(VLOOKUP($A117,YTD!$A$13:$D$1048576,4,0),0)</f>
        <v>0</v>
      </c>
      <c r="S117" s="113"/>
      <c r="T117" s="113"/>
      <c r="U117" s="112" t="s">
        <v>304</v>
      </c>
      <c r="V117" s="114">
        <v>0</v>
      </c>
      <c r="W117" s="114">
        <v>0</v>
      </c>
      <c r="X117" s="115">
        <v>0</v>
      </c>
      <c r="Y117" s="113">
        <v>0</v>
      </c>
      <c r="Z117" s="113">
        <v>24906.76</v>
      </c>
      <c r="AA117" s="113">
        <v>12968.9</v>
      </c>
      <c r="AB117" s="113">
        <v>9862.16</v>
      </c>
      <c r="AC117" s="113">
        <v>5873.1</v>
      </c>
      <c r="AD117" s="113">
        <v>4989.8999999999996</v>
      </c>
      <c r="AE117" s="113">
        <v>7873.99</v>
      </c>
      <c r="AF117" s="113">
        <v>12011.19</v>
      </c>
      <c r="AG117" s="113">
        <v>32726.81</v>
      </c>
      <c r="AH117" s="113">
        <v>23645.83</v>
      </c>
      <c r="AI117" s="113">
        <v>67410.720000000001</v>
      </c>
      <c r="AJ117" s="113">
        <v>19370.009999999998</v>
      </c>
      <c r="AK117" s="113">
        <f t="shared" si="8"/>
        <v>18531.71</v>
      </c>
      <c r="AM117" s="214"/>
    </row>
    <row r="118" spans="1:39" x14ac:dyDescent="0.3">
      <c r="A118" s="109" t="str">
        <f t="shared" si="9"/>
        <v>debit    6666010189  Salary - Blue collar indirect employees</v>
      </c>
      <c r="B118" s="112" t="s">
        <v>305</v>
      </c>
      <c r="C118" s="113">
        <f>IFERROR(VLOOKUP($A118,MTD!$A$13:$D$1048576,3,0),0)</f>
        <v>-2984.09</v>
      </c>
      <c r="D118" s="113">
        <f>IFERROR(VLOOKUP($A118,MTD!$A$13:$D$1048576,4,0),0)</f>
        <v>653460.86</v>
      </c>
      <c r="E118" s="113"/>
      <c r="F118" s="113"/>
      <c r="G118" s="112" t="s">
        <v>305</v>
      </c>
      <c r="H118" s="114">
        <v>0</v>
      </c>
      <c r="I118" s="114">
        <v>0</v>
      </c>
      <c r="J118" s="115">
        <v>0</v>
      </c>
      <c r="K118" s="113">
        <v>0</v>
      </c>
      <c r="P118" s="112" t="s">
        <v>305</v>
      </c>
      <c r="Q118" s="113">
        <f>IFERROR(VLOOKUP($A118,YTD!$A$13:$D$1048576,3,0),0)</f>
        <v>117055.28</v>
      </c>
      <c r="R118" s="113">
        <f>IFERROR(VLOOKUP($A118,YTD!$A$13:$D$1048576,4,0),0)</f>
        <v>5690117.2000000002</v>
      </c>
      <c r="S118" s="113"/>
      <c r="T118" s="113"/>
      <c r="U118" s="112" t="s">
        <v>305</v>
      </c>
      <c r="V118" s="114">
        <v>0</v>
      </c>
      <c r="W118" s="114">
        <v>0</v>
      </c>
      <c r="X118" s="115">
        <v>0</v>
      </c>
      <c r="Y118" s="113">
        <v>0</v>
      </c>
      <c r="Z118" s="113">
        <v>5722.47</v>
      </c>
      <c r="AA118" s="113">
        <v>0</v>
      </c>
      <c r="AB118" s="113">
        <v>0</v>
      </c>
      <c r="AC118" s="113">
        <v>26136.94</v>
      </c>
      <c r="AD118" s="113">
        <v>0</v>
      </c>
      <c r="AE118" s="113">
        <v>23130.9</v>
      </c>
      <c r="AF118" s="113">
        <v>45539.94</v>
      </c>
      <c r="AG118" s="113">
        <v>-13796.26</v>
      </c>
      <c r="AH118" s="113">
        <v>-6390.16</v>
      </c>
      <c r="AI118" s="113">
        <v>-7700</v>
      </c>
      <c r="AJ118" s="113">
        <v>47395.54</v>
      </c>
      <c r="AK118" s="113">
        <f t="shared" si="8"/>
        <v>-2984.09</v>
      </c>
      <c r="AM118" s="214"/>
    </row>
    <row r="119" spans="1:39" x14ac:dyDescent="0.3">
      <c r="A119" s="109" t="str">
        <f t="shared" si="9"/>
        <v>debit    6666010012  Payroll Taxes- Blue Collar Indirect</v>
      </c>
      <c r="B119" s="112" t="s">
        <v>306</v>
      </c>
      <c r="C119" s="113">
        <f>IFERROR(VLOOKUP($A119,MTD!$A$13:$D$1048576,3,0),0)</f>
        <v>60647.66</v>
      </c>
      <c r="D119" s="116">
        <f>IFERROR(VLOOKUP($A119,MTD!$A$13:$D$1048576,4,0),0)</f>
        <v>0</v>
      </c>
      <c r="E119" s="113"/>
      <c r="F119" s="113"/>
      <c r="G119" s="112" t="s">
        <v>306</v>
      </c>
      <c r="H119" s="114">
        <v>0</v>
      </c>
      <c r="I119" s="114">
        <v>0</v>
      </c>
      <c r="J119" s="115">
        <v>0</v>
      </c>
      <c r="K119" s="113">
        <v>0</v>
      </c>
      <c r="P119" s="112" t="s">
        <v>306</v>
      </c>
      <c r="Q119" s="113">
        <f>IFERROR(VLOOKUP($A119,YTD!$A$13:$D$1048576,3,0),0)</f>
        <v>662369.15</v>
      </c>
      <c r="R119" s="116">
        <f>IFERROR(VLOOKUP($A119,YTD!$A$13:$D$1048576,4,0),0)</f>
        <v>0</v>
      </c>
      <c r="S119" s="113"/>
      <c r="T119" s="113"/>
      <c r="U119" s="112" t="s">
        <v>306</v>
      </c>
      <c r="V119" s="114">
        <v>0</v>
      </c>
      <c r="W119" s="114">
        <v>0</v>
      </c>
      <c r="X119" s="115">
        <v>0</v>
      </c>
      <c r="Y119" s="113">
        <v>0</v>
      </c>
      <c r="Z119" s="113">
        <v>61162.36</v>
      </c>
      <c r="AA119" s="113">
        <v>42116.09</v>
      </c>
      <c r="AB119" s="113">
        <v>50520.4</v>
      </c>
      <c r="AC119" s="113">
        <v>42028.1</v>
      </c>
      <c r="AD119" s="113">
        <v>45957.73</v>
      </c>
      <c r="AE119" s="113">
        <v>43245.87</v>
      </c>
      <c r="AF119" s="113">
        <v>47889.03</v>
      </c>
      <c r="AG119" s="113">
        <v>56090.89</v>
      </c>
      <c r="AH119" s="113">
        <v>71081.98</v>
      </c>
      <c r="AI119" s="113">
        <v>80401.710000000006</v>
      </c>
      <c r="AJ119" s="113">
        <v>61227.33</v>
      </c>
      <c r="AK119" s="113">
        <f t="shared" si="8"/>
        <v>60647.66</v>
      </c>
      <c r="AM119" s="214"/>
    </row>
    <row r="120" spans="1:39" x14ac:dyDescent="0.3">
      <c r="A120" s="109" t="str">
        <f t="shared" si="9"/>
        <v>debit    6666010226  Staff Leaving Indemnity - Blue Collar In</v>
      </c>
      <c r="B120" s="112" t="s">
        <v>307</v>
      </c>
      <c r="C120" s="113">
        <f>IFERROR(VLOOKUP($A120,MTD!$A$13:$D$1048576,3,0),0)</f>
        <v>12896.98</v>
      </c>
      <c r="D120" s="116">
        <f>IFERROR(VLOOKUP($A120,MTD!$A$13:$D$1048576,4,0),0)</f>
        <v>0</v>
      </c>
      <c r="E120" s="113"/>
      <c r="F120" s="113"/>
      <c r="G120" s="112" t="s">
        <v>307</v>
      </c>
      <c r="H120" s="114">
        <v>0</v>
      </c>
      <c r="I120" s="114">
        <v>0</v>
      </c>
      <c r="J120" s="115">
        <v>0</v>
      </c>
      <c r="K120" s="113">
        <v>0</v>
      </c>
      <c r="P120" s="112" t="s">
        <v>307</v>
      </c>
      <c r="Q120" s="113">
        <f>IFERROR(VLOOKUP($A120,YTD!$A$13:$D$1048576,3,0),0)</f>
        <v>134812.34</v>
      </c>
      <c r="R120" s="116">
        <f>IFERROR(VLOOKUP($A120,YTD!$A$13:$D$1048576,4,0),0)</f>
        <v>0</v>
      </c>
      <c r="S120" s="113"/>
      <c r="T120" s="113"/>
      <c r="U120" s="112" t="s">
        <v>307</v>
      </c>
      <c r="V120" s="114">
        <v>0</v>
      </c>
      <c r="W120" s="114">
        <v>0</v>
      </c>
      <c r="X120" s="115">
        <v>0</v>
      </c>
      <c r="Y120" s="113">
        <v>0</v>
      </c>
      <c r="Z120" s="113">
        <v>20556.599999999999</v>
      </c>
      <c r="AA120" s="113">
        <v>690.4</v>
      </c>
      <c r="AB120" s="113">
        <v>11842.14</v>
      </c>
      <c r="AC120" s="113">
        <v>9180.19</v>
      </c>
      <c r="AD120" s="113">
        <v>9259.52</v>
      </c>
      <c r="AE120" s="113">
        <v>8106.26</v>
      </c>
      <c r="AF120" s="113">
        <v>8141.01</v>
      </c>
      <c r="AG120" s="113">
        <v>12871.03</v>
      </c>
      <c r="AH120" s="113">
        <v>13961.82</v>
      </c>
      <c r="AI120" s="113">
        <v>14237.15</v>
      </c>
      <c r="AJ120" s="113">
        <v>13069.24</v>
      </c>
      <c r="AK120" s="113">
        <f t="shared" si="8"/>
        <v>12896.98</v>
      </c>
      <c r="AM120" s="214"/>
    </row>
    <row r="121" spans="1:39" x14ac:dyDescent="0.3">
      <c r="A121" s="109" t="str">
        <f t="shared" si="9"/>
        <v>debit    6666010102  Salary-Blue collar indirect employees- A</v>
      </c>
      <c r="B121" s="112" t="s">
        <v>308</v>
      </c>
      <c r="C121" s="113">
        <f>IFERROR(VLOOKUP($A121,MTD!$A$13:$D$1048576,3,0),0)</f>
        <v>370101.34</v>
      </c>
      <c r="D121" s="116">
        <f>IFERROR(VLOOKUP($A121,MTD!$A$13:$D$1048576,4,0),0)</f>
        <v>0</v>
      </c>
      <c r="E121" s="113"/>
      <c r="F121" s="113"/>
      <c r="G121" s="112" t="s">
        <v>308</v>
      </c>
      <c r="H121" s="114">
        <v>0</v>
      </c>
      <c r="I121" s="114">
        <v>0</v>
      </c>
      <c r="J121" s="115">
        <v>0</v>
      </c>
      <c r="K121" s="113">
        <v>0</v>
      </c>
      <c r="P121" s="112" t="s">
        <v>308</v>
      </c>
      <c r="Q121" s="113">
        <f>IFERROR(VLOOKUP($A121,YTD!$A$13:$D$1048576,3,0),0)</f>
        <v>3992139.53</v>
      </c>
      <c r="R121" s="116">
        <f>IFERROR(VLOOKUP($A121,YTD!$A$13:$D$1048576,4,0),0)</f>
        <v>0</v>
      </c>
      <c r="S121" s="113"/>
      <c r="T121" s="113"/>
      <c r="U121" s="112" t="s">
        <v>308</v>
      </c>
      <c r="V121" s="114">
        <v>0</v>
      </c>
      <c r="W121" s="114">
        <v>0</v>
      </c>
      <c r="X121" s="115">
        <v>0</v>
      </c>
      <c r="Y121" s="113">
        <v>0</v>
      </c>
      <c r="Z121" s="113">
        <v>368338.49</v>
      </c>
      <c r="AA121" s="113">
        <v>249240.06</v>
      </c>
      <c r="AB121" s="113">
        <v>318556.73</v>
      </c>
      <c r="AC121" s="113">
        <v>284511.71999999997</v>
      </c>
      <c r="AD121" s="113">
        <v>246975.98</v>
      </c>
      <c r="AE121" s="113">
        <v>264790.61</v>
      </c>
      <c r="AF121" s="113">
        <v>293547.64</v>
      </c>
      <c r="AG121" s="113">
        <v>320152.56</v>
      </c>
      <c r="AH121" s="113">
        <v>428196.98</v>
      </c>
      <c r="AI121" s="113">
        <v>468651.22</v>
      </c>
      <c r="AJ121" s="113">
        <v>379076.2</v>
      </c>
      <c r="AK121" s="113">
        <f t="shared" si="8"/>
        <v>370101.34</v>
      </c>
      <c r="AM121" s="214"/>
    </row>
    <row r="122" spans="1:39" x14ac:dyDescent="0.3">
      <c r="A122" s="109" t="str">
        <f t="shared" si="9"/>
        <v>debit*   CS_Indirect Labour</v>
      </c>
      <c r="B122" s="117" t="s">
        <v>218</v>
      </c>
      <c r="C122" s="118">
        <f>IFERROR(VLOOKUP($A122,MTD!$A$13:$D$1048576,3,0),0)</f>
        <v>466530.9</v>
      </c>
      <c r="D122" s="118">
        <f>IFERROR(VLOOKUP($A122,MTD!$A$13:$D$1048576,4,0),0)</f>
        <v>653460.86</v>
      </c>
      <c r="E122" s="118"/>
      <c r="F122" s="118"/>
      <c r="G122" s="117" t="s">
        <v>218</v>
      </c>
      <c r="H122" s="119">
        <v>0</v>
      </c>
      <c r="I122" s="119">
        <v>0</v>
      </c>
      <c r="J122" s="120">
        <v>0</v>
      </c>
      <c r="K122" s="118">
        <v>0</v>
      </c>
      <c r="P122" s="117" t="s">
        <v>218</v>
      </c>
      <c r="Q122" s="118">
        <f>IFERROR(VLOOKUP($A122,YTD!$A$13:$D$1048576,3,0),0)</f>
        <v>5223586.34</v>
      </c>
      <c r="R122" s="118">
        <f>IFERROR(VLOOKUP($A122,YTD!$A$13:$D$1048576,4,0),0)</f>
        <v>5690117.2000000002</v>
      </c>
      <c r="S122" s="118"/>
      <c r="T122" s="118"/>
      <c r="U122" s="117" t="s">
        <v>218</v>
      </c>
      <c r="V122" s="119">
        <v>0</v>
      </c>
      <c r="W122" s="119">
        <v>0</v>
      </c>
      <c r="X122" s="120">
        <v>0</v>
      </c>
      <c r="Y122" s="118">
        <v>0</v>
      </c>
      <c r="Z122" s="118">
        <v>487339.84</v>
      </c>
      <c r="AA122" s="118">
        <v>309668.81</v>
      </c>
      <c r="AB122" s="118">
        <v>396284.44</v>
      </c>
      <c r="AC122" s="118">
        <v>372333.9</v>
      </c>
      <c r="AD122" s="118">
        <v>312236.33</v>
      </c>
      <c r="AE122" s="118">
        <v>351890.23</v>
      </c>
      <c r="AF122" s="118">
        <v>412747.07</v>
      </c>
      <c r="AG122" s="118">
        <v>414804.72</v>
      </c>
      <c r="AH122" s="118">
        <v>539196.46</v>
      </c>
      <c r="AI122" s="118">
        <v>632964.12</v>
      </c>
      <c r="AJ122" s="118">
        <v>527589.52</v>
      </c>
      <c r="AK122" s="118">
        <f t="shared" si="8"/>
        <v>466530.9</v>
      </c>
      <c r="AM122" s="214"/>
    </row>
    <row r="123" spans="1:39" x14ac:dyDescent="0.3">
      <c r="A123" s="109" t="str">
        <f t="shared" si="9"/>
        <v>debit    6666010196  Payroll Taxes-White Collar Employee</v>
      </c>
      <c r="B123" s="112" t="s">
        <v>309</v>
      </c>
      <c r="C123" s="113">
        <f>IFERROR(VLOOKUP($A123,MTD!$A$13:$D$1048576,3,0),0)</f>
        <v>23985.200000000001</v>
      </c>
      <c r="D123" s="116">
        <f>IFERROR(VLOOKUP($A123,MTD!$A$13:$D$1048576,4,0),0)</f>
        <v>0</v>
      </c>
      <c r="E123" s="113"/>
      <c r="F123" s="113"/>
      <c r="G123" s="112" t="s">
        <v>309</v>
      </c>
      <c r="H123" s="114">
        <v>0</v>
      </c>
      <c r="I123" s="114">
        <v>0</v>
      </c>
      <c r="J123" s="115">
        <v>0</v>
      </c>
      <c r="K123" s="113">
        <v>0</v>
      </c>
      <c r="P123" s="112" t="s">
        <v>309</v>
      </c>
      <c r="Q123" s="113">
        <f>IFERROR(VLOOKUP($A123,YTD!$A$13:$D$1048576,3,0),0)</f>
        <v>330634.90999999997</v>
      </c>
      <c r="R123" s="116">
        <f>IFERROR(VLOOKUP($A123,YTD!$A$13:$D$1048576,4,0),0)</f>
        <v>0</v>
      </c>
      <c r="S123" s="113"/>
      <c r="T123" s="113"/>
      <c r="U123" s="112" t="s">
        <v>309</v>
      </c>
      <c r="V123" s="114">
        <v>0</v>
      </c>
      <c r="W123" s="114">
        <v>0</v>
      </c>
      <c r="X123" s="115">
        <v>0</v>
      </c>
      <c r="Y123" s="113">
        <v>0</v>
      </c>
      <c r="Z123" s="113">
        <v>31491.41</v>
      </c>
      <c r="AA123" s="113">
        <v>32051.279999999999</v>
      </c>
      <c r="AB123" s="113">
        <v>31663.94</v>
      </c>
      <c r="AC123" s="113">
        <v>28274.61</v>
      </c>
      <c r="AD123" s="113">
        <v>29733.08</v>
      </c>
      <c r="AE123" s="113">
        <v>28144.83</v>
      </c>
      <c r="AF123" s="113">
        <v>26011.23</v>
      </c>
      <c r="AG123" s="113">
        <v>25202.61</v>
      </c>
      <c r="AH123" s="113">
        <v>24930.06</v>
      </c>
      <c r="AI123" s="113">
        <v>24770.02</v>
      </c>
      <c r="AJ123" s="113">
        <v>24376.639999999999</v>
      </c>
      <c r="AK123" s="113">
        <f t="shared" si="8"/>
        <v>23985.200000000001</v>
      </c>
      <c r="AM123" s="214"/>
    </row>
    <row r="124" spans="1:39" x14ac:dyDescent="0.3">
      <c r="A124" s="109" t="str">
        <f t="shared" si="9"/>
        <v>debit    6666010101  Salary - White collar employees</v>
      </c>
      <c r="B124" s="112" t="s">
        <v>310</v>
      </c>
      <c r="C124" s="113">
        <f>IFERROR(VLOOKUP($A124,MTD!$A$13:$D$1048576,3,0),0)</f>
        <v>153462.96</v>
      </c>
      <c r="D124" s="113">
        <f>IFERROR(VLOOKUP($A124,MTD!$A$13:$D$1048576,4,0),0)</f>
        <v>157619.20000000001</v>
      </c>
      <c r="E124" s="113"/>
      <c r="F124" s="113"/>
      <c r="G124" s="112" t="s">
        <v>310</v>
      </c>
      <c r="H124" s="114">
        <v>0</v>
      </c>
      <c r="I124" s="114">
        <v>0</v>
      </c>
      <c r="J124" s="115">
        <v>0</v>
      </c>
      <c r="K124" s="113">
        <v>0</v>
      </c>
      <c r="P124" s="112" t="s">
        <v>310</v>
      </c>
      <c r="Q124" s="113">
        <f>IFERROR(VLOOKUP($A124,YTD!$A$13:$D$1048576,3,0),0)</f>
        <v>2188477.89</v>
      </c>
      <c r="R124" s="113">
        <f>IFERROR(VLOOKUP($A124,YTD!$A$13:$D$1048576,4,0),0)</f>
        <v>1900124.61</v>
      </c>
      <c r="S124" s="113"/>
      <c r="T124" s="113"/>
      <c r="U124" s="112" t="s">
        <v>310</v>
      </c>
      <c r="V124" s="114">
        <v>0</v>
      </c>
      <c r="W124" s="114">
        <v>0</v>
      </c>
      <c r="X124" s="115">
        <v>0</v>
      </c>
      <c r="Y124" s="113">
        <v>0</v>
      </c>
      <c r="Z124" s="113">
        <v>207476.81</v>
      </c>
      <c r="AA124" s="113">
        <v>196884.26</v>
      </c>
      <c r="AB124" s="113">
        <v>188869.5</v>
      </c>
      <c r="AC124" s="113">
        <v>281815.33</v>
      </c>
      <c r="AD124" s="113">
        <v>194534.79</v>
      </c>
      <c r="AE124" s="113">
        <v>189219.5</v>
      </c>
      <c r="AF124" s="113">
        <v>166232.85</v>
      </c>
      <c r="AG124" s="113">
        <v>152533.79</v>
      </c>
      <c r="AH124" s="113">
        <v>150169.23000000001</v>
      </c>
      <c r="AI124" s="113">
        <v>159556.16</v>
      </c>
      <c r="AJ124" s="113">
        <v>147722.71</v>
      </c>
      <c r="AK124" s="113">
        <f t="shared" si="8"/>
        <v>153462.96</v>
      </c>
      <c r="AM124" s="214"/>
    </row>
    <row r="125" spans="1:39" x14ac:dyDescent="0.3">
      <c r="A125" s="109" t="str">
        <f t="shared" si="9"/>
        <v>debit    6666010199  Salary-White collar employees -Accrued</v>
      </c>
      <c r="B125" s="112" t="s">
        <v>311</v>
      </c>
      <c r="C125" s="113">
        <f>IFERROR(VLOOKUP($A125,MTD!$A$13:$D$1048576,3,0),0)</f>
        <v>10575.36</v>
      </c>
      <c r="D125" s="116">
        <f>IFERROR(VLOOKUP($A125,MTD!$A$13:$D$1048576,4,0),0)</f>
        <v>0</v>
      </c>
      <c r="E125" s="113"/>
      <c r="F125" s="113"/>
      <c r="G125" s="112" t="s">
        <v>311</v>
      </c>
      <c r="H125" s="114">
        <v>0</v>
      </c>
      <c r="I125" s="114">
        <v>0</v>
      </c>
      <c r="J125" s="115">
        <v>0</v>
      </c>
      <c r="K125" s="113">
        <v>0</v>
      </c>
      <c r="P125" s="112" t="s">
        <v>311</v>
      </c>
      <c r="Q125" s="113">
        <f>IFERROR(VLOOKUP($A125,YTD!$A$13:$D$1048576,3,0),0)</f>
        <v>-33801.910000000003</v>
      </c>
      <c r="R125" s="116">
        <f>IFERROR(VLOOKUP($A125,YTD!$A$13:$D$1048576,4,0),0)</f>
        <v>0</v>
      </c>
      <c r="S125" s="113"/>
      <c r="T125" s="113"/>
      <c r="U125" s="112" t="s">
        <v>311</v>
      </c>
      <c r="V125" s="114">
        <v>0</v>
      </c>
      <c r="W125" s="114">
        <v>0</v>
      </c>
      <c r="X125" s="115">
        <v>0</v>
      </c>
      <c r="Y125" s="113">
        <v>0</v>
      </c>
      <c r="Z125" s="113">
        <v>36712.300000000003</v>
      </c>
      <c r="AA125" s="113">
        <v>2038.06</v>
      </c>
      <c r="AB125" s="113">
        <v>2899.18</v>
      </c>
      <c r="AC125" s="113">
        <v>-129432.66</v>
      </c>
      <c r="AD125" s="113">
        <v>11695.4</v>
      </c>
      <c r="AE125" s="113">
        <v>-4453.6400000000003</v>
      </c>
      <c r="AF125" s="113">
        <v>-2074.09</v>
      </c>
      <c r="AG125" s="113">
        <v>10347.709999999999</v>
      </c>
      <c r="AH125" s="113">
        <v>10022.459999999999</v>
      </c>
      <c r="AI125" s="113">
        <v>8019.15</v>
      </c>
      <c r="AJ125" s="113">
        <v>9848.86</v>
      </c>
      <c r="AK125" s="113">
        <f t="shared" si="8"/>
        <v>10575.36</v>
      </c>
      <c r="AM125" s="214"/>
    </row>
    <row r="126" spans="1:39" x14ac:dyDescent="0.3">
      <c r="A126" s="109" t="str">
        <f t="shared" si="9"/>
        <v>debit    6666010185  Salary&amp;Additional Incentive-White Collar</v>
      </c>
      <c r="B126" s="112" t="s">
        <v>312</v>
      </c>
      <c r="C126" s="113">
        <f>IFERROR(VLOOKUP($A126,MTD!$A$13:$D$1048576,3,0),0)</f>
        <v>-613.48</v>
      </c>
      <c r="D126" s="116">
        <f>IFERROR(VLOOKUP($A126,MTD!$A$13:$D$1048576,4,0),0)</f>
        <v>0</v>
      </c>
      <c r="E126" s="113"/>
      <c r="F126" s="113"/>
      <c r="G126" s="112" t="s">
        <v>312</v>
      </c>
      <c r="H126" s="114">
        <v>0</v>
      </c>
      <c r="I126" s="114">
        <v>0</v>
      </c>
      <c r="J126" s="115">
        <v>0</v>
      </c>
      <c r="K126" s="113">
        <v>0</v>
      </c>
      <c r="P126" s="112" t="s">
        <v>312</v>
      </c>
      <c r="Q126" s="113">
        <f>IFERROR(VLOOKUP($A126,YTD!$A$13:$D$1048576,3,0),0)</f>
        <v>-17030.21</v>
      </c>
      <c r="R126" s="116">
        <f>IFERROR(VLOOKUP($A126,YTD!$A$13:$D$1048576,4,0),0)</f>
        <v>0</v>
      </c>
      <c r="S126" s="113"/>
      <c r="T126" s="113"/>
      <c r="U126" s="112" t="s">
        <v>312</v>
      </c>
      <c r="V126" s="114">
        <v>0</v>
      </c>
      <c r="W126" s="114">
        <v>0</v>
      </c>
      <c r="X126" s="115">
        <v>0</v>
      </c>
      <c r="Y126" s="113">
        <v>0</v>
      </c>
      <c r="Z126" s="113">
        <v>-1824.33</v>
      </c>
      <c r="AA126" s="113">
        <v>-2835.98</v>
      </c>
      <c r="AB126" s="113">
        <v>-2668.61</v>
      </c>
      <c r="AC126" s="113">
        <v>-1721.06</v>
      </c>
      <c r="AD126" s="113">
        <v>-1887.75</v>
      </c>
      <c r="AE126" s="113">
        <v>-2377.0300000000002</v>
      </c>
      <c r="AF126" s="113">
        <v>-1633.21</v>
      </c>
      <c r="AG126" s="113">
        <v>-1642.19</v>
      </c>
      <c r="AH126" s="113">
        <v>1443.6</v>
      </c>
      <c r="AI126" s="113">
        <v>-640.05999999999995</v>
      </c>
      <c r="AJ126" s="113">
        <v>-630.11</v>
      </c>
      <c r="AK126" s="113">
        <f t="shared" si="8"/>
        <v>-613.48</v>
      </c>
      <c r="AM126" s="214"/>
    </row>
    <row r="127" spans="1:39" x14ac:dyDescent="0.3">
      <c r="A127" s="109" t="str">
        <f t="shared" si="9"/>
        <v>debit    6666010207  Unemployment insurance companies to pay</v>
      </c>
      <c r="B127" s="112" t="s">
        <v>313</v>
      </c>
      <c r="C127" s="113">
        <f>IFERROR(VLOOKUP($A127,MTD!$A$13:$D$1048576,3,0),0)</f>
        <v>2324.2800000000002</v>
      </c>
      <c r="D127" s="116">
        <f>IFERROR(VLOOKUP($A127,MTD!$A$13:$D$1048576,4,0),0)</f>
        <v>0</v>
      </c>
      <c r="E127" s="113"/>
      <c r="F127" s="113"/>
      <c r="G127" s="112" t="s">
        <v>313</v>
      </c>
      <c r="H127" s="114">
        <v>0</v>
      </c>
      <c r="I127" s="114">
        <v>0</v>
      </c>
      <c r="J127" s="115">
        <v>0</v>
      </c>
      <c r="K127" s="113">
        <v>0</v>
      </c>
      <c r="P127" s="112" t="s">
        <v>313</v>
      </c>
      <c r="Q127" s="113">
        <f>IFERROR(VLOOKUP($A127,YTD!$A$13:$D$1048576,3,0),0)</f>
        <v>30832.76</v>
      </c>
      <c r="R127" s="116">
        <f>IFERROR(VLOOKUP($A127,YTD!$A$13:$D$1048576,4,0),0)</f>
        <v>0</v>
      </c>
      <c r="S127" s="113"/>
      <c r="T127" s="113"/>
      <c r="U127" s="112" t="s">
        <v>313</v>
      </c>
      <c r="V127" s="114">
        <v>0</v>
      </c>
      <c r="W127" s="114">
        <v>0</v>
      </c>
      <c r="X127" s="115">
        <v>0</v>
      </c>
      <c r="Y127" s="113">
        <v>0</v>
      </c>
      <c r="Z127" s="113">
        <v>2822.02</v>
      </c>
      <c r="AA127" s="113">
        <v>2924.87</v>
      </c>
      <c r="AB127" s="113">
        <v>2802.82</v>
      </c>
      <c r="AC127" s="113">
        <v>2487.33</v>
      </c>
      <c r="AD127" s="113">
        <v>2647.91</v>
      </c>
      <c r="AE127" s="113">
        <v>2717.62</v>
      </c>
      <c r="AF127" s="113">
        <v>2520.86</v>
      </c>
      <c r="AG127" s="113">
        <v>2441.48</v>
      </c>
      <c r="AH127" s="113">
        <v>2393.12</v>
      </c>
      <c r="AI127" s="113">
        <v>2395.35</v>
      </c>
      <c r="AJ127" s="113">
        <v>2355.1</v>
      </c>
      <c r="AK127" s="113">
        <f t="shared" si="8"/>
        <v>2324.2800000000002</v>
      </c>
      <c r="AM127" s="214"/>
    </row>
    <row r="128" spans="1:39" x14ac:dyDescent="0.3">
      <c r="A128" s="109" t="str">
        <f t="shared" si="9"/>
        <v>debit    6666010321  car allowance</v>
      </c>
      <c r="B128" s="112" t="s">
        <v>314</v>
      </c>
      <c r="C128" s="116">
        <f>IFERROR(VLOOKUP($A128,MTD!$A$13:$D$1048576,3,0),0)</f>
        <v>0</v>
      </c>
      <c r="D128" s="116">
        <f>IFERROR(VLOOKUP($A128,MTD!$A$13:$D$1048576,4,0),0)</f>
        <v>0</v>
      </c>
      <c r="E128" s="113"/>
      <c r="F128" s="113"/>
      <c r="G128" s="112" t="s">
        <v>314</v>
      </c>
      <c r="H128" s="114">
        <v>0</v>
      </c>
      <c r="I128" s="114">
        <v>0</v>
      </c>
      <c r="J128" s="115">
        <v>0</v>
      </c>
      <c r="K128" s="113">
        <v>0</v>
      </c>
      <c r="P128" s="112" t="s">
        <v>314</v>
      </c>
      <c r="Q128" s="116">
        <f>IFERROR(VLOOKUP($A128,YTD!$A$13:$D$1048576,3,0),0)</f>
        <v>0</v>
      </c>
      <c r="R128" s="116">
        <f>IFERROR(VLOOKUP($A128,YTD!$A$13:$D$1048576,4,0),0)</f>
        <v>0</v>
      </c>
      <c r="S128" s="113"/>
      <c r="T128" s="113"/>
      <c r="U128" s="112" t="s">
        <v>314</v>
      </c>
      <c r="V128" s="114">
        <v>0</v>
      </c>
      <c r="W128" s="114">
        <v>0</v>
      </c>
      <c r="X128" s="115">
        <v>0</v>
      </c>
      <c r="Y128" s="113">
        <v>0</v>
      </c>
      <c r="Z128" s="113">
        <v>0</v>
      </c>
      <c r="AA128" s="113">
        <v>0</v>
      </c>
      <c r="AB128" s="113">
        <v>0</v>
      </c>
      <c r="AC128" s="113">
        <v>0</v>
      </c>
      <c r="AD128" s="113">
        <v>0</v>
      </c>
      <c r="AE128" s="113">
        <v>0</v>
      </c>
      <c r="AF128" s="113">
        <v>0</v>
      </c>
      <c r="AG128" s="113">
        <v>0</v>
      </c>
      <c r="AH128" s="113">
        <v>0</v>
      </c>
      <c r="AI128" s="113">
        <v>0</v>
      </c>
      <c r="AJ128" s="113">
        <v>0</v>
      </c>
      <c r="AK128" s="113">
        <f t="shared" si="8"/>
        <v>0</v>
      </c>
      <c r="AM128" s="214"/>
    </row>
    <row r="129" spans="1:39" x14ac:dyDescent="0.3">
      <c r="A129" s="109" t="str">
        <f t="shared" si="9"/>
        <v>debit    6666010227  Staff Leaving Indemnity - White collar E</v>
      </c>
      <c r="B129" s="112" t="s">
        <v>315</v>
      </c>
      <c r="C129" s="113">
        <f>IFERROR(VLOOKUP($A129,MTD!$A$13:$D$1048576,3,0),0)</f>
        <v>3452.92</v>
      </c>
      <c r="D129" s="116">
        <f>IFERROR(VLOOKUP($A129,MTD!$A$13:$D$1048576,4,0),0)</f>
        <v>0</v>
      </c>
      <c r="E129" s="113"/>
      <c r="F129" s="113"/>
      <c r="G129" s="112" t="s">
        <v>315</v>
      </c>
      <c r="H129" s="114">
        <v>0</v>
      </c>
      <c r="I129" s="114">
        <v>0</v>
      </c>
      <c r="J129" s="115">
        <v>0</v>
      </c>
      <c r="K129" s="113">
        <v>0</v>
      </c>
      <c r="P129" s="112" t="s">
        <v>315</v>
      </c>
      <c r="Q129" s="113">
        <f>IFERROR(VLOOKUP($A129,YTD!$A$13:$D$1048576,3,0),0)</f>
        <v>38043.449999999997</v>
      </c>
      <c r="R129" s="116">
        <f>IFERROR(VLOOKUP($A129,YTD!$A$13:$D$1048576,4,0),0)</f>
        <v>0</v>
      </c>
      <c r="S129" s="113"/>
      <c r="T129" s="113"/>
      <c r="U129" s="112" t="s">
        <v>315</v>
      </c>
      <c r="V129" s="114">
        <v>0</v>
      </c>
      <c r="W129" s="114">
        <v>0</v>
      </c>
      <c r="X129" s="115">
        <v>0</v>
      </c>
      <c r="Y129" s="113">
        <v>0</v>
      </c>
      <c r="Z129" s="113">
        <v>-22300.959999999999</v>
      </c>
      <c r="AA129" s="113">
        <v>29044</v>
      </c>
      <c r="AB129" s="113">
        <v>3051.02</v>
      </c>
      <c r="AC129" s="113">
        <v>2884.38</v>
      </c>
      <c r="AD129" s="113">
        <v>2939.84</v>
      </c>
      <c r="AE129" s="113">
        <v>2839.79</v>
      </c>
      <c r="AF129" s="113">
        <v>2858.39</v>
      </c>
      <c r="AG129" s="113">
        <v>10151.48</v>
      </c>
      <c r="AH129" s="113">
        <v>3284.78</v>
      </c>
      <c r="AI129" s="113">
        <v>-3621.58</v>
      </c>
      <c r="AJ129" s="113">
        <v>3459.39</v>
      </c>
      <c r="AK129" s="113">
        <f t="shared" si="8"/>
        <v>3452.92</v>
      </c>
      <c r="AM129" s="214"/>
    </row>
    <row r="130" spans="1:39" x14ac:dyDescent="0.3">
      <c r="A130" s="109" t="str">
        <f t="shared" si="9"/>
        <v>debit*   CS_Fixed Labour</v>
      </c>
      <c r="B130" s="117" t="s">
        <v>219</v>
      </c>
      <c r="C130" s="118">
        <f>IFERROR(VLOOKUP($A130,MTD!$A$13:$D$1048576,3,0),0)</f>
        <v>193187.24</v>
      </c>
      <c r="D130" s="118">
        <f>IFERROR(VLOOKUP($A130,MTD!$A$13:$D$1048576,4,0),0)</f>
        <v>157619.20000000001</v>
      </c>
      <c r="E130" s="118"/>
      <c r="F130" s="118"/>
      <c r="G130" s="117" t="s">
        <v>219</v>
      </c>
      <c r="H130" s="119">
        <v>0</v>
      </c>
      <c r="I130" s="119">
        <v>0</v>
      </c>
      <c r="J130" s="120">
        <v>0</v>
      </c>
      <c r="K130" s="118">
        <v>0</v>
      </c>
      <c r="P130" s="117" t="s">
        <v>219</v>
      </c>
      <c r="Q130" s="118">
        <f>IFERROR(VLOOKUP($A130,YTD!$A$13:$D$1048576,3,0),0)</f>
        <v>2537156.89</v>
      </c>
      <c r="R130" s="118">
        <f>IFERROR(VLOOKUP($A130,YTD!$A$13:$D$1048576,4,0),0)</f>
        <v>1900124.61</v>
      </c>
      <c r="S130" s="118"/>
      <c r="T130" s="118"/>
      <c r="U130" s="117" t="s">
        <v>219</v>
      </c>
      <c r="V130" s="119">
        <v>0</v>
      </c>
      <c r="W130" s="119">
        <v>0</v>
      </c>
      <c r="X130" s="120">
        <v>0</v>
      </c>
      <c r="Y130" s="118">
        <v>0</v>
      </c>
      <c r="Z130" s="118">
        <v>254377.25</v>
      </c>
      <c r="AA130" s="118">
        <v>260106.49</v>
      </c>
      <c r="AB130" s="118">
        <v>226617.85</v>
      </c>
      <c r="AC130" s="118">
        <v>184307.93</v>
      </c>
      <c r="AD130" s="118">
        <v>239663.27</v>
      </c>
      <c r="AE130" s="118">
        <v>216091.07</v>
      </c>
      <c r="AF130" s="118">
        <v>193916.03</v>
      </c>
      <c r="AG130" s="118">
        <v>199034.88</v>
      </c>
      <c r="AH130" s="118">
        <v>192243.25</v>
      </c>
      <c r="AI130" s="118">
        <v>190479.04</v>
      </c>
      <c r="AJ130" s="118">
        <v>187132.59</v>
      </c>
      <c r="AK130" s="118">
        <f t="shared" si="8"/>
        <v>193187.24</v>
      </c>
      <c r="AM130" s="214"/>
    </row>
    <row r="131" spans="1:39" x14ac:dyDescent="0.3">
      <c r="A131" s="109" t="str">
        <f t="shared" si="9"/>
        <v>debit    6666020903  Other materials</v>
      </c>
      <c r="B131" s="112" t="s">
        <v>316</v>
      </c>
      <c r="C131" s="116">
        <f>IFERROR(VLOOKUP($A131,MTD!$A$13:$D$1048576,3,0),0)</f>
        <v>0</v>
      </c>
      <c r="D131" s="116">
        <f>IFERROR(VLOOKUP($A131,MTD!$A$13:$D$1048576,4,0),0)</f>
        <v>0</v>
      </c>
      <c r="E131" s="113"/>
      <c r="F131" s="113"/>
      <c r="G131" s="112" t="s">
        <v>316</v>
      </c>
      <c r="H131" s="114">
        <v>0</v>
      </c>
      <c r="I131" s="114">
        <v>0</v>
      </c>
      <c r="J131" s="115">
        <v>0</v>
      </c>
      <c r="K131" s="113">
        <v>0</v>
      </c>
      <c r="P131" s="112" t="s">
        <v>316</v>
      </c>
      <c r="Q131" s="116">
        <f>IFERROR(VLOOKUP($A131,YTD!$A$13:$D$1048576,3,0),0)</f>
        <v>-10.9</v>
      </c>
      <c r="R131" s="116">
        <f>IFERROR(VLOOKUP($A131,YTD!$A$13:$D$1048576,4,0),0)</f>
        <v>0</v>
      </c>
      <c r="S131" s="113"/>
      <c r="T131" s="113"/>
      <c r="U131" s="112" t="s">
        <v>316</v>
      </c>
      <c r="V131" s="114">
        <v>0</v>
      </c>
      <c r="W131" s="114">
        <v>0</v>
      </c>
      <c r="X131" s="115">
        <v>0</v>
      </c>
      <c r="Y131" s="113">
        <v>0</v>
      </c>
      <c r="Z131" s="113">
        <v>0</v>
      </c>
      <c r="AA131" s="113">
        <v>0</v>
      </c>
      <c r="AB131" s="113">
        <v>0</v>
      </c>
      <c r="AC131" s="113">
        <v>0</v>
      </c>
      <c r="AD131" s="113">
        <v>-0.91</v>
      </c>
      <c r="AE131" s="113">
        <v>0</v>
      </c>
      <c r="AF131" s="113">
        <v>0</v>
      </c>
      <c r="AG131" s="113">
        <v>-9.99</v>
      </c>
      <c r="AH131" s="113">
        <v>0</v>
      </c>
      <c r="AI131" s="113">
        <v>0</v>
      </c>
      <c r="AJ131" s="113">
        <v>0</v>
      </c>
      <c r="AK131" s="113">
        <f t="shared" si="8"/>
        <v>0</v>
      </c>
      <c r="AM131" s="214"/>
    </row>
    <row r="132" spans="1:39" x14ac:dyDescent="0.3">
      <c r="A132" s="109" t="str">
        <f t="shared" si="9"/>
        <v>debit    6666010302  Medical expenses</v>
      </c>
      <c r="B132" s="112" t="s">
        <v>317</v>
      </c>
      <c r="C132" s="113">
        <f>IFERROR(VLOOKUP($A132,MTD!$A$13:$D$1048576,3,0),0)</f>
        <v>7525.59</v>
      </c>
      <c r="D132" s="113">
        <f>IFERROR(VLOOKUP($A132,MTD!$A$13:$D$1048576,4,0),0)</f>
        <v>17550.39</v>
      </c>
      <c r="E132" s="113"/>
      <c r="F132" s="113"/>
      <c r="G132" s="112" t="s">
        <v>317</v>
      </c>
      <c r="H132" s="114">
        <v>0</v>
      </c>
      <c r="I132" s="114">
        <v>0</v>
      </c>
      <c r="J132" s="115">
        <v>0</v>
      </c>
      <c r="K132" s="113">
        <v>0</v>
      </c>
      <c r="P132" s="112" t="s">
        <v>317</v>
      </c>
      <c r="Q132" s="113">
        <f>IFERROR(VLOOKUP($A132,YTD!$A$13:$D$1048576,3,0),0)</f>
        <v>146680.87</v>
      </c>
      <c r="R132" s="113">
        <f>IFERROR(VLOOKUP($A132,YTD!$A$13:$D$1048576,4,0),0)</f>
        <v>210312.98</v>
      </c>
      <c r="S132" s="113"/>
      <c r="T132" s="113"/>
      <c r="U132" s="112" t="s">
        <v>317</v>
      </c>
      <c r="V132" s="114">
        <v>0</v>
      </c>
      <c r="W132" s="114">
        <v>0</v>
      </c>
      <c r="X132" s="115">
        <v>0</v>
      </c>
      <c r="Y132" s="113">
        <v>0</v>
      </c>
      <c r="Z132" s="113">
        <v>10300.02</v>
      </c>
      <c r="AA132" s="113">
        <v>23817.09</v>
      </c>
      <c r="AB132" s="113">
        <v>9897.34</v>
      </c>
      <c r="AC132" s="113">
        <v>9936.52</v>
      </c>
      <c r="AD132" s="113">
        <v>9245.4699999999993</v>
      </c>
      <c r="AE132" s="113">
        <v>7850.55</v>
      </c>
      <c r="AF132" s="113">
        <v>8771.58</v>
      </c>
      <c r="AG132" s="113">
        <v>12289.61</v>
      </c>
      <c r="AH132" s="113">
        <v>23197.84</v>
      </c>
      <c r="AI132" s="113">
        <v>12345.95</v>
      </c>
      <c r="AJ132" s="113">
        <v>11503.31</v>
      </c>
      <c r="AK132" s="113">
        <f t="shared" si="8"/>
        <v>7525.59</v>
      </c>
      <c r="AM132" s="214"/>
    </row>
    <row r="133" spans="1:39" x14ac:dyDescent="0.3">
      <c r="A133" s="109" t="str">
        <f t="shared" si="9"/>
        <v>debit    6666010314  Work uniforms</v>
      </c>
      <c r="B133" s="112" t="s">
        <v>318</v>
      </c>
      <c r="C133" s="113">
        <f>IFERROR(VLOOKUP($A133,MTD!$A$13:$D$1048576,3,0),0)</f>
        <v>3683.34</v>
      </c>
      <c r="D133" s="113">
        <f>IFERROR(VLOOKUP($A133,MTD!$A$13:$D$1048576,4,0),0)</f>
        <v>70952.23</v>
      </c>
      <c r="E133" s="113"/>
      <c r="F133" s="113"/>
      <c r="G133" s="112" t="s">
        <v>318</v>
      </c>
      <c r="H133" s="114">
        <v>0</v>
      </c>
      <c r="I133" s="114">
        <v>0</v>
      </c>
      <c r="J133" s="115">
        <v>0</v>
      </c>
      <c r="K133" s="113">
        <v>0</v>
      </c>
      <c r="P133" s="112" t="s">
        <v>318</v>
      </c>
      <c r="Q133" s="113">
        <f>IFERROR(VLOOKUP($A133,YTD!$A$13:$D$1048576,3,0),0)</f>
        <v>460642.61</v>
      </c>
      <c r="R133" s="113">
        <f>IFERROR(VLOOKUP($A133,YTD!$A$13:$D$1048576,4,0),0)</f>
        <v>851013.46</v>
      </c>
      <c r="S133" s="113"/>
      <c r="T133" s="113"/>
      <c r="U133" s="112" t="s">
        <v>318</v>
      </c>
      <c r="V133" s="114">
        <v>0</v>
      </c>
      <c r="W133" s="114">
        <v>0</v>
      </c>
      <c r="X133" s="115">
        <v>0</v>
      </c>
      <c r="Y133" s="113">
        <v>0</v>
      </c>
      <c r="Z133" s="113">
        <v>48662.19</v>
      </c>
      <c r="AA133" s="113">
        <v>68817.89</v>
      </c>
      <c r="AB133" s="113">
        <v>70872.25</v>
      </c>
      <c r="AC133" s="113">
        <v>45184.98</v>
      </c>
      <c r="AD133" s="113">
        <v>43508.24</v>
      </c>
      <c r="AE133" s="113">
        <v>-857.14</v>
      </c>
      <c r="AF133" s="113">
        <v>2429.59</v>
      </c>
      <c r="AG133" s="113">
        <v>380.92</v>
      </c>
      <c r="AH133" s="113">
        <v>133015</v>
      </c>
      <c r="AI133" s="113">
        <v>45632.27</v>
      </c>
      <c r="AJ133" s="113">
        <v>-686.92</v>
      </c>
      <c r="AK133" s="113">
        <f t="shared" si="8"/>
        <v>3683.34</v>
      </c>
      <c r="AM133" s="214"/>
    </row>
    <row r="134" spans="1:39" x14ac:dyDescent="0.3">
      <c r="A134" s="109" t="str">
        <f t="shared" si="9"/>
        <v>debit    6666020401  local transportation - bus and taxi</v>
      </c>
      <c r="B134" s="112" t="s">
        <v>319</v>
      </c>
      <c r="C134" s="113">
        <f>IFERROR(VLOOKUP($A134,MTD!$A$13:$D$1048576,3,0),0)</f>
        <v>114402.22</v>
      </c>
      <c r="D134" s="113">
        <f>IFERROR(VLOOKUP($A134,MTD!$A$13:$D$1048576,4,0),0)</f>
        <v>222965.74</v>
      </c>
      <c r="E134" s="113"/>
      <c r="F134" s="113"/>
      <c r="G134" s="112" t="s">
        <v>319</v>
      </c>
      <c r="H134" s="114">
        <v>0</v>
      </c>
      <c r="I134" s="114">
        <v>0</v>
      </c>
      <c r="J134" s="115">
        <v>0</v>
      </c>
      <c r="K134" s="113">
        <v>0</v>
      </c>
      <c r="P134" s="112" t="s">
        <v>319</v>
      </c>
      <c r="Q134" s="113">
        <f>IFERROR(VLOOKUP($A134,YTD!$A$13:$D$1048576,3,0),0)</f>
        <v>1145686.9099999999</v>
      </c>
      <c r="R134" s="113">
        <f>IFERROR(VLOOKUP($A134,YTD!$A$13:$D$1048576,4,0),0)</f>
        <v>1774092.66</v>
      </c>
      <c r="S134" s="113"/>
      <c r="T134" s="113"/>
      <c r="U134" s="112" t="s">
        <v>319</v>
      </c>
      <c r="V134" s="114">
        <v>0</v>
      </c>
      <c r="W134" s="114">
        <v>0</v>
      </c>
      <c r="X134" s="115">
        <v>0</v>
      </c>
      <c r="Y134" s="113">
        <v>0</v>
      </c>
      <c r="Z134" s="113">
        <v>115653.92</v>
      </c>
      <c r="AA134" s="113">
        <v>103551.3</v>
      </c>
      <c r="AB134" s="113">
        <v>76921.240000000005</v>
      </c>
      <c r="AC134" s="113">
        <v>71893.66</v>
      </c>
      <c r="AD134" s="113">
        <v>68056.77</v>
      </c>
      <c r="AE134" s="113">
        <v>63914.25</v>
      </c>
      <c r="AF134" s="113">
        <v>78931.45</v>
      </c>
      <c r="AG134" s="113">
        <v>108752.64</v>
      </c>
      <c r="AH134" s="113">
        <v>112036.44</v>
      </c>
      <c r="AI134" s="113">
        <v>118757.86</v>
      </c>
      <c r="AJ134" s="113">
        <v>112815.16</v>
      </c>
      <c r="AK134" s="113">
        <f t="shared" si="8"/>
        <v>114402.22</v>
      </c>
      <c r="AM134" s="214"/>
    </row>
    <row r="135" spans="1:39" x14ac:dyDescent="0.3">
      <c r="A135" s="109" t="str">
        <f t="shared" si="9"/>
        <v>debit    6666020402  Local transportation-transport subsidies</v>
      </c>
      <c r="B135" s="112" t="s">
        <v>320</v>
      </c>
      <c r="C135" s="116">
        <f>IFERROR(VLOOKUP($A135,MTD!$A$13:$D$1048576,3,0),0)</f>
        <v>0</v>
      </c>
      <c r="D135" s="116">
        <f>IFERROR(VLOOKUP($A135,MTD!$A$13:$D$1048576,4,0),0)</f>
        <v>0</v>
      </c>
      <c r="E135" s="113"/>
      <c r="F135" s="113"/>
      <c r="G135" s="112" t="s">
        <v>320</v>
      </c>
      <c r="H135" s="114">
        <v>0</v>
      </c>
      <c r="I135" s="114">
        <v>0</v>
      </c>
      <c r="J135" s="115">
        <v>0</v>
      </c>
      <c r="K135" s="113">
        <v>0</v>
      </c>
      <c r="P135" s="112" t="s">
        <v>320</v>
      </c>
      <c r="Q135" s="116">
        <f>IFERROR(VLOOKUP($A135,YTD!$A$13:$D$1048576,3,0),0)</f>
        <v>0</v>
      </c>
      <c r="R135" s="116">
        <f>IFERROR(VLOOKUP($A135,YTD!$A$13:$D$1048576,4,0),0)</f>
        <v>0</v>
      </c>
      <c r="S135" s="113"/>
      <c r="T135" s="113"/>
      <c r="U135" s="112" t="s">
        <v>320</v>
      </c>
      <c r="V135" s="114">
        <v>0</v>
      </c>
      <c r="W135" s="114">
        <v>0</v>
      </c>
      <c r="X135" s="115">
        <v>0</v>
      </c>
      <c r="Y135" s="113">
        <v>0</v>
      </c>
      <c r="Z135" s="113">
        <v>0</v>
      </c>
      <c r="AA135" s="113">
        <v>0</v>
      </c>
      <c r="AB135" s="113">
        <v>0</v>
      </c>
      <c r="AC135" s="113">
        <v>0</v>
      </c>
      <c r="AD135" s="113">
        <v>0</v>
      </c>
      <c r="AE135" s="113">
        <v>0</v>
      </c>
      <c r="AF135" s="113">
        <v>0</v>
      </c>
      <c r="AG135" s="113">
        <v>0</v>
      </c>
      <c r="AH135" s="113">
        <v>0</v>
      </c>
      <c r="AI135" s="113">
        <v>0</v>
      </c>
      <c r="AJ135" s="113">
        <v>0</v>
      </c>
      <c r="AK135" s="113">
        <f t="shared" si="8"/>
        <v>0</v>
      </c>
      <c r="AM135" s="214"/>
    </row>
    <row r="136" spans="1:39" x14ac:dyDescent="0.3">
      <c r="A136" s="109" t="str">
        <f t="shared" si="9"/>
        <v>debit    6666020502  Working meals</v>
      </c>
      <c r="B136" s="112" t="s">
        <v>321</v>
      </c>
      <c r="C136" s="113">
        <f>IFERROR(VLOOKUP($A136,MTD!$A$13:$D$1048576,3,0),0)</f>
        <v>113229.99</v>
      </c>
      <c r="D136" s="113">
        <f>IFERROR(VLOOKUP($A136,MTD!$A$13:$D$1048576,4,0),0)</f>
        <v>185701.17</v>
      </c>
      <c r="E136" s="113"/>
      <c r="F136" s="113"/>
      <c r="G136" s="112" t="s">
        <v>321</v>
      </c>
      <c r="H136" s="114">
        <v>0</v>
      </c>
      <c r="I136" s="114">
        <v>0</v>
      </c>
      <c r="J136" s="115">
        <v>0</v>
      </c>
      <c r="K136" s="113">
        <v>0</v>
      </c>
      <c r="P136" s="112" t="s">
        <v>321</v>
      </c>
      <c r="Q136" s="113">
        <f>IFERROR(VLOOKUP($A136,YTD!$A$13:$D$1048576,3,0),0)</f>
        <v>1158592.3</v>
      </c>
      <c r="R136" s="113">
        <f>IFERROR(VLOOKUP($A136,YTD!$A$13:$D$1048576,4,0),0)</f>
        <v>1521365.06</v>
      </c>
      <c r="S136" s="113"/>
      <c r="T136" s="113"/>
      <c r="U136" s="112" t="s">
        <v>321</v>
      </c>
      <c r="V136" s="114">
        <v>0</v>
      </c>
      <c r="W136" s="114">
        <v>0</v>
      </c>
      <c r="X136" s="115">
        <v>0</v>
      </c>
      <c r="Y136" s="113">
        <v>0</v>
      </c>
      <c r="Z136" s="113">
        <v>117216.42</v>
      </c>
      <c r="AA136" s="113">
        <v>99107.39</v>
      </c>
      <c r="AB136" s="113">
        <v>86826.02</v>
      </c>
      <c r="AC136" s="113">
        <v>73587.3</v>
      </c>
      <c r="AD136" s="113">
        <v>72797.33</v>
      </c>
      <c r="AE136" s="113">
        <v>61026.65</v>
      </c>
      <c r="AF136" s="113">
        <v>70705.61</v>
      </c>
      <c r="AG136" s="113">
        <v>115799.5</v>
      </c>
      <c r="AH136" s="113">
        <v>118113.9</v>
      </c>
      <c r="AI136" s="113">
        <v>119844.29</v>
      </c>
      <c r="AJ136" s="113">
        <v>110337.9</v>
      </c>
      <c r="AK136" s="113">
        <f t="shared" si="8"/>
        <v>113229.99</v>
      </c>
      <c r="AM136" s="214"/>
    </row>
    <row r="137" spans="1:39" x14ac:dyDescent="0.3">
      <c r="A137" s="109" t="str">
        <f t="shared" si="9"/>
        <v>debit    6666020503  Office supplies</v>
      </c>
      <c r="B137" s="112" t="s">
        <v>322</v>
      </c>
      <c r="C137" s="113">
        <f>IFERROR(VLOOKUP($A137,MTD!$A$13:$D$1048576,3,0),0)</f>
        <v>-4862.8500000000004</v>
      </c>
      <c r="D137" s="113">
        <f>IFERROR(VLOOKUP($A137,MTD!$A$13:$D$1048576,4,0),0)</f>
        <v>4763.18</v>
      </c>
      <c r="E137" s="113"/>
      <c r="F137" s="113"/>
      <c r="G137" s="112" t="s">
        <v>322</v>
      </c>
      <c r="H137" s="114">
        <v>0</v>
      </c>
      <c r="I137" s="114">
        <v>0</v>
      </c>
      <c r="J137" s="115">
        <v>0</v>
      </c>
      <c r="K137" s="113">
        <v>0</v>
      </c>
      <c r="P137" s="112" t="s">
        <v>322</v>
      </c>
      <c r="Q137" s="113">
        <f>IFERROR(VLOOKUP($A137,YTD!$A$13:$D$1048576,3,0),0)</f>
        <v>16855.740000000002</v>
      </c>
      <c r="R137" s="113">
        <f>IFERROR(VLOOKUP($A137,YTD!$A$13:$D$1048576,4,0),0)</f>
        <v>57158.16</v>
      </c>
      <c r="S137" s="113"/>
      <c r="T137" s="113"/>
      <c r="U137" s="112" t="s">
        <v>322</v>
      </c>
      <c r="V137" s="114">
        <v>0</v>
      </c>
      <c r="W137" s="114">
        <v>0</v>
      </c>
      <c r="X137" s="115">
        <v>0</v>
      </c>
      <c r="Y137" s="113">
        <v>0</v>
      </c>
      <c r="Z137" s="113">
        <v>877.56</v>
      </c>
      <c r="AA137" s="113">
        <v>2449.06</v>
      </c>
      <c r="AB137" s="113">
        <v>1594.21</v>
      </c>
      <c r="AC137" s="113">
        <v>2020.48</v>
      </c>
      <c r="AD137" s="113">
        <v>2011.38</v>
      </c>
      <c r="AE137" s="113">
        <v>1820.44</v>
      </c>
      <c r="AF137" s="113">
        <v>1942.56</v>
      </c>
      <c r="AG137" s="113">
        <v>1009.52</v>
      </c>
      <c r="AH137" s="113">
        <v>293.58</v>
      </c>
      <c r="AI137" s="113">
        <v>3737.3</v>
      </c>
      <c r="AJ137" s="113">
        <v>3962.5</v>
      </c>
      <c r="AK137" s="113">
        <f t="shared" si="8"/>
        <v>-4862.8500000000004</v>
      </c>
      <c r="AM137" s="214"/>
    </row>
    <row r="138" spans="1:39" x14ac:dyDescent="0.3">
      <c r="A138" s="109" t="str">
        <f t="shared" si="9"/>
        <v>debit    6666021500  Repairs cost</v>
      </c>
      <c r="B138" s="112" t="s">
        <v>323</v>
      </c>
      <c r="C138" s="113">
        <f>IFERROR(VLOOKUP($A138,MTD!$A$13:$D$1048576,3,0),0)</f>
        <v>0</v>
      </c>
      <c r="D138" s="116">
        <f>IFERROR(VLOOKUP($A138,MTD!$A$13:$D$1048576,4,0),0)</f>
        <v>0</v>
      </c>
      <c r="E138" s="113"/>
      <c r="F138" s="113"/>
      <c r="G138" s="112" t="s">
        <v>323</v>
      </c>
      <c r="H138" s="114">
        <v>0</v>
      </c>
      <c r="I138" s="114">
        <v>0</v>
      </c>
      <c r="J138" s="115">
        <v>0</v>
      </c>
      <c r="K138" s="113">
        <v>0</v>
      </c>
      <c r="P138" s="112" t="s">
        <v>323</v>
      </c>
      <c r="Q138" s="113">
        <f>IFERROR(VLOOKUP($A138,YTD!$A$13:$D$1048576,3,0),0)</f>
        <v>6141.13</v>
      </c>
      <c r="R138" s="116">
        <f>IFERROR(VLOOKUP($A138,YTD!$A$13:$D$1048576,4,0),0)</f>
        <v>0</v>
      </c>
      <c r="S138" s="113"/>
      <c r="T138" s="113"/>
      <c r="U138" s="112" t="s">
        <v>323</v>
      </c>
      <c r="V138" s="114">
        <v>0</v>
      </c>
      <c r="W138" s="114">
        <v>0</v>
      </c>
      <c r="X138" s="115">
        <v>0</v>
      </c>
      <c r="Y138" s="113">
        <v>0</v>
      </c>
      <c r="Z138" s="113">
        <v>982.58</v>
      </c>
      <c r="AA138" s="113">
        <v>-15.07</v>
      </c>
      <c r="AB138" s="113">
        <v>1850.4</v>
      </c>
      <c r="AC138" s="113">
        <v>144.24</v>
      </c>
      <c r="AD138" s="113">
        <v>835.48</v>
      </c>
      <c r="AE138" s="113">
        <v>803.44</v>
      </c>
      <c r="AF138" s="113">
        <v>808.2</v>
      </c>
      <c r="AG138" s="113">
        <v>731.86</v>
      </c>
      <c r="AH138" s="113">
        <v>0</v>
      </c>
      <c r="AI138" s="113">
        <v>0</v>
      </c>
      <c r="AJ138" s="113">
        <v>0</v>
      </c>
      <c r="AK138" s="113">
        <f t="shared" si="8"/>
        <v>0</v>
      </c>
      <c r="AM138" s="214"/>
    </row>
    <row r="139" spans="1:39" x14ac:dyDescent="0.3">
      <c r="A139" s="109" t="str">
        <f t="shared" si="9"/>
        <v>debit    6666021502  Repair &amp; Maintain - Building&amp;office</v>
      </c>
      <c r="B139" s="112" t="s">
        <v>324</v>
      </c>
      <c r="C139" s="113">
        <f>IFERROR(VLOOKUP($A139,MTD!$A$13:$D$1048576,3,0),0)</f>
        <v>29118.91</v>
      </c>
      <c r="D139" s="113">
        <f>IFERROR(VLOOKUP($A139,MTD!$A$13:$D$1048576,4,0),0)</f>
        <v>96777.68</v>
      </c>
      <c r="E139" s="113"/>
      <c r="F139" s="113"/>
      <c r="G139" s="112" t="s">
        <v>324</v>
      </c>
      <c r="H139" s="114">
        <v>0</v>
      </c>
      <c r="I139" s="114">
        <v>0</v>
      </c>
      <c r="J139" s="115">
        <v>0</v>
      </c>
      <c r="K139" s="113">
        <v>0</v>
      </c>
      <c r="P139" s="112" t="s">
        <v>324</v>
      </c>
      <c r="Q139" s="113">
        <f>IFERROR(VLOOKUP($A139,YTD!$A$13:$D$1048576,3,0),0)</f>
        <v>211276.31</v>
      </c>
      <c r="R139" s="113">
        <f>IFERROR(VLOOKUP($A139,YTD!$A$13:$D$1048576,4,0),0)</f>
        <v>1161332.1599999999</v>
      </c>
      <c r="S139" s="113"/>
      <c r="T139" s="113"/>
      <c r="U139" s="112" t="s">
        <v>324</v>
      </c>
      <c r="V139" s="114">
        <v>0</v>
      </c>
      <c r="W139" s="114">
        <v>0</v>
      </c>
      <c r="X139" s="115">
        <v>0</v>
      </c>
      <c r="Y139" s="113">
        <v>0</v>
      </c>
      <c r="Z139" s="113">
        <v>9312.84</v>
      </c>
      <c r="AA139" s="113">
        <v>53157.18</v>
      </c>
      <c r="AB139" s="113">
        <v>-2639.9</v>
      </c>
      <c r="AC139" s="113">
        <v>70.16</v>
      </c>
      <c r="AD139" s="113">
        <v>2640.4</v>
      </c>
      <c r="AE139" s="113">
        <v>11198.68</v>
      </c>
      <c r="AF139" s="113">
        <v>1891.36</v>
      </c>
      <c r="AG139" s="113">
        <v>4785.84</v>
      </c>
      <c r="AH139" s="113">
        <v>3473.4</v>
      </c>
      <c r="AI139" s="113">
        <v>62030.48</v>
      </c>
      <c r="AJ139" s="113">
        <v>36236.959999999999</v>
      </c>
      <c r="AK139" s="113">
        <f t="shared" si="8"/>
        <v>29118.91</v>
      </c>
      <c r="AM139" s="214"/>
    </row>
    <row r="140" spans="1:39" x14ac:dyDescent="0.3">
      <c r="A140" s="109" t="str">
        <f t="shared" si="9"/>
        <v>debit    6666021503  Repair &amp; Maintain - Tooling &amp; Equipments</v>
      </c>
      <c r="B140" s="112" t="s">
        <v>325</v>
      </c>
      <c r="C140" s="113">
        <f>IFERROR(VLOOKUP($A140,MTD!$A$13:$D$1048576,3,0),0)</f>
        <v>3610.82</v>
      </c>
      <c r="D140" s="113">
        <f>IFERROR(VLOOKUP($A140,MTD!$A$13:$D$1048576,4,0),0)</f>
        <v>18207.400000000001</v>
      </c>
      <c r="E140" s="113"/>
      <c r="F140" s="113"/>
      <c r="G140" s="112" t="s">
        <v>325</v>
      </c>
      <c r="H140" s="114">
        <v>0</v>
      </c>
      <c r="I140" s="114">
        <v>0</v>
      </c>
      <c r="J140" s="115">
        <v>0</v>
      </c>
      <c r="K140" s="113">
        <v>0</v>
      </c>
      <c r="P140" s="112" t="s">
        <v>325</v>
      </c>
      <c r="Q140" s="113">
        <f>IFERROR(VLOOKUP($A140,YTD!$A$13:$D$1048576,3,0),0)</f>
        <v>53238.53</v>
      </c>
      <c r="R140" s="113">
        <f>IFERROR(VLOOKUP($A140,YTD!$A$13:$D$1048576,4,0),0)</f>
        <v>218488.8</v>
      </c>
      <c r="S140" s="113"/>
      <c r="T140" s="113"/>
      <c r="U140" s="112" t="s">
        <v>325</v>
      </c>
      <c r="V140" s="114">
        <v>0</v>
      </c>
      <c r="W140" s="114">
        <v>0</v>
      </c>
      <c r="X140" s="115">
        <v>0</v>
      </c>
      <c r="Y140" s="113">
        <v>0</v>
      </c>
      <c r="Z140" s="113">
        <v>729.34</v>
      </c>
      <c r="AA140" s="113">
        <v>3404.18</v>
      </c>
      <c r="AB140" s="113">
        <v>1538.06</v>
      </c>
      <c r="AC140" s="113">
        <v>1597.95</v>
      </c>
      <c r="AD140" s="113">
        <v>9445.58</v>
      </c>
      <c r="AE140" s="113">
        <v>10811.42</v>
      </c>
      <c r="AF140" s="113">
        <v>10272.75</v>
      </c>
      <c r="AG140" s="113">
        <v>5591.37</v>
      </c>
      <c r="AH140" s="113">
        <v>4831.71</v>
      </c>
      <c r="AI140" s="113">
        <v>291.33</v>
      </c>
      <c r="AJ140" s="113">
        <v>1114.02</v>
      </c>
      <c r="AK140" s="113">
        <f t="shared" si="8"/>
        <v>3610.82</v>
      </c>
      <c r="AM140" s="214"/>
    </row>
    <row r="141" spans="1:39" x14ac:dyDescent="0.3">
      <c r="A141" s="109" t="str">
        <f t="shared" si="9"/>
        <v>debit    6666021505  Repairs &amp; Maintenance - Vehicles</v>
      </c>
      <c r="B141" s="112" t="s">
        <v>326</v>
      </c>
      <c r="C141" s="113">
        <f>IFERROR(VLOOKUP($A141,MTD!$A$13:$D$1048576,3,0),0)</f>
        <v>4452.92</v>
      </c>
      <c r="D141" s="116">
        <f>IFERROR(VLOOKUP($A141,MTD!$A$13:$D$1048576,4,0),0)</f>
        <v>0</v>
      </c>
      <c r="E141" s="113"/>
      <c r="F141" s="113"/>
      <c r="G141" s="112" t="s">
        <v>326</v>
      </c>
      <c r="H141" s="114">
        <v>0</v>
      </c>
      <c r="I141" s="114">
        <v>0</v>
      </c>
      <c r="J141" s="115">
        <v>0</v>
      </c>
      <c r="K141" s="113">
        <v>0</v>
      </c>
      <c r="P141" s="112" t="s">
        <v>326</v>
      </c>
      <c r="Q141" s="113">
        <f>IFERROR(VLOOKUP($A141,YTD!$A$13:$D$1048576,3,0),0)</f>
        <v>5363.42</v>
      </c>
      <c r="R141" s="116">
        <f>IFERROR(VLOOKUP($A141,YTD!$A$13:$D$1048576,4,0),0)</f>
        <v>0</v>
      </c>
      <c r="S141" s="113"/>
      <c r="T141" s="113"/>
      <c r="U141" s="112" t="s">
        <v>326</v>
      </c>
      <c r="V141" s="114">
        <v>0</v>
      </c>
      <c r="W141" s="114">
        <v>0</v>
      </c>
      <c r="X141" s="115">
        <v>0</v>
      </c>
      <c r="Y141" s="113">
        <v>0</v>
      </c>
      <c r="Z141" s="113">
        <v>8.6</v>
      </c>
      <c r="AA141" s="113">
        <v>870.8</v>
      </c>
      <c r="AB141" s="113">
        <v>-0.34</v>
      </c>
      <c r="AC141" s="113">
        <v>-35.32</v>
      </c>
      <c r="AD141" s="113">
        <v>0</v>
      </c>
      <c r="AE141" s="113">
        <v>0</v>
      </c>
      <c r="AF141" s="113">
        <v>0</v>
      </c>
      <c r="AG141" s="113">
        <v>0</v>
      </c>
      <c r="AH141" s="113">
        <v>66.760000000000005</v>
      </c>
      <c r="AI141" s="113">
        <v>0</v>
      </c>
      <c r="AJ141" s="113">
        <v>0</v>
      </c>
      <c r="AK141" s="113">
        <f t="shared" si="8"/>
        <v>4452.92</v>
      </c>
      <c r="AM141" s="214"/>
    </row>
    <row r="142" spans="1:39" x14ac:dyDescent="0.3">
      <c r="A142" s="109" t="str">
        <f t="shared" si="9"/>
        <v>debit    6666021506  Repairs &amp; Maintenance - Plant &amp; Machiner</v>
      </c>
      <c r="B142" s="112" t="s">
        <v>327</v>
      </c>
      <c r="C142" s="113">
        <f>IFERROR(VLOOKUP($A142,MTD!$A$13:$D$1048576,3,0),0)</f>
        <v>15514.16</v>
      </c>
      <c r="D142" s="113">
        <f>IFERROR(VLOOKUP($A142,MTD!$A$13:$D$1048576,4,0),0)</f>
        <v>50017.36</v>
      </c>
      <c r="E142" s="113"/>
      <c r="F142" s="113"/>
      <c r="G142" s="112" t="s">
        <v>327</v>
      </c>
      <c r="H142" s="114">
        <v>0</v>
      </c>
      <c r="I142" s="114">
        <v>0</v>
      </c>
      <c r="J142" s="115">
        <v>0</v>
      </c>
      <c r="K142" s="113">
        <v>0</v>
      </c>
      <c r="P142" s="112" t="s">
        <v>327</v>
      </c>
      <c r="Q142" s="113">
        <f>IFERROR(VLOOKUP($A142,YTD!$A$13:$D$1048576,3,0),0)</f>
        <v>436930.45</v>
      </c>
      <c r="R142" s="113">
        <f>IFERROR(VLOOKUP($A142,YTD!$A$13:$D$1048576,4,0),0)</f>
        <v>600208.31999999995</v>
      </c>
      <c r="S142" s="113"/>
      <c r="T142" s="113"/>
      <c r="U142" s="112" t="s">
        <v>327</v>
      </c>
      <c r="V142" s="114">
        <v>0</v>
      </c>
      <c r="W142" s="114">
        <v>0</v>
      </c>
      <c r="X142" s="115">
        <v>0</v>
      </c>
      <c r="Y142" s="113">
        <v>0</v>
      </c>
      <c r="Z142" s="113">
        <v>112584.8</v>
      </c>
      <c r="AA142" s="113">
        <v>-19627.48</v>
      </c>
      <c r="AB142" s="113">
        <v>64672.97</v>
      </c>
      <c r="AC142" s="113">
        <v>59924.66</v>
      </c>
      <c r="AD142" s="113">
        <v>45253.46</v>
      </c>
      <c r="AE142" s="113">
        <v>50915.5</v>
      </c>
      <c r="AF142" s="113">
        <v>33241.56</v>
      </c>
      <c r="AG142" s="113">
        <v>32539.1</v>
      </c>
      <c r="AH142" s="113">
        <v>34710.44</v>
      </c>
      <c r="AI142" s="113">
        <v>-4754.8</v>
      </c>
      <c r="AJ142" s="113">
        <v>11956.08</v>
      </c>
      <c r="AK142" s="113">
        <f t="shared" si="8"/>
        <v>15514.16</v>
      </c>
      <c r="AM142" s="214"/>
    </row>
    <row r="143" spans="1:39" x14ac:dyDescent="0.3">
      <c r="A143" s="109" t="str">
        <f t="shared" si="9"/>
        <v>debit    6666091600  Garbage disposal charge</v>
      </c>
      <c r="B143" s="112" t="s">
        <v>328</v>
      </c>
      <c r="C143" s="113">
        <f>IFERROR(VLOOKUP($A143,MTD!$A$13:$D$1048576,3,0),0)</f>
        <v>1958.94</v>
      </c>
      <c r="D143" s="113">
        <f>IFERROR(VLOOKUP($A143,MTD!$A$13:$D$1048576,4,0),0)</f>
        <v>908.36</v>
      </c>
      <c r="E143" s="113"/>
      <c r="F143" s="113"/>
      <c r="G143" s="112" t="s">
        <v>328</v>
      </c>
      <c r="H143" s="114">
        <v>0</v>
      </c>
      <c r="I143" s="114">
        <v>0</v>
      </c>
      <c r="J143" s="115">
        <v>0</v>
      </c>
      <c r="K143" s="113">
        <v>0</v>
      </c>
      <c r="P143" s="112" t="s">
        <v>328</v>
      </c>
      <c r="Q143" s="113">
        <f>IFERROR(VLOOKUP($A143,YTD!$A$13:$D$1048576,3,0),0)</f>
        <v>9374.4</v>
      </c>
      <c r="R143" s="113">
        <f>IFERROR(VLOOKUP($A143,YTD!$A$13:$D$1048576,4,0),0)</f>
        <v>9959.1200000000008</v>
      </c>
      <c r="S143" s="113"/>
      <c r="T143" s="113"/>
      <c r="U143" s="112" t="s">
        <v>328</v>
      </c>
      <c r="V143" s="114">
        <v>0</v>
      </c>
      <c r="W143" s="114">
        <v>0</v>
      </c>
      <c r="X143" s="115">
        <v>0</v>
      </c>
      <c r="Y143" s="113">
        <v>0</v>
      </c>
      <c r="Z143" s="113">
        <v>515</v>
      </c>
      <c r="AA143" s="113">
        <v>229.93</v>
      </c>
      <c r="AB143" s="113">
        <v>963.99</v>
      </c>
      <c r="AC143" s="113">
        <v>650.37</v>
      </c>
      <c r="AD143" s="113">
        <v>380.44</v>
      </c>
      <c r="AE143" s="113">
        <v>182</v>
      </c>
      <c r="AF143" s="113">
        <v>893.33</v>
      </c>
      <c r="AG143" s="113">
        <v>960.16</v>
      </c>
      <c r="AH143" s="113">
        <v>307.18</v>
      </c>
      <c r="AI143" s="113">
        <v>358.03</v>
      </c>
      <c r="AJ143" s="113">
        <v>1975.03</v>
      </c>
      <c r="AK143" s="113">
        <f t="shared" si="8"/>
        <v>1958.94</v>
      </c>
      <c r="AM143" s="214"/>
    </row>
    <row r="144" spans="1:39" x14ac:dyDescent="0.3">
      <c r="A144" s="109" t="str">
        <f t="shared" si="9"/>
        <v>debit    5401060201  COGS-Repair expense</v>
      </c>
      <c r="B144" s="112" t="s">
        <v>329</v>
      </c>
      <c r="C144" s="113">
        <f>IFERROR(VLOOKUP($A144,MTD!$A$13:$D$1048576,3,0),0)</f>
        <v>0</v>
      </c>
      <c r="D144" s="113">
        <f>IFERROR(VLOOKUP($A144,MTD!$A$13:$D$1048576,4,0),0)</f>
        <v>0</v>
      </c>
      <c r="E144" s="113"/>
      <c r="F144" s="113"/>
      <c r="G144" s="112" t="s">
        <v>329</v>
      </c>
      <c r="H144" s="114"/>
      <c r="I144" s="114"/>
      <c r="J144" s="115"/>
      <c r="K144" s="113"/>
      <c r="P144" s="112" t="s">
        <v>329</v>
      </c>
      <c r="Q144" s="113">
        <f>IFERROR(VLOOKUP($A144,YTD!$A$13:$D$1048576,3,0),0)</f>
        <v>0</v>
      </c>
      <c r="R144" s="113">
        <f>IFERROR(VLOOKUP($A144,YTD!$A$13:$D$1048576,4,0),0)</f>
        <v>0</v>
      </c>
      <c r="S144" s="113"/>
      <c r="T144" s="113"/>
      <c r="U144" s="112" t="s">
        <v>329</v>
      </c>
      <c r="V144" s="114"/>
      <c r="W144" s="114"/>
      <c r="X144" s="115"/>
      <c r="Y144" s="113"/>
      <c r="Z144" s="113"/>
      <c r="AA144" s="113"/>
      <c r="AB144" s="113"/>
      <c r="AC144" s="113"/>
      <c r="AD144" s="113"/>
      <c r="AE144" s="113"/>
      <c r="AF144" s="113"/>
      <c r="AG144" s="113"/>
      <c r="AH144" s="113">
        <v>0</v>
      </c>
      <c r="AI144" s="113">
        <v>0</v>
      </c>
      <c r="AJ144" s="113">
        <v>0</v>
      </c>
      <c r="AK144" s="113">
        <f t="shared" si="8"/>
        <v>0</v>
      </c>
      <c r="AM144" s="214"/>
    </row>
    <row r="145" spans="1:39" x14ac:dyDescent="0.3">
      <c r="A145" s="109" t="str">
        <f t="shared" si="9"/>
        <v>debit*   CS_Semifix</v>
      </c>
      <c r="B145" s="117" t="s">
        <v>220</v>
      </c>
      <c r="C145" s="118">
        <f>IFERROR(VLOOKUP($A145,MTD!$A$13:$D$1048576,3,0),0)</f>
        <v>288635.44</v>
      </c>
      <c r="D145" s="118">
        <f>IFERROR(VLOOKUP($A145,MTD!$A$13:$D$1048576,4,0),0)</f>
        <v>667843.51</v>
      </c>
      <c r="E145" s="118"/>
      <c r="F145" s="118"/>
      <c r="G145" s="117" t="s">
        <v>220</v>
      </c>
      <c r="H145" s="119">
        <v>0</v>
      </c>
      <c r="I145" s="119">
        <v>0</v>
      </c>
      <c r="J145" s="120">
        <v>0</v>
      </c>
      <c r="K145" s="118">
        <v>0</v>
      </c>
      <c r="P145" s="117" t="s">
        <v>220</v>
      </c>
      <c r="Q145" s="118">
        <f>IFERROR(VLOOKUP($A145,YTD!$A$13:$D$1048576,3,0),0)</f>
        <v>3650968.49</v>
      </c>
      <c r="R145" s="118">
        <f>IFERROR(VLOOKUP($A145,YTD!$A$13:$D$1048576,4,0),0)</f>
        <v>6403930.7199999997</v>
      </c>
      <c r="S145" s="118"/>
      <c r="T145" s="118"/>
      <c r="U145" s="117" t="s">
        <v>220</v>
      </c>
      <c r="V145" s="119">
        <v>0</v>
      </c>
      <c r="W145" s="119">
        <v>0</v>
      </c>
      <c r="X145" s="120">
        <v>0</v>
      </c>
      <c r="Y145" s="118">
        <v>0</v>
      </c>
      <c r="Z145" s="118">
        <v>416843.27</v>
      </c>
      <c r="AA145" s="118">
        <v>335762.27</v>
      </c>
      <c r="AB145" s="118">
        <v>312496.24</v>
      </c>
      <c r="AC145" s="118">
        <v>264975</v>
      </c>
      <c r="AD145" s="118">
        <v>254173.64</v>
      </c>
      <c r="AE145" s="118">
        <v>207665.79</v>
      </c>
      <c r="AF145" s="118">
        <v>209887.99</v>
      </c>
      <c r="AG145" s="118">
        <v>282830.53000000003</v>
      </c>
      <c r="AH145" s="118">
        <v>430046.25</v>
      </c>
      <c r="AI145" s="118">
        <v>358242.71</v>
      </c>
      <c r="AJ145" s="118">
        <v>289409.36</v>
      </c>
      <c r="AK145" s="118">
        <f t="shared" si="8"/>
        <v>288635.44</v>
      </c>
      <c r="AM145" s="214"/>
    </row>
    <row r="146" spans="1:39" x14ac:dyDescent="0.3">
      <c r="A146" s="109" t="str">
        <f t="shared" si="9"/>
        <v>debit    600006      OVH Administrative</v>
      </c>
      <c r="B146" s="112" t="s">
        <v>330</v>
      </c>
      <c r="C146" s="113">
        <f>IFERROR(VLOOKUP($A146,MTD!$A$13:$D$1048576,3,0),0)</f>
        <v>-135958.59</v>
      </c>
      <c r="D146" s="113">
        <f>IFERROR(VLOOKUP($A146,MTD!$A$13:$D$1048576,4,0),0)</f>
        <v>311528.09999999998</v>
      </c>
      <c r="E146" s="113"/>
      <c r="F146" s="113"/>
      <c r="G146" s="112" t="s">
        <v>330</v>
      </c>
      <c r="H146" s="114">
        <v>0</v>
      </c>
      <c r="I146" s="114">
        <v>0</v>
      </c>
      <c r="J146" s="115">
        <v>0</v>
      </c>
      <c r="K146" s="113">
        <v>0</v>
      </c>
      <c r="P146" s="112" t="s">
        <v>330</v>
      </c>
      <c r="Q146" s="113">
        <f>IFERROR(VLOOKUP($A146,YTD!$A$13:$D$1048576,3,0),0)</f>
        <v>3113518.86</v>
      </c>
      <c r="R146" s="113">
        <f>IFERROR(VLOOKUP($A146,YTD!$A$13:$D$1048576,4,0),0)</f>
        <v>3738337.2</v>
      </c>
      <c r="S146" s="113"/>
      <c r="T146" s="113"/>
      <c r="U146" s="112" t="s">
        <v>330</v>
      </c>
      <c r="V146" s="114">
        <v>0</v>
      </c>
      <c r="W146" s="114">
        <v>0</v>
      </c>
      <c r="X146" s="115">
        <v>0</v>
      </c>
      <c r="Y146" s="113">
        <v>0</v>
      </c>
      <c r="Z146" s="113">
        <v>289689.19</v>
      </c>
      <c r="AA146" s="113">
        <v>355134.83</v>
      </c>
      <c r="AB146" s="113">
        <v>297322.5</v>
      </c>
      <c r="AC146" s="113">
        <v>264191.68</v>
      </c>
      <c r="AD146" s="113">
        <v>298717.94</v>
      </c>
      <c r="AE146" s="113">
        <v>281687.49</v>
      </c>
      <c r="AF146" s="113">
        <v>284409.78000000003</v>
      </c>
      <c r="AG146" s="113">
        <v>269045.75</v>
      </c>
      <c r="AH146" s="113">
        <v>313719.86</v>
      </c>
      <c r="AI146" s="113">
        <v>311760.45</v>
      </c>
      <c r="AJ146" s="113">
        <v>283797.98</v>
      </c>
      <c r="AK146" s="113">
        <f t="shared" si="8"/>
        <v>-135958.59</v>
      </c>
      <c r="AM146" s="214"/>
    </row>
    <row r="147" spans="1:39" x14ac:dyDescent="0.3">
      <c r="A147" s="109" t="str">
        <f t="shared" si="9"/>
        <v>debit*   CS_OVH_ADM</v>
      </c>
      <c r="B147" s="117" t="s">
        <v>221</v>
      </c>
      <c r="C147" s="118">
        <f>IFERROR(VLOOKUP($A147,MTD!$A$13:$D$1048576,3,0),0)</f>
        <v>-135958.59</v>
      </c>
      <c r="D147" s="118">
        <f>IFERROR(VLOOKUP($A147,MTD!$A$13:$D$1048576,4,0),0)</f>
        <v>311528.09999999998</v>
      </c>
      <c r="E147" s="118"/>
      <c r="F147" s="118"/>
      <c r="G147" s="117" t="s">
        <v>221</v>
      </c>
      <c r="H147" s="119">
        <v>0</v>
      </c>
      <c r="I147" s="119">
        <v>0</v>
      </c>
      <c r="J147" s="120">
        <v>0</v>
      </c>
      <c r="K147" s="118">
        <v>0</v>
      </c>
      <c r="P147" s="117" t="s">
        <v>221</v>
      </c>
      <c r="Q147" s="118">
        <f>IFERROR(VLOOKUP($A147,YTD!$A$13:$D$1048576,3,0),0)</f>
        <v>3113518.86</v>
      </c>
      <c r="R147" s="118">
        <f>IFERROR(VLOOKUP($A147,YTD!$A$13:$D$1048576,4,0),0)</f>
        <v>3738337.2</v>
      </c>
      <c r="S147" s="118"/>
      <c r="T147" s="118"/>
      <c r="U147" s="117" t="s">
        <v>221</v>
      </c>
      <c r="V147" s="119">
        <v>0</v>
      </c>
      <c r="W147" s="119">
        <v>0</v>
      </c>
      <c r="X147" s="120">
        <v>0</v>
      </c>
      <c r="Y147" s="118">
        <v>0</v>
      </c>
      <c r="Z147" s="118">
        <v>289689.19</v>
      </c>
      <c r="AA147" s="118">
        <v>355134.83</v>
      </c>
      <c r="AB147" s="118">
        <v>297322.5</v>
      </c>
      <c r="AC147" s="118">
        <v>264191.68</v>
      </c>
      <c r="AD147" s="118">
        <v>298717.94</v>
      </c>
      <c r="AE147" s="118">
        <v>281687.49</v>
      </c>
      <c r="AF147" s="118">
        <v>284409.78000000003</v>
      </c>
      <c r="AG147" s="118">
        <v>269045.75</v>
      </c>
      <c r="AH147" s="118">
        <v>313719.86</v>
      </c>
      <c r="AI147" s="118">
        <v>311760.45</v>
      </c>
      <c r="AJ147" s="118">
        <v>283797.98</v>
      </c>
      <c r="AK147" s="118">
        <f t="shared" si="8"/>
        <v>-135958.59</v>
      </c>
      <c r="AM147" s="214"/>
    </row>
    <row r="148" spans="1:39" x14ac:dyDescent="0.3">
      <c r="A148" s="155" t="str">
        <f t="shared" si="9"/>
        <v>debit**  Debit</v>
      </c>
      <c r="B148" s="121" t="s">
        <v>331</v>
      </c>
      <c r="C148" s="122">
        <f>IFERROR(VLOOKUP($A148,MTD!$A$13:$D$1048576,3,0),0)</f>
        <v>1773875.61</v>
      </c>
      <c r="D148" s="122">
        <f>IFERROR(VLOOKUP($A148,MTD!$A$13:$D$1048576,4,0),0)</f>
        <v>3277081.8</v>
      </c>
      <c r="E148" s="122"/>
      <c r="F148" s="122"/>
      <c r="G148" s="121" t="s">
        <v>331</v>
      </c>
      <c r="H148" s="123">
        <v>0</v>
      </c>
      <c r="I148" s="123">
        <v>0</v>
      </c>
      <c r="J148" s="124">
        <v>0</v>
      </c>
      <c r="K148" s="122">
        <v>0</v>
      </c>
      <c r="P148" s="121" t="s">
        <v>331</v>
      </c>
      <c r="Q148" s="122">
        <f>IFERROR(VLOOKUP($A148,YTD!$A$13:$D$1048576,3,0),0)</f>
        <v>27925952.550000001</v>
      </c>
      <c r="R148" s="122">
        <f>IFERROR(VLOOKUP($A148,YTD!$A$13:$D$1048576,4,0),0)</f>
        <v>30520205.390000001</v>
      </c>
      <c r="S148" s="122"/>
      <c r="T148" s="122"/>
      <c r="U148" s="121" t="s">
        <v>331</v>
      </c>
      <c r="V148" s="123">
        <v>0</v>
      </c>
      <c r="W148" s="123">
        <v>0</v>
      </c>
      <c r="X148" s="124">
        <v>0</v>
      </c>
      <c r="Y148" s="122">
        <v>0</v>
      </c>
      <c r="Z148" s="122">
        <v>2758405.32</v>
      </c>
      <c r="AA148" s="122">
        <v>2145941.5099999998</v>
      </c>
      <c r="AB148" s="122">
        <v>2436182.04</v>
      </c>
      <c r="AC148" s="122">
        <v>2013532.2</v>
      </c>
      <c r="AD148" s="122">
        <v>2272960.75</v>
      </c>
      <c r="AE148" s="122">
        <v>1846884.25</v>
      </c>
      <c r="AF148" s="122">
        <v>2206418.04</v>
      </c>
      <c r="AG148" s="122">
        <v>2202642.75</v>
      </c>
      <c r="AH148" s="122">
        <v>2663039.33</v>
      </c>
      <c r="AI148" s="122">
        <v>3033556.47</v>
      </c>
      <c r="AJ148" s="122">
        <v>2572514.2799999998</v>
      </c>
      <c r="AK148" s="122">
        <f t="shared" si="8"/>
        <v>1773875.61</v>
      </c>
      <c r="AM148" s="214"/>
    </row>
    <row r="149" spans="1:39" x14ac:dyDescent="0.3">
      <c r="A149" s="109" t="str">
        <f t="shared" ref="A149:A216" si="10">"credit"&amp;B149</f>
        <v>credit    6666110101  Depreciation of buildings</v>
      </c>
      <c r="B149" s="112" t="s">
        <v>226</v>
      </c>
      <c r="C149" s="113">
        <f>IFERROR(VLOOKUP($A149,MTD!$A$13:$D$1048576,3,0),0)</f>
        <v>-22365.439999999999</v>
      </c>
      <c r="D149" s="116">
        <f>IFERROR(VLOOKUP($A149,MTD!$A$13:$D$1048576,4,0),0)</f>
        <v>-123933.42</v>
      </c>
      <c r="E149" s="113"/>
      <c r="F149" s="113"/>
      <c r="G149" s="112" t="s">
        <v>226</v>
      </c>
      <c r="H149" s="114">
        <v>0</v>
      </c>
      <c r="I149" s="114">
        <v>0</v>
      </c>
      <c r="J149" s="115">
        <v>0</v>
      </c>
      <c r="K149" s="113">
        <v>0</v>
      </c>
      <c r="P149" s="112" t="s">
        <v>226</v>
      </c>
      <c r="Q149" s="113">
        <f>IFERROR(VLOOKUP($A149,YTD!$A$13:$D$1048576,3,0),0)</f>
        <v>0</v>
      </c>
      <c r="R149" s="116">
        <f>IFERROR(VLOOKUP($A149,YTD!$A$13:$D$1048576,4,0),0)</f>
        <v>0</v>
      </c>
      <c r="S149" s="113"/>
      <c r="T149" s="113"/>
      <c r="U149" s="112" t="s">
        <v>226</v>
      </c>
      <c r="V149" s="114">
        <v>0</v>
      </c>
      <c r="W149" s="114">
        <v>0</v>
      </c>
      <c r="X149" s="115">
        <v>0</v>
      </c>
      <c r="Y149" s="113">
        <v>0</v>
      </c>
      <c r="Z149" s="113">
        <v>-22146.86</v>
      </c>
      <c r="AA149" s="113">
        <v>-20003.68</v>
      </c>
      <c r="AB149" s="113">
        <v>-22147.1</v>
      </c>
      <c r="AC149" s="113">
        <v>-21444.29</v>
      </c>
      <c r="AD149" s="113">
        <v>-22410.7</v>
      </c>
      <c r="AE149" s="113">
        <v>-21695.87</v>
      </c>
      <c r="AF149" s="113">
        <v>-22420.1</v>
      </c>
      <c r="AG149" s="113">
        <v>-22421.25</v>
      </c>
      <c r="AH149" s="113">
        <v>-21706.5</v>
      </c>
      <c r="AI149" s="113">
        <v>-22365.46</v>
      </c>
      <c r="AJ149" s="113">
        <v>-21650.66</v>
      </c>
      <c r="AK149" s="113">
        <f t="shared" si="8"/>
        <v>-22365.439999999999</v>
      </c>
      <c r="AM149" s="214"/>
    </row>
    <row r="150" spans="1:39" x14ac:dyDescent="0.3">
      <c r="A150" s="109" t="str">
        <f t="shared" si="10"/>
        <v>credit    6666110106  Depreciation of R&amp;D facilities</v>
      </c>
      <c r="B150" s="112" t="s">
        <v>227</v>
      </c>
      <c r="C150" s="116">
        <f>IFERROR(VLOOKUP($A150,MTD!$A$13:$D$1048576,3,0),0)</f>
        <v>0</v>
      </c>
      <c r="D150" s="116">
        <f>IFERROR(VLOOKUP($A150,MTD!$A$13:$D$1048576,4,0),0)</f>
        <v>0</v>
      </c>
      <c r="E150" s="113"/>
      <c r="F150" s="113"/>
      <c r="G150" s="112" t="s">
        <v>227</v>
      </c>
      <c r="H150" s="114">
        <v>0</v>
      </c>
      <c r="I150" s="114">
        <v>0</v>
      </c>
      <c r="J150" s="115">
        <v>0</v>
      </c>
      <c r="K150" s="113">
        <v>0</v>
      </c>
      <c r="P150" s="112" t="s">
        <v>227</v>
      </c>
      <c r="Q150" s="116">
        <f>IFERROR(VLOOKUP($A150,YTD!$A$13:$D$1048576,3,0),0)</f>
        <v>0</v>
      </c>
      <c r="R150" s="116">
        <f>IFERROR(VLOOKUP($A150,YTD!$A$13:$D$1048576,4,0),0)</f>
        <v>0</v>
      </c>
      <c r="S150" s="113"/>
      <c r="T150" s="113"/>
      <c r="U150" s="112" t="s">
        <v>227</v>
      </c>
      <c r="V150" s="114">
        <v>0</v>
      </c>
      <c r="W150" s="114">
        <v>0</v>
      </c>
      <c r="X150" s="115">
        <v>0</v>
      </c>
      <c r="Y150" s="113">
        <v>0</v>
      </c>
      <c r="Z150" s="113">
        <v>0</v>
      </c>
      <c r="AA150" s="113">
        <v>0</v>
      </c>
      <c r="AB150" s="113">
        <v>0</v>
      </c>
      <c r="AC150" s="113">
        <v>0</v>
      </c>
      <c r="AD150" s="113">
        <v>0</v>
      </c>
      <c r="AE150" s="113">
        <v>0</v>
      </c>
      <c r="AF150" s="113">
        <v>0</v>
      </c>
      <c r="AG150" s="113">
        <v>0</v>
      </c>
      <c r="AH150" s="113">
        <v>0</v>
      </c>
      <c r="AI150" s="113">
        <v>0</v>
      </c>
      <c r="AJ150" s="113">
        <v>0</v>
      </c>
      <c r="AK150" s="113">
        <f t="shared" si="8"/>
        <v>0</v>
      </c>
      <c r="AM150" s="214"/>
    </row>
    <row r="151" spans="1:39" x14ac:dyDescent="0.3">
      <c r="A151" s="109" t="str">
        <f t="shared" si="10"/>
        <v>credit    6666110107  Depreciation of mold　</v>
      </c>
      <c r="B151" s="112" t="s">
        <v>228</v>
      </c>
      <c r="C151" s="113">
        <f>IFERROR(VLOOKUP($A151,MTD!$A$13:$D$1048576,3,0),0)</f>
        <v>-12976.99</v>
      </c>
      <c r="D151" s="116">
        <f>IFERROR(VLOOKUP($A151,MTD!$A$13:$D$1048576,4,0),0)</f>
        <v>0</v>
      </c>
      <c r="E151" s="113"/>
      <c r="F151" s="113"/>
      <c r="G151" s="112" t="s">
        <v>228</v>
      </c>
      <c r="H151" s="114">
        <v>0</v>
      </c>
      <c r="I151" s="114">
        <v>0</v>
      </c>
      <c r="J151" s="115">
        <v>0</v>
      </c>
      <c r="K151" s="113">
        <v>0</v>
      </c>
      <c r="P151" s="112" t="s">
        <v>228</v>
      </c>
      <c r="Q151" s="113">
        <f>IFERROR(VLOOKUP($A151,YTD!$A$13:$D$1048576,3,0),0)</f>
        <v>0</v>
      </c>
      <c r="R151" s="116">
        <f>IFERROR(VLOOKUP($A151,YTD!$A$13:$D$1048576,4,0),0)</f>
        <v>0</v>
      </c>
      <c r="S151" s="113"/>
      <c r="T151" s="113"/>
      <c r="U151" s="112" t="s">
        <v>228</v>
      </c>
      <c r="V151" s="114">
        <v>0</v>
      </c>
      <c r="W151" s="114">
        <v>0</v>
      </c>
      <c r="X151" s="115">
        <v>0</v>
      </c>
      <c r="Y151" s="113">
        <v>0</v>
      </c>
      <c r="Z151" s="113">
        <v>-13042.77</v>
      </c>
      <c r="AA151" s="113">
        <v>-12057.96</v>
      </c>
      <c r="AB151" s="113">
        <v>-13048.95</v>
      </c>
      <c r="AC151" s="113">
        <v>-13084.15</v>
      </c>
      <c r="AD151" s="113">
        <v>-13689.56</v>
      </c>
      <c r="AE151" s="113">
        <v>-13351.66</v>
      </c>
      <c r="AF151" s="113">
        <v>-13846.01</v>
      </c>
      <c r="AG151" s="113">
        <v>-13733.31</v>
      </c>
      <c r="AH151" s="113">
        <v>-13395.41</v>
      </c>
      <c r="AI151" s="113">
        <v>-12965.34</v>
      </c>
      <c r="AJ151" s="113">
        <v>-12655.04</v>
      </c>
      <c r="AK151" s="113">
        <f t="shared" si="8"/>
        <v>-12976.99</v>
      </c>
      <c r="AM151" s="214"/>
    </row>
    <row r="152" spans="1:39" x14ac:dyDescent="0.3">
      <c r="A152" s="109" t="str">
        <f t="shared" si="10"/>
        <v>credit    6666110110  Depreciation-Plant &amp; Machinery</v>
      </c>
      <c r="B152" s="112" t="s">
        <v>229</v>
      </c>
      <c r="C152" s="113">
        <f>IFERROR(VLOOKUP($A152,MTD!$A$13:$D$1048576,3,0),0)</f>
        <v>-35507.5</v>
      </c>
      <c r="D152" s="116">
        <f>IFERROR(VLOOKUP($A152,MTD!$A$13:$D$1048576,4,0),0)</f>
        <v>0</v>
      </c>
      <c r="E152" s="113"/>
      <c r="F152" s="113"/>
      <c r="G152" s="112" t="s">
        <v>229</v>
      </c>
      <c r="H152" s="114">
        <v>0</v>
      </c>
      <c r="I152" s="114">
        <v>0</v>
      </c>
      <c r="J152" s="115">
        <v>0</v>
      </c>
      <c r="K152" s="113">
        <v>0</v>
      </c>
      <c r="P152" s="112" t="s">
        <v>229</v>
      </c>
      <c r="Q152" s="113">
        <f>IFERROR(VLOOKUP($A152,YTD!$A$13:$D$1048576,3,0),0)</f>
        <v>-483967.9</v>
      </c>
      <c r="R152" s="116">
        <f>IFERROR(VLOOKUP($A152,YTD!$A$13:$D$1048576,4,0),0)</f>
        <v>0</v>
      </c>
      <c r="S152" s="113"/>
      <c r="T152" s="113"/>
      <c r="U152" s="112" t="s">
        <v>229</v>
      </c>
      <c r="V152" s="114">
        <v>0</v>
      </c>
      <c r="W152" s="114">
        <v>0</v>
      </c>
      <c r="X152" s="115">
        <v>0</v>
      </c>
      <c r="Y152" s="113">
        <v>0</v>
      </c>
      <c r="Z152" s="113">
        <v>-43048.12</v>
      </c>
      <c r="AA152" s="113">
        <v>-39016.160000000003</v>
      </c>
      <c r="AB152" s="113">
        <v>-79223.27</v>
      </c>
      <c r="AC152" s="113">
        <v>-5968.06</v>
      </c>
      <c r="AD152" s="113">
        <v>-43667.73</v>
      </c>
      <c r="AE152" s="113">
        <v>-42333.919999999998</v>
      </c>
      <c r="AF152" s="113">
        <v>-43779.53</v>
      </c>
      <c r="AG152" s="113">
        <v>-43654.04</v>
      </c>
      <c r="AH152" s="113">
        <v>-42292.2</v>
      </c>
      <c r="AI152" s="113">
        <v>-31354.57</v>
      </c>
      <c r="AJ152" s="113">
        <v>-34122.800000000003</v>
      </c>
      <c r="AK152" s="113">
        <f t="shared" si="8"/>
        <v>-35507.5</v>
      </c>
      <c r="AM152" s="214"/>
    </row>
    <row r="153" spans="1:39" x14ac:dyDescent="0.3">
      <c r="A153" s="109" t="str">
        <f t="shared" si="10"/>
        <v>credit    6666110112  Depreciation of Furniture &amp; Fixture</v>
      </c>
      <c r="B153" s="112" t="s">
        <v>230</v>
      </c>
      <c r="C153" s="113">
        <f>IFERROR(VLOOKUP($A153,MTD!$A$13:$D$1048576,3,0),0)</f>
        <v>-5440.73</v>
      </c>
      <c r="D153" s="116">
        <f>IFERROR(VLOOKUP($A153,MTD!$A$13:$D$1048576,4,0),0)</f>
        <v>0</v>
      </c>
      <c r="E153" s="113"/>
      <c r="F153" s="113"/>
      <c r="G153" s="112" t="s">
        <v>230</v>
      </c>
      <c r="H153" s="114">
        <v>0</v>
      </c>
      <c r="I153" s="114">
        <v>0</v>
      </c>
      <c r="J153" s="115">
        <v>0</v>
      </c>
      <c r="K153" s="113">
        <v>0</v>
      </c>
      <c r="P153" s="112" t="s">
        <v>230</v>
      </c>
      <c r="Q153" s="113">
        <f>IFERROR(VLOOKUP($A153,YTD!$A$13:$D$1048576,3,0),0)</f>
        <v>-59958.92</v>
      </c>
      <c r="R153" s="116">
        <f>IFERROR(VLOOKUP($A153,YTD!$A$13:$D$1048576,4,0),0)</f>
        <v>0</v>
      </c>
      <c r="S153" s="113"/>
      <c r="T153" s="113"/>
      <c r="U153" s="112" t="s">
        <v>230</v>
      </c>
      <c r="V153" s="114">
        <v>0</v>
      </c>
      <c r="W153" s="114">
        <v>0</v>
      </c>
      <c r="X153" s="115">
        <v>0</v>
      </c>
      <c r="Y153" s="113">
        <v>0</v>
      </c>
      <c r="Z153" s="113">
        <v>-3144.85</v>
      </c>
      <c r="AA153" s="113">
        <v>-2889.38</v>
      </c>
      <c r="AB153" s="113">
        <v>-3567.74</v>
      </c>
      <c r="AC153" s="113">
        <v>-3743.87</v>
      </c>
      <c r="AD153" s="113">
        <v>-6307.1</v>
      </c>
      <c r="AE153" s="113">
        <v>-6181.23</v>
      </c>
      <c r="AF153" s="113">
        <v>-6540.58</v>
      </c>
      <c r="AG153" s="113">
        <v>-6658.03</v>
      </c>
      <c r="AH153" s="113">
        <v>-6582.61</v>
      </c>
      <c r="AI153" s="113">
        <v>-3504.71</v>
      </c>
      <c r="AJ153" s="113">
        <v>-5398.09</v>
      </c>
      <c r="AK153" s="113">
        <f t="shared" si="8"/>
        <v>-5440.73</v>
      </c>
      <c r="AM153" s="214"/>
    </row>
    <row r="154" spans="1:39" x14ac:dyDescent="0.3">
      <c r="A154" s="109" t="str">
        <f t="shared" si="10"/>
        <v>credit    6666110204  Amortization of license, trademarks and</v>
      </c>
      <c r="B154" s="112" t="s">
        <v>231</v>
      </c>
      <c r="C154" s="113">
        <f>IFERROR(VLOOKUP($A154,MTD!$A$13:$D$1048576,3,0),0)</f>
        <v>-252.52</v>
      </c>
      <c r="D154" s="116">
        <f>IFERROR(VLOOKUP($A154,MTD!$A$13:$D$1048576,4,0),0)</f>
        <v>0</v>
      </c>
      <c r="E154" s="113"/>
      <c r="F154" s="113"/>
      <c r="G154" s="112" t="s">
        <v>231</v>
      </c>
      <c r="H154" s="114">
        <v>0</v>
      </c>
      <c r="I154" s="114">
        <v>0</v>
      </c>
      <c r="J154" s="115">
        <v>0</v>
      </c>
      <c r="K154" s="113">
        <v>0</v>
      </c>
      <c r="P154" s="112" t="s">
        <v>231</v>
      </c>
      <c r="Q154" s="113">
        <f>IFERROR(VLOOKUP($A154,YTD!$A$13:$D$1048576,3,0),0)</f>
        <v>-3030.2</v>
      </c>
      <c r="R154" s="116">
        <f>IFERROR(VLOOKUP($A154,YTD!$A$13:$D$1048576,4,0),0)</f>
        <v>0</v>
      </c>
      <c r="S154" s="113"/>
      <c r="T154" s="113"/>
      <c r="U154" s="112" t="s">
        <v>231</v>
      </c>
      <c r="V154" s="114">
        <v>0</v>
      </c>
      <c r="W154" s="114">
        <v>0</v>
      </c>
      <c r="X154" s="115">
        <v>0</v>
      </c>
      <c r="Y154" s="113">
        <v>0</v>
      </c>
      <c r="Z154" s="113">
        <v>-252.52</v>
      </c>
      <c r="AA154" s="113">
        <v>-252.51</v>
      </c>
      <c r="AB154" s="113">
        <v>-252.52</v>
      </c>
      <c r="AC154" s="113">
        <v>-252.52</v>
      </c>
      <c r="AD154" s="113">
        <v>-252.51</v>
      </c>
      <c r="AE154" s="113">
        <v>-252.52</v>
      </c>
      <c r="AF154" s="113">
        <v>-252.52</v>
      </c>
      <c r="AG154" s="113">
        <v>-252.51</v>
      </c>
      <c r="AH154" s="113">
        <v>-252.52</v>
      </c>
      <c r="AI154" s="113">
        <v>-252.52</v>
      </c>
      <c r="AJ154" s="113">
        <v>-252.51</v>
      </c>
      <c r="AK154" s="113">
        <f t="shared" si="8"/>
        <v>-252.52</v>
      </c>
      <c r="AM154" s="214"/>
    </row>
    <row r="155" spans="1:39" x14ac:dyDescent="0.3">
      <c r="A155" s="109" t="str">
        <f t="shared" si="10"/>
        <v>credit    6666110207  Amortization of Software</v>
      </c>
      <c r="B155" s="112" t="s">
        <v>232</v>
      </c>
      <c r="C155" s="113">
        <f>IFERROR(VLOOKUP($A155,MTD!$A$13:$D$1048576,3,0),0)</f>
        <v>-6364.35</v>
      </c>
      <c r="D155" s="116">
        <f>IFERROR(VLOOKUP($A155,MTD!$A$13:$D$1048576,4,0),0)</f>
        <v>0</v>
      </c>
      <c r="E155" s="113"/>
      <c r="F155" s="113"/>
      <c r="G155" s="112" t="s">
        <v>232</v>
      </c>
      <c r="H155" s="114">
        <v>0</v>
      </c>
      <c r="I155" s="114">
        <v>0</v>
      </c>
      <c r="J155" s="115">
        <v>0</v>
      </c>
      <c r="K155" s="113">
        <v>0</v>
      </c>
      <c r="P155" s="112" t="s">
        <v>232</v>
      </c>
      <c r="Q155" s="113">
        <f>IFERROR(VLOOKUP($A155,YTD!$A$13:$D$1048576,3,0),0)</f>
        <v>-75306.91</v>
      </c>
      <c r="R155" s="116">
        <f>IFERROR(VLOOKUP($A155,YTD!$A$13:$D$1048576,4,0),0)</f>
        <v>0</v>
      </c>
      <c r="S155" s="113"/>
      <c r="T155" s="113"/>
      <c r="U155" s="112" t="s">
        <v>232</v>
      </c>
      <c r="V155" s="114">
        <v>0</v>
      </c>
      <c r="W155" s="114">
        <v>0</v>
      </c>
      <c r="X155" s="115">
        <v>0</v>
      </c>
      <c r="Y155" s="113">
        <v>0</v>
      </c>
      <c r="Z155" s="113">
        <v>-5267.67</v>
      </c>
      <c r="AA155" s="113">
        <v>-4861.71</v>
      </c>
      <c r="AB155" s="113">
        <v>-5000.7299999999996</v>
      </c>
      <c r="AC155" s="113">
        <v>-4954.38</v>
      </c>
      <c r="AD155" s="113">
        <v>-8071.04</v>
      </c>
      <c r="AE155" s="113">
        <v>-7291.28</v>
      </c>
      <c r="AF155" s="113">
        <v>-6985.59</v>
      </c>
      <c r="AG155" s="113">
        <v>-6976.68</v>
      </c>
      <c r="AH155" s="113">
        <v>-6812.1</v>
      </c>
      <c r="AI155" s="113">
        <v>-6364.35</v>
      </c>
      <c r="AJ155" s="113">
        <v>-6357.03</v>
      </c>
      <c r="AK155" s="113">
        <f t="shared" si="8"/>
        <v>-6364.35</v>
      </c>
      <c r="AM155" s="214"/>
    </row>
    <row r="156" spans="1:39" x14ac:dyDescent="0.3">
      <c r="A156" s="109" t="str">
        <f t="shared" si="10"/>
        <v>credit    6666110506  Amortization-Leasehold Improvement</v>
      </c>
      <c r="B156" s="112" t="s">
        <v>233</v>
      </c>
      <c r="C156" s="113">
        <f>IFERROR(VLOOKUP($A156,MTD!$A$13:$D$1048576,3,0),0)</f>
        <v>-159.02000000000001</v>
      </c>
      <c r="D156" s="116">
        <f>IFERROR(VLOOKUP($A156,MTD!$A$13:$D$1048576,4,0),0)</f>
        <v>0</v>
      </c>
      <c r="E156" s="113"/>
      <c r="F156" s="113"/>
      <c r="G156" s="112" t="s">
        <v>233</v>
      </c>
      <c r="H156" s="114">
        <v>0</v>
      </c>
      <c r="I156" s="114">
        <v>0</v>
      </c>
      <c r="J156" s="115">
        <v>0</v>
      </c>
      <c r="K156" s="113">
        <v>0</v>
      </c>
      <c r="P156" s="112" t="s">
        <v>233</v>
      </c>
      <c r="Q156" s="113">
        <f>IFERROR(VLOOKUP($A156,YTD!$A$13:$D$1048576,3,0),0)</f>
        <v>-4841.75</v>
      </c>
      <c r="R156" s="116">
        <f>IFERROR(VLOOKUP($A156,YTD!$A$13:$D$1048576,4,0),0)</f>
        <v>0</v>
      </c>
      <c r="S156" s="113"/>
      <c r="T156" s="113"/>
      <c r="U156" s="112" t="s">
        <v>233</v>
      </c>
      <c r="V156" s="114">
        <v>0</v>
      </c>
      <c r="W156" s="114">
        <v>0</v>
      </c>
      <c r="X156" s="115">
        <v>0</v>
      </c>
      <c r="Y156" s="113">
        <v>0</v>
      </c>
      <c r="Z156" s="113">
        <v>-640.01</v>
      </c>
      <c r="AA156" s="113">
        <v>-564.32000000000005</v>
      </c>
      <c r="AB156" s="113">
        <v>-533.03</v>
      </c>
      <c r="AC156" s="113">
        <v>-513.38</v>
      </c>
      <c r="AD156" s="113">
        <v>-514.26</v>
      </c>
      <c r="AE156" s="113">
        <v>-315.85000000000002</v>
      </c>
      <c r="AF156" s="113">
        <v>-325.83999999999997</v>
      </c>
      <c r="AG156" s="113">
        <v>-325.83</v>
      </c>
      <c r="AH156" s="113">
        <v>-315.3</v>
      </c>
      <c r="AI156" s="113">
        <v>-325.72000000000003</v>
      </c>
      <c r="AJ156" s="113">
        <v>-309.19</v>
      </c>
      <c r="AK156" s="113">
        <f t="shared" si="8"/>
        <v>-159.02000000000001</v>
      </c>
      <c r="AM156" s="214"/>
    </row>
    <row r="157" spans="1:39" x14ac:dyDescent="0.3">
      <c r="A157" s="109" t="str">
        <f t="shared" si="10"/>
        <v>credit*   CS_Depreciation</v>
      </c>
      <c r="B157" s="117" t="s">
        <v>208</v>
      </c>
      <c r="C157" s="118">
        <f>IFERROR(VLOOKUP($A157,MTD!$A$13:$D$1048576,3,0),0)</f>
        <v>-83066.55</v>
      </c>
      <c r="D157" s="125">
        <f>IFERROR(VLOOKUP($A157,MTD!$A$13:$D$1048576,4,0),0)</f>
        <v>-123933.42</v>
      </c>
      <c r="E157" s="118"/>
      <c r="F157" s="118"/>
      <c r="G157" s="117" t="s">
        <v>208</v>
      </c>
      <c r="H157" s="119">
        <v>0</v>
      </c>
      <c r="I157" s="119">
        <v>0</v>
      </c>
      <c r="J157" s="120">
        <v>0</v>
      </c>
      <c r="K157" s="118">
        <v>0</v>
      </c>
      <c r="P157" s="117" t="s">
        <v>208</v>
      </c>
      <c r="Q157" s="118">
        <f>IFERROR(VLOOKUP($A157,YTD!$A$13:$D$1048576,3,0),0)</f>
        <v>-1047730.74</v>
      </c>
      <c r="R157" s="125">
        <f>IFERROR(VLOOKUP($A157,YTD!$A$13:$D$1048576,4,0),0)</f>
        <v>-1236827.8799999999</v>
      </c>
      <c r="S157" s="118"/>
      <c r="T157" s="118"/>
      <c r="U157" s="117" t="s">
        <v>208</v>
      </c>
      <c r="V157" s="119">
        <v>0</v>
      </c>
      <c r="W157" s="119">
        <v>0</v>
      </c>
      <c r="X157" s="120">
        <v>0</v>
      </c>
      <c r="Y157" s="118">
        <v>0</v>
      </c>
      <c r="Z157" s="118">
        <v>-87542.8</v>
      </c>
      <c r="AA157" s="118">
        <v>-79645.72</v>
      </c>
      <c r="AB157" s="118">
        <v>-123773.34</v>
      </c>
      <c r="AC157" s="118">
        <v>-49960.65</v>
      </c>
      <c r="AD157" s="118">
        <v>-94912.9</v>
      </c>
      <c r="AE157" s="118">
        <v>-91422.33</v>
      </c>
      <c r="AF157" s="118">
        <v>-94150.17</v>
      </c>
      <c r="AG157" s="118">
        <v>-94021.65</v>
      </c>
      <c r="AH157" s="118">
        <v>-91356.64</v>
      </c>
      <c r="AI157" s="118">
        <v>-77132.67</v>
      </c>
      <c r="AJ157" s="118">
        <v>-80745.320000000007</v>
      </c>
      <c r="AK157" s="118">
        <f t="shared" si="8"/>
        <v>-83066.55</v>
      </c>
      <c r="AM157" s="214"/>
    </row>
    <row r="158" spans="1:39" x14ac:dyDescent="0.3">
      <c r="A158" s="109" t="str">
        <f t="shared" si="10"/>
        <v>credit    5001010205  Unemployment Insurance -blue collar-Dire</v>
      </c>
      <c r="B158" s="112" t="s">
        <v>234</v>
      </c>
      <c r="C158" s="116"/>
      <c r="D158" s="116"/>
      <c r="E158" s="113"/>
      <c r="F158" s="113"/>
      <c r="G158" s="112" t="s">
        <v>234</v>
      </c>
      <c r="H158" s="114"/>
      <c r="I158" s="114"/>
      <c r="J158" s="115"/>
      <c r="K158" s="113"/>
      <c r="P158" s="112" t="s">
        <v>234</v>
      </c>
      <c r="Q158" s="113">
        <f>IFERROR(VLOOKUP($A158,YTD!$A$13:$D$1048576,3,0),0)</f>
        <v>-40.53</v>
      </c>
      <c r="R158" s="116"/>
      <c r="S158" s="113"/>
      <c r="T158" s="113"/>
      <c r="U158" s="112" t="s">
        <v>234</v>
      </c>
      <c r="V158" s="114"/>
      <c r="W158" s="114"/>
      <c r="X158" s="115"/>
      <c r="Y158" s="113"/>
      <c r="Z158" s="113"/>
      <c r="AA158" s="113"/>
      <c r="AB158" s="113"/>
      <c r="AC158" s="113"/>
      <c r="AD158" s="113"/>
      <c r="AE158" s="113">
        <v>-21.21</v>
      </c>
      <c r="AF158" s="113"/>
      <c r="AG158" s="113">
        <v>0</v>
      </c>
      <c r="AH158" s="113">
        <v>0</v>
      </c>
      <c r="AI158" s="113">
        <v>0</v>
      </c>
      <c r="AJ158" s="113">
        <v>0</v>
      </c>
      <c r="AK158" s="113">
        <f t="shared" ref="AK158:AK221" si="11">C158</f>
        <v>0</v>
      </c>
      <c r="AM158" s="214"/>
    </row>
    <row r="159" spans="1:39" x14ac:dyDescent="0.3">
      <c r="A159" s="109" t="str">
        <f t="shared" si="10"/>
        <v>credit    6666010019  Payroll Taxes - Blue Collar Direct</v>
      </c>
      <c r="B159" s="112" t="s">
        <v>236</v>
      </c>
      <c r="C159" s="116"/>
      <c r="D159" s="116"/>
      <c r="E159" s="113"/>
      <c r="F159" s="113"/>
      <c r="G159" s="112" t="s">
        <v>236</v>
      </c>
      <c r="H159" s="114"/>
      <c r="I159" s="114"/>
      <c r="J159" s="115"/>
      <c r="K159" s="113"/>
      <c r="P159" s="112" t="s">
        <v>236</v>
      </c>
      <c r="Q159" s="113">
        <f>IFERROR(VLOOKUP($A159,YTD!$A$13:$D$1048576,3,0),0)</f>
        <v>-319.17</v>
      </c>
      <c r="R159" s="116"/>
      <c r="S159" s="113"/>
      <c r="T159" s="113"/>
      <c r="U159" s="112" t="s">
        <v>236</v>
      </c>
      <c r="V159" s="114"/>
      <c r="W159" s="114"/>
      <c r="X159" s="115"/>
      <c r="Y159" s="113"/>
      <c r="Z159" s="113"/>
      <c r="AA159" s="113"/>
      <c r="AB159" s="113"/>
      <c r="AC159" s="113"/>
      <c r="AD159" s="113"/>
      <c r="AE159" s="113">
        <v>-167.02</v>
      </c>
      <c r="AF159" s="113"/>
      <c r="AG159" s="113">
        <v>0</v>
      </c>
      <c r="AH159" s="113">
        <v>0</v>
      </c>
      <c r="AI159" s="113">
        <v>0</v>
      </c>
      <c r="AJ159" s="113">
        <v>0</v>
      </c>
      <c r="AK159" s="113">
        <f t="shared" si="11"/>
        <v>0</v>
      </c>
      <c r="AM159" s="214"/>
    </row>
    <row r="160" spans="1:39" x14ac:dyDescent="0.3">
      <c r="A160" s="109" t="str">
        <f t="shared" si="10"/>
        <v>credit    6666010183  Overtime-Blue Collar-Direct</v>
      </c>
      <c r="B160" s="112" t="s">
        <v>237</v>
      </c>
      <c r="C160" s="116"/>
      <c r="D160" s="116"/>
      <c r="E160" s="113"/>
      <c r="F160" s="113"/>
      <c r="G160" s="112" t="s">
        <v>237</v>
      </c>
      <c r="H160" s="114"/>
      <c r="I160" s="114"/>
      <c r="J160" s="115"/>
      <c r="K160" s="113"/>
      <c r="P160" s="112" t="s">
        <v>237</v>
      </c>
      <c r="Q160" s="113">
        <f>IFERROR(VLOOKUP($A160,YTD!$A$13:$D$1048576,3,0),0)</f>
        <v>-14.07</v>
      </c>
      <c r="R160" s="116"/>
      <c r="S160" s="113"/>
      <c r="T160" s="113"/>
      <c r="U160" s="112" t="s">
        <v>237</v>
      </c>
      <c r="V160" s="114"/>
      <c r="W160" s="114"/>
      <c r="X160" s="115"/>
      <c r="Y160" s="113"/>
      <c r="Z160" s="113"/>
      <c r="AA160" s="113"/>
      <c r="AB160" s="113"/>
      <c r="AC160" s="113"/>
      <c r="AD160" s="113"/>
      <c r="AE160" s="113">
        <v>-3.72</v>
      </c>
      <c r="AF160" s="113"/>
      <c r="AG160" s="113">
        <v>0</v>
      </c>
      <c r="AH160" s="113">
        <v>0</v>
      </c>
      <c r="AI160" s="113">
        <v>0</v>
      </c>
      <c r="AJ160" s="113">
        <v>0</v>
      </c>
      <c r="AK160" s="113">
        <f t="shared" si="11"/>
        <v>0</v>
      </c>
      <c r="AM160" s="214"/>
    </row>
    <row r="161" spans="1:39" x14ac:dyDescent="0.3">
      <c r="A161" s="109" t="str">
        <f t="shared" si="10"/>
        <v>credit    6666010229  Staff Leaving Indemnity - Blue Collar Di</v>
      </c>
      <c r="B161" s="112" t="s">
        <v>238</v>
      </c>
      <c r="C161" s="116">
        <f>IFERROR(VLOOKUP($A161,MTD!$A$13:$D$1048576,3,0),0)</f>
        <v>0</v>
      </c>
      <c r="D161" s="116">
        <f>IFERROR(VLOOKUP($A161,MTD!$A$13:$D$1048576,4,0),0)</f>
        <v>0</v>
      </c>
      <c r="E161" s="113"/>
      <c r="F161" s="113"/>
      <c r="G161" s="112" t="s">
        <v>238</v>
      </c>
      <c r="H161" s="114">
        <v>0</v>
      </c>
      <c r="I161" s="114">
        <v>0</v>
      </c>
      <c r="J161" s="115">
        <v>0</v>
      </c>
      <c r="K161" s="113">
        <v>0</v>
      </c>
      <c r="P161" s="112" t="s">
        <v>238</v>
      </c>
      <c r="Q161" s="113">
        <f>IFERROR(VLOOKUP($A161,YTD!$A$13:$D$1048576,3,0),0)</f>
        <v>-61.4</v>
      </c>
      <c r="R161" s="116">
        <f>IFERROR(VLOOKUP($A161,YTD!$A$13:$D$1048576,4,0),0)</f>
        <v>0</v>
      </c>
      <c r="S161" s="113"/>
      <c r="T161" s="113"/>
      <c r="U161" s="112" t="s">
        <v>238</v>
      </c>
      <c r="V161" s="114">
        <v>0</v>
      </c>
      <c r="W161" s="114">
        <v>0</v>
      </c>
      <c r="X161" s="115">
        <v>0</v>
      </c>
      <c r="Y161" s="113">
        <v>0</v>
      </c>
      <c r="Z161" s="113">
        <v>0</v>
      </c>
      <c r="AA161" s="113">
        <v>0</v>
      </c>
      <c r="AB161" s="113">
        <v>0</v>
      </c>
      <c r="AC161" s="113">
        <v>0</v>
      </c>
      <c r="AD161" s="113">
        <v>0</v>
      </c>
      <c r="AE161" s="113">
        <v>0</v>
      </c>
      <c r="AF161" s="113">
        <v>0</v>
      </c>
      <c r="AG161" s="113">
        <v>-61.4</v>
      </c>
      <c r="AH161" s="113">
        <v>0</v>
      </c>
      <c r="AI161" s="113">
        <v>0</v>
      </c>
      <c r="AJ161" s="113">
        <v>0</v>
      </c>
      <c r="AK161" s="113">
        <f t="shared" si="11"/>
        <v>0</v>
      </c>
      <c r="AM161" s="214"/>
    </row>
    <row r="162" spans="1:39" x14ac:dyDescent="0.3">
      <c r="A162" s="109" t="str">
        <f t="shared" si="10"/>
        <v>credit    6666010188  Salary - Blue collar direct employees</v>
      </c>
      <c r="B162" s="112" t="s">
        <v>239</v>
      </c>
      <c r="C162" s="113">
        <f>IFERROR(VLOOKUP($A162,MTD!$A$13:$D$1048576,3,0),0)</f>
        <v>0</v>
      </c>
      <c r="D162" s="116">
        <f>IFERROR(VLOOKUP($A162,MTD!$A$13:$D$1048576,4,0),0)</f>
        <v>0</v>
      </c>
      <c r="E162" s="113"/>
      <c r="F162" s="113"/>
      <c r="G162" s="112" t="s">
        <v>239</v>
      </c>
      <c r="H162" s="114">
        <v>0</v>
      </c>
      <c r="I162" s="114">
        <v>0</v>
      </c>
      <c r="J162" s="115">
        <v>0</v>
      </c>
      <c r="K162" s="113">
        <v>0</v>
      </c>
      <c r="P162" s="112" t="s">
        <v>239</v>
      </c>
      <c r="Q162" s="113">
        <f>IFERROR(VLOOKUP($A162,YTD!$A$13:$D$1048576,3,0),0)</f>
        <v>-1511.39</v>
      </c>
      <c r="R162" s="116">
        <f>IFERROR(VLOOKUP($A162,YTD!$A$13:$D$1048576,4,0),0)</f>
        <v>0</v>
      </c>
      <c r="S162" s="113"/>
      <c r="T162" s="113"/>
      <c r="U162" s="112" t="s">
        <v>239</v>
      </c>
      <c r="V162" s="114">
        <v>0</v>
      </c>
      <c r="W162" s="114">
        <v>0</v>
      </c>
      <c r="X162" s="115">
        <v>0</v>
      </c>
      <c r="Y162" s="113">
        <v>0</v>
      </c>
      <c r="Z162" s="113">
        <v>0</v>
      </c>
      <c r="AA162" s="113">
        <v>0</v>
      </c>
      <c r="AB162" s="113">
        <v>0</v>
      </c>
      <c r="AC162" s="113">
        <v>0</v>
      </c>
      <c r="AD162" s="113">
        <v>0</v>
      </c>
      <c r="AE162" s="113">
        <v>-560.34</v>
      </c>
      <c r="AF162" s="113">
        <v>0</v>
      </c>
      <c r="AG162" s="113">
        <v>-951.05</v>
      </c>
      <c r="AH162" s="113">
        <v>0</v>
      </c>
      <c r="AI162" s="113">
        <v>0</v>
      </c>
      <c r="AJ162" s="113">
        <v>0</v>
      </c>
      <c r="AK162" s="113">
        <f t="shared" si="11"/>
        <v>0</v>
      </c>
      <c r="AM162" s="214"/>
    </row>
    <row r="163" spans="1:39" x14ac:dyDescent="0.3">
      <c r="A163" s="109" t="str">
        <f t="shared" si="10"/>
        <v>credit    5102040406  Other revenue-Service/Secondment agreeme</v>
      </c>
      <c r="B163" s="112" t="s">
        <v>240</v>
      </c>
      <c r="C163" s="116">
        <f>IFERROR(VLOOKUP($A163,MTD!$A$13:$D$1048576,3,0),0)</f>
        <v>0</v>
      </c>
      <c r="D163" s="116">
        <f>IFERROR(VLOOKUP($A163,MTD!$A$13:$D$1048576,4,0),0)</f>
        <v>0</v>
      </c>
      <c r="E163" s="113"/>
      <c r="F163" s="113"/>
      <c r="G163" s="112" t="s">
        <v>240</v>
      </c>
      <c r="H163" s="114">
        <v>0</v>
      </c>
      <c r="I163" s="114">
        <v>0</v>
      </c>
      <c r="J163" s="115">
        <v>0</v>
      </c>
      <c r="K163" s="113">
        <v>0</v>
      </c>
      <c r="P163" s="112" t="s">
        <v>240</v>
      </c>
      <c r="Q163" s="113">
        <f>IFERROR(VLOOKUP($A163,YTD!$A$13:$D$1048576,3,0),0)</f>
        <v>-50.56</v>
      </c>
      <c r="R163" s="116">
        <f>IFERROR(VLOOKUP($A163,YTD!$A$13:$D$1048576,4,0),0)</f>
        <v>0</v>
      </c>
      <c r="S163" s="113"/>
      <c r="T163" s="113"/>
      <c r="U163" s="112" t="s">
        <v>240</v>
      </c>
      <c r="V163" s="114">
        <v>0</v>
      </c>
      <c r="W163" s="114">
        <v>0</v>
      </c>
      <c r="X163" s="115">
        <v>0</v>
      </c>
      <c r="Y163" s="113">
        <v>0</v>
      </c>
      <c r="Z163" s="113">
        <v>6.59</v>
      </c>
      <c r="AA163" s="113">
        <v>0</v>
      </c>
      <c r="AB163" s="113">
        <v>0</v>
      </c>
      <c r="AC163" s="113">
        <v>0</v>
      </c>
      <c r="AD163" s="113">
        <v>0</v>
      </c>
      <c r="AE163" s="113">
        <v>0</v>
      </c>
      <c r="AF163" s="113">
        <v>0</v>
      </c>
      <c r="AG163" s="113">
        <v>0</v>
      </c>
      <c r="AH163" s="113">
        <v>0</v>
      </c>
      <c r="AI163" s="113">
        <v>0</v>
      </c>
      <c r="AJ163" s="113">
        <v>-57.15</v>
      </c>
      <c r="AK163" s="113">
        <f t="shared" si="11"/>
        <v>0</v>
      </c>
      <c r="AM163" s="214"/>
    </row>
    <row r="164" spans="1:39" x14ac:dyDescent="0.3">
      <c r="A164" s="109" t="str">
        <f t="shared" si="10"/>
        <v>credit    6666010115  Salary-Blue collar direct employees-Accr</v>
      </c>
      <c r="B164" s="112" t="s">
        <v>241</v>
      </c>
      <c r="C164" s="113">
        <f>IFERROR(VLOOKUP($A164,MTD!$A$13:$D$1048576,3,0),0)</f>
        <v>0</v>
      </c>
      <c r="D164" s="116">
        <f>IFERROR(VLOOKUP($A164,MTD!$A$13:$D$1048576,4,0),0)</f>
        <v>0</v>
      </c>
      <c r="E164" s="113"/>
      <c r="F164" s="113"/>
      <c r="G164" s="112" t="s">
        <v>241</v>
      </c>
      <c r="H164" s="114">
        <v>0</v>
      </c>
      <c r="I164" s="114">
        <v>0</v>
      </c>
      <c r="J164" s="115">
        <v>0</v>
      </c>
      <c r="K164" s="113">
        <v>0</v>
      </c>
      <c r="P164" s="112" t="s">
        <v>241</v>
      </c>
      <c r="Q164" s="113">
        <f>IFERROR(VLOOKUP($A164,YTD!$A$13:$D$1048576,3,0),0)</f>
        <v>0</v>
      </c>
      <c r="R164" s="116">
        <f>IFERROR(VLOOKUP($A164,YTD!$A$13:$D$1048576,4,0),0)</f>
        <v>0</v>
      </c>
      <c r="S164" s="113"/>
      <c r="T164" s="113"/>
      <c r="U164" s="112" t="s">
        <v>241</v>
      </c>
      <c r="V164" s="114">
        <v>0</v>
      </c>
      <c r="W164" s="114">
        <v>0</v>
      </c>
      <c r="X164" s="115">
        <v>0</v>
      </c>
      <c r="Y164" s="113">
        <v>0</v>
      </c>
      <c r="Z164" s="113">
        <v>0</v>
      </c>
      <c r="AA164" s="113">
        <v>0</v>
      </c>
      <c r="AB164" s="113">
        <v>0</v>
      </c>
      <c r="AC164" s="113">
        <v>0</v>
      </c>
      <c r="AD164" s="113">
        <v>0</v>
      </c>
      <c r="AE164" s="113">
        <v>0</v>
      </c>
      <c r="AF164" s="113">
        <v>0</v>
      </c>
      <c r="AG164" s="113">
        <v>0</v>
      </c>
      <c r="AH164" s="113">
        <v>0</v>
      </c>
      <c r="AI164" s="113">
        <v>0</v>
      </c>
      <c r="AJ164" s="113">
        <v>0</v>
      </c>
      <c r="AK164" s="113">
        <f t="shared" si="11"/>
        <v>0</v>
      </c>
      <c r="AM164" s="214"/>
    </row>
    <row r="165" spans="1:39" x14ac:dyDescent="0.3">
      <c r="A165" s="109" t="str">
        <f t="shared" si="10"/>
        <v>credit*   CS_Direct Labour</v>
      </c>
      <c r="B165" s="117" t="s">
        <v>209</v>
      </c>
      <c r="C165" s="118">
        <f>IFERROR(VLOOKUP($A165,MTD!$A$13:$D$1048576,3,0),0)</f>
        <v>-1557.39</v>
      </c>
      <c r="D165" s="125">
        <f>IFERROR(VLOOKUP($A165,MTD!$A$13:$D$1048576,4,0),0)</f>
        <v>0</v>
      </c>
      <c r="E165" s="118"/>
      <c r="F165" s="118"/>
      <c r="G165" s="117" t="s">
        <v>209</v>
      </c>
      <c r="H165" s="119">
        <v>0</v>
      </c>
      <c r="I165" s="119">
        <v>0</v>
      </c>
      <c r="J165" s="120">
        <v>0</v>
      </c>
      <c r="K165" s="118">
        <v>0</v>
      </c>
      <c r="P165" s="117" t="s">
        <v>209</v>
      </c>
      <c r="Q165" s="118">
        <f>IFERROR(VLOOKUP($A165,YTD!$A$13:$D$1048576,3,0),0)</f>
        <v>-8226.68</v>
      </c>
      <c r="R165" s="125">
        <f>IFERROR(VLOOKUP($A165,YTD!$A$13:$D$1048576,4,0),0)</f>
        <v>0</v>
      </c>
      <c r="S165" s="118"/>
      <c r="T165" s="118"/>
      <c r="U165" s="117" t="s">
        <v>209</v>
      </c>
      <c r="V165" s="119">
        <v>0</v>
      </c>
      <c r="W165" s="119">
        <v>0</v>
      </c>
      <c r="X165" s="120">
        <v>0</v>
      </c>
      <c r="Y165" s="118">
        <v>0</v>
      </c>
      <c r="Z165" s="118">
        <v>6.59</v>
      </c>
      <c r="AA165" s="118">
        <v>0</v>
      </c>
      <c r="AB165" s="118">
        <v>0</v>
      </c>
      <c r="AC165" s="118">
        <v>0</v>
      </c>
      <c r="AD165" s="118">
        <v>0</v>
      </c>
      <c r="AE165" s="118">
        <v>-752.29</v>
      </c>
      <c r="AF165" s="118">
        <v>0</v>
      </c>
      <c r="AG165" s="118">
        <v>-1194.27</v>
      </c>
      <c r="AH165" s="118">
        <v>-1557.39</v>
      </c>
      <c r="AI165" s="118">
        <v>-1557.39</v>
      </c>
      <c r="AJ165" s="118">
        <v>-1614.54</v>
      </c>
      <c r="AK165" s="118">
        <f t="shared" si="11"/>
        <v>-1557.39</v>
      </c>
      <c r="AM165" s="214"/>
    </row>
    <row r="166" spans="1:39" x14ac:dyDescent="0.3">
      <c r="A166" s="109" t="str">
        <f t="shared" si="10"/>
        <v>credit    8701530201  Scrap-Raw&amp;#160;Material - Managerial</v>
      </c>
      <c r="B166" s="112" t="s">
        <v>242</v>
      </c>
      <c r="C166" s="116">
        <f>IFERROR(VLOOKUP($A166,MTD!$A$13:$D$1048576,3,0),0)</f>
        <v>0</v>
      </c>
      <c r="D166" s="113">
        <f>IFERROR(VLOOKUP($A166,MTD!$A$13:$D$1048576,4,0),0)</f>
        <v>-38822.35</v>
      </c>
      <c r="E166" s="113"/>
      <c r="F166" s="113"/>
      <c r="G166" s="112" t="s">
        <v>242</v>
      </c>
      <c r="H166" s="114">
        <v>0</v>
      </c>
      <c r="I166" s="114">
        <v>0</v>
      </c>
      <c r="J166" s="115">
        <v>0</v>
      </c>
      <c r="K166" s="113">
        <v>0</v>
      </c>
      <c r="P166" s="112" t="s">
        <v>242</v>
      </c>
      <c r="Q166" s="116">
        <f>IFERROR(VLOOKUP($A166,YTD!$A$13:$D$1048576,3,0),0)</f>
        <v>0</v>
      </c>
      <c r="R166" s="113">
        <f>IFERROR(VLOOKUP($A166,YTD!$A$13:$D$1048576,4,0),0)</f>
        <v>-311461.84999999998</v>
      </c>
      <c r="S166" s="113"/>
      <c r="T166" s="113"/>
      <c r="U166" s="112" t="s">
        <v>242</v>
      </c>
      <c r="V166" s="114">
        <v>0</v>
      </c>
      <c r="W166" s="114">
        <v>0</v>
      </c>
      <c r="X166" s="115">
        <v>0</v>
      </c>
      <c r="Y166" s="113">
        <v>0</v>
      </c>
      <c r="Z166" s="113">
        <v>0</v>
      </c>
      <c r="AA166" s="113">
        <v>0</v>
      </c>
      <c r="AB166" s="113">
        <v>0</v>
      </c>
      <c r="AC166" s="113">
        <v>0</v>
      </c>
      <c r="AD166" s="113">
        <v>0</v>
      </c>
      <c r="AE166" s="113">
        <v>0</v>
      </c>
      <c r="AF166" s="113">
        <v>0</v>
      </c>
      <c r="AG166" s="113">
        <v>0</v>
      </c>
      <c r="AH166" s="113">
        <v>0</v>
      </c>
      <c r="AI166" s="113">
        <v>0</v>
      </c>
      <c r="AJ166" s="113">
        <v>0</v>
      </c>
      <c r="AK166" s="113">
        <f t="shared" si="11"/>
        <v>0</v>
      </c>
      <c r="AM166" s="214"/>
    </row>
    <row r="167" spans="1:39" x14ac:dyDescent="0.3">
      <c r="A167" s="109" t="str">
        <f t="shared" si="10"/>
        <v>credit    6666050309  SFG scrap</v>
      </c>
      <c r="B167" s="112" t="s">
        <v>243</v>
      </c>
      <c r="C167" s="113">
        <f>IFERROR(VLOOKUP($A167,MTD!$A$13:$D$1048576,3,0),0)</f>
        <v>-21328.98</v>
      </c>
      <c r="D167" s="116">
        <f>IFERROR(VLOOKUP($A167,MTD!$A$13:$D$1048576,4,0),0)</f>
        <v>0</v>
      </c>
      <c r="E167" s="113"/>
      <c r="F167" s="113"/>
      <c r="G167" s="112" t="s">
        <v>243</v>
      </c>
      <c r="H167" s="114">
        <v>0</v>
      </c>
      <c r="I167" s="114">
        <v>0</v>
      </c>
      <c r="J167" s="115">
        <v>0</v>
      </c>
      <c r="K167" s="113">
        <v>0</v>
      </c>
      <c r="P167" s="112" t="s">
        <v>243</v>
      </c>
      <c r="Q167" s="113">
        <f>IFERROR(VLOOKUP($A167,YTD!$A$13:$D$1048576,3,0),0)</f>
        <v>-269668.21999999997</v>
      </c>
      <c r="R167" s="116">
        <f>IFERROR(VLOOKUP($A167,YTD!$A$13:$D$1048576,4,0),0)</f>
        <v>0</v>
      </c>
      <c r="S167" s="113"/>
      <c r="T167" s="113"/>
      <c r="U167" s="112" t="s">
        <v>243</v>
      </c>
      <c r="V167" s="114">
        <v>0</v>
      </c>
      <c r="W167" s="114">
        <v>0</v>
      </c>
      <c r="X167" s="115">
        <v>0</v>
      </c>
      <c r="Y167" s="113">
        <v>0</v>
      </c>
      <c r="Z167" s="113">
        <v>-20621.68</v>
      </c>
      <c r="AA167" s="113">
        <v>-11869.36</v>
      </c>
      <c r="AB167" s="113">
        <v>-12756.65</v>
      </c>
      <c r="AC167" s="113">
        <v>-22565.23</v>
      </c>
      <c r="AD167" s="113">
        <v>-18187.23</v>
      </c>
      <c r="AE167" s="113">
        <v>-34672.67</v>
      </c>
      <c r="AF167" s="113">
        <v>-18949.37</v>
      </c>
      <c r="AG167" s="113">
        <v>-16166.63</v>
      </c>
      <c r="AH167" s="113">
        <v>-18483.12</v>
      </c>
      <c r="AI167" s="113">
        <v>-33068.5</v>
      </c>
      <c r="AJ167" s="113">
        <v>-40998.800000000003</v>
      </c>
      <c r="AK167" s="113">
        <f t="shared" si="11"/>
        <v>-21328.98</v>
      </c>
      <c r="AM167" s="214"/>
    </row>
    <row r="168" spans="1:39" x14ac:dyDescent="0.3">
      <c r="A168" s="109" t="str">
        <f t="shared" si="10"/>
        <v>credit    6666050308  Raw material scrap</v>
      </c>
      <c r="B168" s="112" t="s">
        <v>244</v>
      </c>
      <c r="C168" s="113">
        <f>IFERROR(VLOOKUP($A168,MTD!$A$13:$D$1048576,3,0),0)</f>
        <v>-5388.97</v>
      </c>
      <c r="D168" s="116">
        <f>IFERROR(VLOOKUP($A168,MTD!$A$13:$D$1048576,4,0),0)</f>
        <v>0</v>
      </c>
      <c r="E168" s="113"/>
      <c r="F168" s="113"/>
      <c r="G168" s="112" t="s">
        <v>244</v>
      </c>
      <c r="H168" s="114">
        <v>0</v>
      </c>
      <c r="I168" s="114">
        <v>0</v>
      </c>
      <c r="J168" s="115">
        <v>0</v>
      </c>
      <c r="K168" s="113">
        <v>0</v>
      </c>
      <c r="P168" s="112" t="s">
        <v>244</v>
      </c>
      <c r="Q168" s="113">
        <f>IFERROR(VLOOKUP($A168,YTD!$A$13:$D$1048576,3,0),0)</f>
        <v>-76964.02</v>
      </c>
      <c r="R168" s="116">
        <f>IFERROR(VLOOKUP($A168,YTD!$A$13:$D$1048576,4,0),0)</f>
        <v>0</v>
      </c>
      <c r="S168" s="113"/>
      <c r="T168" s="113"/>
      <c r="U168" s="112" t="s">
        <v>244</v>
      </c>
      <c r="V168" s="114">
        <v>0</v>
      </c>
      <c r="W168" s="114">
        <v>0</v>
      </c>
      <c r="X168" s="115">
        <v>0</v>
      </c>
      <c r="Y168" s="113">
        <v>0</v>
      </c>
      <c r="Z168" s="113">
        <v>-11689.19</v>
      </c>
      <c r="AA168" s="113">
        <v>-7088.35</v>
      </c>
      <c r="AB168" s="113">
        <v>-5374.88</v>
      </c>
      <c r="AC168" s="113">
        <v>-4605.18</v>
      </c>
      <c r="AD168" s="113">
        <v>-1894.17</v>
      </c>
      <c r="AE168" s="113">
        <v>35092.42</v>
      </c>
      <c r="AF168" s="113">
        <v>-11788.61</v>
      </c>
      <c r="AG168" s="113">
        <v>-13078.3</v>
      </c>
      <c r="AH168" s="113">
        <v>-14865.38</v>
      </c>
      <c r="AI168" s="113">
        <v>-30582.44</v>
      </c>
      <c r="AJ168" s="113">
        <v>-5700.97</v>
      </c>
      <c r="AK168" s="113">
        <f t="shared" si="11"/>
        <v>-5388.97</v>
      </c>
      <c r="AM168" s="214"/>
    </row>
    <row r="169" spans="1:39" x14ac:dyDescent="0.3">
      <c r="A169" s="109" t="str">
        <f t="shared" si="10"/>
        <v>credit    6666050306  Finished goods scrap</v>
      </c>
      <c r="B169" s="112" t="s">
        <v>245</v>
      </c>
      <c r="C169" s="113">
        <f>IFERROR(VLOOKUP($A169,MTD!$A$13:$D$1048576,3,0),0)</f>
        <v>0</v>
      </c>
      <c r="D169" s="116">
        <f>IFERROR(VLOOKUP($A169,MTD!$A$13:$D$1048576,4,0),0)</f>
        <v>0</v>
      </c>
      <c r="E169" s="113"/>
      <c r="F169" s="113"/>
      <c r="G169" s="112" t="s">
        <v>245</v>
      </c>
      <c r="H169" s="114">
        <v>0</v>
      </c>
      <c r="I169" s="114">
        <v>0</v>
      </c>
      <c r="J169" s="115">
        <v>0</v>
      </c>
      <c r="K169" s="113">
        <v>0</v>
      </c>
      <c r="P169" s="112" t="s">
        <v>245</v>
      </c>
      <c r="Q169" s="113">
        <f>IFERROR(VLOOKUP($A169,YTD!$A$13:$D$1048576,3,0),0)</f>
        <v>-924.29</v>
      </c>
      <c r="R169" s="116">
        <f>IFERROR(VLOOKUP($A169,YTD!$A$13:$D$1048576,4,0),0)</f>
        <v>0</v>
      </c>
      <c r="S169" s="113"/>
      <c r="T169" s="113"/>
      <c r="U169" s="112" t="s">
        <v>245</v>
      </c>
      <c r="V169" s="114">
        <v>0</v>
      </c>
      <c r="W169" s="114">
        <v>0</v>
      </c>
      <c r="X169" s="115">
        <v>0</v>
      </c>
      <c r="Y169" s="113">
        <v>0</v>
      </c>
      <c r="Z169" s="113">
        <v>-937.4</v>
      </c>
      <c r="AA169" s="113">
        <v>-676.99</v>
      </c>
      <c r="AB169" s="113">
        <v>0</v>
      </c>
      <c r="AC169" s="113">
        <v>0</v>
      </c>
      <c r="AD169" s="113">
        <v>1164.33</v>
      </c>
      <c r="AE169" s="113">
        <v>0</v>
      </c>
      <c r="AF169" s="113">
        <v>0</v>
      </c>
      <c r="AG169" s="113">
        <v>-345.22</v>
      </c>
      <c r="AH169" s="113">
        <v>-196.91</v>
      </c>
      <c r="AI169" s="113">
        <v>67.900000000000006</v>
      </c>
      <c r="AJ169" s="113">
        <v>0</v>
      </c>
      <c r="AK169" s="113">
        <f t="shared" si="11"/>
        <v>0</v>
      </c>
      <c r="AM169" s="214"/>
    </row>
    <row r="170" spans="1:39" x14ac:dyDescent="0.3">
      <c r="A170" s="109" t="str">
        <f t="shared" si="10"/>
        <v>credit*   CS_SCRAP_VARIABLE</v>
      </c>
      <c r="B170" s="117" t="s">
        <v>210</v>
      </c>
      <c r="C170" s="118">
        <f>IFERROR(VLOOKUP($A170,MTD!$A$13:$D$1048576,3,0),0)</f>
        <v>-26717.95</v>
      </c>
      <c r="D170" s="118">
        <f>IFERROR(VLOOKUP($A170,MTD!$A$13:$D$1048576,4,0),0)</f>
        <v>-38822.35</v>
      </c>
      <c r="E170" s="118"/>
      <c r="F170" s="118"/>
      <c r="G170" s="117" t="s">
        <v>210</v>
      </c>
      <c r="H170" s="119">
        <v>0</v>
      </c>
      <c r="I170" s="119">
        <v>0</v>
      </c>
      <c r="J170" s="120">
        <v>0</v>
      </c>
      <c r="K170" s="118">
        <v>0</v>
      </c>
      <c r="P170" s="117" t="s">
        <v>210</v>
      </c>
      <c r="Q170" s="118">
        <f>IFERROR(VLOOKUP($A170,YTD!$A$13:$D$1048576,3,0),0)</f>
        <v>-347556.53</v>
      </c>
      <c r="R170" s="118">
        <f>IFERROR(VLOOKUP($A170,YTD!$A$13:$D$1048576,4,0),0)</f>
        <v>-311461.84999999998</v>
      </c>
      <c r="S170" s="118"/>
      <c r="T170" s="118"/>
      <c r="U170" s="117" t="s">
        <v>210</v>
      </c>
      <c r="V170" s="119">
        <v>0</v>
      </c>
      <c r="W170" s="119">
        <v>0</v>
      </c>
      <c r="X170" s="120">
        <v>0</v>
      </c>
      <c r="Y170" s="118">
        <v>0</v>
      </c>
      <c r="Z170" s="118">
        <v>-33248.269999999997</v>
      </c>
      <c r="AA170" s="118">
        <v>-19634.7</v>
      </c>
      <c r="AB170" s="118">
        <v>-18131.53</v>
      </c>
      <c r="AC170" s="118">
        <v>-27170.41</v>
      </c>
      <c r="AD170" s="118">
        <v>-18917.07</v>
      </c>
      <c r="AE170" s="118">
        <v>419.75</v>
      </c>
      <c r="AF170" s="118">
        <v>-30737.98</v>
      </c>
      <c r="AG170" s="118">
        <v>-29590.15</v>
      </c>
      <c r="AH170" s="118">
        <v>-33545.410000000003</v>
      </c>
      <c r="AI170" s="118">
        <v>-63583.040000000001</v>
      </c>
      <c r="AJ170" s="118">
        <v>-46699.77</v>
      </c>
      <c r="AK170" s="118">
        <f t="shared" si="11"/>
        <v>-26717.95</v>
      </c>
      <c r="AM170" s="214"/>
    </row>
    <row r="171" spans="1:39" x14ac:dyDescent="0.3">
      <c r="A171" s="109" t="str">
        <f t="shared" si="10"/>
        <v>credit    5207000021  Gain of intangible asset disposal</v>
      </c>
      <c r="B171" s="112" t="s">
        <v>246</v>
      </c>
      <c r="C171" s="116">
        <f>IFERROR(VLOOKUP($A171,MTD!$A$13:$D$1048576,3,0),0)</f>
        <v>0</v>
      </c>
      <c r="D171" s="116">
        <f>IFERROR(VLOOKUP($A171,MTD!$A$13:$D$1048576,4,0),0)</f>
        <v>0</v>
      </c>
      <c r="E171" s="113"/>
      <c r="F171" s="113"/>
      <c r="G171" s="112" t="s">
        <v>246</v>
      </c>
      <c r="H171" s="114">
        <v>0</v>
      </c>
      <c r="I171" s="114">
        <v>0</v>
      </c>
      <c r="J171" s="115">
        <v>0</v>
      </c>
      <c r="K171" s="113">
        <v>0</v>
      </c>
      <c r="P171" s="112" t="s">
        <v>246</v>
      </c>
      <c r="Q171" s="116">
        <f>IFERROR(VLOOKUP($A171,YTD!$A$13:$D$1048576,3,0),0)</f>
        <v>0</v>
      </c>
      <c r="R171" s="116">
        <f>IFERROR(VLOOKUP($A171,YTD!$A$13:$D$1048576,4,0),0)</f>
        <v>0</v>
      </c>
      <c r="S171" s="113"/>
      <c r="T171" s="113"/>
      <c r="U171" s="112" t="s">
        <v>246</v>
      </c>
      <c r="V171" s="114">
        <v>0</v>
      </c>
      <c r="W171" s="114">
        <v>0</v>
      </c>
      <c r="X171" s="115">
        <v>0</v>
      </c>
      <c r="Y171" s="113">
        <v>0</v>
      </c>
      <c r="Z171" s="113">
        <v>0</v>
      </c>
      <c r="AA171" s="113">
        <v>0</v>
      </c>
      <c r="AB171" s="113">
        <v>0</v>
      </c>
      <c r="AC171" s="113">
        <v>0</v>
      </c>
      <c r="AD171" s="113">
        <v>0</v>
      </c>
      <c r="AE171" s="113">
        <v>0</v>
      </c>
      <c r="AF171" s="113">
        <v>0</v>
      </c>
      <c r="AG171" s="113">
        <v>0</v>
      </c>
      <c r="AH171" s="113">
        <v>0</v>
      </c>
      <c r="AI171" s="113">
        <v>0</v>
      </c>
      <c r="AJ171" s="113">
        <v>0</v>
      </c>
      <c r="AK171" s="113">
        <f t="shared" si="11"/>
        <v>0</v>
      </c>
      <c r="AM171" s="214"/>
    </row>
    <row r="172" spans="1:39" x14ac:dyDescent="0.3">
      <c r="A172" s="109" t="str">
        <f t="shared" si="10"/>
        <v>credit    6666029996  Non-deductible expense-travel.</v>
      </c>
      <c r="B172" s="112" t="s">
        <v>247</v>
      </c>
      <c r="C172" s="116">
        <f>IFERROR(VLOOKUP($A172,MTD!$A$13:$D$1048576,3,0),0)</f>
        <v>-148.72999999999999</v>
      </c>
      <c r="D172" s="116">
        <f>IFERROR(VLOOKUP($A172,MTD!$A$13:$D$1048576,4,0),0)</f>
        <v>0</v>
      </c>
      <c r="E172" s="113"/>
      <c r="F172" s="113"/>
      <c r="G172" s="112" t="s">
        <v>247</v>
      </c>
      <c r="H172" s="114">
        <v>0</v>
      </c>
      <c r="I172" s="114">
        <v>0</v>
      </c>
      <c r="J172" s="115">
        <v>0</v>
      </c>
      <c r="K172" s="113">
        <v>0</v>
      </c>
      <c r="P172" s="112" t="s">
        <v>247</v>
      </c>
      <c r="Q172" s="116">
        <f>IFERROR(VLOOKUP($A172,YTD!$A$13:$D$1048576,3,0),0)</f>
        <v>-148.72999999999999</v>
      </c>
      <c r="R172" s="116">
        <f>IFERROR(VLOOKUP($A172,YTD!$A$13:$D$1048576,4,0),0)</f>
        <v>0</v>
      </c>
      <c r="S172" s="113"/>
      <c r="T172" s="113"/>
      <c r="U172" s="112" t="s">
        <v>247</v>
      </c>
      <c r="V172" s="114">
        <v>0</v>
      </c>
      <c r="W172" s="114">
        <v>0</v>
      </c>
      <c r="X172" s="115">
        <v>0</v>
      </c>
      <c r="Y172" s="113">
        <v>0</v>
      </c>
      <c r="Z172" s="113">
        <v>0</v>
      </c>
      <c r="AA172" s="113">
        <v>0</v>
      </c>
      <c r="AB172" s="113">
        <v>0</v>
      </c>
      <c r="AC172" s="113">
        <v>0</v>
      </c>
      <c r="AD172" s="113">
        <v>0</v>
      </c>
      <c r="AE172" s="113">
        <v>0</v>
      </c>
      <c r="AF172" s="113">
        <v>0</v>
      </c>
      <c r="AG172" s="113">
        <v>0</v>
      </c>
      <c r="AH172" s="113">
        <v>0</v>
      </c>
      <c r="AI172" s="113">
        <v>0</v>
      </c>
      <c r="AJ172" s="113">
        <v>0</v>
      </c>
      <c r="AK172" s="113">
        <f t="shared" si="11"/>
        <v>-148.72999999999999</v>
      </c>
      <c r="AM172" s="214"/>
    </row>
    <row r="173" spans="1:39" x14ac:dyDescent="0.3">
      <c r="A173" s="109" t="str">
        <f t="shared" si="10"/>
        <v>credit    6666010322  fuel allowance</v>
      </c>
      <c r="B173" s="112" t="s">
        <v>249</v>
      </c>
      <c r="C173" s="113">
        <f>IFERROR(VLOOKUP($A173,MTD!$A$13:$D$1048576,3,0),0)</f>
        <v>5320.97</v>
      </c>
      <c r="D173" s="116">
        <f>IFERROR(VLOOKUP($A173,MTD!$A$13:$D$1048576,4,0),0)</f>
        <v>0</v>
      </c>
      <c r="E173" s="113"/>
      <c r="F173" s="113"/>
      <c r="G173" s="112" t="s">
        <v>249</v>
      </c>
      <c r="H173" s="114">
        <v>0</v>
      </c>
      <c r="I173" s="114">
        <v>0</v>
      </c>
      <c r="J173" s="115">
        <v>0</v>
      </c>
      <c r="K173" s="113">
        <v>0</v>
      </c>
      <c r="P173" s="112" t="s">
        <v>249</v>
      </c>
      <c r="Q173" s="113">
        <f>IFERROR(VLOOKUP($A173,YTD!$A$13:$D$1048576,3,0),0)</f>
        <v>-16807.599999999999</v>
      </c>
      <c r="R173" s="116">
        <f>IFERROR(VLOOKUP($A173,YTD!$A$13:$D$1048576,4,0),0)</f>
        <v>0</v>
      </c>
      <c r="S173" s="113"/>
      <c r="T173" s="113"/>
      <c r="U173" s="112" t="s">
        <v>249</v>
      </c>
      <c r="V173" s="114">
        <v>0</v>
      </c>
      <c r="W173" s="114">
        <v>0</v>
      </c>
      <c r="X173" s="115">
        <v>0</v>
      </c>
      <c r="Y173" s="113">
        <v>0</v>
      </c>
      <c r="Z173" s="113">
        <v>-2942.92</v>
      </c>
      <c r="AA173" s="113">
        <v>-1265.6099999999999</v>
      </c>
      <c r="AB173" s="113">
        <v>-1944.43</v>
      </c>
      <c r="AC173" s="113">
        <v>-2556.91</v>
      </c>
      <c r="AD173" s="113">
        <v>-2782.69</v>
      </c>
      <c r="AE173" s="113">
        <v>-2001.65</v>
      </c>
      <c r="AF173" s="113">
        <v>-2020.99</v>
      </c>
      <c r="AG173" s="113">
        <v>-1420.67</v>
      </c>
      <c r="AH173" s="113">
        <v>-1516.76</v>
      </c>
      <c r="AI173" s="113">
        <v>-1879.81</v>
      </c>
      <c r="AJ173" s="113">
        <v>-1796.13</v>
      </c>
      <c r="AK173" s="113">
        <f t="shared" si="11"/>
        <v>5320.97</v>
      </c>
      <c r="AM173" s="214"/>
    </row>
    <row r="174" spans="1:39" x14ac:dyDescent="0.3">
      <c r="A174" s="109" t="str">
        <f t="shared" si="10"/>
        <v>credit    6666020495  Non-deductible expense-travel.</v>
      </c>
      <c r="B174" s="112" t="s">
        <v>250</v>
      </c>
      <c r="C174" s="113">
        <f>IFERROR(VLOOKUP($A174,MTD!$A$13:$D$1048576,3,0),0)</f>
        <v>-807.52</v>
      </c>
      <c r="D174" s="116">
        <f>IFERROR(VLOOKUP($A174,MTD!$A$13:$D$1048576,4,0),0)</f>
        <v>0</v>
      </c>
      <c r="E174" s="113"/>
      <c r="F174" s="113"/>
      <c r="G174" s="112" t="s">
        <v>250</v>
      </c>
      <c r="H174" s="114">
        <v>0</v>
      </c>
      <c r="I174" s="114">
        <v>0</v>
      </c>
      <c r="J174" s="115">
        <v>0</v>
      </c>
      <c r="K174" s="113">
        <v>0</v>
      </c>
      <c r="P174" s="112" t="s">
        <v>250</v>
      </c>
      <c r="Q174" s="113">
        <f>IFERROR(VLOOKUP($A174,YTD!$A$13:$D$1048576,3,0),0)</f>
        <v>-4655.66</v>
      </c>
      <c r="R174" s="116">
        <f>IFERROR(VLOOKUP($A174,YTD!$A$13:$D$1048576,4,0),0)</f>
        <v>0</v>
      </c>
      <c r="S174" s="113"/>
      <c r="T174" s="113"/>
      <c r="U174" s="112" t="s">
        <v>250</v>
      </c>
      <c r="V174" s="114">
        <v>0</v>
      </c>
      <c r="W174" s="114">
        <v>0</v>
      </c>
      <c r="X174" s="115">
        <v>0</v>
      </c>
      <c r="Y174" s="113">
        <v>0</v>
      </c>
      <c r="Z174" s="113">
        <v>-24.18</v>
      </c>
      <c r="AA174" s="113">
        <v>-119.15</v>
      </c>
      <c r="AB174" s="113">
        <v>-342.55</v>
      </c>
      <c r="AC174" s="113">
        <v>-425.48</v>
      </c>
      <c r="AD174" s="113">
        <v>-157.19</v>
      </c>
      <c r="AE174" s="113">
        <v>-144.32</v>
      </c>
      <c r="AF174" s="113">
        <v>-140.4</v>
      </c>
      <c r="AG174" s="113">
        <v>-15.05</v>
      </c>
      <c r="AH174" s="113">
        <v>-133.91999999999999</v>
      </c>
      <c r="AI174" s="113">
        <v>-4.5199999999999996</v>
      </c>
      <c r="AJ174" s="113">
        <v>-2341.38</v>
      </c>
      <c r="AK174" s="113">
        <f t="shared" si="11"/>
        <v>-807.52</v>
      </c>
      <c r="AM174" s="214"/>
    </row>
    <row r="175" spans="1:39" x14ac:dyDescent="0.3">
      <c r="A175" s="109" t="str">
        <f t="shared" si="10"/>
        <v>credit    5102010151  Other Rev.-Interco-Epidemic problem comp</v>
      </c>
      <c r="B175" s="112" t="s">
        <v>251</v>
      </c>
      <c r="C175" s="113">
        <f>IFERROR(VLOOKUP($A175,MTD!$A$13:$D$1048576,3,0),0)</f>
        <v>-1518.42</v>
      </c>
      <c r="D175" s="116">
        <f>IFERROR(VLOOKUP($A175,MTD!$A$13:$D$1048576,4,0),0)</f>
        <v>0</v>
      </c>
      <c r="E175" s="113"/>
      <c r="F175" s="113"/>
      <c r="G175" s="112" t="s">
        <v>251</v>
      </c>
      <c r="H175" s="114">
        <v>0</v>
      </c>
      <c r="I175" s="114">
        <v>0</v>
      </c>
      <c r="J175" s="115">
        <v>0</v>
      </c>
      <c r="K175" s="113">
        <v>0</v>
      </c>
      <c r="P175" s="112" t="s">
        <v>251</v>
      </c>
      <c r="Q175" s="113">
        <f>IFERROR(VLOOKUP($A175,YTD!$A$13:$D$1048576,3,0),0)</f>
        <v>-190.43</v>
      </c>
      <c r="R175" s="116">
        <f>IFERROR(VLOOKUP($A175,YTD!$A$13:$D$1048576,4,0),0)</f>
        <v>0</v>
      </c>
      <c r="S175" s="113"/>
      <c r="T175" s="113"/>
      <c r="U175" s="112" t="s">
        <v>251</v>
      </c>
      <c r="V175" s="114">
        <v>0</v>
      </c>
      <c r="W175" s="114">
        <v>0</v>
      </c>
      <c r="X175" s="115">
        <v>0</v>
      </c>
      <c r="Y175" s="113">
        <v>0</v>
      </c>
      <c r="Z175" s="113">
        <v>0</v>
      </c>
      <c r="AA175" s="113">
        <v>0</v>
      </c>
      <c r="AB175" s="113">
        <v>0</v>
      </c>
      <c r="AC175" s="113">
        <v>0</v>
      </c>
      <c r="AD175" s="113">
        <v>1327.99</v>
      </c>
      <c r="AE175" s="113">
        <v>0</v>
      </c>
      <c r="AF175" s="113">
        <v>0</v>
      </c>
      <c r="AG175" s="113">
        <v>0</v>
      </c>
      <c r="AH175" s="113">
        <v>0</v>
      </c>
      <c r="AI175" s="113">
        <v>0</v>
      </c>
      <c r="AJ175" s="113">
        <v>0</v>
      </c>
      <c r="AK175" s="113">
        <f t="shared" si="11"/>
        <v>-1518.42</v>
      </c>
      <c r="AM175" s="214"/>
    </row>
    <row r="176" spans="1:39" x14ac:dyDescent="0.3">
      <c r="A176" s="109" t="str">
        <f t="shared" si="10"/>
        <v>credit    5001010200  Cost of Manufacture - Raw Material</v>
      </c>
      <c r="B176" s="112" t="s">
        <v>252</v>
      </c>
      <c r="C176" s="113">
        <f>IFERROR(VLOOKUP($A176,MTD!$A$13:$D$1048576,3,0),0)</f>
        <v>0</v>
      </c>
      <c r="D176" s="116">
        <f>IFERROR(VLOOKUP($A176,MTD!$A$13:$D$1048576,4,0),0)</f>
        <v>0</v>
      </c>
      <c r="E176" s="113"/>
      <c r="F176" s="113"/>
      <c r="G176" s="112" t="s">
        <v>252</v>
      </c>
      <c r="H176" s="114">
        <v>0</v>
      </c>
      <c r="I176" s="114">
        <v>0</v>
      </c>
      <c r="J176" s="115">
        <v>0</v>
      </c>
      <c r="K176" s="113">
        <v>0</v>
      </c>
      <c r="P176" s="112" t="s">
        <v>252</v>
      </c>
      <c r="Q176" s="113">
        <f>IFERROR(VLOOKUP($A176,YTD!$A$13:$D$1048576,3,0),0)</f>
        <v>-126.8</v>
      </c>
      <c r="R176" s="116">
        <f>IFERROR(VLOOKUP($A176,YTD!$A$13:$D$1048576,4,0),0)</f>
        <v>0</v>
      </c>
      <c r="S176" s="113"/>
      <c r="T176" s="113"/>
      <c r="U176" s="112" t="s">
        <v>252</v>
      </c>
      <c r="V176" s="114">
        <v>0</v>
      </c>
      <c r="W176" s="114">
        <v>0</v>
      </c>
      <c r="X176" s="115">
        <v>0</v>
      </c>
      <c r="Y176" s="113">
        <v>0</v>
      </c>
      <c r="Z176" s="113">
        <v>-52.5</v>
      </c>
      <c r="AA176" s="113">
        <v>0</v>
      </c>
      <c r="AB176" s="113">
        <v>-74.3</v>
      </c>
      <c r="AC176" s="113">
        <v>0</v>
      </c>
      <c r="AD176" s="113">
        <v>0</v>
      </c>
      <c r="AE176" s="113">
        <v>0</v>
      </c>
      <c r="AF176" s="113">
        <v>0</v>
      </c>
      <c r="AG176" s="113">
        <v>0</v>
      </c>
      <c r="AH176" s="113">
        <v>0</v>
      </c>
      <c r="AI176" s="113">
        <v>0</v>
      </c>
      <c r="AJ176" s="113">
        <v>0</v>
      </c>
      <c r="AK176" s="113">
        <f t="shared" si="11"/>
        <v>0</v>
      </c>
      <c r="AM176" s="214"/>
    </row>
    <row r="177" spans="1:39" x14ac:dyDescent="0.3">
      <c r="A177" s="109" t="str">
        <f t="shared" si="10"/>
        <v>credit    5001010201  Cost of Manufacture - Raw Material-Freig</v>
      </c>
      <c r="B177" s="112" t="s">
        <v>253</v>
      </c>
      <c r="C177" s="113">
        <f>IFERROR(VLOOKUP($A177,MTD!$A$13:$D$1048576,3,0),0)</f>
        <v>0</v>
      </c>
      <c r="D177" s="116">
        <f>IFERROR(VLOOKUP($A177,MTD!$A$13:$D$1048576,4,0),0)</f>
        <v>0</v>
      </c>
      <c r="E177" s="113"/>
      <c r="F177" s="113"/>
      <c r="G177" s="112" t="s">
        <v>253</v>
      </c>
      <c r="H177" s="114">
        <v>0</v>
      </c>
      <c r="I177" s="114">
        <v>0</v>
      </c>
      <c r="J177" s="115">
        <v>0</v>
      </c>
      <c r="K177" s="113">
        <v>0</v>
      </c>
      <c r="P177" s="112" t="s">
        <v>253</v>
      </c>
      <c r="Q177" s="113">
        <f>IFERROR(VLOOKUP($A177,YTD!$A$13:$D$1048576,3,0),0)</f>
        <v>0</v>
      </c>
      <c r="R177" s="116">
        <f>IFERROR(VLOOKUP($A177,YTD!$A$13:$D$1048576,4,0),0)</f>
        <v>0</v>
      </c>
      <c r="S177" s="113"/>
      <c r="T177" s="113"/>
      <c r="U177" s="112" t="s">
        <v>253</v>
      </c>
      <c r="V177" s="114">
        <v>0</v>
      </c>
      <c r="W177" s="114">
        <v>0</v>
      </c>
      <c r="X177" s="115">
        <v>0</v>
      </c>
      <c r="Y177" s="113">
        <v>0</v>
      </c>
      <c r="Z177" s="113">
        <v>0</v>
      </c>
      <c r="AA177" s="113">
        <v>0</v>
      </c>
      <c r="AB177" s="113">
        <v>0</v>
      </c>
      <c r="AC177" s="113">
        <v>0</v>
      </c>
      <c r="AD177" s="113">
        <v>0</v>
      </c>
      <c r="AE177" s="113">
        <v>0</v>
      </c>
      <c r="AF177" s="113">
        <v>0</v>
      </c>
      <c r="AG177" s="113">
        <v>0</v>
      </c>
      <c r="AH177" s="113">
        <v>0</v>
      </c>
      <c r="AI177" s="113">
        <v>0</v>
      </c>
      <c r="AJ177" s="113">
        <v>0</v>
      </c>
      <c r="AK177" s="113">
        <f t="shared" si="11"/>
        <v>0</v>
      </c>
      <c r="AM177" s="214"/>
    </row>
    <row r="178" spans="1:39" x14ac:dyDescent="0.3">
      <c r="A178" s="109" t="str">
        <f t="shared" si="10"/>
        <v>credit    5102040893  Other revenue-Charge out-Test Expense</v>
      </c>
      <c r="B178" s="112" t="s">
        <v>254</v>
      </c>
      <c r="C178" s="116">
        <f>IFERROR(VLOOKUP($A178,MTD!$A$13:$D$1048576,3,0),0)</f>
        <v>0</v>
      </c>
      <c r="D178" s="116">
        <f>IFERROR(VLOOKUP($A178,MTD!$A$13:$D$1048576,4,0),0)</f>
        <v>0</v>
      </c>
      <c r="E178" s="113"/>
      <c r="F178" s="113"/>
      <c r="G178" s="112" t="s">
        <v>254</v>
      </c>
      <c r="H178" s="114">
        <v>0</v>
      </c>
      <c r="I178" s="114">
        <v>0</v>
      </c>
      <c r="J178" s="115">
        <v>0</v>
      </c>
      <c r="K178" s="113">
        <v>0</v>
      </c>
      <c r="P178" s="112" t="s">
        <v>254</v>
      </c>
      <c r="Q178" s="116">
        <f>IFERROR(VLOOKUP($A178,YTD!$A$13:$D$1048576,3,0),0)</f>
        <v>0</v>
      </c>
      <c r="R178" s="116">
        <f>IFERROR(VLOOKUP($A178,YTD!$A$13:$D$1048576,4,0),0)</f>
        <v>0</v>
      </c>
      <c r="S178" s="113"/>
      <c r="T178" s="113"/>
      <c r="U178" s="112" t="s">
        <v>254</v>
      </c>
      <c r="V178" s="114">
        <v>0</v>
      </c>
      <c r="W178" s="114">
        <v>0</v>
      </c>
      <c r="X178" s="115">
        <v>0</v>
      </c>
      <c r="Y178" s="113">
        <v>0</v>
      </c>
      <c r="Z178" s="113">
        <v>0</v>
      </c>
      <c r="AA178" s="113">
        <v>0</v>
      </c>
      <c r="AB178" s="113">
        <v>0</v>
      </c>
      <c r="AC178" s="113">
        <v>0</v>
      </c>
      <c r="AD178" s="113">
        <v>0</v>
      </c>
      <c r="AE178" s="113">
        <v>0</v>
      </c>
      <c r="AF178" s="113">
        <v>0</v>
      </c>
      <c r="AG178" s="113">
        <v>0</v>
      </c>
      <c r="AH178" s="113">
        <v>0</v>
      </c>
      <c r="AI178" s="113">
        <v>0</v>
      </c>
      <c r="AJ178" s="113">
        <v>0</v>
      </c>
      <c r="AK178" s="113">
        <f t="shared" si="11"/>
        <v>0</v>
      </c>
      <c r="AM178" s="214"/>
    </row>
    <row r="179" spans="1:39" x14ac:dyDescent="0.3">
      <c r="A179" s="109" t="str">
        <f t="shared" si="10"/>
        <v>credit    5207000012  Loss of tangible asset sold</v>
      </c>
      <c r="B179" s="112" t="s">
        <v>255</v>
      </c>
      <c r="C179" s="116">
        <f>IFERROR(VLOOKUP($A179,MTD!$A$13:$D$1048576,3,0),0)</f>
        <v>0</v>
      </c>
      <c r="D179" s="116">
        <f>IFERROR(VLOOKUP($A179,MTD!$A$13:$D$1048576,4,0),0)</f>
        <v>0</v>
      </c>
      <c r="E179" s="113"/>
      <c r="F179" s="113"/>
      <c r="G179" s="112" t="s">
        <v>255</v>
      </c>
      <c r="H179" s="114">
        <v>0</v>
      </c>
      <c r="I179" s="114">
        <v>0</v>
      </c>
      <c r="J179" s="115">
        <v>0</v>
      </c>
      <c r="K179" s="113">
        <v>0</v>
      </c>
      <c r="P179" s="112" t="s">
        <v>255</v>
      </c>
      <c r="Q179" s="116">
        <f>IFERROR(VLOOKUP($A179,YTD!$A$13:$D$1048576,3,0),0)</f>
        <v>0</v>
      </c>
      <c r="R179" s="116">
        <f>IFERROR(VLOOKUP($A179,YTD!$A$13:$D$1048576,4,0),0)</f>
        <v>0</v>
      </c>
      <c r="S179" s="113"/>
      <c r="T179" s="113"/>
      <c r="U179" s="112" t="s">
        <v>255</v>
      </c>
      <c r="V179" s="114">
        <v>0</v>
      </c>
      <c r="W179" s="114">
        <v>0</v>
      </c>
      <c r="X179" s="115">
        <v>0</v>
      </c>
      <c r="Y179" s="113">
        <v>0</v>
      </c>
      <c r="Z179" s="113">
        <v>0</v>
      </c>
      <c r="AA179" s="113">
        <v>0</v>
      </c>
      <c r="AB179" s="113">
        <v>0</v>
      </c>
      <c r="AC179" s="113">
        <v>0</v>
      </c>
      <c r="AD179" s="113">
        <v>0</v>
      </c>
      <c r="AE179" s="113">
        <v>0</v>
      </c>
      <c r="AF179" s="113">
        <v>0</v>
      </c>
      <c r="AG179" s="113">
        <v>0</v>
      </c>
      <c r="AH179" s="113">
        <v>0</v>
      </c>
      <c r="AI179" s="113">
        <v>0</v>
      </c>
      <c r="AJ179" s="113">
        <v>0</v>
      </c>
      <c r="AK179" s="113">
        <f t="shared" si="11"/>
        <v>0</v>
      </c>
      <c r="AM179" s="214"/>
    </row>
    <row r="180" spans="1:39" x14ac:dyDescent="0.3">
      <c r="A180" s="109" t="str">
        <f t="shared" si="10"/>
        <v>credit    5207000022  Loss of intangible asset disposal</v>
      </c>
      <c r="B180" s="112" t="s">
        <v>256</v>
      </c>
      <c r="C180" s="116">
        <f>IFERROR(VLOOKUP($A180,MTD!$A$13:$D$1048576,3,0),0)</f>
        <v>0</v>
      </c>
      <c r="D180" s="116">
        <f>IFERROR(VLOOKUP($A180,MTD!$A$13:$D$1048576,4,0),0)</f>
        <v>0</v>
      </c>
      <c r="E180" s="113"/>
      <c r="F180" s="113"/>
      <c r="G180" s="112" t="s">
        <v>256</v>
      </c>
      <c r="H180" s="114">
        <v>0</v>
      </c>
      <c r="I180" s="114">
        <v>0</v>
      </c>
      <c r="J180" s="115">
        <v>0</v>
      </c>
      <c r="K180" s="113">
        <v>0</v>
      </c>
      <c r="P180" s="112" t="s">
        <v>256</v>
      </c>
      <c r="Q180" s="116">
        <f>IFERROR(VLOOKUP($A180,YTD!$A$13:$D$1048576,3,0),0)</f>
        <v>0</v>
      </c>
      <c r="R180" s="116">
        <f>IFERROR(VLOOKUP($A180,YTD!$A$13:$D$1048576,4,0),0)</f>
        <v>0</v>
      </c>
      <c r="S180" s="113"/>
      <c r="T180" s="113"/>
      <c r="U180" s="112" t="s">
        <v>256</v>
      </c>
      <c r="V180" s="114">
        <v>0</v>
      </c>
      <c r="W180" s="114">
        <v>0</v>
      </c>
      <c r="X180" s="115">
        <v>0</v>
      </c>
      <c r="Y180" s="113">
        <v>0</v>
      </c>
      <c r="Z180" s="113">
        <v>0</v>
      </c>
      <c r="AA180" s="113">
        <v>0</v>
      </c>
      <c r="AB180" s="113">
        <v>0</v>
      </c>
      <c r="AC180" s="113">
        <v>0</v>
      </c>
      <c r="AD180" s="113">
        <v>0</v>
      </c>
      <c r="AE180" s="113">
        <v>0</v>
      </c>
      <c r="AF180" s="113">
        <v>0</v>
      </c>
      <c r="AG180" s="113">
        <v>0</v>
      </c>
      <c r="AH180" s="113">
        <v>0</v>
      </c>
      <c r="AI180" s="113">
        <v>0</v>
      </c>
      <c r="AJ180" s="113">
        <v>0</v>
      </c>
      <c r="AK180" s="113">
        <f t="shared" si="11"/>
        <v>0</v>
      </c>
      <c r="AM180" s="214"/>
    </row>
    <row r="181" spans="1:39" x14ac:dyDescent="0.3">
      <c r="A181" s="109" t="str">
        <f t="shared" si="10"/>
        <v>credit    5301060000  Other Income-Subsidy income</v>
      </c>
      <c r="B181" s="112" t="s">
        <v>257</v>
      </c>
      <c r="C181" s="116">
        <f>IFERROR(VLOOKUP($A181,MTD!$A$13:$D$1048576,3,0),0)</f>
        <v>0</v>
      </c>
      <c r="D181" s="116">
        <f>IFERROR(VLOOKUP($A181,MTD!$A$13:$D$1048576,4,0),0)</f>
        <v>0</v>
      </c>
      <c r="E181" s="113"/>
      <c r="F181" s="113"/>
      <c r="G181" s="112" t="s">
        <v>257</v>
      </c>
      <c r="H181" s="114">
        <v>0</v>
      </c>
      <c r="I181" s="114">
        <v>0</v>
      </c>
      <c r="J181" s="115">
        <v>0</v>
      </c>
      <c r="K181" s="113">
        <v>0</v>
      </c>
      <c r="P181" s="112" t="s">
        <v>257</v>
      </c>
      <c r="Q181" s="116">
        <f>IFERROR(VLOOKUP($A181,YTD!$A$13:$D$1048576,3,0),0)</f>
        <v>0</v>
      </c>
      <c r="R181" s="116">
        <f>IFERROR(VLOOKUP($A181,YTD!$A$13:$D$1048576,4,0),0)</f>
        <v>0</v>
      </c>
      <c r="S181" s="113"/>
      <c r="T181" s="113"/>
      <c r="U181" s="112" t="s">
        <v>257</v>
      </c>
      <c r="V181" s="114">
        <v>0</v>
      </c>
      <c r="W181" s="114">
        <v>0</v>
      </c>
      <c r="X181" s="115">
        <v>0</v>
      </c>
      <c r="Y181" s="113">
        <v>0</v>
      </c>
      <c r="Z181" s="113">
        <v>0</v>
      </c>
      <c r="AA181" s="113">
        <v>0</v>
      </c>
      <c r="AB181" s="113">
        <v>0</v>
      </c>
      <c r="AC181" s="113">
        <v>0</v>
      </c>
      <c r="AD181" s="113">
        <v>0</v>
      </c>
      <c r="AE181" s="113">
        <v>0</v>
      </c>
      <c r="AF181" s="113">
        <v>0</v>
      </c>
      <c r="AG181" s="113">
        <v>0</v>
      </c>
      <c r="AH181" s="113">
        <v>0</v>
      </c>
      <c r="AI181" s="113">
        <v>0</v>
      </c>
      <c r="AJ181" s="113">
        <v>0</v>
      </c>
      <c r="AK181" s="113">
        <f t="shared" si="11"/>
        <v>0</v>
      </c>
      <c r="AM181" s="214"/>
    </row>
    <row r="182" spans="1:39" x14ac:dyDescent="0.3">
      <c r="A182" s="109" t="str">
        <f t="shared" si="10"/>
        <v>credit    5301999999  Non-operation revenue-Other</v>
      </c>
      <c r="B182" s="112" t="s">
        <v>258</v>
      </c>
      <c r="C182" s="113">
        <f>IFERROR(VLOOKUP($A182,MTD!$A$13:$D$1048576,3,0),0)</f>
        <v>0</v>
      </c>
      <c r="D182" s="116">
        <f>IFERROR(VLOOKUP($A182,MTD!$A$13:$D$1048576,4,0),0)</f>
        <v>0</v>
      </c>
      <c r="E182" s="113"/>
      <c r="F182" s="113"/>
      <c r="G182" s="112" t="s">
        <v>258</v>
      </c>
      <c r="H182" s="114">
        <v>0</v>
      </c>
      <c r="I182" s="114">
        <v>0</v>
      </c>
      <c r="J182" s="115">
        <v>0</v>
      </c>
      <c r="K182" s="113">
        <v>0</v>
      </c>
      <c r="P182" s="112" t="s">
        <v>258</v>
      </c>
      <c r="Q182" s="113">
        <f>IFERROR(VLOOKUP($A182,YTD!$A$13:$D$1048576,3,0),0)</f>
        <v>-0.05</v>
      </c>
      <c r="R182" s="116">
        <f>IFERROR(VLOOKUP($A182,YTD!$A$13:$D$1048576,4,0),0)</f>
        <v>0</v>
      </c>
      <c r="S182" s="113"/>
      <c r="T182" s="113"/>
      <c r="U182" s="112" t="s">
        <v>258</v>
      </c>
      <c r="V182" s="114">
        <v>0</v>
      </c>
      <c r="W182" s="114">
        <v>0</v>
      </c>
      <c r="X182" s="115">
        <v>0</v>
      </c>
      <c r="Y182" s="113">
        <v>0</v>
      </c>
      <c r="Z182" s="113">
        <v>0</v>
      </c>
      <c r="AA182" s="113">
        <v>0</v>
      </c>
      <c r="AB182" s="113">
        <v>0</v>
      </c>
      <c r="AC182" s="113">
        <v>0</v>
      </c>
      <c r="AD182" s="113">
        <v>0</v>
      </c>
      <c r="AE182" s="113">
        <v>0</v>
      </c>
      <c r="AF182" s="113">
        <v>0</v>
      </c>
      <c r="AG182" s="113">
        <v>0</v>
      </c>
      <c r="AH182" s="113">
        <v>0</v>
      </c>
      <c r="AI182" s="113">
        <v>0</v>
      </c>
      <c r="AJ182" s="113">
        <v>-0.05</v>
      </c>
      <c r="AK182" s="113">
        <f t="shared" si="11"/>
        <v>0</v>
      </c>
      <c r="AM182" s="214"/>
    </row>
    <row r="183" spans="1:39" x14ac:dyDescent="0.3">
      <c r="A183" s="109" t="str">
        <f t="shared" si="10"/>
        <v>credit    5405030000  Other cost-others</v>
      </c>
      <c r="B183" s="112" t="s">
        <v>259</v>
      </c>
      <c r="C183" s="113">
        <f>IFERROR(VLOOKUP($A183,MTD!$A$13:$D$1048576,3,0),0)</f>
        <v>0</v>
      </c>
      <c r="D183" s="113">
        <f>IFERROR(VLOOKUP($A183,MTD!$A$13:$D$1048576,4,0),0)</f>
        <v>0</v>
      </c>
      <c r="E183" s="113"/>
      <c r="F183" s="113"/>
      <c r="G183" s="112" t="s">
        <v>259</v>
      </c>
      <c r="H183" s="114">
        <v>0</v>
      </c>
      <c r="I183" s="114">
        <v>0</v>
      </c>
      <c r="J183" s="115">
        <v>0</v>
      </c>
      <c r="K183" s="113">
        <v>0</v>
      </c>
      <c r="P183" s="112" t="s">
        <v>259</v>
      </c>
      <c r="Q183" s="113">
        <f>IFERROR(VLOOKUP($A183,YTD!$A$13:$D$1048576,3,0),0)</f>
        <v>-3431.77</v>
      </c>
      <c r="R183" s="113">
        <f>IFERROR(VLOOKUP($A183,YTD!$A$13:$D$1048576,4,0),0)</f>
        <v>0</v>
      </c>
      <c r="S183" s="113"/>
      <c r="T183" s="113"/>
      <c r="U183" s="112" t="s">
        <v>259</v>
      </c>
      <c r="V183" s="114">
        <v>0</v>
      </c>
      <c r="W183" s="114">
        <v>0</v>
      </c>
      <c r="X183" s="115">
        <v>0</v>
      </c>
      <c r="Y183" s="113">
        <v>0</v>
      </c>
      <c r="Z183" s="113">
        <v>-9.86</v>
      </c>
      <c r="AA183" s="113">
        <v>-133.16999999999999</v>
      </c>
      <c r="AB183" s="113">
        <v>-1976.87</v>
      </c>
      <c r="AC183" s="113">
        <v>0</v>
      </c>
      <c r="AD183" s="113">
        <v>0.01</v>
      </c>
      <c r="AE183" s="113">
        <v>0.01</v>
      </c>
      <c r="AF183" s="113">
        <v>-197.73</v>
      </c>
      <c r="AG183" s="113">
        <v>-1006.98</v>
      </c>
      <c r="AH183" s="113">
        <v>-99.48</v>
      </c>
      <c r="AI183" s="113">
        <v>0</v>
      </c>
      <c r="AJ183" s="113">
        <v>-7.7</v>
      </c>
      <c r="AK183" s="113">
        <f t="shared" si="11"/>
        <v>0</v>
      </c>
      <c r="AM183" s="214"/>
    </row>
    <row r="184" spans="1:39" x14ac:dyDescent="0.3">
      <c r="A184" s="109" t="str">
        <f t="shared" si="10"/>
        <v>credit    5601050100  Non-operation Expense-Others</v>
      </c>
      <c r="B184" s="112" t="s">
        <v>261</v>
      </c>
      <c r="C184" s="113">
        <f>IFERROR(VLOOKUP($A184,MTD!$A$13:$D$1048576,3,0),0)</f>
        <v>0</v>
      </c>
      <c r="D184" s="116">
        <f>IFERROR(VLOOKUP($A184,MTD!$A$13:$D$1048576,4,0),0)</f>
        <v>0</v>
      </c>
      <c r="E184" s="113"/>
      <c r="F184" s="113"/>
      <c r="G184" s="112" t="s">
        <v>261</v>
      </c>
      <c r="H184" s="114">
        <v>0</v>
      </c>
      <c r="I184" s="114">
        <v>0</v>
      </c>
      <c r="J184" s="115">
        <v>0</v>
      </c>
      <c r="K184" s="113">
        <v>0</v>
      </c>
      <c r="P184" s="112" t="s">
        <v>261</v>
      </c>
      <c r="Q184" s="113">
        <f>IFERROR(VLOOKUP($A184,YTD!$A$13:$D$1048576,3,0),0)</f>
        <v>-347.51</v>
      </c>
      <c r="R184" s="116">
        <f>IFERROR(VLOOKUP($A184,YTD!$A$13:$D$1048576,4,0),0)</f>
        <v>0</v>
      </c>
      <c r="S184" s="113"/>
      <c r="T184" s="113"/>
      <c r="U184" s="112" t="s">
        <v>261</v>
      </c>
      <c r="V184" s="114">
        <v>0</v>
      </c>
      <c r="W184" s="114">
        <v>0</v>
      </c>
      <c r="X184" s="115">
        <v>0</v>
      </c>
      <c r="Y184" s="113">
        <v>0</v>
      </c>
      <c r="Z184" s="113">
        <v>-142.41999999999999</v>
      </c>
      <c r="AA184" s="113">
        <v>0</v>
      </c>
      <c r="AB184" s="113">
        <v>0</v>
      </c>
      <c r="AC184" s="113">
        <v>0</v>
      </c>
      <c r="AD184" s="113">
        <v>0</v>
      </c>
      <c r="AE184" s="113">
        <v>0</v>
      </c>
      <c r="AF184" s="113">
        <v>-126.8</v>
      </c>
      <c r="AG184" s="113">
        <v>-65.89</v>
      </c>
      <c r="AH184" s="113">
        <v>0</v>
      </c>
      <c r="AI184" s="113">
        <v>0</v>
      </c>
      <c r="AJ184" s="113">
        <v>-12.4</v>
      </c>
      <c r="AK184" s="113">
        <f t="shared" si="11"/>
        <v>0</v>
      </c>
      <c r="AM184" s="214"/>
    </row>
    <row r="185" spans="1:39" x14ac:dyDescent="0.3">
      <c r="A185" s="109" t="str">
        <f t="shared" si="10"/>
        <v>credit    6666020101  Entertainment</v>
      </c>
      <c r="B185" s="112" t="s">
        <v>262</v>
      </c>
      <c r="C185" s="113">
        <f>IFERROR(VLOOKUP($A185,MTD!$A$13:$D$1048576,3,0),0)</f>
        <v>52491.41</v>
      </c>
      <c r="D185" s="113">
        <f>IFERROR(VLOOKUP($A185,MTD!$A$13:$D$1048576,4,0),0)</f>
        <v>-9726.0499999999993</v>
      </c>
      <c r="E185" s="113"/>
      <c r="F185" s="113"/>
      <c r="G185" s="112" t="s">
        <v>262</v>
      </c>
      <c r="H185" s="114">
        <v>0</v>
      </c>
      <c r="I185" s="114">
        <v>0</v>
      </c>
      <c r="J185" s="115">
        <v>0</v>
      </c>
      <c r="K185" s="113">
        <v>0</v>
      </c>
      <c r="P185" s="112" t="s">
        <v>262</v>
      </c>
      <c r="Q185" s="113">
        <f>IFERROR(VLOOKUP($A185,YTD!$A$13:$D$1048576,3,0),0)</f>
        <v>-1309.23</v>
      </c>
      <c r="R185" s="113">
        <f>IFERROR(VLOOKUP($A185,YTD!$A$13:$D$1048576,4,0),0)</f>
        <v>-116712.6</v>
      </c>
      <c r="S185" s="113"/>
      <c r="T185" s="113"/>
      <c r="U185" s="112" t="s">
        <v>262</v>
      </c>
      <c r="V185" s="114">
        <v>0</v>
      </c>
      <c r="W185" s="114">
        <v>0</v>
      </c>
      <c r="X185" s="115">
        <v>0</v>
      </c>
      <c r="Y185" s="113">
        <v>0</v>
      </c>
      <c r="Z185" s="113">
        <v>0</v>
      </c>
      <c r="AA185" s="113">
        <v>-11946.86</v>
      </c>
      <c r="AB185" s="113">
        <v>-9860.1</v>
      </c>
      <c r="AC185" s="113">
        <v>-8863.73</v>
      </c>
      <c r="AD185" s="113">
        <v>-9482.33</v>
      </c>
      <c r="AE185" s="113">
        <v>-8398.75</v>
      </c>
      <c r="AF185" s="113">
        <v>-7912.06</v>
      </c>
      <c r="AG185" s="113">
        <v>1352.59</v>
      </c>
      <c r="AH185" s="113">
        <v>957.74</v>
      </c>
      <c r="AI185" s="113">
        <v>-260.51</v>
      </c>
      <c r="AJ185" s="113">
        <v>613.37</v>
      </c>
      <c r="AK185" s="113">
        <f t="shared" si="11"/>
        <v>52491.41</v>
      </c>
      <c r="AM185" s="214"/>
    </row>
    <row r="186" spans="1:39" x14ac:dyDescent="0.3">
      <c r="A186" s="109" t="str">
        <f t="shared" si="10"/>
        <v>credit    6666020201  Domestic business travel</v>
      </c>
      <c r="B186" s="112" t="s">
        <v>263</v>
      </c>
      <c r="C186" s="113">
        <f>IFERROR(VLOOKUP($A186,MTD!$A$13:$D$1048576,3,0),0)</f>
        <v>-103.25</v>
      </c>
      <c r="D186" s="113">
        <f>IFERROR(VLOOKUP($A186,MTD!$A$13:$D$1048576,4,0),0)</f>
        <v>-1811.53</v>
      </c>
      <c r="E186" s="113"/>
      <c r="F186" s="113"/>
      <c r="G186" s="112" t="s">
        <v>263</v>
      </c>
      <c r="H186" s="114">
        <v>0</v>
      </c>
      <c r="I186" s="114">
        <v>0</v>
      </c>
      <c r="J186" s="115">
        <v>0</v>
      </c>
      <c r="K186" s="113">
        <v>0</v>
      </c>
      <c r="P186" s="112" t="s">
        <v>263</v>
      </c>
      <c r="Q186" s="113">
        <f>IFERROR(VLOOKUP($A186,YTD!$A$13:$D$1048576,3,0),0)</f>
        <v>-734.33</v>
      </c>
      <c r="R186" s="113">
        <f>IFERROR(VLOOKUP($A186,YTD!$A$13:$D$1048576,4,0),0)</f>
        <v>-21738.36</v>
      </c>
      <c r="S186" s="113"/>
      <c r="T186" s="113"/>
      <c r="U186" s="112" t="s">
        <v>263</v>
      </c>
      <c r="V186" s="114">
        <v>0</v>
      </c>
      <c r="W186" s="114">
        <v>0</v>
      </c>
      <c r="X186" s="115">
        <v>0</v>
      </c>
      <c r="Y186" s="113">
        <v>0</v>
      </c>
      <c r="Z186" s="113">
        <v>0</v>
      </c>
      <c r="AA186" s="113">
        <v>0</v>
      </c>
      <c r="AB186" s="113">
        <v>-136.41999999999999</v>
      </c>
      <c r="AC186" s="113">
        <v>-17.38</v>
      </c>
      <c r="AD186" s="113">
        <v>0</v>
      </c>
      <c r="AE186" s="113">
        <v>0</v>
      </c>
      <c r="AF186" s="113">
        <v>-122.36</v>
      </c>
      <c r="AG186" s="113">
        <v>-12.4</v>
      </c>
      <c r="AH186" s="113">
        <v>-95.55</v>
      </c>
      <c r="AI186" s="113">
        <v>-198.61</v>
      </c>
      <c r="AJ186" s="113">
        <v>-48.36</v>
      </c>
      <c r="AK186" s="113">
        <f t="shared" si="11"/>
        <v>-103.25</v>
      </c>
      <c r="AM186" s="214"/>
    </row>
    <row r="187" spans="1:39" x14ac:dyDescent="0.3">
      <c r="A187" s="109" t="str">
        <f t="shared" si="10"/>
        <v>credit    6666020202  Overseas business travel</v>
      </c>
      <c r="B187" s="112" t="s">
        <v>264</v>
      </c>
      <c r="C187" s="113">
        <f>IFERROR(VLOOKUP($A187,MTD!$A$13:$D$1048576,3,0),0)</f>
        <v>-205.42</v>
      </c>
      <c r="D187" s="116">
        <f>IFERROR(VLOOKUP($A187,MTD!$A$13:$D$1048576,4,0),0)</f>
        <v>0</v>
      </c>
      <c r="E187" s="113"/>
      <c r="F187" s="113"/>
      <c r="G187" s="112" t="s">
        <v>264</v>
      </c>
      <c r="H187" s="114">
        <v>0</v>
      </c>
      <c r="I187" s="114">
        <v>0</v>
      </c>
      <c r="J187" s="115">
        <v>0</v>
      </c>
      <c r="K187" s="113">
        <v>0</v>
      </c>
      <c r="P187" s="112" t="s">
        <v>264</v>
      </c>
      <c r="Q187" s="113">
        <f>IFERROR(VLOOKUP($A187,YTD!$A$13:$D$1048576,3,0),0)</f>
        <v>-3469.45</v>
      </c>
      <c r="R187" s="116">
        <f>IFERROR(VLOOKUP($A187,YTD!$A$13:$D$1048576,4,0),0)</f>
        <v>0</v>
      </c>
      <c r="S187" s="113"/>
      <c r="T187" s="113"/>
      <c r="U187" s="112" t="s">
        <v>264</v>
      </c>
      <c r="V187" s="114">
        <v>0</v>
      </c>
      <c r="W187" s="114">
        <v>0</v>
      </c>
      <c r="X187" s="115">
        <v>0</v>
      </c>
      <c r="Y187" s="113">
        <v>0</v>
      </c>
      <c r="Z187" s="113">
        <v>0</v>
      </c>
      <c r="AA187" s="113">
        <v>0</v>
      </c>
      <c r="AB187" s="113">
        <v>0</v>
      </c>
      <c r="AC187" s="113">
        <v>0</v>
      </c>
      <c r="AD187" s="113">
        <v>0</v>
      </c>
      <c r="AE187" s="113">
        <v>-351.05</v>
      </c>
      <c r="AF187" s="113">
        <v>-2075.1</v>
      </c>
      <c r="AG187" s="113">
        <v>-25.29</v>
      </c>
      <c r="AH187" s="113">
        <v>-5.79</v>
      </c>
      <c r="AI187" s="113">
        <v>-806.8</v>
      </c>
      <c r="AJ187" s="113">
        <v>0</v>
      </c>
      <c r="AK187" s="113">
        <f t="shared" si="11"/>
        <v>-205.42</v>
      </c>
      <c r="AM187" s="214"/>
    </row>
    <row r="188" spans="1:39" x14ac:dyDescent="0.3">
      <c r="A188" s="109" t="str">
        <f t="shared" si="10"/>
        <v>credit    6666020204  Travel expense pay to agency</v>
      </c>
      <c r="B188" s="112" t="s">
        <v>265</v>
      </c>
      <c r="C188" s="113">
        <f>IFERROR(VLOOKUP($A188,MTD!$A$13:$D$1048576,3,0),0)</f>
        <v>-38.659999999999997</v>
      </c>
      <c r="D188" s="116">
        <f>IFERROR(VLOOKUP($A188,MTD!$A$13:$D$1048576,4,0),0)</f>
        <v>0</v>
      </c>
      <c r="E188" s="113"/>
      <c r="F188" s="113"/>
      <c r="G188" s="112" t="s">
        <v>265</v>
      </c>
      <c r="H188" s="114">
        <v>0</v>
      </c>
      <c r="I188" s="114">
        <v>0</v>
      </c>
      <c r="J188" s="115">
        <v>0</v>
      </c>
      <c r="K188" s="113">
        <v>0</v>
      </c>
      <c r="P188" s="112" t="s">
        <v>265</v>
      </c>
      <c r="Q188" s="113">
        <f>IFERROR(VLOOKUP($A188,YTD!$A$13:$D$1048576,3,0),0)</f>
        <v>-10952.49</v>
      </c>
      <c r="R188" s="116">
        <f>IFERROR(VLOOKUP($A188,YTD!$A$13:$D$1048576,4,0),0)</f>
        <v>0</v>
      </c>
      <c r="S188" s="113"/>
      <c r="T188" s="113"/>
      <c r="U188" s="112" t="s">
        <v>265</v>
      </c>
      <c r="V188" s="114">
        <v>0</v>
      </c>
      <c r="W188" s="114">
        <v>0</v>
      </c>
      <c r="X188" s="115">
        <v>0</v>
      </c>
      <c r="Y188" s="113">
        <v>0</v>
      </c>
      <c r="Z188" s="113">
        <v>-276.5</v>
      </c>
      <c r="AA188" s="113">
        <v>-27.89</v>
      </c>
      <c r="AB188" s="113">
        <v>1.0900000000000001</v>
      </c>
      <c r="AC188" s="113">
        <v>-15.02</v>
      </c>
      <c r="AD188" s="113">
        <v>-24.75</v>
      </c>
      <c r="AE188" s="113">
        <v>-14.36</v>
      </c>
      <c r="AF188" s="113">
        <v>0.56000000000000005</v>
      </c>
      <c r="AG188" s="113">
        <v>-99.31</v>
      </c>
      <c r="AH188" s="113">
        <v>-123.8</v>
      </c>
      <c r="AI188" s="113">
        <v>-9408.1200000000008</v>
      </c>
      <c r="AJ188" s="113">
        <v>-925.73</v>
      </c>
      <c r="AK188" s="113">
        <f t="shared" si="11"/>
        <v>-38.659999999999997</v>
      </c>
      <c r="AM188" s="214"/>
    </row>
    <row r="189" spans="1:39" x14ac:dyDescent="0.3">
      <c r="A189" s="109" t="str">
        <f t="shared" si="10"/>
        <v>credit    6666020205  Business travel-other</v>
      </c>
      <c r="B189" s="112" t="s">
        <v>266</v>
      </c>
      <c r="C189" s="116">
        <f>IFERROR(VLOOKUP($A189,MTD!$A$13:$D$1048576,3,0),0)</f>
        <v>0</v>
      </c>
      <c r="D189" s="113">
        <f>IFERROR(VLOOKUP($A189,MTD!$A$13:$D$1048576,4,0),0)</f>
        <v>-1943.47</v>
      </c>
      <c r="E189" s="113"/>
      <c r="F189" s="113"/>
      <c r="G189" s="112" t="s">
        <v>266</v>
      </c>
      <c r="H189" s="114">
        <v>0</v>
      </c>
      <c r="I189" s="114">
        <v>0</v>
      </c>
      <c r="J189" s="115">
        <v>0</v>
      </c>
      <c r="K189" s="113">
        <v>0</v>
      </c>
      <c r="P189" s="112" t="s">
        <v>266</v>
      </c>
      <c r="Q189" s="116">
        <f>IFERROR(VLOOKUP($A189,YTD!$A$13:$D$1048576,3,0),0)</f>
        <v>0</v>
      </c>
      <c r="R189" s="113">
        <f>IFERROR(VLOOKUP($A189,YTD!$A$13:$D$1048576,4,0),0)</f>
        <v>-23321.64</v>
      </c>
      <c r="S189" s="113"/>
      <c r="T189" s="113"/>
      <c r="U189" s="112" t="s">
        <v>266</v>
      </c>
      <c r="V189" s="114">
        <v>0</v>
      </c>
      <c r="W189" s="114">
        <v>0</v>
      </c>
      <c r="X189" s="115">
        <v>0</v>
      </c>
      <c r="Y189" s="113">
        <v>0</v>
      </c>
      <c r="Z189" s="113">
        <v>0</v>
      </c>
      <c r="AA189" s="113">
        <v>0</v>
      </c>
      <c r="AB189" s="113">
        <v>0</v>
      </c>
      <c r="AC189" s="113">
        <v>0</v>
      </c>
      <c r="AD189" s="113">
        <v>0</v>
      </c>
      <c r="AE189" s="113">
        <v>0</v>
      </c>
      <c r="AF189" s="113">
        <v>0</v>
      </c>
      <c r="AG189" s="113">
        <v>0</v>
      </c>
      <c r="AH189" s="113">
        <v>0</v>
      </c>
      <c r="AI189" s="113">
        <v>0</v>
      </c>
      <c r="AJ189" s="113">
        <v>0</v>
      </c>
      <c r="AK189" s="113">
        <f t="shared" si="11"/>
        <v>0</v>
      </c>
      <c r="AM189" s="214"/>
    </row>
    <row r="190" spans="1:39" x14ac:dyDescent="0.3">
      <c r="A190" s="109" t="str">
        <f t="shared" si="10"/>
        <v>credit    6666020301  Staff communication expense</v>
      </c>
      <c r="B190" s="112" t="s">
        <v>267</v>
      </c>
      <c r="C190" s="113">
        <f>IFERROR(VLOOKUP($A190,MTD!$A$13:$D$1048576,3,0),0)</f>
        <v>-528.88</v>
      </c>
      <c r="D190" s="116">
        <f>IFERROR(VLOOKUP($A190,MTD!$A$13:$D$1048576,4,0),0)</f>
        <v>0</v>
      </c>
      <c r="E190" s="113"/>
      <c r="F190" s="113"/>
      <c r="G190" s="112" t="s">
        <v>267</v>
      </c>
      <c r="H190" s="114">
        <v>0</v>
      </c>
      <c r="I190" s="114">
        <v>0</v>
      </c>
      <c r="J190" s="115">
        <v>0</v>
      </c>
      <c r="K190" s="113">
        <v>0</v>
      </c>
      <c r="P190" s="112" t="s">
        <v>267</v>
      </c>
      <c r="Q190" s="113">
        <f>IFERROR(VLOOKUP($A190,YTD!$A$13:$D$1048576,3,0),0)</f>
        <v>-6161.12</v>
      </c>
      <c r="R190" s="116">
        <f>IFERROR(VLOOKUP($A190,YTD!$A$13:$D$1048576,4,0),0)</f>
        <v>0</v>
      </c>
      <c r="S190" s="113"/>
      <c r="T190" s="113"/>
      <c r="U190" s="112" t="s">
        <v>267</v>
      </c>
      <c r="V190" s="114">
        <v>0</v>
      </c>
      <c r="W190" s="114">
        <v>0</v>
      </c>
      <c r="X190" s="115">
        <v>0</v>
      </c>
      <c r="Y190" s="113">
        <v>0</v>
      </c>
      <c r="Z190" s="113">
        <v>0</v>
      </c>
      <c r="AA190" s="113">
        <v>0</v>
      </c>
      <c r="AB190" s="113">
        <v>0</v>
      </c>
      <c r="AC190" s="113">
        <v>-1683.57</v>
      </c>
      <c r="AD190" s="113">
        <v>-568.95000000000005</v>
      </c>
      <c r="AE190" s="113">
        <v>-510.43</v>
      </c>
      <c r="AF190" s="113">
        <v>-484.94</v>
      </c>
      <c r="AG190" s="113">
        <v>-713.96</v>
      </c>
      <c r="AH190" s="113">
        <v>-152.1</v>
      </c>
      <c r="AI190" s="113">
        <v>-892.37</v>
      </c>
      <c r="AJ190" s="113">
        <v>-625.91999999999996</v>
      </c>
      <c r="AK190" s="113">
        <f t="shared" si="11"/>
        <v>-528.88</v>
      </c>
      <c r="AM190" s="214"/>
    </row>
    <row r="191" spans="1:39" x14ac:dyDescent="0.3">
      <c r="A191" s="109" t="str">
        <f t="shared" si="10"/>
        <v>credit    6666020302  Communication Expenses</v>
      </c>
      <c r="B191" s="112" t="s">
        <v>269</v>
      </c>
      <c r="C191" s="113">
        <f>IFERROR(VLOOKUP($A191,MTD!$A$13:$D$1048576,3,0),0)</f>
        <v>0</v>
      </c>
      <c r="D191" s="113">
        <f>IFERROR(VLOOKUP($A191,MTD!$A$13:$D$1048576,4,0),0)</f>
        <v>-260</v>
      </c>
      <c r="E191" s="113"/>
      <c r="F191" s="113"/>
      <c r="G191" s="112" t="s">
        <v>269</v>
      </c>
      <c r="H191" s="114">
        <v>0</v>
      </c>
      <c r="I191" s="114">
        <v>0</v>
      </c>
      <c r="J191" s="115">
        <v>0</v>
      </c>
      <c r="K191" s="113">
        <v>0</v>
      </c>
      <c r="P191" s="112" t="s">
        <v>269</v>
      </c>
      <c r="Q191" s="113">
        <f>IFERROR(VLOOKUP($A191,YTD!$A$13:$D$1048576,3,0),0)</f>
        <v>-1108.68</v>
      </c>
      <c r="R191" s="113">
        <f>IFERROR(VLOOKUP($A191,YTD!$A$13:$D$1048576,4,0),0)</f>
        <v>-3120</v>
      </c>
      <c r="S191" s="113"/>
      <c r="T191" s="113"/>
      <c r="U191" s="112" t="s">
        <v>269</v>
      </c>
      <c r="V191" s="114">
        <v>0</v>
      </c>
      <c r="W191" s="114">
        <v>0</v>
      </c>
      <c r="X191" s="115">
        <v>0</v>
      </c>
      <c r="Y191" s="113">
        <v>0</v>
      </c>
      <c r="Z191" s="113">
        <v>-551.79</v>
      </c>
      <c r="AA191" s="113">
        <v>-237.3</v>
      </c>
      <c r="AB191" s="113">
        <v>-319.58999999999997</v>
      </c>
      <c r="AC191" s="113">
        <v>0</v>
      </c>
      <c r="AD191" s="113">
        <v>0</v>
      </c>
      <c r="AE191" s="113">
        <v>0</v>
      </c>
      <c r="AF191" s="113">
        <v>0</v>
      </c>
      <c r="AG191" s="113">
        <v>0</v>
      </c>
      <c r="AH191" s="113">
        <v>0</v>
      </c>
      <c r="AI191" s="113">
        <v>0</v>
      </c>
      <c r="AJ191" s="113">
        <v>0</v>
      </c>
      <c r="AK191" s="113">
        <f t="shared" si="11"/>
        <v>0</v>
      </c>
      <c r="AM191" s="214"/>
    </row>
    <row r="192" spans="1:39" x14ac:dyDescent="0.3">
      <c r="A192" s="109" t="str">
        <f>"credit"&amp;B192</f>
        <v>credit    6666020403  Company car expense</v>
      </c>
      <c r="B192" s="112" t="s">
        <v>270</v>
      </c>
      <c r="C192" s="113"/>
      <c r="D192" s="113"/>
      <c r="E192" s="113"/>
      <c r="F192" s="113"/>
      <c r="G192" s="112" t="s">
        <v>270</v>
      </c>
      <c r="H192" s="114"/>
      <c r="I192" s="114"/>
      <c r="J192" s="115"/>
      <c r="K192" s="113"/>
      <c r="P192" s="112" t="s">
        <v>270</v>
      </c>
      <c r="Q192" s="113"/>
      <c r="R192" s="113"/>
      <c r="S192" s="113"/>
      <c r="T192" s="113"/>
      <c r="U192" s="112" t="s">
        <v>270</v>
      </c>
      <c r="V192" s="114"/>
      <c r="W192" s="114"/>
      <c r="X192" s="115"/>
      <c r="Y192" s="113"/>
      <c r="Z192" s="215"/>
      <c r="AA192" s="215"/>
      <c r="AB192" s="215">
        <v>0</v>
      </c>
      <c r="AC192" s="113"/>
      <c r="AD192" s="113"/>
      <c r="AE192" s="113">
        <v>0</v>
      </c>
      <c r="AF192" s="113">
        <v>0</v>
      </c>
      <c r="AG192" s="113">
        <v>0</v>
      </c>
      <c r="AH192" s="113">
        <v>0</v>
      </c>
      <c r="AI192" s="113">
        <v>0</v>
      </c>
      <c r="AJ192" s="113">
        <v>0</v>
      </c>
      <c r="AK192" s="113">
        <f t="shared" si="11"/>
        <v>0</v>
      </c>
      <c r="AM192" s="214"/>
    </row>
    <row r="193" spans="1:39" x14ac:dyDescent="0.3">
      <c r="A193" s="109" t="str">
        <f t="shared" si="10"/>
        <v>credit    6666020405  Company car expense - maintenance fees</v>
      </c>
      <c r="B193" s="112" t="s">
        <v>271</v>
      </c>
      <c r="C193" s="113">
        <f>IFERROR(VLOOKUP($A193,MTD!$A$13:$D$1048576,3,0),0)</f>
        <v>0</v>
      </c>
      <c r="D193" s="116">
        <f>IFERROR(VLOOKUP($A193,MTD!$A$13:$D$1048576,4,0),0)</f>
        <v>0</v>
      </c>
      <c r="E193" s="113"/>
      <c r="F193" s="113"/>
      <c r="G193" s="112" t="s">
        <v>271</v>
      </c>
      <c r="H193" s="114">
        <v>0</v>
      </c>
      <c r="I193" s="114">
        <v>0</v>
      </c>
      <c r="J193" s="115">
        <v>0</v>
      </c>
      <c r="K193" s="113">
        <v>0</v>
      </c>
      <c r="P193" s="112" t="s">
        <v>271</v>
      </c>
      <c r="Q193" s="113">
        <f>IFERROR(VLOOKUP($A193,YTD!$A$13:$D$1048576,3,0),0)</f>
        <v>0</v>
      </c>
      <c r="R193" s="116">
        <f>IFERROR(VLOOKUP($A193,YTD!$A$13:$D$1048576,4,0),0)</f>
        <v>0</v>
      </c>
      <c r="S193" s="113"/>
      <c r="T193" s="113"/>
      <c r="U193" s="112" t="s">
        <v>271</v>
      </c>
      <c r="V193" s="114">
        <v>0</v>
      </c>
      <c r="W193" s="114">
        <v>0</v>
      </c>
      <c r="X193" s="115">
        <v>0</v>
      </c>
      <c r="Y193" s="113">
        <v>0</v>
      </c>
      <c r="Z193" s="113">
        <v>0</v>
      </c>
      <c r="AA193" s="113">
        <v>0</v>
      </c>
      <c r="AB193" s="113">
        <v>0</v>
      </c>
      <c r="AC193" s="113">
        <v>0</v>
      </c>
      <c r="AD193" s="113">
        <v>0</v>
      </c>
      <c r="AE193" s="113">
        <v>0</v>
      </c>
      <c r="AF193" s="113">
        <v>0</v>
      </c>
      <c r="AG193" s="113">
        <v>0</v>
      </c>
      <c r="AH193" s="113">
        <v>0</v>
      </c>
      <c r="AI193" s="113">
        <v>0</v>
      </c>
      <c r="AJ193" s="113">
        <v>0</v>
      </c>
      <c r="AK193" s="113">
        <f t="shared" si="11"/>
        <v>0</v>
      </c>
      <c r="AM193" s="214"/>
    </row>
    <row r="194" spans="1:39" x14ac:dyDescent="0.3">
      <c r="A194" s="109" t="str">
        <f t="shared" si="10"/>
        <v>credit    6666020504  Newspaper and Periodicals expenditure</v>
      </c>
      <c r="B194" s="112" t="s">
        <v>272</v>
      </c>
      <c r="C194" s="113">
        <f>IFERROR(VLOOKUP($A194,MTD!$A$13:$D$1048576,3,0),0)</f>
        <v>231.94</v>
      </c>
      <c r="D194" s="113">
        <f>IFERROR(VLOOKUP($A194,MTD!$A$13:$D$1048576,4,0),0)</f>
        <v>-84.49</v>
      </c>
      <c r="E194" s="113"/>
      <c r="F194" s="113"/>
      <c r="G194" s="112" t="s">
        <v>272</v>
      </c>
      <c r="H194" s="114">
        <v>0</v>
      </c>
      <c r="I194" s="114">
        <v>0</v>
      </c>
      <c r="J194" s="115">
        <v>0</v>
      </c>
      <c r="K194" s="113">
        <v>0</v>
      </c>
      <c r="P194" s="112" t="s">
        <v>272</v>
      </c>
      <c r="Q194" s="113">
        <f>IFERROR(VLOOKUP($A194,YTD!$A$13:$D$1048576,3,0),0)</f>
        <v>-298.66000000000003</v>
      </c>
      <c r="R194" s="113">
        <f>IFERROR(VLOOKUP($A194,YTD!$A$13:$D$1048576,4,0),0)</f>
        <v>-1013.88</v>
      </c>
      <c r="S194" s="113"/>
      <c r="T194" s="113"/>
      <c r="U194" s="112" t="s">
        <v>272</v>
      </c>
      <c r="V194" s="114">
        <v>0</v>
      </c>
      <c r="W194" s="114">
        <v>0</v>
      </c>
      <c r="X194" s="115">
        <v>0</v>
      </c>
      <c r="Y194" s="113">
        <v>0</v>
      </c>
      <c r="Z194" s="113">
        <v>0</v>
      </c>
      <c r="AA194" s="113">
        <v>0</v>
      </c>
      <c r="AB194" s="113">
        <v>0</v>
      </c>
      <c r="AC194" s="113">
        <v>0</v>
      </c>
      <c r="AD194" s="113">
        <v>0</v>
      </c>
      <c r="AE194" s="113">
        <v>0</v>
      </c>
      <c r="AF194" s="113">
        <v>-93.76</v>
      </c>
      <c r="AG194" s="113">
        <v>-204.9</v>
      </c>
      <c r="AH194" s="113">
        <v>-77.88</v>
      </c>
      <c r="AI194" s="113">
        <v>-78.55</v>
      </c>
      <c r="AJ194" s="113">
        <v>-75.510000000000005</v>
      </c>
      <c r="AK194" s="113">
        <f t="shared" si="11"/>
        <v>231.94</v>
      </c>
      <c r="AM194" s="214"/>
    </row>
    <row r="195" spans="1:39" x14ac:dyDescent="0.3">
      <c r="A195" s="109" t="str">
        <f t="shared" si="10"/>
        <v>credit    6666020508  Postage</v>
      </c>
      <c r="B195" s="112" t="s">
        <v>273</v>
      </c>
      <c r="C195" s="113">
        <f>IFERROR(VLOOKUP($A195,MTD!$A$13:$D$1048576,3,0),0)</f>
        <v>1390.95</v>
      </c>
      <c r="D195" s="113">
        <f>IFERROR(VLOOKUP($A195,MTD!$A$13:$D$1048576,4,0),0)</f>
        <v>-207.24</v>
      </c>
      <c r="E195" s="113"/>
      <c r="F195" s="113"/>
      <c r="G195" s="112" t="s">
        <v>273</v>
      </c>
      <c r="H195" s="114">
        <v>0</v>
      </c>
      <c r="I195" s="114">
        <v>0</v>
      </c>
      <c r="J195" s="115">
        <v>0</v>
      </c>
      <c r="K195" s="113">
        <v>0</v>
      </c>
      <c r="P195" s="112" t="s">
        <v>273</v>
      </c>
      <c r="Q195" s="113">
        <f>IFERROR(VLOOKUP($A195,YTD!$A$13:$D$1048576,3,0),0)</f>
        <v>-327.08</v>
      </c>
      <c r="R195" s="113">
        <f>IFERROR(VLOOKUP($A195,YTD!$A$13:$D$1048576,4,0),0)</f>
        <v>-2486.88</v>
      </c>
      <c r="S195" s="113"/>
      <c r="T195" s="113"/>
      <c r="U195" s="112" t="s">
        <v>273</v>
      </c>
      <c r="V195" s="114">
        <v>0</v>
      </c>
      <c r="W195" s="114">
        <v>0</v>
      </c>
      <c r="X195" s="115">
        <v>0</v>
      </c>
      <c r="Y195" s="113">
        <v>0</v>
      </c>
      <c r="Z195" s="113">
        <v>-330.84</v>
      </c>
      <c r="AA195" s="113">
        <v>-142.61000000000001</v>
      </c>
      <c r="AB195" s="113">
        <v>-208.83</v>
      </c>
      <c r="AC195" s="113">
        <v>-163.29</v>
      </c>
      <c r="AD195" s="113">
        <v>-188.24</v>
      </c>
      <c r="AE195" s="113">
        <v>-154.83000000000001</v>
      </c>
      <c r="AF195" s="113">
        <v>-154.26</v>
      </c>
      <c r="AG195" s="113">
        <v>-114.51</v>
      </c>
      <c r="AH195" s="113">
        <v>-66.739999999999995</v>
      </c>
      <c r="AI195" s="113">
        <v>-192.32</v>
      </c>
      <c r="AJ195" s="113">
        <v>-1.56</v>
      </c>
      <c r="AK195" s="113">
        <f t="shared" si="11"/>
        <v>1390.95</v>
      </c>
      <c r="AM195" s="214"/>
    </row>
    <row r="196" spans="1:39" x14ac:dyDescent="0.3">
      <c r="A196" s="109" t="str">
        <f t="shared" si="10"/>
        <v>credit    6666020602  Training costs Outside the group</v>
      </c>
      <c r="B196" s="112" t="s">
        <v>274</v>
      </c>
      <c r="C196" s="113">
        <f>IFERROR(VLOOKUP($A196,MTD!$A$13:$D$1048576,3,0),0)</f>
        <v>0</v>
      </c>
      <c r="D196" s="113">
        <f>IFERROR(VLOOKUP($A196,MTD!$A$13:$D$1048576,4,0),0)</f>
        <v>-3274.07</v>
      </c>
      <c r="E196" s="113"/>
      <c r="F196" s="113"/>
      <c r="G196" s="112" t="s">
        <v>274</v>
      </c>
      <c r="H196" s="114">
        <v>0</v>
      </c>
      <c r="I196" s="114">
        <v>0</v>
      </c>
      <c r="J196" s="115">
        <v>0</v>
      </c>
      <c r="K196" s="113">
        <v>0</v>
      </c>
      <c r="P196" s="112" t="s">
        <v>274</v>
      </c>
      <c r="Q196" s="113">
        <f>IFERROR(VLOOKUP($A196,YTD!$A$13:$D$1048576,3,0),0)</f>
        <v>-243.28</v>
      </c>
      <c r="R196" s="113">
        <f>IFERROR(VLOOKUP($A196,YTD!$A$13:$D$1048576,4,0),0)</f>
        <v>-39288.839999999997</v>
      </c>
      <c r="S196" s="113"/>
      <c r="T196" s="113"/>
      <c r="U196" s="112" t="s">
        <v>274</v>
      </c>
      <c r="V196" s="114">
        <v>0</v>
      </c>
      <c r="W196" s="114">
        <v>0</v>
      </c>
      <c r="X196" s="115">
        <v>0</v>
      </c>
      <c r="Y196" s="113">
        <v>0</v>
      </c>
      <c r="Z196" s="113">
        <v>0</v>
      </c>
      <c r="AA196" s="113">
        <v>0</v>
      </c>
      <c r="AB196" s="113">
        <v>0</v>
      </c>
      <c r="AC196" s="113">
        <v>0</v>
      </c>
      <c r="AD196" s="113">
        <v>0</v>
      </c>
      <c r="AE196" s="113">
        <v>-203.33</v>
      </c>
      <c r="AF196" s="113">
        <v>-39.840000000000003</v>
      </c>
      <c r="AG196" s="113">
        <v>-0.11</v>
      </c>
      <c r="AH196" s="113">
        <v>0</v>
      </c>
      <c r="AI196" s="113">
        <v>-288.17</v>
      </c>
      <c r="AJ196" s="113">
        <v>288.17</v>
      </c>
      <c r="AK196" s="113">
        <f t="shared" si="11"/>
        <v>0</v>
      </c>
      <c r="AM196" s="214"/>
    </row>
    <row r="197" spans="1:39" x14ac:dyDescent="0.3">
      <c r="A197" s="109" t="str">
        <f t="shared" si="10"/>
        <v>credit    6666020701  Enterprise Property Insurance</v>
      </c>
      <c r="B197" s="112" t="s">
        <v>275</v>
      </c>
      <c r="C197" s="116">
        <f>IFERROR(VLOOKUP($A197,MTD!$A$13:$D$1048576,3,0),0)</f>
        <v>0</v>
      </c>
      <c r="D197" s="116">
        <f>IFERROR(VLOOKUP($A197,MTD!$A$13:$D$1048576,4,0),0)</f>
        <v>0</v>
      </c>
      <c r="E197" s="113"/>
      <c r="F197" s="113"/>
      <c r="G197" s="112" t="s">
        <v>275</v>
      </c>
      <c r="H197" s="114">
        <v>0</v>
      </c>
      <c r="I197" s="114">
        <v>0</v>
      </c>
      <c r="J197" s="115">
        <v>0</v>
      </c>
      <c r="K197" s="113">
        <v>0</v>
      </c>
      <c r="P197" s="112" t="s">
        <v>275</v>
      </c>
      <c r="Q197" s="116">
        <f>IFERROR(VLOOKUP($A197,YTD!$A$13:$D$1048576,3,0),0)</f>
        <v>0</v>
      </c>
      <c r="R197" s="116">
        <f>IFERROR(VLOOKUP($A197,YTD!$A$13:$D$1048576,4,0),0)</f>
        <v>0</v>
      </c>
      <c r="S197" s="113"/>
      <c r="T197" s="113"/>
      <c r="U197" s="112" t="s">
        <v>275</v>
      </c>
      <c r="V197" s="114">
        <v>0</v>
      </c>
      <c r="W197" s="114">
        <v>0</v>
      </c>
      <c r="X197" s="115">
        <v>0</v>
      </c>
      <c r="Y197" s="113">
        <v>0</v>
      </c>
      <c r="Z197" s="113">
        <v>0</v>
      </c>
      <c r="AA197" s="113">
        <v>0</v>
      </c>
      <c r="AB197" s="113">
        <v>0</v>
      </c>
      <c r="AC197" s="113">
        <v>0</v>
      </c>
      <c r="AD197" s="113">
        <v>0</v>
      </c>
      <c r="AE197" s="113">
        <v>0</v>
      </c>
      <c r="AF197" s="113">
        <v>0</v>
      </c>
      <c r="AG197" s="113">
        <v>0</v>
      </c>
      <c r="AH197" s="113">
        <v>0</v>
      </c>
      <c r="AI197" s="113">
        <v>0</v>
      </c>
      <c r="AJ197" s="113">
        <v>0</v>
      </c>
      <c r="AK197" s="113">
        <f t="shared" si="11"/>
        <v>0</v>
      </c>
      <c r="AM197" s="214"/>
    </row>
    <row r="198" spans="1:39" x14ac:dyDescent="0.3">
      <c r="A198" s="109" t="str">
        <f t="shared" si="10"/>
        <v>credit    6666020802  Equipment rental cost</v>
      </c>
      <c r="B198" s="112" t="s">
        <v>276</v>
      </c>
      <c r="C198" s="113">
        <f>IFERROR(VLOOKUP($A198,MTD!$A$13:$D$1048576,3,0),0)</f>
        <v>-11932.43</v>
      </c>
      <c r="D198" s="113">
        <f>IFERROR(VLOOKUP($A198,MTD!$A$13:$D$1048576,4,0),0)</f>
        <v>-18549.259999999998</v>
      </c>
      <c r="E198" s="113"/>
      <c r="F198" s="113"/>
      <c r="G198" s="112" t="s">
        <v>276</v>
      </c>
      <c r="H198" s="114">
        <v>0</v>
      </c>
      <c r="I198" s="114">
        <v>0</v>
      </c>
      <c r="J198" s="115">
        <v>0</v>
      </c>
      <c r="K198" s="113">
        <v>0</v>
      </c>
      <c r="P198" s="112" t="s">
        <v>276</v>
      </c>
      <c r="Q198" s="113">
        <f>IFERROR(VLOOKUP($A198,YTD!$A$13:$D$1048576,3,0),0)</f>
        <v>-142344.95000000001</v>
      </c>
      <c r="R198" s="113">
        <f>IFERROR(VLOOKUP($A198,YTD!$A$13:$D$1048576,4,0),0)</f>
        <v>-201538.52</v>
      </c>
      <c r="S198" s="113"/>
      <c r="T198" s="113"/>
      <c r="U198" s="112" t="s">
        <v>276</v>
      </c>
      <c r="V198" s="114">
        <v>0</v>
      </c>
      <c r="W198" s="114">
        <v>0</v>
      </c>
      <c r="X198" s="115">
        <v>0</v>
      </c>
      <c r="Y198" s="113">
        <v>0</v>
      </c>
      <c r="Z198" s="113">
        <v>-12597.95</v>
      </c>
      <c r="AA198" s="113">
        <v>-11578.01</v>
      </c>
      <c r="AB198" s="113">
        <v>-11635</v>
      </c>
      <c r="AC198" s="113">
        <v>-11635</v>
      </c>
      <c r="AD198" s="113">
        <v>-11635</v>
      </c>
      <c r="AE198" s="113">
        <v>-12562.22</v>
      </c>
      <c r="AF198" s="113">
        <v>-11626.77</v>
      </c>
      <c r="AG198" s="113">
        <v>-10835</v>
      </c>
      <c r="AH198" s="113">
        <v>-11635</v>
      </c>
      <c r="AI198" s="113">
        <v>-13360.31</v>
      </c>
      <c r="AJ198" s="113">
        <v>-11312.26</v>
      </c>
      <c r="AK198" s="113">
        <f t="shared" si="11"/>
        <v>-11932.43</v>
      </c>
      <c r="AM198" s="214"/>
    </row>
    <row r="199" spans="1:39" x14ac:dyDescent="0.3">
      <c r="A199" s="109" t="str">
        <f t="shared" si="10"/>
        <v>credit    6666020803  Car rental cost</v>
      </c>
      <c r="B199" s="112" t="s">
        <v>277</v>
      </c>
      <c r="C199" s="113">
        <f>IFERROR(VLOOKUP($A199,MTD!$A$13:$D$1048576,3,0),0)</f>
        <v>-258.68</v>
      </c>
      <c r="D199" s="113">
        <f>IFERROR(VLOOKUP($A199,MTD!$A$13:$D$1048576,4,0),0)</f>
        <v>-3088.89</v>
      </c>
      <c r="E199" s="113"/>
      <c r="F199" s="113"/>
      <c r="G199" s="112" t="s">
        <v>277</v>
      </c>
      <c r="H199" s="114">
        <v>0</v>
      </c>
      <c r="I199" s="114">
        <v>0</v>
      </c>
      <c r="J199" s="115">
        <v>0</v>
      </c>
      <c r="K199" s="113">
        <v>0</v>
      </c>
      <c r="P199" s="112" t="s">
        <v>277</v>
      </c>
      <c r="Q199" s="113">
        <f>IFERROR(VLOOKUP($A199,YTD!$A$13:$D$1048576,3,0),0)</f>
        <v>-37515.64</v>
      </c>
      <c r="R199" s="113">
        <f>IFERROR(VLOOKUP($A199,YTD!$A$13:$D$1048576,4,0),0)</f>
        <v>-37066.68</v>
      </c>
      <c r="S199" s="113"/>
      <c r="T199" s="113"/>
      <c r="U199" s="112" t="s">
        <v>277</v>
      </c>
      <c r="V199" s="114">
        <v>0</v>
      </c>
      <c r="W199" s="114">
        <v>0</v>
      </c>
      <c r="X199" s="115">
        <v>0</v>
      </c>
      <c r="Y199" s="113">
        <v>0</v>
      </c>
      <c r="Z199" s="113">
        <v>-3762.17</v>
      </c>
      <c r="AA199" s="113">
        <v>-3521.96</v>
      </c>
      <c r="AB199" s="113">
        <v>-3783.78</v>
      </c>
      <c r="AC199" s="113">
        <v>-3182.2</v>
      </c>
      <c r="AD199" s="113">
        <v>-3396.93</v>
      </c>
      <c r="AE199" s="113">
        <v>-2619.56</v>
      </c>
      <c r="AF199" s="113">
        <v>-2901.99</v>
      </c>
      <c r="AG199" s="113">
        <v>-2694.54</v>
      </c>
      <c r="AH199" s="113">
        <v>-1466.72</v>
      </c>
      <c r="AI199" s="113">
        <v>-7962.6</v>
      </c>
      <c r="AJ199" s="113">
        <v>-1964.51</v>
      </c>
      <c r="AK199" s="113">
        <f t="shared" si="11"/>
        <v>-258.68</v>
      </c>
      <c r="AM199" s="214"/>
    </row>
    <row r="200" spans="1:39" x14ac:dyDescent="0.3">
      <c r="A200" s="109" t="str">
        <f t="shared" si="10"/>
        <v>credit    6666021100  Consulting fees</v>
      </c>
      <c r="B200" s="112" t="s">
        <v>278</v>
      </c>
      <c r="C200" s="113">
        <f>IFERROR(VLOOKUP($A200,MTD!$A$13:$D$1048576,3,0),0)</f>
        <v>3277.67</v>
      </c>
      <c r="D200" s="113">
        <f>IFERROR(VLOOKUP($A200,MTD!$A$13:$D$1048576,4,0),0)</f>
        <v>-12427.39</v>
      </c>
      <c r="E200" s="113"/>
      <c r="F200" s="113"/>
      <c r="G200" s="112" t="s">
        <v>278</v>
      </c>
      <c r="H200" s="114">
        <v>0</v>
      </c>
      <c r="I200" s="114">
        <v>0</v>
      </c>
      <c r="J200" s="115">
        <v>0</v>
      </c>
      <c r="K200" s="113">
        <v>0</v>
      </c>
      <c r="P200" s="112" t="s">
        <v>278</v>
      </c>
      <c r="Q200" s="113">
        <f>IFERROR(VLOOKUP($A200,YTD!$A$13:$D$1048576,3,0),0)</f>
        <v>-104791.27</v>
      </c>
      <c r="R200" s="113">
        <f>IFERROR(VLOOKUP($A200,YTD!$A$13:$D$1048576,4,0),0)</f>
        <v>-148626.88</v>
      </c>
      <c r="S200" s="113"/>
      <c r="T200" s="113"/>
      <c r="U200" s="112" t="s">
        <v>278</v>
      </c>
      <c r="V200" s="114">
        <v>0</v>
      </c>
      <c r="W200" s="114">
        <v>0</v>
      </c>
      <c r="X200" s="115">
        <v>0</v>
      </c>
      <c r="Y200" s="113">
        <v>0</v>
      </c>
      <c r="Z200" s="113">
        <v>-14071.09</v>
      </c>
      <c r="AA200" s="113">
        <v>-14214.15</v>
      </c>
      <c r="AB200" s="113">
        <v>-10585.89</v>
      </c>
      <c r="AC200" s="113">
        <v>-9340.0300000000007</v>
      </c>
      <c r="AD200" s="113">
        <v>-9729.52</v>
      </c>
      <c r="AE200" s="113">
        <v>-8568.7199999999993</v>
      </c>
      <c r="AF200" s="113">
        <v>-8800.0300000000007</v>
      </c>
      <c r="AG200" s="113">
        <v>-8440.9500000000007</v>
      </c>
      <c r="AH200" s="113">
        <v>-8443.2099999999991</v>
      </c>
      <c r="AI200" s="113">
        <v>-8663.9</v>
      </c>
      <c r="AJ200" s="113">
        <v>-7211.45</v>
      </c>
      <c r="AK200" s="113">
        <f t="shared" si="11"/>
        <v>3277.67</v>
      </c>
      <c r="AM200" s="214"/>
    </row>
    <row r="201" spans="1:39" x14ac:dyDescent="0.3">
      <c r="A201" s="109" t="str">
        <f t="shared" si="10"/>
        <v>credit    6666021902  Cleaning fees</v>
      </c>
      <c r="B201" s="112" t="s">
        <v>279</v>
      </c>
      <c r="C201" s="113">
        <f>IFERROR(VLOOKUP($A201,MTD!$A$13:$D$1048576,3,0),0)</f>
        <v>-7542.28</v>
      </c>
      <c r="D201" s="113">
        <f>IFERROR(VLOOKUP($A201,MTD!$A$13:$D$1048576,4,0),0)</f>
        <v>-10871.1</v>
      </c>
      <c r="E201" s="113"/>
      <c r="F201" s="113"/>
      <c r="G201" s="112" t="s">
        <v>279</v>
      </c>
      <c r="H201" s="114">
        <v>0</v>
      </c>
      <c r="I201" s="114">
        <v>0</v>
      </c>
      <c r="J201" s="115">
        <v>0</v>
      </c>
      <c r="K201" s="113">
        <v>0</v>
      </c>
      <c r="P201" s="112" t="s">
        <v>279</v>
      </c>
      <c r="Q201" s="113">
        <f>IFERROR(VLOOKUP($A201,YTD!$A$13:$D$1048576,3,0),0)</f>
        <v>-99035.83</v>
      </c>
      <c r="R201" s="113">
        <f>IFERROR(VLOOKUP($A201,YTD!$A$13:$D$1048576,4,0),0)</f>
        <v>-130453.2</v>
      </c>
      <c r="S201" s="113"/>
      <c r="T201" s="113"/>
      <c r="U201" s="112" t="s">
        <v>279</v>
      </c>
      <c r="V201" s="114">
        <v>0</v>
      </c>
      <c r="W201" s="114">
        <v>0</v>
      </c>
      <c r="X201" s="115">
        <v>0</v>
      </c>
      <c r="Y201" s="113">
        <v>0</v>
      </c>
      <c r="Z201" s="113">
        <v>-10096.290000000001</v>
      </c>
      <c r="AA201" s="113">
        <v>-10045.33</v>
      </c>
      <c r="AB201" s="113">
        <v>-13755.41</v>
      </c>
      <c r="AC201" s="113">
        <v>-7994.59</v>
      </c>
      <c r="AD201" s="113">
        <v>-7621.61</v>
      </c>
      <c r="AE201" s="113">
        <v>-6540.7</v>
      </c>
      <c r="AF201" s="113">
        <v>-5832.84</v>
      </c>
      <c r="AG201" s="113">
        <v>-7220.35</v>
      </c>
      <c r="AH201" s="113">
        <v>-7850.15</v>
      </c>
      <c r="AI201" s="113">
        <v>-7777.53</v>
      </c>
      <c r="AJ201" s="113">
        <v>-6758.75</v>
      </c>
      <c r="AK201" s="113">
        <f t="shared" si="11"/>
        <v>-7542.28</v>
      </c>
      <c r="AM201" s="214"/>
    </row>
    <row r="202" spans="1:39" x14ac:dyDescent="0.3">
      <c r="A202" s="109" t="str">
        <f t="shared" si="10"/>
        <v>credit    6666022100  Security</v>
      </c>
      <c r="B202" s="112" t="s">
        <v>280</v>
      </c>
      <c r="C202" s="113">
        <f>IFERROR(VLOOKUP($A202,MTD!$A$13:$D$1048576,3,0),0)</f>
        <v>-3746.4</v>
      </c>
      <c r="D202" s="113">
        <f>IFERROR(VLOOKUP($A202,MTD!$A$13:$D$1048576,4,0),0)</f>
        <v>-8046.31</v>
      </c>
      <c r="E202" s="113"/>
      <c r="F202" s="113"/>
      <c r="G202" s="112" t="s">
        <v>280</v>
      </c>
      <c r="H202" s="114">
        <v>0</v>
      </c>
      <c r="I202" s="114">
        <v>0</v>
      </c>
      <c r="J202" s="115">
        <v>0</v>
      </c>
      <c r="K202" s="113">
        <v>0</v>
      </c>
      <c r="P202" s="112" t="s">
        <v>280</v>
      </c>
      <c r="Q202" s="113">
        <f>IFERROR(VLOOKUP($A202,YTD!$A$13:$D$1048576,3,0),0)</f>
        <v>-53329.33</v>
      </c>
      <c r="R202" s="113">
        <f>IFERROR(VLOOKUP($A202,YTD!$A$13:$D$1048576,4,0),0)</f>
        <v>-96555.72</v>
      </c>
      <c r="S202" s="113"/>
      <c r="T202" s="113"/>
      <c r="U202" s="112" t="s">
        <v>280</v>
      </c>
      <c r="V202" s="114">
        <v>0</v>
      </c>
      <c r="W202" s="114">
        <v>0</v>
      </c>
      <c r="X202" s="115">
        <v>0</v>
      </c>
      <c r="Y202" s="113">
        <v>0</v>
      </c>
      <c r="Z202" s="113">
        <v>-6087.51</v>
      </c>
      <c r="AA202" s="113">
        <v>-5009.3100000000004</v>
      </c>
      <c r="AB202" s="113">
        <v>-6219.68</v>
      </c>
      <c r="AC202" s="113">
        <v>-4792.87</v>
      </c>
      <c r="AD202" s="113">
        <v>-4968.67</v>
      </c>
      <c r="AE202" s="113">
        <v>-4920.57</v>
      </c>
      <c r="AF202" s="113">
        <v>-3999.79</v>
      </c>
      <c r="AG202" s="113">
        <v>-3116.49</v>
      </c>
      <c r="AH202" s="113">
        <v>-3031.04</v>
      </c>
      <c r="AI202" s="113">
        <v>-3710.8</v>
      </c>
      <c r="AJ202" s="113">
        <v>-3726.2</v>
      </c>
      <c r="AK202" s="113">
        <f t="shared" si="11"/>
        <v>-3746.4</v>
      </c>
      <c r="AM202" s="214"/>
    </row>
    <row r="203" spans="1:39" x14ac:dyDescent="0.3">
      <c r="A203" s="109" t="str">
        <f t="shared" si="10"/>
        <v>credit    6666022300  Association dues</v>
      </c>
      <c r="B203" s="112" t="s">
        <v>281</v>
      </c>
      <c r="C203" s="113">
        <f>IFERROR(VLOOKUP($A203,MTD!$A$13:$D$1048576,3,0),0)</f>
        <v>0</v>
      </c>
      <c r="D203" s="116">
        <f>IFERROR(VLOOKUP($A203,MTD!$A$13:$D$1048576,4,0),0)</f>
        <v>0</v>
      </c>
      <c r="E203" s="113"/>
      <c r="F203" s="113"/>
      <c r="G203" s="112" t="s">
        <v>281</v>
      </c>
      <c r="H203" s="114">
        <v>0</v>
      </c>
      <c r="I203" s="114">
        <v>0</v>
      </c>
      <c r="J203" s="115">
        <v>0</v>
      </c>
      <c r="K203" s="113">
        <v>0</v>
      </c>
      <c r="P203" s="112" t="s">
        <v>281</v>
      </c>
      <c r="Q203" s="113">
        <f>IFERROR(VLOOKUP($A203,YTD!$A$13:$D$1048576,3,0),0)</f>
        <v>0</v>
      </c>
      <c r="R203" s="116">
        <f>IFERROR(VLOOKUP($A203,YTD!$A$13:$D$1048576,4,0),0)</f>
        <v>0</v>
      </c>
      <c r="S203" s="113"/>
      <c r="T203" s="113"/>
      <c r="U203" s="112" t="s">
        <v>281</v>
      </c>
      <c r="V203" s="114">
        <v>0</v>
      </c>
      <c r="W203" s="114">
        <v>0</v>
      </c>
      <c r="X203" s="115">
        <v>0</v>
      </c>
      <c r="Y203" s="113">
        <v>0</v>
      </c>
      <c r="Z203" s="113">
        <v>0</v>
      </c>
      <c r="AA203" s="113">
        <v>0</v>
      </c>
      <c r="AB203" s="113">
        <v>0</v>
      </c>
      <c r="AC203" s="113">
        <v>0</v>
      </c>
      <c r="AD203" s="113">
        <v>0</v>
      </c>
      <c r="AE203" s="113">
        <v>0</v>
      </c>
      <c r="AF203" s="113">
        <v>0</v>
      </c>
      <c r="AG203" s="113">
        <v>0</v>
      </c>
      <c r="AH203" s="113">
        <v>0</v>
      </c>
      <c r="AI203" s="113">
        <v>0</v>
      </c>
      <c r="AJ203" s="113">
        <v>0</v>
      </c>
      <c r="AK203" s="113">
        <f t="shared" si="11"/>
        <v>0</v>
      </c>
      <c r="AM203" s="214"/>
    </row>
    <row r="204" spans="1:39" x14ac:dyDescent="0.3">
      <c r="A204" s="109" t="str">
        <f t="shared" si="10"/>
        <v>credit    6666029900  Sundry Expenses</v>
      </c>
      <c r="B204" s="112" t="s">
        <v>282</v>
      </c>
      <c r="C204" s="116">
        <f>IFERROR(VLOOKUP($A204,MTD!$A$13:$D$1048576,3,0),0)</f>
        <v>0</v>
      </c>
      <c r="D204" s="116">
        <f>IFERROR(VLOOKUP($A204,MTD!$A$13:$D$1048576,4,0),0)</f>
        <v>0</v>
      </c>
      <c r="E204" s="113"/>
      <c r="F204" s="113"/>
      <c r="G204" s="112" t="s">
        <v>282</v>
      </c>
      <c r="H204" s="114">
        <v>0</v>
      </c>
      <c r="I204" s="114">
        <v>0</v>
      </c>
      <c r="J204" s="115">
        <v>0</v>
      </c>
      <c r="K204" s="113">
        <v>0</v>
      </c>
      <c r="P204" s="112" t="s">
        <v>282</v>
      </c>
      <c r="Q204" s="116">
        <f>IFERROR(VLOOKUP($A204,YTD!$A$13:$D$1048576,3,0),0)</f>
        <v>-5068.26</v>
      </c>
      <c r="R204" s="116">
        <f>IFERROR(VLOOKUP($A204,YTD!$A$13:$D$1048576,4,0),0)</f>
        <v>0</v>
      </c>
      <c r="S204" s="113"/>
      <c r="T204" s="113"/>
      <c r="U204" s="112" t="s">
        <v>282</v>
      </c>
      <c r="V204" s="114">
        <v>0</v>
      </c>
      <c r="W204" s="114">
        <v>0</v>
      </c>
      <c r="X204" s="115">
        <v>0</v>
      </c>
      <c r="Y204" s="113">
        <v>0</v>
      </c>
      <c r="Z204" s="113">
        <v>0</v>
      </c>
      <c r="AA204" s="113">
        <v>0</v>
      </c>
      <c r="AB204" s="113">
        <v>0</v>
      </c>
      <c r="AC204" s="113">
        <v>-1960.35</v>
      </c>
      <c r="AD204" s="113">
        <v>-51.55</v>
      </c>
      <c r="AE204" s="113">
        <v>-136.04</v>
      </c>
      <c r="AF204" s="113">
        <v>-2920.32</v>
      </c>
      <c r="AG204" s="113">
        <v>0</v>
      </c>
      <c r="AH204" s="113">
        <v>0</v>
      </c>
      <c r="AI204" s="113">
        <v>0</v>
      </c>
      <c r="AJ204" s="113">
        <v>0</v>
      </c>
      <c r="AK204" s="113">
        <f t="shared" si="11"/>
        <v>0</v>
      </c>
      <c r="AM204" s="214"/>
    </row>
    <row r="205" spans="1:39" x14ac:dyDescent="0.3">
      <c r="A205" s="109" t="str">
        <f t="shared" si="10"/>
        <v>credit    6666029997  restructure cost</v>
      </c>
      <c r="B205" s="112" t="s">
        <v>283</v>
      </c>
      <c r="C205" s="116">
        <f>IFERROR(VLOOKUP($A205,MTD!$A$13:$D$1048576,3,0),0)</f>
        <v>0</v>
      </c>
      <c r="D205" s="113">
        <f>IFERROR(VLOOKUP($A205,MTD!$A$13:$D$1048576,4,0),0)</f>
        <v>-444.84</v>
      </c>
      <c r="E205" s="113"/>
      <c r="F205" s="113"/>
      <c r="G205" s="112" t="s">
        <v>283</v>
      </c>
      <c r="H205" s="114">
        <v>0</v>
      </c>
      <c r="I205" s="114">
        <v>0</v>
      </c>
      <c r="J205" s="115">
        <v>0</v>
      </c>
      <c r="K205" s="113">
        <v>0</v>
      </c>
      <c r="P205" s="112" t="s">
        <v>283</v>
      </c>
      <c r="Q205" s="116">
        <f>IFERROR(VLOOKUP($A205,YTD!$A$13:$D$1048576,3,0),0)</f>
        <v>0</v>
      </c>
      <c r="R205" s="113">
        <f>IFERROR(VLOOKUP($A205,YTD!$A$13:$D$1048576,4,0),0)</f>
        <v>-5338.08</v>
      </c>
      <c r="S205" s="113"/>
      <c r="T205" s="113"/>
      <c r="U205" s="112" t="s">
        <v>283</v>
      </c>
      <c r="V205" s="114">
        <v>0</v>
      </c>
      <c r="W205" s="114">
        <v>0</v>
      </c>
      <c r="X205" s="115">
        <v>0</v>
      </c>
      <c r="Y205" s="113">
        <v>0</v>
      </c>
      <c r="Z205" s="113">
        <v>-536.69000000000005</v>
      </c>
      <c r="AA205" s="113">
        <v>-515.42999999999995</v>
      </c>
      <c r="AB205" s="113">
        <v>-409.91</v>
      </c>
      <c r="AC205" s="113">
        <v>-366.23</v>
      </c>
      <c r="AD205" s="113">
        <v>-419.16</v>
      </c>
      <c r="AE205" s="113">
        <v>-329.45</v>
      </c>
      <c r="AF205" s="113">
        <v>-416.02</v>
      </c>
      <c r="AG205" s="113">
        <v>-343.67</v>
      </c>
      <c r="AH205" s="113">
        <v>3336.56</v>
      </c>
      <c r="AI205" s="113">
        <v>-412.16</v>
      </c>
      <c r="AJ205" s="113">
        <v>412.16</v>
      </c>
      <c r="AK205" s="113">
        <f t="shared" si="11"/>
        <v>0</v>
      </c>
      <c r="AM205" s="214"/>
    </row>
    <row r="206" spans="1:39" x14ac:dyDescent="0.3">
      <c r="A206" s="109" t="str">
        <f t="shared" si="10"/>
        <v>credit    6666030300  Design and development fees</v>
      </c>
      <c r="B206" s="112" t="s">
        <v>284</v>
      </c>
      <c r="C206" s="113">
        <f>IFERROR(VLOOKUP($A206,MTD!$A$13:$D$1048576,3,0),0)</f>
        <v>0</v>
      </c>
      <c r="D206" s="116">
        <f>IFERROR(VLOOKUP($A206,MTD!$A$13:$D$1048576,4,0),0)</f>
        <v>0</v>
      </c>
      <c r="E206" s="113"/>
      <c r="F206" s="113"/>
      <c r="G206" s="112" t="s">
        <v>284</v>
      </c>
      <c r="H206" s="114">
        <v>0</v>
      </c>
      <c r="I206" s="114">
        <v>0</v>
      </c>
      <c r="J206" s="115">
        <v>0</v>
      </c>
      <c r="K206" s="113">
        <v>0</v>
      </c>
      <c r="P206" s="112" t="s">
        <v>284</v>
      </c>
      <c r="Q206" s="113">
        <f>IFERROR(VLOOKUP($A206,YTD!$A$13:$D$1048576,3,0),0)</f>
        <v>0</v>
      </c>
      <c r="R206" s="116">
        <f>IFERROR(VLOOKUP($A206,YTD!$A$13:$D$1048576,4,0),0)</f>
        <v>0</v>
      </c>
      <c r="S206" s="113"/>
      <c r="T206" s="113"/>
      <c r="U206" s="112" t="s">
        <v>284</v>
      </c>
      <c r="V206" s="114">
        <v>0</v>
      </c>
      <c r="W206" s="114">
        <v>0</v>
      </c>
      <c r="X206" s="115">
        <v>0</v>
      </c>
      <c r="Y206" s="113">
        <v>0</v>
      </c>
      <c r="Z206" s="113">
        <v>0</v>
      </c>
      <c r="AA206" s="113">
        <v>0</v>
      </c>
      <c r="AB206" s="113">
        <v>0</v>
      </c>
      <c r="AC206" s="113">
        <v>0</v>
      </c>
      <c r="AD206" s="113">
        <v>0</v>
      </c>
      <c r="AE206" s="113">
        <v>0</v>
      </c>
      <c r="AF206" s="113">
        <v>0</v>
      </c>
      <c r="AG206" s="113">
        <v>0</v>
      </c>
      <c r="AH206" s="113">
        <v>0</v>
      </c>
      <c r="AI206" s="113">
        <v>0</v>
      </c>
      <c r="AJ206" s="113">
        <v>0</v>
      </c>
      <c r="AK206" s="113">
        <f t="shared" si="11"/>
        <v>0</v>
      </c>
      <c r="AM206" s="214"/>
    </row>
    <row r="207" spans="1:39" x14ac:dyDescent="0.3">
      <c r="A207" s="109" t="str">
        <f t="shared" si="10"/>
        <v>credit    6666050107  Special distribution costs</v>
      </c>
      <c r="B207" s="112" t="s">
        <v>287</v>
      </c>
      <c r="C207" s="116">
        <f>IFERROR(VLOOKUP($A207,MTD!$A$13:$D$1048576,3,0),0)</f>
        <v>0</v>
      </c>
      <c r="D207" s="116">
        <f>IFERROR(VLOOKUP($A207,MTD!$A$13:$D$1048576,4,0),0)</f>
        <v>0</v>
      </c>
      <c r="E207" s="113"/>
      <c r="F207" s="113"/>
      <c r="G207" s="112" t="s">
        <v>287</v>
      </c>
      <c r="H207" s="114">
        <v>0</v>
      </c>
      <c r="I207" s="114">
        <v>0</v>
      </c>
      <c r="J207" s="115">
        <v>0</v>
      </c>
      <c r="K207" s="113">
        <v>0</v>
      </c>
      <c r="P207" s="112" t="s">
        <v>287</v>
      </c>
      <c r="Q207" s="116">
        <f>IFERROR(VLOOKUP($A207,YTD!$A$13:$D$1048576,3,0),0)</f>
        <v>-0.62</v>
      </c>
      <c r="R207" s="116">
        <f>IFERROR(VLOOKUP($A207,YTD!$A$13:$D$1048576,4,0),0)</f>
        <v>0</v>
      </c>
      <c r="S207" s="113"/>
      <c r="T207" s="113"/>
      <c r="U207" s="112" t="s">
        <v>287</v>
      </c>
      <c r="V207" s="114">
        <v>0</v>
      </c>
      <c r="W207" s="114">
        <v>0</v>
      </c>
      <c r="X207" s="115">
        <v>0</v>
      </c>
      <c r="Y207" s="113">
        <v>0</v>
      </c>
      <c r="Z207" s="113">
        <v>0</v>
      </c>
      <c r="AA207" s="113">
        <v>0</v>
      </c>
      <c r="AB207" s="113">
        <v>0</v>
      </c>
      <c r="AC207" s="113">
        <v>-0.62</v>
      </c>
      <c r="AD207" s="113">
        <v>0</v>
      </c>
      <c r="AE207" s="113">
        <v>0</v>
      </c>
      <c r="AF207" s="113">
        <v>0</v>
      </c>
      <c r="AG207" s="113">
        <v>0</v>
      </c>
      <c r="AH207" s="113">
        <v>0</v>
      </c>
      <c r="AI207" s="113">
        <v>0</v>
      </c>
      <c r="AJ207" s="113">
        <v>0</v>
      </c>
      <c r="AK207" s="113">
        <f t="shared" si="11"/>
        <v>0</v>
      </c>
      <c r="AM207" s="214"/>
    </row>
    <row r="208" spans="1:39" x14ac:dyDescent="0.3">
      <c r="A208" s="109" t="str">
        <f t="shared" si="10"/>
        <v>credit    6666050312  Inventory count different- Semifinished</v>
      </c>
      <c r="B208" s="112" t="s">
        <v>212</v>
      </c>
      <c r="C208" s="113">
        <f>IFERROR(VLOOKUP($A208,MTD!$A$13:$D$1048576,3,0),0)</f>
        <v>-112817.8</v>
      </c>
      <c r="D208" s="116">
        <f>IFERROR(VLOOKUP($A208,MTD!$A$13:$D$1048576,4,0),0)</f>
        <v>0</v>
      </c>
      <c r="E208" s="113"/>
      <c r="F208" s="113"/>
      <c r="G208" s="112" t="s">
        <v>212</v>
      </c>
      <c r="H208" s="114">
        <v>0</v>
      </c>
      <c r="I208" s="114">
        <v>0</v>
      </c>
      <c r="J208" s="115">
        <v>0</v>
      </c>
      <c r="K208" s="113">
        <v>0</v>
      </c>
      <c r="P208" s="112" t="s">
        <v>212</v>
      </c>
      <c r="Q208" s="113">
        <f>IFERROR(VLOOKUP($A208,YTD!$A$13:$D$1048576,3,0),0)</f>
        <v>-203597.4</v>
      </c>
      <c r="R208" s="116">
        <f>IFERROR(VLOOKUP($A208,YTD!$A$13:$D$1048576,4,0),0)</f>
        <v>0</v>
      </c>
      <c r="S208" s="113"/>
      <c r="T208" s="113"/>
      <c r="U208" s="112" t="s">
        <v>212</v>
      </c>
      <c r="V208" s="114">
        <v>0</v>
      </c>
      <c r="W208" s="114">
        <v>0</v>
      </c>
      <c r="X208" s="115">
        <v>0</v>
      </c>
      <c r="Y208" s="113">
        <v>0</v>
      </c>
      <c r="Z208" s="113">
        <v>0</v>
      </c>
      <c r="AA208" s="113">
        <v>-199.94</v>
      </c>
      <c r="AB208" s="113">
        <v>-232</v>
      </c>
      <c r="AC208" s="113">
        <v>-122.36</v>
      </c>
      <c r="AD208" s="113">
        <v>-1369.01</v>
      </c>
      <c r="AE208" s="113">
        <v>-81872.23</v>
      </c>
      <c r="AF208" s="113">
        <v>723.93</v>
      </c>
      <c r="AG208" s="113">
        <v>-2691.82</v>
      </c>
      <c r="AH208" s="113">
        <v>-5155.55</v>
      </c>
      <c r="AI208" s="113">
        <v>-2099.4299999999998</v>
      </c>
      <c r="AJ208" s="113">
        <v>2238.81</v>
      </c>
      <c r="AK208" s="113">
        <f t="shared" si="11"/>
        <v>-112817.8</v>
      </c>
      <c r="AM208" s="214"/>
    </row>
    <row r="209" spans="1:39" x14ac:dyDescent="0.3">
      <c r="A209" s="109" t="str">
        <f t="shared" si="10"/>
        <v>credit    6666070100  Software purchase, development and imple</v>
      </c>
      <c r="B209" s="112" t="s">
        <v>288</v>
      </c>
      <c r="C209" s="116">
        <f>IFERROR(VLOOKUP($A209,MTD!$A$13:$D$1048576,3,0),0)</f>
        <v>0</v>
      </c>
      <c r="D209" s="116">
        <f>IFERROR(VLOOKUP($A209,MTD!$A$13:$D$1048576,4,0),0)</f>
        <v>0</v>
      </c>
      <c r="E209" s="113"/>
      <c r="F209" s="113"/>
      <c r="G209" s="112" t="s">
        <v>288</v>
      </c>
      <c r="H209" s="114">
        <v>0</v>
      </c>
      <c r="I209" s="114">
        <v>0</v>
      </c>
      <c r="J209" s="115">
        <v>0</v>
      </c>
      <c r="K209" s="113">
        <v>0</v>
      </c>
      <c r="P209" s="112" t="s">
        <v>288</v>
      </c>
      <c r="Q209" s="116">
        <f>IFERROR(VLOOKUP($A209,YTD!$A$13:$D$1048576,3,0),0)</f>
        <v>0</v>
      </c>
      <c r="R209" s="116">
        <f>IFERROR(VLOOKUP($A209,YTD!$A$13:$D$1048576,4,0),0)</f>
        <v>0</v>
      </c>
      <c r="S209" s="113"/>
      <c r="T209" s="113"/>
      <c r="U209" s="112" t="s">
        <v>288</v>
      </c>
      <c r="V209" s="114">
        <v>0</v>
      </c>
      <c r="W209" s="114">
        <v>0</v>
      </c>
      <c r="X209" s="115">
        <v>0</v>
      </c>
      <c r="Y209" s="113">
        <v>0</v>
      </c>
      <c r="Z209" s="113">
        <v>0</v>
      </c>
      <c r="AA209" s="113">
        <v>0</v>
      </c>
      <c r="AB209" s="113">
        <v>0</v>
      </c>
      <c r="AC209" s="113">
        <v>0</v>
      </c>
      <c r="AD209" s="113">
        <v>0</v>
      </c>
      <c r="AE209" s="113">
        <v>0</v>
      </c>
      <c r="AF209" s="113">
        <v>0</v>
      </c>
      <c r="AG209" s="113">
        <v>0</v>
      </c>
      <c r="AH209" s="113">
        <v>0</v>
      </c>
      <c r="AI209" s="113">
        <v>0</v>
      </c>
      <c r="AJ209" s="113">
        <v>0</v>
      </c>
      <c r="AK209" s="113">
        <f t="shared" si="11"/>
        <v>0</v>
      </c>
      <c r="AM209" s="214"/>
    </row>
    <row r="210" spans="1:39" x14ac:dyDescent="0.3">
      <c r="A210" s="109" t="str">
        <f t="shared" si="10"/>
        <v>credit    6666070400  IT maint. &amp; repairs hardware</v>
      </c>
      <c r="B210" s="112" t="s">
        <v>290</v>
      </c>
      <c r="C210" s="113">
        <f>IFERROR(VLOOKUP($A210,MTD!$A$13:$D$1048576,3,0),0)</f>
        <v>1626.77</v>
      </c>
      <c r="D210" s="113">
        <f>IFERROR(VLOOKUP($A210,MTD!$A$13:$D$1048576,4,0),0)</f>
        <v>-8219.7000000000007</v>
      </c>
      <c r="E210" s="113"/>
      <c r="F210" s="113"/>
      <c r="G210" s="112" t="s">
        <v>290</v>
      </c>
      <c r="H210" s="114">
        <v>0</v>
      </c>
      <c r="I210" s="114">
        <v>0</v>
      </c>
      <c r="J210" s="115">
        <v>0</v>
      </c>
      <c r="K210" s="113">
        <v>0</v>
      </c>
      <c r="P210" s="112" t="s">
        <v>290</v>
      </c>
      <c r="Q210" s="113">
        <f>IFERROR(VLOOKUP($A210,YTD!$A$13:$D$1048576,3,0),0)</f>
        <v>-72428.08</v>
      </c>
      <c r="R210" s="113">
        <f>IFERROR(VLOOKUP($A210,YTD!$A$13:$D$1048576,4,0),0)</f>
        <v>-98636.4</v>
      </c>
      <c r="S210" s="113"/>
      <c r="T210" s="113"/>
      <c r="U210" s="112" t="s">
        <v>290</v>
      </c>
      <c r="V210" s="114">
        <v>0</v>
      </c>
      <c r="W210" s="114">
        <v>0</v>
      </c>
      <c r="X210" s="115">
        <v>0</v>
      </c>
      <c r="Y210" s="113">
        <v>0</v>
      </c>
      <c r="Z210" s="113">
        <v>-7234.6</v>
      </c>
      <c r="AA210" s="113">
        <v>-2890.75</v>
      </c>
      <c r="AB210" s="113">
        <v>-2583.34</v>
      </c>
      <c r="AC210" s="113">
        <v>-9530.9699999999993</v>
      </c>
      <c r="AD210" s="113">
        <v>-8215.64</v>
      </c>
      <c r="AE210" s="113">
        <v>-6822.1</v>
      </c>
      <c r="AF210" s="113">
        <v>-7070.88</v>
      </c>
      <c r="AG210" s="113">
        <v>-5700.75</v>
      </c>
      <c r="AH210" s="113">
        <v>-3711.86</v>
      </c>
      <c r="AI210" s="113">
        <v>-7843.29</v>
      </c>
      <c r="AJ210" s="113">
        <v>-12450.67</v>
      </c>
      <c r="AK210" s="113">
        <f t="shared" si="11"/>
        <v>1626.77</v>
      </c>
      <c r="AM210" s="214"/>
    </row>
    <row r="211" spans="1:39" x14ac:dyDescent="0.3">
      <c r="A211" s="109" t="str">
        <f t="shared" si="10"/>
        <v>credit    5207000011  Gain of tangible asset disposal</v>
      </c>
      <c r="B211" s="112" t="s">
        <v>291</v>
      </c>
      <c r="C211" s="113">
        <f>IFERROR(VLOOKUP($A211,MTD!$A$13:$D$1048576,3,0),0)</f>
        <v>0</v>
      </c>
      <c r="D211" s="116">
        <f>IFERROR(VLOOKUP($A211,MTD!$A$13:$D$1048576,4,0),0)</f>
        <v>0</v>
      </c>
      <c r="E211" s="113"/>
      <c r="F211" s="113"/>
      <c r="G211" s="112" t="s">
        <v>291</v>
      </c>
      <c r="H211" s="114">
        <v>0</v>
      </c>
      <c r="I211" s="114">
        <v>0</v>
      </c>
      <c r="J211" s="115">
        <v>0</v>
      </c>
      <c r="K211" s="113">
        <v>0</v>
      </c>
      <c r="P211" s="112" t="s">
        <v>291</v>
      </c>
      <c r="Q211" s="113">
        <f>IFERROR(VLOOKUP($A211,YTD!$A$13:$D$1048576,3,0),0)</f>
        <v>0</v>
      </c>
      <c r="R211" s="116">
        <f>IFERROR(VLOOKUP($A211,YTD!$A$13:$D$1048576,4,0),0)</f>
        <v>0</v>
      </c>
      <c r="S211" s="113"/>
      <c r="T211" s="113"/>
      <c r="U211" s="112" t="s">
        <v>291</v>
      </c>
      <c r="V211" s="114">
        <v>0</v>
      </c>
      <c r="W211" s="114">
        <v>0</v>
      </c>
      <c r="X211" s="115">
        <v>0</v>
      </c>
      <c r="Y211" s="113">
        <v>0</v>
      </c>
      <c r="Z211" s="113">
        <v>0</v>
      </c>
      <c r="AA211" s="113">
        <v>0</v>
      </c>
      <c r="AB211" s="113">
        <v>0</v>
      </c>
      <c r="AC211" s="113">
        <v>0</v>
      </c>
      <c r="AD211" s="113">
        <v>0</v>
      </c>
      <c r="AE211" s="113">
        <v>0</v>
      </c>
      <c r="AF211" s="113">
        <v>0</v>
      </c>
      <c r="AG211" s="113">
        <v>0</v>
      </c>
      <c r="AH211" s="113">
        <v>0</v>
      </c>
      <c r="AI211" s="113">
        <v>0</v>
      </c>
      <c r="AJ211" s="113">
        <v>0</v>
      </c>
      <c r="AK211" s="113">
        <f t="shared" si="11"/>
        <v>0</v>
      </c>
      <c r="AM211" s="214"/>
    </row>
    <row r="212" spans="1:39" x14ac:dyDescent="0.3">
      <c r="A212" s="109" t="str">
        <f t="shared" si="10"/>
        <v>credit*   CS_Fix Cost</v>
      </c>
      <c r="B212" s="117" t="s">
        <v>211</v>
      </c>
      <c r="C212" s="118">
        <f>IFERROR(VLOOKUP($A212,MTD!$A$13:$D$1048576,3,0),0)</f>
        <v>-75308.759999999995</v>
      </c>
      <c r="D212" s="118">
        <f>IFERROR(VLOOKUP($A212,MTD!$A$13:$D$1048576,4,0),0)</f>
        <v>-78954.34</v>
      </c>
      <c r="E212" s="118"/>
      <c r="F212" s="118"/>
      <c r="G212" s="117" t="s">
        <v>211</v>
      </c>
      <c r="H212" s="119">
        <v>0</v>
      </c>
      <c r="I212" s="119">
        <v>0</v>
      </c>
      <c r="J212" s="120">
        <v>0</v>
      </c>
      <c r="K212" s="118">
        <v>0</v>
      </c>
      <c r="P212" s="117" t="s">
        <v>211</v>
      </c>
      <c r="Q212" s="118">
        <f>IFERROR(VLOOKUP($A212,YTD!$A$13:$D$1048576,3,0),0)</f>
        <v>-768514.42</v>
      </c>
      <c r="R212" s="118">
        <f>IFERROR(VLOOKUP($A212,YTD!$A$13:$D$1048576,4,0),0)</f>
        <v>-925897.68</v>
      </c>
      <c r="S212" s="118"/>
      <c r="T212" s="118"/>
      <c r="U212" s="117" t="s">
        <v>211</v>
      </c>
      <c r="V212" s="119">
        <v>0</v>
      </c>
      <c r="W212" s="119">
        <v>0</v>
      </c>
      <c r="X212" s="120">
        <v>0</v>
      </c>
      <c r="Y212" s="118">
        <v>0</v>
      </c>
      <c r="Z212" s="118">
        <v>-58717.31</v>
      </c>
      <c r="AA212" s="118">
        <v>-61847.47</v>
      </c>
      <c r="AB212" s="118">
        <v>-64067.01</v>
      </c>
      <c r="AC212" s="118">
        <v>-62650.95</v>
      </c>
      <c r="AD212" s="118">
        <v>-59283.24</v>
      </c>
      <c r="AE212" s="118">
        <v>-136150.29999999999</v>
      </c>
      <c r="AF212" s="118">
        <v>-56211.21</v>
      </c>
      <c r="AG212" s="118">
        <v>-43370.05</v>
      </c>
      <c r="AH212" s="118">
        <v>-39362.25</v>
      </c>
      <c r="AI212" s="118">
        <v>-65839.8</v>
      </c>
      <c r="AJ212" s="118">
        <v>-45706.07</v>
      </c>
      <c r="AK212" s="118">
        <f t="shared" si="11"/>
        <v>-75308.759999999995</v>
      </c>
      <c r="AM212" s="214"/>
    </row>
    <row r="213" spans="1:39" x14ac:dyDescent="0.3">
      <c r="A213" s="109" t="str">
        <f t="shared" si="10"/>
        <v>credit    6666110203  Low value consumables</v>
      </c>
      <c r="B213" s="112" t="s">
        <v>293</v>
      </c>
      <c r="C213" s="113">
        <f>IFERROR(VLOOKUP($A213,MTD!$A$13:$D$1048576,3,0),0)</f>
        <v>52477.61</v>
      </c>
      <c r="D213" s="116">
        <f>IFERROR(VLOOKUP($A213,MTD!$A$13:$D$1048576,4,0),0)</f>
        <v>0</v>
      </c>
      <c r="E213" s="113"/>
      <c r="F213" s="113"/>
      <c r="G213" s="112" t="s">
        <v>293</v>
      </c>
      <c r="H213" s="114">
        <v>0</v>
      </c>
      <c r="I213" s="114">
        <v>0</v>
      </c>
      <c r="J213" s="115">
        <v>0</v>
      </c>
      <c r="K213" s="113">
        <v>0</v>
      </c>
      <c r="P213" s="112" t="s">
        <v>293</v>
      </c>
      <c r="Q213" s="113">
        <f>IFERROR(VLOOKUP($A213,YTD!$A$13:$D$1048576,3,0),0)</f>
        <v>-21973.59</v>
      </c>
      <c r="R213" s="116">
        <f>IFERROR(VLOOKUP($A213,YTD!$A$13:$D$1048576,4,0),0)</f>
        <v>0</v>
      </c>
      <c r="S213" s="113"/>
      <c r="T213" s="113"/>
      <c r="U213" s="112" t="s">
        <v>293</v>
      </c>
      <c r="V213" s="114">
        <v>0</v>
      </c>
      <c r="W213" s="114">
        <v>0</v>
      </c>
      <c r="X213" s="115">
        <v>0</v>
      </c>
      <c r="Y213" s="113">
        <v>0</v>
      </c>
      <c r="Z213" s="113">
        <v>-14402.29</v>
      </c>
      <c r="AA213" s="113">
        <v>-8828.76</v>
      </c>
      <c r="AB213" s="113">
        <v>-4557.8</v>
      </c>
      <c r="AC213" s="113">
        <v>-4080.83</v>
      </c>
      <c r="AD213" s="113">
        <v>-7593.16</v>
      </c>
      <c r="AE213" s="113">
        <v>-1583.4</v>
      </c>
      <c r="AF213" s="113">
        <v>5219.4799999999996</v>
      </c>
      <c r="AG213" s="113">
        <v>-25361.89</v>
      </c>
      <c r="AH213" s="113">
        <v>-4243.79</v>
      </c>
      <c r="AI213" s="113">
        <v>-17674.57</v>
      </c>
      <c r="AJ213" s="113">
        <v>8655.81</v>
      </c>
      <c r="AK213" s="113">
        <f t="shared" si="11"/>
        <v>52477.61</v>
      </c>
      <c r="AM213" s="214"/>
    </row>
    <row r="214" spans="1:39" x14ac:dyDescent="0.3">
      <c r="A214" s="109" t="str">
        <f t="shared" si="10"/>
        <v>credit    5102040000  Other Revenue - Other</v>
      </c>
      <c r="B214" s="112" t="s">
        <v>294</v>
      </c>
      <c r="C214" s="116">
        <f>IFERROR(VLOOKUP($A214,MTD!$A$13:$D$1048576,3,0),0)</f>
        <v>0</v>
      </c>
      <c r="D214" s="116">
        <f>IFERROR(VLOOKUP($A214,MTD!$A$13:$D$1048576,4,0),0)</f>
        <v>0</v>
      </c>
      <c r="E214" s="113"/>
      <c r="F214" s="113"/>
      <c r="G214" s="112" t="s">
        <v>294</v>
      </c>
      <c r="H214" s="114">
        <v>0</v>
      </c>
      <c r="I214" s="114">
        <v>0</v>
      </c>
      <c r="J214" s="115">
        <v>0</v>
      </c>
      <c r="K214" s="113">
        <v>0</v>
      </c>
      <c r="P214" s="112" t="s">
        <v>294</v>
      </c>
      <c r="Q214" s="116">
        <f>IFERROR(VLOOKUP($A214,YTD!$A$13:$D$1048576,3,0),0)</f>
        <v>0</v>
      </c>
      <c r="R214" s="116">
        <f>IFERROR(VLOOKUP($A214,YTD!$A$13:$D$1048576,4,0),0)</f>
        <v>0</v>
      </c>
      <c r="S214" s="113"/>
      <c r="T214" s="113"/>
      <c r="U214" s="112" t="s">
        <v>294</v>
      </c>
      <c r="V214" s="114">
        <v>0</v>
      </c>
      <c r="W214" s="114">
        <v>0</v>
      </c>
      <c r="X214" s="115">
        <v>0</v>
      </c>
      <c r="Y214" s="113">
        <v>0</v>
      </c>
      <c r="Z214" s="113">
        <v>0</v>
      </c>
      <c r="AA214" s="113">
        <v>0</v>
      </c>
      <c r="AB214" s="113">
        <v>0</v>
      </c>
      <c r="AC214" s="113">
        <v>0</v>
      </c>
      <c r="AD214" s="113">
        <v>0</v>
      </c>
      <c r="AE214" s="113">
        <v>0</v>
      </c>
      <c r="AF214" s="113">
        <v>0</v>
      </c>
      <c r="AG214" s="113">
        <v>0</v>
      </c>
      <c r="AH214" s="113">
        <v>0</v>
      </c>
      <c r="AI214" s="113">
        <v>0</v>
      </c>
      <c r="AJ214" s="113">
        <v>0</v>
      </c>
      <c r="AK214" s="113">
        <f t="shared" si="11"/>
        <v>0</v>
      </c>
      <c r="AM214" s="214"/>
    </row>
    <row r="215" spans="1:39" x14ac:dyDescent="0.3">
      <c r="A215" s="109" t="str">
        <f t="shared" si="10"/>
        <v>credit    6666050307  Inventory count different-raw material</v>
      </c>
      <c r="B215" s="112" t="s">
        <v>295</v>
      </c>
      <c r="C215" s="113">
        <f>IFERROR(VLOOKUP($A215,MTD!$A$13:$D$1048576,3,0),0)</f>
        <v>263790.03000000003</v>
      </c>
      <c r="D215" s="116">
        <f>IFERROR(VLOOKUP($A215,MTD!$A$13:$D$1048576,4,0),0)</f>
        <v>0</v>
      </c>
      <c r="E215" s="113"/>
      <c r="F215" s="113"/>
      <c r="G215" s="112" t="s">
        <v>295</v>
      </c>
      <c r="H215" s="114">
        <v>0</v>
      </c>
      <c r="I215" s="114">
        <v>0</v>
      </c>
      <c r="J215" s="115">
        <v>0</v>
      </c>
      <c r="K215" s="113">
        <v>0</v>
      </c>
      <c r="P215" s="112" t="s">
        <v>295</v>
      </c>
      <c r="Q215" s="113">
        <f>IFERROR(VLOOKUP($A215,YTD!$A$13:$D$1048576,3,0),0)</f>
        <v>539600.25</v>
      </c>
      <c r="R215" s="116">
        <f>IFERROR(VLOOKUP($A215,YTD!$A$13:$D$1048576,4,0),0)</f>
        <v>0</v>
      </c>
      <c r="S215" s="113"/>
      <c r="T215" s="113"/>
      <c r="U215" s="112" t="s">
        <v>295</v>
      </c>
      <c r="V215" s="114">
        <v>0</v>
      </c>
      <c r="W215" s="114">
        <v>0</v>
      </c>
      <c r="X215" s="115">
        <v>0</v>
      </c>
      <c r="Y215" s="113">
        <v>0</v>
      </c>
      <c r="Z215" s="113">
        <v>10751.27</v>
      </c>
      <c r="AA215" s="113">
        <v>18216.650000000001</v>
      </c>
      <c r="AB215" s="113">
        <v>13233.36</v>
      </c>
      <c r="AC215" s="113">
        <v>13010.56</v>
      </c>
      <c r="AD215" s="113">
        <v>-14769.61</v>
      </c>
      <c r="AE215" s="113">
        <v>159992.14000000001</v>
      </c>
      <c r="AF215" s="113">
        <v>5998.59</v>
      </c>
      <c r="AG215" s="113">
        <v>17885.79</v>
      </c>
      <c r="AH215" s="113">
        <v>43852.26</v>
      </c>
      <c r="AI215" s="113">
        <v>2170.6999999999998</v>
      </c>
      <c r="AJ215" s="113">
        <v>5468.51</v>
      </c>
      <c r="AK215" s="113">
        <f t="shared" si="11"/>
        <v>263790.03000000003</v>
      </c>
      <c r="AM215" s="214"/>
    </row>
    <row r="216" spans="1:39" x14ac:dyDescent="0.3">
      <c r="A216" s="109" t="str">
        <f t="shared" si="10"/>
        <v>credit*   CS_Variable Cost</v>
      </c>
      <c r="B216" s="117" t="s">
        <v>213</v>
      </c>
      <c r="C216" s="118">
        <f>IFERROR(VLOOKUP($A216,MTD!$A$13:$D$1048576,3,0),0)</f>
        <v>316267.64</v>
      </c>
      <c r="D216" s="125">
        <f>IFERROR(VLOOKUP($A216,MTD!$A$13:$D$1048576,4,0),0)</f>
        <v>0</v>
      </c>
      <c r="E216" s="118"/>
      <c r="F216" s="118"/>
      <c r="G216" s="117" t="s">
        <v>213</v>
      </c>
      <c r="H216" s="119">
        <v>0</v>
      </c>
      <c r="I216" s="119">
        <v>0</v>
      </c>
      <c r="J216" s="120">
        <v>0</v>
      </c>
      <c r="K216" s="118">
        <v>0</v>
      </c>
      <c r="P216" s="117" t="s">
        <v>213</v>
      </c>
      <c r="Q216" s="118">
        <f>IFERROR(VLOOKUP($A216,YTD!$A$13:$D$1048576,3,0),0)</f>
        <v>517626.66</v>
      </c>
      <c r="R216" s="125">
        <f>IFERROR(VLOOKUP($A216,YTD!$A$13:$D$1048576,4,0),0)</f>
        <v>0</v>
      </c>
      <c r="S216" s="118"/>
      <c r="T216" s="118"/>
      <c r="U216" s="117" t="s">
        <v>213</v>
      </c>
      <c r="V216" s="119">
        <v>0</v>
      </c>
      <c r="W216" s="119">
        <v>0</v>
      </c>
      <c r="X216" s="120">
        <v>0</v>
      </c>
      <c r="Y216" s="118">
        <v>0</v>
      </c>
      <c r="Z216" s="118">
        <v>-3651.02</v>
      </c>
      <c r="AA216" s="118">
        <v>9387.89</v>
      </c>
      <c r="AB216" s="118">
        <v>8675.56</v>
      </c>
      <c r="AC216" s="118">
        <v>8929.73</v>
      </c>
      <c r="AD216" s="118">
        <v>-22362.77</v>
      </c>
      <c r="AE216" s="118">
        <v>158408.74</v>
      </c>
      <c r="AF216" s="118">
        <v>11218.07</v>
      </c>
      <c r="AG216" s="118">
        <v>-7476.1</v>
      </c>
      <c r="AH216" s="118">
        <v>39608.47</v>
      </c>
      <c r="AI216" s="118">
        <v>-15503.87</v>
      </c>
      <c r="AJ216" s="118">
        <v>14124.32</v>
      </c>
      <c r="AK216" s="118">
        <f t="shared" si="11"/>
        <v>316267.64</v>
      </c>
      <c r="AM216" s="214"/>
    </row>
    <row r="217" spans="1:39" x14ac:dyDescent="0.3">
      <c r="A217" s="109" t="str">
        <f t="shared" ref="A217:A256" si="12">"credit"&amp;B217</f>
        <v>credit    6666100203  Provision for inventory devaluation - RM</v>
      </c>
      <c r="B217" s="112" t="s">
        <v>296</v>
      </c>
      <c r="C217" s="113">
        <f>IFERROR(VLOOKUP($A217,MTD!$A$13:$D$1048576,3,0),0)</f>
        <v>-114586.24000000001</v>
      </c>
      <c r="D217" s="113">
        <f>IFERROR(VLOOKUP($A217,MTD!$A$13:$D$1048576,4,0),0)</f>
        <v>-25000</v>
      </c>
      <c r="E217" s="113"/>
      <c r="F217" s="113"/>
      <c r="G217" s="112" t="s">
        <v>296</v>
      </c>
      <c r="H217" s="114">
        <v>0</v>
      </c>
      <c r="I217" s="114">
        <v>0</v>
      </c>
      <c r="J217" s="115">
        <v>0</v>
      </c>
      <c r="K217" s="113">
        <v>0</v>
      </c>
      <c r="P217" s="112" t="s">
        <v>296</v>
      </c>
      <c r="Q217" s="113">
        <f>IFERROR(VLOOKUP($A217,YTD!$A$13:$D$1048576,3,0),0)</f>
        <v>-264585.31</v>
      </c>
      <c r="R217" s="113">
        <f>IFERROR(VLOOKUP($A217,YTD!$A$13:$D$1048576,4,0),0)</f>
        <v>-300000</v>
      </c>
      <c r="S217" s="113"/>
      <c r="T217" s="113"/>
      <c r="U217" s="112" t="s">
        <v>296</v>
      </c>
      <c r="V217" s="114">
        <v>0</v>
      </c>
      <c r="W217" s="114">
        <v>0</v>
      </c>
      <c r="X217" s="115">
        <v>0</v>
      </c>
      <c r="Y217" s="113">
        <v>0</v>
      </c>
      <c r="Z217" s="113">
        <v>-27874.31</v>
      </c>
      <c r="AA217" s="113">
        <v>-25000</v>
      </c>
      <c r="AB217" s="113">
        <v>-25000</v>
      </c>
      <c r="AC217" s="113">
        <v>-25000</v>
      </c>
      <c r="AD217" s="113">
        <v>-25000</v>
      </c>
      <c r="AE217" s="113">
        <v>-25000</v>
      </c>
      <c r="AF217" s="113">
        <v>-18943.93</v>
      </c>
      <c r="AG217" s="113">
        <v>25000</v>
      </c>
      <c r="AH217" s="113">
        <v>24130.14</v>
      </c>
      <c r="AI217" s="113">
        <v>-12310.97</v>
      </c>
      <c r="AJ217" s="113">
        <v>-15000</v>
      </c>
      <c r="AK217" s="113">
        <f t="shared" si="11"/>
        <v>-114586.24000000001</v>
      </c>
      <c r="AM217" s="214"/>
    </row>
    <row r="218" spans="1:39" x14ac:dyDescent="0.3">
      <c r="A218" s="109" t="str">
        <f t="shared" si="12"/>
        <v>credit*   CS_Obsolescence</v>
      </c>
      <c r="B218" s="117" t="s">
        <v>214</v>
      </c>
      <c r="C218" s="118">
        <f>IFERROR(VLOOKUP($A218,MTD!$A$13:$D$1048576,3,0),0)</f>
        <v>-114586.24000000001</v>
      </c>
      <c r="D218" s="118">
        <f>IFERROR(VLOOKUP($A218,MTD!$A$13:$D$1048576,4,0),0)</f>
        <v>-25000</v>
      </c>
      <c r="E218" s="118"/>
      <c r="F218" s="118"/>
      <c r="G218" s="117" t="s">
        <v>214</v>
      </c>
      <c r="H218" s="119">
        <v>0</v>
      </c>
      <c r="I218" s="119">
        <v>0</v>
      </c>
      <c r="J218" s="120">
        <v>0</v>
      </c>
      <c r="K218" s="118">
        <v>0</v>
      </c>
      <c r="P218" s="117" t="s">
        <v>214</v>
      </c>
      <c r="Q218" s="118">
        <f>IFERROR(VLOOKUP($A218,YTD!$A$13:$D$1048576,3,0),0)</f>
        <v>-264585.31</v>
      </c>
      <c r="R218" s="118">
        <f>IFERROR(VLOOKUP($A218,YTD!$A$13:$D$1048576,4,0),0)</f>
        <v>-300000</v>
      </c>
      <c r="S218" s="118"/>
      <c r="T218" s="118"/>
      <c r="U218" s="117" t="s">
        <v>214</v>
      </c>
      <c r="V218" s="119">
        <v>0</v>
      </c>
      <c r="W218" s="119">
        <v>0</v>
      </c>
      <c r="X218" s="120">
        <v>0</v>
      </c>
      <c r="Y218" s="118">
        <v>0</v>
      </c>
      <c r="Z218" s="118">
        <v>-27874.31</v>
      </c>
      <c r="AA218" s="118">
        <v>-25000</v>
      </c>
      <c r="AB218" s="118">
        <v>-25000</v>
      </c>
      <c r="AC218" s="118">
        <v>-25000</v>
      </c>
      <c r="AD218" s="118">
        <v>-25000</v>
      </c>
      <c r="AE218" s="118">
        <v>-25000</v>
      </c>
      <c r="AF218" s="118">
        <v>-18943.93</v>
      </c>
      <c r="AG218" s="118">
        <v>25000</v>
      </c>
      <c r="AH218" s="118">
        <v>24130.14</v>
      </c>
      <c r="AI218" s="118">
        <v>-12310.97</v>
      </c>
      <c r="AJ218" s="118">
        <v>-15000</v>
      </c>
      <c r="AK218" s="118">
        <f t="shared" si="11"/>
        <v>-114586.24000000001</v>
      </c>
      <c r="AM218" s="214"/>
    </row>
    <row r="219" spans="1:39" x14ac:dyDescent="0.3">
      <c r="A219" s="109" t="str">
        <f t="shared" si="12"/>
        <v>credit    5301070000  Non-operation revenue-sales of scrapped</v>
      </c>
      <c r="B219" s="112" t="s">
        <v>297</v>
      </c>
      <c r="C219" s="113">
        <f>IFERROR(VLOOKUP($A219,MTD!$A$13:$D$1048576,3,0),0)</f>
        <v>112054.34</v>
      </c>
      <c r="D219" s="113">
        <f>IFERROR(VLOOKUP($A219,MTD!$A$13:$D$1048576,4,0),0)</f>
        <v>124919.02</v>
      </c>
      <c r="E219" s="113"/>
      <c r="F219" s="113"/>
      <c r="G219" s="112" t="s">
        <v>297</v>
      </c>
      <c r="H219" s="114">
        <v>0</v>
      </c>
      <c r="I219" s="114">
        <v>0</v>
      </c>
      <c r="J219" s="115">
        <v>0</v>
      </c>
      <c r="K219" s="113">
        <v>0</v>
      </c>
      <c r="P219" s="112" t="s">
        <v>297</v>
      </c>
      <c r="Q219" s="113">
        <f>IFERROR(VLOOKUP($A219,YTD!$A$13:$D$1048576,3,0),0)</f>
        <v>1094435.07</v>
      </c>
      <c r="R219" s="113">
        <f>IFERROR(VLOOKUP($A219,YTD!$A$13:$D$1048576,4,0),0)</f>
        <v>941253.81</v>
      </c>
      <c r="S219" s="113"/>
      <c r="T219" s="113"/>
      <c r="U219" s="112" t="s">
        <v>297</v>
      </c>
      <c r="V219" s="114">
        <v>0</v>
      </c>
      <c r="W219" s="114">
        <v>0</v>
      </c>
      <c r="X219" s="115">
        <v>0</v>
      </c>
      <c r="Y219" s="113">
        <v>0</v>
      </c>
      <c r="Z219" s="113">
        <v>112540.92</v>
      </c>
      <c r="AA219" s="113">
        <v>85630.79</v>
      </c>
      <c r="AB219" s="113">
        <v>67927.73</v>
      </c>
      <c r="AC219" s="113">
        <v>72652.89</v>
      </c>
      <c r="AD219" s="113">
        <v>73397.41</v>
      </c>
      <c r="AE219" s="113">
        <v>41000.620000000003</v>
      </c>
      <c r="AF219" s="113">
        <v>67831.850000000006</v>
      </c>
      <c r="AG219" s="113">
        <v>112161.92</v>
      </c>
      <c r="AH219" s="113">
        <v>118823.18</v>
      </c>
      <c r="AI219" s="113">
        <v>128119.05</v>
      </c>
      <c r="AJ219" s="113">
        <v>102294.37</v>
      </c>
      <c r="AK219" s="113">
        <f t="shared" si="11"/>
        <v>112054.34</v>
      </c>
      <c r="AM219" s="214"/>
    </row>
    <row r="220" spans="1:39" x14ac:dyDescent="0.3">
      <c r="A220" s="109" t="str">
        <f t="shared" si="12"/>
        <v>credit*   CS_Reselling</v>
      </c>
      <c r="B220" s="117" t="s">
        <v>215</v>
      </c>
      <c r="C220" s="118">
        <f>IFERROR(VLOOKUP($A220,MTD!$A$13:$D$1048576,3,0),0)</f>
        <v>112054.34</v>
      </c>
      <c r="D220" s="118">
        <f>IFERROR(VLOOKUP($A220,MTD!$A$13:$D$1048576,4,0),0)</f>
        <v>124919.02</v>
      </c>
      <c r="E220" s="118"/>
      <c r="F220" s="118"/>
      <c r="G220" s="117" t="s">
        <v>215</v>
      </c>
      <c r="H220" s="119">
        <v>0</v>
      </c>
      <c r="I220" s="119">
        <v>0</v>
      </c>
      <c r="J220" s="120">
        <v>0</v>
      </c>
      <c r="K220" s="118">
        <v>0</v>
      </c>
      <c r="P220" s="117" t="s">
        <v>215</v>
      </c>
      <c r="Q220" s="118">
        <f>IFERROR(VLOOKUP($A220,YTD!$A$13:$D$1048576,3,0),0)</f>
        <v>1094435.07</v>
      </c>
      <c r="R220" s="118">
        <f>IFERROR(VLOOKUP($A220,YTD!$A$13:$D$1048576,4,0),0)</f>
        <v>941253.81</v>
      </c>
      <c r="S220" s="118"/>
      <c r="T220" s="118"/>
      <c r="U220" s="117" t="s">
        <v>215</v>
      </c>
      <c r="V220" s="119">
        <v>0</v>
      </c>
      <c r="W220" s="119">
        <v>0</v>
      </c>
      <c r="X220" s="120">
        <v>0</v>
      </c>
      <c r="Y220" s="118">
        <v>0</v>
      </c>
      <c r="Z220" s="118">
        <v>112540.92</v>
      </c>
      <c r="AA220" s="118">
        <v>85630.79</v>
      </c>
      <c r="AB220" s="118">
        <v>67927.73</v>
      </c>
      <c r="AC220" s="118">
        <v>72652.89</v>
      </c>
      <c r="AD220" s="118">
        <v>73397.41</v>
      </c>
      <c r="AE220" s="118">
        <v>41000.620000000003</v>
      </c>
      <c r="AF220" s="118">
        <v>67831.850000000006</v>
      </c>
      <c r="AG220" s="118">
        <v>112161.92</v>
      </c>
      <c r="AH220" s="118">
        <v>118823.18</v>
      </c>
      <c r="AI220" s="118">
        <v>128119.05</v>
      </c>
      <c r="AJ220" s="118">
        <v>102294.37</v>
      </c>
      <c r="AK220" s="118">
        <f t="shared" si="11"/>
        <v>112054.34</v>
      </c>
      <c r="AM220" s="214"/>
    </row>
    <row r="221" spans="1:39" x14ac:dyDescent="0.3">
      <c r="A221" s="109" t="str">
        <f t="shared" si="12"/>
        <v>credit    6666021602  Electricity</v>
      </c>
      <c r="B221" s="112" t="s">
        <v>298</v>
      </c>
      <c r="C221" s="113">
        <f>IFERROR(VLOOKUP($A221,MTD!$A$13:$D$1048576,3,0),0)</f>
        <v>-587.01</v>
      </c>
      <c r="D221" s="113">
        <f>IFERROR(VLOOKUP($A221,MTD!$A$13:$D$1048576,4,0),0)</f>
        <v>-11936.65</v>
      </c>
      <c r="E221" s="113"/>
      <c r="F221" s="113"/>
      <c r="G221" s="112" t="s">
        <v>298</v>
      </c>
      <c r="H221" s="114">
        <v>0</v>
      </c>
      <c r="I221" s="114">
        <v>0</v>
      </c>
      <c r="J221" s="115">
        <v>0</v>
      </c>
      <c r="K221" s="113">
        <v>0</v>
      </c>
      <c r="P221" s="112" t="s">
        <v>298</v>
      </c>
      <c r="Q221" s="113">
        <f>IFERROR(VLOOKUP($A221,YTD!$A$13:$D$1048576,3,0),0)</f>
        <v>-8136.45</v>
      </c>
      <c r="R221" s="113">
        <f>IFERROR(VLOOKUP($A221,YTD!$A$13:$D$1048576,4,0),0)</f>
        <v>-90148.38</v>
      </c>
      <c r="S221" s="113"/>
      <c r="T221" s="113"/>
      <c r="U221" s="112" t="s">
        <v>298</v>
      </c>
      <c r="V221" s="114">
        <v>0</v>
      </c>
      <c r="W221" s="114">
        <v>0</v>
      </c>
      <c r="X221" s="115">
        <v>0</v>
      </c>
      <c r="Y221" s="113">
        <v>0</v>
      </c>
      <c r="Z221" s="113">
        <v>-733.45</v>
      </c>
      <c r="AA221" s="113">
        <v>-1054.57</v>
      </c>
      <c r="AB221" s="113">
        <v>-577.05999999999995</v>
      </c>
      <c r="AC221" s="113">
        <v>-466.37</v>
      </c>
      <c r="AD221" s="113">
        <v>-555.64</v>
      </c>
      <c r="AE221" s="113">
        <v>459.88</v>
      </c>
      <c r="AF221" s="113">
        <v>-733.34</v>
      </c>
      <c r="AG221" s="113">
        <v>-900.22</v>
      </c>
      <c r="AH221" s="113">
        <v>-906.97</v>
      </c>
      <c r="AI221" s="113">
        <v>-897.67</v>
      </c>
      <c r="AJ221" s="113">
        <v>-1184.03</v>
      </c>
      <c r="AK221" s="113">
        <f t="shared" si="11"/>
        <v>-587.01</v>
      </c>
      <c r="AM221" s="214"/>
    </row>
    <row r="222" spans="1:39" x14ac:dyDescent="0.3">
      <c r="A222" s="109" t="str">
        <f t="shared" si="12"/>
        <v>credit*   CS_Fix Utilities</v>
      </c>
      <c r="B222" s="117" t="s">
        <v>216</v>
      </c>
      <c r="C222" s="118">
        <f>IFERROR(VLOOKUP($A222,MTD!$A$13:$D$1048576,3,0),0)</f>
        <v>-587.01</v>
      </c>
      <c r="D222" s="118">
        <f>IFERROR(VLOOKUP($A222,MTD!$A$13:$D$1048576,4,0),0)</f>
        <v>-11936.65</v>
      </c>
      <c r="E222" s="118"/>
      <c r="F222" s="118"/>
      <c r="G222" s="117" t="s">
        <v>216</v>
      </c>
      <c r="H222" s="119">
        <v>0</v>
      </c>
      <c r="I222" s="119">
        <v>0</v>
      </c>
      <c r="J222" s="120">
        <v>0</v>
      </c>
      <c r="K222" s="118">
        <v>0</v>
      </c>
      <c r="P222" s="117" t="s">
        <v>216</v>
      </c>
      <c r="Q222" s="118">
        <f>IFERROR(VLOOKUP($A222,YTD!$A$13:$D$1048576,3,0),0)</f>
        <v>-8136.45</v>
      </c>
      <c r="R222" s="118">
        <f>IFERROR(VLOOKUP($A222,YTD!$A$13:$D$1048576,4,0),0)</f>
        <v>-90148.38</v>
      </c>
      <c r="S222" s="118"/>
      <c r="T222" s="118"/>
      <c r="U222" s="117" t="s">
        <v>216</v>
      </c>
      <c r="V222" s="119">
        <v>0</v>
      </c>
      <c r="W222" s="119">
        <v>0</v>
      </c>
      <c r="X222" s="120">
        <v>0</v>
      </c>
      <c r="Y222" s="118">
        <v>0</v>
      </c>
      <c r="Z222" s="118">
        <v>-733.45</v>
      </c>
      <c r="AA222" s="118">
        <v>-1054.57</v>
      </c>
      <c r="AB222" s="118">
        <v>-577.05999999999995</v>
      </c>
      <c r="AC222" s="118">
        <v>-466.37</v>
      </c>
      <c r="AD222" s="118">
        <v>-555.64</v>
      </c>
      <c r="AE222" s="118">
        <v>459.88</v>
      </c>
      <c r="AF222" s="118">
        <v>-733.34</v>
      </c>
      <c r="AG222" s="118">
        <v>-900.22</v>
      </c>
      <c r="AH222" s="118">
        <v>-906.97</v>
      </c>
      <c r="AI222" s="118">
        <v>-897.67</v>
      </c>
      <c r="AJ222" s="118">
        <v>-1184.03</v>
      </c>
      <c r="AK222" s="118">
        <f t="shared" ref="AK222:AK285" si="13">C222</f>
        <v>-587.01</v>
      </c>
      <c r="AM222" s="214"/>
    </row>
    <row r="223" spans="1:39" x14ac:dyDescent="0.3">
      <c r="A223" s="109" t="str">
        <f t="shared" si="12"/>
        <v>credit    6666021600  Energy and power cost</v>
      </c>
      <c r="B223" s="112" t="s">
        <v>299</v>
      </c>
      <c r="C223" s="116">
        <f>IFERROR(VLOOKUP($A223,MTD!$A$13:$D$1048576,3,0),0)</f>
        <v>0</v>
      </c>
      <c r="D223" s="116">
        <f>IFERROR(VLOOKUP($A223,MTD!$A$13:$D$1048576,4,0),0)</f>
        <v>0</v>
      </c>
      <c r="E223" s="113"/>
      <c r="F223" s="113"/>
      <c r="G223" s="112" t="s">
        <v>299</v>
      </c>
      <c r="H223" s="114">
        <v>0</v>
      </c>
      <c r="I223" s="114">
        <v>0</v>
      </c>
      <c r="J223" s="115">
        <v>0</v>
      </c>
      <c r="K223" s="113">
        <v>0</v>
      </c>
      <c r="P223" s="112" t="s">
        <v>299</v>
      </c>
      <c r="Q223" s="116">
        <f>IFERROR(VLOOKUP($A223,YTD!$A$13:$D$1048576,3,0),0)</f>
        <v>0</v>
      </c>
      <c r="R223" s="116">
        <f>IFERROR(VLOOKUP($A223,YTD!$A$13:$D$1048576,4,0),0)</f>
        <v>0</v>
      </c>
      <c r="S223" s="113"/>
      <c r="T223" s="113"/>
      <c r="U223" s="112" t="s">
        <v>299</v>
      </c>
      <c r="V223" s="114">
        <v>0</v>
      </c>
      <c r="W223" s="114">
        <v>0</v>
      </c>
      <c r="X223" s="115">
        <v>0</v>
      </c>
      <c r="Y223" s="113">
        <v>0</v>
      </c>
      <c r="Z223" s="113">
        <v>0</v>
      </c>
      <c r="AA223" s="113">
        <v>0</v>
      </c>
      <c r="AB223" s="113">
        <v>0</v>
      </c>
      <c r="AC223" s="113">
        <v>0</v>
      </c>
      <c r="AD223" s="113">
        <v>0</v>
      </c>
      <c r="AE223" s="113">
        <v>0</v>
      </c>
      <c r="AF223" s="113">
        <v>0</v>
      </c>
      <c r="AG223" s="113">
        <v>0</v>
      </c>
      <c r="AH223" s="113">
        <v>0</v>
      </c>
      <c r="AI223" s="113">
        <v>0</v>
      </c>
      <c r="AJ223" s="113">
        <v>0</v>
      </c>
      <c r="AK223" s="113">
        <f t="shared" si="13"/>
        <v>0</v>
      </c>
      <c r="AM223" s="214"/>
    </row>
    <row r="224" spans="1:39" x14ac:dyDescent="0.3">
      <c r="A224" s="109" t="str">
        <f t="shared" si="12"/>
        <v>credit    6666021603  Water</v>
      </c>
      <c r="B224" s="112" t="s">
        <v>300</v>
      </c>
      <c r="C224" s="113">
        <f>IFERROR(VLOOKUP($A224,MTD!$A$13:$D$1048576,3,0),0)</f>
        <v>-1118.6500000000001</v>
      </c>
      <c r="D224" s="116">
        <f>IFERROR(VLOOKUP($A224,MTD!$A$13:$D$1048576,4,0),0)</f>
        <v>0</v>
      </c>
      <c r="E224" s="113"/>
      <c r="F224" s="113"/>
      <c r="G224" s="112" t="s">
        <v>300</v>
      </c>
      <c r="H224" s="114">
        <v>0</v>
      </c>
      <c r="I224" s="114">
        <v>0</v>
      </c>
      <c r="J224" s="115">
        <v>0</v>
      </c>
      <c r="K224" s="113">
        <v>0</v>
      </c>
      <c r="P224" s="112" t="s">
        <v>300</v>
      </c>
      <c r="Q224" s="113">
        <f>IFERROR(VLOOKUP($A224,YTD!$A$13:$D$1048576,3,0),0)</f>
        <v>-10050.64</v>
      </c>
      <c r="R224" s="116">
        <f>IFERROR(VLOOKUP($A224,YTD!$A$13:$D$1048576,4,0),0)</f>
        <v>0</v>
      </c>
      <c r="S224" s="113"/>
      <c r="T224" s="113"/>
      <c r="U224" s="112" t="s">
        <v>300</v>
      </c>
      <c r="V224" s="114">
        <v>0</v>
      </c>
      <c r="W224" s="114">
        <v>0</v>
      </c>
      <c r="X224" s="115">
        <v>0</v>
      </c>
      <c r="Y224" s="113">
        <v>0</v>
      </c>
      <c r="Z224" s="113">
        <v>-504.96</v>
      </c>
      <c r="AA224" s="113">
        <v>-1583.76</v>
      </c>
      <c r="AB224" s="113">
        <v>-871.09</v>
      </c>
      <c r="AC224" s="113">
        <v>-701</v>
      </c>
      <c r="AD224" s="113">
        <v>-828.63</v>
      </c>
      <c r="AE224" s="113">
        <v>-619.28</v>
      </c>
      <c r="AF224" s="113">
        <v>-694.7</v>
      </c>
      <c r="AG224" s="113">
        <v>-456.13</v>
      </c>
      <c r="AH224" s="113">
        <v>-706.27</v>
      </c>
      <c r="AI224" s="113">
        <v>-470.45</v>
      </c>
      <c r="AJ224" s="113">
        <v>-1495.72</v>
      </c>
      <c r="AK224" s="113">
        <f t="shared" si="13"/>
        <v>-1118.6500000000001</v>
      </c>
      <c r="AM224" s="214"/>
    </row>
    <row r="225" spans="1:39" x14ac:dyDescent="0.3">
      <c r="A225" s="109" t="str">
        <f t="shared" si="12"/>
        <v>credit    6666021604  Oil &amp; Gas</v>
      </c>
      <c r="B225" s="112" t="s">
        <v>301</v>
      </c>
      <c r="C225" s="113">
        <f>IFERROR(VLOOKUP($A225,MTD!$A$13:$D$1048576,3,0),0)</f>
        <v>-6842.39</v>
      </c>
      <c r="D225" s="116">
        <f>IFERROR(VLOOKUP($A225,MTD!$A$13:$D$1048576,4,0),0)</f>
        <v>0</v>
      </c>
      <c r="E225" s="113"/>
      <c r="F225" s="113"/>
      <c r="G225" s="112" t="s">
        <v>301</v>
      </c>
      <c r="H225" s="114">
        <v>0</v>
      </c>
      <c r="I225" s="114">
        <v>0</v>
      </c>
      <c r="J225" s="115">
        <v>0</v>
      </c>
      <c r="K225" s="113">
        <v>0</v>
      </c>
      <c r="P225" s="112" t="s">
        <v>301</v>
      </c>
      <c r="Q225" s="113">
        <f>IFERROR(VLOOKUP($A225,YTD!$A$13:$D$1048576,3,0),0)</f>
        <v>-42371.31</v>
      </c>
      <c r="R225" s="116">
        <f>IFERROR(VLOOKUP($A225,YTD!$A$13:$D$1048576,4,0),0)</f>
        <v>0</v>
      </c>
      <c r="S225" s="113"/>
      <c r="T225" s="113"/>
      <c r="U225" s="112" t="s">
        <v>301</v>
      </c>
      <c r="V225" s="114">
        <v>0</v>
      </c>
      <c r="W225" s="114">
        <v>0</v>
      </c>
      <c r="X225" s="115">
        <v>0</v>
      </c>
      <c r="Y225" s="113">
        <v>0</v>
      </c>
      <c r="Z225" s="113">
        <v>-1683.35</v>
      </c>
      <c r="AA225" s="113">
        <v>-5252.52</v>
      </c>
      <c r="AB225" s="113">
        <v>-2672.6</v>
      </c>
      <c r="AC225" s="113">
        <v>-2167.52</v>
      </c>
      <c r="AD225" s="113">
        <v>-2951.8</v>
      </c>
      <c r="AE225" s="113">
        <v>-900.31</v>
      </c>
      <c r="AF225" s="113">
        <v>-2083.4</v>
      </c>
      <c r="AG225" s="113">
        <v>-3962.44</v>
      </c>
      <c r="AH225" s="113">
        <v>-4880.1899999999996</v>
      </c>
      <c r="AI225" s="113">
        <v>-2650.99</v>
      </c>
      <c r="AJ225" s="113">
        <v>-6323.8</v>
      </c>
      <c r="AK225" s="113">
        <f t="shared" si="13"/>
        <v>-6842.39</v>
      </c>
      <c r="AM225" s="214"/>
    </row>
    <row r="226" spans="1:39" x14ac:dyDescent="0.3">
      <c r="A226" s="109" t="str">
        <f t="shared" si="12"/>
        <v>credit*   CS_Variable Utilities</v>
      </c>
      <c r="B226" s="117" t="s">
        <v>217</v>
      </c>
      <c r="C226" s="118">
        <f>IFERROR(VLOOKUP($A226,MTD!$A$13:$D$1048576,3,0),0)</f>
        <v>-7961.04</v>
      </c>
      <c r="D226" s="125">
        <f>IFERROR(VLOOKUP($A226,MTD!$A$13:$D$1048576,4,0),0)</f>
        <v>0</v>
      </c>
      <c r="E226" s="118"/>
      <c r="F226" s="118"/>
      <c r="G226" s="117" t="s">
        <v>217</v>
      </c>
      <c r="H226" s="119">
        <v>0</v>
      </c>
      <c r="I226" s="119">
        <v>0</v>
      </c>
      <c r="J226" s="120">
        <v>0</v>
      </c>
      <c r="K226" s="118">
        <v>0</v>
      </c>
      <c r="P226" s="117" t="s">
        <v>217</v>
      </c>
      <c r="Q226" s="118">
        <f>IFERROR(VLOOKUP($A226,YTD!$A$13:$D$1048576,3,0),0)</f>
        <v>-52421.95</v>
      </c>
      <c r="R226" s="125">
        <f>IFERROR(VLOOKUP($A226,YTD!$A$13:$D$1048576,4,0),0)</f>
        <v>0</v>
      </c>
      <c r="S226" s="118"/>
      <c r="T226" s="118"/>
      <c r="U226" s="117" t="s">
        <v>217</v>
      </c>
      <c r="V226" s="119">
        <v>0</v>
      </c>
      <c r="W226" s="119">
        <v>0</v>
      </c>
      <c r="X226" s="120">
        <v>0</v>
      </c>
      <c r="Y226" s="118">
        <v>0</v>
      </c>
      <c r="Z226" s="118">
        <v>-2188.31</v>
      </c>
      <c r="AA226" s="118">
        <v>-6836.28</v>
      </c>
      <c r="AB226" s="118">
        <v>-3543.69</v>
      </c>
      <c r="AC226" s="118">
        <v>-2868.52</v>
      </c>
      <c r="AD226" s="118">
        <v>-3780.43</v>
      </c>
      <c r="AE226" s="118">
        <v>-1519.59</v>
      </c>
      <c r="AF226" s="118">
        <v>-2778.1</v>
      </c>
      <c r="AG226" s="118">
        <v>-4418.57</v>
      </c>
      <c r="AH226" s="118">
        <v>-5586.46</v>
      </c>
      <c r="AI226" s="118">
        <v>-3121.44</v>
      </c>
      <c r="AJ226" s="118">
        <v>-7819.52</v>
      </c>
      <c r="AK226" s="118">
        <f t="shared" si="13"/>
        <v>-7961.04</v>
      </c>
      <c r="AM226" s="214"/>
    </row>
    <row r="227" spans="1:39" x14ac:dyDescent="0.3">
      <c r="A227" s="109" t="str">
        <f t="shared" si="12"/>
        <v>credit    5001010206  Unemployment Insurance -blue collar-Indi</v>
      </c>
      <c r="B227" s="112" t="s">
        <v>302</v>
      </c>
      <c r="C227" s="113">
        <f>IFERROR(VLOOKUP($A227,MTD!$A$13:$D$1048576,3,0),0)</f>
        <v>-2479.09</v>
      </c>
      <c r="D227" s="116">
        <f>IFERROR(VLOOKUP($A227,MTD!$A$13:$D$1048576,4,0),0)</f>
        <v>0</v>
      </c>
      <c r="E227" s="113"/>
      <c r="F227" s="113"/>
      <c r="G227" s="112" t="s">
        <v>302</v>
      </c>
      <c r="H227" s="114">
        <v>0</v>
      </c>
      <c r="I227" s="114">
        <v>0</v>
      </c>
      <c r="J227" s="115">
        <v>0</v>
      </c>
      <c r="K227" s="113">
        <v>0</v>
      </c>
      <c r="P227" s="112" t="s">
        <v>302</v>
      </c>
      <c r="Q227" s="113">
        <f>IFERROR(VLOOKUP($A227,YTD!$A$13:$D$1048576,3,0),0)</f>
        <v>-27818.1</v>
      </c>
      <c r="R227" s="116">
        <f>IFERROR(VLOOKUP($A227,YTD!$A$13:$D$1048576,4,0),0)</f>
        <v>0</v>
      </c>
      <c r="S227" s="113"/>
      <c r="T227" s="113"/>
      <c r="U227" s="112" t="s">
        <v>302</v>
      </c>
      <c r="V227" s="114">
        <v>0</v>
      </c>
      <c r="W227" s="114">
        <v>0</v>
      </c>
      <c r="X227" s="115">
        <v>0</v>
      </c>
      <c r="Y227" s="113">
        <v>0</v>
      </c>
      <c r="Z227" s="113">
        <v>-2546.9699999999998</v>
      </c>
      <c r="AA227" s="113">
        <v>-1791.58</v>
      </c>
      <c r="AB227" s="113">
        <v>-2106.7199999999998</v>
      </c>
      <c r="AC227" s="113">
        <v>-1755.82</v>
      </c>
      <c r="AD227" s="113">
        <v>-1911.87</v>
      </c>
      <c r="AE227" s="113">
        <v>-1850.1</v>
      </c>
      <c r="AF227" s="113">
        <v>-2010.8</v>
      </c>
      <c r="AG227" s="113">
        <v>-2344.73</v>
      </c>
      <c r="AH227" s="113">
        <v>-3060.65</v>
      </c>
      <c r="AI227" s="113">
        <v>-3445.77</v>
      </c>
      <c r="AJ227" s="113">
        <v>-2514</v>
      </c>
      <c r="AK227" s="113">
        <f t="shared" si="13"/>
        <v>-2479.09</v>
      </c>
      <c r="AM227" s="214"/>
    </row>
    <row r="228" spans="1:39" x14ac:dyDescent="0.3">
      <c r="A228" s="109" t="str">
        <f t="shared" si="12"/>
        <v>credit    6666010184  Salary&amp;Additional Incentive-Blue Collar-</v>
      </c>
      <c r="B228" s="112" t="s">
        <v>303</v>
      </c>
      <c r="C228" s="113">
        <f>IFERROR(VLOOKUP($A228,MTD!$A$13:$D$1048576,3,0),0)</f>
        <v>80.56</v>
      </c>
      <c r="D228" s="116">
        <f>IFERROR(VLOOKUP($A228,MTD!$A$13:$D$1048576,4,0),0)</f>
        <v>0</v>
      </c>
      <c r="E228" s="113"/>
      <c r="F228" s="113"/>
      <c r="G228" s="112" t="s">
        <v>303</v>
      </c>
      <c r="H228" s="114">
        <v>0</v>
      </c>
      <c r="I228" s="114">
        <v>0</v>
      </c>
      <c r="J228" s="115">
        <v>0</v>
      </c>
      <c r="K228" s="113">
        <v>0</v>
      </c>
      <c r="P228" s="112" t="s">
        <v>303</v>
      </c>
      <c r="Q228" s="113">
        <f>IFERROR(VLOOKUP($A228,YTD!$A$13:$D$1048576,3,0),0)</f>
        <v>1903.3</v>
      </c>
      <c r="R228" s="116">
        <f>IFERROR(VLOOKUP($A228,YTD!$A$13:$D$1048576,4,0),0)</f>
        <v>0</v>
      </c>
      <c r="S228" s="113"/>
      <c r="T228" s="113"/>
      <c r="U228" s="112" t="s">
        <v>303</v>
      </c>
      <c r="V228" s="114">
        <v>0</v>
      </c>
      <c r="W228" s="114">
        <v>0</v>
      </c>
      <c r="X228" s="115">
        <v>0</v>
      </c>
      <c r="Y228" s="113">
        <v>0</v>
      </c>
      <c r="Z228" s="113">
        <v>240.79</v>
      </c>
      <c r="AA228" s="113">
        <v>212.95</v>
      </c>
      <c r="AB228" s="113">
        <v>288.89</v>
      </c>
      <c r="AC228" s="113">
        <v>243.01</v>
      </c>
      <c r="AD228" s="113">
        <v>266.7</v>
      </c>
      <c r="AE228" s="113">
        <v>243.08</v>
      </c>
      <c r="AF228" s="113">
        <v>149.77000000000001</v>
      </c>
      <c r="AG228" s="113">
        <v>85.41</v>
      </c>
      <c r="AH228" s="113">
        <v>41.95</v>
      </c>
      <c r="AI228" s="113">
        <v>0.01</v>
      </c>
      <c r="AJ228" s="113">
        <v>50.18</v>
      </c>
      <c r="AK228" s="113">
        <f t="shared" si="13"/>
        <v>80.56</v>
      </c>
      <c r="AM228" s="214"/>
    </row>
    <row r="229" spans="1:39" x14ac:dyDescent="0.3">
      <c r="A229" s="109" t="str">
        <f t="shared" si="12"/>
        <v>credit    6666010186  Overtime-Blue Collar-Indirect</v>
      </c>
      <c r="B229" s="112" t="s">
        <v>304</v>
      </c>
      <c r="C229" s="113">
        <f>IFERROR(VLOOKUP($A229,MTD!$A$13:$D$1048576,3,0),0)</f>
        <v>-6998.69</v>
      </c>
      <c r="D229" s="116">
        <f>IFERROR(VLOOKUP($A229,MTD!$A$13:$D$1048576,4,0),0)</f>
        <v>0</v>
      </c>
      <c r="E229" s="113"/>
      <c r="F229" s="113"/>
      <c r="G229" s="112" t="s">
        <v>304</v>
      </c>
      <c r="H229" s="114">
        <v>0</v>
      </c>
      <c r="I229" s="114">
        <v>0</v>
      </c>
      <c r="J229" s="115">
        <v>0</v>
      </c>
      <c r="K229" s="113">
        <v>0</v>
      </c>
      <c r="P229" s="112" t="s">
        <v>304</v>
      </c>
      <c r="Q229" s="113">
        <f>IFERROR(VLOOKUP($A229,YTD!$A$13:$D$1048576,3,0),0)</f>
        <v>-86451.11</v>
      </c>
      <c r="R229" s="116">
        <f>IFERROR(VLOOKUP($A229,YTD!$A$13:$D$1048576,4,0),0)</f>
        <v>0</v>
      </c>
      <c r="S229" s="113"/>
      <c r="T229" s="113"/>
      <c r="U229" s="112" t="s">
        <v>304</v>
      </c>
      <c r="V229" s="114">
        <v>0</v>
      </c>
      <c r="W229" s="114">
        <v>0</v>
      </c>
      <c r="X229" s="115">
        <v>0</v>
      </c>
      <c r="Y229" s="113">
        <v>0</v>
      </c>
      <c r="Z229" s="113">
        <v>-9438.09</v>
      </c>
      <c r="AA229" s="113">
        <v>-4919.12</v>
      </c>
      <c r="AB229" s="113">
        <v>-3498.53</v>
      </c>
      <c r="AC229" s="113">
        <v>-1512.42</v>
      </c>
      <c r="AD229" s="113">
        <v>-1548.14</v>
      </c>
      <c r="AE229" s="113">
        <v>-3388.46</v>
      </c>
      <c r="AF229" s="113">
        <v>-3499.75</v>
      </c>
      <c r="AG229" s="113">
        <v>-10726.62</v>
      </c>
      <c r="AH229" s="113">
        <v>-9183.4699999999993</v>
      </c>
      <c r="AI229" s="113">
        <v>-24135.21</v>
      </c>
      <c r="AJ229" s="113">
        <v>-7602.61</v>
      </c>
      <c r="AK229" s="113">
        <f t="shared" si="13"/>
        <v>-6998.69</v>
      </c>
      <c r="AM229" s="214"/>
    </row>
    <row r="230" spans="1:39" x14ac:dyDescent="0.3">
      <c r="A230" s="109" t="str">
        <f t="shared" si="12"/>
        <v>credit    6666010189  Salary - Blue collar indirect employees</v>
      </c>
      <c r="B230" s="112" t="s">
        <v>305</v>
      </c>
      <c r="C230" s="113">
        <f>IFERROR(VLOOKUP($A230,MTD!$A$13:$D$1048576,3,0),0)</f>
        <v>20873.580000000002</v>
      </c>
      <c r="D230" s="113">
        <f>IFERROR(VLOOKUP($A230,MTD!$A$13:$D$1048576,4,0),0)</f>
        <v>-228680.84</v>
      </c>
      <c r="E230" s="113"/>
      <c r="F230" s="113"/>
      <c r="G230" s="112" t="s">
        <v>305</v>
      </c>
      <c r="H230" s="114">
        <v>0</v>
      </c>
      <c r="I230" s="114">
        <v>0</v>
      </c>
      <c r="J230" s="115">
        <v>0</v>
      </c>
      <c r="K230" s="113">
        <v>0</v>
      </c>
      <c r="P230" s="112" t="s">
        <v>305</v>
      </c>
      <c r="Q230" s="113">
        <f>IFERROR(VLOOKUP($A230,YTD!$A$13:$D$1048576,3,0),0)</f>
        <v>2900.72</v>
      </c>
      <c r="R230" s="113">
        <f>IFERROR(VLOOKUP($A230,YTD!$A$13:$D$1048576,4,0),0)</f>
        <v>-2008804.17</v>
      </c>
      <c r="S230" s="113"/>
      <c r="T230" s="113"/>
      <c r="U230" s="112" t="s">
        <v>305</v>
      </c>
      <c r="V230" s="114">
        <v>0</v>
      </c>
      <c r="W230" s="114">
        <v>0</v>
      </c>
      <c r="X230" s="115">
        <v>0</v>
      </c>
      <c r="Y230" s="113">
        <v>0</v>
      </c>
      <c r="Z230" s="113">
        <v>0</v>
      </c>
      <c r="AA230" s="113">
        <v>0</v>
      </c>
      <c r="AB230" s="113">
        <v>0</v>
      </c>
      <c r="AC230" s="113">
        <v>0</v>
      </c>
      <c r="AD230" s="113">
        <v>0</v>
      </c>
      <c r="AE230" s="113">
        <v>0</v>
      </c>
      <c r="AF230" s="113">
        <v>1432.44</v>
      </c>
      <c r="AG230" s="113">
        <v>0</v>
      </c>
      <c r="AH230" s="113">
        <v>0</v>
      </c>
      <c r="AI230" s="113">
        <v>0</v>
      </c>
      <c r="AJ230" s="113">
        <v>-19405.3</v>
      </c>
      <c r="AK230" s="113">
        <f t="shared" si="13"/>
        <v>20873.580000000002</v>
      </c>
      <c r="AM230" s="214"/>
    </row>
    <row r="231" spans="1:39" x14ac:dyDescent="0.3">
      <c r="A231" s="109" t="str">
        <f t="shared" si="12"/>
        <v>credit    6666010012  Payroll Taxes- Blue Collar Indirect</v>
      </c>
      <c r="B231" s="112" t="s">
        <v>306</v>
      </c>
      <c r="C231" s="113">
        <f>IFERROR(VLOOKUP($A231,MTD!$A$13:$D$1048576,3,0),0)</f>
        <v>-20183.419999999998</v>
      </c>
      <c r="D231" s="116">
        <f>IFERROR(VLOOKUP($A231,MTD!$A$13:$D$1048576,4,0),0)</f>
        <v>0</v>
      </c>
      <c r="E231" s="113"/>
      <c r="F231" s="113"/>
      <c r="G231" s="112" t="s">
        <v>306</v>
      </c>
      <c r="H231" s="114">
        <v>0</v>
      </c>
      <c r="I231" s="114">
        <v>0</v>
      </c>
      <c r="J231" s="115">
        <v>0</v>
      </c>
      <c r="K231" s="113">
        <v>0</v>
      </c>
      <c r="P231" s="112" t="s">
        <v>306</v>
      </c>
      <c r="Q231" s="113">
        <f>IFERROR(VLOOKUP($A231,YTD!$A$13:$D$1048576,3,0),0)</f>
        <v>-227713.33</v>
      </c>
      <c r="R231" s="116">
        <f>IFERROR(VLOOKUP($A231,YTD!$A$13:$D$1048576,4,0),0)</f>
        <v>0</v>
      </c>
      <c r="S231" s="113"/>
      <c r="T231" s="113"/>
      <c r="U231" s="112" t="s">
        <v>306</v>
      </c>
      <c r="V231" s="114">
        <v>0</v>
      </c>
      <c r="W231" s="114">
        <v>0</v>
      </c>
      <c r="X231" s="115">
        <v>0</v>
      </c>
      <c r="Y231" s="113">
        <v>0</v>
      </c>
      <c r="Z231" s="113">
        <v>-21129.29</v>
      </c>
      <c r="AA231" s="113">
        <v>-14723.43</v>
      </c>
      <c r="AB231" s="113">
        <v>-17417.310000000001</v>
      </c>
      <c r="AC231" s="113">
        <v>-14379.91</v>
      </c>
      <c r="AD231" s="113">
        <v>-15789.56</v>
      </c>
      <c r="AE231" s="113">
        <v>-15202.52</v>
      </c>
      <c r="AF231" s="113">
        <v>-16362.57</v>
      </c>
      <c r="AG231" s="113">
        <v>-19109.13</v>
      </c>
      <c r="AH231" s="113">
        <v>-24919.29</v>
      </c>
      <c r="AI231" s="113">
        <v>-27961.97</v>
      </c>
      <c r="AJ231" s="113">
        <v>-20534.93</v>
      </c>
      <c r="AK231" s="113">
        <f t="shared" si="13"/>
        <v>-20183.419999999998</v>
      </c>
      <c r="AM231" s="214"/>
    </row>
    <row r="232" spans="1:39" x14ac:dyDescent="0.3">
      <c r="A232" s="109" t="str">
        <f t="shared" si="12"/>
        <v>credit    6666010226  Staff Leaving Indemnity - Blue Collar In</v>
      </c>
      <c r="B232" s="112" t="s">
        <v>307</v>
      </c>
      <c r="C232" s="113">
        <f>IFERROR(VLOOKUP($A232,MTD!$A$13:$D$1048576,3,0),0)</f>
        <v>-4588.07</v>
      </c>
      <c r="D232" s="116">
        <f>IFERROR(VLOOKUP($A232,MTD!$A$13:$D$1048576,4,0),0)</f>
        <v>0</v>
      </c>
      <c r="E232" s="113"/>
      <c r="F232" s="113"/>
      <c r="G232" s="112" t="s">
        <v>307</v>
      </c>
      <c r="H232" s="114">
        <v>0</v>
      </c>
      <c r="I232" s="114">
        <v>0</v>
      </c>
      <c r="J232" s="115">
        <v>0</v>
      </c>
      <c r="K232" s="113">
        <v>0</v>
      </c>
      <c r="P232" s="112" t="s">
        <v>307</v>
      </c>
      <c r="Q232" s="113">
        <f>IFERROR(VLOOKUP($A232,YTD!$A$13:$D$1048576,3,0),0)</f>
        <v>-49860.1</v>
      </c>
      <c r="R232" s="116">
        <f>IFERROR(VLOOKUP($A232,YTD!$A$13:$D$1048576,4,0),0)</f>
        <v>0</v>
      </c>
      <c r="S232" s="113"/>
      <c r="T232" s="113"/>
      <c r="U232" s="112" t="s">
        <v>307</v>
      </c>
      <c r="V232" s="114">
        <v>0</v>
      </c>
      <c r="W232" s="114">
        <v>0</v>
      </c>
      <c r="X232" s="115">
        <v>0</v>
      </c>
      <c r="Y232" s="113">
        <v>0</v>
      </c>
      <c r="Z232" s="113">
        <v>-6329.02</v>
      </c>
      <c r="AA232" s="113">
        <v>-3889.72</v>
      </c>
      <c r="AB232" s="113">
        <v>-2881.75</v>
      </c>
      <c r="AC232" s="113">
        <v>-3350.89</v>
      </c>
      <c r="AD232" s="113">
        <v>-3356.97</v>
      </c>
      <c r="AE232" s="113">
        <v>-2804.8</v>
      </c>
      <c r="AF232" s="113">
        <v>-2829.53</v>
      </c>
      <c r="AG232" s="113">
        <v>-4862.97</v>
      </c>
      <c r="AH232" s="113">
        <v>-5098.32</v>
      </c>
      <c r="AI232" s="113">
        <v>-5195.04</v>
      </c>
      <c r="AJ232" s="113">
        <v>-4673.0200000000004</v>
      </c>
      <c r="AK232" s="113">
        <f t="shared" si="13"/>
        <v>-4588.07</v>
      </c>
      <c r="AM232" s="214"/>
    </row>
    <row r="233" spans="1:39" x14ac:dyDescent="0.3">
      <c r="A233" s="109" t="str">
        <f t="shared" si="12"/>
        <v>credit    6666010102  Salary-Blue collar indirect employees- A</v>
      </c>
      <c r="B233" s="112" t="s">
        <v>308</v>
      </c>
      <c r="C233" s="113">
        <f>IFERROR(VLOOKUP($A233,MTD!$A$13:$D$1048576,3,0),0)</f>
        <v>-121813.49</v>
      </c>
      <c r="D233" s="116">
        <f>IFERROR(VLOOKUP($A233,MTD!$A$13:$D$1048576,4,0),0)</f>
        <v>0</v>
      </c>
      <c r="E233" s="113"/>
      <c r="F233" s="113"/>
      <c r="G233" s="112" t="s">
        <v>308</v>
      </c>
      <c r="H233" s="114">
        <v>0</v>
      </c>
      <c r="I233" s="114">
        <v>0</v>
      </c>
      <c r="J233" s="115">
        <v>0</v>
      </c>
      <c r="K233" s="113">
        <v>0</v>
      </c>
      <c r="P233" s="112" t="s">
        <v>308</v>
      </c>
      <c r="Q233" s="113">
        <f>IFERROR(VLOOKUP($A233,YTD!$A$13:$D$1048576,3,0),0)</f>
        <v>-1361849.33</v>
      </c>
      <c r="R233" s="116">
        <f>IFERROR(VLOOKUP($A233,YTD!$A$13:$D$1048576,4,0),0)</f>
        <v>0</v>
      </c>
      <c r="S233" s="113"/>
      <c r="T233" s="113"/>
      <c r="U233" s="112" t="s">
        <v>308</v>
      </c>
      <c r="V233" s="114">
        <v>0</v>
      </c>
      <c r="W233" s="114">
        <v>0</v>
      </c>
      <c r="X233" s="115">
        <v>0</v>
      </c>
      <c r="Y233" s="113">
        <v>0</v>
      </c>
      <c r="Z233" s="113">
        <v>-126159.87</v>
      </c>
      <c r="AA233" s="113">
        <v>-86114.5</v>
      </c>
      <c r="AB233" s="113">
        <v>-110133.4</v>
      </c>
      <c r="AC233" s="113">
        <v>-101048.64</v>
      </c>
      <c r="AD233" s="113">
        <v>-76631.86</v>
      </c>
      <c r="AE233" s="113">
        <v>-92670.8</v>
      </c>
      <c r="AF233" s="113">
        <v>-100810.44</v>
      </c>
      <c r="AG233" s="113">
        <v>-108632.83</v>
      </c>
      <c r="AH233" s="113">
        <v>-148582.16</v>
      </c>
      <c r="AI233" s="113">
        <v>-162647.51999999999</v>
      </c>
      <c r="AJ233" s="113">
        <v>-126603.82</v>
      </c>
      <c r="AK233" s="113">
        <f t="shared" si="13"/>
        <v>-121813.49</v>
      </c>
      <c r="AM233" s="214"/>
    </row>
    <row r="234" spans="1:39" x14ac:dyDescent="0.3">
      <c r="A234" s="109" t="str">
        <f t="shared" si="12"/>
        <v>credit*   CS_Indirect Labour</v>
      </c>
      <c r="B234" s="117" t="s">
        <v>218</v>
      </c>
      <c r="C234" s="118">
        <f>IFERROR(VLOOKUP($A234,MTD!$A$13:$D$1048576,3,0),0)</f>
        <v>-135108.62</v>
      </c>
      <c r="D234" s="118">
        <f>IFERROR(VLOOKUP($A234,MTD!$A$13:$D$1048576,4,0),0)</f>
        <v>-228680.84</v>
      </c>
      <c r="E234" s="118"/>
      <c r="F234" s="118"/>
      <c r="G234" s="117" t="s">
        <v>218</v>
      </c>
      <c r="H234" s="119">
        <v>0</v>
      </c>
      <c r="I234" s="119">
        <v>0</v>
      </c>
      <c r="J234" s="120">
        <v>0</v>
      </c>
      <c r="K234" s="118">
        <v>0</v>
      </c>
      <c r="P234" s="117" t="s">
        <v>218</v>
      </c>
      <c r="Q234" s="118">
        <f>IFERROR(VLOOKUP($A234,YTD!$A$13:$D$1048576,3,0),0)</f>
        <v>-1748887.95</v>
      </c>
      <c r="R234" s="118">
        <f>IFERROR(VLOOKUP($A234,YTD!$A$13:$D$1048576,4,0),0)</f>
        <v>-2008804.17</v>
      </c>
      <c r="S234" s="118"/>
      <c r="T234" s="118"/>
      <c r="U234" s="117" t="s">
        <v>218</v>
      </c>
      <c r="V234" s="119">
        <v>0</v>
      </c>
      <c r="W234" s="119">
        <v>0</v>
      </c>
      <c r="X234" s="120">
        <v>0</v>
      </c>
      <c r="Y234" s="118">
        <v>0</v>
      </c>
      <c r="Z234" s="118">
        <v>-165362.45000000001</v>
      </c>
      <c r="AA234" s="118">
        <v>-111225.4</v>
      </c>
      <c r="AB234" s="118">
        <v>-135748.82</v>
      </c>
      <c r="AC234" s="118">
        <v>-121804.67</v>
      </c>
      <c r="AD234" s="118">
        <v>-98971.7</v>
      </c>
      <c r="AE234" s="118">
        <v>-115673.60000000001</v>
      </c>
      <c r="AF234" s="118">
        <v>-123930.88</v>
      </c>
      <c r="AG234" s="118">
        <v>-145590.87</v>
      </c>
      <c r="AH234" s="118">
        <v>-190801.94</v>
      </c>
      <c r="AI234" s="118">
        <v>-223385.5</v>
      </c>
      <c r="AJ234" s="118">
        <v>-181283.5</v>
      </c>
      <c r="AK234" s="118">
        <f t="shared" si="13"/>
        <v>-135108.62</v>
      </c>
      <c r="AM234" s="214"/>
    </row>
    <row r="235" spans="1:39" x14ac:dyDescent="0.3">
      <c r="A235" s="109" t="str">
        <f t="shared" si="12"/>
        <v>credit    6666010196  Payroll Taxes-White Collar Employee</v>
      </c>
      <c r="B235" s="112" t="s">
        <v>309</v>
      </c>
      <c r="C235" s="113">
        <f>IFERROR(VLOOKUP($A235,MTD!$A$13:$D$1048576,3,0),0)</f>
        <v>-10639.43</v>
      </c>
      <c r="D235" s="116">
        <f>IFERROR(VLOOKUP($A235,MTD!$A$13:$D$1048576,4,0),0)</f>
        <v>0</v>
      </c>
      <c r="E235" s="113"/>
      <c r="F235" s="113"/>
      <c r="G235" s="112" t="s">
        <v>309</v>
      </c>
      <c r="H235" s="114">
        <v>0</v>
      </c>
      <c r="I235" s="114">
        <v>0</v>
      </c>
      <c r="J235" s="115">
        <v>0</v>
      </c>
      <c r="K235" s="113">
        <v>0</v>
      </c>
      <c r="P235" s="112" t="s">
        <v>309</v>
      </c>
      <c r="Q235" s="113">
        <f>IFERROR(VLOOKUP($A235,YTD!$A$13:$D$1048576,3,0),0)</f>
        <v>-145354.54</v>
      </c>
      <c r="R235" s="116">
        <f>IFERROR(VLOOKUP($A235,YTD!$A$13:$D$1048576,4,0),0)</f>
        <v>0</v>
      </c>
      <c r="S235" s="113"/>
      <c r="T235" s="113"/>
      <c r="U235" s="112" t="s">
        <v>309</v>
      </c>
      <c r="V235" s="114">
        <v>0</v>
      </c>
      <c r="W235" s="114">
        <v>0</v>
      </c>
      <c r="X235" s="115">
        <v>0</v>
      </c>
      <c r="Y235" s="113">
        <v>0</v>
      </c>
      <c r="Z235" s="113">
        <v>-14002.36</v>
      </c>
      <c r="AA235" s="113">
        <v>-13300.36</v>
      </c>
      <c r="AB235" s="113">
        <v>-14157.92</v>
      </c>
      <c r="AC235" s="113">
        <v>-12606.21</v>
      </c>
      <c r="AD235" s="113">
        <v>-13247.54</v>
      </c>
      <c r="AE235" s="113">
        <v>-12107.72</v>
      </c>
      <c r="AF235" s="113">
        <v>-11361.08</v>
      </c>
      <c r="AG235" s="113">
        <v>-11132.58</v>
      </c>
      <c r="AH235" s="113">
        <v>-11043.58</v>
      </c>
      <c r="AI235" s="113">
        <v>-10949.75</v>
      </c>
      <c r="AJ235" s="113">
        <v>-10806.01</v>
      </c>
      <c r="AK235" s="113">
        <f t="shared" si="13"/>
        <v>-10639.43</v>
      </c>
      <c r="AM235" s="214"/>
    </row>
    <row r="236" spans="1:39" x14ac:dyDescent="0.3">
      <c r="A236" s="109" t="str">
        <f t="shared" si="12"/>
        <v>credit    6666010101  Salary - White collar employees</v>
      </c>
      <c r="B236" s="112" t="s">
        <v>310</v>
      </c>
      <c r="C236" s="113">
        <f>IFERROR(VLOOKUP($A236,MTD!$A$13:$D$1048576,3,0),0)</f>
        <v>-67625.600000000006</v>
      </c>
      <c r="D236" s="113">
        <f>IFERROR(VLOOKUP($A236,MTD!$A$13:$D$1048576,4,0),0)</f>
        <v>-25018.78</v>
      </c>
      <c r="E236" s="113"/>
      <c r="F236" s="113"/>
      <c r="G236" s="112" t="s">
        <v>310</v>
      </c>
      <c r="H236" s="114">
        <v>0</v>
      </c>
      <c r="I236" s="114">
        <v>0</v>
      </c>
      <c r="J236" s="115">
        <v>0</v>
      </c>
      <c r="K236" s="113">
        <v>0</v>
      </c>
      <c r="P236" s="112" t="s">
        <v>310</v>
      </c>
      <c r="Q236" s="113">
        <f>IFERROR(VLOOKUP($A236,YTD!$A$13:$D$1048576,3,0),0)</f>
        <v>-946261.85</v>
      </c>
      <c r="R236" s="113">
        <f>IFERROR(VLOOKUP($A236,YTD!$A$13:$D$1048576,4,0),0)</f>
        <v>-300519.55</v>
      </c>
      <c r="S236" s="113"/>
      <c r="T236" s="113"/>
      <c r="U236" s="112" t="s">
        <v>310</v>
      </c>
      <c r="V236" s="114">
        <v>0</v>
      </c>
      <c r="W236" s="114">
        <v>0</v>
      </c>
      <c r="X236" s="115">
        <v>0</v>
      </c>
      <c r="Y236" s="113">
        <v>0</v>
      </c>
      <c r="Z236" s="113">
        <v>-90200.85</v>
      </c>
      <c r="AA236" s="113">
        <v>-82861</v>
      </c>
      <c r="AB236" s="113">
        <v>-81610.59</v>
      </c>
      <c r="AC236" s="113">
        <v>-124767.63</v>
      </c>
      <c r="AD236" s="113">
        <v>-86808.4</v>
      </c>
      <c r="AE236" s="113">
        <v>-76281.990000000005</v>
      </c>
      <c r="AF236" s="113">
        <v>-70524.06</v>
      </c>
      <c r="AG236" s="113">
        <v>-65966.460000000006</v>
      </c>
      <c r="AH236" s="113">
        <v>-65679.33</v>
      </c>
      <c r="AI236" s="113">
        <v>-69188.160000000003</v>
      </c>
      <c r="AJ236" s="113">
        <v>-64747.78</v>
      </c>
      <c r="AK236" s="113">
        <f t="shared" si="13"/>
        <v>-67625.600000000006</v>
      </c>
      <c r="AM236" s="214"/>
    </row>
    <row r="237" spans="1:39" x14ac:dyDescent="0.3">
      <c r="A237" s="109" t="str">
        <f t="shared" si="12"/>
        <v>credit    6666010199  Salary-White collar employees -Accrued</v>
      </c>
      <c r="B237" s="112" t="s">
        <v>311</v>
      </c>
      <c r="C237" s="113">
        <f>IFERROR(VLOOKUP($A237,MTD!$A$13:$D$1048576,3,0),0)</f>
        <v>-4055.66</v>
      </c>
      <c r="D237" s="116">
        <f>IFERROR(VLOOKUP($A237,MTD!$A$13:$D$1048576,4,0),0)</f>
        <v>0</v>
      </c>
      <c r="E237" s="113"/>
      <c r="F237" s="113"/>
      <c r="G237" s="112" t="s">
        <v>311</v>
      </c>
      <c r="H237" s="114">
        <v>0</v>
      </c>
      <c r="I237" s="114">
        <v>0</v>
      </c>
      <c r="J237" s="115">
        <v>0</v>
      </c>
      <c r="K237" s="113">
        <v>0</v>
      </c>
      <c r="P237" s="112" t="s">
        <v>311</v>
      </c>
      <c r="Q237" s="113">
        <f>IFERROR(VLOOKUP($A237,YTD!$A$13:$D$1048576,3,0),0)</f>
        <v>-3230.47</v>
      </c>
      <c r="R237" s="116">
        <f>IFERROR(VLOOKUP($A237,YTD!$A$13:$D$1048576,4,0),0)</f>
        <v>0</v>
      </c>
      <c r="S237" s="113"/>
      <c r="T237" s="113"/>
      <c r="U237" s="112" t="s">
        <v>311</v>
      </c>
      <c r="V237" s="114">
        <v>0</v>
      </c>
      <c r="W237" s="114">
        <v>0</v>
      </c>
      <c r="X237" s="115">
        <v>0</v>
      </c>
      <c r="Y237" s="113">
        <v>0</v>
      </c>
      <c r="Z237" s="113">
        <v>-21142.97</v>
      </c>
      <c r="AA237" s="113">
        <v>4732.54</v>
      </c>
      <c r="AB237" s="113">
        <v>-6160.17</v>
      </c>
      <c r="AC237" s="113">
        <v>42558.52</v>
      </c>
      <c r="AD237" s="113">
        <v>-4841.6099999999997</v>
      </c>
      <c r="AE237" s="113">
        <v>4503.79</v>
      </c>
      <c r="AF237" s="113">
        <v>-931.3</v>
      </c>
      <c r="AG237" s="113">
        <v>-7094.95</v>
      </c>
      <c r="AH237" s="113">
        <v>-4317.18</v>
      </c>
      <c r="AI237" s="113">
        <v>-2406.9499999999998</v>
      </c>
      <c r="AJ237" s="113">
        <v>-4074.53</v>
      </c>
      <c r="AK237" s="113">
        <f t="shared" si="13"/>
        <v>-4055.66</v>
      </c>
      <c r="AM237" s="214"/>
    </row>
    <row r="238" spans="1:39" x14ac:dyDescent="0.3">
      <c r="A238" s="109" t="str">
        <f t="shared" si="12"/>
        <v>credit    6666010185  Salary&amp;Additional Incentive-White Collar</v>
      </c>
      <c r="B238" s="112" t="s">
        <v>312</v>
      </c>
      <c r="C238" s="113">
        <f>IFERROR(VLOOKUP($A238,MTD!$A$13:$D$1048576,3,0),0)</f>
        <v>237.48</v>
      </c>
      <c r="D238" s="116">
        <f>IFERROR(VLOOKUP($A238,MTD!$A$13:$D$1048576,4,0),0)</f>
        <v>0</v>
      </c>
      <c r="E238" s="113"/>
      <c r="F238" s="113"/>
      <c r="G238" s="112" t="s">
        <v>312</v>
      </c>
      <c r="H238" s="114">
        <v>0</v>
      </c>
      <c r="I238" s="114">
        <v>0</v>
      </c>
      <c r="J238" s="115">
        <v>0</v>
      </c>
      <c r="K238" s="113">
        <v>0</v>
      </c>
      <c r="P238" s="112" t="s">
        <v>312</v>
      </c>
      <c r="Q238" s="113">
        <f>IFERROR(VLOOKUP($A238,YTD!$A$13:$D$1048576,3,0),0)</f>
        <v>7811.03</v>
      </c>
      <c r="R238" s="116">
        <f>IFERROR(VLOOKUP($A238,YTD!$A$13:$D$1048576,4,0),0)</f>
        <v>0</v>
      </c>
      <c r="S238" s="113"/>
      <c r="T238" s="113"/>
      <c r="U238" s="112" t="s">
        <v>312</v>
      </c>
      <c r="V238" s="114">
        <v>0</v>
      </c>
      <c r="W238" s="114">
        <v>0</v>
      </c>
      <c r="X238" s="115">
        <v>0</v>
      </c>
      <c r="Y238" s="113">
        <v>0</v>
      </c>
      <c r="Z238" s="113">
        <v>873.49</v>
      </c>
      <c r="AA238" s="113">
        <v>1296.32</v>
      </c>
      <c r="AB238" s="113">
        <v>1295.77</v>
      </c>
      <c r="AC238" s="113">
        <v>827.59</v>
      </c>
      <c r="AD238" s="113">
        <v>907.4</v>
      </c>
      <c r="AE238" s="113">
        <v>1143.03</v>
      </c>
      <c r="AF238" s="113">
        <v>775.24</v>
      </c>
      <c r="AG238" s="113">
        <v>752.29</v>
      </c>
      <c r="AH238" s="113">
        <v>-789.38</v>
      </c>
      <c r="AI238" s="113">
        <v>247.88</v>
      </c>
      <c r="AJ238" s="113">
        <v>243.92</v>
      </c>
      <c r="AK238" s="113">
        <f t="shared" si="13"/>
        <v>237.48</v>
      </c>
      <c r="AM238" s="214"/>
    </row>
    <row r="239" spans="1:39" x14ac:dyDescent="0.3">
      <c r="A239" s="109" t="str">
        <f t="shared" si="12"/>
        <v>credit    6666010207  Unemployment insurance companies to pay</v>
      </c>
      <c r="B239" s="112" t="s">
        <v>313</v>
      </c>
      <c r="C239" s="113">
        <f>IFERROR(VLOOKUP($A239,MTD!$A$13:$D$1048576,3,0),0)</f>
        <v>-1021.94</v>
      </c>
      <c r="D239" s="116">
        <f>IFERROR(VLOOKUP($A239,MTD!$A$13:$D$1048576,4,0),0)</f>
        <v>0</v>
      </c>
      <c r="E239" s="113"/>
      <c r="F239" s="113"/>
      <c r="G239" s="112" t="s">
        <v>313</v>
      </c>
      <c r="H239" s="114">
        <v>0</v>
      </c>
      <c r="I239" s="114">
        <v>0</v>
      </c>
      <c r="J239" s="115">
        <v>0</v>
      </c>
      <c r="K239" s="113">
        <v>0</v>
      </c>
      <c r="P239" s="112" t="s">
        <v>313</v>
      </c>
      <c r="Q239" s="113">
        <f>IFERROR(VLOOKUP($A239,YTD!$A$13:$D$1048576,3,0),0)</f>
        <v>-13365.92</v>
      </c>
      <c r="R239" s="116">
        <f>IFERROR(VLOOKUP($A239,YTD!$A$13:$D$1048576,4,0),0)</f>
        <v>0</v>
      </c>
      <c r="S239" s="113"/>
      <c r="T239" s="113"/>
      <c r="U239" s="112" t="s">
        <v>313</v>
      </c>
      <c r="V239" s="114">
        <v>0</v>
      </c>
      <c r="W239" s="114">
        <v>0</v>
      </c>
      <c r="X239" s="115">
        <v>0</v>
      </c>
      <c r="Y239" s="113">
        <v>0</v>
      </c>
      <c r="Z239" s="113">
        <v>-1228.17</v>
      </c>
      <c r="AA239" s="113">
        <v>-1201.5899999999999</v>
      </c>
      <c r="AB239" s="113">
        <v>-1224.46</v>
      </c>
      <c r="AC239" s="113">
        <v>-1082.06</v>
      </c>
      <c r="AD239" s="113">
        <v>-1152.7</v>
      </c>
      <c r="AE239" s="113">
        <v>-1166.96</v>
      </c>
      <c r="AF239" s="113">
        <v>-1086.25</v>
      </c>
      <c r="AG239" s="113">
        <v>-1067.68</v>
      </c>
      <c r="AH239" s="113">
        <v>-1049.8</v>
      </c>
      <c r="AI239" s="113">
        <v>-1049.74</v>
      </c>
      <c r="AJ239" s="113">
        <v>-1034.57</v>
      </c>
      <c r="AK239" s="113">
        <f t="shared" si="13"/>
        <v>-1021.94</v>
      </c>
      <c r="AM239" s="214"/>
    </row>
    <row r="240" spans="1:39" x14ac:dyDescent="0.3">
      <c r="A240" s="109" t="str">
        <f t="shared" si="12"/>
        <v>credit    6666010227  Staff Leaving Indemnity - White collar E</v>
      </c>
      <c r="B240" s="112" t="s">
        <v>315</v>
      </c>
      <c r="C240" s="113">
        <f>IFERROR(VLOOKUP($A240,MTD!$A$13:$D$1048576,3,0),0)</f>
        <v>-1498.04</v>
      </c>
      <c r="D240" s="116">
        <f>IFERROR(VLOOKUP($A240,MTD!$A$13:$D$1048576,4,0),0)</f>
        <v>0</v>
      </c>
      <c r="E240" s="113"/>
      <c r="F240" s="113"/>
      <c r="G240" s="112" t="s">
        <v>315</v>
      </c>
      <c r="H240" s="114">
        <v>0</v>
      </c>
      <c r="I240" s="114">
        <v>0</v>
      </c>
      <c r="J240" s="115">
        <v>0</v>
      </c>
      <c r="K240" s="113">
        <v>0</v>
      </c>
      <c r="P240" s="112" t="s">
        <v>315</v>
      </c>
      <c r="Q240" s="113">
        <f>IFERROR(VLOOKUP($A240,YTD!$A$13:$D$1048576,3,0),0)</f>
        <v>-16414.21</v>
      </c>
      <c r="R240" s="116">
        <f>IFERROR(VLOOKUP($A240,YTD!$A$13:$D$1048576,4,0),0)</f>
        <v>0</v>
      </c>
      <c r="S240" s="113"/>
      <c r="T240" s="113"/>
      <c r="U240" s="112" t="s">
        <v>315</v>
      </c>
      <c r="V240" s="114">
        <v>0</v>
      </c>
      <c r="W240" s="114">
        <v>0</v>
      </c>
      <c r="X240" s="115">
        <v>0</v>
      </c>
      <c r="Y240" s="113">
        <v>0</v>
      </c>
      <c r="Z240" s="113">
        <v>11395.63</v>
      </c>
      <c r="AA240" s="113">
        <v>-14242.61</v>
      </c>
      <c r="AB240" s="113">
        <v>-1264.48</v>
      </c>
      <c r="AC240" s="113">
        <v>-1257.72</v>
      </c>
      <c r="AD240" s="113">
        <v>-1277.8900000000001</v>
      </c>
      <c r="AE240" s="113">
        <v>-1215.73</v>
      </c>
      <c r="AF240" s="113">
        <v>-1248.5</v>
      </c>
      <c r="AG240" s="113">
        <v>-1411.99</v>
      </c>
      <c r="AH240" s="113">
        <v>-1430.43</v>
      </c>
      <c r="AI240" s="113">
        <v>-1462.31</v>
      </c>
      <c r="AJ240" s="113">
        <v>-1500.14</v>
      </c>
      <c r="AK240" s="113">
        <f t="shared" si="13"/>
        <v>-1498.04</v>
      </c>
      <c r="AM240" s="214"/>
    </row>
    <row r="241" spans="1:39" x14ac:dyDescent="0.3">
      <c r="A241" s="109" t="str">
        <f t="shared" si="12"/>
        <v>credit*   CS_Fixed Labour</v>
      </c>
      <c r="B241" s="117" t="s">
        <v>219</v>
      </c>
      <c r="C241" s="118">
        <f>IFERROR(VLOOKUP($A241,MTD!$A$13:$D$1048576,3,0),0)</f>
        <v>-84603.19</v>
      </c>
      <c r="D241" s="118">
        <f>IFERROR(VLOOKUP($A241,MTD!$A$13:$D$1048576,4,0),0)</f>
        <v>-25018.78</v>
      </c>
      <c r="E241" s="118"/>
      <c r="F241" s="118"/>
      <c r="G241" s="117" t="s">
        <v>219</v>
      </c>
      <c r="H241" s="119">
        <v>0</v>
      </c>
      <c r="I241" s="119">
        <v>0</v>
      </c>
      <c r="J241" s="120">
        <v>0</v>
      </c>
      <c r="K241" s="118">
        <v>0</v>
      </c>
      <c r="P241" s="117" t="s">
        <v>219</v>
      </c>
      <c r="Q241" s="118">
        <f>IFERROR(VLOOKUP($A241,YTD!$A$13:$D$1048576,3,0),0)</f>
        <v>-1116815.96</v>
      </c>
      <c r="R241" s="118">
        <f>IFERROR(VLOOKUP($A241,YTD!$A$13:$D$1048576,4,0),0)</f>
        <v>-300519.55</v>
      </c>
      <c r="S241" s="118"/>
      <c r="T241" s="118"/>
      <c r="U241" s="117" t="s">
        <v>219</v>
      </c>
      <c r="V241" s="119">
        <v>0</v>
      </c>
      <c r="W241" s="119">
        <v>0</v>
      </c>
      <c r="X241" s="120">
        <v>0</v>
      </c>
      <c r="Y241" s="118">
        <v>0</v>
      </c>
      <c r="Z241" s="118">
        <v>-114305.23</v>
      </c>
      <c r="AA241" s="118">
        <v>-105576.7</v>
      </c>
      <c r="AB241" s="118">
        <v>-103121.85</v>
      </c>
      <c r="AC241" s="118">
        <v>-96327.51</v>
      </c>
      <c r="AD241" s="118">
        <v>-106420.74</v>
      </c>
      <c r="AE241" s="118">
        <v>-85125.58</v>
      </c>
      <c r="AF241" s="118">
        <v>-84375.95</v>
      </c>
      <c r="AG241" s="118">
        <v>-85921.37</v>
      </c>
      <c r="AH241" s="118">
        <v>-84309.7</v>
      </c>
      <c r="AI241" s="118">
        <v>-84809.03</v>
      </c>
      <c r="AJ241" s="118">
        <v>-81919.11</v>
      </c>
      <c r="AK241" s="118">
        <f t="shared" si="13"/>
        <v>-84603.19</v>
      </c>
      <c r="AM241" s="214"/>
    </row>
    <row r="242" spans="1:39" x14ac:dyDescent="0.3">
      <c r="A242" s="109" t="str">
        <f t="shared" si="12"/>
        <v>credit    6666020903  Other materials</v>
      </c>
      <c r="B242" s="112" t="s">
        <v>316</v>
      </c>
      <c r="C242" s="116">
        <f>IFERROR(VLOOKUP($A242,MTD!$A$13:$D$1048576,3,0),0)</f>
        <v>0</v>
      </c>
      <c r="D242" s="116">
        <f>IFERROR(VLOOKUP($A242,MTD!$A$13:$D$1048576,4,0),0)</f>
        <v>0</v>
      </c>
      <c r="E242" s="113"/>
      <c r="F242" s="113"/>
      <c r="G242" s="112" t="s">
        <v>316</v>
      </c>
      <c r="H242" s="114">
        <v>0</v>
      </c>
      <c r="I242" s="114">
        <v>0</v>
      </c>
      <c r="J242" s="115">
        <v>0</v>
      </c>
      <c r="K242" s="113">
        <v>0</v>
      </c>
      <c r="P242" s="112" t="s">
        <v>316</v>
      </c>
      <c r="Q242" s="116">
        <f>IFERROR(VLOOKUP($A242,YTD!$A$13:$D$1048576,3,0),0)</f>
        <v>3.33</v>
      </c>
      <c r="R242" s="116">
        <f>IFERROR(VLOOKUP($A242,YTD!$A$13:$D$1048576,4,0),0)</f>
        <v>0</v>
      </c>
      <c r="S242" s="113"/>
      <c r="T242" s="113"/>
      <c r="U242" s="112" t="s">
        <v>316</v>
      </c>
      <c r="V242" s="114">
        <v>0</v>
      </c>
      <c r="W242" s="114">
        <v>0</v>
      </c>
      <c r="X242" s="115">
        <v>0</v>
      </c>
      <c r="Y242" s="113">
        <v>0</v>
      </c>
      <c r="Z242" s="113">
        <v>0</v>
      </c>
      <c r="AA242" s="113">
        <v>0</v>
      </c>
      <c r="AB242" s="113">
        <v>0</v>
      </c>
      <c r="AC242" s="113">
        <v>0</v>
      </c>
      <c r="AD242" s="113">
        <v>0</v>
      </c>
      <c r="AE242" s="113">
        <v>0</v>
      </c>
      <c r="AF242" s="113">
        <v>0</v>
      </c>
      <c r="AG242" s="113">
        <v>3.33</v>
      </c>
      <c r="AH242" s="113">
        <v>0</v>
      </c>
      <c r="AI242" s="113">
        <v>0</v>
      </c>
      <c r="AJ242" s="113">
        <v>0</v>
      </c>
      <c r="AK242" s="113">
        <f t="shared" si="13"/>
        <v>0</v>
      </c>
      <c r="AM242" s="214"/>
    </row>
    <row r="243" spans="1:39" x14ac:dyDescent="0.3">
      <c r="A243" s="109" t="str">
        <f t="shared" si="12"/>
        <v>credit    6666010302  Medical expenses</v>
      </c>
      <c r="B243" s="112" t="s">
        <v>317</v>
      </c>
      <c r="C243" s="113">
        <f>IFERROR(VLOOKUP($A243,MTD!$A$13:$D$1048576,3,0),0)</f>
        <v>-1070.48</v>
      </c>
      <c r="D243" s="113">
        <f>IFERROR(VLOOKUP($A243,MTD!$A$13:$D$1048576,4,0),0)</f>
        <v>-8296.6299999999992</v>
      </c>
      <c r="E243" s="113"/>
      <c r="F243" s="113"/>
      <c r="G243" s="112" t="s">
        <v>317</v>
      </c>
      <c r="H243" s="114">
        <v>0</v>
      </c>
      <c r="I243" s="114">
        <v>0</v>
      </c>
      <c r="J243" s="115">
        <v>0</v>
      </c>
      <c r="K243" s="113">
        <v>0</v>
      </c>
      <c r="P243" s="112" t="s">
        <v>317</v>
      </c>
      <c r="Q243" s="113">
        <f>IFERROR(VLOOKUP($A243,YTD!$A$13:$D$1048576,3,0),0)</f>
        <v>-35806.14</v>
      </c>
      <c r="R243" s="113">
        <f>IFERROR(VLOOKUP($A243,YTD!$A$13:$D$1048576,4,0),0)</f>
        <v>-99559.56</v>
      </c>
      <c r="S243" s="113"/>
      <c r="T243" s="113"/>
      <c r="U243" s="112" t="s">
        <v>317</v>
      </c>
      <c r="V243" s="114">
        <v>0</v>
      </c>
      <c r="W243" s="114">
        <v>0</v>
      </c>
      <c r="X243" s="115">
        <v>0</v>
      </c>
      <c r="Y243" s="113">
        <v>0</v>
      </c>
      <c r="Z243" s="113">
        <v>-5150.01</v>
      </c>
      <c r="AA243" s="113">
        <v>-4104.8100000000004</v>
      </c>
      <c r="AB243" s="113">
        <v>-2365.17</v>
      </c>
      <c r="AC243" s="113">
        <v>-2529.73</v>
      </c>
      <c r="AD243" s="113">
        <v>-2324.21</v>
      </c>
      <c r="AE243" s="113">
        <v>-1176.31</v>
      </c>
      <c r="AF243" s="113">
        <v>-1938.36</v>
      </c>
      <c r="AG243" s="113">
        <v>-2396.09</v>
      </c>
      <c r="AH243" s="113">
        <v>-7886.63</v>
      </c>
      <c r="AI243" s="113">
        <v>-2370.88</v>
      </c>
      <c r="AJ243" s="113">
        <v>-2493.46</v>
      </c>
      <c r="AK243" s="113">
        <f t="shared" si="13"/>
        <v>-1070.48</v>
      </c>
      <c r="AM243" s="214"/>
    </row>
    <row r="244" spans="1:39" x14ac:dyDescent="0.3">
      <c r="A244" s="109" t="str">
        <f t="shared" si="12"/>
        <v>credit    6666010314  Work uniforms</v>
      </c>
      <c r="B244" s="112" t="s">
        <v>318</v>
      </c>
      <c r="C244" s="113">
        <f>IFERROR(VLOOKUP($A244,MTD!$A$13:$D$1048576,3,0),0)</f>
        <v>-1841.71</v>
      </c>
      <c r="D244" s="113">
        <f>IFERROR(VLOOKUP($A244,MTD!$A$13:$D$1048576,4,0),0)</f>
        <v>-34917.879999999997</v>
      </c>
      <c r="E244" s="113"/>
      <c r="F244" s="113"/>
      <c r="G244" s="112" t="s">
        <v>318</v>
      </c>
      <c r="H244" s="114">
        <v>0</v>
      </c>
      <c r="I244" s="114">
        <v>0</v>
      </c>
      <c r="J244" s="115">
        <v>0</v>
      </c>
      <c r="K244" s="113">
        <v>0</v>
      </c>
      <c r="P244" s="112" t="s">
        <v>318</v>
      </c>
      <c r="Q244" s="113">
        <f>IFERROR(VLOOKUP($A244,YTD!$A$13:$D$1048576,3,0),0)</f>
        <v>-215930.37</v>
      </c>
      <c r="R244" s="113">
        <f>IFERROR(VLOOKUP($A244,YTD!$A$13:$D$1048576,4,0),0)</f>
        <v>-419014.56</v>
      </c>
      <c r="S244" s="113"/>
      <c r="T244" s="113"/>
      <c r="U244" s="112" t="s">
        <v>318</v>
      </c>
      <c r="V244" s="114">
        <v>0</v>
      </c>
      <c r="W244" s="114">
        <v>0</v>
      </c>
      <c r="X244" s="115">
        <v>0</v>
      </c>
      <c r="Y244" s="113">
        <v>0</v>
      </c>
      <c r="Z244" s="113">
        <v>-23793.09</v>
      </c>
      <c r="AA244" s="113">
        <v>-29574.76</v>
      </c>
      <c r="AB244" s="113">
        <v>-35450.089999999997</v>
      </c>
      <c r="AC244" s="113">
        <v>-22592.49</v>
      </c>
      <c r="AD244" s="113">
        <v>-21754.12</v>
      </c>
      <c r="AE244" s="113">
        <v>428.57</v>
      </c>
      <c r="AF244" s="113">
        <v>-1141.03</v>
      </c>
      <c r="AG244" s="113">
        <v>-174.77</v>
      </c>
      <c r="AH244" s="113">
        <v>-66493.86</v>
      </c>
      <c r="AI244" s="113">
        <v>-14009.17</v>
      </c>
      <c r="AJ244" s="113">
        <v>466.15</v>
      </c>
      <c r="AK244" s="113">
        <f t="shared" si="13"/>
        <v>-1841.71</v>
      </c>
      <c r="AM244" s="214"/>
    </row>
    <row r="245" spans="1:39" x14ac:dyDescent="0.3">
      <c r="A245" s="109" t="str">
        <f t="shared" si="12"/>
        <v>credit    6666020401  local transportation - bus and taxi</v>
      </c>
      <c r="B245" s="112" t="s">
        <v>319</v>
      </c>
      <c r="C245" s="113">
        <f>IFERROR(VLOOKUP($A245,MTD!$A$13:$D$1048576,3,0),0)</f>
        <v>-57201.11</v>
      </c>
      <c r="D245" s="113">
        <f>IFERROR(VLOOKUP($A245,MTD!$A$13:$D$1048576,4,0),0)</f>
        <v>-110222.22</v>
      </c>
      <c r="E245" s="113"/>
      <c r="F245" s="113"/>
      <c r="G245" s="112" t="s">
        <v>319</v>
      </c>
      <c r="H245" s="114">
        <v>0</v>
      </c>
      <c r="I245" s="114">
        <v>0</v>
      </c>
      <c r="J245" s="115">
        <v>0</v>
      </c>
      <c r="K245" s="113">
        <v>0</v>
      </c>
      <c r="P245" s="112" t="s">
        <v>319</v>
      </c>
      <c r="Q245" s="113">
        <f>IFERROR(VLOOKUP($A245,YTD!$A$13:$D$1048576,3,0),0)</f>
        <v>-567469.54</v>
      </c>
      <c r="R245" s="113">
        <f>IFERROR(VLOOKUP($A245,YTD!$A$13:$D$1048576,4,0),0)</f>
        <v>-871485.58</v>
      </c>
      <c r="S245" s="113"/>
      <c r="T245" s="113"/>
      <c r="U245" s="112" t="s">
        <v>319</v>
      </c>
      <c r="V245" s="114">
        <v>0</v>
      </c>
      <c r="W245" s="114">
        <v>0</v>
      </c>
      <c r="X245" s="115">
        <v>0</v>
      </c>
      <c r="Y245" s="113">
        <v>0</v>
      </c>
      <c r="Z245" s="113">
        <v>-56881.75</v>
      </c>
      <c r="AA245" s="113">
        <v>-51775.65</v>
      </c>
      <c r="AB245" s="113">
        <v>-36753.15</v>
      </c>
      <c r="AC245" s="113">
        <v>-35231.919999999998</v>
      </c>
      <c r="AD245" s="113">
        <v>-33297.33</v>
      </c>
      <c r="AE245" s="113">
        <v>-31332.48</v>
      </c>
      <c r="AF245" s="113">
        <v>-38815.1</v>
      </c>
      <c r="AG245" s="113">
        <v>-54376.32</v>
      </c>
      <c r="AH245" s="113">
        <v>-56018.22</v>
      </c>
      <c r="AI245" s="113">
        <v>-59378.93</v>
      </c>
      <c r="AJ245" s="113">
        <v>-56407.58</v>
      </c>
      <c r="AK245" s="113">
        <f t="shared" si="13"/>
        <v>-57201.11</v>
      </c>
      <c r="AM245" s="214"/>
    </row>
    <row r="246" spans="1:39" x14ac:dyDescent="0.3">
      <c r="A246" s="109" t="str">
        <f t="shared" si="12"/>
        <v>credit    6666020502  Working meals</v>
      </c>
      <c r="B246" s="112" t="s">
        <v>321</v>
      </c>
      <c r="C246" s="113">
        <f>IFERROR(VLOOKUP($A246,MTD!$A$13:$D$1048576,3,0),0)</f>
        <v>-56521</v>
      </c>
      <c r="D246" s="113">
        <f>IFERROR(VLOOKUP($A246,MTD!$A$13:$D$1048576,4,0),0)</f>
        <v>-91689.12</v>
      </c>
      <c r="E246" s="113"/>
      <c r="F246" s="113"/>
      <c r="G246" s="112" t="s">
        <v>321</v>
      </c>
      <c r="H246" s="114">
        <v>0</v>
      </c>
      <c r="I246" s="114">
        <v>0</v>
      </c>
      <c r="J246" s="115">
        <v>0</v>
      </c>
      <c r="K246" s="113">
        <v>0</v>
      </c>
      <c r="P246" s="112" t="s">
        <v>321</v>
      </c>
      <c r="Q246" s="113">
        <f>IFERROR(VLOOKUP($A246,YTD!$A$13:$D$1048576,3,0),0)</f>
        <v>-572493.43999999994</v>
      </c>
      <c r="R246" s="113">
        <f>IFERROR(VLOOKUP($A246,YTD!$A$13:$D$1048576,4,0),0)</f>
        <v>-746477.63</v>
      </c>
      <c r="S246" s="113"/>
      <c r="T246" s="113"/>
      <c r="U246" s="112" t="s">
        <v>321</v>
      </c>
      <c r="V246" s="114">
        <v>0</v>
      </c>
      <c r="W246" s="114">
        <v>0</v>
      </c>
      <c r="X246" s="115">
        <v>0</v>
      </c>
      <c r="Y246" s="113">
        <v>0</v>
      </c>
      <c r="Z246" s="113">
        <v>-57504.89</v>
      </c>
      <c r="AA246" s="113">
        <v>-49516.1</v>
      </c>
      <c r="AB246" s="113">
        <v>-41501.68</v>
      </c>
      <c r="AC246" s="113">
        <v>-35853.24</v>
      </c>
      <c r="AD246" s="113">
        <v>-35265.11</v>
      </c>
      <c r="AE246" s="113">
        <v>-29511.09</v>
      </c>
      <c r="AF246" s="113">
        <v>-34743.449999999997</v>
      </c>
      <c r="AG246" s="113">
        <v>-57893.56</v>
      </c>
      <c r="AH246" s="113">
        <v>-59051.78</v>
      </c>
      <c r="AI246" s="113">
        <v>-59962.3</v>
      </c>
      <c r="AJ246" s="113">
        <v>-55169.24</v>
      </c>
      <c r="AK246" s="113">
        <f t="shared" si="13"/>
        <v>-56521</v>
      </c>
      <c r="AM246" s="214"/>
    </row>
    <row r="247" spans="1:39" x14ac:dyDescent="0.3">
      <c r="A247" s="109" t="str">
        <f t="shared" si="12"/>
        <v>credit    6666020503  Office supplies</v>
      </c>
      <c r="B247" s="112" t="s">
        <v>322</v>
      </c>
      <c r="C247" s="113">
        <f>IFERROR(VLOOKUP($A247,MTD!$A$13:$D$1048576,3,0),0)</f>
        <v>2505.88</v>
      </c>
      <c r="D247" s="113">
        <f>IFERROR(VLOOKUP($A247,MTD!$A$13:$D$1048576,4,0),0)</f>
        <v>-2381.59</v>
      </c>
      <c r="E247" s="113"/>
      <c r="F247" s="113"/>
      <c r="G247" s="112" t="s">
        <v>322</v>
      </c>
      <c r="H247" s="114">
        <v>0</v>
      </c>
      <c r="I247" s="114">
        <v>0</v>
      </c>
      <c r="J247" s="115">
        <v>0</v>
      </c>
      <c r="K247" s="113">
        <v>0</v>
      </c>
      <c r="P247" s="112" t="s">
        <v>322</v>
      </c>
      <c r="Q247" s="113">
        <f>IFERROR(VLOOKUP($A247,YTD!$A$13:$D$1048576,3,0),0)</f>
        <v>-8335.7900000000009</v>
      </c>
      <c r="R247" s="113">
        <f>IFERROR(VLOOKUP($A247,YTD!$A$13:$D$1048576,4,0),0)</f>
        <v>-28579.08</v>
      </c>
      <c r="S247" s="113"/>
      <c r="T247" s="113"/>
      <c r="U247" s="112" t="s">
        <v>322</v>
      </c>
      <c r="V247" s="114">
        <v>0</v>
      </c>
      <c r="W247" s="114">
        <v>0</v>
      </c>
      <c r="X247" s="115">
        <v>0</v>
      </c>
      <c r="Y247" s="113">
        <v>0</v>
      </c>
      <c r="Z247" s="113">
        <v>-438.78</v>
      </c>
      <c r="AA247" s="113">
        <v>-1224.53</v>
      </c>
      <c r="AB247" s="113">
        <v>-783.8</v>
      </c>
      <c r="AC247" s="113">
        <v>-1010.28</v>
      </c>
      <c r="AD247" s="113">
        <v>-1005.69</v>
      </c>
      <c r="AE247" s="113">
        <v>-905.88</v>
      </c>
      <c r="AF247" s="113">
        <v>-971.26</v>
      </c>
      <c r="AG247" s="113">
        <v>-504.76</v>
      </c>
      <c r="AH247" s="113">
        <v>-146.79</v>
      </c>
      <c r="AI247" s="113">
        <v>-1868.65</v>
      </c>
      <c r="AJ247" s="113">
        <v>-1981.25</v>
      </c>
      <c r="AK247" s="113">
        <f t="shared" si="13"/>
        <v>2505.88</v>
      </c>
      <c r="AM247" s="214"/>
    </row>
    <row r="248" spans="1:39" x14ac:dyDescent="0.3">
      <c r="A248" s="109" t="str">
        <f t="shared" si="12"/>
        <v>credit    6666021500  Repairs cost</v>
      </c>
      <c r="B248" s="112" t="s">
        <v>323</v>
      </c>
      <c r="C248" s="113">
        <f>IFERROR(VLOOKUP($A248,MTD!$A$13:$D$1048576,3,0),0)</f>
        <v>0</v>
      </c>
      <c r="D248" s="116">
        <f>IFERROR(VLOOKUP($A248,MTD!$A$13:$D$1048576,4,0),0)</f>
        <v>0</v>
      </c>
      <c r="E248" s="113"/>
      <c r="F248" s="113"/>
      <c r="G248" s="112" t="s">
        <v>323</v>
      </c>
      <c r="H248" s="114">
        <v>0</v>
      </c>
      <c r="I248" s="114">
        <v>0</v>
      </c>
      <c r="J248" s="115">
        <v>0</v>
      </c>
      <c r="K248" s="113">
        <v>0</v>
      </c>
      <c r="P248" s="112" t="s">
        <v>323</v>
      </c>
      <c r="Q248" s="113">
        <f>IFERROR(VLOOKUP($A248,YTD!$A$13:$D$1048576,3,0),0)</f>
        <v>-3055.38</v>
      </c>
      <c r="R248" s="116">
        <f>IFERROR(VLOOKUP($A248,YTD!$A$13:$D$1048576,4,0),0)</f>
        <v>0</v>
      </c>
      <c r="S248" s="113"/>
      <c r="T248" s="113"/>
      <c r="U248" s="112" t="s">
        <v>323</v>
      </c>
      <c r="V248" s="114">
        <v>0</v>
      </c>
      <c r="W248" s="114">
        <v>0</v>
      </c>
      <c r="X248" s="115">
        <v>0</v>
      </c>
      <c r="Y248" s="113">
        <v>0</v>
      </c>
      <c r="Z248" s="113">
        <v>-491.29</v>
      </c>
      <c r="AA248" s="113">
        <v>15.07</v>
      </c>
      <c r="AB248" s="113">
        <v>-925.2</v>
      </c>
      <c r="AC248" s="113">
        <v>-64.47</v>
      </c>
      <c r="AD248" s="113">
        <v>-417.74</v>
      </c>
      <c r="AE248" s="113">
        <v>-401.72</v>
      </c>
      <c r="AF248" s="113">
        <v>-404.1</v>
      </c>
      <c r="AG248" s="113">
        <v>-365.93</v>
      </c>
      <c r="AH248" s="113">
        <v>0</v>
      </c>
      <c r="AI248" s="113">
        <v>0</v>
      </c>
      <c r="AJ248" s="113">
        <v>0</v>
      </c>
      <c r="AK248" s="113">
        <f t="shared" si="13"/>
        <v>0</v>
      </c>
      <c r="AM248" s="214"/>
    </row>
    <row r="249" spans="1:39" x14ac:dyDescent="0.3">
      <c r="A249" s="109" t="str">
        <f t="shared" si="12"/>
        <v>credit    6666021502  Repair &amp; Maintain - Building&amp;office</v>
      </c>
      <c r="B249" s="112" t="s">
        <v>324</v>
      </c>
      <c r="C249" s="113">
        <f>IFERROR(VLOOKUP($A249,MTD!$A$13:$D$1048576,3,0),0)</f>
        <v>-14544.11</v>
      </c>
      <c r="D249" s="113">
        <f>IFERROR(VLOOKUP($A249,MTD!$A$13:$D$1048576,4,0),0)</f>
        <v>-48388.84</v>
      </c>
      <c r="E249" s="113"/>
      <c r="F249" s="113"/>
      <c r="G249" s="112" t="s">
        <v>324</v>
      </c>
      <c r="H249" s="114">
        <v>0</v>
      </c>
      <c r="I249" s="114">
        <v>0</v>
      </c>
      <c r="J249" s="115">
        <v>0</v>
      </c>
      <c r="K249" s="113">
        <v>0</v>
      </c>
      <c r="P249" s="112" t="s">
        <v>324</v>
      </c>
      <c r="Q249" s="113">
        <f>IFERROR(VLOOKUP($A249,YTD!$A$13:$D$1048576,3,0),0)</f>
        <v>-105611.94</v>
      </c>
      <c r="R249" s="113">
        <f>IFERROR(VLOOKUP($A249,YTD!$A$13:$D$1048576,4,0),0)</f>
        <v>-580666.07999999996</v>
      </c>
      <c r="S249" s="113"/>
      <c r="T249" s="113"/>
      <c r="U249" s="112" t="s">
        <v>324</v>
      </c>
      <c r="V249" s="114">
        <v>0</v>
      </c>
      <c r="W249" s="114">
        <v>0</v>
      </c>
      <c r="X249" s="115">
        <v>0</v>
      </c>
      <c r="Y249" s="113">
        <v>0</v>
      </c>
      <c r="Z249" s="113">
        <v>-4656.42</v>
      </c>
      <c r="AA249" s="113">
        <v>-26578.59</v>
      </c>
      <c r="AB249" s="113">
        <v>1330.77</v>
      </c>
      <c r="AC249" s="113">
        <v>-35.03</v>
      </c>
      <c r="AD249" s="113">
        <v>-1320.2</v>
      </c>
      <c r="AE249" s="113">
        <v>-5599.34</v>
      </c>
      <c r="AF249" s="113">
        <v>-945.68</v>
      </c>
      <c r="AG249" s="113">
        <v>-2392.92</v>
      </c>
      <c r="AH249" s="113">
        <v>-1736.7</v>
      </c>
      <c r="AI249" s="113">
        <v>-31015.24</v>
      </c>
      <c r="AJ249" s="113">
        <v>-18118.48</v>
      </c>
      <c r="AK249" s="113">
        <f t="shared" si="13"/>
        <v>-14544.11</v>
      </c>
      <c r="AM249" s="214"/>
    </row>
    <row r="250" spans="1:39" x14ac:dyDescent="0.3">
      <c r="A250" s="109" t="str">
        <f t="shared" si="12"/>
        <v>credit    6666021503  Repair &amp; Maintain - Tooling &amp; Equipments</v>
      </c>
      <c r="B250" s="112" t="s">
        <v>325</v>
      </c>
      <c r="C250" s="113">
        <f>IFERROR(VLOOKUP($A250,MTD!$A$13:$D$1048576,3,0),0)</f>
        <v>1136.1199999999999</v>
      </c>
      <c r="D250" s="113">
        <f>IFERROR(VLOOKUP($A250,MTD!$A$13:$D$1048576,4,0),0)</f>
        <v>-9103.7000000000007</v>
      </c>
      <c r="E250" s="113"/>
      <c r="F250" s="113"/>
      <c r="G250" s="112" t="s">
        <v>325</v>
      </c>
      <c r="H250" s="114">
        <v>0</v>
      </c>
      <c r="I250" s="114">
        <v>0</v>
      </c>
      <c r="J250" s="115">
        <v>0</v>
      </c>
      <c r="K250" s="113">
        <v>0</v>
      </c>
      <c r="P250" s="112" t="s">
        <v>325</v>
      </c>
      <c r="Q250" s="113">
        <f>IFERROR(VLOOKUP($A250,YTD!$A$13:$D$1048576,3,0),0)</f>
        <v>-8908.6200000000008</v>
      </c>
      <c r="R250" s="113">
        <f>IFERROR(VLOOKUP($A250,YTD!$A$13:$D$1048576,4,0),0)</f>
        <v>-109244.4</v>
      </c>
      <c r="S250" s="113"/>
      <c r="T250" s="113"/>
      <c r="U250" s="112" t="s">
        <v>325</v>
      </c>
      <c r="V250" s="114">
        <v>0</v>
      </c>
      <c r="W250" s="114">
        <v>0</v>
      </c>
      <c r="X250" s="115">
        <v>0</v>
      </c>
      <c r="Y250" s="113">
        <v>0</v>
      </c>
      <c r="Z250" s="113">
        <v>-312.69</v>
      </c>
      <c r="AA250" s="113">
        <v>-254.46</v>
      </c>
      <c r="AB250" s="113">
        <v>0</v>
      </c>
      <c r="AC250" s="113">
        <v>-25.78</v>
      </c>
      <c r="AD250" s="113">
        <v>-2550</v>
      </c>
      <c r="AE250" s="113">
        <v>-2705.71</v>
      </c>
      <c r="AF250" s="113">
        <v>-3105.19</v>
      </c>
      <c r="AG250" s="113">
        <v>-1783.78</v>
      </c>
      <c r="AH250" s="113">
        <v>-1389.4</v>
      </c>
      <c r="AI250" s="113">
        <v>-41.34</v>
      </c>
      <c r="AJ250" s="113">
        <v>2123.61</v>
      </c>
      <c r="AK250" s="113">
        <f t="shared" si="13"/>
        <v>1136.1199999999999</v>
      </c>
      <c r="AM250" s="214"/>
    </row>
    <row r="251" spans="1:39" x14ac:dyDescent="0.3">
      <c r="A251" s="109" t="str">
        <f t="shared" si="12"/>
        <v>credit    6666021505  Repairs &amp; Maintenance - Vehicles</v>
      </c>
      <c r="B251" s="112" t="s">
        <v>326</v>
      </c>
      <c r="C251" s="113">
        <f>IFERROR(VLOOKUP($A251,MTD!$A$13:$D$1048576,3,0),0)</f>
        <v>-2226.46</v>
      </c>
      <c r="D251" s="116">
        <f>IFERROR(VLOOKUP($A251,MTD!$A$13:$D$1048576,4,0),0)</f>
        <v>0</v>
      </c>
      <c r="E251" s="113"/>
      <c r="F251" s="113"/>
      <c r="G251" s="112" t="s">
        <v>326</v>
      </c>
      <c r="H251" s="114">
        <v>0</v>
      </c>
      <c r="I251" s="114">
        <v>0</v>
      </c>
      <c r="J251" s="115">
        <v>0</v>
      </c>
      <c r="K251" s="113">
        <v>0</v>
      </c>
      <c r="P251" s="112" t="s">
        <v>326</v>
      </c>
      <c r="Q251" s="113">
        <f>IFERROR(VLOOKUP($A251,YTD!$A$13:$D$1048576,3,0),0)</f>
        <v>-2681.71</v>
      </c>
      <c r="R251" s="116">
        <f>IFERROR(VLOOKUP($A251,YTD!$A$13:$D$1048576,4,0),0)</f>
        <v>0</v>
      </c>
      <c r="S251" s="113"/>
      <c r="T251" s="113"/>
      <c r="U251" s="112" t="s">
        <v>326</v>
      </c>
      <c r="V251" s="114">
        <v>0</v>
      </c>
      <c r="W251" s="114">
        <v>0</v>
      </c>
      <c r="X251" s="115">
        <v>0</v>
      </c>
      <c r="Y251" s="113">
        <v>0</v>
      </c>
      <c r="Z251" s="113">
        <v>-4.3</v>
      </c>
      <c r="AA251" s="113">
        <v>-435.4</v>
      </c>
      <c r="AB251" s="113">
        <v>0.17</v>
      </c>
      <c r="AC251" s="113">
        <v>17.66</v>
      </c>
      <c r="AD251" s="113">
        <v>0</v>
      </c>
      <c r="AE251" s="113">
        <v>0</v>
      </c>
      <c r="AF251" s="113">
        <v>0</v>
      </c>
      <c r="AG251" s="113">
        <v>0</v>
      </c>
      <c r="AH251" s="113">
        <v>-33.380000000000003</v>
      </c>
      <c r="AI251" s="113">
        <v>0</v>
      </c>
      <c r="AJ251" s="113">
        <v>0</v>
      </c>
      <c r="AK251" s="113">
        <f t="shared" si="13"/>
        <v>-2226.46</v>
      </c>
      <c r="AM251" s="214"/>
    </row>
    <row r="252" spans="1:39" x14ac:dyDescent="0.3">
      <c r="A252" s="109" t="str">
        <f t="shared" si="12"/>
        <v>credit    6666021506  Repairs &amp; Maintenance - Plant &amp; Machiner</v>
      </c>
      <c r="B252" s="112" t="s">
        <v>327</v>
      </c>
      <c r="C252" s="113">
        <f>IFERROR(VLOOKUP($A252,MTD!$A$13:$D$1048576,3,0),0)</f>
        <v>-7970.66</v>
      </c>
      <c r="D252" s="113">
        <f>IFERROR(VLOOKUP($A252,MTD!$A$13:$D$1048576,4,0),0)</f>
        <v>-25008.68</v>
      </c>
      <c r="E252" s="113"/>
      <c r="F252" s="113"/>
      <c r="G252" s="112" t="s">
        <v>327</v>
      </c>
      <c r="H252" s="114">
        <v>0</v>
      </c>
      <c r="I252" s="114">
        <v>0</v>
      </c>
      <c r="J252" s="115">
        <v>0</v>
      </c>
      <c r="K252" s="113">
        <v>0</v>
      </c>
      <c r="P252" s="112" t="s">
        <v>327</v>
      </c>
      <c r="Q252" s="113">
        <f>IFERROR(VLOOKUP($A252,YTD!$A$13:$D$1048576,3,0),0)</f>
        <v>-218275.83</v>
      </c>
      <c r="R252" s="113">
        <f>IFERROR(VLOOKUP($A252,YTD!$A$13:$D$1048576,4,0),0)</f>
        <v>-300104.15999999997</v>
      </c>
      <c r="S252" s="113"/>
      <c r="T252" s="113"/>
      <c r="U252" s="112" t="s">
        <v>327</v>
      </c>
      <c r="V252" s="114">
        <v>0</v>
      </c>
      <c r="W252" s="114">
        <v>0</v>
      </c>
      <c r="X252" s="115">
        <v>0</v>
      </c>
      <c r="Y252" s="113">
        <v>0</v>
      </c>
      <c r="Z252" s="113">
        <v>-56292.4</v>
      </c>
      <c r="AA252" s="113">
        <v>9881.6299999999992</v>
      </c>
      <c r="AB252" s="113">
        <v>-32061.62</v>
      </c>
      <c r="AC252" s="113">
        <v>-29947.83</v>
      </c>
      <c r="AD252" s="113">
        <v>-22626.73</v>
      </c>
      <c r="AE252" s="113">
        <v>-25457.75</v>
      </c>
      <c r="AF252" s="113">
        <v>-16575.060000000001</v>
      </c>
      <c r="AG252" s="113">
        <v>-16269.55</v>
      </c>
      <c r="AH252" s="113">
        <v>-17355.22</v>
      </c>
      <c r="AI252" s="113">
        <v>2377.4</v>
      </c>
      <c r="AJ252" s="113">
        <v>-5978.04</v>
      </c>
      <c r="AK252" s="113">
        <f t="shared" si="13"/>
        <v>-7970.66</v>
      </c>
      <c r="AM252" s="214"/>
    </row>
    <row r="253" spans="1:39" x14ac:dyDescent="0.3">
      <c r="A253" s="109" t="str">
        <f t="shared" si="12"/>
        <v>credit    6666091600  Garbage disposal charge</v>
      </c>
      <c r="B253" s="112" t="s">
        <v>328</v>
      </c>
      <c r="C253" s="113">
        <f>IFERROR(VLOOKUP($A253,MTD!$A$13:$D$1048576,3,0),0)</f>
        <v>-976.87</v>
      </c>
      <c r="D253" s="113">
        <f>IFERROR(VLOOKUP($A253,MTD!$A$13:$D$1048576,4,0),0)</f>
        <v>-454.18</v>
      </c>
      <c r="E253" s="113"/>
      <c r="F253" s="113"/>
      <c r="G253" s="112" t="s">
        <v>328</v>
      </c>
      <c r="H253" s="114">
        <v>0</v>
      </c>
      <c r="I253" s="114">
        <v>0</v>
      </c>
      <c r="J253" s="115">
        <v>0</v>
      </c>
      <c r="K253" s="113">
        <v>0</v>
      </c>
      <c r="P253" s="112" t="s">
        <v>328</v>
      </c>
      <c r="Q253" s="113">
        <f>IFERROR(VLOOKUP($A253,YTD!$A$13:$D$1048576,3,0),0)</f>
        <v>-4676.03</v>
      </c>
      <c r="R253" s="113">
        <f>IFERROR(VLOOKUP($A253,YTD!$A$13:$D$1048576,4,0),0)</f>
        <v>-4979.5600000000004</v>
      </c>
      <c r="S253" s="113"/>
      <c r="T253" s="113"/>
      <c r="U253" s="112" t="s">
        <v>328</v>
      </c>
      <c r="V253" s="114">
        <v>0</v>
      </c>
      <c r="W253" s="114">
        <v>0</v>
      </c>
      <c r="X253" s="115">
        <v>0</v>
      </c>
      <c r="Y253" s="113">
        <v>0</v>
      </c>
      <c r="Z253" s="113">
        <v>-257.5</v>
      </c>
      <c r="AA253" s="113">
        <v>-114.27</v>
      </c>
      <c r="AB253" s="113">
        <v>-480.76</v>
      </c>
      <c r="AC253" s="113">
        <v>-323.86</v>
      </c>
      <c r="AD253" s="113">
        <v>-190.22</v>
      </c>
      <c r="AE253" s="113">
        <v>-90.28</v>
      </c>
      <c r="AF253" s="113">
        <v>-446.65</v>
      </c>
      <c r="AG253" s="113">
        <v>-478.55</v>
      </c>
      <c r="AH253" s="113">
        <v>-153.59</v>
      </c>
      <c r="AI253" s="113">
        <v>-177.35</v>
      </c>
      <c r="AJ253" s="113">
        <v>-986.13</v>
      </c>
      <c r="AK253" s="113">
        <f t="shared" si="13"/>
        <v>-976.87</v>
      </c>
      <c r="AM253" s="214"/>
    </row>
    <row r="254" spans="1:39" x14ac:dyDescent="0.3">
      <c r="A254" s="109" t="str">
        <f t="shared" si="12"/>
        <v>credit*   CS_Semifix</v>
      </c>
      <c r="B254" s="117" t="s">
        <v>220</v>
      </c>
      <c r="C254" s="118">
        <f>IFERROR(VLOOKUP($A254,MTD!$A$13:$D$1048576,3,0),0)</f>
        <v>-138711.1</v>
      </c>
      <c r="D254" s="118">
        <f>IFERROR(VLOOKUP($A254,MTD!$A$13:$D$1048576,4,0),0)</f>
        <v>-330462.84000000003</v>
      </c>
      <c r="E254" s="118"/>
      <c r="F254" s="118"/>
      <c r="G254" s="117" t="s">
        <v>220</v>
      </c>
      <c r="H254" s="119">
        <v>0</v>
      </c>
      <c r="I254" s="119">
        <v>0</v>
      </c>
      <c r="J254" s="120">
        <v>0</v>
      </c>
      <c r="K254" s="118">
        <v>0</v>
      </c>
      <c r="P254" s="117" t="s">
        <v>220</v>
      </c>
      <c r="Q254" s="118">
        <f>IFERROR(VLOOKUP($A254,YTD!$A$13:$D$1048576,3,0),0)</f>
        <v>-1743339.82</v>
      </c>
      <c r="R254" s="118">
        <f>IFERROR(VLOOKUP($A254,YTD!$A$13:$D$1048576,4,0),0)</f>
        <v>-3160110.61</v>
      </c>
      <c r="S254" s="118"/>
      <c r="T254" s="118"/>
      <c r="U254" s="117" t="s">
        <v>220</v>
      </c>
      <c r="V254" s="119">
        <v>0</v>
      </c>
      <c r="W254" s="119">
        <v>0</v>
      </c>
      <c r="X254" s="120">
        <v>0</v>
      </c>
      <c r="Y254" s="118">
        <v>0</v>
      </c>
      <c r="Z254" s="118">
        <v>-205783.12</v>
      </c>
      <c r="AA254" s="118">
        <v>-153681.87</v>
      </c>
      <c r="AB254" s="118">
        <v>-148990.53</v>
      </c>
      <c r="AC254" s="118">
        <v>-127596.97</v>
      </c>
      <c r="AD254" s="118">
        <v>-120751.35</v>
      </c>
      <c r="AE254" s="118">
        <v>-96751.99</v>
      </c>
      <c r="AF254" s="118">
        <v>-99085.88</v>
      </c>
      <c r="AG254" s="118">
        <v>-136632.9</v>
      </c>
      <c r="AH254" s="118">
        <v>-210265.57</v>
      </c>
      <c r="AI254" s="118">
        <v>-166446.46</v>
      </c>
      <c r="AJ254" s="118">
        <v>-138642.07999999999</v>
      </c>
      <c r="AK254" s="118">
        <f t="shared" si="13"/>
        <v>-138711.1</v>
      </c>
      <c r="AM254" s="214"/>
    </row>
    <row r="255" spans="1:39" x14ac:dyDescent="0.3">
      <c r="A255" s="155" t="str">
        <f t="shared" si="12"/>
        <v>credit**  Credit</v>
      </c>
      <c r="B255" s="121" t="s">
        <v>332</v>
      </c>
      <c r="C255" s="122">
        <f>IFERROR(VLOOKUP($A255,MTD!$A$13:$D$1048576,3,0),0)</f>
        <v>-239885.87</v>
      </c>
      <c r="D255" s="122">
        <f>IFERROR(VLOOKUP($A255,MTD!$A$13:$D$1048576,4,0),0)</f>
        <v>-737890.2</v>
      </c>
      <c r="E255" s="122"/>
      <c r="F255" s="122"/>
      <c r="G255" s="121" t="s">
        <v>332</v>
      </c>
      <c r="H255" s="123">
        <v>0</v>
      </c>
      <c r="I255" s="123">
        <v>0</v>
      </c>
      <c r="J255" s="124">
        <v>0</v>
      </c>
      <c r="K255" s="122">
        <v>0</v>
      </c>
      <c r="P255" s="121" t="s">
        <v>332</v>
      </c>
      <c r="Q255" s="122">
        <f>IFERROR(VLOOKUP($A255,YTD!$A$13:$D$1048576,3,0),0)</f>
        <v>-5494154.0800000001</v>
      </c>
      <c r="R255" s="122">
        <f>IFERROR(VLOOKUP($A255,YTD!$A$13:$D$1048576,4,0),0)</f>
        <v>-7392516.3099999996</v>
      </c>
      <c r="S255" s="122"/>
      <c r="T255" s="122"/>
      <c r="U255" s="121" t="s">
        <v>332</v>
      </c>
      <c r="V255" s="123">
        <v>0</v>
      </c>
      <c r="W255" s="123">
        <v>0</v>
      </c>
      <c r="X255" s="124">
        <v>0</v>
      </c>
      <c r="Y255" s="122">
        <v>0</v>
      </c>
      <c r="Z255" s="122">
        <v>-586858.76</v>
      </c>
      <c r="AA255" s="122">
        <v>-469484.03</v>
      </c>
      <c r="AB255" s="122">
        <v>-546350.54</v>
      </c>
      <c r="AC255" s="122">
        <v>-432263.43</v>
      </c>
      <c r="AD255" s="122">
        <v>-477558.43</v>
      </c>
      <c r="AE255" s="122">
        <v>-352106.69</v>
      </c>
      <c r="AF255" s="122">
        <v>-431897.52</v>
      </c>
      <c r="AG255" s="122">
        <v>-411954.23</v>
      </c>
      <c r="AH255" s="122">
        <v>-475130.54</v>
      </c>
      <c r="AI255" s="122">
        <v>-586468.79</v>
      </c>
      <c r="AJ255" s="122">
        <v>-484195.25</v>
      </c>
      <c r="AK255" s="122">
        <f t="shared" si="13"/>
        <v>-239885.87</v>
      </c>
      <c r="AM255" s="214"/>
    </row>
    <row r="256" spans="1:39" x14ac:dyDescent="0.3">
      <c r="A256" s="155" t="str">
        <f t="shared" si="12"/>
        <v>credit*** Over/Underabsorption</v>
      </c>
      <c r="B256" s="126" t="s">
        <v>333</v>
      </c>
      <c r="C256" s="127">
        <f>IFERROR(VLOOKUP($A256,MTD!$A$13:$D$1048576,3,0),0)</f>
        <v>1533989.74</v>
      </c>
      <c r="D256" s="127">
        <f>IFERROR(VLOOKUP($A256,MTD!$A$13:$D$1048576,4,0),0)</f>
        <v>2539191.6</v>
      </c>
      <c r="E256" s="127"/>
      <c r="F256" s="127"/>
      <c r="G256" s="126" t="s">
        <v>333</v>
      </c>
      <c r="H256" s="128">
        <v>0</v>
      </c>
      <c r="I256" s="128">
        <v>0</v>
      </c>
      <c r="J256" s="128">
        <v>0</v>
      </c>
      <c r="K256" s="127">
        <v>0</v>
      </c>
      <c r="P256" s="126" t="s">
        <v>333</v>
      </c>
      <c r="Q256" s="127">
        <f>IFERROR(VLOOKUP($A256,YTD!$A$13:$D$1048576,3,0),0)</f>
        <v>22431798.469999999</v>
      </c>
      <c r="R256" s="127">
        <f>IFERROR(VLOOKUP($A256,YTD!$A$13:$D$1048576,4,0),0)</f>
        <v>23127689.079999998</v>
      </c>
      <c r="S256" s="127"/>
      <c r="T256" s="127"/>
      <c r="U256" s="126" t="s">
        <v>333</v>
      </c>
      <c r="V256" s="128">
        <v>0</v>
      </c>
      <c r="W256" s="128">
        <v>0</v>
      </c>
      <c r="X256" s="128">
        <v>0</v>
      </c>
      <c r="Y256" s="127">
        <v>0</v>
      </c>
      <c r="Z256" s="127">
        <v>2171546.56</v>
      </c>
      <c r="AA256" s="127">
        <v>1676457.48</v>
      </c>
      <c r="AB256" s="127">
        <v>1889831.5</v>
      </c>
      <c r="AC256" s="127">
        <v>1581268.77</v>
      </c>
      <c r="AD256" s="127">
        <v>1795402.32</v>
      </c>
      <c r="AE256" s="127">
        <v>1494777.56</v>
      </c>
      <c r="AF256" s="127">
        <v>1774520.52</v>
      </c>
      <c r="AG256" s="127">
        <v>1790688.52</v>
      </c>
      <c r="AH256" s="127">
        <v>2187908.79</v>
      </c>
      <c r="AI256" s="127">
        <v>2447087.6800000002</v>
      </c>
      <c r="AJ256" s="127">
        <v>2088319.03</v>
      </c>
      <c r="AK256" s="127">
        <f t="shared" si="13"/>
        <v>1533989.74</v>
      </c>
      <c r="AM256" s="214"/>
    </row>
    <row r="257" spans="1:37" x14ac:dyDescent="0.3"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f t="shared" si="13"/>
        <v>0</v>
      </c>
    </row>
    <row r="258" spans="1:37" x14ac:dyDescent="0.3">
      <c r="A258" s="146" t="s">
        <v>334</v>
      </c>
      <c r="B258" s="147" t="s">
        <v>217</v>
      </c>
      <c r="C258" s="160">
        <v>-6842.39</v>
      </c>
      <c r="D258" s="148"/>
      <c r="E258" s="148"/>
      <c r="F258" s="148"/>
      <c r="G258" s="148"/>
      <c r="H258" s="148"/>
      <c r="I258" s="148"/>
      <c r="J258" s="148"/>
      <c r="K258" s="148"/>
      <c r="P258" s="147" t="s">
        <v>217</v>
      </c>
      <c r="Q258" s="187">
        <f>SUM(Z258:AK258)</f>
        <v>-40344.31</v>
      </c>
      <c r="R258" s="148"/>
      <c r="S258" s="148"/>
      <c r="T258" s="148"/>
      <c r="U258" s="148"/>
      <c r="V258" s="148"/>
      <c r="W258" s="148"/>
      <c r="X258" s="148"/>
      <c r="Y258" s="148"/>
      <c r="Z258" s="187">
        <v>-1683.35</v>
      </c>
      <c r="AA258" s="187">
        <v>-3225.5200000000004</v>
      </c>
      <c r="AB258" s="187">
        <v>-2672.6</v>
      </c>
      <c r="AC258" s="187">
        <v>-2167.52</v>
      </c>
      <c r="AD258" s="187">
        <v>-2951.8</v>
      </c>
      <c r="AE258" s="187">
        <v>-900.31</v>
      </c>
      <c r="AF258" s="187">
        <v>-2083.4</v>
      </c>
      <c r="AG258" s="187">
        <v>-3962.44</v>
      </c>
      <c r="AH258" s="187">
        <v>-4880.1899999999996</v>
      </c>
      <c r="AI258" s="187">
        <v>-2650.99</v>
      </c>
      <c r="AJ258" s="187">
        <v>-6323.8</v>
      </c>
      <c r="AK258" s="187">
        <f t="shared" si="13"/>
        <v>-6842.39</v>
      </c>
    </row>
    <row r="259" spans="1:37" x14ac:dyDescent="0.3">
      <c r="A259" s="146" t="s">
        <v>334</v>
      </c>
      <c r="B259" s="147" t="s">
        <v>216</v>
      </c>
      <c r="C259" s="160">
        <v>6842.39</v>
      </c>
      <c r="D259" s="148"/>
      <c r="E259" s="148"/>
      <c r="F259" s="148"/>
      <c r="G259" s="148"/>
      <c r="H259" s="148"/>
      <c r="I259" s="148"/>
      <c r="J259" s="148"/>
      <c r="K259" s="148"/>
      <c r="P259" s="147" t="s">
        <v>216</v>
      </c>
      <c r="Q259" s="187">
        <f t="shared" ref="Q259:Q265" si="14">SUM(Z259:AK259)</f>
        <v>40344.31</v>
      </c>
      <c r="R259" s="148"/>
      <c r="S259" s="148"/>
      <c r="T259" s="148"/>
      <c r="U259" s="148"/>
      <c r="V259" s="148"/>
      <c r="W259" s="148"/>
      <c r="X259" s="148"/>
      <c r="Y259" s="148"/>
      <c r="Z259" s="187">
        <v>1683.35</v>
      </c>
      <c r="AA259" s="187">
        <v>3225.5200000000004</v>
      </c>
      <c r="AB259" s="187">
        <v>2672.6</v>
      </c>
      <c r="AC259" s="187">
        <v>2167.52</v>
      </c>
      <c r="AD259" s="187">
        <v>2951.8</v>
      </c>
      <c r="AE259" s="187">
        <v>900.31</v>
      </c>
      <c r="AF259" s="187">
        <v>2083.4</v>
      </c>
      <c r="AG259" s="187">
        <v>3962.44</v>
      </c>
      <c r="AH259" s="187">
        <v>4880.1899999999996</v>
      </c>
      <c r="AI259" s="187">
        <v>2650.99</v>
      </c>
      <c r="AJ259" s="187">
        <v>6323.8</v>
      </c>
      <c r="AK259" s="187">
        <f t="shared" si="13"/>
        <v>6842.39</v>
      </c>
    </row>
    <row r="260" spans="1:37" x14ac:dyDescent="0.3">
      <c r="A260" s="146" t="s">
        <v>335</v>
      </c>
      <c r="B260" s="147" t="s">
        <v>217</v>
      </c>
      <c r="C260" s="160">
        <v>-1118.6500000000001</v>
      </c>
      <c r="D260" s="148"/>
      <c r="E260" s="148"/>
      <c r="F260" s="148"/>
      <c r="G260" s="148"/>
      <c r="H260" s="148"/>
      <c r="I260" s="148"/>
      <c r="J260" s="148"/>
      <c r="K260" s="148"/>
      <c r="P260" s="147" t="s">
        <v>217</v>
      </c>
      <c r="Q260" s="187">
        <f t="shared" si="14"/>
        <v>-10050.64</v>
      </c>
      <c r="R260" s="148"/>
      <c r="S260" s="148"/>
      <c r="T260" s="148"/>
      <c r="U260" s="148"/>
      <c r="V260" s="148"/>
      <c r="W260" s="148"/>
      <c r="X260" s="148"/>
      <c r="Y260" s="148"/>
      <c r="Z260" s="187">
        <v>-504.96</v>
      </c>
      <c r="AA260" s="187">
        <v>-1583.76</v>
      </c>
      <c r="AB260" s="187">
        <v>-871.09</v>
      </c>
      <c r="AC260" s="187">
        <v>-701</v>
      </c>
      <c r="AD260" s="187">
        <v>-828.63</v>
      </c>
      <c r="AE260" s="187">
        <v>-619.28</v>
      </c>
      <c r="AF260" s="187">
        <v>-694.7</v>
      </c>
      <c r="AG260" s="187">
        <v>-456.13</v>
      </c>
      <c r="AH260" s="187">
        <v>-706.27</v>
      </c>
      <c r="AI260" s="187">
        <v>-470.45</v>
      </c>
      <c r="AJ260" s="187">
        <v>-1495.72</v>
      </c>
      <c r="AK260" s="187">
        <f t="shared" si="13"/>
        <v>-1118.6500000000001</v>
      </c>
    </row>
    <row r="261" spans="1:37" x14ac:dyDescent="0.3">
      <c r="A261" s="146" t="s">
        <v>335</v>
      </c>
      <c r="B261" s="147" t="s">
        <v>216</v>
      </c>
      <c r="C261" s="160">
        <v>1118.6500000000001</v>
      </c>
      <c r="D261" s="148"/>
      <c r="E261" s="148"/>
      <c r="F261" s="148"/>
      <c r="G261" s="148"/>
      <c r="H261" s="148"/>
      <c r="I261" s="148"/>
      <c r="J261" s="148"/>
      <c r="K261" s="148"/>
      <c r="P261" s="147" t="s">
        <v>216</v>
      </c>
      <c r="Q261" s="187">
        <f t="shared" si="14"/>
        <v>10050.64</v>
      </c>
      <c r="R261" s="148"/>
      <c r="S261" s="148"/>
      <c r="T261" s="148"/>
      <c r="U261" s="148"/>
      <c r="V261" s="148"/>
      <c r="W261" s="148"/>
      <c r="X261" s="148"/>
      <c r="Y261" s="148"/>
      <c r="Z261" s="187">
        <v>504.96</v>
      </c>
      <c r="AA261" s="187">
        <v>1583.76</v>
      </c>
      <c r="AB261" s="187">
        <v>871.09</v>
      </c>
      <c r="AC261" s="187">
        <v>701</v>
      </c>
      <c r="AD261" s="187">
        <v>828.63</v>
      </c>
      <c r="AE261" s="187">
        <v>619.28</v>
      </c>
      <c r="AF261" s="187">
        <v>694.7</v>
      </c>
      <c r="AG261" s="187">
        <v>456.13</v>
      </c>
      <c r="AH261" s="187">
        <v>706.27</v>
      </c>
      <c r="AI261" s="187">
        <v>470.45</v>
      </c>
      <c r="AJ261" s="187">
        <v>1495.72</v>
      </c>
      <c r="AK261" s="187">
        <f t="shared" si="13"/>
        <v>1118.6500000000001</v>
      </c>
    </row>
    <row r="262" spans="1:37" x14ac:dyDescent="0.3">
      <c r="A262" s="146" t="s">
        <v>336</v>
      </c>
      <c r="B262" s="147" t="s">
        <v>209</v>
      </c>
      <c r="C262" s="187"/>
      <c r="D262" s="148"/>
      <c r="E262" s="148"/>
      <c r="F262" s="148"/>
      <c r="G262" s="148"/>
      <c r="H262" s="148"/>
      <c r="I262" s="148"/>
      <c r="J262" s="148"/>
      <c r="K262" s="148"/>
      <c r="P262" s="147" t="s">
        <v>209</v>
      </c>
      <c r="Q262" s="187">
        <f t="shared" si="14"/>
        <v>0</v>
      </c>
      <c r="R262" s="148"/>
      <c r="S262" s="148"/>
      <c r="T262" s="148"/>
      <c r="U262" s="148"/>
      <c r="V262" s="148"/>
      <c r="W262" s="148"/>
      <c r="X262" s="148"/>
      <c r="Y262" s="148"/>
      <c r="Z262" s="187">
        <v>0</v>
      </c>
      <c r="AA262" s="187">
        <v>0</v>
      </c>
      <c r="AB262" s="187">
        <v>-25000</v>
      </c>
      <c r="AC262" s="187">
        <v>25000</v>
      </c>
      <c r="AD262" s="187"/>
      <c r="AE262" s="187">
        <v>0</v>
      </c>
      <c r="AF262" s="187">
        <v>0</v>
      </c>
      <c r="AG262" s="187">
        <v>0</v>
      </c>
      <c r="AH262" s="187">
        <v>0</v>
      </c>
      <c r="AI262" s="187">
        <v>0</v>
      </c>
      <c r="AJ262" s="187">
        <v>0</v>
      </c>
      <c r="AK262" s="187">
        <f t="shared" si="13"/>
        <v>0</v>
      </c>
    </row>
    <row r="263" spans="1:37" x14ac:dyDescent="0.3">
      <c r="A263" s="146" t="s">
        <v>336</v>
      </c>
      <c r="B263" s="147" t="s">
        <v>218</v>
      </c>
      <c r="C263" s="187"/>
      <c r="D263" s="148"/>
      <c r="E263" s="148"/>
      <c r="F263" s="148"/>
      <c r="G263" s="148"/>
      <c r="H263" s="148"/>
      <c r="I263" s="148"/>
      <c r="J263" s="148"/>
      <c r="K263" s="148"/>
      <c r="P263" s="147" t="s">
        <v>218</v>
      </c>
      <c r="Q263" s="187">
        <f t="shared" si="14"/>
        <v>0</v>
      </c>
      <c r="R263" s="148"/>
      <c r="S263" s="148"/>
      <c r="T263" s="148"/>
      <c r="U263" s="148"/>
      <c r="V263" s="148"/>
      <c r="W263" s="148"/>
      <c r="X263" s="148"/>
      <c r="Y263" s="148"/>
      <c r="Z263" s="187">
        <v>0</v>
      </c>
      <c r="AA263" s="187">
        <v>0</v>
      </c>
      <c r="AB263" s="187">
        <v>25000</v>
      </c>
      <c r="AC263" s="187">
        <v>-25000</v>
      </c>
      <c r="AD263" s="187"/>
      <c r="AE263" s="187">
        <v>0</v>
      </c>
      <c r="AF263" s="187">
        <v>0</v>
      </c>
      <c r="AG263" s="187">
        <v>0</v>
      </c>
      <c r="AH263" s="187">
        <v>0</v>
      </c>
      <c r="AI263" s="187">
        <v>0</v>
      </c>
      <c r="AJ263" s="187">
        <v>0</v>
      </c>
      <c r="AK263" s="187">
        <f t="shared" si="13"/>
        <v>0</v>
      </c>
    </row>
    <row r="264" spans="1:37" x14ac:dyDescent="0.3">
      <c r="A264" s="146" t="s">
        <v>337</v>
      </c>
      <c r="B264" s="147" t="s">
        <v>214</v>
      </c>
      <c r="C264" s="187"/>
      <c r="D264" s="148"/>
      <c r="E264" s="148"/>
      <c r="F264" s="148"/>
      <c r="G264" s="148"/>
      <c r="H264" s="148"/>
      <c r="I264" s="148"/>
      <c r="J264" s="148"/>
      <c r="K264" s="148"/>
      <c r="P264" s="147" t="s">
        <v>214</v>
      </c>
      <c r="Q264" s="187">
        <f t="shared" si="14"/>
        <v>0</v>
      </c>
      <c r="R264" s="148"/>
      <c r="S264" s="148"/>
      <c r="T264" s="148"/>
      <c r="U264" s="148"/>
      <c r="V264" s="148"/>
      <c r="W264" s="148"/>
      <c r="X264" s="148"/>
      <c r="Y264" s="148"/>
      <c r="Z264" s="187">
        <v>0</v>
      </c>
      <c r="AA264" s="187">
        <v>0</v>
      </c>
      <c r="AB264" s="187">
        <v>0</v>
      </c>
      <c r="AC264" s="187"/>
      <c r="AD264" s="187"/>
      <c r="AE264" s="187">
        <v>-6056.07</v>
      </c>
      <c r="AF264" s="187">
        <v>6056.07</v>
      </c>
      <c r="AG264" s="187">
        <v>0</v>
      </c>
      <c r="AH264" s="187">
        <v>-12689.03</v>
      </c>
      <c r="AI264" s="187">
        <v>12689.03</v>
      </c>
      <c r="AJ264" s="187">
        <v>0</v>
      </c>
      <c r="AK264" s="187">
        <f t="shared" si="13"/>
        <v>0</v>
      </c>
    </row>
    <row r="265" spans="1:37" x14ac:dyDescent="0.3">
      <c r="A265" s="146" t="s">
        <v>337</v>
      </c>
      <c r="B265" s="147" t="s">
        <v>210</v>
      </c>
      <c r="C265" s="187"/>
      <c r="D265" s="148"/>
      <c r="E265" s="148"/>
      <c r="F265" s="148"/>
      <c r="G265" s="148"/>
      <c r="H265" s="148"/>
      <c r="I265" s="148"/>
      <c r="J265" s="148"/>
      <c r="K265" s="148"/>
      <c r="P265" s="147" t="s">
        <v>210</v>
      </c>
      <c r="Q265" s="187">
        <f t="shared" si="14"/>
        <v>0</v>
      </c>
      <c r="R265" s="148"/>
      <c r="S265" s="148"/>
      <c r="T265" s="148"/>
      <c r="U265" s="148"/>
      <c r="V265" s="148"/>
      <c r="W265" s="148"/>
      <c r="X265" s="148"/>
      <c r="Y265" s="148"/>
      <c r="Z265" s="187">
        <v>0</v>
      </c>
      <c r="AA265" s="187">
        <v>0</v>
      </c>
      <c r="AB265" s="187">
        <v>0</v>
      </c>
      <c r="AC265" s="187"/>
      <c r="AD265" s="187"/>
      <c r="AE265" s="187">
        <v>6056.07</v>
      </c>
      <c r="AF265" s="187">
        <v>-6056.07</v>
      </c>
      <c r="AG265" s="187">
        <v>0</v>
      </c>
      <c r="AH265" s="187">
        <v>12689.03</v>
      </c>
      <c r="AI265" s="187">
        <v>-12689.03</v>
      </c>
      <c r="AJ265" s="187">
        <v>0</v>
      </c>
      <c r="AK265" s="187">
        <f t="shared" si="13"/>
        <v>0</v>
      </c>
    </row>
    <row r="268" spans="1:37" x14ac:dyDescent="0.3">
      <c r="B268" s="110" t="s">
        <v>168</v>
      </c>
      <c r="C268" s="110" t="s">
        <v>173</v>
      </c>
      <c r="D268" s="110" t="s">
        <v>170</v>
      </c>
      <c r="E268" s="110" t="s">
        <v>222</v>
      </c>
      <c r="F268" s="110" t="s">
        <v>223</v>
      </c>
      <c r="G268" s="110" t="s">
        <v>168</v>
      </c>
      <c r="H268" s="110" t="s">
        <v>224</v>
      </c>
      <c r="I268" s="110" t="s">
        <v>225</v>
      </c>
      <c r="J268" s="110" t="s">
        <v>222</v>
      </c>
      <c r="K268" s="110" t="s">
        <v>223</v>
      </c>
      <c r="P268" s="110" t="s">
        <v>168</v>
      </c>
      <c r="Q268" s="110" t="s">
        <v>173</v>
      </c>
      <c r="R268" s="110" t="s">
        <v>170</v>
      </c>
      <c r="S268" s="110" t="s">
        <v>222</v>
      </c>
      <c r="T268" s="110" t="s">
        <v>223</v>
      </c>
      <c r="U268" s="110" t="s">
        <v>168</v>
      </c>
      <c r="V268" s="110" t="s">
        <v>224</v>
      </c>
      <c r="W268" s="110" t="s">
        <v>225</v>
      </c>
      <c r="X268" s="110" t="s">
        <v>222</v>
      </c>
      <c r="Y268" s="110" t="s">
        <v>223</v>
      </c>
      <c r="Z268" s="110" t="s">
        <v>173</v>
      </c>
      <c r="AA268" s="110" t="s">
        <v>173</v>
      </c>
      <c r="AB268" s="110" t="s">
        <v>173</v>
      </c>
      <c r="AC268" s="110" t="s">
        <v>173</v>
      </c>
      <c r="AD268" s="110" t="s">
        <v>173</v>
      </c>
      <c r="AE268" s="110" t="s">
        <v>173</v>
      </c>
      <c r="AF268" s="110" t="str">
        <f t="shared" ref="AF268" si="15">C268</f>
        <v>Act. Costs</v>
      </c>
      <c r="AG268" s="110" t="s">
        <v>170</v>
      </c>
      <c r="AH268" s="110" t="s">
        <v>173</v>
      </c>
      <c r="AI268" s="110" t="s">
        <v>173</v>
      </c>
      <c r="AJ268" s="110" t="s">
        <v>173</v>
      </c>
      <c r="AK268" s="110" t="s">
        <v>173</v>
      </c>
    </row>
    <row r="269" spans="1:37" x14ac:dyDescent="0.3">
      <c r="A269" s="109" t="str">
        <f>"debit"&amp;"ovh"&amp;B269</f>
        <v>debitovh    6666110110  Depreciation-Plant &amp; Machinery</v>
      </c>
      <c r="B269" s="112" t="s">
        <v>229</v>
      </c>
      <c r="C269" s="206">
        <f>IFERROR(VLOOKUP($A269,MTD!$A$13:$D$1048576,3,0),0)</f>
        <v>116.59</v>
      </c>
      <c r="D269" s="112">
        <f>IFERROR(VLOOKUP($A269,MTD!$A$13:$D$1048576,4,0),0)</f>
        <v>0</v>
      </c>
      <c r="E269" s="112"/>
      <c r="F269" s="112"/>
      <c r="G269" s="112" t="s">
        <v>229</v>
      </c>
      <c r="H269" s="112">
        <v>0</v>
      </c>
      <c r="I269" s="112">
        <v>0</v>
      </c>
      <c r="J269" s="112">
        <v>0</v>
      </c>
      <c r="K269" s="112">
        <v>0</v>
      </c>
      <c r="P269" s="112" t="s">
        <v>229</v>
      </c>
      <c r="Q269" s="112">
        <f>IFERROR(VLOOKUP($A269,YTD!$A$13:$D$1048576,3,0),0)</f>
        <v>1372.66</v>
      </c>
      <c r="R269" s="112">
        <f>IFERROR(VLOOKUP($A269,YTD!$A$13:$D$1048576,4,0),0)</f>
        <v>0</v>
      </c>
      <c r="S269" s="112">
        <v>0</v>
      </c>
      <c r="T269" s="112">
        <v>0</v>
      </c>
      <c r="U269" s="112" t="s">
        <v>229</v>
      </c>
      <c r="V269" s="112">
        <v>0</v>
      </c>
      <c r="W269" s="112">
        <v>0</v>
      </c>
      <c r="X269" s="112">
        <v>0</v>
      </c>
      <c r="Y269" s="112">
        <v>0</v>
      </c>
      <c r="Z269" s="206">
        <v>116.58</v>
      </c>
      <c r="AA269" s="206">
        <v>105.3</v>
      </c>
      <c r="AB269" s="206">
        <v>116.58</v>
      </c>
      <c r="AC269" s="206">
        <v>112.82</v>
      </c>
      <c r="AD269" s="206">
        <v>116.58</v>
      </c>
      <c r="AE269" s="206">
        <v>112.82</v>
      </c>
      <c r="AF269" s="206">
        <v>116.59</v>
      </c>
      <c r="AG269" s="112">
        <v>116.57</v>
      </c>
      <c r="AH269" s="112">
        <v>112.83</v>
      </c>
      <c r="AI269" s="112">
        <v>116.58</v>
      </c>
      <c r="AJ269" s="112">
        <v>112.82</v>
      </c>
      <c r="AK269" s="112">
        <f t="shared" si="13"/>
        <v>116.59</v>
      </c>
    </row>
    <row r="270" spans="1:37" x14ac:dyDescent="0.3">
      <c r="A270" s="109" t="str">
        <f t="shared" ref="A270:A329" si="16">"debit"&amp;"ovh"&amp;B270</f>
        <v>debitovh    6666110112  Depreciation of Furniture &amp; Fixture</v>
      </c>
      <c r="B270" s="112" t="s">
        <v>230</v>
      </c>
      <c r="C270" s="206">
        <f>IFERROR(VLOOKUP($A270,MTD!$A$13:$D$1048576,3,0),0)</f>
        <v>73.87</v>
      </c>
      <c r="D270" s="112">
        <f>IFERROR(VLOOKUP($A270,MTD!$A$13:$D$1048576,4,0),0)</f>
        <v>0</v>
      </c>
      <c r="E270" s="112"/>
      <c r="F270" s="112"/>
      <c r="G270" s="112" t="s">
        <v>230</v>
      </c>
      <c r="H270" s="112">
        <v>0</v>
      </c>
      <c r="I270" s="112">
        <v>0</v>
      </c>
      <c r="J270" s="112">
        <v>0</v>
      </c>
      <c r="K270" s="112">
        <v>0</v>
      </c>
      <c r="P270" s="112" t="s">
        <v>230</v>
      </c>
      <c r="Q270" s="112">
        <f>IFERROR(VLOOKUP($A270,YTD!$A$13:$D$1048576,3,0),0)</f>
        <v>1356.64</v>
      </c>
      <c r="R270" s="112">
        <f>IFERROR(VLOOKUP($A270,YTD!$A$13:$D$1048576,4,0),0)</f>
        <v>0</v>
      </c>
      <c r="S270" s="112">
        <v>0</v>
      </c>
      <c r="T270" s="112">
        <v>0</v>
      </c>
      <c r="U270" s="112" t="s">
        <v>230</v>
      </c>
      <c r="V270" s="112">
        <v>0</v>
      </c>
      <c r="W270" s="112">
        <v>0</v>
      </c>
      <c r="X270" s="112">
        <v>0</v>
      </c>
      <c r="Y270" s="112">
        <v>0</v>
      </c>
      <c r="Z270" s="206">
        <v>127.24</v>
      </c>
      <c r="AA270" s="206">
        <v>114.91</v>
      </c>
      <c r="AB270" s="206">
        <v>127.25</v>
      </c>
      <c r="AC270" s="206">
        <v>123.14</v>
      </c>
      <c r="AD270" s="206">
        <v>137.19999999999999</v>
      </c>
      <c r="AE270" s="206">
        <v>142.30000000000001</v>
      </c>
      <c r="AF270" s="206">
        <v>146.75</v>
      </c>
      <c r="AG270" s="112">
        <v>146.72999999999999</v>
      </c>
      <c r="AH270" s="112">
        <v>142.31</v>
      </c>
      <c r="AI270" s="112">
        <v>0</v>
      </c>
      <c r="AJ270" s="112">
        <v>74.94</v>
      </c>
      <c r="AK270" s="112">
        <f t="shared" si="13"/>
        <v>73.87</v>
      </c>
    </row>
    <row r="271" spans="1:37" x14ac:dyDescent="0.3">
      <c r="A271" s="109" t="str">
        <f t="shared" si="16"/>
        <v>debitovh    6666110207  Amortization of Software</v>
      </c>
      <c r="B271" s="112" t="s">
        <v>232</v>
      </c>
      <c r="C271" s="206">
        <f>IFERROR(VLOOKUP($A271,MTD!$A$13:$D$1048576,3,0),0)</f>
        <v>2.2599999999999998</v>
      </c>
      <c r="D271" s="112">
        <f>IFERROR(VLOOKUP($A271,MTD!$A$13:$D$1048576,4,0),0)</f>
        <v>0</v>
      </c>
      <c r="E271" s="112"/>
      <c r="F271" s="112"/>
      <c r="G271" s="112" t="s">
        <v>232</v>
      </c>
      <c r="H271" s="112">
        <v>0</v>
      </c>
      <c r="I271" s="112">
        <v>0</v>
      </c>
      <c r="J271" s="112">
        <v>0</v>
      </c>
      <c r="K271" s="112">
        <v>0</v>
      </c>
      <c r="P271" s="112" t="s">
        <v>232</v>
      </c>
      <c r="Q271" s="112">
        <f>IFERROR(VLOOKUP($A271,YTD!$A$13:$D$1048576,3,0),0)</f>
        <v>237.48</v>
      </c>
      <c r="R271" s="112">
        <f>IFERROR(VLOOKUP($A271,YTD!$A$13:$D$1048576,4,0),0)</f>
        <v>0</v>
      </c>
      <c r="S271" s="112"/>
      <c r="T271" s="112"/>
      <c r="U271" s="112" t="s">
        <v>232</v>
      </c>
      <c r="V271" s="112">
        <v>0</v>
      </c>
      <c r="W271" s="112">
        <v>0</v>
      </c>
      <c r="X271" s="112">
        <v>0</v>
      </c>
      <c r="Y271" s="112">
        <v>0</v>
      </c>
      <c r="Z271" s="206">
        <v>111.5</v>
      </c>
      <c r="AA271" s="206">
        <v>100.71</v>
      </c>
      <c r="AB271" s="206">
        <v>5.21</v>
      </c>
      <c r="AC271" s="206">
        <v>2.19</v>
      </c>
      <c r="AD271" s="206">
        <v>2.2599999999999998</v>
      </c>
      <c r="AE271" s="206">
        <v>2.19</v>
      </c>
      <c r="AF271" s="206">
        <v>2.2599999999999998</v>
      </c>
      <c r="AG271" s="112">
        <v>2.2599999999999998</v>
      </c>
      <c r="AH271" s="112">
        <v>2.19</v>
      </c>
      <c r="AI271" s="112">
        <v>2.2599999999999998</v>
      </c>
      <c r="AJ271" s="112">
        <v>2.19</v>
      </c>
      <c r="AK271" s="112">
        <f t="shared" si="13"/>
        <v>2.2599999999999998</v>
      </c>
    </row>
    <row r="272" spans="1:37" x14ac:dyDescent="0.3">
      <c r="A272" s="109" t="str">
        <f t="shared" si="16"/>
        <v>debitovh    6666110506  Amortization-Leasehold Improvement</v>
      </c>
      <c r="B272" s="112" t="s">
        <v>233</v>
      </c>
      <c r="C272" s="206">
        <f>IFERROR(VLOOKUP($A272,MTD!$A$13:$D$1048576,3,0),0)</f>
        <v>119.68</v>
      </c>
      <c r="D272" s="112">
        <f>IFERROR(VLOOKUP($A272,MTD!$A$13:$D$1048576,4,0),0)</f>
        <v>0</v>
      </c>
      <c r="E272" s="112"/>
      <c r="F272" s="112"/>
      <c r="G272" s="112" t="s">
        <v>233</v>
      </c>
      <c r="H272" s="112">
        <v>0</v>
      </c>
      <c r="I272" s="112">
        <v>0</v>
      </c>
      <c r="J272" s="112">
        <v>0</v>
      </c>
      <c r="K272" s="112">
        <v>0</v>
      </c>
      <c r="P272" s="112" t="s">
        <v>233</v>
      </c>
      <c r="Q272" s="112">
        <f>IFERROR(VLOOKUP($A272,YTD!$A$13:$D$1048576,3,0),0)</f>
        <v>1455.03</v>
      </c>
      <c r="R272" s="112">
        <f>IFERROR(VLOOKUP($A272,YTD!$A$13:$D$1048576,4,0),0)</f>
        <v>0</v>
      </c>
      <c r="S272" s="112"/>
      <c r="T272" s="112"/>
      <c r="U272" s="112" t="s">
        <v>233</v>
      </c>
      <c r="V272" s="112">
        <v>0</v>
      </c>
      <c r="W272" s="112">
        <v>0</v>
      </c>
      <c r="X272" s="112">
        <v>0</v>
      </c>
      <c r="Y272" s="112">
        <v>0</v>
      </c>
      <c r="Z272" s="206">
        <v>124.37</v>
      </c>
      <c r="AA272" s="206">
        <v>112.33</v>
      </c>
      <c r="AB272" s="206">
        <v>124.39</v>
      </c>
      <c r="AC272" s="206">
        <v>120.34</v>
      </c>
      <c r="AD272" s="206">
        <v>124.38</v>
      </c>
      <c r="AE272" s="206">
        <v>120.36</v>
      </c>
      <c r="AF272" s="206">
        <v>124.39</v>
      </c>
      <c r="AG272" s="112">
        <v>124.36</v>
      </c>
      <c r="AH272" s="112">
        <v>120.36</v>
      </c>
      <c r="AI272" s="112">
        <v>124.24</v>
      </c>
      <c r="AJ272" s="112">
        <v>115.83</v>
      </c>
      <c r="AK272" s="112">
        <f t="shared" si="13"/>
        <v>119.68</v>
      </c>
    </row>
    <row r="273" spans="1:37" x14ac:dyDescent="0.3">
      <c r="A273" s="109" t="str">
        <f t="shared" si="16"/>
        <v>debitovh*   CS_Depreciation</v>
      </c>
      <c r="B273" s="117" t="s">
        <v>208</v>
      </c>
      <c r="C273" s="207">
        <f>IFERROR(VLOOKUP($A273,MTD!$A$13:$D$1048576,3,0),0)</f>
        <v>312.39999999999998</v>
      </c>
      <c r="D273" s="117">
        <f>IFERROR(VLOOKUP($A273,MTD!$A$13:$D$1048576,4,0),0)</f>
        <v>0</v>
      </c>
      <c r="E273" s="117"/>
      <c r="F273" s="117"/>
      <c r="G273" s="117" t="s">
        <v>208</v>
      </c>
      <c r="H273" s="117">
        <v>0</v>
      </c>
      <c r="I273" s="117">
        <v>0</v>
      </c>
      <c r="J273" s="117">
        <v>0</v>
      </c>
      <c r="K273" s="117">
        <v>0</v>
      </c>
      <c r="P273" s="117" t="s">
        <v>208</v>
      </c>
      <c r="Q273" s="117">
        <f>IFERROR(VLOOKUP($A273,YTD!$A$13:$D$1048576,3,0),0)</f>
        <v>4421.8100000000004</v>
      </c>
      <c r="R273" s="117">
        <f>IFERROR(VLOOKUP($A273,YTD!$A$13:$D$1048576,4,0),0)</f>
        <v>0</v>
      </c>
      <c r="S273" s="117"/>
      <c r="T273" s="117"/>
      <c r="U273" s="117" t="s">
        <v>208</v>
      </c>
      <c r="V273" s="117">
        <v>0</v>
      </c>
      <c r="W273" s="117">
        <v>0</v>
      </c>
      <c r="X273" s="117">
        <v>0</v>
      </c>
      <c r="Y273" s="117">
        <v>0</v>
      </c>
      <c r="Z273" s="207">
        <v>479.69</v>
      </c>
      <c r="AA273" s="207">
        <v>433.25</v>
      </c>
      <c r="AB273" s="207">
        <v>373.43</v>
      </c>
      <c r="AC273" s="207">
        <v>358.49</v>
      </c>
      <c r="AD273" s="207">
        <v>380.42</v>
      </c>
      <c r="AE273" s="207">
        <v>377.67</v>
      </c>
      <c r="AF273" s="207">
        <v>389.99</v>
      </c>
      <c r="AG273" s="117">
        <v>389.92</v>
      </c>
      <c r="AH273" s="117">
        <v>377.69</v>
      </c>
      <c r="AI273" s="117">
        <v>243.08</v>
      </c>
      <c r="AJ273" s="117">
        <v>305.77999999999997</v>
      </c>
      <c r="AK273" s="117">
        <f t="shared" si="13"/>
        <v>312.39999999999998</v>
      </c>
    </row>
    <row r="274" spans="1:37" x14ac:dyDescent="0.3">
      <c r="A274" s="109" t="str">
        <f t="shared" si="16"/>
        <v>debitovh    5102040406  Other revenue-Service/Secondment agreeme</v>
      </c>
      <c r="B274" s="112" t="s">
        <v>240</v>
      </c>
      <c r="C274" s="206">
        <f>IFERROR(VLOOKUP($A274,MTD!$A$13:$D$1048576,3,0),0)</f>
        <v>0</v>
      </c>
      <c r="D274" s="112">
        <f>IFERROR(VLOOKUP($A274,MTD!$A$13:$D$1048576,4,0),0)</f>
        <v>0</v>
      </c>
      <c r="E274" s="112"/>
      <c r="F274" s="112"/>
      <c r="G274" s="112" t="s">
        <v>240</v>
      </c>
      <c r="H274" s="112">
        <v>0</v>
      </c>
      <c r="I274" s="112">
        <v>0</v>
      </c>
      <c r="J274" s="112">
        <v>0</v>
      </c>
      <c r="K274" s="112">
        <v>0</v>
      </c>
      <c r="P274" s="112" t="s">
        <v>240</v>
      </c>
      <c r="Q274" s="112">
        <f>IFERROR(VLOOKUP($A274,YTD!$A$13:$D$1048576,3,0),0)</f>
        <v>2.82</v>
      </c>
      <c r="R274" s="112">
        <f>IFERROR(VLOOKUP($A274,YTD!$A$13:$D$1048576,4,0),0)</f>
        <v>0</v>
      </c>
      <c r="S274" s="112"/>
      <c r="T274" s="112"/>
      <c r="U274" s="112" t="s">
        <v>240</v>
      </c>
      <c r="V274" s="112">
        <v>0</v>
      </c>
      <c r="W274" s="112">
        <v>0</v>
      </c>
      <c r="X274" s="112">
        <v>0</v>
      </c>
      <c r="Y274" s="112">
        <v>0</v>
      </c>
      <c r="Z274" s="206">
        <v>2.82</v>
      </c>
      <c r="AA274" s="206">
        <v>0</v>
      </c>
      <c r="AB274" s="206">
        <v>0</v>
      </c>
      <c r="AC274" s="206">
        <v>0</v>
      </c>
      <c r="AD274" s="206">
        <v>0</v>
      </c>
      <c r="AE274" s="206">
        <v>0</v>
      </c>
      <c r="AF274" s="206">
        <v>0</v>
      </c>
      <c r="AG274" s="112">
        <v>0</v>
      </c>
      <c r="AH274" s="112">
        <v>0</v>
      </c>
      <c r="AI274" s="112">
        <v>0</v>
      </c>
      <c r="AJ274" s="112">
        <v>0</v>
      </c>
      <c r="AK274" s="112">
        <f t="shared" si="13"/>
        <v>0</v>
      </c>
    </row>
    <row r="275" spans="1:37" x14ac:dyDescent="0.3">
      <c r="A275" s="109" t="str">
        <f t="shared" si="16"/>
        <v>debitovh*   CS_Direct Labour</v>
      </c>
      <c r="B275" s="117" t="s">
        <v>209</v>
      </c>
      <c r="C275" s="207">
        <f>IFERROR(VLOOKUP($A275,MTD!$A$13:$D$1048576,3,0),0)</f>
        <v>65.540000000000006</v>
      </c>
      <c r="D275" s="117">
        <f>IFERROR(VLOOKUP($A275,MTD!$A$13:$D$1048576,4,0),0)</f>
        <v>0</v>
      </c>
      <c r="E275" s="117"/>
      <c r="F275" s="117"/>
      <c r="G275" s="117" t="s">
        <v>209</v>
      </c>
      <c r="H275" s="117">
        <v>0</v>
      </c>
      <c r="I275" s="117">
        <v>0</v>
      </c>
      <c r="J275" s="117">
        <v>0</v>
      </c>
      <c r="K275" s="117">
        <v>0</v>
      </c>
      <c r="P275" s="117" t="s">
        <v>209</v>
      </c>
      <c r="Q275" s="117">
        <f>IFERROR(VLOOKUP($A275,YTD!$A$13:$D$1048576,3,0),0)</f>
        <v>265</v>
      </c>
      <c r="R275" s="117">
        <f>IFERROR(VLOOKUP($A275,YTD!$A$13:$D$1048576,4,0),0)</f>
        <v>0</v>
      </c>
      <c r="S275" s="117"/>
      <c r="T275" s="117"/>
      <c r="U275" s="117" t="s">
        <v>209</v>
      </c>
      <c r="V275" s="117">
        <v>0</v>
      </c>
      <c r="W275" s="117">
        <v>0</v>
      </c>
      <c r="X275" s="117">
        <v>0</v>
      </c>
      <c r="Y275" s="117">
        <v>0</v>
      </c>
      <c r="Z275" s="207">
        <v>2.82</v>
      </c>
      <c r="AA275" s="207">
        <v>0</v>
      </c>
      <c r="AB275" s="207">
        <v>0</v>
      </c>
      <c r="AC275" s="207">
        <v>0</v>
      </c>
      <c r="AD275" s="207">
        <v>0</v>
      </c>
      <c r="AE275" s="207">
        <v>0</v>
      </c>
      <c r="AF275" s="207">
        <v>0</v>
      </c>
      <c r="AG275" s="117">
        <v>0</v>
      </c>
      <c r="AH275" s="117">
        <v>65.55</v>
      </c>
      <c r="AI275" s="117">
        <v>65.540000000000006</v>
      </c>
      <c r="AJ275" s="117">
        <v>65.55</v>
      </c>
      <c r="AK275" s="117">
        <f t="shared" si="13"/>
        <v>65.540000000000006</v>
      </c>
    </row>
    <row r="276" spans="1:37" x14ac:dyDescent="0.3">
      <c r="A276" s="109" t="str">
        <f t="shared" si="16"/>
        <v>debitovh    6666029996  Non-deductible expense-travel.</v>
      </c>
      <c r="B276" s="112" t="s">
        <v>247</v>
      </c>
      <c r="C276" s="206">
        <f>IFERROR(VLOOKUP($A276,MTD!$A$13:$D$1048576,3,0),0)</f>
        <v>20.57</v>
      </c>
      <c r="D276" s="112">
        <f>IFERROR(VLOOKUP($A276,MTD!$A$13:$D$1048576,4,0),0)</f>
        <v>0</v>
      </c>
      <c r="E276" s="112"/>
      <c r="F276" s="112"/>
      <c r="G276" s="112" t="s">
        <v>247</v>
      </c>
      <c r="H276" s="112">
        <v>0</v>
      </c>
      <c r="I276" s="112">
        <v>0</v>
      </c>
      <c r="J276" s="112">
        <v>0</v>
      </c>
      <c r="K276" s="112">
        <v>0</v>
      </c>
      <c r="P276" s="112" t="s">
        <v>247</v>
      </c>
      <c r="Q276" s="112">
        <f>IFERROR(VLOOKUP($A276,YTD!$A$13:$D$1048576,3,0),0)</f>
        <v>83.89</v>
      </c>
      <c r="R276" s="112">
        <f>IFERROR(VLOOKUP($A276,YTD!$A$13:$D$1048576,4,0),0)</f>
        <v>0</v>
      </c>
      <c r="S276" s="112"/>
      <c r="T276" s="112"/>
      <c r="U276" s="112" t="s">
        <v>247</v>
      </c>
      <c r="V276" s="112">
        <v>0</v>
      </c>
      <c r="W276" s="112">
        <v>0</v>
      </c>
      <c r="X276" s="112">
        <v>0</v>
      </c>
      <c r="Y276" s="112">
        <v>0</v>
      </c>
      <c r="Z276" s="206">
        <v>7.07</v>
      </c>
      <c r="AA276" s="206">
        <v>6.53</v>
      </c>
      <c r="AB276" s="206">
        <v>6.4</v>
      </c>
      <c r="AC276" s="206">
        <v>-48.74</v>
      </c>
      <c r="AD276" s="206">
        <v>5.38</v>
      </c>
      <c r="AE276" s="206">
        <v>5.49</v>
      </c>
      <c r="AF276" s="206">
        <v>5.5</v>
      </c>
      <c r="AG276" s="112">
        <v>2.65</v>
      </c>
      <c r="AH276" s="112">
        <v>8.33</v>
      </c>
      <c r="AI276" s="335">
        <v>53.03</v>
      </c>
      <c r="AJ276" s="335">
        <v>11.68</v>
      </c>
      <c r="AK276" s="112">
        <f t="shared" si="13"/>
        <v>20.57</v>
      </c>
    </row>
    <row r="277" spans="1:37" x14ac:dyDescent="0.3">
      <c r="A277" s="109" t="str">
        <f t="shared" si="16"/>
        <v>debitovh    6666029700  Service fee recharge</v>
      </c>
      <c r="B277" s="112" t="s">
        <v>248</v>
      </c>
      <c r="C277" s="206">
        <f>IFERROR(VLOOKUP($A277,MTD!$A$13:$D$1048576,3,0),0)</f>
        <v>29792.03</v>
      </c>
      <c r="D277" s="112">
        <f>IFERROR(VLOOKUP($A277,MTD!$A$13:$D$1048576,4,0),0)</f>
        <v>0</v>
      </c>
      <c r="E277" s="112"/>
      <c r="F277" s="112"/>
      <c r="G277" s="112" t="s">
        <v>248</v>
      </c>
      <c r="H277" s="112">
        <v>0</v>
      </c>
      <c r="I277" s="112">
        <v>0</v>
      </c>
      <c r="J277" s="112">
        <v>0</v>
      </c>
      <c r="K277" s="112">
        <v>0</v>
      </c>
      <c r="P277" s="112" t="s">
        <v>248</v>
      </c>
      <c r="Q277" s="112">
        <f>IFERROR(VLOOKUP($A277,YTD!$A$13:$D$1048576,3,0),0)</f>
        <v>517094.31</v>
      </c>
      <c r="R277" s="112">
        <f>IFERROR(VLOOKUP($A277,YTD!$A$13:$D$1048576,4,0),0)</f>
        <v>0</v>
      </c>
      <c r="S277" s="112"/>
      <c r="T277" s="112"/>
      <c r="U277" s="112" t="s">
        <v>248</v>
      </c>
      <c r="V277" s="112">
        <v>0</v>
      </c>
      <c r="W277" s="112">
        <v>0</v>
      </c>
      <c r="X277" s="112">
        <v>0</v>
      </c>
      <c r="Y277" s="112">
        <v>0</v>
      </c>
      <c r="Z277" s="206">
        <v>38524.300000000003</v>
      </c>
      <c r="AA277" s="206">
        <v>76202.16</v>
      </c>
      <c r="AB277" s="206">
        <v>55385.56</v>
      </c>
      <c r="AC277" s="206">
        <v>15532.81</v>
      </c>
      <c r="AD277" s="206">
        <v>44232.77</v>
      </c>
      <c r="AE277" s="206">
        <v>39354.879999999997</v>
      </c>
      <c r="AF277" s="206">
        <v>44291.92</v>
      </c>
      <c r="AG277" s="112">
        <v>33631.339999999997</v>
      </c>
      <c r="AH277" s="112">
        <v>45215.25</v>
      </c>
      <c r="AI277" s="335">
        <v>53030.33</v>
      </c>
      <c r="AJ277" s="335">
        <v>41900.959999999999</v>
      </c>
      <c r="AK277" s="112">
        <f t="shared" si="13"/>
        <v>29792.03</v>
      </c>
    </row>
    <row r="278" spans="1:37" x14ac:dyDescent="0.3">
      <c r="A278" s="109" t="str">
        <f t="shared" si="16"/>
        <v>debitovh    6666010322  fuel allowance</v>
      </c>
      <c r="B278" s="112" t="s">
        <v>249</v>
      </c>
      <c r="C278" s="206">
        <f>IFERROR(VLOOKUP($A278,MTD!$A$13:$D$1048576,3,0),0)</f>
        <v>742.61</v>
      </c>
      <c r="D278" s="112">
        <f>IFERROR(VLOOKUP($A278,MTD!$A$13:$D$1048576,4,0),0)</f>
        <v>0</v>
      </c>
      <c r="E278" s="112"/>
      <c r="F278" s="112"/>
      <c r="G278" s="112" t="s">
        <v>249</v>
      </c>
      <c r="H278" s="112">
        <v>0</v>
      </c>
      <c r="I278" s="112">
        <v>0</v>
      </c>
      <c r="J278" s="112">
        <v>0</v>
      </c>
      <c r="K278" s="112">
        <v>0</v>
      </c>
      <c r="P278" s="112" t="s">
        <v>249</v>
      </c>
      <c r="Q278" s="112">
        <f>IFERROR(VLOOKUP($A278,YTD!$A$13:$D$1048576,3,0),0)</f>
        <v>1855.74</v>
      </c>
      <c r="R278" s="112">
        <f>IFERROR(VLOOKUP($A278,YTD!$A$13:$D$1048576,4,0),0)</f>
        <v>0</v>
      </c>
      <c r="S278" s="112"/>
      <c r="T278" s="112"/>
      <c r="U278" s="112" t="s">
        <v>249</v>
      </c>
      <c r="V278" s="112">
        <v>0</v>
      </c>
      <c r="W278" s="112">
        <v>0</v>
      </c>
      <c r="X278" s="112">
        <v>0</v>
      </c>
      <c r="Y278" s="112">
        <v>0</v>
      </c>
      <c r="Z278" s="206">
        <v>21.69</v>
      </c>
      <c r="AA278" s="206">
        <v>1.31</v>
      </c>
      <c r="AB278" s="206">
        <v>204.83</v>
      </c>
      <c r="AC278" s="206">
        <v>96.1</v>
      </c>
      <c r="AD278" s="206">
        <v>36.69</v>
      </c>
      <c r="AE278" s="206">
        <v>347.88</v>
      </c>
      <c r="AF278" s="206">
        <v>193.11</v>
      </c>
      <c r="AG278" s="112">
        <v>46.83</v>
      </c>
      <c r="AH278" s="112">
        <v>163.72</v>
      </c>
      <c r="AI278" s="335">
        <v>0.04</v>
      </c>
      <c r="AJ278" s="335">
        <v>0.93</v>
      </c>
      <c r="AK278" s="112">
        <f t="shared" si="13"/>
        <v>742.61</v>
      </c>
    </row>
    <row r="279" spans="1:37" x14ac:dyDescent="0.3">
      <c r="A279" s="109" t="str">
        <f t="shared" si="16"/>
        <v>debitovh    6666020495  Non-deductible expense-travel.</v>
      </c>
      <c r="B279" s="112" t="s">
        <v>250</v>
      </c>
      <c r="C279" s="206">
        <f>IFERROR(VLOOKUP($A279,MTD!$A$13:$D$1048576,3,0),0)</f>
        <v>155.24</v>
      </c>
      <c r="D279" s="112">
        <f>IFERROR(VLOOKUP($A279,MTD!$A$13:$D$1048576,4,0),0)</f>
        <v>0</v>
      </c>
      <c r="E279" s="112"/>
      <c r="F279" s="112"/>
      <c r="G279" s="112" t="s">
        <v>250</v>
      </c>
      <c r="H279" s="112">
        <v>0</v>
      </c>
      <c r="I279" s="112">
        <v>0</v>
      </c>
      <c r="J279" s="112">
        <v>0</v>
      </c>
      <c r="K279" s="112">
        <v>0</v>
      </c>
      <c r="P279" s="112" t="s">
        <v>250</v>
      </c>
      <c r="Q279" s="112">
        <f>IFERROR(VLOOKUP($A279,YTD!$A$13:$D$1048576,3,0),0)</f>
        <v>8327.2999999999993</v>
      </c>
      <c r="R279" s="112">
        <f>IFERROR(VLOOKUP($A279,YTD!$A$13:$D$1048576,4,0),0)</f>
        <v>0</v>
      </c>
      <c r="S279" s="112"/>
      <c r="T279" s="112"/>
      <c r="U279" s="112" t="s">
        <v>250</v>
      </c>
      <c r="V279" s="112">
        <v>0</v>
      </c>
      <c r="W279" s="112">
        <v>0</v>
      </c>
      <c r="X279" s="112">
        <v>0</v>
      </c>
      <c r="Y279" s="112">
        <v>0</v>
      </c>
      <c r="Z279" s="206">
        <v>1.1200000000000001</v>
      </c>
      <c r="AA279" s="206">
        <v>8002.69</v>
      </c>
      <c r="AB279" s="206">
        <v>10.58</v>
      </c>
      <c r="AC279" s="206">
        <v>5.07</v>
      </c>
      <c r="AD279" s="206">
        <v>0.86</v>
      </c>
      <c r="AE279" s="206">
        <v>0</v>
      </c>
      <c r="AF279" s="206">
        <v>52.47</v>
      </c>
      <c r="AG279" s="112">
        <v>0.91</v>
      </c>
      <c r="AH279" s="112">
        <v>59.5</v>
      </c>
      <c r="AI279" s="335">
        <v>4.6100000000000003</v>
      </c>
      <c r="AJ279" s="335">
        <v>34.25</v>
      </c>
      <c r="AK279" s="112">
        <f t="shared" si="13"/>
        <v>155.24</v>
      </c>
    </row>
    <row r="280" spans="1:37" x14ac:dyDescent="0.3">
      <c r="A280" s="109" t="str">
        <f t="shared" si="16"/>
        <v>debitovh    5301060000  Other Income-Subsidy income</v>
      </c>
      <c r="B280" s="112" t="s">
        <v>257</v>
      </c>
      <c r="C280" s="206">
        <f>IFERROR(VLOOKUP($A280,MTD!$A$13:$D$1048576,3,0),0)</f>
        <v>0</v>
      </c>
      <c r="D280" s="112"/>
      <c r="E280" s="112"/>
      <c r="F280" s="112"/>
      <c r="G280" s="112" t="s">
        <v>257</v>
      </c>
      <c r="H280" s="112"/>
      <c r="I280" s="112"/>
      <c r="J280" s="112"/>
      <c r="K280" s="112"/>
      <c r="P280" s="112" t="s">
        <v>257</v>
      </c>
      <c r="Q280" s="112">
        <f>IFERROR(VLOOKUP($A280,YTD!$A$13:$D$1048576,3,0),0)</f>
        <v>-26.56</v>
      </c>
      <c r="R280" s="112">
        <f>IFERROR(VLOOKUP($A280,YTD!$A$13:$D$1048576,4,0),0)</f>
        <v>0</v>
      </c>
      <c r="S280" s="112"/>
      <c r="T280" s="112"/>
      <c r="U280" s="112" t="s">
        <v>257</v>
      </c>
      <c r="V280" s="112"/>
      <c r="W280" s="112"/>
      <c r="X280" s="112"/>
      <c r="Y280" s="112"/>
      <c r="Z280" s="206">
        <v>-26.56</v>
      </c>
      <c r="AA280" s="206">
        <v>0</v>
      </c>
      <c r="AB280" s="206">
        <v>0</v>
      </c>
      <c r="AC280" s="206">
        <v>0</v>
      </c>
      <c r="AD280" s="206">
        <v>0</v>
      </c>
      <c r="AE280" s="206">
        <v>0</v>
      </c>
      <c r="AF280" s="206">
        <v>0</v>
      </c>
      <c r="AG280" s="112">
        <v>0</v>
      </c>
      <c r="AH280" s="112">
        <v>0</v>
      </c>
      <c r="AI280" s="335">
        <v>0</v>
      </c>
      <c r="AJ280" s="335">
        <v>0</v>
      </c>
      <c r="AK280" s="112">
        <f t="shared" si="13"/>
        <v>0</v>
      </c>
    </row>
    <row r="281" spans="1:37" x14ac:dyDescent="0.3">
      <c r="A281" s="109" t="str">
        <f t="shared" si="16"/>
        <v>debitovh    5601050000  Non-Operating Expense - Penalty</v>
      </c>
      <c r="B281" s="112" t="s">
        <v>260</v>
      </c>
      <c r="C281" s="206">
        <f>IFERROR(VLOOKUP($A281,MTD!$A$13:$D$1048576,3,0),0)</f>
        <v>0</v>
      </c>
      <c r="D281" s="112"/>
      <c r="E281" s="112"/>
      <c r="F281" s="112"/>
      <c r="G281" s="112" t="s">
        <v>260</v>
      </c>
      <c r="H281" s="112"/>
      <c r="I281" s="112"/>
      <c r="J281" s="112"/>
      <c r="K281" s="112"/>
      <c r="P281" s="112" t="s">
        <v>260</v>
      </c>
      <c r="Q281" s="112">
        <f>IFERROR(VLOOKUP($A281,YTD!$A$13:$D$1048576,3,0),0)</f>
        <v>28.05</v>
      </c>
      <c r="R281" s="112"/>
      <c r="S281" s="112"/>
      <c r="T281" s="112"/>
      <c r="U281" s="112" t="s">
        <v>260</v>
      </c>
      <c r="V281" s="112"/>
      <c r="W281" s="112"/>
      <c r="X281" s="112"/>
      <c r="Y281" s="112"/>
      <c r="Z281" s="206"/>
      <c r="AA281" s="206"/>
      <c r="AB281" s="206">
        <v>0</v>
      </c>
      <c r="AC281" s="206">
        <v>0</v>
      </c>
      <c r="AD281" s="206">
        <v>13.09</v>
      </c>
      <c r="AE281" s="206">
        <v>0</v>
      </c>
      <c r="AF281" s="206">
        <v>0</v>
      </c>
      <c r="AG281" s="112">
        <v>0</v>
      </c>
      <c r="AH281" s="112">
        <v>0</v>
      </c>
      <c r="AI281" s="335">
        <v>0</v>
      </c>
      <c r="AJ281" s="335">
        <v>0</v>
      </c>
      <c r="AK281" s="112">
        <f t="shared" si="13"/>
        <v>0</v>
      </c>
    </row>
    <row r="282" spans="1:37" x14ac:dyDescent="0.3">
      <c r="A282" s="109" t="str">
        <f t="shared" si="16"/>
        <v>debitovh    5601050100  Non-operation Expense-Others</v>
      </c>
      <c r="B282" s="112" t="s">
        <v>261</v>
      </c>
      <c r="C282" s="206">
        <f>IFERROR(VLOOKUP($A282,MTD!$A$13:$D$1048576,3,0),0)</f>
        <v>41.69</v>
      </c>
      <c r="D282" s="112">
        <f>IFERROR(VLOOKUP($A282,MTD!$A$13:$D$1048576,4,0),0)</f>
        <v>0</v>
      </c>
      <c r="E282" s="112"/>
      <c r="F282" s="112"/>
      <c r="G282" s="112" t="s">
        <v>261</v>
      </c>
      <c r="H282" s="112">
        <v>0</v>
      </c>
      <c r="I282" s="112">
        <v>0</v>
      </c>
      <c r="J282" s="112">
        <v>0</v>
      </c>
      <c r="K282" s="112">
        <v>0</v>
      </c>
      <c r="P282" s="112" t="s">
        <v>261</v>
      </c>
      <c r="Q282" s="112">
        <f>IFERROR(VLOOKUP($A282,YTD!$A$13:$D$1048576,3,0),0)</f>
        <v>1326.59</v>
      </c>
      <c r="R282" s="112">
        <f>IFERROR(VLOOKUP($A282,YTD!$A$13:$D$1048576,4,0),0)</f>
        <v>0</v>
      </c>
      <c r="S282" s="112"/>
      <c r="T282" s="112"/>
      <c r="U282" s="112" t="s">
        <v>261</v>
      </c>
      <c r="V282" s="112">
        <v>0</v>
      </c>
      <c r="W282" s="112">
        <v>0</v>
      </c>
      <c r="X282" s="112">
        <v>0</v>
      </c>
      <c r="Y282" s="112">
        <v>0</v>
      </c>
      <c r="Z282" s="206">
        <v>35.090000000000003</v>
      </c>
      <c r="AA282" s="206">
        <v>342.14</v>
      </c>
      <c r="AB282" s="206">
        <v>329.3</v>
      </c>
      <c r="AC282" s="206">
        <v>21.59</v>
      </c>
      <c r="AD282" s="206">
        <v>14.08</v>
      </c>
      <c r="AE282" s="206">
        <v>53.07</v>
      </c>
      <c r="AF282" s="206">
        <v>177.38</v>
      </c>
      <c r="AG282" s="112">
        <v>57.95</v>
      </c>
      <c r="AH282" s="112">
        <v>171.83</v>
      </c>
      <c r="AI282" s="335">
        <v>62.3</v>
      </c>
      <c r="AJ282" s="335">
        <v>20.170000000000002</v>
      </c>
      <c r="AK282" s="112">
        <f t="shared" si="13"/>
        <v>41.69</v>
      </c>
    </row>
    <row r="283" spans="1:37" x14ac:dyDescent="0.3">
      <c r="A283" s="109" t="str">
        <f t="shared" si="16"/>
        <v>debitovh    5601080000  Non-operating expense-VAT non-deductible</v>
      </c>
      <c r="B283" s="112" t="s">
        <v>338</v>
      </c>
      <c r="C283" s="206">
        <f>IFERROR(VLOOKUP($A283,MTD!$A$13:$D$1048576,3,0),0)</f>
        <v>746.93</v>
      </c>
      <c r="D283" s="112">
        <f>IFERROR(VLOOKUP($A283,MTD!$A$13:$D$1048576,4,0),0)</f>
        <v>0</v>
      </c>
      <c r="E283" s="112"/>
      <c r="F283" s="112"/>
      <c r="G283" s="112" t="s">
        <v>338</v>
      </c>
      <c r="H283" s="112">
        <v>0</v>
      </c>
      <c r="I283" s="112">
        <v>0</v>
      </c>
      <c r="J283" s="112">
        <v>0</v>
      </c>
      <c r="K283" s="112">
        <v>0</v>
      </c>
      <c r="P283" s="112" t="s">
        <v>338</v>
      </c>
      <c r="Q283" s="112">
        <f>IFERROR(VLOOKUP($A283,YTD!$A$13:$D$1048576,3,0),0)</f>
        <v>7563.81</v>
      </c>
      <c r="R283" s="112">
        <f>IFERROR(VLOOKUP($A283,YTD!$A$13:$D$1048576,4,0),0)</f>
        <v>0</v>
      </c>
      <c r="S283" s="112"/>
      <c r="T283" s="112"/>
      <c r="U283" s="112" t="s">
        <v>338</v>
      </c>
      <c r="V283" s="112">
        <v>0</v>
      </c>
      <c r="W283" s="112">
        <v>0</v>
      </c>
      <c r="X283" s="112">
        <v>0</v>
      </c>
      <c r="Y283" s="112">
        <v>0</v>
      </c>
      <c r="Z283" s="206">
        <v>5386.1</v>
      </c>
      <c r="AA283" s="206">
        <v>0.06</v>
      </c>
      <c r="AB283" s="206">
        <v>0</v>
      </c>
      <c r="AC283" s="206">
        <v>464.32</v>
      </c>
      <c r="AD283" s="206">
        <v>2.85</v>
      </c>
      <c r="AE283" s="206">
        <v>0</v>
      </c>
      <c r="AF283" s="206">
        <v>198.96</v>
      </c>
      <c r="AG283" s="112">
        <v>18.559999999999999</v>
      </c>
      <c r="AH283" s="112">
        <v>0</v>
      </c>
      <c r="AI283" s="335">
        <v>746.03</v>
      </c>
      <c r="AJ283" s="335">
        <v>0</v>
      </c>
      <c r="AK283" s="112">
        <f t="shared" si="13"/>
        <v>746.93</v>
      </c>
    </row>
    <row r="284" spans="1:37" x14ac:dyDescent="0.3">
      <c r="A284" s="109" t="str">
        <f>"debit"&amp;"ovh"&amp;B284</f>
        <v>debitovh    6666020101  Entertainment</v>
      </c>
      <c r="B284" s="112" t="s">
        <v>262</v>
      </c>
      <c r="C284" s="206">
        <f>IFERROR(VLOOKUP($A284,MTD!$A$13:$D$1048576,3,0),0)</f>
        <v>174.36</v>
      </c>
      <c r="D284" s="112">
        <f>IFERROR(VLOOKUP($A284,MTD!$A$13:$D$1048576,4,0),0)</f>
        <v>0</v>
      </c>
      <c r="E284" s="112"/>
      <c r="F284" s="112"/>
      <c r="G284" s="112" t="s">
        <v>262</v>
      </c>
      <c r="H284" s="112">
        <v>0</v>
      </c>
      <c r="I284" s="112">
        <v>0</v>
      </c>
      <c r="J284" s="112">
        <v>0</v>
      </c>
      <c r="K284" s="112">
        <v>0</v>
      </c>
      <c r="P284" s="112" t="s">
        <v>262</v>
      </c>
      <c r="Q284" s="112">
        <f>IFERROR(VLOOKUP($A284,YTD!$A$13:$D$1048576,3,0),0)</f>
        <v>1001.8</v>
      </c>
      <c r="R284" s="112">
        <f>IFERROR(VLOOKUP($A284,YTD!$A$13:$D$1048576,4,0),0)</f>
        <v>0</v>
      </c>
      <c r="S284" s="112"/>
      <c r="T284" s="112"/>
      <c r="U284" s="112" t="s">
        <v>262</v>
      </c>
      <c r="V284" s="112"/>
      <c r="W284" s="112"/>
      <c r="X284" s="112"/>
      <c r="Y284" s="112"/>
      <c r="Z284" s="206"/>
      <c r="AA284" s="206"/>
      <c r="AB284" s="238">
        <v>-81.55</v>
      </c>
      <c r="AC284" s="206">
        <v>0</v>
      </c>
      <c r="AD284" s="206">
        <v>0</v>
      </c>
      <c r="AE284" s="206">
        <v>216.25</v>
      </c>
      <c r="AF284" s="206">
        <v>31.8</v>
      </c>
      <c r="AG284" s="112">
        <v>0</v>
      </c>
      <c r="AH284" s="112">
        <v>177.99</v>
      </c>
      <c r="AI284" s="335">
        <v>-7.12</v>
      </c>
      <c r="AJ284" s="335">
        <v>490.07</v>
      </c>
      <c r="AK284" s="112">
        <f t="shared" si="13"/>
        <v>174.36</v>
      </c>
    </row>
    <row r="285" spans="1:37" x14ac:dyDescent="0.3">
      <c r="A285" s="109" t="str">
        <f t="shared" si="16"/>
        <v>debitovh    6666020201  Domestic business travel</v>
      </c>
      <c r="B285" s="112" t="s">
        <v>263</v>
      </c>
      <c r="C285" s="206">
        <f>IFERROR(VLOOKUP($A285,MTD!$A$13:$D$1048576,3,0),0)</f>
        <v>122.68</v>
      </c>
      <c r="D285" s="112">
        <f>IFERROR(VLOOKUP($A285,MTD!$A$13:$D$1048576,4,0),0)</f>
        <v>0</v>
      </c>
      <c r="E285" s="112"/>
      <c r="F285" s="112"/>
      <c r="G285" s="112" t="s">
        <v>263</v>
      </c>
      <c r="H285" s="112">
        <v>0</v>
      </c>
      <c r="I285" s="112">
        <v>0</v>
      </c>
      <c r="J285" s="112">
        <v>0</v>
      </c>
      <c r="K285" s="112">
        <v>0</v>
      </c>
      <c r="P285" s="112" t="s">
        <v>263</v>
      </c>
      <c r="Q285" s="112">
        <f>IFERROR(VLOOKUP($A285,YTD!$A$13:$D$1048576,3,0),0)</f>
        <v>1413.79</v>
      </c>
      <c r="R285" s="112">
        <f>IFERROR(VLOOKUP($A285,YTD!$A$13:$D$1048576,4,0),0)</f>
        <v>0</v>
      </c>
      <c r="S285" s="112"/>
      <c r="T285" s="112"/>
      <c r="U285" s="112" t="s">
        <v>263</v>
      </c>
      <c r="V285" s="112">
        <v>0</v>
      </c>
      <c r="W285" s="112">
        <v>0</v>
      </c>
      <c r="X285" s="112">
        <v>0</v>
      </c>
      <c r="Y285" s="112">
        <v>0</v>
      </c>
      <c r="Z285" s="206">
        <v>28.85</v>
      </c>
      <c r="AA285" s="206">
        <v>47.63</v>
      </c>
      <c r="AB285" s="206">
        <v>78.040000000000006</v>
      </c>
      <c r="AC285" s="206">
        <v>223.22</v>
      </c>
      <c r="AD285" s="206">
        <v>28.89</v>
      </c>
      <c r="AE285" s="206">
        <v>209.69</v>
      </c>
      <c r="AF285" s="206">
        <v>204.83</v>
      </c>
      <c r="AG285" s="112">
        <v>71.41</v>
      </c>
      <c r="AH285" s="112">
        <v>53.68</v>
      </c>
      <c r="AI285" s="335">
        <v>281.8</v>
      </c>
      <c r="AJ285" s="335">
        <v>63.07</v>
      </c>
      <c r="AK285" s="112">
        <f t="shared" si="13"/>
        <v>122.68</v>
      </c>
    </row>
    <row r="286" spans="1:37" x14ac:dyDescent="0.3">
      <c r="A286" s="109" t="str">
        <f t="shared" si="16"/>
        <v>debitovh    6666020204  Travel expense pay to agency</v>
      </c>
      <c r="B286" s="112" t="s">
        <v>265</v>
      </c>
      <c r="C286" s="206">
        <f>IFERROR(VLOOKUP($A286,MTD!$A$13:$D$1048576,3,0),0)</f>
        <v>212.75</v>
      </c>
      <c r="D286" s="112">
        <f>IFERROR(VLOOKUP($A286,MTD!$A$13:$D$1048576,4,0),0)</f>
        <v>0</v>
      </c>
      <c r="E286" s="112"/>
      <c r="F286" s="112"/>
      <c r="G286" s="112" t="s">
        <v>265</v>
      </c>
      <c r="H286" s="112">
        <v>0</v>
      </c>
      <c r="I286" s="112">
        <v>0</v>
      </c>
      <c r="J286" s="112">
        <v>0</v>
      </c>
      <c r="K286" s="112">
        <v>0</v>
      </c>
      <c r="P286" s="112" t="s">
        <v>265</v>
      </c>
      <c r="Q286" s="112">
        <f>IFERROR(VLOOKUP($A286,YTD!$A$13:$D$1048576,3,0),0)</f>
        <v>837.65</v>
      </c>
      <c r="R286" s="112">
        <f>IFERROR(VLOOKUP($A286,YTD!$A$13:$D$1048576,4,0),0)</f>
        <v>0</v>
      </c>
      <c r="S286" s="112"/>
      <c r="T286" s="112"/>
      <c r="U286" s="112" t="s">
        <v>265</v>
      </c>
      <c r="V286" s="112">
        <v>0</v>
      </c>
      <c r="W286" s="112">
        <v>0</v>
      </c>
      <c r="X286" s="112">
        <v>0</v>
      </c>
      <c r="Y286" s="112">
        <v>0</v>
      </c>
      <c r="Z286" s="206">
        <v>0</v>
      </c>
      <c r="AA286" s="206">
        <v>0</v>
      </c>
      <c r="AB286" s="206">
        <v>0</v>
      </c>
      <c r="AC286" s="206">
        <v>3.05</v>
      </c>
      <c r="AD286" s="206">
        <v>0</v>
      </c>
      <c r="AE286" s="206">
        <v>0</v>
      </c>
      <c r="AF286" s="206">
        <v>124.99</v>
      </c>
      <c r="AG286" s="112">
        <v>0</v>
      </c>
      <c r="AH286" s="112">
        <v>115.44</v>
      </c>
      <c r="AI286" s="335">
        <v>37.61</v>
      </c>
      <c r="AJ286" s="335">
        <v>343.81</v>
      </c>
      <c r="AK286" s="112">
        <f t="shared" ref="AK286:AK333" si="17">C286</f>
        <v>212.75</v>
      </c>
    </row>
    <row r="287" spans="1:37" x14ac:dyDescent="0.3">
      <c r="A287" s="109" t="str">
        <f t="shared" si="16"/>
        <v>debitovh    6666020301  Staff communication expense</v>
      </c>
      <c r="B287" s="112" t="s">
        <v>267</v>
      </c>
      <c r="C287" s="206">
        <f>IFERROR(VLOOKUP($A287,MTD!$A$13:$D$1048576,3,0),0)</f>
        <v>142.66999999999999</v>
      </c>
      <c r="D287" s="112">
        <f>IFERROR(VLOOKUP($A287,MTD!$A$13:$D$1048576,4,0),0)</f>
        <v>0</v>
      </c>
      <c r="E287" s="112"/>
      <c r="F287" s="112"/>
      <c r="G287" s="112" t="s">
        <v>267</v>
      </c>
      <c r="H287" s="112">
        <v>0</v>
      </c>
      <c r="I287" s="112">
        <v>0</v>
      </c>
      <c r="J287" s="112">
        <v>0</v>
      </c>
      <c r="K287" s="112">
        <v>0</v>
      </c>
      <c r="P287" s="112" t="s">
        <v>267</v>
      </c>
      <c r="Q287" s="112">
        <f>IFERROR(VLOOKUP($A287,YTD!$A$13:$D$1048576,3,0),0)</f>
        <v>1127.17</v>
      </c>
      <c r="R287" s="112">
        <f>IFERROR(VLOOKUP($A287,YTD!$A$13:$D$1048576,4,0),0)</f>
        <v>0</v>
      </c>
      <c r="S287" s="112"/>
      <c r="T287" s="112"/>
      <c r="U287" s="112" t="s">
        <v>267</v>
      </c>
      <c r="V287" s="112">
        <v>0</v>
      </c>
      <c r="W287" s="112">
        <v>0</v>
      </c>
      <c r="X287" s="112">
        <v>0</v>
      </c>
      <c r="Y287" s="112">
        <v>0</v>
      </c>
      <c r="Z287" s="206">
        <v>3.54</v>
      </c>
      <c r="AA287" s="206">
        <v>68.650000000000006</v>
      </c>
      <c r="AB287" s="206">
        <v>184.99</v>
      </c>
      <c r="AC287" s="206">
        <v>114.1</v>
      </c>
      <c r="AD287" s="206">
        <v>86.09</v>
      </c>
      <c r="AE287" s="206">
        <v>84.21</v>
      </c>
      <c r="AF287" s="206">
        <v>94.2</v>
      </c>
      <c r="AG287" s="112">
        <v>25.73</v>
      </c>
      <c r="AH287" s="112">
        <v>88.66</v>
      </c>
      <c r="AI287" s="335">
        <v>309.89</v>
      </c>
      <c r="AJ287" s="335">
        <v>-75.56</v>
      </c>
      <c r="AK287" s="112">
        <f t="shared" si="17"/>
        <v>142.66999999999999</v>
      </c>
    </row>
    <row r="288" spans="1:37" x14ac:dyDescent="0.3">
      <c r="A288" s="109" t="str">
        <f t="shared" si="16"/>
        <v>debitovh    6666020508  Postage</v>
      </c>
      <c r="B288" s="112" t="s">
        <v>273</v>
      </c>
      <c r="C288" s="206">
        <f>IFERROR(VLOOKUP($A288,MTD!$A$13:$D$1048576,3,0),0)</f>
        <v>20.99</v>
      </c>
      <c r="D288" s="112">
        <f>IFERROR(VLOOKUP($A288,MTD!$A$13:$D$1048576,4,0),0)</f>
        <v>0</v>
      </c>
      <c r="E288" s="112"/>
      <c r="F288" s="112"/>
      <c r="G288" s="112" t="s">
        <v>273</v>
      </c>
      <c r="H288" s="112">
        <v>0</v>
      </c>
      <c r="I288" s="112">
        <v>0</v>
      </c>
      <c r="J288" s="112">
        <v>0</v>
      </c>
      <c r="K288" s="112">
        <v>0</v>
      </c>
      <c r="P288" s="112" t="s">
        <v>273</v>
      </c>
      <c r="Q288" s="112">
        <f>IFERROR(VLOOKUP($A288,YTD!$A$13:$D$1048576,3,0),0)</f>
        <v>490.33</v>
      </c>
      <c r="R288" s="112">
        <f>IFERROR(VLOOKUP($A288,YTD!$A$13:$D$1048576,4,0),0)</f>
        <v>0</v>
      </c>
      <c r="S288" s="112"/>
      <c r="T288" s="112"/>
      <c r="U288" s="112" t="s">
        <v>273</v>
      </c>
      <c r="V288" s="112">
        <v>0</v>
      </c>
      <c r="W288" s="112">
        <v>0</v>
      </c>
      <c r="X288" s="112">
        <v>0</v>
      </c>
      <c r="Y288" s="112">
        <v>0</v>
      </c>
      <c r="Z288" s="206">
        <v>15.97</v>
      </c>
      <c r="AA288" s="206">
        <v>2.63</v>
      </c>
      <c r="AB288" s="206">
        <v>6.78</v>
      </c>
      <c r="AC288" s="206">
        <v>12.83</v>
      </c>
      <c r="AD288" s="206">
        <v>11.04</v>
      </c>
      <c r="AE288" s="206">
        <v>2.34</v>
      </c>
      <c r="AF288" s="206">
        <v>6.22</v>
      </c>
      <c r="AG288" s="112">
        <v>4.49</v>
      </c>
      <c r="AH288" s="112">
        <v>394.42</v>
      </c>
      <c r="AI288" s="335">
        <v>9.74</v>
      </c>
      <c r="AJ288" s="335">
        <v>2.88</v>
      </c>
      <c r="AK288" s="112">
        <f t="shared" si="17"/>
        <v>20.99</v>
      </c>
    </row>
    <row r="289" spans="1:37" x14ac:dyDescent="0.3">
      <c r="A289" s="109" t="str">
        <f>"debit"&amp;"ovh"&amp;B289</f>
        <v>debitovh    6666020602  Training costs Outside the group</v>
      </c>
      <c r="B289" s="112" t="s">
        <v>274</v>
      </c>
      <c r="C289" s="206">
        <f>IFERROR(VLOOKUP($A289,MTD!$A$13:$D$1048576,3,0),0)</f>
        <v>18.940000000000001</v>
      </c>
      <c r="D289" s="112">
        <f>IFERROR(VLOOKUP($A289,MTD!$A$13:$D$1048576,4,0),0)</f>
        <v>0</v>
      </c>
      <c r="E289" s="112"/>
      <c r="F289" s="112"/>
      <c r="G289" s="112" t="s">
        <v>274</v>
      </c>
      <c r="H289" s="112">
        <v>0</v>
      </c>
      <c r="I289" s="112">
        <v>0</v>
      </c>
      <c r="J289" s="112">
        <v>0</v>
      </c>
      <c r="K289" s="112">
        <v>0</v>
      </c>
      <c r="P289" s="112" t="s">
        <v>274</v>
      </c>
      <c r="Q289" s="112">
        <f>IFERROR(VLOOKUP($A289,YTD!$A$13:$D$1048576,3,0),0)</f>
        <v>25.43</v>
      </c>
      <c r="R289" s="112">
        <f>IFERROR(VLOOKUP($A289,YTD!$A$13:$D$1048576,4,0),0)</f>
        <v>0</v>
      </c>
      <c r="S289" s="112"/>
      <c r="T289" s="112"/>
      <c r="U289" s="112" t="s">
        <v>274</v>
      </c>
      <c r="V289" s="112"/>
      <c r="W289" s="112"/>
      <c r="X289" s="112"/>
      <c r="Y289" s="112"/>
      <c r="Z289" s="206">
        <v>0</v>
      </c>
      <c r="AA289" s="206">
        <v>0</v>
      </c>
      <c r="AB289" s="206">
        <v>6</v>
      </c>
      <c r="AC289" s="206">
        <v>0</v>
      </c>
      <c r="AD289" s="206">
        <v>0</v>
      </c>
      <c r="AE289" s="206">
        <v>0</v>
      </c>
      <c r="AF289" s="206">
        <v>0</v>
      </c>
      <c r="AG289" s="112">
        <v>0</v>
      </c>
      <c r="AH289" s="112">
        <v>0</v>
      </c>
      <c r="AI289" s="335">
        <v>0</v>
      </c>
      <c r="AJ289" s="335">
        <v>0</v>
      </c>
      <c r="AK289" s="112">
        <f t="shared" si="17"/>
        <v>18.940000000000001</v>
      </c>
    </row>
    <row r="290" spans="1:37" x14ac:dyDescent="0.3">
      <c r="A290" s="109" t="str">
        <f t="shared" si="16"/>
        <v>debitovh    6666020701  Enterprise Property Insurance</v>
      </c>
      <c r="B290" s="112" t="s">
        <v>275</v>
      </c>
      <c r="C290" s="206">
        <f>IFERROR(VLOOKUP($A290,MTD!$A$13:$D$1048576,3,0),0)</f>
        <v>20688.18</v>
      </c>
      <c r="D290" s="112">
        <f>IFERROR(VLOOKUP($A290,MTD!$A$13:$D$1048576,4,0),0)</f>
        <v>22859.01</v>
      </c>
      <c r="E290" s="112"/>
      <c r="F290" s="112"/>
      <c r="G290" s="112" t="s">
        <v>275</v>
      </c>
      <c r="H290" s="112">
        <v>0</v>
      </c>
      <c r="I290" s="112">
        <v>0</v>
      </c>
      <c r="J290" s="112">
        <v>0</v>
      </c>
      <c r="K290" s="112">
        <v>0</v>
      </c>
      <c r="P290" s="112" t="s">
        <v>275</v>
      </c>
      <c r="Q290" s="112">
        <f>IFERROR(VLOOKUP($A290,YTD!$A$13:$D$1048576,3,0),0)</f>
        <v>248258.15</v>
      </c>
      <c r="R290" s="112">
        <f>IFERROR(VLOOKUP($A290,YTD!$A$13:$D$1048576,4,0),0)</f>
        <v>274308.12</v>
      </c>
      <c r="S290" s="112"/>
      <c r="T290" s="112"/>
      <c r="U290" s="112" t="s">
        <v>275</v>
      </c>
      <c r="V290" s="112">
        <v>0</v>
      </c>
      <c r="W290" s="112">
        <v>0</v>
      </c>
      <c r="X290" s="112">
        <v>0</v>
      </c>
      <c r="Y290" s="112">
        <v>0</v>
      </c>
      <c r="Z290" s="206">
        <v>27082.29</v>
      </c>
      <c r="AA290" s="206">
        <v>20562.47</v>
      </c>
      <c r="AB290" s="206">
        <v>14419.77</v>
      </c>
      <c r="AC290" s="206">
        <v>20688.18</v>
      </c>
      <c r="AD290" s="206">
        <v>20688.18</v>
      </c>
      <c r="AE290" s="206">
        <v>20688.18</v>
      </c>
      <c r="AF290" s="206">
        <v>20688.18</v>
      </c>
      <c r="AG290" s="112">
        <v>20688.18</v>
      </c>
      <c r="AH290" s="112">
        <v>20688.18</v>
      </c>
      <c r="AI290" s="335">
        <v>20688.18</v>
      </c>
      <c r="AJ290" s="335">
        <v>20688.18</v>
      </c>
      <c r="AK290" s="112">
        <f t="shared" si="17"/>
        <v>20688.18</v>
      </c>
    </row>
    <row r="291" spans="1:37" x14ac:dyDescent="0.3">
      <c r="A291" s="109" t="str">
        <f>"debit"&amp;"ovh"&amp;B291</f>
        <v>debitovh    6666020801  Housing rental cost</v>
      </c>
      <c r="B291" s="112" t="s">
        <v>339</v>
      </c>
      <c r="C291" s="206">
        <f>IFERROR(VLOOKUP($A291,MTD!$A$13:$D$1048576,3,0),0)</f>
        <v>170.02</v>
      </c>
      <c r="D291" s="112">
        <f>IFERROR(VLOOKUP($A291,MTD!$A$13:$D$1048576,4,0),0)</f>
        <v>0</v>
      </c>
      <c r="E291" s="112"/>
      <c r="F291" s="112"/>
      <c r="G291" s="112" t="s">
        <v>339</v>
      </c>
      <c r="H291" s="112">
        <v>0</v>
      </c>
      <c r="I291" s="112">
        <v>0</v>
      </c>
      <c r="J291" s="112">
        <v>0</v>
      </c>
      <c r="K291" s="112">
        <v>0</v>
      </c>
      <c r="P291" s="112" t="s">
        <v>339</v>
      </c>
      <c r="Q291" s="112">
        <f>IFERROR(VLOOKUP($A291,YTD!$A$13:$D$1048576,3,0),0)</f>
        <v>698.64</v>
      </c>
      <c r="R291" s="112">
        <f>IFERROR(VLOOKUP($A291,YTD!$A$13:$D$1048576,4,0),0)</f>
        <v>0</v>
      </c>
      <c r="S291" s="112"/>
      <c r="T291" s="112"/>
      <c r="U291" s="112" t="s">
        <v>339</v>
      </c>
      <c r="V291" s="112"/>
      <c r="W291" s="112"/>
      <c r="X291" s="112"/>
      <c r="Y291" s="112"/>
      <c r="Z291" s="206"/>
      <c r="AA291" s="206"/>
      <c r="AB291" s="238">
        <v>35.31</v>
      </c>
      <c r="AC291" s="206">
        <v>0</v>
      </c>
      <c r="AD291" s="206">
        <v>118.03</v>
      </c>
      <c r="AE291" s="206">
        <v>0</v>
      </c>
      <c r="AF291" s="206">
        <v>108.68</v>
      </c>
      <c r="AG291" s="112">
        <v>0.3</v>
      </c>
      <c r="AH291" s="112">
        <v>159.08000000000001</v>
      </c>
      <c r="AI291" s="335">
        <v>53.18</v>
      </c>
      <c r="AJ291" s="335">
        <v>54.04</v>
      </c>
      <c r="AK291" s="112">
        <f t="shared" si="17"/>
        <v>170.02</v>
      </c>
    </row>
    <row r="292" spans="1:37" x14ac:dyDescent="0.3">
      <c r="A292" s="109" t="str">
        <f t="shared" si="16"/>
        <v>debitovh    6666020803  Car rental cost</v>
      </c>
      <c r="B292" s="112" t="s">
        <v>277</v>
      </c>
      <c r="C292" s="206">
        <f>IFERROR(VLOOKUP($A292,MTD!$A$13:$D$1048576,3,0),0)</f>
        <v>716.63</v>
      </c>
      <c r="D292" s="112">
        <f>IFERROR(VLOOKUP($A292,MTD!$A$13:$D$1048576,4,0),0)</f>
        <v>0</v>
      </c>
      <c r="E292" s="112"/>
      <c r="F292" s="112"/>
      <c r="G292" s="112" t="s">
        <v>277</v>
      </c>
      <c r="H292" s="112">
        <v>0</v>
      </c>
      <c r="I292" s="112">
        <v>0</v>
      </c>
      <c r="J292" s="112">
        <v>0</v>
      </c>
      <c r="K292" s="112">
        <v>0</v>
      </c>
      <c r="P292" s="112" t="s">
        <v>277</v>
      </c>
      <c r="Q292" s="112">
        <f>IFERROR(VLOOKUP($A292,YTD!$A$13:$D$1048576,3,0),0)</f>
        <v>1808.76</v>
      </c>
      <c r="R292" s="112">
        <f>IFERROR(VLOOKUP($A292,YTD!$A$13:$D$1048576,4,0),0)</f>
        <v>0</v>
      </c>
      <c r="S292" s="112">
        <v>0</v>
      </c>
      <c r="T292" s="112">
        <v>0</v>
      </c>
      <c r="U292" s="112" t="s">
        <v>277</v>
      </c>
      <c r="V292" s="112">
        <v>0</v>
      </c>
      <c r="W292" s="112">
        <v>0</v>
      </c>
      <c r="X292" s="112">
        <v>0</v>
      </c>
      <c r="Y292" s="112">
        <v>0</v>
      </c>
      <c r="Z292" s="206">
        <v>-4.8099999999999996</v>
      </c>
      <c r="AA292" s="206">
        <v>0</v>
      </c>
      <c r="AB292" s="206">
        <v>0</v>
      </c>
      <c r="AC292" s="206">
        <v>170.58</v>
      </c>
      <c r="AD292" s="206">
        <v>-6.68</v>
      </c>
      <c r="AE292" s="206">
        <v>-18.13</v>
      </c>
      <c r="AF292" s="206">
        <v>-1.03</v>
      </c>
      <c r="AG292" s="112">
        <v>195.59</v>
      </c>
      <c r="AH292" s="112">
        <v>239.79</v>
      </c>
      <c r="AI292" s="335">
        <v>192.23</v>
      </c>
      <c r="AJ292" s="335">
        <v>324.58999999999997</v>
      </c>
      <c r="AK292" s="112">
        <f t="shared" si="17"/>
        <v>716.63</v>
      </c>
    </row>
    <row r="293" spans="1:37" x14ac:dyDescent="0.3">
      <c r="A293" s="109" t="str">
        <f t="shared" si="16"/>
        <v>debitovh    6666021100  Consulting fees</v>
      </c>
      <c r="B293" s="112" t="s">
        <v>278</v>
      </c>
      <c r="C293" s="206">
        <f>IFERROR(VLOOKUP($A293,MTD!$A$13:$D$1048576,3,0),0)</f>
        <v>7684.93</v>
      </c>
      <c r="D293" s="112"/>
      <c r="E293" s="112"/>
      <c r="F293" s="112"/>
      <c r="G293" s="112" t="s">
        <v>278</v>
      </c>
      <c r="H293" s="112"/>
      <c r="I293" s="112"/>
      <c r="J293" s="112"/>
      <c r="K293" s="112"/>
      <c r="P293" s="112" t="s">
        <v>278</v>
      </c>
      <c r="Q293" s="112">
        <f>IFERROR(VLOOKUP($A293,YTD!$A$13:$D$1048576,3,0),0)</f>
        <v>11046.56</v>
      </c>
      <c r="R293" s="112"/>
      <c r="S293" s="112"/>
      <c r="T293" s="112"/>
      <c r="U293" s="112" t="s">
        <v>278</v>
      </c>
      <c r="V293" s="112"/>
      <c r="W293" s="112"/>
      <c r="X293" s="112"/>
      <c r="Y293" s="112"/>
      <c r="Z293" s="206"/>
      <c r="AA293" s="206"/>
      <c r="AB293" s="206">
        <v>210.52</v>
      </c>
      <c r="AC293" s="206">
        <v>100.44</v>
      </c>
      <c r="AD293" s="206">
        <v>-268</v>
      </c>
      <c r="AE293" s="206">
        <v>18.34</v>
      </c>
      <c r="AF293" s="206">
        <v>1284.97</v>
      </c>
      <c r="AG293" s="112">
        <v>1275.9100000000001</v>
      </c>
      <c r="AH293" s="112">
        <v>552.33000000000004</v>
      </c>
      <c r="AI293" s="335">
        <v>196.88</v>
      </c>
      <c r="AJ293" s="335">
        <v>-58.81</v>
      </c>
      <c r="AK293" s="112">
        <f t="shared" si="17"/>
        <v>7684.93</v>
      </c>
    </row>
    <row r="294" spans="1:37" x14ac:dyDescent="0.3">
      <c r="A294" s="109" t="str">
        <f t="shared" si="16"/>
        <v>debitovh    6666021102  Consulting expense-tax</v>
      </c>
      <c r="B294" s="112" t="s">
        <v>340</v>
      </c>
      <c r="C294" s="206">
        <f>IFERROR(VLOOKUP($A294,MTD!$A$13:$D$1048576,3,0),0)</f>
        <v>14752.76</v>
      </c>
      <c r="D294" s="112"/>
      <c r="E294" s="112"/>
      <c r="F294" s="112"/>
      <c r="G294" s="112" t="s">
        <v>340</v>
      </c>
      <c r="H294" s="112"/>
      <c r="I294" s="112"/>
      <c r="J294" s="112"/>
      <c r="K294" s="112"/>
      <c r="P294" s="112" t="s">
        <v>340</v>
      </c>
      <c r="Q294" s="112">
        <f>IFERROR(VLOOKUP($A294,YTD!$A$13:$D$1048576,3,0),0)</f>
        <v>55029.3</v>
      </c>
      <c r="R294" s="112">
        <f>IFERROR(VLOOKUP($A294,YTD!$A$13:$D$1048576,4,0),0)</f>
        <v>0</v>
      </c>
      <c r="S294" s="112"/>
      <c r="T294" s="112"/>
      <c r="U294" s="112" t="s">
        <v>340</v>
      </c>
      <c r="V294" s="112"/>
      <c r="W294" s="112"/>
      <c r="X294" s="112"/>
      <c r="Y294" s="112"/>
      <c r="Z294" s="206">
        <v>750.92</v>
      </c>
      <c r="AA294" s="206">
        <v>11754.58</v>
      </c>
      <c r="AB294" s="206">
        <v>7728.94</v>
      </c>
      <c r="AC294" s="206">
        <v>6879.89</v>
      </c>
      <c r="AD294" s="206">
        <v>-5244.43</v>
      </c>
      <c r="AE294" s="206">
        <v>5460.88</v>
      </c>
      <c r="AF294" s="206">
        <v>1430.69</v>
      </c>
      <c r="AG294" s="112">
        <v>2922.66</v>
      </c>
      <c r="AH294" s="112">
        <v>3009.38</v>
      </c>
      <c r="AI294" s="335">
        <v>2497.79</v>
      </c>
      <c r="AJ294" s="335">
        <v>3085.24</v>
      </c>
      <c r="AK294" s="112">
        <f t="shared" si="17"/>
        <v>14752.76</v>
      </c>
    </row>
    <row r="295" spans="1:37" x14ac:dyDescent="0.3">
      <c r="A295" s="109" t="str">
        <f t="shared" si="16"/>
        <v>debitovh    6666021300  Legal fees</v>
      </c>
      <c r="B295" s="112" t="s">
        <v>341</v>
      </c>
      <c r="C295" s="206">
        <f>IFERROR(VLOOKUP($A295,MTD!$A$13:$D$1048576,3,0),0)</f>
        <v>52.34</v>
      </c>
      <c r="D295" s="112"/>
      <c r="E295" s="112"/>
      <c r="F295" s="112"/>
      <c r="G295" s="112" t="s">
        <v>341</v>
      </c>
      <c r="H295" s="112"/>
      <c r="I295" s="112"/>
      <c r="J295" s="112"/>
      <c r="K295" s="112"/>
      <c r="P295" s="112" t="s">
        <v>341</v>
      </c>
      <c r="Q295" s="112">
        <f>IFERROR(VLOOKUP($A295,YTD!$A$13:$D$1048576,3,0),0)</f>
        <v>1635.6</v>
      </c>
      <c r="R295" s="112">
        <f>IFERROR(VLOOKUP($A295,YTD!$A$13:$D$1048576,4,0),0)</f>
        <v>0</v>
      </c>
      <c r="S295" s="112"/>
      <c r="T295" s="112"/>
      <c r="U295" s="112" t="s">
        <v>341</v>
      </c>
      <c r="V295" s="112"/>
      <c r="W295" s="112"/>
      <c r="X295" s="112"/>
      <c r="Y295" s="112"/>
      <c r="Z295" s="206">
        <v>87.26</v>
      </c>
      <c r="AA295" s="206">
        <v>0</v>
      </c>
      <c r="AB295" s="206">
        <v>856.02</v>
      </c>
      <c r="AC295" s="206">
        <v>156.25</v>
      </c>
      <c r="AD295" s="206">
        <v>56.56</v>
      </c>
      <c r="AE295" s="206">
        <v>241.94</v>
      </c>
      <c r="AF295" s="206">
        <v>8.61</v>
      </c>
      <c r="AG295" s="112">
        <v>0</v>
      </c>
      <c r="AH295" s="112">
        <v>31.27</v>
      </c>
      <c r="AI295" s="335">
        <v>-28.81</v>
      </c>
      <c r="AJ295" s="335">
        <v>174.16</v>
      </c>
      <c r="AK295" s="112">
        <f t="shared" si="17"/>
        <v>52.34</v>
      </c>
    </row>
    <row r="296" spans="1:37" x14ac:dyDescent="0.3">
      <c r="A296" s="109" t="str">
        <f t="shared" si="16"/>
        <v>debitovh    6666021902  Cleaning fees</v>
      </c>
      <c r="B296" s="112" t="s">
        <v>279</v>
      </c>
      <c r="C296" s="206">
        <f>IFERROR(VLOOKUP($A296,MTD!$A$13:$D$1048576,3,0),0)</f>
        <v>-104.06</v>
      </c>
      <c r="D296" s="112"/>
      <c r="E296" s="112"/>
      <c r="F296" s="112"/>
      <c r="G296" s="112" t="s">
        <v>279</v>
      </c>
      <c r="H296" s="112"/>
      <c r="I296" s="112"/>
      <c r="J296" s="112"/>
      <c r="K296" s="112"/>
      <c r="P296" s="112" t="s">
        <v>279</v>
      </c>
      <c r="Q296" s="112">
        <f>IFERROR(VLOOKUP($A296,YTD!$A$13:$D$1048576,3,0),0)</f>
        <v>967.74</v>
      </c>
      <c r="R296" s="112"/>
      <c r="S296" s="112"/>
      <c r="T296" s="112"/>
      <c r="U296" s="112" t="s">
        <v>279</v>
      </c>
      <c r="V296" s="112"/>
      <c r="W296" s="112"/>
      <c r="X296" s="112"/>
      <c r="Y296" s="112"/>
      <c r="Z296" s="206"/>
      <c r="AA296" s="206"/>
      <c r="AB296" s="206">
        <v>43.88</v>
      </c>
      <c r="AC296" s="206">
        <v>0</v>
      </c>
      <c r="AD296" s="206">
        <v>-5.8</v>
      </c>
      <c r="AE296" s="206">
        <v>-15.74</v>
      </c>
      <c r="AF296" s="206">
        <v>429.37</v>
      </c>
      <c r="AG296" s="112">
        <v>713.08</v>
      </c>
      <c r="AH296" s="112">
        <v>1.94</v>
      </c>
      <c r="AI296" s="335">
        <v>-167.6</v>
      </c>
      <c r="AJ296" s="335">
        <v>72.67</v>
      </c>
      <c r="AK296" s="112">
        <f t="shared" si="17"/>
        <v>-104.06</v>
      </c>
    </row>
    <row r="297" spans="1:37" x14ac:dyDescent="0.3">
      <c r="A297" s="109" t="str">
        <f t="shared" si="16"/>
        <v>debitovh    6666022100  Security</v>
      </c>
      <c r="B297" s="112" t="s">
        <v>280</v>
      </c>
      <c r="C297" s="206">
        <f>IFERROR(VLOOKUP($A297,MTD!$A$13:$D$1048576,3,0),0)</f>
        <v>-179.39</v>
      </c>
      <c r="D297" s="112"/>
      <c r="E297" s="112"/>
      <c r="F297" s="112"/>
      <c r="G297" s="112" t="s">
        <v>280</v>
      </c>
      <c r="H297" s="112"/>
      <c r="I297" s="112"/>
      <c r="J297" s="112"/>
      <c r="K297" s="112"/>
      <c r="P297" s="112" t="s">
        <v>280</v>
      </c>
      <c r="Q297" s="112">
        <f>IFERROR(VLOOKUP($A297,YTD!$A$13:$D$1048576,3,0),0)</f>
        <v>584.07000000000005</v>
      </c>
      <c r="R297" s="112"/>
      <c r="S297" s="112"/>
      <c r="T297" s="112"/>
      <c r="U297" s="112" t="s">
        <v>280</v>
      </c>
      <c r="V297" s="112"/>
      <c r="W297" s="112"/>
      <c r="X297" s="112"/>
      <c r="Y297" s="112"/>
      <c r="Z297" s="206"/>
      <c r="AA297" s="206"/>
      <c r="AB297" s="206">
        <v>148.29</v>
      </c>
      <c r="AC297" s="206">
        <v>0</v>
      </c>
      <c r="AD297" s="206">
        <v>-10.63</v>
      </c>
      <c r="AE297" s="206">
        <v>-103.34</v>
      </c>
      <c r="AF297" s="206">
        <v>410</v>
      </c>
      <c r="AG297" s="112">
        <v>402.75</v>
      </c>
      <c r="AH297" s="112">
        <v>3.51</v>
      </c>
      <c r="AI297" s="335">
        <v>-229.06</v>
      </c>
      <c r="AJ297" s="335">
        <v>141.88</v>
      </c>
      <c r="AK297" s="112">
        <f t="shared" si="17"/>
        <v>-179.39</v>
      </c>
    </row>
    <row r="298" spans="1:37" x14ac:dyDescent="0.3">
      <c r="A298" s="109" t="str">
        <f t="shared" si="16"/>
        <v>debitovh    6666022300  Association dues</v>
      </c>
      <c r="B298" s="112" t="s">
        <v>281</v>
      </c>
      <c r="C298" s="206">
        <f>IFERROR(VLOOKUP($A298,MTD!$A$13:$D$1048576,3,0),0)</f>
        <v>3051.24</v>
      </c>
      <c r="D298" s="112"/>
      <c r="E298" s="112"/>
      <c r="F298" s="112"/>
      <c r="G298" s="112" t="s">
        <v>281</v>
      </c>
      <c r="H298" s="112"/>
      <c r="I298" s="112"/>
      <c r="J298" s="112"/>
      <c r="K298" s="112"/>
      <c r="P298" s="112" t="s">
        <v>281</v>
      </c>
      <c r="Q298" s="112">
        <f>IFERROR(VLOOKUP($A298,YTD!$A$13:$D$1048576,3,0),0)</f>
        <v>63346.86</v>
      </c>
      <c r="R298" s="112">
        <f>IFERROR(VLOOKUP($A298,YTD!$A$13:$D$1048576,4,0),0)</f>
        <v>62755.08</v>
      </c>
      <c r="S298" s="112"/>
      <c r="T298" s="112"/>
      <c r="U298" s="112" t="s">
        <v>281</v>
      </c>
      <c r="V298" s="112"/>
      <c r="W298" s="112"/>
      <c r="X298" s="112"/>
      <c r="Y298" s="112"/>
      <c r="Z298" s="206">
        <v>7205.07</v>
      </c>
      <c r="AA298" s="206">
        <v>5734.74</v>
      </c>
      <c r="AB298" s="206">
        <v>5835.21</v>
      </c>
      <c r="AC298" s="206">
        <v>5602.33</v>
      </c>
      <c r="AD298" s="206">
        <v>5552.52</v>
      </c>
      <c r="AE298" s="206">
        <v>4550.8100000000004</v>
      </c>
      <c r="AF298" s="206">
        <v>5245.39</v>
      </c>
      <c r="AG298" s="112">
        <v>4986.1899999999996</v>
      </c>
      <c r="AH298" s="112">
        <v>4495.8999999999996</v>
      </c>
      <c r="AI298" s="335">
        <v>5188.8900000000003</v>
      </c>
      <c r="AJ298" s="335">
        <v>5898.57</v>
      </c>
      <c r="AK298" s="112">
        <f t="shared" si="17"/>
        <v>3051.24</v>
      </c>
    </row>
    <row r="299" spans="1:37" x14ac:dyDescent="0.3">
      <c r="A299" s="109" t="str">
        <f t="shared" si="16"/>
        <v>debitovh    6666029900  Sundry Expenses</v>
      </c>
      <c r="B299" s="112" t="s">
        <v>282</v>
      </c>
      <c r="C299" s="206">
        <f>IFERROR(VLOOKUP($A299,MTD!$A$13:$D$1048576,3,0),0)</f>
        <v>2.2200000000000002</v>
      </c>
      <c r="D299" s="112"/>
      <c r="E299" s="112"/>
      <c r="F299" s="112"/>
      <c r="G299" s="112" t="s">
        <v>282</v>
      </c>
      <c r="H299" s="112"/>
      <c r="I299" s="112"/>
      <c r="J299" s="112"/>
      <c r="K299" s="112"/>
      <c r="P299" s="112" t="s">
        <v>282</v>
      </c>
      <c r="Q299" s="112">
        <f>IFERROR(VLOOKUP($A299,YTD!$A$13:$D$1048576,3,0),0)</f>
        <v>431.64</v>
      </c>
      <c r="R299" s="112">
        <f>IFERROR(VLOOKUP($A299,YTD!$A$13:$D$1048576,4,0),0)</f>
        <v>3401274</v>
      </c>
      <c r="S299" s="112"/>
      <c r="T299" s="112"/>
      <c r="U299" s="112" t="s">
        <v>282</v>
      </c>
      <c r="V299" s="112"/>
      <c r="W299" s="112"/>
      <c r="X299" s="112"/>
      <c r="Y299" s="112"/>
      <c r="Z299" s="206">
        <v>46.06</v>
      </c>
      <c r="AA299" s="206">
        <v>152.41999999999999</v>
      </c>
      <c r="AB299" s="206">
        <v>35.020000000000003</v>
      </c>
      <c r="AC299" s="206">
        <v>11.95</v>
      </c>
      <c r="AD299" s="206">
        <v>101.33</v>
      </c>
      <c r="AE299" s="206">
        <v>25.61</v>
      </c>
      <c r="AF299" s="206">
        <v>3.69</v>
      </c>
      <c r="AG299" s="112">
        <v>17.649999999999999</v>
      </c>
      <c r="AH299" s="112">
        <v>17.579999999999998</v>
      </c>
      <c r="AI299" s="335">
        <v>12.35</v>
      </c>
      <c r="AJ299" s="335">
        <v>5.76</v>
      </c>
      <c r="AK299" s="112">
        <f t="shared" si="17"/>
        <v>2.2200000000000002</v>
      </c>
    </row>
    <row r="300" spans="1:37" x14ac:dyDescent="0.3">
      <c r="A300" s="109" t="str">
        <f t="shared" si="16"/>
        <v>debitovh    6666029997  restructure cost</v>
      </c>
      <c r="B300" s="112" t="s">
        <v>283</v>
      </c>
      <c r="C300" s="206">
        <f>IFERROR(VLOOKUP($A300,MTD!$A$13:$D$1048576,3,0),0)</f>
        <v>0</v>
      </c>
      <c r="D300" s="112"/>
      <c r="E300" s="112"/>
      <c r="F300" s="112"/>
      <c r="G300" s="112" t="s">
        <v>283</v>
      </c>
      <c r="H300" s="112"/>
      <c r="I300" s="112"/>
      <c r="J300" s="112"/>
      <c r="K300" s="112"/>
      <c r="P300" s="112" t="s">
        <v>283</v>
      </c>
      <c r="Q300" s="112">
        <f>IFERROR(VLOOKUP($A300,YTD!$A$13:$D$1048576,3,0),0)</f>
        <v>3304.7</v>
      </c>
      <c r="R300" s="112"/>
      <c r="S300" s="112"/>
      <c r="T300" s="112"/>
      <c r="U300" s="112" t="s">
        <v>283</v>
      </c>
      <c r="V300" s="112"/>
      <c r="W300" s="112"/>
      <c r="X300" s="112"/>
      <c r="Y300" s="112"/>
      <c r="Z300" s="206"/>
      <c r="AA300" s="206"/>
      <c r="AB300" s="206">
        <v>0</v>
      </c>
      <c r="AC300" s="206">
        <v>0</v>
      </c>
      <c r="AD300" s="206">
        <v>0</v>
      </c>
      <c r="AE300" s="206">
        <v>0</v>
      </c>
      <c r="AF300" s="206">
        <v>0</v>
      </c>
      <c r="AG300" s="112">
        <v>0</v>
      </c>
      <c r="AH300" s="112">
        <v>0</v>
      </c>
      <c r="AI300" s="335">
        <v>0</v>
      </c>
      <c r="AJ300" s="335">
        <v>0</v>
      </c>
      <c r="AK300" s="112">
        <f t="shared" si="17"/>
        <v>0</v>
      </c>
    </row>
    <row r="301" spans="1:37" x14ac:dyDescent="0.3">
      <c r="A301" s="109" t="str">
        <f t="shared" si="16"/>
        <v>debitovh    6666031100  Technical Documentation</v>
      </c>
      <c r="B301" s="112" t="s">
        <v>342</v>
      </c>
      <c r="C301" s="206">
        <f>IFERROR(VLOOKUP($A301,MTD!$A$13:$D$1048576,3,0),0)</f>
        <v>0.17</v>
      </c>
      <c r="D301" s="112"/>
      <c r="E301" s="112"/>
      <c r="F301" s="112"/>
      <c r="G301" s="112" t="s">
        <v>342</v>
      </c>
      <c r="H301" s="112"/>
      <c r="I301" s="112"/>
      <c r="J301" s="112"/>
      <c r="K301" s="112"/>
      <c r="P301" s="112" t="s">
        <v>342</v>
      </c>
      <c r="Q301" s="112">
        <f>IFERROR(VLOOKUP($A301,YTD!$A$13:$D$1048576,3,0),0)</f>
        <v>6.86</v>
      </c>
      <c r="R301" s="112"/>
      <c r="S301" s="112"/>
      <c r="T301" s="112"/>
      <c r="U301" s="112" t="s">
        <v>342</v>
      </c>
      <c r="V301" s="112"/>
      <c r="W301" s="112"/>
      <c r="X301" s="112"/>
      <c r="Y301" s="112"/>
      <c r="Z301" s="206"/>
      <c r="AA301" s="206"/>
      <c r="AB301" s="206"/>
      <c r="AC301" s="206"/>
      <c r="AD301" s="206"/>
      <c r="AE301" s="206"/>
      <c r="AF301" s="206"/>
      <c r="AG301" s="112"/>
      <c r="AH301" s="112">
        <v>6.78</v>
      </c>
      <c r="AI301" s="335">
        <v>-0.01</v>
      </c>
      <c r="AJ301" s="335">
        <v>-0.08</v>
      </c>
      <c r="AK301" s="112">
        <f t="shared" si="17"/>
        <v>0.17</v>
      </c>
    </row>
    <row r="302" spans="1:37" x14ac:dyDescent="0.3">
      <c r="A302" s="109" t="str">
        <f t="shared" si="16"/>
        <v>debitovh    6666050107  Special distribution costs</v>
      </c>
      <c r="B302" s="112" t="s">
        <v>287</v>
      </c>
      <c r="C302" s="206">
        <f>IFERROR(VLOOKUP($A302,MTD!$A$13:$D$1048576,3,0),0)</f>
        <v>0</v>
      </c>
      <c r="D302" s="112"/>
      <c r="E302" s="112"/>
      <c r="F302" s="112"/>
      <c r="G302" s="112" t="s">
        <v>287</v>
      </c>
      <c r="H302" s="112"/>
      <c r="I302" s="112"/>
      <c r="J302" s="112"/>
      <c r="K302" s="112"/>
      <c r="P302" s="112" t="s">
        <v>287</v>
      </c>
      <c r="Q302" s="112">
        <f>IFERROR(VLOOKUP($A302,YTD!$A$13:$D$1048576,3,0),0)</f>
        <v>0</v>
      </c>
      <c r="R302" s="112"/>
      <c r="S302" s="112"/>
      <c r="T302" s="112"/>
      <c r="U302" s="112" t="s">
        <v>287</v>
      </c>
      <c r="V302" s="112"/>
      <c r="W302" s="112"/>
      <c r="X302" s="112"/>
      <c r="Y302" s="112"/>
      <c r="Z302" s="206"/>
      <c r="AA302" s="206"/>
      <c r="AB302" s="206">
        <v>12.7</v>
      </c>
      <c r="AC302" s="206">
        <v>9.84</v>
      </c>
      <c r="AD302" s="206">
        <v>0.01</v>
      </c>
      <c r="AE302" s="206">
        <v>0</v>
      </c>
      <c r="AF302" s="206">
        <v>0</v>
      </c>
      <c r="AG302" s="112">
        <v>0</v>
      </c>
      <c r="AH302" s="112">
        <v>-34.22</v>
      </c>
      <c r="AI302" s="335">
        <v>0</v>
      </c>
      <c r="AJ302" s="335">
        <v>0</v>
      </c>
      <c r="AK302" s="112">
        <f t="shared" si="17"/>
        <v>0</v>
      </c>
    </row>
    <row r="303" spans="1:37" x14ac:dyDescent="0.3">
      <c r="A303" s="109" t="str">
        <f t="shared" si="16"/>
        <v>debitovh    6666079999  IT Expense-Internal Charge Out</v>
      </c>
      <c r="B303" s="112" t="s">
        <v>343</v>
      </c>
      <c r="C303" s="206">
        <f>IFERROR(VLOOKUP($A303,MTD!$A$13:$D$1048576,3,0),0)</f>
        <v>-230880.74</v>
      </c>
      <c r="D303" s="112"/>
      <c r="E303" s="112"/>
      <c r="F303" s="112"/>
      <c r="G303" s="112" t="s">
        <v>343</v>
      </c>
      <c r="H303" s="112"/>
      <c r="I303" s="112"/>
      <c r="J303" s="112"/>
      <c r="K303" s="112"/>
      <c r="P303" s="112" t="s">
        <v>343</v>
      </c>
      <c r="Q303" s="112">
        <f>IFERROR(VLOOKUP($A303,YTD!$A$13:$D$1048576,3,0),0)</f>
        <v>1974953.02</v>
      </c>
      <c r="R303" s="112">
        <f>IFERROR(VLOOKUP($A303,YTD!$A$13:$D$1048576,4,0),0)</f>
        <v>0</v>
      </c>
      <c r="S303" s="112"/>
      <c r="T303" s="112"/>
      <c r="U303" s="112" t="s">
        <v>343</v>
      </c>
      <c r="V303" s="112"/>
      <c r="W303" s="112"/>
      <c r="X303" s="112"/>
      <c r="Y303" s="112"/>
      <c r="Z303" s="206">
        <v>194101.9</v>
      </c>
      <c r="AA303" s="206">
        <v>206524.86</v>
      </c>
      <c r="AB303" s="206">
        <v>194166.91</v>
      </c>
      <c r="AC303" s="206">
        <v>194123.57</v>
      </c>
      <c r="AD303" s="206">
        <v>213474.08</v>
      </c>
      <c r="AE303" s="206">
        <v>194123.57</v>
      </c>
      <c r="AF303" s="206">
        <v>194123.57</v>
      </c>
      <c r="AG303" s="112">
        <v>194123.57</v>
      </c>
      <c r="AH303" s="335">
        <v>213474.08</v>
      </c>
      <c r="AI303" s="335">
        <v>213474.08</v>
      </c>
      <c r="AJ303" s="335">
        <v>194123.57</v>
      </c>
      <c r="AK303" s="112">
        <f t="shared" si="17"/>
        <v>-230880.74</v>
      </c>
    </row>
    <row r="304" spans="1:37" x14ac:dyDescent="0.3">
      <c r="A304" s="109" t="str">
        <f t="shared" si="16"/>
        <v>debitovh    6666093800  Other Taxes-CIT Deductible</v>
      </c>
      <c r="B304" s="112" t="s">
        <v>344</v>
      </c>
      <c r="C304" s="206">
        <f>IFERROR(VLOOKUP($A304,MTD!$A$13:$D$1048576,3,0),0)</f>
        <v>0</v>
      </c>
      <c r="D304" s="112"/>
      <c r="E304" s="112"/>
      <c r="F304" s="112"/>
      <c r="G304" s="112" t="s">
        <v>344</v>
      </c>
      <c r="H304" s="112"/>
      <c r="I304" s="112"/>
      <c r="J304" s="112"/>
      <c r="K304" s="112"/>
      <c r="P304" s="112" t="s">
        <v>344</v>
      </c>
      <c r="Q304" s="112">
        <f>IFERROR(VLOOKUP($A304,YTD!$A$13:$D$1048576,3,0),0)</f>
        <v>887.03</v>
      </c>
      <c r="R304" s="112">
        <f>IFERROR(VLOOKUP($A304,YTD!$A$13:$D$1048576,4,0),0)</f>
        <v>0</v>
      </c>
      <c r="S304" s="112"/>
      <c r="T304" s="112"/>
      <c r="U304" s="112" t="s">
        <v>344</v>
      </c>
      <c r="V304" s="112"/>
      <c r="W304" s="112"/>
      <c r="X304" s="112"/>
      <c r="Y304" s="112"/>
      <c r="Z304" s="206">
        <v>117.56</v>
      </c>
      <c r="AA304" s="206">
        <v>145.75</v>
      </c>
      <c r="AB304" s="206">
        <v>120.23</v>
      </c>
      <c r="AC304" s="206">
        <v>139.44</v>
      </c>
      <c r="AD304" s="206">
        <v>67.739999999999995</v>
      </c>
      <c r="AE304" s="206">
        <v>47.65</v>
      </c>
      <c r="AF304" s="206">
        <v>42.84</v>
      </c>
      <c r="AG304" s="112">
        <v>45.12</v>
      </c>
      <c r="AH304" s="112">
        <v>60.04</v>
      </c>
      <c r="AI304" s="335">
        <v>48.75</v>
      </c>
      <c r="AJ304" s="335">
        <v>51.91</v>
      </c>
      <c r="AK304" s="112">
        <f t="shared" si="17"/>
        <v>0</v>
      </c>
    </row>
    <row r="305" spans="1:37" x14ac:dyDescent="0.3">
      <c r="A305" s="109" t="str">
        <f t="shared" si="16"/>
        <v>debitovh    6666090100  Stamp Duty</v>
      </c>
      <c r="B305" s="112" t="s">
        <v>345</v>
      </c>
      <c r="C305" s="206">
        <f>IFERROR(VLOOKUP($A305,MTD!$A$13:$D$1048576,3,0),0)</f>
        <v>0</v>
      </c>
      <c r="D305" s="112"/>
      <c r="E305" s="112"/>
      <c r="F305" s="112"/>
      <c r="G305" s="112" t="s">
        <v>345</v>
      </c>
      <c r="H305" s="112"/>
      <c r="I305" s="112"/>
      <c r="J305" s="112"/>
      <c r="K305" s="112"/>
      <c r="P305" s="112" t="s">
        <v>345</v>
      </c>
      <c r="Q305" s="112">
        <f>IFERROR(VLOOKUP($A305,YTD!$A$13:$D$1048576,3,0),0)</f>
        <v>8540.0400000000009</v>
      </c>
      <c r="R305" s="112">
        <f>IFERROR(VLOOKUP($A305,YTD!$A$13:$D$1048576,4,0),0)</f>
        <v>0</v>
      </c>
      <c r="S305" s="112"/>
      <c r="T305" s="112"/>
      <c r="U305" s="112" t="s">
        <v>345</v>
      </c>
      <c r="V305" s="112"/>
      <c r="W305" s="112"/>
      <c r="X305" s="112"/>
      <c r="Y305" s="112"/>
      <c r="Z305" s="206"/>
      <c r="AA305" s="206"/>
      <c r="AB305" s="206"/>
      <c r="AC305" s="206"/>
      <c r="AD305" s="206"/>
      <c r="AE305" s="206"/>
      <c r="AF305" s="206"/>
      <c r="AG305" s="112"/>
      <c r="AH305" s="112">
        <v>8540.0400000000009</v>
      </c>
      <c r="AI305" s="335">
        <v>0</v>
      </c>
      <c r="AJ305" s="335">
        <v>0</v>
      </c>
      <c r="AK305" s="112">
        <f t="shared" si="17"/>
        <v>0</v>
      </c>
    </row>
    <row r="306" spans="1:37" x14ac:dyDescent="0.3">
      <c r="A306" s="109" t="str">
        <f t="shared" si="16"/>
        <v>debitovh*   CS_Fix Cost</v>
      </c>
      <c r="B306" s="117" t="s">
        <v>211</v>
      </c>
      <c r="C306" s="207">
        <f>IFERROR(VLOOKUP($A306,MTD!$A$13:$D$1048576,3,0),0)</f>
        <v>-151547.16</v>
      </c>
      <c r="D306" s="117"/>
      <c r="E306" s="117"/>
      <c r="F306" s="117"/>
      <c r="G306" s="117" t="s">
        <v>211</v>
      </c>
      <c r="H306" s="117"/>
      <c r="I306" s="117"/>
      <c r="J306" s="117"/>
      <c r="K306" s="117"/>
      <c r="P306" s="117" t="s">
        <v>211</v>
      </c>
      <c r="Q306" s="117">
        <f>IFERROR(VLOOKUP($A306,YTD!$A$13:$D$1048576,3,0),0)</f>
        <v>2908525.84</v>
      </c>
      <c r="R306" s="117">
        <f>IFERROR(VLOOKUP($A306,YTD!$A$13:$D$1048576,4,0),0)</f>
        <v>3738337.2</v>
      </c>
      <c r="S306" s="117"/>
      <c r="T306" s="117"/>
      <c r="U306" s="117" t="s">
        <v>211</v>
      </c>
      <c r="V306" s="117"/>
      <c r="W306" s="117"/>
      <c r="X306" s="117"/>
      <c r="Y306" s="117"/>
      <c r="Z306" s="207">
        <v>273383.42</v>
      </c>
      <c r="AA306" s="207">
        <v>332929.06</v>
      </c>
      <c r="AB306" s="207">
        <v>279744.21999999997</v>
      </c>
      <c r="AC306" s="207">
        <v>244306.86</v>
      </c>
      <c r="AD306" s="207">
        <v>278956.71000000002</v>
      </c>
      <c r="AE306" s="207">
        <v>265293.56</v>
      </c>
      <c r="AF306" s="207">
        <v>269156.34000000003</v>
      </c>
      <c r="AG306" s="117">
        <v>254505.56</v>
      </c>
      <c r="AH306" s="117">
        <v>297921.76</v>
      </c>
      <c r="AI306" s="336">
        <v>296456.44</v>
      </c>
      <c r="AJ306" s="336">
        <v>267419.07</v>
      </c>
      <c r="AK306" s="117">
        <f t="shared" si="17"/>
        <v>-151547.16</v>
      </c>
    </row>
    <row r="307" spans="1:37" x14ac:dyDescent="0.3">
      <c r="A307" s="109" t="str">
        <f t="shared" si="16"/>
        <v>debitovh    5102040000  Other Revenue - Other</v>
      </c>
      <c r="B307" s="112" t="s">
        <v>294</v>
      </c>
      <c r="C307" s="206">
        <f>IFERROR(VLOOKUP($A307,MTD!$A$13:$D$1048576,3,0),0)</f>
        <v>-204.41</v>
      </c>
      <c r="D307" s="112"/>
      <c r="E307" s="112"/>
      <c r="F307" s="112"/>
      <c r="G307" s="112" t="s">
        <v>294</v>
      </c>
      <c r="H307" s="112"/>
      <c r="I307" s="112"/>
      <c r="J307" s="112"/>
      <c r="K307" s="112"/>
      <c r="P307" s="112" t="s">
        <v>294</v>
      </c>
      <c r="Q307" s="112">
        <f>IFERROR(VLOOKUP($A307,YTD!$A$13:$D$1048576,3,0),0)</f>
        <v>-327.54000000000002</v>
      </c>
      <c r="R307" s="112">
        <f>IFERROR(VLOOKUP($A307,YTD!$A$13:$D$1048576,4,0),0)</f>
        <v>0</v>
      </c>
      <c r="S307" s="112"/>
      <c r="T307" s="112"/>
      <c r="U307" s="112" t="s">
        <v>294</v>
      </c>
      <c r="V307" s="112"/>
      <c r="W307" s="112"/>
      <c r="X307" s="112"/>
      <c r="Y307" s="112"/>
      <c r="Z307" s="206">
        <v>-13.61</v>
      </c>
      <c r="AA307" s="206">
        <v>0</v>
      </c>
      <c r="AB307" s="206">
        <v>-109.52</v>
      </c>
      <c r="AC307" s="206">
        <v>0</v>
      </c>
      <c r="AD307" s="206">
        <v>0</v>
      </c>
      <c r="AE307" s="206">
        <v>0</v>
      </c>
      <c r="AF307" s="206">
        <v>0</v>
      </c>
      <c r="AG307" s="112">
        <v>0</v>
      </c>
      <c r="AH307" s="112">
        <v>0</v>
      </c>
      <c r="AI307" s="112">
        <v>0</v>
      </c>
      <c r="AJ307" s="112">
        <v>0</v>
      </c>
      <c r="AK307" s="112">
        <f t="shared" si="17"/>
        <v>-204.41</v>
      </c>
    </row>
    <row r="308" spans="1:37" x14ac:dyDescent="0.3">
      <c r="A308" s="109" t="str">
        <f t="shared" si="16"/>
        <v>debitovh*   CS_Variable Cost</v>
      </c>
      <c r="B308" s="117" t="s">
        <v>213</v>
      </c>
      <c r="C308" s="207">
        <f>IFERROR(VLOOKUP($A308,MTD!$A$13:$D$1048576,3,0),0)</f>
        <v>-204.41</v>
      </c>
      <c r="D308" s="117"/>
      <c r="E308" s="117"/>
      <c r="F308" s="117"/>
      <c r="G308" s="117" t="s">
        <v>213</v>
      </c>
      <c r="H308" s="117"/>
      <c r="I308" s="117"/>
      <c r="J308" s="117"/>
      <c r="K308" s="117"/>
      <c r="P308" s="117" t="s">
        <v>213</v>
      </c>
      <c r="Q308" s="117">
        <f>IFERROR(VLOOKUP($A308,YTD!$A$13:$D$1048576,3,0),0)</f>
        <v>-327.54000000000002</v>
      </c>
      <c r="R308" s="117">
        <f>IFERROR(VLOOKUP($A308,YTD!$A$13:$D$1048576,4,0),0)</f>
        <v>0</v>
      </c>
      <c r="S308" s="117"/>
      <c r="T308" s="117"/>
      <c r="U308" s="117" t="s">
        <v>213</v>
      </c>
      <c r="V308" s="117"/>
      <c r="W308" s="117"/>
      <c r="X308" s="117"/>
      <c r="Y308" s="117"/>
      <c r="Z308" s="207">
        <v>-13.61</v>
      </c>
      <c r="AA308" s="207">
        <v>0</v>
      </c>
      <c r="AB308" s="207">
        <v>-109.52</v>
      </c>
      <c r="AC308" s="207">
        <v>0</v>
      </c>
      <c r="AD308" s="207">
        <v>0</v>
      </c>
      <c r="AE308" s="207">
        <v>0</v>
      </c>
      <c r="AF308" s="207">
        <v>0</v>
      </c>
      <c r="AG308" s="117">
        <v>0</v>
      </c>
      <c r="AH308" s="117">
        <v>0</v>
      </c>
      <c r="AI308" s="117">
        <v>0</v>
      </c>
      <c r="AJ308" s="117">
        <v>0</v>
      </c>
      <c r="AK308" s="117">
        <f t="shared" si="17"/>
        <v>-204.41</v>
      </c>
    </row>
    <row r="309" spans="1:37" x14ac:dyDescent="0.3">
      <c r="A309" s="109" t="str">
        <f t="shared" si="16"/>
        <v>debitovh    6666021600  Energy and power cost</v>
      </c>
      <c r="B309" s="112" t="s">
        <v>299</v>
      </c>
      <c r="C309" s="206">
        <f>IFERROR(VLOOKUP($A309,MTD!$A$13:$D$1048576,3,0),0)</f>
        <v>1498.11</v>
      </c>
      <c r="D309" s="112"/>
      <c r="E309" s="112"/>
      <c r="F309" s="112"/>
      <c r="G309" s="112" t="s">
        <v>299</v>
      </c>
      <c r="H309" s="112"/>
      <c r="I309" s="112"/>
      <c r="J309" s="112"/>
      <c r="K309" s="112"/>
      <c r="P309" s="112" t="s">
        <v>299</v>
      </c>
      <c r="Q309" s="112">
        <f>IFERROR(VLOOKUP($A309,YTD!$A$13:$D$1048576,3,0),0)</f>
        <v>13717.45</v>
      </c>
      <c r="R309" s="112">
        <f>IFERROR(VLOOKUP($A309,YTD!$A$13:$D$1048576,4,0),0)</f>
        <v>0</v>
      </c>
      <c r="S309" s="112"/>
      <c r="T309" s="112"/>
      <c r="U309" s="112" t="s">
        <v>299</v>
      </c>
      <c r="V309" s="112"/>
      <c r="W309" s="112"/>
      <c r="X309" s="112"/>
      <c r="Y309" s="112"/>
      <c r="Z309" s="206">
        <v>304.19</v>
      </c>
      <c r="AA309" s="206">
        <v>2310.31</v>
      </c>
      <c r="AB309" s="206">
        <v>1869.76</v>
      </c>
      <c r="AC309" s="206">
        <v>1707.84</v>
      </c>
      <c r="AD309" s="206">
        <v>802.27</v>
      </c>
      <c r="AE309" s="206">
        <v>804.05</v>
      </c>
      <c r="AF309" s="206">
        <v>945.54</v>
      </c>
      <c r="AG309" s="112">
        <v>991.79</v>
      </c>
      <c r="AH309" s="112">
        <v>947.2</v>
      </c>
      <c r="AI309" s="112">
        <v>887.82</v>
      </c>
      <c r="AJ309" s="112">
        <v>648.57000000000005</v>
      </c>
      <c r="AK309" s="112">
        <f t="shared" si="17"/>
        <v>1498.11</v>
      </c>
    </row>
    <row r="310" spans="1:37" x14ac:dyDescent="0.3">
      <c r="A310" s="109" t="str">
        <f t="shared" si="16"/>
        <v>debitovh    6666021604  Oil &amp; Gas</v>
      </c>
      <c r="B310" s="112" t="s">
        <v>301</v>
      </c>
      <c r="C310" s="206">
        <f>IFERROR(VLOOKUP($A310,MTD!$A$13:$D$1048576,3,0),0)</f>
        <v>32.1</v>
      </c>
      <c r="D310" s="112"/>
      <c r="E310" s="112"/>
      <c r="F310" s="112"/>
      <c r="G310" s="112" t="s">
        <v>301</v>
      </c>
      <c r="H310" s="112"/>
      <c r="I310" s="112"/>
      <c r="J310" s="112"/>
      <c r="K310" s="112"/>
      <c r="P310" s="112" t="s">
        <v>301</v>
      </c>
      <c r="Q310" s="112">
        <f>IFERROR(VLOOKUP($A310,YTD!$A$13:$D$1048576,3,0),0)</f>
        <v>109.26</v>
      </c>
      <c r="R310" s="112"/>
      <c r="S310" s="112"/>
      <c r="T310" s="112"/>
      <c r="U310" s="112"/>
      <c r="V310" s="112"/>
      <c r="W310" s="112"/>
      <c r="X310" s="112"/>
      <c r="Y310" s="112"/>
      <c r="Z310" s="206"/>
      <c r="AA310" s="206"/>
      <c r="AB310" s="206"/>
      <c r="AC310" s="206"/>
      <c r="AD310" s="206"/>
      <c r="AE310" s="206"/>
      <c r="AF310" s="206">
        <v>38.57</v>
      </c>
      <c r="AG310" s="112">
        <v>-0.63</v>
      </c>
      <c r="AH310" s="112">
        <v>-0.74</v>
      </c>
      <c r="AI310" s="112">
        <v>16.93</v>
      </c>
      <c r="AJ310" s="112">
        <v>23.03</v>
      </c>
      <c r="AK310" s="112">
        <f t="shared" si="17"/>
        <v>32.1</v>
      </c>
    </row>
    <row r="311" spans="1:37" x14ac:dyDescent="0.3">
      <c r="A311" s="109" t="str">
        <f t="shared" si="16"/>
        <v>debitovh*   CS_Variable Utilities</v>
      </c>
      <c r="B311" s="117" t="s">
        <v>217</v>
      </c>
      <c r="C311" s="207">
        <f>IFERROR(VLOOKUP($A311,MTD!$A$13:$D$1048576,3,0),0)</f>
        <v>1530.21</v>
      </c>
      <c r="D311" s="117"/>
      <c r="E311" s="117"/>
      <c r="F311" s="117"/>
      <c r="G311" s="117" t="s">
        <v>217</v>
      </c>
      <c r="H311" s="117"/>
      <c r="I311" s="117"/>
      <c r="J311" s="117"/>
      <c r="K311" s="117"/>
      <c r="P311" s="117" t="s">
        <v>217</v>
      </c>
      <c r="Q311" s="117">
        <f>IFERROR(VLOOKUP($A311,YTD!$A$13:$D$1048576,3,0),0)</f>
        <v>13826.71</v>
      </c>
      <c r="R311" s="117">
        <f>IFERROR(VLOOKUP($A311,YTD!$A$13:$D$1048576,4,0),0)</f>
        <v>0</v>
      </c>
      <c r="S311" s="117"/>
      <c r="T311" s="117"/>
      <c r="U311" s="117" t="s">
        <v>217</v>
      </c>
      <c r="V311" s="117"/>
      <c r="W311" s="117"/>
      <c r="X311" s="117"/>
      <c r="Y311" s="117"/>
      <c r="Z311" s="207">
        <v>304.19</v>
      </c>
      <c r="AA311" s="207">
        <v>2310.31</v>
      </c>
      <c r="AB311" s="207">
        <v>1869.76</v>
      </c>
      <c r="AC311" s="207">
        <v>1707.84</v>
      </c>
      <c r="AD311" s="207">
        <v>802.27</v>
      </c>
      <c r="AE311" s="207">
        <v>804.05</v>
      </c>
      <c r="AF311" s="207">
        <v>984.11</v>
      </c>
      <c r="AG311" s="117">
        <v>991.16</v>
      </c>
      <c r="AH311" s="117">
        <v>946.46</v>
      </c>
      <c r="AI311" s="117">
        <v>904.75</v>
      </c>
      <c r="AJ311" s="117">
        <v>671.6</v>
      </c>
      <c r="AK311" s="117">
        <f t="shared" si="17"/>
        <v>1530.21</v>
      </c>
    </row>
    <row r="312" spans="1:37" x14ac:dyDescent="0.3">
      <c r="A312" s="109" t="str">
        <f t="shared" si="16"/>
        <v>debitovh    6666010012  Payroll Taxes- Blue Collar Indirect</v>
      </c>
      <c r="B312" s="112" t="s">
        <v>306</v>
      </c>
      <c r="C312" s="206">
        <f>IFERROR(VLOOKUP($A312,MTD!$A$13:$D$1048576,3,0),0)</f>
        <v>0</v>
      </c>
      <c r="D312" s="112"/>
      <c r="E312" s="112"/>
      <c r="F312" s="112"/>
      <c r="G312" s="112" t="s">
        <v>306</v>
      </c>
      <c r="H312" s="112"/>
      <c r="I312" s="112"/>
      <c r="J312" s="112"/>
      <c r="K312" s="112"/>
      <c r="P312" s="112" t="s">
        <v>306</v>
      </c>
      <c r="Q312" s="112">
        <f>IFERROR(VLOOKUP($A312,YTD!$A$13:$D$1048576,3,0),0)</f>
        <v>60.75</v>
      </c>
      <c r="R312" s="112">
        <f>IFERROR(VLOOKUP($A312,YTD!$A$13:$D$1048576,4,0),0)</f>
        <v>0</v>
      </c>
      <c r="S312" s="112"/>
      <c r="T312" s="112"/>
      <c r="U312" s="112" t="s">
        <v>306</v>
      </c>
      <c r="V312" s="112"/>
      <c r="W312" s="112"/>
      <c r="X312" s="112"/>
      <c r="Y312" s="112"/>
      <c r="Z312" s="206">
        <v>15.28</v>
      </c>
      <c r="AA312" s="206">
        <v>18.559999999999999</v>
      </c>
      <c r="AB312" s="206">
        <v>15.53</v>
      </c>
      <c r="AC312" s="206">
        <v>8.9600000000000009</v>
      </c>
      <c r="AD312" s="206">
        <v>0</v>
      </c>
      <c r="AE312" s="206">
        <v>0</v>
      </c>
      <c r="AF312" s="206">
        <v>0</v>
      </c>
      <c r="AG312" s="112">
        <v>0</v>
      </c>
      <c r="AH312" s="112">
        <v>0</v>
      </c>
      <c r="AI312" s="112">
        <v>2.42</v>
      </c>
      <c r="AJ312" s="112">
        <v>0</v>
      </c>
      <c r="AK312" s="112">
        <f t="shared" si="17"/>
        <v>0</v>
      </c>
    </row>
    <row r="313" spans="1:37" x14ac:dyDescent="0.3">
      <c r="A313" s="109" t="str">
        <f t="shared" si="16"/>
        <v>debitovh    6666010102  Salary-Blue collar indirect employees- A</v>
      </c>
      <c r="B313" s="112" t="s">
        <v>308</v>
      </c>
      <c r="C313" s="206">
        <f>IFERROR(VLOOKUP($A313,MTD!$A$13:$D$1048576,3,0),0)</f>
        <v>27.5</v>
      </c>
      <c r="D313" s="112"/>
      <c r="E313" s="112"/>
      <c r="F313" s="112"/>
      <c r="G313" s="112" t="s">
        <v>308</v>
      </c>
      <c r="H313" s="112"/>
      <c r="I313" s="112"/>
      <c r="J313" s="112"/>
      <c r="K313" s="112"/>
      <c r="P313" s="112" t="s">
        <v>308</v>
      </c>
      <c r="Q313" s="112">
        <f>IFERROR(VLOOKUP($A313,YTD!$A$13:$D$1048576,3,0),0)</f>
        <v>485.3</v>
      </c>
      <c r="R313" s="112">
        <f>IFERROR(VLOOKUP($A313,YTD!$A$13:$D$1048576,4,0),0)</f>
        <v>0</v>
      </c>
      <c r="S313" s="112"/>
      <c r="T313" s="112"/>
      <c r="U313" s="112" t="s">
        <v>308</v>
      </c>
      <c r="V313" s="112"/>
      <c r="W313" s="112"/>
      <c r="X313" s="112"/>
      <c r="Y313" s="112"/>
      <c r="Z313" s="206">
        <v>86.07</v>
      </c>
      <c r="AA313" s="206">
        <v>95.75</v>
      </c>
      <c r="AB313" s="206">
        <v>83.14</v>
      </c>
      <c r="AC313" s="206">
        <v>56.06</v>
      </c>
      <c r="AD313" s="206">
        <v>19.04</v>
      </c>
      <c r="AE313" s="206">
        <v>12.55</v>
      </c>
      <c r="AF313" s="206">
        <v>0</v>
      </c>
      <c r="AG313" s="112">
        <v>0</v>
      </c>
      <c r="AH313" s="112">
        <v>21.14</v>
      </c>
      <c r="AI313" s="112">
        <v>48.45</v>
      </c>
      <c r="AJ313" s="112">
        <v>35.6</v>
      </c>
      <c r="AK313" s="112">
        <f t="shared" si="17"/>
        <v>27.5</v>
      </c>
    </row>
    <row r="314" spans="1:37" x14ac:dyDescent="0.3">
      <c r="A314" s="109" t="str">
        <f t="shared" si="16"/>
        <v>debitovh*   CS_Indirect Labour</v>
      </c>
      <c r="B314" s="117" t="s">
        <v>218</v>
      </c>
      <c r="C314" s="207">
        <f>IFERROR(VLOOKUP($A314,MTD!$A$13:$D$1048576,3,0),0)</f>
        <v>27.5</v>
      </c>
      <c r="D314" s="117"/>
      <c r="E314" s="117"/>
      <c r="F314" s="117"/>
      <c r="G314" s="117" t="s">
        <v>218</v>
      </c>
      <c r="H314" s="117"/>
      <c r="I314" s="117"/>
      <c r="J314" s="117"/>
      <c r="K314" s="117"/>
      <c r="P314" s="117" t="s">
        <v>218</v>
      </c>
      <c r="Q314" s="117">
        <f>IFERROR(VLOOKUP($A314,YTD!$A$13:$D$1048576,3,0),0)</f>
        <v>546.04999999999995</v>
      </c>
      <c r="R314" s="117">
        <f>IFERROR(VLOOKUP($A314,YTD!$A$13:$D$1048576,4,0),0)</f>
        <v>0</v>
      </c>
      <c r="S314" s="117"/>
      <c r="T314" s="117"/>
      <c r="U314" s="117" t="s">
        <v>218</v>
      </c>
      <c r="V314" s="117"/>
      <c r="W314" s="117"/>
      <c r="X314" s="117"/>
      <c r="Y314" s="117"/>
      <c r="Z314" s="207">
        <v>101.35</v>
      </c>
      <c r="AA314" s="207">
        <v>114.31</v>
      </c>
      <c r="AB314" s="207">
        <v>98.67</v>
      </c>
      <c r="AC314" s="207">
        <v>65.02</v>
      </c>
      <c r="AD314" s="207">
        <v>19.04</v>
      </c>
      <c r="AE314" s="207">
        <v>12.55</v>
      </c>
      <c r="AF314" s="207">
        <v>0</v>
      </c>
      <c r="AG314" s="117">
        <v>0</v>
      </c>
      <c r="AH314" s="117">
        <v>21.14</v>
      </c>
      <c r="AI314" s="117">
        <v>50.87</v>
      </c>
      <c r="AJ314" s="117">
        <v>35.6</v>
      </c>
      <c r="AK314" s="117">
        <f t="shared" si="17"/>
        <v>27.5</v>
      </c>
    </row>
    <row r="315" spans="1:37" x14ac:dyDescent="0.3">
      <c r="A315" s="109" t="str">
        <f t="shared" si="16"/>
        <v>debitovh    6666010196  Payroll Taxes-White Collar Employee</v>
      </c>
      <c r="B315" s="112" t="s">
        <v>309</v>
      </c>
      <c r="C315" s="206">
        <f>IFERROR(VLOOKUP($A315,MTD!$A$13:$D$1048576,3,0),0)</f>
        <v>1557.8</v>
      </c>
      <c r="D315" s="112"/>
      <c r="E315" s="112"/>
      <c r="F315" s="112"/>
      <c r="G315" s="112" t="s">
        <v>309</v>
      </c>
      <c r="H315" s="112"/>
      <c r="I315" s="112"/>
      <c r="J315" s="112"/>
      <c r="K315" s="112"/>
      <c r="P315" s="112" t="s">
        <v>309</v>
      </c>
      <c r="Q315" s="112">
        <f>IFERROR(VLOOKUP($A315,YTD!$A$13:$D$1048576,3,0),0)</f>
        <v>20113.27</v>
      </c>
      <c r="R315" s="112">
        <f>IFERROR(VLOOKUP($A315,YTD!$A$13:$D$1048576,4,0),0)</f>
        <v>0</v>
      </c>
      <c r="S315" s="112"/>
      <c r="T315" s="112"/>
      <c r="U315" s="112" t="s">
        <v>309</v>
      </c>
      <c r="V315" s="112"/>
      <c r="W315" s="112"/>
      <c r="X315" s="112"/>
      <c r="Y315" s="112"/>
      <c r="Z315" s="206">
        <v>1675.57</v>
      </c>
      <c r="AA315" s="206">
        <v>1659.05</v>
      </c>
      <c r="AB315" s="206">
        <v>1729.63</v>
      </c>
      <c r="AC315" s="206">
        <v>1598.97</v>
      </c>
      <c r="AD315" s="206">
        <v>1874.42</v>
      </c>
      <c r="AE315" s="206">
        <v>1799.51</v>
      </c>
      <c r="AF315" s="206">
        <v>1708.91</v>
      </c>
      <c r="AG315" s="112">
        <v>1644.2</v>
      </c>
      <c r="AH315" s="112">
        <v>1622.81</v>
      </c>
      <c r="AI315" s="335">
        <v>1633.28</v>
      </c>
      <c r="AJ315" s="335">
        <v>1609.12</v>
      </c>
      <c r="AK315" s="112">
        <f t="shared" si="17"/>
        <v>1557.8</v>
      </c>
    </row>
    <row r="316" spans="1:37" x14ac:dyDescent="0.3">
      <c r="A316" s="109" t="str">
        <f t="shared" si="16"/>
        <v>debitovh    6666010101  Salary - White collar employees</v>
      </c>
      <c r="B316" s="112" t="s">
        <v>310</v>
      </c>
      <c r="C316" s="206">
        <f>IFERROR(VLOOKUP($A316,MTD!$A$13:$D$1048576,3,0),0)</f>
        <v>11206.03</v>
      </c>
      <c r="D316" s="112"/>
      <c r="E316" s="112"/>
      <c r="F316" s="112"/>
      <c r="G316" s="112" t="s">
        <v>310</v>
      </c>
      <c r="H316" s="112"/>
      <c r="I316" s="112"/>
      <c r="J316" s="112"/>
      <c r="K316" s="112"/>
      <c r="P316" s="112" t="s">
        <v>310</v>
      </c>
      <c r="Q316" s="112">
        <f>IFERROR(VLOOKUP($A316,YTD!$A$13:$D$1048576,3,0),0)</f>
        <v>151155.10999999999</v>
      </c>
      <c r="R316" s="112">
        <f>IFERROR(VLOOKUP($A316,YTD!$A$13:$D$1048576,4,0),0)</f>
        <v>0</v>
      </c>
      <c r="S316" s="112"/>
      <c r="T316" s="112"/>
      <c r="U316" s="112" t="s">
        <v>310</v>
      </c>
      <c r="V316" s="112"/>
      <c r="W316" s="112"/>
      <c r="X316" s="112"/>
      <c r="Y316" s="112"/>
      <c r="Z316" s="206">
        <v>11303.87</v>
      </c>
      <c r="AA316" s="206">
        <v>17084.21</v>
      </c>
      <c r="AB316" s="206">
        <v>11614.22</v>
      </c>
      <c r="AC316" s="206">
        <v>15932.87</v>
      </c>
      <c r="AD316" s="206">
        <v>15050.62</v>
      </c>
      <c r="AE316" s="206">
        <v>12174.33</v>
      </c>
      <c r="AF316" s="206">
        <v>11634.34</v>
      </c>
      <c r="AG316" s="112">
        <v>11244</v>
      </c>
      <c r="AH316" s="112">
        <v>11166.04</v>
      </c>
      <c r="AI316" s="335">
        <v>11712.67</v>
      </c>
      <c r="AJ316" s="335">
        <v>11031.91</v>
      </c>
      <c r="AK316" s="112">
        <f t="shared" si="17"/>
        <v>11206.03</v>
      </c>
    </row>
    <row r="317" spans="1:37" x14ac:dyDescent="0.3">
      <c r="A317" s="109" t="str">
        <f t="shared" si="16"/>
        <v>debitovh    6666010199  Salary-White collar employees -Accrued</v>
      </c>
      <c r="B317" s="112" t="s">
        <v>311</v>
      </c>
      <c r="C317" s="206">
        <f>IFERROR(VLOOKUP($A317,MTD!$A$13:$D$1048576,3,0),0)</f>
        <v>100.91</v>
      </c>
      <c r="D317" s="112"/>
      <c r="E317" s="112"/>
      <c r="F317" s="112"/>
      <c r="G317" s="112" t="s">
        <v>311</v>
      </c>
      <c r="H317" s="112"/>
      <c r="I317" s="112"/>
      <c r="J317" s="112"/>
      <c r="K317" s="112"/>
      <c r="P317" s="112" t="s">
        <v>311</v>
      </c>
      <c r="Q317" s="112">
        <f>IFERROR(VLOOKUP($A317,YTD!$A$13:$D$1048576,3,0),0)</f>
        <v>7595.46</v>
      </c>
      <c r="R317" s="112">
        <f>IFERROR(VLOOKUP($A317,YTD!$A$13:$D$1048576,4,0),0)</f>
        <v>0</v>
      </c>
      <c r="S317" s="112"/>
      <c r="T317" s="112"/>
      <c r="U317" s="112" t="s">
        <v>311</v>
      </c>
      <c r="V317" s="112"/>
      <c r="W317" s="112"/>
      <c r="X317" s="112"/>
      <c r="Y317" s="112"/>
      <c r="Z317" s="206">
        <v>1649.66</v>
      </c>
      <c r="AA317" s="206">
        <v>304.82</v>
      </c>
      <c r="AB317" s="206">
        <v>1256.72</v>
      </c>
      <c r="AC317" s="206">
        <v>-155.15</v>
      </c>
      <c r="AD317" s="206">
        <v>1415.56</v>
      </c>
      <c r="AE317" s="206">
        <v>333.06</v>
      </c>
      <c r="AF317" s="206">
        <v>585.87</v>
      </c>
      <c r="AG317" s="112">
        <v>108.55</v>
      </c>
      <c r="AH317" s="112">
        <v>257.25</v>
      </c>
      <c r="AI317" s="335">
        <v>322.87</v>
      </c>
      <c r="AJ317" s="335">
        <v>1415.34</v>
      </c>
      <c r="AK317" s="112">
        <f t="shared" si="17"/>
        <v>100.91</v>
      </c>
    </row>
    <row r="318" spans="1:37" x14ac:dyDescent="0.3">
      <c r="A318" s="109" t="str">
        <f t="shared" si="16"/>
        <v>debitovh    6666010207  Unemployment insurance companies to pay</v>
      </c>
      <c r="B318" s="112" t="s">
        <v>313</v>
      </c>
      <c r="C318" s="206">
        <f>IFERROR(VLOOKUP($A318,MTD!$A$13:$D$1048576,3,0),0)</f>
        <v>164.1</v>
      </c>
      <c r="D318" s="112"/>
      <c r="E318" s="112"/>
      <c r="F318" s="112"/>
      <c r="G318" s="112" t="s">
        <v>313</v>
      </c>
      <c r="H318" s="112"/>
      <c r="I318" s="112"/>
      <c r="J318" s="112"/>
      <c r="K318" s="112"/>
      <c r="P318" s="112" t="s">
        <v>313</v>
      </c>
      <c r="Q318" s="112">
        <f>IFERROR(VLOOKUP($A318,YTD!$A$13:$D$1048576,3,0),0)</f>
        <v>2244.71</v>
      </c>
      <c r="R318" s="112">
        <f>IFERROR(VLOOKUP($A318,YTD!$A$13:$D$1048576,4,0),0)</f>
        <v>0</v>
      </c>
      <c r="S318" s="112"/>
      <c r="T318" s="112"/>
      <c r="U318" s="112" t="s">
        <v>313</v>
      </c>
      <c r="V318" s="112"/>
      <c r="W318" s="112"/>
      <c r="X318" s="112"/>
      <c r="Y318" s="112"/>
      <c r="Z318" s="206">
        <v>212.77</v>
      </c>
      <c r="AA318" s="206">
        <v>209.48</v>
      </c>
      <c r="AB318" s="206">
        <v>207.88</v>
      </c>
      <c r="AC318" s="206">
        <v>192.69</v>
      </c>
      <c r="AD318" s="206">
        <v>198.9</v>
      </c>
      <c r="AE318" s="206">
        <v>191.98</v>
      </c>
      <c r="AF318" s="206">
        <v>180.36</v>
      </c>
      <c r="AG318" s="112">
        <v>173.28</v>
      </c>
      <c r="AH318" s="112">
        <v>171.2</v>
      </c>
      <c r="AI318" s="335">
        <v>172.35</v>
      </c>
      <c r="AJ318" s="335">
        <v>169.72</v>
      </c>
      <c r="AK318" s="112">
        <f t="shared" si="17"/>
        <v>164.1</v>
      </c>
    </row>
    <row r="319" spans="1:37" x14ac:dyDescent="0.3">
      <c r="A319" s="109" t="str">
        <f t="shared" si="16"/>
        <v>debitovh    6666010227  Staff Leaving Indemnity - White collar E</v>
      </c>
      <c r="B319" s="112" t="s">
        <v>315</v>
      </c>
      <c r="C319" s="206">
        <f>IFERROR(VLOOKUP($A319,MTD!$A$13:$D$1048576,3,0),0)</f>
        <v>190.51</v>
      </c>
      <c r="D319" s="112"/>
      <c r="E319" s="112"/>
      <c r="F319" s="112"/>
      <c r="G319" s="112" t="s">
        <v>315</v>
      </c>
      <c r="H319" s="112"/>
      <c r="I319" s="112"/>
      <c r="J319" s="112"/>
      <c r="K319" s="112"/>
      <c r="P319" s="112" t="s">
        <v>315</v>
      </c>
      <c r="Q319" s="112">
        <f>IFERROR(VLOOKUP($A319,YTD!$A$13:$D$1048576,3,0),0)</f>
        <v>2131.71</v>
      </c>
      <c r="R319" s="112">
        <f>IFERROR(VLOOKUP($A319,YTD!$A$13:$D$1048576,4,0),0)</f>
        <v>0</v>
      </c>
      <c r="S319" s="112"/>
      <c r="T319" s="112"/>
      <c r="U319" s="112" t="s">
        <v>315</v>
      </c>
      <c r="V319" s="112"/>
      <c r="W319" s="112"/>
      <c r="X319" s="112"/>
      <c r="Y319" s="112"/>
      <c r="Z319" s="206">
        <v>202.13</v>
      </c>
      <c r="AA319" s="206">
        <v>173.65</v>
      </c>
      <c r="AB319" s="206">
        <v>175.3</v>
      </c>
      <c r="AC319" s="206">
        <v>167.11</v>
      </c>
      <c r="AD319" s="206">
        <v>171.68</v>
      </c>
      <c r="AE319" s="206">
        <v>169.33</v>
      </c>
      <c r="AF319" s="206">
        <v>155.91999999999999</v>
      </c>
      <c r="AG319" s="112">
        <v>175.8</v>
      </c>
      <c r="AH319" s="112">
        <v>177.81</v>
      </c>
      <c r="AI319" s="335">
        <v>181.39</v>
      </c>
      <c r="AJ319" s="335">
        <v>191.08</v>
      </c>
      <c r="AK319" s="112">
        <f t="shared" si="17"/>
        <v>190.51</v>
      </c>
    </row>
    <row r="320" spans="1:37" x14ac:dyDescent="0.3">
      <c r="A320" s="109" t="str">
        <f t="shared" si="16"/>
        <v>debitovh*   CS_Fixed Labour</v>
      </c>
      <c r="B320" s="117" t="s">
        <v>219</v>
      </c>
      <c r="C320" s="207">
        <f>IFERROR(VLOOKUP($A320,MTD!$A$13:$D$1048576,3,0),0)</f>
        <v>13219.35</v>
      </c>
      <c r="D320" s="117"/>
      <c r="E320" s="117"/>
      <c r="F320" s="117"/>
      <c r="G320" s="117" t="s">
        <v>219</v>
      </c>
      <c r="H320" s="117"/>
      <c r="I320" s="117"/>
      <c r="J320" s="117"/>
      <c r="K320" s="117"/>
      <c r="P320" s="117" t="s">
        <v>219</v>
      </c>
      <c r="Q320" s="117">
        <f>IFERROR(VLOOKUP($A320,YTD!$A$13:$D$1048576,3,0),0)</f>
        <v>183240.26</v>
      </c>
      <c r="R320" s="117">
        <f>IFERROR(VLOOKUP($A320,YTD!$A$13:$D$1048576,4,0),0)</f>
        <v>0</v>
      </c>
      <c r="S320" s="117"/>
      <c r="T320" s="117"/>
      <c r="U320" s="117" t="s">
        <v>219</v>
      </c>
      <c r="V320" s="117"/>
      <c r="W320" s="117"/>
      <c r="X320" s="117"/>
      <c r="Y320" s="117"/>
      <c r="Z320" s="207">
        <v>15044</v>
      </c>
      <c r="AA320" s="207">
        <v>19431.21</v>
      </c>
      <c r="AB320" s="207">
        <v>14983.75</v>
      </c>
      <c r="AC320" s="207">
        <v>17736.490000000002</v>
      </c>
      <c r="AD320" s="207">
        <v>18711.18</v>
      </c>
      <c r="AE320" s="207">
        <v>14668.21</v>
      </c>
      <c r="AF320" s="207">
        <v>14265.4</v>
      </c>
      <c r="AG320" s="117">
        <v>13345.83</v>
      </c>
      <c r="AH320" s="117">
        <v>13395.11</v>
      </c>
      <c r="AI320" s="336">
        <v>14022.56</v>
      </c>
      <c r="AJ320" s="336">
        <v>14417.17</v>
      </c>
      <c r="AK320" s="117">
        <f t="shared" si="17"/>
        <v>13219.35</v>
      </c>
    </row>
    <row r="321" spans="1:37" x14ac:dyDescent="0.3">
      <c r="A321" s="109" t="str">
        <f t="shared" si="16"/>
        <v>debitovh    6666010314  Work uniforms</v>
      </c>
      <c r="B321" s="112" t="s">
        <v>318</v>
      </c>
      <c r="C321" s="206">
        <f>IFERROR(VLOOKUP($A321,MTD!$A$13:$D$1048576,3,0),0)</f>
        <v>0</v>
      </c>
      <c r="D321" s="112"/>
      <c r="E321" s="112"/>
      <c r="F321" s="112"/>
      <c r="G321" s="112" t="s">
        <v>318</v>
      </c>
      <c r="H321" s="112"/>
      <c r="I321" s="112"/>
      <c r="J321" s="112"/>
      <c r="K321" s="112"/>
      <c r="P321" s="112" t="s">
        <v>318</v>
      </c>
      <c r="Q321" s="112">
        <f>IFERROR(VLOOKUP($A321,YTD!$A$13:$D$1048576,3,0),0)</f>
        <v>1061.3800000000001</v>
      </c>
      <c r="R321" s="112">
        <f>IFERROR(VLOOKUP($A321,YTD!$A$13:$D$1048576,4,0),0)</f>
        <v>0</v>
      </c>
      <c r="S321" s="112"/>
      <c r="T321" s="112"/>
      <c r="U321" s="112" t="s">
        <v>318</v>
      </c>
      <c r="V321" s="112"/>
      <c r="W321" s="112"/>
      <c r="X321" s="112"/>
      <c r="Y321" s="112"/>
      <c r="Z321" s="206">
        <v>86.65</v>
      </c>
      <c r="AA321" s="206">
        <v>0</v>
      </c>
      <c r="AB321" s="206">
        <v>0</v>
      </c>
      <c r="AC321" s="206">
        <v>0</v>
      </c>
      <c r="AD321" s="206">
        <v>0</v>
      </c>
      <c r="AE321" s="206">
        <v>0</v>
      </c>
      <c r="AF321" s="206">
        <v>0</v>
      </c>
      <c r="AG321" s="112">
        <v>0</v>
      </c>
      <c r="AH321" s="112">
        <v>958.15</v>
      </c>
      <c r="AI321" s="112">
        <v>-0.01</v>
      </c>
      <c r="AJ321" s="112">
        <v>16.59</v>
      </c>
      <c r="AK321" s="112">
        <f t="shared" si="17"/>
        <v>0</v>
      </c>
    </row>
    <row r="322" spans="1:37" x14ac:dyDescent="0.3">
      <c r="A322" s="109" t="str">
        <f t="shared" si="16"/>
        <v>debitovh    6666020401  local transportation - bus and taxi</v>
      </c>
      <c r="B322" s="112" t="s">
        <v>319</v>
      </c>
      <c r="C322" s="206">
        <f>IFERROR(VLOOKUP($A322,MTD!$A$13:$D$1048576,3,0),0)</f>
        <v>77.040000000000006</v>
      </c>
      <c r="D322" s="112"/>
      <c r="E322" s="112"/>
      <c r="F322" s="112"/>
      <c r="G322" s="112" t="s">
        <v>319</v>
      </c>
      <c r="H322" s="112"/>
      <c r="I322" s="112"/>
      <c r="J322" s="112"/>
      <c r="K322" s="112"/>
      <c r="P322" s="112" t="s">
        <v>319</v>
      </c>
      <c r="Q322" s="112">
        <f>IFERROR(VLOOKUP($A322,YTD!$A$13:$D$1048576,3,0),0)</f>
        <v>-544.97</v>
      </c>
      <c r="R322" s="112">
        <f>IFERROR(VLOOKUP($A322,YTD!$A$13:$D$1048576,4,0),0)</f>
        <v>0</v>
      </c>
      <c r="S322" s="112"/>
      <c r="T322" s="112"/>
      <c r="U322" s="112" t="s">
        <v>319</v>
      </c>
      <c r="V322" s="112"/>
      <c r="W322" s="112"/>
      <c r="X322" s="112"/>
      <c r="Y322" s="112"/>
      <c r="Z322" s="206">
        <v>0</v>
      </c>
      <c r="AA322" s="206">
        <v>0</v>
      </c>
      <c r="AB322" s="206">
        <v>0.06</v>
      </c>
      <c r="AC322" s="206">
        <v>-0.01</v>
      </c>
      <c r="AD322" s="206">
        <v>79.69</v>
      </c>
      <c r="AE322" s="206">
        <v>0</v>
      </c>
      <c r="AF322" s="206">
        <v>-620.6</v>
      </c>
      <c r="AG322" s="112">
        <v>0</v>
      </c>
      <c r="AH322" s="112">
        <v>0</v>
      </c>
      <c r="AI322" s="112">
        <v>75.64</v>
      </c>
      <c r="AJ322" s="112">
        <v>-156.79</v>
      </c>
      <c r="AK322" s="112">
        <f t="shared" si="17"/>
        <v>77.040000000000006</v>
      </c>
    </row>
    <row r="323" spans="1:37" x14ac:dyDescent="0.3">
      <c r="A323" s="109" t="str">
        <f t="shared" si="16"/>
        <v>debitovh    6666020502  Working meals</v>
      </c>
      <c r="B323" s="112" t="s">
        <v>321</v>
      </c>
      <c r="C323" s="206">
        <f>IFERROR(VLOOKUP($A323,MTD!$A$13:$D$1048576,3,0),0)</f>
        <v>399.83</v>
      </c>
      <c r="D323" s="112"/>
      <c r="E323" s="112"/>
      <c r="F323" s="112"/>
      <c r="G323" s="112" t="s">
        <v>321</v>
      </c>
      <c r="H323" s="112"/>
      <c r="I323" s="112"/>
      <c r="J323" s="112"/>
      <c r="K323" s="112"/>
      <c r="P323" s="112" t="s">
        <v>321</v>
      </c>
      <c r="Q323" s="112">
        <f>IFERROR(VLOOKUP($A323,YTD!$A$13:$D$1048576,3,0),0)</f>
        <v>59.43</v>
      </c>
      <c r="R323" s="112">
        <f>IFERROR(VLOOKUP($A323,YTD!$A$13:$D$1048576,4,0),0)</f>
        <v>0</v>
      </c>
      <c r="S323" s="112"/>
      <c r="T323" s="112"/>
      <c r="U323" s="112" t="s">
        <v>321</v>
      </c>
      <c r="V323" s="112"/>
      <c r="W323" s="112"/>
      <c r="X323" s="112"/>
      <c r="Y323" s="112"/>
      <c r="Z323" s="206">
        <v>193.79</v>
      </c>
      <c r="AA323" s="206">
        <v>-559.1</v>
      </c>
      <c r="AB323" s="206">
        <v>-496.7</v>
      </c>
      <c r="AC323" s="206">
        <v>-44.34</v>
      </c>
      <c r="AD323" s="206">
        <v>-281.98</v>
      </c>
      <c r="AE323" s="206">
        <v>533.57000000000005</v>
      </c>
      <c r="AF323" s="206">
        <v>-38.380000000000003</v>
      </c>
      <c r="AG323" s="112">
        <v>-345.64</v>
      </c>
      <c r="AH323" s="112">
        <v>-222.17</v>
      </c>
      <c r="AI323" s="112">
        <v>-52.03</v>
      </c>
      <c r="AJ323" s="112">
        <v>972.58</v>
      </c>
      <c r="AK323" s="112">
        <f t="shared" si="17"/>
        <v>399.83</v>
      </c>
    </row>
    <row r="324" spans="1:37" x14ac:dyDescent="0.3">
      <c r="A324" s="109" t="str">
        <f t="shared" si="16"/>
        <v>debitovh    6666020503  Office supplies</v>
      </c>
      <c r="B324" s="112" t="s">
        <v>322</v>
      </c>
      <c r="C324" s="206">
        <f>IFERROR(VLOOKUP($A324,MTD!$A$13:$D$1048576,3,0),0)</f>
        <v>14.17</v>
      </c>
      <c r="D324" s="112"/>
      <c r="E324" s="112"/>
      <c r="F324" s="112"/>
      <c r="G324" s="112" t="s">
        <v>322</v>
      </c>
      <c r="H324" s="112"/>
      <c r="I324" s="112"/>
      <c r="J324" s="112"/>
      <c r="K324" s="112"/>
      <c r="P324" s="112" t="s">
        <v>322</v>
      </c>
      <c r="Q324" s="112">
        <f>IFERROR(VLOOKUP($A324,YTD!$A$13:$D$1048576,3,0),0)</f>
        <v>165.77</v>
      </c>
      <c r="R324" s="112"/>
      <c r="S324" s="112"/>
      <c r="T324" s="112"/>
      <c r="U324" s="112" t="s">
        <v>322</v>
      </c>
      <c r="V324" s="112"/>
      <c r="W324" s="112"/>
      <c r="X324" s="112"/>
      <c r="Y324" s="112"/>
      <c r="Z324" s="206"/>
      <c r="AA324" s="206">
        <v>2.71</v>
      </c>
      <c r="AB324" s="206">
        <v>0.35</v>
      </c>
      <c r="AC324" s="206">
        <v>0</v>
      </c>
      <c r="AD324" s="206">
        <v>3</v>
      </c>
      <c r="AE324" s="206">
        <v>0</v>
      </c>
      <c r="AF324" s="206">
        <v>0</v>
      </c>
      <c r="AG324" s="112">
        <v>72.290000000000006</v>
      </c>
      <c r="AH324" s="112">
        <v>26.76</v>
      </c>
      <c r="AI324" s="112">
        <v>0</v>
      </c>
      <c r="AJ324" s="112">
        <v>46.49</v>
      </c>
      <c r="AK324" s="112">
        <f t="shared" si="17"/>
        <v>14.17</v>
      </c>
    </row>
    <row r="325" spans="1:37" x14ac:dyDescent="0.3">
      <c r="A325" s="109" t="str">
        <f>"debit"&amp;"ovh"&amp;B325</f>
        <v>debitovh    6666021505  Repairs &amp; Maintenance - Vehicles</v>
      </c>
      <c r="B325" s="112" t="s">
        <v>326</v>
      </c>
      <c r="C325" s="206">
        <f>IFERROR(VLOOKUP($A325,MTD!$A$13:$D$1048576,3,0),0)</f>
        <v>26.87</v>
      </c>
      <c r="D325" s="112"/>
      <c r="E325" s="112"/>
      <c r="F325" s="112"/>
      <c r="G325" s="112" t="s">
        <v>326</v>
      </c>
      <c r="H325" s="112"/>
      <c r="I325" s="112"/>
      <c r="J325" s="112"/>
      <c r="K325" s="112"/>
      <c r="P325" s="112" t="s">
        <v>326</v>
      </c>
      <c r="Q325" s="112">
        <f>IFERROR(VLOOKUP($A325,YTD!$A$13:$D$1048576,3,0),0)</f>
        <v>75</v>
      </c>
      <c r="R325" s="112"/>
      <c r="S325" s="112"/>
      <c r="T325" s="112"/>
      <c r="U325" s="112" t="s">
        <v>326</v>
      </c>
      <c r="V325" s="112"/>
      <c r="W325" s="112"/>
      <c r="X325" s="112"/>
      <c r="Y325" s="112"/>
      <c r="Z325" s="206"/>
      <c r="AA325" s="206"/>
      <c r="AB325" s="206"/>
      <c r="AC325" s="206">
        <v>34.130000000000003</v>
      </c>
      <c r="AD325" s="206">
        <v>48.13</v>
      </c>
      <c r="AE325" s="206">
        <v>0</v>
      </c>
      <c r="AF325" s="206">
        <v>0</v>
      </c>
      <c r="AG325" s="112">
        <v>0</v>
      </c>
      <c r="AH325" s="112">
        <v>0</v>
      </c>
      <c r="AI325" s="112">
        <v>0</v>
      </c>
      <c r="AJ325" s="112">
        <v>0</v>
      </c>
      <c r="AK325" s="112">
        <f t="shared" si="17"/>
        <v>26.87</v>
      </c>
    </row>
    <row r="326" spans="1:37" x14ac:dyDescent="0.3">
      <c r="A326" s="109" t="str">
        <f t="shared" si="16"/>
        <v>debitovh    6666021502  Repair &amp; Maintain - Building&amp;office</v>
      </c>
      <c r="B326" s="112" t="s">
        <v>324</v>
      </c>
      <c r="C326" s="206">
        <f>IFERROR(VLOOKUP($A326,MTD!$A$13:$D$1048576,3,0),0)</f>
        <v>114.75</v>
      </c>
      <c r="D326" s="112"/>
      <c r="E326" s="112"/>
      <c r="F326" s="112"/>
      <c r="G326" s="112" t="s">
        <v>324</v>
      </c>
      <c r="H326" s="112"/>
      <c r="I326" s="112"/>
      <c r="J326" s="112"/>
      <c r="K326" s="112"/>
      <c r="P326" s="112" t="s">
        <v>324</v>
      </c>
      <c r="Q326" s="112">
        <f>IFERROR(VLOOKUP($A326,YTD!$A$13:$D$1048576,3,0),0)</f>
        <v>2047.06</v>
      </c>
      <c r="R326" s="112"/>
      <c r="S326" s="112"/>
      <c r="T326" s="112"/>
      <c r="U326" s="112" t="s">
        <v>324</v>
      </c>
      <c r="V326" s="112"/>
      <c r="W326" s="112"/>
      <c r="X326" s="112"/>
      <c r="Y326" s="112"/>
      <c r="Z326" s="206"/>
      <c r="AA326" s="206">
        <v>471.63</v>
      </c>
      <c r="AB326" s="206">
        <v>855.79</v>
      </c>
      <c r="AC326" s="206">
        <v>27.2</v>
      </c>
      <c r="AD326" s="206">
        <v>-0.52</v>
      </c>
      <c r="AE326" s="206">
        <v>-3.63</v>
      </c>
      <c r="AF326" s="206">
        <v>272.92</v>
      </c>
      <c r="AG326" s="112">
        <v>82.9</v>
      </c>
      <c r="AH326" s="112">
        <v>229.41</v>
      </c>
      <c r="AI326" s="112">
        <v>-10.32</v>
      </c>
      <c r="AJ326" s="112">
        <v>0</v>
      </c>
      <c r="AK326" s="112">
        <f t="shared" si="17"/>
        <v>114.75</v>
      </c>
    </row>
    <row r="327" spans="1:37" x14ac:dyDescent="0.3">
      <c r="A327" s="109" t="str">
        <f t="shared" si="16"/>
        <v>debitovh    6666091600  Garbage disposal charge</v>
      </c>
      <c r="B327" s="112" t="s">
        <v>328</v>
      </c>
      <c r="C327" s="206">
        <f>IFERROR(VLOOKUP($A327,MTD!$A$13:$D$1048576,3,0),0)</f>
        <v>5.18</v>
      </c>
      <c r="D327" s="112"/>
      <c r="E327" s="112"/>
      <c r="F327" s="112"/>
      <c r="G327" s="112" t="s">
        <v>328</v>
      </c>
      <c r="H327" s="112"/>
      <c r="I327" s="112"/>
      <c r="J327" s="112"/>
      <c r="K327" s="112"/>
      <c r="P327" s="112" t="s">
        <v>328</v>
      </c>
      <c r="Q327" s="112">
        <f>IFERROR(VLOOKUP($A327,YTD!$A$13:$D$1048576,3,0),0)</f>
        <v>49.08</v>
      </c>
      <c r="R327" s="112"/>
      <c r="S327" s="112"/>
      <c r="T327" s="112"/>
      <c r="U327" s="112" t="s">
        <v>328</v>
      </c>
      <c r="V327" s="112"/>
      <c r="W327" s="112"/>
      <c r="X327" s="112"/>
      <c r="Y327" s="112"/>
      <c r="Z327" s="206"/>
      <c r="AA327" s="206">
        <v>1.45</v>
      </c>
      <c r="AB327" s="206">
        <v>2.69</v>
      </c>
      <c r="AC327" s="206">
        <v>0</v>
      </c>
      <c r="AD327" s="206">
        <v>0</v>
      </c>
      <c r="AE327" s="206">
        <v>1.51</v>
      </c>
      <c r="AF327" s="206">
        <v>0</v>
      </c>
      <c r="AG327" s="112">
        <v>3.73</v>
      </c>
      <c r="AH327" s="112">
        <v>0</v>
      </c>
      <c r="AI327" s="112">
        <v>3.93</v>
      </c>
      <c r="AJ327" s="112">
        <v>3.39</v>
      </c>
      <c r="AK327" s="112">
        <f t="shared" si="17"/>
        <v>5.18</v>
      </c>
    </row>
    <row r="328" spans="1:37" x14ac:dyDescent="0.3">
      <c r="A328" s="109" t="str">
        <f t="shared" si="16"/>
        <v>debitovh*   CS_Semifix</v>
      </c>
      <c r="B328" s="117" t="s">
        <v>220</v>
      </c>
      <c r="C328" s="207">
        <f>IFERROR(VLOOKUP($A328,MTD!$A$13:$D$1048576,3,0),0)</f>
        <v>637.84</v>
      </c>
      <c r="D328" s="117"/>
      <c r="E328" s="117"/>
      <c r="F328" s="117"/>
      <c r="G328" s="117" t="s">
        <v>220</v>
      </c>
      <c r="H328" s="117"/>
      <c r="I328" s="117"/>
      <c r="J328" s="117"/>
      <c r="K328" s="117"/>
      <c r="P328" s="117" t="s">
        <v>220</v>
      </c>
      <c r="Q328" s="117">
        <f>IFERROR(VLOOKUP($A328,YTD!$A$13:$D$1048576,3,0),0)</f>
        <v>2912.75</v>
      </c>
      <c r="R328" s="117">
        <f>IFERROR(VLOOKUP($A328,YTD!$A$13:$D$1048576,4,0),0)</f>
        <v>0</v>
      </c>
      <c r="S328" s="117"/>
      <c r="T328" s="117"/>
      <c r="U328" s="117" t="s">
        <v>220</v>
      </c>
      <c r="V328" s="117"/>
      <c r="W328" s="117"/>
      <c r="X328" s="117"/>
      <c r="Y328" s="117"/>
      <c r="Z328" s="207">
        <v>280.44</v>
      </c>
      <c r="AA328" s="207">
        <v>-83.31</v>
      </c>
      <c r="AB328" s="207">
        <v>362.19</v>
      </c>
      <c r="AC328" s="207">
        <v>16.98</v>
      </c>
      <c r="AD328" s="207">
        <v>-151.68</v>
      </c>
      <c r="AE328" s="207">
        <v>531.45000000000005</v>
      </c>
      <c r="AF328" s="207">
        <v>-386.06</v>
      </c>
      <c r="AG328" s="117">
        <v>-186.72</v>
      </c>
      <c r="AH328" s="117">
        <v>992.15</v>
      </c>
      <c r="AI328" s="117">
        <v>17.21</v>
      </c>
      <c r="AJ328" s="117">
        <v>882.26</v>
      </c>
      <c r="AK328" s="117">
        <f t="shared" si="17"/>
        <v>637.84</v>
      </c>
    </row>
    <row r="329" spans="1:37" x14ac:dyDescent="0.3">
      <c r="A329" s="109" t="str">
        <f t="shared" si="16"/>
        <v>debitovh**  Debit</v>
      </c>
      <c r="B329" s="121" t="s">
        <v>331</v>
      </c>
      <c r="C329" s="208">
        <f>IFERROR(VLOOKUP($A329,MTD!$A$13:$D$1048576,3,0),0)</f>
        <v>-135958.73000000001</v>
      </c>
      <c r="D329" s="121"/>
      <c r="E329" s="121"/>
      <c r="F329" s="121"/>
      <c r="G329" s="121" t="s">
        <v>331</v>
      </c>
      <c r="H329" s="121"/>
      <c r="I329" s="121"/>
      <c r="J329" s="121"/>
      <c r="K329" s="121"/>
      <c r="P329" s="121" t="s">
        <v>331</v>
      </c>
      <c r="Q329" s="121">
        <f>IFERROR(VLOOKUP($A329,YTD!$A$13:$D$1048576,3,0),0)</f>
        <v>3113410.88</v>
      </c>
      <c r="R329" s="121">
        <f>IFERROR(VLOOKUP($A329,YTD!$A$13:$D$1048576,4,0),0)</f>
        <v>3738337.2</v>
      </c>
      <c r="S329" s="121"/>
      <c r="T329" s="121"/>
      <c r="U329" s="121" t="s">
        <v>331</v>
      </c>
      <c r="V329" s="121"/>
      <c r="W329" s="121"/>
      <c r="X329" s="121"/>
      <c r="Y329" s="121"/>
      <c r="Z329" s="334">
        <v>289582.3</v>
      </c>
      <c r="AA329" s="334">
        <v>355134.83</v>
      </c>
      <c r="AB329" s="334">
        <v>297322.5</v>
      </c>
      <c r="AC329" s="334">
        <v>264191.68</v>
      </c>
      <c r="AD329" s="334">
        <v>298717.94</v>
      </c>
      <c r="AE329" s="334">
        <v>281687.49</v>
      </c>
      <c r="AF329" s="334">
        <v>284409.78000000003</v>
      </c>
      <c r="AG329" s="334">
        <v>269045.75</v>
      </c>
      <c r="AH329" s="334">
        <v>313719.86</v>
      </c>
      <c r="AI329" s="334">
        <v>311760.45</v>
      </c>
      <c r="AJ329" s="334">
        <v>283797.03000000003</v>
      </c>
      <c r="AK329" s="121">
        <f t="shared" si="17"/>
        <v>-135958.73000000001</v>
      </c>
    </row>
    <row r="330" spans="1:37" x14ac:dyDescent="0.3">
      <c r="A330" s="109" t="str">
        <f t="shared" ref="A330:A333" si="18">"credit"&amp;"ovh"&amp;B330</f>
        <v>creditovh    600006      OVH Administrative</v>
      </c>
      <c r="B330" s="112" t="s">
        <v>330</v>
      </c>
      <c r="C330" s="206">
        <f>IFERROR(VLOOKUP($A330,MTD!$A$13:$D$1048576,3,0),0)</f>
        <v>135958.59</v>
      </c>
      <c r="D330" s="112"/>
      <c r="E330" s="112"/>
      <c r="F330" s="112"/>
      <c r="G330" s="112" t="s">
        <v>330</v>
      </c>
      <c r="H330" s="112"/>
      <c r="I330" s="112"/>
      <c r="J330" s="112"/>
      <c r="K330" s="112"/>
      <c r="P330" s="112" t="s">
        <v>330</v>
      </c>
      <c r="Q330" s="112">
        <f>IFERROR(VLOOKUP($A330,YTD!$A$13:$D$1048576,3,0),0)</f>
        <v>-3113518.86</v>
      </c>
      <c r="R330" s="112">
        <f>IFERROR(VLOOKUP($A330,YTD!$A$13:$D$1048576,4,0),0)</f>
        <v>-3738337.2</v>
      </c>
      <c r="S330" s="112"/>
      <c r="T330" s="112"/>
      <c r="U330" s="112" t="s">
        <v>330</v>
      </c>
      <c r="V330" s="112"/>
      <c r="W330" s="112"/>
      <c r="X330" s="112"/>
      <c r="Y330" s="112"/>
      <c r="Z330" s="335">
        <v>-289689.19</v>
      </c>
      <c r="AA330" s="335">
        <v>-355134.83</v>
      </c>
      <c r="AB330" s="335">
        <v>0</v>
      </c>
      <c r="AC330" s="335">
        <v>-264191.68</v>
      </c>
      <c r="AD330" s="335">
        <v>-298717.94</v>
      </c>
      <c r="AE330" s="335">
        <v>-281687.49</v>
      </c>
      <c r="AF330" s="335">
        <v>-284409.78000000003</v>
      </c>
      <c r="AG330" s="335">
        <v>-269045.75</v>
      </c>
      <c r="AH330" s="335">
        <v>-313719.86</v>
      </c>
      <c r="AI330" s="335">
        <v>-311760.45</v>
      </c>
      <c r="AJ330" s="335">
        <v>-283797.98</v>
      </c>
      <c r="AK330" s="112">
        <f t="shared" si="17"/>
        <v>135958.59</v>
      </c>
    </row>
    <row r="331" spans="1:37" x14ac:dyDescent="0.3">
      <c r="A331" s="109" t="str">
        <f t="shared" si="18"/>
        <v>creditovh*   CS_OVH_ADM</v>
      </c>
      <c r="B331" s="117" t="s">
        <v>221</v>
      </c>
      <c r="C331" s="207">
        <f>IFERROR(VLOOKUP($A331,MTD!$A$13:$D$1048576,3,0),0)</f>
        <v>135958.59</v>
      </c>
      <c r="D331" s="117"/>
      <c r="E331" s="117"/>
      <c r="F331" s="117"/>
      <c r="G331" s="117" t="s">
        <v>221</v>
      </c>
      <c r="H331" s="117"/>
      <c r="I331" s="117"/>
      <c r="J331" s="117"/>
      <c r="K331" s="117"/>
      <c r="P331" s="117" t="s">
        <v>221</v>
      </c>
      <c r="Q331" s="117">
        <f>IFERROR(VLOOKUP($A331,YTD!$A$13:$D$1048576,3,0),0)</f>
        <v>-3113518.86</v>
      </c>
      <c r="R331" s="117">
        <f>IFERROR(VLOOKUP($A331,YTD!$A$13:$D$1048576,4,0),0)</f>
        <v>-3738337.2</v>
      </c>
      <c r="S331" s="117"/>
      <c r="T331" s="117"/>
      <c r="U331" s="117" t="s">
        <v>221</v>
      </c>
      <c r="V331" s="117"/>
      <c r="W331" s="117"/>
      <c r="X331" s="117"/>
      <c r="Y331" s="117"/>
      <c r="Z331" s="336">
        <v>-289689.19</v>
      </c>
      <c r="AA331" s="336">
        <v>-355134.83</v>
      </c>
      <c r="AB331" s="336">
        <v>-297322.5</v>
      </c>
      <c r="AC331" s="336">
        <v>-264191.68</v>
      </c>
      <c r="AD331" s="336">
        <v>0</v>
      </c>
      <c r="AE331" s="336">
        <v>-281687.49</v>
      </c>
      <c r="AF331" s="336">
        <v>-284409.78000000003</v>
      </c>
      <c r="AG331" s="336">
        <v>-269045.75</v>
      </c>
      <c r="AH331" s="336">
        <v>-313719.86</v>
      </c>
      <c r="AI331" s="336">
        <v>-311760.45</v>
      </c>
      <c r="AJ331" s="336">
        <v>-283797.98</v>
      </c>
      <c r="AK331" s="117">
        <f t="shared" si="17"/>
        <v>135958.59</v>
      </c>
    </row>
    <row r="332" spans="1:37" x14ac:dyDescent="0.3">
      <c r="A332" s="109" t="str">
        <f t="shared" si="18"/>
        <v>creditovh**  Credit</v>
      </c>
      <c r="B332" s="121" t="s">
        <v>332</v>
      </c>
      <c r="C332" s="208">
        <f>IFERROR(VLOOKUP($A332,MTD!$A$13:$D$1048576,3,0),0)</f>
        <v>135958.59</v>
      </c>
      <c r="D332" s="121"/>
      <c r="E332" s="121"/>
      <c r="F332" s="121"/>
      <c r="G332" s="121" t="s">
        <v>332</v>
      </c>
      <c r="H332" s="121"/>
      <c r="I332" s="121"/>
      <c r="J332" s="121"/>
      <c r="K332" s="121"/>
      <c r="P332" s="121" t="s">
        <v>332</v>
      </c>
      <c r="Q332" s="121">
        <f>IFERROR(VLOOKUP($A332,YTD!$A$13:$D$1048576,3,0),0)</f>
        <v>-3113518.86</v>
      </c>
      <c r="R332" s="121">
        <f>IFERROR(VLOOKUP($A332,YTD!$A$13:$D$1048576,4,0),0)</f>
        <v>-3738337.2</v>
      </c>
      <c r="S332" s="121"/>
      <c r="T332" s="121"/>
      <c r="U332" s="121" t="s">
        <v>332</v>
      </c>
      <c r="V332" s="121"/>
      <c r="W332" s="121"/>
      <c r="X332" s="121"/>
      <c r="Y332" s="121"/>
      <c r="Z332" s="334">
        <v>-289689.19</v>
      </c>
      <c r="AA332" s="334">
        <v>-355134.83</v>
      </c>
      <c r="AB332" s="334">
        <v>-297322.5</v>
      </c>
      <c r="AC332" s="334">
        <v>-264191.68</v>
      </c>
      <c r="AD332" s="334">
        <v>0</v>
      </c>
      <c r="AE332" s="334">
        <v>-281687.49</v>
      </c>
      <c r="AF332" s="334">
        <v>-284409.78000000003</v>
      </c>
      <c r="AG332" s="334">
        <v>-269045.75</v>
      </c>
      <c r="AH332" s="334">
        <v>-313719.86</v>
      </c>
      <c r="AI332" s="334">
        <v>-311760.45</v>
      </c>
      <c r="AJ332" s="334">
        <v>-283797.98</v>
      </c>
      <c r="AK332" s="121">
        <f t="shared" si="17"/>
        <v>135958.59</v>
      </c>
    </row>
    <row r="333" spans="1:37" x14ac:dyDescent="0.3">
      <c r="A333" s="109" t="str">
        <f t="shared" si="18"/>
        <v>creditovh*** Over/Underabsorption</v>
      </c>
      <c r="B333" s="126" t="s">
        <v>333</v>
      </c>
      <c r="C333" s="209">
        <f>IFERROR(VLOOKUP($A333,MTD!$A$13:$D$1048576,3,0),0)</f>
        <v>-0.14000000000000001</v>
      </c>
      <c r="D333" s="126"/>
      <c r="E333" s="126"/>
      <c r="F333" s="126"/>
      <c r="G333" s="126" t="s">
        <v>333</v>
      </c>
      <c r="H333" s="126"/>
      <c r="I333" s="126"/>
      <c r="J333" s="126"/>
      <c r="K333" s="126"/>
      <c r="P333" s="126" t="s">
        <v>333</v>
      </c>
      <c r="Q333" s="126">
        <f>IFERROR(VLOOKUP($A333,YTD!$A$13:$D$1048576,3,0),0)</f>
        <v>-107.98</v>
      </c>
      <c r="R333" s="126">
        <f>IFERROR(VLOOKUP($A333,YTD!$A$13:$D$1048576,4,0),0)</f>
        <v>0</v>
      </c>
      <c r="S333" s="126"/>
      <c r="T333" s="126"/>
      <c r="U333" s="126" t="s">
        <v>333</v>
      </c>
      <c r="V333" s="126"/>
      <c r="W333" s="126"/>
      <c r="X333" s="126"/>
      <c r="Y333" s="126"/>
      <c r="Z333" s="337">
        <v>-106.89</v>
      </c>
      <c r="AA333" s="337">
        <v>0</v>
      </c>
      <c r="AB333" s="337">
        <v>0</v>
      </c>
      <c r="AC333" s="337">
        <v>0</v>
      </c>
      <c r="AD333" s="337">
        <v>0</v>
      </c>
      <c r="AE333" s="337">
        <v>0</v>
      </c>
      <c r="AF333" s="337">
        <v>0</v>
      </c>
      <c r="AG333" s="337">
        <v>0</v>
      </c>
      <c r="AH333" s="337">
        <v>0</v>
      </c>
      <c r="AI333" s="337">
        <v>0</v>
      </c>
      <c r="AJ333" s="337">
        <v>-0.95</v>
      </c>
      <c r="AK333" s="126">
        <f t="shared" si="17"/>
        <v>-0.14000000000000001</v>
      </c>
    </row>
  </sheetData>
  <autoFilter ref="B28:K256" xr:uid="{B1DA7A34-8FA8-4647-B9D7-2CD4573A1361}"/>
  <phoneticPr fontId="4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CBAC-476A-48DF-82FF-049E04967503}">
  <sheetPr>
    <tabColor rgb="FFFF0000"/>
  </sheetPr>
  <dimension ref="A1:M315"/>
  <sheetViews>
    <sheetView zoomScale="70" zoomScaleNormal="70" workbookViewId="0">
      <selection activeCell="C16" sqref="C16"/>
    </sheetView>
  </sheetViews>
  <sheetFormatPr defaultColWidth="8.77734375" defaultRowHeight="14.4" x14ac:dyDescent="0.3"/>
  <cols>
    <col min="1" max="1" width="62.77734375" style="109" bestFit="1" customWidth="1"/>
    <col min="2" max="2" width="60.44140625" style="109" bestFit="1" customWidth="1"/>
    <col min="3" max="3" width="20.44140625" style="109" bestFit="1" customWidth="1"/>
    <col min="4" max="4" width="21.21875" style="109" bestFit="1" customWidth="1"/>
    <col min="5" max="5" width="20.5546875" style="109" bestFit="1" customWidth="1"/>
    <col min="6" max="6" width="17.5546875" style="109" bestFit="1" customWidth="1"/>
    <col min="7" max="7" width="60.44140625" style="109" bestFit="1" customWidth="1"/>
    <col min="8" max="8" width="20.77734375" style="109" bestFit="1" customWidth="1"/>
    <col min="9" max="9" width="18.77734375" style="109" bestFit="1" customWidth="1"/>
    <col min="10" max="10" width="20.5546875" style="109" bestFit="1" customWidth="1"/>
    <col min="11" max="11" width="17.5546875" style="109" bestFit="1" customWidth="1"/>
    <col min="12" max="12" width="69" bestFit="1" customWidth="1"/>
    <col min="13" max="13" width="60.44140625" bestFit="1" customWidth="1"/>
  </cols>
  <sheetData>
    <row r="1" spans="1:13" x14ac:dyDescent="0.3">
      <c r="B1" s="108" t="s">
        <v>346</v>
      </c>
    </row>
    <row r="2" spans="1:13" x14ac:dyDescent="0.3">
      <c r="B2" s="108" t="s">
        <v>347</v>
      </c>
    </row>
    <row r="3" spans="1:13" x14ac:dyDescent="0.3">
      <c r="B3" s="108" t="s">
        <v>348</v>
      </c>
    </row>
    <row r="4" spans="1:13" x14ac:dyDescent="0.3">
      <c r="B4" s="108" t="s">
        <v>349</v>
      </c>
    </row>
    <row r="5" spans="1:13" x14ac:dyDescent="0.3">
      <c r="B5" s="108" t="s">
        <v>350</v>
      </c>
    </row>
    <row r="6" spans="1:13" x14ac:dyDescent="0.3">
      <c r="B6" s="108" t="s">
        <v>363</v>
      </c>
    </row>
    <row r="7" spans="1:13" x14ac:dyDescent="0.3">
      <c r="B7" s="108" t="s">
        <v>352</v>
      </c>
    </row>
    <row r="8" spans="1:13" x14ac:dyDescent="0.3">
      <c r="B8" s="108" t="s">
        <v>353</v>
      </c>
    </row>
    <row r="9" spans="1:13" x14ac:dyDescent="0.3">
      <c r="B9" s="108" t="s">
        <v>354</v>
      </c>
    </row>
    <row r="10" spans="1:13" x14ac:dyDescent="0.3">
      <c r="B10" s="108" t="s">
        <v>355</v>
      </c>
    </row>
    <row r="11" spans="1:13" x14ac:dyDescent="0.3">
      <c r="B11" s="108"/>
    </row>
    <row r="13" spans="1:13" x14ac:dyDescent="0.3">
      <c r="B13" s="110" t="s">
        <v>168</v>
      </c>
      <c r="C13" s="111" t="s">
        <v>173</v>
      </c>
      <c r="D13" s="111" t="s">
        <v>170</v>
      </c>
      <c r="E13" s="111" t="s">
        <v>222</v>
      </c>
      <c r="F13" s="111" t="s">
        <v>223</v>
      </c>
      <c r="G13" s="110" t="s">
        <v>168</v>
      </c>
      <c r="H13" s="111" t="s">
        <v>224</v>
      </c>
      <c r="I13" s="111" t="s">
        <v>225</v>
      </c>
      <c r="J13" s="111" t="s">
        <v>222</v>
      </c>
      <c r="K13" s="111" t="s">
        <v>223</v>
      </c>
      <c r="L13" s="156" t="s">
        <v>364</v>
      </c>
    </row>
    <row r="14" spans="1:13" x14ac:dyDescent="0.3">
      <c r="A14" s="109" t="str">
        <f>"debit"&amp;B14</f>
        <v>debit    6666110101  Depreciation of buildings</v>
      </c>
      <c r="B14" s="112" t="s">
        <v>226</v>
      </c>
      <c r="C14" s="113">
        <v>46969.19</v>
      </c>
      <c r="D14" s="113">
        <v>330497.21000000002</v>
      </c>
      <c r="E14" s="113">
        <v>-283528.02</v>
      </c>
      <c r="F14" s="113">
        <v>-85.788300000000007</v>
      </c>
      <c r="G14" s="112" t="s">
        <v>226</v>
      </c>
      <c r="H14" s="114">
        <v>0</v>
      </c>
      <c r="I14" s="114">
        <v>0</v>
      </c>
      <c r="J14" s="115">
        <v>0</v>
      </c>
      <c r="K14" s="113">
        <v>0</v>
      </c>
      <c r="L14" t="str">
        <f>VLOOKUP(A14,'SAP Actual extraction'!$A$28:$A$1048576,1,0)</f>
        <v>debit    6666110101  Depreciation of buildings</v>
      </c>
      <c r="M14" t="str">
        <f>VLOOKUP(B14,'SAP Actual extraction'!B:B,1,0)</f>
        <v xml:space="preserve">    6666110101  Depreciation of buildings</v>
      </c>
    </row>
    <row r="15" spans="1:13" x14ac:dyDescent="0.3">
      <c r="A15" s="109" t="str">
        <f>"debit"&amp;B15</f>
        <v>debit    6666110107  Depreciation of mold　</v>
      </c>
      <c r="B15" s="112" t="s">
        <v>228</v>
      </c>
      <c r="C15" s="113">
        <v>177796.77</v>
      </c>
      <c r="D15" s="116">
        <v>0</v>
      </c>
      <c r="E15" s="113">
        <v>177796.77</v>
      </c>
      <c r="F15" s="113">
        <v>0</v>
      </c>
      <c r="G15" s="112" t="s">
        <v>228</v>
      </c>
      <c r="H15" s="114">
        <v>0</v>
      </c>
      <c r="I15" s="114">
        <v>0</v>
      </c>
      <c r="J15" s="115">
        <v>0</v>
      </c>
      <c r="K15" s="113">
        <v>0</v>
      </c>
      <c r="L15" t="str">
        <f>VLOOKUP(A15,'SAP Actual extraction'!$A$28:$A$1048576,1,0)</f>
        <v>debit    6666110107  Depreciation of mold　</v>
      </c>
      <c r="M15" t="str">
        <f>VLOOKUP(B15,'SAP Actual extraction'!B:B,1,0)</f>
        <v xml:space="preserve">    6666110107  Depreciation of mold　</v>
      </c>
    </row>
    <row r="16" spans="1:13" x14ac:dyDescent="0.3">
      <c r="A16" s="109" t="str">
        <f t="shared" ref="A16:A79" si="0">"debit"&amp;B16</f>
        <v>debit    6666110110  Depreciation-Plant &amp; Machinery</v>
      </c>
      <c r="B16" s="112" t="s">
        <v>229</v>
      </c>
      <c r="C16" s="113">
        <v>249195.66</v>
      </c>
      <c r="D16" s="116">
        <v>0</v>
      </c>
      <c r="E16" s="113">
        <v>249195.66</v>
      </c>
      <c r="F16" s="113">
        <v>0</v>
      </c>
      <c r="G16" s="112" t="s">
        <v>229</v>
      </c>
      <c r="H16" s="114">
        <v>0</v>
      </c>
      <c r="I16" s="114">
        <v>0</v>
      </c>
      <c r="J16" s="115">
        <v>0</v>
      </c>
      <c r="K16" s="113">
        <v>0</v>
      </c>
      <c r="L16" t="str">
        <f>VLOOKUP(A16,'SAP Actual extraction'!$A$28:$A$1048576,1,0)</f>
        <v>debit    6666110110  Depreciation-Plant &amp; Machinery</v>
      </c>
      <c r="M16" t="str">
        <f>VLOOKUP(B16,'SAP Actual extraction'!B:B,1,0)</f>
        <v xml:space="preserve">    6666110110  Depreciation-Plant &amp; Machinery</v>
      </c>
    </row>
    <row r="17" spans="1:13" x14ac:dyDescent="0.3">
      <c r="A17" s="109" t="str">
        <f t="shared" si="0"/>
        <v>debit    6666110112  Depreciation of Furniture &amp; Fixture</v>
      </c>
      <c r="B17" s="112" t="s">
        <v>230</v>
      </c>
      <c r="C17" s="113">
        <v>19898.27</v>
      </c>
      <c r="D17" s="116">
        <v>0</v>
      </c>
      <c r="E17" s="113">
        <v>19898.27</v>
      </c>
      <c r="F17" s="113">
        <v>0</v>
      </c>
      <c r="G17" s="112" t="s">
        <v>230</v>
      </c>
      <c r="H17" s="114">
        <v>0</v>
      </c>
      <c r="I17" s="114">
        <v>0</v>
      </c>
      <c r="J17" s="115">
        <v>0</v>
      </c>
      <c r="K17" s="113">
        <v>0</v>
      </c>
      <c r="L17" t="str">
        <f>VLOOKUP(A17,'SAP Actual extraction'!$A$28:$A$1048576,1,0)</f>
        <v>debit    6666110112  Depreciation of Furniture &amp; Fixture</v>
      </c>
      <c r="M17" t="str">
        <f>VLOOKUP(B17,'SAP Actual extraction'!B:B,1,0)</f>
        <v xml:space="preserve">    6666110112  Depreciation of Furniture &amp; Fixture</v>
      </c>
    </row>
    <row r="18" spans="1:13" x14ac:dyDescent="0.3">
      <c r="A18" s="109" t="str">
        <f t="shared" si="0"/>
        <v>debit    6666110204  Amortization of license, trademarks and</v>
      </c>
      <c r="B18" s="112" t="s">
        <v>231</v>
      </c>
      <c r="C18" s="113">
        <v>505.04</v>
      </c>
      <c r="D18" s="116">
        <v>0</v>
      </c>
      <c r="E18" s="113">
        <v>505.04</v>
      </c>
      <c r="F18" s="113">
        <v>0</v>
      </c>
      <c r="G18" s="112" t="s">
        <v>231</v>
      </c>
      <c r="H18" s="114">
        <v>0</v>
      </c>
      <c r="I18" s="114">
        <v>0</v>
      </c>
      <c r="J18" s="115">
        <v>0</v>
      </c>
      <c r="K18" s="113">
        <v>0</v>
      </c>
      <c r="L18" t="str">
        <f>VLOOKUP(A18,'SAP Actual extraction'!$A$28:$A$1048576,1,0)</f>
        <v>debit    6666110204  Amortization of license, trademarks and</v>
      </c>
      <c r="M18" t="str">
        <f>VLOOKUP(B18,'SAP Actual extraction'!B:B,1,0)</f>
        <v xml:space="preserve">    6666110204  Amortization of license, trademarks and</v>
      </c>
    </row>
    <row r="19" spans="1:13" x14ac:dyDescent="0.3">
      <c r="A19" s="109" t="str">
        <f t="shared" si="0"/>
        <v>debit    6666110207  Amortization of Software</v>
      </c>
      <c r="B19" s="112" t="s">
        <v>232</v>
      </c>
      <c r="C19" s="113">
        <v>13848.17</v>
      </c>
      <c r="D19" s="116">
        <v>0</v>
      </c>
      <c r="E19" s="113">
        <v>13848.17</v>
      </c>
      <c r="F19" s="113">
        <v>0</v>
      </c>
      <c r="G19" s="112" t="s">
        <v>232</v>
      </c>
      <c r="H19" s="114">
        <v>0</v>
      </c>
      <c r="I19" s="114">
        <v>0</v>
      </c>
      <c r="J19" s="115">
        <v>0</v>
      </c>
      <c r="K19" s="113">
        <v>0</v>
      </c>
      <c r="L19" t="str">
        <f>VLOOKUP(A19,'SAP Actual extraction'!$A$28:$A$1048576,1,0)</f>
        <v>debit    6666110207  Amortization of Software</v>
      </c>
      <c r="M19" t="str">
        <f>VLOOKUP(B19,'SAP Actual extraction'!B:B,1,0)</f>
        <v xml:space="preserve">    6666110207  Amortization of Software</v>
      </c>
    </row>
    <row r="20" spans="1:13" x14ac:dyDescent="0.3">
      <c r="A20" s="109" t="str">
        <f t="shared" si="0"/>
        <v>debit    6666110506  Amortization-Leasehold Improvement</v>
      </c>
      <c r="B20" s="112" t="s">
        <v>233</v>
      </c>
      <c r="C20" s="113">
        <v>350.02</v>
      </c>
      <c r="D20" s="116">
        <v>0</v>
      </c>
      <c r="E20" s="113">
        <v>350.02</v>
      </c>
      <c r="F20" s="113">
        <v>0</v>
      </c>
      <c r="G20" s="112" t="s">
        <v>233</v>
      </c>
      <c r="H20" s="114">
        <v>0</v>
      </c>
      <c r="I20" s="114">
        <v>0</v>
      </c>
      <c r="J20" s="115">
        <v>0</v>
      </c>
      <c r="K20" s="113">
        <v>0</v>
      </c>
      <c r="L20" t="str">
        <f>VLOOKUP(A20,'SAP Actual extraction'!$A$28:$A$1048576,1,0)</f>
        <v>debit    6666110506  Amortization-Leasehold Improvement</v>
      </c>
      <c r="M20" t="str">
        <f>VLOOKUP(B20,'SAP Actual extraction'!B:B,1,0)</f>
        <v xml:space="preserve">    6666110506  Amortization-Leasehold Improvement</v>
      </c>
    </row>
    <row r="21" spans="1:13" x14ac:dyDescent="0.3">
      <c r="A21" s="109" t="str">
        <f t="shared" si="0"/>
        <v>debit*   CS_Depreciation</v>
      </c>
      <c r="B21" s="117" t="s">
        <v>208</v>
      </c>
      <c r="C21" s="118">
        <v>508563.12</v>
      </c>
      <c r="D21" s="118">
        <v>330497.21000000002</v>
      </c>
      <c r="E21" s="118">
        <v>178065.91</v>
      </c>
      <c r="F21" s="118">
        <v>53.8782</v>
      </c>
      <c r="G21" s="117" t="s">
        <v>208</v>
      </c>
      <c r="H21" s="119">
        <v>0</v>
      </c>
      <c r="I21" s="119">
        <v>0</v>
      </c>
      <c r="J21" s="120">
        <v>0</v>
      </c>
      <c r="K21" s="118">
        <v>0</v>
      </c>
      <c r="L21" t="str">
        <f>VLOOKUP(A21,'SAP Actual extraction'!$A$28:$A$1048576,1,0)</f>
        <v>debit*   CS_Depreciation</v>
      </c>
      <c r="M21" t="str">
        <f>VLOOKUP(B21,'SAP Actual extraction'!B:B,1,0)</f>
        <v>*   CS_Depreciation</v>
      </c>
    </row>
    <row r="22" spans="1:13" x14ac:dyDescent="0.3">
      <c r="A22" s="109" t="str">
        <f t="shared" si="0"/>
        <v>debit    5001010205  Unemployment Insurance -blue collar-Dire</v>
      </c>
      <c r="B22" s="112" t="s">
        <v>234</v>
      </c>
      <c r="C22" s="113">
        <v>11595.25</v>
      </c>
      <c r="D22" s="116">
        <v>0</v>
      </c>
      <c r="E22" s="113">
        <v>11595.25</v>
      </c>
      <c r="F22" s="113">
        <v>0</v>
      </c>
      <c r="G22" s="112" t="s">
        <v>234</v>
      </c>
      <c r="H22" s="114">
        <v>0</v>
      </c>
      <c r="I22" s="114">
        <v>0</v>
      </c>
      <c r="J22" s="115">
        <v>0</v>
      </c>
      <c r="K22" s="113">
        <v>0</v>
      </c>
      <c r="L22" t="str">
        <f>VLOOKUP(A22,'SAP Actual extraction'!$A$28:$A$1048576,1,0)</f>
        <v>debit    5001010205  Unemployment Insurance -blue collar-Dire</v>
      </c>
      <c r="M22" t="str">
        <f>VLOOKUP(B22,'SAP Actual extraction'!B:B,1,0)</f>
        <v xml:space="preserve">    5001010205  Unemployment Insurance -blue collar-Dire</v>
      </c>
    </row>
    <row r="23" spans="1:13" x14ac:dyDescent="0.3">
      <c r="A23" s="109" t="str">
        <f t="shared" si="0"/>
        <v>debit    6666010380  Incentive</v>
      </c>
      <c r="B23" s="112" t="s">
        <v>235</v>
      </c>
      <c r="C23" s="113">
        <v>6772.56</v>
      </c>
      <c r="D23" s="116">
        <v>0</v>
      </c>
      <c r="E23" s="113">
        <v>6772.56</v>
      </c>
      <c r="F23" s="113">
        <v>0</v>
      </c>
      <c r="G23" s="112" t="s">
        <v>235</v>
      </c>
      <c r="H23" s="114">
        <v>0</v>
      </c>
      <c r="I23" s="114">
        <v>0</v>
      </c>
      <c r="J23" s="115">
        <v>0</v>
      </c>
      <c r="K23" s="113">
        <v>0</v>
      </c>
      <c r="L23" t="str">
        <f>VLOOKUP(A23,'SAP Actual extraction'!$A$28:$A$1048576,1,0)</f>
        <v>debit    6666010380  Incentive</v>
      </c>
      <c r="M23" t="str">
        <f>VLOOKUP(B23,'SAP Actual extraction'!B:B,1,0)</f>
        <v xml:space="preserve">    6666010380  Incentive</v>
      </c>
    </row>
    <row r="24" spans="1:13" x14ac:dyDescent="0.3">
      <c r="A24" s="109" t="str">
        <f t="shared" si="0"/>
        <v>debit    6666010019  Payroll Taxes - Blue Collar Direct</v>
      </c>
      <c r="B24" s="112" t="s">
        <v>236</v>
      </c>
      <c r="C24" s="113">
        <v>91781.58</v>
      </c>
      <c r="D24" s="116">
        <v>0</v>
      </c>
      <c r="E24" s="113">
        <v>91781.58</v>
      </c>
      <c r="F24" s="113">
        <v>0</v>
      </c>
      <c r="G24" s="112" t="s">
        <v>236</v>
      </c>
      <c r="H24" s="114">
        <v>0</v>
      </c>
      <c r="I24" s="114">
        <v>0</v>
      </c>
      <c r="J24" s="115">
        <v>0</v>
      </c>
      <c r="K24" s="113">
        <v>0</v>
      </c>
      <c r="L24" t="str">
        <f>VLOOKUP(A24,'SAP Actual extraction'!$A$28:$A$1048576,1,0)</f>
        <v>debit    6666010019  Payroll Taxes - Blue Collar Direct</v>
      </c>
      <c r="M24" t="str">
        <f>VLOOKUP(B24,'SAP Actual extraction'!B:B,1,0)</f>
        <v xml:space="preserve">    6666010019  Payroll Taxes - Blue Collar Direct</v>
      </c>
    </row>
    <row r="25" spans="1:13" x14ac:dyDescent="0.3">
      <c r="A25" s="109" t="str">
        <f t="shared" si="0"/>
        <v>debit    6666010183  Overtime-Blue Collar-Direct</v>
      </c>
      <c r="B25" s="112" t="s">
        <v>237</v>
      </c>
      <c r="C25" s="113">
        <v>23427.23</v>
      </c>
      <c r="D25" s="116">
        <v>0</v>
      </c>
      <c r="E25" s="113">
        <v>23427.23</v>
      </c>
      <c r="F25" s="113">
        <v>0</v>
      </c>
      <c r="G25" s="112" t="s">
        <v>237</v>
      </c>
      <c r="H25" s="114">
        <v>0</v>
      </c>
      <c r="I25" s="114">
        <v>0</v>
      </c>
      <c r="J25" s="115">
        <v>0</v>
      </c>
      <c r="K25" s="113">
        <v>0</v>
      </c>
      <c r="L25" t="str">
        <f>VLOOKUP(A25,'SAP Actual extraction'!$A$28:$A$1048576,1,0)</f>
        <v>debit    6666010183  Overtime-Blue Collar-Direct</v>
      </c>
      <c r="M25" t="str">
        <f>VLOOKUP(B25,'SAP Actual extraction'!B:B,1,0)</f>
        <v xml:space="preserve">    6666010183  Overtime-Blue Collar-Direct</v>
      </c>
    </row>
    <row r="26" spans="1:13" x14ac:dyDescent="0.3">
      <c r="A26" s="109" t="str">
        <f t="shared" si="0"/>
        <v>debit    6666010229  Staff Leaving Indemnity - Blue Collar Di</v>
      </c>
      <c r="B26" s="112" t="s">
        <v>238</v>
      </c>
      <c r="C26" s="113">
        <v>25050.12</v>
      </c>
      <c r="D26" s="116">
        <v>0</v>
      </c>
      <c r="E26" s="113">
        <v>25050.12</v>
      </c>
      <c r="F26" s="113">
        <v>0</v>
      </c>
      <c r="G26" s="112" t="s">
        <v>238</v>
      </c>
      <c r="H26" s="114">
        <v>0</v>
      </c>
      <c r="I26" s="114">
        <v>0</v>
      </c>
      <c r="J26" s="115">
        <v>0</v>
      </c>
      <c r="K26" s="113">
        <v>0</v>
      </c>
      <c r="L26" t="str">
        <f>VLOOKUP(A26,'SAP Actual extraction'!$A$28:$A$1048576,1,0)</f>
        <v>debit    6666010229  Staff Leaving Indemnity - Blue Collar Di</v>
      </c>
      <c r="M26" t="str">
        <f>VLOOKUP(B26,'SAP Actual extraction'!B:B,1,0)</f>
        <v xml:space="preserve">    6666010229  Staff Leaving Indemnity - Blue Collar Di</v>
      </c>
    </row>
    <row r="27" spans="1:13" x14ac:dyDescent="0.3">
      <c r="A27" s="109" t="str">
        <f t="shared" si="0"/>
        <v>debit    6666010188  Salary - Blue collar direct employees</v>
      </c>
      <c r="B27" s="112" t="s">
        <v>239</v>
      </c>
      <c r="C27" s="113">
        <v>689710.27</v>
      </c>
      <c r="D27" s="113">
        <v>948977.55</v>
      </c>
      <c r="E27" s="113">
        <v>-259267.28</v>
      </c>
      <c r="F27" s="113">
        <v>-27.320699999999999</v>
      </c>
      <c r="G27" s="112" t="s">
        <v>239</v>
      </c>
      <c r="H27" s="114">
        <v>0</v>
      </c>
      <c r="I27" s="114">
        <v>0</v>
      </c>
      <c r="J27" s="115">
        <v>0</v>
      </c>
      <c r="K27" s="113">
        <v>0</v>
      </c>
      <c r="L27" t="str">
        <f>VLOOKUP(A27,'SAP Actual extraction'!$A$28:$A$1048576,1,0)</f>
        <v>debit    6666010188  Salary - Blue collar direct employees</v>
      </c>
      <c r="M27" t="str">
        <f>VLOOKUP(B27,'SAP Actual extraction'!B:B,1,0)</f>
        <v xml:space="preserve">    6666010188  Salary - Blue collar direct employees</v>
      </c>
    </row>
    <row r="28" spans="1:13" x14ac:dyDescent="0.3">
      <c r="A28" s="109" t="str">
        <f t="shared" si="0"/>
        <v>debit    5102040406  Other revenue-Service/Secondment agreeme</v>
      </c>
      <c r="B28" s="112" t="s">
        <v>240</v>
      </c>
      <c r="C28" s="116">
        <v>0</v>
      </c>
      <c r="D28" s="116">
        <v>0</v>
      </c>
      <c r="E28" s="113">
        <v>0</v>
      </c>
      <c r="F28" s="113">
        <v>0</v>
      </c>
      <c r="G28" s="112" t="s">
        <v>240</v>
      </c>
      <c r="H28" s="114">
        <v>0</v>
      </c>
      <c r="I28" s="114">
        <v>0</v>
      </c>
      <c r="J28" s="115">
        <v>0</v>
      </c>
      <c r="K28" s="113">
        <v>0</v>
      </c>
      <c r="L28" t="str">
        <f>VLOOKUP(A28,'SAP Actual extraction'!$A$28:$A$1048576,1,0)</f>
        <v>debit    5102040406  Other revenue-Service/Secondment agreeme</v>
      </c>
      <c r="M28" t="str">
        <f>VLOOKUP(B28,'SAP Actual extraction'!B:B,1,0)</f>
        <v xml:space="preserve">    5102040406  Other revenue-Service/Secondment agreeme</v>
      </c>
    </row>
    <row r="29" spans="1:13" x14ac:dyDescent="0.3">
      <c r="A29" s="109" t="str">
        <f t="shared" si="0"/>
        <v>debit    6666010115  Salary-Blue collar direct employees-Accr</v>
      </c>
      <c r="B29" s="112" t="s">
        <v>241</v>
      </c>
      <c r="C29" s="113">
        <v>-84906.27</v>
      </c>
      <c r="D29" s="116">
        <v>0</v>
      </c>
      <c r="E29" s="113">
        <v>-84906.27</v>
      </c>
      <c r="F29" s="113">
        <v>0</v>
      </c>
      <c r="G29" s="112" t="s">
        <v>241</v>
      </c>
      <c r="H29" s="114">
        <v>0</v>
      </c>
      <c r="I29" s="114">
        <v>0</v>
      </c>
      <c r="J29" s="115">
        <v>0</v>
      </c>
      <c r="K29" s="113">
        <v>0</v>
      </c>
      <c r="L29" t="str">
        <f>VLOOKUP(A29,'SAP Actual extraction'!$A$28:$A$1048576,1,0)</f>
        <v>debit    6666010115  Salary-Blue collar direct employees-Accr</v>
      </c>
      <c r="M29" t="str">
        <f>VLOOKUP(B29,'SAP Actual extraction'!B:B,1,0)</f>
        <v xml:space="preserve">    6666010115  Salary-Blue collar direct employees-Accr</v>
      </c>
    </row>
    <row r="30" spans="1:13" x14ac:dyDescent="0.3">
      <c r="A30" s="109" t="str">
        <f t="shared" si="0"/>
        <v>debit*   CS_Direct Labour</v>
      </c>
      <c r="B30" s="117" t="s">
        <v>209</v>
      </c>
      <c r="C30" s="118">
        <v>763430.74</v>
      </c>
      <c r="D30" s="118">
        <v>948977.55</v>
      </c>
      <c r="E30" s="118">
        <v>-185546.81</v>
      </c>
      <c r="F30" s="118">
        <v>-19.552299999999999</v>
      </c>
      <c r="G30" s="117" t="s">
        <v>209</v>
      </c>
      <c r="H30" s="119">
        <v>0</v>
      </c>
      <c r="I30" s="119">
        <v>0</v>
      </c>
      <c r="J30" s="120">
        <v>0</v>
      </c>
      <c r="K30" s="118">
        <v>0</v>
      </c>
      <c r="L30" t="str">
        <f>VLOOKUP(A30,'SAP Actual extraction'!$A$28:$A$1048576,1,0)</f>
        <v>debit*   CS_Direct Labour</v>
      </c>
      <c r="M30" t="str">
        <f>VLOOKUP(B30,'SAP Actual extraction'!B:B,1,0)</f>
        <v>*   CS_Direct Labour</v>
      </c>
    </row>
    <row r="31" spans="1:13" x14ac:dyDescent="0.3">
      <c r="A31" s="109" t="str">
        <f t="shared" si="0"/>
        <v>debit    8701530201  Scrap-Raw&amp;#160;Material - Managerial</v>
      </c>
      <c r="B31" s="112" t="s">
        <v>242</v>
      </c>
      <c r="C31" s="116">
        <v>0</v>
      </c>
      <c r="D31" s="113">
        <v>77644.7</v>
      </c>
      <c r="E31" s="113">
        <v>-77644.7</v>
      </c>
      <c r="F31" s="113">
        <v>-100</v>
      </c>
      <c r="G31" s="112" t="s">
        <v>242</v>
      </c>
      <c r="H31" s="114">
        <v>0</v>
      </c>
      <c r="I31" s="114">
        <v>0</v>
      </c>
      <c r="J31" s="115">
        <v>0</v>
      </c>
      <c r="K31" s="113">
        <v>0</v>
      </c>
      <c r="L31" t="str">
        <f>VLOOKUP(A31,'SAP Actual extraction'!$A$28:$A$1048576,1,0)</f>
        <v>debit    8701530201  Scrap-Raw&amp;#160;Material - Managerial</v>
      </c>
      <c r="M31" t="str">
        <f>VLOOKUP(B31,'SAP Actual extraction'!B:B,1,0)</f>
        <v xml:space="preserve">    8701530201  Scrap-Raw&amp;#160;Material - Managerial</v>
      </c>
    </row>
    <row r="32" spans="1:13" x14ac:dyDescent="0.3">
      <c r="A32" s="109" t="str">
        <f t="shared" si="0"/>
        <v>debit    6666050309  SFG scrap</v>
      </c>
      <c r="B32" s="112" t="s">
        <v>243</v>
      </c>
      <c r="C32" s="113">
        <v>41331.019999999997</v>
      </c>
      <c r="D32" s="116">
        <v>0</v>
      </c>
      <c r="E32" s="113">
        <v>41331.019999999997</v>
      </c>
      <c r="F32" s="113">
        <v>0</v>
      </c>
      <c r="G32" s="112" t="s">
        <v>243</v>
      </c>
      <c r="H32" s="114">
        <v>0</v>
      </c>
      <c r="I32" s="114">
        <v>0</v>
      </c>
      <c r="J32" s="115">
        <v>0</v>
      </c>
      <c r="K32" s="113">
        <v>0</v>
      </c>
      <c r="L32" t="str">
        <f>VLOOKUP(A32,'SAP Actual extraction'!$A$28:$A$1048576,1,0)</f>
        <v>debit    6666050309  SFG scrap</v>
      </c>
      <c r="M32" t="str">
        <f>VLOOKUP(B32,'SAP Actual extraction'!B:B,1,0)</f>
        <v xml:space="preserve">    6666050309  SFG scrap</v>
      </c>
    </row>
    <row r="33" spans="1:13" x14ac:dyDescent="0.3">
      <c r="A33" s="109" t="str">
        <f t="shared" si="0"/>
        <v>debit    6666050308  Raw material scrap</v>
      </c>
      <c r="B33" s="112" t="s">
        <v>244</v>
      </c>
      <c r="C33" s="113">
        <v>11211.37</v>
      </c>
      <c r="D33" s="116">
        <v>0</v>
      </c>
      <c r="E33" s="113">
        <v>11211.37</v>
      </c>
      <c r="F33" s="113">
        <v>0</v>
      </c>
      <c r="G33" s="112" t="s">
        <v>244</v>
      </c>
      <c r="H33" s="114">
        <v>0</v>
      </c>
      <c r="I33" s="114">
        <v>0</v>
      </c>
      <c r="J33" s="115">
        <v>0</v>
      </c>
      <c r="K33" s="113">
        <v>0</v>
      </c>
      <c r="L33" t="str">
        <f>VLOOKUP(A33,'SAP Actual extraction'!$A$28:$A$1048576,1,0)</f>
        <v>debit    6666050308  Raw material scrap</v>
      </c>
      <c r="M33" t="str">
        <f>VLOOKUP(B33,'SAP Actual extraction'!B:B,1,0)</f>
        <v xml:space="preserve">    6666050308  Raw material scrap</v>
      </c>
    </row>
    <row r="34" spans="1:13" x14ac:dyDescent="0.3">
      <c r="A34" s="109" t="str">
        <f t="shared" si="0"/>
        <v>debit    6666050306  Finished goods scrap</v>
      </c>
      <c r="B34" s="112" t="s">
        <v>245</v>
      </c>
      <c r="C34" s="113">
        <v>-166</v>
      </c>
      <c r="D34" s="116">
        <v>0</v>
      </c>
      <c r="E34" s="113">
        <v>-166</v>
      </c>
      <c r="F34" s="113">
        <v>0</v>
      </c>
      <c r="G34" s="112" t="s">
        <v>245</v>
      </c>
      <c r="H34" s="114">
        <v>0</v>
      </c>
      <c r="I34" s="114">
        <v>0</v>
      </c>
      <c r="J34" s="115">
        <v>0</v>
      </c>
      <c r="K34" s="113">
        <v>0</v>
      </c>
      <c r="L34" t="str">
        <f>VLOOKUP(A34,'SAP Actual extraction'!$A$28:$A$1048576,1,0)</f>
        <v>debit    6666050306  Finished goods scrap</v>
      </c>
      <c r="M34" t="str">
        <f>VLOOKUP(B34,'SAP Actual extraction'!B:B,1,0)</f>
        <v xml:space="preserve">    6666050306  Finished goods scrap</v>
      </c>
    </row>
    <row r="35" spans="1:13" x14ac:dyDescent="0.3">
      <c r="A35" s="109" t="str">
        <f t="shared" si="0"/>
        <v>debit*   CS_SCRAP_VARIABLE</v>
      </c>
      <c r="B35" s="117" t="s">
        <v>210</v>
      </c>
      <c r="C35" s="118">
        <v>52376.39</v>
      </c>
      <c r="D35" s="118">
        <v>77644.7</v>
      </c>
      <c r="E35" s="118">
        <v>-25268.31</v>
      </c>
      <c r="F35" s="118">
        <v>-32.543500000000002</v>
      </c>
      <c r="G35" s="117" t="s">
        <v>210</v>
      </c>
      <c r="H35" s="119">
        <v>0</v>
      </c>
      <c r="I35" s="119">
        <v>0</v>
      </c>
      <c r="J35" s="120">
        <v>0</v>
      </c>
      <c r="K35" s="118">
        <v>0</v>
      </c>
      <c r="L35" t="str">
        <f>VLOOKUP(A35,'SAP Actual extraction'!$A$28:$A$1048576,1,0)</f>
        <v>debit*   CS_SCRAP_VARIABLE</v>
      </c>
      <c r="M35" t="str">
        <f>VLOOKUP(B35,'SAP Actual extraction'!B:B,1,0)</f>
        <v>*   CS_SCRAP_VARIABLE</v>
      </c>
    </row>
    <row r="36" spans="1:13" x14ac:dyDescent="0.3">
      <c r="A36" s="109" t="str">
        <f t="shared" si="0"/>
        <v>debit    6666029996  Non-deductible expense-travel.</v>
      </c>
      <c r="B36" s="112" t="s">
        <v>247</v>
      </c>
      <c r="C36" s="113">
        <v>349.22</v>
      </c>
      <c r="D36" s="116">
        <v>0</v>
      </c>
      <c r="E36" s="113">
        <v>349.22</v>
      </c>
      <c r="F36" s="113">
        <v>0</v>
      </c>
      <c r="G36" s="112" t="s">
        <v>247</v>
      </c>
      <c r="H36" s="114">
        <v>0</v>
      </c>
      <c r="I36" s="114">
        <v>0</v>
      </c>
      <c r="J36" s="115">
        <v>0</v>
      </c>
      <c r="K36" s="113">
        <v>0</v>
      </c>
      <c r="L36" t="str">
        <f>VLOOKUP(A36,'SAP Actual extraction'!$A$28:$A$1048576,1,0)</f>
        <v>debit    6666029996  Non-deductible expense-travel.</v>
      </c>
      <c r="M36" t="str">
        <f>VLOOKUP(B36,'SAP Actual extraction'!B:B,1,0)</f>
        <v xml:space="preserve">    6666029996  Non-deductible expense-travel.</v>
      </c>
    </row>
    <row r="37" spans="1:13" x14ac:dyDescent="0.3">
      <c r="A37" s="109" t="str">
        <f t="shared" si="0"/>
        <v>debit    6666010322  fuel allowance</v>
      </c>
      <c r="B37" s="112" t="s">
        <v>249</v>
      </c>
      <c r="C37" s="113">
        <v>-9806.92</v>
      </c>
      <c r="D37" s="116">
        <v>0</v>
      </c>
      <c r="E37" s="113">
        <v>-9806.92</v>
      </c>
      <c r="F37" s="113">
        <v>0</v>
      </c>
      <c r="G37" s="112" t="s">
        <v>249</v>
      </c>
      <c r="H37" s="114">
        <v>0</v>
      </c>
      <c r="I37" s="114">
        <v>0</v>
      </c>
      <c r="J37" s="115">
        <v>0</v>
      </c>
      <c r="K37" s="113">
        <v>0</v>
      </c>
      <c r="L37" t="str">
        <f>VLOOKUP(A37,'SAP Actual extraction'!$A$28:$A$1048576,1,0)</f>
        <v>debit    6666010322  fuel allowance</v>
      </c>
      <c r="M37" t="str">
        <f>VLOOKUP(B37,'SAP Actual extraction'!B:B,1,0)</f>
        <v xml:space="preserve">    6666010322  fuel allowance</v>
      </c>
    </row>
    <row r="38" spans="1:13" x14ac:dyDescent="0.3">
      <c r="A38" s="109" t="str">
        <f t="shared" si="0"/>
        <v>debit    6666020495  Non-deductible expense-travel.</v>
      </c>
      <c r="B38" s="112" t="s">
        <v>250</v>
      </c>
      <c r="C38" s="113">
        <v>1889.39</v>
      </c>
      <c r="D38" s="116">
        <v>0</v>
      </c>
      <c r="E38" s="113">
        <v>1889.39</v>
      </c>
      <c r="F38" s="113">
        <v>0</v>
      </c>
      <c r="G38" s="112" t="s">
        <v>250</v>
      </c>
      <c r="H38" s="114">
        <v>0</v>
      </c>
      <c r="I38" s="114">
        <v>0</v>
      </c>
      <c r="J38" s="115">
        <v>0</v>
      </c>
      <c r="K38" s="113">
        <v>0</v>
      </c>
      <c r="L38" t="str">
        <f>VLOOKUP(A38,'SAP Actual extraction'!$A$28:$A$1048576,1,0)</f>
        <v>debit    6666020495  Non-deductible expense-travel.</v>
      </c>
      <c r="M38" t="str">
        <f>VLOOKUP(B38,'SAP Actual extraction'!B:B,1,0)</f>
        <v xml:space="preserve">    6666020495  Non-deductible expense-travel.</v>
      </c>
    </row>
    <row r="39" spans="1:13" x14ac:dyDescent="0.3">
      <c r="A39" s="109" t="str">
        <f t="shared" si="0"/>
        <v>debit    5102010151  Other Rev.-Interco-Epidemic problem comp</v>
      </c>
      <c r="B39" s="112" t="s">
        <v>251</v>
      </c>
      <c r="C39" s="113">
        <v>1518.42</v>
      </c>
      <c r="D39" s="116">
        <v>0</v>
      </c>
      <c r="E39" s="113">
        <v>1518.42</v>
      </c>
      <c r="F39" s="113">
        <v>0</v>
      </c>
      <c r="G39" s="112" t="s">
        <v>251</v>
      </c>
      <c r="H39" s="114">
        <v>0</v>
      </c>
      <c r="I39" s="114">
        <v>0</v>
      </c>
      <c r="J39" s="115">
        <v>0</v>
      </c>
      <c r="K39" s="113">
        <v>0</v>
      </c>
      <c r="L39" t="str">
        <f>VLOOKUP(A39,'SAP Actual extraction'!$A$28:$A$1048576,1,0)</f>
        <v>debit    5102010151  Other Rev.-Interco-Epidemic problem comp</v>
      </c>
      <c r="M39" t="str">
        <f>VLOOKUP(B39,'SAP Actual extraction'!B:B,1,0)</f>
        <v xml:space="preserve">    5102010151  Other Rev.-Interco-Epidemic problem comp</v>
      </c>
    </row>
    <row r="40" spans="1:13" x14ac:dyDescent="0.3">
      <c r="A40" s="109" t="str">
        <f t="shared" si="0"/>
        <v>debit    600008      Indirect Cost</v>
      </c>
      <c r="B40" s="112" t="s">
        <v>356</v>
      </c>
      <c r="C40" s="116">
        <v>0</v>
      </c>
      <c r="D40" s="116">
        <v>0</v>
      </c>
      <c r="E40" s="113">
        <v>0</v>
      </c>
      <c r="F40" s="113">
        <v>0</v>
      </c>
      <c r="G40" s="112" t="s">
        <v>356</v>
      </c>
      <c r="H40" s="114">
        <v>0</v>
      </c>
      <c r="I40" s="114">
        <v>0</v>
      </c>
      <c r="J40" s="115">
        <v>0</v>
      </c>
      <c r="K40" s="113">
        <v>0</v>
      </c>
      <c r="L40" t="e">
        <f>VLOOKUP(A40,'SAP Actual extraction'!$A$28:$A$1048576,1,0)</f>
        <v>#N/A</v>
      </c>
      <c r="M40" t="e">
        <f>VLOOKUP(B40,'SAP Actual extraction'!B:B,1,0)</f>
        <v>#N/A</v>
      </c>
    </row>
    <row r="41" spans="1:13" x14ac:dyDescent="0.3">
      <c r="A41" s="109" t="str">
        <f t="shared" si="0"/>
        <v>debit    600009      Quality Control</v>
      </c>
      <c r="B41" s="112" t="s">
        <v>357</v>
      </c>
      <c r="C41" s="116">
        <v>0</v>
      </c>
      <c r="D41" s="116">
        <v>0</v>
      </c>
      <c r="E41" s="113">
        <v>0</v>
      </c>
      <c r="F41" s="113">
        <v>0</v>
      </c>
      <c r="G41" s="112" t="s">
        <v>357</v>
      </c>
      <c r="H41" s="114">
        <v>0</v>
      </c>
      <c r="I41" s="114">
        <v>0</v>
      </c>
      <c r="J41" s="115">
        <v>0</v>
      </c>
      <c r="K41" s="113">
        <v>0</v>
      </c>
      <c r="L41" t="e">
        <f>VLOOKUP(A41,'SAP Actual extraction'!$A$28:$A$1048576,1,0)</f>
        <v>#N/A</v>
      </c>
      <c r="M41" t="e">
        <f>VLOOKUP(B41,'SAP Actual extraction'!B:B,1,0)</f>
        <v>#N/A</v>
      </c>
    </row>
    <row r="42" spans="1:13" x14ac:dyDescent="0.3">
      <c r="A42" s="109" t="str">
        <f t="shared" si="0"/>
        <v>debit    5001010200  Cost of Manufacture - Raw Material</v>
      </c>
      <c r="B42" s="112" t="s">
        <v>252</v>
      </c>
      <c r="C42" s="116">
        <v>0</v>
      </c>
      <c r="D42" s="116">
        <v>0</v>
      </c>
      <c r="E42" s="113">
        <v>0</v>
      </c>
      <c r="F42" s="113">
        <v>0</v>
      </c>
      <c r="G42" s="112" t="s">
        <v>252</v>
      </c>
      <c r="H42" s="114">
        <v>0</v>
      </c>
      <c r="I42" s="114">
        <v>0</v>
      </c>
      <c r="J42" s="115">
        <v>0</v>
      </c>
      <c r="K42" s="113">
        <v>0</v>
      </c>
      <c r="L42" t="str">
        <f>VLOOKUP(A42,'SAP Actual extraction'!$A$28:$A$1048576,1,0)</f>
        <v>debit    5001010200  Cost of Manufacture - Raw Material</v>
      </c>
      <c r="M42" t="str">
        <f>VLOOKUP(B42,'SAP Actual extraction'!B:B,1,0)</f>
        <v xml:space="preserve">    5001010200  Cost of Manufacture - Raw Material</v>
      </c>
    </row>
    <row r="43" spans="1:13" x14ac:dyDescent="0.3">
      <c r="A43" s="109" t="str">
        <f t="shared" si="0"/>
        <v>debit    5001010201  Cost of Manufacture - Raw Material-Freig</v>
      </c>
      <c r="B43" s="112" t="s">
        <v>253</v>
      </c>
      <c r="C43" s="116">
        <v>0</v>
      </c>
      <c r="D43" s="116">
        <v>0</v>
      </c>
      <c r="E43" s="113">
        <v>0</v>
      </c>
      <c r="F43" s="113">
        <v>0</v>
      </c>
      <c r="G43" s="112" t="s">
        <v>253</v>
      </c>
      <c r="H43" s="114">
        <v>0</v>
      </c>
      <c r="I43" s="114">
        <v>0</v>
      </c>
      <c r="J43" s="115">
        <v>0</v>
      </c>
      <c r="K43" s="113">
        <v>0</v>
      </c>
      <c r="L43" t="str">
        <f>VLOOKUP(A43,'SAP Actual extraction'!$A$28:$A$1048576,1,0)</f>
        <v>debit    5001010201  Cost of Manufacture - Raw Material-Freig</v>
      </c>
      <c r="M43" t="str">
        <f>VLOOKUP(B43,'SAP Actual extraction'!B:B,1,0)</f>
        <v xml:space="preserve">    5001010201  Cost of Manufacture - Raw Material-Freig</v>
      </c>
    </row>
    <row r="44" spans="1:13" x14ac:dyDescent="0.3">
      <c r="A44" s="109" t="str">
        <f t="shared" si="0"/>
        <v>debit    5301060000  Other Income-Subsidy income</v>
      </c>
      <c r="B44" s="112" t="s">
        <v>257</v>
      </c>
      <c r="C44" s="116">
        <v>0</v>
      </c>
      <c r="D44" s="116">
        <v>0</v>
      </c>
      <c r="E44" s="113">
        <v>0</v>
      </c>
      <c r="F44" s="113">
        <v>0</v>
      </c>
      <c r="G44" s="112" t="s">
        <v>257</v>
      </c>
      <c r="H44" s="114">
        <v>0</v>
      </c>
      <c r="I44" s="114">
        <v>0</v>
      </c>
      <c r="J44" s="115">
        <v>0</v>
      </c>
      <c r="K44" s="113">
        <v>0</v>
      </c>
      <c r="L44" t="str">
        <f>VLOOKUP(A44,'SAP Actual extraction'!$A$28:$A$1048576,1,0)</f>
        <v>debit    5301060000  Other Income-Subsidy income</v>
      </c>
      <c r="M44" t="str">
        <f>VLOOKUP(B44,'SAP Actual extraction'!B:B,1,0)</f>
        <v xml:space="preserve">    5301060000  Other Income-Subsidy income</v>
      </c>
    </row>
    <row r="45" spans="1:13" x14ac:dyDescent="0.3">
      <c r="A45" s="109" t="str">
        <f t="shared" si="0"/>
        <v>debit    5301999999  Non-operation revenue-Other</v>
      </c>
      <c r="B45" s="112" t="s">
        <v>258</v>
      </c>
      <c r="C45" s="113">
        <v>-5.42</v>
      </c>
      <c r="D45" s="116">
        <v>0</v>
      </c>
      <c r="E45" s="113">
        <v>-5.42</v>
      </c>
      <c r="F45" s="113">
        <v>0</v>
      </c>
      <c r="G45" s="112" t="s">
        <v>258</v>
      </c>
      <c r="H45" s="114">
        <v>0</v>
      </c>
      <c r="I45" s="114">
        <v>0</v>
      </c>
      <c r="J45" s="115">
        <v>0</v>
      </c>
      <c r="K45" s="113">
        <v>0</v>
      </c>
      <c r="L45" t="str">
        <f>VLOOKUP(A45,'SAP Actual extraction'!$A$28:$A$1048576,1,0)</f>
        <v>debit    5301999999  Non-operation revenue-Other</v>
      </c>
      <c r="M45" t="str">
        <f>VLOOKUP(B45,'SAP Actual extraction'!B:B,1,0)</f>
        <v xml:space="preserve">    5301999999  Non-operation revenue-Other</v>
      </c>
    </row>
    <row r="46" spans="1:13" x14ac:dyDescent="0.3">
      <c r="A46" s="109" t="str">
        <f t="shared" si="0"/>
        <v>debit    5405030000  Other cost-others</v>
      </c>
      <c r="B46" s="112" t="s">
        <v>259</v>
      </c>
      <c r="C46" s="116">
        <v>0</v>
      </c>
      <c r="D46" s="116">
        <v>0</v>
      </c>
      <c r="E46" s="113">
        <v>0</v>
      </c>
      <c r="F46" s="113">
        <v>0</v>
      </c>
      <c r="G46" s="112" t="s">
        <v>259</v>
      </c>
      <c r="H46" s="114">
        <v>0</v>
      </c>
      <c r="I46" s="114">
        <v>0</v>
      </c>
      <c r="J46" s="115">
        <v>0</v>
      </c>
      <c r="K46" s="113">
        <v>0</v>
      </c>
      <c r="L46" t="str">
        <f>VLOOKUP(A46,'SAP Actual extraction'!$A$28:$A$1048576,1,0)</f>
        <v>debit    5405030000  Other cost-others</v>
      </c>
      <c r="M46" t="str">
        <f>VLOOKUP(B46,'SAP Actual extraction'!B:B,1,0)</f>
        <v xml:space="preserve">    5405030000  Other cost-others</v>
      </c>
    </row>
    <row r="47" spans="1:13" x14ac:dyDescent="0.3">
      <c r="A47" s="109" t="str">
        <f t="shared" si="0"/>
        <v>debit    5601020000  Loss on disposal fixed asset</v>
      </c>
      <c r="B47" s="112" t="s">
        <v>358</v>
      </c>
      <c r="C47" s="116">
        <v>0</v>
      </c>
      <c r="D47" s="116">
        <v>0</v>
      </c>
      <c r="E47" s="113">
        <v>0</v>
      </c>
      <c r="F47" s="113">
        <v>0</v>
      </c>
      <c r="G47" s="112" t="s">
        <v>358</v>
      </c>
      <c r="H47" s="114">
        <v>0</v>
      </c>
      <c r="I47" s="114">
        <v>0</v>
      </c>
      <c r="J47" s="115">
        <v>0</v>
      </c>
      <c r="K47" s="113">
        <v>0</v>
      </c>
      <c r="L47" t="e">
        <f>VLOOKUP(A47,'SAP Actual extraction'!$A$28:$A$1048576,1,0)</f>
        <v>#N/A</v>
      </c>
      <c r="M47" t="e">
        <f>VLOOKUP(B47,'SAP Actual extraction'!B:B,1,0)</f>
        <v>#N/A</v>
      </c>
    </row>
    <row r="48" spans="1:13" x14ac:dyDescent="0.3">
      <c r="A48" s="109" t="str">
        <f t="shared" si="0"/>
        <v>debit    5601050100  Non-operation Expense-Others</v>
      </c>
      <c r="B48" s="112" t="s">
        <v>261</v>
      </c>
      <c r="C48" s="113">
        <v>34.78</v>
      </c>
      <c r="D48" s="116">
        <v>0</v>
      </c>
      <c r="E48" s="113">
        <v>34.78</v>
      </c>
      <c r="F48" s="113">
        <v>0</v>
      </c>
      <c r="G48" s="112" t="s">
        <v>261</v>
      </c>
      <c r="H48" s="114">
        <v>0</v>
      </c>
      <c r="I48" s="114">
        <v>0</v>
      </c>
      <c r="J48" s="115">
        <v>0</v>
      </c>
      <c r="K48" s="113">
        <v>0</v>
      </c>
      <c r="L48" t="str">
        <f>VLOOKUP(A48,'SAP Actual extraction'!$A$28:$A$1048576,1,0)</f>
        <v>debit    5601050100  Non-operation Expense-Others</v>
      </c>
      <c r="M48" t="str">
        <f>VLOOKUP(B48,'SAP Actual extraction'!B:B,1,0)</f>
        <v xml:space="preserve">    5601050100  Non-operation Expense-Others</v>
      </c>
    </row>
    <row r="49" spans="1:13" x14ac:dyDescent="0.3">
      <c r="A49" s="109" t="str">
        <f t="shared" si="0"/>
        <v>debit    6666020101  Entertainment</v>
      </c>
      <c r="B49" s="112" t="s">
        <v>262</v>
      </c>
      <c r="C49" s="113">
        <v>-104982.82</v>
      </c>
      <c r="D49" s="113">
        <v>19847.810000000001</v>
      </c>
      <c r="E49" s="113">
        <v>-124830.63</v>
      </c>
      <c r="F49" s="113">
        <v>-628.93910000000005</v>
      </c>
      <c r="G49" s="112" t="s">
        <v>262</v>
      </c>
      <c r="H49" s="114">
        <v>0</v>
      </c>
      <c r="I49" s="114">
        <v>0</v>
      </c>
      <c r="J49" s="115">
        <v>0</v>
      </c>
      <c r="K49" s="113">
        <v>0</v>
      </c>
      <c r="L49" t="str">
        <f>VLOOKUP(A49,'SAP Actual extraction'!$A$28:$A$1048576,1,0)</f>
        <v>debit    6666020101  Entertainment</v>
      </c>
      <c r="M49" t="str">
        <f>VLOOKUP(B49,'SAP Actual extraction'!B:B,1,0)</f>
        <v xml:space="preserve">    6666020101  Entertainment</v>
      </c>
    </row>
    <row r="50" spans="1:13" x14ac:dyDescent="0.3">
      <c r="A50" s="109" t="str">
        <f t="shared" si="0"/>
        <v>debit    6666020201  Domestic business travel</v>
      </c>
      <c r="B50" s="112" t="s">
        <v>263</v>
      </c>
      <c r="C50" s="113">
        <v>315.83</v>
      </c>
      <c r="D50" s="113">
        <v>3623.06</v>
      </c>
      <c r="E50" s="113">
        <v>-3307.23</v>
      </c>
      <c r="F50" s="113">
        <v>-91.282799999999995</v>
      </c>
      <c r="G50" s="112" t="s">
        <v>263</v>
      </c>
      <c r="H50" s="114">
        <v>0</v>
      </c>
      <c r="I50" s="114">
        <v>0</v>
      </c>
      <c r="J50" s="115">
        <v>0</v>
      </c>
      <c r="K50" s="113">
        <v>0</v>
      </c>
      <c r="L50" t="str">
        <f>VLOOKUP(A50,'SAP Actual extraction'!$A$28:$A$1048576,1,0)</f>
        <v>debit    6666020201  Domestic business travel</v>
      </c>
      <c r="M50" t="str">
        <f>VLOOKUP(B50,'SAP Actual extraction'!B:B,1,0)</f>
        <v xml:space="preserve">    6666020201  Domestic business travel</v>
      </c>
    </row>
    <row r="51" spans="1:13" x14ac:dyDescent="0.3">
      <c r="A51" s="109" t="str">
        <f t="shared" si="0"/>
        <v>debit    6666020202  Overseas business travel</v>
      </c>
      <c r="B51" s="112" t="s">
        <v>264</v>
      </c>
      <c r="C51" s="113">
        <v>410.84</v>
      </c>
      <c r="D51" s="116">
        <v>0</v>
      </c>
      <c r="E51" s="113">
        <v>410.84</v>
      </c>
      <c r="F51" s="113">
        <v>0</v>
      </c>
      <c r="G51" s="112" t="s">
        <v>264</v>
      </c>
      <c r="H51" s="114">
        <v>0</v>
      </c>
      <c r="I51" s="114">
        <v>0</v>
      </c>
      <c r="J51" s="115">
        <v>0</v>
      </c>
      <c r="K51" s="113">
        <v>0</v>
      </c>
      <c r="L51" t="str">
        <f>VLOOKUP(A51,'SAP Actual extraction'!$A$28:$A$1048576,1,0)</f>
        <v>debit    6666020202  Overseas business travel</v>
      </c>
      <c r="M51" t="str">
        <f>VLOOKUP(B51,'SAP Actual extraction'!B:B,1,0)</f>
        <v xml:space="preserve">    6666020202  Overseas business travel</v>
      </c>
    </row>
    <row r="52" spans="1:13" x14ac:dyDescent="0.3">
      <c r="A52" s="109" t="str">
        <f t="shared" si="0"/>
        <v>debit    6666020204  Travel expense pay to agency</v>
      </c>
      <c r="B52" s="112" t="s">
        <v>265</v>
      </c>
      <c r="C52" s="113">
        <v>151.86000000000001</v>
      </c>
      <c r="D52" s="116">
        <v>0</v>
      </c>
      <c r="E52" s="113">
        <v>151.86000000000001</v>
      </c>
      <c r="F52" s="113">
        <v>0</v>
      </c>
      <c r="G52" s="112" t="s">
        <v>265</v>
      </c>
      <c r="H52" s="114">
        <v>0</v>
      </c>
      <c r="I52" s="114">
        <v>0</v>
      </c>
      <c r="J52" s="115">
        <v>0</v>
      </c>
      <c r="K52" s="113">
        <v>0</v>
      </c>
      <c r="L52" t="str">
        <f>VLOOKUP(A52,'SAP Actual extraction'!$A$28:$A$1048576,1,0)</f>
        <v>debit    6666020204  Travel expense pay to agency</v>
      </c>
      <c r="M52" t="str">
        <f>VLOOKUP(B52,'SAP Actual extraction'!B:B,1,0)</f>
        <v xml:space="preserve">    6666020204  Travel expense pay to agency</v>
      </c>
    </row>
    <row r="53" spans="1:13" x14ac:dyDescent="0.3">
      <c r="A53" s="109" t="str">
        <f t="shared" si="0"/>
        <v>debit    6666020205  Business travel-other</v>
      </c>
      <c r="B53" s="112" t="s">
        <v>266</v>
      </c>
      <c r="C53" s="116">
        <v>0</v>
      </c>
      <c r="D53" s="113">
        <v>4926.99</v>
      </c>
      <c r="E53" s="113">
        <v>-4926.99</v>
      </c>
      <c r="F53" s="113">
        <v>-100</v>
      </c>
      <c r="G53" s="112" t="s">
        <v>266</v>
      </c>
      <c r="H53" s="114">
        <v>0</v>
      </c>
      <c r="I53" s="114">
        <v>0</v>
      </c>
      <c r="J53" s="115">
        <v>0</v>
      </c>
      <c r="K53" s="113">
        <v>0</v>
      </c>
      <c r="L53" t="str">
        <f>VLOOKUP(A53,'SAP Actual extraction'!$A$28:$A$1048576,1,0)</f>
        <v>debit    6666020205  Business travel-other</v>
      </c>
      <c r="M53" t="str">
        <f>VLOOKUP(B53,'SAP Actual extraction'!B:B,1,0)</f>
        <v xml:space="preserve">    6666020205  Business travel-other</v>
      </c>
    </row>
    <row r="54" spans="1:13" x14ac:dyDescent="0.3">
      <c r="A54" s="109" t="str">
        <f t="shared" si="0"/>
        <v>debit    6666020301  Staff communication expense</v>
      </c>
      <c r="B54" s="112" t="s">
        <v>267</v>
      </c>
      <c r="C54" s="113">
        <v>1265.99</v>
      </c>
      <c r="D54" s="116">
        <v>0</v>
      </c>
      <c r="E54" s="113">
        <v>1265.99</v>
      </c>
      <c r="F54" s="113">
        <v>0</v>
      </c>
      <c r="G54" s="112" t="s">
        <v>267</v>
      </c>
      <c r="H54" s="114">
        <v>0</v>
      </c>
      <c r="I54" s="114">
        <v>0</v>
      </c>
      <c r="J54" s="115">
        <v>0</v>
      </c>
      <c r="K54" s="113">
        <v>0</v>
      </c>
      <c r="L54" t="str">
        <f>VLOOKUP(A54,'SAP Actual extraction'!$A$28:$A$1048576,1,0)</f>
        <v>debit    6666020301  Staff communication expense</v>
      </c>
      <c r="M54" t="str">
        <f>VLOOKUP(B54,'SAP Actual extraction'!B:B,1,0)</f>
        <v xml:space="preserve">    6666020301  Staff communication expense</v>
      </c>
    </row>
    <row r="55" spans="1:13" x14ac:dyDescent="0.3">
      <c r="A55" s="109" t="str">
        <f t="shared" si="0"/>
        <v>debit    6666020302  Communication Expenses</v>
      </c>
      <c r="B55" s="112" t="s">
        <v>269</v>
      </c>
      <c r="C55" s="116">
        <v>0</v>
      </c>
      <c r="D55" s="113">
        <v>603.02</v>
      </c>
      <c r="E55" s="113">
        <v>-603.02</v>
      </c>
      <c r="F55" s="113">
        <v>-100</v>
      </c>
      <c r="G55" s="112" t="s">
        <v>269</v>
      </c>
      <c r="H55" s="114">
        <v>0</v>
      </c>
      <c r="I55" s="114">
        <v>0</v>
      </c>
      <c r="J55" s="115">
        <v>0</v>
      </c>
      <c r="K55" s="113">
        <v>0</v>
      </c>
      <c r="L55" t="str">
        <f>VLOOKUP(A55,'SAP Actual extraction'!$A$28:$A$1048576,1,0)</f>
        <v>debit    6666020302  Communication Expenses</v>
      </c>
      <c r="M55" t="str">
        <f>VLOOKUP(B55,'SAP Actual extraction'!B:B,1,0)</f>
        <v xml:space="preserve">    6666020302  Communication Expenses</v>
      </c>
    </row>
    <row r="56" spans="1:13" x14ac:dyDescent="0.3">
      <c r="A56" s="109" t="str">
        <f t="shared" si="0"/>
        <v>debit    6666020403  Company car expense</v>
      </c>
      <c r="B56" s="112" t="s">
        <v>270</v>
      </c>
      <c r="C56" s="116">
        <v>0</v>
      </c>
      <c r="D56" s="116">
        <v>0</v>
      </c>
      <c r="E56" s="113">
        <v>0</v>
      </c>
      <c r="F56" s="113">
        <v>0</v>
      </c>
      <c r="G56" s="112" t="s">
        <v>270</v>
      </c>
      <c r="H56" s="114">
        <v>0</v>
      </c>
      <c r="I56" s="114">
        <v>0</v>
      </c>
      <c r="J56" s="115">
        <v>0</v>
      </c>
      <c r="K56" s="113">
        <v>0</v>
      </c>
      <c r="L56" t="str">
        <f>VLOOKUP(A56,'SAP Actual extraction'!$A$28:$A$1048576,1,0)</f>
        <v>debit    6666020403  Company car expense</v>
      </c>
      <c r="M56" t="str">
        <f>VLOOKUP(B56,'SAP Actual extraction'!B:B,1,0)</f>
        <v xml:space="preserve">    6666020403  Company car expense</v>
      </c>
    </row>
    <row r="57" spans="1:13" x14ac:dyDescent="0.3">
      <c r="A57" s="109" t="str">
        <f t="shared" si="0"/>
        <v>debit    6666020405  Company car expense - maintenance fees</v>
      </c>
      <c r="B57" s="112" t="s">
        <v>271</v>
      </c>
      <c r="C57" s="116">
        <v>0</v>
      </c>
      <c r="D57" s="116">
        <v>0</v>
      </c>
      <c r="E57" s="113">
        <v>0</v>
      </c>
      <c r="F57" s="113">
        <v>0</v>
      </c>
      <c r="G57" s="112" t="s">
        <v>271</v>
      </c>
      <c r="H57" s="114">
        <v>0</v>
      </c>
      <c r="I57" s="114">
        <v>0</v>
      </c>
      <c r="J57" s="115">
        <v>0</v>
      </c>
      <c r="K57" s="113">
        <v>0</v>
      </c>
      <c r="L57" t="str">
        <f>VLOOKUP(A57,'SAP Actual extraction'!$A$28:$A$1048576,1,0)</f>
        <v>debit    6666020405  Company car expense - maintenance fees</v>
      </c>
      <c r="M57" t="str">
        <f>VLOOKUP(B57,'SAP Actual extraction'!B:B,1,0)</f>
        <v xml:space="preserve">    6666020405  Company car expense - maintenance fees</v>
      </c>
    </row>
    <row r="58" spans="1:13" x14ac:dyDescent="0.3">
      <c r="A58" s="109" t="str">
        <f t="shared" si="0"/>
        <v>debit    6666020504  Newspaper and Periodicals expenditure</v>
      </c>
      <c r="B58" s="112" t="s">
        <v>272</v>
      </c>
      <c r="C58" s="113">
        <v>-463.88</v>
      </c>
      <c r="D58" s="113">
        <v>168.98</v>
      </c>
      <c r="E58" s="113">
        <v>-632.86</v>
      </c>
      <c r="F58" s="113">
        <v>-374.51769999999999</v>
      </c>
      <c r="G58" s="112" t="s">
        <v>272</v>
      </c>
      <c r="H58" s="114">
        <v>0</v>
      </c>
      <c r="I58" s="114">
        <v>0</v>
      </c>
      <c r="J58" s="115">
        <v>0</v>
      </c>
      <c r="K58" s="113">
        <v>0</v>
      </c>
      <c r="L58" t="str">
        <f>VLOOKUP(A58,'SAP Actual extraction'!$A$28:$A$1048576,1,0)</f>
        <v>debit    6666020504  Newspaper and Periodicals expenditure</v>
      </c>
      <c r="M58" t="str">
        <f>VLOOKUP(B58,'SAP Actual extraction'!B:B,1,0)</f>
        <v xml:space="preserve">    6666020504  Newspaper and Periodicals expenditure</v>
      </c>
    </row>
    <row r="59" spans="1:13" x14ac:dyDescent="0.3">
      <c r="A59" s="109" t="str">
        <f t="shared" si="0"/>
        <v>debit    6666020508  Postage</v>
      </c>
      <c r="B59" s="112" t="s">
        <v>273</v>
      </c>
      <c r="C59" s="113">
        <v>-2781.9</v>
      </c>
      <c r="D59" s="113">
        <v>414.48</v>
      </c>
      <c r="E59" s="113">
        <v>-3196.38</v>
      </c>
      <c r="F59" s="113">
        <v>-771.17830000000004</v>
      </c>
      <c r="G59" s="112" t="s">
        <v>273</v>
      </c>
      <c r="H59" s="114">
        <v>0</v>
      </c>
      <c r="I59" s="114">
        <v>0</v>
      </c>
      <c r="J59" s="115">
        <v>0</v>
      </c>
      <c r="K59" s="113">
        <v>0</v>
      </c>
      <c r="L59" t="str">
        <f>VLOOKUP(A59,'SAP Actual extraction'!$A$28:$A$1048576,1,0)</f>
        <v>debit    6666020508  Postage</v>
      </c>
      <c r="M59" t="str">
        <f>VLOOKUP(B59,'SAP Actual extraction'!B:B,1,0)</f>
        <v xml:space="preserve">    6666020508  Postage</v>
      </c>
    </row>
    <row r="60" spans="1:13" x14ac:dyDescent="0.3">
      <c r="A60" s="109" t="str">
        <f t="shared" si="0"/>
        <v>debit    6666020602  Training costs Outside the group</v>
      </c>
      <c r="B60" s="112" t="s">
        <v>274</v>
      </c>
      <c r="C60" s="113">
        <v>271.35000000000002</v>
      </c>
      <c r="D60" s="113">
        <v>8623.0300000000007</v>
      </c>
      <c r="E60" s="113">
        <v>-8351.68</v>
      </c>
      <c r="F60" s="113">
        <v>-96.853200000000001</v>
      </c>
      <c r="G60" s="112" t="s">
        <v>274</v>
      </c>
      <c r="H60" s="114">
        <v>0</v>
      </c>
      <c r="I60" s="114">
        <v>0</v>
      </c>
      <c r="J60" s="115">
        <v>0</v>
      </c>
      <c r="K60" s="113">
        <v>0</v>
      </c>
      <c r="L60" t="str">
        <f>VLOOKUP(A60,'SAP Actual extraction'!$A$28:$A$1048576,1,0)</f>
        <v>debit    6666020602  Training costs Outside the group</v>
      </c>
      <c r="M60" t="str">
        <f>VLOOKUP(B60,'SAP Actual extraction'!B:B,1,0)</f>
        <v xml:space="preserve">    6666020602  Training costs Outside the group</v>
      </c>
    </row>
    <row r="61" spans="1:13" x14ac:dyDescent="0.3">
      <c r="A61" s="109" t="str">
        <f t="shared" si="0"/>
        <v>debit    6666020802  Equipment rental cost</v>
      </c>
      <c r="B61" s="112" t="s">
        <v>276</v>
      </c>
      <c r="C61" s="113">
        <v>23864.86</v>
      </c>
      <c r="D61" s="113">
        <v>37098.519999999997</v>
      </c>
      <c r="E61" s="113">
        <v>-13233.66</v>
      </c>
      <c r="F61" s="113">
        <v>-35.671700000000001</v>
      </c>
      <c r="G61" s="112" t="s">
        <v>276</v>
      </c>
      <c r="H61" s="114">
        <v>0</v>
      </c>
      <c r="I61" s="114">
        <v>0</v>
      </c>
      <c r="J61" s="115">
        <v>0</v>
      </c>
      <c r="K61" s="113">
        <v>0</v>
      </c>
      <c r="L61" t="str">
        <f>VLOOKUP(A61,'SAP Actual extraction'!$A$28:$A$1048576,1,0)</f>
        <v>debit    6666020802  Equipment rental cost</v>
      </c>
      <c r="M61" t="str">
        <f>VLOOKUP(B61,'SAP Actual extraction'!B:B,1,0)</f>
        <v xml:space="preserve">    6666020802  Equipment rental cost</v>
      </c>
    </row>
    <row r="62" spans="1:13" x14ac:dyDescent="0.3">
      <c r="A62" s="109" t="str">
        <f t="shared" si="0"/>
        <v>debit    6666020803  Car rental cost</v>
      </c>
      <c r="B62" s="112" t="s">
        <v>277</v>
      </c>
      <c r="C62" s="113">
        <v>-1184.03</v>
      </c>
      <c r="D62" s="113">
        <v>8535.82</v>
      </c>
      <c r="E62" s="113">
        <v>-9719.85</v>
      </c>
      <c r="F62" s="113">
        <v>-113.87130000000001</v>
      </c>
      <c r="G62" s="112" t="s">
        <v>277</v>
      </c>
      <c r="H62" s="114">
        <v>0</v>
      </c>
      <c r="I62" s="114">
        <v>0</v>
      </c>
      <c r="J62" s="115">
        <v>0</v>
      </c>
      <c r="K62" s="113">
        <v>0</v>
      </c>
      <c r="L62" t="str">
        <f>VLOOKUP(A62,'SAP Actual extraction'!$A$28:$A$1048576,1,0)</f>
        <v>debit    6666020803  Car rental cost</v>
      </c>
      <c r="M62" t="str">
        <f>VLOOKUP(B62,'SAP Actual extraction'!B:B,1,0)</f>
        <v xml:space="preserve">    6666020803  Car rental cost</v>
      </c>
    </row>
    <row r="63" spans="1:13" x14ac:dyDescent="0.3">
      <c r="A63" s="109" t="str">
        <f t="shared" si="0"/>
        <v>debit    6666021100  Consulting fees</v>
      </c>
      <c r="B63" s="112" t="s">
        <v>278</v>
      </c>
      <c r="C63" s="113">
        <v>-6831.4</v>
      </c>
      <c r="D63" s="113">
        <v>24854.78</v>
      </c>
      <c r="E63" s="113">
        <v>-31686.18</v>
      </c>
      <c r="F63" s="113">
        <v>-127.4853</v>
      </c>
      <c r="G63" s="112" t="s">
        <v>278</v>
      </c>
      <c r="H63" s="114">
        <v>0</v>
      </c>
      <c r="I63" s="114">
        <v>0</v>
      </c>
      <c r="J63" s="115">
        <v>0</v>
      </c>
      <c r="K63" s="113">
        <v>0</v>
      </c>
      <c r="L63" t="str">
        <f>VLOOKUP(A63,'SAP Actual extraction'!$A$28:$A$1048576,1,0)</f>
        <v>debit    6666021100  Consulting fees</v>
      </c>
      <c r="M63" t="str">
        <f>VLOOKUP(B63,'SAP Actual extraction'!B:B,1,0)</f>
        <v xml:space="preserve">    6666021100  Consulting fees</v>
      </c>
    </row>
    <row r="64" spans="1:13" x14ac:dyDescent="0.3">
      <c r="A64" s="109" t="str">
        <f t="shared" si="0"/>
        <v>debit    6666021104  Consulting expense-Technical</v>
      </c>
      <c r="B64" s="112" t="s">
        <v>268</v>
      </c>
      <c r="C64" s="116">
        <v>0</v>
      </c>
      <c r="D64" s="116">
        <v>0</v>
      </c>
      <c r="E64" s="113">
        <v>0</v>
      </c>
      <c r="F64" s="113">
        <v>0</v>
      </c>
      <c r="G64" s="112" t="s">
        <v>268</v>
      </c>
      <c r="H64" s="114">
        <v>0</v>
      </c>
      <c r="I64" s="114">
        <v>0</v>
      </c>
      <c r="J64" s="115">
        <v>0</v>
      </c>
      <c r="K64" s="113">
        <v>0</v>
      </c>
      <c r="L64" t="str">
        <f>VLOOKUP(A64,'SAP Actual extraction'!$A$28:$A$1048576,1,0)</f>
        <v>debit    6666021104  Consulting expense-Technical</v>
      </c>
      <c r="M64" t="str">
        <f>VLOOKUP(B64,'SAP Actual extraction'!B:B,1,0)</f>
        <v xml:space="preserve">    6666021104  Consulting expense-Technical</v>
      </c>
    </row>
    <row r="65" spans="1:13" x14ac:dyDescent="0.3">
      <c r="A65" s="109" t="str">
        <f t="shared" si="0"/>
        <v>debit    6666021200  Audit fee</v>
      </c>
      <c r="B65" s="112" t="s">
        <v>359</v>
      </c>
      <c r="C65" s="113">
        <v>-27.2</v>
      </c>
      <c r="D65" s="116">
        <v>0</v>
      </c>
      <c r="E65" s="113">
        <v>-27.2</v>
      </c>
      <c r="F65" s="113">
        <v>0</v>
      </c>
      <c r="G65" s="112" t="s">
        <v>359</v>
      </c>
      <c r="H65" s="114">
        <v>0</v>
      </c>
      <c r="I65" s="114">
        <v>0</v>
      </c>
      <c r="J65" s="115">
        <v>0</v>
      </c>
      <c r="K65" s="113">
        <v>0</v>
      </c>
      <c r="L65" t="e">
        <f>VLOOKUP(A65,'SAP Actual extraction'!$A$28:$A$1048576,1,0)</f>
        <v>#N/A</v>
      </c>
      <c r="M65" t="e">
        <f>VLOOKUP(B65,'SAP Actual extraction'!B:B,1,0)</f>
        <v>#N/A</v>
      </c>
    </row>
    <row r="66" spans="1:13" x14ac:dyDescent="0.3">
      <c r="A66" s="109" t="str">
        <f t="shared" si="0"/>
        <v>debit    6666021902  Cleaning fees</v>
      </c>
      <c r="B66" s="112" t="s">
        <v>279</v>
      </c>
      <c r="C66" s="113">
        <v>15041.11</v>
      </c>
      <c r="D66" s="113">
        <v>21742.2</v>
      </c>
      <c r="E66" s="113">
        <v>-6701.09</v>
      </c>
      <c r="F66" s="113">
        <v>-30.820699999999999</v>
      </c>
      <c r="G66" s="112" t="s">
        <v>279</v>
      </c>
      <c r="H66" s="114">
        <v>0</v>
      </c>
      <c r="I66" s="114">
        <v>0</v>
      </c>
      <c r="J66" s="115">
        <v>0</v>
      </c>
      <c r="K66" s="113">
        <v>0</v>
      </c>
      <c r="L66" t="str">
        <f>VLOOKUP(A66,'SAP Actual extraction'!$A$28:$A$1048576,1,0)</f>
        <v>debit    6666021902  Cleaning fees</v>
      </c>
      <c r="M66" t="str">
        <f>VLOOKUP(B66,'SAP Actual extraction'!B:B,1,0)</f>
        <v xml:space="preserve">    6666021902  Cleaning fees</v>
      </c>
    </row>
    <row r="67" spans="1:13" x14ac:dyDescent="0.3">
      <c r="A67" s="109" t="str">
        <f t="shared" si="0"/>
        <v>debit    6666022100  Security</v>
      </c>
      <c r="B67" s="112" t="s">
        <v>280</v>
      </c>
      <c r="C67" s="113">
        <v>7492.8</v>
      </c>
      <c r="D67" s="113">
        <v>16092.62</v>
      </c>
      <c r="E67" s="113">
        <v>-8599.82</v>
      </c>
      <c r="F67" s="113">
        <v>-53.439500000000002</v>
      </c>
      <c r="G67" s="112" t="s">
        <v>280</v>
      </c>
      <c r="H67" s="114">
        <v>0</v>
      </c>
      <c r="I67" s="114">
        <v>0</v>
      </c>
      <c r="J67" s="115">
        <v>0</v>
      </c>
      <c r="K67" s="113">
        <v>0</v>
      </c>
      <c r="L67" t="str">
        <f>VLOOKUP(A67,'SAP Actual extraction'!$A$28:$A$1048576,1,0)</f>
        <v>debit    6666022100  Security</v>
      </c>
      <c r="M67" t="str">
        <f>VLOOKUP(B67,'SAP Actual extraction'!B:B,1,0)</f>
        <v xml:space="preserve">    6666022100  Security</v>
      </c>
    </row>
    <row r="68" spans="1:13" x14ac:dyDescent="0.3">
      <c r="A68" s="109" t="str">
        <f t="shared" si="0"/>
        <v>debit    6666022300  Association dues</v>
      </c>
      <c r="B68" s="112" t="s">
        <v>281</v>
      </c>
      <c r="C68" s="116">
        <v>0</v>
      </c>
      <c r="D68" s="116">
        <v>0</v>
      </c>
      <c r="E68" s="113">
        <v>0</v>
      </c>
      <c r="F68" s="113">
        <v>0</v>
      </c>
      <c r="G68" s="112" t="s">
        <v>281</v>
      </c>
      <c r="H68" s="114">
        <v>0</v>
      </c>
      <c r="I68" s="114">
        <v>0</v>
      </c>
      <c r="J68" s="115">
        <v>0</v>
      </c>
      <c r="K68" s="113">
        <v>0</v>
      </c>
      <c r="L68" t="str">
        <f>VLOOKUP(A68,'SAP Actual extraction'!$A$28:$A$1048576,1,0)</f>
        <v>debit    6666022300  Association dues</v>
      </c>
      <c r="M68" t="str">
        <f>VLOOKUP(B68,'SAP Actual extraction'!B:B,1,0)</f>
        <v xml:space="preserve">    6666022300  Association dues</v>
      </c>
    </row>
    <row r="69" spans="1:13" x14ac:dyDescent="0.3">
      <c r="A69" s="109" t="str">
        <f t="shared" si="0"/>
        <v>debit    6666029900  Sundry Expenses</v>
      </c>
      <c r="B69" s="112" t="s">
        <v>282</v>
      </c>
      <c r="C69" s="116">
        <v>0</v>
      </c>
      <c r="D69" s="116">
        <v>0</v>
      </c>
      <c r="E69" s="113">
        <v>0</v>
      </c>
      <c r="F69" s="113">
        <v>0</v>
      </c>
      <c r="G69" s="112" t="s">
        <v>282</v>
      </c>
      <c r="H69" s="114">
        <v>0</v>
      </c>
      <c r="I69" s="114">
        <v>0</v>
      </c>
      <c r="J69" s="115">
        <v>0</v>
      </c>
      <c r="K69" s="113">
        <v>0</v>
      </c>
      <c r="L69" t="str">
        <f>VLOOKUP(A69,'SAP Actual extraction'!$A$28:$A$1048576,1,0)</f>
        <v>debit    6666029900  Sundry Expenses</v>
      </c>
      <c r="M69" t="str">
        <f>VLOOKUP(B69,'SAP Actual extraction'!B:B,1,0)</f>
        <v xml:space="preserve">    6666029900  Sundry Expenses</v>
      </c>
    </row>
    <row r="70" spans="1:13" x14ac:dyDescent="0.3">
      <c r="A70" s="109" t="str">
        <f t="shared" si="0"/>
        <v>debit    6666029997  restructure cost</v>
      </c>
      <c r="B70" s="112" t="s">
        <v>283</v>
      </c>
      <c r="C70" s="116">
        <v>0</v>
      </c>
      <c r="D70" s="113">
        <v>889.68</v>
      </c>
      <c r="E70" s="113">
        <v>-889.68</v>
      </c>
      <c r="F70" s="113">
        <v>-100</v>
      </c>
      <c r="G70" s="112" t="s">
        <v>283</v>
      </c>
      <c r="H70" s="114">
        <v>0</v>
      </c>
      <c r="I70" s="114">
        <v>0</v>
      </c>
      <c r="J70" s="115">
        <v>0</v>
      </c>
      <c r="K70" s="113">
        <v>0</v>
      </c>
      <c r="L70" t="str">
        <f>VLOOKUP(A70,'SAP Actual extraction'!$A$28:$A$1048576,1,0)</f>
        <v>debit    6666029997  restructure cost</v>
      </c>
      <c r="M70" t="str">
        <f>VLOOKUP(B70,'SAP Actual extraction'!B:B,1,0)</f>
        <v xml:space="preserve">    6666029997  restructure cost</v>
      </c>
    </row>
    <row r="71" spans="1:13" x14ac:dyDescent="0.3">
      <c r="A71" s="109" t="str">
        <f t="shared" si="0"/>
        <v>debit    6666030300  Design and development fees</v>
      </c>
      <c r="B71" s="112" t="s">
        <v>284</v>
      </c>
      <c r="C71" s="116">
        <v>0</v>
      </c>
      <c r="D71" s="116">
        <v>0</v>
      </c>
      <c r="E71" s="113">
        <v>0</v>
      </c>
      <c r="F71" s="113">
        <v>0</v>
      </c>
      <c r="G71" s="112" t="s">
        <v>284</v>
      </c>
      <c r="H71" s="114">
        <v>0</v>
      </c>
      <c r="I71" s="114">
        <v>0</v>
      </c>
      <c r="J71" s="115">
        <v>0</v>
      </c>
      <c r="K71" s="113">
        <v>0</v>
      </c>
      <c r="L71" t="str">
        <f>VLOOKUP(A71,'SAP Actual extraction'!$A$28:$A$1048576,1,0)</f>
        <v>debit    6666030300  Design and development fees</v>
      </c>
      <c r="M71" t="str">
        <f>VLOOKUP(B71,'SAP Actual extraction'!B:B,1,0)</f>
        <v xml:space="preserve">    6666030300  Design and development fees</v>
      </c>
    </row>
    <row r="72" spans="1:13" x14ac:dyDescent="0.3">
      <c r="A72" s="109" t="str">
        <f t="shared" si="0"/>
        <v>debit    6666050107  Special distribution costs</v>
      </c>
      <c r="B72" s="112" t="s">
        <v>287</v>
      </c>
      <c r="C72" s="113">
        <v>0</v>
      </c>
      <c r="D72" s="116">
        <v>0</v>
      </c>
      <c r="E72" s="113">
        <v>0</v>
      </c>
      <c r="F72" s="113">
        <v>0</v>
      </c>
      <c r="G72" s="112" t="s">
        <v>287</v>
      </c>
      <c r="H72" s="114">
        <v>0</v>
      </c>
      <c r="I72" s="114">
        <v>0</v>
      </c>
      <c r="J72" s="115">
        <v>0</v>
      </c>
      <c r="K72" s="113">
        <v>0</v>
      </c>
      <c r="L72" t="str">
        <f>VLOOKUP(A72,'SAP Actual extraction'!$A$28:$A$1048576,1,0)</f>
        <v>debit    6666050107  Special distribution costs</v>
      </c>
      <c r="M72" t="str">
        <f>VLOOKUP(B72,'SAP Actual extraction'!B:B,1,0)</f>
        <v xml:space="preserve">    6666050107  Special distribution costs</v>
      </c>
    </row>
    <row r="73" spans="1:13" x14ac:dyDescent="0.3">
      <c r="A73" s="109" t="str">
        <f t="shared" si="0"/>
        <v>debit    6666050202  Custom clearance charge</v>
      </c>
      <c r="B73" s="112" t="s">
        <v>360</v>
      </c>
      <c r="C73" s="113">
        <v>40.090000000000003</v>
      </c>
      <c r="D73" s="116">
        <v>0</v>
      </c>
      <c r="E73" s="113">
        <v>40.090000000000003</v>
      </c>
      <c r="F73" s="113">
        <v>0</v>
      </c>
      <c r="G73" s="112" t="s">
        <v>360</v>
      </c>
      <c r="H73" s="114">
        <v>0</v>
      </c>
      <c r="I73" s="114">
        <v>0</v>
      </c>
      <c r="J73" s="115">
        <v>0</v>
      </c>
      <c r="K73" s="113">
        <v>0</v>
      </c>
      <c r="L73" t="e">
        <f>VLOOKUP(A73,'SAP Actual extraction'!$A$28:$A$1048576,1,0)</f>
        <v>#N/A</v>
      </c>
      <c r="M73" t="e">
        <f>VLOOKUP(B73,'SAP Actual extraction'!B:B,1,0)</f>
        <v>#N/A</v>
      </c>
    </row>
    <row r="74" spans="1:13" x14ac:dyDescent="0.3">
      <c r="A74" s="109" t="str">
        <f t="shared" si="0"/>
        <v>debit    6666050312  Inventory count different- Semifinished</v>
      </c>
      <c r="B74" s="112" t="s">
        <v>212</v>
      </c>
      <c r="C74" s="113">
        <v>220553.27</v>
      </c>
      <c r="D74" s="116">
        <v>0</v>
      </c>
      <c r="E74" s="113">
        <v>220553.27</v>
      </c>
      <c r="F74" s="113">
        <v>0</v>
      </c>
      <c r="G74" s="112" t="s">
        <v>212</v>
      </c>
      <c r="H74" s="114">
        <v>0</v>
      </c>
      <c r="I74" s="114">
        <v>0</v>
      </c>
      <c r="J74" s="115">
        <v>0</v>
      </c>
      <c r="K74" s="113">
        <v>0</v>
      </c>
      <c r="L74" t="str">
        <f>VLOOKUP(A74,'SAP Actual extraction'!$A$28:$A$1048576,1,0)</f>
        <v>debit    6666050312  Inventory count different- Semifinished</v>
      </c>
      <c r="M74" t="str">
        <f>VLOOKUP(B74,'SAP Actual extraction'!B:B,1,0)</f>
        <v xml:space="preserve">    6666050312  Inventory count different- Semifinished</v>
      </c>
    </row>
    <row r="75" spans="1:13" x14ac:dyDescent="0.3">
      <c r="A75" s="109" t="str">
        <f t="shared" si="0"/>
        <v>debit    6666070100  Software purchase, development and imple</v>
      </c>
      <c r="B75" s="112" t="s">
        <v>288</v>
      </c>
      <c r="C75" s="116">
        <v>0</v>
      </c>
      <c r="D75" s="116">
        <v>0</v>
      </c>
      <c r="E75" s="113">
        <v>0</v>
      </c>
      <c r="F75" s="113">
        <v>0</v>
      </c>
      <c r="G75" s="112" t="s">
        <v>288</v>
      </c>
      <c r="H75" s="114">
        <v>0</v>
      </c>
      <c r="I75" s="114">
        <v>0</v>
      </c>
      <c r="J75" s="115">
        <v>0</v>
      </c>
      <c r="K75" s="113">
        <v>0</v>
      </c>
      <c r="L75" t="str">
        <f>VLOOKUP(A75,'SAP Actual extraction'!$A$28:$A$1048576,1,0)</f>
        <v>debit    6666070100  Software purchase, development and imple</v>
      </c>
      <c r="M75" t="str">
        <f>VLOOKUP(B75,'SAP Actual extraction'!B:B,1,0)</f>
        <v xml:space="preserve">    6666070100  Software purchase, development and imple</v>
      </c>
    </row>
    <row r="76" spans="1:13" x14ac:dyDescent="0.3">
      <c r="A76" s="109" t="str">
        <f t="shared" si="0"/>
        <v>debit    6666070400  IT maint. &amp; repairs hardware</v>
      </c>
      <c r="B76" s="112" t="s">
        <v>290</v>
      </c>
      <c r="C76" s="113">
        <v>-3253.54</v>
      </c>
      <c r="D76" s="113">
        <v>16439.400000000001</v>
      </c>
      <c r="E76" s="113">
        <v>-19692.939999999999</v>
      </c>
      <c r="F76" s="113">
        <v>-119.7911</v>
      </c>
      <c r="G76" s="112" t="s">
        <v>290</v>
      </c>
      <c r="H76" s="114">
        <v>0</v>
      </c>
      <c r="I76" s="114">
        <v>0</v>
      </c>
      <c r="J76" s="115">
        <v>0</v>
      </c>
      <c r="K76" s="113">
        <v>0</v>
      </c>
      <c r="L76" t="str">
        <f>VLOOKUP(A76,'SAP Actual extraction'!$A$28:$A$1048576,1,0)</f>
        <v>debit    6666070400  IT maint. &amp; repairs hardware</v>
      </c>
      <c r="M76" t="str">
        <f>VLOOKUP(B76,'SAP Actual extraction'!B:B,1,0)</f>
        <v xml:space="preserve">    6666070400  IT maint. &amp; repairs hardware</v>
      </c>
    </row>
    <row r="77" spans="1:13" x14ac:dyDescent="0.3">
      <c r="A77" s="109" t="str">
        <f t="shared" si="0"/>
        <v>debit    5207000011  Gain of tangible asset disposal</v>
      </c>
      <c r="B77" s="112" t="s">
        <v>291</v>
      </c>
      <c r="C77" s="116">
        <v>0</v>
      </c>
      <c r="D77" s="116">
        <v>0</v>
      </c>
      <c r="E77" s="113">
        <v>0</v>
      </c>
      <c r="F77" s="113">
        <v>0</v>
      </c>
      <c r="G77" s="112" t="s">
        <v>291</v>
      </c>
      <c r="H77" s="114">
        <v>0</v>
      </c>
      <c r="I77" s="114">
        <v>0</v>
      </c>
      <c r="J77" s="115">
        <v>0</v>
      </c>
      <c r="K77" s="113">
        <v>0</v>
      </c>
      <c r="L77" t="str">
        <f>VLOOKUP(A77,'SAP Actual extraction'!$A$28:$A$1048576,1,0)</f>
        <v>debit    5207000011  Gain of tangible asset disposal</v>
      </c>
      <c r="M77" t="str">
        <f>VLOOKUP(B77,'SAP Actual extraction'!B:B,1,0)</f>
        <v xml:space="preserve">    5207000011  Gain of tangible asset disposal</v>
      </c>
    </row>
    <row r="78" spans="1:13" x14ac:dyDescent="0.3">
      <c r="A78" s="109" t="str">
        <f t="shared" si="0"/>
        <v>debit    5401050201  COGS-Freight out-Special and sporadic fr</v>
      </c>
      <c r="B78" s="112" t="s">
        <v>292</v>
      </c>
      <c r="C78" s="116">
        <v>0</v>
      </c>
      <c r="D78" s="116">
        <v>0</v>
      </c>
      <c r="E78" s="113">
        <v>0</v>
      </c>
      <c r="F78" s="113">
        <v>0</v>
      </c>
      <c r="G78" s="112" t="s">
        <v>292</v>
      </c>
      <c r="H78" s="114">
        <v>0</v>
      </c>
      <c r="I78" s="114">
        <v>0</v>
      </c>
      <c r="J78" s="115">
        <v>0</v>
      </c>
      <c r="K78" s="113">
        <v>0</v>
      </c>
      <c r="L78" t="str">
        <f>VLOOKUP(A78,'SAP Actual extraction'!$A$28:$A$1048576,1,0)</f>
        <v>debit    5401050201  COGS-Freight out-Special and sporadic fr</v>
      </c>
      <c r="M78" t="str">
        <f>VLOOKUP(B78,'SAP Actual extraction'!B:B,1,0)</f>
        <v xml:space="preserve">    5401050201  COGS-Freight out-Special and sporadic fr</v>
      </c>
    </row>
    <row r="79" spans="1:13" x14ac:dyDescent="0.3">
      <c r="A79" s="109" t="str">
        <f t="shared" si="0"/>
        <v>debit*   CS_Fix Cost</v>
      </c>
      <c r="B79" s="117" t="s">
        <v>211</v>
      </c>
      <c r="C79" s="118">
        <v>143862.70000000001</v>
      </c>
      <c r="D79" s="118">
        <v>163860.39000000001</v>
      </c>
      <c r="E79" s="118">
        <v>-19997.689999999999</v>
      </c>
      <c r="F79" s="118">
        <v>-12.2041</v>
      </c>
      <c r="G79" s="117" t="s">
        <v>211</v>
      </c>
      <c r="H79" s="119">
        <v>0</v>
      </c>
      <c r="I79" s="119">
        <v>0</v>
      </c>
      <c r="J79" s="120">
        <v>0</v>
      </c>
      <c r="K79" s="118">
        <v>0</v>
      </c>
      <c r="L79" t="str">
        <f>VLOOKUP(A79,'SAP Actual extraction'!$A$28:$A$1048576,1,0)</f>
        <v>debit*   CS_Fix Cost</v>
      </c>
      <c r="M79" t="str">
        <f>VLOOKUP(B79,'SAP Actual extraction'!B:B,1,0)</f>
        <v>*   CS_Fix Cost</v>
      </c>
    </row>
    <row r="80" spans="1:13" x14ac:dyDescent="0.3">
      <c r="A80" s="109" t="str">
        <f t="shared" ref="A80:A127" si="1">"debit"&amp;B80</f>
        <v>debit    6666110203  Low value consumables</v>
      </c>
      <c r="B80" s="112" t="s">
        <v>293</v>
      </c>
      <c r="C80" s="113">
        <v>-82039.399999999994</v>
      </c>
      <c r="D80" s="113">
        <v>52728.66</v>
      </c>
      <c r="E80" s="113">
        <v>-134768.06</v>
      </c>
      <c r="F80" s="113">
        <v>-255.58789999999999</v>
      </c>
      <c r="G80" s="112" t="s">
        <v>293</v>
      </c>
      <c r="H80" s="114">
        <v>0</v>
      </c>
      <c r="I80" s="114">
        <v>0</v>
      </c>
      <c r="J80" s="115">
        <v>0</v>
      </c>
      <c r="K80" s="113">
        <v>0</v>
      </c>
      <c r="L80" t="str">
        <f>VLOOKUP(A80,'SAP Actual extraction'!$A$28:$A$1048576,1,0)</f>
        <v>debit    6666110203  Low value consumables</v>
      </c>
      <c r="M80" t="str">
        <f>VLOOKUP(B80,'SAP Actual extraction'!B:B,1,0)</f>
        <v xml:space="preserve">    6666110203  Low value consumables</v>
      </c>
    </row>
    <row r="81" spans="1:13" x14ac:dyDescent="0.3">
      <c r="A81" s="109" t="str">
        <f t="shared" si="1"/>
        <v>debit    5102040000  Other Revenue - Other</v>
      </c>
      <c r="B81" s="112" t="s">
        <v>294</v>
      </c>
      <c r="C81" s="116">
        <v>0</v>
      </c>
      <c r="D81" s="116">
        <v>0</v>
      </c>
      <c r="E81" s="113">
        <v>0</v>
      </c>
      <c r="F81" s="113">
        <v>0</v>
      </c>
      <c r="G81" s="112" t="s">
        <v>294</v>
      </c>
      <c r="H81" s="114">
        <v>0</v>
      </c>
      <c r="I81" s="114">
        <v>0</v>
      </c>
      <c r="J81" s="115">
        <v>0</v>
      </c>
      <c r="K81" s="113">
        <v>0</v>
      </c>
      <c r="L81" t="str">
        <f>VLOOKUP(A81,'SAP Actual extraction'!$A$28:$A$1048576,1,0)</f>
        <v>debit    5102040000  Other Revenue - Other</v>
      </c>
      <c r="M81" t="str">
        <f>VLOOKUP(B81,'SAP Actual extraction'!B:B,1,0)</f>
        <v xml:space="preserve">    5102040000  Other Revenue - Other</v>
      </c>
    </row>
    <row r="82" spans="1:13" x14ac:dyDescent="0.3">
      <c r="A82" s="109" t="str">
        <f t="shared" si="1"/>
        <v>debit    6666050307  Inventory count different-raw material</v>
      </c>
      <c r="B82" s="112" t="s">
        <v>295</v>
      </c>
      <c r="C82" s="113">
        <v>-481026.6</v>
      </c>
      <c r="D82" s="116">
        <v>0</v>
      </c>
      <c r="E82" s="113">
        <v>-481026.6</v>
      </c>
      <c r="F82" s="113">
        <v>0</v>
      </c>
      <c r="G82" s="112" t="s">
        <v>295</v>
      </c>
      <c r="H82" s="114">
        <v>0</v>
      </c>
      <c r="I82" s="114">
        <v>0</v>
      </c>
      <c r="J82" s="115">
        <v>0</v>
      </c>
      <c r="K82" s="113">
        <v>0</v>
      </c>
      <c r="L82" t="str">
        <f>VLOOKUP(A82,'SAP Actual extraction'!$A$28:$A$1048576,1,0)</f>
        <v>debit    6666050307  Inventory count different-raw material</v>
      </c>
      <c r="M82" t="str">
        <f>VLOOKUP(B82,'SAP Actual extraction'!B:B,1,0)</f>
        <v xml:space="preserve">    6666050307  Inventory count different-raw material</v>
      </c>
    </row>
    <row r="83" spans="1:13" x14ac:dyDescent="0.3">
      <c r="A83" s="109" t="str">
        <f t="shared" si="1"/>
        <v>debit*   CS_Variable Cost</v>
      </c>
      <c r="B83" s="117" t="s">
        <v>213</v>
      </c>
      <c r="C83" s="118">
        <v>-563066</v>
      </c>
      <c r="D83" s="118">
        <v>52728.66</v>
      </c>
      <c r="E83" s="118">
        <v>-615794.66</v>
      </c>
      <c r="F83" s="118">
        <v>-1167.8557000000001</v>
      </c>
      <c r="G83" s="117" t="s">
        <v>213</v>
      </c>
      <c r="H83" s="119">
        <v>0</v>
      </c>
      <c r="I83" s="119">
        <v>0</v>
      </c>
      <c r="J83" s="120">
        <v>0</v>
      </c>
      <c r="K83" s="118">
        <v>0</v>
      </c>
      <c r="L83" t="str">
        <f>VLOOKUP(A83,'SAP Actual extraction'!$A$28:$A$1048576,1,0)</f>
        <v>debit*   CS_Variable Cost</v>
      </c>
      <c r="M83" t="str">
        <f>VLOOKUP(B83,'SAP Actual extraction'!B:B,1,0)</f>
        <v>*   CS_Variable Cost</v>
      </c>
    </row>
    <row r="84" spans="1:13" x14ac:dyDescent="0.3">
      <c r="A84" s="109" t="str">
        <f t="shared" si="1"/>
        <v>debit    6666100203  Provision for inventory devaluation - RM</v>
      </c>
      <c r="B84" s="112" t="s">
        <v>296</v>
      </c>
      <c r="C84" s="113">
        <v>229172.48000000001</v>
      </c>
      <c r="D84" s="113">
        <v>50000</v>
      </c>
      <c r="E84" s="113">
        <v>179172.48000000001</v>
      </c>
      <c r="F84" s="113">
        <v>358.34500000000003</v>
      </c>
      <c r="G84" s="112" t="s">
        <v>296</v>
      </c>
      <c r="H84" s="114">
        <v>0</v>
      </c>
      <c r="I84" s="114">
        <v>0</v>
      </c>
      <c r="J84" s="115">
        <v>0</v>
      </c>
      <c r="K84" s="113">
        <v>0</v>
      </c>
      <c r="L84" t="str">
        <f>VLOOKUP(A84,'SAP Actual extraction'!$A$28:$A$1048576,1,0)</f>
        <v>debit    6666100203  Provision for inventory devaluation - RM</v>
      </c>
      <c r="M84" t="str">
        <f>VLOOKUP(B84,'SAP Actual extraction'!B:B,1,0)</f>
        <v xml:space="preserve">    6666100203  Provision for inventory devaluation - RM</v>
      </c>
    </row>
    <row r="85" spans="1:13" x14ac:dyDescent="0.3">
      <c r="A85" s="109" t="str">
        <f t="shared" si="1"/>
        <v>debit*   CS_Obsolescence</v>
      </c>
      <c r="B85" s="117" t="s">
        <v>214</v>
      </c>
      <c r="C85" s="118">
        <v>229172.48000000001</v>
      </c>
      <c r="D85" s="118">
        <v>50000</v>
      </c>
      <c r="E85" s="118">
        <v>179172.48000000001</v>
      </c>
      <c r="F85" s="118">
        <v>358.34500000000003</v>
      </c>
      <c r="G85" s="117" t="s">
        <v>214</v>
      </c>
      <c r="H85" s="119">
        <v>0</v>
      </c>
      <c r="I85" s="119">
        <v>0</v>
      </c>
      <c r="J85" s="120">
        <v>0</v>
      </c>
      <c r="K85" s="118">
        <v>0</v>
      </c>
      <c r="L85" t="str">
        <f>VLOOKUP(A85,'SAP Actual extraction'!$A$28:$A$1048576,1,0)</f>
        <v>debit*   CS_Obsolescence</v>
      </c>
      <c r="M85" t="str">
        <f>VLOOKUP(B85,'SAP Actual extraction'!B:B,1,0)</f>
        <v>*   CS_Obsolescence</v>
      </c>
    </row>
    <row r="86" spans="1:13" x14ac:dyDescent="0.3">
      <c r="A86" s="109" t="str">
        <f t="shared" si="1"/>
        <v>debit    5301070000  Non-operation revenue-sales of scrapped</v>
      </c>
      <c r="B86" s="112" t="s">
        <v>297</v>
      </c>
      <c r="C86" s="113">
        <v>-224108.68</v>
      </c>
      <c r="D86" s="113">
        <v>-249838.04</v>
      </c>
      <c r="E86" s="113">
        <v>25729.360000000001</v>
      </c>
      <c r="F86" s="113">
        <v>-10.298400000000001</v>
      </c>
      <c r="G86" s="112" t="s">
        <v>297</v>
      </c>
      <c r="H86" s="114">
        <v>0</v>
      </c>
      <c r="I86" s="114">
        <v>0</v>
      </c>
      <c r="J86" s="115">
        <v>0</v>
      </c>
      <c r="K86" s="113">
        <v>0</v>
      </c>
      <c r="L86" t="str">
        <f>VLOOKUP(A86,'SAP Actual extraction'!$A$28:$A$1048576,1,0)</f>
        <v>debit    5301070000  Non-operation revenue-sales of scrapped</v>
      </c>
      <c r="M86" t="str">
        <f>VLOOKUP(B86,'SAP Actual extraction'!B:B,1,0)</f>
        <v xml:space="preserve">    5301070000  Non-operation revenue-sales of scrapped</v>
      </c>
    </row>
    <row r="87" spans="1:13" x14ac:dyDescent="0.3">
      <c r="A87" s="109" t="str">
        <f t="shared" si="1"/>
        <v>debit*   CS_Reselling</v>
      </c>
      <c r="B87" s="117" t="s">
        <v>215</v>
      </c>
      <c r="C87" s="118">
        <v>-224108.68</v>
      </c>
      <c r="D87" s="118">
        <v>-249838.04</v>
      </c>
      <c r="E87" s="118">
        <v>25729.360000000001</v>
      </c>
      <c r="F87" s="118">
        <v>-10.298400000000001</v>
      </c>
      <c r="G87" s="117" t="s">
        <v>215</v>
      </c>
      <c r="H87" s="119">
        <v>0</v>
      </c>
      <c r="I87" s="119">
        <v>0</v>
      </c>
      <c r="J87" s="120">
        <v>0</v>
      </c>
      <c r="K87" s="118">
        <v>0</v>
      </c>
      <c r="L87" t="str">
        <f>VLOOKUP(A87,'SAP Actual extraction'!$A$28:$A$1048576,1,0)</f>
        <v>debit*   CS_Reselling</v>
      </c>
      <c r="M87" t="str">
        <f>VLOOKUP(B87,'SAP Actual extraction'!B:B,1,0)</f>
        <v>*   CS_Reselling</v>
      </c>
    </row>
    <row r="88" spans="1:13" x14ac:dyDescent="0.3">
      <c r="A88" s="109" t="str">
        <f t="shared" si="1"/>
        <v>debit    6666021602  Electricity</v>
      </c>
      <c r="B88" s="112" t="s">
        <v>298</v>
      </c>
      <c r="C88" s="113">
        <v>1174.02</v>
      </c>
      <c r="D88" s="113">
        <v>23873.3</v>
      </c>
      <c r="E88" s="113">
        <v>-22699.279999999999</v>
      </c>
      <c r="F88" s="113">
        <v>-95.082300000000004</v>
      </c>
      <c r="G88" s="112" t="s">
        <v>298</v>
      </c>
      <c r="H88" s="114">
        <v>0</v>
      </c>
      <c r="I88" s="114">
        <v>0</v>
      </c>
      <c r="J88" s="115">
        <v>0</v>
      </c>
      <c r="K88" s="113">
        <v>0</v>
      </c>
      <c r="L88" t="str">
        <f>VLOOKUP(A88,'SAP Actual extraction'!$A$28:$A$1048576,1,0)</f>
        <v>debit    6666021602  Electricity</v>
      </c>
      <c r="M88" t="str">
        <f>VLOOKUP(B88,'SAP Actual extraction'!B:B,1,0)</f>
        <v xml:space="preserve">    6666021602  Electricity</v>
      </c>
    </row>
    <row r="89" spans="1:13" x14ac:dyDescent="0.3">
      <c r="A89" s="109" t="str">
        <f t="shared" si="1"/>
        <v>debit*   CS_Fix Utilities</v>
      </c>
      <c r="B89" s="117" t="s">
        <v>216</v>
      </c>
      <c r="C89" s="118">
        <v>1174.02</v>
      </c>
      <c r="D89" s="118">
        <v>23873.3</v>
      </c>
      <c r="E89" s="118">
        <v>-22699.279999999999</v>
      </c>
      <c r="F89" s="118">
        <v>-95.082300000000004</v>
      </c>
      <c r="G89" s="117" t="s">
        <v>216</v>
      </c>
      <c r="H89" s="119">
        <v>0</v>
      </c>
      <c r="I89" s="119">
        <v>0</v>
      </c>
      <c r="J89" s="120">
        <v>0</v>
      </c>
      <c r="K89" s="118">
        <v>0</v>
      </c>
      <c r="L89" t="str">
        <f>VLOOKUP(A89,'SAP Actual extraction'!$A$28:$A$1048576,1,0)</f>
        <v>debit*   CS_Fix Utilities</v>
      </c>
      <c r="M89" t="str">
        <f>VLOOKUP(B89,'SAP Actual extraction'!B:B,1,0)</f>
        <v>*   CS_Fix Utilities</v>
      </c>
    </row>
    <row r="90" spans="1:13" x14ac:dyDescent="0.3">
      <c r="A90" s="109" t="str">
        <f t="shared" si="1"/>
        <v>debit    6666021600  Energy and power cost</v>
      </c>
      <c r="B90" s="112" t="s">
        <v>299</v>
      </c>
      <c r="C90" s="113">
        <v>34611.85</v>
      </c>
      <c r="D90" s="113">
        <v>69880.509999999995</v>
      </c>
      <c r="E90" s="113">
        <v>-35268.660000000003</v>
      </c>
      <c r="F90" s="113">
        <v>-50.47</v>
      </c>
      <c r="G90" s="112" t="s">
        <v>299</v>
      </c>
      <c r="H90" s="114">
        <v>0</v>
      </c>
      <c r="I90" s="114">
        <v>0</v>
      </c>
      <c r="J90" s="115">
        <v>0</v>
      </c>
      <c r="K90" s="113">
        <v>0</v>
      </c>
      <c r="L90" t="str">
        <f>VLOOKUP(A90,'SAP Actual extraction'!$A$28:$A$1048576,1,0)</f>
        <v>debit    6666021600  Energy and power cost</v>
      </c>
      <c r="M90" t="str">
        <f>VLOOKUP(B90,'SAP Actual extraction'!B:B,1,0)</f>
        <v xml:space="preserve">    6666021600  Energy and power cost</v>
      </c>
    </row>
    <row r="91" spans="1:13" x14ac:dyDescent="0.3">
      <c r="A91" s="109" t="str">
        <f t="shared" si="1"/>
        <v>debit    6666021603  Water</v>
      </c>
      <c r="B91" s="112" t="s">
        <v>300</v>
      </c>
      <c r="C91" s="113">
        <v>2237.3000000000002</v>
      </c>
      <c r="D91" s="116">
        <v>0</v>
      </c>
      <c r="E91" s="113">
        <v>2237.3000000000002</v>
      </c>
      <c r="F91" s="113">
        <v>0</v>
      </c>
      <c r="G91" s="112" t="s">
        <v>300</v>
      </c>
      <c r="H91" s="114">
        <v>0</v>
      </c>
      <c r="I91" s="114">
        <v>0</v>
      </c>
      <c r="J91" s="115">
        <v>0</v>
      </c>
      <c r="K91" s="113">
        <v>0</v>
      </c>
      <c r="L91" t="str">
        <f>VLOOKUP(A91,'SAP Actual extraction'!$A$28:$A$1048576,1,0)</f>
        <v>debit    6666021603  Water</v>
      </c>
      <c r="M91" t="str">
        <f>VLOOKUP(B91,'SAP Actual extraction'!B:B,1,0)</f>
        <v xml:space="preserve">    6666021603  Water</v>
      </c>
    </row>
    <row r="92" spans="1:13" x14ac:dyDescent="0.3">
      <c r="A92" s="109" t="str">
        <f t="shared" si="1"/>
        <v>debit    6666021604  Oil &amp; Gas</v>
      </c>
      <c r="B92" s="112" t="s">
        <v>301</v>
      </c>
      <c r="C92" s="113">
        <v>13226.7</v>
      </c>
      <c r="D92" s="113">
        <v>19005.849999999999</v>
      </c>
      <c r="E92" s="113">
        <v>-5779.15</v>
      </c>
      <c r="F92" s="113">
        <v>-30.4072</v>
      </c>
      <c r="G92" s="112" t="s">
        <v>301</v>
      </c>
      <c r="H92" s="114">
        <v>0</v>
      </c>
      <c r="I92" s="114">
        <v>0</v>
      </c>
      <c r="J92" s="115">
        <v>0</v>
      </c>
      <c r="K92" s="113">
        <v>0</v>
      </c>
      <c r="L92" t="str">
        <f>VLOOKUP(A92,'SAP Actual extraction'!$A$28:$A$1048576,1,0)</f>
        <v>debit    6666021604  Oil &amp; Gas</v>
      </c>
      <c r="M92" t="str">
        <f>VLOOKUP(B92,'SAP Actual extraction'!B:B,1,0)</f>
        <v xml:space="preserve">    6666021604  Oil &amp; Gas</v>
      </c>
    </row>
    <row r="93" spans="1:13" x14ac:dyDescent="0.3">
      <c r="A93" s="109" t="str">
        <f t="shared" si="1"/>
        <v>debit*   CS_Variable Utilities</v>
      </c>
      <c r="B93" s="117" t="s">
        <v>217</v>
      </c>
      <c r="C93" s="118">
        <v>50075.85</v>
      </c>
      <c r="D93" s="118">
        <v>88886.36</v>
      </c>
      <c r="E93" s="118">
        <v>-38810.51</v>
      </c>
      <c r="F93" s="118">
        <v>-43.6631</v>
      </c>
      <c r="G93" s="117" t="s">
        <v>217</v>
      </c>
      <c r="H93" s="119">
        <v>0</v>
      </c>
      <c r="I93" s="119">
        <v>0</v>
      </c>
      <c r="J93" s="120">
        <v>0</v>
      </c>
      <c r="K93" s="118">
        <v>0</v>
      </c>
      <c r="L93" t="str">
        <f>VLOOKUP(A93,'SAP Actual extraction'!$A$28:$A$1048576,1,0)</f>
        <v>debit*   CS_Variable Utilities</v>
      </c>
      <c r="M93" t="str">
        <f>VLOOKUP(B93,'SAP Actual extraction'!B:B,1,0)</f>
        <v>*   CS_Variable Utilities</v>
      </c>
    </row>
    <row r="94" spans="1:13" x14ac:dyDescent="0.3">
      <c r="A94" s="109" t="str">
        <f t="shared" si="1"/>
        <v>debit    5001010206  Unemployment Insurance -blue collar-Indi</v>
      </c>
      <c r="B94" s="112" t="s">
        <v>302</v>
      </c>
      <c r="C94" s="113">
        <v>7533.53</v>
      </c>
      <c r="D94" s="116">
        <v>0</v>
      </c>
      <c r="E94" s="113">
        <v>7533.53</v>
      </c>
      <c r="F94" s="113">
        <v>0</v>
      </c>
      <c r="G94" s="112" t="s">
        <v>302</v>
      </c>
      <c r="H94" s="114">
        <v>0</v>
      </c>
      <c r="I94" s="114">
        <v>0</v>
      </c>
      <c r="J94" s="115">
        <v>0</v>
      </c>
      <c r="K94" s="113">
        <v>0</v>
      </c>
      <c r="L94" t="str">
        <f>VLOOKUP(A94,'SAP Actual extraction'!$A$28:$A$1048576,1,0)</f>
        <v>debit    5001010206  Unemployment Insurance -blue collar-Indi</v>
      </c>
      <c r="M94" t="str">
        <f>VLOOKUP(B94,'SAP Actual extraction'!B:B,1,0)</f>
        <v xml:space="preserve">    5001010206  Unemployment Insurance -blue collar-Indi</v>
      </c>
    </row>
    <row r="95" spans="1:13" x14ac:dyDescent="0.3">
      <c r="A95" s="109" t="str">
        <f t="shared" si="1"/>
        <v>debit    6666010184  Salary&amp;Additional Incentive-Blue Collar-</v>
      </c>
      <c r="B95" s="112" t="s">
        <v>303</v>
      </c>
      <c r="C95" s="113">
        <v>-196.23</v>
      </c>
      <c r="D95" s="116">
        <v>0</v>
      </c>
      <c r="E95" s="113">
        <v>-196.23</v>
      </c>
      <c r="F95" s="113">
        <v>0</v>
      </c>
      <c r="G95" s="112" t="s">
        <v>303</v>
      </c>
      <c r="H95" s="114">
        <v>0</v>
      </c>
      <c r="I95" s="114">
        <v>0</v>
      </c>
      <c r="J95" s="115">
        <v>0</v>
      </c>
      <c r="K95" s="113">
        <v>0</v>
      </c>
      <c r="L95" t="str">
        <f>VLOOKUP(A95,'SAP Actual extraction'!$A$28:$A$1048576,1,0)</f>
        <v>debit    6666010184  Salary&amp;Additional Incentive-Blue Collar-</v>
      </c>
      <c r="M95" t="str">
        <f>VLOOKUP(B95,'SAP Actual extraction'!B:B,1,0)</f>
        <v xml:space="preserve">    6666010184  Salary&amp;Additional Incentive-Blue Collar-</v>
      </c>
    </row>
    <row r="96" spans="1:13" x14ac:dyDescent="0.3">
      <c r="A96" s="109" t="str">
        <f t="shared" si="1"/>
        <v>debit    6666010186  Overtime-Blue Collar-Indirect</v>
      </c>
      <c r="B96" s="112" t="s">
        <v>304</v>
      </c>
      <c r="C96" s="113">
        <v>18531.71</v>
      </c>
      <c r="D96" s="116">
        <v>0</v>
      </c>
      <c r="E96" s="113">
        <v>18531.71</v>
      </c>
      <c r="F96" s="113">
        <v>0</v>
      </c>
      <c r="G96" s="112" t="s">
        <v>304</v>
      </c>
      <c r="H96" s="114">
        <v>0</v>
      </c>
      <c r="I96" s="114">
        <v>0</v>
      </c>
      <c r="J96" s="115">
        <v>0</v>
      </c>
      <c r="K96" s="113">
        <v>0</v>
      </c>
      <c r="L96" t="str">
        <f>VLOOKUP(A96,'SAP Actual extraction'!$A$28:$A$1048576,1,0)</f>
        <v>debit    6666010186  Overtime-Blue Collar-Indirect</v>
      </c>
      <c r="M96" t="str">
        <f>VLOOKUP(B96,'SAP Actual extraction'!B:B,1,0)</f>
        <v xml:space="preserve">    6666010186  Overtime-Blue Collar-Indirect</v>
      </c>
    </row>
    <row r="97" spans="1:13" x14ac:dyDescent="0.3">
      <c r="A97" s="109" t="str">
        <f t="shared" si="1"/>
        <v>debit    6666010189  Salary - Blue collar indirect employees</v>
      </c>
      <c r="B97" s="112" t="s">
        <v>305</v>
      </c>
      <c r="C97" s="113">
        <v>-2984.09</v>
      </c>
      <c r="D97" s="113">
        <v>653460.86</v>
      </c>
      <c r="E97" s="113">
        <v>-656444.94999999995</v>
      </c>
      <c r="F97" s="113">
        <v>-100.4567</v>
      </c>
      <c r="G97" s="112" t="s">
        <v>305</v>
      </c>
      <c r="H97" s="114">
        <v>0</v>
      </c>
      <c r="I97" s="114">
        <v>0</v>
      </c>
      <c r="J97" s="115">
        <v>0</v>
      </c>
      <c r="K97" s="113">
        <v>0</v>
      </c>
      <c r="L97" t="str">
        <f>VLOOKUP(A97,'SAP Actual extraction'!$A$28:$A$1048576,1,0)</f>
        <v>debit    6666010189  Salary - Blue collar indirect employees</v>
      </c>
      <c r="M97" t="str">
        <f>VLOOKUP(B97,'SAP Actual extraction'!B:B,1,0)</f>
        <v xml:space="preserve">    6666010189  Salary - Blue collar indirect employees</v>
      </c>
    </row>
    <row r="98" spans="1:13" x14ac:dyDescent="0.3">
      <c r="A98" s="109" t="str">
        <f t="shared" si="1"/>
        <v>debit    6666010012  Payroll Taxes- Blue Collar Indirect</v>
      </c>
      <c r="B98" s="112" t="s">
        <v>306</v>
      </c>
      <c r="C98" s="113">
        <v>60647.66</v>
      </c>
      <c r="D98" s="116">
        <v>0</v>
      </c>
      <c r="E98" s="113">
        <v>60647.66</v>
      </c>
      <c r="F98" s="113">
        <v>0</v>
      </c>
      <c r="G98" s="112" t="s">
        <v>306</v>
      </c>
      <c r="H98" s="114">
        <v>0</v>
      </c>
      <c r="I98" s="114">
        <v>0</v>
      </c>
      <c r="J98" s="115">
        <v>0</v>
      </c>
      <c r="K98" s="113">
        <v>0</v>
      </c>
      <c r="M98" t="str">
        <f>VLOOKUP(B98,'SAP Actual extraction'!B:B,1,0)</f>
        <v xml:space="preserve">    6666010012  Payroll Taxes- Blue Collar Indirect</v>
      </c>
    </row>
    <row r="99" spans="1:13" x14ac:dyDescent="0.3">
      <c r="A99" s="109" t="str">
        <f t="shared" si="1"/>
        <v>debit    6666010226  Staff Leaving Indemnity - Blue Collar In</v>
      </c>
      <c r="B99" s="112" t="s">
        <v>307</v>
      </c>
      <c r="C99" s="113">
        <v>12896.98</v>
      </c>
      <c r="D99" s="116">
        <v>0</v>
      </c>
      <c r="E99" s="113">
        <v>12896.98</v>
      </c>
      <c r="F99" s="113">
        <v>0</v>
      </c>
      <c r="G99" s="112" t="s">
        <v>307</v>
      </c>
      <c r="H99" s="114">
        <v>0</v>
      </c>
      <c r="I99" s="114">
        <v>0</v>
      </c>
      <c r="J99" s="115">
        <v>0</v>
      </c>
      <c r="K99" s="113">
        <v>0</v>
      </c>
      <c r="M99" t="str">
        <f>VLOOKUP(B99,'SAP Actual extraction'!B:B,1,0)</f>
        <v xml:space="preserve">    6666010226  Staff Leaving Indemnity - Blue Collar In</v>
      </c>
    </row>
    <row r="100" spans="1:13" x14ac:dyDescent="0.3">
      <c r="A100" s="109" t="str">
        <f t="shared" si="1"/>
        <v>debit    6666010102  Salary-Blue collar indirect employees- A</v>
      </c>
      <c r="B100" s="112" t="s">
        <v>308</v>
      </c>
      <c r="C100" s="113">
        <v>370101.34</v>
      </c>
      <c r="D100" s="116">
        <v>0</v>
      </c>
      <c r="E100" s="113">
        <v>370101.34</v>
      </c>
      <c r="F100" s="113">
        <v>0</v>
      </c>
      <c r="G100" s="112" t="s">
        <v>308</v>
      </c>
      <c r="H100" s="114">
        <v>0</v>
      </c>
      <c r="I100" s="114">
        <v>0</v>
      </c>
      <c r="J100" s="115">
        <v>0</v>
      </c>
      <c r="K100" s="113">
        <v>0</v>
      </c>
    </row>
    <row r="101" spans="1:13" x14ac:dyDescent="0.3">
      <c r="A101" s="109" t="str">
        <f t="shared" si="1"/>
        <v>debit*   CS_Indirect Labour</v>
      </c>
      <c r="B101" s="117" t="s">
        <v>218</v>
      </c>
      <c r="C101" s="118">
        <v>466530.9</v>
      </c>
      <c r="D101" s="118">
        <v>653460.86</v>
      </c>
      <c r="E101" s="118">
        <v>-186929.96</v>
      </c>
      <c r="F101" s="118">
        <v>-28.606100000000001</v>
      </c>
      <c r="G101" s="117" t="s">
        <v>218</v>
      </c>
      <c r="H101" s="119">
        <v>0</v>
      </c>
      <c r="I101" s="119">
        <v>0</v>
      </c>
      <c r="J101" s="120">
        <v>0</v>
      </c>
      <c r="K101" s="118">
        <v>0</v>
      </c>
    </row>
    <row r="102" spans="1:13" x14ac:dyDescent="0.3">
      <c r="A102" s="109" t="str">
        <f t="shared" si="1"/>
        <v>debit    6666010196  Payroll Taxes-White Collar Employee</v>
      </c>
      <c r="B102" s="112" t="s">
        <v>309</v>
      </c>
      <c r="C102" s="113">
        <v>23985.200000000001</v>
      </c>
      <c r="D102" s="116">
        <v>0</v>
      </c>
      <c r="E102" s="113">
        <v>23985.200000000001</v>
      </c>
      <c r="F102" s="113">
        <v>0</v>
      </c>
      <c r="G102" s="112" t="s">
        <v>309</v>
      </c>
      <c r="H102" s="114">
        <v>0</v>
      </c>
      <c r="I102" s="114">
        <v>0</v>
      </c>
      <c r="J102" s="115">
        <v>0</v>
      </c>
      <c r="K102" s="113">
        <v>0</v>
      </c>
    </row>
    <row r="103" spans="1:13" x14ac:dyDescent="0.3">
      <c r="A103" s="109" t="str">
        <f t="shared" si="1"/>
        <v>debit    6666010101  Salary - White collar employees</v>
      </c>
      <c r="B103" s="112" t="s">
        <v>310</v>
      </c>
      <c r="C103" s="113">
        <v>153462.96</v>
      </c>
      <c r="D103" s="113">
        <v>157619.20000000001</v>
      </c>
      <c r="E103" s="113">
        <v>-4156.24</v>
      </c>
      <c r="F103" s="113">
        <v>-2.6368999999999998</v>
      </c>
      <c r="G103" s="112" t="s">
        <v>310</v>
      </c>
      <c r="H103" s="114">
        <v>0</v>
      </c>
      <c r="I103" s="114">
        <v>0</v>
      </c>
      <c r="J103" s="115">
        <v>0</v>
      </c>
      <c r="K103" s="113">
        <v>0</v>
      </c>
    </row>
    <row r="104" spans="1:13" x14ac:dyDescent="0.3">
      <c r="A104" s="109" t="str">
        <f t="shared" si="1"/>
        <v>debit    6666010199  Salary-White collar employees -Accrued</v>
      </c>
      <c r="B104" s="112" t="s">
        <v>311</v>
      </c>
      <c r="C104" s="113">
        <v>10575.36</v>
      </c>
      <c r="D104" s="116">
        <v>0</v>
      </c>
      <c r="E104" s="113">
        <v>10575.36</v>
      </c>
      <c r="F104" s="113">
        <v>0</v>
      </c>
      <c r="G104" s="112" t="s">
        <v>311</v>
      </c>
      <c r="H104" s="114">
        <v>0</v>
      </c>
      <c r="I104" s="114">
        <v>0</v>
      </c>
      <c r="J104" s="115">
        <v>0</v>
      </c>
      <c r="K104" s="113">
        <v>0</v>
      </c>
      <c r="M104" t="str">
        <f>VLOOKUP(B104,'SAP Actual extraction'!B:B,1,0)</f>
        <v xml:space="preserve">    6666010199  Salary-White collar employees -Accrued</v>
      </c>
    </row>
    <row r="105" spans="1:13" x14ac:dyDescent="0.3">
      <c r="A105" s="109" t="str">
        <f t="shared" si="1"/>
        <v>debit    6666010185  Salary&amp;Additional Incentive-White Collar</v>
      </c>
      <c r="B105" s="112" t="s">
        <v>312</v>
      </c>
      <c r="C105" s="113">
        <v>-613.48</v>
      </c>
      <c r="D105" s="116">
        <v>0</v>
      </c>
      <c r="E105" s="113">
        <v>-613.48</v>
      </c>
      <c r="F105" s="113">
        <v>0</v>
      </c>
      <c r="G105" s="112" t="s">
        <v>312</v>
      </c>
      <c r="H105" s="114">
        <v>0</v>
      </c>
      <c r="I105" s="114">
        <v>0</v>
      </c>
      <c r="J105" s="115">
        <v>0</v>
      </c>
      <c r="K105" s="113">
        <v>0</v>
      </c>
      <c r="M105" t="str">
        <f>VLOOKUP(B105,'SAP Actual extraction'!B:B,1,0)</f>
        <v xml:space="preserve">    6666010185  Salary&amp;Additional Incentive-White Collar</v>
      </c>
    </row>
    <row r="106" spans="1:13" x14ac:dyDescent="0.3">
      <c r="A106" s="109" t="str">
        <f t="shared" si="1"/>
        <v>debit    6666010207  Unemployment insurance companies to pay</v>
      </c>
      <c r="B106" s="112" t="s">
        <v>313</v>
      </c>
      <c r="C106" s="113">
        <v>2324.2800000000002</v>
      </c>
      <c r="D106" s="116">
        <v>0</v>
      </c>
      <c r="E106" s="113">
        <v>2324.2800000000002</v>
      </c>
      <c r="F106" s="113">
        <v>0</v>
      </c>
      <c r="G106" s="112" t="s">
        <v>313</v>
      </c>
      <c r="H106" s="114">
        <v>0</v>
      </c>
      <c r="I106" s="114">
        <v>0</v>
      </c>
      <c r="J106" s="115">
        <v>0</v>
      </c>
      <c r="K106" s="113">
        <v>0</v>
      </c>
      <c r="M106" t="str">
        <f>VLOOKUP(B106,'SAP Actual extraction'!B:B,1,0)</f>
        <v xml:space="preserve">    6666010207  Unemployment insurance companies to pay</v>
      </c>
    </row>
    <row r="107" spans="1:13" x14ac:dyDescent="0.3">
      <c r="A107" s="109" t="str">
        <f t="shared" si="1"/>
        <v>debit    6666010227  Staff Leaving Indemnity - White collar E</v>
      </c>
      <c r="B107" s="112" t="s">
        <v>315</v>
      </c>
      <c r="C107" s="113">
        <v>3452.92</v>
      </c>
      <c r="D107" s="116">
        <v>0</v>
      </c>
      <c r="E107" s="113">
        <v>3452.92</v>
      </c>
      <c r="F107" s="113">
        <v>0</v>
      </c>
      <c r="G107" s="112" t="s">
        <v>315</v>
      </c>
      <c r="H107" s="114">
        <v>0</v>
      </c>
      <c r="I107" s="114">
        <v>0</v>
      </c>
      <c r="J107" s="115">
        <v>0</v>
      </c>
      <c r="K107" s="113">
        <v>0</v>
      </c>
      <c r="M107" t="str">
        <f>VLOOKUP(B107,'SAP Actual extraction'!B:B,1,0)</f>
        <v xml:space="preserve">    6666010227  Staff Leaving Indemnity - White collar E</v>
      </c>
    </row>
    <row r="108" spans="1:13" x14ac:dyDescent="0.3">
      <c r="A108" s="109" t="str">
        <f t="shared" si="1"/>
        <v>debit*   CS_Fixed Labour</v>
      </c>
      <c r="B108" s="117" t="s">
        <v>219</v>
      </c>
      <c r="C108" s="118">
        <v>193187.24</v>
      </c>
      <c r="D108" s="118">
        <v>157619.20000000001</v>
      </c>
      <c r="E108" s="118">
        <v>35568.04</v>
      </c>
      <c r="F108" s="118">
        <v>22.565799999999999</v>
      </c>
      <c r="G108" s="117" t="s">
        <v>219</v>
      </c>
      <c r="H108" s="119">
        <v>0</v>
      </c>
      <c r="I108" s="119">
        <v>0</v>
      </c>
      <c r="J108" s="120">
        <v>0</v>
      </c>
      <c r="K108" s="118">
        <v>0</v>
      </c>
      <c r="L108" t="str">
        <f>VLOOKUP(A108,'SAP Actual extraction'!$A$28:$A$1048576,1,0)</f>
        <v>debit*   CS_Fixed Labour</v>
      </c>
      <c r="M108" t="str">
        <f>VLOOKUP(B108,'SAP Actual extraction'!B:B,1,0)</f>
        <v>*   CS_Fixed Labour</v>
      </c>
    </row>
    <row r="109" spans="1:13" x14ac:dyDescent="0.3">
      <c r="A109" s="109" t="str">
        <f t="shared" si="1"/>
        <v>debit    600007      Maintenance</v>
      </c>
      <c r="B109" s="112" t="s">
        <v>361</v>
      </c>
      <c r="C109" s="116">
        <v>0</v>
      </c>
      <c r="D109" s="116">
        <v>0</v>
      </c>
      <c r="E109" s="113">
        <v>0</v>
      </c>
      <c r="F109" s="113">
        <v>0</v>
      </c>
      <c r="G109" s="112" t="s">
        <v>361</v>
      </c>
      <c r="H109" s="114">
        <v>0</v>
      </c>
      <c r="I109" s="114">
        <v>0</v>
      </c>
      <c r="J109" s="115">
        <v>0</v>
      </c>
      <c r="K109" s="113">
        <v>0</v>
      </c>
      <c r="M109" t="e">
        <f>VLOOKUP(B109,'SAP Actual extraction'!B:B,1,0)</f>
        <v>#N/A</v>
      </c>
    </row>
    <row r="110" spans="1:13" x14ac:dyDescent="0.3">
      <c r="A110" s="109" t="str">
        <f t="shared" si="1"/>
        <v>debit    6666020903  Other materials</v>
      </c>
      <c r="B110" s="112" t="s">
        <v>316</v>
      </c>
      <c r="C110" s="116">
        <v>0</v>
      </c>
      <c r="D110" s="116">
        <v>0</v>
      </c>
      <c r="E110" s="113">
        <v>0</v>
      </c>
      <c r="F110" s="113">
        <v>0</v>
      </c>
      <c r="G110" s="112" t="s">
        <v>316</v>
      </c>
      <c r="H110" s="114">
        <v>0</v>
      </c>
      <c r="I110" s="114">
        <v>0</v>
      </c>
      <c r="J110" s="115">
        <v>0</v>
      </c>
      <c r="K110" s="113">
        <v>0</v>
      </c>
      <c r="L110" t="str">
        <f>VLOOKUP(A110,'SAP Actual extraction'!$A$28:$A$1048576,1,0)</f>
        <v>debit    6666020903  Other materials</v>
      </c>
      <c r="M110" t="str">
        <f>VLOOKUP(B110,'SAP Actual extraction'!B:B,1,0)</f>
        <v xml:space="preserve">    6666020903  Other materials</v>
      </c>
    </row>
    <row r="111" spans="1:13" x14ac:dyDescent="0.3">
      <c r="A111" s="109" t="str">
        <f t="shared" si="1"/>
        <v>debit    6666010302  Medical expenses</v>
      </c>
      <c r="B111" s="112" t="s">
        <v>317</v>
      </c>
      <c r="C111" s="113">
        <v>7525.59</v>
      </c>
      <c r="D111" s="113">
        <v>17550.39</v>
      </c>
      <c r="E111" s="113">
        <v>-10024.799999999999</v>
      </c>
      <c r="F111" s="113">
        <v>-57.120100000000001</v>
      </c>
      <c r="G111" s="112" t="s">
        <v>317</v>
      </c>
      <c r="H111" s="114">
        <v>0</v>
      </c>
      <c r="I111" s="114">
        <v>0</v>
      </c>
      <c r="J111" s="115">
        <v>0</v>
      </c>
      <c r="K111" s="113">
        <v>0</v>
      </c>
      <c r="L111" t="str">
        <f>VLOOKUP(A111,'SAP Actual extraction'!$A$28:$A$1048576,1,0)</f>
        <v>debit    6666010302  Medical expenses</v>
      </c>
      <c r="M111" t="str">
        <f>VLOOKUP(B111,'SAP Actual extraction'!B:B,1,0)</f>
        <v xml:space="preserve">    6666010302  Medical expenses</v>
      </c>
    </row>
    <row r="112" spans="1:13" x14ac:dyDescent="0.3">
      <c r="A112" s="109" t="str">
        <f t="shared" si="1"/>
        <v>debit    6666010314  Work uniforms</v>
      </c>
      <c r="B112" s="112" t="s">
        <v>318</v>
      </c>
      <c r="C112" s="113">
        <v>3683.34</v>
      </c>
      <c r="D112" s="113">
        <v>70952.23</v>
      </c>
      <c r="E112" s="113">
        <v>-67268.89</v>
      </c>
      <c r="F112" s="113">
        <v>-94.808700000000002</v>
      </c>
      <c r="G112" s="112" t="s">
        <v>318</v>
      </c>
      <c r="H112" s="114">
        <v>0</v>
      </c>
      <c r="I112" s="114">
        <v>0</v>
      </c>
      <c r="J112" s="115">
        <v>0</v>
      </c>
      <c r="K112" s="113">
        <v>0</v>
      </c>
      <c r="L112" t="str">
        <f>VLOOKUP(A112,'SAP Actual extraction'!$A$28:$A$1048576,1,0)</f>
        <v>debit    6666010314  Work uniforms</v>
      </c>
      <c r="M112" t="str">
        <f>VLOOKUP(B112,'SAP Actual extraction'!B:B,1,0)</f>
        <v xml:space="preserve">    6666010314  Work uniforms</v>
      </c>
    </row>
    <row r="113" spans="1:13" x14ac:dyDescent="0.3">
      <c r="A113" s="109" t="str">
        <f t="shared" si="1"/>
        <v>debit    6666020401  local transportation - bus and taxi</v>
      </c>
      <c r="B113" s="112" t="s">
        <v>319</v>
      </c>
      <c r="C113" s="113">
        <v>114402.22</v>
      </c>
      <c r="D113" s="113">
        <v>222965.74</v>
      </c>
      <c r="E113" s="113">
        <v>-108563.52</v>
      </c>
      <c r="F113" s="113">
        <v>-48.6907</v>
      </c>
      <c r="G113" s="112" t="s">
        <v>319</v>
      </c>
      <c r="H113" s="114">
        <v>0</v>
      </c>
      <c r="I113" s="114">
        <v>0</v>
      </c>
      <c r="J113" s="115">
        <v>0</v>
      </c>
      <c r="K113" s="113">
        <v>0</v>
      </c>
      <c r="L113" t="str">
        <f>VLOOKUP(A113,'SAP Actual extraction'!$A$28:$A$1048576,1,0)</f>
        <v>debit    6666020401  local transportation - bus and taxi</v>
      </c>
      <c r="M113" t="str">
        <f>VLOOKUP(B113,'SAP Actual extraction'!B:B,1,0)</f>
        <v xml:space="preserve">    6666020401  local transportation - bus and taxi</v>
      </c>
    </row>
    <row r="114" spans="1:13" x14ac:dyDescent="0.3">
      <c r="A114" s="109" t="str">
        <f t="shared" si="1"/>
        <v>debit    6666020502  Working meals</v>
      </c>
      <c r="B114" s="112" t="s">
        <v>321</v>
      </c>
      <c r="C114" s="113">
        <v>113229.99</v>
      </c>
      <c r="D114" s="113">
        <v>185701.17</v>
      </c>
      <c r="E114" s="113">
        <v>-72471.179999999993</v>
      </c>
      <c r="F114" s="113">
        <v>-39.025700000000001</v>
      </c>
      <c r="G114" s="112" t="s">
        <v>321</v>
      </c>
      <c r="H114" s="114">
        <v>0</v>
      </c>
      <c r="I114" s="114">
        <v>0</v>
      </c>
      <c r="J114" s="115">
        <v>0</v>
      </c>
      <c r="K114" s="113">
        <v>0</v>
      </c>
      <c r="L114" t="str">
        <f>VLOOKUP(A114,'SAP Actual extraction'!$A$28:$A$1048576,1,0)</f>
        <v>debit    6666020502  Working meals</v>
      </c>
      <c r="M114" t="str">
        <f>VLOOKUP(B114,'SAP Actual extraction'!B:B,1,0)</f>
        <v xml:space="preserve">    6666020502  Working meals</v>
      </c>
    </row>
    <row r="115" spans="1:13" x14ac:dyDescent="0.3">
      <c r="A115" s="109" t="str">
        <f t="shared" si="1"/>
        <v>debit    6666020503  Office supplies</v>
      </c>
      <c r="B115" s="112" t="s">
        <v>322</v>
      </c>
      <c r="C115" s="113">
        <v>-4862.8500000000004</v>
      </c>
      <c r="D115" s="113">
        <v>4763.18</v>
      </c>
      <c r="E115" s="113">
        <v>-9626.0300000000007</v>
      </c>
      <c r="F115" s="113">
        <v>-202.0925</v>
      </c>
      <c r="G115" s="112" t="s">
        <v>322</v>
      </c>
      <c r="H115" s="114">
        <v>0</v>
      </c>
      <c r="I115" s="114">
        <v>0</v>
      </c>
      <c r="J115" s="115">
        <v>0</v>
      </c>
      <c r="K115" s="113">
        <v>0</v>
      </c>
      <c r="L115" t="str">
        <f>VLOOKUP(A115,'SAP Actual extraction'!$A$28:$A$1048576,1,0)</f>
        <v>debit    6666020503  Office supplies</v>
      </c>
      <c r="M115" t="str">
        <f>VLOOKUP(B115,'SAP Actual extraction'!B:B,1,0)</f>
        <v xml:space="preserve">    6666020503  Office supplies</v>
      </c>
    </row>
    <row r="116" spans="1:13" x14ac:dyDescent="0.3">
      <c r="A116" s="109" t="str">
        <f t="shared" si="1"/>
        <v>debit    6666021500  Repairs cost</v>
      </c>
      <c r="B116" s="112" t="s">
        <v>323</v>
      </c>
      <c r="C116" s="116">
        <v>0</v>
      </c>
      <c r="D116" s="116">
        <v>0</v>
      </c>
      <c r="E116" s="113">
        <v>0</v>
      </c>
      <c r="F116" s="113">
        <v>0</v>
      </c>
      <c r="G116" s="112" t="s">
        <v>323</v>
      </c>
      <c r="H116" s="114">
        <v>0</v>
      </c>
      <c r="I116" s="114">
        <v>0</v>
      </c>
      <c r="J116" s="115">
        <v>0</v>
      </c>
      <c r="K116" s="113">
        <v>0</v>
      </c>
      <c r="L116" t="str">
        <f>VLOOKUP(A116,'SAP Actual extraction'!$A$28:$A$1048576,1,0)</f>
        <v>debit    6666021500  Repairs cost</v>
      </c>
      <c r="M116" t="str">
        <f>VLOOKUP(B116,'SAP Actual extraction'!B:B,1,0)</f>
        <v xml:space="preserve">    6666021500  Repairs cost</v>
      </c>
    </row>
    <row r="117" spans="1:13" x14ac:dyDescent="0.3">
      <c r="A117" s="109" t="str">
        <f t="shared" si="1"/>
        <v>debit    6666021502  Repair &amp; Maintain - Building&amp;office</v>
      </c>
      <c r="B117" s="112" t="s">
        <v>324</v>
      </c>
      <c r="C117" s="113">
        <v>29118.91</v>
      </c>
      <c r="D117" s="113">
        <v>96777.68</v>
      </c>
      <c r="E117" s="113">
        <v>-67658.77</v>
      </c>
      <c r="F117" s="113">
        <v>-69.911500000000004</v>
      </c>
      <c r="G117" s="112" t="s">
        <v>324</v>
      </c>
      <c r="H117" s="114">
        <v>0</v>
      </c>
      <c r="I117" s="114">
        <v>0</v>
      </c>
      <c r="J117" s="115">
        <v>0</v>
      </c>
      <c r="K117" s="113">
        <v>0</v>
      </c>
      <c r="L117" t="str">
        <f>VLOOKUP(A117,'SAP Actual extraction'!$A$28:$A$1048576,1,0)</f>
        <v>debit    6666021502  Repair &amp; Maintain - Building&amp;office</v>
      </c>
      <c r="M117" t="str">
        <f>VLOOKUP(B117,'SAP Actual extraction'!B:B,1,0)</f>
        <v xml:space="preserve">    6666021502  Repair &amp; Maintain - Building&amp;office</v>
      </c>
    </row>
    <row r="118" spans="1:13" x14ac:dyDescent="0.3">
      <c r="A118" s="109" t="str">
        <f t="shared" si="1"/>
        <v>debit    6666021503  Repair &amp; Maintain - Tooling &amp; Equipments</v>
      </c>
      <c r="B118" s="112" t="s">
        <v>325</v>
      </c>
      <c r="C118" s="113">
        <v>3610.82</v>
      </c>
      <c r="D118" s="113">
        <v>18207.400000000001</v>
      </c>
      <c r="E118" s="113">
        <v>-14596.58</v>
      </c>
      <c r="F118" s="113">
        <v>-80.168400000000005</v>
      </c>
      <c r="G118" s="112" t="s">
        <v>325</v>
      </c>
      <c r="H118" s="114">
        <v>0</v>
      </c>
      <c r="I118" s="114">
        <v>0</v>
      </c>
      <c r="J118" s="115">
        <v>0</v>
      </c>
      <c r="K118" s="113">
        <v>0</v>
      </c>
      <c r="L118" t="str">
        <f>VLOOKUP(A118,'SAP Actual extraction'!$A$28:$A$1048576,1,0)</f>
        <v>debit    6666021503  Repair &amp; Maintain - Tooling &amp; Equipments</v>
      </c>
      <c r="M118" t="str">
        <f>VLOOKUP(B118,'SAP Actual extraction'!B:B,1,0)</f>
        <v xml:space="preserve">    6666021503  Repair &amp; Maintain - Tooling &amp; Equipments</v>
      </c>
    </row>
    <row r="119" spans="1:13" x14ac:dyDescent="0.3">
      <c r="A119" s="109" t="str">
        <f t="shared" si="1"/>
        <v>debit    6666021504  Repair &amp; Maintain - Elect. Installation</v>
      </c>
      <c r="B119" s="112" t="s">
        <v>362</v>
      </c>
      <c r="C119" s="113">
        <v>1.4</v>
      </c>
      <c r="D119" s="116">
        <v>0</v>
      </c>
      <c r="E119" s="113">
        <v>1.4</v>
      </c>
      <c r="F119" s="113">
        <v>0</v>
      </c>
      <c r="G119" s="112" t="s">
        <v>362</v>
      </c>
      <c r="H119" s="114">
        <v>0</v>
      </c>
      <c r="I119" s="114">
        <v>0</v>
      </c>
      <c r="J119" s="115">
        <v>0</v>
      </c>
      <c r="K119" s="113">
        <v>0</v>
      </c>
      <c r="M119" t="e">
        <f>VLOOKUP(B119,'SAP Actual extraction'!B:B,1,0)</f>
        <v>#N/A</v>
      </c>
    </row>
    <row r="120" spans="1:13" x14ac:dyDescent="0.3">
      <c r="A120" s="109" t="str">
        <f t="shared" si="1"/>
        <v>debit    6666021505  Repairs &amp; Maintenance - Vehicles</v>
      </c>
      <c r="B120" s="112" t="s">
        <v>326</v>
      </c>
      <c r="C120" s="113">
        <v>4452.92</v>
      </c>
      <c r="D120" s="116">
        <v>0</v>
      </c>
      <c r="E120" s="113">
        <v>4452.92</v>
      </c>
      <c r="F120" s="113">
        <v>0</v>
      </c>
      <c r="G120" s="112" t="s">
        <v>326</v>
      </c>
      <c r="H120" s="114">
        <v>0</v>
      </c>
      <c r="I120" s="114">
        <v>0</v>
      </c>
      <c r="J120" s="115">
        <v>0</v>
      </c>
      <c r="K120" s="113">
        <v>0</v>
      </c>
      <c r="M120" t="str">
        <f>VLOOKUP(B120,'SAP Actual extraction'!B:B,1,0)</f>
        <v xml:space="preserve">    6666021505  Repairs &amp; Maintenance - Vehicles</v>
      </c>
    </row>
    <row r="121" spans="1:13" x14ac:dyDescent="0.3">
      <c r="A121" s="109" t="str">
        <f t="shared" si="1"/>
        <v>debit    6666021506  Repairs &amp; Maintenance - Plant &amp; Machiner</v>
      </c>
      <c r="B121" s="112" t="s">
        <v>327</v>
      </c>
      <c r="C121" s="113">
        <v>15514.16</v>
      </c>
      <c r="D121" s="113">
        <v>50017.36</v>
      </c>
      <c r="E121" s="113">
        <v>-34503.199999999997</v>
      </c>
      <c r="F121" s="113">
        <v>-68.982399999999998</v>
      </c>
      <c r="G121" s="112" t="s">
        <v>327</v>
      </c>
      <c r="H121" s="114">
        <v>0</v>
      </c>
      <c r="I121" s="114">
        <v>0</v>
      </c>
      <c r="J121" s="115">
        <v>0</v>
      </c>
      <c r="K121" s="113">
        <v>0</v>
      </c>
      <c r="M121" t="str">
        <f>VLOOKUP(B121,'SAP Actual extraction'!B:B,1,0)</f>
        <v xml:space="preserve">    6666021506  Repairs &amp; Maintenance - Plant &amp; Machiner</v>
      </c>
    </row>
    <row r="122" spans="1:13" x14ac:dyDescent="0.3">
      <c r="A122" s="109" t="str">
        <f t="shared" si="1"/>
        <v>debit    6666091600  Garbage disposal charge</v>
      </c>
      <c r="B122" s="112" t="s">
        <v>328</v>
      </c>
      <c r="C122" s="113">
        <v>1958.94</v>
      </c>
      <c r="D122" s="113">
        <v>908.36</v>
      </c>
      <c r="E122" s="113">
        <v>1050.58</v>
      </c>
      <c r="F122" s="113">
        <v>115.6568</v>
      </c>
      <c r="G122" s="112" t="s">
        <v>328</v>
      </c>
      <c r="H122" s="114">
        <v>0</v>
      </c>
      <c r="I122" s="114">
        <v>0</v>
      </c>
      <c r="J122" s="115">
        <v>0</v>
      </c>
      <c r="K122" s="113">
        <v>0</v>
      </c>
      <c r="M122" t="str">
        <f>VLOOKUP(B122,'SAP Actual extraction'!B:B,1,0)</f>
        <v xml:space="preserve">    6666091600  Garbage disposal charge</v>
      </c>
    </row>
    <row r="123" spans="1:13" x14ac:dyDescent="0.3">
      <c r="A123" s="109" t="str">
        <f t="shared" si="1"/>
        <v>debit    5401060201  COGS-Repair expense</v>
      </c>
      <c r="B123" s="112" t="s">
        <v>329</v>
      </c>
      <c r="C123" s="116">
        <v>0</v>
      </c>
      <c r="D123" s="116">
        <v>0</v>
      </c>
      <c r="E123" s="113">
        <v>0</v>
      </c>
      <c r="F123" s="113">
        <v>0</v>
      </c>
      <c r="G123" s="112" t="s">
        <v>329</v>
      </c>
      <c r="H123" s="114">
        <v>0</v>
      </c>
      <c r="I123" s="114">
        <v>0</v>
      </c>
      <c r="J123" s="115">
        <v>0</v>
      </c>
      <c r="K123" s="113">
        <v>0</v>
      </c>
    </row>
    <row r="124" spans="1:13" x14ac:dyDescent="0.3">
      <c r="A124" s="109" t="str">
        <f t="shared" si="1"/>
        <v>debit*   CS_Semifix</v>
      </c>
      <c r="B124" s="117" t="s">
        <v>220</v>
      </c>
      <c r="C124" s="118">
        <v>288635.44</v>
      </c>
      <c r="D124" s="118">
        <v>667843.51</v>
      </c>
      <c r="E124" s="118">
        <v>-379208.07</v>
      </c>
      <c r="F124" s="118">
        <v>-56.780999999999999</v>
      </c>
      <c r="G124" s="117" t="s">
        <v>220</v>
      </c>
      <c r="H124" s="119">
        <v>0</v>
      </c>
      <c r="I124" s="119">
        <v>0</v>
      </c>
      <c r="J124" s="120">
        <v>0</v>
      </c>
      <c r="K124" s="118">
        <v>0</v>
      </c>
    </row>
    <row r="125" spans="1:13" x14ac:dyDescent="0.3">
      <c r="A125" s="109" t="str">
        <f t="shared" si="1"/>
        <v>debit    600006      OVH Administrative</v>
      </c>
      <c r="B125" s="112" t="s">
        <v>330</v>
      </c>
      <c r="C125" s="113">
        <v>-135958.59</v>
      </c>
      <c r="D125" s="113">
        <v>311528.09999999998</v>
      </c>
      <c r="E125" s="113">
        <v>-447486.69</v>
      </c>
      <c r="F125" s="113">
        <v>-143.64250000000001</v>
      </c>
      <c r="G125" s="112" t="s">
        <v>330</v>
      </c>
      <c r="H125" s="114">
        <v>0</v>
      </c>
      <c r="I125" s="114">
        <v>0</v>
      </c>
      <c r="J125" s="115">
        <v>0</v>
      </c>
      <c r="K125" s="113">
        <v>0</v>
      </c>
    </row>
    <row r="126" spans="1:13" x14ac:dyDescent="0.3">
      <c r="A126" s="109" t="str">
        <f t="shared" si="1"/>
        <v>debit*   CS_OVH_ADM</v>
      </c>
      <c r="B126" s="117" t="s">
        <v>221</v>
      </c>
      <c r="C126" s="118">
        <v>-135958.59</v>
      </c>
      <c r="D126" s="118">
        <v>311528.09999999998</v>
      </c>
      <c r="E126" s="118">
        <v>-447486.69</v>
      </c>
      <c r="F126" s="118">
        <v>-143.64250000000001</v>
      </c>
      <c r="G126" s="117" t="s">
        <v>221</v>
      </c>
      <c r="H126" s="119">
        <v>0</v>
      </c>
      <c r="I126" s="119">
        <v>0</v>
      </c>
      <c r="J126" s="120">
        <v>0</v>
      </c>
      <c r="K126" s="118">
        <v>0</v>
      </c>
    </row>
    <row r="127" spans="1:13" x14ac:dyDescent="0.3">
      <c r="A127" s="109" t="str">
        <f t="shared" si="1"/>
        <v>debit**  Debit</v>
      </c>
      <c r="B127" s="121" t="s">
        <v>331</v>
      </c>
      <c r="C127" s="122">
        <v>1773875.61</v>
      </c>
      <c r="D127" s="122">
        <v>3277081.8</v>
      </c>
      <c r="E127" s="122">
        <v>-1503206.19</v>
      </c>
      <c r="F127" s="122">
        <v>-45.8703</v>
      </c>
      <c r="G127" s="121" t="s">
        <v>331</v>
      </c>
      <c r="H127" s="123">
        <v>0</v>
      </c>
      <c r="I127" s="123">
        <v>0</v>
      </c>
      <c r="J127" s="124">
        <v>0</v>
      </c>
      <c r="K127" s="122">
        <v>0</v>
      </c>
    </row>
    <row r="128" spans="1:13" x14ac:dyDescent="0.3">
      <c r="A128" s="109" t="str">
        <f t="shared" ref="A128:A155" si="2">"credit"&amp;B128</f>
        <v>credit    6666110101  Depreciation of buildings</v>
      </c>
      <c r="B128" s="112" t="s">
        <v>226</v>
      </c>
      <c r="C128" s="113">
        <v>-22365.439999999999</v>
      </c>
      <c r="D128" s="113">
        <v>-123933.42</v>
      </c>
      <c r="E128" s="113">
        <v>101567.98</v>
      </c>
      <c r="F128" s="113">
        <v>-81.953699999999998</v>
      </c>
      <c r="G128" s="112" t="s">
        <v>226</v>
      </c>
      <c r="H128" s="114">
        <v>0</v>
      </c>
      <c r="I128" s="114">
        <v>0</v>
      </c>
      <c r="J128" s="115">
        <v>0</v>
      </c>
      <c r="K128" s="113">
        <v>0</v>
      </c>
    </row>
    <row r="129" spans="1:11" x14ac:dyDescent="0.3">
      <c r="A129" s="109" t="str">
        <f t="shared" si="2"/>
        <v>credit    6666110107  Depreciation of mold　</v>
      </c>
      <c r="B129" s="112" t="s">
        <v>228</v>
      </c>
      <c r="C129" s="113">
        <v>-12976.99</v>
      </c>
      <c r="D129" s="116">
        <v>0</v>
      </c>
      <c r="E129" s="113">
        <v>-12976.99</v>
      </c>
      <c r="F129" s="113">
        <v>0</v>
      </c>
      <c r="G129" s="112" t="s">
        <v>228</v>
      </c>
      <c r="H129" s="114">
        <v>0</v>
      </c>
      <c r="I129" s="114">
        <v>0</v>
      </c>
      <c r="J129" s="115">
        <v>0</v>
      </c>
      <c r="K129" s="113">
        <v>0</v>
      </c>
    </row>
    <row r="130" spans="1:11" x14ac:dyDescent="0.3">
      <c r="A130" s="109" t="str">
        <f t="shared" si="2"/>
        <v>credit    6666110110  Depreciation-Plant &amp; Machinery</v>
      </c>
      <c r="B130" s="112" t="s">
        <v>229</v>
      </c>
      <c r="C130" s="113">
        <v>-35507.5</v>
      </c>
      <c r="D130" s="116">
        <v>0</v>
      </c>
      <c r="E130" s="113">
        <v>-35507.5</v>
      </c>
      <c r="F130" s="113">
        <v>0</v>
      </c>
      <c r="G130" s="112" t="s">
        <v>229</v>
      </c>
      <c r="H130" s="114">
        <v>0</v>
      </c>
      <c r="I130" s="114">
        <v>0</v>
      </c>
      <c r="J130" s="115">
        <v>0</v>
      </c>
      <c r="K130" s="113">
        <v>0</v>
      </c>
    </row>
    <row r="131" spans="1:11" x14ac:dyDescent="0.3">
      <c r="A131" s="109" t="str">
        <f t="shared" si="2"/>
        <v>credit    6666110112  Depreciation of Furniture &amp; Fixture</v>
      </c>
      <c r="B131" s="112" t="s">
        <v>230</v>
      </c>
      <c r="C131" s="113">
        <v>-5440.73</v>
      </c>
      <c r="D131" s="116">
        <v>0</v>
      </c>
      <c r="E131" s="113">
        <v>-5440.73</v>
      </c>
      <c r="F131" s="113">
        <v>0</v>
      </c>
      <c r="G131" s="112" t="s">
        <v>230</v>
      </c>
      <c r="H131" s="114">
        <v>0</v>
      </c>
      <c r="I131" s="114">
        <v>0</v>
      </c>
      <c r="J131" s="115">
        <v>0</v>
      </c>
      <c r="K131" s="113">
        <v>0</v>
      </c>
    </row>
    <row r="132" spans="1:11" x14ac:dyDescent="0.3">
      <c r="A132" s="109" t="str">
        <f t="shared" si="2"/>
        <v>credit    6666110204  Amortization of license, trademarks and</v>
      </c>
      <c r="B132" s="112" t="s">
        <v>231</v>
      </c>
      <c r="C132" s="113">
        <v>-252.52</v>
      </c>
      <c r="D132" s="116">
        <v>0</v>
      </c>
      <c r="E132" s="113">
        <v>-252.52</v>
      </c>
      <c r="F132" s="113">
        <v>0</v>
      </c>
      <c r="G132" s="112" t="s">
        <v>231</v>
      </c>
      <c r="H132" s="114">
        <v>0</v>
      </c>
      <c r="I132" s="114">
        <v>0</v>
      </c>
      <c r="J132" s="115">
        <v>0</v>
      </c>
      <c r="K132" s="113">
        <v>0</v>
      </c>
    </row>
    <row r="133" spans="1:11" x14ac:dyDescent="0.3">
      <c r="A133" s="109" t="str">
        <f t="shared" si="2"/>
        <v>credit    6666110207  Amortization of Software</v>
      </c>
      <c r="B133" s="112" t="s">
        <v>232</v>
      </c>
      <c r="C133" s="113">
        <v>-6364.35</v>
      </c>
      <c r="D133" s="116">
        <v>0</v>
      </c>
      <c r="E133" s="113">
        <v>-6364.35</v>
      </c>
      <c r="F133" s="113">
        <v>0</v>
      </c>
      <c r="G133" s="112" t="s">
        <v>232</v>
      </c>
      <c r="H133" s="114">
        <v>0</v>
      </c>
      <c r="I133" s="114">
        <v>0</v>
      </c>
      <c r="J133" s="115">
        <v>0</v>
      </c>
      <c r="K133" s="113">
        <v>0</v>
      </c>
    </row>
    <row r="134" spans="1:11" x14ac:dyDescent="0.3">
      <c r="A134" s="109" t="str">
        <f t="shared" si="2"/>
        <v>credit    6666110506  Amortization-Leasehold Improvement</v>
      </c>
      <c r="B134" s="112" t="s">
        <v>233</v>
      </c>
      <c r="C134" s="113">
        <v>-159.02000000000001</v>
      </c>
      <c r="D134" s="116">
        <v>0</v>
      </c>
      <c r="E134" s="113">
        <v>-159.02000000000001</v>
      </c>
      <c r="F134" s="113">
        <v>0</v>
      </c>
      <c r="G134" s="112" t="s">
        <v>233</v>
      </c>
      <c r="H134" s="114">
        <v>0</v>
      </c>
      <c r="I134" s="114">
        <v>0</v>
      </c>
      <c r="J134" s="115">
        <v>0</v>
      </c>
      <c r="K134" s="113">
        <v>0</v>
      </c>
    </row>
    <row r="135" spans="1:11" x14ac:dyDescent="0.3">
      <c r="A135" s="109" t="str">
        <f t="shared" si="2"/>
        <v>credit*   CS_Depreciation</v>
      </c>
      <c r="B135" s="117" t="s">
        <v>208</v>
      </c>
      <c r="C135" s="118">
        <v>-83066.55</v>
      </c>
      <c r="D135" s="118">
        <v>-123933.42</v>
      </c>
      <c r="E135" s="118">
        <v>40866.870000000003</v>
      </c>
      <c r="F135" s="118">
        <v>-32.974899999999998</v>
      </c>
      <c r="G135" s="117" t="s">
        <v>208</v>
      </c>
      <c r="H135" s="119">
        <v>0</v>
      </c>
      <c r="I135" s="119">
        <v>0</v>
      </c>
      <c r="J135" s="120">
        <v>0</v>
      </c>
      <c r="K135" s="118">
        <v>0</v>
      </c>
    </row>
    <row r="136" spans="1:11" x14ac:dyDescent="0.3">
      <c r="A136" s="109" t="str">
        <f t="shared" si="2"/>
        <v>credit    5001010205  Unemployment Insurance -blue collar-Dire</v>
      </c>
      <c r="B136" s="112" t="s">
        <v>234</v>
      </c>
      <c r="C136" s="116">
        <v>0</v>
      </c>
      <c r="D136" s="116">
        <v>0</v>
      </c>
      <c r="E136" s="113">
        <v>0</v>
      </c>
      <c r="F136" s="113">
        <v>0</v>
      </c>
      <c r="G136" s="112" t="s">
        <v>234</v>
      </c>
      <c r="H136" s="114">
        <v>0</v>
      </c>
      <c r="I136" s="114">
        <v>0</v>
      </c>
      <c r="J136" s="115">
        <v>0</v>
      </c>
      <c r="K136" s="113">
        <v>0</v>
      </c>
    </row>
    <row r="137" spans="1:11" x14ac:dyDescent="0.3">
      <c r="A137" s="109" t="str">
        <f t="shared" si="2"/>
        <v>credit    6666010380  Incentive</v>
      </c>
      <c r="B137" s="112" t="s">
        <v>235</v>
      </c>
      <c r="C137" s="113">
        <v>-1557.39</v>
      </c>
      <c r="D137" s="116">
        <v>0</v>
      </c>
      <c r="E137" s="113">
        <v>-1557.39</v>
      </c>
      <c r="F137" s="113">
        <v>0</v>
      </c>
      <c r="G137" s="112" t="s">
        <v>235</v>
      </c>
      <c r="H137" s="114">
        <v>0</v>
      </c>
      <c r="I137" s="114">
        <v>0</v>
      </c>
      <c r="J137" s="115">
        <v>0</v>
      </c>
      <c r="K137" s="113">
        <v>0</v>
      </c>
    </row>
    <row r="138" spans="1:11" x14ac:dyDescent="0.3">
      <c r="A138" s="109" t="str">
        <f t="shared" si="2"/>
        <v>credit    6666010019  Payroll Taxes - Blue Collar Direct</v>
      </c>
      <c r="B138" s="112" t="s">
        <v>236</v>
      </c>
      <c r="C138" s="116">
        <v>0</v>
      </c>
      <c r="D138" s="116">
        <v>0</v>
      </c>
      <c r="E138" s="113">
        <v>0</v>
      </c>
      <c r="F138" s="113">
        <v>0</v>
      </c>
      <c r="G138" s="112" t="s">
        <v>236</v>
      </c>
      <c r="H138" s="114">
        <v>0</v>
      </c>
      <c r="I138" s="114">
        <v>0</v>
      </c>
      <c r="J138" s="115">
        <v>0</v>
      </c>
      <c r="K138" s="113">
        <v>0</v>
      </c>
    </row>
    <row r="139" spans="1:11" x14ac:dyDescent="0.3">
      <c r="A139" s="109" t="str">
        <f t="shared" si="2"/>
        <v>credit    6666010183  Overtime-Blue Collar-Direct</v>
      </c>
      <c r="B139" s="112" t="s">
        <v>237</v>
      </c>
      <c r="C139" s="116">
        <v>0</v>
      </c>
      <c r="D139" s="116">
        <v>0</v>
      </c>
      <c r="E139" s="113">
        <v>0</v>
      </c>
      <c r="F139" s="113">
        <v>0</v>
      </c>
      <c r="G139" s="112" t="s">
        <v>237</v>
      </c>
      <c r="H139" s="114">
        <v>0</v>
      </c>
      <c r="I139" s="114">
        <v>0</v>
      </c>
      <c r="J139" s="115">
        <v>0</v>
      </c>
      <c r="K139" s="113">
        <v>0</v>
      </c>
    </row>
    <row r="140" spans="1:11" x14ac:dyDescent="0.3">
      <c r="A140" s="109" t="str">
        <f t="shared" si="2"/>
        <v>credit    6666010229  Staff Leaving Indemnity - Blue Collar Di</v>
      </c>
      <c r="B140" s="112" t="s">
        <v>238</v>
      </c>
      <c r="C140" s="116">
        <v>0</v>
      </c>
      <c r="D140" s="116">
        <v>0</v>
      </c>
      <c r="E140" s="113">
        <v>0</v>
      </c>
      <c r="F140" s="113">
        <v>0</v>
      </c>
      <c r="G140" s="112" t="s">
        <v>238</v>
      </c>
      <c r="H140" s="114">
        <v>0</v>
      </c>
      <c r="I140" s="114">
        <v>0</v>
      </c>
      <c r="J140" s="115">
        <v>0</v>
      </c>
      <c r="K140" s="113">
        <v>0</v>
      </c>
    </row>
    <row r="141" spans="1:11" x14ac:dyDescent="0.3">
      <c r="A141" s="109" t="str">
        <f t="shared" si="2"/>
        <v>credit    6666010188  Salary - Blue collar direct employees</v>
      </c>
      <c r="B141" s="112" t="s">
        <v>239</v>
      </c>
      <c r="C141" s="116">
        <v>0</v>
      </c>
      <c r="D141" s="116">
        <v>0</v>
      </c>
      <c r="E141" s="113">
        <v>0</v>
      </c>
      <c r="F141" s="113">
        <v>0</v>
      </c>
      <c r="G141" s="112" t="s">
        <v>239</v>
      </c>
      <c r="H141" s="114">
        <v>0</v>
      </c>
      <c r="I141" s="114">
        <v>0</v>
      </c>
      <c r="J141" s="115">
        <v>0</v>
      </c>
      <c r="K141" s="113">
        <v>0</v>
      </c>
    </row>
    <row r="142" spans="1:11" x14ac:dyDescent="0.3">
      <c r="A142" s="109" t="str">
        <f t="shared" si="2"/>
        <v>credit    5102040406  Other revenue-Service/Secondment agreeme</v>
      </c>
      <c r="B142" s="112" t="s">
        <v>240</v>
      </c>
      <c r="C142" s="116">
        <v>0</v>
      </c>
      <c r="D142" s="116">
        <v>0</v>
      </c>
      <c r="E142" s="113">
        <v>0</v>
      </c>
      <c r="F142" s="113">
        <v>0</v>
      </c>
      <c r="G142" s="112" t="s">
        <v>240</v>
      </c>
      <c r="H142" s="114">
        <v>0</v>
      </c>
      <c r="I142" s="114">
        <v>0</v>
      </c>
      <c r="J142" s="115">
        <v>0</v>
      </c>
      <c r="K142" s="113">
        <v>0</v>
      </c>
    </row>
    <row r="143" spans="1:11" x14ac:dyDescent="0.3">
      <c r="A143" s="109" t="str">
        <f t="shared" si="2"/>
        <v>credit*   CS_Direct Labour</v>
      </c>
      <c r="B143" s="117" t="s">
        <v>209</v>
      </c>
      <c r="C143" s="118">
        <v>-1557.39</v>
      </c>
      <c r="D143" s="125">
        <v>0</v>
      </c>
      <c r="E143" s="118">
        <v>-1557.39</v>
      </c>
      <c r="F143" s="118">
        <v>0</v>
      </c>
      <c r="G143" s="117" t="s">
        <v>209</v>
      </c>
      <c r="H143" s="119">
        <v>0</v>
      </c>
      <c r="I143" s="119">
        <v>0</v>
      </c>
      <c r="J143" s="120">
        <v>0</v>
      </c>
      <c r="K143" s="118">
        <v>0</v>
      </c>
    </row>
    <row r="144" spans="1:11" x14ac:dyDescent="0.3">
      <c r="A144" s="109" t="str">
        <f t="shared" si="2"/>
        <v>credit    8701530201  Scrap-Raw&amp;#160;Material - Managerial</v>
      </c>
      <c r="B144" s="112" t="s">
        <v>242</v>
      </c>
      <c r="C144" s="116">
        <v>0</v>
      </c>
      <c r="D144" s="113">
        <v>-38822.35</v>
      </c>
      <c r="E144" s="113">
        <v>38822.35</v>
      </c>
      <c r="F144" s="113">
        <v>-100</v>
      </c>
      <c r="G144" s="112" t="s">
        <v>242</v>
      </c>
      <c r="H144" s="114">
        <v>0</v>
      </c>
      <c r="I144" s="114">
        <v>0</v>
      </c>
      <c r="J144" s="115">
        <v>0</v>
      </c>
      <c r="K144" s="113">
        <v>0</v>
      </c>
    </row>
    <row r="145" spans="1:13" x14ac:dyDescent="0.3">
      <c r="A145" s="109" t="str">
        <f t="shared" si="2"/>
        <v>credit    6666050309  SFG scrap</v>
      </c>
      <c r="B145" s="112" t="s">
        <v>243</v>
      </c>
      <c r="C145" s="113">
        <v>-21328.98</v>
      </c>
      <c r="D145" s="116">
        <v>0</v>
      </c>
      <c r="E145" s="113">
        <v>-21328.98</v>
      </c>
      <c r="F145" s="113">
        <v>0</v>
      </c>
      <c r="G145" s="112" t="s">
        <v>243</v>
      </c>
      <c r="H145" s="114">
        <v>0</v>
      </c>
      <c r="I145" s="114">
        <v>0</v>
      </c>
      <c r="J145" s="115">
        <v>0</v>
      </c>
      <c r="K145" s="113">
        <v>0</v>
      </c>
    </row>
    <row r="146" spans="1:13" x14ac:dyDescent="0.3">
      <c r="A146" s="109" t="str">
        <f t="shared" si="2"/>
        <v>credit    6666050308  Raw material scrap</v>
      </c>
      <c r="B146" s="112" t="s">
        <v>244</v>
      </c>
      <c r="C146" s="113">
        <v>-5388.97</v>
      </c>
      <c r="D146" s="116">
        <v>0</v>
      </c>
      <c r="E146" s="113">
        <v>-5388.97</v>
      </c>
      <c r="F146" s="113">
        <v>0</v>
      </c>
      <c r="G146" s="112" t="s">
        <v>244</v>
      </c>
      <c r="H146" s="114">
        <v>0</v>
      </c>
      <c r="I146" s="114">
        <v>0</v>
      </c>
      <c r="J146" s="115">
        <v>0</v>
      </c>
      <c r="K146" s="113">
        <v>0</v>
      </c>
    </row>
    <row r="147" spans="1:13" x14ac:dyDescent="0.3">
      <c r="A147" s="109" t="str">
        <f t="shared" si="2"/>
        <v>credit    6666050306  Finished goods scrap</v>
      </c>
      <c r="B147" s="112" t="s">
        <v>245</v>
      </c>
      <c r="C147" s="116">
        <v>0</v>
      </c>
      <c r="D147" s="116">
        <v>0</v>
      </c>
      <c r="E147" s="113">
        <v>0</v>
      </c>
      <c r="F147" s="113">
        <v>0</v>
      </c>
      <c r="G147" s="112" t="s">
        <v>245</v>
      </c>
      <c r="H147" s="114">
        <v>0</v>
      </c>
      <c r="I147" s="114">
        <v>0</v>
      </c>
      <c r="J147" s="115">
        <v>0</v>
      </c>
      <c r="K147" s="113">
        <v>0</v>
      </c>
    </row>
    <row r="148" spans="1:13" x14ac:dyDescent="0.3">
      <c r="A148" s="109" t="str">
        <f t="shared" si="2"/>
        <v>credit*   CS_SCRAP_VARIABLE</v>
      </c>
      <c r="B148" s="117" t="s">
        <v>210</v>
      </c>
      <c r="C148" s="118">
        <v>-26717.95</v>
      </c>
      <c r="D148" s="118">
        <v>-38822.35</v>
      </c>
      <c r="E148" s="118">
        <v>12104.4</v>
      </c>
      <c r="F148" s="118">
        <v>-31.178899999999999</v>
      </c>
      <c r="G148" s="117" t="s">
        <v>210</v>
      </c>
      <c r="H148" s="119">
        <v>0</v>
      </c>
      <c r="I148" s="119">
        <v>0</v>
      </c>
      <c r="J148" s="120">
        <v>0</v>
      </c>
      <c r="K148" s="118">
        <v>0</v>
      </c>
    </row>
    <row r="149" spans="1:13" x14ac:dyDescent="0.3">
      <c r="A149" s="109" t="str">
        <f t="shared" si="2"/>
        <v>credit    6666029996  Non-deductible expense-travel.</v>
      </c>
      <c r="B149" s="112" t="s">
        <v>247</v>
      </c>
      <c r="C149" s="113">
        <v>-148.72999999999999</v>
      </c>
      <c r="D149" s="116">
        <v>0</v>
      </c>
      <c r="E149" s="113">
        <v>-148.72999999999999</v>
      </c>
      <c r="F149" s="113">
        <v>0</v>
      </c>
      <c r="G149" s="112" t="s">
        <v>247</v>
      </c>
      <c r="H149" s="114">
        <v>0</v>
      </c>
      <c r="I149" s="114">
        <v>0</v>
      </c>
      <c r="J149" s="115">
        <v>0</v>
      </c>
      <c r="K149" s="113">
        <v>0</v>
      </c>
    </row>
    <row r="150" spans="1:13" x14ac:dyDescent="0.3">
      <c r="A150" s="109" t="str">
        <f t="shared" si="2"/>
        <v>credit    6666010322  fuel allowance</v>
      </c>
      <c r="B150" s="112" t="s">
        <v>249</v>
      </c>
      <c r="C150" s="113">
        <v>5320.97</v>
      </c>
      <c r="D150" s="116">
        <v>0</v>
      </c>
      <c r="E150" s="113">
        <v>5320.97</v>
      </c>
      <c r="F150" s="113">
        <v>0</v>
      </c>
      <c r="G150" s="112" t="s">
        <v>249</v>
      </c>
      <c r="H150" s="114">
        <v>0</v>
      </c>
      <c r="I150" s="114">
        <v>0</v>
      </c>
      <c r="J150" s="115">
        <v>0</v>
      </c>
      <c r="K150" s="113">
        <v>0</v>
      </c>
    </row>
    <row r="151" spans="1:13" x14ac:dyDescent="0.3">
      <c r="A151" s="109" t="str">
        <f t="shared" si="2"/>
        <v>credit    6666020495  Non-deductible expense-travel.</v>
      </c>
      <c r="B151" s="112" t="s">
        <v>250</v>
      </c>
      <c r="C151" s="113">
        <v>-807.52</v>
      </c>
      <c r="D151" s="116">
        <v>0</v>
      </c>
      <c r="E151" s="113">
        <v>-807.52</v>
      </c>
      <c r="F151" s="113">
        <v>0</v>
      </c>
      <c r="G151" s="112" t="s">
        <v>250</v>
      </c>
      <c r="H151" s="114">
        <v>0</v>
      </c>
      <c r="I151" s="114">
        <v>0</v>
      </c>
      <c r="J151" s="115">
        <v>0</v>
      </c>
      <c r="K151" s="113">
        <v>0</v>
      </c>
    </row>
    <row r="152" spans="1:13" x14ac:dyDescent="0.3">
      <c r="A152" s="109" t="str">
        <f t="shared" si="2"/>
        <v>credit    5102010151  Other Rev.-Interco-Epidemic problem comp</v>
      </c>
      <c r="B152" s="112" t="s">
        <v>251</v>
      </c>
      <c r="C152" s="113">
        <v>-1518.42</v>
      </c>
      <c r="D152" s="116">
        <v>0</v>
      </c>
      <c r="E152" s="113">
        <v>-1518.42</v>
      </c>
      <c r="F152" s="113">
        <v>0</v>
      </c>
      <c r="G152" s="112" t="s">
        <v>251</v>
      </c>
      <c r="H152" s="114">
        <v>0</v>
      </c>
      <c r="I152" s="114">
        <v>0</v>
      </c>
      <c r="J152" s="115">
        <v>0</v>
      </c>
      <c r="K152" s="113">
        <v>0</v>
      </c>
    </row>
    <row r="153" spans="1:13" x14ac:dyDescent="0.3">
      <c r="A153" s="109" t="str">
        <f t="shared" si="2"/>
        <v>credit    600008      Indirect Cost</v>
      </c>
      <c r="B153" s="112" t="s">
        <v>356</v>
      </c>
      <c r="C153" s="116">
        <v>0</v>
      </c>
      <c r="D153" s="116">
        <v>0</v>
      </c>
      <c r="E153" s="113">
        <v>0</v>
      </c>
      <c r="F153" s="113">
        <v>0</v>
      </c>
      <c r="G153" s="112" t="s">
        <v>356</v>
      </c>
      <c r="H153" s="114">
        <v>0</v>
      </c>
      <c r="I153" s="114">
        <v>0</v>
      </c>
      <c r="J153" s="115">
        <v>0</v>
      </c>
      <c r="K153" s="113">
        <v>0</v>
      </c>
    </row>
    <row r="154" spans="1:13" x14ac:dyDescent="0.3">
      <c r="A154" s="109" t="str">
        <f t="shared" si="2"/>
        <v>credit    600009      Quality Control</v>
      </c>
      <c r="B154" s="112" t="s">
        <v>357</v>
      </c>
      <c r="C154" s="116">
        <v>0</v>
      </c>
      <c r="D154" s="116">
        <v>0</v>
      </c>
      <c r="E154" s="113">
        <v>0</v>
      </c>
      <c r="F154" s="113">
        <v>0</v>
      </c>
      <c r="G154" s="112" t="s">
        <v>357</v>
      </c>
      <c r="H154" s="114">
        <v>0</v>
      </c>
      <c r="I154" s="114">
        <v>0</v>
      </c>
      <c r="J154" s="115">
        <v>0</v>
      </c>
      <c r="K154" s="113">
        <v>0</v>
      </c>
    </row>
    <row r="155" spans="1:13" x14ac:dyDescent="0.3">
      <c r="A155" s="109" t="str">
        <f t="shared" si="2"/>
        <v>credit    5001010200  Cost of Manufacture - Raw Material</v>
      </c>
      <c r="B155" s="112" t="s">
        <v>252</v>
      </c>
      <c r="C155" s="116">
        <v>0</v>
      </c>
      <c r="D155" s="116">
        <v>0</v>
      </c>
      <c r="E155" s="113">
        <v>0</v>
      </c>
      <c r="F155" s="113">
        <v>0</v>
      </c>
      <c r="G155" s="112" t="s">
        <v>252</v>
      </c>
      <c r="H155" s="114">
        <v>0</v>
      </c>
      <c r="I155" s="114">
        <v>0</v>
      </c>
      <c r="J155" s="115">
        <v>0</v>
      </c>
      <c r="K155" s="113">
        <v>0</v>
      </c>
      <c r="L155" t="str">
        <f>VLOOKUP(A155,'SAP Actual extraction'!$A$28:$A$1048576,1,0)</f>
        <v>credit    5001010200  Cost of Manufacture - Raw Material</v>
      </c>
      <c r="M155" t="str">
        <f>VLOOKUP(B155,'SAP Actual extraction'!B:B,1,0)</f>
        <v xml:space="preserve">    5001010200  Cost of Manufacture - Raw Material</v>
      </c>
    </row>
    <row r="156" spans="1:13" x14ac:dyDescent="0.3">
      <c r="A156" s="109" t="str">
        <f t="shared" ref="A156:A232" si="3">"credit"&amp;B156</f>
        <v>credit    5301060000  Other Income-Subsidy income</v>
      </c>
      <c r="B156" s="112" t="s">
        <v>257</v>
      </c>
      <c r="C156" s="116">
        <v>0</v>
      </c>
      <c r="D156" s="116">
        <v>0</v>
      </c>
      <c r="E156" s="113">
        <v>0</v>
      </c>
      <c r="F156" s="113">
        <v>0</v>
      </c>
      <c r="G156" s="112" t="s">
        <v>257</v>
      </c>
      <c r="H156" s="114">
        <v>0</v>
      </c>
      <c r="I156" s="114">
        <v>0</v>
      </c>
      <c r="J156" s="115">
        <v>0</v>
      </c>
      <c r="K156" s="113">
        <v>0</v>
      </c>
      <c r="L156" t="str">
        <f>VLOOKUP(A156,'SAP Actual extraction'!$A$28:$A$1048576,1,0)</f>
        <v>credit    5301060000  Other Income-Subsidy income</v>
      </c>
      <c r="M156" t="str">
        <f>VLOOKUP(B156,'SAP Actual extraction'!B:B,1,0)</f>
        <v xml:space="preserve">    5301060000  Other Income-Subsidy income</v>
      </c>
    </row>
    <row r="157" spans="1:13" x14ac:dyDescent="0.3">
      <c r="A157" s="109" t="str">
        <f t="shared" si="3"/>
        <v>credit    5301999999  Non-operation revenue-Other</v>
      </c>
      <c r="B157" s="112" t="s">
        <v>258</v>
      </c>
      <c r="C157" s="116">
        <v>0</v>
      </c>
      <c r="D157" s="116">
        <v>0</v>
      </c>
      <c r="E157" s="113">
        <v>0</v>
      </c>
      <c r="F157" s="113">
        <v>0</v>
      </c>
      <c r="G157" s="112" t="s">
        <v>258</v>
      </c>
      <c r="H157" s="114">
        <v>0</v>
      </c>
      <c r="I157" s="114">
        <v>0</v>
      </c>
      <c r="J157" s="115">
        <v>0</v>
      </c>
      <c r="K157" s="113">
        <v>0</v>
      </c>
      <c r="L157" t="str">
        <f>VLOOKUP(A157,'SAP Actual extraction'!$A$28:$A$1048576,1,0)</f>
        <v>credit    5301999999  Non-operation revenue-Other</v>
      </c>
      <c r="M157" t="str">
        <f>VLOOKUP(B157,'SAP Actual extraction'!B:B,1,0)</f>
        <v xml:space="preserve">    5301999999  Non-operation revenue-Other</v>
      </c>
    </row>
    <row r="158" spans="1:13" x14ac:dyDescent="0.3">
      <c r="A158" s="109" t="str">
        <f t="shared" si="3"/>
        <v>credit    5405030000  Other cost-others</v>
      </c>
      <c r="B158" s="112" t="s">
        <v>259</v>
      </c>
      <c r="C158" s="116">
        <v>0</v>
      </c>
      <c r="D158" s="116">
        <v>0</v>
      </c>
      <c r="E158" s="113">
        <v>0</v>
      </c>
      <c r="F158" s="113">
        <v>0</v>
      </c>
      <c r="G158" s="112" t="s">
        <v>259</v>
      </c>
      <c r="H158" s="114">
        <v>0</v>
      </c>
      <c r="I158" s="114">
        <v>0</v>
      </c>
      <c r="J158" s="115">
        <v>0</v>
      </c>
      <c r="K158" s="113">
        <v>0</v>
      </c>
      <c r="L158" t="str">
        <f>VLOOKUP(A158,'SAP Actual extraction'!$A$28:$A$1048576,1,0)</f>
        <v>credit    5405030000  Other cost-others</v>
      </c>
      <c r="M158" t="str">
        <f>VLOOKUP(B158,'SAP Actual extraction'!B:B,1,0)</f>
        <v xml:space="preserve">    5405030000  Other cost-others</v>
      </c>
    </row>
    <row r="159" spans="1:13" x14ac:dyDescent="0.3">
      <c r="A159" s="109" t="str">
        <f t="shared" si="3"/>
        <v>credit    5601020000  Loss on disposal fixed asset</v>
      </c>
      <c r="B159" s="112" t="s">
        <v>358</v>
      </c>
      <c r="C159" s="116">
        <v>0</v>
      </c>
      <c r="D159" s="116">
        <v>0</v>
      </c>
      <c r="E159" s="113">
        <v>0</v>
      </c>
      <c r="F159" s="113">
        <v>0</v>
      </c>
      <c r="G159" s="112" t="s">
        <v>358</v>
      </c>
      <c r="H159" s="114">
        <v>0</v>
      </c>
      <c r="I159" s="114">
        <v>0</v>
      </c>
      <c r="J159" s="115">
        <v>0</v>
      </c>
      <c r="K159" s="113">
        <v>0</v>
      </c>
      <c r="L159" t="e">
        <f>VLOOKUP(A159,'SAP Actual extraction'!$A$28:$A$1048576,1,0)</f>
        <v>#N/A</v>
      </c>
      <c r="M159" t="e">
        <f>VLOOKUP(B159,'SAP Actual extraction'!B:B,1,0)</f>
        <v>#N/A</v>
      </c>
    </row>
    <row r="160" spans="1:13" x14ac:dyDescent="0.3">
      <c r="A160" s="109" t="str">
        <f t="shared" si="3"/>
        <v>credit    5601050100  Non-operation Expense-Others</v>
      </c>
      <c r="B160" s="112" t="s">
        <v>261</v>
      </c>
      <c r="C160" s="116">
        <v>0</v>
      </c>
      <c r="D160" s="116">
        <v>0</v>
      </c>
      <c r="E160" s="113">
        <v>0</v>
      </c>
      <c r="F160" s="113">
        <v>0</v>
      </c>
      <c r="G160" s="112" t="s">
        <v>261</v>
      </c>
      <c r="H160" s="114">
        <v>0</v>
      </c>
      <c r="I160" s="114">
        <v>0</v>
      </c>
      <c r="J160" s="115">
        <v>0</v>
      </c>
      <c r="K160" s="113">
        <v>0</v>
      </c>
      <c r="L160" t="str">
        <f>VLOOKUP(A160,'SAP Actual extraction'!$A$28:$A$1048576,1,0)</f>
        <v>credit    5601050100  Non-operation Expense-Others</v>
      </c>
      <c r="M160" t="str">
        <f>VLOOKUP(B160,'SAP Actual extraction'!B:B,1,0)</f>
        <v xml:space="preserve">    5601050100  Non-operation Expense-Others</v>
      </c>
    </row>
    <row r="161" spans="1:13" x14ac:dyDescent="0.3">
      <c r="A161" s="109" t="str">
        <f t="shared" si="3"/>
        <v>credit    6666020101  Entertainment</v>
      </c>
      <c r="B161" s="112" t="s">
        <v>262</v>
      </c>
      <c r="C161" s="113">
        <v>52491.41</v>
      </c>
      <c r="D161" s="113">
        <v>-9726.0499999999993</v>
      </c>
      <c r="E161" s="113">
        <v>62217.46</v>
      </c>
      <c r="F161" s="113">
        <v>-639.69920000000002</v>
      </c>
      <c r="G161" s="112" t="s">
        <v>262</v>
      </c>
      <c r="H161" s="114">
        <v>0</v>
      </c>
      <c r="I161" s="114">
        <v>0</v>
      </c>
      <c r="J161" s="115">
        <v>0</v>
      </c>
      <c r="K161" s="113">
        <v>0</v>
      </c>
      <c r="L161" t="str">
        <f>VLOOKUP(A161,'SAP Actual extraction'!$A$28:$A$1048576,1,0)</f>
        <v>credit    6666020101  Entertainment</v>
      </c>
      <c r="M161" t="str">
        <f>VLOOKUP(B161,'SAP Actual extraction'!B:B,1,0)</f>
        <v xml:space="preserve">    6666020101  Entertainment</v>
      </c>
    </row>
    <row r="162" spans="1:13" x14ac:dyDescent="0.3">
      <c r="A162" s="109" t="str">
        <f t="shared" si="3"/>
        <v>credit    6666020201  Domestic business travel</v>
      </c>
      <c r="B162" s="112" t="s">
        <v>263</v>
      </c>
      <c r="C162" s="113">
        <v>-103.25</v>
      </c>
      <c r="D162" s="113">
        <v>-1811.53</v>
      </c>
      <c r="E162" s="113">
        <v>1708.28</v>
      </c>
      <c r="F162" s="113">
        <v>-94.300399999999996</v>
      </c>
      <c r="G162" s="112" t="s">
        <v>263</v>
      </c>
      <c r="H162" s="114">
        <v>0</v>
      </c>
      <c r="I162" s="114">
        <v>0</v>
      </c>
      <c r="J162" s="115">
        <v>0</v>
      </c>
      <c r="K162" s="113">
        <v>0</v>
      </c>
      <c r="L162" t="str">
        <f>VLOOKUP(A162,'SAP Actual extraction'!$A$28:$A$1048576,1,0)</f>
        <v>credit    6666020201  Domestic business travel</v>
      </c>
      <c r="M162" t="str">
        <f>VLOOKUP(B162,'SAP Actual extraction'!B:B,1,0)</f>
        <v xml:space="preserve">    6666020201  Domestic business travel</v>
      </c>
    </row>
    <row r="163" spans="1:13" x14ac:dyDescent="0.3">
      <c r="A163" s="109" t="str">
        <f t="shared" si="3"/>
        <v>credit    6666020202  Overseas business travel</v>
      </c>
      <c r="B163" s="112" t="s">
        <v>264</v>
      </c>
      <c r="C163" s="113">
        <v>-205.42</v>
      </c>
      <c r="D163" s="116">
        <v>0</v>
      </c>
      <c r="E163" s="113">
        <v>-205.42</v>
      </c>
      <c r="F163" s="113">
        <v>0</v>
      </c>
      <c r="G163" s="112" t="s">
        <v>264</v>
      </c>
      <c r="H163" s="114">
        <v>0</v>
      </c>
      <c r="I163" s="114">
        <v>0</v>
      </c>
      <c r="J163" s="115">
        <v>0</v>
      </c>
      <c r="K163" s="113">
        <v>0</v>
      </c>
      <c r="L163" t="str">
        <f>VLOOKUP(A163,'SAP Actual extraction'!$A$28:$A$1048576,1,0)</f>
        <v>credit    6666020202  Overseas business travel</v>
      </c>
      <c r="M163" t="str">
        <f>VLOOKUP(B163,'SAP Actual extraction'!B:B,1,0)</f>
        <v xml:space="preserve">    6666020202  Overseas business travel</v>
      </c>
    </row>
    <row r="164" spans="1:13" x14ac:dyDescent="0.3">
      <c r="A164" s="109" t="str">
        <f t="shared" si="3"/>
        <v>credit    6666020204  Travel expense pay to agency</v>
      </c>
      <c r="B164" s="112" t="s">
        <v>265</v>
      </c>
      <c r="C164" s="113">
        <v>-38.659999999999997</v>
      </c>
      <c r="D164" s="116">
        <v>0</v>
      </c>
      <c r="E164" s="113">
        <v>-38.659999999999997</v>
      </c>
      <c r="F164" s="113">
        <v>0</v>
      </c>
      <c r="G164" s="112" t="s">
        <v>265</v>
      </c>
      <c r="H164" s="114">
        <v>0</v>
      </c>
      <c r="I164" s="114">
        <v>0</v>
      </c>
      <c r="J164" s="115">
        <v>0</v>
      </c>
      <c r="K164" s="113">
        <v>0</v>
      </c>
      <c r="L164" t="str">
        <f>VLOOKUP(A164,'SAP Actual extraction'!$A$28:$A$1048576,1,0)</f>
        <v>credit    6666020204  Travel expense pay to agency</v>
      </c>
      <c r="M164" t="str">
        <f>VLOOKUP(B164,'SAP Actual extraction'!B:B,1,0)</f>
        <v xml:space="preserve">    6666020204  Travel expense pay to agency</v>
      </c>
    </row>
    <row r="165" spans="1:13" x14ac:dyDescent="0.3">
      <c r="A165" s="109" t="str">
        <f t="shared" si="3"/>
        <v>credit    6666020205  Business travel-other</v>
      </c>
      <c r="B165" s="112" t="s">
        <v>266</v>
      </c>
      <c r="C165" s="116">
        <v>0</v>
      </c>
      <c r="D165" s="113">
        <v>-1943.47</v>
      </c>
      <c r="E165" s="113">
        <v>1943.47</v>
      </c>
      <c r="F165" s="113">
        <v>-100</v>
      </c>
      <c r="G165" s="112" t="s">
        <v>266</v>
      </c>
      <c r="H165" s="114">
        <v>0</v>
      </c>
      <c r="I165" s="114">
        <v>0</v>
      </c>
      <c r="J165" s="115">
        <v>0</v>
      </c>
      <c r="K165" s="113">
        <v>0</v>
      </c>
      <c r="L165" t="str">
        <f>VLOOKUP(A165,'SAP Actual extraction'!$A$28:$A$1048576,1,0)</f>
        <v>credit    6666020205  Business travel-other</v>
      </c>
      <c r="M165" t="str">
        <f>VLOOKUP(B165,'SAP Actual extraction'!B:B,1,0)</f>
        <v xml:space="preserve">    6666020205  Business travel-other</v>
      </c>
    </row>
    <row r="166" spans="1:13" x14ac:dyDescent="0.3">
      <c r="A166" s="109" t="str">
        <f t="shared" si="3"/>
        <v>credit    6666020301  Staff communication expense</v>
      </c>
      <c r="B166" s="112" t="s">
        <v>267</v>
      </c>
      <c r="C166" s="113">
        <v>-528.88</v>
      </c>
      <c r="D166" s="116">
        <v>0</v>
      </c>
      <c r="E166" s="113">
        <v>-528.88</v>
      </c>
      <c r="F166" s="113">
        <v>0</v>
      </c>
      <c r="G166" s="112" t="s">
        <v>267</v>
      </c>
      <c r="H166" s="114">
        <v>0</v>
      </c>
      <c r="I166" s="114">
        <v>0</v>
      </c>
      <c r="J166" s="115">
        <v>0</v>
      </c>
      <c r="K166" s="113">
        <v>0</v>
      </c>
      <c r="L166" t="str">
        <f>VLOOKUP(A166,'SAP Actual extraction'!$A$28:$A$1048576,1,0)</f>
        <v>credit    6666020301  Staff communication expense</v>
      </c>
      <c r="M166" t="str">
        <f>VLOOKUP(B166,'SAP Actual extraction'!B:B,1,0)</f>
        <v xml:space="preserve">    6666020301  Staff communication expense</v>
      </c>
    </row>
    <row r="167" spans="1:13" x14ac:dyDescent="0.3">
      <c r="A167" s="109" t="str">
        <f t="shared" si="3"/>
        <v>credit    6666020302  Communication Expenses</v>
      </c>
      <c r="B167" s="112" t="s">
        <v>269</v>
      </c>
      <c r="C167" s="116">
        <v>0</v>
      </c>
      <c r="D167" s="113">
        <v>-260</v>
      </c>
      <c r="E167" s="113">
        <v>260</v>
      </c>
      <c r="F167" s="113">
        <v>-100</v>
      </c>
      <c r="G167" s="112" t="s">
        <v>269</v>
      </c>
      <c r="H167" s="114">
        <v>0</v>
      </c>
      <c r="I167" s="114">
        <v>0</v>
      </c>
      <c r="J167" s="115">
        <v>0</v>
      </c>
      <c r="K167" s="113">
        <v>0</v>
      </c>
      <c r="L167" t="str">
        <f>VLOOKUP(A167,'SAP Actual extraction'!$A$28:$A$1048576,1,0)</f>
        <v>credit    6666020302  Communication Expenses</v>
      </c>
      <c r="M167" t="str">
        <f>VLOOKUP(B167,'SAP Actual extraction'!B:B,1,0)</f>
        <v xml:space="preserve">    6666020302  Communication Expenses</v>
      </c>
    </row>
    <row r="168" spans="1:13" x14ac:dyDescent="0.3">
      <c r="A168" s="109" t="str">
        <f t="shared" si="3"/>
        <v>credit    6666020403  Company car expense</v>
      </c>
      <c r="B168" s="112" t="s">
        <v>270</v>
      </c>
      <c r="C168" s="116">
        <v>0</v>
      </c>
      <c r="D168" s="116">
        <v>0</v>
      </c>
      <c r="E168" s="113">
        <v>0</v>
      </c>
      <c r="F168" s="113">
        <v>0</v>
      </c>
      <c r="G168" s="112" t="s">
        <v>270</v>
      </c>
      <c r="H168" s="114">
        <v>0</v>
      </c>
      <c r="I168" s="114">
        <v>0</v>
      </c>
      <c r="J168" s="115">
        <v>0</v>
      </c>
      <c r="K168" s="113">
        <v>0</v>
      </c>
      <c r="L168" t="str">
        <f>VLOOKUP(A168,'SAP Actual extraction'!$A$28:$A$1048576,1,0)</f>
        <v>credit    6666020403  Company car expense</v>
      </c>
      <c r="M168" t="str">
        <f>VLOOKUP(B168,'SAP Actual extraction'!B:B,1,0)</f>
        <v xml:space="preserve">    6666020403  Company car expense</v>
      </c>
    </row>
    <row r="169" spans="1:13" x14ac:dyDescent="0.3">
      <c r="A169" s="109" t="str">
        <f t="shared" si="3"/>
        <v>credit    6666020405  Company car expense - maintenance fees</v>
      </c>
      <c r="B169" s="112" t="s">
        <v>271</v>
      </c>
      <c r="C169" s="116">
        <v>0</v>
      </c>
      <c r="D169" s="116">
        <v>0</v>
      </c>
      <c r="E169" s="113">
        <v>0</v>
      </c>
      <c r="F169" s="113">
        <v>0</v>
      </c>
      <c r="G169" s="112" t="s">
        <v>271</v>
      </c>
      <c r="H169" s="114">
        <v>0</v>
      </c>
      <c r="I169" s="114">
        <v>0</v>
      </c>
      <c r="J169" s="115">
        <v>0</v>
      </c>
      <c r="K169" s="113">
        <v>0</v>
      </c>
      <c r="L169" t="str">
        <f>VLOOKUP(A169,'SAP Actual extraction'!$A$28:$A$1048576,1,0)</f>
        <v>credit    6666020405  Company car expense - maintenance fees</v>
      </c>
      <c r="M169" t="str">
        <f>VLOOKUP(B169,'SAP Actual extraction'!B:B,1,0)</f>
        <v xml:space="preserve">    6666020405  Company car expense - maintenance fees</v>
      </c>
    </row>
    <row r="170" spans="1:13" x14ac:dyDescent="0.3">
      <c r="A170" s="109" t="str">
        <f t="shared" si="3"/>
        <v>credit    6666020504  Newspaper and Periodicals expenditure</v>
      </c>
      <c r="B170" s="112" t="s">
        <v>272</v>
      </c>
      <c r="C170" s="113">
        <v>231.94</v>
      </c>
      <c r="D170" s="113">
        <v>-84.49</v>
      </c>
      <c r="E170" s="113">
        <v>316.43</v>
      </c>
      <c r="F170" s="113">
        <v>-374.51769999999999</v>
      </c>
      <c r="G170" s="112" t="s">
        <v>272</v>
      </c>
      <c r="H170" s="114">
        <v>0</v>
      </c>
      <c r="I170" s="114">
        <v>0</v>
      </c>
      <c r="J170" s="115">
        <v>0</v>
      </c>
      <c r="K170" s="113">
        <v>0</v>
      </c>
      <c r="L170" t="str">
        <f>VLOOKUP(A170,'SAP Actual extraction'!$A$28:$A$1048576,1,0)</f>
        <v>credit    6666020504  Newspaper and Periodicals expenditure</v>
      </c>
      <c r="M170" t="str">
        <f>VLOOKUP(B170,'SAP Actual extraction'!B:B,1,0)</f>
        <v xml:space="preserve">    6666020504  Newspaper and Periodicals expenditure</v>
      </c>
    </row>
    <row r="171" spans="1:13" x14ac:dyDescent="0.3">
      <c r="A171" s="109" t="str">
        <f t="shared" si="3"/>
        <v>credit    6666020508  Postage</v>
      </c>
      <c r="B171" s="112" t="s">
        <v>273</v>
      </c>
      <c r="C171" s="113">
        <v>1390.95</v>
      </c>
      <c r="D171" s="113">
        <v>-207.24</v>
      </c>
      <c r="E171" s="113">
        <v>1598.19</v>
      </c>
      <c r="F171" s="113">
        <v>-771.17830000000004</v>
      </c>
      <c r="G171" s="112" t="s">
        <v>273</v>
      </c>
      <c r="H171" s="114">
        <v>0</v>
      </c>
      <c r="I171" s="114">
        <v>0</v>
      </c>
      <c r="J171" s="115">
        <v>0</v>
      </c>
      <c r="K171" s="113">
        <v>0</v>
      </c>
      <c r="M171" t="str">
        <f>VLOOKUP(B171,'SAP Actual extraction'!B:B,1,0)</f>
        <v xml:space="preserve">    6666020508  Postage</v>
      </c>
    </row>
    <row r="172" spans="1:13" x14ac:dyDescent="0.3">
      <c r="A172" s="109" t="str">
        <f t="shared" si="3"/>
        <v>credit    6666020602  Training costs Outside the group</v>
      </c>
      <c r="B172" s="112" t="s">
        <v>274</v>
      </c>
      <c r="C172" s="116">
        <v>0</v>
      </c>
      <c r="D172" s="113">
        <v>-3274.07</v>
      </c>
      <c r="E172" s="113">
        <v>3274.07</v>
      </c>
      <c r="F172" s="113">
        <v>-100</v>
      </c>
      <c r="G172" s="112" t="s">
        <v>274</v>
      </c>
      <c r="H172" s="114">
        <v>0</v>
      </c>
      <c r="I172" s="114">
        <v>0</v>
      </c>
      <c r="J172" s="115">
        <v>0</v>
      </c>
      <c r="K172" s="113">
        <v>0</v>
      </c>
      <c r="L172" t="str">
        <f>VLOOKUP(A172,'SAP Actual extraction'!$A$28:$A$1048576,1,0)</f>
        <v>credit    6666020602  Training costs Outside the group</v>
      </c>
      <c r="M172" t="str">
        <f>VLOOKUP(B172,'SAP Actual extraction'!B:B,1,0)</f>
        <v xml:space="preserve">    6666020602  Training costs Outside the group</v>
      </c>
    </row>
    <row r="173" spans="1:13" x14ac:dyDescent="0.3">
      <c r="A173" s="109" t="str">
        <f t="shared" si="3"/>
        <v>credit    6666020802  Equipment rental cost</v>
      </c>
      <c r="B173" s="112" t="s">
        <v>276</v>
      </c>
      <c r="C173" s="113">
        <v>-11932.43</v>
      </c>
      <c r="D173" s="113">
        <v>-18549.259999999998</v>
      </c>
      <c r="E173" s="113">
        <v>6616.83</v>
      </c>
      <c r="F173" s="113">
        <v>-35.671700000000001</v>
      </c>
      <c r="G173" s="112" t="s">
        <v>276</v>
      </c>
      <c r="H173" s="114">
        <v>0</v>
      </c>
      <c r="I173" s="114">
        <v>0</v>
      </c>
      <c r="J173" s="115">
        <v>0</v>
      </c>
      <c r="K173" s="113">
        <v>0</v>
      </c>
      <c r="L173" t="str">
        <f>VLOOKUP(A173,'SAP Actual extraction'!$A$28:$A$1048576,1,0)</f>
        <v>credit    6666020802  Equipment rental cost</v>
      </c>
      <c r="M173" t="str">
        <f>VLOOKUP(B173,'SAP Actual extraction'!B:B,1,0)</f>
        <v xml:space="preserve">    6666020802  Equipment rental cost</v>
      </c>
    </row>
    <row r="174" spans="1:13" x14ac:dyDescent="0.3">
      <c r="A174" s="109" t="str">
        <f>"credit"&amp;B174</f>
        <v>credit    6666020803  Car rental cost</v>
      </c>
      <c r="B174" s="112" t="s">
        <v>277</v>
      </c>
      <c r="C174" s="113">
        <v>-258.68</v>
      </c>
      <c r="D174" s="113">
        <v>-3088.89</v>
      </c>
      <c r="E174" s="113">
        <v>2830.21</v>
      </c>
      <c r="F174" s="113">
        <v>-91.625500000000002</v>
      </c>
      <c r="G174" s="112" t="s">
        <v>277</v>
      </c>
      <c r="H174" s="114">
        <v>0</v>
      </c>
      <c r="I174" s="114">
        <v>0</v>
      </c>
      <c r="J174" s="115">
        <v>0</v>
      </c>
      <c r="K174" s="113">
        <v>0</v>
      </c>
      <c r="M174" t="str">
        <f>VLOOKUP(B174,'SAP Actual extraction'!B:B,1,0)</f>
        <v xml:space="preserve">    6666020803  Car rental cost</v>
      </c>
    </row>
    <row r="175" spans="1:13" x14ac:dyDescent="0.3">
      <c r="A175" s="109" t="str">
        <f>"credit"&amp;B175</f>
        <v>credit    6666021100  Consulting fees</v>
      </c>
      <c r="B175" s="112" t="s">
        <v>278</v>
      </c>
      <c r="C175" s="113">
        <v>3277.67</v>
      </c>
      <c r="D175" s="113">
        <v>-12427.39</v>
      </c>
      <c r="E175" s="113">
        <v>15705.06</v>
      </c>
      <c r="F175" s="113">
        <v>-126.3746</v>
      </c>
      <c r="G175" s="112" t="s">
        <v>278</v>
      </c>
      <c r="H175" s="114">
        <v>0</v>
      </c>
      <c r="I175" s="114">
        <v>0</v>
      </c>
      <c r="J175" s="115">
        <v>0</v>
      </c>
      <c r="K175" s="113">
        <v>0</v>
      </c>
      <c r="M175" t="str">
        <f>VLOOKUP(B175,'SAP Actual extraction'!B:B,1,0)</f>
        <v xml:space="preserve">    6666021100  Consulting fees</v>
      </c>
    </row>
    <row r="176" spans="1:13" x14ac:dyDescent="0.3">
      <c r="A176" s="109" t="str">
        <f t="shared" si="3"/>
        <v>credit    6666021104  Consulting expense-Technical</v>
      </c>
      <c r="B176" s="112" t="s">
        <v>268</v>
      </c>
      <c r="C176" s="116">
        <v>0</v>
      </c>
      <c r="D176" s="116">
        <v>0</v>
      </c>
      <c r="E176" s="113">
        <v>0</v>
      </c>
      <c r="F176" s="113">
        <v>0</v>
      </c>
      <c r="G176" s="112" t="s">
        <v>268</v>
      </c>
      <c r="H176" s="114">
        <v>0</v>
      </c>
      <c r="I176" s="114">
        <v>0</v>
      </c>
      <c r="J176" s="115">
        <v>0</v>
      </c>
      <c r="K176" s="113">
        <v>0</v>
      </c>
      <c r="L176" t="e">
        <f>VLOOKUP(A176,'SAP Actual extraction'!$A$28:$A$1048576,1,0)</f>
        <v>#N/A</v>
      </c>
      <c r="M176" t="str">
        <f>VLOOKUP(B176,'SAP Actual extraction'!B:B,1,0)</f>
        <v xml:space="preserve">    6666021104  Consulting expense-Technical</v>
      </c>
    </row>
    <row r="177" spans="1:13" x14ac:dyDescent="0.3">
      <c r="A177" s="109" t="str">
        <f t="shared" si="3"/>
        <v>credit    6666021902  Cleaning fees</v>
      </c>
      <c r="B177" s="112" t="s">
        <v>279</v>
      </c>
      <c r="C177" s="113">
        <v>-7542.28</v>
      </c>
      <c r="D177" s="113">
        <v>-10871.1</v>
      </c>
      <c r="E177" s="113">
        <v>3328.82</v>
      </c>
      <c r="F177" s="113">
        <v>-30.620799999999999</v>
      </c>
      <c r="G177" s="112" t="s">
        <v>279</v>
      </c>
      <c r="H177" s="114">
        <v>0</v>
      </c>
      <c r="I177" s="114">
        <v>0</v>
      </c>
      <c r="J177" s="115">
        <v>0</v>
      </c>
      <c r="K177" s="113">
        <v>0</v>
      </c>
      <c r="L177" t="str">
        <f>VLOOKUP(A177,'SAP Actual extraction'!$A$28:$A$1048576,1,0)</f>
        <v>credit    6666021902  Cleaning fees</v>
      </c>
      <c r="M177" t="str">
        <f>VLOOKUP(B177,'SAP Actual extraction'!B:B,1,0)</f>
        <v xml:space="preserve">    6666021902  Cleaning fees</v>
      </c>
    </row>
    <row r="178" spans="1:13" x14ac:dyDescent="0.3">
      <c r="A178" s="109" t="str">
        <f t="shared" si="3"/>
        <v>credit    6666022100  Security</v>
      </c>
      <c r="B178" s="112" t="s">
        <v>280</v>
      </c>
      <c r="C178" s="113">
        <v>-3746.4</v>
      </c>
      <c r="D178" s="113">
        <v>-8046.31</v>
      </c>
      <c r="E178" s="113">
        <v>4299.91</v>
      </c>
      <c r="F178" s="113">
        <v>-53.439500000000002</v>
      </c>
      <c r="G178" s="112" t="s">
        <v>280</v>
      </c>
      <c r="H178" s="114">
        <v>0</v>
      </c>
      <c r="I178" s="114">
        <v>0</v>
      </c>
      <c r="J178" s="115">
        <v>0</v>
      </c>
      <c r="K178" s="113">
        <v>0</v>
      </c>
      <c r="L178" t="str">
        <f>VLOOKUP(A178,'SAP Actual extraction'!$A$28:$A$1048576,1,0)</f>
        <v>credit    6666022100  Security</v>
      </c>
      <c r="M178" t="str">
        <f>VLOOKUP(B178,'SAP Actual extraction'!B:B,1,0)</f>
        <v xml:space="preserve">    6666022100  Security</v>
      </c>
    </row>
    <row r="179" spans="1:13" x14ac:dyDescent="0.3">
      <c r="A179" s="109" t="str">
        <f t="shared" si="3"/>
        <v>credit    6666022300  Association dues</v>
      </c>
      <c r="B179" s="112" t="s">
        <v>281</v>
      </c>
      <c r="C179" s="116">
        <v>0</v>
      </c>
      <c r="D179" s="116">
        <v>0</v>
      </c>
      <c r="E179" s="113">
        <v>0</v>
      </c>
      <c r="F179" s="113">
        <v>0</v>
      </c>
      <c r="G179" s="112" t="s">
        <v>281</v>
      </c>
      <c r="H179" s="114">
        <v>0</v>
      </c>
      <c r="I179" s="114">
        <v>0</v>
      </c>
      <c r="J179" s="115">
        <v>0</v>
      </c>
      <c r="K179" s="113">
        <v>0</v>
      </c>
      <c r="L179" t="str">
        <f>VLOOKUP(A179,'SAP Actual extraction'!$A$28:$A$1048576,1,0)</f>
        <v>credit    6666022300  Association dues</v>
      </c>
      <c r="M179" t="str">
        <f>VLOOKUP(B179,'SAP Actual extraction'!B:B,1,0)</f>
        <v xml:space="preserve">    6666022300  Association dues</v>
      </c>
    </row>
    <row r="180" spans="1:13" x14ac:dyDescent="0.3">
      <c r="A180" s="109" t="str">
        <f t="shared" si="3"/>
        <v>credit    6666029900  Sundry Expenses</v>
      </c>
      <c r="B180" s="112" t="s">
        <v>282</v>
      </c>
      <c r="C180" s="116">
        <v>0</v>
      </c>
      <c r="D180" s="116">
        <v>0</v>
      </c>
      <c r="E180" s="113">
        <v>0</v>
      </c>
      <c r="F180" s="113">
        <v>0</v>
      </c>
      <c r="G180" s="112" t="s">
        <v>282</v>
      </c>
      <c r="H180" s="114">
        <v>0</v>
      </c>
      <c r="I180" s="114">
        <v>0</v>
      </c>
      <c r="J180" s="115">
        <v>0</v>
      </c>
      <c r="K180" s="113">
        <v>0</v>
      </c>
      <c r="L180" t="str">
        <f>VLOOKUP(A180,'SAP Actual extraction'!$A$28:$A$1048576,1,0)</f>
        <v>credit    6666029900  Sundry Expenses</v>
      </c>
      <c r="M180" t="str">
        <f>VLOOKUP(B180,'SAP Actual extraction'!B:B,1,0)</f>
        <v xml:space="preserve">    6666029900  Sundry Expenses</v>
      </c>
    </row>
    <row r="181" spans="1:13" x14ac:dyDescent="0.3">
      <c r="A181" s="109" t="str">
        <f t="shared" si="3"/>
        <v>credit    6666029997  restructure cost</v>
      </c>
      <c r="B181" s="112" t="s">
        <v>283</v>
      </c>
      <c r="C181" s="116">
        <v>0</v>
      </c>
      <c r="D181" s="113">
        <v>-444.84</v>
      </c>
      <c r="E181" s="113">
        <v>444.84</v>
      </c>
      <c r="F181" s="113">
        <v>-100</v>
      </c>
      <c r="G181" s="112" t="s">
        <v>283</v>
      </c>
      <c r="H181" s="114">
        <v>0</v>
      </c>
      <c r="I181" s="114">
        <v>0</v>
      </c>
      <c r="J181" s="115">
        <v>0</v>
      </c>
      <c r="K181" s="113">
        <v>0</v>
      </c>
      <c r="L181" t="str">
        <f>VLOOKUP(A181,'SAP Actual extraction'!$A$28:$A$1048576,1,0)</f>
        <v>credit    6666029997  restructure cost</v>
      </c>
      <c r="M181" t="str">
        <f>VLOOKUP(B181,'SAP Actual extraction'!B:B,1,0)</f>
        <v xml:space="preserve">    6666029997  restructure cost</v>
      </c>
    </row>
    <row r="182" spans="1:13" x14ac:dyDescent="0.3">
      <c r="A182" s="109" t="str">
        <f t="shared" si="3"/>
        <v>credit    6666030300  Design and development fees</v>
      </c>
      <c r="B182" s="112" t="s">
        <v>284</v>
      </c>
      <c r="C182" s="116">
        <v>0</v>
      </c>
      <c r="D182" s="116">
        <v>0</v>
      </c>
      <c r="E182" s="113">
        <v>0</v>
      </c>
      <c r="F182" s="113">
        <v>0</v>
      </c>
      <c r="G182" s="112" t="s">
        <v>284</v>
      </c>
      <c r="H182" s="114">
        <v>0</v>
      </c>
      <c r="I182" s="114">
        <v>0</v>
      </c>
      <c r="J182" s="115">
        <v>0</v>
      </c>
      <c r="K182" s="113">
        <v>0</v>
      </c>
      <c r="L182" t="str">
        <f>VLOOKUP(A182,'SAP Actual extraction'!$A$28:$A$1048576,1,0)</f>
        <v>credit    6666030300  Design and development fees</v>
      </c>
      <c r="M182" t="str">
        <f>VLOOKUP(B182,'SAP Actual extraction'!B:B,1,0)</f>
        <v xml:space="preserve">    6666030300  Design and development fees</v>
      </c>
    </row>
    <row r="183" spans="1:13" x14ac:dyDescent="0.3">
      <c r="A183" s="109" t="str">
        <f t="shared" si="3"/>
        <v>credit    6666050107  Special distribution costs</v>
      </c>
      <c r="B183" s="112" t="s">
        <v>287</v>
      </c>
      <c r="C183" s="116">
        <v>0</v>
      </c>
      <c r="D183" s="116">
        <v>0</v>
      </c>
      <c r="E183" s="113">
        <v>0</v>
      </c>
      <c r="F183" s="113">
        <v>0</v>
      </c>
      <c r="G183" s="112" t="s">
        <v>287</v>
      </c>
      <c r="H183" s="114">
        <v>0</v>
      </c>
      <c r="I183" s="114">
        <v>0</v>
      </c>
      <c r="J183" s="115">
        <v>0</v>
      </c>
      <c r="K183" s="113">
        <v>0</v>
      </c>
      <c r="L183" t="str">
        <f>VLOOKUP(A183,'SAP Actual extraction'!$A$28:$A$1048576,1,0)</f>
        <v>credit    6666050107  Special distribution costs</v>
      </c>
      <c r="M183" t="str">
        <f>VLOOKUP(B183,'SAP Actual extraction'!B:B,1,0)</f>
        <v xml:space="preserve">    6666050107  Special distribution costs</v>
      </c>
    </row>
    <row r="184" spans="1:13" x14ac:dyDescent="0.3">
      <c r="A184" s="109" t="str">
        <f t="shared" si="3"/>
        <v>credit    6666050312  Inventory count different- Semifinished</v>
      </c>
      <c r="B184" s="112" t="s">
        <v>212</v>
      </c>
      <c r="C184" s="113">
        <v>-112817.8</v>
      </c>
      <c r="D184" s="116">
        <v>0</v>
      </c>
      <c r="E184" s="113">
        <v>-112817.8</v>
      </c>
      <c r="F184" s="113">
        <v>0</v>
      </c>
      <c r="G184" s="112" t="s">
        <v>212</v>
      </c>
      <c r="H184" s="114">
        <v>0</v>
      </c>
      <c r="I184" s="114">
        <v>0</v>
      </c>
      <c r="J184" s="115">
        <v>0</v>
      </c>
      <c r="K184" s="113">
        <v>0</v>
      </c>
      <c r="L184" t="str">
        <f>VLOOKUP(A184,'SAP Actual extraction'!$A$28:$A$1048576,1,0)</f>
        <v>credit    6666050312  Inventory count different- Semifinished</v>
      </c>
      <c r="M184" t="str">
        <f>VLOOKUP(B184,'SAP Actual extraction'!B:B,1,0)</f>
        <v xml:space="preserve">    6666050312  Inventory count different- Semifinished</v>
      </c>
    </row>
    <row r="185" spans="1:13" x14ac:dyDescent="0.3">
      <c r="A185" s="109" t="str">
        <f t="shared" si="3"/>
        <v>credit    6666070100  Software purchase, development and imple</v>
      </c>
      <c r="B185" s="112" t="s">
        <v>288</v>
      </c>
      <c r="C185" s="116">
        <v>0</v>
      </c>
      <c r="D185" s="116">
        <v>0</v>
      </c>
      <c r="E185" s="113">
        <v>0</v>
      </c>
      <c r="F185" s="113">
        <v>0</v>
      </c>
      <c r="G185" s="112" t="s">
        <v>288</v>
      </c>
      <c r="H185" s="114">
        <v>0</v>
      </c>
      <c r="I185" s="114">
        <v>0</v>
      </c>
      <c r="J185" s="115">
        <v>0</v>
      </c>
      <c r="K185" s="113">
        <v>0</v>
      </c>
      <c r="L185" t="str">
        <f>VLOOKUP(A185,'SAP Actual extraction'!$A$28:$A$1048576,1,0)</f>
        <v>credit    6666070100  Software purchase, development and imple</v>
      </c>
      <c r="M185" t="str">
        <f>VLOOKUP(B185,'SAP Actual extraction'!B:B,1,0)</f>
        <v xml:space="preserve">    6666070100  Software purchase, development and imple</v>
      </c>
    </row>
    <row r="186" spans="1:13" x14ac:dyDescent="0.3">
      <c r="A186" s="109" t="str">
        <f t="shared" si="3"/>
        <v>credit    6666070400  IT maint. &amp; repairs hardware</v>
      </c>
      <c r="B186" s="112" t="s">
        <v>290</v>
      </c>
      <c r="C186" s="113">
        <v>1626.77</v>
      </c>
      <c r="D186" s="113">
        <v>-8219.7000000000007</v>
      </c>
      <c r="E186" s="113">
        <v>9846.4699999999993</v>
      </c>
      <c r="F186" s="113">
        <v>-119.7911</v>
      </c>
      <c r="G186" s="112" t="s">
        <v>290</v>
      </c>
      <c r="H186" s="114">
        <v>0</v>
      </c>
      <c r="I186" s="114">
        <v>0</v>
      </c>
      <c r="J186" s="115">
        <v>0</v>
      </c>
      <c r="K186" s="113">
        <v>0</v>
      </c>
      <c r="L186" t="str">
        <f>VLOOKUP(A186,'SAP Actual extraction'!$A$28:$A$1048576,1,0)</f>
        <v>credit    6666070400  IT maint. &amp; repairs hardware</v>
      </c>
      <c r="M186" t="str">
        <f>VLOOKUP(B186,'SAP Actual extraction'!B:B,1,0)</f>
        <v xml:space="preserve">    6666070400  IT maint. &amp; repairs hardware</v>
      </c>
    </row>
    <row r="187" spans="1:13" x14ac:dyDescent="0.3">
      <c r="A187" s="109" t="str">
        <f t="shared" si="3"/>
        <v>credit    5401050201  COGS-Freight out-Special and sporadic fr</v>
      </c>
      <c r="B187" s="112" t="s">
        <v>292</v>
      </c>
      <c r="C187" s="116">
        <v>0</v>
      </c>
      <c r="D187" s="116">
        <v>0</v>
      </c>
      <c r="E187" s="113">
        <v>0</v>
      </c>
      <c r="F187" s="113">
        <v>0</v>
      </c>
      <c r="G187" s="112" t="s">
        <v>292</v>
      </c>
      <c r="H187" s="114">
        <v>0</v>
      </c>
      <c r="I187" s="114">
        <v>0</v>
      </c>
      <c r="J187" s="115">
        <v>0</v>
      </c>
      <c r="K187" s="113">
        <v>0</v>
      </c>
      <c r="L187" t="e">
        <f>VLOOKUP(A187,'SAP Actual extraction'!$A$28:$A$1048576,1,0)</f>
        <v>#N/A</v>
      </c>
      <c r="M187" t="str">
        <f>VLOOKUP(B187,'SAP Actual extraction'!B:B,1,0)</f>
        <v xml:space="preserve">    5401050201  COGS-Freight out-Special and sporadic fr</v>
      </c>
    </row>
    <row r="188" spans="1:13" x14ac:dyDescent="0.3">
      <c r="A188" s="109" t="str">
        <f t="shared" si="3"/>
        <v>credit*   CS_Fix Cost</v>
      </c>
      <c r="B188" s="117" t="s">
        <v>211</v>
      </c>
      <c r="C188" s="118">
        <v>-75308.759999999995</v>
      </c>
      <c r="D188" s="118">
        <v>-78954.34</v>
      </c>
      <c r="E188" s="118">
        <v>3645.58</v>
      </c>
      <c r="F188" s="118">
        <v>-4.6173000000000002</v>
      </c>
      <c r="G188" s="117" t="s">
        <v>211</v>
      </c>
      <c r="H188" s="119">
        <v>0</v>
      </c>
      <c r="I188" s="119">
        <v>0</v>
      </c>
      <c r="J188" s="120">
        <v>0</v>
      </c>
      <c r="K188" s="118">
        <v>0</v>
      </c>
      <c r="L188" t="str">
        <f>VLOOKUP(A188,'SAP Actual extraction'!$A$28:$A$1048576,1,0)</f>
        <v>credit*   CS_Fix Cost</v>
      </c>
      <c r="M188" t="str">
        <f>VLOOKUP(B188,'SAP Actual extraction'!B:B,1,0)</f>
        <v>*   CS_Fix Cost</v>
      </c>
    </row>
    <row r="189" spans="1:13" x14ac:dyDescent="0.3">
      <c r="A189" s="109" t="str">
        <f t="shared" si="3"/>
        <v>credit    6666110203  Low value consumables</v>
      </c>
      <c r="B189" s="112" t="s">
        <v>293</v>
      </c>
      <c r="C189" s="113">
        <v>52477.61</v>
      </c>
      <c r="D189" s="116">
        <v>0</v>
      </c>
      <c r="E189" s="113">
        <v>52477.61</v>
      </c>
      <c r="F189" s="113">
        <v>0</v>
      </c>
      <c r="G189" s="112" t="s">
        <v>293</v>
      </c>
      <c r="H189" s="114">
        <v>0</v>
      </c>
      <c r="I189" s="114">
        <v>0</v>
      </c>
      <c r="J189" s="115">
        <v>0</v>
      </c>
      <c r="K189" s="113">
        <v>0</v>
      </c>
      <c r="L189" t="str">
        <f>VLOOKUP(A189,'SAP Actual extraction'!$A$28:$A$1048576,1,0)</f>
        <v>credit    6666110203  Low value consumables</v>
      </c>
      <c r="M189" t="str">
        <f>VLOOKUP(B189,'SAP Actual extraction'!B:B,1,0)</f>
        <v xml:space="preserve">    6666110203  Low value consumables</v>
      </c>
    </row>
    <row r="190" spans="1:13" x14ac:dyDescent="0.3">
      <c r="A190" s="109" t="str">
        <f t="shared" si="3"/>
        <v>credit    5102040000  Other Revenue - Other</v>
      </c>
      <c r="B190" s="112" t="s">
        <v>294</v>
      </c>
      <c r="C190" s="116">
        <v>0</v>
      </c>
      <c r="D190" s="116">
        <v>0</v>
      </c>
      <c r="E190" s="113">
        <v>0</v>
      </c>
      <c r="F190" s="113">
        <v>0</v>
      </c>
      <c r="G190" s="112" t="s">
        <v>294</v>
      </c>
      <c r="H190" s="114">
        <v>0</v>
      </c>
      <c r="I190" s="114">
        <v>0</v>
      </c>
      <c r="J190" s="115">
        <v>0</v>
      </c>
      <c r="K190" s="113">
        <v>0</v>
      </c>
      <c r="L190" t="str">
        <f>VLOOKUP(A190,'SAP Actual extraction'!$A$28:$A$1048576,1,0)</f>
        <v>credit    5102040000  Other Revenue - Other</v>
      </c>
      <c r="M190" t="str">
        <f>VLOOKUP(B190,'SAP Actual extraction'!B:B,1,0)</f>
        <v xml:space="preserve">    5102040000  Other Revenue - Other</v>
      </c>
    </row>
    <row r="191" spans="1:13" x14ac:dyDescent="0.3">
      <c r="A191" s="109" t="str">
        <f t="shared" si="3"/>
        <v>credit    6666050307  Inventory count different-raw material</v>
      </c>
      <c r="B191" s="112" t="s">
        <v>295</v>
      </c>
      <c r="C191" s="113">
        <v>263790.03000000003</v>
      </c>
      <c r="D191" s="116">
        <v>0</v>
      </c>
      <c r="E191" s="113">
        <v>263790.03000000003</v>
      </c>
      <c r="F191" s="113">
        <v>0</v>
      </c>
      <c r="G191" s="112" t="s">
        <v>295</v>
      </c>
      <c r="H191" s="114">
        <v>0</v>
      </c>
      <c r="I191" s="114">
        <v>0</v>
      </c>
      <c r="J191" s="115">
        <v>0</v>
      </c>
      <c r="K191" s="113">
        <v>0</v>
      </c>
      <c r="L191" t="str">
        <f>VLOOKUP(A191,'SAP Actual extraction'!$A$28:$A$1048576,1,0)</f>
        <v>credit    6666050307  Inventory count different-raw material</v>
      </c>
      <c r="M191" t="str">
        <f>VLOOKUP(B191,'SAP Actual extraction'!B:B,1,0)</f>
        <v xml:space="preserve">    6666050307  Inventory count different-raw material</v>
      </c>
    </row>
    <row r="192" spans="1:13" x14ac:dyDescent="0.3">
      <c r="A192" s="109" t="str">
        <f t="shared" si="3"/>
        <v>credit*   CS_Variable Cost</v>
      </c>
      <c r="B192" s="117" t="s">
        <v>213</v>
      </c>
      <c r="C192" s="118">
        <v>316267.64</v>
      </c>
      <c r="D192" s="125">
        <v>0</v>
      </c>
      <c r="E192" s="118">
        <v>316267.64</v>
      </c>
      <c r="F192" s="118">
        <v>0</v>
      </c>
      <c r="G192" s="117" t="s">
        <v>213</v>
      </c>
      <c r="H192" s="119">
        <v>0</v>
      </c>
      <c r="I192" s="119">
        <v>0</v>
      </c>
      <c r="J192" s="120">
        <v>0</v>
      </c>
      <c r="K192" s="118">
        <v>0</v>
      </c>
      <c r="L192" t="str">
        <f>VLOOKUP(A192,'SAP Actual extraction'!$A$28:$A$1048576,1,0)</f>
        <v>credit*   CS_Variable Cost</v>
      </c>
      <c r="M192" t="str">
        <f>VLOOKUP(B192,'SAP Actual extraction'!B:B,1,0)</f>
        <v>*   CS_Variable Cost</v>
      </c>
    </row>
    <row r="193" spans="1:13" x14ac:dyDescent="0.3">
      <c r="A193" s="109" t="str">
        <f t="shared" si="3"/>
        <v>credit    6666100203  Provision for inventory devaluation - RM</v>
      </c>
      <c r="B193" s="112" t="s">
        <v>296</v>
      </c>
      <c r="C193" s="113">
        <v>-114586.24000000001</v>
      </c>
      <c r="D193" s="113">
        <v>-25000</v>
      </c>
      <c r="E193" s="113">
        <v>-89586.240000000005</v>
      </c>
      <c r="F193" s="113">
        <v>358.34500000000003</v>
      </c>
      <c r="G193" s="112" t="s">
        <v>296</v>
      </c>
      <c r="H193" s="114">
        <v>0</v>
      </c>
      <c r="I193" s="114">
        <v>0</v>
      </c>
      <c r="J193" s="115">
        <v>0</v>
      </c>
      <c r="K193" s="113">
        <v>0</v>
      </c>
      <c r="L193" t="str">
        <f>VLOOKUP(A193,'SAP Actual extraction'!$A$28:$A$1048576,1,0)</f>
        <v>credit    6666100203  Provision for inventory devaluation - RM</v>
      </c>
      <c r="M193" t="str">
        <f>VLOOKUP(B193,'SAP Actual extraction'!B:B,1,0)</f>
        <v xml:space="preserve">    6666100203  Provision for inventory devaluation - RM</v>
      </c>
    </row>
    <row r="194" spans="1:13" x14ac:dyDescent="0.3">
      <c r="A194" s="109" t="str">
        <f t="shared" si="3"/>
        <v>credit*   CS_Obsolescence</v>
      </c>
      <c r="B194" s="117" t="s">
        <v>214</v>
      </c>
      <c r="C194" s="118">
        <v>-114586.24000000001</v>
      </c>
      <c r="D194" s="118">
        <v>-25000</v>
      </c>
      <c r="E194" s="118">
        <v>-89586.240000000005</v>
      </c>
      <c r="F194" s="118">
        <v>358.34500000000003</v>
      </c>
      <c r="G194" s="117" t="s">
        <v>214</v>
      </c>
      <c r="H194" s="119">
        <v>0</v>
      </c>
      <c r="I194" s="119">
        <v>0</v>
      </c>
      <c r="J194" s="120">
        <v>0</v>
      </c>
      <c r="K194" s="118">
        <v>0</v>
      </c>
      <c r="L194" t="str">
        <f>VLOOKUP(A194,'SAP Actual extraction'!$A$28:$A$1048576,1,0)</f>
        <v>credit*   CS_Obsolescence</v>
      </c>
      <c r="M194" t="str">
        <f>VLOOKUP(B194,'SAP Actual extraction'!B:B,1,0)</f>
        <v>*   CS_Obsolescence</v>
      </c>
    </row>
    <row r="195" spans="1:13" x14ac:dyDescent="0.3">
      <c r="A195" s="109" t="str">
        <f t="shared" si="3"/>
        <v>credit    5301070000  Non-operation revenue-sales of scrapped</v>
      </c>
      <c r="B195" s="112" t="s">
        <v>297</v>
      </c>
      <c r="C195" s="113">
        <v>112054.34</v>
      </c>
      <c r="D195" s="113">
        <v>124919.02</v>
      </c>
      <c r="E195" s="113">
        <v>-12864.68</v>
      </c>
      <c r="F195" s="113">
        <v>-10.298400000000001</v>
      </c>
      <c r="G195" s="112" t="s">
        <v>297</v>
      </c>
      <c r="H195" s="114">
        <v>0</v>
      </c>
      <c r="I195" s="114">
        <v>0</v>
      </c>
      <c r="J195" s="115">
        <v>0</v>
      </c>
      <c r="K195" s="113">
        <v>0</v>
      </c>
      <c r="L195" t="str">
        <f>VLOOKUP(A195,'SAP Actual extraction'!$A$28:$A$1048576,1,0)</f>
        <v>credit    5301070000  Non-operation revenue-sales of scrapped</v>
      </c>
      <c r="M195" t="str">
        <f>VLOOKUP(B195,'SAP Actual extraction'!B:B,1,0)</f>
        <v xml:space="preserve">    5301070000  Non-operation revenue-sales of scrapped</v>
      </c>
    </row>
    <row r="196" spans="1:13" x14ac:dyDescent="0.3">
      <c r="A196" s="109" t="str">
        <f t="shared" si="3"/>
        <v>credit*   CS_Reselling</v>
      </c>
      <c r="B196" s="117" t="s">
        <v>215</v>
      </c>
      <c r="C196" s="118">
        <v>112054.34</v>
      </c>
      <c r="D196" s="118">
        <v>124919.02</v>
      </c>
      <c r="E196" s="118">
        <v>-12864.68</v>
      </c>
      <c r="F196" s="118">
        <v>-10.298400000000001</v>
      </c>
      <c r="G196" s="117" t="s">
        <v>215</v>
      </c>
      <c r="H196" s="119">
        <v>0</v>
      </c>
      <c r="I196" s="119">
        <v>0</v>
      </c>
      <c r="J196" s="120">
        <v>0</v>
      </c>
      <c r="K196" s="118">
        <v>0</v>
      </c>
      <c r="L196" t="str">
        <f>VLOOKUP(A196,'SAP Actual extraction'!$A$28:$A$1048576,1,0)</f>
        <v>credit*   CS_Reselling</v>
      </c>
      <c r="M196" t="str">
        <f>VLOOKUP(B196,'SAP Actual extraction'!B:B,1,0)</f>
        <v>*   CS_Reselling</v>
      </c>
    </row>
    <row r="197" spans="1:13" x14ac:dyDescent="0.3">
      <c r="A197" s="109" t="str">
        <f t="shared" si="3"/>
        <v>credit    6666021602  Electricity</v>
      </c>
      <c r="B197" s="112" t="s">
        <v>298</v>
      </c>
      <c r="C197" s="113">
        <v>-587.01</v>
      </c>
      <c r="D197" s="113">
        <v>-11936.65</v>
      </c>
      <c r="E197" s="113">
        <v>11349.64</v>
      </c>
      <c r="F197" s="113">
        <v>-95.082300000000004</v>
      </c>
      <c r="G197" s="112" t="s">
        <v>298</v>
      </c>
      <c r="H197" s="114">
        <v>0</v>
      </c>
      <c r="I197" s="114">
        <v>0</v>
      </c>
      <c r="J197" s="115">
        <v>0</v>
      </c>
      <c r="K197" s="113">
        <v>0</v>
      </c>
      <c r="L197" t="str">
        <f>VLOOKUP(A197,'SAP Actual extraction'!$A$28:$A$1048576,1,0)</f>
        <v>credit    6666021602  Electricity</v>
      </c>
      <c r="M197" t="str">
        <f>VLOOKUP(B197,'SAP Actual extraction'!B:B,1,0)</f>
        <v xml:space="preserve">    6666021602  Electricity</v>
      </c>
    </row>
    <row r="198" spans="1:13" x14ac:dyDescent="0.3">
      <c r="A198" s="109" t="str">
        <f t="shared" si="3"/>
        <v>credit*   CS_Fix Utilities</v>
      </c>
      <c r="B198" s="117" t="s">
        <v>216</v>
      </c>
      <c r="C198" s="118">
        <v>-587.01</v>
      </c>
      <c r="D198" s="118">
        <v>-11936.65</v>
      </c>
      <c r="E198" s="118">
        <v>11349.64</v>
      </c>
      <c r="F198" s="118">
        <v>-95.082300000000004</v>
      </c>
      <c r="G198" s="117" t="s">
        <v>216</v>
      </c>
      <c r="H198" s="119">
        <v>0</v>
      </c>
      <c r="I198" s="119">
        <v>0</v>
      </c>
      <c r="J198" s="120">
        <v>0</v>
      </c>
      <c r="K198" s="118">
        <v>0</v>
      </c>
      <c r="L198" t="str">
        <f>VLOOKUP(A198,'SAP Actual extraction'!$A$28:$A$1048576,1,0)</f>
        <v>credit*   CS_Fix Utilities</v>
      </c>
      <c r="M198" t="str">
        <f>VLOOKUP(B198,'SAP Actual extraction'!B:B,1,0)</f>
        <v>*   CS_Fix Utilities</v>
      </c>
    </row>
    <row r="199" spans="1:13" x14ac:dyDescent="0.3">
      <c r="A199" s="109" t="str">
        <f t="shared" si="3"/>
        <v>credit    6666021603  Water</v>
      </c>
      <c r="B199" s="112" t="s">
        <v>300</v>
      </c>
      <c r="C199" s="113">
        <v>-1118.6500000000001</v>
      </c>
      <c r="D199" s="116">
        <v>0</v>
      </c>
      <c r="E199" s="113">
        <v>-1118.6500000000001</v>
      </c>
      <c r="F199" s="113">
        <v>0</v>
      </c>
      <c r="G199" s="112" t="s">
        <v>300</v>
      </c>
      <c r="H199" s="114">
        <v>0</v>
      </c>
      <c r="I199" s="114">
        <v>0</v>
      </c>
      <c r="J199" s="115">
        <v>0</v>
      </c>
      <c r="K199" s="113">
        <v>0</v>
      </c>
      <c r="L199" t="str">
        <f>VLOOKUP(A199,'SAP Actual extraction'!$A$28:$A$1048576,1,0)</f>
        <v>credit    6666021603  Water</v>
      </c>
      <c r="M199" t="str">
        <f>VLOOKUP(B199,'SAP Actual extraction'!B:B,1,0)</f>
        <v xml:space="preserve">    6666021603  Water</v>
      </c>
    </row>
    <row r="200" spans="1:13" x14ac:dyDescent="0.3">
      <c r="A200" s="109" t="str">
        <f t="shared" si="3"/>
        <v>credit    6666021604  Oil &amp; Gas</v>
      </c>
      <c r="B200" s="112" t="s">
        <v>301</v>
      </c>
      <c r="C200" s="113">
        <v>-6842.39</v>
      </c>
      <c r="D200" s="116">
        <v>0</v>
      </c>
      <c r="E200" s="113">
        <v>-6842.39</v>
      </c>
      <c r="F200" s="113">
        <v>0</v>
      </c>
      <c r="G200" s="112" t="s">
        <v>301</v>
      </c>
      <c r="H200" s="114">
        <v>0</v>
      </c>
      <c r="I200" s="114">
        <v>0</v>
      </c>
      <c r="J200" s="115">
        <v>0</v>
      </c>
      <c r="K200" s="113">
        <v>0</v>
      </c>
      <c r="L200" t="str">
        <f>VLOOKUP(A200,'SAP Actual extraction'!$A$28:$A$1048576,1,0)</f>
        <v>credit    6666021604  Oil &amp; Gas</v>
      </c>
      <c r="M200" t="str">
        <f>VLOOKUP(B200,'SAP Actual extraction'!B:B,1,0)</f>
        <v xml:space="preserve">    6666021604  Oil &amp; Gas</v>
      </c>
    </row>
    <row r="201" spans="1:13" x14ac:dyDescent="0.3">
      <c r="A201" s="109" t="str">
        <f t="shared" si="3"/>
        <v>credit*   CS_Variable Utilities</v>
      </c>
      <c r="B201" s="117" t="s">
        <v>217</v>
      </c>
      <c r="C201" s="118">
        <v>-7961.04</v>
      </c>
      <c r="D201" s="125">
        <v>0</v>
      </c>
      <c r="E201" s="118">
        <v>-7961.04</v>
      </c>
      <c r="F201" s="118">
        <v>0</v>
      </c>
      <c r="G201" s="117" t="s">
        <v>217</v>
      </c>
      <c r="H201" s="119">
        <v>0</v>
      </c>
      <c r="I201" s="119">
        <v>0</v>
      </c>
      <c r="J201" s="120">
        <v>0</v>
      </c>
      <c r="K201" s="118">
        <v>0</v>
      </c>
      <c r="L201" t="str">
        <f>VLOOKUP(A201,'SAP Actual extraction'!$A$28:$A$1048576,1,0)</f>
        <v>credit*   CS_Variable Utilities</v>
      </c>
      <c r="M201" t="str">
        <f>VLOOKUP(B201,'SAP Actual extraction'!B:B,1,0)</f>
        <v>*   CS_Variable Utilities</v>
      </c>
    </row>
    <row r="202" spans="1:13" x14ac:dyDescent="0.3">
      <c r="A202" s="109" t="str">
        <f t="shared" si="3"/>
        <v>credit    5001010206  Unemployment Insurance -blue collar-Indi</v>
      </c>
      <c r="B202" s="112" t="s">
        <v>302</v>
      </c>
      <c r="C202" s="113">
        <v>-2479.09</v>
      </c>
      <c r="D202" s="116">
        <v>0</v>
      </c>
      <c r="E202" s="113">
        <v>-2479.09</v>
      </c>
      <c r="F202" s="113">
        <v>0</v>
      </c>
      <c r="G202" s="112" t="s">
        <v>302</v>
      </c>
      <c r="H202" s="114">
        <v>0</v>
      </c>
      <c r="I202" s="114">
        <v>0</v>
      </c>
      <c r="J202" s="115">
        <v>0</v>
      </c>
      <c r="K202" s="113">
        <v>0</v>
      </c>
      <c r="L202" t="str">
        <f>VLOOKUP(A202,'SAP Actual extraction'!$A$28:$A$1048576,1,0)</f>
        <v>credit    5001010206  Unemployment Insurance -blue collar-Indi</v>
      </c>
      <c r="M202" t="str">
        <f>VLOOKUP(B202,'SAP Actual extraction'!B:B,1,0)</f>
        <v xml:space="preserve">    5001010206  Unemployment Insurance -blue collar-Indi</v>
      </c>
    </row>
    <row r="203" spans="1:13" x14ac:dyDescent="0.3">
      <c r="A203" s="109" t="str">
        <f t="shared" si="3"/>
        <v>credit    6666010184  Salary&amp;Additional Incentive-Blue Collar-</v>
      </c>
      <c r="B203" s="112" t="s">
        <v>303</v>
      </c>
      <c r="C203" s="113">
        <v>80.56</v>
      </c>
      <c r="D203" s="116">
        <v>0</v>
      </c>
      <c r="E203" s="113">
        <v>80.56</v>
      </c>
      <c r="F203" s="113">
        <v>0</v>
      </c>
      <c r="G203" s="112" t="s">
        <v>303</v>
      </c>
      <c r="H203" s="114">
        <v>0</v>
      </c>
      <c r="I203" s="114">
        <v>0</v>
      </c>
      <c r="J203" s="115">
        <v>0</v>
      </c>
      <c r="K203" s="113">
        <v>0</v>
      </c>
      <c r="L203" t="str">
        <f>VLOOKUP(A203,'SAP Actual extraction'!$A$28:$A$1048576,1,0)</f>
        <v>credit    6666010184  Salary&amp;Additional Incentive-Blue Collar-</v>
      </c>
      <c r="M203" t="str">
        <f>VLOOKUP(B203,'SAP Actual extraction'!B:B,1,0)</f>
        <v xml:space="preserve">    6666010184  Salary&amp;Additional Incentive-Blue Collar-</v>
      </c>
    </row>
    <row r="204" spans="1:13" x14ac:dyDescent="0.3">
      <c r="A204" s="109" t="str">
        <f t="shared" si="3"/>
        <v>credit    6666010186  Overtime-Blue Collar-Indirect</v>
      </c>
      <c r="B204" s="112" t="s">
        <v>304</v>
      </c>
      <c r="C204" s="113">
        <v>-6998.69</v>
      </c>
      <c r="D204" s="116">
        <v>0</v>
      </c>
      <c r="E204" s="113">
        <v>-6998.69</v>
      </c>
      <c r="F204" s="113">
        <v>0</v>
      </c>
      <c r="G204" s="112" t="s">
        <v>304</v>
      </c>
      <c r="H204" s="114">
        <v>0</v>
      </c>
      <c r="I204" s="114">
        <v>0</v>
      </c>
      <c r="J204" s="115">
        <v>0</v>
      </c>
      <c r="K204" s="113">
        <v>0</v>
      </c>
      <c r="L204" t="str">
        <f>VLOOKUP(A204,'SAP Actual extraction'!$A$28:$A$1048576,1,0)</f>
        <v>credit    6666010186  Overtime-Blue Collar-Indirect</v>
      </c>
      <c r="M204" t="str">
        <f>VLOOKUP(B204,'SAP Actual extraction'!B:B,1,0)</f>
        <v xml:space="preserve">    6666010186  Overtime-Blue Collar-Indirect</v>
      </c>
    </row>
    <row r="205" spans="1:13" x14ac:dyDescent="0.3">
      <c r="A205" s="109" t="str">
        <f t="shared" si="3"/>
        <v>credit    6666010189  Salary - Blue collar indirect employees</v>
      </c>
      <c r="B205" s="112" t="s">
        <v>305</v>
      </c>
      <c r="C205" s="113">
        <v>20873.580000000002</v>
      </c>
      <c r="D205" s="113">
        <v>-228680.84</v>
      </c>
      <c r="E205" s="113">
        <v>249554.42</v>
      </c>
      <c r="F205" s="113">
        <v>-109.12779999999999</v>
      </c>
      <c r="G205" s="112" t="s">
        <v>305</v>
      </c>
      <c r="H205" s="114">
        <v>0</v>
      </c>
      <c r="I205" s="114">
        <v>0</v>
      </c>
      <c r="J205" s="115">
        <v>0</v>
      </c>
      <c r="K205" s="113">
        <v>0</v>
      </c>
      <c r="L205" t="str">
        <f>VLOOKUP(A205,'SAP Actual extraction'!$A$28:$A$1048576,1,0)</f>
        <v>credit    6666010189  Salary - Blue collar indirect employees</v>
      </c>
      <c r="M205" t="str">
        <f>VLOOKUP(B205,'SAP Actual extraction'!B:B,1,0)</f>
        <v xml:space="preserve">    6666010189  Salary - Blue collar indirect employees</v>
      </c>
    </row>
    <row r="206" spans="1:13" x14ac:dyDescent="0.3">
      <c r="A206" s="109" t="str">
        <f t="shared" si="3"/>
        <v>credit    6666010012  Payroll Taxes- Blue Collar Indirect</v>
      </c>
      <c r="B206" s="112" t="s">
        <v>306</v>
      </c>
      <c r="C206" s="113">
        <v>-20183.419999999998</v>
      </c>
      <c r="D206" s="116">
        <v>0</v>
      </c>
      <c r="E206" s="113">
        <v>-20183.419999999998</v>
      </c>
      <c r="F206" s="113">
        <v>0</v>
      </c>
      <c r="G206" s="112" t="s">
        <v>306</v>
      </c>
      <c r="H206" s="114">
        <v>0</v>
      </c>
      <c r="I206" s="114">
        <v>0</v>
      </c>
      <c r="J206" s="115">
        <v>0</v>
      </c>
      <c r="K206" s="113">
        <v>0</v>
      </c>
      <c r="L206" t="str">
        <f>VLOOKUP(A206,'SAP Actual extraction'!$A$28:$A$1048576,1,0)</f>
        <v>credit    6666010012  Payroll Taxes- Blue Collar Indirect</v>
      </c>
      <c r="M206" t="str">
        <f>VLOOKUP(B206,'SAP Actual extraction'!B:B,1,0)</f>
        <v xml:space="preserve">    6666010012  Payroll Taxes- Blue Collar Indirect</v>
      </c>
    </row>
    <row r="207" spans="1:13" x14ac:dyDescent="0.3">
      <c r="A207" s="109" t="str">
        <f t="shared" si="3"/>
        <v>credit    6666010226  Staff Leaving Indemnity - Blue Collar In</v>
      </c>
      <c r="B207" s="112" t="s">
        <v>307</v>
      </c>
      <c r="C207" s="113">
        <v>-4588.07</v>
      </c>
      <c r="D207" s="116">
        <v>0</v>
      </c>
      <c r="E207" s="113">
        <v>-4588.07</v>
      </c>
      <c r="F207" s="113">
        <v>0</v>
      </c>
      <c r="G207" s="112" t="s">
        <v>307</v>
      </c>
      <c r="H207" s="114">
        <v>0</v>
      </c>
      <c r="I207" s="114">
        <v>0</v>
      </c>
      <c r="J207" s="115">
        <v>0</v>
      </c>
      <c r="K207" s="113">
        <v>0</v>
      </c>
      <c r="L207" t="str">
        <f>VLOOKUP(A207,'SAP Actual extraction'!$A$28:$A$1048576,1,0)</f>
        <v>credit    6666010226  Staff Leaving Indemnity - Blue Collar In</v>
      </c>
      <c r="M207" t="str">
        <f>VLOOKUP(B207,'SAP Actual extraction'!B:B,1,0)</f>
        <v xml:space="preserve">    6666010226  Staff Leaving Indemnity - Blue Collar In</v>
      </c>
    </row>
    <row r="208" spans="1:13" x14ac:dyDescent="0.3">
      <c r="A208" s="109" t="str">
        <f t="shared" si="3"/>
        <v>credit    6666010102  Salary-Blue collar indirect employees- A</v>
      </c>
      <c r="B208" s="112" t="s">
        <v>308</v>
      </c>
      <c r="C208" s="113">
        <v>-121813.49</v>
      </c>
      <c r="D208" s="116">
        <v>0</v>
      </c>
      <c r="E208" s="113">
        <v>-121813.49</v>
      </c>
      <c r="F208" s="113">
        <v>0</v>
      </c>
      <c r="G208" s="112" t="s">
        <v>308</v>
      </c>
      <c r="H208" s="114">
        <v>0</v>
      </c>
      <c r="I208" s="114">
        <v>0</v>
      </c>
      <c r="J208" s="115">
        <v>0</v>
      </c>
      <c r="K208" s="113">
        <v>0</v>
      </c>
      <c r="L208" t="str">
        <f>VLOOKUP(A208,'SAP Actual extraction'!$A$28:$A$1048576,1,0)</f>
        <v>credit    6666010102  Salary-Blue collar indirect employees- A</v>
      </c>
      <c r="M208" t="str">
        <f>VLOOKUP(B208,'SAP Actual extraction'!B:B,1,0)</f>
        <v xml:space="preserve">    6666010102  Salary-Blue collar indirect employees- A</v>
      </c>
    </row>
    <row r="209" spans="1:13" x14ac:dyDescent="0.3">
      <c r="A209" s="109" t="str">
        <f t="shared" si="3"/>
        <v>credit*   CS_Indirect Labour</v>
      </c>
      <c r="B209" s="117" t="s">
        <v>218</v>
      </c>
      <c r="C209" s="118">
        <v>-135108.62</v>
      </c>
      <c r="D209" s="118">
        <v>-228680.84</v>
      </c>
      <c r="E209" s="118">
        <v>93572.22</v>
      </c>
      <c r="F209" s="118">
        <v>-40.918300000000002</v>
      </c>
      <c r="G209" s="117" t="s">
        <v>218</v>
      </c>
      <c r="H209" s="119">
        <v>0</v>
      </c>
      <c r="I209" s="119">
        <v>0</v>
      </c>
      <c r="J209" s="120">
        <v>0</v>
      </c>
      <c r="K209" s="118">
        <v>0</v>
      </c>
      <c r="L209" t="str">
        <f>VLOOKUP(A209,'SAP Actual extraction'!$A$28:$A$1048576,1,0)</f>
        <v>credit*   CS_Indirect Labour</v>
      </c>
      <c r="M209" t="str">
        <f>VLOOKUP(B209,'SAP Actual extraction'!B:B,1,0)</f>
        <v>*   CS_Indirect Labour</v>
      </c>
    </row>
    <row r="210" spans="1:13" x14ac:dyDescent="0.3">
      <c r="A210" s="109" t="str">
        <f t="shared" si="3"/>
        <v>credit    6666010196  Payroll Taxes-White Collar Employee</v>
      </c>
      <c r="B210" s="112" t="s">
        <v>309</v>
      </c>
      <c r="C210" s="113">
        <v>-10639.43</v>
      </c>
      <c r="D210" s="116">
        <v>0</v>
      </c>
      <c r="E210" s="113">
        <v>-10639.43</v>
      </c>
      <c r="F210" s="113">
        <v>0</v>
      </c>
      <c r="G210" s="112" t="s">
        <v>309</v>
      </c>
      <c r="H210" s="114">
        <v>0</v>
      </c>
      <c r="I210" s="114">
        <v>0</v>
      </c>
      <c r="J210" s="115">
        <v>0</v>
      </c>
      <c r="K210" s="113">
        <v>0</v>
      </c>
      <c r="L210" t="str">
        <f>VLOOKUP(A210,'SAP Actual extraction'!$A$28:$A$1048576,1,0)</f>
        <v>credit    6666010196  Payroll Taxes-White Collar Employee</v>
      </c>
      <c r="M210" t="str">
        <f>VLOOKUP(B210,'SAP Actual extraction'!B:B,1,0)</f>
        <v xml:space="preserve">    6666010196  Payroll Taxes-White Collar Employee</v>
      </c>
    </row>
    <row r="211" spans="1:13" x14ac:dyDescent="0.3">
      <c r="A211" s="109" t="str">
        <f t="shared" si="3"/>
        <v>credit    6666010101  Salary - White collar employees</v>
      </c>
      <c r="B211" s="112" t="s">
        <v>310</v>
      </c>
      <c r="C211" s="113">
        <v>-67625.600000000006</v>
      </c>
      <c r="D211" s="113">
        <v>-25018.78</v>
      </c>
      <c r="E211" s="113">
        <v>-42606.82</v>
      </c>
      <c r="F211" s="113">
        <v>170.29939999999999</v>
      </c>
      <c r="G211" s="112" t="s">
        <v>310</v>
      </c>
      <c r="H211" s="114">
        <v>0</v>
      </c>
      <c r="I211" s="114">
        <v>0</v>
      </c>
      <c r="J211" s="115">
        <v>0</v>
      </c>
      <c r="K211" s="113">
        <v>0</v>
      </c>
      <c r="L211" t="str">
        <f>VLOOKUP(A211,'SAP Actual extraction'!$A$28:$A$1048576,1,0)</f>
        <v>credit    6666010101  Salary - White collar employees</v>
      </c>
      <c r="M211" t="str">
        <f>VLOOKUP(B211,'SAP Actual extraction'!B:B,1,0)</f>
        <v xml:space="preserve">    6666010101  Salary - White collar employees</v>
      </c>
    </row>
    <row r="212" spans="1:13" x14ac:dyDescent="0.3">
      <c r="A212" s="109" t="str">
        <f t="shared" si="3"/>
        <v>credit    6666010199  Salary-White collar employees -Accrued</v>
      </c>
      <c r="B212" s="112" t="s">
        <v>311</v>
      </c>
      <c r="C212" s="113">
        <v>-4055.66</v>
      </c>
      <c r="D212" s="116">
        <v>0</v>
      </c>
      <c r="E212" s="113">
        <v>-4055.66</v>
      </c>
      <c r="F212" s="113">
        <v>0</v>
      </c>
      <c r="G212" s="112" t="s">
        <v>311</v>
      </c>
      <c r="H212" s="114">
        <v>0</v>
      </c>
      <c r="I212" s="114">
        <v>0</v>
      </c>
      <c r="J212" s="115">
        <v>0</v>
      </c>
      <c r="K212" s="113">
        <v>0</v>
      </c>
      <c r="L212" t="str">
        <f>VLOOKUP(A212,'SAP Actual extraction'!$A$28:$A$1048576,1,0)</f>
        <v>credit    6666010199  Salary-White collar employees -Accrued</v>
      </c>
      <c r="M212" t="str">
        <f>VLOOKUP(B212,'SAP Actual extraction'!B:B,1,0)</f>
        <v xml:space="preserve">    6666010199  Salary-White collar employees -Accrued</v>
      </c>
    </row>
    <row r="213" spans="1:13" x14ac:dyDescent="0.3">
      <c r="A213" s="109" t="str">
        <f t="shared" si="3"/>
        <v>credit    6666010185  Salary&amp;Additional Incentive-White Collar</v>
      </c>
      <c r="B213" s="112" t="s">
        <v>312</v>
      </c>
      <c r="C213" s="113">
        <v>237.48</v>
      </c>
      <c r="D213" s="116">
        <v>0</v>
      </c>
      <c r="E213" s="113">
        <v>237.48</v>
      </c>
      <c r="F213" s="113">
        <v>0</v>
      </c>
      <c r="G213" s="112" t="s">
        <v>312</v>
      </c>
      <c r="H213" s="114">
        <v>0</v>
      </c>
      <c r="I213" s="114">
        <v>0</v>
      </c>
      <c r="J213" s="115">
        <v>0</v>
      </c>
      <c r="K213" s="113">
        <v>0</v>
      </c>
      <c r="L213" t="str">
        <f>VLOOKUP(A213,'SAP Actual extraction'!$A$28:$A$1048576,1,0)</f>
        <v>credit    6666010185  Salary&amp;Additional Incentive-White Collar</v>
      </c>
      <c r="M213" t="str">
        <f>VLOOKUP(B213,'SAP Actual extraction'!B:B,1,0)</f>
        <v xml:space="preserve">    6666010185  Salary&amp;Additional Incentive-White Collar</v>
      </c>
    </row>
    <row r="214" spans="1:13" x14ac:dyDescent="0.3">
      <c r="A214" s="109" t="str">
        <f t="shared" si="3"/>
        <v>credit    6666010207  Unemployment insurance companies to pay</v>
      </c>
      <c r="B214" s="112" t="s">
        <v>313</v>
      </c>
      <c r="C214" s="113">
        <v>-1021.94</v>
      </c>
      <c r="D214" s="116">
        <v>0</v>
      </c>
      <c r="E214" s="113">
        <v>-1021.94</v>
      </c>
      <c r="F214" s="113">
        <v>0</v>
      </c>
      <c r="G214" s="112" t="s">
        <v>313</v>
      </c>
      <c r="H214" s="114">
        <v>0</v>
      </c>
      <c r="I214" s="114">
        <v>0</v>
      </c>
      <c r="J214" s="115">
        <v>0</v>
      </c>
      <c r="K214" s="113">
        <v>0</v>
      </c>
      <c r="L214" t="str">
        <f>VLOOKUP(A214,'SAP Actual extraction'!$A$28:$A$1048576,1,0)</f>
        <v>credit    6666010207  Unemployment insurance companies to pay</v>
      </c>
      <c r="M214" t="str">
        <f>VLOOKUP(B214,'SAP Actual extraction'!B:B,1,0)</f>
        <v xml:space="preserve">    6666010207  Unemployment insurance companies to pay</v>
      </c>
    </row>
    <row r="215" spans="1:13" x14ac:dyDescent="0.3">
      <c r="A215" s="109" t="str">
        <f t="shared" si="3"/>
        <v>credit    6666010227  Staff Leaving Indemnity - White collar E</v>
      </c>
      <c r="B215" s="112" t="s">
        <v>315</v>
      </c>
      <c r="C215" s="113">
        <v>-1498.04</v>
      </c>
      <c r="D215" s="116">
        <v>0</v>
      </c>
      <c r="E215" s="113">
        <v>-1498.04</v>
      </c>
      <c r="F215" s="113">
        <v>0</v>
      </c>
      <c r="G215" s="112" t="s">
        <v>315</v>
      </c>
      <c r="H215" s="114">
        <v>0</v>
      </c>
      <c r="I215" s="114">
        <v>0</v>
      </c>
      <c r="J215" s="115">
        <v>0</v>
      </c>
      <c r="K215" s="113">
        <v>0</v>
      </c>
      <c r="L215" t="str">
        <f>VLOOKUP(A215,'SAP Actual extraction'!$A$28:$A$1048576,1,0)</f>
        <v>credit    6666010227  Staff Leaving Indemnity - White collar E</v>
      </c>
      <c r="M215" t="str">
        <f>VLOOKUP(B215,'SAP Actual extraction'!B:B,1,0)</f>
        <v xml:space="preserve">    6666010227  Staff Leaving Indemnity - White collar E</v>
      </c>
    </row>
    <row r="216" spans="1:13" x14ac:dyDescent="0.3">
      <c r="A216" s="109" t="str">
        <f t="shared" si="3"/>
        <v>credit*   CS_Fixed Labour</v>
      </c>
      <c r="B216" s="117" t="s">
        <v>219</v>
      </c>
      <c r="C216" s="118">
        <v>-84603.19</v>
      </c>
      <c r="D216" s="118">
        <v>-25018.78</v>
      </c>
      <c r="E216" s="118">
        <v>-59584.41</v>
      </c>
      <c r="F216" s="118">
        <v>238.15870000000001</v>
      </c>
      <c r="G216" s="117" t="s">
        <v>219</v>
      </c>
      <c r="H216" s="119">
        <v>0</v>
      </c>
      <c r="I216" s="119">
        <v>0</v>
      </c>
      <c r="J216" s="120">
        <v>0</v>
      </c>
      <c r="K216" s="118">
        <v>0</v>
      </c>
      <c r="L216" t="str">
        <f>VLOOKUP(A216,'SAP Actual extraction'!$A$28:$A$1048576,1,0)</f>
        <v>credit*   CS_Fixed Labour</v>
      </c>
      <c r="M216" t="str">
        <f>VLOOKUP(B216,'SAP Actual extraction'!B:B,1,0)</f>
        <v>*   CS_Fixed Labour</v>
      </c>
    </row>
    <row r="217" spans="1:13" x14ac:dyDescent="0.3">
      <c r="A217" s="109" t="str">
        <f t="shared" si="3"/>
        <v>credit    600007      Maintenance</v>
      </c>
      <c r="B217" s="112" t="s">
        <v>361</v>
      </c>
      <c r="C217" s="116">
        <v>0</v>
      </c>
      <c r="D217" s="116">
        <v>0</v>
      </c>
      <c r="E217" s="113">
        <v>0</v>
      </c>
      <c r="F217" s="113">
        <v>0</v>
      </c>
      <c r="G217" s="112" t="s">
        <v>361</v>
      </c>
      <c r="H217" s="114">
        <v>0</v>
      </c>
      <c r="I217" s="114">
        <v>0</v>
      </c>
      <c r="J217" s="115">
        <v>0</v>
      </c>
      <c r="K217" s="113">
        <v>0</v>
      </c>
      <c r="L217" t="e">
        <f>VLOOKUP(A217,'SAP Actual extraction'!$A$28:$A$1048576,1,0)</f>
        <v>#N/A</v>
      </c>
      <c r="M217" t="e">
        <f>VLOOKUP(B217,'SAP Actual extraction'!B:B,1,0)</f>
        <v>#N/A</v>
      </c>
    </row>
    <row r="218" spans="1:13" x14ac:dyDescent="0.3">
      <c r="A218" s="109" t="str">
        <f t="shared" si="3"/>
        <v>credit    6666020903  Other materials</v>
      </c>
      <c r="B218" s="112" t="s">
        <v>316</v>
      </c>
      <c r="C218" s="116">
        <v>0</v>
      </c>
      <c r="D218" s="116">
        <v>0</v>
      </c>
      <c r="E218" s="113">
        <v>0</v>
      </c>
      <c r="F218" s="113">
        <v>0</v>
      </c>
      <c r="G218" s="112" t="s">
        <v>316</v>
      </c>
      <c r="H218" s="114">
        <v>0</v>
      </c>
      <c r="I218" s="114">
        <v>0</v>
      </c>
      <c r="J218" s="115">
        <v>0</v>
      </c>
      <c r="K218" s="113">
        <v>0</v>
      </c>
      <c r="L218" t="str">
        <f>VLOOKUP(A218,'SAP Actual extraction'!$A$28:$A$1048576,1,0)</f>
        <v>credit    6666020903  Other materials</v>
      </c>
      <c r="M218" t="str">
        <f>VLOOKUP(B218,'SAP Actual extraction'!B:B,1,0)</f>
        <v xml:space="preserve">    6666020903  Other materials</v>
      </c>
    </row>
    <row r="219" spans="1:13" x14ac:dyDescent="0.3">
      <c r="A219" s="109" t="str">
        <f t="shared" si="3"/>
        <v>credit    6666010302  Medical expenses</v>
      </c>
      <c r="B219" s="112" t="s">
        <v>317</v>
      </c>
      <c r="C219" s="113">
        <v>-1070.48</v>
      </c>
      <c r="D219" s="113">
        <v>-8296.6299999999992</v>
      </c>
      <c r="E219" s="113">
        <v>7226.15</v>
      </c>
      <c r="F219" s="113">
        <v>-87.097399999999993</v>
      </c>
      <c r="G219" s="112" t="s">
        <v>317</v>
      </c>
      <c r="H219" s="114">
        <v>0</v>
      </c>
      <c r="I219" s="114">
        <v>0</v>
      </c>
      <c r="J219" s="115">
        <v>0</v>
      </c>
      <c r="K219" s="113">
        <v>0</v>
      </c>
      <c r="L219" t="str">
        <f>VLOOKUP(A219,'SAP Actual extraction'!$A$28:$A$1048576,1,0)</f>
        <v>credit    6666010302  Medical expenses</v>
      </c>
      <c r="M219" t="str">
        <f>VLOOKUP(B219,'SAP Actual extraction'!B:B,1,0)</f>
        <v xml:space="preserve">    6666010302  Medical expenses</v>
      </c>
    </row>
    <row r="220" spans="1:13" x14ac:dyDescent="0.3">
      <c r="A220" s="109" t="str">
        <f t="shared" si="3"/>
        <v>credit    6666010314  Work uniforms</v>
      </c>
      <c r="B220" s="112" t="s">
        <v>318</v>
      </c>
      <c r="C220" s="113">
        <v>-1841.71</v>
      </c>
      <c r="D220" s="113">
        <v>-34917.879999999997</v>
      </c>
      <c r="E220" s="113">
        <v>33076.17</v>
      </c>
      <c r="F220" s="113">
        <v>-94.7256</v>
      </c>
      <c r="G220" s="112" t="s">
        <v>318</v>
      </c>
      <c r="H220" s="114">
        <v>0</v>
      </c>
      <c r="I220" s="114">
        <v>0</v>
      </c>
      <c r="J220" s="115">
        <v>0</v>
      </c>
      <c r="K220" s="113">
        <v>0</v>
      </c>
      <c r="L220" t="str">
        <f>VLOOKUP(A220,'SAP Actual extraction'!$A$28:$A$1048576,1,0)</f>
        <v>credit    6666010314  Work uniforms</v>
      </c>
      <c r="M220" t="str">
        <f>VLOOKUP(B220,'SAP Actual extraction'!B:B,1,0)</f>
        <v xml:space="preserve">    6666010314  Work uniforms</v>
      </c>
    </row>
    <row r="221" spans="1:13" x14ac:dyDescent="0.3">
      <c r="A221" s="109" t="str">
        <f t="shared" si="3"/>
        <v>credit    6666020401  local transportation - bus and taxi</v>
      </c>
      <c r="B221" s="112" t="s">
        <v>319</v>
      </c>
      <c r="C221" s="113">
        <v>-57201.11</v>
      </c>
      <c r="D221" s="113">
        <v>-110222.22</v>
      </c>
      <c r="E221" s="113">
        <v>53021.11</v>
      </c>
      <c r="F221" s="113">
        <v>-48.1038</v>
      </c>
      <c r="G221" s="112" t="s">
        <v>319</v>
      </c>
      <c r="H221" s="114">
        <v>0</v>
      </c>
      <c r="I221" s="114">
        <v>0</v>
      </c>
      <c r="J221" s="115">
        <v>0</v>
      </c>
      <c r="K221" s="113">
        <v>0</v>
      </c>
      <c r="L221" t="str">
        <f>VLOOKUP(A221,'SAP Actual extraction'!$A$28:$A$1048576,1,0)</f>
        <v>credit    6666020401  local transportation - bus and taxi</v>
      </c>
      <c r="M221" t="str">
        <f>VLOOKUP(B221,'SAP Actual extraction'!B:B,1,0)</f>
        <v xml:space="preserve">    6666020401  local transportation - bus and taxi</v>
      </c>
    </row>
    <row r="222" spans="1:13" x14ac:dyDescent="0.3">
      <c r="A222" s="109" t="str">
        <f t="shared" si="3"/>
        <v>credit    6666020502  Working meals</v>
      </c>
      <c r="B222" s="112" t="s">
        <v>321</v>
      </c>
      <c r="C222" s="113">
        <v>-56521</v>
      </c>
      <c r="D222" s="113">
        <v>-91689.12</v>
      </c>
      <c r="E222" s="113">
        <v>35168.120000000003</v>
      </c>
      <c r="F222" s="113">
        <v>-38.355800000000002</v>
      </c>
      <c r="G222" s="112" t="s">
        <v>321</v>
      </c>
      <c r="H222" s="114">
        <v>0</v>
      </c>
      <c r="I222" s="114">
        <v>0</v>
      </c>
      <c r="J222" s="115">
        <v>0</v>
      </c>
      <c r="K222" s="113">
        <v>0</v>
      </c>
      <c r="L222" t="str">
        <f>VLOOKUP(A222,'SAP Actual extraction'!$A$28:$A$1048576,1,0)</f>
        <v>credit    6666020502  Working meals</v>
      </c>
      <c r="M222" t="str">
        <f>VLOOKUP(B222,'SAP Actual extraction'!B:B,1,0)</f>
        <v xml:space="preserve">    6666020502  Working meals</v>
      </c>
    </row>
    <row r="223" spans="1:13" x14ac:dyDescent="0.3">
      <c r="A223" s="109" t="str">
        <f t="shared" si="3"/>
        <v>credit    6666020503  Office supplies</v>
      </c>
      <c r="B223" s="112" t="s">
        <v>322</v>
      </c>
      <c r="C223" s="113">
        <v>2505.88</v>
      </c>
      <c r="D223" s="113">
        <v>-2381.59</v>
      </c>
      <c r="E223" s="113">
        <v>4887.47</v>
      </c>
      <c r="F223" s="113">
        <v>-205.21879999999999</v>
      </c>
      <c r="G223" s="112" t="s">
        <v>322</v>
      </c>
      <c r="H223" s="114">
        <v>0</v>
      </c>
      <c r="I223" s="114">
        <v>0</v>
      </c>
      <c r="J223" s="115">
        <v>0</v>
      </c>
      <c r="K223" s="113">
        <v>0</v>
      </c>
      <c r="L223" t="str">
        <f>VLOOKUP(A223,'SAP Actual extraction'!$A$28:$A$1048576,1,0)</f>
        <v>credit    6666020503  Office supplies</v>
      </c>
      <c r="M223" t="str">
        <f>VLOOKUP(B223,'SAP Actual extraction'!B:B,1,0)</f>
        <v xml:space="preserve">    6666020503  Office supplies</v>
      </c>
    </row>
    <row r="224" spans="1:13" x14ac:dyDescent="0.3">
      <c r="A224" s="109" t="str">
        <f t="shared" si="3"/>
        <v>credit    6666021500  Repairs cost</v>
      </c>
      <c r="B224" s="112" t="s">
        <v>323</v>
      </c>
      <c r="C224" s="116">
        <v>0</v>
      </c>
      <c r="D224" s="116">
        <v>0</v>
      </c>
      <c r="E224" s="113">
        <v>0</v>
      </c>
      <c r="F224" s="113">
        <v>0</v>
      </c>
      <c r="G224" s="112" t="s">
        <v>323</v>
      </c>
      <c r="H224" s="114">
        <v>0</v>
      </c>
      <c r="I224" s="114">
        <v>0</v>
      </c>
      <c r="J224" s="115">
        <v>0</v>
      </c>
      <c r="K224" s="113">
        <v>0</v>
      </c>
      <c r="L224" t="str">
        <f>VLOOKUP(A224,'SAP Actual extraction'!$A$28:$A$1048576,1,0)</f>
        <v>credit    6666021500  Repairs cost</v>
      </c>
      <c r="M224" t="str">
        <f>VLOOKUP(B224,'SAP Actual extraction'!B:B,1,0)</f>
        <v xml:space="preserve">    6666021500  Repairs cost</v>
      </c>
    </row>
    <row r="225" spans="1:13" x14ac:dyDescent="0.3">
      <c r="A225" s="109" t="str">
        <f t="shared" si="3"/>
        <v>credit    6666021502  Repair &amp; Maintain - Building&amp;office</v>
      </c>
      <c r="B225" s="112" t="s">
        <v>324</v>
      </c>
      <c r="C225" s="113">
        <v>-14544.11</v>
      </c>
      <c r="D225" s="113">
        <v>-48388.84</v>
      </c>
      <c r="E225" s="113">
        <v>33844.730000000003</v>
      </c>
      <c r="F225" s="113">
        <v>-69.943299999999994</v>
      </c>
      <c r="G225" s="112" t="s">
        <v>324</v>
      </c>
      <c r="H225" s="114">
        <v>0</v>
      </c>
      <c r="I225" s="114">
        <v>0</v>
      </c>
      <c r="J225" s="115">
        <v>0</v>
      </c>
      <c r="K225" s="113">
        <v>0</v>
      </c>
      <c r="L225" t="str">
        <f>VLOOKUP(A225,'SAP Actual extraction'!$A$28:$A$1048576,1,0)</f>
        <v>credit    6666021502  Repair &amp; Maintain - Building&amp;office</v>
      </c>
      <c r="M225" t="str">
        <f>VLOOKUP(B225,'SAP Actual extraction'!B:B,1,0)</f>
        <v xml:space="preserve">    6666021502  Repair &amp; Maintain - Building&amp;office</v>
      </c>
    </row>
    <row r="226" spans="1:13" x14ac:dyDescent="0.3">
      <c r="A226" s="109" t="str">
        <f t="shared" si="3"/>
        <v>credit    6666021503  Repair &amp; Maintain - Tooling &amp; Equipments</v>
      </c>
      <c r="B226" s="112" t="s">
        <v>325</v>
      </c>
      <c r="C226" s="113">
        <v>1136.1199999999999</v>
      </c>
      <c r="D226" s="113">
        <v>-9103.7000000000007</v>
      </c>
      <c r="E226" s="113">
        <v>10239.82</v>
      </c>
      <c r="F226" s="113">
        <v>-112.4798</v>
      </c>
      <c r="G226" s="112" t="s">
        <v>325</v>
      </c>
      <c r="H226" s="114">
        <v>0</v>
      </c>
      <c r="I226" s="114">
        <v>0</v>
      </c>
      <c r="J226" s="115">
        <v>0</v>
      </c>
      <c r="K226" s="113">
        <v>0</v>
      </c>
      <c r="L226" t="str">
        <f>VLOOKUP(A226,'SAP Actual extraction'!$A$28:$A$1048576,1,0)</f>
        <v>credit    6666021503  Repair &amp; Maintain - Tooling &amp; Equipments</v>
      </c>
      <c r="M226" t="str">
        <f>VLOOKUP(B226,'SAP Actual extraction'!B:B,1,0)</f>
        <v xml:space="preserve">    6666021503  Repair &amp; Maintain - Tooling &amp; Equipments</v>
      </c>
    </row>
    <row r="227" spans="1:13" x14ac:dyDescent="0.3">
      <c r="A227" s="109" t="str">
        <f t="shared" si="3"/>
        <v>credit    6666021504  Repair &amp; Maintain - Elect. Installation</v>
      </c>
      <c r="B227" s="112" t="s">
        <v>362</v>
      </c>
      <c r="C227" s="113">
        <v>-0.7</v>
      </c>
      <c r="D227" s="116">
        <v>0</v>
      </c>
      <c r="E227" s="113">
        <v>-0.7</v>
      </c>
      <c r="F227" s="113">
        <v>0</v>
      </c>
      <c r="G227" s="112" t="s">
        <v>362</v>
      </c>
      <c r="H227" s="114">
        <v>0</v>
      </c>
      <c r="I227" s="114">
        <v>0</v>
      </c>
      <c r="J227" s="115">
        <v>0</v>
      </c>
      <c r="K227" s="113">
        <v>0</v>
      </c>
      <c r="L227" t="e">
        <f>VLOOKUP(A227,'SAP Actual extraction'!$A$28:$A$1048576,1,0)</f>
        <v>#N/A</v>
      </c>
      <c r="M227" t="e">
        <f>VLOOKUP(B227,'SAP Actual extraction'!B:B,1,0)</f>
        <v>#N/A</v>
      </c>
    </row>
    <row r="228" spans="1:13" x14ac:dyDescent="0.3">
      <c r="A228" s="109" t="str">
        <f t="shared" si="3"/>
        <v>credit    6666021505  Repairs &amp; Maintenance - Vehicles</v>
      </c>
      <c r="B228" s="112" t="s">
        <v>326</v>
      </c>
      <c r="C228" s="113">
        <v>-2226.46</v>
      </c>
      <c r="D228" s="116">
        <v>0</v>
      </c>
      <c r="E228" s="113">
        <v>-2226.46</v>
      </c>
      <c r="F228" s="113">
        <v>0</v>
      </c>
      <c r="G228" s="112" t="s">
        <v>326</v>
      </c>
      <c r="H228" s="114">
        <v>0</v>
      </c>
      <c r="I228" s="114">
        <v>0</v>
      </c>
      <c r="J228" s="115">
        <v>0</v>
      </c>
      <c r="K228" s="113">
        <v>0</v>
      </c>
      <c r="L228" t="str">
        <f>VLOOKUP(A228,'SAP Actual extraction'!$A$28:$A$1048576,1,0)</f>
        <v>credit    6666021505  Repairs &amp; Maintenance - Vehicles</v>
      </c>
      <c r="M228" t="str">
        <f>VLOOKUP(B228,'SAP Actual extraction'!B:B,1,0)</f>
        <v xml:space="preserve">    6666021505  Repairs &amp; Maintenance - Vehicles</v>
      </c>
    </row>
    <row r="229" spans="1:13" x14ac:dyDescent="0.3">
      <c r="A229" s="109" t="str">
        <f t="shared" si="3"/>
        <v>credit    6666021506  Repairs &amp; Maintenance - Plant &amp; Machiner</v>
      </c>
      <c r="B229" s="112" t="s">
        <v>327</v>
      </c>
      <c r="C229" s="113">
        <v>-7970.66</v>
      </c>
      <c r="D229" s="113">
        <v>-25008.68</v>
      </c>
      <c r="E229" s="113">
        <v>17038.02</v>
      </c>
      <c r="F229" s="113">
        <v>-68.128399999999999</v>
      </c>
      <c r="G229" s="112" t="s">
        <v>327</v>
      </c>
      <c r="H229" s="114">
        <v>0</v>
      </c>
      <c r="I229" s="114">
        <v>0</v>
      </c>
      <c r="J229" s="115">
        <v>0</v>
      </c>
      <c r="K229" s="113">
        <v>0</v>
      </c>
      <c r="L229" t="str">
        <f>VLOOKUP(A229,'SAP Actual extraction'!$A$28:$A$1048576,1,0)</f>
        <v>credit    6666021506  Repairs &amp; Maintenance - Plant &amp; Machiner</v>
      </c>
      <c r="M229" t="str">
        <f>VLOOKUP(B229,'SAP Actual extraction'!B:B,1,0)</f>
        <v xml:space="preserve">    6666021506  Repairs &amp; Maintenance - Plant &amp; Machiner</v>
      </c>
    </row>
    <row r="230" spans="1:13" x14ac:dyDescent="0.3">
      <c r="A230" s="109" t="str">
        <f t="shared" si="3"/>
        <v>credit    6666091600  Garbage disposal charge</v>
      </c>
      <c r="B230" s="112" t="s">
        <v>328</v>
      </c>
      <c r="C230" s="113">
        <v>-976.87</v>
      </c>
      <c r="D230" s="113">
        <v>-454.18</v>
      </c>
      <c r="E230" s="113">
        <v>-522.69000000000005</v>
      </c>
      <c r="F230" s="113">
        <v>115.0843</v>
      </c>
      <c r="G230" s="112" t="s">
        <v>328</v>
      </c>
      <c r="H230" s="114">
        <v>0</v>
      </c>
      <c r="I230" s="114">
        <v>0</v>
      </c>
      <c r="J230" s="115">
        <v>0</v>
      </c>
      <c r="K230" s="113">
        <v>0</v>
      </c>
      <c r="L230" t="str">
        <f>VLOOKUP(A230,'SAP Actual extraction'!$A$28:$A$1048576,1,0)</f>
        <v>credit    6666091600  Garbage disposal charge</v>
      </c>
      <c r="M230" t="str">
        <f>VLOOKUP(B230,'SAP Actual extraction'!B:B,1,0)</f>
        <v xml:space="preserve">    6666091600  Garbage disposal charge</v>
      </c>
    </row>
    <row r="231" spans="1:13" x14ac:dyDescent="0.3">
      <c r="A231" s="109" t="str">
        <f t="shared" si="3"/>
        <v>credit    5401060201  COGS-Repair expense</v>
      </c>
      <c r="B231" s="112" t="s">
        <v>329</v>
      </c>
      <c r="C231" s="116">
        <v>0</v>
      </c>
      <c r="D231" s="116">
        <v>0</v>
      </c>
      <c r="E231" s="113">
        <v>0</v>
      </c>
      <c r="F231" s="113">
        <v>0</v>
      </c>
      <c r="G231" s="112" t="s">
        <v>329</v>
      </c>
      <c r="H231" s="114">
        <v>0</v>
      </c>
      <c r="I231" s="114">
        <v>0</v>
      </c>
      <c r="J231" s="115">
        <v>0</v>
      </c>
      <c r="K231" s="113">
        <v>0</v>
      </c>
      <c r="L231" t="e">
        <f>VLOOKUP(A231,'SAP Actual extraction'!$A$28:$A$1048576,1,0)</f>
        <v>#N/A</v>
      </c>
      <c r="M231" t="str">
        <f>VLOOKUP(B231,'SAP Actual extraction'!B:B,1,0)</f>
        <v xml:space="preserve">    5401060201  COGS-Repair expense</v>
      </c>
    </row>
    <row r="232" spans="1:13" x14ac:dyDescent="0.3">
      <c r="A232" s="109" t="str">
        <f t="shared" si="3"/>
        <v>credit*   CS_Semifix</v>
      </c>
      <c r="B232" s="117" t="s">
        <v>220</v>
      </c>
      <c r="C232" s="118">
        <v>-138711.1</v>
      </c>
      <c r="D232" s="118">
        <v>-330462.84000000003</v>
      </c>
      <c r="E232" s="118">
        <v>191751.74</v>
      </c>
      <c r="F232" s="118">
        <v>-58.025199999999998</v>
      </c>
      <c r="G232" s="117" t="s">
        <v>220</v>
      </c>
      <c r="H232" s="119">
        <v>0</v>
      </c>
      <c r="I232" s="119">
        <v>0</v>
      </c>
      <c r="J232" s="120">
        <v>0</v>
      </c>
      <c r="K232" s="118">
        <v>0</v>
      </c>
      <c r="L232" t="str">
        <f>VLOOKUP(A232,'SAP Actual extraction'!$A$28:$A$1048576,1,0)</f>
        <v>credit*   CS_Semifix</v>
      </c>
      <c r="M232" t="str">
        <f>VLOOKUP(B232,'SAP Actual extraction'!B:B,1,0)</f>
        <v>*   CS_Semifix</v>
      </c>
    </row>
    <row r="233" spans="1:13" x14ac:dyDescent="0.3">
      <c r="A233" s="109" t="str">
        <f t="shared" ref="A233:A234" si="4">"credit"&amp;B233</f>
        <v>credit**  Credit</v>
      </c>
      <c r="B233" s="121" t="s">
        <v>332</v>
      </c>
      <c r="C233" s="122">
        <v>-239885.87</v>
      </c>
      <c r="D233" s="122">
        <v>-737890.2</v>
      </c>
      <c r="E233" s="122">
        <v>498004.33</v>
      </c>
      <c r="F233" s="122">
        <v>-67.490300000000005</v>
      </c>
      <c r="G233" s="121" t="s">
        <v>332</v>
      </c>
      <c r="H233" s="123">
        <v>0</v>
      </c>
      <c r="I233" s="123">
        <v>0</v>
      </c>
      <c r="J233" s="124">
        <v>0</v>
      </c>
      <c r="K233" s="122">
        <v>0</v>
      </c>
      <c r="L233" t="str">
        <f>VLOOKUP(A233,'SAP Actual extraction'!$A$28:$A$1048576,1,0)</f>
        <v>credit**  Credit</v>
      </c>
      <c r="M233" t="str">
        <f>VLOOKUP(B233,'SAP Actual extraction'!B:B,1,0)</f>
        <v>**  Credit</v>
      </c>
    </row>
    <row r="234" spans="1:13" x14ac:dyDescent="0.3">
      <c r="A234" s="109" t="str">
        <f t="shared" si="4"/>
        <v>credit*** Over/Underabsorption</v>
      </c>
      <c r="B234" s="126" t="s">
        <v>333</v>
      </c>
      <c r="C234" s="127">
        <v>1533989.74</v>
      </c>
      <c r="D234" s="127">
        <v>2539191.6</v>
      </c>
      <c r="E234" s="127">
        <v>-1005201.86</v>
      </c>
      <c r="F234" s="127">
        <v>-39.587499999999999</v>
      </c>
      <c r="G234" s="126" t="s">
        <v>333</v>
      </c>
      <c r="H234" s="128">
        <v>0</v>
      </c>
      <c r="I234" s="128">
        <v>0</v>
      </c>
      <c r="J234" s="128">
        <v>0</v>
      </c>
      <c r="K234" s="127">
        <v>0</v>
      </c>
      <c r="L234" t="str">
        <f>VLOOKUP(A234,'SAP Actual extraction'!$A$28:$A$1048576,1,0)</f>
        <v>credit*** Over/Underabsorption</v>
      </c>
      <c r="M234" t="str">
        <f>VLOOKUP(B234,'SAP Actual extraction'!B:B,1,0)</f>
        <v>*** Over/Underabsorption</v>
      </c>
    </row>
    <row r="235" spans="1:13" x14ac:dyDescent="0.3">
      <c r="C235" s="188"/>
      <c r="L235" s="109"/>
      <c r="M235" s="109"/>
    </row>
    <row r="236" spans="1:13" x14ac:dyDescent="0.3">
      <c r="C236" s="188"/>
      <c r="L236" s="109"/>
      <c r="M236" s="109"/>
    </row>
    <row r="237" spans="1:13" x14ac:dyDescent="0.3">
      <c r="B237" s="110" t="s">
        <v>168</v>
      </c>
      <c r="C237" s="111" t="s">
        <v>173</v>
      </c>
      <c r="D237" s="111" t="s">
        <v>170</v>
      </c>
      <c r="E237" s="111" t="s">
        <v>222</v>
      </c>
      <c r="F237" s="111" t="s">
        <v>223</v>
      </c>
      <c r="G237" s="110" t="s">
        <v>168</v>
      </c>
      <c r="H237" s="111" t="s">
        <v>224</v>
      </c>
      <c r="I237" s="111" t="s">
        <v>225</v>
      </c>
      <c r="J237" s="111" t="s">
        <v>222</v>
      </c>
      <c r="K237" s="111" t="s">
        <v>223</v>
      </c>
    </row>
    <row r="238" spans="1:13" x14ac:dyDescent="0.3">
      <c r="A238" s="109" t="str">
        <f t="shared" ref="A238:A301" si="5">"debit"&amp;"ovh"&amp;B238</f>
        <v>debitovh    6666110110  Depreciation-Plant &amp; Machinery</v>
      </c>
      <c r="B238" s="112" t="s">
        <v>229</v>
      </c>
      <c r="C238" s="113">
        <v>116.59</v>
      </c>
      <c r="D238" s="116">
        <v>0</v>
      </c>
      <c r="E238" s="113">
        <v>116.59</v>
      </c>
      <c r="F238" s="113">
        <v>0</v>
      </c>
      <c r="G238" s="112" t="s">
        <v>229</v>
      </c>
      <c r="H238" s="114">
        <v>0</v>
      </c>
      <c r="I238" s="114">
        <v>0</v>
      </c>
      <c r="J238" s="115">
        <v>0</v>
      </c>
      <c r="K238" s="113">
        <v>0</v>
      </c>
      <c r="L238" t="str">
        <f>VLOOKUP(A238,'SAP Actual extraction'!$A$28:$A$1048576,1,0)</f>
        <v>debitovh    6666110110  Depreciation-Plant &amp; Machinery</v>
      </c>
      <c r="M238" t="str">
        <f>VLOOKUP(B238,'SAP Actual extraction'!B:B,1,0)</f>
        <v xml:space="preserve">    6666110110  Depreciation-Plant &amp; Machinery</v>
      </c>
    </row>
    <row r="239" spans="1:13" x14ac:dyDescent="0.3">
      <c r="A239" s="109" t="str">
        <f t="shared" si="5"/>
        <v>debitovh    6666110112  Depreciation of Furniture &amp; Fixture</v>
      </c>
      <c r="B239" s="112" t="s">
        <v>230</v>
      </c>
      <c r="C239" s="113">
        <v>73.87</v>
      </c>
      <c r="D239" s="116">
        <v>0</v>
      </c>
      <c r="E239" s="113">
        <v>73.87</v>
      </c>
      <c r="F239" s="113">
        <v>0</v>
      </c>
      <c r="G239" s="112" t="s">
        <v>230</v>
      </c>
      <c r="H239" s="114">
        <v>0</v>
      </c>
      <c r="I239" s="114">
        <v>0</v>
      </c>
      <c r="J239" s="115">
        <v>0</v>
      </c>
      <c r="K239" s="113">
        <v>0</v>
      </c>
      <c r="L239" t="str">
        <f>VLOOKUP(A239,'SAP Actual extraction'!$A$28:$A$1048576,1,0)</f>
        <v>debitovh    6666110112  Depreciation of Furniture &amp; Fixture</v>
      </c>
      <c r="M239" t="str">
        <f>VLOOKUP(B239,'SAP Actual extraction'!B:B,1,0)</f>
        <v xml:space="preserve">    6666110112  Depreciation of Furniture &amp; Fixture</v>
      </c>
    </row>
    <row r="240" spans="1:13" x14ac:dyDescent="0.3">
      <c r="A240" s="109" t="str">
        <f t="shared" si="5"/>
        <v>debitovh    6666110207  Amortization of Software</v>
      </c>
      <c r="B240" s="112" t="s">
        <v>232</v>
      </c>
      <c r="C240" s="113">
        <v>2.2599999999999998</v>
      </c>
      <c r="D240" s="116">
        <v>0</v>
      </c>
      <c r="E240" s="113">
        <v>2.2599999999999998</v>
      </c>
      <c r="F240" s="113">
        <v>0</v>
      </c>
      <c r="G240" s="112" t="s">
        <v>232</v>
      </c>
      <c r="H240" s="114">
        <v>0</v>
      </c>
      <c r="I240" s="114">
        <v>0</v>
      </c>
      <c r="J240" s="115">
        <v>0</v>
      </c>
      <c r="K240" s="113">
        <v>0</v>
      </c>
      <c r="L240" t="str">
        <f>VLOOKUP(A240,'SAP Actual extraction'!$A$28:$A$1048576,1,0)</f>
        <v>debitovh    6666110207  Amortization of Software</v>
      </c>
      <c r="M240" t="str">
        <f>VLOOKUP(B240,'SAP Actual extraction'!B:B,1,0)</f>
        <v xml:space="preserve">    6666110207  Amortization of Software</v>
      </c>
    </row>
    <row r="241" spans="1:13" x14ac:dyDescent="0.3">
      <c r="A241" s="109" t="str">
        <f t="shared" si="5"/>
        <v>debitovh    6666110506  Amortization-Leasehold Improvement</v>
      </c>
      <c r="B241" s="112" t="s">
        <v>233</v>
      </c>
      <c r="C241" s="113">
        <v>119.68</v>
      </c>
      <c r="D241" s="116">
        <v>0</v>
      </c>
      <c r="E241" s="113">
        <v>119.68</v>
      </c>
      <c r="F241" s="113">
        <v>0</v>
      </c>
      <c r="G241" s="112" t="s">
        <v>233</v>
      </c>
      <c r="H241" s="114">
        <v>0</v>
      </c>
      <c r="I241" s="114">
        <v>0</v>
      </c>
      <c r="J241" s="115">
        <v>0</v>
      </c>
      <c r="K241" s="113">
        <v>0</v>
      </c>
      <c r="L241" t="str">
        <f>VLOOKUP(A241,'SAP Actual extraction'!$A$28:$A$1048576,1,0)</f>
        <v>debitovh    6666110506  Amortization-Leasehold Improvement</v>
      </c>
      <c r="M241" t="str">
        <f>VLOOKUP(B241,'SAP Actual extraction'!B:B,1,0)</f>
        <v xml:space="preserve">    6666110506  Amortization-Leasehold Improvement</v>
      </c>
    </row>
    <row r="242" spans="1:13" x14ac:dyDescent="0.3">
      <c r="A242" s="154" t="str">
        <f t="shared" si="5"/>
        <v>debitovh*   CS_Depreciation</v>
      </c>
      <c r="B242" s="117" t="s">
        <v>208</v>
      </c>
      <c r="C242" s="118">
        <v>312.39999999999998</v>
      </c>
      <c r="D242" s="125">
        <v>0</v>
      </c>
      <c r="E242" s="118">
        <v>312.39999999999998</v>
      </c>
      <c r="F242" s="118">
        <v>0</v>
      </c>
      <c r="G242" s="117" t="s">
        <v>208</v>
      </c>
      <c r="H242" s="119">
        <v>0</v>
      </c>
      <c r="I242" s="119">
        <v>0</v>
      </c>
      <c r="J242" s="120">
        <v>0</v>
      </c>
      <c r="K242" s="118">
        <v>0</v>
      </c>
      <c r="L242" t="str">
        <f>VLOOKUP(A242,'SAP Actual extraction'!$A$28:$A$1048576,1,0)</f>
        <v>debitovh*   CS_Depreciation</v>
      </c>
      <c r="M242" t="str">
        <f>VLOOKUP(B242,'SAP Actual extraction'!B:B,1,0)</f>
        <v>*   CS_Depreciation</v>
      </c>
    </row>
    <row r="243" spans="1:13" x14ac:dyDescent="0.3">
      <c r="A243" s="109" t="str">
        <f t="shared" si="5"/>
        <v>debitovh    6666010380  Incentive</v>
      </c>
      <c r="B243" s="112" t="s">
        <v>235</v>
      </c>
      <c r="C243" s="113">
        <v>65.540000000000006</v>
      </c>
      <c r="D243" s="116">
        <v>0</v>
      </c>
      <c r="E243" s="113">
        <v>65.540000000000006</v>
      </c>
      <c r="F243" s="113">
        <v>0</v>
      </c>
      <c r="G243" s="112" t="s">
        <v>235</v>
      </c>
      <c r="H243" s="114">
        <v>0</v>
      </c>
      <c r="I243" s="114">
        <v>0</v>
      </c>
      <c r="J243" s="115">
        <v>0</v>
      </c>
      <c r="K243" s="113">
        <v>0</v>
      </c>
      <c r="L243" t="e">
        <f>VLOOKUP(A243,'SAP Actual extraction'!$A$28:$A$1048576,1,0)</f>
        <v>#N/A</v>
      </c>
      <c r="M243" t="str">
        <f>VLOOKUP(B243,'SAP Actual extraction'!B:B,1,0)</f>
        <v xml:space="preserve">    6666010380  Incentive</v>
      </c>
    </row>
    <row r="244" spans="1:13" x14ac:dyDescent="0.3">
      <c r="A244" s="109" t="str">
        <f t="shared" si="5"/>
        <v>debitovh    5102040406  Other revenue-Service/Secondment agreeme</v>
      </c>
      <c r="B244" s="112" t="s">
        <v>240</v>
      </c>
      <c r="C244" s="116">
        <v>0</v>
      </c>
      <c r="D244" s="116">
        <v>0</v>
      </c>
      <c r="E244" s="113">
        <v>0</v>
      </c>
      <c r="F244" s="113">
        <v>0</v>
      </c>
      <c r="G244" s="112" t="s">
        <v>240</v>
      </c>
      <c r="H244" s="114">
        <v>0</v>
      </c>
      <c r="I244" s="114">
        <v>0</v>
      </c>
      <c r="J244" s="115">
        <v>0</v>
      </c>
      <c r="K244" s="113">
        <v>0</v>
      </c>
      <c r="L244" t="str">
        <f>VLOOKUP(A244,'SAP Actual extraction'!$A$28:$A$1048576,1,0)</f>
        <v>debitovh    5102040406  Other revenue-Service/Secondment agreeme</v>
      </c>
      <c r="M244" t="str">
        <f>VLOOKUP(B244,'SAP Actual extraction'!B:B,1,0)</f>
        <v xml:space="preserve">    5102040406  Other revenue-Service/Secondment agreeme</v>
      </c>
    </row>
    <row r="245" spans="1:13" x14ac:dyDescent="0.3">
      <c r="A245" s="109" t="str">
        <f t="shared" si="5"/>
        <v>debitovh*   CS_Direct Labour</v>
      </c>
      <c r="B245" s="117" t="s">
        <v>209</v>
      </c>
      <c r="C245" s="118">
        <v>65.540000000000006</v>
      </c>
      <c r="D245" s="125">
        <v>0</v>
      </c>
      <c r="E245" s="118">
        <v>65.540000000000006</v>
      </c>
      <c r="F245" s="118">
        <v>0</v>
      </c>
      <c r="G245" s="117" t="s">
        <v>209</v>
      </c>
      <c r="H245" s="119">
        <v>0</v>
      </c>
      <c r="I245" s="119">
        <v>0</v>
      </c>
      <c r="J245" s="120">
        <v>0</v>
      </c>
      <c r="K245" s="118">
        <v>0</v>
      </c>
      <c r="L245" t="str">
        <f>VLOOKUP(A245,'SAP Actual extraction'!$A$28:$A$1048576,1,0)</f>
        <v>debitovh*   CS_Direct Labour</v>
      </c>
      <c r="M245" t="str">
        <f>VLOOKUP(B245,'SAP Actual extraction'!B:B,1,0)</f>
        <v>*   CS_Direct Labour</v>
      </c>
    </row>
    <row r="246" spans="1:13" x14ac:dyDescent="0.3">
      <c r="A246" s="109" t="str">
        <f t="shared" si="5"/>
        <v>debitovh    6666029996  Non-deductible expense-travel.</v>
      </c>
      <c r="B246" s="112" t="s">
        <v>247</v>
      </c>
      <c r="C246" s="113">
        <v>20.57</v>
      </c>
      <c r="D246" s="116">
        <v>0</v>
      </c>
      <c r="E246" s="113">
        <v>20.57</v>
      </c>
      <c r="F246" s="113">
        <v>0</v>
      </c>
      <c r="G246" s="112" t="s">
        <v>247</v>
      </c>
      <c r="H246" s="114">
        <v>0</v>
      </c>
      <c r="I246" s="114">
        <v>0</v>
      </c>
      <c r="J246" s="115">
        <v>0</v>
      </c>
      <c r="K246" s="113">
        <v>0</v>
      </c>
      <c r="L246" t="str">
        <f>VLOOKUP(A246,'SAP Actual extraction'!$A$28:$A$1048576,1,0)</f>
        <v>debitovh    6666029996  Non-deductible expense-travel.</v>
      </c>
      <c r="M246" t="str">
        <f>VLOOKUP(B246,'SAP Actual extraction'!B:B,1,0)</f>
        <v xml:space="preserve">    6666029996  Non-deductible expense-travel.</v>
      </c>
    </row>
    <row r="247" spans="1:13" x14ac:dyDescent="0.3">
      <c r="A247" s="109" t="str">
        <f t="shared" si="5"/>
        <v>debitovh    6666029700  Service fee recharge</v>
      </c>
      <c r="B247" s="112" t="s">
        <v>248</v>
      </c>
      <c r="C247" s="113">
        <v>29792.03</v>
      </c>
      <c r="D247" s="116">
        <v>0</v>
      </c>
      <c r="E247" s="113">
        <v>29792.03</v>
      </c>
      <c r="F247" s="113">
        <v>0</v>
      </c>
      <c r="G247" s="112" t="s">
        <v>248</v>
      </c>
      <c r="H247" s="114">
        <v>0</v>
      </c>
      <c r="I247" s="114">
        <v>0</v>
      </c>
      <c r="J247" s="115">
        <v>0</v>
      </c>
      <c r="K247" s="113">
        <v>0</v>
      </c>
      <c r="L247" t="str">
        <f>VLOOKUP(A247,'SAP Actual extraction'!$A$28:$A$1048576,1,0)</f>
        <v>debitovh    6666029700  Service fee recharge</v>
      </c>
      <c r="M247" t="str">
        <f>VLOOKUP(B247,'SAP Actual extraction'!B:B,1,0)</f>
        <v xml:space="preserve">    6666029700  Service fee recharge</v>
      </c>
    </row>
    <row r="248" spans="1:13" x14ac:dyDescent="0.3">
      <c r="A248" s="109" t="str">
        <f t="shared" si="5"/>
        <v>debitovh    6666010322  fuel allowance</v>
      </c>
      <c r="B248" s="112" t="s">
        <v>249</v>
      </c>
      <c r="C248" s="113">
        <v>742.61</v>
      </c>
      <c r="D248" s="116">
        <v>0</v>
      </c>
      <c r="E248" s="113">
        <v>742.61</v>
      </c>
      <c r="F248" s="113">
        <v>0</v>
      </c>
      <c r="G248" s="112" t="s">
        <v>249</v>
      </c>
      <c r="H248" s="114">
        <v>0</v>
      </c>
      <c r="I248" s="114">
        <v>0</v>
      </c>
      <c r="J248" s="115">
        <v>0</v>
      </c>
      <c r="K248" s="113">
        <v>0</v>
      </c>
      <c r="L248" t="str">
        <f>VLOOKUP(A248,'SAP Actual extraction'!$A$28:$A$1048576,1,0)</f>
        <v>debitovh    6666010322  fuel allowance</v>
      </c>
      <c r="M248" t="str">
        <f>VLOOKUP(B248,'SAP Actual extraction'!B:B,1,0)</f>
        <v xml:space="preserve">    6666010322  fuel allowance</v>
      </c>
    </row>
    <row r="249" spans="1:13" x14ac:dyDescent="0.3">
      <c r="A249" s="109" t="str">
        <f t="shared" si="5"/>
        <v>debitovh    6666020495  Non-deductible expense-travel.</v>
      </c>
      <c r="B249" s="112" t="s">
        <v>250</v>
      </c>
      <c r="C249" s="113">
        <v>155.24</v>
      </c>
      <c r="D249" s="116">
        <v>0</v>
      </c>
      <c r="E249" s="113">
        <v>155.24</v>
      </c>
      <c r="F249" s="113">
        <v>0</v>
      </c>
      <c r="G249" s="112" t="s">
        <v>250</v>
      </c>
      <c r="H249" s="114">
        <v>0</v>
      </c>
      <c r="I249" s="114">
        <v>0</v>
      </c>
      <c r="J249" s="115">
        <v>0</v>
      </c>
      <c r="K249" s="113">
        <v>0</v>
      </c>
      <c r="L249" t="str">
        <f>VLOOKUP(A249,'SAP Actual extraction'!$A$28:$A$1048576,1,0)</f>
        <v>debitovh    6666020495  Non-deductible expense-travel.</v>
      </c>
      <c r="M249" t="str">
        <f>VLOOKUP(B249,'SAP Actual extraction'!B:B,1,0)</f>
        <v xml:space="preserve">    6666020495  Non-deductible expense-travel.</v>
      </c>
    </row>
    <row r="250" spans="1:13" x14ac:dyDescent="0.3">
      <c r="A250" s="109" t="str">
        <f t="shared" si="5"/>
        <v>debitovh    5301060000  Other Income-Subsidy income</v>
      </c>
      <c r="B250" s="112" t="s">
        <v>257</v>
      </c>
      <c r="C250" s="116">
        <v>0</v>
      </c>
      <c r="D250" s="116">
        <v>0</v>
      </c>
      <c r="E250" s="113">
        <v>0</v>
      </c>
      <c r="F250" s="113">
        <v>0</v>
      </c>
      <c r="G250" s="112" t="s">
        <v>257</v>
      </c>
      <c r="H250" s="114">
        <v>0</v>
      </c>
      <c r="I250" s="114">
        <v>0</v>
      </c>
      <c r="J250" s="115">
        <v>0</v>
      </c>
      <c r="K250" s="113">
        <v>0</v>
      </c>
      <c r="L250" t="str">
        <f>VLOOKUP(A250,'SAP Actual extraction'!$A$28:$A$1048576,1,0)</f>
        <v>debitovh    5301060000  Other Income-Subsidy income</v>
      </c>
      <c r="M250" t="str">
        <f>VLOOKUP(B250,'SAP Actual extraction'!B:B,1,0)</f>
        <v xml:space="preserve">    5301060000  Other Income-Subsidy income</v>
      </c>
    </row>
    <row r="251" spans="1:13" x14ac:dyDescent="0.3">
      <c r="A251" s="109" t="str">
        <f t="shared" si="5"/>
        <v>debitovh    5301999999  Non-operation revenue-Other</v>
      </c>
      <c r="B251" s="112" t="s">
        <v>258</v>
      </c>
      <c r="C251" s="116">
        <v>0</v>
      </c>
      <c r="D251" s="116">
        <v>0</v>
      </c>
      <c r="E251" s="113">
        <v>0</v>
      </c>
      <c r="F251" s="113">
        <v>0</v>
      </c>
      <c r="G251" s="112" t="s">
        <v>258</v>
      </c>
      <c r="H251" s="114">
        <v>0</v>
      </c>
      <c r="I251" s="114">
        <v>0</v>
      </c>
      <c r="J251" s="115">
        <v>0</v>
      </c>
      <c r="K251" s="113">
        <v>0</v>
      </c>
      <c r="L251" t="e">
        <f>VLOOKUP(A251,'SAP Actual extraction'!$A$28:$A$1048576,1,0)</f>
        <v>#N/A</v>
      </c>
      <c r="M251" t="str">
        <f>VLOOKUP(B251,'SAP Actual extraction'!B:B,1,0)</f>
        <v xml:space="preserve">    5301999999  Non-operation revenue-Other</v>
      </c>
    </row>
    <row r="252" spans="1:13" x14ac:dyDescent="0.3">
      <c r="A252" s="109" t="str">
        <f t="shared" si="5"/>
        <v>debitovh    5601020000  Loss on disposal fixed asset</v>
      </c>
      <c r="B252" s="112" t="s">
        <v>358</v>
      </c>
      <c r="C252" s="116">
        <v>0</v>
      </c>
      <c r="D252" s="116">
        <v>0</v>
      </c>
      <c r="E252" s="113">
        <v>0</v>
      </c>
      <c r="F252" s="113">
        <v>0</v>
      </c>
      <c r="G252" s="112" t="s">
        <v>358</v>
      </c>
      <c r="H252" s="114">
        <v>0</v>
      </c>
      <c r="I252" s="114">
        <v>0</v>
      </c>
      <c r="J252" s="115">
        <v>0</v>
      </c>
      <c r="K252" s="113">
        <v>0</v>
      </c>
      <c r="L252" t="e">
        <f>VLOOKUP(A252,'SAP Actual extraction'!$A$28:$A$1048576,1,0)</f>
        <v>#N/A</v>
      </c>
      <c r="M252" t="e">
        <f>VLOOKUP(B252,'SAP Actual extraction'!B:B,1,0)</f>
        <v>#N/A</v>
      </c>
    </row>
    <row r="253" spans="1:13" x14ac:dyDescent="0.3">
      <c r="A253" s="109" t="str">
        <f t="shared" si="5"/>
        <v>debitovh    5601050000  Non-Operating Expense - Penalty</v>
      </c>
      <c r="B253" s="112" t="s">
        <v>260</v>
      </c>
      <c r="C253" s="116">
        <v>0</v>
      </c>
      <c r="D253" s="116">
        <v>0</v>
      </c>
      <c r="E253" s="113">
        <v>0</v>
      </c>
      <c r="F253" s="113">
        <v>0</v>
      </c>
      <c r="G253" s="112" t="s">
        <v>260</v>
      </c>
      <c r="H253" s="114">
        <v>0</v>
      </c>
      <c r="I253" s="114">
        <v>0</v>
      </c>
      <c r="J253" s="115">
        <v>0</v>
      </c>
      <c r="K253" s="113">
        <v>0</v>
      </c>
      <c r="L253" t="str">
        <f>VLOOKUP(A253,'SAP Actual extraction'!$A$28:$A$1048576,1,0)</f>
        <v>debitovh    5601050000  Non-Operating Expense - Penalty</v>
      </c>
      <c r="M253" t="str">
        <f>VLOOKUP(B253,'SAP Actual extraction'!B:B,1,0)</f>
        <v xml:space="preserve">    5601050000  Non-Operating Expense - Penalty</v>
      </c>
    </row>
    <row r="254" spans="1:13" x14ac:dyDescent="0.3">
      <c r="A254" s="109" t="str">
        <f t="shared" si="5"/>
        <v>debitovh    5601050100  Non-operation Expense-Others</v>
      </c>
      <c r="B254" s="112" t="s">
        <v>261</v>
      </c>
      <c r="C254" s="113">
        <v>41.69</v>
      </c>
      <c r="D254" s="116">
        <v>0</v>
      </c>
      <c r="E254" s="113">
        <v>41.69</v>
      </c>
      <c r="F254" s="113">
        <v>0</v>
      </c>
      <c r="G254" s="112" t="s">
        <v>261</v>
      </c>
      <c r="H254" s="114">
        <v>0</v>
      </c>
      <c r="I254" s="114">
        <v>0</v>
      </c>
      <c r="J254" s="115">
        <v>0</v>
      </c>
      <c r="K254" s="113">
        <v>0</v>
      </c>
      <c r="L254" t="str">
        <f>VLOOKUP(A254,'SAP Actual extraction'!$A$28:$A$1048576,1,0)</f>
        <v>debitovh    5601050100  Non-operation Expense-Others</v>
      </c>
      <c r="M254" t="str">
        <f>VLOOKUP(B254,'SAP Actual extraction'!B:B,1,0)</f>
        <v xml:space="preserve">    5601050100  Non-operation Expense-Others</v>
      </c>
    </row>
    <row r="255" spans="1:13" x14ac:dyDescent="0.3">
      <c r="A255" s="109" t="str">
        <f t="shared" si="5"/>
        <v>debitovh    5601080000  Non-operating expense-VAT non-deductible</v>
      </c>
      <c r="B255" s="112" t="s">
        <v>338</v>
      </c>
      <c r="C255" s="113">
        <v>746.93</v>
      </c>
      <c r="D255" s="116">
        <v>0</v>
      </c>
      <c r="E255" s="113">
        <v>746.93</v>
      </c>
      <c r="F255" s="113">
        <v>0</v>
      </c>
      <c r="G255" s="112" t="s">
        <v>338</v>
      </c>
      <c r="H255" s="114">
        <v>0</v>
      </c>
      <c r="I255" s="114">
        <v>0</v>
      </c>
      <c r="J255" s="115">
        <v>0</v>
      </c>
      <c r="K255" s="113">
        <v>0</v>
      </c>
      <c r="L255" t="str">
        <f>VLOOKUP(A255,'SAP Actual extraction'!$A$28:$A$1048576,1,0)</f>
        <v>debitovh    5601080000  Non-operating expense-VAT non-deductible</v>
      </c>
      <c r="M255" t="str">
        <f>VLOOKUP(B255,'SAP Actual extraction'!B:B,1,0)</f>
        <v xml:space="preserve">    5601080000  Non-operating expense-VAT non-deductible</v>
      </c>
    </row>
    <row r="256" spans="1:13" x14ac:dyDescent="0.3">
      <c r="A256" s="109" t="str">
        <f t="shared" si="5"/>
        <v>debitovh    6666020101  Entertainment</v>
      </c>
      <c r="B256" s="112" t="s">
        <v>262</v>
      </c>
      <c r="C256" s="113">
        <v>174.36</v>
      </c>
      <c r="D256" s="116">
        <v>0</v>
      </c>
      <c r="E256" s="113">
        <v>174.36</v>
      </c>
      <c r="F256" s="113">
        <v>0</v>
      </c>
      <c r="G256" s="112" t="s">
        <v>262</v>
      </c>
      <c r="H256" s="114">
        <v>0</v>
      </c>
      <c r="I256" s="114">
        <v>0</v>
      </c>
      <c r="J256" s="115">
        <v>0</v>
      </c>
      <c r="K256" s="113">
        <v>0</v>
      </c>
      <c r="L256" t="str">
        <f>VLOOKUP(A256,'SAP Actual extraction'!$A$28:$A$1048576,1,0)</f>
        <v>debitovh    6666020101  Entertainment</v>
      </c>
      <c r="M256" t="str">
        <f>VLOOKUP(B256,'SAP Actual extraction'!B:B,1,0)</f>
        <v xml:space="preserve">    6666020101  Entertainment</v>
      </c>
    </row>
    <row r="257" spans="1:13" x14ac:dyDescent="0.3">
      <c r="A257" s="109" t="str">
        <f t="shared" si="5"/>
        <v>debitovh    6666020201  Domestic business travel</v>
      </c>
      <c r="B257" s="112" t="s">
        <v>263</v>
      </c>
      <c r="C257" s="113">
        <v>122.68</v>
      </c>
      <c r="D257" s="116">
        <v>0</v>
      </c>
      <c r="E257" s="113">
        <v>122.68</v>
      </c>
      <c r="F257" s="113">
        <v>0</v>
      </c>
      <c r="G257" s="112" t="s">
        <v>263</v>
      </c>
      <c r="H257" s="114">
        <v>0</v>
      </c>
      <c r="I257" s="114">
        <v>0</v>
      </c>
      <c r="J257" s="115">
        <v>0</v>
      </c>
      <c r="K257" s="113">
        <v>0</v>
      </c>
      <c r="L257" t="str">
        <f>VLOOKUP(A257,'SAP Actual extraction'!$A$28:$A$1048576,1,0)</f>
        <v>debitovh    6666020201  Domestic business travel</v>
      </c>
      <c r="M257" t="str">
        <f>VLOOKUP(B257,'SAP Actual extraction'!B:B,1,0)</f>
        <v xml:space="preserve">    6666020201  Domestic business travel</v>
      </c>
    </row>
    <row r="258" spans="1:13" x14ac:dyDescent="0.3">
      <c r="A258" s="109" t="str">
        <f t="shared" si="5"/>
        <v>debitovh    6666020202  Overseas business travel</v>
      </c>
      <c r="B258" s="112" t="s">
        <v>264</v>
      </c>
      <c r="C258" s="113">
        <v>2.4</v>
      </c>
      <c r="D258" s="116">
        <v>0</v>
      </c>
      <c r="E258" s="113">
        <v>2.4</v>
      </c>
      <c r="F258" s="113">
        <v>0</v>
      </c>
      <c r="G258" s="112" t="s">
        <v>264</v>
      </c>
      <c r="H258" s="114">
        <v>0</v>
      </c>
      <c r="I258" s="114">
        <v>0</v>
      </c>
      <c r="J258" s="115">
        <v>0</v>
      </c>
      <c r="K258" s="113">
        <v>0</v>
      </c>
      <c r="L258" t="e">
        <f>VLOOKUP(A258,'SAP Actual extraction'!$A$28:$A$1048576,1,0)</f>
        <v>#N/A</v>
      </c>
      <c r="M258" t="str">
        <f>VLOOKUP(B258,'SAP Actual extraction'!B:B,1,0)</f>
        <v xml:space="preserve">    6666020202  Overseas business travel</v>
      </c>
    </row>
    <row r="259" spans="1:13" x14ac:dyDescent="0.3">
      <c r="A259" s="109" t="str">
        <f t="shared" si="5"/>
        <v>debitovh    6666020204  Travel expense pay to agency</v>
      </c>
      <c r="B259" s="112" t="s">
        <v>265</v>
      </c>
      <c r="C259" s="113">
        <v>212.75</v>
      </c>
      <c r="D259" s="116">
        <v>0</v>
      </c>
      <c r="E259" s="113">
        <v>212.75</v>
      </c>
      <c r="F259" s="113">
        <v>0</v>
      </c>
      <c r="G259" s="112" t="s">
        <v>265</v>
      </c>
      <c r="H259" s="114">
        <v>0</v>
      </c>
      <c r="I259" s="114">
        <v>0</v>
      </c>
      <c r="J259" s="115">
        <v>0</v>
      </c>
      <c r="K259" s="113">
        <v>0</v>
      </c>
      <c r="L259" t="str">
        <f>VLOOKUP(A259,'SAP Actual extraction'!$A$28:$A$1048576,1,0)</f>
        <v>debitovh    6666020204  Travel expense pay to agency</v>
      </c>
      <c r="M259" t="str">
        <f>VLOOKUP(B259,'SAP Actual extraction'!B:B,1,0)</f>
        <v xml:space="preserve">    6666020204  Travel expense pay to agency</v>
      </c>
    </row>
    <row r="260" spans="1:13" x14ac:dyDescent="0.3">
      <c r="A260" s="109" t="str">
        <f t="shared" si="5"/>
        <v>debitovh    6666020301  Staff communication expense</v>
      </c>
      <c r="B260" s="112" t="s">
        <v>267</v>
      </c>
      <c r="C260" s="113">
        <v>142.66999999999999</v>
      </c>
      <c r="D260" s="116">
        <v>0</v>
      </c>
      <c r="E260" s="113">
        <v>142.66999999999999</v>
      </c>
      <c r="F260" s="113">
        <v>0</v>
      </c>
      <c r="G260" s="112" t="s">
        <v>267</v>
      </c>
      <c r="H260" s="114">
        <v>0</v>
      </c>
      <c r="I260" s="114">
        <v>0</v>
      </c>
      <c r="J260" s="115">
        <v>0</v>
      </c>
      <c r="K260" s="113">
        <v>0</v>
      </c>
      <c r="L260" t="str">
        <f>VLOOKUP(A260,'SAP Actual extraction'!$A$28:$A$1048576,1,0)</f>
        <v>debitovh    6666020301  Staff communication expense</v>
      </c>
      <c r="M260" t="str">
        <f>VLOOKUP(B260,'SAP Actual extraction'!B:B,1,0)</f>
        <v xml:space="preserve">    6666020301  Staff communication expense</v>
      </c>
    </row>
    <row r="261" spans="1:13" x14ac:dyDescent="0.3">
      <c r="A261" s="109" t="str">
        <f t="shared" si="5"/>
        <v>debitovh    6666020403  Company car expense</v>
      </c>
      <c r="B261" s="112" t="s">
        <v>270</v>
      </c>
      <c r="C261" s="116">
        <v>0</v>
      </c>
      <c r="D261" s="116">
        <v>0</v>
      </c>
      <c r="E261" s="113">
        <v>0</v>
      </c>
      <c r="F261" s="113">
        <v>0</v>
      </c>
      <c r="G261" s="112" t="s">
        <v>270</v>
      </c>
      <c r="H261" s="114">
        <v>0</v>
      </c>
      <c r="I261" s="114">
        <v>0</v>
      </c>
      <c r="J261" s="115">
        <v>0</v>
      </c>
      <c r="K261" s="113">
        <v>0</v>
      </c>
      <c r="L261" t="e">
        <f>VLOOKUP(A261,'SAP Actual extraction'!$A$28:$A$1048576,1,0)</f>
        <v>#N/A</v>
      </c>
      <c r="M261" t="str">
        <f>VLOOKUP(B261,'SAP Actual extraction'!B:B,1,0)</f>
        <v xml:space="preserve">    6666020403  Company car expense</v>
      </c>
    </row>
    <row r="262" spans="1:13" x14ac:dyDescent="0.3">
      <c r="A262" s="109" t="str">
        <f t="shared" si="5"/>
        <v>debitovh    6666020504  Newspaper and Periodicals expenditure</v>
      </c>
      <c r="B262" s="112" t="s">
        <v>272</v>
      </c>
      <c r="C262" s="113">
        <v>-40.799999999999997</v>
      </c>
      <c r="D262" s="116">
        <v>0</v>
      </c>
      <c r="E262" s="113">
        <v>-40.799999999999997</v>
      </c>
      <c r="F262" s="113">
        <v>0</v>
      </c>
      <c r="G262" s="112" t="s">
        <v>272</v>
      </c>
      <c r="H262" s="114">
        <v>0</v>
      </c>
      <c r="I262" s="114">
        <v>0</v>
      </c>
      <c r="J262" s="115">
        <v>0</v>
      </c>
      <c r="K262" s="113">
        <v>0</v>
      </c>
      <c r="L262" t="e">
        <f>VLOOKUP(A262,'SAP Actual extraction'!$A$28:$A$1048576,1,0)</f>
        <v>#N/A</v>
      </c>
      <c r="M262" t="str">
        <f>VLOOKUP(B262,'SAP Actual extraction'!B:B,1,0)</f>
        <v xml:space="preserve">    6666020504  Newspaper and Periodicals expenditure</v>
      </c>
    </row>
    <row r="263" spans="1:13" x14ac:dyDescent="0.3">
      <c r="A263" s="109" t="str">
        <f t="shared" si="5"/>
        <v>debitovh    6666020508  Postage</v>
      </c>
      <c r="B263" s="112" t="s">
        <v>273</v>
      </c>
      <c r="C263" s="113">
        <v>20.99</v>
      </c>
      <c r="D263" s="116">
        <v>0</v>
      </c>
      <c r="E263" s="113">
        <v>20.99</v>
      </c>
      <c r="F263" s="113">
        <v>0</v>
      </c>
      <c r="G263" s="112" t="s">
        <v>273</v>
      </c>
      <c r="H263" s="114">
        <v>0</v>
      </c>
      <c r="I263" s="114">
        <v>0</v>
      </c>
      <c r="J263" s="115">
        <v>0</v>
      </c>
      <c r="K263" s="113">
        <v>0</v>
      </c>
      <c r="L263" t="str">
        <f>VLOOKUP(A263,'SAP Actual extraction'!$A$28:$A$1048576,1,0)</f>
        <v>debitovh    6666020508  Postage</v>
      </c>
      <c r="M263" t="str">
        <f>VLOOKUP(B263,'SAP Actual extraction'!B:B,1,0)</f>
        <v xml:space="preserve">    6666020508  Postage</v>
      </c>
    </row>
    <row r="264" spans="1:13" x14ac:dyDescent="0.3">
      <c r="A264" s="109" t="str">
        <f t="shared" si="5"/>
        <v>debitovh    6666020602  Training costs Outside the group</v>
      </c>
      <c r="B264" s="112" t="s">
        <v>274</v>
      </c>
      <c r="C264" s="113">
        <v>18.940000000000001</v>
      </c>
      <c r="D264" s="116">
        <v>0</v>
      </c>
      <c r="E264" s="113">
        <v>18.940000000000001</v>
      </c>
      <c r="F264" s="113">
        <v>0</v>
      </c>
      <c r="G264" s="112" t="s">
        <v>274</v>
      </c>
      <c r="H264" s="114">
        <v>0</v>
      </c>
      <c r="I264" s="114">
        <v>0</v>
      </c>
      <c r="J264" s="115">
        <v>0</v>
      </c>
      <c r="K264" s="113">
        <v>0</v>
      </c>
      <c r="L264" t="str">
        <f>VLOOKUP(A264,'SAP Actual extraction'!$A$28:$A$1048576,1,0)</f>
        <v>debitovh    6666020602  Training costs Outside the group</v>
      </c>
      <c r="M264" t="str">
        <f>VLOOKUP(B264,'SAP Actual extraction'!B:B,1,0)</f>
        <v xml:space="preserve">    6666020602  Training costs Outside the group</v>
      </c>
    </row>
    <row r="265" spans="1:13" x14ac:dyDescent="0.3">
      <c r="A265" s="109" t="str">
        <f t="shared" si="5"/>
        <v>debitovh    6666020701  Enterprise Property Insurance</v>
      </c>
      <c r="B265" s="112" t="s">
        <v>275</v>
      </c>
      <c r="C265" s="113">
        <v>20688.18</v>
      </c>
      <c r="D265" s="113">
        <v>22859.01</v>
      </c>
      <c r="E265" s="113">
        <v>-2170.83</v>
      </c>
      <c r="F265" s="113">
        <v>-9.4966000000000008</v>
      </c>
      <c r="G265" s="112" t="s">
        <v>275</v>
      </c>
      <c r="H265" s="114">
        <v>0</v>
      </c>
      <c r="I265" s="114">
        <v>0</v>
      </c>
      <c r="J265" s="115">
        <v>0</v>
      </c>
      <c r="K265" s="113">
        <v>0</v>
      </c>
      <c r="L265" t="str">
        <f>VLOOKUP(A265,'SAP Actual extraction'!$A$28:$A$1048576,1,0)</f>
        <v>debitovh    6666020701  Enterprise Property Insurance</v>
      </c>
      <c r="M265" t="str">
        <f>VLOOKUP(B265,'SAP Actual extraction'!B:B,1,0)</f>
        <v xml:space="preserve">    6666020701  Enterprise Property Insurance</v>
      </c>
    </row>
    <row r="266" spans="1:13" x14ac:dyDescent="0.3">
      <c r="A266" s="109" t="str">
        <f t="shared" si="5"/>
        <v>debitovh    6666020801  Housing rental cost</v>
      </c>
      <c r="B266" s="112" t="s">
        <v>339</v>
      </c>
      <c r="C266" s="113">
        <v>170.02</v>
      </c>
      <c r="D266" s="116">
        <v>0</v>
      </c>
      <c r="E266" s="113">
        <v>170.02</v>
      </c>
      <c r="F266" s="113">
        <v>0</v>
      </c>
      <c r="G266" s="112" t="s">
        <v>339</v>
      </c>
      <c r="H266" s="114">
        <v>0</v>
      </c>
      <c r="I266" s="114">
        <v>0</v>
      </c>
      <c r="J266" s="115">
        <v>0</v>
      </c>
      <c r="K266" s="113">
        <v>0</v>
      </c>
      <c r="L266" t="str">
        <f>VLOOKUP(A266,'SAP Actual extraction'!$A$28:$A$1048576,1,0)</f>
        <v>debitovh    6666020801  Housing rental cost</v>
      </c>
      <c r="M266" t="str">
        <f>VLOOKUP(B266,'SAP Actual extraction'!B:B,1,0)</f>
        <v xml:space="preserve">    6666020801  Housing rental cost</v>
      </c>
    </row>
    <row r="267" spans="1:13" x14ac:dyDescent="0.3">
      <c r="A267" s="109" t="str">
        <f t="shared" si="5"/>
        <v>debitovh    6666020802  Equipment rental cost</v>
      </c>
      <c r="B267" s="112" t="s">
        <v>276</v>
      </c>
      <c r="C267" s="116">
        <v>0</v>
      </c>
      <c r="D267" s="116">
        <v>0</v>
      </c>
      <c r="E267" s="113">
        <v>0</v>
      </c>
      <c r="F267" s="113">
        <v>0</v>
      </c>
      <c r="G267" s="112" t="s">
        <v>276</v>
      </c>
      <c r="H267" s="114">
        <v>0</v>
      </c>
      <c r="I267" s="114">
        <v>0</v>
      </c>
      <c r="J267" s="115">
        <v>0</v>
      </c>
      <c r="K267" s="113">
        <v>0</v>
      </c>
      <c r="L267" t="e">
        <f>VLOOKUP(A267,'SAP Actual extraction'!$A$28:$A$1048576,1,0)</f>
        <v>#N/A</v>
      </c>
      <c r="M267" t="str">
        <f>VLOOKUP(B267,'SAP Actual extraction'!B:B,1,0)</f>
        <v xml:space="preserve">    6666020802  Equipment rental cost</v>
      </c>
    </row>
    <row r="268" spans="1:13" x14ac:dyDescent="0.3">
      <c r="A268" s="109" t="str">
        <f t="shared" si="5"/>
        <v>debitovh    6666020803  Car rental cost</v>
      </c>
      <c r="B268" s="112" t="s">
        <v>277</v>
      </c>
      <c r="C268" s="113">
        <v>716.63</v>
      </c>
      <c r="D268" s="116">
        <v>0</v>
      </c>
      <c r="E268" s="113">
        <v>716.63</v>
      </c>
      <c r="F268" s="113">
        <v>0</v>
      </c>
      <c r="G268" s="112" t="s">
        <v>277</v>
      </c>
      <c r="H268" s="114">
        <v>0</v>
      </c>
      <c r="I268" s="114">
        <v>0</v>
      </c>
      <c r="J268" s="115">
        <v>0</v>
      </c>
      <c r="K268" s="113">
        <v>0</v>
      </c>
      <c r="L268" t="str">
        <f>VLOOKUP(A268,'SAP Actual extraction'!$A$28:$A$1048576,1,0)</f>
        <v>debitovh    6666020803  Car rental cost</v>
      </c>
      <c r="M268" t="str">
        <f>VLOOKUP(B268,'SAP Actual extraction'!B:B,1,0)</f>
        <v xml:space="preserve">    6666020803  Car rental cost</v>
      </c>
    </row>
    <row r="269" spans="1:13" x14ac:dyDescent="0.3">
      <c r="A269" s="109" t="str">
        <f t="shared" si="5"/>
        <v>debitovh    6666021100  Consulting fees</v>
      </c>
      <c r="B269" s="112" t="s">
        <v>278</v>
      </c>
      <c r="C269" s="113">
        <v>7684.93</v>
      </c>
      <c r="D269" s="116">
        <v>0</v>
      </c>
      <c r="E269" s="113">
        <v>7684.93</v>
      </c>
      <c r="F269" s="113">
        <v>0</v>
      </c>
      <c r="G269" s="112" t="s">
        <v>278</v>
      </c>
      <c r="H269" s="114">
        <v>0</v>
      </c>
      <c r="I269" s="114">
        <v>0</v>
      </c>
      <c r="J269" s="115">
        <v>0</v>
      </c>
      <c r="K269" s="113">
        <v>0</v>
      </c>
      <c r="L269" t="str">
        <f>VLOOKUP(A269,'SAP Actual extraction'!$A$28:$A$1048576,1,0)</f>
        <v>debitovh    6666021100  Consulting fees</v>
      </c>
      <c r="M269" t="str">
        <f>VLOOKUP(B269,'SAP Actual extraction'!B:B,1,0)</f>
        <v xml:space="preserve">    6666021100  Consulting fees</v>
      </c>
    </row>
    <row r="270" spans="1:13" x14ac:dyDescent="0.3">
      <c r="A270" s="109" t="str">
        <f t="shared" si="5"/>
        <v>debitovh    6666021102  Consulting expense-tax</v>
      </c>
      <c r="B270" s="112" t="s">
        <v>340</v>
      </c>
      <c r="C270" s="113">
        <v>14752.76</v>
      </c>
      <c r="D270" s="116">
        <v>0</v>
      </c>
      <c r="E270" s="113">
        <v>14752.76</v>
      </c>
      <c r="F270" s="113">
        <v>0</v>
      </c>
      <c r="G270" s="112" t="s">
        <v>340</v>
      </c>
      <c r="H270" s="114">
        <v>0</v>
      </c>
      <c r="I270" s="114">
        <v>0</v>
      </c>
      <c r="J270" s="115">
        <v>0</v>
      </c>
      <c r="K270" s="113">
        <v>0</v>
      </c>
      <c r="L270" t="str">
        <f>VLOOKUP(A270,'SAP Actual extraction'!$A$28:$A$1048576,1,0)</f>
        <v>debitovh    6666021102  Consulting expense-tax</v>
      </c>
      <c r="M270" t="str">
        <f>VLOOKUP(B270,'SAP Actual extraction'!B:B,1,0)</f>
        <v xml:space="preserve">    6666021102  Consulting expense-tax</v>
      </c>
    </row>
    <row r="271" spans="1:13" x14ac:dyDescent="0.3">
      <c r="A271" s="109" t="str">
        <f t="shared" si="5"/>
        <v>debitovh    6666021104  Consulting expense-Technical</v>
      </c>
      <c r="B271" s="112" t="s">
        <v>268</v>
      </c>
      <c r="C271" s="113">
        <v>71.89</v>
      </c>
      <c r="D271" s="116">
        <v>0</v>
      </c>
      <c r="E271" s="113">
        <v>71.89</v>
      </c>
      <c r="F271" s="113">
        <v>0</v>
      </c>
      <c r="G271" s="112" t="s">
        <v>268</v>
      </c>
      <c r="H271" s="114">
        <v>0</v>
      </c>
      <c r="I271" s="114">
        <v>0</v>
      </c>
      <c r="J271" s="115">
        <v>0</v>
      </c>
      <c r="K271" s="113">
        <v>0</v>
      </c>
      <c r="L271" t="e">
        <f>VLOOKUP(A271,'SAP Actual extraction'!$A$28:$A$1048576,1,0)</f>
        <v>#N/A</v>
      </c>
      <c r="M271" t="str">
        <f>VLOOKUP(B271,'SAP Actual extraction'!B:B,1,0)</f>
        <v xml:space="preserve">    6666021104  Consulting expense-Technical</v>
      </c>
    </row>
    <row r="272" spans="1:13" x14ac:dyDescent="0.3">
      <c r="A272" s="109" t="str">
        <f t="shared" si="5"/>
        <v>debitovh    6666021300  Legal fees</v>
      </c>
      <c r="B272" s="112" t="s">
        <v>341</v>
      </c>
      <c r="C272" s="113">
        <v>52.34</v>
      </c>
      <c r="D272" s="116">
        <v>0</v>
      </c>
      <c r="E272" s="113">
        <v>52.34</v>
      </c>
      <c r="F272" s="113">
        <v>0</v>
      </c>
      <c r="G272" s="112" t="s">
        <v>341</v>
      </c>
      <c r="H272" s="114">
        <v>0</v>
      </c>
      <c r="I272" s="114">
        <v>0</v>
      </c>
      <c r="J272" s="115">
        <v>0</v>
      </c>
      <c r="K272" s="113">
        <v>0</v>
      </c>
      <c r="L272" t="str">
        <f>VLOOKUP(A272,'SAP Actual extraction'!$A$28:$A$1048576,1,0)</f>
        <v>debitovh    6666021300  Legal fees</v>
      </c>
      <c r="M272" t="str">
        <f>VLOOKUP(B272,'SAP Actual extraction'!B:B,1,0)</f>
        <v xml:space="preserve">    6666021300  Legal fees</v>
      </c>
    </row>
    <row r="273" spans="1:13" x14ac:dyDescent="0.3">
      <c r="A273" s="109" t="str">
        <f t="shared" si="5"/>
        <v>debitovh    6666021902  Cleaning fees</v>
      </c>
      <c r="B273" s="112" t="s">
        <v>279</v>
      </c>
      <c r="C273" s="113">
        <v>-104.06</v>
      </c>
      <c r="D273" s="116">
        <v>0</v>
      </c>
      <c r="E273" s="113">
        <v>-104.06</v>
      </c>
      <c r="F273" s="113">
        <v>0</v>
      </c>
      <c r="G273" s="112" t="s">
        <v>279</v>
      </c>
      <c r="H273" s="114">
        <v>0</v>
      </c>
      <c r="I273" s="114">
        <v>0</v>
      </c>
      <c r="J273" s="115">
        <v>0</v>
      </c>
      <c r="K273" s="113">
        <v>0</v>
      </c>
      <c r="L273" t="str">
        <f>VLOOKUP(A273,'SAP Actual extraction'!$A$28:$A$1048576,1,0)</f>
        <v>debitovh    6666021902  Cleaning fees</v>
      </c>
      <c r="M273" t="str">
        <f>VLOOKUP(B273,'SAP Actual extraction'!B:B,1,0)</f>
        <v xml:space="preserve">    6666021902  Cleaning fees</v>
      </c>
    </row>
    <row r="274" spans="1:13" x14ac:dyDescent="0.3">
      <c r="A274" s="109" t="str">
        <f t="shared" si="5"/>
        <v>debitovh    6666022100  Security</v>
      </c>
      <c r="B274" s="112" t="s">
        <v>280</v>
      </c>
      <c r="C274" s="113">
        <v>-179.39</v>
      </c>
      <c r="D274" s="116">
        <v>0</v>
      </c>
      <c r="E274" s="113">
        <v>-179.39</v>
      </c>
      <c r="F274" s="113">
        <v>0</v>
      </c>
      <c r="G274" s="112" t="s">
        <v>280</v>
      </c>
      <c r="H274" s="114">
        <v>0</v>
      </c>
      <c r="I274" s="114">
        <v>0</v>
      </c>
      <c r="J274" s="115">
        <v>0</v>
      </c>
      <c r="K274" s="113">
        <v>0</v>
      </c>
      <c r="L274" t="str">
        <f>VLOOKUP(A274,'SAP Actual extraction'!$A$28:$A$1048576,1,0)</f>
        <v>debitovh    6666022100  Security</v>
      </c>
      <c r="M274" t="str">
        <f>VLOOKUP(B274,'SAP Actual extraction'!B:B,1,0)</f>
        <v xml:space="preserve">    6666022100  Security</v>
      </c>
    </row>
    <row r="275" spans="1:13" x14ac:dyDescent="0.3">
      <c r="A275" s="109" t="str">
        <f t="shared" si="5"/>
        <v>debitovh    6666022300  Association dues</v>
      </c>
      <c r="B275" s="112" t="s">
        <v>281</v>
      </c>
      <c r="C275" s="113">
        <v>3051.24</v>
      </c>
      <c r="D275" s="113">
        <v>5229.59</v>
      </c>
      <c r="E275" s="113">
        <v>-2178.35</v>
      </c>
      <c r="F275" s="113">
        <v>-41.654299999999999</v>
      </c>
      <c r="G275" s="112" t="s">
        <v>281</v>
      </c>
      <c r="H275" s="114">
        <v>0</v>
      </c>
      <c r="I275" s="114">
        <v>0</v>
      </c>
      <c r="J275" s="115">
        <v>0</v>
      </c>
      <c r="K275" s="113">
        <v>0</v>
      </c>
      <c r="L275" t="str">
        <f>VLOOKUP(A275,'SAP Actual extraction'!$A$28:$A$1048576,1,0)</f>
        <v>debitovh    6666022300  Association dues</v>
      </c>
      <c r="M275" t="str">
        <f>VLOOKUP(B275,'SAP Actual extraction'!B:B,1,0)</f>
        <v xml:space="preserve">    6666022300  Association dues</v>
      </c>
    </row>
    <row r="276" spans="1:13" x14ac:dyDescent="0.3">
      <c r="A276" s="109" t="str">
        <f t="shared" si="5"/>
        <v>debitovh    6666029900  Sundry Expenses</v>
      </c>
      <c r="B276" s="112" t="s">
        <v>282</v>
      </c>
      <c r="C276" s="113">
        <v>2.2200000000000002</v>
      </c>
      <c r="D276" s="113">
        <v>283439.5</v>
      </c>
      <c r="E276" s="113">
        <v>-283437.28000000003</v>
      </c>
      <c r="F276" s="113">
        <v>-99.999200000000002</v>
      </c>
      <c r="G276" s="112" t="s">
        <v>282</v>
      </c>
      <c r="H276" s="114">
        <v>0</v>
      </c>
      <c r="I276" s="114">
        <v>0</v>
      </c>
      <c r="J276" s="115">
        <v>0</v>
      </c>
      <c r="K276" s="113">
        <v>0</v>
      </c>
      <c r="L276" t="str">
        <f>VLOOKUP(A276,'SAP Actual extraction'!$A$28:$A$1048576,1,0)</f>
        <v>debitovh    6666029900  Sundry Expenses</v>
      </c>
      <c r="M276" t="str">
        <f>VLOOKUP(B276,'SAP Actual extraction'!B:B,1,0)</f>
        <v xml:space="preserve">    6666029900  Sundry Expenses</v>
      </c>
    </row>
    <row r="277" spans="1:13" x14ac:dyDescent="0.3">
      <c r="A277" s="109" t="str">
        <f t="shared" si="5"/>
        <v>debitovh    6666029997  restructure cost</v>
      </c>
      <c r="B277" s="112" t="s">
        <v>283</v>
      </c>
      <c r="C277" s="116">
        <v>0</v>
      </c>
      <c r="D277" s="116">
        <v>0</v>
      </c>
      <c r="E277" s="113">
        <v>0</v>
      </c>
      <c r="F277" s="113">
        <v>0</v>
      </c>
      <c r="G277" s="112" t="s">
        <v>283</v>
      </c>
      <c r="H277" s="114">
        <v>0</v>
      </c>
      <c r="I277" s="114">
        <v>0</v>
      </c>
      <c r="J277" s="115">
        <v>0</v>
      </c>
      <c r="K277" s="113">
        <v>0</v>
      </c>
      <c r="L277" t="str">
        <f>VLOOKUP(A277,'SAP Actual extraction'!$A$28:$A$1048576,1,0)</f>
        <v>debitovh    6666029997  restructure cost</v>
      </c>
      <c r="M277" t="str">
        <f>VLOOKUP(B277,'SAP Actual extraction'!B:B,1,0)</f>
        <v xml:space="preserve">    6666029997  restructure cost</v>
      </c>
    </row>
    <row r="278" spans="1:13" x14ac:dyDescent="0.3">
      <c r="A278" s="109" t="str">
        <f t="shared" si="5"/>
        <v>debitovh    6666031100  Technical Documentation</v>
      </c>
      <c r="B278" s="112" t="s">
        <v>342</v>
      </c>
      <c r="C278" s="113">
        <v>0.17</v>
      </c>
      <c r="D278" s="116">
        <v>0</v>
      </c>
      <c r="E278" s="113">
        <v>0.17</v>
      </c>
      <c r="F278" s="113">
        <v>0</v>
      </c>
      <c r="G278" s="112" t="s">
        <v>342</v>
      </c>
      <c r="H278" s="114">
        <v>0</v>
      </c>
      <c r="I278" s="114">
        <v>0</v>
      </c>
      <c r="J278" s="115">
        <v>0</v>
      </c>
      <c r="K278" s="113">
        <v>0</v>
      </c>
      <c r="L278" t="str">
        <f>VLOOKUP(A278,'SAP Actual extraction'!$A$28:$A$1048576,1,0)</f>
        <v>debitovh    6666031100  Technical Documentation</v>
      </c>
      <c r="M278" t="str">
        <f>VLOOKUP(B278,'SAP Actual extraction'!B:B,1,0)</f>
        <v xml:space="preserve">    6666031100  Technical Documentation</v>
      </c>
    </row>
    <row r="279" spans="1:13" x14ac:dyDescent="0.3">
      <c r="A279" s="109" t="str">
        <f t="shared" si="5"/>
        <v>debitovh    6666050107  Special distribution costs</v>
      </c>
      <c r="B279" s="112" t="s">
        <v>287</v>
      </c>
      <c r="C279" s="116">
        <v>0</v>
      </c>
      <c r="D279" s="116">
        <v>0</v>
      </c>
      <c r="E279" s="113">
        <v>0</v>
      </c>
      <c r="F279" s="113">
        <v>0</v>
      </c>
      <c r="G279" s="112" t="s">
        <v>287</v>
      </c>
      <c r="H279" s="114">
        <v>0</v>
      </c>
      <c r="I279" s="114">
        <v>0</v>
      </c>
      <c r="J279" s="115">
        <v>0</v>
      </c>
      <c r="K279" s="113">
        <v>0</v>
      </c>
      <c r="L279" t="str">
        <f>VLOOKUP(A279,'SAP Actual extraction'!$A$28:$A$1048576,1,0)</f>
        <v>debitovh    6666050107  Special distribution costs</v>
      </c>
      <c r="M279" t="str">
        <f>VLOOKUP(B279,'SAP Actual extraction'!B:B,1,0)</f>
        <v xml:space="preserve">    6666050107  Special distribution costs</v>
      </c>
    </row>
    <row r="280" spans="1:13" x14ac:dyDescent="0.3">
      <c r="A280" s="109" t="str">
        <f t="shared" si="5"/>
        <v>debitovh    6666070400  IT maint. &amp; repairs hardware</v>
      </c>
      <c r="B280" s="112" t="s">
        <v>290</v>
      </c>
      <c r="C280" s="113">
        <v>273.58999999999997</v>
      </c>
      <c r="D280" s="116">
        <v>0</v>
      </c>
      <c r="E280" s="113">
        <v>273.58999999999997</v>
      </c>
      <c r="F280" s="113">
        <v>0</v>
      </c>
      <c r="G280" s="112" t="s">
        <v>290</v>
      </c>
      <c r="H280" s="114">
        <v>0</v>
      </c>
      <c r="I280" s="114">
        <v>0</v>
      </c>
      <c r="J280" s="115">
        <v>0</v>
      </c>
      <c r="K280" s="113">
        <v>0</v>
      </c>
      <c r="L280" t="e">
        <f>VLOOKUP(A280,'SAP Actual extraction'!$A$28:$A$1048576,1,0)</f>
        <v>#N/A</v>
      </c>
      <c r="M280" t="str">
        <f>VLOOKUP(B280,'SAP Actual extraction'!B:B,1,0)</f>
        <v xml:space="preserve">    6666070400  IT maint. &amp; repairs hardware</v>
      </c>
    </row>
    <row r="281" spans="1:13" x14ac:dyDescent="0.3">
      <c r="A281" s="109" t="str">
        <f t="shared" si="5"/>
        <v>debitovh    6666079999  IT Expense-Internal Charge Out</v>
      </c>
      <c r="B281" s="112" t="s">
        <v>343</v>
      </c>
      <c r="C281" s="113">
        <v>-230880.74</v>
      </c>
      <c r="D281" s="116">
        <v>0</v>
      </c>
      <c r="E281" s="113">
        <v>-230880.74</v>
      </c>
      <c r="F281" s="113">
        <v>0</v>
      </c>
      <c r="G281" s="112" t="s">
        <v>343</v>
      </c>
      <c r="H281" s="114">
        <v>0</v>
      </c>
      <c r="I281" s="114">
        <v>0</v>
      </c>
      <c r="J281" s="115">
        <v>0</v>
      </c>
      <c r="K281" s="113">
        <v>0</v>
      </c>
      <c r="L281" t="str">
        <f>VLOOKUP(A281,'SAP Actual extraction'!$A$28:$A$1048576,1,0)</f>
        <v>debitovh    6666079999  IT Expense-Internal Charge Out</v>
      </c>
      <c r="M281" t="str">
        <f>VLOOKUP(B281,'SAP Actual extraction'!B:B,1,0)</f>
        <v xml:space="preserve">    6666079999  IT Expense-Internal Charge Out</v>
      </c>
    </row>
    <row r="282" spans="1:13" x14ac:dyDescent="0.3">
      <c r="A282" s="109" t="str">
        <f t="shared" si="5"/>
        <v>debitovh    6666090100  Stamp Duty</v>
      </c>
      <c r="B282" s="112" t="s">
        <v>345</v>
      </c>
      <c r="C282" s="116">
        <v>0</v>
      </c>
      <c r="D282" s="116">
        <v>0</v>
      </c>
      <c r="E282" s="113">
        <v>0</v>
      </c>
      <c r="F282" s="113">
        <v>0</v>
      </c>
      <c r="G282" s="112" t="s">
        <v>345</v>
      </c>
      <c r="H282" s="114">
        <v>0</v>
      </c>
      <c r="I282" s="114">
        <v>0</v>
      </c>
      <c r="J282" s="115">
        <v>0</v>
      </c>
      <c r="K282" s="113">
        <v>0</v>
      </c>
      <c r="L282" t="str">
        <f>VLOOKUP(A282,'SAP Actual extraction'!$A$28:$A$1048576,1,0)</f>
        <v>debitovh    6666090100  Stamp Duty</v>
      </c>
      <c r="M282" t="str">
        <f>VLOOKUP(B282,'SAP Actual extraction'!B:B,1,0)</f>
        <v xml:space="preserve">    6666090100  Stamp Duty</v>
      </c>
    </row>
    <row r="283" spans="1:13" x14ac:dyDescent="0.3">
      <c r="A283" s="109" t="str">
        <f t="shared" si="5"/>
        <v>debitovh    6666093800  Other Taxes-CIT Deductible</v>
      </c>
      <c r="B283" s="112" t="s">
        <v>344</v>
      </c>
      <c r="C283" s="116">
        <v>0</v>
      </c>
      <c r="D283" s="116">
        <v>0</v>
      </c>
      <c r="E283" s="113">
        <v>0</v>
      </c>
      <c r="F283" s="113">
        <v>0</v>
      </c>
      <c r="G283" s="112" t="s">
        <v>344</v>
      </c>
      <c r="H283" s="114">
        <v>0</v>
      </c>
      <c r="I283" s="114">
        <v>0</v>
      </c>
      <c r="J283" s="115">
        <v>0</v>
      </c>
      <c r="K283" s="113">
        <v>0</v>
      </c>
      <c r="L283" t="str">
        <f>VLOOKUP(A283,'SAP Actual extraction'!$A$28:$A$1048576,1,0)</f>
        <v>debitovh    6666093800  Other Taxes-CIT Deductible</v>
      </c>
      <c r="M283" t="str">
        <f>VLOOKUP(B283,'SAP Actual extraction'!B:B,1,0)</f>
        <v xml:space="preserve">    6666093800  Other Taxes-CIT Deductible</v>
      </c>
    </row>
    <row r="284" spans="1:13" x14ac:dyDescent="0.3">
      <c r="A284" s="109" t="str">
        <f t="shared" si="5"/>
        <v>debitovh    5207000011  Gain of tangible asset disposal</v>
      </c>
      <c r="B284" s="112" t="s">
        <v>291</v>
      </c>
      <c r="C284" s="116">
        <v>0</v>
      </c>
      <c r="D284" s="116">
        <v>0</v>
      </c>
      <c r="E284" s="113">
        <v>0</v>
      </c>
      <c r="F284" s="113">
        <v>0</v>
      </c>
      <c r="G284" s="112" t="s">
        <v>291</v>
      </c>
      <c r="H284" s="114">
        <v>0</v>
      </c>
      <c r="I284" s="114">
        <v>0</v>
      </c>
      <c r="J284" s="115">
        <v>0</v>
      </c>
      <c r="K284" s="113">
        <v>0</v>
      </c>
      <c r="L284" t="e">
        <f>VLOOKUP(A284,'SAP Actual extraction'!$A$28:$A$1048576,1,0)</f>
        <v>#N/A</v>
      </c>
      <c r="M284" t="str">
        <f>VLOOKUP(B284,'SAP Actual extraction'!B:B,1,0)</f>
        <v xml:space="preserve">    5207000011  Gain of tangible asset disposal</v>
      </c>
    </row>
    <row r="285" spans="1:13" x14ac:dyDescent="0.3">
      <c r="A285" s="109" t="str">
        <f t="shared" si="5"/>
        <v>debitovh    5401050201  COGS-Freight out-Special and sporadic fr</v>
      </c>
      <c r="B285" s="112" t="s">
        <v>292</v>
      </c>
      <c r="C285" s="116">
        <v>0</v>
      </c>
      <c r="D285" s="116">
        <v>0</v>
      </c>
      <c r="E285" s="113">
        <v>0</v>
      </c>
      <c r="F285" s="113">
        <v>0</v>
      </c>
      <c r="G285" s="112" t="s">
        <v>292</v>
      </c>
      <c r="H285" s="114">
        <v>0</v>
      </c>
      <c r="I285" s="114">
        <v>0</v>
      </c>
      <c r="J285" s="115">
        <v>0</v>
      </c>
      <c r="K285" s="113">
        <v>0</v>
      </c>
      <c r="L285" t="e">
        <f>VLOOKUP(A285,'SAP Actual extraction'!$A$28:$A$1048576,1,0)</f>
        <v>#N/A</v>
      </c>
      <c r="M285" t="str">
        <f>VLOOKUP(B285,'SAP Actual extraction'!B:B,1,0)</f>
        <v xml:space="preserve">    5401050201  COGS-Freight out-Special and sporadic fr</v>
      </c>
    </row>
    <row r="286" spans="1:13" x14ac:dyDescent="0.3">
      <c r="A286" s="109" t="str">
        <f t="shared" si="5"/>
        <v>debitovh*   CS_Fix Cost</v>
      </c>
      <c r="B286" s="117" t="s">
        <v>211</v>
      </c>
      <c r="C286" s="118">
        <v>-151547.16</v>
      </c>
      <c r="D286" s="118">
        <v>311528.09999999998</v>
      </c>
      <c r="E286" s="118">
        <v>-463075.26</v>
      </c>
      <c r="F286" s="118">
        <v>-148.6464</v>
      </c>
      <c r="G286" s="117" t="s">
        <v>211</v>
      </c>
      <c r="H286" s="119">
        <v>0</v>
      </c>
      <c r="I286" s="119">
        <v>0</v>
      </c>
      <c r="J286" s="120">
        <v>0</v>
      </c>
      <c r="K286" s="118">
        <v>0</v>
      </c>
      <c r="L286" t="str">
        <f>VLOOKUP(A286,'SAP Actual extraction'!$A$28:$A$1048576,1,0)</f>
        <v>debitovh*   CS_Fix Cost</v>
      </c>
      <c r="M286" t="str">
        <f>VLOOKUP(B286,'SAP Actual extraction'!B:B,1,0)</f>
        <v>*   CS_Fix Cost</v>
      </c>
    </row>
    <row r="287" spans="1:13" x14ac:dyDescent="0.3">
      <c r="A287" s="109" t="str">
        <f t="shared" si="5"/>
        <v>debitovh    5102040000  Other Revenue - Other</v>
      </c>
      <c r="B287" s="112" t="s">
        <v>294</v>
      </c>
      <c r="C287" s="113">
        <v>-204.41</v>
      </c>
      <c r="D287" s="116">
        <v>0</v>
      </c>
      <c r="E287" s="113">
        <v>-204.41</v>
      </c>
      <c r="F287" s="113">
        <v>0</v>
      </c>
      <c r="G287" s="112" t="s">
        <v>294</v>
      </c>
      <c r="H287" s="114">
        <v>0</v>
      </c>
      <c r="I287" s="114">
        <v>0</v>
      </c>
      <c r="J287" s="115">
        <v>0</v>
      </c>
      <c r="K287" s="113">
        <v>0</v>
      </c>
      <c r="L287" t="str">
        <f>VLOOKUP(A287,'SAP Actual extraction'!$A$28:$A$1048576,1,0)</f>
        <v>debitovh    5102040000  Other Revenue - Other</v>
      </c>
      <c r="M287" t="str">
        <f>VLOOKUP(B287,'SAP Actual extraction'!B:B,1,0)</f>
        <v xml:space="preserve">    5102040000  Other Revenue - Other</v>
      </c>
    </row>
    <row r="288" spans="1:13" x14ac:dyDescent="0.3">
      <c r="A288" s="109" t="str">
        <f t="shared" si="5"/>
        <v>debitovh*   CS_Variable Cost</v>
      </c>
      <c r="B288" s="117" t="s">
        <v>213</v>
      </c>
      <c r="C288" s="118">
        <v>-204.41</v>
      </c>
      <c r="D288" s="125">
        <v>0</v>
      </c>
      <c r="E288" s="118">
        <v>-204.41</v>
      </c>
      <c r="F288" s="118">
        <v>0</v>
      </c>
      <c r="G288" s="117" t="s">
        <v>213</v>
      </c>
      <c r="H288" s="119">
        <v>0</v>
      </c>
      <c r="I288" s="119">
        <v>0</v>
      </c>
      <c r="J288" s="120">
        <v>0</v>
      </c>
      <c r="K288" s="118">
        <v>0</v>
      </c>
      <c r="L288" t="str">
        <f>VLOOKUP(A288,'SAP Actual extraction'!$A$28:$A$1048576,1,0)</f>
        <v>debitovh*   CS_Variable Cost</v>
      </c>
      <c r="M288" t="str">
        <f>VLOOKUP(B288,'SAP Actual extraction'!B:B,1,0)</f>
        <v>*   CS_Variable Cost</v>
      </c>
    </row>
    <row r="289" spans="1:13" x14ac:dyDescent="0.3">
      <c r="A289" s="109" t="str">
        <f t="shared" si="5"/>
        <v>debitovh    5301070000  Non-operation revenue-sales of scrapped</v>
      </c>
      <c r="B289" s="112" t="s">
        <v>297</v>
      </c>
      <c r="C289" s="116">
        <v>0</v>
      </c>
      <c r="D289" s="116">
        <v>0</v>
      </c>
      <c r="E289" s="113">
        <v>0</v>
      </c>
      <c r="F289" s="113">
        <v>0</v>
      </c>
      <c r="G289" s="112" t="s">
        <v>297</v>
      </c>
      <c r="H289" s="114">
        <v>0</v>
      </c>
      <c r="I289" s="114">
        <v>0</v>
      </c>
      <c r="J289" s="115">
        <v>0</v>
      </c>
      <c r="K289" s="113">
        <v>0</v>
      </c>
      <c r="L289" t="e">
        <f>VLOOKUP(A289,'SAP Actual extraction'!$A$28:$A$1048576,1,0)</f>
        <v>#N/A</v>
      </c>
      <c r="M289" t="str">
        <f>VLOOKUP(B289,'SAP Actual extraction'!B:B,1,0)</f>
        <v xml:space="preserve">    5301070000  Non-operation revenue-sales of scrapped</v>
      </c>
    </row>
    <row r="290" spans="1:13" x14ac:dyDescent="0.3">
      <c r="A290" s="109" t="str">
        <f t="shared" si="5"/>
        <v>debitovh*   CS_Reselling</v>
      </c>
      <c r="B290" s="117" t="s">
        <v>215</v>
      </c>
      <c r="C290" s="125">
        <v>0</v>
      </c>
      <c r="D290" s="125">
        <v>0</v>
      </c>
      <c r="E290" s="118">
        <v>0</v>
      </c>
      <c r="F290" s="118">
        <v>0</v>
      </c>
      <c r="G290" s="117" t="s">
        <v>215</v>
      </c>
      <c r="H290" s="119">
        <v>0</v>
      </c>
      <c r="I290" s="119">
        <v>0</v>
      </c>
      <c r="J290" s="120">
        <v>0</v>
      </c>
      <c r="K290" s="118">
        <v>0</v>
      </c>
      <c r="L290" t="e">
        <f>VLOOKUP(A290,'SAP Actual extraction'!$A$28:$A$1048576,1,0)</f>
        <v>#N/A</v>
      </c>
      <c r="M290" t="str">
        <f>VLOOKUP(B290,'SAP Actual extraction'!B:B,1,0)</f>
        <v>*   CS_Reselling</v>
      </c>
    </row>
    <row r="291" spans="1:13" x14ac:dyDescent="0.3">
      <c r="A291" s="109" t="str">
        <f t="shared" si="5"/>
        <v>debitovh    6666021600  Energy and power cost</v>
      </c>
      <c r="B291" s="112" t="s">
        <v>299</v>
      </c>
      <c r="C291" s="113">
        <v>1498.11</v>
      </c>
      <c r="D291" s="116">
        <v>0</v>
      </c>
      <c r="E291" s="113">
        <v>1498.11</v>
      </c>
      <c r="F291" s="113">
        <v>0</v>
      </c>
      <c r="G291" s="112" t="s">
        <v>299</v>
      </c>
      <c r="H291" s="114">
        <v>0</v>
      </c>
      <c r="I291" s="114">
        <v>0</v>
      </c>
      <c r="J291" s="115">
        <v>0</v>
      </c>
      <c r="K291" s="113">
        <v>0</v>
      </c>
      <c r="L291" t="str">
        <f>VLOOKUP(A291,'SAP Actual extraction'!$A$28:$A$1048576,1,0)</f>
        <v>debitovh    6666021600  Energy and power cost</v>
      </c>
      <c r="M291" t="str">
        <f>VLOOKUP(B291,'SAP Actual extraction'!B:B,1,0)</f>
        <v xml:space="preserve">    6666021600  Energy and power cost</v>
      </c>
    </row>
    <row r="292" spans="1:13" x14ac:dyDescent="0.3">
      <c r="A292" s="109" t="str">
        <f t="shared" si="5"/>
        <v>debitovh    6666021604  Oil &amp; Gas</v>
      </c>
      <c r="B292" s="112" t="s">
        <v>301</v>
      </c>
      <c r="C292" s="113">
        <v>32.1</v>
      </c>
      <c r="D292" s="116">
        <v>0</v>
      </c>
      <c r="E292" s="113">
        <v>32.1</v>
      </c>
      <c r="F292" s="113">
        <v>0</v>
      </c>
      <c r="G292" s="112" t="s">
        <v>301</v>
      </c>
      <c r="H292" s="114">
        <v>0</v>
      </c>
      <c r="I292" s="114">
        <v>0</v>
      </c>
      <c r="J292" s="115">
        <v>0</v>
      </c>
      <c r="K292" s="113">
        <v>0</v>
      </c>
      <c r="L292" t="str">
        <f>VLOOKUP(A292,'SAP Actual extraction'!$A$28:$A$1048576,1,0)</f>
        <v>debitovh    6666021604  Oil &amp; Gas</v>
      </c>
      <c r="M292" t="str">
        <f>VLOOKUP(B292,'SAP Actual extraction'!B:B,1,0)</f>
        <v xml:space="preserve">    6666021604  Oil &amp; Gas</v>
      </c>
    </row>
    <row r="293" spans="1:13" x14ac:dyDescent="0.3">
      <c r="A293" s="109" t="str">
        <f t="shared" si="5"/>
        <v>debitovh*   CS_Variable Utilities</v>
      </c>
      <c r="B293" s="117" t="s">
        <v>217</v>
      </c>
      <c r="C293" s="118">
        <v>1530.21</v>
      </c>
      <c r="D293" s="125">
        <v>0</v>
      </c>
      <c r="E293" s="118">
        <v>1530.21</v>
      </c>
      <c r="F293" s="118">
        <v>0</v>
      </c>
      <c r="G293" s="117" t="s">
        <v>217</v>
      </c>
      <c r="H293" s="119">
        <v>0</v>
      </c>
      <c r="I293" s="119">
        <v>0</v>
      </c>
      <c r="J293" s="120">
        <v>0</v>
      </c>
      <c r="K293" s="118">
        <v>0</v>
      </c>
      <c r="L293" t="str">
        <f>VLOOKUP(A293,'SAP Actual extraction'!$A$28:$A$1048576,1,0)</f>
        <v>debitovh*   CS_Variable Utilities</v>
      </c>
      <c r="M293" t="str">
        <f>VLOOKUP(B293,'SAP Actual extraction'!B:B,1,0)</f>
        <v>*   CS_Variable Utilities</v>
      </c>
    </row>
    <row r="294" spans="1:13" x14ac:dyDescent="0.3">
      <c r="A294" s="109" t="str">
        <f t="shared" si="5"/>
        <v>debitovh    6666010012  Payroll Taxes- Blue Collar Indirect</v>
      </c>
      <c r="B294" s="112" t="s">
        <v>306</v>
      </c>
      <c r="C294" s="116">
        <v>0</v>
      </c>
      <c r="D294" s="116">
        <v>0</v>
      </c>
      <c r="E294" s="113">
        <v>0</v>
      </c>
      <c r="F294" s="113">
        <v>0</v>
      </c>
      <c r="G294" s="112" t="s">
        <v>306</v>
      </c>
      <c r="H294" s="114">
        <v>0</v>
      </c>
      <c r="I294" s="114">
        <v>0</v>
      </c>
      <c r="J294" s="115">
        <v>0</v>
      </c>
      <c r="K294" s="113">
        <v>0</v>
      </c>
      <c r="L294" t="str">
        <f>VLOOKUP(A294,'SAP Actual extraction'!$A$28:$A$1048576,1,0)</f>
        <v>debitovh    6666010012  Payroll Taxes- Blue Collar Indirect</v>
      </c>
      <c r="M294" t="str">
        <f>VLOOKUP(B294,'SAP Actual extraction'!B:B,1,0)</f>
        <v xml:space="preserve">    6666010012  Payroll Taxes- Blue Collar Indirect</v>
      </c>
    </row>
    <row r="295" spans="1:13" x14ac:dyDescent="0.3">
      <c r="A295" s="109" t="str">
        <f t="shared" si="5"/>
        <v>debitovh    6666010102  Salary-Blue collar indirect employees- A</v>
      </c>
      <c r="B295" s="112" t="s">
        <v>308</v>
      </c>
      <c r="C295" s="113">
        <v>27.5</v>
      </c>
      <c r="D295" s="116">
        <v>0</v>
      </c>
      <c r="E295" s="113">
        <v>27.5</v>
      </c>
      <c r="F295" s="113">
        <v>0</v>
      </c>
      <c r="G295" s="112" t="s">
        <v>308</v>
      </c>
      <c r="H295" s="114">
        <v>0</v>
      </c>
      <c r="I295" s="114">
        <v>0</v>
      </c>
      <c r="J295" s="115">
        <v>0</v>
      </c>
      <c r="K295" s="113">
        <v>0</v>
      </c>
      <c r="L295" t="str">
        <f>VLOOKUP(A295,'SAP Actual extraction'!$A$28:$A$1048576,1,0)</f>
        <v>debitovh    6666010102  Salary-Blue collar indirect employees- A</v>
      </c>
      <c r="M295" t="str">
        <f>VLOOKUP(B295,'SAP Actual extraction'!B:B,1,0)</f>
        <v xml:space="preserve">    6666010102  Salary-Blue collar indirect employees- A</v>
      </c>
    </row>
    <row r="296" spans="1:13" x14ac:dyDescent="0.3">
      <c r="A296" s="109" t="str">
        <f t="shared" si="5"/>
        <v>debitovh*   CS_Indirect Labour</v>
      </c>
      <c r="B296" s="117" t="s">
        <v>218</v>
      </c>
      <c r="C296" s="118">
        <v>27.5</v>
      </c>
      <c r="D296" s="125">
        <v>0</v>
      </c>
      <c r="E296" s="118">
        <v>27.5</v>
      </c>
      <c r="F296" s="118">
        <v>0</v>
      </c>
      <c r="G296" s="117" t="s">
        <v>218</v>
      </c>
      <c r="H296" s="119">
        <v>0</v>
      </c>
      <c r="I296" s="119">
        <v>0</v>
      </c>
      <c r="J296" s="120">
        <v>0</v>
      </c>
      <c r="K296" s="118">
        <v>0</v>
      </c>
      <c r="L296" t="str">
        <f>VLOOKUP(A296,'SAP Actual extraction'!$A$28:$A$1048576,1,0)</f>
        <v>debitovh*   CS_Indirect Labour</v>
      </c>
      <c r="M296" t="str">
        <f>VLOOKUP(B296,'SAP Actual extraction'!B:B,1,0)</f>
        <v>*   CS_Indirect Labour</v>
      </c>
    </row>
    <row r="297" spans="1:13" x14ac:dyDescent="0.3">
      <c r="A297" s="109" t="str">
        <f t="shared" si="5"/>
        <v>debitovh    6666010196  Payroll Taxes-White Collar Employee</v>
      </c>
      <c r="B297" s="112" t="s">
        <v>309</v>
      </c>
      <c r="C297" s="113">
        <v>1557.8</v>
      </c>
      <c r="D297" s="116">
        <v>0</v>
      </c>
      <c r="E297" s="113">
        <v>1557.8</v>
      </c>
      <c r="F297" s="113">
        <v>0</v>
      </c>
      <c r="G297" s="112" t="s">
        <v>309</v>
      </c>
      <c r="H297" s="114">
        <v>0</v>
      </c>
      <c r="I297" s="114">
        <v>0</v>
      </c>
      <c r="J297" s="115">
        <v>0</v>
      </c>
      <c r="K297" s="113">
        <v>0</v>
      </c>
      <c r="L297" t="str">
        <f>VLOOKUP(A297,'SAP Actual extraction'!$A$28:$A$1048576,1,0)</f>
        <v>debitovh    6666010196  Payroll Taxes-White Collar Employee</v>
      </c>
      <c r="M297" t="str">
        <f>VLOOKUP(B297,'SAP Actual extraction'!B:B,1,0)</f>
        <v xml:space="preserve">    6666010196  Payroll Taxes-White Collar Employee</v>
      </c>
    </row>
    <row r="298" spans="1:13" x14ac:dyDescent="0.3">
      <c r="A298" s="109" t="str">
        <f t="shared" si="5"/>
        <v>debitovh    6666010101  Salary - White collar employees</v>
      </c>
      <c r="B298" s="112" t="s">
        <v>310</v>
      </c>
      <c r="C298" s="113">
        <v>11206.03</v>
      </c>
      <c r="D298" s="116">
        <v>0</v>
      </c>
      <c r="E298" s="113">
        <v>11206.03</v>
      </c>
      <c r="F298" s="113">
        <v>0</v>
      </c>
      <c r="G298" s="112" t="s">
        <v>310</v>
      </c>
      <c r="H298" s="114">
        <v>0</v>
      </c>
      <c r="I298" s="114">
        <v>0</v>
      </c>
      <c r="J298" s="115">
        <v>0</v>
      </c>
      <c r="K298" s="113">
        <v>0</v>
      </c>
      <c r="L298" t="str">
        <f>VLOOKUP(A298,'SAP Actual extraction'!$A$28:$A$1048576,1,0)</f>
        <v>debitovh    6666010101  Salary - White collar employees</v>
      </c>
      <c r="M298" t="str">
        <f>VLOOKUP(B298,'SAP Actual extraction'!B:B,1,0)</f>
        <v xml:space="preserve">    6666010101  Salary - White collar employees</v>
      </c>
    </row>
    <row r="299" spans="1:13" x14ac:dyDescent="0.3">
      <c r="A299" s="109" t="str">
        <f t="shared" si="5"/>
        <v>debitovh    6666010199  Salary-White collar employees -Accrued</v>
      </c>
      <c r="B299" s="112" t="s">
        <v>311</v>
      </c>
      <c r="C299" s="113">
        <v>100.91</v>
      </c>
      <c r="D299" s="116">
        <v>0</v>
      </c>
      <c r="E299" s="113">
        <v>100.91</v>
      </c>
      <c r="F299" s="113">
        <v>0</v>
      </c>
      <c r="G299" s="112" t="s">
        <v>311</v>
      </c>
      <c r="H299" s="114">
        <v>0</v>
      </c>
      <c r="I299" s="114">
        <v>0</v>
      </c>
      <c r="J299" s="115">
        <v>0</v>
      </c>
      <c r="K299" s="113">
        <v>0</v>
      </c>
      <c r="L299" t="str">
        <f>VLOOKUP(A299,'SAP Actual extraction'!$A$28:$A$1048576,1,0)</f>
        <v>debitovh    6666010199  Salary-White collar employees -Accrued</v>
      </c>
      <c r="M299" t="str">
        <f>VLOOKUP(B299,'SAP Actual extraction'!B:B,1,0)</f>
        <v xml:space="preserve">    6666010199  Salary-White collar employees -Accrued</v>
      </c>
    </row>
    <row r="300" spans="1:13" x14ac:dyDescent="0.3">
      <c r="A300" s="109" t="str">
        <f t="shared" si="5"/>
        <v>debitovh    6666010207  Unemployment insurance companies to pay</v>
      </c>
      <c r="B300" s="112" t="s">
        <v>313</v>
      </c>
      <c r="C300" s="113">
        <v>164.1</v>
      </c>
      <c r="D300" s="116">
        <v>0</v>
      </c>
      <c r="E300" s="113">
        <v>164.1</v>
      </c>
      <c r="F300" s="113">
        <v>0</v>
      </c>
      <c r="G300" s="112" t="s">
        <v>313</v>
      </c>
      <c r="H300" s="114">
        <v>0</v>
      </c>
      <c r="I300" s="114">
        <v>0</v>
      </c>
      <c r="J300" s="115">
        <v>0</v>
      </c>
      <c r="K300" s="113">
        <v>0</v>
      </c>
      <c r="L300" t="str">
        <f>VLOOKUP(A300,'SAP Actual extraction'!$A$28:$A$1048576,1,0)</f>
        <v>debitovh    6666010207  Unemployment insurance companies to pay</v>
      </c>
      <c r="M300" t="str">
        <f>VLOOKUP(B300,'SAP Actual extraction'!B:B,1,0)</f>
        <v xml:space="preserve">    6666010207  Unemployment insurance companies to pay</v>
      </c>
    </row>
    <row r="301" spans="1:13" x14ac:dyDescent="0.3">
      <c r="A301" s="109" t="str">
        <f t="shared" si="5"/>
        <v>debitovh    6666010227  Staff Leaving Indemnity - White collar E</v>
      </c>
      <c r="B301" s="112" t="s">
        <v>315</v>
      </c>
      <c r="C301" s="113">
        <v>190.51</v>
      </c>
      <c r="D301" s="116">
        <v>0</v>
      </c>
      <c r="E301" s="113">
        <v>190.51</v>
      </c>
      <c r="F301" s="113">
        <v>0</v>
      </c>
      <c r="G301" s="112" t="s">
        <v>315</v>
      </c>
      <c r="H301" s="114">
        <v>0</v>
      </c>
      <c r="I301" s="114">
        <v>0</v>
      </c>
      <c r="J301" s="115">
        <v>0</v>
      </c>
      <c r="K301" s="113">
        <v>0</v>
      </c>
      <c r="L301" t="str">
        <f>VLOOKUP(A301,'SAP Actual extraction'!$A$28:$A$1048576,1,0)</f>
        <v>debitovh    6666010227  Staff Leaving Indemnity - White collar E</v>
      </c>
      <c r="M301" t="str">
        <f>VLOOKUP(B301,'SAP Actual extraction'!B:B,1,0)</f>
        <v xml:space="preserve">    6666010227  Staff Leaving Indemnity - White collar E</v>
      </c>
    </row>
    <row r="302" spans="1:13" x14ac:dyDescent="0.3">
      <c r="A302" s="109" t="str">
        <f t="shared" ref="A302:A311" si="6">"debit"&amp;"ovh"&amp;B302</f>
        <v>debitovh*   CS_Fixed Labour</v>
      </c>
      <c r="B302" s="117" t="s">
        <v>219</v>
      </c>
      <c r="C302" s="118">
        <v>13219.35</v>
      </c>
      <c r="D302" s="125">
        <v>0</v>
      </c>
      <c r="E302" s="118">
        <v>13219.35</v>
      </c>
      <c r="F302" s="118">
        <v>0</v>
      </c>
      <c r="G302" s="117" t="s">
        <v>219</v>
      </c>
      <c r="H302" s="119">
        <v>0</v>
      </c>
      <c r="I302" s="119">
        <v>0</v>
      </c>
      <c r="J302" s="120">
        <v>0</v>
      </c>
      <c r="K302" s="118">
        <v>0</v>
      </c>
      <c r="L302" t="str">
        <f>VLOOKUP(A302,'SAP Actual extraction'!$A$28:$A$1048576,1,0)</f>
        <v>debitovh*   CS_Fixed Labour</v>
      </c>
      <c r="M302" t="str">
        <f>VLOOKUP(B302,'SAP Actual extraction'!B:B,1,0)</f>
        <v>*   CS_Fixed Labour</v>
      </c>
    </row>
    <row r="303" spans="1:13" x14ac:dyDescent="0.3">
      <c r="A303" s="109" t="str">
        <f t="shared" si="6"/>
        <v>debitovh    6666010314  Work uniforms</v>
      </c>
      <c r="B303" s="112" t="s">
        <v>318</v>
      </c>
      <c r="C303" s="116">
        <v>0</v>
      </c>
      <c r="D303" s="116">
        <v>0</v>
      </c>
      <c r="E303" s="113">
        <v>0</v>
      </c>
      <c r="F303" s="113">
        <v>0</v>
      </c>
      <c r="G303" s="112" t="s">
        <v>318</v>
      </c>
      <c r="H303" s="114">
        <v>0</v>
      </c>
      <c r="I303" s="114">
        <v>0</v>
      </c>
      <c r="J303" s="115">
        <v>0</v>
      </c>
      <c r="K303" s="113">
        <v>0</v>
      </c>
      <c r="L303" t="str">
        <f>VLOOKUP(A303,'SAP Actual extraction'!$A$28:$A$1048576,1,0)</f>
        <v>debitovh    6666010314  Work uniforms</v>
      </c>
      <c r="M303" t="str">
        <f>VLOOKUP(B303,'SAP Actual extraction'!B:B,1,0)</f>
        <v xml:space="preserve">    6666010314  Work uniforms</v>
      </c>
    </row>
    <row r="304" spans="1:13" x14ac:dyDescent="0.3">
      <c r="A304" s="109" t="str">
        <f t="shared" si="6"/>
        <v>debitovh    6666020401  local transportation - bus and taxi</v>
      </c>
      <c r="B304" s="112" t="s">
        <v>319</v>
      </c>
      <c r="C304" s="113">
        <v>77.040000000000006</v>
      </c>
      <c r="D304" s="116">
        <v>0</v>
      </c>
      <c r="E304" s="113">
        <v>77.040000000000006</v>
      </c>
      <c r="F304" s="113">
        <v>0</v>
      </c>
      <c r="G304" s="112" t="s">
        <v>319</v>
      </c>
      <c r="H304" s="114">
        <v>0</v>
      </c>
      <c r="I304" s="114">
        <v>0</v>
      </c>
      <c r="J304" s="115">
        <v>0</v>
      </c>
      <c r="K304" s="113">
        <v>0</v>
      </c>
      <c r="L304" t="str">
        <f>VLOOKUP(A304,'SAP Actual extraction'!$A$28:$A$1048576,1,0)</f>
        <v>debitovh    6666020401  local transportation - bus and taxi</v>
      </c>
      <c r="M304" t="str">
        <f>VLOOKUP(B304,'SAP Actual extraction'!B:B,1,0)</f>
        <v xml:space="preserve">    6666020401  local transportation - bus and taxi</v>
      </c>
    </row>
    <row r="305" spans="1:13" x14ac:dyDescent="0.3">
      <c r="A305" s="109" t="str">
        <f t="shared" si="6"/>
        <v>debitovh    6666020502  Working meals</v>
      </c>
      <c r="B305" s="112" t="s">
        <v>321</v>
      </c>
      <c r="C305" s="113">
        <v>399.83</v>
      </c>
      <c r="D305" s="116">
        <v>0</v>
      </c>
      <c r="E305" s="113">
        <v>399.83</v>
      </c>
      <c r="F305" s="113">
        <v>0</v>
      </c>
      <c r="G305" s="112" t="s">
        <v>321</v>
      </c>
      <c r="H305" s="114">
        <v>0</v>
      </c>
      <c r="I305" s="114">
        <v>0</v>
      </c>
      <c r="J305" s="115">
        <v>0</v>
      </c>
      <c r="K305" s="113">
        <v>0</v>
      </c>
      <c r="L305" t="str">
        <f>VLOOKUP(A305,'SAP Actual extraction'!$A$28:$A$1048576,1,0)</f>
        <v>debitovh    6666020502  Working meals</v>
      </c>
      <c r="M305" t="str">
        <f>VLOOKUP(B305,'SAP Actual extraction'!B:B,1,0)</f>
        <v xml:space="preserve">    6666020502  Working meals</v>
      </c>
    </row>
    <row r="306" spans="1:13" x14ac:dyDescent="0.3">
      <c r="A306" s="109" t="str">
        <f t="shared" si="6"/>
        <v>debitovh    6666020503  Office supplies</v>
      </c>
      <c r="B306" s="112" t="s">
        <v>322</v>
      </c>
      <c r="C306" s="113">
        <v>14.17</v>
      </c>
      <c r="D306" s="116">
        <v>0</v>
      </c>
      <c r="E306" s="113">
        <v>14.17</v>
      </c>
      <c r="F306" s="113">
        <v>0</v>
      </c>
      <c r="G306" s="112" t="s">
        <v>322</v>
      </c>
      <c r="H306" s="114">
        <v>0</v>
      </c>
      <c r="I306" s="114">
        <v>0</v>
      </c>
      <c r="J306" s="115">
        <v>0</v>
      </c>
      <c r="K306" s="113">
        <v>0</v>
      </c>
      <c r="L306" t="str">
        <f>VLOOKUP(A306,'SAP Actual extraction'!$A$28:$A$1048576,1,0)</f>
        <v>debitovh    6666020503  Office supplies</v>
      </c>
      <c r="M306" t="str">
        <f>VLOOKUP(B306,'SAP Actual extraction'!B:B,1,0)</f>
        <v xml:space="preserve">    6666020503  Office supplies</v>
      </c>
    </row>
    <row r="307" spans="1:13" x14ac:dyDescent="0.3">
      <c r="A307" s="109" t="str">
        <f t="shared" si="6"/>
        <v>debitovh    6666021502  Repair &amp; Maintain - Building&amp;office</v>
      </c>
      <c r="B307" s="112" t="s">
        <v>324</v>
      </c>
      <c r="C307" s="113">
        <v>114.75</v>
      </c>
      <c r="D307" s="116">
        <v>0</v>
      </c>
      <c r="E307" s="113">
        <v>114.75</v>
      </c>
      <c r="F307" s="113">
        <v>0</v>
      </c>
      <c r="G307" s="112" t="s">
        <v>324</v>
      </c>
      <c r="H307" s="114">
        <v>0</v>
      </c>
      <c r="I307" s="114">
        <v>0</v>
      </c>
      <c r="J307" s="115">
        <v>0</v>
      </c>
      <c r="K307" s="113">
        <v>0</v>
      </c>
      <c r="L307" t="str">
        <f>VLOOKUP(A307,'SAP Actual extraction'!$A$28:$A$1048576,1,0)</f>
        <v>debitovh    6666021502  Repair &amp; Maintain - Building&amp;office</v>
      </c>
      <c r="M307" t="str">
        <f>VLOOKUP(B307,'SAP Actual extraction'!B:B,1,0)</f>
        <v xml:space="preserve">    6666021502  Repair &amp; Maintain - Building&amp;office</v>
      </c>
    </row>
    <row r="308" spans="1:13" x14ac:dyDescent="0.3">
      <c r="A308" s="109" t="str">
        <f t="shared" si="6"/>
        <v>debitovh    6666021505  Repairs &amp; Maintenance - Vehicles</v>
      </c>
      <c r="B308" s="112" t="s">
        <v>326</v>
      </c>
      <c r="C308" s="113">
        <v>26.87</v>
      </c>
      <c r="D308" s="116">
        <v>0</v>
      </c>
      <c r="E308" s="113">
        <v>26.87</v>
      </c>
      <c r="F308" s="113">
        <v>0</v>
      </c>
      <c r="G308" s="112" t="s">
        <v>326</v>
      </c>
      <c r="H308" s="114">
        <v>0</v>
      </c>
      <c r="I308" s="114">
        <v>0</v>
      </c>
      <c r="J308" s="115">
        <v>0</v>
      </c>
      <c r="K308" s="113">
        <v>0</v>
      </c>
      <c r="L308" t="str">
        <f>VLOOKUP(A308,'SAP Actual extraction'!$A$28:$A$1048576,1,0)</f>
        <v>debitovh    6666021505  Repairs &amp; Maintenance - Vehicles</v>
      </c>
      <c r="M308" t="str">
        <f>VLOOKUP(B308,'SAP Actual extraction'!B:B,1,0)</f>
        <v xml:space="preserve">    6666021505  Repairs &amp; Maintenance - Vehicles</v>
      </c>
    </row>
    <row r="309" spans="1:13" x14ac:dyDescent="0.3">
      <c r="A309" s="109" t="str">
        <f t="shared" si="6"/>
        <v>debitovh    6666091600  Garbage disposal charge</v>
      </c>
      <c r="B309" s="112" t="s">
        <v>328</v>
      </c>
      <c r="C309" s="113">
        <v>5.18</v>
      </c>
      <c r="D309" s="116">
        <v>0</v>
      </c>
      <c r="E309" s="113">
        <v>5.18</v>
      </c>
      <c r="F309" s="113">
        <v>0</v>
      </c>
      <c r="G309" s="112" t="s">
        <v>328</v>
      </c>
      <c r="H309" s="114">
        <v>0</v>
      </c>
      <c r="I309" s="114">
        <v>0</v>
      </c>
      <c r="J309" s="115">
        <v>0</v>
      </c>
      <c r="K309" s="113">
        <v>0</v>
      </c>
      <c r="L309" t="str">
        <f>VLOOKUP(A309,'SAP Actual extraction'!$A$28:$A$1048576,1,0)</f>
        <v>debitovh    6666091600  Garbage disposal charge</v>
      </c>
      <c r="M309" t="str">
        <f>VLOOKUP(B309,'SAP Actual extraction'!B:B,1,0)</f>
        <v xml:space="preserve">    6666091600  Garbage disposal charge</v>
      </c>
    </row>
    <row r="310" spans="1:13" x14ac:dyDescent="0.3">
      <c r="A310" s="109" t="str">
        <f t="shared" si="6"/>
        <v>debitovh*   CS_Semifix</v>
      </c>
      <c r="B310" s="117" t="s">
        <v>220</v>
      </c>
      <c r="C310" s="118">
        <v>637.84</v>
      </c>
      <c r="D310" s="125">
        <v>0</v>
      </c>
      <c r="E310" s="118">
        <v>637.84</v>
      </c>
      <c r="F310" s="118">
        <v>0</v>
      </c>
      <c r="G310" s="117" t="s">
        <v>220</v>
      </c>
      <c r="H310" s="119">
        <v>0</v>
      </c>
      <c r="I310" s="119">
        <v>0</v>
      </c>
      <c r="J310" s="120">
        <v>0</v>
      </c>
      <c r="K310" s="118">
        <v>0</v>
      </c>
      <c r="L310" t="str">
        <f>VLOOKUP(A310,'SAP Actual extraction'!$A$28:$A$1048576,1,0)</f>
        <v>debitovh*   CS_Semifix</v>
      </c>
      <c r="M310" t="str">
        <f>VLOOKUP(B310,'SAP Actual extraction'!B:B,1,0)</f>
        <v>*   CS_Semifix</v>
      </c>
    </row>
    <row r="311" spans="1:13" x14ac:dyDescent="0.3">
      <c r="A311" s="109" t="str">
        <f t="shared" si="6"/>
        <v>debitovh**  Debit</v>
      </c>
      <c r="B311" s="121" t="s">
        <v>331</v>
      </c>
      <c r="C311" s="122">
        <v>-135958.73000000001</v>
      </c>
      <c r="D311" s="122">
        <v>311528.09999999998</v>
      </c>
      <c r="E311" s="122">
        <v>-447486.83</v>
      </c>
      <c r="F311" s="122">
        <v>-143.64250000000001</v>
      </c>
      <c r="G311" s="121" t="s">
        <v>331</v>
      </c>
      <c r="H311" s="123">
        <v>0</v>
      </c>
      <c r="I311" s="123">
        <v>0</v>
      </c>
      <c r="J311" s="124">
        <v>0</v>
      </c>
      <c r="K311" s="122">
        <v>0</v>
      </c>
      <c r="L311" t="str">
        <f>VLOOKUP(A311,'SAP Actual extraction'!$A$28:$A$1048576,1,0)</f>
        <v>debitovh**  Debit</v>
      </c>
      <c r="M311" t="str">
        <f>VLOOKUP(B311,'SAP Actual extraction'!B:B,1,0)</f>
        <v>**  Debit</v>
      </c>
    </row>
    <row r="312" spans="1:13" x14ac:dyDescent="0.3">
      <c r="A312" s="154" t="str">
        <f t="shared" ref="A312:A315" si="7">"credit"&amp;"ovh"&amp;B312</f>
        <v>creditovh    600006      OVH Administrative</v>
      </c>
      <c r="B312" s="112" t="s">
        <v>330</v>
      </c>
      <c r="C312" s="113">
        <v>135958.59</v>
      </c>
      <c r="D312" s="113">
        <v>-311528.09999999998</v>
      </c>
      <c r="E312" s="113">
        <v>447486.69</v>
      </c>
      <c r="F312" s="113">
        <v>-143.64250000000001</v>
      </c>
      <c r="G312" s="112" t="s">
        <v>330</v>
      </c>
      <c r="H312" s="114">
        <v>0</v>
      </c>
      <c r="I312" s="114">
        <v>0</v>
      </c>
      <c r="J312" s="115">
        <v>0</v>
      </c>
      <c r="K312" s="113">
        <v>0</v>
      </c>
      <c r="L312" t="str">
        <f>VLOOKUP(A312,'SAP Actual extraction'!$A$28:$A$1048576,1,0)</f>
        <v>creditovh    600006      OVH Administrative</v>
      </c>
      <c r="M312" t="str">
        <f>VLOOKUP(B312,'SAP Actual extraction'!B:B,1,0)</f>
        <v xml:space="preserve">    600006      OVH Administrative</v>
      </c>
    </row>
    <row r="313" spans="1:13" x14ac:dyDescent="0.3">
      <c r="A313" s="154" t="str">
        <f t="shared" si="7"/>
        <v>creditovh*   CS_OVH_ADM</v>
      </c>
      <c r="B313" s="117" t="s">
        <v>221</v>
      </c>
      <c r="C313" s="118">
        <v>135958.59</v>
      </c>
      <c r="D313" s="118">
        <v>-311528.09999999998</v>
      </c>
      <c r="E313" s="118">
        <v>447486.69</v>
      </c>
      <c r="F313" s="118">
        <v>-143.64250000000001</v>
      </c>
      <c r="G313" s="117" t="s">
        <v>221</v>
      </c>
      <c r="H313" s="119">
        <v>0</v>
      </c>
      <c r="I313" s="119">
        <v>0</v>
      </c>
      <c r="J313" s="120">
        <v>0</v>
      </c>
      <c r="K313" s="118">
        <v>0</v>
      </c>
    </row>
    <row r="314" spans="1:13" x14ac:dyDescent="0.3">
      <c r="A314" s="154" t="str">
        <f t="shared" si="7"/>
        <v>creditovh**  Credit</v>
      </c>
      <c r="B314" s="121" t="s">
        <v>332</v>
      </c>
      <c r="C314" s="122">
        <v>135958.59</v>
      </c>
      <c r="D314" s="122">
        <v>-311528.09999999998</v>
      </c>
      <c r="E314" s="122">
        <v>447486.69</v>
      </c>
      <c r="F314" s="122">
        <v>-143.64250000000001</v>
      </c>
      <c r="G314" s="121" t="s">
        <v>332</v>
      </c>
      <c r="H314" s="123">
        <v>0</v>
      </c>
      <c r="I314" s="123">
        <v>0</v>
      </c>
      <c r="J314" s="124">
        <v>0</v>
      </c>
      <c r="K314" s="122">
        <v>0</v>
      </c>
    </row>
    <row r="315" spans="1:13" x14ac:dyDescent="0.3">
      <c r="A315" s="154" t="str">
        <f t="shared" si="7"/>
        <v>creditovh*** Over/Underabsorption</v>
      </c>
      <c r="B315" s="126" t="s">
        <v>333</v>
      </c>
      <c r="C315" s="127">
        <v>-0.14000000000000001</v>
      </c>
      <c r="D315" s="127">
        <v>0</v>
      </c>
      <c r="E315" s="127">
        <v>-0.14000000000000001</v>
      </c>
      <c r="F315" s="127">
        <v>0</v>
      </c>
      <c r="G315" s="126" t="s">
        <v>333</v>
      </c>
      <c r="H315" s="128">
        <v>0</v>
      </c>
      <c r="I315" s="128">
        <v>0</v>
      </c>
      <c r="J315" s="128">
        <v>0</v>
      </c>
      <c r="K315" s="127">
        <v>0</v>
      </c>
    </row>
  </sheetData>
  <autoFilter ref="A13:L234" xr:uid="{1FECCBAC-476A-48DF-82FF-049E04967503}"/>
  <conditionalFormatting sqref="L14:L234 L237:L806">
    <cfRule type="cellIs" dxfId="3" priority="1" operator="notEqual">
      <formula>A14</formula>
    </cfRule>
  </conditionalFormatting>
  <conditionalFormatting sqref="O231">
    <cfRule type="cellIs" dxfId="2" priority="3" operator="notEqual">
      <formula>A233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6BC2-0740-4D50-A9E2-6387B8679B36}">
  <sheetPr>
    <tabColor rgb="FFFF0000"/>
  </sheetPr>
  <dimension ref="A1:M320"/>
  <sheetViews>
    <sheetView topLeftCell="B304" zoomScale="60" zoomScaleNormal="60" workbookViewId="0">
      <selection activeCell="C16" sqref="C16"/>
    </sheetView>
  </sheetViews>
  <sheetFormatPr defaultColWidth="8.77734375" defaultRowHeight="14.4" x14ac:dyDescent="0.3"/>
  <cols>
    <col min="1" max="1" width="54.5546875" style="109" bestFit="1" customWidth="1"/>
    <col min="2" max="2" width="72.5546875" style="109" bestFit="1" customWidth="1"/>
    <col min="3" max="3" width="13.21875" style="109" customWidth="1"/>
    <col min="4" max="5" width="14.44140625" style="109" bestFit="1" customWidth="1"/>
    <col min="6" max="6" width="8.21875" style="109" bestFit="1" customWidth="1"/>
    <col min="7" max="7" width="49.77734375" style="109" bestFit="1" customWidth="1"/>
    <col min="8" max="8" width="11.21875" style="109" bestFit="1" customWidth="1"/>
    <col min="9" max="9" width="9.21875" style="109" bestFit="1" customWidth="1"/>
    <col min="10" max="10" width="10.5546875" style="109" bestFit="1" customWidth="1"/>
    <col min="11" max="11" width="8.21875" style="109" bestFit="1" customWidth="1"/>
    <col min="12" max="12" width="55" bestFit="1" customWidth="1"/>
  </cols>
  <sheetData>
    <row r="1" spans="1:13" x14ac:dyDescent="0.3">
      <c r="B1" s="108" t="s">
        <v>346</v>
      </c>
    </row>
    <row r="2" spans="1:13" x14ac:dyDescent="0.3">
      <c r="B2" s="108" t="s">
        <v>347</v>
      </c>
    </row>
    <row r="3" spans="1:13" x14ac:dyDescent="0.3">
      <c r="B3" s="108" t="s">
        <v>348</v>
      </c>
    </row>
    <row r="4" spans="1:13" x14ac:dyDescent="0.3">
      <c r="B4" s="108" t="s">
        <v>349</v>
      </c>
    </row>
    <row r="5" spans="1:13" x14ac:dyDescent="0.3">
      <c r="B5" s="108" t="s">
        <v>350</v>
      </c>
    </row>
    <row r="6" spans="1:13" x14ac:dyDescent="0.3">
      <c r="B6" s="108" t="s">
        <v>351</v>
      </c>
    </row>
    <row r="7" spans="1:13" x14ac:dyDescent="0.3">
      <c r="B7" s="108" t="s">
        <v>352</v>
      </c>
    </row>
    <row r="8" spans="1:13" x14ac:dyDescent="0.3">
      <c r="B8" s="108" t="s">
        <v>353</v>
      </c>
    </row>
    <row r="9" spans="1:13" x14ac:dyDescent="0.3">
      <c r="B9" s="108" t="s">
        <v>354</v>
      </c>
    </row>
    <row r="10" spans="1:13" x14ac:dyDescent="0.3">
      <c r="B10" s="108" t="s">
        <v>355</v>
      </c>
    </row>
    <row r="11" spans="1:13" x14ac:dyDescent="0.3">
      <c r="B11" s="108"/>
    </row>
    <row r="13" spans="1:13" x14ac:dyDescent="0.3">
      <c r="B13" s="110" t="s">
        <v>168</v>
      </c>
      <c r="C13" s="111" t="s">
        <v>173</v>
      </c>
      <c r="D13" s="111" t="s">
        <v>170</v>
      </c>
      <c r="E13" s="111" t="s">
        <v>222</v>
      </c>
      <c r="F13" s="111" t="s">
        <v>223</v>
      </c>
      <c r="G13" s="110" t="s">
        <v>168</v>
      </c>
      <c r="H13" s="111" t="s">
        <v>224</v>
      </c>
      <c r="I13" s="111" t="s">
        <v>225</v>
      </c>
      <c r="J13" s="111" t="s">
        <v>222</v>
      </c>
      <c r="K13" s="111" t="s">
        <v>223</v>
      </c>
    </row>
    <row r="14" spans="1:13" x14ac:dyDescent="0.3">
      <c r="A14" s="109" t="str">
        <f>"debit"&amp;B14</f>
        <v>debit    6666110101  Depreciation of buildings</v>
      </c>
      <c r="B14" s="112" t="s">
        <v>226</v>
      </c>
      <c r="C14" s="113">
        <v>548912.24</v>
      </c>
      <c r="D14" s="113">
        <v>3469128.23</v>
      </c>
      <c r="E14" s="113">
        <v>-2920215.99</v>
      </c>
      <c r="F14" s="113">
        <v>-84.177199999999999</v>
      </c>
      <c r="G14" s="112" t="s">
        <v>226</v>
      </c>
      <c r="H14" s="114">
        <v>0</v>
      </c>
      <c r="I14" s="114">
        <v>0</v>
      </c>
      <c r="J14" s="115">
        <v>0</v>
      </c>
      <c r="K14" s="113">
        <v>0</v>
      </c>
      <c r="L14" t="str">
        <f>VLOOKUP(A14,'SAP Actual extraction'!$A$28:$A$1048576,1,0)</f>
        <v>debit    6666110101  Depreciation of buildings</v>
      </c>
      <c r="M14" t="str">
        <f>VLOOKUP(B14,'SAP Actual extraction'!B:B,1,0)</f>
        <v xml:space="preserve">    6666110101  Depreciation of buildings</v>
      </c>
    </row>
    <row r="15" spans="1:13" x14ac:dyDescent="0.3">
      <c r="A15" s="109" t="str">
        <f t="shared" ref="A15:A112" si="0">"debit"&amp;B15</f>
        <v>debit    6666110107  Depreciation of mold　</v>
      </c>
      <c r="B15" s="112" t="s">
        <v>228</v>
      </c>
      <c r="C15" s="113">
        <v>1828204.56</v>
      </c>
      <c r="D15" s="116">
        <v>0</v>
      </c>
      <c r="E15" s="113">
        <v>1828204.56</v>
      </c>
      <c r="F15" s="113">
        <v>0</v>
      </c>
      <c r="G15" s="112" t="s">
        <v>228</v>
      </c>
      <c r="H15" s="114">
        <v>0</v>
      </c>
      <c r="I15" s="114">
        <v>0</v>
      </c>
      <c r="J15" s="115">
        <v>0</v>
      </c>
      <c r="K15" s="113">
        <v>0</v>
      </c>
      <c r="L15" t="str">
        <f>VLOOKUP(A15,'SAP Actual extraction'!$A$28:$A$1048576,1,0)</f>
        <v>debit    6666110107  Depreciation of mold　</v>
      </c>
      <c r="M15" t="str">
        <f>VLOOKUP(B15,'SAP Actual extraction'!B:B,1,0)</f>
        <v xml:space="preserve">    6666110107  Depreciation of mold　</v>
      </c>
    </row>
    <row r="16" spans="1:13" x14ac:dyDescent="0.3">
      <c r="A16" s="109" t="str">
        <f t="shared" si="0"/>
        <v>debit    6666110110  Depreciation-Plant &amp; Machinery</v>
      </c>
      <c r="B16" s="112" t="s">
        <v>229</v>
      </c>
      <c r="C16" s="113">
        <v>2885061.37</v>
      </c>
      <c r="D16" s="116">
        <v>0</v>
      </c>
      <c r="E16" s="113">
        <v>2885061.37</v>
      </c>
      <c r="F16" s="113">
        <v>0</v>
      </c>
      <c r="G16" s="112" t="s">
        <v>229</v>
      </c>
      <c r="H16" s="114">
        <v>0</v>
      </c>
      <c r="I16" s="114">
        <v>0</v>
      </c>
      <c r="J16" s="115">
        <v>0</v>
      </c>
      <c r="K16" s="113">
        <v>0</v>
      </c>
      <c r="L16" t="str">
        <f>VLOOKUP(A16,'SAP Actual extraction'!$A$28:$A$1048576,1,0)</f>
        <v>debit    6666110110  Depreciation-Plant &amp; Machinery</v>
      </c>
      <c r="M16" t="str">
        <f>VLOOKUP(B16,'SAP Actual extraction'!B:B,1,0)</f>
        <v xml:space="preserve">    6666110110  Depreciation-Plant &amp; Machinery</v>
      </c>
    </row>
    <row r="17" spans="1:13" x14ac:dyDescent="0.3">
      <c r="A17" s="109" t="str">
        <f t="shared" si="0"/>
        <v>debit    6666110112  Depreciation of Furniture &amp; Fixture</v>
      </c>
      <c r="B17" s="112" t="s">
        <v>230</v>
      </c>
      <c r="C17" s="113">
        <v>226228.88</v>
      </c>
      <c r="D17" s="116">
        <v>0</v>
      </c>
      <c r="E17" s="113">
        <v>226228.88</v>
      </c>
      <c r="F17" s="113">
        <v>0</v>
      </c>
      <c r="G17" s="112" t="s">
        <v>230</v>
      </c>
      <c r="H17" s="114">
        <v>0</v>
      </c>
      <c r="I17" s="114">
        <v>0</v>
      </c>
      <c r="J17" s="115">
        <v>0</v>
      </c>
      <c r="K17" s="113">
        <v>0</v>
      </c>
      <c r="L17" t="str">
        <f>VLOOKUP(A17,'SAP Actual extraction'!$A$28:$A$1048576,1,0)</f>
        <v>debit    6666110112  Depreciation of Furniture &amp; Fixture</v>
      </c>
      <c r="M17" t="str">
        <f>VLOOKUP(B17,'SAP Actual extraction'!B:B,1,0)</f>
        <v xml:space="preserve">    6666110112  Depreciation of Furniture &amp; Fixture</v>
      </c>
    </row>
    <row r="18" spans="1:13" x14ac:dyDescent="0.3">
      <c r="A18" s="109" t="str">
        <f t="shared" si="0"/>
        <v>debit    6666110204  Amortization of license, trademarks and</v>
      </c>
      <c r="B18" s="112" t="s">
        <v>231</v>
      </c>
      <c r="C18" s="113">
        <v>6060.4</v>
      </c>
      <c r="D18" s="116">
        <v>0</v>
      </c>
      <c r="E18" s="113">
        <v>6060.4</v>
      </c>
      <c r="F18" s="113">
        <v>0</v>
      </c>
      <c r="G18" s="112" t="s">
        <v>231</v>
      </c>
      <c r="H18" s="114">
        <v>0</v>
      </c>
      <c r="I18" s="114">
        <v>0</v>
      </c>
      <c r="J18" s="115">
        <v>0</v>
      </c>
      <c r="K18" s="113">
        <v>0</v>
      </c>
      <c r="L18" t="str">
        <f>VLOOKUP(A18,'SAP Actual extraction'!$A$28:$A$1048576,1,0)</f>
        <v>debit    6666110204  Amortization of license, trademarks and</v>
      </c>
      <c r="M18" t="str">
        <f>VLOOKUP(B18,'SAP Actual extraction'!B:B,1,0)</f>
        <v xml:space="preserve">    6666110204  Amortization of license, trademarks and</v>
      </c>
    </row>
    <row r="19" spans="1:13" x14ac:dyDescent="0.3">
      <c r="A19" s="109" t="str">
        <f t="shared" si="0"/>
        <v>debit    6666110207  Amortization of Software</v>
      </c>
      <c r="B19" s="112" t="s">
        <v>232</v>
      </c>
      <c r="C19" s="113">
        <v>162846.74</v>
      </c>
      <c r="D19" s="116">
        <v>0</v>
      </c>
      <c r="E19" s="113">
        <v>162846.74</v>
      </c>
      <c r="F19" s="113">
        <v>0</v>
      </c>
      <c r="G19" s="112" t="s">
        <v>232</v>
      </c>
      <c r="H19" s="114">
        <v>0</v>
      </c>
      <c r="I19" s="114">
        <v>0</v>
      </c>
      <c r="J19" s="115">
        <v>0</v>
      </c>
      <c r="K19" s="113">
        <v>0</v>
      </c>
      <c r="L19" t="str">
        <f>VLOOKUP(A19,'SAP Actual extraction'!$A$28:$A$1048576,1,0)</f>
        <v>debit    6666110207  Amortization of Software</v>
      </c>
      <c r="M19" t="str">
        <f>VLOOKUP(B19,'SAP Actual extraction'!B:B,1,0)</f>
        <v xml:space="preserve">    6666110207  Amortization of Software</v>
      </c>
    </row>
    <row r="20" spans="1:13" x14ac:dyDescent="0.3">
      <c r="A20" s="109" t="str">
        <f t="shared" si="0"/>
        <v>debit    6666110506  Amortization-Leasehold Improvement</v>
      </c>
      <c r="B20" s="112" t="s">
        <v>233</v>
      </c>
      <c r="C20" s="113">
        <v>10297.42</v>
      </c>
      <c r="D20" s="116">
        <v>0</v>
      </c>
      <c r="E20" s="113">
        <v>10297.42</v>
      </c>
      <c r="F20" s="113">
        <v>0</v>
      </c>
      <c r="G20" s="112" t="s">
        <v>233</v>
      </c>
      <c r="H20" s="114">
        <v>0</v>
      </c>
      <c r="I20" s="114">
        <v>0</v>
      </c>
      <c r="J20" s="115">
        <v>0</v>
      </c>
      <c r="K20" s="113">
        <v>0</v>
      </c>
      <c r="L20" t="str">
        <f>VLOOKUP(A20,'SAP Actual extraction'!$A$28:$A$1048576,1,0)</f>
        <v>debit    6666110506  Amortization-Leasehold Improvement</v>
      </c>
      <c r="M20" t="str">
        <f>VLOOKUP(B20,'SAP Actual extraction'!B:B,1,0)</f>
        <v xml:space="preserve">    6666110506  Amortization-Leasehold Improvement</v>
      </c>
    </row>
    <row r="21" spans="1:13" x14ac:dyDescent="0.3">
      <c r="A21" s="109" t="str">
        <f t="shared" si="0"/>
        <v>debit*   CS_Depreciation</v>
      </c>
      <c r="B21" s="117" t="s">
        <v>208</v>
      </c>
      <c r="C21" s="118">
        <v>5667611.6100000003</v>
      </c>
      <c r="D21" s="118">
        <v>3469128.23</v>
      </c>
      <c r="E21" s="118">
        <v>2198483.38</v>
      </c>
      <c r="F21" s="118">
        <v>63.372799999999998</v>
      </c>
      <c r="G21" s="117" t="s">
        <v>208</v>
      </c>
      <c r="H21" s="119">
        <v>0</v>
      </c>
      <c r="I21" s="119">
        <v>0</v>
      </c>
      <c r="J21" s="120">
        <v>0</v>
      </c>
      <c r="K21" s="118">
        <v>0</v>
      </c>
      <c r="L21" t="str">
        <f>VLOOKUP(A21,'SAP Actual extraction'!$A$28:$A$1048576,1,0)</f>
        <v>debit*   CS_Depreciation</v>
      </c>
      <c r="M21" t="str">
        <f>VLOOKUP(B21,'SAP Actual extraction'!B:B,1,0)</f>
        <v>*   CS_Depreciation</v>
      </c>
    </row>
    <row r="22" spans="1:13" x14ac:dyDescent="0.3">
      <c r="A22" s="109" t="str">
        <f t="shared" si="0"/>
        <v>debit    5001010205  Unemployment Insurance -blue collar-Dire</v>
      </c>
      <c r="B22" s="112" t="s">
        <v>234</v>
      </c>
      <c r="C22" s="113">
        <v>126557.26</v>
      </c>
      <c r="D22" s="116">
        <v>0</v>
      </c>
      <c r="E22" s="113">
        <v>126557.26</v>
      </c>
      <c r="F22" s="113">
        <v>0</v>
      </c>
      <c r="G22" s="112" t="s">
        <v>234</v>
      </c>
      <c r="H22" s="114">
        <v>0</v>
      </c>
      <c r="I22" s="114">
        <v>0</v>
      </c>
      <c r="J22" s="115">
        <v>0</v>
      </c>
      <c r="K22" s="113">
        <v>0</v>
      </c>
      <c r="L22" t="str">
        <f>VLOOKUP(A22,'SAP Actual extraction'!$A$28:$A$1048576,1,0)</f>
        <v>debit    5001010205  Unemployment Insurance -blue collar-Dire</v>
      </c>
      <c r="M22" t="str">
        <f>VLOOKUP(B22,'SAP Actual extraction'!B:B,1,0)</f>
        <v xml:space="preserve">    5001010205  Unemployment Insurance -blue collar-Dire</v>
      </c>
    </row>
    <row r="23" spans="1:13" x14ac:dyDescent="0.3">
      <c r="A23" s="109" t="str">
        <f t="shared" si="0"/>
        <v>debit    6666010380  Incentive</v>
      </c>
      <c r="B23" s="112" t="s">
        <v>235</v>
      </c>
      <c r="C23" s="113">
        <v>8285.91</v>
      </c>
      <c r="D23" s="116">
        <v>0</v>
      </c>
      <c r="E23" s="113">
        <v>8285.91</v>
      </c>
      <c r="F23" s="113">
        <v>0</v>
      </c>
      <c r="G23" s="112" t="s">
        <v>235</v>
      </c>
      <c r="H23" s="114">
        <v>0</v>
      </c>
      <c r="I23" s="114">
        <v>0</v>
      </c>
      <c r="J23" s="115">
        <v>0</v>
      </c>
      <c r="K23" s="113">
        <v>0</v>
      </c>
      <c r="L23" t="str">
        <f>VLOOKUP(A23,'SAP Actual extraction'!$A$28:$A$1048576,1,0)</f>
        <v>debit    6666010380  Incentive</v>
      </c>
      <c r="M23" t="str">
        <f>VLOOKUP(B23,'SAP Actual extraction'!B:B,1,0)</f>
        <v xml:space="preserve">    6666010380  Incentive</v>
      </c>
    </row>
    <row r="24" spans="1:13" x14ac:dyDescent="0.3">
      <c r="A24" s="109" t="str">
        <f t="shared" si="0"/>
        <v>debit    6666010019  Payroll Taxes - Blue Collar Direct</v>
      </c>
      <c r="B24" s="112" t="s">
        <v>236</v>
      </c>
      <c r="C24" s="113">
        <v>1003180.47</v>
      </c>
      <c r="D24" s="116">
        <v>0</v>
      </c>
      <c r="E24" s="113">
        <v>1003180.47</v>
      </c>
      <c r="F24" s="113">
        <v>0</v>
      </c>
      <c r="G24" s="112" t="s">
        <v>236</v>
      </c>
      <c r="H24" s="114">
        <v>0</v>
      </c>
      <c r="I24" s="114">
        <v>0</v>
      </c>
      <c r="J24" s="115">
        <v>0</v>
      </c>
      <c r="K24" s="113">
        <v>0</v>
      </c>
      <c r="L24" t="str">
        <f>VLOOKUP(A24,'SAP Actual extraction'!$A$28:$A$1048576,1,0)</f>
        <v>debit    6666010019  Payroll Taxes - Blue Collar Direct</v>
      </c>
      <c r="M24" t="str">
        <f>VLOOKUP(B24,'SAP Actual extraction'!B:B,1,0)</f>
        <v xml:space="preserve">    6666010019  Payroll Taxes - Blue Collar Direct</v>
      </c>
    </row>
    <row r="25" spans="1:13" x14ac:dyDescent="0.3">
      <c r="A25" s="109" t="str">
        <f t="shared" si="0"/>
        <v>debit    6666010183  Overtime-Blue Collar-Direct</v>
      </c>
      <c r="B25" s="112" t="s">
        <v>237</v>
      </c>
      <c r="C25" s="113">
        <v>309703.39</v>
      </c>
      <c r="D25" s="116">
        <v>0</v>
      </c>
      <c r="E25" s="113">
        <v>309703.39</v>
      </c>
      <c r="F25" s="113">
        <v>0</v>
      </c>
      <c r="G25" s="112" t="s">
        <v>237</v>
      </c>
      <c r="H25" s="114">
        <v>0</v>
      </c>
      <c r="I25" s="114">
        <v>0</v>
      </c>
      <c r="J25" s="115">
        <v>0</v>
      </c>
      <c r="K25" s="113">
        <v>0</v>
      </c>
      <c r="L25" t="str">
        <f>VLOOKUP(A25,'SAP Actual extraction'!$A$28:$A$1048576,1,0)</f>
        <v>debit    6666010183  Overtime-Blue Collar-Direct</v>
      </c>
      <c r="M25" t="str">
        <f>VLOOKUP(B25,'SAP Actual extraction'!B:B,1,0)</f>
        <v xml:space="preserve">    6666010183  Overtime-Blue Collar-Direct</v>
      </c>
    </row>
    <row r="26" spans="1:13" x14ac:dyDescent="0.3">
      <c r="A26" s="109" t="str">
        <f t="shared" si="0"/>
        <v>debit    6666010229  Staff Leaving Indemnity - Blue Collar Di</v>
      </c>
      <c r="B26" s="112" t="s">
        <v>238</v>
      </c>
      <c r="C26" s="113">
        <v>171583.57</v>
      </c>
      <c r="D26" s="116">
        <v>0</v>
      </c>
      <c r="E26" s="113">
        <v>171583.57</v>
      </c>
      <c r="F26" s="113">
        <v>0</v>
      </c>
      <c r="G26" s="112" t="s">
        <v>238</v>
      </c>
      <c r="H26" s="114">
        <v>0</v>
      </c>
      <c r="I26" s="114">
        <v>0</v>
      </c>
      <c r="J26" s="115">
        <v>0</v>
      </c>
      <c r="K26" s="113">
        <v>0</v>
      </c>
      <c r="L26" t="str">
        <f>VLOOKUP(A26,'SAP Actual extraction'!$A$28:$A$1048576,1,0)</f>
        <v>debit    6666010229  Staff Leaving Indemnity - Blue Collar Di</v>
      </c>
      <c r="M26" t="str">
        <f>VLOOKUP(B26,'SAP Actual extraction'!B:B,1,0)</f>
        <v xml:space="preserve">    6666010229  Staff Leaving Indemnity - Blue Collar Di</v>
      </c>
    </row>
    <row r="27" spans="1:13" x14ac:dyDescent="0.3">
      <c r="A27" s="109" t="str">
        <f t="shared" si="0"/>
        <v>debit    6666010188  Salary - Blue collar direct employees</v>
      </c>
      <c r="B27" s="112" t="s">
        <v>239</v>
      </c>
      <c r="C27" s="113">
        <v>5631501.4400000004</v>
      </c>
      <c r="D27" s="113">
        <v>6777862.1600000001</v>
      </c>
      <c r="E27" s="113">
        <v>-1146360.72</v>
      </c>
      <c r="F27" s="113">
        <v>-16.9133</v>
      </c>
      <c r="G27" s="112" t="s">
        <v>239</v>
      </c>
      <c r="H27" s="114">
        <v>0</v>
      </c>
      <c r="I27" s="114">
        <v>0</v>
      </c>
      <c r="J27" s="115">
        <v>0</v>
      </c>
      <c r="K27" s="113">
        <v>0</v>
      </c>
      <c r="L27" t="str">
        <f>VLOOKUP(A27,'SAP Actual extraction'!$A$28:$A$1048576,1,0)</f>
        <v>debit    6666010188  Salary - Blue collar direct employees</v>
      </c>
      <c r="M27" t="str">
        <f>VLOOKUP(B27,'SAP Actual extraction'!B:B,1,0)</f>
        <v xml:space="preserve">    6666010188  Salary - Blue collar direct employees</v>
      </c>
    </row>
    <row r="28" spans="1:13" x14ac:dyDescent="0.3">
      <c r="A28" s="109" t="str">
        <f t="shared" si="0"/>
        <v>debit    5102040406  Other revenue-Service/Secondment agreeme</v>
      </c>
      <c r="B28" s="112" t="s">
        <v>240</v>
      </c>
      <c r="C28" s="113">
        <v>101.12</v>
      </c>
      <c r="D28" s="116">
        <v>0</v>
      </c>
      <c r="E28" s="113">
        <v>101.12</v>
      </c>
      <c r="F28" s="113">
        <v>0</v>
      </c>
      <c r="G28" s="112" t="s">
        <v>240</v>
      </c>
      <c r="H28" s="114">
        <v>0</v>
      </c>
      <c r="I28" s="114">
        <v>0</v>
      </c>
      <c r="J28" s="115">
        <v>0</v>
      </c>
      <c r="K28" s="113">
        <v>0</v>
      </c>
      <c r="L28" t="str">
        <f>VLOOKUP(A28,'SAP Actual extraction'!$A$28:$A$1048576,1,0)</f>
        <v>debit    5102040406  Other revenue-Service/Secondment agreeme</v>
      </c>
      <c r="M28" t="str">
        <f>VLOOKUP(B28,'SAP Actual extraction'!B:B,1,0)</f>
        <v xml:space="preserve">    5102040406  Other revenue-Service/Secondment agreeme</v>
      </c>
    </row>
    <row r="29" spans="1:13" x14ac:dyDescent="0.3">
      <c r="A29" s="109" t="str">
        <f t="shared" si="0"/>
        <v>debit    6666010115  Salary-Blue collar direct employees-Accr</v>
      </c>
      <c r="B29" s="112" t="s">
        <v>241</v>
      </c>
      <c r="C29" s="113">
        <v>-83220.03</v>
      </c>
      <c r="D29" s="116">
        <v>0</v>
      </c>
      <c r="E29" s="113">
        <v>-83220.03</v>
      </c>
      <c r="F29" s="113">
        <v>0</v>
      </c>
      <c r="G29" s="112" t="s">
        <v>241</v>
      </c>
      <c r="H29" s="114">
        <v>0</v>
      </c>
      <c r="I29" s="114">
        <v>0</v>
      </c>
      <c r="J29" s="115">
        <v>0</v>
      </c>
      <c r="K29" s="113">
        <v>0</v>
      </c>
      <c r="L29" t="str">
        <f>VLOOKUP(A29,'SAP Actual extraction'!$A$28:$A$1048576,1,0)</f>
        <v>debit    6666010115  Salary-Blue collar direct employees-Accr</v>
      </c>
      <c r="M29" t="str">
        <f>VLOOKUP(B29,'SAP Actual extraction'!B:B,1,0)</f>
        <v xml:space="preserve">    6666010115  Salary-Blue collar direct employees-Accr</v>
      </c>
    </row>
    <row r="30" spans="1:13" x14ac:dyDescent="0.3">
      <c r="A30" s="109" t="str">
        <f t="shared" si="0"/>
        <v>debit*   CS_Direct Labour</v>
      </c>
      <c r="B30" s="117" t="s">
        <v>209</v>
      </c>
      <c r="C30" s="118">
        <v>7167693.1299999999</v>
      </c>
      <c r="D30" s="118">
        <v>6777862.1600000001</v>
      </c>
      <c r="E30" s="118">
        <v>389830.97</v>
      </c>
      <c r="F30" s="118">
        <v>5.7515000000000001</v>
      </c>
      <c r="G30" s="117" t="s">
        <v>209</v>
      </c>
      <c r="H30" s="119">
        <v>0</v>
      </c>
      <c r="I30" s="119">
        <v>0</v>
      </c>
      <c r="J30" s="120">
        <v>0</v>
      </c>
      <c r="K30" s="118">
        <v>0</v>
      </c>
      <c r="L30" t="str">
        <f>VLOOKUP(A30,'SAP Actual extraction'!$A$28:$A$1048576,1,0)</f>
        <v>debit*   CS_Direct Labour</v>
      </c>
      <c r="M30" t="str">
        <f>VLOOKUP(B30,'SAP Actual extraction'!B:B,1,0)</f>
        <v>*   CS_Direct Labour</v>
      </c>
    </row>
    <row r="31" spans="1:13" x14ac:dyDescent="0.3">
      <c r="A31" s="109" t="str">
        <f t="shared" si="0"/>
        <v>debit    8701530201  Scrap-Raw&amp;#160;Material - Managerial</v>
      </c>
      <c r="B31" s="112" t="s">
        <v>242</v>
      </c>
      <c r="C31" s="116">
        <v>0</v>
      </c>
      <c r="D31" s="113">
        <v>622923.69999999995</v>
      </c>
      <c r="E31" s="113">
        <v>-622923.69999999995</v>
      </c>
      <c r="F31" s="113">
        <v>-100</v>
      </c>
      <c r="G31" s="112" t="s">
        <v>242</v>
      </c>
      <c r="H31" s="114">
        <v>0</v>
      </c>
      <c r="I31" s="114">
        <v>0</v>
      </c>
      <c r="J31" s="115">
        <v>0</v>
      </c>
      <c r="K31" s="113">
        <v>0</v>
      </c>
      <c r="L31" t="str">
        <f>VLOOKUP(A31,'SAP Actual extraction'!$A$28:$A$1048576,1,0)</f>
        <v>debit    8701530201  Scrap-Raw&amp;#160;Material - Managerial</v>
      </c>
      <c r="M31" t="str">
        <f>VLOOKUP(B31,'SAP Actual extraction'!B:B,1,0)</f>
        <v xml:space="preserve">    8701530201  Scrap-Raw&amp;#160;Material - Managerial</v>
      </c>
    </row>
    <row r="32" spans="1:13" x14ac:dyDescent="0.3">
      <c r="A32" s="109" t="str">
        <f t="shared" si="0"/>
        <v>debit    6666050309  SFG scrap</v>
      </c>
      <c r="B32" s="112" t="s">
        <v>243</v>
      </c>
      <c r="C32" s="113">
        <v>532426.13</v>
      </c>
      <c r="D32" s="116">
        <v>0</v>
      </c>
      <c r="E32" s="113">
        <v>532426.13</v>
      </c>
      <c r="F32" s="113">
        <v>0</v>
      </c>
      <c r="G32" s="112" t="s">
        <v>243</v>
      </c>
      <c r="H32" s="114">
        <v>0</v>
      </c>
      <c r="I32" s="114">
        <v>0</v>
      </c>
      <c r="J32" s="115">
        <v>0</v>
      </c>
      <c r="K32" s="113">
        <v>0</v>
      </c>
      <c r="L32" t="str">
        <f>VLOOKUP(A32,'SAP Actual extraction'!$A$28:$A$1048576,1,0)</f>
        <v>debit    6666050309  SFG scrap</v>
      </c>
      <c r="M32" t="str">
        <f>VLOOKUP(B32,'SAP Actual extraction'!B:B,1,0)</f>
        <v xml:space="preserve">    6666050309  SFG scrap</v>
      </c>
    </row>
    <row r="33" spans="1:13" x14ac:dyDescent="0.3">
      <c r="A33" s="109" t="str">
        <f t="shared" si="0"/>
        <v>debit    6666050308  Raw material scrap</v>
      </c>
      <c r="B33" s="112" t="s">
        <v>244</v>
      </c>
      <c r="C33" s="113">
        <v>139157.59</v>
      </c>
      <c r="D33" s="116">
        <v>0</v>
      </c>
      <c r="E33" s="113">
        <v>139157.59</v>
      </c>
      <c r="F33" s="113">
        <v>0</v>
      </c>
      <c r="G33" s="112" t="s">
        <v>244</v>
      </c>
      <c r="H33" s="114">
        <v>0</v>
      </c>
      <c r="I33" s="114">
        <v>0</v>
      </c>
      <c r="J33" s="115">
        <v>0</v>
      </c>
      <c r="K33" s="113">
        <v>0</v>
      </c>
      <c r="L33" t="str">
        <f>VLOOKUP(A33,'SAP Actual extraction'!$A$28:$A$1048576,1,0)</f>
        <v>debit    6666050308  Raw material scrap</v>
      </c>
      <c r="M33" t="str">
        <f>VLOOKUP(B33,'SAP Actual extraction'!B:B,1,0)</f>
        <v xml:space="preserve">    6666050308  Raw material scrap</v>
      </c>
    </row>
    <row r="34" spans="1:13" x14ac:dyDescent="0.3">
      <c r="A34" s="109" t="str">
        <f t="shared" si="0"/>
        <v>debit    6666050306  Finished goods scrap</v>
      </c>
      <c r="B34" s="112" t="s">
        <v>245</v>
      </c>
      <c r="C34" s="113">
        <v>1542.01</v>
      </c>
      <c r="D34" s="116">
        <v>0</v>
      </c>
      <c r="E34" s="113">
        <v>1542.01</v>
      </c>
      <c r="F34" s="113">
        <v>0</v>
      </c>
      <c r="G34" s="112" t="s">
        <v>245</v>
      </c>
      <c r="H34" s="114">
        <v>0</v>
      </c>
      <c r="I34" s="114">
        <v>0</v>
      </c>
      <c r="J34" s="115">
        <v>0</v>
      </c>
      <c r="K34" s="113">
        <v>0</v>
      </c>
      <c r="L34" t="str">
        <f>VLOOKUP(A34,'SAP Actual extraction'!$A$28:$A$1048576,1,0)</f>
        <v>debit    6666050306  Finished goods scrap</v>
      </c>
      <c r="M34" t="str">
        <f>VLOOKUP(B34,'SAP Actual extraction'!B:B,1,0)</f>
        <v xml:space="preserve">    6666050306  Finished goods scrap</v>
      </c>
    </row>
    <row r="35" spans="1:13" x14ac:dyDescent="0.3">
      <c r="A35" s="109" t="str">
        <f t="shared" si="0"/>
        <v>debit*   CS_SCRAP_VARIABLE</v>
      </c>
      <c r="B35" s="117" t="s">
        <v>210</v>
      </c>
      <c r="C35" s="118">
        <v>673125.73</v>
      </c>
      <c r="D35" s="118">
        <v>622923.69999999995</v>
      </c>
      <c r="E35" s="118">
        <v>50202.03</v>
      </c>
      <c r="F35" s="118">
        <v>8.0591000000000008</v>
      </c>
      <c r="G35" s="117" t="s">
        <v>210</v>
      </c>
      <c r="H35" s="119">
        <v>0</v>
      </c>
      <c r="I35" s="119">
        <v>0</v>
      </c>
      <c r="J35" s="120">
        <v>0</v>
      </c>
      <c r="K35" s="118">
        <v>0</v>
      </c>
      <c r="L35" t="str">
        <f>VLOOKUP(A35,'SAP Actual extraction'!$A$28:$A$1048576,1,0)</f>
        <v>debit*   CS_SCRAP_VARIABLE</v>
      </c>
      <c r="M35" t="str">
        <f>VLOOKUP(B35,'SAP Actual extraction'!B:B,1,0)</f>
        <v>*   CS_SCRAP_VARIABLE</v>
      </c>
    </row>
    <row r="36" spans="1:13" x14ac:dyDescent="0.3">
      <c r="A36" s="109" t="str">
        <f t="shared" si="0"/>
        <v>debit    6666029996  Non-deductible expense-travel.</v>
      </c>
      <c r="B36" s="112" t="s">
        <v>247</v>
      </c>
      <c r="C36" s="113">
        <v>382.95</v>
      </c>
      <c r="D36" s="116">
        <v>0</v>
      </c>
      <c r="E36" s="113">
        <v>382.95</v>
      </c>
      <c r="F36" s="113">
        <v>0</v>
      </c>
      <c r="G36" s="112" t="s">
        <v>247</v>
      </c>
      <c r="H36" s="114">
        <v>0</v>
      </c>
      <c r="I36" s="114">
        <v>0</v>
      </c>
      <c r="J36" s="115">
        <v>0</v>
      </c>
      <c r="K36" s="113">
        <v>0</v>
      </c>
      <c r="L36" t="str">
        <f>VLOOKUP(A36,'SAP Actual extraction'!$A$28:$A$1048576,1,0)</f>
        <v>debit    6666029996  Non-deductible expense-travel.</v>
      </c>
      <c r="M36" t="str">
        <f>VLOOKUP(B36,'SAP Actual extraction'!B:B,1,0)</f>
        <v xml:space="preserve">    6666029996  Non-deductible expense-travel.</v>
      </c>
    </row>
    <row r="37" spans="1:13" x14ac:dyDescent="0.3">
      <c r="A37" s="109" t="str">
        <f t="shared" si="0"/>
        <v>debit    6666010322  fuel allowance</v>
      </c>
      <c r="B37" s="112" t="s">
        <v>249</v>
      </c>
      <c r="C37" s="113">
        <v>37421.58</v>
      </c>
      <c r="D37" s="116">
        <v>0</v>
      </c>
      <c r="E37" s="113">
        <v>37421.58</v>
      </c>
      <c r="F37" s="113">
        <v>0</v>
      </c>
      <c r="G37" s="112" t="s">
        <v>249</v>
      </c>
      <c r="H37" s="114">
        <v>0</v>
      </c>
      <c r="I37" s="114">
        <v>0</v>
      </c>
      <c r="J37" s="115">
        <v>0</v>
      </c>
      <c r="K37" s="113">
        <v>0</v>
      </c>
      <c r="L37" t="str">
        <f>VLOOKUP(A37,'SAP Actual extraction'!$A$28:$A$1048576,1,0)</f>
        <v>debit    6666010322  fuel allowance</v>
      </c>
      <c r="M37" t="str">
        <f>VLOOKUP(B37,'SAP Actual extraction'!B:B,1,0)</f>
        <v xml:space="preserve">    6666010322  fuel allowance</v>
      </c>
    </row>
    <row r="38" spans="1:13" x14ac:dyDescent="0.3">
      <c r="A38" s="109" t="str">
        <f t="shared" si="0"/>
        <v>debit    6666020495  Non-deductible expense-travel.</v>
      </c>
      <c r="B38" s="112" t="s">
        <v>250</v>
      </c>
      <c r="C38" s="113">
        <v>11023.7</v>
      </c>
      <c r="D38" s="116">
        <v>0</v>
      </c>
      <c r="E38" s="113">
        <v>11023.7</v>
      </c>
      <c r="F38" s="113">
        <v>0</v>
      </c>
      <c r="G38" s="112" t="s">
        <v>250</v>
      </c>
      <c r="H38" s="114">
        <v>0</v>
      </c>
      <c r="I38" s="114">
        <v>0</v>
      </c>
      <c r="J38" s="115">
        <v>0</v>
      </c>
      <c r="K38" s="113">
        <v>0</v>
      </c>
      <c r="L38" t="str">
        <f>VLOOKUP(A38,'SAP Actual extraction'!$A$28:$A$1048576,1,0)</f>
        <v>debit    6666020495  Non-deductible expense-travel.</v>
      </c>
      <c r="M38" t="str">
        <f>VLOOKUP(B38,'SAP Actual extraction'!B:B,1,0)</f>
        <v xml:space="preserve">    6666020495  Non-deductible expense-travel.</v>
      </c>
    </row>
    <row r="39" spans="1:13" x14ac:dyDescent="0.3">
      <c r="A39" s="109" t="str">
        <f t="shared" si="0"/>
        <v>debit    5102010151  Other Rev.-Interco-Epidemic problem comp</v>
      </c>
      <c r="B39" s="112" t="s">
        <v>251</v>
      </c>
      <c r="C39" s="113">
        <v>-1137.56</v>
      </c>
      <c r="D39" s="116">
        <v>0</v>
      </c>
      <c r="E39" s="113">
        <v>-1137.56</v>
      </c>
      <c r="F39" s="113">
        <v>0</v>
      </c>
      <c r="G39" s="112" t="s">
        <v>251</v>
      </c>
      <c r="H39" s="114">
        <v>0</v>
      </c>
      <c r="I39" s="114">
        <v>0</v>
      </c>
      <c r="J39" s="115">
        <v>0</v>
      </c>
      <c r="K39" s="113">
        <v>0</v>
      </c>
      <c r="L39" t="str">
        <f>VLOOKUP(A39,'SAP Actual extraction'!$A$28:$A$1048576,1,0)</f>
        <v>debit    5102010151  Other Rev.-Interco-Epidemic problem comp</v>
      </c>
      <c r="M39" t="str">
        <f>VLOOKUP(B39,'SAP Actual extraction'!B:B,1,0)</f>
        <v xml:space="preserve">    5102010151  Other Rev.-Interco-Epidemic problem comp</v>
      </c>
    </row>
    <row r="40" spans="1:13" x14ac:dyDescent="0.3">
      <c r="A40" s="109" t="str">
        <f t="shared" si="0"/>
        <v>debit    600008      Indirect Cost</v>
      </c>
      <c r="B40" s="112" t="s">
        <v>356</v>
      </c>
      <c r="C40" s="116">
        <v>0</v>
      </c>
      <c r="D40" s="116">
        <v>0</v>
      </c>
      <c r="E40" s="113">
        <v>0</v>
      </c>
      <c r="F40" s="113">
        <v>0</v>
      </c>
      <c r="G40" s="112" t="s">
        <v>356</v>
      </c>
      <c r="H40" s="114">
        <v>0</v>
      </c>
      <c r="I40" s="114">
        <v>0</v>
      </c>
      <c r="J40" s="115">
        <v>0</v>
      </c>
      <c r="K40" s="113">
        <v>0</v>
      </c>
      <c r="L40" t="e">
        <f>VLOOKUP(A40,'SAP Actual extraction'!$A$28:$A$1048576,1,0)</f>
        <v>#N/A</v>
      </c>
      <c r="M40" t="e">
        <f>VLOOKUP(B40,'SAP Actual extraction'!B:B,1,0)</f>
        <v>#N/A</v>
      </c>
    </row>
    <row r="41" spans="1:13" x14ac:dyDescent="0.3">
      <c r="A41" s="109" t="str">
        <f t="shared" si="0"/>
        <v>debit    600009      Quality Control</v>
      </c>
      <c r="B41" s="112" t="s">
        <v>357</v>
      </c>
      <c r="C41" s="116">
        <v>0</v>
      </c>
      <c r="D41" s="116">
        <v>0</v>
      </c>
      <c r="E41" s="113">
        <v>0</v>
      </c>
      <c r="F41" s="113">
        <v>0</v>
      </c>
      <c r="G41" s="112" t="s">
        <v>357</v>
      </c>
      <c r="H41" s="114">
        <v>0</v>
      </c>
      <c r="I41" s="114">
        <v>0</v>
      </c>
      <c r="J41" s="115">
        <v>0</v>
      </c>
      <c r="K41" s="113">
        <v>0</v>
      </c>
      <c r="L41" t="e">
        <f>VLOOKUP(A41,'SAP Actual extraction'!$A$28:$A$1048576,1,0)</f>
        <v>#N/A</v>
      </c>
      <c r="M41" t="e">
        <f>VLOOKUP(B41,'SAP Actual extraction'!B:B,1,0)</f>
        <v>#N/A</v>
      </c>
    </row>
    <row r="42" spans="1:13" x14ac:dyDescent="0.3">
      <c r="A42" s="109" t="str">
        <f t="shared" si="0"/>
        <v>debit    5001010200  Cost of Manufacture - Raw Material</v>
      </c>
      <c r="B42" s="112" t="s">
        <v>252</v>
      </c>
      <c r="C42" s="113">
        <v>525.6</v>
      </c>
      <c r="D42" s="116">
        <v>0</v>
      </c>
      <c r="E42" s="113">
        <v>525.6</v>
      </c>
      <c r="F42" s="113">
        <v>0</v>
      </c>
      <c r="G42" s="112" t="s">
        <v>252</v>
      </c>
      <c r="H42" s="114">
        <v>0</v>
      </c>
      <c r="I42" s="114">
        <v>0</v>
      </c>
      <c r="J42" s="115">
        <v>0</v>
      </c>
      <c r="K42" s="113">
        <v>0</v>
      </c>
      <c r="L42" t="str">
        <f>VLOOKUP(A42,'SAP Actual extraction'!$A$28:$A$1048576,1,0)</f>
        <v>debit    5001010200  Cost of Manufacture - Raw Material</v>
      </c>
      <c r="M42" t="str">
        <f>VLOOKUP(B42,'SAP Actual extraction'!B:B,1,0)</f>
        <v xml:space="preserve">    5001010200  Cost of Manufacture - Raw Material</v>
      </c>
    </row>
    <row r="43" spans="1:13" x14ac:dyDescent="0.3">
      <c r="A43" s="109" t="str">
        <f t="shared" si="0"/>
        <v>debit    5001010201  Cost of Manufacture - Raw Material-Freig</v>
      </c>
      <c r="B43" s="112" t="s">
        <v>253</v>
      </c>
      <c r="C43" s="113">
        <v>0.85</v>
      </c>
      <c r="D43" s="116">
        <v>0</v>
      </c>
      <c r="E43" s="113">
        <v>0.85</v>
      </c>
      <c r="F43" s="113">
        <v>0</v>
      </c>
      <c r="G43" s="112" t="s">
        <v>253</v>
      </c>
      <c r="H43" s="114">
        <v>0</v>
      </c>
      <c r="I43" s="114">
        <v>0</v>
      </c>
      <c r="J43" s="115">
        <v>0</v>
      </c>
      <c r="K43" s="113">
        <v>0</v>
      </c>
      <c r="L43" t="str">
        <f>VLOOKUP(A43,'SAP Actual extraction'!$A$28:$A$1048576,1,0)</f>
        <v>debit    5001010201  Cost of Manufacture - Raw Material-Freig</v>
      </c>
      <c r="M43" t="str">
        <f>VLOOKUP(B43,'SAP Actual extraction'!B:B,1,0)</f>
        <v xml:space="preserve">    5001010201  Cost of Manufacture - Raw Material-Freig</v>
      </c>
    </row>
    <row r="44" spans="1:13" x14ac:dyDescent="0.3">
      <c r="A44" s="109" t="str">
        <f t="shared" si="0"/>
        <v>debit    5301060000  Other Income-Subsidy income</v>
      </c>
      <c r="B44" s="112" t="s">
        <v>257</v>
      </c>
      <c r="C44" s="116">
        <v>0</v>
      </c>
      <c r="D44" s="116">
        <v>0</v>
      </c>
      <c r="E44" s="113">
        <v>0</v>
      </c>
      <c r="F44" s="113">
        <v>0</v>
      </c>
      <c r="G44" s="112" t="s">
        <v>257</v>
      </c>
      <c r="H44" s="114">
        <v>0</v>
      </c>
      <c r="I44" s="114">
        <v>0</v>
      </c>
      <c r="J44" s="115">
        <v>0</v>
      </c>
      <c r="K44" s="113">
        <v>0</v>
      </c>
      <c r="L44" t="str">
        <f>VLOOKUP(A44,'SAP Actual extraction'!$A$28:$A$1048576,1,0)</f>
        <v>debit    5301060000  Other Income-Subsidy income</v>
      </c>
      <c r="M44" t="str">
        <f>VLOOKUP(B44,'SAP Actual extraction'!B:B,1,0)</f>
        <v xml:space="preserve">    5301060000  Other Income-Subsidy income</v>
      </c>
    </row>
    <row r="45" spans="1:13" x14ac:dyDescent="0.3">
      <c r="A45" s="109" t="str">
        <f t="shared" si="0"/>
        <v>debit    5301999999  Non-operation revenue-Other</v>
      </c>
      <c r="B45" s="112" t="s">
        <v>258</v>
      </c>
      <c r="C45" s="113">
        <v>-71.319999999999993</v>
      </c>
      <c r="D45" s="116">
        <v>0</v>
      </c>
      <c r="E45" s="113">
        <v>-71.319999999999993</v>
      </c>
      <c r="F45" s="113">
        <v>0</v>
      </c>
      <c r="G45" s="112" t="s">
        <v>258</v>
      </c>
      <c r="H45" s="114">
        <v>0</v>
      </c>
      <c r="I45" s="114">
        <v>0</v>
      </c>
      <c r="J45" s="115">
        <v>0</v>
      </c>
      <c r="K45" s="113">
        <v>0</v>
      </c>
      <c r="L45" t="str">
        <f>VLOOKUP(A45,'SAP Actual extraction'!$A$28:$A$1048576,1,0)</f>
        <v>debit    5301999999  Non-operation revenue-Other</v>
      </c>
      <c r="M45" t="str">
        <f>VLOOKUP(B45,'SAP Actual extraction'!B:B,1,0)</f>
        <v xml:space="preserve">    5301999999  Non-operation revenue-Other</v>
      </c>
    </row>
    <row r="46" spans="1:13" x14ac:dyDescent="0.3">
      <c r="A46" s="109" t="str">
        <f t="shared" si="0"/>
        <v>debit    5405030000  Other cost-others</v>
      </c>
      <c r="B46" s="112" t="s">
        <v>259</v>
      </c>
      <c r="C46" s="113">
        <v>6880.62</v>
      </c>
      <c r="D46" s="116">
        <v>0</v>
      </c>
      <c r="E46" s="113">
        <v>6880.62</v>
      </c>
      <c r="F46" s="113">
        <v>0</v>
      </c>
      <c r="G46" s="112" t="s">
        <v>259</v>
      </c>
      <c r="H46" s="114">
        <v>0</v>
      </c>
      <c r="I46" s="114">
        <v>0</v>
      </c>
      <c r="J46" s="115">
        <v>0</v>
      </c>
      <c r="K46" s="113">
        <v>0</v>
      </c>
      <c r="L46" t="str">
        <f>VLOOKUP(A46,'SAP Actual extraction'!$A$28:$A$1048576,1,0)</f>
        <v>debit    5405030000  Other cost-others</v>
      </c>
      <c r="M46" t="str">
        <f>VLOOKUP(B46,'SAP Actual extraction'!B:B,1,0)</f>
        <v xml:space="preserve">    5405030000  Other cost-others</v>
      </c>
    </row>
    <row r="47" spans="1:13" x14ac:dyDescent="0.3">
      <c r="A47" s="109" t="str">
        <f t="shared" si="0"/>
        <v>debit    5601020000  Loss on disposal fixed asset</v>
      </c>
      <c r="B47" s="112" t="s">
        <v>358</v>
      </c>
      <c r="C47" s="116">
        <v>0</v>
      </c>
      <c r="D47" s="116">
        <v>0</v>
      </c>
      <c r="E47" s="113">
        <v>0</v>
      </c>
      <c r="F47" s="113">
        <v>0</v>
      </c>
      <c r="G47" s="112" t="s">
        <v>358</v>
      </c>
      <c r="H47" s="114">
        <v>0</v>
      </c>
      <c r="I47" s="114">
        <v>0</v>
      </c>
      <c r="J47" s="115">
        <v>0</v>
      </c>
      <c r="K47" s="113">
        <v>0</v>
      </c>
      <c r="L47" t="e">
        <f>VLOOKUP(A47,'SAP Actual extraction'!$A$28:$A$1048576,1,0)</f>
        <v>#N/A</v>
      </c>
      <c r="M47" t="e">
        <f>VLOOKUP(B47,'SAP Actual extraction'!B:B,1,0)</f>
        <v>#N/A</v>
      </c>
    </row>
    <row r="48" spans="1:13" x14ac:dyDescent="0.3">
      <c r="A48" s="109" t="str">
        <f t="shared" si="0"/>
        <v>debit    5601050100  Non-operation Expense-Others</v>
      </c>
      <c r="B48" s="112" t="s">
        <v>261</v>
      </c>
      <c r="C48" s="113">
        <v>881.25</v>
      </c>
      <c r="D48" s="116">
        <v>0</v>
      </c>
      <c r="E48" s="113">
        <v>881.25</v>
      </c>
      <c r="F48" s="113">
        <v>0</v>
      </c>
      <c r="G48" s="112" t="s">
        <v>261</v>
      </c>
      <c r="H48" s="114">
        <v>0</v>
      </c>
      <c r="I48" s="114">
        <v>0</v>
      </c>
      <c r="J48" s="115">
        <v>0</v>
      </c>
      <c r="K48" s="113">
        <v>0</v>
      </c>
      <c r="L48" t="str">
        <f>VLOOKUP(A48,'SAP Actual extraction'!$A$28:$A$1048576,1,0)</f>
        <v>debit    5601050100  Non-operation Expense-Others</v>
      </c>
      <c r="M48" t="str">
        <f>VLOOKUP(B48,'SAP Actual extraction'!B:B,1,0)</f>
        <v xml:space="preserve">    5601050100  Non-operation Expense-Others</v>
      </c>
    </row>
    <row r="49" spans="1:13" x14ac:dyDescent="0.3">
      <c r="A49" s="109" t="str">
        <f t="shared" si="0"/>
        <v>debit    6666020101  Entertainment</v>
      </c>
      <c r="B49" s="112" t="s">
        <v>262</v>
      </c>
      <c r="C49" s="113">
        <v>2692.31</v>
      </c>
      <c r="D49" s="113">
        <v>238031.87</v>
      </c>
      <c r="E49" s="113">
        <v>-235339.56</v>
      </c>
      <c r="F49" s="113">
        <v>-98.868899999999996</v>
      </c>
      <c r="G49" s="112" t="s">
        <v>262</v>
      </c>
      <c r="H49" s="114">
        <v>0</v>
      </c>
      <c r="I49" s="114">
        <v>0</v>
      </c>
      <c r="J49" s="115">
        <v>0</v>
      </c>
      <c r="K49" s="113">
        <v>0</v>
      </c>
      <c r="L49" t="str">
        <f>VLOOKUP(A49,'SAP Actual extraction'!$A$28:$A$1048576,1,0)</f>
        <v>debit    6666020101  Entertainment</v>
      </c>
      <c r="M49" t="str">
        <f>VLOOKUP(B49,'SAP Actual extraction'!B:B,1,0)</f>
        <v xml:space="preserve">    6666020101  Entertainment</v>
      </c>
    </row>
    <row r="50" spans="1:13" x14ac:dyDescent="0.3">
      <c r="A50" s="109" t="str">
        <f t="shared" si="0"/>
        <v>debit    6666020201  Domestic business travel</v>
      </c>
      <c r="B50" s="112" t="s">
        <v>263</v>
      </c>
      <c r="C50" s="113">
        <v>1861.84</v>
      </c>
      <c r="D50" s="113">
        <v>43476.72</v>
      </c>
      <c r="E50" s="113">
        <v>-41614.879999999997</v>
      </c>
      <c r="F50" s="113">
        <v>-95.717600000000004</v>
      </c>
      <c r="G50" s="112" t="s">
        <v>263</v>
      </c>
      <c r="H50" s="114">
        <v>0</v>
      </c>
      <c r="I50" s="114">
        <v>0</v>
      </c>
      <c r="J50" s="115">
        <v>0</v>
      </c>
      <c r="K50" s="113">
        <v>0</v>
      </c>
      <c r="L50" t="str">
        <f>VLOOKUP(A50,'SAP Actual extraction'!$A$28:$A$1048576,1,0)</f>
        <v>debit    6666020201  Domestic business travel</v>
      </c>
      <c r="M50" t="str">
        <f>VLOOKUP(B50,'SAP Actual extraction'!B:B,1,0)</f>
        <v xml:space="preserve">    6666020201  Domestic business travel</v>
      </c>
    </row>
    <row r="51" spans="1:13" x14ac:dyDescent="0.3">
      <c r="A51" s="109" t="str">
        <f t="shared" si="0"/>
        <v>debit    6666020202  Overseas business travel</v>
      </c>
      <c r="B51" s="112" t="s">
        <v>264</v>
      </c>
      <c r="C51" s="113">
        <v>7560.75</v>
      </c>
      <c r="D51" s="116">
        <v>0</v>
      </c>
      <c r="E51" s="113">
        <v>7560.75</v>
      </c>
      <c r="F51" s="113">
        <v>0</v>
      </c>
      <c r="G51" s="112" t="s">
        <v>264</v>
      </c>
      <c r="H51" s="114">
        <v>0</v>
      </c>
      <c r="I51" s="114">
        <v>0</v>
      </c>
      <c r="J51" s="115">
        <v>0</v>
      </c>
      <c r="K51" s="113">
        <v>0</v>
      </c>
      <c r="L51" t="str">
        <f>VLOOKUP(A51,'SAP Actual extraction'!$A$28:$A$1048576,1,0)</f>
        <v>debit    6666020202  Overseas business travel</v>
      </c>
      <c r="M51" t="str">
        <f>VLOOKUP(B51,'SAP Actual extraction'!B:B,1,0)</f>
        <v xml:space="preserve">    6666020202  Overseas business travel</v>
      </c>
    </row>
    <row r="52" spans="1:13" x14ac:dyDescent="0.3">
      <c r="A52" s="109" t="str">
        <f t="shared" si="0"/>
        <v>debit    6666020204  Travel expense pay to agency</v>
      </c>
      <c r="B52" s="112" t="s">
        <v>265</v>
      </c>
      <c r="C52" s="113">
        <v>22412.44</v>
      </c>
      <c r="D52" s="116">
        <v>0</v>
      </c>
      <c r="E52" s="113">
        <v>22412.44</v>
      </c>
      <c r="F52" s="113">
        <v>0</v>
      </c>
      <c r="G52" s="112" t="s">
        <v>265</v>
      </c>
      <c r="H52" s="114">
        <v>0</v>
      </c>
      <c r="I52" s="114">
        <v>0</v>
      </c>
      <c r="J52" s="115">
        <v>0</v>
      </c>
      <c r="K52" s="113">
        <v>0</v>
      </c>
      <c r="L52" t="str">
        <f>VLOOKUP(A52,'SAP Actual extraction'!$A$28:$A$1048576,1,0)</f>
        <v>debit    6666020204  Travel expense pay to agency</v>
      </c>
      <c r="M52" t="str">
        <f>VLOOKUP(B52,'SAP Actual extraction'!B:B,1,0)</f>
        <v xml:space="preserve">    6666020204  Travel expense pay to agency</v>
      </c>
    </row>
    <row r="53" spans="1:13" x14ac:dyDescent="0.3">
      <c r="A53" s="109" t="str">
        <f t="shared" si="0"/>
        <v>debit    6666020205  Business travel-other</v>
      </c>
      <c r="B53" s="112" t="s">
        <v>266</v>
      </c>
      <c r="C53" s="116">
        <v>0</v>
      </c>
      <c r="D53" s="113">
        <v>58857.48</v>
      </c>
      <c r="E53" s="113">
        <v>-58857.48</v>
      </c>
      <c r="F53" s="113">
        <v>-100</v>
      </c>
      <c r="G53" s="112" t="s">
        <v>266</v>
      </c>
      <c r="H53" s="114">
        <v>0</v>
      </c>
      <c r="I53" s="114">
        <v>0</v>
      </c>
      <c r="J53" s="115">
        <v>0</v>
      </c>
      <c r="K53" s="113">
        <v>0</v>
      </c>
      <c r="L53" t="str">
        <f>VLOOKUP(A53,'SAP Actual extraction'!$A$28:$A$1048576,1,0)</f>
        <v>debit    6666020205  Business travel-other</v>
      </c>
      <c r="M53" t="str">
        <f>VLOOKUP(B53,'SAP Actual extraction'!B:B,1,0)</f>
        <v xml:space="preserve">    6666020205  Business travel-other</v>
      </c>
    </row>
    <row r="54" spans="1:13" x14ac:dyDescent="0.3">
      <c r="A54" s="109" t="str">
        <f t="shared" si="0"/>
        <v>debit    6666020301  Staff communication expense</v>
      </c>
      <c r="B54" s="112" t="s">
        <v>267</v>
      </c>
      <c r="C54" s="113">
        <v>14843.78</v>
      </c>
      <c r="D54" s="116">
        <v>0</v>
      </c>
      <c r="E54" s="113">
        <v>14843.78</v>
      </c>
      <c r="F54" s="113">
        <v>0</v>
      </c>
      <c r="G54" s="112" t="s">
        <v>267</v>
      </c>
      <c r="H54" s="114">
        <v>0</v>
      </c>
      <c r="I54" s="114">
        <v>0</v>
      </c>
      <c r="J54" s="115">
        <v>0</v>
      </c>
      <c r="K54" s="113">
        <v>0</v>
      </c>
      <c r="L54" t="str">
        <f>VLOOKUP(A54,'SAP Actual extraction'!$A$28:$A$1048576,1,0)</f>
        <v>debit    6666020301  Staff communication expense</v>
      </c>
      <c r="M54" t="str">
        <f>VLOOKUP(B54,'SAP Actual extraction'!B:B,1,0)</f>
        <v xml:space="preserve">    6666020301  Staff communication expense</v>
      </c>
    </row>
    <row r="55" spans="1:13" x14ac:dyDescent="0.3">
      <c r="A55" s="109" t="str">
        <f t="shared" si="0"/>
        <v>debit    6666020302  Communication Expenses</v>
      </c>
      <c r="B55" s="112" t="s">
        <v>269</v>
      </c>
      <c r="C55" s="113">
        <v>2217.36</v>
      </c>
      <c r="D55" s="113">
        <v>7206.84</v>
      </c>
      <c r="E55" s="113">
        <v>-4989.4799999999996</v>
      </c>
      <c r="F55" s="113">
        <v>-69.232600000000005</v>
      </c>
      <c r="G55" s="112" t="s">
        <v>269</v>
      </c>
      <c r="H55" s="114">
        <v>0</v>
      </c>
      <c r="I55" s="114">
        <v>0</v>
      </c>
      <c r="J55" s="115">
        <v>0</v>
      </c>
      <c r="K55" s="113">
        <v>0</v>
      </c>
      <c r="L55" t="str">
        <f>VLOOKUP(A55,'SAP Actual extraction'!$A$28:$A$1048576,1,0)</f>
        <v>debit    6666020302  Communication Expenses</v>
      </c>
      <c r="M55" t="str">
        <f>VLOOKUP(B55,'SAP Actual extraction'!B:B,1,0)</f>
        <v xml:space="preserve">    6666020302  Communication Expenses</v>
      </c>
    </row>
    <row r="56" spans="1:13" x14ac:dyDescent="0.3">
      <c r="A56" s="109" t="str">
        <f t="shared" si="0"/>
        <v>debit    6666020403  Company car expense</v>
      </c>
      <c r="B56" s="112" t="s">
        <v>270</v>
      </c>
      <c r="C56" s="113">
        <v>14.06</v>
      </c>
      <c r="D56" s="116">
        <v>0</v>
      </c>
      <c r="E56" s="113">
        <v>14.06</v>
      </c>
      <c r="F56" s="113">
        <v>0</v>
      </c>
      <c r="G56" s="112" t="s">
        <v>270</v>
      </c>
      <c r="H56" s="114">
        <v>0</v>
      </c>
      <c r="I56" s="114">
        <v>0</v>
      </c>
      <c r="J56" s="115">
        <v>0</v>
      </c>
      <c r="K56" s="113">
        <v>0</v>
      </c>
      <c r="L56" t="str">
        <f>VLOOKUP(A56,'SAP Actual extraction'!$A$28:$A$1048576,1,0)</f>
        <v>debit    6666020403  Company car expense</v>
      </c>
      <c r="M56" t="str">
        <f>VLOOKUP(B56,'SAP Actual extraction'!B:B,1,0)</f>
        <v xml:space="preserve">    6666020403  Company car expense</v>
      </c>
    </row>
    <row r="57" spans="1:13" x14ac:dyDescent="0.3">
      <c r="A57" s="109" t="str">
        <f t="shared" si="0"/>
        <v>debit    6666020405  Company car expense - maintenance fees</v>
      </c>
      <c r="B57" s="112" t="s">
        <v>271</v>
      </c>
      <c r="C57" s="116">
        <v>0</v>
      </c>
      <c r="D57" s="116">
        <v>0</v>
      </c>
      <c r="E57" s="113">
        <v>0</v>
      </c>
      <c r="F57" s="113">
        <v>0</v>
      </c>
      <c r="G57" s="112" t="s">
        <v>271</v>
      </c>
      <c r="H57" s="114">
        <v>0</v>
      </c>
      <c r="I57" s="114">
        <v>0</v>
      </c>
      <c r="J57" s="115">
        <v>0</v>
      </c>
      <c r="K57" s="113">
        <v>0</v>
      </c>
      <c r="L57" t="str">
        <f>VLOOKUP(A57,'SAP Actual extraction'!$A$28:$A$1048576,1,0)</f>
        <v>debit    6666020405  Company car expense - maintenance fees</v>
      </c>
      <c r="M57" t="str">
        <f>VLOOKUP(B57,'SAP Actual extraction'!B:B,1,0)</f>
        <v xml:space="preserve">    6666020405  Company car expense - maintenance fees</v>
      </c>
    </row>
    <row r="58" spans="1:13" x14ac:dyDescent="0.3">
      <c r="A58" s="109" t="str">
        <f t="shared" si="0"/>
        <v>debit    6666020504  Newspaper and Periodicals expenditure</v>
      </c>
      <c r="B58" s="112" t="s">
        <v>272</v>
      </c>
      <c r="C58" s="113">
        <v>597.32000000000005</v>
      </c>
      <c r="D58" s="113">
        <v>2027.76</v>
      </c>
      <c r="E58" s="113">
        <v>-1430.44</v>
      </c>
      <c r="F58" s="113">
        <v>-70.542900000000003</v>
      </c>
      <c r="G58" s="112" t="s">
        <v>272</v>
      </c>
      <c r="H58" s="114">
        <v>0</v>
      </c>
      <c r="I58" s="114">
        <v>0</v>
      </c>
      <c r="J58" s="115">
        <v>0</v>
      </c>
      <c r="K58" s="113">
        <v>0</v>
      </c>
      <c r="L58" t="str">
        <f>VLOOKUP(A58,'SAP Actual extraction'!$A$28:$A$1048576,1,0)</f>
        <v>debit    6666020504  Newspaper and Periodicals expenditure</v>
      </c>
      <c r="M58" t="str">
        <f>VLOOKUP(B58,'SAP Actual extraction'!B:B,1,0)</f>
        <v xml:space="preserve">    6666020504  Newspaper and Periodicals expenditure</v>
      </c>
    </row>
    <row r="59" spans="1:13" x14ac:dyDescent="0.3">
      <c r="A59" s="109" t="str">
        <f t="shared" si="0"/>
        <v>debit    6666020508  Postage</v>
      </c>
      <c r="B59" s="112" t="s">
        <v>273</v>
      </c>
      <c r="C59" s="113">
        <v>654.16</v>
      </c>
      <c r="D59" s="113">
        <v>4973.76</v>
      </c>
      <c r="E59" s="113">
        <v>-4319.6000000000004</v>
      </c>
      <c r="F59" s="113">
        <v>-86.847800000000007</v>
      </c>
      <c r="G59" s="112" t="s">
        <v>273</v>
      </c>
      <c r="H59" s="114">
        <v>0</v>
      </c>
      <c r="I59" s="114">
        <v>0</v>
      </c>
      <c r="J59" s="115">
        <v>0</v>
      </c>
      <c r="K59" s="113">
        <v>0</v>
      </c>
      <c r="L59" t="str">
        <f>VLOOKUP(A59,'SAP Actual extraction'!$A$28:$A$1048576,1,0)</f>
        <v>debit    6666020508  Postage</v>
      </c>
      <c r="M59" t="str">
        <f>VLOOKUP(B59,'SAP Actual extraction'!B:B,1,0)</f>
        <v xml:space="preserve">    6666020508  Postage</v>
      </c>
    </row>
    <row r="60" spans="1:13" x14ac:dyDescent="0.3">
      <c r="A60" s="109" t="str">
        <f t="shared" si="0"/>
        <v>debit    6666020602  Training costs Outside the group</v>
      </c>
      <c r="B60" s="112" t="s">
        <v>274</v>
      </c>
      <c r="C60" s="113">
        <v>887.63</v>
      </c>
      <c r="D60" s="113">
        <v>103406.51</v>
      </c>
      <c r="E60" s="113">
        <v>-102518.88</v>
      </c>
      <c r="F60" s="113">
        <v>-99.141599999999997</v>
      </c>
      <c r="G60" s="112" t="s">
        <v>274</v>
      </c>
      <c r="H60" s="114">
        <v>0</v>
      </c>
      <c r="I60" s="114">
        <v>0</v>
      </c>
      <c r="J60" s="115">
        <v>0</v>
      </c>
      <c r="K60" s="113">
        <v>0</v>
      </c>
      <c r="L60" t="str">
        <f>VLOOKUP(A60,'SAP Actual extraction'!$A$28:$A$1048576,1,0)</f>
        <v>debit    6666020602  Training costs Outside the group</v>
      </c>
      <c r="M60" t="str">
        <f>VLOOKUP(B60,'SAP Actual extraction'!B:B,1,0)</f>
        <v xml:space="preserve">    6666020602  Training costs Outside the group</v>
      </c>
    </row>
    <row r="61" spans="1:13" x14ac:dyDescent="0.3">
      <c r="A61" s="109" t="str">
        <f t="shared" si="0"/>
        <v>debit    6666020802  Equipment rental cost</v>
      </c>
      <c r="B61" s="112" t="s">
        <v>276</v>
      </c>
      <c r="C61" s="113">
        <v>284725.03000000003</v>
      </c>
      <c r="D61" s="113">
        <v>403077.04</v>
      </c>
      <c r="E61" s="113">
        <v>-118352.01</v>
      </c>
      <c r="F61" s="113">
        <v>-29.362100000000002</v>
      </c>
      <c r="G61" s="112" t="s">
        <v>276</v>
      </c>
      <c r="H61" s="114">
        <v>0</v>
      </c>
      <c r="I61" s="114">
        <v>0</v>
      </c>
      <c r="J61" s="115">
        <v>0</v>
      </c>
      <c r="K61" s="113">
        <v>0</v>
      </c>
      <c r="L61" t="str">
        <f>VLOOKUP(A61,'SAP Actual extraction'!$A$28:$A$1048576,1,0)</f>
        <v>debit    6666020802  Equipment rental cost</v>
      </c>
      <c r="M61" t="str">
        <f>VLOOKUP(B61,'SAP Actual extraction'!B:B,1,0)</f>
        <v xml:space="preserve">    6666020802  Equipment rental cost</v>
      </c>
    </row>
    <row r="62" spans="1:13" x14ac:dyDescent="0.3">
      <c r="A62" s="109" t="str">
        <f t="shared" si="0"/>
        <v>debit    6666020803  Car rental cost</v>
      </c>
      <c r="B62" s="112" t="s">
        <v>277</v>
      </c>
      <c r="C62" s="113">
        <v>103456.31</v>
      </c>
      <c r="D62" s="113">
        <v>101929.89</v>
      </c>
      <c r="E62" s="113">
        <v>1526.42</v>
      </c>
      <c r="F62" s="113">
        <v>1.4975000000000001</v>
      </c>
      <c r="G62" s="112" t="s">
        <v>277</v>
      </c>
      <c r="H62" s="114">
        <v>0</v>
      </c>
      <c r="I62" s="114">
        <v>0</v>
      </c>
      <c r="J62" s="115">
        <v>0</v>
      </c>
      <c r="K62" s="113">
        <v>0</v>
      </c>
      <c r="L62" t="str">
        <f>VLOOKUP(A62,'SAP Actual extraction'!$A$28:$A$1048576,1,0)</f>
        <v>debit    6666020803  Car rental cost</v>
      </c>
      <c r="M62" t="str">
        <f>VLOOKUP(B62,'SAP Actual extraction'!B:B,1,0)</f>
        <v xml:space="preserve">    6666020803  Car rental cost</v>
      </c>
    </row>
    <row r="63" spans="1:13" x14ac:dyDescent="0.3">
      <c r="A63" s="109" t="str">
        <f t="shared" si="0"/>
        <v>debit    6666021100  Consulting fees</v>
      </c>
      <c r="B63" s="112" t="s">
        <v>278</v>
      </c>
      <c r="C63" s="113">
        <v>209322.45</v>
      </c>
      <c r="D63" s="113">
        <v>297253.76000000001</v>
      </c>
      <c r="E63" s="113">
        <v>-87931.31</v>
      </c>
      <c r="F63" s="113">
        <v>-29.581199999999999</v>
      </c>
      <c r="G63" s="112" t="s">
        <v>278</v>
      </c>
      <c r="H63" s="114">
        <v>0</v>
      </c>
      <c r="I63" s="114">
        <v>0</v>
      </c>
      <c r="J63" s="115">
        <v>0</v>
      </c>
      <c r="K63" s="113">
        <v>0</v>
      </c>
      <c r="L63" t="str">
        <f>VLOOKUP(A63,'SAP Actual extraction'!$A$28:$A$1048576,1,0)</f>
        <v>debit    6666021100  Consulting fees</v>
      </c>
      <c r="M63" t="str">
        <f>VLOOKUP(B63,'SAP Actual extraction'!B:B,1,0)</f>
        <v xml:space="preserve">    6666021100  Consulting fees</v>
      </c>
    </row>
    <row r="64" spans="1:13" x14ac:dyDescent="0.3">
      <c r="A64" s="109" t="str">
        <f t="shared" si="0"/>
        <v>debit    6666021104  Consulting expense-Technical</v>
      </c>
      <c r="B64" s="112" t="s">
        <v>268</v>
      </c>
      <c r="C64" s="113">
        <v>-2.36</v>
      </c>
      <c r="D64" s="116">
        <v>0</v>
      </c>
      <c r="E64" s="113">
        <v>-2.36</v>
      </c>
      <c r="F64" s="113">
        <v>0</v>
      </c>
      <c r="G64" s="112" t="s">
        <v>268</v>
      </c>
      <c r="H64" s="114">
        <v>0</v>
      </c>
      <c r="I64" s="114">
        <v>0</v>
      </c>
      <c r="J64" s="115">
        <v>0</v>
      </c>
      <c r="K64" s="113">
        <v>0</v>
      </c>
      <c r="L64" t="str">
        <f>VLOOKUP(A64,'SAP Actual extraction'!$A$28:$A$1048576,1,0)</f>
        <v>debit    6666021104  Consulting expense-Technical</v>
      </c>
      <c r="M64" t="str">
        <f>VLOOKUP(B64,'SAP Actual extraction'!B:B,1,0)</f>
        <v xml:space="preserve">    6666021104  Consulting expense-Technical</v>
      </c>
    </row>
    <row r="65" spans="1:13" x14ac:dyDescent="0.3">
      <c r="A65" s="109" t="str">
        <f t="shared" si="0"/>
        <v>debit    6666021200  Audit fee</v>
      </c>
      <c r="B65" s="112" t="s">
        <v>359</v>
      </c>
      <c r="C65" s="113">
        <v>-27.2</v>
      </c>
      <c r="D65" s="116">
        <v>0</v>
      </c>
      <c r="E65" s="113">
        <v>-27.2</v>
      </c>
      <c r="F65" s="113">
        <v>0</v>
      </c>
      <c r="G65" s="112" t="s">
        <v>359</v>
      </c>
      <c r="H65" s="114">
        <v>0</v>
      </c>
      <c r="I65" s="114">
        <v>0</v>
      </c>
      <c r="J65" s="115">
        <v>0</v>
      </c>
      <c r="K65" s="113">
        <v>0</v>
      </c>
      <c r="L65" t="e">
        <f>VLOOKUP(A65,'SAP Actual extraction'!$A$28:$A$1048576,1,0)</f>
        <v>#N/A</v>
      </c>
      <c r="M65" t="e">
        <f>VLOOKUP(B65,'SAP Actual extraction'!B:B,1,0)</f>
        <v>#N/A</v>
      </c>
    </row>
    <row r="66" spans="1:13" x14ac:dyDescent="0.3">
      <c r="A66" s="109" t="str">
        <f t="shared" si="0"/>
        <v>debit    6666021902  Cleaning fees</v>
      </c>
      <c r="B66" s="112" t="s">
        <v>279</v>
      </c>
      <c r="C66" s="113">
        <v>207841.02</v>
      </c>
      <c r="D66" s="113">
        <v>260906.4</v>
      </c>
      <c r="E66" s="113">
        <v>-53065.38</v>
      </c>
      <c r="F66" s="113">
        <v>-20.338899999999999</v>
      </c>
      <c r="G66" s="112" t="s">
        <v>279</v>
      </c>
      <c r="H66" s="114">
        <v>0</v>
      </c>
      <c r="I66" s="114">
        <v>0</v>
      </c>
      <c r="J66" s="115">
        <v>0</v>
      </c>
      <c r="K66" s="113">
        <v>0</v>
      </c>
      <c r="L66" t="str">
        <f>VLOOKUP(A66,'SAP Actual extraction'!$A$28:$A$1048576,1,0)</f>
        <v>debit    6666021902  Cleaning fees</v>
      </c>
      <c r="M66" t="str">
        <f>VLOOKUP(B66,'SAP Actual extraction'!B:B,1,0)</f>
        <v xml:space="preserve">    6666021902  Cleaning fees</v>
      </c>
    </row>
    <row r="67" spans="1:13" x14ac:dyDescent="0.3">
      <c r="A67" s="109" t="str">
        <f t="shared" si="0"/>
        <v>debit    6666022100  Security</v>
      </c>
      <c r="B67" s="112" t="s">
        <v>280</v>
      </c>
      <c r="C67" s="113">
        <v>106658.66</v>
      </c>
      <c r="D67" s="113">
        <v>193111.44</v>
      </c>
      <c r="E67" s="113">
        <v>-86452.78</v>
      </c>
      <c r="F67" s="113">
        <v>-44.768300000000004</v>
      </c>
      <c r="G67" s="112" t="s">
        <v>280</v>
      </c>
      <c r="H67" s="114">
        <v>0</v>
      </c>
      <c r="I67" s="114">
        <v>0</v>
      </c>
      <c r="J67" s="115">
        <v>0</v>
      </c>
      <c r="K67" s="113">
        <v>0</v>
      </c>
      <c r="L67" t="str">
        <f>VLOOKUP(A67,'SAP Actual extraction'!$A$28:$A$1048576,1,0)</f>
        <v>debit    6666022100  Security</v>
      </c>
      <c r="M67" t="str">
        <f>VLOOKUP(B67,'SAP Actual extraction'!B:B,1,0)</f>
        <v xml:space="preserve">    6666022100  Security</v>
      </c>
    </row>
    <row r="68" spans="1:13" x14ac:dyDescent="0.3">
      <c r="A68" s="109" t="str">
        <f t="shared" si="0"/>
        <v>debit    6666022300  Association dues</v>
      </c>
      <c r="B68" s="112" t="s">
        <v>281</v>
      </c>
      <c r="C68" s="116">
        <v>0</v>
      </c>
      <c r="D68" s="116">
        <v>0</v>
      </c>
      <c r="E68" s="113">
        <v>0</v>
      </c>
      <c r="F68" s="113">
        <v>0</v>
      </c>
      <c r="G68" s="112" t="s">
        <v>281</v>
      </c>
      <c r="H68" s="114">
        <v>0</v>
      </c>
      <c r="I68" s="114">
        <v>0</v>
      </c>
      <c r="J68" s="115">
        <v>0</v>
      </c>
      <c r="K68" s="113">
        <v>0</v>
      </c>
      <c r="L68" t="str">
        <f>VLOOKUP(A68,'SAP Actual extraction'!$A$28:$A$1048576,1,0)</f>
        <v>debit    6666022300  Association dues</v>
      </c>
      <c r="M68" t="str">
        <f>VLOOKUP(B68,'SAP Actual extraction'!B:B,1,0)</f>
        <v xml:space="preserve">    6666022300  Association dues</v>
      </c>
    </row>
    <row r="69" spans="1:13" x14ac:dyDescent="0.3">
      <c r="A69" s="109" t="str">
        <f t="shared" si="0"/>
        <v>debit    6666029900  Sundry Expenses</v>
      </c>
      <c r="B69" s="112" t="s">
        <v>282</v>
      </c>
      <c r="C69" s="113">
        <v>10153.23</v>
      </c>
      <c r="D69" s="116">
        <v>0</v>
      </c>
      <c r="E69" s="113">
        <v>10153.23</v>
      </c>
      <c r="F69" s="113">
        <v>0</v>
      </c>
      <c r="G69" s="112" t="s">
        <v>282</v>
      </c>
      <c r="H69" s="114">
        <v>0</v>
      </c>
      <c r="I69" s="114">
        <v>0</v>
      </c>
      <c r="J69" s="115">
        <v>0</v>
      </c>
      <c r="K69" s="113">
        <v>0</v>
      </c>
      <c r="L69" t="str">
        <f>VLOOKUP(A69,'SAP Actual extraction'!$A$28:$A$1048576,1,0)</f>
        <v>debit    6666029900  Sundry Expenses</v>
      </c>
      <c r="M69" t="str">
        <f>VLOOKUP(B69,'SAP Actual extraction'!B:B,1,0)</f>
        <v xml:space="preserve">    6666029900  Sundry Expenses</v>
      </c>
    </row>
    <row r="70" spans="1:13" x14ac:dyDescent="0.3">
      <c r="A70" s="109" t="str">
        <f t="shared" si="0"/>
        <v>debit    6666029997  restructure cost</v>
      </c>
      <c r="B70" s="112" t="s">
        <v>283</v>
      </c>
      <c r="C70" s="113">
        <v>29510.78</v>
      </c>
      <c r="D70" s="113">
        <v>10676.16</v>
      </c>
      <c r="E70" s="113">
        <v>18834.62</v>
      </c>
      <c r="F70" s="113">
        <v>176.41759999999999</v>
      </c>
      <c r="G70" s="112" t="s">
        <v>283</v>
      </c>
      <c r="H70" s="114">
        <v>0</v>
      </c>
      <c r="I70" s="114">
        <v>0</v>
      </c>
      <c r="J70" s="115">
        <v>0</v>
      </c>
      <c r="K70" s="113">
        <v>0</v>
      </c>
      <c r="L70" t="str">
        <f>VLOOKUP(A70,'SAP Actual extraction'!$A$28:$A$1048576,1,0)</f>
        <v>debit    6666029997  restructure cost</v>
      </c>
      <c r="M70" t="str">
        <f>VLOOKUP(B70,'SAP Actual extraction'!B:B,1,0)</f>
        <v xml:space="preserve">    6666029997  restructure cost</v>
      </c>
    </row>
    <row r="71" spans="1:13" x14ac:dyDescent="0.3">
      <c r="A71" s="109" t="str">
        <f t="shared" si="0"/>
        <v>debit    6666030300  Design and development fees</v>
      </c>
      <c r="B71" s="112" t="s">
        <v>284</v>
      </c>
      <c r="C71" s="116">
        <v>0</v>
      </c>
      <c r="D71" s="116">
        <v>0</v>
      </c>
      <c r="E71" s="113">
        <v>0</v>
      </c>
      <c r="F71" s="113">
        <v>0</v>
      </c>
      <c r="G71" s="112" t="s">
        <v>284</v>
      </c>
      <c r="H71" s="114">
        <v>0</v>
      </c>
      <c r="I71" s="114">
        <v>0</v>
      </c>
      <c r="J71" s="115">
        <v>0</v>
      </c>
      <c r="K71" s="113">
        <v>0</v>
      </c>
      <c r="L71" t="str">
        <f>VLOOKUP(A71,'SAP Actual extraction'!$A$28:$A$1048576,1,0)</f>
        <v>debit    6666030300  Design and development fees</v>
      </c>
      <c r="M71" t="str">
        <f>VLOOKUP(B71,'SAP Actual extraction'!B:B,1,0)</f>
        <v xml:space="preserve">    6666030300  Design and development fees</v>
      </c>
    </row>
    <row r="72" spans="1:13" x14ac:dyDescent="0.3">
      <c r="A72" s="109" t="str">
        <f t="shared" si="0"/>
        <v>debit    6666050107  Special distribution costs</v>
      </c>
      <c r="B72" s="112" t="s">
        <v>287</v>
      </c>
      <c r="C72" s="113">
        <v>3.13</v>
      </c>
      <c r="D72" s="116">
        <v>0</v>
      </c>
      <c r="E72" s="113">
        <v>3.13</v>
      </c>
      <c r="F72" s="113">
        <v>0</v>
      </c>
      <c r="G72" s="112" t="s">
        <v>287</v>
      </c>
      <c r="H72" s="114">
        <v>0</v>
      </c>
      <c r="I72" s="114">
        <v>0</v>
      </c>
      <c r="J72" s="115">
        <v>0</v>
      </c>
      <c r="K72" s="113">
        <v>0</v>
      </c>
      <c r="L72" t="str">
        <f>VLOOKUP(A72,'SAP Actual extraction'!$A$28:$A$1048576,1,0)</f>
        <v>debit    6666050107  Special distribution costs</v>
      </c>
      <c r="M72" t="str">
        <f>VLOOKUP(B72,'SAP Actual extraction'!B:B,1,0)</f>
        <v xml:space="preserve">    6666050107  Special distribution costs</v>
      </c>
    </row>
    <row r="73" spans="1:13" x14ac:dyDescent="0.3">
      <c r="A73" s="109" t="str">
        <f t="shared" si="0"/>
        <v>debit    6666050202  Custom clearance charge</v>
      </c>
      <c r="B73" s="112" t="s">
        <v>360</v>
      </c>
      <c r="C73" s="113">
        <v>40.090000000000003</v>
      </c>
      <c r="D73" s="116">
        <v>0</v>
      </c>
      <c r="E73" s="113">
        <v>40.090000000000003</v>
      </c>
      <c r="F73" s="113">
        <v>0</v>
      </c>
      <c r="G73" s="112" t="s">
        <v>360</v>
      </c>
      <c r="H73" s="114">
        <v>0</v>
      </c>
      <c r="I73" s="114">
        <v>0</v>
      </c>
      <c r="J73" s="115">
        <v>0</v>
      </c>
      <c r="K73" s="113">
        <v>0</v>
      </c>
      <c r="L73" t="e">
        <f>VLOOKUP(A73,'SAP Actual extraction'!$A$28:$A$1048576,1,0)</f>
        <v>#N/A</v>
      </c>
      <c r="M73" t="e">
        <f>VLOOKUP(B73,'SAP Actual extraction'!B:B,1,0)</f>
        <v>#N/A</v>
      </c>
    </row>
    <row r="74" spans="1:13" x14ac:dyDescent="0.3">
      <c r="A74" s="109" t="str">
        <f t="shared" si="0"/>
        <v>debit    6666050312  Inventory count different- Semifinished</v>
      </c>
      <c r="B74" s="112" t="s">
        <v>212</v>
      </c>
      <c r="C74" s="113">
        <v>402034.93</v>
      </c>
      <c r="D74" s="116">
        <v>0</v>
      </c>
      <c r="E74" s="113">
        <v>402034.93</v>
      </c>
      <c r="F74" s="113">
        <v>0</v>
      </c>
      <c r="G74" s="112" t="s">
        <v>212</v>
      </c>
      <c r="H74" s="114">
        <v>0</v>
      </c>
      <c r="I74" s="114">
        <v>0</v>
      </c>
      <c r="J74" s="115">
        <v>0</v>
      </c>
      <c r="K74" s="113">
        <v>0</v>
      </c>
      <c r="L74" t="str">
        <f>VLOOKUP(A74,'SAP Actual extraction'!$A$28:$A$1048576,1,0)</f>
        <v>debit    6666050312  Inventory count different- Semifinished</v>
      </c>
      <c r="M74" t="str">
        <f>VLOOKUP(B74,'SAP Actual extraction'!B:B,1,0)</f>
        <v xml:space="preserve">    6666050312  Inventory count different- Semifinished</v>
      </c>
    </row>
    <row r="75" spans="1:13" x14ac:dyDescent="0.3">
      <c r="A75" s="109" t="str">
        <f t="shared" si="0"/>
        <v>debit    6666070100  Software purchase, development and imple</v>
      </c>
      <c r="B75" s="112" t="s">
        <v>288</v>
      </c>
      <c r="C75" s="116">
        <v>0</v>
      </c>
      <c r="D75" s="116">
        <v>0</v>
      </c>
      <c r="E75" s="113">
        <v>0</v>
      </c>
      <c r="F75" s="113">
        <v>0</v>
      </c>
      <c r="G75" s="112" t="s">
        <v>288</v>
      </c>
      <c r="H75" s="114">
        <v>0</v>
      </c>
      <c r="I75" s="114">
        <v>0</v>
      </c>
      <c r="J75" s="115">
        <v>0</v>
      </c>
      <c r="K75" s="113">
        <v>0</v>
      </c>
      <c r="L75" t="str">
        <f>VLOOKUP(A75,'SAP Actual extraction'!$A$28:$A$1048576,1,0)</f>
        <v>debit    6666070100  Software purchase, development and imple</v>
      </c>
      <c r="M75" t="str">
        <f>VLOOKUP(B75,'SAP Actual extraction'!B:B,1,0)</f>
        <v xml:space="preserve">    6666070100  Software purchase, development and imple</v>
      </c>
    </row>
    <row r="76" spans="1:13" x14ac:dyDescent="0.3">
      <c r="A76" s="109" t="str">
        <f t="shared" si="0"/>
        <v>debit    6666070400  IT maint. &amp; repairs hardware</v>
      </c>
      <c r="B76" s="112" t="s">
        <v>290</v>
      </c>
      <c r="C76" s="113">
        <v>146324.29</v>
      </c>
      <c r="D76" s="113">
        <v>197272.8</v>
      </c>
      <c r="E76" s="113">
        <v>-50948.51</v>
      </c>
      <c r="F76" s="113">
        <v>-25.8264</v>
      </c>
      <c r="G76" s="112" t="s">
        <v>290</v>
      </c>
      <c r="H76" s="114">
        <v>0</v>
      </c>
      <c r="I76" s="114">
        <v>0</v>
      </c>
      <c r="J76" s="115">
        <v>0</v>
      </c>
      <c r="K76" s="113">
        <v>0</v>
      </c>
      <c r="L76" t="str">
        <f>VLOOKUP(A76,'SAP Actual extraction'!$A$28:$A$1048576,1,0)</f>
        <v>debit    6666070400  IT maint. &amp; repairs hardware</v>
      </c>
      <c r="M76" t="str">
        <f>VLOOKUP(B76,'SAP Actual extraction'!B:B,1,0)</f>
        <v xml:space="preserve">    6666070400  IT maint. &amp; repairs hardware</v>
      </c>
    </row>
    <row r="77" spans="1:13" x14ac:dyDescent="0.3">
      <c r="A77" s="109" t="str">
        <f t="shared" si="0"/>
        <v>debit    5207000011  Gain of tangible asset disposal</v>
      </c>
      <c r="B77" s="112" t="s">
        <v>291</v>
      </c>
      <c r="C77" s="116">
        <v>0</v>
      </c>
      <c r="D77" s="116">
        <v>0</v>
      </c>
      <c r="E77" s="113">
        <v>0</v>
      </c>
      <c r="F77" s="113">
        <v>0</v>
      </c>
      <c r="G77" s="112" t="s">
        <v>291</v>
      </c>
      <c r="H77" s="114">
        <v>0</v>
      </c>
      <c r="I77" s="114">
        <v>0</v>
      </c>
      <c r="J77" s="115">
        <v>0</v>
      </c>
      <c r="K77" s="113">
        <v>0</v>
      </c>
      <c r="L77" t="str">
        <f>VLOOKUP(A77,'SAP Actual extraction'!$A$28:$A$1048576,1,0)</f>
        <v>debit    5207000011  Gain of tangible asset disposal</v>
      </c>
      <c r="M77" t="str">
        <f>VLOOKUP(B77,'SAP Actual extraction'!B:B,1,0)</f>
        <v xml:space="preserve">    5207000011  Gain of tangible asset disposal</v>
      </c>
    </row>
    <row r="78" spans="1:13" x14ac:dyDescent="0.3">
      <c r="A78" s="109" t="str">
        <f t="shared" si="0"/>
        <v>debit    5401050201  COGS-Freight out-Special and sporadic fr</v>
      </c>
      <c r="B78" s="112" t="s">
        <v>292</v>
      </c>
      <c r="C78" s="113">
        <v>184.69</v>
      </c>
      <c r="D78" s="116">
        <v>0</v>
      </c>
      <c r="E78" s="113">
        <v>184.69</v>
      </c>
      <c r="F78" s="113">
        <v>0</v>
      </c>
      <c r="G78" s="112" t="s">
        <v>292</v>
      </c>
      <c r="H78" s="114">
        <v>0</v>
      </c>
      <c r="I78" s="114">
        <v>0</v>
      </c>
      <c r="J78" s="115">
        <v>0</v>
      </c>
      <c r="K78" s="113">
        <v>0</v>
      </c>
      <c r="L78" t="str">
        <f>VLOOKUP(A78,'SAP Actual extraction'!$A$28:$A$1048576,1,0)</f>
        <v>debit    5401050201  COGS-Freight out-Special and sporadic fr</v>
      </c>
      <c r="M78" t="str">
        <f>VLOOKUP(B78,'SAP Actual extraction'!B:B,1,0)</f>
        <v xml:space="preserve">    5401050201  COGS-Freight out-Special and sporadic fr</v>
      </c>
    </row>
    <row r="79" spans="1:13" x14ac:dyDescent="0.3">
      <c r="A79" s="109" t="str">
        <f t="shared" si="0"/>
        <v>debit*   CS_Fix Cost</v>
      </c>
      <c r="B79" s="117" t="s">
        <v>211</v>
      </c>
      <c r="C79" s="118">
        <v>1609874.37</v>
      </c>
      <c r="D79" s="118">
        <v>1922208.43</v>
      </c>
      <c r="E79" s="118">
        <v>-312334.06</v>
      </c>
      <c r="F79" s="118">
        <v>-16.248699999999999</v>
      </c>
      <c r="G79" s="117" t="s">
        <v>211</v>
      </c>
      <c r="H79" s="119">
        <v>0</v>
      </c>
      <c r="I79" s="119">
        <v>0</v>
      </c>
      <c r="J79" s="120">
        <v>0</v>
      </c>
      <c r="K79" s="118">
        <v>0</v>
      </c>
      <c r="L79" t="str">
        <f>VLOOKUP(A79,'SAP Actual extraction'!$A$28:$A$1048576,1,0)</f>
        <v>debit*   CS_Fix Cost</v>
      </c>
      <c r="M79" t="str">
        <f>VLOOKUP(B79,'SAP Actual extraction'!B:B,1,0)</f>
        <v>*   CS_Fix Cost</v>
      </c>
    </row>
    <row r="80" spans="1:13" x14ac:dyDescent="0.3">
      <c r="A80" s="109" t="str">
        <f t="shared" si="0"/>
        <v>debit    6666110203  Low value consumables</v>
      </c>
      <c r="B80" s="112" t="s">
        <v>293</v>
      </c>
      <c r="C80" s="113">
        <v>270438.76</v>
      </c>
      <c r="D80" s="113">
        <v>429809.88</v>
      </c>
      <c r="E80" s="113">
        <v>-159371.12</v>
      </c>
      <c r="F80" s="113">
        <v>-37.0794</v>
      </c>
      <c r="G80" s="112" t="s">
        <v>293</v>
      </c>
      <c r="H80" s="114">
        <v>0</v>
      </c>
      <c r="I80" s="114">
        <v>0</v>
      </c>
      <c r="J80" s="115">
        <v>0</v>
      </c>
      <c r="K80" s="113">
        <v>0</v>
      </c>
      <c r="L80" t="str">
        <f>VLOOKUP(A80,'SAP Actual extraction'!$A$28:$A$1048576,1,0)</f>
        <v>debit    6666110203  Low value consumables</v>
      </c>
      <c r="M80" t="str">
        <f>VLOOKUP(B80,'SAP Actual extraction'!B:B,1,0)</f>
        <v xml:space="preserve">    6666110203  Low value consumables</v>
      </c>
    </row>
    <row r="81" spans="1:13" x14ac:dyDescent="0.3">
      <c r="A81" s="109" t="str">
        <f t="shared" si="0"/>
        <v>debit    5102040000  Other Revenue - Other</v>
      </c>
      <c r="B81" s="112" t="s">
        <v>294</v>
      </c>
      <c r="C81" s="116">
        <v>0</v>
      </c>
      <c r="D81" s="116">
        <v>0</v>
      </c>
      <c r="E81" s="113">
        <v>0</v>
      </c>
      <c r="F81" s="113">
        <v>0</v>
      </c>
      <c r="G81" s="112" t="s">
        <v>294</v>
      </c>
      <c r="H81" s="114">
        <v>0</v>
      </c>
      <c r="I81" s="114">
        <v>0</v>
      </c>
      <c r="J81" s="115">
        <v>0</v>
      </c>
      <c r="K81" s="113">
        <v>0</v>
      </c>
      <c r="L81" t="str">
        <f>VLOOKUP(A81,'SAP Actual extraction'!$A$28:$A$1048576,1,0)</f>
        <v>debit    5102040000  Other Revenue - Other</v>
      </c>
      <c r="M81" t="str">
        <f>VLOOKUP(B81,'SAP Actual extraction'!B:B,1,0)</f>
        <v xml:space="preserve">    5102040000  Other Revenue - Other</v>
      </c>
    </row>
    <row r="82" spans="1:13" x14ac:dyDescent="0.3">
      <c r="A82" s="109" t="str">
        <f t="shared" si="0"/>
        <v>debit    6666050307  Inventory count different-raw material</v>
      </c>
      <c r="B82" s="112" t="s">
        <v>295</v>
      </c>
      <c r="C82" s="113">
        <v>-997336.67</v>
      </c>
      <c r="D82" s="116">
        <v>0</v>
      </c>
      <c r="E82" s="113">
        <v>-997336.67</v>
      </c>
      <c r="F82" s="113">
        <v>0</v>
      </c>
      <c r="G82" s="112" t="s">
        <v>295</v>
      </c>
      <c r="H82" s="114">
        <v>0</v>
      </c>
      <c r="I82" s="114">
        <v>0</v>
      </c>
      <c r="J82" s="115">
        <v>0</v>
      </c>
      <c r="K82" s="113">
        <v>0</v>
      </c>
      <c r="L82" t="str">
        <f>VLOOKUP(A82,'SAP Actual extraction'!$A$28:$A$1048576,1,0)</f>
        <v>debit    6666050307  Inventory count different-raw material</v>
      </c>
      <c r="M82" t="str">
        <f>VLOOKUP(B82,'SAP Actual extraction'!B:B,1,0)</f>
        <v xml:space="preserve">    6666050307  Inventory count different-raw material</v>
      </c>
    </row>
    <row r="83" spans="1:13" x14ac:dyDescent="0.3">
      <c r="A83" s="109" t="str">
        <f t="shared" si="0"/>
        <v>debit*   CS_Variable Cost</v>
      </c>
      <c r="B83" s="117" t="s">
        <v>213</v>
      </c>
      <c r="C83" s="118">
        <v>-726897.91</v>
      </c>
      <c r="D83" s="118">
        <v>429809.88</v>
      </c>
      <c r="E83" s="118">
        <v>-1156707.79</v>
      </c>
      <c r="F83" s="118">
        <v>-269.12079999999997</v>
      </c>
      <c r="G83" s="117" t="s">
        <v>213</v>
      </c>
      <c r="H83" s="119">
        <v>0</v>
      </c>
      <c r="I83" s="119">
        <v>0</v>
      </c>
      <c r="J83" s="120">
        <v>0</v>
      </c>
      <c r="K83" s="118">
        <v>0</v>
      </c>
      <c r="L83" t="str">
        <f>VLOOKUP(A83,'SAP Actual extraction'!$A$28:$A$1048576,1,0)</f>
        <v>debit*   CS_Variable Cost</v>
      </c>
      <c r="M83" t="str">
        <f>VLOOKUP(B83,'SAP Actual extraction'!B:B,1,0)</f>
        <v>*   CS_Variable Cost</v>
      </c>
    </row>
    <row r="84" spans="1:13" x14ac:dyDescent="0.3">
      <c r="A84" s="109" t="str">
        <f t="shared" si="0"/>
        <v>debit    6666100203  Provision for inventory devaluation - RM</v>
      </c>
      <c r="B84" s="112" t="s">
        <v>296</v>
      </c>
      <c r="C84" s="113">
        <v>529170.62</v>
      </c>
      <c r="D84" s="113">
        <v>600000</v>
      </c>
      <c r="E84" s="113">
        <v>-70829.38</v>
      </c>
      <c r="F84" s="113">
        <v>-11.8049</v>
      </c>
      <c r="G84" s="112" t="s">
        <v>296</v>
      </c>
      <c r="H84" s="114">
        <v>0</v>
      </c>
      <c r="I84" s="114">
        <v>0</v>
      </c>
      <c r="J84" s="115">
        <v>0</v>
      </c>
      <c r="K84" s="113">
        <v>0</v>
      </c>
      <c r="L84" t="str">
        <f>VLOOKUP(A84,'SAP Actual extraction'!$A$28:$A$1048576,1,0)</f>
        <v>debit    6666100203  Provision for inventory devaluation - RM</v>
      </c>
      <c r="M84" t="str">
        <f>VLOOKUP(B84,'SAP Actual extraction'!B:B,1,0)</f>
        <v xml:space="preserve">    6666100203  Provision for inventory devaluation - RM</v>
      </c>
    </row>
    <row r="85" spans="1:13" x14ac:dyDescent="0.3">
      <c r="A85" s="109" t="str">
        <f t="shared" si="0"/>
        <v>debit*   CS_Obsolescence</v>
      </c>
      <c r="B85" s="117" t="s">
        <v>214</v>
      </c>
      <c r="C85" s="118">
        <v>529170.62</v>
      </c>
      <c r="D85" s="118">
        <v>600000</v>
      </c>
      <c r="E85" s="118">
        <v>-70829.38</v>
      </c>
      <c r="F85" s="118">
        <v>-11.8049</v>
      </c>
      <c r="G85" s="117" t="s">
        <v>214</v>
      </c>
      <c r="H85" s="119">
        <v>0</v>
      </c>
      <c r="I85" s="119">
        <v>0</v>
      </c>
      <c r="J85" s="120">
        <v>0</v>
      </c>
      <c r="K85" s="118">
        <v>0</v>
      </c>
      <c r="L85" t="str">
        <f>VLOOKUP(A85,'SAP Actual extraction'!$A$28:$A$1048576,1,0)</f>
        <v>debit*   CS_Obsolescence</v>
      </c>
      <c r="M85" t="str">
        <f>VLOOKUP(B85,'SAP Actual extraction'!B:B,1,0)</f>
        <v>*   CS_Obsolescence</v>
      </c>
    </row>
    <row r="86" spans="1:13" x14ac:dyDescent="0.3">
      <c r="A86" s="109" t="str">
        <f t="shared" si="0"/>
        <v>debit    5301070000  Non-operation revenue-sales of scrapped</v>
      </c>
      <c r="B86" s="112" t="s">
        <v>297</v>
      </c>
      <c r="C86" s="113">
        <v>-2189060.41</v>
      </c>
      <c r="D86" s="113">
        <v>-1882507.62</v>
      </c>
      <c r="E86" s="113">
        <v>-306552.78999999998</v>
      </c>
      <c r="F86" s="113">
        <v>16.284300000000002</v>
      </c>
      <c r="G86" s="112" t="s">
        <v>297</v>
      </c>
      <c r="H86" s="114">
        <v>0</v>
      </c>
      <c r="I86" s="114">
        <v>0</v>
      </c>
      <c r="J86" s="115">
        <v>0</v>
      </c>
      <c r="K86" s="113">
        <v>0</v>
      </c>
      <c r="L86" t="str">
        <f>VLOOKUP(A86,'SAP Actual extraction'!$A$28:$A$1048576,1,0)</f>
        <v>debit    5301070000  Non-operation revenue-sales of scrapped</v>
      </c>
      <c r="M86" t="str">
        <f>VLOOKUP(B86,'SAP Actual extraction'!B:B,1,0)</f>
        <v xml:space="preserve">    5301070000  Non-operation revenue-sales of scrapped</v>
      </c>
    </row>
    <row r="87" spans="1:13" x14ac:dyDescent="0.3">
      <c r="A87" s="109" t="str">
        <f t="shared" si="0"/>
        <v>debit*   CS_Reselling</v>
      </c>
      <c r="B87" s="117" t="s">
        <v>215</v>
      </c>
      <c r="C87" s="118">
        <v>-2189060.41</v>
      </c>
      <c r="D87" s="118">
        <v>-1882507.62</v>
      </c>
      <c r="E87" s="118">
        <v>-306552.78999999998</v>
      </c>
      <c r="F87" s="118">
        <v>16.284300000000002</v>
      </c>
      <c r="G87" s="117" t="s">
        <v>215</v>
      </c>
      <c r="H87" s="119">
        <v>0</v>
      </c>
      <c r="I87" s="119">
        <v>0</v>
      </c>
      <c r="J87" s="120">
        <v>0</v>
      </c>
      <c r="K87" s="118">
        <v>0</v>
      </c>
      <c r="L87" t="str">
        <f>VLOOKUP(A87,'SAP Actual extraction'!$A$28:$A$1048576,1,0)</f>
        <v>debit*   CS_Reselling</v>
      </c>
      <c r="M87" t="str">
        <f>VLOOKUP(B87,'SAP Actual extraction'!B:B,1,0)</f>
        <v>*   CS_Reselling</v>
      </c>
    </row>
    <row r="88" spans="1:13" x14ac:dyDescent="0.3">
      <c r="A88" s="109" t="str">
        <f t="shared" si="0"/>
        <v>debit    6666021602  Electricity</v>
      </c>
      <c r="B88" s="112" t="s">
        <v>298</v>
      </c>
      <c r="C88" s="113">
        <v>16288.92</v>
      </c>
      <c r="D88" s="113">
        <v>180296.76</v>
      </c>
      <c r="E88" s="113">
        <v>-164007.84</v>
      </c>
      <c r="F88" s="113">
        <v>-90.965500000000006</v>
      </c>
      <c r="G88" s="112" t="s">
        <v>298</v>
      </c>
      <c r="H88" s="114">
        <v>0</v>
      </c>
      <c r="I88" s="114">
        <v>0</v>
      </c>
      <c r="J88" s="115">
        <v>0</v>
      </c>
      <c r="K88" s="113">
        <v>0</v>
      </c>
      <c r="L88" t="str">
        <f>VLOOKUP(A88,'SAP Actual extraction'!$A$28:$A$1048576,1,0)</f>
        <v>debit    6666021602  Electricity</v>
      </c>
      <c r="M88" t="str">
        <f>VLOOKUP(B88,'SAP Actual extraction'!B:B,1,0)</f>
        <v xml:space="preserve">    6666021602  Electricity</v>
      </c>
    </row>
    <row r="89" spans="1:13" x14ac:dyDescent="0.3">
      <c r="A89" s="109" t="str">
        <f t="shared" si="0"/>
        <v>debit*   CS_Fix Utilities</v>
      </c>
      <c r="B89" s="117" t="s">
        <v>216</v>
      </c>
      <c r="C89" s="118">
        <v>16288.92</v>
      </c>
      <c r="D89" s="118">
        <v>180296.76</v>
      </c>
      <c r="E89" s="118">
        <v>-164007.84</v>
      </c>
      <c r="F89" s="118">
        <v>-90.965500000000006</v>
      </c>
      <c r="G89" s="117" t="s">
        <v>216</v>
      </c>
      <c r="H89" s="119">
        <v>0</v>
      </c>
      <c r="I89" s="119">
        <v>0</v>
      </c>
      <c r="J89" s="120">
        <v>0</v>
      </c>
      <c r="K89" s="118">
        <v>0</v>
      </c>
      <c r="L89" t="str">
        <f>VLOOKUP(A89,'SAP Actual extraction'!$A$28:$A$1048576,1,0)</f>
        <v>debit*   CS_Fix Utilities</v>
      </c>
      <c r="M89" t="str">
        <f>VLOOKUP(B89,'SAP Actual extraction'!B:B,1,0)</f>
        <v>*   CS_Fix Utilities</v>
      </c>
    </row>
    <row r="90" spans="1:13" x14ac:dyDescent="0.3">
      <c r="A90" s="109" t="str">
        <f t="shared" si="0"/>
        <v>debit    6666021600  Energy and power cost</v>
      </c>
      <c r="B90" s="112" t="s">
        <v>299</v>
      </c>
      <c r="C90" s="113">
        <v>451500.12</v>
      </c>
      <c r="D90" s="113">
        <v>532582.1</v>
      </c>
      <c r="E90" s="113">
        <v>-81081.98</v>
      </c>
      <c r="F90" s="113">
        <v>-15.224299999999999</v>
      </c>
      <c r="G90" s="112" t="s">
        <v>299</v>
      </c>
      <c r="H90" s="114">
        <v>0</v>
      </c>
      <c r="I90" s="114">
        <v>0</v>
      </c>
      <c r="J90" s="115">
        <v>0</v>
      </c>
      <c r="K90" s="113">
        <v>0</v>
      </c>
      <c r="L90" t="str">
        <f>VLOOKUP(A90,'SAP Actual extraction'!$A$28:$A$1048576,1,0)</f>
        <v>debit    6666021600  Energy and power cost</v>
      </c>
      <c r="M90" t="str">
        <f>VLOOKUP(B90,'SAP Actual extraction'!B:B,1,0)</f>
        <v xml:space="preserve">    6666021600  Energy and power cost</v>
      </c>
    </row>
    <row r="91" spans="1:13" x14ac:dyDescent="0.3">
      <c r="A91" s="109" t="str">
        <f t="shared" si="0"/>
        <v>debit    6666021603  Water</v>
      </c>
      <c r="B91" s="112" t="s">
        <v>300</v>
      </c>
      <c r="C91" s="113">
        <v>20101.28</v>
      </c>
      <c r="D91" s="116">
        <v>0</v>
      </c>
      <c r="E91" s="113">
        <v>20101.28</v>
      </c>
      <c r="F91" s="113">
        <v>0</v>
      </c>
      <c r="G91" s="112" t="s">
        <v>300</v>
      </c>
      <c r="H91" s="114">
        <v>0</v>
      </c>
      <c r="I91" s="114">
        <v>0</v>
      </c>
      <c r="J91" s="115">
        <v>0</v>
      </c>
      <c r="K91" s="113">
        <v>0</v>
      </c>
      <c r="L91" t="str">
        <f>VLOOKUP(A91,'SAP Actual extraction'!$A$28:$A$1048576,1,0)</f>
        <v>debit    6666021603  Water</v>
      </c>
      <c r="M91" t="str">
        <f>VLOOKUP(B91,'SAP Actual extraction'!B:B,1,0)</f>
        <v xml:space="preserve">    6666021603  Water</v>
      </c>
    </row>
    <row r="92" spans="1:13" x14ac:dyDescent="0.3">
      <c r="A92" s="109" t="str">
        <f t="shared" si="0"/>
        <v>debit    6666021604  Oil &amp; Gas</v>
      </c>
      <c r="B92" s="112" t="s">
        <v>301</v>
      </c>
      <c r="C92" s="113">
        <v>181314.51</v>
      </c>
      <c r="D92" s="113">
        <v>135392.01999999999</v>
      </c>
      <c r="E92" s="113">
        <v>45922.49</v>
      </c>
      <c r="F92" s="113">
        <v>33.918199999999999</v>
      </c>
      <c r="G92" s="112" t="s">
        <v>301</v>
      </c>
      <c r="H92" s="114">
        <v>0</v>
      </c>
      <c r="I92" s="114">
        <v>0</v>
      </c>
      <c r="J92" s="115">
        <v>0</v>
      </c>
      <c r="K92" s="113">
        <v>0</v>
      </c>
      <c r="L92" t="str">
        <f>VLOOKUP(A92,'SAP Actual extraction'!$A$28:$A$1048576,1,0)</f>
        <v>debit    6666021604  Oil &amp; Gas</v>
      </c>
      <c r="M92" t="str">
        <f>VLOOKUP(B92,'SAP Actual extraction'!B:B,1,0)</f>
        <v xml:space="preserve">    6666021604  Oil &amp; Gas</v>
      </c>
    </row>
    <row r="93" spans="1:13" x14ac:dyDescent="0.3">
      <c r="A93" s="109" t="str">
        <f t="shared" si="0"/>
        <v>debit*   CS_Variable Utilities</v>
      </c>
      <c r="B93" s="117" t="s">
        <v>217</v>
      </c>
      <c r="C93" s="118">
        <v>652915.91</v>
      </c>
      <c r="D93" s="118">
        <v>667974.12</v>
      </c>
      <c r="E93" s="118">
        <v>-15058.21</v>
      </c>
      <c r="F93" s="118">
        <v>-2.2543000000000002</v>
      </c>
      <c r="G93" s="117" t="s">
        <v>217</v>
      </c>
      <c r="H93" s="119">
        <v>0</v>
      </c>
      <c r="I93" s="119">
        <v>0</v>
      </c>
      <c r="J93" s="120">
        <v>0</v>
      </c>
      <c r="K93" s="118">
        <v>0</v>
      </c>
      <c r="L93" t="str">
        <f>VLOOKUP(A93,'SAP Actual extraction'!$A$28:$A$1048576,1,0)</f>
        <v>debit*   CS_Variable Utilities</v>
      </c>
      <c r="M93" t="str">
        <f>VLOOKUP(B93,'SAP Actual extraction'!B:B,1,0)</f>
        <v>*   CS_Variable Utilities</v>
      </c>
    </row>
    <row r="94" spans="1:13" x14ac:dyDescent="0.3">
      <c r="A94" s="109" t="str">
        <f t="shared" si="0"/>
        <v>debit    5001010206  Unemployment Insurance -blue collar-Indi</v>
      </c>
      <c r="B94" s="112" t="s">
        <v>302</v>
      </c>
      <c r="C94" s="113">
        <v>81917.13</v>
      </c>
      <c r="D94" s="116">
        <v>0</v>
      </c>
      <c r="E94" s="113">
        <v>81917.13</v>
      </c>
      <c r="F94" s="113">
        <v>0</v>
      </c>
      <c r="G94" s="112" t="s">
        <v>302</v>
      </c>
      <c r="H94" s="114">
        <v>0</v>
      </c>
      <c r="I94" s="114">
        <v>0</v>
      </c>
      <c r="J94" s="115">
        <v>0</v>
      </c>
      <c r="K94" s="113">
        <v>0</v>
      </c>
      <c r="L94" t="str">
        <f>VLOOKUP(A94,'SAP Actual extraction'!$A$28:$A$1048576,1,0)</f>
        <v>debit    5001010206  Unemployment Insurance -blue collar-Indi</v>
      </c>
      <c r="M94" t="str">
        <f>VLOOKUP(B94,'SAP Actual extraction'!B:B,1,0)</f>
        <v xml:space="preserve">    5001010206  Unemployment Insurance -blue collar-Indi</v>
      </c>
    </row>
    <row r="95" spans="1:13" x14ac:dyDescent="0.3">
      <c r="A95" s="109" t="str">
        <f t="shared" si="0"/>
        <v>debit    6666010184  Salary&amp;Additional Incentive-Blue Collar-</v>
      </c>
      <c r="B95" s="112" t="s">
        <v>303</v>
      </c>
      <c r="C95" s="113">
        <v>-4878.17</v>
      </c>
      <c r="D95" s="116">
        <v>0</v>
      </c>
      <c r="E95" s="113">
        <v>-4878.17</v>
      </c>
      <c r="F95" s="113">
        <v>0</v>
      </c>
      <c r="G95" s="112" t="s">
        <v>303</v>
      </c>
      <c r="H95" s="114">
        <v>0</v>
      </c>
      <c r="I95" s="114">
        <v>0</v>
      </c>
      <c r="J95" s="115">
        <v>0</v>
      </c>
      <c r="K95" s="113">
        <v>0</v>
      </c>
      <c r="L95" t="str">
        <f>VLOOKUP(A95,'SAP Actual extraction'!$A$28:$A$1048576,1,0)</f>
        <v>debit    6666010184  Salary&amp;Additional Incentive-Blue Collar-</v>
      </c>
      <c r="M95" t="str">
        <f>VLOOKUP(B95,'SAP Actual extraction'!B:B,1,0)</f>
        <v xml:space="preserve">    6666010184  Salary&amp;Additional Incentive-Blue Collar-</v>
      </c>
    </row>
    <row r="96" spans="1:13" x14ac:dyDescent="0.3">
      <c r="A96" s="109" t="str">
        <f t="shared" si="0"/>
        <v>debit    6666010186  Overtime-Blue Collar-Indirect</v>
      </c>
      <c r="B96" s="112" t="s">
        <v>304</v>
      </c>
      <c r="C96" s="113">
        <v>240171.08</v>
      </c>
      <c r="D96" s="116">
        <v>0</v>
      </c>
      <c r="E96" s="113">
        <v>240171.08</v>
      </c>
      <c r="F96" s="113">
        <v>0</v>
      </c>
      <c r="G96" s="112" t="s">
        <v>304</v>
      </c>
      <c r="H96" s="114">
        <v>0</v>
      </c>
      <c r="I96" s="114">
        <v>0</v>
      </c>
      <c r="J96" s="115">
        <v>0</v>
      </c>
      <c r="K96" s="113">
        <v>0</v>
      </c>
      <c r="L96" t="str">
        <f>VLOOKUP(A96,'SAP Actual extraction'!$A$28:$A$1048576,1,0)</f>
        <v>debit    6666010186  Overtime-Blue Collar-Indirect</v>
      </c>
      <c r="M96" t="str">
        <f>VLOOKUP(B96,'SAP Actual extraction'!B:B,1,0)</f>
        <v xml:space="preserve">    6666010186  Overtime-Blue Collar-Indirect</v>
      </c>
    </row>
    <row r="97" spans="1:13" x14ac:dyDescent="0.3">
      <c r="A97" s="109" t="str">
        <f t="shared" si="0"/>
        <v>debit    6666010189  Salary - Blue collar indirect employees</v>
      </c>
      <c r="B97" s="112" t="s">
        <v>305</v>
      </c>
      <c r="C97" s="113">
        <v>117055.28</v>
      </c>
      <c r="D97" s="113">
        <v>5690117.2000000002</v>
      </c>
      <c r="E97" s="113">
        <v>-5573061.9199999999</v>
      </c>
      <c r="F97" s="113">
        <v>-97.942800000000005</v>
      </c>
      <c r="G97" s="112" t="s">
        <v>305</v>
      </c>
      <c r="H97" s="114">
        <v>0</v>
      </c>
      <c r="I97" s="114">
        <v>0</v>
      </c>
      <c r="J97" s="115">
        <v>0</v>
      </c>
      <c r="K97" s="113">
        <v>0</v>
      </c>
      <c r="L97" t="str">
        <f>VLOOKUP(A97,'SAP Actual extraction'!$A$28:$A$1048576,1,0)</f>
        <v>debit    6666010189  Salary - Blue collar indirect employees</v>
      </c>
      <c r="M97" t="str">
        <f>VLOOKUP(B97,'SAP Actual extraction'!B:B,1,0)</f>
        <v xml:space="preserve">    6666010189  Salary - Blue collar indirect employees</v>
      </c>
    </row>
    <row r="98" spans="1:13" x14ac:dyDescent="0.3">
      <c r="A98" s="109" t="str">
        <f t="shared" si="0"/>
        <v>debit    6666010012  Payroll Taxes- Blue Collar Indirect</v>
      </c>
      <c r="B98" s="112" t="s">
        <v>306</v>
      </c>
      <c r="C98" s="113">
        <v>662369.15</v>
      </c>
      <c r="D98" s="116">
        <v>0</v>
      </c>
      <c r="E98" s="113">
        <v>662369.15</v>
      </c>
      <c r="F98" s="113">
        <v>0</v>
      </c>
      <c r="G98" s="112" t="s">
        <v>306</v>
      </c>
      <c r="H98" s="114">
        <v>0</v>
      </c>
      <c r="I98" s="114">
        <v>0</v>
      </c>
      <c r="J98" s="115">
        <v>0</v>
      </c>
      <c r="K98" s="113">
        <v>0</v>
      </c>
      <c r="L98" t="str">
        <f>VLOOKUP(A98,'SAP Actual extraction'!$A$28:$A$1048576,1,0)</f>
        <v>debit    6666010012  Payroll Taxes- Blue Collar Indirect</v>
      </c>
      <c r="M98" t="str">
        <f>VLOOKUP(B98,'SAP Actual extraction'!B:B,1,0)</f>
        <v xml:space="preserve">    6666010012  Payroll Taxes- Blue Collar Indirect</v>
      </c>
    </row>
    <row r="99" spans="1:13" x14ac:dyDescent="0.3">
      <c r="A99" s="109" t="str">
        <f t="shared" si="0"/>
        <v>debit    6666010226  Staff Leaving Indemnity - Blue Collar In</v>
      </c>
      <c r="B99" s="112" t="s">
        <v>307</v>
      </c>
      <c r="C99" s="113">
        <v>134812.34</v>
      </c>
      <c r="D99" s="116">
        <v>0</v>
      </c>
      <c r="E99" s="113">
        <v>134812.34</v>
      </c>
      <c r="F99" s="113">
        <v>0</v>
      </c>
      <c r="G99" s="112" t="s">
        <v>307</v>
      </c>
      <c r="H99" s="114">
        <v>0</v>
      </c>
      <c r="I99" s="114">
        <v>0</v>
      </c>
      <c r="J99" s="115">
        <v>0</v>
      </c>
      <c r="K99" s="113">
        <v>0</v>
      </c>
      <c r="L99" t="str">
        <f>VLOOKUP(A99,'SAP Actual extraction'!$A$28:$A$1048576,1,0)</f>
        <v>debit    6666010226  Staff Leaving Indemnity - Blue Collar In</v>
      </c>
      <c r="M99" t="str">
        <f>VLOOKUP(B99,'SAP Actual extraction'!B:B,1,0)</f>
        <v xml:space="preserve">    6666010226  Staff Leaving Indemnity - Blue Collar In</v>
      </c>
    </row>
    <row r="100" spans="1:13" x14ac:dyDescent="0.3">
      <c r="A100" s="109" t="str">
        <f t="shared" si="0"/>
        <v>debit    6666010102  Salary-Blue collar indirect employees- A</v>
      </c>
      <c r="B100" s="112" t="s">
        <v>308</v>
      </c>
      <c r="C100" s="113">
        <v>3992139.53</v>
      </c>
      <c r="D100" s="116">
        <v>0</v>
      </c>
      <c r="E100" s="113">
        <v>3992139.53</v>
      </c>
      <c r="F100" s="113">
        <v>0</v>
      </c>
      <c r="G100" s="112" t="s">
        <v>308</v>
      </c>
      <c r="H100" s="114">
        <v>0</v>
      </c>
      <c r="I100" s="114">
        <v>0</v>
      </c>
      <c r="J100" s="115">
        <v>0</v>
      </c>
      <c r="K100" s="113">
        <v>0</v>
      </c>
      <c r="L100" t="str">
        <f>VLOOKUP(A100,'SAP Actual extraction'!$A$28:$A$1048576,1,0)</f>
        <v>debit    6666010102  Salary-Blue collar indirect employees- A</v>
      </c>
      <c r="M100" t="str">
        <f>VLOOKUP(B100,'SAP Actual extraction'!B:B,1,0)</f>
        <v xml:space="preserve">    6666010102  Salary-Blue collar indirect employees- A</v>
      </c>
    </row>
    <row r="101" spans="1:13" x14ac:dyDescent="0.3">
      <c r="A101" s="109" t="str">
        <f t="shared" si="0"/>
        <v>debit*   CS_Indirect Labour</v>
      </c>
      <c r="B101" s="117" t="s">
        <v>218</v>
      </c>
      <c r="C101" s="118">
        <v>5223586.34</v>
      </c>
      <c r="D101" s="118">
        <v>5690117.2000000002</v>
      </c>
      <c r="E101" s="118">
        <v>-466530.86</v>
      </c>
      <c r="F101" s="118">
        <v>-8.1989999999999998</v>
      </c>
      <c r="G101" s="117" t="s">
        <v>218</v>
      </c>
      <c r="H101" s="119">
        <v>0</v>
      </c>
      <c r="I101" s="119">
        <v>0</v>
      </c>
      <c r="J101" s="120">
        <v>0</v>
      </c>
      <c r="K101" s="118">
        <v>0</v>
      </c>
      <c r="L101" t="str">
        <f>VLOOKUP(A101,'SAP Actual extraction'!$A$28:$A$1048576,1,0)</f>
        <v>debit*   CS_Indirect Labour</v>
      </c>
      <c r="M101" t="str">
        <f>VLOOKUP(B101,'SAP Actual extraction'!B:B,1,0)</f>
        <v>*   CS_Indirect Labour</v>
      </c>
    </row>
    <row r="102" spans="1:13" x14ac:dyDescent="0.3">
      <c r="A102" s="109" t="str">
        <f t="shared" si="0"/>
        <v>debit    6666010196  Payroll Taxes-White Collar Employee</v>
      </c>
      <c r="B102" s="112" t="s">
        <v>309</v>
      </c>
      <c r="C102" s="113">
        <v>330634.90999999997</v>
      </c>
      <c r="D102" s="116">
        <v>0</v>
      </c>
      <c r="E102" s="113">
        <v>330634.90999999997</v>
      </c>
      <c r="F102" s="113">
        <v>0</v>
      </c>
      <c r="G102" s="112" t="s">
        <v>309</v>
      </c>
      <c r="H102" s="114">
        <v>0</v>
      </c>
      <c r="I102" s="114">
        <v>0</v>
      </c>
      <c r="J102" s="115">
        <v>0</v>
      </c>
      <c r="K102" s="113">
        <v>0</v>
      </c>
      <c r="L102" t="str">
        <f>VLOOKUP(A102,'SAP Actual extraction'!$A$28:$A$1048576,1,0)</f>
        <v>debit    6666010196  Payroll Taxes-White Collar Employee</v>
      </c>
      <c r="M102" t="str">
        <f>VLOOKUP(B102,'SAP Actual extraction'!B:B,1,0)</f>
        <v xml:space="preserve">    6666010196  Payroll Taxes-White Collar Employee</v>
      </c>
    </row>
    <row r="103" spans="1:13" x14ac:dyDescent="0.3">
      <c r="A103" s="109" t="str">
        <f t="shared" si="0"/>
        <v>debit    6666010101  Salary - White collar employees</v>
      </c>
      <c r="B103" s="112" t="s">
        <v>310</v>
      </c>
      <c r="C103" s="113">
        <v>2188477.89</v>
      </c>
      <c r="D103" s="113">
        <v>1900124.61</v>
      </c>
      <c r="E103" s="113">
        <v>288353.28000000003</v>
      </c>
      <c r="F103" s="113">
        <v>15.1755</v>
      </c>
      <c r="G103" s="112" t="s">
        <v>310</v>
      </c>
      <c r="H103" s="114">
        <v>0</v>
      </c>
      <c r="I103" s="114">
        <v>0</v>
      </c>
      <c r="J103" s="115">
        <v>0</v>
      </c>
      <c r="K103" s="113">
        <v>0</v>
      </c>
      <c r="L103" t="str">
        <f>VLOOKUP(A103,'SAP Actual extraction'!$A$28:$A$1048576,1,0)</f>
        <v>debit    6666010101  Salary - White collar employees</v>
      </c>
      <c r="M103" t="str">
        <f>VLOOKUP(B103,'SAP Actual extraction'!B:B,1,0)</f>
        <v xml:space="preserve">    6666010101  Salary - White collar employees</v>
      </c>
    </row>
    <row r="104" spans="1:13" x14ac:dyDescent="0.3">
      <c r="A104" s="109" t="str">
        <f t="shared" si="0"/>
        <v>debit    6666010199  Salary-White collar employees -Accrued</v>
      </c>
      <c r="B104" s="112" t="s">
        <v>311</v>
      </c>
      <c r="C104" s="113">
        <v>-33801.910000000003</v>
      </c>
      <c r="D104" s="116">
        <v>0</v>
      </c>
      <c r="E104" s="113">
        <v>-33801.910000000003</v>
      </c>
      <c r="F104" s="113">
        <v>0</v>
      </c>
      <c r="G104" s="112" t="s">
        <v>311</v>
      </c>
      <c r="H104" s="114">
        <v>0</v>
      </c>
      <c r="I104" s="114">
        <v>0</v>
      </c>
      <c r="J104" s="115">
        <v>0</v>
      </c>
      <c r="K104" s="113">
        <v>0</v>
      </c>
      <c r="L104" t="str">
        <f>VLOOKUP(A104,'SAP Actual extraction'!$A$28:$A$1048576,1,0)</f>
        <v>debit    6666010199  Salary-White collar employees -Accrued</v>
      </c>
      <c r="M104" t="str">
        <f>VLOOKUP(B104,'SAP Actual extraction'!B:B,1,0)</f>
        <v xml:space="preserve">    6666010199  Salary-White collar employees -Accrued</v>
      </c>
    </row>
    <row r="105" spans="1:13" x14ac:dyDescent="0.3">
      <c r="A105" s="109" t="str">
        <f t="shared" si="0"/>
        <v>debit    6666010185  Salary&amp;Additional Incentive-White Collar</v>
      </c>
      <c r="B105" s="112" t="s">
        <v>312</v>
      </c>
      <c r="C105" s="113">
        <v>-17030.21</v>
      </c>
      <c r="D105" s="116">
        <v>0</v>
      </c>
      <c r="E105" s="113">
        <v>-17030.21</v>
      </c>
      <c r="F105" s="113">
        <v>0</v>
      </c>
      <c r="G105" s="112" t="s">
        <v>312</v>
      </c>
      <c r="H105" s="114">
        <v>0</v>
      </c>
      <c r="I105" s="114">
        <v>0</v>
      </c>
      <c r="J105" s="115">
        <v>0</v>
      </c>
      <c r="K105" s="113">
        <v>0</v>
      </c>
      <c r="L105" t="str">
        <f>VLOOKUP(A105,'SAP Actual extraction'!$A$28:$A$1048576,1,0)</f>
        <v>debit    6666010185  Salary&amp;Additional Incentive-White Collar</v>
      </c>
      <c r="M105" t="str">
        <f>VLOOKUP(B105,'SAP Actual extraction'!B:B,1,0)</f>
        <v xml:space="preserve">    6666010185  Salary&amp;Additional Incentive-White Collar</v>
      </c>
    </row>
    <row r="106" spans="1:13" x14ac:dyDescent="0.3">
      <c r="A106" s="109" t="str">
        <f t="shared" si="0"/>
        <v>debit    6666010207  Unemployment insurance companies to pay</v>
      </c>
      <c r="B106" s="112" t="s">
        <v>313</v>
      </c>
      <c r="C106" s="113">
        <v>30832.76</v>
      </c>
      <c r="D106" s="116">
        <v>0</v>
      </c>
      <c r="E106" s="113">
        <v>30832.76</v>
      </c>
      <c r="F106" s="113">
        <v>0</v>
      </c>
      <c r="G106" s="112" t="s">
        <v>313</v>
      </c>
      <c r="H106" s="114">
        <v>0</v>
      </c>
      <c r="I106" s="114">
        <v>0</v>
      </c>
      <c r="J106" s="115">
        <v>0</v>
      </c>
      <c r="K106" s="113">
        <v>0</v>
      </c>
      <c r="L106" t="str">
        <f>VLOOKUP(A106,'SAP Actual extraction'!$A$28:$A$1048576,1,0)</f>
        <v>debit    6666010207  Unemployment insurance companies to pay</v>
      </c>
      <c r="M106" t="str">
        <f>VLOOKUP(B106,'SAP Actual extraction'!B:B,1,0)</f>
        <v xml:space="preserve">    6666010207  Unemployment insurance companies to pay</v>
      </c>
    </row>
    <row r="107" spans="1:13" x14ac:dyDescent="0.3">
      <c r="A107" s="109" t="str">
        <f t="shared" si="0"/>
        <v>debit    6666010227  Staff Leaving Indemnity - White collar E</v>
      </c>
      <c r="B107" s="112" t="s">
        <v>315</v>
      </c>
      <c r="C107" s="113">
        <v>38043.449999999997</v>
      </c>
      <c r="D107" s="116">
        <v>0</v>
      </c>
      <c r="E107" s="113">
        <v>38043.449999999997</v>
      </c>
      <c r="F107" s="113">
        <v>0</v>
      </c>
      <c r="G107" s="112" t="s">
        <v>315</v>
      </c>
      <c r="H107" s="114">
        <v>0</v>
      </c>
      <c r="I107" s="114">
        <v>0</v>
      </c>
      <c r="J107" s="115">
        <v>0</v>
      </c>
      <c r="K107" s="113">
        <v>0</v>
      </c>
      <c r="L107" t="str">
        <f>VLOOKUP(A107,'SAP Actual extraction'!$A$28:$A$1048576,1,0)</f>
        <v>debit    6666010227  Staff Leaving Indemnity - White collar E</v>
      </c>
      <c r="M107" t="str">
        <f>VLOOKUP(B107,'SAP Actual extraction'!B:B,1,0)</f>
        <v xml:space="preserve">    6666010227  Staff Leaving Indemnity - White collar E</v>
      </c>
    </row>
    <row r="108" spans="1:13" x14ac:dyDescent="0.3">
      <c r="A108" s="109" t="str">
        <f t="shared" si="0"/>
        <v>debit*   CS_Fixed Labour</v>
      </c>
      <c r="B108" s="117" t="s">
        <v>219</v>
      </c>
      <c r="C108" s="118">
        <v>2537156.89</v>
      </c>
      <c r="D108" s="118">
        <v>1900124.61</v>
      </c>
      <c r="E108" s="118">
        <v>637032.28</v>
      </c>
      <c r="F108" s="118">
        <v>33.525799999999997</v>
      </c>
      <c r="G108" s="117" t="s">
        <v>219</v>
      </c>
      <c r="H108" s="119">
        <v>0</v>
      </c>
      <c r="I108" s="119">
        <v>0</v>
      </c>
      <c r="J108" s="120">
        <v>0</v>
      </c>
      <c r="K108" s="118">
        <v>0</v>
      </c>
      <c r="L108" t="str">
        <f>VLOOKUP(A108,'SAP Actual extraction'!$A$28:$A$1048576,1,0)</f>
        <v>debit*   CS_Fixed Labour</v>
      </c>
      <c r="M108" t="str">
        <f>VLOOKUP(B108,'SAP Actual extraction'!B:B,1,0)</f>
        <v>*   CS_Fixed Labour</v>
      </c>
    </row>
    <row r="109" spans="1:13" x14ac:dyDescent="0.3">
      <c r="A109" s="109" t="str">
        <f t="shared" si="0"/>
        <v>debit    600007      Maintenance</v>
      </c>
      <c r="B109" s="112" t="s">
        <v>361</v>
      </c>
      <c r="C109" s="116">
        <v>0</v>
      </c>
      <c r="D109" s="116">
        <v>0</v>
      </c>
      <c r="E109" s="113">
        <v>0</v>
      </c>
      <c r="F109" s="113">
        <v>0</v>
      </c>
      <c r="G109" s="112" t="s">
        <v>361</v>
      </c>
      <c r="H109" s="114">
        <v>0</v>
      </c>
      <c r="I109" s="114">
        <v>0</v>
      </c>
      <c r="J109" s="115">
        <v>0</v>
      </c>
      <c r="K109" s="113">
        <v>0</v>
      </c>
      <c r="L109" t="e">
        <f>VLOOKUP(A109,'SAP Actual extraction'!$A$28:$A$1048576,1,0)</f>
        <v>#N/A</v>
      </c>
      <c r="M109" t="e">
        <f>VLOOKUP(B109,'SAP Actual extraction'!B:B,1,0)</f>
        <v>#N/A</v>
      </c>
    </row>
    <row r="110" spans="1:13" x14ac:dyDescent="0.3">
      <c r="A110" s="109" t="str">
        <f t="shared" si="0"/>
        <v>debit    6666020903  Other materials</v>
      </c>
      <c r="B110" s="112" t="s">
        <v>316</v>
      </c>
      <c r="C110" s="113">
        <v>-10.9</v>
      </c>
      <c r="D110" s="116">
        <v>0</v>
      </c>
      <c r="E110" s="113">
        <v>-10.9</v>
      </c>
      <c r="F110" s="113">
        <v>0</v>
      </c>
      <c r="G110" s="112" t="s">
        <v>316</v>
      </c>
      <c r="H110" s="114">
        <v>0</v>
      </c>
      <c r="I110" s="114">
        <v>0</v>
      </c>
      <c r="J110" s="115">
        <v>0</v>
      </c>
      <c r="K110" s="113">
        <v>0</v>
      </c>
      <c r="L110" t="str">
        <f>VLOOKUP(A110,'SAP Actual extraction'!$A$28:$A$1048576,1,0)</f>
        <v>debit    6666020903  Other materials</v>
      </c>
      <c r="M110" t="str">
        <f>VLOOKUP(B110,'SAP Actual extraction'!B:B,1,0)</f>
        <v xml:space="preserve">    6666020903  Other materials</v>
      </c>
    </row>
    <row r="111" spans="1:13" x14ac:dyDescent="0.3">
      <c r="A111" s="109" t="str">
        <f t="shared" si="0"/>
        <v>debit    6666010302  Medical expenses</v>
      </c>
      <c r="B111" s="112" t="s">
        <v>317</v>
      </c>
      <c r="C111" s="113">
        <v>146680.87</v>
      </c>
      <c r="D111" s="113">
        <v>210312.98</v>
      </c>
      <c r="E111" s="113">
        <v>-63632.11</v>
      </c>
      <c r="F111" s="113">
        <v>-30.2559</v>
      </c>
      <c r="G111" s="112" t="s">
        <v>317</v>
      </c>
      <c r="H111" s="114">
        <v>0</v>
      </c>
      <c r="I111" s="114">
        <v>0</v>
      </c>
      <c r="J111" s="115">
        <v>0</v>
      </c>
      <c r="K111" s="113">
        <v>0</v>
      </c>
      <c r="L111" t="str">
        <f>VLOOKUP(A111,'SAP Actual extraction'!$A$28:$A$1048576,1,0)</f>
        <v>debit    6666010302  Medical expenses</v>
      </c>
      <c r="M111" t="str">
        <f>VLOOKUP(B111,'SAP Actual extraction'!B:B,1,0)</f>
        <v xml:space="preserve">    6666010302  Medical expenses</v>
      </c>
    </row>
    <row r="112" spans="1:13" x14ac:dyDescent="0.3">
      <c r="A112" s="109" t="str">
        <f t="shared" si="0"/>
        <v>debit    6666010314  Work uniforms</v>
      </c>
      <c r="B112" s="112" t="s">
        <v>318</v>
      </c>
      <c r="C112" s="113">
        <v>460642.61</v>
      </c>
      <c r="D112" s="113">
        <v>851013.46</v>
      </c>
      <c r="E112" s="113">
        <v>-390370.85</v>
      </c>
      <c r="F112" s="113">
        <v>-45.871299999999998</v>
      </c>
      <c r="G112" s="112" t="s">
        <v>318</v>
      </c>
      <c r="H112" s="114">
        <v>0</v>
      </c>
      <c r="I112" s="114">
        <v>0</v>
      </c>
      <c r="J112" s="115">
        <v>0</v>
      </c>
      <c r="K112" s="113">
        <v>0</v>
      </c>
      <c r="L112" t="str">
        <f>VLOOKUP(A112,'SAP Actual extraction'!$A$28:$A$1048576,1,0)</f>
        <v>debit    6666010314  Work uniforms</v>
      </c>
      <c r="M112" t="str">
        <f>VLOOKUP(B112,'SAP Actual extraction'!B:B,1,0)</f>
        <v xml:space="preserve">    6666010314  Work uniforms</v>
      </c>
    </row>
    <row r="113" spans="1:13" x14ac:dyDescent="0.3">
      <c r="A113" s="109" t="str">
        <f t="shared" ref="A113:A129" si="1">"debit"&amp;B113</f>
        <v>debit    6666020401  local transportation - bus and taxi</v>
      </c>
      <c r="B113" s="112" t="s">
        <v>319</v>
      </c>
      <c r="C113" s="113">
        <v>1145686.9099999999</v>
      </c>
      <c r="D113" s="113">
        <v>1774092.66</v>
      </c>
      <c r="E113" s="113">
        <v>-628405.75</v>
      </c>
      <c r="F113" s="113">
        <v>-35.421199999999999</v>
      </c>
      <c r="G113" s="112" t="s">
        <v>319</v>
      </c>
      <c r="H113" s="114">
        <v>0</v>
      </c>
      <c r="I113" s="114">
        <v>0</v>
      </c>
      <c r="J113" s="115">
        <v>0</v>
      </c>
      <c r="K113" s="113">
        <v>0</v>
      </c>
      <c r="L113" t="str">
        <f>VLOOKUP(A113,'SAP Actual extraction'!$A$28:$A$1048576,1,0)</f>
        <v>debit    6666020401  local transportation - bus and taxi</v>
      </c>
      <c r="M113" t="str">
        <f>VLOOKUP(B113,'SAP Actual extraction'!B:B,1,0)</f>
        <v xml:space="preserve">    6666020401  local transportation - bus and taxi</v>
      </c>
    </row>
    <row r="114" spans="1:13" x14ac:dyDescent="0.3">
      <c r="A114" s="109" t="str">
        <f t="shared" si="1"/>
        <v>debit    6666020502  Working meals</v>
      </c>
      <c r="B114" s="112" t="s">
        <v>321</v>
      </c>
      <c r="C114" s="113">
        <v>1158592.3</v>
      </c>
      <c r="D114" s="113">
        <v>1521365.06</v>
      </c>
      <c r="E114" s="113">
        <v>-362772.76</v>
      </c>
      <c r="F114" s="113">
        <v>-23.845199999999998</v>
      </c>
      <c r="G114" s="112" t="s">
        <v>321</v>
      </c>
      <c r="H114" s="114">
        <v>0</v>
      </c>
      <c r="I114" s="114">
        <v>0</v>
      </c>
      <c r="J114" s="115">
        <v>0</v>
      </c>
      <c r="K114" s="113">
        <v>0</v>
      </c>
      <c r="L114" t="str">
        <f>VLOOKUP(A114,'SAP Actual extraction'!$A$28:$A$1048576,1,0)</f>
        <v>debit    6666020502  Working meals</v>
      </c>
      <c r="M114" t="str">
        <f>VLOOKUP(B114,'SAP Actual extraction'!B:B,1,0)</f>
        <v xml:space="preserve">    6666020502  Working meals</v>
      </c>
    </row>
    <row r="115" spans="1:13" x14ac:dyDescent="0.3">
      <c r="A115" s="109" t="str">
        <f t="shared" si="1"/>
        <v>debit    6666020503  Office supplies</v>
      </c>
      <c r="B115" s="112" t="s">
        <v>322</v>
      </c>
      <c r="C115" s="113">
        <v>16855.740000000002</v>
      </c>
      <c r="D115" s="113">
        <v>57158.16</v>
      </c>
      <c r="E115" s="113">
        <v>-40302.42</v>
      </c>
      <c r="F115" s="113">
        <v>-70.510400000000004</v>
      </c>
      <c r="G115" s="112" t="s">
        <v>322</v>
      </c>
      <c r="H115" s="114">
        <v>0</v>
      </c>
      <c r="I115" s="114">
        <v>0</v>
      </c>
      <c r="J115" s="115">
        <v>0</v>
      </c>
      <c r="K115" s="113">
        <v>0</v>
      </c>
      <c r="L115" t="str">
        <f>VLOOKUP(A115,'SAP Actual extraction'!$A$28:$A$1048576,1,0)</f>
        <v>debit    6666020503  Office supplies</v>
      </c>
      <c r="M115" t="str">
        <f>VLOOKUP(B115,'SAP Actual extraction'!B:B,1,0)</f>
        <v xml:space="preserve">    6666020503  Office supplies</v>
      </c>
    </row>
    <row r="116" spans="1:13" x14ac:dyDescent="0.3">
      <c r="A116" s="109" t="str">
        <f t="shared" si="1"/>
        <v>debit    6666021500  Repairs cost</v>
      </c>
      <c r="B116" s="112" t="s">
        <v>323</v>
      </c>
      <c r="C116" s="113">
        <v>6141.13</v>
      </c>
      <c r="D116" s="116">
        <v>0</v>
      </c>
      <c r="E116" s="113">
        <v>6141.13</v>
      </c>
      <c r="F116" s="113">
        <v>0</v>
      </c>
      <c r="G116" s="112" t="s">
        <v>323</v>
      </c>
      <c r="H116" s="114">
        <v>0</v>
      </c>
      <c r="I116" s="114">
        <v>0</v>
      </c>
      <c r="J116" s="115">
        <v>0</v>
      </c>
      <c r="K116" s="113">
        <v>0</v>
      </c>
      <c r="L116" t="str">
        <f>VLOOKUP(A116,'SAP Actual extraction'!$A$28:$A$1048576,1,0)</f>
        <v>debit    6666021500  Repairs cost</v>
      </c>
      <c r="M116" t="str">
        <f>VLOOKUP(B116,'SAP Actual extraction'!B:B,1,0)</f>
        <v xml:space="preserve">    6666021500  Repairs cost</v>
      </c>
    </row>
    <row r="117" spans="1:13" x14ac:dyDescent="0.3">
      <c r="A117" s="109" t="str">
        <f t="shared" si="1"/>
        <v>debit    6666021502  Repair &amp; Maintain - Building&amp;office</v>
      </c>
      <c r="B117" s="112" t="s">
        <v>324</v>
      </c>
      <c r="C117" s="113">
        <v>211276.31</v>
      </c>
      <c r="D117" s="113">
        <v>1161332.1599999999</v>
      </c>
      <c r="E117" s="113">
        <v>-950055.85</v>
      </c>
      <c r="F117" s="113">
        <v>-81.807400000000001</v>
      </c>
      <c r="G117" s="112" t="s">
        <v>324</v>
      </c>
      <c r="H117" s="114">
        <v>0</v>
      </c>
      <c r="I117" s="114">
        <v>0</v>
      </c>
      <c r="J117" s="115">
        <v>0</v>
      </c>
      <c r="K117" s="113">
        <v>0</v>
      </c>
      <c r="L117" t="str">
        <f>VLOOKUP(A117,'SAP Actual extraction'!$A$28:$A$1048576,1,0)</f>
        <v>debit    6666021502  Repair &amp; Maintain - Building&amp;office</v>
      </c>
      <c r="M117" t="str">
        <f>VLOOKUP(B117,'SAP Actual extraction'!B:B,1,0)</f>
        <v xml:space="preserve">    6666021502  Repair &amp; Maintain - Building&amp;office</v>
      </c>
    </row>
    <row r="118" spans="1:13" x14ac:dyDescent="0.3">
      <c r="A118" s="109" t="str">
        <f t="shared" si="1"/>
        <v>debit    6666021503  Repair &amp; Maintain - Tooling &amp; Equipments</v>
      </c>
      <c r="B118" s="112" t="s">
        <v>325</v>
      </c>
      <c r="C118" s="113">
        <v>53238.53</v>
      </c>
      <c r="D118" s="113">
        <v>218488.8</v>
      </c>
      <c r="E118" s="113">
        <v>-165250.26999999999</v>
      </c>
      <c r="F118" s="113">
        <v>-75.633300000000006</v>
      </c>
      <c r="G118" s="112" t="s">
        <v>325</v>
      </c>
      <c r="H118" s="114">
        <v>0</v>
      </c>
      <c r="I118" s="114">
        <v>0</v>
      </c>
      <c r="J118" s="115">
        <v>0</v>
      </c>
      <c r="K118" s="113">
        <v>0</v>
      </c>
      <c r="L118" t="str">
        <f>VLOOKUP(A118,'SAP Actual extraction'!$A$28:$A$1048576,1,0)</f>
        <v>debit    6666021503  Repair &amp; Maintain - Tooling &amp; Equipments</v>
      </c>
      <c r="M118" t="str">
        <f>VLOOKUP(B118,'SAP Actual extraction'!B:B,1,0)</f>
        <v xml:space="preserve">    6666021503  Repair &amp; Maintain - Tooling &amp; Equipments</v>
      </c>
    </row>
    <row r="119" spans="1:13" x14ac:dyDescent="0.3">
      <c r="A119" s="109" t="str">
        <f t="shared" si="1"/>
        <v>debit    6666021504  Repair &amp; Maintain - Elect. Installation</v>
      </c>
      <c r="B119" s="112" t="s">
        <v>362</v>
      </c>
      <c r="C119" s="113">
        <v>196.72</v>
      </c>
      <c r="D119" s="116">
        <v>0</v>
      </c>
      <c r="E119" s="113">
        <v>196.72</v>
      </c>
      <c r="F119" s="113">
        <v>0</v>
      </c>
      <c r="G119" s="112" t="s">
        <v>362</v>
      </c>
      <c r="H119" s="114">
        <v>0</v>
      </c>
      <c r="I119" s="114">
        <v>0</v>
      </c>
      <c r="J119" s="115">
        <v>0</v>
      </c>
      <c r="K119" s="113">
        <v>0</v>
      </c>
    </row>
    <row r="120" spans="1:13" x14ac:dyDescent="0.3">
      <c r="A120" s="109" t="str">
        <f t="shared" si="1"/>
        <v>debit    6666021505  Repairs &amp; Maintenance - Vehicles</v>
      </c>
      <c r="B120" s="112" t="s">
        <v>326</v>
      </c>
      <c r="C120" s="113">
        <v>5363.42</v>
      </c>
      <c r="D120" s="116">
        <v>0</v>
      </c>
      <c r="E120" s="113">
        <v>5363.42</v>
      </c>
      <c r="F120" s="113">
        <v>0</v>
      </c>
      <c r="G120" s="112" t="s">
        <v>326</v>
      </c>
      <c r="H120" s="114">
        <v>0</v>
      </c>
      <c r="I120" s="114">
        <v>0</v>
      </c>
      <c r="J120" s="115">
        <v>0</v>
      </c>
      <c r="K120" s="113">
        <v>0</v>
      </c>
    </row>
    <row r="121" spans="1:13" x14ac:dyDescent="0.3">
      <c r="A121" s="109" t="str">
        <f t="shared" si="1"/>
        <v>debit    6666021506  Repairs &amp; Maintenance - Plant &amp; Machiner</v>
      </c>
      <c r="B121" s="112" t="s">
        <v>327</v>
      </c>
      <c r="C121" s="113">
        <v>436930.45</v>
      </c>
      <c r="D121" s="113">
        <v>600208.31999999995</v>
      </c>
      <c r="E121" s="113">
        <v>-163277.87</v>
      </c>
      <c r="F121" s="113">
        <v>-27.203499999999998</v>
      </c>
      <c r="G121" s="112" t="s">
        <v>327</v>
      </c>
      <c r="H121" s="114">
        <v>0</v>
      </c>
      <c r="I121" s="114">
        <v>0</v>
      </c>
      <c r="J121" s="115">
        <v>0</v>
      </c>
      <c r="K121" s="113">
        <v>0</v>
      </c>
    </row>
    <row r="122" spans="1:13" x14ac:dyDescent="0.3">
      <c r="A122" s="109" t="str">
        <f t="shared" si="1"/>
        <v>debit    6666091600  Garbage disposal charge</v>
      </c>
      <c r="B122" s="112" t="s">
        <v>328</v>
      </c>
      <c r="C122" s="113">
        <v>9374.4</v>
      </c>
      <c r="D122" s="113">
        <v>9959.1200000000008</v>
      </c>
      <c r="E122" s="113">
        <v>-584.72</v>
      </c>
      <c r="F122" s="113">
        <v>-5.8712</v>
      </c>
      <c r="G122" s="112" t="s">
        <v>328</v>
      </c>
      <c r="H122" s="114">
        <v>0</v>
      </c>
      <c r="I122" s="114">
        <v>0</v>
      </c>
      <c r="J122" s="115">
        <v>0</v>
      </c>
      <c r="K122" s="113">
        <v>0</v>
      </c>
    </row>
    <row r="123" spans="1:13" x14ac:dyDescent="0.3">
      <c r="A123" s="109" t="str">
        <f t="shared" si="1"/>
        <v>debit    5401060201  COGS-Repair expense</v>
      </c>
      <c r="B123" s="112" t="s">
        <v>329</v>
      </c>
      <c r="C123" s="116">
        <v>0</v>
      </c>
      <c r="D123" s="116">
        <v>0</v>
      </c>
      <c r="E123" s="113">
        <v>0</v>
      </c>
      <c r="F123" s="113">
        <v>0</v>
      </c>
      <c r="G123" s="112" t="s">
        <v>329</v>
      </c>
      <c r="H123" s="114">
        <v>0</v>
      </c>
      <c r="I123" s="114">
        <v>0</v>
      </c>
      <c r="J123" s="115">
        <v>0</v>
      </c>
      <c r="K123" s="113">
        <v>0</v>
      </c>
    </row>
    <row r="124" spans="1:13" x14ac:dyDescent="0.3">
      <c r="A124" s="109" t="str">
        <f t="shared" si="1"/>
        <v>debit*   CS_Semifix</v>
      </c>
      <c r="B124" s="117" t="s">
        <v>220</v>
      </c>
      <c r="C124" s="118">
        <v>3650968.49</v>
      </c>
      <c r="D124" s="118">
        <v>6403930.7199999997</v>
      </c>
      <c r="E124" s="118">
        <v>-2752962.23</v>
      </c>
      <c r="F124" s="118">
        <v>-42.988599999999998</v>
      </c>
      <c r="G124" s="117" t="s">
        <v>220</v>
      </c>
      <c r="H124" s="119">
        <v>0</v>
      </c>
      <c r="I124" s="119">
        <v>0</v>
      </c>
      <c r="J124" s="120">
        <v>0</v>
      </c>
      <c r="K124" s="118">
        <v>0</v>
      </c>
    </row>
    <row r="125" spans="1:13" x14ac:dyDescent="0.3">
      <c r="A125" s="109" t="str">
        <f t="shared" si="1"/>
        <v>debit    600006      OVH Administrative</v>
      </c>
      <c r="B125" s="112" t="s">
        <v>330</v>
      </c>
      <c r="C125" s="113">
        <v>3113518.86</v>
      </c>
      <c r="D125" s="113">
        <v>3738337.2</v>
      </c>
      <c r="E125" s="113">
        <v>-624818.34</v>
      </c>
      <c r="F125" s="113">
        <v>-16.713799999999999</v>
      </c>
      <c r="G125" s="112" t="s">
        <v>330</v>
      </c>
      <c r="H125" s="114">
        <v>0</v>
      </c>
      <c r="I125" s="114">
        <v>0</v>
      </c>
      <c r="J125" s="115">
        <v>0</v>
      </c>
      <c r="K125" s="113">
        <v>0</v>
      </c>
    </row>
    <row r="126" spans="1:13" x14ac:dyDescent="0.3">
      <c r="A126" s="109" t="str">
        <f t="shared" si="1"/>
        <v>debit*   CS_OVH_ADM</v>
      </c>
      <c r="B126" s="117" t="s">
        <v>221</v>
      </c>
      <c r="C126" s="118">
        <v>3113518.86</v>
      </c>
      <c r="D126" s="118">
        <v>3738337.2</v>
      </c>
      <c r="E126" s="118">
        <v>-624818.34</v>
      </c>
      <c r="F126" s="118">
        <v>-16.713799999999999</v>
      </c>
      <c r="G126" s="117" t="s">
        <v>221</v>
      </c>
      <c r="H126" s="119">
        <v>0</v>
      </c>
      <c r="I126" s="119">
        <v>0</v>
      </c>
      <c r="J126" s="120">
        <v>0</v>
      </c>
      <c r="K126" s="118">
        <v>0</v>
      </c>
    </row>
    <row r="127" spans="1:13" x14ac:dyDescent="0.3">
      <c r="A127" s="109" t="str">
        <f t="shared" si="1"/>
        <v>debit**  Debit</v>
      </c>
      <c r="B127" s="121" t="s">
        <v>331</v>
      </c>
      <c r="C127" s="122">
        <v>27925952.550000001</v>
      </c>
      <c r="D127" s="122">
        <v>30520205.390000001</v>
      </c>
      <c r="E127" s="122">
        <v>-2594252.84</v>
      </c>
      <c r="F127" s="122">
        <v>-8.5000999999999998</v>
      </c>
      <c r="G127" s="121" t="s">
        <v>331</v>
      </c>
      <c r="H127" s="123">
        <v>0</v>
      </c>
      <c r="I127" s="123">
        <v>0</v>
      </c>
      <c r="J127" s="124">
        <v>0</v>
      </c>
      <c r="K127" s="122">
        <v>0</v>
      </c>
    </row>
    <row r="128" spans="1:13" x14ac:dyDescent="0.3">
      <c r="A128" s="109" t="str">
        <f t="shared" si="1"/>
        <v>debit    6666110101  Depreciation of buildings</v>
      </c>
      <c r="B128" s="112" t="s">
        <v>226</v>
      </c>
      <c r="C128" s="113">
        <v>-262777.90999999997</v>
      </c>
      <c r="D128" s="113">
        <v>-1236827.8799999999</v>
      </c>
      <c r="E128" s="113">
        <v>974049.97</v>
      </c>
      <c r="F128" s="113">
        <v>-78.753900000000002</v>
      </c>
      <c r="G128" s="112" t="s">
        <v>226</v>
      </c>
      <c r="H128" s="114">
        <v>0</v>
      </c>
      <c r="I128" s="114">
        <v>0</v>
      </c>
      <c r="J128" s="115">
        <v>0</v>
      </c>
      <c r="K128" s="113">
        <v>0</v>
      </c>
    </row>
    <row r="129" spans="1:13" x14ac:dyDescent="0.3">
      <c r="A129" s="109" t="str">
        <f t="shared" si="1"/>
        <v>debit    6666110107  Depreciation of mold　</v>
      </c>
      <c r="B129" s="112" t="s">
        <v>228</v>
      </c>
      <c r="C129" s="113">
        <v>-157847.15</v>
      </c>
      <c r="D129" s="116">
        <v>0</v>
      </c>
      <c r="E129" s="113">
        <v>-157847.15</v>
      </c>
      <c r="F129" s="113">
        <v>0</v>
      </c>
      <c r="G129" s="112" t="s">
        <v>228</v>
      </c>
      <c r="H129" s="114">
        <v>0</v>
      </c>
      <c r="I129" s="114">
        <v>0</v>
      </c>
      <c r="J129" s="115">
        <v>0</v>
      </c>
      <c r="K129" s="113">
        <v>0</v>
      </c>
    </row>
    <row r="130" spans="1:13" x14ac:dyDescent="0.3">
      <c r="A130" s="109" t="str">
        <f t="shared" ref="A130:A134" si="2">"credit"&amp;B130</f>
        <v>credit    6666110110  Depreciation-Plant &amp; Machinery</v>
      </c>
      <c r="B130" s="112" t="s">
        <v>229</v>
      </c>
      <c r="C130" s="113">
        <v>-483967.9</v>
      </c>
      <c r="D130" s="116">
        <v>0</v>
      </c>
      <c r="E130" s="113">
        <v>-483967.9</v>
      </c>
      <c r="F130" s="113">
        <v>0</v>
      </c>
      <c r="G130" s="112" t="s">
        <v>229</v>
      </c>
      <c r="H130" s="114">
        <v>0</v>
      </c>
      <c r="I130" s="114">
        <v>0</v>
      </c>
      <c r="J130" s="115">
        <v>0</v>
      </c>
      <c r="K130" s="113">
        <v>0</v>
      </c>
    </row>
    <row r="131" spans="1:13" x14ac:dyDescent="0.3">
      <c r="A131" s="109" t="str">
        <f t="shared" si="2"/>
        <v>credit    6666110112  Depreciation of Furniture &amp; Fixture</v>
      </c>
      <c r="B131" s="112" t="s">
        <v>230</v>
      </c>
      <c r="C131" s="113">
        <v>-59958.92</v>
      </c>
      <c r="D131" s="116">
        <v>0</v>
      </c>
      <c r="E131" s="113">
        <v>-59958.92</v>
      </c>
      <c r="F131" s="113">
        <v>0</v>
      </c>
      <c r="G131" s="112" t="s">
        <v>230</v>
      </c>
      <c r="H131" s="114">
        <v>0</v>
      </c>
      <c r="I131" s="114">
        <v>0</v>
      </c>
      <c r="J131" s="115">
        <v>0</v>
      </c>
      <c r="K131" s="113">
        <v>0</v>
      </c>
    </row>
    <row r="132" spans="1:13" x14ac:dyDescent="0.3">
      <c r="A132" s="109" t="str">
        <f t="shared" si="2"/>
        <v>credit    6666110204  Amortization of license, trademarks and</v>
      </c>
      <c r="B132" s="112" t="s">
        <v>231</v>
      </c>
      <c r="C132" s="113">
        <v>-3030.2</v>
      </c>
      <c r="D132" s="116">
        <v>0</v>
      </c>
      <c r="E132" s="113">
        <v>-3030.2</v>
      </c>
      <c r="F132" s="113">
        <v>0</v>
      </c>
      <c r="G132" s="112" t="s">
        <v>231</v>
      </c>
      <c r="H132" s="114">
        <v>0</v>
      </c>
      <c r="I132" s="114">
        <v>0</v>
      </c>
      <c r="J132" s="115">
        <v>0</v>
      </c>
      <c r="K132" s="113">
        <v>0</v>
      </c>
    </row>
    <row r="133" spans="1:13" x14ac:dyDescent="0.3">
      <c r="A133" s="109" t="str">
        <f t="shared" si="2"/>
        <v>credit    6666110207  Amortization of Software</v>
      </c>
      <c r="B133" s="112" t="s">
        <v>232</v>
      </c>
      <c r="C133" s="113">
        <v>-75306.91</v>
      </c>
      <c r="D133" s="116">
        <v>0</v>
      </c>
      <c r="E133" s="113">
        <v>-75306.91</v>
      </c>
      <c r="F133" s="113">
        <v>0</v>
      </c>
      <c r="G133" s="112" t="s">
        <v>232</v>
      </c>
      <c r="H133" s="114">
        <v>0</v>
      </c>
      <c r="I133" s="114">
        <v>0</v>
      </c>
      <c r="J133" s="115">
        <v>0</v>
      </c>
      <c r="K133" s="113">
        <v>0</v>
      </c>
    </row>
    <row r="134" spans="1:13" x14ac:dyDescent="0.3">
      <c r="A134" s="109" t="str">
        <f t="shared" si="2"/>
        <v>credit    6666110506  Amortization-Leasehold Improvement</v>
      </c>
      <c r="B134" s="112" t="s">
        <v>233</v>
      </c>
      <c r="C134" s="113">
        <v>-4841.75</v>
      </c>
      <c r="D134" s="116">
        <v>0</v>
      </c>
      <c r="E134" s="113">
        <v>-4841.75</v>
      </c>
      <c r="F134" s="113">
        <v>0</v>
      </c>
      <c r="G134" s="112" t="s">
        <v>233</v>
      </c>
      <c r="H134" s="114">
        <v>0</v>
      </c>
      <c r="I134" s="114">
        <v>0</v>
      </c>
      <c r="J134" s="115">
        <v>0</v>
      </c>
      <c r="K134" s="113">
        <v>0</v>
      </c>
    </row>
    <row r="135" spans="1:13" x14ac:dyDescent="0.3">
      <c r="A135" s="109" t="str">
        <f t="shared" ref="A135:A138" si="3">"credit"&amp;B135</f>
        <v>credit*   CS_Depreciation</v>
      </c>
      <c r="B135" s="117" t="s">
        <v>208</v>
      </c>
      <c r="C135" s="118">
        <v>-1047730.74</v>
      </c>
      <c r="D135" s="118">
        <v>-1236827.8799999999</v>
      </c>
      <c r="E135" s="118">
        <v>189097.14</v>
      </c>
      <c r="F135" s="118">
        <v>-15.2889</v>
      </c>
      <c r="G135" s="117" t="s">
        <v>208</v>
      </c>
      <c r="H135" s="119">
        <v>0</v>
      </c>
      <c r="I135" s="119">
        <v>0</v>
      </c>
      <c r="J135" s="120">
        <v>0</v>
      </c>
      <c r="K135" s="118">
        <v>0</v>
      </c>
    </row>
    <row r="136" spans="1:13" x14ac:dyDescent="0.3">
      <c r="A136" s="109" t="str">
        <f t="shared" si="3"/>
        <v>credit    5001010205  Unemployment Insurance -blue collar-Dire</v>
      </c>
      <c r="B136" s="112" t="s">
        <v>234</v>
      </c>
      <c r="C136" s="113">
        <v>-40.53</v>
      </c>
      <c r="D136" s="116">
        <v>0</v>
      </c>
      <c r="E136" s="113">
        <v>-40.53</v>
      </c>
      <c r="F136" s="113">
        <v>0</v>
      </c>
      <c r="G136" s="112" t="s">
        <v>234</v>
      </c>
      <c r="H136" s="114">
        <v>0</v>
      </c>
      <c r="I136" s="114">
        <v>0</v>
      </c>
      <c r="J136" s="115">
        <v>0</v>
      </c>
      <c r="K136" s="113">
        <v>0</v>
      </c>
      <c r="L136" t="str">
        <f>VLOOKUP(A136,'SAP Actual extraction'!$A$28:$A$1048576,1,0)</f>
        <v>credit    5001010205  Unemployment Insurance -blue collar-Dire</v>
      </c>
      <c r="M136" t="str">
        <f>VLOOKUP(B136,'SAP Actual extraction'!B:B,1,0)</f>
        <v xml:space="preserve">    5001010205  Unemployment Insurance -blue collar-Dire</v>
      </c>
    </row>
    <row r="137" spans="1:13" x14ac:dyDescent="0.3">
      <c r="A137" s="109" t="str">
        <f t="shared" si="3"/>
        <v>credit    6666010380  Incentive</v>
      </c>
      <c r="B137" s="112" t="s">
        <v>235</v>
      </c>
      <c r="C137" s="113">
        <v>-6229.56</v>
      </c>
      <c r="D137" s="116">
        <v>0</v>
      </c>
      <c r="E137" s="113">
        <v>-6229.56</v>
      </c>
      <c r="F137" s="113">
        <v>0</v>
      </c>
      <c r="G137" s="112" t="s">
        <v>235</v>
      </c>
      <c r="H137" s="114">
        <v>0</v>
      </c>
      <c r="I137" s="114">
        <v>0</v>
      </c>
      <c r="J137" s="115">
        <v>0</v>
      </c>
      <c r="K137" s="113">
        <v>0</v>
      </c>
      <c r="L137" t="e">
        <f>VLOOKUP(A137,'SAP Actual extraction'!$A$28:$A$1048576,1,0)</f>
        <v>#N/A</v>
      </c>
      <c r="M137" t="str">
        <f>VLOOKUP(B137,'SAP Actual extraction'!B:B,1,0)</f>
        <v xml:space="preserve">    6666010380  Incentive</v>
      </c>
    </row>
    <row r="138" spans="1:13" x14ac:dyDescent="0.3">
      <c r="A138" s="109" t="str">
        <f t="shared" si="3"/>
        <v>credit    6666010019  Payroll Taxes - Blue Collar Direct</v>
      </c>
      <c r="B138" s="112" t="s">
        <v>236</v>
      </c>
      <c r="C138" s="113">
        <v>-319.17</v>
      </c>
      <c r="D138" s="116">
        <v>0</v>
      </c>
      <c r="E138" s="113">
        <v>-319.17</v>
      </c>
      <c r="F138" s="113">
        <v>0</v>
      </c>
      <c r="G138" s="112" t="s">
        <v>236</v>
      </c>
      <c r="H138" s="114">
        <v>0</v>
      </c>
      <c r="I138" s="114">
        <v>0</v>
      </c>
      <c r="J138" s="115">
        <v>0</v>
      </c>
      <c r="K138" s="113">
        <v>0</v>
      </c>
      <c r="L138" t="str">
        <f>VLOOKUP(A138,'SAP Actual extraction'!$A$28:$A$1048576,1,0)</f>
        <v>credit    6666010019  Payroll Taxes - Blue Collar Direct</v>
      </c>
      <c r="M138" t="str">
        <f>VLOOKUP(B138,'SAP Actual extraction'!B:B,1,0)</f>
        <v xml:space="preserve">    6666010019  Payroll Taxes - Blue Collar Direct</v>
      </c>
    </row>
    <row r="139" spans="1:13" x14ac:dyDescent="0.3">
      <c r="A139" s="109" t="str">
        <f t="shared" ref="A139:A202" si="4">"credit"&amp;B139</f>
        <v>credit    6666010183  Overtime-Blue Collar-Direct</v>
      </c>
      <c r="B139" s="112" t="s">
        <v>237</v>
      </c>
      <c r="C139" s="113">
        <v>-14.07</v>
      </c>
      <c r="D139" s="116">
        <v>0</v>
      </c>
      <c r="E139" s="113">
        <v>-14.07</v>
      </c>
      <c r="F139" s="113">
        <v>0</v>
      </c>
      <c r="G139" s="112" t="s">
        <v>237</v>
      </c>
      <c r="H139" s="114">
        <v>0</v>
      </c>
      <c r="I139" s="114">
        <v>0</v>
      </c>
      <c r="J139" s="115">
        <v>0</v>
      </c>
      <c r="K139" s="113">
        <v>0</v>
      </c>
      <c r="L139" t="str">
        <f>VLOOKUP(A139,'SAP Actual extraction'!$A$28:$A$1048576,1,0)</f>
        <v>credit    6666010183  Overtime-Blue Collar-Direct</v>
      </c>
      <c r="M139" t="str">
        <f>VLOOKUP(B139,'SAP Actual extraction'!B:B,1,0)</f>
        <v xml:space="preserve">    6666010183  Overtime-Blue Collar-Direct</v>
      </c>
    </row>
    <row r="140" spans="1:13" x14ac:dyDescent="0.3">
      <c r="A140" s="109" t="str">
        <f t="shared" si="4"/>
        <v>credit    6666010229  Staff Leaving Indemnity - Blue Collar Di</v>
      </c>
      <c r="B140" s="112" t="s">
        <v>238</v>
      </c>
      <c r="C140" s="113">
        <v>-61.4</v>
      </c>
      <c r="D140" s="116">
        <v>0</v>
      </c>
      <c r="E140" s="113">
        <v>-61.4</v>
      </c>
      <c r="F140" s="113">
        <v>0</v>
      </c>
      <c r="G140" s="112" t="s">
        <v>238</v>
      </c>
      <c r="H140" s="114">
        <v>0</v>
      </c>
      <c r="I140" s="114">
        <v>0</v>
      </c>
      <c r="J140" s="115">
        <v>0</v>
      </c>
      <c r="K140" s="113">
        <v>0</v>
      </c>
      <c r="L140" t="str">
        <f>VLOOKUP(A140,'SAP Actual extraction'!$A$28:$A$1048576,1,0)</f>
        <v>credit    6666010229  Staff Leaving Indemnity - Blue Collar Di</v>
      </c>
      <c r="M140" t="str">
        <f>VLOOKUP(B140,'SAP Actual extraction'!B:B,1,0)</f>
        <v xml:space="preserve">    6666010229  Staff Leaving Indemnity - Blue Collar Di</v>
      </c>
    </row>
    <row r="141" spans="1:13" x14ac:dyDescent="0.3">
      <c r="A141" s="109" t="str">
        <f t="shared" si="4"/>
        <v>credit    6666010188  Salary - Blue collar direct employees</v>
      </c>
      <c r="B141" s="112" t="s">
        <v>239</v>
      </c>
      <c r="C141" s="113">
        <v>-1511.39</v>
      </c>
      <c r="D141" s="116">
        <v>0</v>
      </c>
      <c r="E141" s="113">
        <v>-1511.39</v>
      </c>
      <c r="F141" s="113">
        <v>0</v>
      </c>
      <c r="G141" s="112" t="s">
        <v>239</v>
      </c>
      <c r="H141" s="114">
        <v>0</v>
      </c>
      <c r="I141" s="114">
        <v>0</v>
      </c>
      <c r="J141" s="115">
        <v>0</v>
      </c>
      <c r="K141" s="113">
        <v>0</v>
      </c>
      <c r="L141" t="str">
        <f>VLOOKUP(A141,'SAP Actual extraction'!$A$28:$A$1048576,1,0)</f>
        <v>credit    6666010188  Salary - Blue collar direct employees</v>
      </c>
      <c r="M141" t="str">
        <f>VLOOKUP(B141,'SAP Actual extraction'!B:B,1,0)</f>
        <v xml:space="preserve">    6666010188  Salary - Blue collar direct employees</v>
      </c>
    </row>
    <row r="142" spans="1:13" x14ac:dyDescent="0.3">
      <c r="A142" s="109" t="str">
        <f t="shared" si="4"/>
        <v>credit    5102040406  Other revenue-Service/Secondment agreeme</v>
      </c>
      <c r="B142" s="112" t="s">
        <v>240</v>
      </c>
      <c r="C142" s="113">
        <v>-50.56</v>
      </c>
      <c r="D142" s="116">
        <v>0</v>
      </c>
      <c r="E142" s="113">
        <v>-50.56</v>
      </c>
      <c r="F142" s="113">
        <v>0</v>
      </c>
      <c r="G142" s="112" t="s">
        <v>240</v>
      </c>
      <c r="H142" s="114">
        <v>0</v>
      </c>
      <c r="I142" s="114">
        <v>0</v>
      </c>
      <c r="J142" s="115">
        <v>0</v>
      </c>
      <c r="K142" s="113">
        <v>0</v>
      </c>
      <c r="L142" t="str">
        <f>VLOOKUP(A142,'SAP Actual extraction'!$A$28:$A$1048576,1,0)</f>
        <v>credit    5102040406  Other revenue-Service/Secondment agreeme</v>
      </c>
      <c r="M142" t="str">
        <f>VLOOKUP(B142,'SAP Actual extraction'!B:B,1,0)</f>
        <v xml:space="preserve">    5102040406  Other revenue-Service/Secondment agreeme</v>
      </c>
    </row>
    <row r="143" spans="1:13" x14ac:dyDescent="0.3">
      <c r="A143" s="109" t="str">
        <f t="shared" si="4"/>
        <v>credit*   CS_Direct Labour</v>
      </c>
      <c r="B143" s="117" t="s">
        <v>209</v>
      </c>
      <c r="C143" s="118">
        <v>-8226.68</v>
      </c>
      <c r="D143" s="125">
        <v>0</v>
      </c>
      <c r="E143" s="118">
        <v>-8226.68</v>
      </c>
      <c r="F143" s="118">
        <v>0</v>
      </c>
      <c r="G143" s="117" t="s">
        <v>209</v>
      </c>
      <c r="H143" s="119">
        <v>0</v>
      </c>
      <c r="I143" s="119">
        <v>0</v>
      </c>
      <c r="J143" s="120">
        <v>0</v>
      </c>
      <c r="K143" s="118">
        <v>0</v>
      </c>
      <c r="L143" t="str">
        <f>VLOOKUP(A143,'SAP Actual extraction'!$A$28:$A$1048576,1,0)</f>
        <v>credit*   CS_Direct Labour</v>
      </c>
      <c r="M143" t="str">
        <f>VLOOKUP(B143,'SAP Actual extraction'!B:B,1,0)</f>
        <v>*   CS_Direct Labour</v>
      </c>
    </row>
    <row r="144" spans="1:13" x14ac:dyDescent="0.3">
      <c r="A144" s="109" t="str">
        <f t="shared" si="4"/>
        <v>credit    8701530201  Scrap-Raw&amp;#160;Material - Managerial</v>
      </c>
      <c r="B144" s="112" t="s">
        <v>242</v>
      </c>
      <c r="C144" s="116">
        <v>0</v>
      </c>
      <c r="D144" s="113">
        <v>-311461.84999999998</v>
      </c>
      <c r="E144" s="113">
        <v>311461.84999999998</v>
      </c>
      <c r="F144" s="113">
        <v>-100</v>
      </c>
      <c r="G144" s="112" t="s">
        <v>242</v>
      </c>
      <c r="H144" s="114">
        <v>0</v>
      </c>
      <c r="I144" s="114">
        <v>0</v>
      </c>
      <c r="J144" s="115">
        <v>0</v>
      </c>
      <c r="K144" s="113">
        <v>0</v>
      </c>
      <c r="L144" t="str">
        <f>VLOOKUP(A144,'SAP Actual extraction'!$A$28:$A$1048576,1,0)</f>
        <v>credit    8701530201  Scrap-Raw&amp;#160;Material - Managerial</v>
      </c>
      <c r="M144" t="str">
        <f>VLOOKUP(B144,'SAP Actual extraction'!B:B,1,0)</f>
        <v xml:space="preserve">    8701530201  Scrap-Raw&amp;#160;Material - Managerial</v>
      </c>
    </row>
    <row r="145" spans="1:13" x14ac:dyDescent="0.3">
      <c r="A145" s="109" t="str">
        <f t="shared" si="4"/>
        <v>credit    6666050309  SFG scrap</v>
      </c>
      <c r="B145" s="112" t="s">
        <v>243</v>
      </c>
      <c r="C145" s="113">
        <v>-269668.21999999997</v>
      </c>
      <c r="D145" s="116">
        <v>0</v>
      </c>
      <c r="E145" s="113">
        <v>-269668.21999999997</v>
      </c>
      <c r="F145" s="113">
        <v>0</v>
      </c>
      <c r="G145" s="112" t="s">
        <v>243</v>
      </c>
      <c r="H145" s="114">
        <v>0</v>
      </c>
      <c r="I145" s="114">
        <v>0</v>
      </c>
      <c r="J145" s="115">
        <v>0</v>
      </c>
      <c r="K145" s="113">
        <v>0</v>
      </c>
      <c r="L145" t="str">
        <f>VLOOKUP(A145,'SAP Actual extraction'!$A$28:$A$1048576,1,0)</f>
        <v>credit    6666050309  SFG scrap</v>
      </c>
      <c r="M145" t="str">
        <f>VLOOKUP(B145,'SAP Actual extraction'!B:B,1,0)</f>
        <v xml:space="preserve">    6666050309  SFG scrap</v>
      </c>
    </row>
    <row r="146" spans="1:13" x14ac:dyDescent="0.3">
      <c r="A146" s="109" t="str">
        <f t="shared" si="4"/>
        <v>credit    6666050308  Raw material scrap</v>
      </c>
      <c r="B146" s="112" t="s">
        <v>244</v>
      </c>
      <c r="C146" s="113">
        <v>-76964.02</v>
      </c>
      <c r="D146" s="116">
        <v>0</v>
      </c>
      <c r="E146" s="113">
        <v>-76964.02</v>
      </c>
      <c r="F146" s="113">
        <v>0</v>
      </c>
      <c r="G146" s="112" t="s">
        <v>244</v>
      </c>
      <c r="H146" s="114">
        <v>0</v>
      </c>
      <c r="I146" s="114">
        <v>0</v>
      </c>
      <c r="J146" s="115">
        <v>0</v>
      </c>
      <c r="K146" s="113">
        <v>0</v>
      </c>
      <c r="L146" t="str">
        <f>VLOOKUP(A146,'SAP Actual extraction'!$A$28:$A$1048576,1,0)</f>
        <v>credit    6666050308  Raw material scrap</v>
      </c>
      <c r="M146" t="str">
        <f>VLOOKUP(B146,'SAP Actual extraction'!B:B,1,0)</f>
        <v xml:space="preserve">    6666050308  Raw material scrap</v>
      </c>
    </row>
    <row r="147" spans="1:13" x14ac:dyDescent="0.3">
      <c r="A147" s="109" t="str">
        <f t="shared" si="4"/>
        <v>credit    6666050306  Finished goods scrap</v>
      </c>
      <c r="B147" s="112" t="s">
        <v>245</v>
      </c>
      <c r="C147" s="113">
        <v>-924.29</v>
      </c>
      <c r="D147" s="116">
        <v>0</v>
      </c>
      <c r="E147" s="113">
        <v>-924.29</v>
      </c>
      <c r="F147" s="113">
        <v>0</v>
      </c>
      <c r="G147" s="112" t="s">
        <v>245</v>
      </c>
      <c r="H147" s="114">
        <v>0</v>
      </c>
      <c r="I147" s="114">
        <v>0</v>
      </c>
      <c r="J147" s="115">
        <v>0</v>
      </c>
      <c r="K147" s="113">
        <v>0</v>
      </c>
      <c r="L147" t="str">
        <f>VLOOKUP(A147,'SAP Actual extraction'!$A$28:$A$1048576,1,0)</f>
        <v>credit    6666050306  Finished goods scrap</v>
      </c>
      <c r="M147" t="str">
        <f>VLOOKUP(B147,'SAP Actual extraction'!B:B,1,0)</f>
        <v xml:space="preserve">    6666050306  Finished goods scrap</v>
      </c>
    </row>
    <row r="148" spans="1:13" x14ac:dyDescent="0.3">
      <c r="A148" s="109" t="str">
        <f t="shared" si="4"/>
        <v>credit*   CS_SCRAP_VARIABLE</v>
      </c>
      <c r="B148" s="117" t="s">
        <v>210</v>
      </c>
      <c r="C148" s="118">
        <v>-347556.53</v>
      </c>
      <c r="D148" s="118">
        <v>-311461.84999999998</v>
      </c>
      <c r="E148" s="118">
        <v>-36094.68</v>
      </c>
      <c r="F148" s="118">
        <v>11.588800000000001</v>
      </c>
      <c r="G148" s="117" t="s">
        <v>210</v>
      </c>
      <c r="H148" s="119">
        <v>0</v>
      </c>
      <c r="I148" s="119">
        <v>0</v>
      </c>
      <c r="J148" s="120">
        <v>0</v>
      </c>
      <c r="K148" s="118">
        <v>0</v>
      </c>
      <c r="L148" t="str">
        <f>VLOOKUP(A148,'SAP Actual extraction'!$A$28:$A$1048576,1,0)</f>
        <v>credit*   CS_SCRAP_VARIABLE</v>
      </c>
      <c r="M148" t="str">
        <f>VLOOKUP(B148,'SAP Actual extraction'!B:B,1,0)</f>
        <v>*   CS_SCRAP_VARIABLE</v>
      </c>
    </row>
    <row r="149" spans="1:13" x14ac:dyDescent="0.3">
      <c r="A149" s="109" t="str">
        <f t="shared" si="4"/>
        <v>credit    6666029996  Non-deductible expense-travel.</v>
      </c>
      <c r="B149" s="112" t="s">
        <v>247</v>
      </c>
      <c r="C149" s="113">
        <v>-148.72999999999999</v>
      </c>
      <c r="D149" s="116">
        <v>0</v>
      </c>
      <c r="E149" s="113">
        <v>-148.72999999999999</v>
      </c>
      <c r="F149" s="113">
        <v>0</v>
      </c>
      <c r="G149" s="112" t="s">
        <v>247</v>
      </c>
      <c r="H149" s="114">
        <v>0</v>
      </c>
      <c r="I149" s="114">
        <v>0</v>
      </c>
      <c r="J149" s="115">
        <v>0</v>
      </c>
      <c r="K149" s="113">
        <v>0</v>
      </c>
      <c r="L149" t="str">
        <f>VLOOKUP(A149,'SAP Actual extraction'!$A$28:$A$1048576,1,0)</f>
        <v>credit    6666029996  Non-deductible expense-travel.</v>
      </c>
      <c r="M149" t="str">
        <f>VLOOKUP(B149,'SAP Actual extraction'!B:B,1,0)</f>
        <v xml:space="preserve">    6666029996  Non-deductible expense-travel.</v>
      </c>
    </row>
    <row r="150" spans="1:13" x14ac:dyDescent="0.3">
      <c r="A150" s="109" t="str">
        <f t="shared" si="4"/>
        <v>credit    6666010322  fuel allowance</v>
      </c>
      <c r="B150" s="112" t="s">
        <v>249</v>
      </c>
      <c r="C150" s="113">
        <v>-16807.599999999999</v>
      </c>
      <c r="D150" s="116">
        <v>0</v>
      </c>
      <c r="E150" s="113">
        <v>-16807.599999999999</v>
      </c>
      <c r="F150" s="113">
        <v>0</v>
      </c>
      <c r="G150" s="112" t="s">
        <v>249</v>
      </c>
      <c r="H150" s="114">
        <v>0</v>
      </c>
      <c r="I150" s="114">
        <v>0</v>
      </c>
      <c r="J150" s="115">
        <v>0</v>
      </c>
      <c r="K150" s="113">
        <v>0</v>
      </c>
      <c r="L150" t="str">
        <f>VLOOKUP(A150,'SAP Actual extraction'!$A$28:$A$1048576,1,0)</f>
        <v>credit    6666010322  fuel allowance</v>
      </c>
      <c r="M150" t="str">
        <f>VLOOKUP(B150,'SAP Actual extraction'!B:B,1,0)</f>
        <v xml:space="preserve">    6666010322  fuel allowance</v>
      </c>
    </row>
    <row r="151" spans="1:13" x14ac:dyDescent="0.3">
      <c r="A151" s="109" t="str">
        <f t="shared" si="4"/>
        <v>credit    6666020495  Non-deductible expense-travel.</v>
      </c>
      <c r="B151" s="112" t="s">
        <v>250</v>
      </c>
      <c r="C151" s="113">
        <v>-4655.66</v>
      </c>
      <c r="D151" s="116">
        <v>0</v>
      </c>
      <c r="E151" s="113">
        <v>-4655.66</v>
      </c>
      <c r="F151" s="113">
        <v>0</v>
      </c>
      <c r="G151" s="112" t="s">
        <v>250</v>
      </c>
      <c r="H151" s="114">
        <v>0</v>
      </c>
      <c r="I151" s="114">
        <v>0</v>
      </c>
      <c r="J151" s="115">
        <v>0</v>
      </c>
      <c r="K151" s="113">
        <v>0</v>
      </c>
      <c r="L151" t="str">
        <f>VLOOKUP(A151,'SAP Actual extraction'!$A$28:$A$1048576,1,0)</f>
        <v>credit    6666020495  Non-deductible expense-travel.</v>
      </c>
      <c r="M151" t="str">
        <f>VLOOKUP(B151,'SAP Actual extraction'!B:B,1,0)</f>
        <v xml:space="preserve">    6666020495  Non-deductible expense-travel.</v>
      </c>
    </row>
    <row r="152" spans="1:13" x14ac:dyDescent="0.3">
      <c r="A152" s="109" t="str">
        <f t="shared" si="4"/>
        <v>credit    5102010151  Other Rev.-Interco-Epidemic problem comp</v>
      </c>
      <c r="B152" s="112" t="s">
        <v>251</v>
      </c>
      <c r="C152" s="113">
        <v>-190.43</v>
      </c>
      <c r="D152" s="116">
        <v>0</v>
      </c>
      <c r="E152" s="113">
        <v>-190.43</v>
      </c>
      <c r="F152" s="113">
        <v>0</v>
      </c>
      <c r="G152" s="112" t="s">
        <v>251</v>
      </c>
      <c r="H152" s="114">
        <v>0</v>
      </c>
      <c r="I152" s="114">
        <v>0</v>
      </c>
      <c r="J152" s="115">
        <v>0</v>
      </c>
      <c r="K152" s="113">
        <v>0</v>
      </c>
      <c r="L152" t="str">
        <f>VLOOKUP(A152,'SAP Actual extraction'!$A$28:$A$1048576,1,0)</f>
        <v>credit    5102010151  Other Rev.-Interco-Epidemic problem comp</v>
      </c>
      <c r="M152" t="str">
        <f>VLOOKUP(B152,'SAP Actual extraction'!B:B,1,0)</f>
        <v xml:space="preserve">    5102010151  Other Rev.-Interco-Epidemic problem comp</v>
      </c>
    </row>
    <row r="153" spans="1:13" x14ac:dyDescent="0.3">
      <c r="A153" s="109" t="str">
        <f t="shared" si="4"/>
        <v>credit    600008      Indirect Cost</v>
      </c>
      <c r="B153" s="112" t="s">
        <v>356</v>
      </c>
      <c r="C153" s="116">
        <v>0</v>
      </c>
      <c r="D153" s="116">
        <v>0</v>
      </c>
      <c r="E153" s="113">
        <v>0</v>
      </c>
      <c r="F153" s="113">
        <v>0</v>
      </c>
      <c r="G153" s="112" t="s">
        <v>356</v>
      </c>
      <c r="H153" s="114">
        <v>0</v>
      </c>
      <c r="I153" s="114">
        <v>0</v>
      </c>
      <c r="J153" s="115">
        <v>0</v>
      </c>
      <c r="K153" s="113">
        <v>0</v>
      </c>
      <c r="L153" t="e">
        <f>VLOOKUP(A153,'SAP Actual extraction'!$A$28:$A$1048576,1,0)</f>
        <v>#N/A</v>
      </c>
      <c r="M153" t="e">
        <f>VLOOKUP(B153,'SAP Actual extraction'!B:B,1,0)</f>
        <v>#N/A</v>
      </c>
    </row>
    <row r="154" spans="1:13" x14ac:dyDescent="0.3">
      <c r="A154" s="109" t="str">
        <f t="shared" si="4"/>
        <v>credit    600009      Quality Control</v>
      </c>
      <c r="B154" s="112" t="s">
        <v>357</v>
      </c>
      <c r="C154" s="116">
        <v>0</v>
      </c>
      <c r="D154" s="116">
        <v>0</v>
      </c>
      <c r="E154" s="113">
        <v>0</v>
      </c>
      <c r="F154" s="113">
        <v>0</v>
      </c>
      <c r="G154" s="112" t="s">
        <v>357</v>
      </c>
      <c r="H154" s="114">
        <v>0</v>
      </c>
      <c r="I154" s="114">
        <v>0</v>
      </c>
      <c r="J154" s="115">
        <v>0</v>
      </c>
      <c r="K154" s="113">
        <v>0</v>
      </c>
      <c r="L154" t="e">
        <f>VLOOKUP(A154,'SAP Actual extraction'!$A$28:$A$1048576,1,0)</f>
        <v>#N/A</v>
      </c>
      <c r="M154" t="e">
        <f>VLOOKUP(B154,'SAP Actual extraction'!B:B,1,0)</f>
        <v>#N/A</v>
      </c>
    </row>
    <row r="155" spans="1:13" x14ac:dyDescent="0.3">
      <c r="A155" s="109" t="str">
        <f t="shared" si="4"/>
        <v>credit    5001010200  Cost of Manufacture - Raw Material</v>
      </c>
      <c r="B155" s="112" t="s">
        <v>252</v>
      </c>
      <c r="C155" s="113">
        <v>-126.8</v>
      </c>
      <c r="D155" s="116">
        <v>0</v>
      </c>
      <c r="E155" s="113">
        <v>-126.8</v>
      </c>
      <c r="F155" s="113">
        <v>0</v>
      </c>
      <c r="G155" s="112" t="s">
        <v>252</v>
      </c>
      <c r="H155" s="114">
        <v>0</v>
      </c>
      <c r="I155" s="114">
        <v>0</v>
      </c>
      <c r="J155" s="115">
        <v>0</v>
      </c>
      <c r="K155" s="113">
        <v>0</v>
      </c>
      <c r="L155" t="str">
        <f>VLOOKUP(A155,'SAP Actual extraction'!$A$28:$A$1048576,1,0)</f>
        <v>credit    5001010200  Cost of Manufacture - Raw Material</v>
      </c>
      <c r="M155" t="str">
        <f>VLOOKUP(B155,'SAP Actual extraction'!B:B,1,0)</f>
        <v xml:space="preserve">    5001010200  Cost of Manufacture - Raw Material</v>
      </c>
    </row>
    <row r="156" spans="1:13" x14ac:dyDescent="0.3">
      <c r="A156" s="109" t="str">
        <f t="shared" si="4"/>
        <v>credit    5301060000  Other Income-Subsidy income</v>
      </c>
      <c r="B156" s="112" t="s">
        <v>257</v>
      </c>
      <c r="C156" s="116">
        <v>0</v>
      </c>
      <c r="D156" s="116">
        <v>0</v>
      </c>
      <c r="E156" s="113">
        <v>0</v>
      </c>
      <c r="F156" s="113">
        <v>0</v>
      </c>
      <c r="G156" s="112" t="s">
        <v>257</v>
      </c>
      <c r="H156" s="114">
        <v>0</v>
      </c>
      <c r="I156" s="114">
        <v>0</v>
      </c>
      <c r="J156" s="115">
        <v>0</v>
      </c>
      <c r="K156" s="113">
        <v>0</v>
      </c>
      <c r="L156" t="str">
        <f>VLOOKUP(A156,'SAP Actual extraction'!$A$28:$A$1048576,1,0)</f>
        <v>credit    5301060000  Other Income-Subsidy income</v>
      </c>
      <c r="M156" t="str">
        <f>VLOOKUP(B156,'SAP Actual extraction'!B:B,1,0)</f>
        <v xml:space="preserve">    5301060000  Other Income-Subsidy income</v>
      </c>
    </row>
    <row r="157" spans="1:13" x14ac:dyDescent="0.3">
      <c r="A157" s="109" t="str">
        <f t="shared" si="4"/>
        <v>credit    5301999999  Non-operation revenue-Other</v>
      </c>
      <c r="B157" s="112" t="s">
        <v>258</v>
      </c>
      <c r="C157" s="113">
        <v>-0.05</v>
      </c>
      <c r="D157" s="116">
        <v>0</v>
      </c>
      <c r="E157" s="113">
        <v>-0.05</v>
      </c>
      <c r="F157" s="113">
        <v>0</v>
      </c>
      <c r="G157" s="112" t="s">
        <v>258</v>
      </c>
      <c r="H157" s="114">
        <v>0</v>
      </c>
      <c r="I157" s="114">
        <v>0</v>
      </c>
      <c r="J157" s="115">
        <v>0</v>
      </c>
      <c r="K157" s="113">
        <v>0</v>
      </c>
      <c r="L157" t="str">
        <f>VLOOKUP(A157,'SAP Actual extraction'!$A$28:$A$1048576,1,0)</f>
        <v>credit    5301999999  Non-operation revenue-Other</v>
      </c>
      <c r="M157" t="str">
        <f>VLOOKUP(B157,'SAP Actual extraction'!B:B,1,0)</f>
        <v xml:space="preserve">    5301999999  Non-operation revenue-Other</v>
      </c>
    </row>
    <row r="158" spans="1:13" x14ac:dyDescent="0.3">
      <c r="A158" s="109" t="str">
        <f t="shared" si="4"/>
        <v>credit    5405030000  Other cost-others</v>
      </c>
      <c r="B158" s="112" t="s">
        <v>259</v>
      </c>
      <c r="C158" s="113">
        <v>-3431.77</v>
      </c>
      <c r="D158" s="116">
        <v>0</v>
      </c>
      <c r="E158" s="113">
        <v>-3431.77</v>
      </c>
      <c r="F158" s="113">
        <v>0</v>
      </c>
      <c r="G158" s="112" t="s">
        <v>259</v>
      </c>
      <c r="H158" s="114">
        <v>0</v>
      </c>
      <c r="I158" s="114">
        <v>0</v>
      </c>
      <c r="J158" s="115">
        <v>0</v>
      </c>
      <c r="K158" s="113">
        <v>0</v>
      </c>
      <c r="L158" t="str">
        <f>VLOOKUP(A158,'SAP Actual extraction'!$A$28:$A$1048576,1,0)</f>
        <v>credit    5405030000  Other cost-others</v>
      </c>
      <c r="M158" t="str">
        <f>VLOOKUP(B158,'SAP Actual extraction'!B:B,1,0)</f>
        <v xml:space="preserve">    5405030000  Other cost-others</v>
      </c>
    </row>
    <row r="159" spans="1:13" x14ac:dyDescent="0.3">
      <c r="A159" s="109" t="str">
        <f t="shared" si="4"/>
        <v>credit    5601020000  Loss on disposal fixed asset</v>
      </c>
      <c r="B159" s="112" t="s">
        <v>358</v>
      </c>
      <c r="C159" s="116">
        <v>0</v>
      </c>
      <c r="D159" s="116">
        <v>0</v>
      </c>
      <c r="E159" s="113">
        <v>0</v>
      </c>
      <c r="F159" s="113">
        <v>0</v>
      </c>
      <c r="G159" s="112" t="s">
        <v>358</v>
      </c>
      <c r="H159" s="114">
        <v>0</v>
      </c>
      <c r="I159" s="114">
        <v>0</v>
      </c>
      <c r="J159" s="115">
        <v>0</v>
      </c>
      <c r="K159" s="113">
        <v>0</v>
      </c>
      <c r="L159" t="e">
        <f>VLOOKUP(A159,'SAP Actual extraction'!$A$28:$A$1048576,1,0)</f>
        <v>#N/A</v>
      </c>
      <c r="M159" t="e">
        <f>VLOOKUP(B159,'SAP Actual extraction'!B:B,1,0)</f>
        <v>#N/A</v>
      </c>
    </row>
    <row r="160" spans="1:13" x14ac:dyDescent="0.3">
      <c r="A160" s="109" t="str">
        <f t="shared" si="4"/>
        <v>credit    5601050100  Non-operation Expense-Others</v>
      </c>
      <c r="B160" s="112" t="s">
        <v>261</v>
      </c>
      <c r="C160" s="113">
        <v>-347.51</v>
      </c>
      <c r="D160" s="116">
        <v>0</v>
      </c>
      <c r="E160" s="113">
        <v>-347.51</v>
      </c>
      <c r="F160" s="113">
        <v>0</v>
      </c>
      <c r="G160" s="112" t="s">
        <v>261</v>
      </c>
      <c r="H160" s="114">
        <v>0</v>
      </c>
      <c r="I160" s="114">
        <v>0</v>
      </c>
      <c r="J160" s="115">
        <v>0</v>
      </c>
      <c r="K160" s="113">
        <v>0</v>
      </c>
      <c r="L160" t="str">
        <f>VLOOKUP(A160,'SAP Actual extraction'!$A$28:$A$1048576,1,0)</f>
        <v>credit    5601050100  Non-operation Expense-Others</v>
      </c>
      <c r="M160" t="str">
        <f>VLOOKUP(B160,'SAP Actual extraction'!B:B,1,0)</f>
        <v xml:space="preserve">    5601050100  Non-operation Expense-Others</v>
      </c>
    </row>
    <row r="161" spans="1:13" x14ac:dyDescent="0.3">
      <c r="A161" s="109" t="str">
        <f t="shared" si="4"/>
        <v>credit    6666020101  Entertainment</v>
      </c>
      <c r="B161" s="112" t="s">
        <v>262</v>
      </c>
      <c r="C161" s="113">
        <v>-1309.23</v>
      </c>
      <c r="D161" s="113">
        <v>-116712.6</v>
      </c>
      <c r="E161" s="113">
        <v>115403.37</v>
      </c>
      <c r="F161" s="113">
        <v>-98.878200000000007</v>
      </c>
      <c r="G161" s="112" t="s">
        <v>262</v>
      </c>
      <c r="H161" s="114">
        <v>0</v>
      </c>
      <c r="I161" s="114">
        <v>0</v>
      </c>
      <c r="J161" s="115">
        <v>0</v>
      </c>
      <c r="K161" s="113">
        <v>0</v>
      </c>
      <c r="L161" t="str">
        <f>VLOOKUP(A161,'SAP Actual extraction'!$A$28:$A$1048576,1,0)</f>
        <v>credit    6666020101  Entertainment</v>
      </c>
      <c r="M161" t="str">
        <f>VLOOKUP(B161,'SAP Actual extraction'!B:B,1,0)</f>
        <v xml:space="preserve">    6666020101  Entertainment</v>
      </c>
    </row>
    <row r="162" spans="1:13" x14ac:dyDescent="0.3">
      <c r="A162" s="109" t="str">
        <f t="shared" si="4"/>
        <v>credit    6666020201  Domestic business travel</v>
      </c>
      <c r="B162" s="112" t="s">
        <v>263</v>
      </c>
      <c r="C162" s="113">
        <v>-734.33</v>
      </c>
      <c r="D162" s="113">
        <v>-21738.36</v>
      </c>
      <c r="E162" s="113">
        <v>21004.03</v>
      </c>
      <c r="F162" s="113">
        <v>-96.622</v>
      </c>
      <c r="G162" s="112" t="s">
        <v>263</v>
      </c>
      <c r="H162" s="114">
        <v>0</v>
      </c>
      <c r="I162" s="114">
        <v>0</v>
      </c>
      <c r="J162" s="115">
        <v>0</v>
      </c>
      <c r="K162" s="113">
        <v>0</v>
      </c>
      <c r="L162" t="str">
        <f>VLOOKUP(A162,'SAP Actual extraction'!$A$28:$A$1048576,1,0)</f>
        <v>credit    6666020201  Domestic business travel</v>
      </c>
      <c r="M162" t="str">
        <f>VLOOKUP(B162,'SAP Actual extraction'!B:B,1,0)</f>
        <v xml:space="preserve">    6666020201  Domestic business travel</v>
      </c>
    </row>
    <row r="163" spans="1:13" x14ac:dyDescent="0.3">
      <c r="A163" s="109" t="str">
        <f t="shared" si="4"/>
        <v>credit    6666020202  Overseas business travel</v>
      </c>
      <c r="B163" s="112" t="s">
        <v>264</v>
      </c>
      <c r="C163" s="113">
        <v>-3469.45</v>
      </c>
      <c r="D163" s="116">
        <v>0</v>
      </c>
      <c r="E163" s="113">
        <v>-3469.45</v>
      </c>
      <c r="F163" s="113">
        <v>0</v>
      </c>
      <c r="G163" s="112" t="s">
        <v>264</v>
      </c>
      <c r="H163" s="114">
        <v>0</v>
      </c>
      <c r="I163" s="114">
        <v>0</v>
      </c>
      <c r="J163" s="115">
        <v>0</v>
      </c>
      <c r="K163" s="113">
        <v>0</v>
      </c>
      <c r="L163" t="str">
        <f>VLOOKUP(A163,'SAP Actual extraction'!$A$28:$A$1048576,1,0)</f>
        <v>credit    6666020202  Overseas business travel</v>
      </c>
      <c r="M163" t="str">
        <f>VLOOKUP(B163,'SAP Actual extraction'!B:B,1,0)</f>
        <v xml:space="preserve">    6666020202  Overseas business travel</v>
      </c>
    </row>
    <row r="164" spans="1:13" x14ac:dyDescent="0.3">
      <c r="A164" s="109" t="str">
        <f t="shared" si="4"/>
        <v>credit    6666020204  Travel expense pay to agency</v>
      </c>
      <c r="B164" s="112" t="s">
        <v>265</v>
      </c>
      <c r="C164" s="113">
        <v>-10952.49</v>
      </c>
      <c r="D164" s="116">
        <v>0</v>
      </c>
      <c r="E164" s="113">
        <v>-10952.49</v>
      </c>
      <c r="F164" s="113">
        <v>0</v>
      </c>
      <c r="G164" s="112" t="s">
        <v>265</v>
      </c>
      <c r="H164" s="114">
        <v>0</v>
      </c>
      <c r="I164" s="114">
        <v>0</v>
      </c>
      <c r="J164" s="115">
        <v>0</v>
      </c>
      <c r="K164" s="113">
        <v>0</v>
      </c>
      <c r="L164" t="str">
        <f>VLOOKUP(A164,'SAP Actual extraction'!$A$28:$A$1048576,1,0)</f>
        <v>credit    6666020204  Travel expense pay to agency</v>
      </c>
      <c r="M164" t="str">
        <f>VLOOKUP(B164,'SAP Actual extraction'!B:B,1,0)</f>
        <v xml:space="preserve">    6666020204  Travel expense pay to agency</v>
      </c>
    </row>
    <row r="165" spans="1:13" x14ac:dyDescent="0.3">
      <c r="A165" s="109" t="str">
        <f t="shared" si="4"/>
        <v>credit    6666020205  Business travel-other</v>
      </c>
      <c r="B165" s="112" t="s">
        <v>266</v>
      </c>
      <c r="C165" s="116">
        <v>0</v>
      </c>
      <c r="D165" s="113">
        <v>-23321.64</v>
      </c>
      <c r="E165" s="113">
        <v>23321.64</v>
      </c>
      <c r="F165" s="113">
        <v>-100</v>
      </c>
      <c r="G165" s="112" t="s">
        <v>266</v>
      </c>
      <c r="H165" s="114">
        <v>0</v>
      </c>
      <c r="I165" s="114">
        <v>0</v>
      </c>
      <c r="J165" s="115">
        <v>0</v>
      </c>
      <c r="K165" s="113">
        <v>0</v>
      </c>
      <c r="L165" t="str">
        <f>VLOOKUP(A165,'SAP Actual extraction'!$A$28:$A$1048576,1,0)</f>
        <v>credit    6666020205  Business travel-other</v>
      </c>
      <c r="M165" t="str">
        <f>VLOOKUP(B165,'SAP Actual extraction'!B:B,1,0)</f>
        <v xml:space="preserve">    6666020205  Business travel-other</v>
      </c>
    </row>
    <row r="166" spans="1:13" x14ac:dyDescent="0.3">
      <c r="A166" s="109" t="str">
        <f t="shared" si="4"/>
        <v>credit    6666020301  Staff communication expense</v>
      </c>
      <c r="B166" s="112" t="s">
        <v>267</v>
      </c>
      <c r="C166" s="113">
        <v>-6161.12</v>
      </c>
      <c r="D166" s="116">
        <v>0</v>
      </c>
      <c r="E166" s="113">
        <v>-6161.12</v>
      </c>
      <c r="F166" s="113">
        <v>0</v>
      </c>
      <c r="G166" s="112" t="s">
        <v>267</v>
      </c>
      <c r="H166" s="114">
        <v>0</v>
      </c>
      <c r="I166" s="114">
        <v>0</v>
      </c>
      <c r="J166" s="115">
        <v>0</v>
      </c>
      <c r="K166" s="113">
        <v>0</v>
      </c>
      <c r="L166" t="str">
        <f>VLOOKUP(A166,'SAP Actual extraction'!$A$28:$A$1048576,1,0)</f>
        <v>credit    6666020301  Staff communication expense</v>
      </c>
      <c r="M166" t="str">
        <f>VLOOKUP(B166,'SAP Actual extraction'!B:B,1,0)</f>
        <v xml:space="preserve">    6666020301  Staff communication expense</v>
      </c>
    </row>
    <row r="167" spans="1:13" x14ac:dyDescent="0.3">
      <c r="A167" s="109" t="str">
        <f t="shared" si="4"/>
        <v>credit    6666020302  Communication Expenses</v>
      </c>
      <c r="B167" s="112" t="s">
        <v>269</v>
      </c>
      <c r="C167" s="113">
        <v>-1108.68</v>
      </c>
      <c r="D167" s="113">
        <v>-3120</v>
      </c>
      <c r="E167" s="113">
        <v>2011.32</v>
      </c>
      <c r="F167" s="113">
        <v>-64.465400000000002</v>
      </c>
      <c r="G167" s="112" t="s">
        <v>269</v>
      </c>
      <c r="H167" s="114">
        <v>0</v>
      </c>
      <c r="I167" s="114">
        <v>0</v>
      </c>
      <c r="J167" s="115">
        <v>0</v>
      </c>
      <c r="K167" s="113">
        <v>0</v>
      </c>
      <c r="L167" t="str">
        <f>VLOOKUP(A167,'SAP Actual extraction'!$A$28:$A$1048576,1,0)</f>
        <v>credit    6666020302  Communication Expenses</v>
      </c>
      <c r="M167" t="str">
        <f>VLOOKUP(B167,'SAP Actual extraction'!B:B,1,0)</f>
        <v xml:space="preserve">    6666020302  Communication Expenses</v>
      </c>
    </row>
    <row r="168" spans="1:13" x14ac:dyDescent="0.3">
      <c r="A168" s="109" t="str">
        <f t="shared" si="4"/>
        <v>credit    6666020403  Company car expense</v>
      </c>
      <c r="B168" s="112" t="s">
        <v>270</v>
      </c>
      <c r="C168" s="113">
        <v>-0.35</v>
      </c>
      <c r="D168" s="116">
        <v>0</v>
      </c>
      <c r="E168" s="113">
        <v>-0.35</v>
      </c>
      <c r="F168" s="113">
        <v>0</v>
      </c>
      <c r="G168" s="112" t="s">
        <v>270</v>
      </c>
      <c r="H168" s="114">
        <v>0</v>
      </c>
      <c r="I168" s="114">
        <v>0</v>
      </c>
      <c r="J168" s="115">
        <v>0</v>
      </c>
      <c r="K168" s="113">
        <v>0</v>
      </c>
      <c r="L168" t="str">
        <f>VLOOKUP(A168,'SAP Actual extraction'!$A$28:$A$1048576,1,0)</f>
        <v>credit    6666020403  Company car expense</v>
      </c>
      <c r="M168" t="str">
        <f>VLOOKUP(B168,'SAP Actual extraction'!B:B,1,0)</f>
        <v xml:space="preserve">    6666020403  Company car expense</v>
      </c>
    </row>
    <row r="169" spans="1:13" x14ac:dyDescent="0.3">
      <c r="A169" s="109" t="str">
        <f t="shared" si="4"/>
        <v>credit    6666020405  Company car expense - maintenance fees</v>
      </c>
      <c r="B169" s="112" t="s">
        <v>271</v>
      </c>
      <c r="C169" s="116">
        <v>0</v>
      </c>
      <c r="D169" s="116">
        <v>0</v>
      </c>
      <c r="E169" s="113">
        <v>0</v>
      </c>
      <c r="F169" s="113">
        <v>0</v>
      </c>
      <c r="G169" s="112" t="s">
        <v>271</v>
      </c>
      <c r="H169" s="114">
        <v>0</v>
      </c>
      <c r="I169" s="114">
        <v>0</v>
      </c>
      <c r="J169" s="115">
        <v>0</v>
      </c>
      <c r="K169" s="113">
        <v>0</v>
      </c>
      <c r="L169" t="str">
        <f>VLOOKUP(A169,'SAP Actual extraction'!$A$28:$A$1048576,1,0)</f>
        <v>credit    6666020405  Company car expense - maintenance fees</v>
      </c>
      <c r="M169" t="str">
        <f>VLOOKUP(B169,'SAP Actual extraction'!B:B,1,0)</f>
        <v xml:space="preserve">    6666020405  Company car expense - maintenance fees</v>
      </c>
    </row>
    <row r="170" spans="1:13" x14ac:dyDescent="0.3">
      <c r="A170" s="109" t="str">
        <f t="shared" si="4"/>
        <v>credit    6666020504  Newspaper and Periodicals expenditure</v>
      </c>
      <c r="B170" s="112" t="s">
        <v>272</v>
      </c>
      <c r="C170" s="113">
        <v>-298.66000000000003</v>
      </c>
      <c r="D170" s="113">
        <v>-1013.88</v>
      </c>
      <c r="E170" s="113">
        <v>715.22</v>
      </c>
      <c r="F170" s="113">
        <v>-70.542900000000003</v>
      </c>
      <c r="G170" s="112" t="s">
        <v>272</v>
      </c>
      <c r="H170" s="114">
        <v>0</v>
      </c>
      <c r="I170" s="114">
        <v>0</v>
      </c>
      <c r="J170" s="115">
        <v>0</v>
      </c>
      <c r="K170" s="113">
        <v>0</v>
      </c>
      <c r="L170" t="str">
        <f>VLOOKUP(A170,'SAP Actual extraction'!$A$28:$A$1048576,1,0)</f>
        <v>credit    6666020504  Newspaper and Periodicals expenditure</v>
      </c>
      <c r="M170" t="str">
        <f>VLOOKUP(B170,'SAP Actual extraction'!B:B,1,0)</f>
        <v xml:space="preserve">    6666020504  Newspaper and Periodicals expenditure</v>
      </c>
    </row>
    <row r="171" spans="1:13" x14ac:dyDescent="0.3">
      <c r="A171" s="109" t="str">
        <f t="shared" si="4"/>
        <v>credit    6666020508  Postage</v>
      </c>
      <c r="B171" s="112" t="s">
        <v>273</v>
      </c>
      <c r="C171" s="113">
        <v>-327.08</v>
      </c>
      <c r="D171" s="113">
        <v>-2486.88</v>
      </c>
      <c r="E171" s="113">
        <v>2159.8000000000002</v>
      </c>
      <c r="F171" s="113">
        <v>-86.847800000000007</v>
      </c>
      <c r="G171" s="112" t="s">
        <v>273</v>
      </c>
      <c r="H171" s="114">
        <v>0</v>
      </c>
      <c r="I171" s="114">
        <v>0</v>
      </c>
      <c r="J171" s="115">
        <v>0</v>
      </c>
      <c r="K171" s="113">
        <v>0</v>
      </c>
      <c r="L171" t="str">
        <f>VLOOKUP(A171,'SAP Actual extraction'!$A$28:$A$1048576,1,0)</f>
        <v>credit    6666020508  Postage</v>
      </c>
      <c r="M171" t="str">
        <f>VLOOKUP(B171,'SAP Actual extraction'!B:B,1,0)</f>
        <v xml:space="preserve">    6666020508  Postage</v>
      </c>
    </row>
    <row r="172" spans="1:13" x14ac:dyDescent="0.3">
      <c r="A172" s="109" t="str">
        <f t="shared" si="4"/>
        <v>credit    6666020602  Training costs Outside the group</v>
      </c>
      <c r="B172" s="112" t="s">
        <v>274</v>
      </c>
      <c r="C172" s="113">
        <v>-243.28</v>
      </c>
      <c r="D172" s="113">
        <v>-39288.839999999997</v>
      </c>
      <c r="E172" s="113">
        <v>39045.56</v>
      </c>
      <c r="F172" s="113">
        <v>-99.380799999999994</v>
      </c>
      <c r="G172" s="112" t="s">
        <v>274</v>
      </c>
      <c r="H172" s="114">
        <v>0</v>
      </c>
      <c r="I172" s="114">
        <v>0</v>
      </c>
      <c r="J172" s="115">
        <v>0</v>
      </c>
      <c r="K172" s="113">
        <v>0</v>
      </c>
      <c r="L172" t="str">
        <f>VLOOKUP(A172,'SAP Actual extraction'!$A$28:$A$1048576,1,0)</f>
        <v>credit    6666020602  Training costs Outside the group</v>
      </c>
      <c r="M172" t="str">
        <f>VLOOKUP(B172,'SAP Actual extraction'!B:B,1,0)</f>
        <v xml:space="preserve">    6666020602  Training costs Outside the group</v>
      </c>
    </row>
    <row r="173" spans="1:13" x14ac:dyDescent="0.3">
      <c r="A173" s="109" t="str">
        <f t="shared" si="4"/>
        <v>credit    6666020802  Equipment rental cost</v>
      </c>
      <c r="B173" s="112" t="s">
        <v>276</v>
      </c>
      <c r="C173" s="113">
        <v>-142344.95000000001</v>
      </c>
      <c r="D173" s="113">
        <v>-201538.52</v>
      </c>
      <c r="E173" s="113">
        <v>59193.57</v>
      </c>
      <c r="F173" s="113">
        <v>-29.370799999999999</v>
      </c>
      <c r="G173" s="112" t="s">
        <v>276</v>
      </c>
      <c r="H173" s="114">
        <v>0</v>
      </c>
      <c r="I173" s="114">
        <v>0</v>
      </c>
      <c r="J173" s="115">
        <v>0</v>
      </c>
      <c r="K173" s="113">
        <v>0</v>
      </c>
      <c r="L173" t="str">
        <f>VLOOKUP(A173,'SAP Actual extraction'!$A$28:$A$1048576,1,0)</f>
        <v>credit    6666020802  Equipment rental cost</v>
      </c>
      <c r="M173" t="str">
        <f>VLOOKUP(B173,'SAP Actual extraction'!B:B,1,0)</f>
        <v xml:space="preserve">    6666020802  Equipment rental cost</v>
      </c>
    </row>
    <row r="174" spans="1:13" x14ac:dyDescent="0.3">
      <c r="A174" s="109" t="str">
        <f t="shared" si="4"/>
        <v>credit    6666020803  Car rental cost</v>
      </c>
      <c r="B174" s="112" t="s">
        <v>277</v>
      </c>
      <c r="C174" s="113">
        <v>-37515.64</v>
      </c>
      <c r="D174" s="113">
        <v>-37066.68</v>
      </c>
      <c r="E174" s="113">
        <v>-448.96</v>
      </c>
      <c r="F174" s="113">
        <v>1.2112000000000001</v>
      </c>
      <c r="G174" s="112" t="s">
        <v>277</v>
      </c>
      <c r="H174" s="114">
        <v>0</v>
      </c>
      <c r="I174" s="114">
        <v>0</v>
      </c>
      <c r="J174" s="115">
        <v>0</v>
      </c>
      <c r="K174" s="113">
        <v>0</v>
      </c>
      <c r="L174" t="str">
        <f>VLOOKUP(A174,'SAP Actual extraction'!$A$28:$A$1048576,1,0)</f>
        <v>credit    6666020803  Car rental cost</v>
      </c>
      <c r="M174" t="str">
        <f>VLOOKUP(B174,'SAP Actual extraction'!B:B,1,0)</f>
        <v xml:space="preserve">    6666020803  Car rental cost</v>
      </c>
    </row>
    <row r="175" spans="1:13" x14ac:dyDescent="0.3">
      <c r="A175" s="109" t="str">
        <f t="shared" si="4"/>
        <v>credit    6666021100  Consulting fees</v>
      </c>
      <c r="B175" s="112" t="s">
        <v>278</v>
      </c>
      <c r="C175" s="113">
        <v>-104791.27</v>
      </c>
      <c r="D175" s="113">
        <v>-148626.88</v>
      </c>
      <c r="E175" s="113">
        <v>43835.61</v>
      </c>
      <c r="F175" s="113">
        <v>-29.4937</v>
      </c>
      <c r="G175" s="112" t="s">
        <v>278</v>
      </c>
      <c r="H175" s="114">
        <v>0</v>
      </c>
      <c r="I175" s="114">
        <v>0</v>
      </c>
      <c r="J175" s="115">
        <v>0</v>
      </c>
      <c r="K175" s="113">
        <v>0</v>
      </c>
      <c r="L175" t="str">
        <f>VLOOKUP(A175,'SAP Actual extraction'!$A$28:$A$1048576,1,0)</f>
        <v>credit    6666021100  Consulting fees</v>
      </c>
      <c r="M175" t="str">
        <f>VLOOKUP(B175,'SAP Actual extraction'!B:B,1,0)</f>
        <v xml:space="preserve">    6666021100  Consulting fees</v>
      </c>
    </row>
    <row r="176" spans="1:13" x14ac:dyDescent="0.3">
      <c r="A176" s="109" t="str">
        <f t="shared" si="4"/>
        <v>credit    6666021104  Consulting expense-Technical</v>
      </c>
      <c r="B176" s="112" t="s">
        <v>268</v>
      </c>
      <c r="C176" s="113">
        <v>1.18</v>
      </c>
      <c r="D176" s="116">
        <v>0</v>
      </c>
      <c r="E176" s="113">
        <v>1.18</v>
      </c>
      <c r="F176" s="113">
        <v>0</v>
      </c>
      <c r="G176" s="112" t="s">
        <v>268</v>
      </c>
      <c r="H176" s="114">
        <v>0</v>
      </c>
      <c r="I176" s="114">
        <v>0</v>
      </c>
      <c r="J176" s="115">
        <v>0</v>
      </c>
      <c r="K176" s="113">
        <v>0</v>
      </c>
      <c r="L176" t="e">
        <f>VLOOKUP(A176,'SAP Actual extraction'!$A$28:$A$1048576,1,0)</f>
        <v>#N/A</v>
      </c>
      <c r="M176" t="str">
        <f>VLOOKUP(B176,'SAP Actual extraction'!B:B,1,0)</f>
        <v xml:space="preserve">    6666021104  Consulting expense-Technical</v>
      </c>
    </row>
    <row r="177" spans="1:13" x14ac:dyDescent="0.3">
      <c r="A177" s="109" t="str">
        <f t="shared" si="4"/>
        <v>credit    6666021902  Cleaning fees</v>
      </c>
      <c r="B177" s="112" t="s">
        <v>279</v>
      </c>
      <c r="C177" s="113">
        <v>-99035.83</v>
      </c>
      <c r="D177" s="113">
        <v>-130453.2</v>
      </c>
      <c r="E177" s="113">
        <v>31417.37</v>
      </c>
      <c r="F177" s="113">
        <v>-24.083200000000001</v>
      </c>
      <c r="G177" s="112" t="s">
        <v>279</v>
      </c>
      <c r="H177" s="114">
        <v>0</v>
      </c>
      <c r="I177" s="114">
        <v>0</v>
      </c>
      <c r="J177" s="115">
        <v>0</v>
      </c>
      <c r="K177" s="113">
        <v>0</v>
      </c>
      <c r="L177" t="str">
        <f>VLOOKUP(A177,'SAP Actual extraction'!$A$28:$A$1048576,1,0)</f>
        <v>credit    6666021902  Cleaning fees</v>
      </c>
      <c r="M177" t="str">
        <f>VLOOKUP(B177,'SAP Actual extraction'!B:B,1,0)</f>
        <v xml:space="preserve">    6666021902  Cleaning fees</v>
      </c>
    </row>
    <row r="178" spans="1:13" x14ac:dyDescent="0.3">
      <c r="A178" s="109" t="str">
        <f t="shared" si="4"/>
        <v>credit    6666022100  Security</v>
      </c>
      <c r="B178" s="112" t="s">
        <v>280</v>
      </c>
      <c r="C178" s="113">
        <v>-53329.33</v>
      </c>
      <c r="D178" s="113">
        <v>-96555.72</v>
      </c>
      <c r="E178" s="113">
        <v>43226.39</v>
      </c>
      <c r="F178" s="113">
        <v>-44.768300000000004</v>
      </c>
      <c r="G178" s="112" t="s">
        <v>280</v>
      </c>
      <c r="H178" s="114">
        <v>0</v>
      </c>
      <c r="I178" s="114">
        <v>0</v>
      </c>
      <c r="J178" s="115">
        <v>0</v>
      </c>
      <c r="K178" s="113">
        <v>0</v>
      </c>
      <c r="L178" t="str">
        <f>VLOOKUP(A178,'SAP Actual extraction'!$A$28:$A$1048576,1,0)</f>
        <v>credit    6666022100  Security</v>
      </c>
      <c r="M178" t="str">
        <f>VLOOKUP(B178,'SAP Actual extraction'!B:B,1,0)</f>
        <v xml:space="preserve">    6666022100  Security</v>
      </c>
    </row>
    <row r="179" spans="1:13" x14ac:dyDescent="0.3">
      <c r="A179" s="109" t="str">
        <f t="shared" si="4"/>
        <v>credit    6666022300  Association dues</v>
      </c>
      <c r="B179" s="112" t="s">
        <v>281</v>
      </c>
      <c r="C179" s="116">
        <v>0</v>
      </c>
      <c r="D179" s="116">
        <v>0</v>
      </c>
      <c r="E179" s="113">
        <v>0</v>
      </c>
      <c r="F179" s="113">
        <v>0</v>
      </c>
      <c r="G179" s="112" t="s">
        <v>281</v>
      </c>
      <c r="H179" s="114">
        <v>0</v>
      </c>
      <c r="I179" s="114">
        <v>0</v>
      </c>
      <c r="J179" s="115">
        <v>0</v>
      </c>
      <c r="K179" s="113">
        <v>0</v>
      </c>
      <c r="L179" t="str">
        <f>VLOOKUP(A179,'SAP Actual extraction'!$A$28:$A$1048576,1,0)</f>
        <v>credit    6666022300  Association dues</v>
      </c>
      <c r="M179" t="str">
        <f>VLOOKUP(B179,'SAP Actual extraction'!B:B,1,0)</f>
        <v xml:space="preserve">    6666022300  Association dues</v>
      </c>
    </row>
    <row r="180" spans="1:13" x14ac:dyDescent="0.3">
      <c r="A180" s="109" t="str">
        <f t="shared" si="4"/>
        <v>credit    6666029900  Sundry Expenses</v>
      </c>
      <c r="B180" s="112" t="s">
        <v>282</v>
      </c>
      <c r="C180" s="113">
        <v>-5068.26</v>
      </c>
      <c r="D180" s="116">
        <v>0</v>
      </c>
      <c r="E180" s="113">
        <v>-5068.26</v>
      </c>
      <c r="F180" s="113">
        <v>0</v>
      </c>
      <c r="G180" s="112" t="s">
        <v>282</v>
      </c>
      <c r="H180" s="114">
        <v>0</v>
      </c>
      <c r="I180" s="114">
        <v>0</v>
      </c>
      <c r="J180" s="115">
        <v>0</v>
      </c>
      <c r="K180" s="113">
        <v>0</v>
      </c>
      <c r="L180" t="str">
        <f>VLOOKUP(A180,'SAP Actual extraction'!$A$28:$A$1048576,1,0)</f>
        <v>credit    6666029900  Sundry Expenses</v>
      </c>
      <c r="M180" t="str">
        <f>VLOOKUP(B180,'SAP Actual extraction'!B:B,1,0)</f>
        <v xml:space="preserve">    6666029900  Sundry Expenses</v>
      </c>
    </row>
    <row r="181" spans="1:13" x14ac:dyDescent="0.3">
      <c r="A181" s="109" t="str">
        <f t="shared" si="4"/>
        <v>credit    6666029997  restructure cost</v>
      </c>
      <c r="B181" s="112" t="s">
        <v>283</v>
      </c>
      <c r="C181" s="116">
        <v>0</v>
      </c>
      <c r="D181" s="113">
        <v>-5338.08</v>
      </c>
      <c r="E181" s="113">
        <v>5338.08</v>
      </c>
      <c r="F181" s="113">
        <v>-100</v>
      </c>
      <c r="G181" s="112" t="s">
        <v>283</v>
      </c>
      <c r="H181" s="114">
        <v>0</v>
      </c>
      <c r="I181" s="114">
        <v>0</v>
      </c>
      <c r="J181" s="115">
        <v>0</v>
      </c>
      <c r="K181" s="113">
        <v>0</v>
      </c>
      <c r="L181" t="str">
        <f>VLOOKUP(A181,'SAP Actual extraction'!$A$28:$A$1048576,1,0)</f>
        <v>credit    6666029997  restructure cost</v>
      </c>
      <c r="M181" t="str">
        <f>VLOOKUP(B181,'SAP Actual extraction'!B:B,1,0)</f>
        <v xml:space="preserve">    6666029997  restructure cost</v>
      </c>
    </row>
    <row r="182" spans="1:13" x14ac:dyDescent="0.3">
      <c r="A182" s="109" t="str">
        <f t="shared" si="4"/>
        <v>credit    6666030300  Design and development fees</v>
      </c>
      <c r="B182" s="112" t="s">
        <v>284</v>
      </c>
      <c r="C182" s="116">
        <v>0</v>
      </c>
      <c r="D182" s="116">
        <v>0</v>
      </c>
      <c r="E182" s="113">
        <v>0</v>
      </c>
      <c r="F182" s="113">
        <v>0</v>
      </c>
      <c r="G182" s="112" t="s">
        <v>284</v>
      </c>
      <c r="H182" s="114">
        <v>0</v>
      </c>
      <c r="I182" s="114">
        <v>0</v>
      </c>
      <c r="J182" s="115">
        <v>0</v>
      </c>
      <c r="K182" s="113">
        <v>0</v>
      </c>
      <c r="L182" t="str">
        <f>VLOOKUP(A182,'SAP Actual extraction'!$A$28:$A$1048576,1,0)</f>
        <v>credit    6666030300  Design and development fees</v>
      </c>
      <c r="M182" t="str">
        <f>VLOOKUP(B182,'SAP Actual extraction'!B:B,1,0)</f>
        <v xml:space="preserve">    6666030300  Design and development fees</v>
      </c>
    </row>
    <row r="183" spans="1:13" x14ac:dyDescent="0.3">
      <c r="A183" s="109" t="str">
        <f t="shared" si="4"/>
        <v>credit    6666050107  Special distribution costs</v>
      </c>
      <c r="B183" s="112" t="s">
        <v>287</v>
      </c>
      <c r="C183" s="113">
        <v>-0.62</v>
      </c>
      <c r="D183" s="116">
        <v>0</v>
      </c>
      <c r="E183" s="113">
        <v>-0.62</v>
      </c>
      <c r="F183" s="113">
        <v>0</v>
      </c>
      <c r="G183" s="112" t="s">
        <v>287</v>
      </c>
      <c r="H183" s="114">
        <v>0</v>
      </c>
      <c r="I183" s="114">
        <v>0</v>
      </c>
      <c r="J183" s="115">
        <v>0</v>
      </c>
      <c r="K183" s="113">
        <v>0</v>
      </c>
      <c r="L183" t="str">
        <f>VLOOKUP(A183,'SAP Actual extraction'!$A$28:$A$1048576,1,0)</f>
        <v>credit    6666050107  Special distribution costs</v>
      </c>
      <c r="M183" t="str">
        <f>VLOOKUP(B183,'SAP Actual extraction'!B:B,1,0)</f>
        <v xml:space="preserve">    6666050107  Special distribution costs</v>
      </c>
    </row>
    <row r="184" spans="1:13" x14ac:dyDescent="0.3">
      <c r="A184" s="109" t="str">
        <f t="shared" si="4"/>
        <v>credit    6666050312  Inventory count different- Semifinished</v>
      </c>
      <c r="B184" s="112" t="s">
        <v>212</v>
      </c>
      <c r="C184" s="113">
        <v>-203597.4</v>
      </c>
      <c r="D184" s="116">
        <v>0</v>
      </c>
      <c r="E184" s="113">
        <v>-203597.4</v>
      </c>
      <c r="F184" s="113">
        <v>0</v>
      </c>
      <c r="G184" s="112" t="s">
        <v>212</v>
      </c>
      <c r="H184" s="114">
        <v>0</v>
      </c>
      <c r="I184" s="114">
        <v>0</v>
      </c>
      <c r="J184" s="115">
        <v>0</v>
      </c>
      <c r="K184" s="113">
        <v>0</v>
      </c>
      <c r="L184" t="str">
        <f>VLOOKUP(A184,'SAP Actual extraction'!$A$28:$A$1048576,1,0)</f>
        <v>credit    6666050312  Inventory count different- Semifinished</v>
      </c>
      <c r="M184" t="str">
        <f>VLOOKUP(B184,'SAP Actual extraction'!B:B,1,0)</f>
        <v xml:space="preserve">    6666050312  Inventory count different- Semifinished</v>
      </c>
    </row>
    <row r="185" spans="1:13" x14ac:dyDescent="0.3">
      <c r="A185" s="109" t="str">
        <f t="shared" si="4"/>
        <v>credit    6666070100  Software purchase, development and imple</v>
      </c>
      <c r="B185" s="112" t="s">
        <v>288</v>
      </c>
      <c r="C185" s="116">
        <v>0</v>
      </c>
      <c r="D185" s="116">
        <v>0</v>
      </c>
      <c r="E185" s="113">
        <v>0</v>
      </c>
      <c r="F185" s="113">
        <v>0</v>
      </c>
      <c r="G185" s="112" t="s">
        <v>288</v>
      </c>
      <c r="H185" s="114">
        <v>0</v>
      </c>
      <c r="I185" s="114">
        <v>0</v>
      </c>
      <c r="J185" s="115">
        <v>0</v>
      </c>
      <c r="K185" s="113">
        <v>0</v>
      </c>
      <c r="L185" t="str">
        <f>VLOOKUP(A185,'SAP Actual extraction'!$A$28:$A$1048576,1,0)</f>
        <v>credit    6666070100  Software purchase, development and imple</v>
      </c>
      <c r="M185" t="str">
        <f>VLOOKUP(B185,'SAP Actual extraction'!B:B,1,0)</f>
        <v xml:space="preserve">    6666070100  Software purchase, development and imple</v>
      </c>
    </row>
    <row r="186" spans="1:13" x14ac:dyDescent="0.3">
      <c r="A186" s="109" t="str">
        <f t="shared" si="4"/>
        <v>credit    6666070400  IT maint. &amp; repairs hardware</v>
      </c>
      <c r="B186" s="112" t="s">
        <v>290</v>
      </c>
      <c r="C186" s="113">
        <v>-72428.08</v>
      </c>
      <c r="D186" s="113">
        <v>-98636.4</v>
      </c>
      <c r="E186" s="113">
        <v>26208.32</v>
      </c>
      <c r="F186" s="113">
        <v>-26.570599999999999</v>
      </c>
      <c r="G186" s="112" t="s">
        <v>290</v>
      </c>
      <c r="H186" s="114">
        <v>0</v>
      </c>
      <c r="I186" s="114">
        <v>0</v>
      </c>
      <c r="J186" s="115">
        <v>0</v>
      </c>
      <c r="K186" s="113">
        <v>0</v>
      </c>
      <c r="L186" t="str">
        <f>VLOOKUP(A186,'SAP Actual extraction'!$A$28:$A$1048576,1,0)</f>
        <v>credit    6666070400  IT maint. &amp; repairs hardware</v>
      </c>
      <c r="M186" t="str">
        <f>VLOOKUP(B186,'SAP Actual extraction'!B:B,1,0)</f>
        <v xml:space="preserve">    6666070400  IT maint. &amp; repairs hardware</v>
      </c>
    </row>
    <row r="187" spans="1:13" x14ac:dyDescent="0.3">
      <c r="A187" s="109" t="str">
        <f t="shared" si="4"/>
        <v>credit    5401050201  COGS-Freight out-Special and sporadic fr</v>
      </c>
      <c r="B187" s="112" t="s">
        <v>292</v>
      </c>
      <c r="C187" s="113">
        <v>-91</v>
      </c>
      <c r="D187" s="116">
        <v>0</v>
      </c>
      <c r="E187" s="113">
        <v>-91</v>
      </c>
      <c r="F187" s="113">
        <v>0</v>
      </c>
      <c r="G187" s="112" t="s">
        <v>292</v>
      </c>
      <c r="H187" s="114">
        <v>0</v>
      </c>
      <c r="I187" s="114">
        <v>0</v>
      </c>
      <c r="J187" s="115">
        <v>0</v>
      </c>
      <c r="K187" s="113">
        <v>0</v>
      </c>
      <c r="L187" t="e">
        <f>VLOOKUP(A187,'SAP Actual extraction'!$A$28:$A$1048576,1,0)</f>
        <v>#N/A</v>
      </c>
      <c r="M187" t="str">
        <f>VLOOKUP(B187,'SAP Actual extraction'!B:B,1,0)</f>
        <v xml:space="preserve">    5401050201  COGS-Freight out-Special and sporadic fr</v>
      </c>
    </row>
    <row r="188" spans="1:13" x14ac:dyDescent="0.3">
      <c r="A188" s="109" t="str">
        <f t="shared" si="4"/>
        <v>credit*   CS_Fix Cost</v>
      </c>
      <c r="B188" s="117" t="s">
        <v>211</v>
      </c>
      <c r="C188" s="118">
        <v>-768514.42</v>
      </c>
      <c r="D188" s="118">
        <v>-925897.68</v>
      </c>
      <c r="E188" s="118">
        <v>157383.26</v>
      </c>
      <c r="F188" s="118">
        <v>-16.997900000000001</v>
      </c>
      <c r="G188" s="117" t="s">
        <v>211</v>
      </c>
      <c r="H188" s="119">
        <v>0</v>
      </c>
      <c r="I188" s="119">
        <v>0</v>
      </c>
      <c r="J188" s="120">
        <v>0</v>
      </c>
      <c r="K188" s="118">
        <v>0</v>
      </c>
      <c r="L188" t="str">
        <f>VLOOKUP(A188,'SAP Actual extraction'!$A$28:$A$1048576,1,0)</f>
        <v>credit*   CS_Fix Cost</v>
      </c>
      <c r="M188" t="str">
        <f>VLOOKUP(B188,'SAP Actual extraction'!B:B,1,0)</f>
        <v>*   CS_Fix Cost</v>
      </c>
    </row>
    <row r="189" spans="1:13" x14ac:dyDescent="0.3">
      <c r="A189" s="109" t="str">
        <f t="shared" si="4"/>
        <v>credit    6666110203  Low value consumables</v>
      </c>
      <c r="B189" s="112" t="s">
        <v>293</v>
      </c>
      <c r="C189" s="113">
        <v>-21973.59</v>
      </c>
      <c r="D189" s="116">
        <v>0</v>
      </c>
      <c r="E189" s="113">
        <v>-21973.59</v>
      </c>
      <c r="F189" s="113">
        <v>0</v>
      </c>
      <c r="G189" s="112" t="s">
        <v>293</v>
      </c>
      <c r="H189" s="114">
        <v>0</v>
      </c>
      <c r="I189" s="114">
        <v>0</v>
      </c>
      <c r="J189" s="115">
        <v>0</v>
      </c>
      <c r="K189" s="113">
        <v>0</v>
      </c>
      <c r="L189" t="str">
        <f>VLOOKUP(A189,'SAP Actual extraction'!$A$28:$A$1048576,1,0)</f>
        <v>credit    6666110203  Low value consumables</v>
      </c>
      <c r="M189" t="str">
        <f>VLOOKUP(B189,'SAP Actual extraction'!B:B,1,0)</f>
        <v xml:space="preserve">    6666110203  Low value consumables</v>
      </c>
    </row>
    <row r="190" spans="1:13" x14ac:dyDescent="0.3">
      <c r="A190" s="109" t="str">
        <f t="shared" si="4"/>
        <v>credit    5102040000  Other Revenue - Other</v>
      </c>
      <c r="B190" s="112" t="s">
        <v>294</v>
      </c>
      <c r="C190" s="116">
        <v>0</v>
      </c>
      <c r="D190" s="116">
        <v>0</v>
      </c>
      <c r="E190" s="113">
        <v>0</v>
      </c>
      <c r="F190" s="113">
        <v>0</v>
      </c>
      <c r="G190" s="112" t="s">
        <v>294</v>
      </c>
      <c r="H190" s="114">
        <v>0</v>
      </c>
      <c r="I190" s="114">
        <v>0</v>
      </c>
      <c r="J190" s="115">
        <v>0</v>
      </c>
      <c r="K190" s="113">
        <v>0</v>
      </c>
      <c r="L190" t="str">
        <f>VLOOKUP(A190,'SAP Actual extraction'!$A$28:$A$1048576,1,0)</f>
        <v>credit    5102040000  Other Revenue - Other</v>
      </c>
      <c r="M190" t="str">
        <f>VLOOKUP(B190,'SAP Actual extraction'!B:B,1,0)</f>
        <v xml:space="preserve">    5102040000  Other Revenue - Other</v>
      </c>
    </row>
    <row r="191" spans="1:13" x14ac:dyDescent="0.3">
      <c r="A191" s="109" t="str">
        <f t="shared" si="4"/>
        <v>credit    6666050307  Inventory count different-raw material</v>
      </c>
      <c r="B191" s="112" t="s">
        <v>295</v>
      </c>
      <c r="C191" s="113">
        <v>539600.25</v>
      </c>
      <c r="D191" s="116">
        <v>0</v>
      </c>
      <c r="E191" s="113">
        <v>539600.25</v>
      </c>
      <c r="F191" s="113">
        <v>0</v>
      </c>
      <c r="G191" s="112" t="s">
        <v>295</v>
      </c>
      <c r="H191" s="114">
        <v>0</v>
      </c>
      <c r="I191" s="114">
        <v>0</v>
      </c>
      <c r="J191" s="115">
        <v>0</v>
      </c>
      <c r="K191" s="113">
        <v>0</v>
      </c>
      <c r="L191" t="str">
        <f>VLOOKUP(A191,'SAP Actual extraction'!$A$28:$A$1048576,1,0)</f>
        <v>credit    6666050307  Inventory count different-raw material</v>
      </c>
      <c r="M191" t="str">
        <f>VLOOKUP(B191,'SAP Actual extraction'!B:B,1,0)</f>
        <v xml:space="preserve">    6666050307  Inventory count different-raw material</v>
      </c>
    </row>
    <row r="192" spans="1:13" x14ac:dyDescent="0.3">
      <c r="A192" s="109" t="str">
        <f t="shared" si="4"/>
        <v>credit*   CS_Variable Cost</v>
      </c>
      <c r="B192" s="117" t="s">
        <v>213</v>
      </c>
      <c r="C192" s="118">
        <v>517626.66</v>
      </c>
      <c r="D192" s="125">
        <v>0</v>
      </c>
      <c r="E192" s="118">
        <v>517626.66</v>
      </c>
      <c r="F192" s="118">
        <v>0</v>
      </c>
      <c r="G192" s="117" t="s">
        <v>213</v>
      </c>
      <c r="H192" s="119">
        <v>0</v>
      </c>
      <c r="I192" s="119">
        <v>0</v>
      </c>
      <c r="J192" s="120">
        <v>0</v>
      </c>
      <c r="K192" s="118">
        <v>0</v>
      </c>
      <c r="L192" t="str">
        <f>VLOOKUP(A192,'SAP Actual extraction'!$A$28:$A$1048576,1,0)</f>
        <v>credit*   CS_Variable Cost</v>
      </c>
      <c r="M192" t="str">
        <f>VLOOKUP(B192,'SAP Actual extraction'!B:B,1,0)</f>
        <v>*   CS_Variable Cost</v>
      </c>
    </row>
    <row r="193" spans="1:13" x14ac:dyDescent="0.3">
      <c r="A193" s="109" t="str">
        <f t="shared" si="4"/>
        <v>credit    6666100203  Provision for inventory devaluation - RM</v>
      </c>
      <c r="B193" s="112" t="s">
        <v>296</v>
      </c>
      <c r="C193" s="113">
        <v>-264585.31</v>
      </c>
      <c r="D193" s="113">
        <v>-300000</v>
      </c>
      <c r="E193" s="113">
        <v>35414.69</v>
      </c>
      <c r="F193" s="113">
        <v>-11.8049</v>
      </c>
      <c r="G193" s="112" t="s">
        <v>296</v>
      </c>
      <c r="H193" s="114">
        <v>0</v>
      </c>
      <c r="I193" s="114">
        <v>0</v>
      </c>
      <c r="J193" s="115">
        <v>0</v>
      </c>
      <c r="K193" s="113">
        <v>0</v>
      </c>
      <c r="L193" t="str">
        <f>VLOOKUP(A193,'SAP Actual extraction'!$A$28:$A$1048576,1,0)</f>
        <v>credit    6666100203  Provision for inventory devaluation - RM</v>
      </c>
      <c r="M193" t="str">
        <f>VLOOKUP(B193,'SAP Actual extraction'!B:B,1,0)</f>
        <v xml:space="preserve">    6666100203  Provision for inventory devaluation - RM</v>
      </c>
    </row>
    <row r="194" spans="1:13" x14ac:dyDescent="0.3">
      <c r="A194" s="109" t="str">
        <f t="shared" si="4"/>
        <v>credit*   CS_Obsolescence</v>
      </c>
      <c r="B194" s="117" t="s">
        <v>214</v>
      </c>
      <c r="C194" s="118">
        <v>-264585.31</v>
      </c>
      <c r="D194" s="118">
        <v>-300000</v>
      </c>
      <c r="E194" s="118">
        <v>35414.69</v>
      </c>
      <c r="F194" s="118">
        <v>-11.8049</v>
      </c>
      <c r="G194" s="117" t="s">
        <v>214</v>
      </c>
      <c r="H194" s="119">
        <v>0</v>
      </c>
      <c r="I194" s="119">
        <v>0</v>
      </c>
      <c r="J194" s="120">
        <v>0</v>
      </c>
      <c r="K194" s="118">
        <v>0</v>
      </c>
      <c r="L194" t="str">
        <f>VLOOKUP(A194,'SAP Actual extraction'!$A$28:$A$1048576,1,0)</f>
        <v>credit*   CS_Obsolescence</v>
      </c>
      <c r="M194" t="str">
        <f>VLOOKUP(B194,'SAP Actual extraction'!B:B,1,0)</f>
        <v>*   CS_Obsolescence</v>
      </c>
    </row>
    <row r="195" spans="1:13" x14ac:dyDescent="0.3">
      <c r="A195" s="109" t="str">
        <f t="shared" si="4"/>
        <v>credit    5301070000  Non-operation revenue-sales of scrapped</v>
      </c>
      <c r="B195" s="112" t="s">
        <v>297</v>
      </c>
      <c r="C195" s="113">
        <v>1094435.07</v>
      </c>
      <c r="D195" s="113">
        <v>941253.81</v>
      </c>
      <c r="E195" s="113">
        <v>153181.26</v>
      </c>
      <c r="F195" s="113">
        <v>16.2742</v>
      </c>
      <c r="G195" s="112" t="s">
        <v>297</v>
      </c>
      <c r="H195" s="114">
        <v>0</v>
      </c>
      <c r="I195" s="114">
        <v>0</v>
      </c>
      <c r="J195" s="115">
        <v>0</v>
      </c>
      <c r="K195" s="113">
        <v>0</v>
      </c>
      <c r="L195" t="str">
        <f>VLOOKUP(A195,'SAP Actual extraction'!$A$28:$A$1048576,1,0)</f>
        <v>credit    5301070000  Non-operation revenue-sales of scrapped</v>
      </c>
      <c r="M195" t="str">
        <f>VLOOKUP(B195,'SAP Actual extraction'!B:B,1,0)</f>
        <v xml:space="preserve">    5301070000  Non-operation revenue-sales of scrapped</v>
      </c>
    </row>
    <row r="196" spans="1:13" x14ac:dyDescent="0.3">
      <c r="A196" s="109" t="str">
        <f t="shared" si="4"/>
        <v>credit*   CS_Reselling</v>
      </c>
      <c r="B196" s="117" t="s">
        <v>215</v>
      </c>
      <c r="C196" s="118">
        <v>1094435.07</v>
      </c>
      <c r="D196" s="118">
        <v>941253.81</v>
      </c>
      <c r="E196" s="118">
        <v>153181.26</v>
      </c>
      <c r="F196" s="118">
        <v>16.2742</v>
      </c>
      <c r="G196" s="117" t="s">
        <v>215</v>
      </c>
      <c r="H196" s="119">
        <v>0</v>
      </c>
      <c r="I196" s="119">
        <v>0</v>
      </c>
      <c r="J196" s="120">
        <v>0</v>
      </c>
      <c r="K196" s="118">
        <v>0</v>
      </c>
      <c r="L196" t="str">
        <f>VLOOKUP(A196,'SAP Actual extraction'!$A$28:$A$1048576,1,0)</f>
        <v>credit*   CS_Reselling</v>
      </c>
      <c r="M196" t="str">
        <f>VLOOKUP(B196,'SAP Actual extraction'!B:B,1,0)</f>
        <v>*   CS_Reselling</v>
      </c>
    </row>
    <row r="197" spans="1:13" x14ac:dyDescent="0.3">
      <c r="A197" s="109" t="str">
        <f t="shared" si="4"/>
        <v>credit    6666021602  Electricity</v>
      </c>
      <c r="B197" s="112" t="s">
        <v>298</v>
      </c>
      <c r="C197" s="113">
        <v>-8136.45</v>
      </c>
      <c r="D197" s="113">
        <v>-90148.38</v>
      </c>
      <c r="E197" s="113">
        <v>82011.929999999993</v>
      </c>
      <c r="F197" s="113">
        <v>-90.974400000000003</v>
      </c>
      <c r="G197" s="112" t="s">
        <v>298</v>
      </c>
      <c r="H197" s="114">
        <v>0</v>
      </c>
      <c r="I197" s="114">
        <v>0</v>
      </c>
      <c r="J197" s="115">
        <v>0</v>
      </c>
      <c r="K197" s="113">
        <v>0</v>
      </c>
      <c r="L197" t="str">
        <f>VLOOKUP(A197,'SAP Actual extraction'!$A$28:$A$1048576,1,0)</f>
        <v>credit    6666021602  Electricity</v>
      </c>
      <c r="M197" t="str">
        <f>VLOOKUP(B197,'SAP Actual extraction'!B:B,1,0)</f>
        <v xml:space="preserve">    6666021602  Electricity</v>
      </c>
    </row>
    <row r="198" spans="1:13" x14ac:dyDescent="0.3">
      <c r="A198" s="109" t="str">
        <f t="shared" si="4"/>
        <v>credit*   CS_Fix Utilities</v>
      </c>
      <c r="B198" s="117" t="s">
        <v>216</v>
      </c>
      <c r="C198" s="118">
        <v>-8136.45</v>
      </c>
      <c r="D198" s="118">
        <v>-90148.38</v>
      </c>
      <c r="E198" s="118">
        <v>82011.929999999993</v>
      </c>
      <c r="F198" s="118">
        <v>-90.974400000000003</v>
      </c>
      <c r="G198" s="117" t="s">
        <v>216</v>
      </c>
      <c r="H198" s="119">
        <v>0</v>
      </c>
      <c r="I198" s="119">
        <v>0</v>
      </c>
      <c r="J198" s="120">
        <v>0</v>
      </c>
      <c r="K198" s="118">
        <v>0</v>
      </c>
      <c r="L198" t="str">
        <f>VLOOKUP(A198,'SAP Actual extraction'!$A$28:$A$1048576,1,0)</f>
        <v>credit*   CS_Fix Utilities</v>
      </c>
      <c r="M198" t="str">
        <f>VLOOKUP(B198,'SAP Actual extraction'!B:B,1,0)</f>
        <v>*   CS_Fix Utilities</v>
      </c>
    </row>
    <row r="199" spans="1:13" x14ac:dyDescent="0.3">
      <c r="A199" s="109" t="str">
        <f t="shared" si="4"/>
        <v>credit    6666021603  Water</v>
      </c>
      <c r="B199" s="112" t="s">
        <v>300</v>
      </c>
      <c r="C199" s="113">
        <v>-10050.64</v>
      </c>
      <c r="D199" s="116">
        <v>0</v>
      </c>
      <c r="E199" s="113">
        <v>-10050.64</v>
      </c>
      <c r="F199" s="113">
        <v>0</v>
      </c>
      <c r="G199" s="112" t="s">
        <v>300</v>
      </c>
      <c r="H199" s="114">
        <v>0</v>
      </c>
      <c r="I199" s="114">
        <v>0</v>
      </c>
      <c r="J199" s="115">
        <v>0</v>
      </c>
      <c r="K199" s="113">
        <v>0</v>
      </c>
      <c r="L199" t="str">
        <f>VLOOKUP(A199,'SAP Actual extraction'!$A$28:$A$1048576,1,0)</f>
        <v>credit    6666021603  Water</v>
      </c>
      <c r="M199" t="str">
        <f>VLOOKUP(B199,'SAP Actual extraction'!B:B,1,0)</f>
        <v xml:space="preserve">    6666021603  Water</v>
      </c>
    </row>
    <row r="200" spans="1:13" x14ac:dyDescent="0.3">
      <c r="A200" s="109" t="str">
        <f t="shared" si="4"/>
        <v>credit    6666021604  Oil &amp; Gas</v>
      </c>
      <c r="B200" s="112" t="s">
        <v>301</v>
      </c>
      <c r="C200" s="113">
        <v>-42371.31</v>
      </c>
      <c r="D200" s="116">
        <v>0</v>
      </c>
      <c r="E200" s="113">
        <v>-42371.31</v>
      </c>
      <c r="F200" s="113">
        <v>0</v>
      </c>
      <c r="G200" s="112" t="s">
        <v>301</v>
      </c>
      <c r="H200" s="114">
        <v>0</v>
      </c>
      <c r="I200" s="114">
        <v>0</v>
      </c>
      <c r="J200" s="115">
        <v>0</v>
      </c>
      <c r="K200" s="113">
        <v>0</v>
      </c>
      <c r="L200" t="str">
        <f>VLOOKUP(A200,'SAP Actual extraction'!$A$28:$A$1048576,1,0)</f>
        <v>credit    6666021604  Oil &amp; Gas</v>
      </c>
      <c r="M200" t="str">
        <f>VLOOKUP(B200,'SAP Actual extraction'!B:B,1,0)</f>
        <v xml:space="preserve">    6666021604  Oil &amp; Gas</v>
      </c>
    </row>
    <row r="201" spans="1:13" x14ac:dyDescent="0.3">
      <c r="A201" s="109" t="str">
        <f t="shared" si="4"/>
        <v>credit*   CS_Variable Utilities</v>
      </c>
      <c r="B201" s="117" t="s">
        <v>217</v>
      </c>
      <c r="C201" s="118">
        <v>-52421.95</v>
      </c>
      <c r="D201" s="125">
        <v>0</v>
      </c>
      <c r="E201" s="118">
        <v>-52421.95</v>
      </c>
      <c r="F201" s="118">
        <v>0</v>
      </c>
      <c r="G201" s="117" t="s">
        <v>217</v>
      </c>
      <c r="H201" s="119">
        <v>0</v>
      </c>
      <c r="I201" s="119">
        <v>0</v>
      </c>
      <c r="J201" s="120">
        <v>0</v>
      </c>
      <c r="K201" s="118">
        <v>0</v>
      </c>
      <c r="L201" t="str">
        <f>VLOOKUP(A201,'SAP Actual extraction'!$A$28:$A$1048576,1,0)</f>
        <v>credit*   CS_Variable Utilities</v>
      </c>
      <c r="M201" t="str">
        <f>VLOOKUP(B201,'SAP Actual extraction'!B:B,1,0)</f>
        <v>*   CS_Variable Utilities</v>
      </c>
    </row>
    <row r="202" spans="1:13" x14ac:dyDescent="0.3">
      <c r="A202" s="109" t="str">
        <f t="shared" si="4"/>
        <v>credit    5001010206  Unemployment Insurance -blue collar-Indi</v>
      </c>
      <c r="B202" s="112" t="s">
        <v>302</v>
      </c>
      <c r="C202" s="113">
        <v>-27818.1</v>
      </c>
      <c r="D202" s="116">
        <v>0</v>
      </c>
      <c r="E202" s="113">
        <v>-27818.1</v>
      </c>
      <c r="F202" s="113">
        <v>0</v>
      </c>
      <c r="G202" s="112" t="s">
        <v>302</v>
      </c>
      <c r="H202" s="114">
        <v>0</v>
      </c>
      <c r="I202" s="114">
        <v>0</v>
      </c>
      <c r="J202" s="115">
        <v>0</v>
      </c>
      <c r="K202" s="113">
        <v>0</v>
      </c>
      <c r="L202" t="str">
        <f>VLOOKUP(A202,'SAP Actual extraction'!$A$28:$A$1048576,1,0)</f>
        <v>credit    5001010206  Unemployment Insurance -blue collar-Indi</v>
      </c>
      <c r="M202" t="str">
        <f>VLOOKUP(B202,'SAP Actual extraction'!B:B,1,0)</f>
        <v xml:space="preserve">    5001010206  Unemployment Insurance -blue collar-Indi</v>
      </c>
    </row>
    <row r="203" spans="1:13" x14ac:dyDescent="0.3">
      <c r="A203" s="109" t="str">
        <f t="shared" ref="A203:A234" si="5">"credit"&amp;B203</f>
        <v>credit    6666010184  Salary&amp;Additional Incentive-Blue Collar-</v>
      </c>
      <c r="B203" s="112" t="s">
        <v>303</v>
      </c>
      <c r="C203" s="113">
        <v>1903.3</v>
      </c>
      <c r="D203" s="116">
        <v>0</v>
      </c>
      <c r="E203" s="113">
        <v>1903.3</v>
      </c>
      <c r="F203" s="113">
        <v>0</v>
      </c>
      <c r="G203" s="112" t="s">
        <v>303</v>
      </c>
      <c r="H203" s="114">
        <v>0</v>
      </c>
      <c r="I203" s="114">
        <v>0</v>
      </c>
      <c r="J203" s="115">
        <v>0</v>
      </c>
      <c r="K203" s="113">
        <v>0</v>
      </c>
      <c r="L203" t="str">
        <f>VLOOKUP(A203,'SAP Actual extraction'!$A$28:$A$1048576,1,0)</f>
        <v>credit    6666010184  Salary&amp;Additional Incentive-Blue Collar-</v>
      </c>
      <c r="M203" t="str">
        <f>VLOOKUP(B203,'SAP Actual extraction'!B:B,1,0)</f>
        <v xml:space="preserve">    6666010184  Salary&amp;Additional Incentive-Blue Collar-</v>
      </c>
    </row>
    <row r="204" spans="1:13" x14ac:dyDescent="0.3">
      <c r="A204" s="109" t="str">
        <f t="shared" si="5"/>
        <v>credit    6666010186  Overtime-Blue Collar-Indirect</v>
      </c>
      <c r="B204" s="112" t="s">
        <v>304</v>
      </c>
      <c r="C204" s="113">
        <v>-86451.11</v>
      </c>
      <c r="D204" s="116">
        <v>0</v>
      </c>
      <c r="E204" s="113">
        <v>-86451.11</v>
      </c>
      <c r="F204" s="113">
        <v>0</v>
      </c>
      <c r="G204" s="112" t="s">
        <v>304</v>
      </c>
      <c r="H204" s="114">
        <v>0</v>
      </c>
      <c r="I204" s="114">
        <v>0</v>
      </c>
      <c r="J204" s="115">
        <v>0</v>
      </c>
      <c r="K204" s="113">
        <v>0</v>
      </c>
      <c r="L204" t="str">
        <f>VLOOKUP(A204,'SAP Actual extraction'!$A$28:$A$1048576,1,0)</f>
        <v>credit    6666010186  Overtime-Blue Collar-Indirect</v>
      </c>
      <c r="M204" t="str">
        <f>VLOOKUP(B204,'SAP Actual extraction'!B:B,1,0)</f>
        <v xml:space="preserve">    6666010186  Overtime-Blue Collar-Indirect</v>
      </c>
    </row>
    <row r="205" spans="1:13" x14ac:dyDescent="0.3">
      <c r="A205" s="109" t="str">
        <f t="shared" si="5"/>
        <v>credit    6666010189  Salary - Blue collar indirect employees</v>
      </c>
      <c r="B205" s="112" t="s">
        <v>305</v>
      </c>
      <c r="C205" s="113">
        <v>2900.72</v>
      </c>
      <c r="D205" s="113">
        <v>-2008804.17</v>
      </c>
      <c r="E205" s="113">
        <v>2011704.89</v>
      </c>
      <c r="F205" s="113">
        <v>-100.1444</v>
      </c>
      <c r="G205" s="112" t="s">
        <v>305</v>
      </c>
      <c r="H205" s="114">
        <v>0</v>
      </c>
      <c r="I205" s="114">
        <v>0</v>
      </c>
      <c r="J205" s="115">
        <v>0</v>
      </c>
      <c r="K205" s="113">
        <v>0</v>
      </c>
      <c r="L205" t="str">
        <f>VLOOKUP(A205,'SAP Actual extraction'!$A$28:$A$1048576,1,0)</f>
        <v>credit    6666010189  Salary - Blue collar indirect employees</v>
      </c>
      <c r="M205" t="str">
        <f>VLOOKUP(B205,'SAP Actual extraction'!B:B,1,0)</f>
        <v xml:space="preserve">    6666010189  Salary - Blue collar indirect employees</v>
      </c>
    </row>
    <row r="206" spans="1:13" x14ac:dyDescent="0.3">
      <c r="A206" s="109" t="str">
        <f t="shared" si="5"/>
        <v>credit    6666010012  Payroll Taxes- Blue Collar Indirect</v>
      </c>
      <c r="B206" s="112" t="s">
        <v>306</v>
      </c>
      <c r="C206" s="113">
        <v>-227713.33</v>
      </c>
      <c r="D206" s="116">
        <v>0</v>
      </c>
      <c r="E206" s="113">
        <v>-227713.33</v>
      </c>
      <c r="F206" s="113">
        <v>0</v>
      </c>
      <c r="G206" s="112" t="s">
        <v>306</v>
      </c>
      <c r="H206" s="114">
        <v>0</v>
      </c>
      <c r="I206" s="114">
        <v>0</v>
      </c>
      <c r="J206" s="115">
        <v>0</v>
      </c>
      <c r="K206" s="113">
        <v>0</v>
      </c>
      <c r="L206" t="str">
        <f>VLOOKUP(A206,'SAP Actual extraction'!$A$28:$A$1048576,1,0)</f>
        <v>credit    6666010012  Payroll Taxes- Blue Collar Indirect</v>
      </c>
      <c r="M206" t="str">
        <f>VLOOKUP(B206,'SAP Actual extraction'!B:B,1,0)</f>
        <v xml:space="preserve">    6666010012  Payroll Taxes- Blue Collar Indirect</v>
      </c>
    </row>
    <row r="207" spans="1:13" x14ac:dyDescent="0.3">
      <c r="A207" s="109" t="str">
        <f t="shared" si="5"/>
        <v>credit    6666010226  Staff Leaving Indemnity - Blue Collar In</v>
      </c>
      <c r="B207" s="112" t="s">
        <v>307</v>
      </c>
      <c r="C207" s="113">
        <v>-49860.1</v>
      </c>
      <c r="D207" s="116">
        <v>0</v>
      </c>
      <c r="E207" s="113">
        <v>-49860.1</v>
      </c>
      <c r="F207" s="113">
        <v>0</v>
      </c>
      <c r="G207" s="112" t="s">
        <v>307</v>
      </c>
      <c r="H207" s="114">
        <v>0</v>
      </c>
      <c r="I207" s="114">
        <v>0</v>
      </c>
      <c r="J207" s="115">
        <v>0</v>
      </c>
      <c r="K207" s="113">
        <v>0</v>
      </c>
      <c r="L207" t="str">
        <f>VLOOKUP(A207,'SAP Actual extraction'!$A$28:$A$1048576,1,0)</f>
        <v>credit    6666010226  Staff Leaving Indemnity - Blue Collar In</v>
      </c>
      <c r="M207" t="str">
        <f>VLOOKUP(B207,'SAP Actual extraction'!B:B,1,0)</f>
        <v xml:space="preserve">    6666010226  Staff Leaving Indemnity - Blue Collar In</v>
      </c>
    </row>
    <row r="208" spans="1:13" x14ac:dyDescent="0.3">
      <c r="A208" s="109" t="str">
        <f t="shared" si="5"/>
        <v>credit    6666010102  Salary-Blue collar indirect employees- A</v>
      </c>
      <c r="B208" s="112" t="s">
        <v>308</v>
      </c>
      <c r="C208" s="113">
        <v>-1361849.33</v>
      </c>
      <c r="D208" s="116">
        <v>0</v>
      </c>
      <c r="E208" s="113">
        <v>-1361849.33</v>
      </c>
      <c r="F208" s="113">
        <v>0</v>
      </c>
      <c r="G208" s="112" t="s">
        <v>308</v>
      </c>
      <c r="H208" s="114">
        <v>0</v>
      </c>
      <c r="I208" s="114">
        <v>0</v>
      </c>
      <c r="J208" s="115">
        <v>0</v>
      </c>
      <c r="K208" s="113">
        <v>0</v>
      </c>
      <c r="L208" t="str">
        <f>VLOOKUP(A208,'SAP Actual extraction'!$A$28:$A$1048576,1,0)</f>
        <v>credit    6666010102  Salary-Blue collar indirect employees- A</v>
      </c>
      <c r="M208" t="str">
        <f>VLOOKUP(B208,'SAP Actual extraction'!B:B,1,0)</f>
        <v xml:space="preserve">    6666010102  Salary-Blue collar indirect employees- A</v>
      </c>
    </row>
    <row r="209" spans="1:13" x14ac:dyDescent="0.3">
      <c r="A209" s="109" t="str">
        <f t="shared" si="5"/>
        <v>credit*   CS_Indirect Labour</v>
      </c>
      <c r="B209" s="117" t="s">
        <v>218</v>
      </c>
      <c r="C209" s="118">
        <v>-1748887.95</v>
      </c>
      <c r="D209" s="118">
        <v>-2008804.17</v>
      </c>
      <c r="E209" s="118">
        <v>259916.22</v>
      </c>
      <c r="F209" s="118">
        <v>-12.9389</v>
      </c>
      <c r="G209" s="117" t="s">
        <v>218</v>
      </c>
      <c r="H209" s="119">
        <v>0</v>
      </c>
      <c r="I209" s="119">
        <v>0</v>
      </c>
      <c r="J209" s="120">
        <v>0</v>
      </c>
      <c r="K209" s="118">
        <v>0</v>
      </c>
      <c r="L209" t="str">
        <f>VLOOKUP(A209,'SAP Actual extraction'!$A$28:$A$1048576,1,0)</f>
        <v>credit*   CS_Indirect Labour</v>
      </c>
      <c r="M209" t="str">
        <f>VLOOKUP(B209,'SAP Actual extraction'!B:B,1,0)</f>
        <v>*   CS_Indirect Labour</v>
      </c>
    </row>
    <row r="210" spans="1:13" x14ac:dyDescent="0.3">
      <c r="A210" s="109" t="str">
        <f t="shared" si="5"/>
        <v>credit    6666010196  Payroll Taxes-White Collar Employee</v>
      </c>
      <c r="B210" s="112" t="s">
        <v>309</v>
      </c>
      <c r="C210" s="113">
        <v>-145354.54</v>
      </c>
      <c r="D210" s="116">
        <v>0</v>
      </c>
      <c r="E210" s="113">
        <v>-145354.54</v>
      </c>
      <c r="F210" s="113">
        <v>0</v>
      </c>
      <c r="G210" s="112" t="s">
        <v>309</v>
      </c>
      <c r="H210" s="114">
        <v>0</v>
      </c>
      <c r="I210" s="114">
        <v>0</v>
      </c>
      <c r="J210" s="115">
        <v>0</v>
      </c>
      <c r="K210" s="113">
        <v>0</v>
      </c>
      <c r="L210" t="str">
        <f>VLOOKUP(A210,'SAP Actual extraction'!$A$28:$A$1048576,1,0)</f>
        <v>credit    6666010196  Payroll Taxes-White Collar Employee</v>
      </c>
      <c r="M210" t="str">
        <f>VLOOKUP(B210,'SAP Actual extraction'!B:B,1,0)</f>
        <v xml:space="preserve">    6666010196  Payroll Taxes-White Collar Employee</v>
      </c>
    </row>
    <row r="211" spans="1:13" x14ac:dyDescent="0.3">
      <c r="A211" s="109" t="str">
        <f t="shared" si="5"/>
        <v>credit    6666010101  Salary - White collar employees</v>
      </c>
      <c r="B211" s="112" t="s">
        <v>310</v>
      </c>
      <c r="C211" s="113">
        <v>-946261.85</v>
      </c>
      <c r="D211" s="113">
        <v>-300519.55</v>
      </c>
      <c r="E211" s="113">
        <v>-645742.30000000005</v>
      </c>
      <c r="F211" s="113">
        <v>214.87530000000001</v>
      </c>
      <c r="G211" s="112" t="s">
        <v>310</v>
      </c>
      <c r="H211" s="114">
        <v>0</v>
      </c>
      <c r="I211" s="114">
        <v>0</v>
      </c>
      <c r="J211" s="115">
        <v>0</v>
      </c>
      <c r="K211" s="113">
        <v>0</v>
      </c>
      <c r="L211" t="str">
        <f>VLOOKUP(A211,'SAP Actual extraction'!$A$28:$A$1048576,1,0)</f>
        <v>credit    6666010101  Salary - White collar employees</v>
      </c>
      <c r="M211" t="str">
        <f>VLOOKUP(B211,'SAP Actual extraction'!B:B,1,0)</f>
        <v xml:space="preserve">    6666010101  Salary - White collar employees</v>
      </c>
    </row>
    <row r="212" spans="1:13" x14ac:dyDescent="0.3">
      <c r="A212" s="109" t="str">
        <f t="shared" si="5"/>
        <v>credit    6666010199  Salary-White collar employees -Accrued</v>
      </c>
      <c r="B212" s="112" t="s">
        <v>311</v>
      </c>
      <c r="C212" s="113">
        <v>-3230.47</v>
      </c>
      <c r="D212" s="116">
        <v>0</v>
      </c>
      <c r="E212" s="113">
        <v>-3230.47</v>
      </c>
      <c r="F212" s="113">
        <v>0</v>
      </c>
      <c r="G212" s="112" t="s">
        <v>311</v>
      </c>
      <c r="H212" s="114">
        <v>0</v>
      </c>
      <c r="I212" s="114">
        <v>0</v>
      </c>
      <c r="J212" s="115">
        <v>0</v>
      </c>
      <c r="K212" s="113">
        <v>0</v>
      </c>
      <c r="L212" t="str">
        <f>VLOOKUP(A212,'SAP Actual extraction'!$A$28:$A$1048576,1,0)</f>
        <v>credit    6666010199  Salary-White collar employees -Accrued</v>
      </c>
      <c r="M212" t="str">
        <f>VLOOKUP(B212,'SAP Actual extraction'!B:B,1,0)</f>
        <v xml:space="preserve">    6666010199  Salary-White collar employees -Accrued</v>
      </c>
    </row>
    <row r="213" spans="1:13" x14ac:dyDescent="0.3">
      <c r="A213" s="109" t="str">
        <f t="shared" si="5"/>
        <v>credit    6666010185  Salary&amp;Additional Incentive-White Collar</v>
      </c>
      <c r="B213" s="112" t="s">
        <v>312</v>
      </c>
      <c r="C213" s="113">
        <v>7811.03</v>
      </c>
      <c r="D213" s="116">
        <v>0</v>
      </c>
      <c r="E213" s="113">
        <v>7811.03</v>
      </c>
      <c r="F213" s="113">
        <v>0</v>
      </c>
      <c r="G213" s="112" t="s">
        <v>312</v>
      </c>
      <c r="H213" s="114">
        <v>0</v>
      </c>
      <c r="I213" s="114">
        <v>0</v>
      </c>
      <c r="J213" s="115">
        <v>0</v>
      </c>
      <c r="K213" s="113">
        <v>0</v>
      </c>
      <c r="L213" t="str">
        <f>VLOOKUP(A213,'SAP Actual extraction'!$A$28:$A$1048576,1,0)</f>
        <v>credit    6666010185  Salary&amp;Additional Incentive-White Collar</v>
      </c>
      <c r="M213" t="str">
        <f>VLOOKUP(B213,'SAP Actual extraction'!B:B,1,0)</f>
        <v xml:space="preserve">    6666010185  Salary&amp;Additional Incentive-White Collar</v>
      </c>
    </row>
    <row r="214" spans="1:13" x14ac:dyDescent="0.3">
      <c r="A214" s="109" t="str">
        <f t="shared" si="5"/>
        <v>credit    6666010207  Unemployment insurance companies to pay</v>
      </c>
      <c r="B214" s="112" t="s">
        <v>313</v>
      </c>
      <c r="C214" s="113">
        <v>-13365.92</v>
      </c>
      <c r="D214" s="116">
        <v>0</v>
      </c>
      <c r="E214" s="113">
        <v>-13365.92</v>
      </c>
      <c r="F214" s="113">
        <v>0</v>
      </c>
      <c r="G214" s="112" t="s">
        <v>313</v>
      </c>
      <c r="H214" s="114">
        <v>0</v>
      </c>
      <c r="I214" s="114">
        <v>0</v>
      </c>
      <c r="J214" s="115">
        <v>0</v>
      </c>
      <c r="K214" s="113">
        <v>0</v>
      </c>
      <c r="L214" t="str">
        <f>VLOOKUP(A214,'SAP Actual extraction'!$A$28:$A$1048576,1,0)</f>
        <v>credit    6666010207  Unemployment insurance companies to pay</v>
      </c>
      <c r="M214" t="str">
        <f>VLOOKUP(B214,'SAP Actual extraction'!B:B,1,0)</f>
        <v xml:space="preserve">    6666010207  Unemployment insurance companies to pay</v>
      </c>
    </row>
    <row r="215" spans="1:13" x14ac:dyDescent="0.3">
      <c r="A215" s="109" t="str">
        <f t="shared" si="5"/>
        <v>credit    6666010227  Staff Leaving Indemnity - White collar E</v>
      </c>
      <c r="B215" s="112" t="s">
        <v>315</v>
      </c>
      <c r="C215" s="113">
        <v>-16414.21</v>
      </c>
      <c r="D215" s="116">
        <v>0</v>
      </c>
      <c r="E215" s="113">
        <v>-16414.21</v>
      </c>
      <c r="F215" s="113">
        <v>0</v>
      </c>
      <c r="G215" s="112" t="s">
        <v>315</v>
      </c>
      <c r="H215" s="114">
        <v>0</v>
      </c>
      <c r="I215" s="114">
        <v>0</v>
      </c>
      <c r="J215" s="115">
        <v>0</v>
      </c>
      <c r="K215" s="113">
        <v>0</v>
      </c>
      <c r="L215" t="str">
        <f>VLOOKUP(A215,'SAP Actual extraction'!$A$28:$A$1048576,1,0)</f>
        <v>credit    6666010227  Staff Leaving Indemnity - White collar E</v>
      </c>
      <c r="M215" t="str">
        <f>VLOOKUP(B215,'SAP Actual extraction'!B:B,1,0)</f>
        <v xml:space="preserve">    6666010227  Staff Leaving Indemnity - White collar E</v>
      </c>
    </row>
    <row r="216" spans="1:13" x14ac:dyDescent="0.3">
      <c r="A216" s="109" t="str">
        <f t="shared" si="5"/>
        <v>credit*   CS_Fixed Labour</v>
      </c>
      <c r="B216" s="117" t="s">
        <v>219</v>
      </c>
      <c r="C216" s="118">
        <v>-1116815.96</v>
      </c>
      <c r="D216" s="118">
        <v>-300519.55</v>
      </c>
      <c r="E216" s="118">
        <v>-816296.41</v>
      </c>
      <c r="F216" s="118">
        <v>271.6284</v>
      </c>
      <c r="G216" s="117" t="s">
        <v>219</v>
      </c>
      <c r="H216" s="119">
        <v>0</v>
      </c>
      <c r="I216" s="119">
        <v>0</v>
      </c>
      <c r="J216" s="120">
        <v>0</v>
      </c>
      <c r="K216" s="118">
        <v>0</v>
      </c>
      <c r="L216" t="str">
        <f>VLOOKUP(A216,'SAP Actual extraction'!$A$28:$A$1048576,1,0)</f>
        <v>credit*   CS_Fixed Labour</v>
      </c>
      <c r="M216" t="str">
        <f>VLOOKUP(B216,'SAP Actual extraction'!B:B,1,0)</f>
        <v>*   CS_Fixed Labour</v>
      </c>
    </row>
    <row r="217" spans="1:13" x14ac:dyDescent="0.3">
      <c r="A217" s="109" t="str">
        <f t="shared" si="5"/>
        <v>credit    600007      Maintenance</v>
      </c>
      <c r="B217" s="112" t="s">
        <v>361</v>
      </c>
      <c r="C217" s="116">
        <v>0</v>
      </c>
      <c r="D217" s="116">
        <v>0</v>
      </c>
      <c r="E217" s="113">
        <v>0</v>
      </c>
      <c r="F217" s="113">
        <v>0</v>
      </c>
      <c r="G217" s="112" t="s">
        <v>361</v>
      </c>
      <c r="H217" s="114">
        <v>0</v>
      </c>
      <c r="I217" s="114">
        <v>0</v>
      </c>
      <c r="J217" s="115">
        <v>0</v>
      </c>
      <c r="K217" s="113">
        <v>0</v>
      </c>
      <c r="L217" t="e">
        <f>VLOOKUP(A217,'SAP Actual extraction'!$A$28:$A$1048576,1,0)</f>
        <v>#N/A</v>
      </c>
      <c r="M217" t="e">
        <f>VLOOKUP(B217,'SAP Actual extraction'!B:B,1,0)</f>
        <v>#N/A</v>
      </c>
    </row>
    <row r="218" spans="1:13" x14ac:dyDescent="0.3">
      <c r="A218" s="109" t="str">
        <f t="shared" si="5"/>
        <v>credit    6666020903  Other materials</v>
      </c>
      <c r="B218" s="112" t="s">
        <v>316</v>
      </c>
      <c r="C218" s="113">
        <v>3.33</v>
      </c>
      <c r="D218" s="116">
        <v>0</v>
      </c>
      <c r="E218" s="113">
        <v>3.33</v>
      </c>
      <c r="F218" s="113">
        <v>0</v>
      </c>
      <c r="G218" s="112" t="s">
        <v>316</v>
      </c>
      <c r="H218" s="114">
        <v>0</v>
      </c>
      <c r="I218" s="114">
        <v>0</v>
      </c>
      <c r="J218" s="115">
        <v>0</v>
      </c>
      <c r="K218" s="113">
        <v>0</v>
      </c>
      <c r="L218" t="str">
        <f>VLOOKUP(A218,'SAP Actual extraction'!$A$28:$A$1048576,1,0)</f>
        <v>credit    6666020903  Other materials</v>
      </c>
      <c r="M218" t="str">
        <f>VLOOKUP(B218,'SAP Actual extraction'!B:B,1,0)</f>
        <v xml:space="preserve">    6666020903  Other materials</v>
      </c>
    </row>
    <row r="219" spans="1:13" x14ac:dyDescent="0.3">
      <c r="A219" s="109" t="str">
        <f t="shared" si="5"/>
        <v>credit    6666010302  Medical expenses</v>
      </c>
      <c r="B219" s="112" t="s">
        <v>317</v>
      </c>
      <c r="C219" s="113">
        <v>-35806.14</v>
      </c>
      <c r="D219" s="113">
        <v>-99559.56</v>
      </c>
      <c r="E219" s="113">
        <v>63753.42</v>
      </c>
      <c r="F219" s="113">
        <v>-64.035499999999999</v>
      </c>
      <c r="G219" s="112" t="s">
        <v>317</v>
      </c>
      <c r="H219" s="114">
        <v>0</v>
      </c>
      <c r="I219" s="114">
        <v>0</v>
      </c>
      <c r="J219" s="115">
        <v>0</v>
      </c>
      <c r="K219" s="113">
        <v>0</v>
      </c>
      <c r="L219" t="str">
        <f>VLOOKUP(A219,'SAP Actual extraction'!$A$28:$A$1048576,1,0)</f>
        <v>credit    6666010302  Medical expenses</v>
      </c>
      <c r="M219" t="str">
        <f>VLOOKUP(B219,'SAP Actual extraction'!B:B,1,0)</f>
        <v xml:space="preserve">    6666010302  Medical expenses</v>
      </c>
    </row>
    <row r="220" spans="1:13" x14ac:dyDescent="0.3">
      <c r="A220" s="109" t="str">
        <f t="shared" si="5"/>
        <v>credit    6666010314  Work uniforms</v>
      </c>
      <c r="B220" s="112" t="s">
        <v>318</v>
      </c>
      <c r="C220" s="113">
        <v>-215930.37</v>
      </c>
      <c r="D220" s="113">
        <v>-419014.56</v>
      </c>
      <c r="E220" s="113">
        <v>203084.19</v>
      </c>
      <c r="F220" s="113">
        <v>-48.467100000000002</v>
      </c>
      <c r="G220" s="112" t="s">
        <v>318</v>
      </c>
      <c r="H220" s="114">
        <v>0</v>
      </c>
      <c r="I220" s="114">
        <v>0</v>
      </c>
      <c r="J220" s="115">
        <v>0</v>
      </c>
      <c r="K220" s="113">
        <v>0</v>
      </c>
      <c r="L220" t="str">
        <f>VLOOKUP(A220,'SAP Actual extraction'!$A$28:$A$1048576,1,0)</f>
        <v>credit    6666010314  Work uniforms</v>
      </c>
      <c r="M220" t="str">
        <f>VLOOKUP(B220,'SAP Actual extraction'!B:B,1,0)</f>
        <v xml:space="preserve">    6666010314  Work uniforms</v>
      </c>
    </row>
    <row r="221" spans="1:13" x14ac:dyDescent="0.3">
      <c r="A221" s="109" t="str">
        <f t="shared" si="5"/>
        <v>credit    6666020401  local transportation - bus and taxi</v>
      </c>
      <c r="B221" s="112" t="s">
        <v>319</v>
      </c>
      <c r="C221" s="113">
        <v>-567469.54</v>
      </c>
      <c r="D221" s="113">
        <v>-871485.58</v>
      </c>
      <c r="E221" s="113">
        <v>304016.03999999998</v>
      </c>
      <c r="F221" s="113">
        <v>-34.884799999999998</v>
      </c>
      <c r="G221" s="112" t="s">
        <v>319</v>
      </c>
      <c r="H221" s="114">
        <v>0</v>
      </c>
      <c r="I221" s="114">
        <v>0</v>
      </c>
      <c r="J221" s="115">
        <v>0</v>
      </c>
      <c r="K221" s="113">
        <v>0</v>
      </c>
      <c r="L221" t="str">
        <f>VLOOKUP(A221,'SAP Actual extraction'!$A$28:$A$1048576,1,0)</f>
        <v>credit    6666020401  local transportation - bus and taxi</v>
      </c>
      <c r="M221" t="str">
        <f>VLOOKUP(B221,'SAP Actual extraction'!B:B,1,0)</f>
        <v xml:space="preserve">    6666020401  local transportation - bus and taxi</v>
      </c>
    </row>
    <row r="222" spans="1:13" x14ac:dyDescent="0.3">
      <c r="A222" s="109" t="str">
        <f t="shared" si="5"/>
        <v>credit    6666020502  Working meals</v>
      </c>
      <c r="B222" s="112" t="s">
        <v>321</v>
      </c>
      <c r="C222" s="113">
        <v>-572493.43999999994</v>
      </c>
      <c r="D222" s="113">
        <v>-746477.63</v>
      </c>
      <c r="E222" s="113">
        <v>173984.19</v>
      </c>
      <c r="F222" s="113">
        <v>-23.307400000000001</v>
      </c>
      <c r="G222" s="112" t="s">
        <v>321</v>
      </c>
      <c r="H222" s="114">
        <v>0</v>
      </c>
      <c r="I222" s="114">
        <v>0</v>
      </c>
      <c r="J222" s="115">
        <v>0</v>
      </c>
      <c r="K222" s="113">
        <v>0</v>
      </c>
      <c r="L222" t="str">
        <f>VLOOKUP(A222,'SAP Actual extraction'!$A$28:$A$1048576,1,0)</f>
        <v>credit    6666020502  Working meals</v>
      </c>
      <c r="M222" t="str">
        <f>VLOOKUP(B222,'SAP Actual extraction'!B:B,1,0)</f>
        <v xml:space="preserve">    6666020502  Working meals</v>
      </c>
    </row>
    <row r="223" spans="1:13" x14ac:dyDescent="0.3">
      <c r="A223" s="109" t="str">
        <f t="shared" si="5"/>
        <v>credit    6666020503  Office supplies</v>
      </c>
      <c r="B223" s="112" t="s">
        <v>322</v>
      </c>
      <c r="C223" s="113">
        <v>-8335.7900000000009</v>
      </c>
      <c r="D223" s="113">
        <v>-28579.08</v>
      </c>
      <c r="E223" s="113">
        <v>20243.29</v>
      </c>
      <c r="F223" s="113">
        <v>-70.832499999999996</v>
      </c>
      <c r="G223" s="112" t="s">
        <v>322</v>
      </c>
      <c r="H223" s="114">
        <v>0</v>
      </c>
      <c r="I223" s="114">
        <v>0</v>
      </c>
      <c r="J223" s="115">
        <v>0</v>
      </c>
      <c r="K223" s="113">
        <v>0</v>
      </c>
      <c r="L223" t="str">
        <f>VLOOKUP(A223,'SAP Actual extraction'!$A$28:$A$1048576,1,0)</f>
        <v>credit    6666020503  Office supplies</v>
      </c>
      <c r="M223" t="str">
        <f>VLOOKUP(B223,'SAP Actual extraction'!B:B,1,0)</f>
        <v xml:space="preserve">    6666020503  Office supplies</v>
      </c>
    </row>
    <row r="224" spans="1:13" x14ac:dyDescent="0.3">
      <c r="A224" s="109" t="str">
        <f t="shared" si="5"/>
        <v>credit    6666021500  Repairs cost</v>
      </c>
      <c r="B224" s="112" t="s">
        <v>323</v>
      </c>
      <c r="C224" s="113">
        <v>-3055.38</v>
      </c>
      <c r="D224" s="116">
        <v>0</v>
      </c>
      <c r="E224" s="113">
        <v>-3055.38</v>
      </c>
      <c r="F224" s="113">
        <v>0</v>
      </c>
      <c r="G224" s="112" t="s">
        <v>323</v>
      </c>
      <c r="H224" s="114">
        <v>0</v>
      </c>
      <c r="I224" s="114">
        <v>0</v>
      </c>
      <c r="J224" s="115">
        <v>0</v>
      </c>
      <c r="K224" s="113">
        <v>0</v>
      </c>
      <c r="L224" t="str">
        <f>VLOOKUP(A224,'SAP Actual extraction'!$A$28:$A$1048576,1,0)</f>
        <v>credit    6666021500  Repairs cost</v>
      </c>
      <c r="M224" t="str">
        <f>VLOOKUP(B224,'SAP Actual extraction'!B:B,1,0)</f>
        <v xml:space="preserve">    6666021500  Repairs cost</v>
      </c>
    </row>
    <row r="225" spans="1:13" x14ac:dyDescent="0.3">
      <c r="A225" s="109" t="str">
        <f t="shared" si="5"/>
        <v>credit    6666021502  Repair &amp; Maintain - Building&amp;office</v>
      </c>
      <c r="B225" s="112" t="s">
        <v>324</v>
      </c>
      <c r="C225" s="113">
        <v>-105611.94</v>
      </c>
      <c r="D225" s="113">
        <v>-580666.07999999996</v>
      </c>
      <c r="E225" s="113">
        <v>475054.14</v>
      </c>
      <c r="F225" s="113">
        <v>-81.811899999999994</v>
      </c>
      <c r="G225" s="112" t="s">
        <v>324</v>
      </c>
      <c r="H225" s="114">
        <v>0</v>
      </c>
      <c r="I225" s="114">
        <v>0</v>
      </c>
      <c r="J225" s="115">
        <v>0</v>
      </c>
      <c r="K225" s="113">
        <v>0</v>
      </c>
      <c r="L225" t="str">
        <f>VLOOKUP(A225,'SAP Actual extraction'!$A$28:$A$1048576,1,0)</f>
        <v>credit    6666021502  Repair &amp; Maintain - Building&amp;office</v>
      </c>
      <c r="M225" t="str">
        <f>VLOOKUP(B225,'SAP Actual extraction'!B:B,1,0)</f>
        <v xml:space="preserve">    6666021502  Repair &amp; Maintain - Building&amp;office</v>
      </c>
    </row>
    <row r="226" spans="1:13" x14ac:dyDescent="0.3">
      <c r="A226" s="109" t="str">
        <f t="shared" si="5"/>
        <v>credit    6666021503  Repair &amp; Maintain - Tooling &amp; Equipments</v>
      </c>
      <c r="B226" s="112" t="s">
        <v>325</v>
      </c>
      <c r="C226" s="113">
        <v>-8908.6200000000008</v>
      </c>
      <c r="D226" s="113">
        <v>-109244.4</v>
      </c>
      <c r="E226" s="113">
        <v>100335.78</v>
      </c>
      <c r="F226" s="113">
        <v>-91.845200000000006</v>
      </c>
      <c r="G226" s="112" t="s">
        <v>325</v>
      </c>
      <c r="H226" s="114">
        <v>0</v>
      </c>
      <c r="I226" s="114">
        <v>0</v>
      </c>
      <c r="J226" s="115">
        <v>0</v>
      </c>
      <c r="K226" s="113">
        <v>0</v>
      </c>
      <c r="L226" t="str">
        <f>VLOOKUP(A226,'SAP Actual extraction'!$A$28:$A$1048576,1,0)</f>
        <v>credit    6666021503  Repair &amp; Maintain - Tooling &amp; Equipments</v>
      </c>
      <c r="M226" t="str">
        <f>VLOOKUP(B226,'SAP Actual extraction'!B:B,1,0)</f>
        <v xml:space="preserve">    6666021503  Repair &amp; Maintain - Tooling &amp; Equipments</v>
      </c>
    </row>
    <row r="227" spans="1:13" x14ac:dyDescent="0.3">
      <c r="A227" s="109" t="str">
        <f t="shared" si="5"/>
        <v>credit    6666021504  Repair &amp; Maintain - Elect. Installation</v>
      </c>
      <c r="B227" s="112" t="s">
        <v>362</v>
      </c>
      <c r="C227" s="113">
        <v>-98.36</v>
      </c>
      <c r="D227" s="116">
        <v>0</v>
      </c>
      <c r="E227" s="113">
        <v>-98.36</v>
      </c>
      <c r="F227" s="113">
        <v>0</v>
      </c>
      <c r="G227" s="112" t="s">
        <v>362</v>
      </c>
      <c r="H227" s="114">
        <v>0</v>
      </c>
      <c r="I227" s="114">
        <v>0</v>
      </c>
      <c r="J227" s="115">
        <v>0</v>
      </c>
      <c r="K227" s="113">
        <v>0</v>
      </c>
      <c r="L227" t="e">
        <f>VLOOKUP(A227,'SAP Actual extraction'!$A$28:$A$1048576,1,0)</f>
        <v>#N/A</v>
      </c>
      <c r="M227" t="e">
        <f>VLOOKUP(B227,'SAP Actual extraction'!B:B,1,0)</f>
        <v>#N/A</v>
      </c>
    </row>
    <row r="228" spans="1:13" x14ac:dyDescent="0.3">
      <c r="A228" s="109" t="str">
        <f t="shared" si="5"/>
        <v>credit    6666021505  Repairs &amp; Maintenance - Vehicles</v>
      </c>
      <c r="B228" s="112" t="s">
        <v>326</v>
      </c>
      <c r="C228" s="113">
        <v>-2681.71</v>
      </c>
      <c r="D228" s="116">
        <v>0</v>
      </c>
      <c r="E228" s="113">
        <v>-2681.71</v>
      </c>
      <c r="F228" s="113">
        <v>0</v>
      </c>
      <c r="G228" s="112" t="s">
        <v>326</v>
      </c>
      <c r="H228" s="114">
        <v>0</v>
      </c>
      <c r="I228" s="114">
        <v>0</v>
      </c>
      <c r="J228" s="115">
        <v>0</v>
      </c>
      <c r="K228" s="113">
        <v>0</v>
      </c>
      <c r="L228" t="str">
        <f>VLOOKUP(A228,'SAP Actual extraction'!$A$28:$A$1048576,1,0)</f>
        <v>credit    6666021505  Repairs &amp; Maintenance - Vehicles</v>
      </c>
      <c r="M228" t="str">
        <f>VLOOKUP(B228,'SAP Actual extraction'!B:B,1,0)</f>
        <v xml:space="preserve">    6666021505  Repairs &amp; Maintenance - Vehicles</v>
      </c>
    </row>
    <row r="229" spans="1:13" x14ac:dyDescent="0.3">
      <c r="A229" s="109" t="str">
        <f t="shared" si="5"/>
        <v>credit    6666021506  Repairs &amp; Maintenance - Plant &amp; Machiner</v>
      </c>
      <c r="B229" s="112" t="s">
        <v>327</v>
      </c>
      <c r="C229" s="113">
        <v>-218275.83</v>
      </c>
      <c r="D229" s="113">
        <v>-300104.15999999997</v>
      </c>
      <c r="E229" s="113">
        <v>81828.33</v>
      </c>
      <c r="F229" s="113">
        <v>-27.2666</v>
      </c>
      <c r="G229" s="112" t="s">
        <v>327</v>
      </c>
      <c r="H229" s="114">
        <v>0</v>
      </c>
      <c r="I229" s="114">
        <v>0</v>
      </c>
      <c r="J229" s="115">
        <v>0</v>
      </c>
      <c r="K229" s="113">
        <v>0</v>
      </c>
      <c r="L229" t="str">
        <f>VLOOKUP(A229,'SAP Actual extraction'!$A$28:$A$1048576,1,0)</f>
        <v>credit    6666021506  Repairs &amp; Maintenance - Plant &amp; Machiner</v>
      </c>
      <c r="M229" t="str">
        <f>VLOOKUP(B229,'SAP Actual extraction'!B:B,1,0)</f>
        <v xml:space="preserve">    6666021506  Repairs &amp; Maintenance - Plant &amp; Machiner</v>
      </c>
    </row>
    <row r="230" spans="1:13" x14ac:dyDescent="0.3">
      <c r="A230" s="109" t="str">
        <f t="shared" si="5"/>
        <v>credit    6666091600  Garbage disposal charge</v>
      </c>
      <c r="B230" s="112" t="s">
        <v>328</v>
      </c>
      <c r="C230" s="113">
        <v>-4676.03</v>
      </c>
      <c r="D230" s="113">
        <v>-4979.5600000000004</v>
      </c>
      <c r="E230" s="113">
        <v>303.52999999999997</v>
      </c>
      <c r="F230" s="113">
        <v>-6.0955000000000004</v>
      </c>
      <c r="G230" s="112" t="s">
        <v>328</v>
      </c>
      <c r="H230" s="114">
        <v>0</v>
      </c>
      <c r="I230" s="114">
        <v>0</v>
      </c>
      <c r="J230" s="115">
        <v>0</v>
      </c>
      <c r="K230" s="113">
        <v>0</v>
      </c>
      <c r="L230" t="str">
        <f>VLOOKUP(A230,'SAP Actual extraction'!$A$28:$A$1048576,1,0)</f>
        <v>credit    6666091600  Garbage disposal charge</v>
      </c>
      <c r="M230" t="str">
        <f>VLOOKUP(B230,'SAP Actual extraction'!B:B,1,0)</f>
        <v xml:space="preserve">    6666091600  Garbage disposal charge</v>
      </c>
    </row>
    <row r="231" spans="1:13" x14ac:dyDescent="0.3">
      <c r="A231" s="109" t="str">
        <f t="shared" si="5"/>
        <v>credit    5401060201  COGS-Repair expense</v>
      </c>
      <c r="B231" s="112" t="s">
        <v>329</v>
      </c>
      <c r="C231" s="116">
        <v>0</v>
      </c>
      <c r="D231" s="116">
        <v>0</v>
      </c>
      <c r="E231" s="113">
        <v>0</v>
      </c>
      <c r="F231" s="113">
        <v>0</v>
      </c>
      <c r="G231" s="112" t="s">
        <v>329</v>
      </c>
      <c r="H231" s="114">
        <v>0</v>
      </c>
      <c r="I231" s="114">
        <v>0</v>
      </c>
      <c r="J231" s="115">
        <v>0</v>
      </c>
      <c r="K231" s="113">
        <v>0</v>
      </c>
      <c r="L231" t="e">
        <f>VLOOKUP(A231,'SAP Actual extraction'!$A$28:$A$1048576,1,0)</f>
        <v>#N/A</v>
      </c>
      <c r="M231" t="str">
        <f>VLOOKUP(B231,'SAP Actual extraction'!B:B,1,0)</f>
        <v xml:space="preserve">    5401060201  COGS-Repair expense</v>
      </c>
    </row>
    <row r="232" spans="1:13" x14ac:dyDescent="0.3">
      <c r="A232" s="109" t="str">
        <f t="shared" si="5"/>
        <v>credit*   CS_Semifix</v>
      </c>
      <c r="B232" s="117" t="s">
        <v>220</v>
      </c>
      <c r="C232" s="118">
        <v>-1743339.82</v>
      </c>
      <c r="D232" s="118">
        <v>-3160110.61</v>
      </c>
      <c r="E232" s="118">
        <v>1416770.79</v>
      </c>
      <c r="F232" s="118">
        <v>-44.832900000000002</v>
      </c>
      <c r="G232" s="117" t="s">
        <v>220</v>
      </c>
      <c r="H232" s="119">
        <v>0</v>
      </c>
      <c r="I232" s="119">
        <v>0</v>
      </c>
      <c r="J232" s="120">
        <v>0</v>
      </c>
      <c r="K232" s="118">
        <v>0</v>
      </c>
      <c r="L232" t="str">
        <f>VLOOKUP(A232,'SAP Actual extraction'!$A$28:$A$1048576,1,0)</f>
        <v>credit*   CS_Semifix</v>
      </c>
      <c r="M232" t="str">
        <f>VLOOKUP(B232,'SAP Actual extraction'!B:B,1,0)</f>
        <v>*   CS_Semifix</v>
      </c>
    </row>
    <row r="233" spans="1:13" x14ac:dyDescent="0.3">
      <c r="A233" s="109" t="str">
        <f t="shared" si="5"/>
        <v>credit**  Credit</v>
      </c>
      <c r="B233" s="121" t="s">
        <v>332</v>
      </c>
      <c r="C233" s="122">
        <v>-5494154.0800000001</v>
      </c>
      <c r="D233" s="122">
        <v>-7392516.3099999996</v>
      </c>
      <c r="E233" s="122">
        <v>1898362.23</v>
      </c>
      <c r="F233" s="122">
        <v>-25.679500000000001</v>
      </c>
      <c r="G233" s="121" t="s">
        <v>332</v>
      </c>
      <c r="H233" s="123">
        <v>0</v>
      </c>
      <c r="I233" s="123">
        <v>0</v>
      </c>
      <c r="J233" s="124">
        <v>0</v>
      </c>
      <c r="K233" s="122">
        <v>0</v>
      </c>
      <c r="L233" t="str">
        <f>VLOOKUP(A233,'SAP Actual extraction'!$A$28:$A$1048576,1,0)</f>
        <v>credit**  Credit</v>
      </c>
      <c r="M233" t="str">
        <f>VLOOKUP(B233,'SAP Actual extraction'!B:B,1,0)</f>
        <v>**  Credit</v>
      </c>
    </row>
    <row r="234" spans="1:13" x14ac:dyDescent="0.3">
      <c r="A234" s="109" t="str">
        <f t="shared" si="5"/>
        <v>credit*** Over/Underabsorption</v>
      </c>
      <c r="B234" s="126" t="s">
        <v>333</v>
      </c>
      <c r="C234" s="127">
        <v>22431798.469999999</v>
      </c>
      <c r="D234" s="127">
        <v>23127689.079999998</v>
      </c>
      <c r="E234" s="127">
        <v>-695890.61</v>
      </c>
      <c r="F234" s="127">
        <v>-3.0089000000000001</v>
      </c>
      <c r="G234" s="126" t="s">
        <v>333</v>
      </c>
      <c r="H234" s="128">
        <v>0</v>
      </c>
      <c r="I234" s="128">
        <v>0</v>
      </c>
      <c r="J234" s="128">
        <v>0</v>
      </c>
      <c r="K234" s="127">
        <v>0</v>
      </c>
      <c r="L234" t="str">
        <f>VLOOKUP(A234,'SAP Actual extraction'!$A$28:$A$1048576,1,0)</f>
        <v>credit*** Over/Underabsorption</v>
      </c>
      <c r="M234" t="str">
        <f>VLOOKUP(B234,'SAP Actual extraction'!B:B,1,0)</f>
        <v>*** Over/Underabsorption</v>
      </c>
    </row>
    <row r="238" spans="1:13" x14ac:dyDescent="0.3">
      <c r="C238" s="188"/>
    </row>
    <row r="240" spans="1:13" x14ac:dyDescent="0.3">
      <c r="B240" s="110" t="s">
        <v>168</v>
      </c>
      <c r="C240" s="111" t="s">
        <v>173</v>
      </c>
      <c r="D240" s="111" t="s">
        <v>170</v>
      </c>
      <c r="E240" s="111" t="s">
        <v>222</v>
      </c>
      <c r="F240" s="111" t="s">
        <v>223</v>
      </c>
      <c r="G240" s="110" t="s">
        <v>168</v>
      </c>
      <c r="H240" s="111" t="s">
        <v>224</v>
      </c>
      <c r="I240" s="111" t="s">
        <v>225</v>
      </c>
      <c r="J240" s="111" t="s">
        <v>222</v>
      </c>
      <c r="K240" s="111" t="s">
        <v>223</v>
      </c>
    </row>
    <row r="241" spans="1:13" x14ac:dyDescent="0.3">
      <c r="A241" s="109" t="str">
        <f t="shared" ref="A241:A304" si="6">"debit"&amp;"ovh"&amp;B241</f>
        <v>debitovh    6666110110  Depreciation-Plant &amp; Machinery</v>
      </c>
      <c r="B241" s="112" t="s">
        <v>229</v>
      </c>
      <c r="C241" s="113">
        <v>1372.66</v>
      </c>
      <c r="D241" s="116">
        <v>0</v>
      </c>
      <c r="E241" s="113">
        <v>1372.66</v>
      </c>
      <c r="F241" s="113">
        <v>0</v>
      </c>
      <c r="G241" s="112" t="s">
        <v>229</v>
      </c>
      <c r="H241" s="114">
        <v>0</v>
      </c>
      <c r="I241" s="114">
        <v>0</v>
      </c>
      <c r="J241" s="115">
        <v>0</v>
      </c>
      <c r="K241" s="113">
        <v>0</v>
      </c>
      <c r="L241" t="str">
        <f>VLOOKUP(A241,'SAP Actual extraction'!$A$28:$A$1048576,1,0)</f>
        <v>debitovh    6666110110  Depreciation-Plant &amp; Machinery</v>
      </c>
      <c r="M241" t="str">
        <f>VLOOKUP(B241,'SAP Actual extraction'!B:B,1,0)</f>
        <v xml:space="preserve">    6666110110  Depreciation-Plant &amp; Machinery</v>
      </c>
    </row>
    <row r="242" spans="1:13" x14ac:dyDescent="0.3">
      <c r="A242" s="109" t="str">
        <f t="shared" si="6"/>
        <v>debitovh    6666110112  Depreciation of Furniture &amp; Fixture</v>
      </c>
      <c r="B242" s="112" t="s">
        <v>230</v>
      </c>
      <c r="C242" s="113">
        <v>1356.64</v>
      </c>
      <c r="D242" s="116">
        <v>0</v>
      </c>
      <c r="E242" s="113">
        <v>1356.64</v>
      </c>
      <c r="F242" s="113">
        <v>0</v>
      </c>
      <c r="G242" s="112" t="s">
        <v>230</v>
      </c>
      <c r="H242" s="114">
        <v>0</v>
      </c>
      <c r="I242" s="114">
        <v>0</v>
      </c>
      <c r="J242" s="115">
        <v>0</v>
      </c>
      <c r="K242" s="113">
        <v>0</v>
      </c>
      <c r="L242" t="str">
        <f>VLOOKUP(A242,'SAP Actual extraction'!$A$28:$A$1048576,1,0)</f>
        <v>debitovh    6666110112  Depreciation of Furniture &amp; Fixture</v>
      </c>
      <c r="M242" t="str">
        <f>VLOOKUP(B242,'SAP Actual extraction'!B:B,1,0)</f>
        <v xml:space="preserve">    6666110112  Depreciation of Furniture &amp; Fixture</v>
      </c>
    </row>
    <row r="243" spans="1:13" x14ac:dyDescent="0.3">
      <c r="A243" s="109" t="str">
        <f t="shared" si="6"/>
        <v>debitovh    6666110207  Amortization of Software</v>
      </c>
      <c r="B243" s="112" t="s">
        <v>232</v>
      </c>
      <c r="C243" s="113">
        <v>237.48</v>
      </c>
      <c r="D243" s="116">
        <v>0</v>
      </c>
      <c r="E243" s="113">
        <v>237.48</v>
      </c>
      <c r="F243" s="113">
        <v>0</v>
      </c>
      <c r="G243" s="112" t="s">
        <v>232</v>
      </c>
      <c r="H243" s="114">
        <v>0</v>
      </c>
      <c r="I243" s="114">
        <v>0</v>
      </c>
      <c r="J243" s="115">
        <v>0</v>
      </c>
      <c r="K243" s="113">
        <v>0</v>
      </c>
      <c r="L243" t="str">
        <f>VLOOKUP(A243,'SAP Actual extraction'!$A$28:$A$1048576,1,0)</f>
        <v>debitovh    6666110207  Amortization of Software</v>
      </c>
      <c r="M243" t="str">
        <f>VLOOKUP(B243,'SAP Actual extraction'!B:B,1,0)</f>
        <v xml:space="preserve">    6666110207  Amortization of Software</v>
      </c>
    </row>
    <row r="244" spans="1:13" x14ac:dyDescent="0.3">
      <c r="A244" s="109" t="str">
        <f t="shared" si="6"/>
        <v>debitovh    6666110506  Amortization-Leasehold Improvement</v>
      </c>
      <c r="B244" s="112" t="s">
        <v>233</v>
      </c>
      <c r="C244" s="113">
        <v>1455.03</v>
      </c>
      <c r="D244" s="116">
        <v>0</v>
      </c>
      <c r="E244" s="113">
        <v>1455.03</v>
      </c>
      <c r="F244" s="113">
        <v>0</v>
      </c>
      <c r="G244" s="112" t="s">
        <v>233</v>
      </c>
      <c r="H244" s="114">
        <v>0</v>
      </c>
      <c r="I244" s="114">
        <v>0</v>
      </c>
      <c r="J244" s="115">
        <v>0</v>
      </c>
      <c r="K244" s="113">
        <v>0</v>
      </c>
      <c r="L244" t="str">
        <f>VLOOKUP(A244,'SAP Actual extraction'!$A$28:$A$1048576,1,0)</f>
        <v>debitovh    6666110506  Amortization-Leasehold Improvement</v>
      </c>
      <c r="M244" t="str">
        <f>VLOOKUP(B244,'SAP Actual extraction'!B:B,1,0)</f>
        <v xml:space="preserve">    6666110506  Amortization-Leasehold Improvement</v>
      </c>
    </row>
    <row r="245" spans="1:13" x14ac:dyDescent="0.3">
      <c r="A245" s="109" t="str">
        <f t="shared" si="6"/>
        <v>debitovh*   CS_Depreciation</v>
      </c>
      <c r="B245" s="117" t="s">
        <v>208</v>
      </c>
      <c r="C245" s="118">
        <v>4421.8100000000004</v>
      </c>
      <c r="D245" s="125">
        <v>0</v>
      </c>
      <c r="E245" s="118">
        <v>4421.8100000000004</v>
      </c>
      <c r="F245" s="118">
        <v>0</v>
      </c>
      <c r="G245" s="117" t="s">
        <v>208</v>
      </c>
      <c r="H245" s="119">
        <v>0</v>
      </c>
      <c r="I245" s="119">
        <v>0</v>
      </c>
      <c r="J245" s="120">
        <v>0</v>
      </c>
      <c r="K245" s="118">
        <v>0</v>
      </c>
      <c r="L245" t="str">
        <f>VLOOKUP(A245,'SAP Actual extraction'!$A$28:$A$1048576,1,0)</f>
        <v>debitovh*   CS_Depreciation</v>
      </c>
      <c r="M245" t="str">
        <f>VLOOKUP(B245,'SAP Actual extraction'!B:B,1,0)</f>
        <v>*   CS_Depreciation</v>
      </c>
    </row>
    <row r="246" spans="1:13" x14ac:dyDescent="0.3">
      <c r="A246" s="109" t="str">
        <f t="shared" si="6"/>
        <v>debitovh    6666010380  Incentive</v>
      </c>
      <c r="B246" s="112" t="s">
        <v>235</v>
      </c>
      <c r="C246" s="113">
        <v>262.18</v>
      </c>
      <c r="D246" s="116">
        <v>0</v>
      </c>
      <c r="E246" s="113">
        <v>262.18</v>
      </c>
      <c r="F246" s="113">
        <v>0</v>
      </c>
      <c r="G246" s="112" t="s">
        <v>235</v>
      </c>
      <c r="H246" s="114">
        <v>0</v>
      </c>
      <c r="I246" s="114">
        <v>0</v>
      </c>
      <c r="J246" s="115">
        <v>0</v>
      </c>
      <c r="K246" s="113">
        <v>0</v>
      </c>
      <c r="L246" t="e">
        <f>VLOOKUP(A246,'SAP Actual extraction'!$A$28:$A$1048576,1,0)</f>
        <v>#N/A</v>
      </c>
      <c r="M246" t="str">
        <f>VLOOKUP(B246,'SAP Actual extraction'!B:B,1,0)</f>
        <v xml:space="preserve">    6666010380  Incentive</v>
      </c>
    </row>
    <row r="247" spans="1:13" x14ac:dyDescent="0.3">
      <c r="A247" s="109" t="str">
        <f t="shared" si="6"/>
        <v>debitovh    5102040406  Other revenue-Service/Secondment agreeme</v>
      </c>
      <c r="B247" s="112" t="s">
        <v>240</v>
      </c>
      <c r="C247" s="113">
        <v>2.82</v>
      </c>
      <c r="D247" s="116">
        <v>0</v>
      </c>
      <c r="E247" s="113">
        <v>2.82</v>
      </c>
      <c r="F247" s="113">
        <v>0</v>
      </c>
      <c r="G247" s="112" t="s">
        <v>240</v>
      </c>
      <c r="H247" s="114">
        <v>0</v>
      </c>
      <c r="I247" s="114">
        <v>0</v>
      </c>
      <c r="J247" s="115">
        <v>0</v>
      </c>
      <c r="K247" s="113">
        <v>0</v>
      </c>
      <c r="L247" t="str">
        <f>VLOOKUP(A247,'SAP Actual extraction'!$A$28:$A$1048576,1,0)</f>
        <v>debitovh    5102040406  Other revenue-Service/Secondment agreeme</v>
      </c>
      <c r="M247" t="str">
        <f>VLOOKUP(B247,'SAP Actual extraction'!B:B,1,0)</f>
        <v xml:space="preserve">    5102040406  Other revenue-Service/Secondment agreeme</v>
      </c>
    </row>
    <row r="248" spans="1:13" x14ac:dyDescent="0.3">
      <c r="A248" s="109" t="str">
        <f t="shared" si="6"/>
        <v>debitovh*   CS_Direct Labour</v>
      </c>
      <c r="B248" s="117" t="s">
        <v>209</v>
      </c>
      <c r="C248" s="118">
        <v>265</v>
      </c>
      <c r="D248" s="125">
        <v>0</v>
      </c>
      <c r="E248" s="118">
        <v>265</v>
      </c>
      <c r="F248" s="118">
        <v>0</v>
      </c>
      <c r="G248" s="117" t="s">
        <v>209</v>
      </c>
      <c r="H248" s="119">
        <v>0</v>
      </c>
      <c r="I248" s="119">
        <v>0</v>
      </c>
      <c r="J248" s="120">
        <v>0</v>
      </c>
      <c r="K248" s="118">
        <v>0</v>
      </c>
      <c r="L248" t="str">
        <f>VLOOKUP(A248,'SAP Actual extraction'!$A$28:$A$1048576,1,0)</f>
        <v>debitovh*   CS_Direct Labour</v>
      </c>
      <c r="M248" t="str">
        <f>VLOOKUP(B248,'SAP Actual extraction'!B:B,1,0)</f>
        <v>*   CS_Direct Labour</v>
      </c>
    </row>
    <row r="249" spans="1:13" x14ac:dyDescent="0.3">
      <c r="A249" s="109" t="str">
        <f t="shared" si="6"/>
        <v>debitovh    6666029996  Non-deductible expense-travel.</v>
      </c>
      <c r="B249" s="112" t="s">
        <v>247</v>
      </c>
      <c r="C249" s="113">
        <v>83.89</v>
      </c>
      <c r="D249" s="116">
        <v>0</v>
      </c>
      <c r="E249" s="113">
        <v>83.89</v>
      </c>
      <c r="F249" s="113">
        <v>0</v>
      </c>
      <c r="G249" s="112" t="s">
        <v>247</v>
      </c>
      <c r="H249" s="114">
        <v>0</v>
      </c>
      <c r="I249" s="114">
        <v>0</v>
      </c>
      <c r="J249" s="115">
        <v>0</v>
      </c>
      <c r="K249" s="113">
        <v>0</v>
      </c>
      <c r="L249" t="str">
        <f>VLOOKUP(A249,'SAP Actual extraction'!$A$28:$A$1048576,1,0)</f>
        <v>debitovh    6666029996  Non-deductible expense-travel.</v>
      </c>
      <c r="M249" t="str">
        <f>VLOOKUP(B249,'SAP Actual extraction'!B:B,1,0)</f>
        <v xml:space="preserve">    6666029996  Non-deductible expense-travel.</v>
      </c>
    </row>
    <row r="250" spans="1:13" x14ac:dyDescent="0.3">
      <c r="A250" s="109" t="str">
        <f t="shared" si="6"/>
        <v>debitovh    6666029700  Service fee recharge</v>
      </c>
      <c r="B250" s="112" t="s">
        <v>248</v>
      </c>
      <c r="C250" s="113">
        <v>517094.31</v>
      </c>
      <c r="D250" s="116">
        <v>0</v>
      </c>
      <c r="E250" s="113">
        <v>517094.31</v>
      </c>
      <c r="F250" s="113">
        <v>0</v>
      </c>
      <c r="G250" s="112" t="s">
        <v>248</v>
      </c>
      <c r="H250" s="114">
        <v>0</v>
      </c>
      <c r="I250" s="114">
        <v>0</v>
      </c>
      <c r="J250" s="115">
        <v>0</v>
      </c>
      <c r="K250" s="113">
        <v>0</v>
      </c>
      <c r="L250" t="str">
        <f>VLOOKUP(A250,'SAP Actual extraction'!$A$28:$A$1048576,1,0)</f>
        <v>debitovh    6666029700  Service fee recharge</v>
      </c>
      <c r="M250" t="str">
        <f>VLOOKUP(B250,'SAP Actual extraction'!B:B,1,0)</f>
        <v xml:space="preserve">    6666029700  Service fee recharge</v>
      </c>
    </row>
    <row r="251" spans="1:13" x14ac:dyDescent="0.3">
      <c r="A251" s="109" t="str">
        <f t="shared" si="6"/>
        <v>debitovh    6666010322  fuel allowance</v>
      </c>
      <c r="B251" s="112" t="s">
        <v>249</v>
      </c>
      <c r="C251" s="113">
        <v>1855.74</v>
      </c>
      <c r="D251" s="116">
        <v>0</v>
      </c>
      <c r="E251" s="113">
        <v>1855.74</v>
      </c>
      <c r="F251" s="113">
        <v>0</v>
      </c>
      <c r="G251" s="112" t="s">
        <v>249</v>
      </c>
      <c r="H251" s="114">
        <v>0</v>
      </c>
      <c r="I251" s="114">
        <v>0</v>
      </c>
      <c r="J251" s="115">
        <v>0</v>
      </c>
      <c r="K251" s="113">
        <v>0</v>
      </c>
      <c r="L251" t="str">
        <f>VLOOKUP(A251,'SAP Actual extraction'!$A$28:$A$1048576,1,0)</f>
        <v>debitovh    6666010322  fuel allowance</v>
      </c>
      <c r="M251" t="str">
        <f>VLOOKUP(B251,'SAP Actual extraction'!B:B,1,0)</f>
        <v xml:space="preserve">    6666010322  fuel allowance</v>
      </c>
    </row>
    <row r="252" spans="1:13" x14ac:dyDescent="0.3">
      <c r="A252" s="109" t="str">
        <f t="shared" si="6"/>
        <v>debitovh    6666020495  Non-deductible expense-travel.</v>
      </c>
      <c r="B252" s="112" t="s">
        <v>250</v>
      </c>
      <c r="C252" s="113">
        <v>8327.2999999999993</v>
      </c>
      <c r="D252" s="116">
        <v>0</v>
      </c>
      <c r="E252" s="113">
        <v>8327.2999999999993</v>
      </c>
      <c r="F252" s="113">
        <v>0</v>
      </c>
      <c r="G252" s="112" t="s">
        <v>250</v>
      </c>
      <c r="H252" s="114">
        <v>0</v>
      </c>
      <c r="I252" s="114">
        <v>0</v>
      </c>
      <c r="J252" s="115">
        <v>0</v>
      </c>
      <c r="K252" s="113">
        <v>0</v>
      </c>
      <c r="L252" t="str">
        <f>VLOOKUP(A252,'SAP Actual extraction'!$A$28:$A$1048576,1,0)</f>
        <v>debitovh    6666020495  Non-deductible expense-travel.</v>
      </c>
      <c r="M252" t="str">
        <f>VLOOKUP(B252,'SAP Actual extraction'!B:B,1,0)</f>
        <v xml:space="preserve">    6666020495  Non-deductible expense-travel.</v>
      </c>
    </row>
    <row r="253" spans="1:13" x14ac:dyDescent="0.3">
      <c r="A253" s="109" t="str">
        <f t="shared" si="6"/>
        <v>debitovh    5301060000  Other Income-Subsidy income</v>
      </c>
      <c r="B253" s="112" t="s">
        <v>257</v>
      </c>
      <c r="C253" s="113">
        <v>-26.56</v>
      </c>
      <c r="D253" s="116">
        <v>0</v>
      </c>
      <c r="E253" s="113">
        <v>-26.56</v>
      </c>
      <c r="F253" s="113">
        <v>0</v>
      </c>
      <c r="G253" s="112" t="s">
        <v>257</v>
      </c>
      <c r="H253" s="114">
        <v>0</v>
      </c>
      <c r="I253" s="114">
        <v>0</v>
      </c>
      <c r="J253" s="115">
        <v>0</v>
      </c>
      <c r="K253" s="113">
        <v>0</v>
      </c>
      <c r="L253" t="str">
        <f>VLOOKUP(A253,'SAP Actual extraction'!$A$28:$A$1048576,1,0)</f>
        <v>debitovh    5301060000  Other Income-Subsidy income</v>
      </c>
      <c r="M253" t="str">
        <f>VLOOKUP(B253,'SAP Actual extraction'!B:B,1,0)</f>
        <v xml:space="preserve">    5301060000  Other Income-Subsidy income</v>
      </c>
    </row>
    <row r="254" spans="1:13" x14ac:dyDescent="0.3">
      <c r="A254" s="109" t="str">
        <f t="shared" si="6"/>
        <v>debitovh    5301999999  Non-operation revenue-Other</v>
      </c>
      <c r="B254" s="112" t="s">
        <v>258</v>
      </c>
      <c r="C254" s="113">
        <v>-29.28</v>
      </c>
      <c r="D254" s="116">
        <v>0</v>
      </c>
      <c r="E254" s="113">
        <v>-29.28</v>
      </c>
      <c r="F254" s="113">
        <v>0</v>
      </c>
      <c r="G254" s="112" t="s">
        <v>258</v>
      </c>
      <c r="H254" s="114">
        <v>0</v>
      </c>
      <c r="I254" s="114">
        <v>0</v>
      </c>
      <c r="J254" s="115">
        <v>0</v>
      </c>
      <c r="K254" s="113">
        <v>0</v>
      </c>
      <c r="L254" t="e">
        <f>VLOOKUP(A254,'SAP Actual extraction'!$A$28:$A$1048576,1,0)</f>
        <v>#N/A</v>
      </c>
      <c r="M254" t="str">
        <f>VLOOKUP(B254,'SAP Actual extraction'!B:B,1,0)</f>
        <v xml:space="preserve">    5301999999  Non-operation revenue-Other</v>
      </c>
    </row>
    <row r="255" spans="1:13" x14ac:dyDescent="0.3">
      <c r="A255" s="109" t="str">
        <f t="shared" si="6"/>
        <v>debitovh    5601020000  Loss on disposal fixed asset</v>
      </c>
      <c r="B255" s="112" t="s">
        <v>358</v>
      </c>
      <c r="C255" s="116">
        <v>0</v>
      </c>
      <c r="D255" s="116">
        <v>0</v>
      </c>
      <c r="E255" s="113">
        <v>0</v>
      </c>
      <c r="F255" s="113">
        <v>0</v>
      </c>
      <c r="G255" s="112" t="s">
        <v>358</v>
      </c>
      <c r="H255" s="114">
        <v>0</v>
      </c>
      <c r="I255" s="114">
        <v>0</v>
      </c>
      <c r="J255" s="115">
        <v>0</v>
      </c>
      <c r="K255" s="113">
        <v>0</v>
      </c>
      <c r="L255" t="e">
        <f>VLOOKUP(A255,'SAP Actual extraction'!$A$28:$A$1048576,1,0)</f>
        <v>#N/A</v>
      </c>
      <c r="M255" t="e">
        <f>VLOOKUP(B255,'SAP Actual extraction'!B:B,1,0)</f>
        <v>#N/A</v>
      </c>
    </row>
    <row r="256" spans="1:13" x14ac:dyDescent="0.3">
      <c r="A256" s="109" t="str">
        <f t="shared" si="6"/>
        <v>debitovh    5601050000  Non-Operating Expense - Penalty</v>
      </c>
      <c r="B256" s="112" t="s">
        <v>260</v>
      </c>
      <c r="C256" s="113">
        <v>28.05</v>
      </c>
      <c r="D256" s="116">
        <v>0</v>
      </c>
      <c r="E256" s="113">
        <v>28.05</v>
      </c>
      <c r="F256" s="113">
        <v>0</v>
      </c>
      <c r="G256" s="112" t="s">
        <v>260</v>
      </c>
      <c r="H256" s="114">
        <v>0</v>
      </c>
      <c r="I256" s="114">
        <v>0</v>
      </c>
      <c r="J256" s="115">
        <v>0</v>
      </c>
      <c r="K256" s="113">
        <v>0</v>
      </c>
      <c r="L256" t="str">
        <f>VLOOKUP(A256,'SAP Actual extraction'!$A$28:$A$1048576,1,0)</f>
        <v>debitovh    5601050000  Non-Operating Expense - Penalty</v>
      </c>
      <c r="M256" t="str">
        <f>VLOOKUP(B256,'SAP Actual extraction'!B:B,1,0)</f>
        <v xml:space="preserve">    5601050000  Non-Operating Expense - Penalty</v>
      </c>
    </row>
    <row r="257" spans="1:13" x14ac:dyDescent="0.3">
      <c r="A257" s="109" t="str">
        <f t="shared" si="6"/>
        <v>debitovh    5601050100  Non-operation Expense-Others</v>
      </c>
      <c r="B257" s="112" t="s">
        <v>261</v>
      </c>
      <c r="C257" s="113">
        <v>1326.59</v>
      </c>
      <c r="D257" s="116">
        <v>0</v>
      </c>
      <c r="E257" s="113">
        <v>1326.59</v>
      </c>
      <c r="F257" s="113">
        <v>0</v>
      </c>
      <c r="G257" s="112" t="s">
        <v>261</v>
      </c>
      <c r="H257" s="114">
        <v>0</v>
      </c>
      <c r="I257" s="114">
        <v>0</v>
      </c>
      <c r="J257" s="115">
        <v>0</v>
      </c>
      <c r="K257" s="113">
        <v>0</v>
      </c>
      <c r="L257" t="str">
        <f>VLOOKUP(A257,'SAP Actual extraction'!$A$28:$A$1048576,1,0)</f>
        <v>debitovh    5601050100  Non-operation Expense-Others</v>
      </c>
      <c r="M257" t="str">
        <f>VLOOKUP(B257,'SAP Actual extraction'!B:B,1,0)</f>
        <v xml:space="preserve">    5601050100  Non-operation Expense-Others</v>
      </c>
    </row>
    <row r="258" spans="1:13" x14ac:dyDescent="0.3">
      <c r="A258" s="109" t="str">
        <f t="shared" si="6"/>
        <v>debitovh    5601080000  Non-operating expense-VAT non-deductible</v>
      </c>
      <c r="B258" s="112" t="s">
        <v>338</v>
      </c>
      <c r="C258" s="113">
        <v>7563.81</v>
      </c>
      <c r="D258" s="116">
        <v>0</v>
      </c>
      <c r="E258" s="113">
        <v>7563.81</v>
      </c>
      <c r="F258" s="113">
        <v>0</v>
      </c>
      <c r="G258" s="112" t="s">
        <v>338</v>
      </c>
      <c r="H258" s="114">
        <v>0</v>
      </c>
      <c r="I258" s="114">
        <v>0</v>
      </c>
      <c r="J258" s="115">
        <v>0</v>
      </c>
      <c r="K258" s="113">
        <v>0</v>
      </c>
      <c r="L258" t="str">
        <f>VLOOKUP(A258,'SAP Actual extraction'!$A$28:$A$1048576,1,0)</f>
        <v>debitovh    5601080000  Non-operating expense-VAT non-deductible</v>
      </c>
      <c r="M258" t="str">
        <f>VLOOKUP(B258,'SAP Actual extraction'!B:B,1,0)</f>
        <v xml:space="preserve">    5601080000  Non-operating expense-VAT non-deductible</v>
      </c>
    </row>
    <row r="259" spans="1:13" x14ac:dyDescent="0.3">
      <c r="A259" s="109" t="str">
        <f t="shared" si="6"/>
        <v>debitovh    6666020101  Entertainment</v>
      </c>
      <c r="B259" s="112" t="s">
        <v>262</v>
      </c>
      <c r="C259" s="113">
        <v>1001.8</v>
      </c>
      <c r="D259" s="116">
        <v>0</v>
      </c>
      <c r="E259" s="113">
        <v>1001.8</v>
      </c>
      <c r="F259" s="113">
        <v>0</v>
      </c>
      <c r="G259" s="112" t="s">
        <v>262</v>
      </c>
      <c r="H259" s="114">
        <v>0</v>
      </c>
      <c r="I259" s="114">
        <v>0</v>
      </c>
      <c r="J259" s="115">
        <v>0</v>
      </c>
      <c r="K259" s="113">
        <v>0</v>
      </c>
      <c r="L259" t="str">
        <f>VLOOKUP(A259,'SAP Actual extraction'!$A$28:$A$1048576,1,0)</f>
        <v>debitovh    6666020101  Entertainment</v>
      </c>
      <c r="M259" t="str">
        <f>VLOOKUP(B259,'SAP Actual extraction'!B:B,1,0)</f>
        <v xml:space="preserve">    6666020101  Entertainment</v>
      </c>
    </row>
    <row r="260" spans="1:13" x14ac:dyDescent="0.3">
      <c r="A260" s="109" t="str">
        <f t="shared" si="6"/>
        <v>debitovh    6666020201  Domestic business travel</v>
      </c>
      <c r="B260" s="112" t="s">
        <v>263</v>
      </c>
      <c r="C260" s="113">
        <v>1413.79</v>
      </c>
      <c r="D260" s="116">
        <v>0</v>
      </c>
      <c r="E260" s="113">
        <v>1413.79</v>
      </c>
      <c r="F260" s="113">
        <v>0</v>
      </c>
      <c r="G260" s="112" t="s">
        <v>263</v>
      </c>
      <c r="H260" s="114">
        <v>0</v>
      </c>
      <c r="I260" s="114">
        <v>0</v>
      </c>
      <c r="J260" s="115">
        <v>0</v>
      </c>
      <c r="K260" s="113">
        <v>0</v>
      </c>
      <c r="L260" t="str">
        <f>VLOOKUP(A260,'SAP Actual extraction'!$A$28:$A$1048576,1,0)</f>
        <v>debitovh    6666020201  Domestic business travel</v>
      </c>
      <c r="M260" t="str">
        <f>VLOOKUP(B260,'SAP Actual extraction'!B:B,1,0)</f>
        <v xml:space="preserve">    6666020201  Domestic business travel</v>
      </c>
    </row>
    <row r="261" spans="1:13" x14ac:dyDescent="0.3">
      <c r="A261" s="109" t="str">
        <f t="shared" si="6"/>
        <v>debitovh    6666020202  Overseas business travel</v>
      </c>
      <c r="B261" s="112" t="s">
        <v>264</v>
      </c>
      <c r="C261" s="113">
        <v>130.02000000000001</v>
      </c>
      <c r="D261" s="116">
        <v>0</v>
      </c>
      <c r="E261" s="113">
        <v>130.02000000000001</v>
      </c>
      <c r="F261" s="113">
        <v>0</v>
      </c>
      <c r="G261" s="112" t="s">
        <v>264</v>
      </c>
      <c r="H261" s="114">
        <v>0</v>
      </c>
      <c r="I261" s="114">
        <v>0</v>
      </c>
      <c r="J261" s="115">
        <v>0</v>
      </c>
      <c r="K261" s="113">
        <v>0</v>
      </c>
      <c r="L261" t="e">
        <f>VLOOKUP(A261,'SAP Actual extraction'!$A$28:$A$1048576,1,0)</f>
        <v>#N/A</v>
      </c>
      <c r="M261" t="str">
        <f>VLOOKUP(B261,'SAP Actual extraction'!B:B,1,0)</f>
        <v xml:space="preserve">    6666020202  Overseas business travel</v>
      </c>
    </row>
    <row r="262" spans="1:13" x14ac:dyDescent="0.3">
      <c r="A262" s="109" t="str">
        <f t="shared" si="6"/>
        <v>debitovh    6666020204  Travel expense pay to agency</v>
      </c>
      <c r="B262" s="112" t="s">
        <v>265</v>
      </c>
      <c r="C262" s="113">
        <v>837.65</v>
      </c>
      <c r="D262" s="116">
        <v>0</v>
      </c>
      <c r="E262" s="113">
        <v>837.65</v>
      </c>
      <c r="F262" s="113">
        <v>0</v>
      </c>
      <c r="G262" s="112" t="s">
        <v>265</v>
      </c>
      <c r="H262" s="114">
        <v>0</v>
      </c>
      <c r="I262" s="114">
        <v>0</v>
      </c>
      <c r="J262" s="115">
        <v>0</v>
      </c>
      <c r="K262" s="113">
        <v>0</v>
      </c>
      <c r="L262" t="str">
        <f>VLOOKUP(A262,'SAP Actual extraction'!$A$28:$A$1048576,1,0)</f>
        <v>debitovh    6666020204  Travel expense pay to agency</v>
      </c>
      <c r="M262" t="str">
        <f>VLOOKUP(B262,'SAP Actual extraction'!B:B,1,0)</f>
        <v xml:space="preserve">    6666020204  Travel expense pay to agency</v>
      </c>
    </row>
    <row r="263" spans="1:13" x14ac:dyDescent="0.3">
      <c r="A263" s="109" t="str">
        <f t="shared" si="6"/>
        <v>debitovh    6666020301  Staff communication expense</v>
      </c>
      <c r="B263" s="112" t="s">
        <v>267</v>
      </c>
      <c r="C263" s="113">
        <v>1127.17</v>
      </c>
      <c r="D263" s="116">
        <v>0</v>
      </c>
      <c r="E263" s="113">
        <v>1127.17</v>
      </c>
      <c r="F263" s="113">
        <v>0</v>
      </c>
      <c r="G263" s="112" t="s">
        <v>267</v>
      </c>
      <c r="H263" s="114">
        <v>0</v>
      </c>
      <c r="I263" s="114">
        <v>0</v>
      </c>
      <c r="J263" s="115">
        <v>0</v>
      </c>
      <c r="K263" s="113">
        <v>0</v>
      </c>
      <c r="L263" t="str">
        <f>VLOOKUP(A263,'SAP Actual extraction'!$A$28:$A$1048576,1,0)</f>
        <v>debitovh    6666020301  Staff communication expense</v>
      </c>
      <c r="M263" t="str">
        <f>VLOOKUP(B263,'SAP Actual extraction'!B:B,1,0)</f>
        <v xml:space="preserve">    6666020301  Staff communication expense</v>
      </c>
    </row>
    <row r="264" spans="1:13" x14ac:dyDescent="0.3">
      <c r="A264" s="109" t="str">
        <f t="shared" si="6"/>
        <v>debitovh    6666020403  Company car expense</v>
      </c>
      <c r="B264" s="112" t="s">
        <v>270</v>
      </c>
      <c r="C264" s="113">
        <v>0.04</v>
      </c>
      <c r="D264" s="116">
        <v>0</v>
      </c>
      <c r="E264" s="113">
        <v>0.04</v>
      </c>
      <c r="F264" s="113">
        <v>0</v>
      </c>
      <c r="G264" s="112" t="s">
        <v>270</v>
      </c>
      <c r="H264" s="114">
        <v>0</v>
      </c>
      <c r="I264" s="114">
        <v>0</v>
      </c>
      <c r="J264" s="115">
        <v>0</v>
      </c>
      <c r="K264" s="113">
        <v>0</v>
      </c>
      <c r="L264" t="e">
        <f>VLOOKUP(A264,'SAP Actual extraction'!$A$28:$A$1048576,1,0)</f>
        <v>#N/A</v>
      </c>
      <c r="M264" t="str">
        <f>VLOOKUP(B264,'SAP Actual extraction'!B:B,1,0)</f>
        <v xml:space="preserve">    6666020403  Company car expense</v>
      </c>
    </row>
    <row r="265" spans="1:13" x14ac:dyDescent="0.3">
      <c r="A265" s="109" t="str">
        <f t="shared" si="6"/>
        <v>debitovh    6666020504  Newspaper and Periodicals expenditure</v>
      </c>
      <c r="B265" s="112" t="s">
        <v>272</v>
      </c>
      <c r="C265" s="113">
        <v>83.23</v>
      </c>
      <c r="D265" s="116">
        <v>0</v>
      </c>
      <c r="E265" s="113">
        <v>83.23</v>
      </c>
      <c r="F265" s="113">
        <v>0</v>
      </c>
      <c r="G265" s="112" t="s">
        <v>272</v>
      </c>
      <c r="H265" s="114">
        <v>0</v>
      </c>
      <c r="I265" s="114">
        <v>0</v>
      </c>
      <c r="J265" s="115">
        <v>0</v>
      </c>
      <c r="K265" s="113">
        <v>0</v>
      </c>
      <c r="L265" t="e">
        <f>VLOOKUP(A265,'SAP Actual extraction'!$A$28:$A$1048576,1,0)</f>
        <v>#N/A</v>
      </c>
      <c r="M265" t="str">
        <f>VLOOKUP(B265,'SAP Actual extraction'!B:B,1,0)</f>
        <v xml:space="preserve">    6666020504  Newspaper and Periodicals expenditure</v>
      </c>
    </row>
    <row r="266" spans="1:13" x14ac:dyDescent="0.3">
      <c r="A266" s="109" t="str">
        <f t="shared" si="6"/>
        <v>debitovh    6666020508  Postage</v>
      </c>
      <c r="B266" s="112" t="s">
        <v>273</v>
      </c>
      <c r="C266" s="113">
        <v>490.33</v>
      </c>
      <c r="D266" s="116">
        <v>0</v>
      </c>
      <c r="E266" s="113">
        <v>490.33</v>
      </c>
      <c r="F266" s="113">
        <v>0</v>
      </c>
      <c r="G266" s="112" t="s">
        <v>273</v>
      </c>
      <c r="H266" s="114">
        <v>0</v>
      </c>
      <c r="I266" s="114">
        <v>0</v>
      </c>
      <c r="J266" s="115">
        <v>0</v>
      </c>
      <c r="K266" s="113">
        <v>0</v>
      </c>
      <c r="L266" t="str">
        <f>VLOOKUP(A266,'SAP Actual extraction'!$A$28:$A$1048576,1,0)</f>
        <v>debitovh    6666020508  Postage</v>
      </c>
      <c r="M266" t="str">
        <f>VLOOKUP(B266,'SAP Actual extraction'!B:B,1,0)</f>
        <v xml:space="preserve">    6666020508  Postage</v>
      </c>
    </row>
    <row r="267" spans="1:13" x14ac:dyDescent="0.3">
      <c r="A267" s="109" t="str">
        <f t="shared" si="6"/>
        <v>debitovh    6666020602  Training costs Outside the group</v>
      </c>
      <c r="B267" s="112" t="s">
        <v>274</v>
      </c>
      <c r="C267" s="113">
        <v>25.43</v>
      </c>
      <c r="D267" s="116">
        <v>0</v>
      </c>
      <c r="E267" s="113">
        <v>25.43</v>
      </c>
      <c r="F267" s="113">
        <v>0</v>
      </c>
      <c r="G267" s="112" t="s">
        <v>274</v>
      </c>
      <c r="H267" s="114">
        <v>0</v>
      </c>
      <c r="I267" s="114">
        <v>0</v>
      </c>
      <c r="J267" s="115">
        <v>0</v>
      </c>
      <c r="K267" s="113">
        <v>0</v>
      </c>
      <c r="L267" t="str">
        <f>VLOOKUP(A267,'SAP Actual extraction'!$A$28:$A$1048576,1,0)</f>
        <v>debitovh    6666020602  Training costs Outside the group</v>
      </c>
      <c r="M267" t="str">
        <f>VLOOKUP(B267,'SAP Actual extraction'!B:B,1,0)</f>
        <v xml:space="preserve">    6666020602  Training costs Outside the group</v>
      </c>
    </row>
    <row r="268" spans="1:13" x14ac:dyDescent="0.3">
      <c r="A268" s="109" t="str">
        <f t="shared" si="6"/>
        <v>debitovh    6666020701  Enterprise Property Insurance</v>
      </c>
      <c r="B268" s="112" t="s">
        <v>275</v>
      </c>
      <c r="C268" s="113">
        <v>248258.15</v>
      </c>
      <c r="D268" s="113">
        <v>274308.12</v>
      </c>
      <c r="E268" s="113">
        <v>-26049.97</v>
      </c>
      <c r="F268" s="113">
        <v>-9.4966000000000008</v>
      </c>
      <c r="G268" s="112" t="s">
        <v>275</v>
      </c>
      <c r="H268" s="114">
        <v>0</v>
      </c>
      <c r="I268" s="114">
        <v>0</v>
      </c>
      <c r="J268" s="115">
        <v>0</v>
      </c>
      <c r="K268" s="113">
        <v>0</v>
      </c>
      <c r="L268" t="str">
        <f>VLOOKUP(A268,'SAP Actual extraction'!$A$28:$A$1048576,1,0)</f>
        <v>debitovh    6666020701  Enterprise Property Insurance</v>
      </c>
      <c r="M268" t="str">
        <f>VLOOKUP(B268,'SAP Actual extraction'!B:B,1,0)</f>
        <v xml:space="preserve">    6666020701  Enterprise Property Insurance</v>
      </c>
    </row>
    <row r="269" spans="1:13" x14ac:dyDescent="0.3">
      <c r="A269" s="109" t="str">
        <f t="shared" si="6"/>
        <v>debitovh    6666020801  Housing rental cost</v>
      </c>
      <c r="B269" s="112" t="s">
        <v>339</v>
      </c>
      <c r="C269" s="113">
        <v>698.64</v>
      </c>
      <c r="D269" s="116">
        <v>0</v>
      </c>
      <c r="E269" s="113">
        <v>698.64</v>
      </c>
      <c r="F269" s="113">
        <v>0</v>
      </c>
      <c r="G269" s="112" t="s">
        <v>339</v>
      </c>
      <c r="H269" s="114">
        <v>0</v>
      </c>
      <c r="I269" s="114">
        <v>0</v>
      </c>
      <c r="J269" s="115">
        <v>0</v>
      </c>
      <c r="K269" s="113">
        <v>0</v>
      </c>
      <c r="L269" t="str">
        <f>VLOOKUP(A269,'SAP Actual extraction'!$A$28:$A$1048576,1,0)</f>
        <v>debitovh    6666020801  Housing rental cost</v>
      </c>
      <c r="M269" t="str">
        <f>VLOOKUP(B269,'SAP Actual extraction'!B:B,1,0)</f>
        <v xml:space="preserve">    6666020801  Housing rental cost</v>
      </c>
    </row>
    <row r="270" spans="1:13" x14ac:dyDescent="0.3">
      <c r="A270" s="109" t="str">
        <f t="shared" si="6"/>
        <v>debitovh    6666020802  Equipment rental cost</v>
      </c>
      <c r="B270" s="112" t="s">
        <v>276</v>
      </c>
      <c r="C270" s="113">
        <v>2608.48</v>
      </c>
      <c r="D270" s="116">
        <v>0</v>
      </c>
      <c r="E270" s="113">
        <v>2608.48</v>
      </c>
      <c r="F270" s="113">
        <v>0</v>
      </c>
      <c r="G270" s="112" t="s">
        <v>276</v>
      </c>
      <c r="H270" s="114">
        <v>0</v>
      </c>
      <c r="I270" s="114">
        <v>0</v>
      </c>
      <c r="J270" s="115">
        <v>0</v>
      </c>
      <c r="K270" s="113">
        <v>0</v>
      </c>
      <c r="L270" t="e">
        <f>VLOOKUP(A270,'SAP Actual extraction'!$A$28:$A$1048576,1,0)</f>
        <v>#N/A</v>
      </c>
      <c r="M270" t="str">
        <f>VLOOKUP(B270,'SAP Actual extraction'!B:B,1,0)</f>
        <v xml:space="preserve">    6666020802  Equipment rental cost</v>
      </c>
    </row>
    <row r="271" spans="1:13" x14ac:dyDescent="0.3">
      <c r="A271" s="109" t="str">
        <f t="shared" si="6"/>
        <v>debitovh    6666020803  Car rental cost</v>
      </c>
      <c r="B271" s="112" t="s">
        <v>277</v>
      </c>
      <c r="C271" s="113">
        <v>1808.76</v>
      </c>
      <c r="D271" s="116">
        <v>0</v>
      </c>
      <c r="E271" s="113">
        <v>1808.76</v>
      </c>
      <c r="F271" s="113">
        <v>0</v>
      </c>
      <c r="G271" s="112" t="s">
        <v>277</v>
      </c>
      <c r="H271" s="114">
        <v>0</v>
      </c>
      <c r="I271" s="114">
        <v>0</v>
      </c>
      <c r="J271" s="115">
        <v>0</v>
      </c>
      <c r="K271" s="113">
        <v>0</v>
      </c>
      <c r="L271" t="str">
        <f>VLOOKUP(A271,'SAP Actual extraction'!$A$28:$A$1048576,1,0)</f>
        <v>debitovh    6666020803  Car rental cost</v>
      </c>
      <c r="M271" t="str">
        <f>VLOOKUP(B271,'SAP Actual extraction'!B:B,1,0)</f>
        <v xml:space="preserve">    6666020803  Car rental cost</v>
      </c>
    </row>
    <row r="272" spans="1:13" x14ac:dyDescent="0.3">
      <c r="A272" s="109" t="str">
        <f t="shared" si="6"/>
        <v>debitovh    6666021100  Consulting fees</v>
      </c>
      <c r="B272" s="112" t="s">
        <v>278</v>
      </c>
      <c r="C272" s="113">
        <v>11046.56</v>
      </c>
      <c r="D272" s="116">
        <v>0</v>
      </c>
      <c r="E272" s="113">
        <v>11046.56</v>
      </c>
      <c r="F272" s="113">
        <v>0</v>
      </c>
      <c r="G272" s="112" t="s">
        <v>278</v>
      </c>
      <c r="H272" s="114">
        <v>0</v>
      </c>
      <c r="I272" s="114">
        <v>0</v>
      </c>
      <c r="J272" s="115">
        <v>0</v>
      </c>
      <c r="K272" s="113">
        <v>0</v>
      </c>
      <c r="L272" t="str">
        <f>VLOOKUP(A272,'SAP Actual extraction'!$A$28:$A$1048576,1,0)</f>
        <v>debitovh    6666021100  Consulting fees</v>
      </c>
      <c r="M272" t="str">
        <f>VLOOKUP(B272,'SAP Actual extraction'!B:B,1,0)</f>
        <v xml:space="preserve">    6666021100  Consulting fees</v>
      </c>
    </row>
    <row r="273" spans="1:13" x14ac:dyDescent="0.3">
      <c r="A273" s="109" t="str">
        <f t="shared" si="6"/>
        <v>debitovh    6666021102  Consulting expense-tax</v>
      </c>
      <c r="B273" s="112" t="s">
        <v>340</v>
      </c>
      <c r="C273" s="113">
        <v>55029.3</v>
      </c>
      <c r="D273" s="116">
        <v>0</v>
      </c>
      <c r="E273" s="113">
        <v>55029.3</v>
      </c>
      <c r="F273" s="113">
        <v>0</v>
      </c>
      <c r="G273" s="112" t="s">
        <v>340</v>
      </c>
      <c r="H273" s="114">
        <v>0</v>
      </c>
      <c r="I273" s="114">
        <v>0</v>
      </c>
      <c r="J273" s="115">
        <v>0</v>
      </c>
      <c r="K273" s="113">
        <v>0</v>
      </c>
      <c r="L273" t="str">
        <f>VLOOKUP(A273,'SAP Actual extraction'!$A$28:$A$1048576,1,0)</f>
        <v>debitovh    6666021102  Consulting expense-tax</v>
      </c>
      <c r="M273" t="str">
        <f>VLOOKUP(B273,'SAP Actual extraction'!B:B,1,0)</f>
        <v xml:space="preserve">    6666021102  Consulting expense-tax</v>
      </c>
    </row>
    <row r="274" spans="1:13" x14ac:dyDescent="0.3">
      <c r="A274" s="109" t="str">
        <f t="shared" si="6"/>
        <v>debitovh    6666021104  Consulting expense-Technical</v>
      </c>
      <c r="B274" s="112" t="s">
        <v>268</v>
      </c>
      <c r="C274" s="113">
        <v>111.06</v>
      </c>
      <c r="D274" s="116">
        <v>0</v>
      </c>
      <c r="E274" s="113">
        <v>111.06</v>
      </c>
      <c r="F274" s="113">
        <v>0</v>
      </c>
      <c r="G274" s="112" t="s">
        <v>268</v>
      </c>
      <c r="H274" s="114">
        <v>0</v>
      </c>
      <c r="I274" s="114">
        <v>0</v>
      </c>
      <c r="J274" s="115">
        <v>0</v>
      </c>
      <c r="K274" s="113">
        <v>0</v>
      </c>
      <c r="L274" t="e">
        <f>VLOOKUP(A274,'SAP Actual extraction'!$A$28:$A$1048576,1,0)</f>
        <v>#N/A</v>
      </c>
      <c r="M274" t="str">
        <f>VLOOKUP(B274,'SAP Actual extraction'!B:B,1,0)</f>
        <v xml:space="preserve">    6666021104  Consulting expense-Technical</v>
      </c>
    </row>
    <row r="275" spans="1:13" x14ac:dyDescent="0.3">
      <c r="A275" s="109" t="str">
        <f t="shared" si="6"/>
        <v>debitovh    6666021300  Legal fees</v>
      </c>
      <c r="B275" s="112" t="s">
        <v>341</v>
      </c>
      <c r="C275" s="113">
        <v>1635.6</v>
      </c>
      <c r="D275" s="116">
        <v>0</v>
      </c>
      <c r="E275" s="113">
        <v>1635.6</v>
      </c>
      <c r="F275" s="113">
        <v>0</v>
      </c>
      <c r="G275" s="112" t="s">
        <v>341</v>
      </c>
      <c r="H275" s="114">
        <v>0</v>
      </c>
      <c r="I275" s="114">
        <v>0</v>
      </c>
      <c r="J275" s="115">
        <v>0</v>
      </c>
      <c r="K275" s="113">
        <v>0</v>
      </c>
      <c r="L275" t="str">
        <f>VLOOKUP(A275,'SAP Actual extraction'!$A$28:$A$1048576,1,0)</f>
        <v>debitovh    6666021300  Legal fees</v>
      </c>
      <c r="M275" t="str">
        <f>VLOOKUP(B275,'SAP Actual extraction'!B:B,1,0)</f>
        <v xml:space="preserve">    6666021300  Legal fees</v>
      </c>
    </row>
    <row r="276" spans="1:13" x14ac:dyDescent="0.3">
      <c r="A276" s="109" t="str">
        <f t="shared" si="6"/>
        <v>debitovh    6666021902  Cleaning fees</v>
      </c>
      <c r="B276" s="112" t="s">
        <v>279</v>
      </c>
      <c r="C276" s="113">
        <v>967.74</v>
      </c>
      <c r="D276" s="116">
        <v>0</v>
      </c>
      <c r="E276" s="113">
        <v>967.74</v>
      </c>
      <c r="F276" s="113">
        <v>0</v>
      </c>
      <c r="G276" s="112" t="s">
        <v>279</v>
      </c>
      <c r="H276" s="114">
        <v>0</v>
      </c>
      <c r="I276" s="114">
        <v>0</v>
      </c>
      <c r="J276" s="115">
        <v>0</v>
      </c>
      <c r="K276" s="113">
        <v>0</v>
      </c>
      <c r="L276" t="str">
        <f>VLOOKUP(A276,'SAP Actual extraction'!$A$28:$A$1048576,1,0)</f>
        <v>debitovh    6666021902  Cleaning fees</v>
      </c>
      <c r="M276" t="str">
        <f>VLOOKUP(B276,'SAP Actual extraction'!B:B,1,0)</f>
        <v xml:space="preserve">    6666021902  Cleaning fees</v>
      </c>
    </row>
    <row r="277" spans="1:13" x14ac:dyDescent="0.3">
      <c r="A277" s="109" t="str">
        <f t="shared" si="6"/>
        <v>debitovh    6666022100  Security</v>
      </c>
      <c r="B277" s="112" t="s">
        <v>280</v>
      </c>
      <c r="C277" s="113">
        <v>584.07000000000005</v>
      </c>
      <c r="D277" s="116">
        <v>0</v>
      </c>
      <c r="E277" s="113">
        <v>584.07000000000005</v>
      </c>
      <c r="F277" s="113">
        <v>0</v>
      </c>
      <c r="G277" s="112" t="s">
        <v>280</v>
      </c>
      <c r="H277" s="114">
        <v>0</v>
      </c>
      <c r="I277" s="114">
        <v>0</v>
      </c>
      <c r="J277" s="115">
        <v>0</v>
      </c>
      <c r="K277" s="113">
        <v>0</v>
      </c>
      <c r="L277" t="str">
        <f>VLOOKUP(A277,'SAP Actual extraction'!$A$28:$A$1048576,1,0)</f>
        <v>debitovh    6666022100  Security</v>
      </c>
      <c r="M277" t="str">
        <f>VLOOKUP(B277,'SAP Actual extraction'!B:B,1,0)</f>
        <v xml:space="preserve">    6666022100  Security</v>
      </c>
    </row>
    <row r="278" spans="1:13" x14ac:dyDescent="0.3">
      <c r="A278" s="109" t="str">
        <f t="shared" si="6"/>
        <v>debitovh    6666022300  Association dues</v>
      </c>
      <c r="B278" s="112" t="s">
        <v>281</v>
      </c>
      <c r="C278" s="113">
        <v>63346.86</v>
      </c>
      <c r="D278" s="113">
        <v>62755.08</v>
      </c>
      <c r="E278" s="113">
        <v>591.78</v>
      </c>
      <c r="F278" s="113">
        <v>0.94299999999999995</v>
      </c>
      <c r="G278" s="112" t="s">
        <v>281</v>
      </c>
      <c r="H278" s="114">
        <v>0</v>
      </c>
      <c r="I278" s="114">
        <v>0</v>
      </c>
      <c r="J278" s="115">
        <v>0</v>
      </c>
      <c r="K278" s="113">
        <v>0</v>
      </c>
      <c r="L278" t="str">
        <f>VLOOKUP(A278,'SAP Actual extraction'!$A$28:$A$1048576,1,0)</f>
        <v>debitovh    6666022300  Association dues</v>
      </c>
      <c r="M278" t="str">
        <f>VLOOKUP(B278,'SAP Actual extraction'!B:B,1,0)</f>
        <v xml:space="preserve">    6666022300  Association dues</v>
      </c>
    </row>
    <row r="279" spans="1:13" x14ac:dyDescent="0.3">
      <c r="A279" s="109" t="str">
        <f t="shared" si="6"/>
        <v>debitovh    6666029900  Sundry Expenses</v>
      </c>
      <c r="B279" s="112" t="s">
        <v>282</v>
      </c>
      <c r="C279" s="113">
        <v>431.64</v>
      </c>
      <c r="D279" s="113">
        <v>3401274</v>
      </c>
      <c r="E279" s="113">
        <v>-3400842.36</v>
      </c>
      <c r="F279" s="113">
        <v>-99.987300000000005</v>
      </c>
      <c r="G279" s="112" t="s">
        <v>282</v>
      </c>
      <c r="H279" s="114">
        <v>0</v>
      </c>
      <c r="I279" s="114">
        <v>0</v>
      </c>
      <c r="J279" s="115">
        <v>0</v>
      </c>
      <c r="K279" s="113">
        <v>0</v>
      </c>
      <c r="L279" t="str">
        <f>VLOOKUP(A279,'SAP Actual extraction'!$A$28:$A$1048576,1,0)</f>
        <v>debitovh    6666029900  Sundry Expenses</v>
      </c>
      <c r="M279" t="str">
        <f>VLOOKUP(B279,'SAP Actual extraction'!B:B,1,0)</f>
        <v xml:space="preserve">    6666029900  Sundry Expenses</v>
      </c>
    </row>
    <row r="280" spans="1:13" x14ac:dyDescent="0.3">
      <c r="A280" s="109" t="str">
        <f t="shared" si="6"/>
        <v>debitovh    6666029997  restructure cost</v>
      </c>
      <c r="B280" s="112" t="s">
        <v>283</v>
      </c>
      <c r="C280" s="113">
        <v>3304.7</v>
      </c>
      <c r="D280" s="116">
        <v>0</v>
      </c>
      <c r="E280" s="113">
        <v>3304.7</v>
      </c>
      <c r="F280" s="113">
        <v>0</v>
      </c>
      <c r="G280" s="112" t="s">
        <v>283</v>
      </c>
      <c r="H280" s="114">
        <v>0</v>
      </c>
      <c r="I280" s="114">
        <v>0</v>
      </c>
      <c r="J280" s="115">
        <v>0</v>
      </c>
      <c r="K280" s="113">
        <v>0</v>
      </c>
      <c r="L280" t="str">
        <f>VLOOKUP(A280,'SAP Actual extraction'!$A$28:$A$1048576,1,0)</f>
        <v>debitovh    6666029997  restructure cost</v>
      </c>
      <c r="M280" t="str">
        <f>VLOOKUP(B280,'SAP Actual extraction'!B:B,1,0)</f>
        <v xml:space="preserve">    6666029997  restructure cost</v>
      </c>
    </row>
    <row r="281" spans="1:13" x14ac:dyDescent="0.3">
      <c r="A281" s="109" t="str">
        <f t="shared" si="6"/>
        <v>debitovh    6666031100  Technical Documentation</v>
      </c>
      <c r="B281" s="112" t="s">
        <v>342</v>
      </c>
      <c r="C281" s="113">
        <v>6.86</v>
      </c>
      <c r="D281" s="116">
        <v>0</v>
      </c>
      <c r="E281" s="113">
        <v>6.86</v>
      </c>
      <c r="F281" s="113">
        <v>0</v>
      </c>
      <c r="G281" s="112" t="s">
        <v>342</v>
      </c>
      <c r="H281" s="114">
        <v>0</v>
      </c>
      <c r="I281" s="114">
        <v>0</v>
      </c>
      <c r="J281" s="115">
        <v>0</v>
      </c>
      <c r="K281" s="113">
        <v>0</v>
      </c>
      <c r="L281" t="str">
        <f>VLOOKUP(A281,'SAP Actual extraction'!$A$28:$A$1048576,1,0)</f>
        <v>debitovh    6666031100  Technical Documentation</v>
      </c>
      <c r="M281" t="str">
        <f>VLOOKUP(B281,'SAP Actual extraction'!B:B,1,0)</f>
        <v xml:space="preserve">    6666031100  Technical Documentation</v>
      </c>
    </row>
    <row r="282" spans="1:13" x14ac:dyDescent="0.3">
      <c r="A282" s="109" t="str">
        <f t="shared" si="6"/>
        <v>debitovh    6666050107  Special distribution costs</v>
      </c>
      <c r="B282" s="112" t="s">
        <v>287</v>
      </c>
      <c r="C282" s="113">
        <v>0</v>
      </c>
      <c r="D282" s="116">
        <v>0</v>
      </c>
      <c r="E282" s="113">
        <v>0</v>
      </c>
      <c r="F282" s="113">
        <v>0</v>
      </c>
      <c r="G282" s="112" t="s">
        <v>287</v>
      </c>
      <c r="H282" s="114">
        <v>0</v>
      </c>
      <c r="I282" s="114">
        <v>0</v>
      </c>
      <c r="J282" s="115">
        <v>0</v>
      </c>
      <c r="K282" s="113">
        <v>0</v>
      </c>
      <c r="L282" t="str">
        <f>VLOOKUP(A282,'SAP Actual extraction'!$A$28:$A$1048576,1,0)</f>
        <v>debitovh    6666050107  Special distribution costs</v>
      </c>
      <c r="M282" t="str">
        <f>VLOOKUP(B282,'SAP Actual extraction'!B:B,1,0)</f>
        <v xml:space="preserve">    6666050107  Special distribution costs</v>
      </c>
    </row>
    <row r="283" spans="1:13" x14ac:dyDescent="0.3">
      <c r="A283" s="109" t="str">
        <f t="shared" si="6"/>
        <v>debitovh    6666070400  IT maint. &amp; repairs hardware</v>
      </c>
      <c r="B283" s="112" t="s">
        <v>290</v>
      </c>
      <c r="C283" s="113">
        <v>273.58999999999997</v>
      </c>
      <c r="D283" s="116">
        <v>0</v>
      </c>
      <c r="E283" s="113">
        <v>273.58999999999997</v>
      </c>
      <c r="F283" s="113">
        <v>0</v>
      </c>
      <c r="G283" s="112" t="s">
        <v>290</v>
      </c>
      <c r="H283" s="114">
        <v>0</v>
      </c>
      <c r="I283" s="114">
        <v>0</v>
      </c>
      <c r="J283" s="115">
        <v>0</v>
      </c>
      <c r="K283" s="113">
        <v>0</v>
      </c>
      <c r="L283" t="e">
        <f>VLOOKUP(A283,'SAP Actual extraction'!$A$28:$A$1048576,1,0)</f>
        <v>#N/A</v>
      </c>
      <c r="M283" t="str">
        <f>VLOOKUP(B283,'SAP Actual extraction'!B:B,1,0)</f>
        <v xml:space="preserve">    6666070400  IT maint. &amp; repairs hardware</v>
      </c>
    </row>
    <row r="284" spans="1:13" x14ac:dyDescent="0.3">
      <c r="A284" s="109" t="str">
        <f t="shared" si="6"/>
        <v>debitovh    6666079999  IT Expense-Internal Charge Out</v>
      </c>
      <c r="B284" s="112" t="s">
        <v>343</v>
      </c>
      <c r="C284" s="113">
        <v>1974953.02</v>
      </c>
      <c r="D284" s="116">
        <v>0</v>
      </c>
      <c r="E284" s="113">
        <v>1974953.02</v>
      </c>
      <c r="F284" s="113">
        <v>0</v>
      </c>
      <c r="G284" s="112" t="s">
        <v>343</v>
      </c>
      <c r="H284" s="114">
        <v>0</v>
      </c>
      <c r="I284" s="114">
        <v>0</v>
      </c>
      <c r="J284" s="115">
        <v>0</v>
      </c>
      <c r="K284" s="113">
        <v>0</v>
      </c>
      <c r="L284" t="str">
        <f>VLOOKUP(A284,'SAP Actual extraction'!$A$28:$A$1048576,1,0)</f>
        <v>debitovh    6666079999  IT Expense-Internal Charge Out</v>
      </c>
      <c r="M284" t="str">
        <f>VLOOKUP(B284,'SAP Actual extraction'!B:B,1,0)</f>
        <v xml:space="preserve">    6666079999  IT Expense-Internal Charge Out</v>
      </c>
    </row>
    <row r="285" spans="1:13" x14ac:dyDescent="0.3">
      <c r="A285" s="109" t="str">
        <f t="shared" si="6"/>
        <v>debitovh    6666090100  Stamp Duty</v>
      </c>
      <c r="B285" s="112" t="s">
        <v>345</v>
      </c>
      <c r="C285" s="113">
        <v>8540.0400000000009</v>
      </c>
      <c r="D285" s="116">
        <v>0</v>
      </c>
      <c r="E285" s="113">
        <v>8540.0400000000009</v>
      </c>
      <c r="F285" s="113">
        <v>0</v>
      </c>
      <c r="G285" s="112" t="s">
        <v>345</v>
      </c>
      <c r="H285" s="114">
        <v>0</v>
      </c>
      <c r="I285" s="114">
        <v>0</v>
      </c>
      <c r="J285" s="115">
        <v>0</v>
      </c>
      <c r="K285" s="113">
        <v>0</v>
      </c>
      <c r="L285" t="str">
        <f>VLOOKUP(A285,'SAP Actual extraction'!$A$28:$A$1048576,1,0)</f>
        <v>debitovh    6666090100  Stamp Duty</v>
      </c>
      <c r="M285" t="str">
        <f>VLOOKUP(B285,'SAP Actual extraction'!B:B,1,0)</f>
        <v xml:space="preserve">    6666090100  Stamp Duty</v>
      </c>
    </row>
    <row r="286" spans="1:13" x14ac:dyDescent="0.3">
      <c r="A286" s="109" t="str">
        <f t="shared" si="6"/>
        <v>debitovh    6666093800  Other Taxes-CIT Deductible</v>
      </c>
      <c r="B286" s="112" t="s">
        <v>344</v>
      </c>
      <c r="C286" s="113">
        <v>887.03</v>
      </c>
      <c r="D286" s="116">
        <v>0</v>
      </c>
      <c r="E286" s="113">
        <v>887.03</v>
      </c>
      <c r="F286" s="113">
        <v>0</v>
      </c>
      <c r="G286" s="112" t="s">
        <v>344</v>
      </c>
      <c r="H286" s="114">
        <v>0</v>
      </c>
      <c r="I286" s="114">
        <v>0</v>
      </c>
      <c r="J286" s="115">
        <v>0</v>
      </c>
      <c r="K286" s="113">
        <v>0</v>
      </c>
      <c r="L286" t="str">
        <f>VLOOKUP(A286,'SAP Actual extraction'!$A$28:$A$1048576,1,0)</f>
        <v>debitovh    6666093800  Other Taxes-CIT Deductible</v>
      </c>
      <c r="M286" t="str">
        <f>VLOOKUP(B286,'SAP Actual extraction'!B:B,1,0)</f>
        <v xml:space="preserve">    6666093800  Other Taxes-CIT Deductible</v>
      </c>
    </row>
    <row r="287" spans="1:13" x14ac:dyDescent="0.3">
      <c r="A287" s="109" t="str">
        <f t="shared" si="6"/>
        <v>debitovh    5207000011  Gain of tangible asset disposal</v>
      </c>
      <c r="B287" s="112" t="s">
        <v>291</v>
      </c>
      <c r="C287" s="113">
        <v>-7333.79</v>
      </c>
      <c r="D287" s="116">
        <v>0</v>
      </c>
      <c r="E287" s="113">
        <v>-7333.79</v>
      </c>
      <c r="F287" s="113">
        <v>0</v>
      </c>
      <c r="G287" s="112" t="s">
        <v>291</v>
      </c>
      <c r="H287" s="114">
        <v>0</v>
      </c>
      <c r="I287" s="114">
        <v>0</v>
      </c>
      <c r="J287" s="115">
        <v>0</v>
      </c>
      <c r="K287" s="113">
        <v>0</v>
      </c>
      <c r="L287" t="e">
        <f>VLOOKUP(A287,'SAP Actual extraction'!$A$28:$A$1048576,1,0)</f>
        <v>#N/A</v>
      </c>
      <c r="M287" t="str">
        <f>VLOOKUP(B287,'SAP Actual extraction'!B:B,1,0)</f>
        <v xml:space="preserve">    5207000011  Gain of tangible asset disposal</v>
      </c>
    </row>
    <row r="288" spans="1:13" x14ac:dyDescent="0.3">
      <c r="A288" s="109" t="str">
        <f t="shared" si="6"/>
        <v>debitovh    5401050201  COGS-Freight out-Special and sporadic fr</v>
      </c>
      <c r="B288" s="112" t="s">
        <v>292</v>
      </c>
      <c r="C288" s="113">
        <v>34.22</v>
      </c>
      <c r="D288" s="116">
        <v>0</v>
      </c>
      <c r="E288" s="113">
        <v>34.22</v>
      </c>
      <c r="F288" s="113">
        <v>0</v>
      </c>
      <c r="G288" s="112" t="s">
        <v>292</v>
      </c>
      <c r="H288" s="114">
        <v>0</v>
      </c>
      <c r="I288" s="114">
        <v>0</v>
      </c>
      <c r="J288" s="115">
        <v>0</v>
      </c>
      <c r="K288" s="113">
        <v>0</v>
      </c>
      <c r="L288" t="e">
        <f>VLOOKUP(A288,'SAP Actual extraction'!$A$28:$A$1048576,1,0)</f>
        <v>#N/A</v>
      </c>
      <c r="M288" t="str">
        <f>VLOOKUP(B288,'SAP Actual extraction'!B:B,1,0)</f>
        <v xml:space="preserve">    5401050201  COGS-Freight out-Special and sporadic fr</v>
      </c>
    </row>
    <row r="289" spans="1:13" x14ac:dyDescent="0.3">
      <c r="A289" s="109" t="str">
        <f t="shared" si="6"/>
        <v>debitovh*   CS_Fix Cost</v>
      </c>
      <c r="B289" s="117" t="s">
        <v>211</v>
      </c>
      <c r="C289" s="118">
        <v>2908525.84</v>
      </c>
      <c r="D289" s="118">
        <v>3738337.2</v>
      </c>
      <c r="E289" s="118">
        <v>-829811.36</v>
      </c>
      <c r="F289" s="118">
        <v>-22.197299999999998</v>
      </c>
      <c r="G289" s="117" t="s">
        <v>211</v>
      </c>
      <c r="H289" s="119">
        <v>0</v>
      </c>
      <c r="I289" s="119">
        <v>0</v>
      </c>
      <c r="J289" s="120">
        <v>0</v>
      </c>
      <c r="K289" s="118">
        <v>0</v>
      </c>
      <c r="L289" t="str">
        <f>VLOOKUP(A289,'SAP Actual extraction'!$A$28:$A$1048576,1,0)</f>
        <v>debitovh*   CS_Fix Cost</v>
      </c>
      <c r="M289" t="str">
        <f>VLOOKUP(B289,'SAP Actual extraction'!B:B,1,0)</f>
        <v>*   CS_Fix Cost</v>
      </c>
    </row>
    <row r="290" spans="1:13" x14ac:dyDescent="0.3">
      <c r="A290" s="109" t="str">
        <f t="shared" si="6"/>
        <v>debitovh    5102040000  Other Revenue - Other</v>
      </c>
      <c r="B290" s="112" t="s">
        <v>294</v>
      </c>
      <c r="C290" s="113">
        <v>-327.54000000000002</v>
      </c>
      <c r="D290" s="116">
        <v>0</v>
      </c>
      <c r="E290" s="113">
        <v>-327.54000000000002</v>
      </c>
      <c r="F290" s="113">
        <v>0</v>
      </c>
      <c r="G290" s="112" t="s">
        <v>294</v>
      </c>
      <c r="H290" s="114">
        <v>0</v>
      </c>
      <c r="I290" s="114">
        <v>0</v>
      </c>
      <c r="J290" s="115">
        <v>0</v>
      </c>
      <c r="K290" s="113">
        <v>0</v>
      </c>
      <c r="L290" t="str">
        <f>VLOOKUP(A290,'SAP Actual extraction'!$A$28:$A$1048576,1,0)</f>
        <v>debitovh    5102040000  Other Revenue - Other</v>
      </c>
      <c r="M290" t="str">
        <f>VLOOKUP(B290,'SAP Actual extraction'!B:B,1,0)</f>
        <v xml:space="preserve">    5102040000  Other Revenue - Other</v>
      </c>
    </row>
    <row r="291" spans="1:13" x14ac:dyDescent="0.3">
      <c r="A291" s="109" t="str">
        <f t="shared" si="6"/>
        <v>debitovh*   CS_Variable Cost</v>
      </c>
      <c r="B291" s="117" t="s">
        <v>213</v>
      </c>
      <c r="C291" s="118">
        <v>-327.54000000000002</v>
      </c>
      <c r="D291" s="125">
        <v>0</v>
      </c>
      <c r="E291" s="118">
        <v>-327.54000000000002</v>
      </c>
      <c r="F291" s="118">
        <v>0</v>
      </c>
      <c r="G291" s="117" t="s">
        <v>213</v>
      </c>
      <c r="H291" s="119">
        <v>0</v>
      </c>
      <c r="I291" s="119">
        <v>0</v>
      </c>
      <c r="J291" s="120">
        <v>0</v>
      </c>
      <c r="K291" s="118">
        <v>0</v>
      </c>
      <c r="L291" t="str">
        <f>VLOOKUP(A291,'SAP Actual extraction'!$A$28:$A$1048576,1,0)</f>
        <v>debitovh*   CS_Variable Cost</v>
      </c>
      <c r="M291" t="str">
        <f>VLOOKUP(B291,'SAP Actual extraction'!B:B,1,0)</f>
        <v>*   CS_Variable Cost</v>
      </c>
    </row>
    <row r="292" spans="1:13" x14ac:dyDescent="0.3">
      <c r="A292" s="109" t="str">
        <f t="shared" si="6"/>
        <v>debitovh    5301070000  Non-operation revenue-sales of scrapped</v>
      </c>
      <c r="B292" s="112" t="s">
        <v>297</v>
      </c>
      <c r="C292" s="116">
        <v>0</v>
      </c>
      <c r="D292" s="116">
        <v>0</v>
      </c>
      <c r="E292" s="113">
        <v>0</v>
      </c>
      <c r="F292" s="113">
        <v>0</v>
      </c>
      <c r="G292" s="112" t="s">
        <v>297</v>
      </c>
      <c r="H292" s="114">
        <v>0</v>
      </c>
      <c r="I292" s="114">
        <v>0</v>
      </c>
      <c r="J292" s="115">
        <v>0</v>
      </c>
      <c r="K292" s="113">
        <v>0</v>
      </c>
      <c r="L292" t="e">
        <f>VLOOKUP(A292,'SAP Actual extraction'!$A$28:$A$1048576,1,0)</f>
        <v>#N/A</v>
      </c>
      <c r="M292" t="str">
        <f>VLOOKUP(B292,'SAP Actual extraction'!B:B,1,0)</f>
        <v xml:space="preserve">    5301070000  Non-operation revenue-sales of scrapped</v>
      </c>
    </row>
    <row r="293" spans="1:13" x14ac:dyDescent="0.3">
      <c r="A293" s="109" t="str">
        <f t="shared" si="6"/>
        <v>debitovh*   CS_Reselling</v>
      </c>
      <c r="B293" s="117" t="s">
        <v>215</v>
      </c>
      <c r="C293" s="125">
        <v>0</v>
      </c>
      <c r="D293" s="125">
        <v>0</v>
      </c>
      <c r="E293" s="118">
        <v>0</v>
      </c>
      <c r="F293" s="118">
        <v>0</v>
      </c>
      <c r="G293" s="117" t="s">
        <v>215</v>
      </c>
      <c r="H293" s="119">
        <v>0</v>
      </c>
      <c r="I293" s="119">
        <v>0</v>
      </c>
      <c r="J293" s="120">
        <v>0</v>
      </c>
      <c r="K293" s="118">
        <v>0</v>
      </c>
      <c r="L293" t="e">
        <f>VLOOKUP(A293,'SAP Actual extraction'!$A$28:$A$1048576,1,0)</f>
        <v>#N/A</v>
      </c>
      <c r="M293" t="str">
        <f>VLOOKUP(B293,'SAP Actual extraction'!B:B,1,0)</f>
        <v>*   CS_Reselling</v>
      </c>
    </row>
    <row r="294" spans="1:13" x14ac:dyDescent="0.3">
      <c r="A294" s="109" t="str">
        <f t="shared" si="6"/>
        <v>debitovh    6666021600  Energy and power cost</v>
      </c>
      <c r="B294" s="112" t="s">
        <v>299</v>
      </c>
      <c r="C294" s="113">
        <v>13717.45</v>
      </c>
      <c r="D294" s="116">
        <v>0</v>
      </c>
      <c r="E294" s="113">
        <v>13717.45</v>
      </c>
      <c r="F294" s="113">
        <v>0</v>
      </c>
      <c r="G294" s="112" t="s">
        <v>299</v>
      </c>
      <c r="H294" s="114">
        <v>0</v>
      </c>
      <c r="I294" s="114">
        <v>0</v>
      </c>
      <c r="J294" s="115">
        <v>0</v>
      </c>
      <c r="K294" s="113">
        <v>0</v>
      </c>
      <c r="L294" t="str">
        <f>VLOOKUP(A294,'SAP Actual extraction'!$A$28:$A$1048576,1,0)</f>
        <v>debitovh    6666021600  Energy and power cost</v>
      </c>
      <c r="M294" t="str">
        <f>VLOOKUP(B294,'SAP Actual extraction'!B:B,1,0)</f>
        <v xml:space="preserve">    6666021600  Energy and power cost</v>
      </c>
    </row>
    <row r="295" spans="1:13" x14ac:dyDescent="0.3">
      <c r="A295" s="109" t="str">
        <f t="shared" si="6"/>
        <v>debitovh    6666021604  Oil &amp; Gas</v>
      </c>
      <c r="B295" s="112" t="s">
        <v>301</v>
      </c>
      <c r="C295" s="113">
        <v>109.26</v>
      </c>
      <c r="D295" s="116">
        <v>0</v>
      </c>
      <c r="E295" s="113">
        <v>109.26</v>
      </c>
      <c r="F295" s="113">
        <v>0</v>
      </c>
      <c r="G295" s="112" t="s">
        <v>301</v>
      </c>
      <c r="H295" s="114">
        <v>0</v>
      </c>
      <c r="I295" s="114">
        <v>0</v>
      </c>
      <c r="J295" s="115">
        <v>0</v>
      </c>
      <c r="K295" s="113">
        <v>0</v>
      </c>
      <c r="L295" t="str">
        <f>VLOOKUP(A295,'SAP Actual extraction'!$A$28:$A$1048576,1,0)</f>
        <v>debitovh    6666021604  Oil &amp; Gas</v>
      </c>
      <c r="M295" t="str">
        <f>VLOOKUP(B295,'SAP Actual extraction'!B:B,1,0)</f>
        <v xml:space="preserve">    6666021604  Oil &amp; Gas</v>
      </c>
    </row>
    <row r="296" spans="1:13" x14ac:dyDescent="0.3">
      <c r="A296" s="109" t="str">
        <f t="shared" si="6"/>
        <v>debitovh*   CS_Variable Utilities</v>
      </c>
      <c r="B296" s="117" t="s">
        <v>217</v>
      </c>
      <c r="C296" s="118">
        <v>13826.71</v>
      </c>
      <c r="D296" s="125">
        <v>0</v>
      </c>
      <c r="E296" s="118">
        <v>13826.71</v>
      </c>
      <c r="F296" s="118">
        <v>0</v>
      </c>
      <c r="G296" s="117" t="s">
        <v>217</v>
      </c>
      <c r="H296" s="119">
        <v>0</v>
      </c>
      <c r="I296" s="119">
        <v>0</v>
      </c>
      <c r="J296" s="120">
        <v>0</v>
      </c>
      <c r="K296" s="118">
        <v>0</v>
      </c>
      <c r="L296" t="str">
        <f>VLOOKUP(A296,'SAP Actual extraction'!$A$28:$A$1048576,1,0)</f>
        <v>debitovh*   CS_Variable Utilities</v>
      </c>
      <c r="M296" t="str">
        <f>VLOOKUP(B296,'SAP Actual extraction'!B:B,1,0)</f>
        <v>*   CS_Variable Utilities</v>
      </c>
    </row>
    <row r="297" spans="1:13" x14ac:dyDescent="0.3">
      <c r="A297" s="109" t="str">
        <f t="shared" si="6"/>
        <v>debitovh    6666010012  Payroll Taxes- Blue Collar Indirect</v>
      </c>
      <c r="B297" s="112" t="s">
        <v>306</v>
      </c>
      <c r="C297" s="113">
        <v>60.75</v>
      </c>
      <c r="D297" s="116">
        <v>0</v>
      </c>
      <c r="E297" s="113">
        <v>60.75</v>
      </c>
      <c r="F297" s="113">
        <v>0</v>
      </c>
      <c r="G297" s="112" t="s">
        <v>306</v>
      </c>
      <c r="H297" s="114">
        <v>0</v>
      </c>
      <c r="I297" s="114">
        <v>0</v>
      </c>
      <c r="J297" s="115">
        <v>0</v>
      </c>
      <c r="K297" s="113">
        <v>0</v>
      </c>
      <c r="L297" t="str">
        <f>VLOOKUP(A297,'SAP Actual extraction'!$A$28:$A$1048576,1,0)</f>
        <v>debitovh    6666010012  Payroll Taxes- Blue Collar Indirect</v>
      </c>
      <c r="M297" t="str">
        <f>VLOOKUP(B297,'SAP Actual extraction'!B:B,1,0)</f>
        <v xml:space="preserve">    6666010012  Payroll Taxes- Blue Collar Indirect</v>
      </c>
    </row>
    <row r="298" spans="1:13" x14ac:dyDescent="0.3">
      <c r="A298" s="109" t="str">
        <f t="shared" si="6"/>
        <v>debitovh    6666010102  Salary-Blue collar indirect employees- A</v>
      </c>
      <c r="B298" s="112" t="s">
        <v>308</v>
      </c>
      <c r="C298" s="113">
        <v>485.3</v>
      </c>
      <c r="D298" s="116">
        <v>0</v>
      </c>
      <c r="E298" s="113">
        <v>485.3</v>
      </c>
      <c r="F298" s="113">
        <v>0</v>
      </c>
      <c r="G298" s="112" t="s">
        <v>308</v>
      </c>
      <c r="H298" s="114">
        <v>0</v>
      </c>
      <c r="I298" s="114">
        <v>0</v>
      </c>
      <c r="J298" s="115">
        <v>0</v>
      </c>
      <c r="K298" s="113">
        <v>0</v>
      </c>
      <c r="L298" t="str">
        <f>VLOOKUP(A298,'SAP Actual extraction'!$A$28:$A$1048576,1,0)</f>
        <v>debitovh    6666010102  Salary-Blue collar indirect employees- A</v>
      </c>
      <c r="M298" t="str">
        <f>VLOOKUP(B298,'SAP Actual extraction'!B:B,1,0)</f>
        <v xml:space="preserve">    6666010102  Salary-Blue collar indirect employees- A</v>
      </c>
    </row>
    <row r="299" spans="1:13" x14ac:dyDescent="0.3">
      <c r="A299" s="109" t="str">
        <f t="shared" si="6"/>
        <v>debitovh*   CS_Indirect Labour</v>
      </c>
      <c r="B299" s="117" t="s">
        <v>218</v>
      </c>
      <c r="C299" s="118">
        <v>546.04999999999995</v>
      </c>
      <c r="D299" s="125">
        <v>0</v>
      </c>
      <c r="E299" s="118">
        <v>546.04999999999995</v>
      </c>
      <c r="F299" s="118">
        <v>0</v>
      </c>
      <c r="G299" s="117" t="s">
        <v>218</v>
      </c>
      <c r="H299" s="119">
        <v>0</v>
      </c>
      <c r="I299" s="119">
        <v>0</v>
      </c>
      <c r="J299" s="120">
        <v>0</v>
      </c>
      <c r="K299" s="118">
        <v>0</v>
      </c>
      <c r="L299" t="str">
        <f>VLOOKUP(A299,'SAP Actual extraction'!$A$28:$A$1048576,1,0)</f>
        <v>debitovh*   CS_Indirect Labour</v>
      </c>
      <c r="M299" t="str">
        <f>VLOOKUP(B299,'SAP Actual extraction'!B:B,1,0)</f>
        <v>*   CS_Indirect Labour</v>
      </c>
    </row>
    <row r="300" spans="1:13" x14ac:dyDescent="0.3">
      <c r="A300" s="109" t="str">
        <f t="shared" si="6"/>
        <v>debitovh    6666010196  Payroll Taxes-White Collar Employee</v>
      </c>
      <c r="B300" s="112" t="s">
        <v>309</v>
      </c>
      <c r="C300" s="113">
        <v>20113.27</v>
      </c>
      <c r="D300" s="116">
        <v>0</v>
      </c>
      <c r="E300" s="113">
        <v>20113.27</v>
      </c>
      <c r="F300" s="113">
        <v>0</v>
      </c>
      <c r="G300" s="112" t="s">
        <v>309</v>
      </c>
      <c r="H300" s="114">
        <v>0</v>
      </c>
      <c r="I300" s="114">
        <v>0</v>
      </c>
      <c r="J300" s="115">
        <v>0</v>
      </c>
      <c r="K300" s="113">
        <v>0</v>
      </c>
      <c r="L300" t="str">
        <f>VLOOKUP(A300,'SAP Actual extraction'!$A$28:$A$1048576,1,0)</f>
        <v>debitovh    6666010196  Payroll Taxes-White Collar Employee</v>
      </c>
      <c r="M300" t="str">
        <f>VLOOKUP(B300,'SAP Actual extraction'!B:B,1,0)</f>
        <v xml:space="preserve">    6666010196  Payroll Taxes-White Collar Employee</v>
      </c>
    </row>
    <row r="301" spans="1:13" x14ac:dyDescent="0.3">
      <c r="A301" s="109" t="str">
        <f t="shared" si="6"/>
        <v>debitovh    6666010101  Salary - White collar employees</v>
      </c>
      <c r="B301" s="112" t="s">
        <v>310</v>
      </c>
      <c r="C301" s="113">
        <v>151155.10999999999</v>
      </c>
      <c r="D301" s="116">
        <v>0</v>
      </c>
      <c r="E301" s="113">
        <v>151155.10999999999</v>
      </c>
      <c r="F301" s="113">
        <v>0</v>
      </c>
      <c r="G301" s="112" t="s">
        <v>310</v>
      </c>
      <c r="H301" s="114">
        <v>0</v>
      </c>
      <c r="I301" s="114">
        <v>0</v>
      </c>
      <c r="J301" s="115">
        <v>0</v>
      </c>
      <c r="K301" s="113">
        <v>0</v>
      </c>
      <c r="L301" t="str">
        <f>VLOOKUP(A301,'SAP Actual extraction'!$A$28:$A$1048576,1,0)</f>
        <v>debitovh    6666010101  Salary - White collar employees</v>
      </c>
      <c r="M301" t="str">
        <f>VLOOKUP(B301,'SAP Actual extraction'!B:B,1,0)</f>
        <v xml:space="preserve">    6666010101  Salary - White collar employees</v>
      </c>
    </row>
    <row r="302" spans="1:13" x14ac:dyDescent="0.3">
      <c r="A302" s="109" t="str">
        <f t="shared" si="6"/>
        <v>debitovh    6666010199  Salary-White collar employees -Accrued</v>
      </c>
      <c r="B302" s="112" t="s">
        <v>311</v>
      </c>
      <c r="C302" s="113">
        <v>7595.46</v>
      </c>
      <c r="D302" s="116">
        <v>0</v>
      </c>
      <c r="E302" s="113">
        <v>7595.46</v>
      </c>
      <c r="F302" s="113">
        <v>0</v>
      </c>
      <c r="G302" s="112" t="s">
        <v>311</v>
      </c>
      <c r="H302" s="114">
        <v>0</v>
      </c>
      <c r="I302" s="114">
        <v>0</v>
      </c>
      <c r="J302" s="115">
        <v>0</v>
      </c>
      <c r="K302" s="113">
        <v>0</v>
      </c>
      <c r="L302" t="str">
        <f>VLOOKUP(A302,'SAP Actual extraction'!$A$28:$A$1048576,1,0)</f>
        <v>debitovh    6666010199  Salary-White collar employees -Accrued</v>
      </c>
      <c r="M302" t="str">
        <f>VLOOKUP(B302,'SAP Actual extraction'!B:B,1,0)</f>
        <v xml:space="preserve">    6666010199  Salary-White collar employees -Accrued</v>
      </c>
    </row>
    <row r="303" spans="1:13" x14ac:dyDescent="0.3">
      <c r="A303" s="109" t="str">
        <f t="shared" si="6"/>
        <v>debitovh    6666010207  Unemployment insurance companies to pay</v>
      </c>
      <c r="B303" s="112" t="s">
        <v>313</v>
      </c>
      <c r="C303" s="113">
        <v>2244.71</v>
      </c>
      <c r="D303" s="116">
        <v>0</v>
      </c>
      <c r="E303" s="113">
        <v>2244.71</v>
      </c>
      <c r="F303" s="113">
        <v>0</v>
      </c>
      <c r="G303" s="112" t="s">
        <v>313</v>
      </c>
      <c r="H303" s="114">
        <v>0</v>
      </c>
      <c r="I303" s="114">
        <v>0</v>
      </c>
      <c r="J303" s="115">
        <v>0</v>
      </c>
      <c r="K303" s="113">
        <v>0</v>
      </c>
      <c r="L303" t="str">
        <f>VLOOKUP(A303,'SAP Actual extraction'!$A$28:$A$1048576,1,0)</f>
        <v>debitovh    6666010207  Unemployment insurance companies to pay</v>
      </c>
      <c r="M303" t="str">
        <f>VLOOKUP(B303,'SAP Actual extraction'!B:B,1,0)</f>
        <v xml:space="preserve">    6666010207  Unemployment insurance companies to pay</v>
      </c>
    </row>
    <row r="304" spans="1:13" x14ac:dyDescent="0.3">
      <c r="A304" s="109" t="str">
        <f t="shared" si="6"/>
        <v>debitovh    6666010227  Staff Leaving Indemnity - White collar E</v>
      </c>
      <c r="B304" s="112" t="s">
        <v>315</v>
      </c>
      <c r="C304" s="113">
        <v>2131.71</v>
      </c>
      <c r="D304" s="116">
        <v>0</v>
      </c>
      <c r="E304" s="113">
        <v>2131.71</v>
      </c>
      <c r="F304" s="113">
        <v>0</v>
      </c>
      <c r="G304" s="112" t="s">
        <v>315</v>
      </c>
      <c r="H304" s="114">
        <v>0</v>
      </c>
      <c r="I304" s="114">
        <v>0</v>
      </c>
      <c r="J304" s="115">
        <v>0</v>
      </c>
      <c r="K304" s="113">
        <v>0</v>
      </c>
      <c r="L304" t="str">
        <f>VLOOKUP(A304,'SAP Actual extraction'!$A$28:$A$1048576,1,0)</f>
        <v>debitovh    6666010227  Staff Leaving Indemnity - White collar E</v>
      </c>
      <c r="M304" t="str">
        <f>VLOOKUP(B304,'SAP Actual extraction'!B:B,1,0)</f>
        <v xml:space="preserve">    6666010227  Staff Leaving Indemnity - White collar E</v>
      </c>
    </row>
    <row r="305" spans="1:13" x14ac:dyDescent="0.3">
      <c r="A305" s="109" t="str">
        <f t="shared" ref="A305:A314" si="7">"debit"&amp;"ovh"&amp;B305</f>
        <v>debitovh*   CS_Fixed Labour</v>
      </c>
      <c r="B305" s="117" t="s">
        <v>219</v>
      </c>
      <c r="C305" s="118">
        <v>183240.26</v>
      </c>
      <c r="D305" s="125">
        <v>0</v>
      </c>
      <c r="E305" s="118">
        <v>183240.26</v>
      </c>
      <c r="F305" s="118">
        <v>0</v>
      </c>
      <c r="G305" s="117" t="s">
        <v>219</v>
      </c>
      <c r="H305" s="119">
        <v>0</v>
      </c>
      <c r="I305" s="119">
        <v>0</v>
      </c>
      <c r="J305" s="120">
        <v>0</v>
      </c>
      <c r="K305" s="118">
        <v>0</v>
      </c>
      <c r="L305" t="str">
        <f>VLOOKUP(A305,'SAP Actual extraction'!$A$28:$A$1048576,1,0)</f>
        <v>debitovh*   CS_Fixed Labour</v>
      </c>
      <c r="M305" t="str">
        <f>VLOOKUP(B305,'SAP Actual extraction'!B:B,1,0)</f>
        <v>*   CS_Fixed Labour</v>
      </c>
    </row>
    <row r="306" spans="1:13" x14ac:dyDescent="0.3">
      <c r="A306" s="109" t="str">
        <f t="shared" si="7"/>
        <v>debitovh    6666010314  Work uniforms</v>
      </c>
      <c r="B306" s="112" t="s">
        <v>318</v>
      </c>
      <c r="C306" s="113">
        <v>1061.3800000000001</v>
      </c>
      <c r="D306" s="116">
        <v>0</v>
      </c>
      <c r="E306" s="113">
        <v>1061.3800000000001</v>
      </c>
      <c r="F306" s="113">
        <v>0</v>
      </c>
      <c r="G306" s="112" t="s">
        <v>318</v>
      </c>
      <c r="H306" s="114">
        <v>0</v>
      </c>
      <c r="I306" s="114">
        <v>0</v>
      </c>
      <c r="J306" s="115">
        <v>0</v>
      </c>
      <c r="K306" s="113">
        <v>0</v>
      </c>
      <c r="L306" t="str">
        <f>VLOOKUP(A306,'SAP Actual extraction'!$A$28:$A$1048576,1,0)</f>
        <v>debitovh    6666010314  Work uniforms</v>
      </c>
      <c r="M306" t="str">
        <f>VLOOKUP(B306,'SAP Actual extraction'!B:B,1,0)</f>
        <v xml:space="preserve">    6666010314  Work uniforms</v>
      </c>
    </row>
    <row r="307" spans="1:13" x14ac:dyDescent="0.3">
      <c r="A307" s="109" t="str">
        <f t="shared" si="7"/>
        <v>debitovh    6666020401  local transportation - bus and taxi</v>
      </c>
      <c r="B307" s="112" t="s">
        <v>319</v>
      </c>
      <c r="C307" s="113">
        <v>-544.97</v>
      </c>
      <c r="D307" s="116">
        <v>0</v>
      </c>
      <c r="E307" s="113">
        <v>-544.97</v>
      </c>
      <c r="F307" s="113">
        <v>0</v>
      </c>
      <c r="G307" s="112" t="s">
        <v>319</v>
      </c>
      <c r="H307" s="114">
        <v>0</v>
      </c>
      <c r="I307" s="114">
        <v>0</v>
      </c>
      <c r="J307" s="115">
        <v>0</v>
      </c>
      <c r="K307" s="113">
        <v>0</v>
      </c>
      <c r="L307" t="str">
        <f>VLOOKUP(A307,'SAP Actual extraction'!$A$28:$A$1048576,1,0)</f>
        <v>debitovh    6666020401  local transportation - bus and taxi</v>
      </c>
      <c r="M307" t="str">
        <f>VLOOKUP(B307,'SAP Actual extraction'!B:B,1,0)</f>
        <v xml:space="preserve">    6666020401  local transportation - bus and taxi</v>
      </c>
    </row>
    <row r="308" spans="1:13" x14ac:dyDescent="0.3">
      <c r="A308" s="109" t="str">
        <f t="shared" si="7"/>
        <v>debitovh    6666020502  Working meals</v>
      </c>
      <c r="B308" s="112" t="s">
        <v>321</v>
      </c>
      <c r="C308" s="113">
        <v>59.43</v>
      </c>
      <c r="D308" s="116">
        <v>0</v>
      </c>
      <c r="E308" s="113">
        <v>59.43</v>
      </c>
      <c r="F308" s="113">
        <v>0</v>
      </c>
      <c r="G308" s="112" t="s">
        <v>321</v>
      </c>
      <c r="H308" s="114">
        <v>0</v>
      </c>
      <c r="I308" s="114">
        <v>0</v>
      </c>
      <c r="J308" s="115">
        <v>0</v>
      </c>
      <c r="K308" s="113">
        <v>0</v>
      </c>
      <c r="L308" t="str">
        <f>VLOOKUP(A308,'SAP Actual extraction'!$A$28:$A$1048576,1,0)</f>
        <v>debitovh    6666020502  Working meals</v>
      </c>
      <c r="M308" t="str">
        <f>VLOOKUP(B308,'SAP Actual extraction'!B:B,1,0)</f>
        <v xml:space="preserve">    6666020502  Working meals</v>
      </c>
    </row>
    <row r="309" spans="1:13" x14ac:dyDescent="0.3">
      <c r="A309" s="109" t="str">
        <f t="shared" si="7"/>
        <v>debitovh    6666020503  Office supplies</v>
      </c>
      <c r="B309" s="112" t="s">
        <v>322</v>
      </c>
      <c r="C309" s="113">
        <v>165.77</v>
      </c>
      <c r="D309" s="116">
        <v>0</v>
      </c>
      <c r="E309" s="113">
        <v>165.77</v>
      </c>
      <c r="F309" s="113">
        <v>0</v>
      </c>
      <c r="G309" s="112" t="s">
        <v>322</v>
      </c>
      <c r="H309" s="114">
        <v>0</v>
      </c>
      <c r="I309" s="114">
        <v>0</v>
      </c>
      <c r="J309" s="115">
        <v>0</v>
      </c>
      <c r="K309" s="113">
        <v>0</v>
      </c>
      <c r="L309" t="str">
        <f>VLOOKUP(A309,'SAP Actual extraction'!$A$28:$A$1048576,1,0)</f>
        <v>debitovh    6666020503  Office supplies</v>
      </c>
      <c r="M309" t="str">
        <f>VLOOKUP(B309,'SAP Actual extraction'!B:B,1,0)</f>
        <v xml:space="preserve">    6666020503  Office supplies</v>
      </c>
    </row>
    <row r="310" spans="1:13" x14ac:dyDescent="0.3">
      <c r="A310" s="109" t="str">
        <f t="shared" si="7"/>
        <v>debitovh    6666021502  Repair &amp; Maintain - Building&amp;office</v>
      </c>
      <c r="B310" s="112" t="s">
        <v>324</v>
      </c>
      <c r="C310" s="113">
        <v>2047.06</v>
      </c>
      <c r="D310" s="116">
        <v>0</v>
      </c>
      <c r="E310" s="113">
        <v>2047.06</v>
      </c>
      <c r="F310" s="113">
        <v>0</v>
      </c>
      <c r="G310" s="112" t="s">
        <v>324</v>
      </c>
      <c r="H310" s="114">
        <v>0</v>
      </c>
      <c r="I310" s="114">
        <v>0</v>
      </c>
      <c r="J310" s="115">
        <v>0</v>
      </c>
      <c r="K310" s="113">
        <v>0</v>
      </c>
      <c r="L310" t="str">
        <f>VLOOKUP(A310,'SAP Actual extraction'!$A$28:$A$1048576,1,0)</f>
        <v>debitovh    6666021502  Repair &amp; Maintain - Building&amp;office</v>
      </c>
      <c r="M310" t="str">
        <f>VLOOKUP(B310,'SAP Actual extraction'!B:B,1,0)</f>
        <v xml:space="preserve">    6666021502  Repair &amp; Maintain - Building&amp;office</v>
      </c>
    </row>
    <row r="311" spans="1:13" x14ac:dyDescent="0.3">
      <c r="A311" s="109" t="str">
        <f t="shared" si="7"/>
        <v>debitovh    6666021505  Repairs &amp; Maintenance - Vehicles</v>
      </c>
      <c r="B311" s="112" t="s">
        <v>326</v>
      </c>
      <c r="C311" s="113">
        <v>75</v>
      </c>
      <c r="D311" s="116">
        <v>0</v>
      </c>
      <c r="E311" s="113">
        <v>75</v>
      </c>
      <c r="F311" s="113">
        <v>0</v>
      </c>
      <c r="G311" s="112" t="s">
        <v>326</v>
      </c>
      <c r="H311" s="114">
        <v>0</v>
      </c>
      <c r="I311" s="114">
        <v>0</v>
      </c>
      <c r="J311" s="115">
        <v>0</v>
      </c>
      <c r="K311" s="113">
        <v>0</v>
      </c>
      <c r="L311" t="str">
        <f>VLOOKUP(A311,'SAP Actual extraction'!$A$28:$A$1048576,1,0)</f>
        <v>debitovh    6666021505  Repairs &amp; Maintenance - Vehicles</v>
      </c>
      <c r="M311" t="str">
        <f>VLOOKUP(B311,'SAP Actual extraction'!B:B,1,0)</f>
        <v xml:space="preserve">    6666021505  Repairs &amp; Maintenance - Vehicles</v>
      </c>
    </row>
    <row r="312" spans="1:13" x14ac:dyDescent="0.3">
      <c r="A312" s="109" t="str">
        <f t="shared" si="7"/>
        <v>debitovh    6666091600  Garbage disposal charge</v>
      </c>
      <c r="B312" s="112" t="s">
        <v>328</v>
      </c>
      <c r="C312" s="113">
        <v>49.08</v>
      </c>
      <c r="D312" s="116">
        <v>0</v>
      </c>
      <c r="E312" s="113">
        <v>49.08</v>
      </c>
      <c r="F312" s="113">
        <v>0</v>
      </c>
      <c r="G312" s="112" t="s">
        <v>328</v>
      </c>
      <c r="H312" s="114">
        <v>0</v>
      </c>
      <c r="I312" s="114">
        <v>0</v>
      </c>
      <c r="J312" s="115">
        <v>0</v>
      </c>
      <c r="K312" s="113">
        <v>0</v>
      </c>
      <c r="L312" t="str">
        <f>VLOOKUP(A312,'SAP Actual extraction'!$A$28:$A$1048576,1,0)</f>
        <v>debitovh    6666091600  Garbage disposal charge</v>
      </c>
      <c r="M312" t="str">
        <f>VLOOKUP(B312,'SAP Actual extraction'!B:B,1,0)</f>
        <v xml:space="preserve">    6666091600  Garbage disposal charge</v>
      </c>
    </row>
    <row r="313" spans="1:13" x14ac:dyDescent="0.3">
      <c r="A313" s="109" t="str">
        <f t="shared" si="7"/>
        <v>debitovh*   CS_Semifix</v>
      </c>
      <c r="B313" s="117" t="s">
        <v>220</v>
      </c>
      <c r="C313" s="118">
        <v>2912.75</v>
      </c>
      <c r="D313" s="125">
        <v>0</v>
      </c>
      <c r="E313" s="118">
        <v>2912.75</v>
      </c>
      <c r="F313" s="118">
        <v>0</v>
      </c>
      <c r="G313" s="117" t="s">
        <v>220</v>
      </c>
      <c r="H313" s="119">
        <v>0</v>
      </c>
      <c r="I313" s="119">
        <v>0</v>
      </c>
      <c r="J313" s="120">
        <v>0</v>
      </c>
      <c r="K313" s="118">
        <v>0</v>
      </c>
      <c r="L313" t="str">
        <f>VLOOKUP(A313,'SAP Actual extraction'!$A$28:$A$1048576,1,0)</f>
        <v>debitovh*   CS_Semifix</v>
      </c>
      <c r="M313" t="str">
        <f>VLOOKUP(B313,'SAP Actual extraction'!B:B,1,0)</f>
        <v>*   CS_Semifix</v>
      </c>
    </row>
    <row r="314" spans="1:13" x14ac:dyDescent="0.3">
      <c r="A314" s="109" t="str">
        <f t="shared" si="7"/>
        <v>debitovh**  Debit</v>
      </c>
      <c r="B314" s="121" t="s">
        <v>331</v>
      </c>
      <c r="C314" s="122">
        <v>3113410.88</v>
      </c>
      <c r="D314" s="122">
        <v>3738337.2</v>
      </c>
      <c r="E314" s="122">
        <v>-624926.31999999995</v>
      </c>
      <c r="F314" s="122">
        <v>-16.716699999999999</v>
      </c>
      <c r="G314" s="121" t="s">
        <v>331</v>
      </c>
      <c r="H314" s="123">
        <v>0</v>
      </c>
      <c r="I314" s="123">
        <v>0</v>
      </c>
      <c r="J314" s="124">
        <v>0</v>
      </c>
      <c r="K314" s="122">
        <v>0</v>
      </c>
      <c r="L314" t="str">
        <f>VLOOKUP(A314,'SAP Actual extraction'!$A$28:$A$1048576,1,0)</f>
        <v>debitovh**  Debit</v>
      </c>
      <c r="M314" t="str">
        <f>VLOOKUP(B314,'SAP Actual extraction'!B:B,1,0)</f>
        <v>**  Debit</v>
      </c>
    </row>
    <row r="315" spans="1:13" x14ac:dyDescent="0.3">
      <c r="A315" s="154" t="str">
        <f t="shared" ref="A315:A318" si="8">"credit"&amp;"ovh"&amp;B315</f>
        <v>creditovh    600006      OVH Administrative</v>
      </c>
      <c r="B315" s="112" t="s">
        <v>330</v>
      </c>
      <c r="C315" s="113">
        <v>-3113518.86</v>
      </c>
      <c r="D315" s="113">
        <v>-3738337.2</v>
      </c>
      <c r="E315" s="113">
        <v>624818.34</v>
      </c>
      <c r="F315" s="113">
        <v>-16.713799999999999</v>
      </c>
      <c r="G315" s="112" t="s">
        <v>330</v>
      </c>
      <c r="H315" s="114">
        <v>0</v>
      </c>
      <c r="I315" s="114">
        <v>0</v>
      </c>
      <c r="J315" s="115">
        <v>0</v>
      </c>
      <c r="K315" s="113">
        <v>0</v>
      </c>
      <c r="L315" t="str">
        <f>VLOOKUP(A315,'SAP Actual extraction'!$A$28:$A$1048576,1,0)</f>
        <v>creditovh    600006      OVH Administrative</v>
      </c>
      <c r="M315" t="str">
        <f>VLOOKUP(B315,'SAP Actual extraction'!B:B,1,0)</f>
        <v xml:space="preserve">    600006      OVH Administrative</v>
      </c>
    </row>
    <row r="316" spans="1:13" x14ac:dyDescent="0.3">
      <c r="A316" s="154" t="str">
        <f t="shared" si="8"/>
        <v>creditovh*   CS_OVH_ADM</v>
      </c>
      <c r="B316" s="117" t="s">
        <v>221</v>
      </c>
      <c r="C316" s="118">
        <v>-3113518.86</v>
      </c>
      <c r="D316" s="118">
        <v>-3738337.2</v>
      </c>
      <c r="E316" s="118">
        <v>624818.34</v>
      </c>
      <c r="F316" s="118">
        <v>-16.713799999999999</v>
      </c>
      <c r="G316" s="117" t="s">
        <v>221</v>
      </c>
      <c r="H316" s="119">
        <v>0</v>
      </c>
      <c r="I316" s="119">
        <v>0</v>
      </c>
      <c r="J316" s="120">
        <v>0</v>
      </c>
      <c r="K316" s="118">
        <v>0</v>
      </c>
    </row>
    <row r="317" spans="1:13" x14ac:dyDescent="0.3">
      <c r="A317" s="154" t="str">
        <f t="shared" si="8"/>
        <v>creditovh**  Credit</v>
      </c>
      <c r="B317" s="121" t="s">
        <v>332</v>
      </c>
      <c r="C317" s="122">
        <v>-3113518.86</v>
      </c>
      <c r="D317" s="122">
        <v>-3738337.2</v>
      </c>
      <c r="E317" s="122">
        <v>624818.34</v>
      </c>
      <c r="F317" s="122">
        <v>-16.713799999999999</v>
      </c>
      <c r="G317" s="121" t="s">
        <v>332</v>
      </c>
      <c r="H317" s="123">
        <v>0</v>
      </c>
      <c r="I317" s="123">
        <v>0</v>
      </c>
      <c r="J317" s="124">
        <v>0</v>
      </c>
      <c r="K317" s="122">
        <v>0</v>
      </c>
    </row>
    <row r="318" spans="1:13" x14ac:dyDescent="0.3">
      <c r="A318" s="154" t="str">
        <f t="shared" si="8"/>
        <v>creditovh*** Over/Underabsorption</v>
      </c>
      <c r="B318" s="126" t="s">
        <v>333</v>
      </c>
      <c r="C318" s="127">
        <v>-107.98</v>
      </c>
      <c r="D318" s="127">
        <v>0</v>
      </c>
      <c r="E318" s="127">
        <v>-107.98</v>
      </c>
      <c r="F318" s="127">
        <v>0</v>
      </c>
      <c r="G318" s="126" t="s">
        <v>333</v>
      </c>
      <c r="H318" s="128">
        <v>0</v>
      </c>
      <c r="I318" s="128">
        <v>0</v>
      </c>
      <c r="J318" s="128">
        <v>0</v>
      </c>
      <c r="K318" s="127">
        <v>0</v>
      </c>
    </row>
    <row r="319" spans="1:13" x14ac:dyDescent="0.3">
      <c r="C319" s="109">
        <v>660652</v>
      </c>
    </row>
    <row r="320" spans="1:13" x14ac:dyDescent="0.3">
      <c r="C320" s="188">
        <f>C319-C318</f>
        <v>660759.98</v>
      </c>
    </row>
  </sheetData>
  <conditionalFormatting sqref="L14:L234">
    <cfRule type="cellIs" dxfId="1" priority="2" operator="notEqual">
      <formula>A14</formula>
    </cfRule>
  </conditionalFormatting>
  <conditionalFormatting sqref="L241:L315">
    <cfRule type="cellIs" dxfId="0" priority="1" operator="notEqual">
      <formula>A241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BCB8-F324-40D2-9766-EF1F3F7F92CA}">
  <dimension ref="A1:V54"/>
  <sheetViews>
    <sheetView zoomScale="85" zoomScaleNormal="85" workbookViewId="0">
      <selection activeCell="B44" sqref="B44"/>
    </sheetView>
  </sheetViews>
  <sheetFormatPr defaultRowHeight="12" x14ac:dyDescent="0.25"/>
  <cols>
    <col min="1" max="1" width="8.6640625" style="534" bestFit="1" customWidth="1"/>
    <col min="2" max="2" width="56" style="534" bestFit="1" customWidth="1"/>
    <col min="3" max="3" width="13.88671875" style="534" bestFit="1" customWidth="1"/>
    <col min="4" max="4" width="8.5546875" style="534" bestFit="1" customWidth="1"/>
    <col min="5" max="5" width="11" style="534" bestFit="1" customWidth="1"/>
    <col min="6" max="9" width="8.5546875" style="534" bestFit="1" customWidth="1"/>
    <col min="10" max="10" width="9.77734375" style="534" bestFit="1" customWidth="1"/>
    <col min="11" max="15" width="8.5546875" style="534" bestFit="1" customWidth="1"/>
    <col min="16" max="16" width="11" style="534" bestFit="1" customWidth="1"/>
    <col min="17" max="17" width="8.88671875" style="534"/>
    <col min="18" max="19" width="12" style="534" bestFit="1" customWidth="1"/>
    <col min="20" max="20" width="9.77734375" style="534" bestFit="1" customWidth="1"/>
    <col min="21" max="21" width="13.88671875" style="534" bestFit="1" customWidth="1"/>
    <col min="22" max="16384" width="8.88671875" style="534"/>
  </cols>
  <sheetData>
    <row r="1" spans="1:19" x14ac:dyDescent="0.25">
      <c r="C1" s="535" t="s">
        <v>477</v>
      </c>
      <c r="D1" s="536">
        <v>11.659574411492219</v>
      </c>
      <c r="E1" s="536">
        <v>12.579099378314503</v>
      </c>
      <c r="F1" s="536">
        <v>12.696711401944899</v>
      </c>
      <c r="G1" s="536">
        <v>12.876694391617644</v>
      </c>
      <c r="H1" s="536">
        <v>19.860830946990852</v>
      </c>
      <c r="I1" s="536">
        <v>12.477853201241681</v>
      </c>
      <c r="J1" s="536">
        <v>13.951557614032463</v>
      </c>
      <c r="K1" s="536">
        <v>15.780653872595295</v>
      </c>
      <c r="L1" s="536">
        <v>13.332486899684877</v>
      </c>
      <c r="M1" s="536">
        <v>14.449788141907202</v>
      </c>
      <c r="N1" s="536">
        <v>12.525775459616577</v>
      </c>
      <c r="O1" s="536">
        <v>16.703430374022854</v>
      </c>
    </row>
    <row r="2" spans="1:19" x14ac:dyDescent="0.25">
      <c r="C2" s="535" t="s">
        <v>478</v>
      </c>
      <c r="D2" s="537">
        <v>2063.7446708341226</v>
      </c>
      <c r="E2" s="537">
        <v>2226.5005899616672</v>
      </c>
      <c r="F2" s="537">
        <v>2247.317918144247</v>
      </c>
      <c r="G2" s="537">
        <v>2165.2161619505064</v>
      </c>
      <c r="H2" s="537">
        <v>2460.7569543321665</v>
      </c>
      <c r="I2" s="537">
        <v>2319.0090174507664</v>
      </c>
      <c r="J2" s="537">
        <v>2099.0118430311841</v>
      </c>
      <c r="K2" s="537">
        <v>2094.8818015870252</v>
      </c>
      <c r="L2" s="537">
        <v>2477.8426903064346</v>
      </c>
      <c r="M2" s="537">
        <v>2301.8512510058172</v>
      </c>
      <c r="N2" s="537">
        <v>2217.0622563521342</v>
      </c>
      <c r="O2" s="537">
        <v>2217.3803821515339</v>
      </c>
    </row>
    <row r="3" spans="1:19" x14ac:dyDescent="0.25">
      <c r="C3" s="538" t="s">
        <v>368</v>
      </c>
      <c r="D3" s="538">
        <v>47800</v>
      </c>
      <c r="E3" s="538">
        <v>47800</v>
      </c>
      <c r="F3" s="538">
        <v>47800</v>
      </c>
      <c r="G3" s="538">
        <v>45410</v>
      </c>
      <c r="H3" s="538">
        <v>33460</v>
      </c>
      <c r="I3" s="538">
        <v>50190</v>
      </c>
      <c r="J3" s="538">
        <v>40630</v>
      </c>
      <c r="K3" s="538">
        <v>37050</v>
      </c>
      <c r="L3" s="538">
        <v>51870</v>
      </c>
      <c r="M3" s="538">
        <v>44460</v>
      </c>
      <c r="N3" s="538">
        <v>49400</v>
      </c>
      <c r="O3" s="538">
        <v>37135</v>
      </c>
      <c r="P3" s="574">
        <f>SUM(D3:O3)</f>
        <v>533005</v>
      </c>
    </row>
    <row r="4" spans="1:19" x14ac:dyDescent="0.25">
      <c r="A4" s="539" t="s">
        <v>115</v>
      </c>
      <c r="B4" s="540" t="s">
        <v>377</v>
      </c>
      <c r="C4" s="540" t="s">
        <v>479</v>
      </c>
      <c r="D4" s="541" t="s">
        <v>0</v>
      </c>
      <c r="E4" s="541" t="s">
        <v>1</v>
      </c>
      <c r="F4" s="541" t="s">
        <v>130</v>
      </c>
      <c r="G4" s="541" t="s">
        <v>469</v>
      </c>
      <c r="H4" s="541" t="s">
        <v>4</v>
      </c>
      <c r="I4" s="541" t="s">
        <v>470</v>
      </c>
      <c r="J4" s="541" t="s">
        <v>471</v>
      </c>
      <c r="K4" s="541" t="s">
        <v>107</v>
      </c>
      <c r="L4" s="541" t="s">
        <v>437</v>
      </c>
      <c r="M4" s="541" t="s">
        <v>9</v>
      </c>
      <c r="N4" s="541" t="s">
        <v>10</v>
      </c>
      <c r="O4" s="541" t="s">
        <v>11</v>
      </c>
      <c r="P4" s="542" t="s">
        <v>480</v>
      </c>
    </row>
    <row r="5" spans="1:19" x14ac:dyDescent="0.25">
      <c r="A5" s="543" t="s">
        <v>453</v>
      </c>
      <c r="B5" s="544" t="s">
        <v>481</v>
      </c>
      <c r="C5" s="545" t="s">
        <v>158</v>
      </c>
      <c r="D5" s="453">
        <f t="shared" ref="D5:O6" si="0">D$1*0.5*D$3/60</f>
        <v>4644.3971405777347</v>
      </c>
      <c r="E5" s="453">
        <f t="shared" si="0"/>
        <v>5010.6745856952766</v>
      </c>
      <c r="F5" s="453">
        <f t="shared" si="0"/>
        <v>5057.5233751080514</v>
      </c>
      <c r="G5" s="453">
        <f t="shared" si="0"/>
        <v>4872.7557693613098</v>
      </c>
      <c r="H5" s="453">
        <f t="shared" si="0"/>
        <v>5537.8616957192826</v>
      </c>
      <c r="I5" s="453">
        <f t="shared" si="0"/>
        <v>5218.8621014193332</v>
      </c>
      <c r="J5" s="453">
        <f t="shared" si="0"/>
        <v>4723.7648821511575</v>
      </c>
      <c r="K5" s="453">
        <f t="shared" si="0"/>
        <v>4872.2768831637968</v>
      </c>
      <c r="L5" s="453">
        <f t="shared" si="0"/>
        <v>5762.9674623887877</v>
      </c>
      <c r="M5" s="453">
        <f t="shared" si="0"/>
        <v>5353.6465065766188</v>
      </c>
      <c r="N5" s="453">
        <f t="shared" si="0"/>
        <v>5156.4442308754915</v>
      </c>
      <c r="O5" s="453">
        <f t="shared" si="0"/>
        <v>5169.0157244944894</v>
      </c>
      <c r="P5" s="546">
        <f>SUM(D5:O5)</f>
        <v>61380.190357531319</v>
      </c>
    </row>
    <row r="6" spans="1:19" x14ac:dyDescent="0.25">
      <c r="A6" s="543" t="s">
        <v>453</v>
      </c>
      <c r="B6" s="544" t="s">
        <v>482</v>
      </c>
      <c r="C6" s="545" t="s">
        <v>158</v>
      </c>
      <c r="D6" s="453"/>
      <c r="E6" s="453"/>
      <c r="F6" s="453"/>
      <c r="G6" s="453"/>
      <c r="H6" s="453"/>
      <c r="I6" s="453"/>
      <c r="J6" s="453">
        <f t="shared" si="0"/>
        <v>4723.7648821511575</v>
      </c>
      <c r="K6" s="453">
        <f t="shared" si="0"/>
        <v>4872.2768831637968</v>
      </c>
      <c r="L6" s="453">
        <f t="shared" si="0"/>
        <v>5762.9674623887877</v>
      </c>
      <c r="M6" s="453">
        <f t="shared" si="0"/>
        <v>5353.6465065766188</v>
      </c>
      <c r="N6" s="453">
        <f t="shared" si="0"/>
        <v>5156.4442308754915</v>
      </c>
      <c r="O6" s="453">
        <f t="shared" si="0"/>
        <v>5169.0157244944894</v>
      </c>
      <c r="P6" s="546">
        <f t="shared" ref="P6:P16" si="1">SUM(D6:O6)</f>
        <v>31038.115689650342</v>
      </c>
    </row>
    <row r="7" spans="1:19" x14ac:dyDescent="0.25">
      <c r="A7" s="543" t="s">
        <v>453</v>
      </c>
      <c r="B7" s="544" t="s">
        <v>483</v>
      </c>
      <c r="C7" s="545" t="s">
        <v>196</v>
      </c>
      <c r="D7" s="453">
        <v>1000</v>
      </c>
      <c r="E7" s="453">
        <v>1000</v>
      </c>
      <c r="F7" s="453">
        <v>1000</v>
      </c>
      <c r="G7" s="453">
        <v>1000</v>
      </c>
      <c r="H7" s="453">
        <v>1000</v>
      </c>
      <c r="I7" s="453">
        <v>1000</v>
      </c>
      <c r="J7" s="453">
        <v>1000</v>
      </c>
      <c r="K7" s="453">
        <v>1000</v>
      </c>
      <c r="L7" s="453">
        <v>1000</v>
      </c>
      <c r="M7" s="453">
        <v>1000</v>
      </c>
      <c r="N7" s="453">
        <v>1000</v>
      </c>
      <c r="O7" s="453">
        <v>1000</v>
      </c>
      <c r="P7" s="546">
        <f t="shared" si="1"/>
        <v>12000</v>
      </c>
    </row>
    <row r="8" spans="1:19" x14ac:dyDescent="0.25">
      <c r="A8" s="543" t="s">
        <v>453</v>
      </c>
      <c r="B8" s="544" t="s">
        <v>484</v>
      </c>
      <c r="C8" s="545" t="s">
        <v>83</v>
      </c>
      <c r="D8" s="453">
        <v>700</v>
      </c>
      <c r="E8" s="453">
        <v>700</v>
      </c>
      <c r="F8" s="453">
        <v>700</v>
      </c>
      <c r="G8" s="453">
        <v>700</v>
      </c>
      <c r="H8" s="453">
        <v>700</v>
      </c>
      <c r="I8" s="453">
        <v>700</v>
      </c>
      <c r="J8" s="453">
        <v>700</v>
      </c>
      <c r="K8" s="453">
        <v>700</v>
      </c>
      <c r="L8" s="453">
        <v>700</v>
      </c>
      <c r="M8" s="453">
        <v>700</v>
      </c>
      <c r="N8" s="453">
        <v>700</v>
      </c>
      <c r="O8" s="453">
        <v>700</v>
      </c>
      <c r="P8" s="546">
        <f t="shared" si="1"/>
        <v>8400</v>
      </c>
    </row>
    <row r="9" spans="1:19" x14ac:dyDescent="0.25">
      <c r="A9" s="543" t="s">
        <v>453</v>
      </c>
      <c r="B9" s="544" t="s">
        <v>485</v>
      </c>
      <c r="C9" s="545" t="s">
        <v>83</v>
      </c>
      <c r="D9" s="453">
        <v>400</v>
      </c>
      <c r="E9" s="453">
        <v>400</v>
      </c>
      <c r="F9" s="453">
        <v>400</v>
      </c>
      <c r="G9" s="453">
        <v>400</v>
      </c>
      <c r="H9" s="453">
        <v>400</v>
      </c>
      <c r="I9" s="453">
        <v>400</v>
      </c>
      <c r="J9" s="453">
        <v>400</v>
      </c>
      <c r="K9" s="453">
        <v>400</v>
      </c>
      <c r="L9" s="453">
        <v>400</v>
      </c>
      <c r="M9" s="453">
        <v>400</v>
      </c>
      <c r="N9" s="453">
        <v>400</v>
      </c>
      <c r="O9" s="453">
        <v>400</v>
      </c>
      <c r="P9" s="546">
        <f t="shared" si="1"/>
        <v>4800</v>
      </c>
    </row>
    <row r="10" spans="1:19" x14ac:dyDescent="0.25">
      <c r="A10" s="543" t="s">
        <v>453</v>
      </c>
      <c r="B10" s="544" t="s">
        <v>486</v>
      </c>
      <c r="C10" s="545" t="s">
        <v>158</v>
      </c>
      <c r="D10" s="453"/>
      <c r="E10" s="453"/>
      <c r="F10" s="453"/>
      <c r="G10" s="453"/>
      <c r="H10" s="453"/>
      <c r="I10" s="453">
        <f t="shared" ref="I10:O10" si="2">3*I2</f>
        <v>6957.0270523522995</v>
      </c>
      <c r="J10" s="453">
        <f t="shared" si="2"/>
        <v>6297.0355290935522</v>
      </c>
      <c r="K10" s="453">
        <f t="shared" si="2"/>
        <v>6284.645404761075</v>
      </c>
      <c r="L10" s="453">
        <f t="shared" si="2"/>
        <v>7433.5280709193039</v>
      </c>
      <c r="M10" s="453">
        <f t="shared" si="2"/>
        <v>6905.5537530174515</v>
      </c>
      <c r="N10" s="453">
        <f t="shared" si="2"/>
        <v>6651.1867690564031</v>
      </c>
      <c r="O10" s="453">
        <f t="shared" si="2"/>
        <v>6652.1411464546018</v>
      </c>
      <c r="P10" s="546">
        <f t="shared" si="1"/>
        <v>47181.117725654687</v>
      </c>
    </row>
    <row r="11" spans="1:19" x14ac:dyDescent="0.25">
      <c r="A11" s="543" t="s">
        <v>453</v>
      </c>
      <c r="B11" s="544" t="s">
        <v>487</v>
      </c>
      <c r="C11" s="545" t="s">
        <v>76</v>
      </c>
      <c r="D11" s="453"/>
      <c r="E11" s="453"/>
      <c r="F11" s="453"/>
      <c r="G11" s="453">
        <f>0.15*G3</f>
        <v>6811.5</v>
      </c>
      <c r="H11" s="453">
        <f t="shared" ref="H11:O11" si="3">0.15*H3</f>
        <v>5019</v>
      </c>
      <c r="I11" s="453">
        <f t="shared" si="3"/>
        <v>7528.5</v>
      </c>
      <c r="J11" s="453">
        <f t="shared" si="3"/>
        <v>6094.5</v>
      </c>
      <c r="K11" s="453">
        <f t="shared" si="3"/>
        <v>5557.5</v>
      </c>
      <c r="L11" s="453">
        <f t="shared" si="3"/>
        <v>7780.5</v>
      </c>
      <c r="M11" s="453">
        <f t="shared" si="3"/>
        <v>6669</v>
      </c>
      <c r="N11" s="453">
        <f t="shared" si="3"/>
        <v>7410</v>
      </c>
      <c r="O11" s="453">
        <f t="shared" si="3"/>
        <v>5570.25</v>
      </c>
      <c r="P11" s="546">
        <f t="shared" si="1"/>
        <v>58440.75</v>
      </c>
    </row>
    <row r="12" spans="1:19" x14ac:dyDescent="0.25">
      <c r="A12" s="543" t="s">
        <v>453</v>
      </c>
      <c r="B12" s="544" t="s">
        <v>488</v>
      </c>
      <c r="C12" s="545" t="s">
        <v>158</v>
      </c>
      <c r="D12" s="453"/>
      <c r="E12" s="453"/>
      <c r="F12" s="453"/>
      <c r="G12" s="453"/>
      <c r="H12" s="453"/>
      <c r="I12" s="453">
        <f t="shared" ref="I12:O12" si="4">6*I2</f>
        <v>13914.054104704599</v>
      </c>
      <c r="J12" s="453">
        <f t="shared" si="4"/>
        <v>12594.071058187104</v>
      </c>
      <c r="K12" s="453">
        <f t="shared" si="4"/>
        <v>12569.29080952215</v>
      </c>
      <c r="L12" s="453">
        <f t="shared" si="4"/>
        <v>14867.056141838608</v>
      </c>
      <c r="M12" s="453">
        <f t="shared" si="4"/>
        <v>13811.107506034903</v>
      </c>
      <c r="N12" s="453">
        <f t="shared" si="4"/>
        <v>13302.373538112806</v>
      </c>
      <c r="O12" s="453">
        <f t="shared" si="4"/>
        <v>13304.282292909204</v>
      </c>
      <c r="P12" s="546">
        <f t="shared" si="1"/>
        <v>94362.235451309374</v>
      </c>
    </row>
    <row r="13" spans="1:19" x14ac:dyDescent="0.25">
      <c r="A13" s="543" t="s">
        <v>453</v>
      </c>
      <c r="B13" s="544" t="s">
        <v>489</v>
      </c>
      <c r="C13" s="545" t="s">
        <v>158</v>
      </c>
      <c r="D13" s="453"/>
      <c r="E13" s="453"/>
      <c r="F13" s="453"/>
      <c r="G13" s="453"/>
      <c r="H13" s="453"/>
      <c r="I13" s="453">
        <f t="shared" ref="I13:O13" si="5">2*I2</f>
        <v>4638.0180349015327</v>
      </c>
      <c r="J13" s="453">
        <f t="shared" si="5"/>
        <v>4198.0236860623681</v>
      </c>
      <c r="K13" s="453">
        <f t="shared" si="5"/>
        <v>4189.7636031740503</v>
      </c>
      <c r="L13" s="453">
        <f t="shared" si="5"/>
        <v>4955.6853806128693</v>
      </c>
      <c r="M13" s="453">
        <f t="shared" si="5"/>
        <v>4603.7025020116344</v>
      </c>
      <c r="N13" s="453">
        <f t="shared" si="5"/>
        <v>4434.1245127042685</v>
      </c>
      <c r="O13" s="453">
        <f t="shared" si="5"/>
        <v>4434.7607643030678</v>
      </c>
      <c r="P13" s="546">
        <f t="shared" si="1"/>
        <v>31454.078483769794</v>
      </c>
    </row>
    <row r="14" spans="1:19" x14ac:dyDescent="0.25">
      <c r="A14" s="543" t="s">
        <v>453</v>
      </c>
      <c r="B14" s="544" t="s">
        <v>490</v>
      </c>
      <c r="C14" s="545" t="s">
        <v>158</v>
      </c>
      <c r="D14" s="453"/>
      <c r="E14" s="453"/>
      <c r="F14" s="453"/>
      <c r="G14" s="453"/>
      <c r="H14" s="453">
        <f t="shared" ref="H14:O14" si="6">2*H2</f>
        <v>4921.513908664333</v>
      </c>
      <c r="I14" s="453">
        <f t="shared" si="6"/>
        <v>4638.0180349015327</v>
      </c>
      <c r="J14" s="453">
        <f t="shared" si="6"/>
        <v>4198.0236860623681</v>
      </c>
      <c r="K14" s="453">
        <f t="shared" si="6"/>
        <v>4189.7636031740503</v>
      </c>
      <c r="L14" s="453">
        <f t="shared" si="6"/>
        <v>4955.6853806128693</v>
      </c>
      <c r="M14" s="453">
        <f t="shared" si="6"/>
        <v>4603.7025020116344</v>
      </c>
      <c r="N14" s="453">
        <f t="shared" si="6"/>
        <v>4434.1245127042685</v>
      </c>
      <c r="O14" s="453">
        <f t="shared" si="6"/>
        <v>4434.7607643030678</v>
      </c>
      <c r="P14" s="546">
        <f t="shared" si="1"/>
        <v>36375.592392434126</v>
      </c>
    </row>
    <row r="15" spans="1:19" x14ac:dyDescent="0.25">
      <c r="A15" s="543" t="s">
        <v>453</v>
      </c>
      <c r="B15" s="544" t="s">
        <v>491</v>
      </c>
      <c r="C15" s="545" t="s">
        <v>158</v>
      </c>
      <c r="D15" s="453"/>
      <c r="E15" s="453"/>
      <c r="F15" s="453"/>
      <c r="G15" s="453"/>
      <c r="H15" s="453">
        <f t="shared" ref="H15:O15" si="7">2*H2</f>
        <v>4921.513908664333</v>
      </c>
      <c r="I15" s="453">
        <f t="shared" si="7"/>
        <v>4638.0180349015327</v>
      </c>
      <c r="J15" s="453">
        <f t="shared" si="7"/>
        <v>4198.0236860623681</v>
      </c>
      <c r="K15" s="453">
        <f t="shared" si="7"/>
        <v>4189.7636031740503</v>
      </c>
      <c r="L15" s="453">
        <f t="shared" si="7"/>
        <v>4955.6853806128693</v>
      </c>
      <c r="M15" s="453">
        <f t="shared" si="7"/>
        <v>4603.7025020116344</v>
      </c>
      <c r="N15" s="453">
        <f t="shared" si="7"/>
        <v>4434.1245127042685</v>
      </c>
      <c r="O15" s="453">
        <f t="shared" si="7"/>
        <v>4434.7607643030678</v>
      </c>
      <c r="P15" s="546">
        <f t="shared" si="1"/>
        <v>36375.592392434126</v>
      </c>
    </row>
    <row r="16" spans="1:19" x14ac:dyDescent="0.25">
      <c r="A16" s="543" t="s">
        <v>453</v>
      </c>
      <c r="B16" s="544" t="s">
        <v>492</v>
      </c>
      <c r="C16" s="545" t="s">
        <v>158</v>
      </c>
      <c r="D16" s="453"/>
      <c r="E16" s="453"/>
      <c r="F16" s="453"/>
      <c r="G16" s="453"/>
      <c r="H16" s="453"/>
      <c r="I16" s="453">
        <f>4*I2</f>
        <v>9276.0360698030654</v>
      </c>
      <c r="J16" s="453">
        <f t="shared" ref="J16:O16" si="8">4*J2</f>
        <v>8396.0473721247363</v>
      </c>
      <c r="K16" s="453">
        <f t="shared" si="8"/>
        <v>8379.5272063481007</v>
      </c>
      <c r="L16" s="453">
        <f t="shared" si="8"/>
        <v>9911.3707612257385</v>
      </c>
      <c r="M16" s="453">
        <f t="shared" si="8"/>
        <v>9207.4050040232687</v>
      </c>
      <c r="N16" s="453">
        <f t="shared" si="8"/>
        <v>8868.2490254085369</v>
      </c>
      <c r="O16" s="453">
        <f t="shared" si="8"/>
        <v>8869.5215286061357</v>
      </c>
      <c r="P16" s="546">
        <f t="shared" si="1"/>
        <v>62908.156967539588</v>
      </c>
      <c r="R16" s="620">
        <f>+P17</f>
        <v>484715.82946032332</v>
      </c>
      <c r="S16" s="534" t="s">
        <v>548</v>
      </c>
    </row>
    <row r="17" spans="1:22" x14ac:dyDescent="0.25">
      <c r="C17" s="543"/>
      <c r="D17" s="547">
        <f>SUM(D5:D16)</f>
        <v>6744.3971405777347</v>
      </c>
      <c r="E17" s="547">
        <f t="shared" ref="E17:P17" si="9">SUM(E5:E16)</f>
        <v>7110.6745856952766</v>
      </c>
      <c r="F17" s="547">
        <f t="shared" si="9"/>
        <v>7157.5233751080514</v>
      </c>
      <c r="G17" s="547">
        <f t="shared" si="9"/>
        <v>13784.255769361309</v>
      </c>
      <c r="H17" s="547">
        <f t="shared" si="9"/>
        <v>22499.889513047947</v>
      </c>
      <c r="I17" s="547">
        <f t="shared" si="9"/>
        <v>58908.533432983902</v>
      </c>
      <c r="J17" s="547">
        <f t="shared" si="9"/>
        <v>57523.254781894822</v>
      </c>
      <c r="K17" s="547">
        <f t="shared" si="9"/>
        <v>57204.80799648106</v>
      </c>
      <c r="L17" s="547">
        <f t="shared" si="9"/>
        <v>68485.44604059984</v>
      </c>
      <c r="M17" s="547">
        <f t="shared" si="9"/>
        <v>63211.466782263764</v>
      </c>
      <c r="N17" s="547">
        <f t="shared" si="9"/>
        <v>61947.071332441541</v>
      </c>
      <c r="O17" s="547">
        <f t="shared" si="9"/>
        <v>60138.508709868118</v>
      </c>
      <c r="P17" s="547">
        <f t="shared" si="9"/>
        <v>484715.82946032332</v>
      </c>
      <c r="R17" s="574">
        <f>'Budget assumption'!N237*1000</f>
        <v>22587213.356072336</v>
      </c>
      <c r="S17" s="534" t="s">
        <v>549</v>
      </c>
    </row>
    <row r="19" spans="1:22" x14ac:dyDescent="0.25">
      <c r="C19" s="535" t="s">
        <v>477</v>
      </c>
      <c r="D19" s="536">
        <v>11.659574411492219</v>
      </c>
      <c r="E19" s="536">
        <v>12.579099378314503</v>
      </c>
      <c r="F19" s="536">
        <v>12.696711401944899</v>
      </c>
      <c r="G19" s="536">
        <v>12.876694391617644</v>
      </c>
      <c r="H19" s="536">
        <v>19.860830946990852</v>
      </c>
      <c r="I19" s="536">
        <v>12.477853201241681</v>
      </c>
      <c r="J19" s="536">
        <v>13.951557614032463</v>
      </c>
      <c r="K19" s="536">
        <v>15.780653872595295</v>
      </c>
      <c r="L19" s="536">
        <v>13.332486899684877</v>
      </c>
      <c r="M19" s="536">
        <v>14.449788141907202</v>
      </c>
      <c r="N19" s="536">
        <v>12.525775459616577</v>
      </c>
      <c r="O19" s="536">
        <v>16.703430374022854</v>
      </c>
      <c r="P19" s="581">
        <f>AVERAGE(D19:O19)</f>
        <v>14.074538007788421</v>
      </c>
      <c r="R19" s="624">
        <f>+R16/R17</f>
        <v>2.1459744582879789E-2</v>
      </c>
      <c r="S19" s="534" t="s">
        <v>550</v>
      </c>
      <c r="U19" s="574" t="s">
        <v>525</v>
      </c>
      <c r="V19" s="574">
        <v>997.26315789473688</v>
      </c>
    </row>
    <row r="20" spans="1:22" x14ac:dyDescent="0.25">
      <c r="C20" s="535" t="s">
        <v>478</v>
      </c>
      <c r="D20" s="537">
        <v>2063.7446708341226</v>
      </c>
      <c r="E20" s="537">
        <v>2226.5005899616672</v>
      </c>
      <c r="F20" s="537">
        <v>2247.317918144247</v>
      </c>
      <c r="G20" s="537">
        <v>2165.2161619505064</v>
      </c>
      <c r="H20" s="537">
        <v>2460.7569543321665</v>
      </c>
      <c r="I20" s="537">
        <v>2319.0090174507664</v>
      </c>
      <c r="J20" s="537">
        <v>2099.0118430311841</v>
      </c>
      <c r="K20" s="537">
        <v>2094.8818015870252</v>
      </c>
      <c r="L20" s="537">
        <v>2477.8426903064346</v>
      </c>
      <c r="M20" s="537">
        <v>2301.8512510058172</v>
      </c>
      <c r="N20" s="537">
        <v>2217.0622563521342</v>
      </c>
      <c r="O20" s="537">
        <v>2217.3803821515339</v>
      </c>
      <c r="P20" s="574">
        <f>AVERAGE(D20:O20)</f>
        <v>2240.8812947589668</v>
      </c>
      <c r="U20" s="574" t="s">
        <v>526</v>
      </c>
      <c r="V20" s="574">
        <v>461.93473684210528</v>
      </c>
    </row>
    <row r="21" spans="1:22" x14ac:dyDescent="0.25">
      <c r="C21" s="535" t="s">
        <v>524</v>
      </c>
      <c r="D21" s="537">
        <v>211.30421052631579</v>
      </c>
      <c r="E21" s="537"/>
      <c r="F21" s="537"/>
      <c r="G21" s="537"/>
      <c r="H21" s="537"/>
      <c r="I21" s="537"/>
      <c r="J21" s="537"/>
      <c r="K21" s="537"/>
      <c r="L21" s="537"/>
      <c r="M21" s="537"/>
      <c r="N21" s="537"/>
      <c r="O21" s="537"/>
      <c r="U21" s="574" t="s">
        <v>527</v>
      </c>
      <c r="V21" s="574">
        <v>1076.4526315789474</v>
      </c>
    </row>
    <row r="22" spans="1:22" x14ac:dyDescent="0.25">
      <c r="C22" s="538" t="s">
        <v>368</v>
      </c>
      <c r="D22" s="548">
        <v>47357</v>
      </c>
      <c r="E22" s="548">
        <v>42593</v>
      </c>
      <c r="F22" s="548">
        <f>+VOLUME!E7</f>
        <v>23002.001</v>
      </c>
      <c r="G22" s="549">
        <f>+VOLUME!F7</f>
        <v>44096</v>
      </c>
      <c r="H22" s="549">
        <f>+VOLUME!G7</f>
        <v>36000</v>
      </c>
      <c r="I22" s="549">
        <f>+VOLUME!H7</f>
        <v>54500.000999999997</v>
      </c>
      <c r="J22" s="549">
        <f>+VOLUME!I7</f>
        <v>41500</v>
      </c>
      <c r="K22" s="549">
        <f>+VOLUME!J7</f>
        <v>39000.000999999997</v>
      </c>
      <c r="L22" s="549">
        <f>+VOLUME!K7</f>
        <v>54085</v>
      </c>
      <c r="M22" s="549">
        <f>+VOLUME!L7</f>
        <v>49968</v>
      </c>
      <c r="N22" s="549">
        <f>+VOLUME!M7</f>
        <v>51936</v>
      </c>
      <c r="O22" s="549">
        <f>+VOLUME!N7</f>
        <v>42190</v>
      </c>
      <c r="P22" s="574">
        <f>SUM(D22:O22)</f>
        <v>526227.00300000003</v>
      </c>
      <c r="Q22" s="534" t="s">
        <v>514</v>
      </c>
    </row>
    <row r="23" spans="1:22" x14ac:dyDescent="0.25">
      <c r="D23" s="541" t="s">
        <v>0</v>
      </c>
      <c r="E23" s="541" t="s">
        <v>1</v>
      </c>
      <c r="F23" s="541" t="s">
        <v>130</v>
      </c>
      <c r="G23" s="541" t="s">
        <v>469</v>
      </c>
      <c r="H23" s="541" t="s">
        <v>4</v>
      </c>
      <c r="I23" s="541" t="s">
        <v>470</v>
      </c>
      <c r="J23" s="541" t="s">
        <v>471</v>
      </c>
      <c r="K23" s="541" t="s">
        <v>107</v>
      </c>
      <c r="L23" s="541" t="s">
        <v>437</v>
      </c>
      <c r="M23" s="541" t="s">
        <v>9</v>
      </c>
      <c r="N23" s="541" t="s">
        <v>10</v>
      </c>
      <c r="O23" s="541" t="s">
        <v>11</v>
      </c>
      <c r="P23" s="542" t="s">
        <v>480</v>
      </c>
    </row>
    <row r="24" spans="1:22" x14ac:dyDescent="0.25">
      <c r="A24" s="550" t="s">
        <v>493</v>
      </c>
      <c r="B24" s="575" t="s">
        <v>481</v>
      </c>
      <c r="C24" s="582" t="s">
        <v>158</v>
      </c>
      <c r="D24" s="453">
        <f t="shared" ref="D24:O24" si="10">$P$19*0.6*D$22/60</f>
        <v>6665.278964348362</v>
      </c>
      <c r="E24" s="453">
        <f t="shared" si="10"/>
        <v>5994.7679736573218</v>
      </c>
      <c r="F24" s="453">
        <f t="shared" si="10"/>
        <v>3237.4253732968727</v>
      </c>
      <c r="G24" s="453">
        <f t="shared" si="10"/>
        <v>6206.3082799143822</v>
      </c>
      <c r="H24" s="453">
        <f t="shared" si="10"/>
        <v>5066.8336828038309</v>
      </c>
      <c r="I24" s="453">
        <f t="shared" si="10"/>
        <v>7670.623354990068</v>
      </c>
      <c r="J24" s="453">
        <f t="shared" si="10"/>
        <v>5840.9332732321946</v>
      </c>
      <c r="K24" s="453">
        <f t="shared" si="10"/>
        <v>5489.0699637828639</v>
      </c>
      <c r="L24" s="453">
        <f t="shared" si="10"/>
        <v>7612.2138815123672</v>
      </c>
      <c r="M24" s="453">
        <f t="shared" si="10"/>
        <v>7032.7651517317172</v>
      </c>
      <c r="N24" s="453">
        <f t="shared" si="10"/>
        <v>7309.7520597249941</v>
      </c>
      <c r="O24" s="453">
        <f t="shared" si="10"/>
        <v>5938.0475854859351</v>
      </c>
      <c r="P24" s="673">
        <f>SUM(D24:O24)</f>
        <v>74064.019544480921</v>
      </c>
      <c r="S24" s="582" t="s">
        <v>158</v>
      </c>
      <c r="T24" s="656">
        <f>+SUMIF($C$24:$C$43,S24,$P$24:$P$43)</f>
        <v>478353.0362142502</v>
      </c>
    </row>
    <row r="25" spans="1:22" x14ac:dyDescent="0.25">
      <c r="A25" s="550" t="s">
        <v>493</v>
      </c>
      <c r="B25" s="544" t="s">
        <v>482</v>
      </c>
      <c r="C25" s="582" t="s">
        <v>158</v>
      </c>
      <c r="D25" s="453"/>
      <c r="E25" s="453"/>
      <c r="F25" s="453"/>
      <c r="G25" s="453"/>
      <c r="H25" s="453"/>
      <c r="I25" s="453"/>
      <c r="J25" s="453">
        <f t="shared" ref="J25:O25" si="11">$P$19*0.6*J$22/60</f>
        <v>5840.9332732321946</v>
      </c>
      <c r="K25" s="453">
        <f t="shared" si="11"/>
        <v>5489.0699637828639</v>
      </c>
      <c r="L25" s="453">
        <f t="shared" si="11"/>
        <v>7612.2138815123672</v>
      </c>
      <c r="M25" s="453">
        <f t="shared" si="11"/>
        <v>7032.7651517317172</v>
      </c>
      <c r="N25" s="453">
        <f t="shared" si="11"/>
        <v>7309.7520597249941</v>
      </c>
      <c r="O25" s="453">
        <f t="shared" si="11"/>
        <v>5938.0475854859351</v>
      </c>
      <c r="P25" s="673">
        <f t="shared" ref="P25:P53" si="12">SUM(D25:O25)</f>
        <v>39222.78191547007</v>
      </c>
      <c r="Q25" s="534" t="s">
        <v>515</v>
      </c>
      <c r="S25" s="582" t="s">
        <v>196</v>
      </c>
      <c r="T25" s="656">
        <f>+SUMIF($C$24:$C$43,S25,$P$24:$P$43)</f>
        <v>12000</v>
      </c>
    </row>
    <row r="26" spans="1:22" x14ac:dyDescent="0.25">
      <c r="A26" s="550" t="s">
        <v>493</v>
      </c>
      <c r="B26" s="544" t="s">
        <v>486</v>
      </c>
      <c r="C26" s="582" t="s">
        <v>158</v>
      </c>
      <c r="D26" s="453"/>
      <c r="E26" s="453"/>
      <c r="F26" s="453"/>
      <c r="G26" s="453"/>
      <c r="H26" s="453"/>
      <c r="I26" s="576"/>
      <c r="J26" s="453">
        <f>3*$P$20</f>
        <v>6722.6438842769003</v>
      </c>
      <c r="K26" s="453">
        <f t="shared" ref="K26:O26" si="13">3*$P$20</f>
        <v>6722.6438842769003</v>
      </c>
      <c r="L26" s="453">
        <f t="shared" si="13"/>
        <v>6722.6438842769003</v>
      </c>
      <c r="M26" s="453">
        <f t="shared" si="13"/>
        <v>6722.6438842769003</v>
      </c>
      <c r="N26" s="453">
        <f t="shared" si="13"/>
        <v>6722.6438842769003</v>
      </c>
      <c r="O26" s="453">
        <f t="shared" si="13"/>
        <v>6722.6438842769003</v>
      </c>
      <c r="P26" s="673">
        <f t="shared" ref="P26:P31" si="14">SUM(D26:O26)</f>
        <v>40335.863305661398</v>
      </c>
      <c r="S26" s="582" t="s">
        <v>83</v>
      </c>
      <c r="T26" s="656">
        <f>+SUMIF($C$24:$C$43,S26,$P$24:$P$43)</f>
        <v>9228</v>
      </c>
    </row>
    <row r="27" spans="1:22" ht="14.4" x14ac:dyDescent="0.3">
      <c r="A27" s="579" t="s">
        <v>518</v>
      </c>
      <c r="B27" s="544" t="s">
        <v>552</v>
      </c>
      <c r="C27" s="582" t="s">
        <v>158</v>
      </c>
      <c r="D27" s="577"/>
      <c r="E27" s="453"/>
      <c r="F27" s="453"/>
      <c r="G27" s="453"/>
      <c r="H27" s="453"/>
      <c r="I27" s="453"/>
      <c r="J27" s="453"/>
      <c r="K27" s="453">
        <f>+$P$20*3</f>
        <v>6722.6438842769003</v>
      </c>
      <c r="L27" s="453">
        <f t="shared" ref="L27:O27" si="15">+$P$20*3</f>
        <v>6722.6438842769003</v>
      </c>
      <c r="M27" s="453">
        <f t="shared" si="15"/>
        <v>6722.6438842769003</v>
      </c>
      <c r="N27" s="453">
        <f t="shared" si="15"/>
        <v>6722.6438842769003</v>
      </c>
      <c r="O27" s="453">
        <f t="shared" si="15"/>
        <v>6722.6438842769003</v>
      </c>
      <c r="P27" s="673">
        <f t="shared" si="14"/>
        <v>33613.2194213845</v>
      </c>
      <c r="S27"/>
    </row>
    <row r="28" spans="1:22" x14ac:dyDescent="0.25">
      <c r="A28" s="579" t="s">
        <v>518</v>
      </c>
      <c r="B28" s="544" t="s">
        <v>516</v>
      </c>
      <c r="C28" s="582" t="s">
        <v>158</v>
      </c>
      <c r="D28" s="453"/>
      <c r="E28" s="576"/>
      <c r="F28" s="576"/>
      <c r="G28" s="453"/>
      <c r="H28" s="453">
        <f t="shared" ref="H28:O28" si="16">13.85*100000/3600*$P$19*9/12/9</f>
        <v>451.23229492562416</v>
      </c>
      <c r="I28" s="453">
        <f t="shared" si="16"/>
        <v>451.23229492562416</v>
      </c>
      <c r="J28" s="453">
        <f t="shared" si="16"/>
        <v>451.23229492562416</v>
      </c>
      <c r="K28" s="453">
        <f t="shared" si="16"/>
        <v>451.23229492562416</v>
      </c>
      <c r="L28" s="453">
        <f t="shared" si="16"/>
        <v>451.23229492562416</v>
      </c>
      <c r="M28" s="453">
        <f t="shared" si="16"/>
        <v>451.23229492562416</v>
      </c>
      <c r="N28" s="453">
        <f t="shared" si="16"/>
        <v>451.23229492562416</v>
      </c>
      <c r="O28" s="453">
        <f t="shared" si="16"/>
        <v>451.23229492562416</v>
      </c>
      <c r="P28" s="673">
        <f t="shared" si="14"/>
        <v>3609.8583594049928</v>
      </c>
      <c r="S28" s="582" t="s">
        <v>82</v>
      </c>
      <c r="T28" s="656">
        <f>+SUMIF($C$24:$C$43,S28,$P$24:$P$43)</f>
        <v>10565.185263157895</v>
      </c>
    </row>
    <row r="29" spans="1:22" x14ac:dyDescent="0.25">
      <c r="A29" s="579" t="s">
        <v>518</v>
      </c>
      <c r="B29" s="544" t="s">
        <v>517</v>
      </c>
      <c r="C29" s="582" t="s">
        <v>158</v>
      </c>
      <c r="D29" s="577">
        <f t="shared" ref="D29:O29" si="17">D22*0.85*4/3600*$P$19</f>
        <v>629.49856885512315</v>
      </c>
      <c r="E29" s="577">
        <f t="shared" si="17"/>
        <v>566.17253084541369</v>
      </c>
      <c r="F29" s="577">
        <f t="shared" si="17"/>
        <v>305.75684081137132</v>
      </c>
      <c r="G29" s="577">
        <f t="shared" si="17"/>
        <v>586.15133754746944</v>
      </c>
      <c r="H29" s="577">
        <f t="shared" si="17"/>
        <v>478.53429226480631</v>
      </c>
      <c r="I29" s="577">
        <f t="shared" si="17"/>
        <v>724.44776130461764</v>
      </c>
      <c r="J29" s="577">
        <f t="shared" si="17"/>
        <v>551.64369802748502</v>
      </c>
      <c r="K29" s="577">
        <f t="shared" si="17"/>
        <v>518.41216324615937</v>
      </c>
      <c r="L29" s="577">
        <f t="shared" si="17"/>
        <v>718.93131103172368</v>
      </c>
      <c r="M29" s="577">
        <f t="shared" si="17"/>
        <v>664.20559766355109</v>
      </c>
      <c r="N29" s="577">
        <f t="shared" si="17"/>
        <v>690.36547230736051</v>
      </c>
      <c r="O29" s="577">
        <f t="shared" si="17"/>
        <v>560.81560529589387</v>
      </c>
      <c r="P29" s="673">
        <f t="shared" si="14"/>
        <v>6994.9351792009747</v>
      </c>
      <c r="S29" s="582" t="s">
        <v>76</v>
      </c>
      <c r="T29" s="656">
        <f>+SUMIF($C$24:$C$43,S29,$P$24:$P$43)</f>
        <v>58070</v>
      </c>
    </row>
    <row r="30" spans="1:22" x14ac:dyDescent="0.25">
      <c r="A30" s="579" t="s">
        <v>518</v>
      </c>
      <c r="B30" s="544" t="s">
        <v>519</v>
      </c>
      <c r="C30" s="582" t="s">
        <v>158</v>
      </c>
      <c r="D30" s="577"/>
      <c r="E30" s="577"/>
      <c r="F30" s="577"/>
      <c r="G30" s="577"/>
      <c r="H30" s="577"/>
      <c r="I30" s="577"/>
      <c r="J30" s="577">
        <f t="shared" ref="J30:O30" si="18">10.75*J22/3600*$P$19</f>
        <v>1744.1675746457249</v>
      </c>
      <c r="K30" s="577">
        <f t="shared" si="18"/>
        <v>1639.0972808518272</v>
      </c>
      <c r="L30" s="577">
        <f t="shared" si="18"/>
        <v>2273.0916451738321</v>
      </c>
      <c r="M30" s="577">
        <f t="shared" si="18"/>
        <v>2100.0618161421103</v>
      </c>
      <c r="N30" s="577">
        <f t="shared" si="18"/>
        <v>2182.7731845012136</v>
      </c>
      <c r="O30" s="577">
        <f t="shared" si="18"/>
        <v>1773.1669873326057</v>
      </c>
      <c r="P30" s="673">
        <f t="shared" si="14"/>
        <v>11712.358488647315</v>
      </c>
      <c r="S30" s="582" t="s">
        <v>80</v>
      </c>
      <c r="T30" s="656">
        <f>+SUMIF($C$24:$C$43,S30,$P$24:$P$43)</f>
        <v>38094.982010902444</v>
      </c>
    </row>
    <row r="31" spans="1:22" ht="14.4" x14ac:dyDescent="0.3">
      <c r="A31" s="579" t="s">
        <v>518</v>
      </c>
      <c r="B31" s="544" t="s">
        <v>551</v>
      </c>
      <c r="C31" s="582" t="s">
        <v>158</v>
      </c>
      <c r="D31" s="577">
        <f>54*(2300-1600)</f>
        <v>37800</v>
      </c>
      <c r="E31" s="577">
        <f>30*(2300-1600)</f>
        <v>21000</v>
      </c>
      <c r="F31" s="577">
        <f t="shared" ref="F31:O31" si="19">30*(2300-1600)</f>
        <v>21000</v>
      </c>
      <c r="G31" s="577">
        <f t="shared" si="19"/>
        <v>21000</v>
      </c>
      <c r="H31" s="577">
        <f t="shared" si="19"/>
        <v>21000</v>
      </c>
      <c r="I31" s="577">
        <f t="shared" si="19"/>
        <v>21000</v>
      </c>
      <c r="J31" s="577">
        <f t="shared" si="19"/>
        <v>21000</v>
      </c>
      <c r="K31" s="577">
        <f t="shared" si="19"/>
        <v>21000</v>
      </c>
      <c r="L31" s="577">
        <f t="shared" si="19"/>
        <v>21000</v>
      </c>
      <c r="M31" s="577">
        <f t="shared" si="19"/>
        <v>21000</v>
      </c>
      <c r="N31" s="577">
        <f t="shared" si="19"/>
        <v>21000</v>
      </c>
      <c r="O31" s="577">
        <f t="shared" si="19"/>
        <v>21000</v>
      </c>
      <c r="P31" s="673">
        <f t="shared" si="14"/>
        <v>268800</v>
      </c>
      <c r="S31"/>
    </row>
    <row r="32" spans="1:22" ht="14.4" x14ac:dyDescent="0.3">
      <c r="A32" s="550" t="s">
        <v>493</v>
      </c>
      <c r="B32" s="575" t="s">
        <v>483</v>
      </c>
      <c r="C32" s="582" t="s">
        <v>196</v>
      </c>
      <c r="D32" s="453">
        <v>1000</v>
      </c>
      <c r="E32" s="453">
        <v>1000</v>
      </c>
      <c r="F32" s="453">
        <v>1000</v>
      </c>
      <c r="G32" s="453">
        <v>1000</v>
      </c>
      <c r="H32" s="453">
        <v>1000</v>
      </c>
      <c r="I32" s="453">
        <v>1000</v>
      </c>
      <c r="J32" s="453">
        <v>1000</v>
      </c>
      <c r="K32" s="453">
        <v>1000</v>
      </c>
      <c r="L32" s="453">
        <v>1000</v>
      </c>
      <c r="M32" s="453">
        <v>1000</v>
      </c>
      <c r="N32" s="453">
        <v>1000</v>
      </c>
      <c r="O32" s="453">
        <v>1000</v>
      </c>
      <c r="P32" s="673">
        <f t="shared" si="12"/>
        <v>12000</v>
      </c>
      <c r="S32"/>
    </row>
    <row r="33" spans="1:19" ht="14.4" x14ac:dyDescent="0.3">
      <c r="A33" s="550" t="s">
        <v>493</v>
      </c>
      <c r="B33" s="544" t="s">
        <v>484</v>
      </c>
      <c r="C33" s="582" t="s">
        <v>83</v>
      </c>
      <c r="D33" s="576"/>
      <c r="E33" s="576"/>
      <c r="F33" s="453">
        <v>700</v>
      </c>
      <c r="G33" s="453">
        <v>700</v>
      </c>
      <c r="H33" s="453">
        <v>700</v>
      </c>
      <c r="I33" s="453">
        <v>700</v>
      </c>
      <c r="J33" s="453">
        <v>700</v>
      </c>
      <c r="K33" s="453">
        <v>700</v>
      </c>
      <c r="L33" s="453">
        <v>700</v>
      </c>
      <c r="M33" s="453">
        <v>700</v>
      </c>
      <c r="N33" s="453">
        <v>700</v>
      </c>
      <c r="O33" s="453">
        <v>700</v>
      </c>
      <c r="P33" s="671">
        <f t="shared" si="12"/>
        <v>7000</v>
      </c>
      <c r="Q33" s="534" t="s">
        <v>515</v>
      </c>
      <c r="S33"/>
    </row>
    <row r="34" spans="1:19" ht="14.4" x14ac:dyDescent="0.3">
      <c r="A34" s="550" t="s">
        <v>493</v>
      </c>
      <c r="B34" s="544" t="s">
        <v>485</v>
      </c>
      <c r="C34" s="582" t="s">
        <v>83</v>
      </c>
      <c r="D34" s="576"/>
      <c r="E34" s="576"/>
      <c r="F34" s="453">
        <v>222.8</v>
      </c>
      <c r="G34" s="453">
        <v>222.8</v>
      </c>
      <c r="H34" s="453">
        <v>222.8</v>
      </c>
      <c r="I34" s="453">
        <v>222.8</v>
      </c>
      <c r="J34" s="453">
        <v>222.8</v>
      </c>
      <c r="K34" s="453">
        <v>222.8</v>
      </c>
      <c r="L34" s="453">
        <v>222.8</v>
      </c>
      <c r="M34" s="453">
        <v>222.8</v>
      </c>
      <c r="N34" s="453">
        <v>222.8</v>
      </c>
      <c r="O34" s="453">
        <v>222.8</v>
      </c>
      <c r="P34" s="671">
        <f t="shared" si="12"/>
        <v>2228</v>
      </c>
      <c r="Q34" s="534" t="s">
        <v>515</v>
      </c>
      <c r="S34"/>
    </row>
    <row r="35" spans="1:19" ht="14.4" x14ac:dyDescent="0.3">
      <c r="A35" s="579" t="s">
        <v>518</v>
      </c>
      <c r="B35" s="544" t="s">
        <v>486</v>
      </c>
      <c r="C35" s="14" t="s">
        <v>82</v>
      </c>
      <c r="D35" s="453"/>
      <c r="E35" s="453"/>
      <c r="F35" s="453"/>
      <c r="G35" s="453"/>
      <c r="H35" s="453"/>
      <c r="I35" s="576"/>
      <c r="J35" s="453">
        <f>3*$D$21</f>
        <v>633.91263157894741</v>
      </c>
      <c r="K35" s="453">
        <f t="shared" ref="K35:O35" si="20">3*$D$21</f>
        <v>633.91263157894741</v>
      </c>
      <c r="L35" s="453">
        <f t="shared" si="20"/>
        <v>633.91263157894741</v>
      </c>
      <c r="M35" s="453">
        <f t="shared" si="20"/>
        <v>633.91263157894741</v>
      </c>
      <c r="N35" s="453">
        <f t="shared" si="20"/>
        <v>633.91263157894741</v>
      </c>
      <c r="O35" s="453">
        <f t="shared" si="20"/>
        <v>633.91263157894741</v>
      </c>
      <c r="P35" s="673">
        <f t="shared" si="12"/>
        <v>3803.475789473684</v>
      </c>
      <c r="S35"/>
    </row>
    <row r="36" spans="1:19" ht="14.4" x14ac:dyDescent="0.3">
      <c r="A36" s="550" t="s">
        <v>493</v>
      </c>
      <c r="B36" s="544" t="s">
        <v>487</v>
      </c>
      <c r="C36" s="582" t="s">
        <v>76</v>
      </c>
      <c r="D36" s="453"/>
      <c r="E36" s="453"/>
      <c r="F36" s="453"/>
      <c r="G36" s="576"/>
      <c r="H36" s="453">
        <f t="shared" ref="H36:O36" si="21">+$P$36/SUM($H$22:$O$22)*H22</f>
        <v>5662.6189156879518</v>
      </c>
      <c r="I36" s="453">
        <f t="shared" si="21"/>
        <v>8572.5760157670065</v>
      </c>
      <c r="J36" s="453">
        <f t="shared" si="21"/>
        <v>6527.7412500291666</v>
      </c>
      <c r="K36" s="453">
        <f t="shared" si="21"/>
        <v>6134.5039826235834</v>
      </c>
      <c r="L36" s="453">
        <f t="shared" si="21"/>
        <v>8507.2984459717463</v>
      </c>
      <c r="M36" s="453">
        <f t="shared" si="21"/>
        <v>7859.7150549748767</v>
      </c>
      <c r="N36" s="453">
        <f t="shared" si="21"/>
        <v>8169.2715556991516</v>
      </c>
      <c r="O36" s="453">
        <f t="shared" si="21"/>
        <v>6636.2747792465188</v>
      </c>
      <c r="P36" s="673">
        <v>58070</v>
      </c>
      <c r="S36"/>
    </row>
    <row r="37" spans="1:19" ht="14.4" x14ac:dyDescent="0.3">
      <c r="A37" s="579" t="s">
        <v>518</v>
      </c>
      <c r="B37" s="544" t="s">
        <v>520</v>
      </c>
      <c r="C37" s="582" t="s">
        <v>80</v>
      </c>
      <c r="D37" s="577"/>
      <c r="E37" s="453">
        <f>+$P$20</f>
        <v>2240.8812947589668</v>
      </c>
      <c r="F37" s="453">
        <f t="shared" ref="F37:O38" si="22">+$P$20</f>
        <v>2240.8812947589668</v>
      </c>
      <c r="G37" s="453">
        <f t="shared" si="22"/>
        <v>2240.8812947589668</v>
      </c>
      <c r="H37" s="453">
        <f t="shared" si="22"/>
        <v>2240.8812947589668</v>
      </c>
      <c r="I37" s="453">
        <f t="shared" si="22"/>
        <v>2240.8812947589668</v>
      </c>
      <c r="J37" s="453">
        <f t="shared" si="22"/>
        <v>2240.8812947589668</v>
      </c>
      <c r="K37" s="453">
        <f t="shared" si="22"/>
        <v>2240.8812947589668</v>
      </c>
      <c r="L37" s="453">
        <f t="shared" si="22"/>
        <v>2240.8812947589668</v>
      </c>
      <c r="M37" s="453">
        <f t="shared" si="22"/>
        <v>2240.8812947589668</v>
      </c>
      <c r="N37" s="453">
        <f t="shared" si="22"/>
        <v>2240.8812947589668</v>
      </c>
      <c r="O37" s="453">
        <f t="shared" si="22"/>
        <v>2240.8812947589668</v>
      </c>
      <c r="P37" s="673">
        <f t="shared" si="12"/>
        <v>24649.69424234864</v>
      </c>
      <c r="S37"/>
    </row>
    <row r="38" spans="1:19" ht="14.4" x14ac:dyDescent="0.3">
      <c r="A38" s="579" t="s">
        <v>518</v>
      </c>
      <c r="B38" s="544" t="s">
        <v>520</v>
      </c>
      <c r="C38" s="582" t="s">
        <v>80</v>
      </c>
      <c r="D38" s="577"/>
      <c r="E38" s="453"/>
      <c r="F38" s="453"/>
      <c r="G38" s="453"/>
      <c r="H38" s="453"/>
      <c r="I38" s="453"/>
      <c r="J38" s="453">
        <f>+$P$20</f>
        <v>2240.8812947589668</v>
      </c>
      <c r="K38" s="453">
        <f t="shared" si="22"/>
        <v>2240.8812947589668</v>
      </c>
      <c r="L38" s="453">
        <f t="shared" si="22"/>
        <v>2240.8812947589668</v>
      </c>
      <c r="M38" s="453">
        <f t="shared" si="22"/>
        <v>2240.8812947589668</v>
      </c>
      <c r="N38" s="453">
        <f t="shared" si="22"/>
        <v>2240.8812947589668</v>
      </c>
      <c r="O38" s="453">
        <f t="shared" si="22"/>
        <v>2240.8812947589668</v>
      </c>
      <c r="P38" s="673">
        <f t="shared" si="12"/>
        <v>13445.287768553801</v>
      </c>
      <c r="S38"/>
    </row>
    <row r="39" spans="1:19" ht="14.4" x14ac:dyDescent="0.3">
      <c r="A39" s="579" t="s">
        <v>518</v>
      </c>
      <c r="B39" s="544" t="s">
        <v>520</v>
      </c>
      <c r="C39" s="14" t="s">
        <v>82</v>
      </c>
      <c r="D39" s="577"/>
      <c r="E39" s="453"/>
      <c r="F39" s="453"/>
      <c r="G39" s="453"/>
      <c r="H39" s="453"/>
      <c r="I39" s="453"/>
      <c r="J39" s="453">
        <v>211.3</v>
      </c>
      <c r="K39" s="453">
        <v>211.3</v>
      </c>
      <c r="L39" s="453">
        <v>211.3</v>
      </c>
      <c r="M39" s="453">
        <v>211.3</v>
      </c>
      <c r="N39" s="453">
        <v>211.3</v>
      </c>
      <c r="O39" s="453">
        <v>211.3</v>
      </c>
      <c r="P39" s="673">
        <f t="shared" si="12"/>
        <v>1267.8</v>
      </c>
      <c r="S39"/>
    </row>
    <row r="40" spans="1:19" ht="14.4" x14ac:dyDescent="0.3">
      <c r="A40" s="579" t="s">
        <v>518</v>
      </c>
      <c r="B40" s="544" t="s">
        <v>552</v>
      </c>
      <c r="C40" s="14" t="s">
        <v>82</v>
      </c>
      <c r="D40" s="577"/>
      <c r="E40" s="453"/>
      <c r="F40" s="453"/>
      <c r="G40" s="453"/>
      <c r="H40" s="453"/>
      <c r="I40" s="453"/>
      <c r="J40" s="453"/>
      <c r="K40" s="453">
        <f>3*$D$21</f>
        <v>633.91263157894741</v>
      </c>
      <c r="L40" s="453">
        <f t="shared" ref="L40:O40" si="23">3*$D$21</f>
        <v>633.91263157894741</v>
      </c>
      <c r="M40" s="453">
        <f t="shared" si="23"/>
        <v>633.91263157894741</v>
      </c>
      <c r="N40" s="453">
        <f t="shared" si="23"/>
        <v>633.91263157894741</v>
      </c>
      <c r="O40" s="453">
        <f t="shared" si="23"/>
        <v>633.91263157894741</v>
      </c>
      <c r="P40" s="673">
        <f t="shared" si="12"/>
        <v>3169.5631578947368</v>
      </c>
      <c r="S40"/>
    </row>
    <row r="41" spans="1:19" ht="14.4" x14ac:dyDescent="0.3">
      <c r="A41" s="579" t="s">
        <v>518</v>
      </c>
      <c r="B41" s="544" t="s">
        <v>520</v>
      </c>
      <c r="C41" s="14" t="s">
        <v>82</v>
      </c>
      <c r="D41" s="577"/>
      <c r="E41" s="453">
        <f t="shared" ref="E41:I41" si="24">1*$D$21</f>
        <v>211.30421052631579</v>
      </c>
      <c r="F41" s="453">
        <f t="shared" si="24"/>
        <v>211.30421052631579</v>
      </c>
      <c r="G41" s="453">
        <f t="shared" si="24"/>
        <v>211.30421052631579</v>
      </c>
      <c r="H41" s="453">
        <f t="shared" si="24"/>
        <v>211.30421052631579</v>
      </c>
      <c r="I41" s="453">
        <f t="shared" si="24"/>
        <v>211.30421052631579</v>
      </c>
      <c r="J41" s="453">
        <f>1*$D$21</f>
        <v>211.30421052631579</v>
      </c>
      <c r="K41" s="453">
        <f t="shared" ref="K41:O41" si="25">1*$D$21</f>
        <v>211.30421052631579</v>
      </c>
      <c r="L41" s="453">
        <f t="shared" si="25"/>
        <v>211.30421052631579</v>
      </c>
      <c r="M41" s="453">
        <f t="shared" si="25"/>
        <v>211.30421052631579</v>
      </c>
      <c r="N41" s="453">
        <f t="shared" si="25"/>
        <v>211.30421052631579</v>
      </c>
      <c r="O41" s="453">
        <f t="shared" si="25"/>
        <v>211.30421052631579</v>
      </c>
      <c r="P41" s="673">
        <f t="shared" si="12"/>
        <v>2324.3463157894735</v>
      </c>
      <c r="S41"/>
    </row>
    <row r="42" spans="1:19" ht="14.4" x14ac:dyDescent="0.25">
      <c r="B42" s="586"/>
      <c r="C42" s="583" t="s">
        <v>114</v>
      </c>
      <c r="D42" s="584">
        <f t="shared" ref="D42:P42" si="26">SUM(D24:D41)</f>
        <v>46094.777533203487</v>
      </c>
      <c r="E42" s="584">
        <f t="shared" si="26"/>
        <v>31013.126009788015</v>
      </c>
      <c r="F42" s="584">
        <f t="shared" si="26"/>
        <v>28918.167719393525</v>
      </c>
      <c r="G42" s="584">
        <f t="shared" si="26"/>
        <v>32167.445122747136</v>
      </c>
      <c r="H42" s="584">
        <f t="shared" si="26"/>
        <v>37034.204690967497</v>
      </c>
      <c r="I42" s="584">
        <f t="shared" si="26"/>
        <v>42793.864932272598</v>
      </c>
      <c r="J42" s="584">
        <f t="shared" si="26"/>
        <v>56140.374679992499</v>
      </c>
      <c r="K42" s="584">
        <f t="shared" si="26"/>
        <v>62261.66548096887</v>
      </c>
      <c r="L42" s="584">
        <f t="shared" si="26"/>
        <v>69715.261291883609</v>
      </c>
      <c r="M42" s="584">
        <f t="shared" si="26"/>
        <v>67681.024898925549</v>
      </c>
      <c r="N42" s="584">
        <f t="shared" si="26"/>
        <v>68653.426458639282</v>
      </c>
      <c r="O42" s="584">
        <f t="shared" si="26"/>
        <v>63837.864669528462</v>
      </c>
      <c r="P42" s="584">
        <f t="shared" si="26"/>
        <v>606311.20348831068</v>
      </c>
    </row>
    <row r="43" spans="1:19" ht="14.4" x14ac:dyDescent="0.25">
      <c r="B43" s="590"/>
      <c r="D43" s="591"/>
      <c r="E43" s="591"/>
      <c r="F43" s="591"/>
      <c r="G43" s="591"/>
      <c r="H43" s="591"/>
      <c r="I43" s="591"/>
      <c r="J43" s="591"/>
      <c r="K43" s="591"/>
      <c r="L43" s="591"/>
      <c r="M43" s="591"/>
      <c r="N43" s="591"/>
      <c r="O43" s="591"/>
      <c r="P43" s="592"/>
    </row>
    <row r="44" spans="1:19" ht="14.4" x14ac:dyDescent="0.25">
      <c r="B44" s="590"/>
      <c r="D44" s="591"/>
      <c r="E44" s="591"/>
      <c r="F44" s="591"/>
      <c r="G44" s="591"/>
      <c r="H44" s="591"/>
      <c r="I44" s="591"/>
      <c r="J44" s="591"/>
      <c r="K44" s="591"/>
      <c r="L44" s="591"/>
      <c r="M44" s="591"/>
      <c r="N44" s="591"/>
      <c r="O44" s="591"/>
      <c r="P44" s="592"/>
    </row>
    <row r="45" spans="1:19" ht="14.4" x14ac:dyDescent="0.25">
      <c r="B45" s="590"/>
      <c r="D45" s="591"/>
      <c r="E45" s="591"/>
      <c r="F45" s="591"/>
      <c r="G45" s="591"/>
      <c r="H45" s="591"/>
      <c r="I45" s="591"/>
      <c r="J45" s="591"/>
      <c r="K45" s="591"/>
      <c r="L45" s="591"/>
      <c r="M45" s="591"/>
      <c r="N45" s="591"/>
      <c r="O45" s="591"/>
      <c r="P45" s="592"/>
    </row>
    <row r="46" spans="1:19" ht="14.4" x14ac:dyDescent="0.25">
      <c r="B46" s="578" t="s">
        <v>521</v>
      </c>
      <c r="C46" s="545" t="s">
        <v>158</v>
      </c>
      <c r="D46" s="577"/>
      <c r="E46" s="577"/>
      <c r="F46" s="577"/>
      <c r="G46" s="577"/>
      <c r="H46" s="580">
        <f>100*(2200-1400)</f>
        <v>80000</v>
      </c>
      <c r="I46" s="580">
        <f t="shared" ref="I46:O46" si="27">100*(2200-1400)</f>
        <v>80000</v>
      </c>
      <c r="J46" s="580">
        <f t="shared" si="27"/>
        <v>80000</v>
      </c>
      <c r="K46" s="580">
        <f t="shared" si="27"/>
        <v>80000</v>
      </c>
      <c r="L46" s="580">
        <f t="shared" si="27"/>
        <v>80000</v>
      </c>
      <c r="M46" s="580">
        <f t="shared" si="27"/>
        <v>80000</v>
      </c>
      <c r="N46" s="580">
        <f t="shared" si="27"/>
        <v>80000</v>
      </c>
      <c r="O46" s="580">
        <f t="shared" si="27"/>
        <v>80000</v>
      </c>
      <c r="P46" s="546">
        <v>640000</v>
      </c>
      <c r="Q46" s="545" t="s">
        <v>522</v>
      </c>
    </row>
    <row r="47" spans="1:19" ht="14.4" x14ac:dyDescent="0.25">
      <c r="B47" s="578" t="s">
        <v>523</v>
      </c>
      <c r="C47" s="545" t="s">
        <v>86</v>
      </c>
      <c r="D47" s="577"/>
      <c r="E47" s="577"/>
      <c r="F47" s="577"/>
      <c r="G47" s="577"/>
      <c r="H47" s="577"/>
      <c r="I47" s="577"/>
      <c r="J47" s="577"/>
      <c r="K47" s="577"/>
      <c r="L47" s="577"/>
      <c r="M47" s="577"/>
      <c r="N47" s="577"/>
      <c r="O47" s="577"/>
      <c r="P47" s="546">
        <v>300000</v>
      </c>
      <c r="Q47" s="545" t="s">
        <v>522</v>
      </c>
    </row>
    <row r="48" spans="1:19" ht="14.4" x14ac:dyDescent="0.25">
      <c r="B48" s="587"/>
      <c r="C48" s="593"/>
      <c r="D48" s="588"/>
      <c r="E48" s="588"/>
      <c r="F48" s="588"/>
      <c r="G48" s="588"/>
      <c r="H48" s="588"/>
      <c r="I48" s="588"/>
      <c r="J48" s="588"/>
      <c r="K48" s="588"/>
      <c r="L48" s="588"/>
      <c r="M48" s="588"/>
      <c r="N48" s="588"/>
      <c r="O48" s="588"/>
      <c r="P48" s="589"/>
    </row>
    <row r="49" spans="1:16" x14ac:dyDescent="0.25">
      <c r="A49" s="585" t="s">
        <v>528</v>
      </c>
      <c r="B49" s="544" t="s">
        <v>488</v>
      </c>
      <c r="C49" s="545" t="s">
        <v>158</v>
      </c>
      <c r="D49" s="577"/>
      <c r="E49" s="577"/>
      <c r="F49" s="577"/>
      <c r="G49" s="577"/>
      <c r="H49" s="577"/>
      <c r="I49" s="577"/>
      <c r="J49" s="577"/>
      <c r="K49" s="577"/>
      <c r="L49" s="577"/>
      <c r="M49" s="577"/>
      <c r="N49" s="577"/>
      <c r="O49" s="577"/>
      <c r="P49" s="546">
        <f t="shared" si="12"/>
        <v>0</v>
      </c>
    </row>
    <row r="50" spans="1:16" x14ac:dyDescent="0.25">
      <c r="A50" s="585" t="s">
        <v>528</v>
      </c>
      <c r="B50" s="544" t="s">
        <v>489</v>
      </c>
      <c r="C50" s="545" t="s">
        <v>158</v>
      </c>
      <c r="D50" s="577"/>
      <c r="E50" s="577"/>
      <c r="F50" s="577"/>
      <c r="G50" s="577"/>
      <c r="H50" s="577"/>
      <c r="I50" s="577"/>
      <c r="J50" s="577"/>
      <c r="K50" s="577"/>
      <c r="L50" s="577"/>
      <c r="M50" s="577"/>
      <c r="N50" s="577"/>
      <c r="O50" s="577"/>
      <c r="P50" s="546">
        <f t="shared" si="12"/>
        <v>0</v>
      </c>
    </row>
    <row r="51" spans="1:16" x14ac:dyDescent="0.25">
      <c r="A51" s="585" t="s">
        <v>528</v>
      </c>
      <c r="B51" s="544" t="s">
        <v>490</v>
      </c>
      <c r="C51" s="545" t="s">
        <v>158</v>
      </c>
      <c r="D51" s="577"/>
      <c r="E51" s="577"/>
      <c r="F51" s="577"/>
      <c r="G51" s="577"/>
      <c r="H51" s="577"/>
      <c r="I51" s="577"/>
      <c r="J51" s="577"/>
      <c r="K51" s="577"/>
      <c r="L51" s="577"/>
      <c r="M51" s="577"/>
      <c r="N51" s="577"/>
      <c r="O51" s="577"/>
      <c r="P51" s="546">
        <f t="shared" si="12"/>
        <v>0</v>
      </c>
    </row>
    <row r="52" spans="1:16" x14ac:dyDescent="0.25">
      <c r="A52" s="585" t="s">
        <v>528</v>
      </c>
      <c r="B52" s="544" t="s">
        <v>491</v>
      </c>
      <c r="C52" s="545" t="s">
        <v>158</v>
      </c>
      <c r="D52" s="577"/>
      <c r="E52" s="577"/>
      <c r="F52" s="577"/>
      <c r="G52" s="577"/>
      <c r="H52" s="577"/>
      <c r="I52" s="577"/>
      <c r="J52" s="577"/>
      <c r="K52" s="577"/>
      <c r="L52" s="577"/>
      <c r="M52" s="577"/>
      <c r="N52" s="577"/>
      <c r="O52" s="577"/>
      <c r="P52" s="546">
        <f t="shared" si="12"/>
        <v>0</v>
      </c>
    </row>
    <row r="53" spans="1:16" x14ac:dyDescent="0.25">
      <c r="A53" s="585" t="s">
        <v>528</v>
      </c>
      <c r="B53" s="544" t="s">
        <v>492</v>
      </c>
      <c r="C53" s="545" t="s">
        <v>158</v>
      </c>
      <c r="D53" s="577"/>
      <c r="E53" s="577"/>
      <c r="F53" s="577"/>
      <c r="G53" s="577"/>
      <c r="H53" s="577"/>
      <c r="I53" s="577"/>
      <c r="J53" s="577"/>
      <c r="K53" s="577"/>
      <c r="L53" s="577"/>
      <c r="M53" s="577"/>
      <c r="N53" s="577"/>
      <c r="O53" s="577"/>
      <c r="P53" s="546">
        <f t="shared" si="12"/>
        <v>0</v>
      </c>
    </row>
    <row r="54" spans="1:16" x14ac:dyDescent="0.25">
      <c r="C54" s="550"/>
      <c r="D54" s="551">
        <f t="shared" ref="D54:P54" si="28">SUM(D24:D53)</f>
        <v>92189.555066406974</v>
      </c>
      <c r="E54" s="552">
        <f t="shared" si="28"/>
        <v>62026.25201957603</v>
      </c>
      <c r="F54" s="552">
        <f t="shared" si="28"/>
        <v>57836.335438787049</v>
      </c>
      <c r="G54" s="552">
        <f t="shared" si="28"/>
        <v>64334.890245494273</v>
      </c>
      <c r="H54" s="552">
        <f t="shared" si="28"/>
        <v>154068.40938193499</v>
      </c>
      <c r="I54" s="552">
        <f t="shared" si="28"/>
        <v>165587.7298645452</v>
      </c>
      <c r="J54" s="552">
        <f t="shared" si="28"/>
        <v>192280.749359985</v>
      </c>
      <c r="K54" s="552">
        <f t="shared" si="28"/>
        <v>204523.33096193773</v>
      </c>
      <c r="L54" s="552">
        <f t="shared" si="28"/>
        <v>219430.52258376722</v>
      </c>
      <c r="M54" s="552">
        <f t="shared" si="28"/>
        <v>215362.0497978511</v>
      </c>
      <c r="N54" s="552">
        <f t="shared" si="28"/>
        <v>217306.85291727856</v>
      </c>
      <c r="O54" s="552">
        <f t="shared" si="28"/>
        <v>207675.72933905694</v>
      </c>
      <c r="P54" s="552">
        <f t="shared" si="28"/>
        <v>2152622.4069766216</v>
      </c>
    </row>
  </sheetData>
  <autoFilter ref="A23:V42" xr:uid="{AC20BCB8-F324-40D2-9766-EF1F3F7F92CA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84B0-A6AA-48B7-B3DA-0069D8188816}">
  <dimension ref="A1"/>
  <sheetViews>
    <sheetView workbookViewId="0">
      <selection activeCell="M16" sqref="M16"/>
    </sheetView>
  </sheetViews>
  <sheetFormatPr defaultColWidth="8.77734375" defaultRowHeight="14.4" x14ac:dyDescent="0.3"/>
  <cols>
    <col min="1" max="16384" width="8.77734375" style="472"/>
  </cols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D2FF-1E13-414A-9DC4-1167D1F04D46}">
  <sheetPr>
    <tabColor rgb="FF4FF22E"/>
  </sheetPr>
  <dimension ref="A1:Y40"/>
  <sheetViews>
    <sheetView showGridLines="0" zoomScale="80" zoomScaleNormal="80" workbookViewId="0">
      <pane ySplit="3" topLeftCell="A6" activePane="bottomLeft" state="frozen"/>
      <selection pane="bottomLeft" activeCell="X13" sqref="X13"/>
    </sheetView>
  </sheetViews>
  <sheetFormatPr defaultRowHeight="14.4" outlineLevelCol="1" x14ac:dyDescent="0.3"/>
  <cols>
    <col min="1" max="1" width="35" customWidth="1"/>
    <col min="2" max="2" width="10.5546875" customWidth="1"/>
    <col min="3" max="3" width="8.5546875" customWidth="1"/>
    <col min="4" max="4" width="6.77734375" bestFit="1" customWidth="1"/>
    <col min="5" max="5" width="11.44140625" customWidth="1"/>
    <col min="6" max="6" width="10.5546875" hidden="1" customWidth="1" outlineLevel="1"/>
    <col min="7" max="7" width="12.33203125" style="159" hidden="1" customWidth="1" outlineLevel="1"/>
    <col min="8" max="8" width="10.77734375" style="159" hidden="1" customWidth="1" outlineLevel="1"/>
    <col min="9" max="9" width="11.5546875" customWidth="1" collapsed="1"/>
    <col min="10" max="14" width="11.21875" customWidth="1" outlineLevel="1"/>
    <col min="15" max="15" width="12.44140625" customWidth="1" outlineLevel="1"/>
    <col min="16" max="16" width="10.21875" customWidth="1"/>
    <col min="17" max="17" width="9.44140625" customWidth="1"/>
    <col min="18" max="18" width="7.77734375" style="50" bestFit="1" customWidth="1"/>
    <col min="19" max="19" width="6.5546875" style="50" bestFit="1" customWidth="1"/>
    <col min="20" max="20" width="9.5546875" style="50" bestFit="1" customWidth="1"/>
    <col min="21" max="21" width="1.44140625" style="50" customWidth="1"/>
    <col min="23" max="25" width="10" bestFit="1" customWidth="1"/>
  </cols>
  <sheetData>
    <row r="1" spans="1:25" x14ac:dyDescent="0.3">
      <c r="A1" s="51"/>
      <c r="B1" s="51"/>
      <c r="C1" s="51"/>
      <c r="D1" s="52"/>
      <c r="E1" s="51"/>
      <c r="F1" s="53"/>
      <c r="G1" s="404"/>
      <c r="H1" s="404"/>
      <c r="I1" s="53"/>
      <c r="J1" s="51"/>
      <c r="K1" s="190"/>
      <c r="L1" s="51"/>
      <c r="M1" s="51"/>
      <c r="N1" s="51"/>
      <c r="O1" s="51"/>
      <c r="P1" s="53"/>
      <c r="Q1" s="190"/>
      <c r="R1" s="51"/>
      <c r="S1" s="51"/>
      <c r="T1" s="51"/>
      <c r="U1" s="51"/>
    </row>
    <row r="2" spans="1:25" ht="14.55" customHeight="1" x14ac:dyDescent="0.3">
      <c r="A2" s="742" t="s">
        <v>441</v>
      </c>
      <c r="B2" s="751" t="s">
        <v>59</v>
      </c>
      <c r="C2" s="752"/>
      <c r="D2" s="755"/>
      <c r="E2" s="742" t="s">
        <v>60</v>
      </c>
      <c r="F2" s="787" t="s">
        <v>61</v>
      </c>
      <c r="G2" s="787" t="s">
        <v>62</v>
      </c>
      <c r="H2" s="787" t="s">
        <v>63</v>
      </c>
      <c r="I2" s="742" t="s">
        <v>64</v>
      </c>
      <c r="J2" s="779" t="s">
        <v>370</v>
      </c>
      <c r="K2" s="779" t="s">
        <v>45</v>
      </c>
      <c r="L2" s="779" t="s">
        <v>47</v>
      </c>
      <c r="M2" s="779" t="s">
        <v>49</v>
      </c>
      <c r="N2" s="779" t="s">
        <v>51</v>
      </c>
      <c r="O2" s="779" t="s">
        <v>55</v>
      </c>
      <c r="P2" s="781" t="s">
        <v>65</v>
      </c>
      <c r="Q2" s="744" t="s">
        <v>57</v>
      </c>
      <c r="R2" s="745"/>
      <c r="S2" s="60"/>
      <c r="T2" s="60"/>
      <c r="U2" s="60"/>
    </row>
    <row r="3" spans="1:25" x14ac:dyDescent="0.3">
      <c r="A3" s="743"/>
      <c r="B3" s="753"/>
      <c r="C3" s="754"/>
      <c r="D3" s="755"/>
      <c r="E3" s="743"/>
      <c r="F3" s="788"/>
      <c r="G3" s="788"/>
      <c r="H3" s="788"/>
      <c r="I3" s="743"/>
      <c r="J3" s="780"/>
      <c r="K3" s="780"/>
      <c r="L3" s="780"/>
      <c r="M3" s="780"/>
      <c r="N3" s="780"/>
      <c r="O3" s="780"/>
      <c r="P3" s="782"/>
      <c r="Q3" s="746"/>
      <c r="R3" s="747"/>
      <c r="S3" s="60"/>
      <c r="T3" s="60"/>
      <c r="U3" s="60"/>
    </row>
    <row r="4" spans="1:25" x14ac:dyDescent="0.3">
      <c r="A4" s="51"/>
      <c r="B4" s="740">
        <f>'data entry '!N3</f>
        <v>565022</v>
      </c>
      <c r="C4" s="741"/>
      <c r="D4" s="52"/>
      <c r="E4" s="59">
        <f>Q4-B4</f>
        <v>-38794.996000000043</v>
      </c>
      <c r="Q4" s="740">
        <f>+VOLUME!O7</f>
        <v>526227.00399999996</v>
      </c>
      <c r="R4" s="741"/>
      <c r="S4" s="61"/>
      <c r="T4" s="61"/>
      <c r="U4" s="61"/>
      <c r="W4" s="712" t="s">
        <v>562</v>
      </c>
      <c r="X4" s="712" t="s">
        <v>66</v>
      </c>
      <c r="Y4" s="712" t="s">
        <v>563</v>
      </c>
    </row>
    <row r="5" spans="1:25" x14ac:dyDescent="0.3">
      <c r="A5" s="55" t="s">
        <v>68</v>
      </c>
      <c r="B5" s="54"/>
      <c r="C5" s="51"/>
      <c r="D5" s="52"/>
      <c r="E5" s="193">
        <f>E4/B4</f>
        <v>-6.8661036207439782E-2</v>
      </c>
      <c r="F5" s="191"/>
      <c r="G5" s="473"/>
      <c r="H5" s="404"/>
      <c r="I5" s="191"/>
      <c r="J5" s="51"/>
      <c r="K5" s="51"/>
      <c r="L5" s="51"/>
      <c r="M5" s="51"/>
      <c r="N5" s="51"/>
      <c r="O5" s="205"/>
      <c r="P5" s="53"/>
      <c r="Q5" s="228"/>
      <c r="R5" s="229"/>
      <c r="S5" s="230"/>
      <c r="T5" s="231" t="s">
        <v>69</v>
      </c>
      <c r="U5" s="231"/>
      <c r="W5" s="713"/>
      <c r="X5" s="714"/>
      <c r="Y5" s="714"/>
    </row>
    <row r="6" spans="1:25" ht="25.8" customHeight="1" x14ac:dyDescent="0.3">
      <c r="A6" s="51"/>
      <c r="B6" s="223" t="s">
        <v>71</v>
      </c>
      <c r="C6" s="221" t="s">
        <v>72</v>
      </c>
      <c r="D6" s="52"/>
      <c r="E6" s="223" t="s">
        <v>71</v>
      </c>
      <c r="F6" s="223" t="s">
        <v>71</v>
      </c>
      <c r="G6" s="223" t="s">
        <v>71</v>
      </c>
      <c r="H6" s="223" t="s">
        <v>71</v>
      </c>
      <c r="I6" s="223" t="s">
        <v>71</v>
      </c>
      <c r="J6" s="223" t="s">
        <v>71</v>
      </c>
      <c r="K6" s="223" t="s">
        <v>71</v>
      </c>
      <c r="L6" s="223" t="s">
        <v>71</v>
      </c>
      <c r="M6" s="223" t="s">
        <v>71</v>
      </c>
      <c r="N6" s="223" t="s">
        <v>73</v>
      </c>
      <c r="O6" s="223" t="s">
        <v>71</v>
      </c>
      <c r="P6" s="221" t="s">
        <v>71</v>
      </c>
      <c r="Q6" s="224" t="s">
        <v>71</v>
      </c>
      <c r="R6" s="221" t="s">
        <v>72</v>
      </c>
      <c r="S6" s="61"/>
      <c r="T6" s="235"/>
      <c r="U6" s="62"/>
      <c r="W6" s="715" t="s">
        <v>71</v>
      </c>
      <c r="X6" s="715" t="s">
        <v>71</v>
      </c>
      <c r="Y6" s="715" t="s">
        <v>71</v>
      </c>
    </row>
    <row r="7" spans="1:25" x14ac:dyDescent="0.3">
      <c r="A7" s="291" t="s">
        <v>74</v>
      </c>
      <c r="B7" s="56">
        <f>'data entry '!N5</f>
        <v>6077</v>
      </c>
      <c r="C7" s="322">
        <f>B7/$B$4*1000</f>
        <v>10.755333420645568</v>
      </c>
      <c r="D7" s="307"/>
      <c r="E7" s="239">
        <f>I7-B7</f>
        <v>-468.37250834424231</v>
      </c>
      <c r="F7" s="254">
        <f>'data entry '!N84</f>
        <v>5960.5154628402342</v>
      </c>
      <c r="G7" s="401">
        <f>'data entry '!N39</f>
        <v>-351.8879711844765</v>
      </c>
      <c r="H7" s="401"/>
      <c r="I7" s="242">
        <f>F7+G7</f>
        <v>5608.6274916557577</v>
      </c>
      <c r="J7" s="236">
        <f>SUM('ACE 2026'!N43)/1000</f>
        <v>-36.462209456132193</v>
      </c>
      <c r="K7" s="236">
        <f>(SUM('FCST 26 '!Q10,'FCST 26 '!X10)-J7)+-0.144161492121043</f>
        <v>-1073.121990978922</v>
      </c>
      <c r="L7" s="236"/>
      <c r="M7" s="236">
        <f>SUM('FCST 26 '!R10,'FCST 26 '!Y10)</f>
        <v>248.40699999999998</v>
      </c>
      <c r="N7" s="236">
        <f>SUM('FCST 26 '!S10,'FCST 26 '!Z10)</f>
        <v>261.25242071257333</v>
      </c>
      <c r="O7" s="236"/>
      <c r="P7" s="309">
        <f>SUM(J7:O7)</f>
        <v>-599.92477972248082</v>
      </c>
      <c r="Q7" s="213">
        <f>'data entry '!N117</f>
        <v>5008.702711933277</v>
      </c>
      <c r="R7" s="474">
        <f>Q7*1000/$Q$4</f>
        <v>9.5181407906867452</v>
      </c>
      <c r="S7" s="295"/>
      <c r="T7" s="63">
        <f>+Q7-I7-P7</f>
        <v>0</v>
      </c>
      <c r="U7" s="63"/>
      <c r="W7" s="169">
        <f>Q7-I7</f>
        <v>-599.92477972248071</v>
      </c>
      <c r="X7" s="169">
        <f>'YTD VAR'!R6</f>
        <v>0</v>
      </c>
      <c r="Y7" s="169">
        <f>'YTD VAR'!S6</f>
        <v>-599.83369673165862</v>
      </c>
    </row>
    <row r="8" spans="1:25" x14ac:dyDescent="0.3">
      <c r="A8" s="292" t="s">
        <v>75</v>
      </c>
      <c r="B8" s="56">
        <f>'data entry '!N6</f>
        <v>405.32206702344303</v>
      </c>
      <c r="C8" s="322">
        <f t="shared" ref="C8:C20" si="0">B8/$B$4*1000</f>
        <v>0.71735625696599958</v>
      </c>
      <c r="D8" s="307"/>
      <c r="E8" s="239">
        <f t="shared" ref="E8:E9" si="1">I8-B8</f>
        <v>-34.043398135684697</v>
      </c>
      <c r="F8" s="254">
        <f>'data entry '!N85</f>
        <v>401.67756741285308</v>
      </c>
      <c r="G8" s="401">
        <f>'data entry '!N40</f>
        <v>-30.398898525094761</v>
      </c>
      <c r="H8" s="401"/>
      <c r="I8" s="242">
        <f t="shared" ref="I8:I9" si="2">F8+G8</f>
        <v>371.27866888775833</v>
      </c>
      <c r="J8" s="236">
        <f>SUM('ACE 2026'!N44)/1000</f>
        <v>0</v>
      </c>
      <c r="K8" s="236">
        <f>SUM('FCST 26 '!Q11,'FCST 26 '!X11)-J8</f>
        <v>-13.205399291542072</v>
      </c>
      <c r="L8" s="236"/>
      <c r="M8" s="236">
        <f>SUM('FCST 26 '!R11,'FCST 26 '!Y11)</f>
        <v>-11.992347930056937</v>
      </c>
      <c r="N8" s="236">
        <f>SUM('FCST 26 '!S11,'FCST 26 '!Z11)</f>
        <v>12.97700775253286</v>
      </c>
      <c r="O8" s="236"/>
      <c r="P8" s="309">
        <f t="shared" ref="P8:P21" si="3">SUM(J8:O8)</f>
        <v>-12.220739469066149</v>
      </c>
      <c r="Q8" s="213">
        <f>'data entry '!N118</f>
        <v>359.05777436643751</v>
      </c>
      <c r="R8" s="237">
        <f t="shared" ref="R8:R22" si="4">Q8*1000/$Q$4</f>
        <v>0.68232487431685951</v>
      </c>
      <c r="S8" s="295"/>
      <c r="T8" s="63">
        <f t="shared" ref="T8:T34" si="5">+Q8-I8-P8</f>
        <v>-1.5505225466583283E-4</v>
      </c>
      <c r="U8" s="63"/>
      <c r="W8" s="169">
        <f t="shared" ref="W8:W22" si="6">Q8-I8</f>
        <v>-12.220894521320815</v>
      </c>
      <c r="X8" s="169">
        <f>'YTD VAR'!R7</f>
        <v>0</v>
      </c>
      <c r="Y8" s="169">
        <f>'YTD VAR'!S7</f>
        <v>-12.220894521320993</v>
      </c>
    </row>
    <row r="9" spans="1:25" x14ac:dyDescent="0.3">
      <c r="A9" s="292" t="s">
        <v>141</v>
      </c>
      <c r="B9" s="56">
        <f>'data entry '!N7</f>
        <v>185.03175000000002</v>
      </c>
      <c r="C9" s="322">
        <f t="shared" si="0"/>
        <v>0.327477071689244</v>
      </c>
      <c r="D9" s="307"/>
      <c r="E9" s="239">
        <f t="shared" si="1"/>
        <v>-18.780878875166621</v>
      </c>
      <c r="F9" s="254">
        <f>'data entry '!N86</f>
        <v>179.83246817092942</v>
      </c>
      <c r="G9" s="401">
        <f>'data entry '!N41</f>
        <v>-13.581597046096009</v>
      </c>
      <c r="H9" s="401"/>
      <c r="I9" s="242">
        <f t="shared" si="2"/>
        <v>166.2508711248334</v>
      </c>
      <c r="J9" s="236">
        <f>SUM('ACE 2026'!N47)</f>
        <v>0</v>
      </c>
      <c r="K9" s="236">
        <f>SUM('FCST 26 '!Q12,'FCST 26 '!X12)-J9</f>
        <v>15.845597094224942</v>
      </c>
      <c r="L9" s="236"/>
      <c r="M9" s="236">
        <f>SUM('FCST 26 '!R12,'FCST 26 '!Y12)</f>
        <v>0</v>
      </c>
      <c r="N9" s="236">
        <f>SUM('FCST 26 '!S12,'FCST 26 '!Z12)</f>
        <v>5.1951820259676413</v>
      </c>
      <c r="O9" s="236"/>
      <c r="P9" s="309">
        <f t="shared" si="3"/>
        <v>21.040779120192582</v>
      </c>
      <c r="Q9" s="213">
        <f>'data entry '!N119</f>
        <v>187.28831999999997</v>
      </c>
      <c r="R9" s="237">
        <f t="shared" si="4"/>
        <v>0.35590784694888061</v>
      </c>
      <c r="S9" s="295"/>
      <c r="T9" s="63">
        <f t="shared" si="5"/>
        <v>-3.3302450260066507E-3</v>
      </c>
      <c r="U9" s="63"/>
      <c r="W9" s="169">
        <f t="shared" si="6"/>
        <v>21.037448875166575</v>
      </c>
      <c r="X9" s="169">
        <f>'YTD VAR'!R8</f>
        <v>0</v>
      </c>
      <c r="Y9" s="169">
        <f>'YTD VAR'!S8</f>
        <v>21.037448875166454</v>
      </c>
    </row>
    <row r="10" spans="1:25" x14ac:dyDescent="0.3">
      <c r="A10" s="4" t="s">
        <v>79</v>
      </c>
      <c r="B10" s="57">
        <f>'data entry '!N8</f>
        <v>6667.3538170234442</v>
      </c>
      <c r="C10" s="66">
        <f t="shared" si="0"/>
        <v>11.800166749300812</v>
      </c>
      <c r="D10" s="308"/>
      <c r="E10" s="57">
        <f t="shared" ref="E10:Q10" si="7">SUM(E7:E9)</f>
        <v>-521.19678535509365</v>
      </c>
      <c r="F10" s="57">
        <f t="shared" si="7"/>
        <v>6542.0254984240164</v>
      </c>
      <c r="G10" s="475">
        <f t="shared" si="7"/>
        <v>-395.86846675566727</v>
      </c>
      <c r="H10" s="475">
        <f t="shared" si="7"/>
        <v>0</v>
      </c>
      <c r="I10" s="57">
        <f t="shared" si="7"/>
        <v>6146.1570316683501</v>
      </c>
      <c r="J10" s="570">
        <f t="shared" si="7"/>
        <v>-36.462209456132193</v>
      </c>
      <c r="K10" s="570">
        <f t="shared" si="7"/>
        <v>-1070.4817931762391</v>
      </c>
      <c r="L10" s="570">
        <f t="shared" si="7"/>
        <v>0</v>
      </c>
      <c r="M10" s="570">
        <f t="shared" si="7"/>
        <v>236.41465206994303</v>
      </c>
      <c r="N10" s="570">
        <f t="shared" si="7"/>
        <v>279.42461049107385</v>
      </c>
      <c r="O10" s="570">
        <f t="shared" si="7"/>
        <v>0</v>
      </c>
      <c r="P10" s="570">
        <f t="shared" si="7"/>
        <v>-591.1047400713544</v>
      </c>
      <c r="Q10" s="57">
        <f t="shared" si="7"/>
        <v>5555.0488062997138</v>
      </c>
      <c r="R10" s="226">
        <f t="shared" si="4"/>
        <v>10.556373511952485</v>
      </c>
      <c r="S10" s="295"/>
      <c r="T10" s="63">
        <f t="shared" si="5"/>
        <v>-3.4852972819408023E-3</v>
      </c>
      <c r="U10" s="63"/>
      <c r="W10" s="395">
        <f t="shared" si="6"/>
        <v>-591.10822536863634</v>
      </c>
      <c r="X10" s="395">
        <f>'YTD VAR'!R9</f>
        <v>0</v>
      </c>
      <c r="Y10" s="395">
        <f>'YTD VAR'!S9</f>
        <v>-591.01714237781323</v>
      </c>
    </row>
    <row r="11" spans="1:25" x14ac:dyDescent="0.3">
      <c r="A11" s="292" t="s">
        <v>80</v>
      </c>
      <c r="B11" s="56">
        <f>'data entry '!N9</f>
        <v>2701.3288063649657</v>
      </c>
      <c r="C11" s="65">
        <f t="shared" si="0"/>
        <v>4.7809267716389199</v>
      </c>
      <c r="D11" s="307"/>
      <c r="E11" s="239"/>
      <c r="F11" s="254">
        <f>'data entry '!N88</f>
        <v>2343.4368048936017</v>
      </c>
      <c r="G11" s="401">
        <f>'data entry '!N43</f>
        <v>-308.03119363503436</v>
      </c>
      <c r="H11" s="401">
        <f>'Budget assumption'!N323</f>
        <v>487.74222137856265</v>
      </c>
      <c r="I11" s="242">
        <f>B11</f>
        <v>2701.3288063649657</v>
      </c>
      <c r="J11" s="236">
        <f>SUM('ACE 2026'!N49)/1000</f>
        <v>24.649694242348641</v>
      </c>
      <c r="K11" s="236">
        <f>(SUM('FCST 26 '!Q14,'FCST 26 '!X14)-J11)+-0.192977331227638</f>
        <v>-70.368174280826594</v>
      </c>
      <c r="L11" s="236"/>
      <c r="M11" s="236">
        <f>SUM('FCST 26 '!R14,'FCST 26 '!Y14)</f>
        <v>42.556107048970205</v>
      </c>
      <c r="N11" s="236">
        <f>SUM('FCST 26 '!S14,'FCST 26 '!Z14)</f>
        <v>102.01642091176156</v>
      </c>
      <c r="O11" s="236"/>
      <c r="P11" s="309">
        <f t="shared" si="3"/>
        <v>98.854047922253812</v>
      </c>
      <c r="Q11" s="213">
        <f>'data entry '!N121</f>
        <v>2800.1828542872195</v>
      </c>
      <c r="R11" s="237">
        <f t="shared" si="4"/>
        <v>5.3212450767487027</v>
      </c>
      <c r="S11" s="295"/>
      <c r="T11" s="63">
        <f t="shared" si="5"/>
        <v>0</v>
      </c>
      <c r="U11" s="63"/>
      <c r="W11" s="169">
        <f t="shared" si="6"/>
        <v>98.854047922253812</v>
      </c>
      <c r="X11" s="169">
        <f>'YTD VAR'!R10</f>
        <v>685.84096847803244</v>
      </c>
      <c r="Y11" s="169">
        <f>'YTD VAR'!S10</f>
        <v>784.69501640028625</v>
      </c>
    </row>
    <row r="12" spans="1:25" x14ac:dyDescent="0.3">
      <c r="A12" s="292" t="s">
        <v>81</v>
      </c>
      <c r="B12" s="56">
        <f>'data entry '!N10</f>
        <v>1249.424206691014</v>
      </c>
      <c r="C12" s="65">
        <f t="shared" si="0"/>
        <v>2.2112841742286391</v>
      </c>
      <c r="D12" s="307"/>
      <c r="E12" s="239"/>
      <c r="F12" s="254">
        <f>'data entry '!N89</f>
        <v>842.15252946397436</v>
      </c>
      <c r="G12" s="401">
        <f>'data entry '!N44</f>
        <v>160.88420669101396</v>
      </c>
      <c r="H12" s="401">
        <f>'Budget assumption'!N324</f>
        <v>176.42519261883612</v>
      </c>
      <c r="I12" s="242">
        <f t="shared" ref="I12:I16" si="8">B12</f>
        <v>1249.424206691014</v>
      </c>
      <c r="J12" s="236">
        <f>SUM('ACE 2026'!N50/1000)</f>
        <v>0</v>
      </c>
      <c r="K12" s="236">
        <f>(SUM('FCST 26 '!Q15,'FCST 26 '!X15)-J12)+-0.0950419047177107</f>
        <v>-16.906970619898733</v>
      </c>
      <c r="L12" s="255"/>
      <c r="M12" s="236">
        <f>SUM('FCST 26 '!R15,'FCST 26 '!Y15)</f>
        <v>-23.751433931891864</v>
      </c>
      <c r="N12" s="236">
        <f>SUM('FCST 26 '!S15,'FCST 26 '!Z15)</f>
        <v>41.515973238034263</v>
      </c>
      <c r="O12" s="236"/>
      <c r="P12" s="309">
        <f t="shared" si="3"/>
        <v>0.85756868624366689</v>
      </c>
      <c r="Q12" s="213">
        <f>'data entry '!N122</f>
        <v>1250.2817753772576</v>
      </c>
      <c r="R12" s="237">
        <f t="shared" si="4"/>
        <v>2.3759361755924973</v>
      </c>
      <c r="S12" s="295"/>
      <c r="T12" s="63">
        <f t="shared" si="5"/>
        <v>0</v>
      </c>
      <c r="U12" s="63"/>
      <c r="W12" s="169">
        <f t="shared" si="6"/>
        <v>0.85756868624366689</v>
      </c>
      <c r="X12" s="169">
        <f>'YTD VAR'!R11</f>
        <v>253.59208979924375</v>
      </c>
      <c r="Y12" s="169">
        <f>'YTD VAR'!S11</f>
        <v>254.44965848548742</v>
      </c>
    </row>
    <row r="13" spans="1:25" x14ac:dyDescent="0.3">
      <c r="A13" s="292" t="s">
        <v>82</v>
      </c>
      <c r="B13" s="56">
        <f>'data entry '!N11</f>
        <v>2155.81</v>
      </c>
      <c r="C13" s="65">
        <f t="shared" si="0"/>
        <v>3.8154443543791214</v>
      </c>
      <c r="D13" s="307"/>
      <c r="E13" s="239"/>
      <c r="F13" s="254">
        <f>'data entry '!N90</f>
        <v>1627.5617220860088</v>
      </c>
      <c r="G13" s="401">
        <f>'data entry '!N45</f>
        <v>54.22000000000051</v>
      </c>
      <c r="H13" s="401">
        <f>'Budget assumption'!N325</f>
        <v>340.61533848624737</v>
      </c>
      <c r="I13" s="242">
        <f t="shared" si="8"/>
        <v>2155.81</v>
      </c>
      <c r="J13" s="236">
        <f>SUM('ACE 2026'!N51/1000)</f>
        <v>6.1278221052631574</v>
      </c>
      <c r="K13" s="236">
        <f>(SUM('FCST 26 '!Q16,'FCST 26 '!X16)-J13)+0.00673349801454037</f>
        <v>-122.36508323780758</v>
      </c>
      <c r="L13" s="236"/>
      <c r="M13" s="236">
        <f>SUM('FCST 26 '!R16,'FCST 26 '!Y16)</f>
        <v>22.113340434205256</v>
      </c>
      <c r="N13" s="236">
        <f>SUM('FCST 26 '!S16,'FCST 26 '!Z16)</f>
        <v>69.698154818138875</v>
      </c>
      <c r="O13" s="236"/>
      <c r="P13" s="309">
        <f t="shared" si="3"/>
        <v>-24.425765880200288</v>
      </c>
      <c r="Q13" s="213">
        <f>'data entry '!N123</f>
        <v>2131.3842341197997</v>
      </c>
      <c r="R13" s="237">
        <f t="shared" si="4"/>
        <v>4.0503133018992683</v>
      </c>
      <c r="S13" s="295"/>
      <c r="T13" s="63">
        <f t="shared" si="5"/>
        <v>0</v>
      </c>
      <c r="U13" s="63"/>
      <c r="W13" s="169">
        <f t="shared" si="6"/>
        <v>-24.425765880200288</v>
      </c>
      <c r="X13" s="169">
        <f>'YTD VAR'!R12</f>
        <v>487.93787774255685</v>
      </c>
      <c r="Y13" s="169">
        <f>'YTD VAR'!S12</f>
        <v>463.51211186235656</v>
      </c>
    </row>
    <row r="14" spans="1:25" x14ac:dyDescent="0.3">
      <c r="A14" s="292" t="s">
        <v>83</v>
      </c>
      <c r="B14" s="56">
        <f>'data entry '!N12</f>
        <v>66</v>
      </c>
      <c r="C14" s="65">
        <f t="shared" si="0"/>
        <v>0.11680961095320182</v>
      </c>
      <c r="D14" s="307"/>
      <c r="E14" s="239"/>
      <c r="F14" s="254">
        <f>'data entry '!N91</f>
        <v>99.464136707439138</v>
      </c>
      <c r="G14" s="401">
        <f>'data entry '!N46</f>
        <v>-67.69999999999996</v>
      </c>
      <c r="H14" s="401">
        <f>'Budget assumption'!N326</f>
        <v>21.669436358000979</v>
      </c>
      <c r="I14" s="242">
        <f t="shared" si="8"/>
        <v>66</v>
      </c>
      <c r="J14" s="236">
        <f>SUM('ACE 2026'!N52/1000)</f>
        <v>-3.9719999999999982</v>
      </c>
      <c r="K14" s="236">
        <f>(SUM('FCST 26 '!Q17,'FCST 26 '!X17)-J14)+0.00116882502116455</f>
        <v>3.9229356995716516</v>
      </c>
      <c r="L14" s="311"/>
      <c r="M14" s="236">
        <f>SUM('FCST 26 '!R17,'FCST 26 '!Y17)</f>
        <v>-2.9404936365011594</v>
      </c>
      <c r="N14" s="236">
        <f>SUM('FCST 26 '!S17,'FCST 26 '!Z17)</f>
        <v>2.0258111833503332</v>
      </c>
      <c r="O14" s="236"/>
      <c r="P14" s="309">
        <f t="shared" si="3"/>
        <v>-0.96374675357917283</v>
      </c>
      <c r="Q14" s="213">
        <f>'data entry '!N124</f>
        <v>65.036253246420827</v>
      </c>
      <c r="R14" s="237">
        <f t="shared" si="4"/>
        <v>0.12358972981633765</v>
      </c>
      <c r="S14" s="295"/>
      <c r="T14" s="63">
        <f t="shared" si="5"/>
        <v>0</v>
      </c>
      <c r="U14" s="63"/>
      <c r="W14" s="169">
        <f t="shared" si="6"/>
        <v>-0.96374675357917283</v>
      </c>
      <c r="X14" s="169">
        <f>'YTD VAR'!R13</f>
        <v>35.120771146651911</v>
      </c>
      <c r="Y14" s="169">
        <f>'YTD VAR'!S13</f>
        <v>34.157024393072739</v>
      </c>
    </row>
    <row r="15" spans="1:25" x14ac:dyDescent="0.3">
      <c r="A15" s="292" t="s">
        <v>84</v>
      </c>
      <c r="B15" s="56">
        <f>'data entry '!N13</f>
        <v>513.11152780760665</v>
      </c>
      <c r="C15" s="65">
        <f t="shared" si="0"/>
        <v>0.90812663543650807</v>
      </c>
      <c r="D15" s="307"/>
      <c r="E15" s="239"/>
      <c r="F15" s="254">
        <f>'data entry '!N92</f>
        <v>415.82132616608396</v>
      </c>
      <c r="G15" s="401">
        <f>'data entry '!N47</f>
        <v>44.020247807606765</v>
      </c>
      <c r="H15" s="401">
        <f>'Budget assumption'!N327</f>
        <v>76.028000284616439</v>
      </c>
      <c r="I15" s="242">
        <f t="shared" si="8"/>
        <v>513.11152780760665</v>
      </c>
      <c r="J15" s="236">
        <f>SUM('ACE 2026'!N53/1000)</f>
        <v>0</v>
      </c>
      <c r="K15" s="236">
        <f>(SUM('FCST 26 '!Q18,'FCST 26 '!X18)-J15)+0.00533542182373736</f>
        <v>-49.105278594014329</v>
      </c>
      <c r="L15" s="312"/>
      <c r="M15" s="236">
        <f>SUM('FCST 26 '!R18,'FCST 26 '!Y18)</f>
        <v>0</v>
      </c>
      <c r="N15" s="236">
        <f>SUM('FCST 26 '!S18,'FCST 26 '!Z18)</f>
        <v>13.51630364385503</v>
      </c>
      <c r="O15" s="236"/>
      <c r="P15" s="309">
        <f t="shared" si="3"/>
        <v>-35.588974950159297</v>
      </c>
      <c r="Q15" s="213">
        <f>'data entry '!N125</f>
        <v>477.52255285744735</v>
      </c>
      <c r="R15" s="237">
        <f t="shared" si="4"/>
        <v>0.90744592966089477</v>
      </c>
      <c r="S15" s="295"/>
      <c r="T15" s="63">
        <f t="shared" si="5"/>
        <v>0</v>
      </c>
      <c r="U15" s="63"/>
      <c r="W15" s="169">
        <f t="shared" si="6"/>
        <v>-35.588974950159297</v>
      </c>
      <c r="X15" s="169">
        <f>'YTD VAR'!R14</f>
        <v>56.3746850078698</v>
      </c>
      <c r="Y15" s="169">
        <f>'YTD VAR'!S14</f>
        <v>20.785710057710503</v>
      </c>
    </row>
    <row r="16" spans="1:25" x14ac:dyDescent="0.3">
      <c r="A16" s="292" t="s">
        <v>86</v>
      </c>
      <c r="B16" s="56">
        <f>'data entry '!N14</f>
        <v>1955.7777589488476</v>
      </c>
      <c r="C16" s="65">
        <f t="shared" si="0"/>
        <v>3.4614187747536338</v>
      </c>
      <c r="D16" s="307"/>
      <c r="E16" s="239"/>
      <c r="F16" s="254">
        <f>'data entry '!N93</f>
        <v>5371.6817236667184</v>
      </c>
      <c r="G16" s="401">
        <f>'data entry '!N48</f>
        <v>119.20999999999958</v>
      </c>
      <c r="H16" s="401">
        <f>'Budget assumption'!N329</f>
        <v>297.66184120941324</v>
      </c>
      <c r="I16" s="242">
        <f t="shared" si="8"/>
        <v>1955.7777589488476</v>
      </c>
      <c r="J16" s="236">
        <f>SUM('ACE 2026'!N55/1000)</f>
        <v>0</v>
      </c>
      <c r="K16" s="236">
        <f>(SUM('FCST 26 '!Q19,'FCST 26 '!X19)-J16)+2.55795384873636E-13</f>
        <v>-176.15613971247171</v>
      </c>
      <c r="L16" s="311"/>
      <c r="M16" s="236">
        <f>SUM('FCST 26 '!R19,'FCST 26 '!Y19)</f>
        <v>0</v>
      </c>
      <c r="N16" s="236">
        <f>SUM('FCST 26 '!S19,'FCST 26 '!Z19)</f>
        <v>0</v>
      </c>
      <c r="O16" s="255"/>
      <c r="P16" s="309">
        <f t="shared" si="3"/>
        <v>-176.15613971247171</v>
      </c>
      <c r="Q16" s="213">
        <f>'data entry '!N126</f>
        <v>1779.6216192363759</v>
      </c>
      <c r="R16" s="237">
        <f t="shared" si="4"/>
        <v>3.3818515692067677</v>
      </c>
      <c r="S16" s="295"/>
      <c r="T16" s="63">
        <f t="shared" si="5"/>
        <v>0</v>
      </c>
      <c r="U16" s="63"/>
      <c r="W16" s="169">
        <f t="shared" si="6"/>
        <v>-176.15613971247171</v>
      </c>
      <c r="X16" s="169">
        <f>'YTD VAR'!R15</f>
        <v>-3522.9584431437174</v>
      </c>
      <c r="Y16" s="169">
        <f>'YTD VAR'!S15</f>
        <v>-3699.1145828561894</v>
      </c>
    </row>
    <row r="17" spans="1:25" x14ac:dyDescent="0.3">
      <c r="A17" s="4" t="s">
        <v>87</v>
      </c>
      <c r="B17" s="57">
        <f>'data entry '!N15</f>
        <v>8641.4522998124339</v>
      </c>
      <c r="C17" s="66">
        <f t="shared" si="0"/>
        <v>15.294010321390024</v>
      </c>
      <c r="D17" s="308"/>
      <c r="E17" s="57">
        <f t="shared" ref="E17:Q17" si="9">SUM(E11:E16)</f>
        <v>0</v>
      </c>
      <c r="F17" s="57">
        <f t="shared" si="9"/>
        <v>10700.118242983826</v>
      </c>
      <c r="G17" s="475">
        <f t="shared" si="9"/>
        <v>2.6032608635864989</v>
      </c>
      <c r="H17" s="475">
        <f t="shared" si="9"/>
        <v>1400.1420303356767</v>
      </c>
      <c r="I17" s="57">
        <f t="shared" si="9"/>
        <v>8641.4522998124339</v>
      </c>
      <c r="J17" s="57">
        <f t="shared" si="9"/>
        <v>26.8055163476118</v>
      </c>
      <c r="K17" s="57">
        <f t="shared" si="9"/>
        <v>-430.9787107454473</v>
      </c>
      <c r="L17" s="57">
        <f t="shared" si="9"/>
        <v>0</v>
      </c>
      <c r="M17" s="57">
        <f t="shared" si="9"/>
        <v>37.977519914782434</v>
      </c>
      <c r="N17" s="57">
        <f t="shared" si="9"/>
        <v>228.77266379514006</v>
      </c>
      <c r="O17" s="57">
        <f t="shared" si="9"/>
        <v>0</v>
      </c>
      <c r="P17" s="57">
        <f t="shared" si="9"/>
        <v>-137.42301068791301</v>
      </c>
      <c r="Q17" s="57">
        <f t="shared" si="9"/>
        <v>8504.0292891245208</v>
      </c>
      <c r="R17" s="226">
        <f t="shared" si="4"/>
        <v>16.160381782924468</v>
      </c>
      <c r="S17" s="295"/>
      <c r="T17" s="63">
        <f t="shared" si="5"/>
        <v>0</v>
      </c>
      <c r="U17" s="63"/>
      <c r="W17" s="395">
        <f t="shared" si="6"/>
        <v>-137.42301068791312</v>
      </c>
      <c r="X17" s="395">
        <f>'YTD VAR'!R16</f>
        <v>-2004.0920509693628</v>
      </c>
      <c r="Y17" s="395">
        <f>'YTD VAR'!S16</f>
        <v>-2141.515061657276</v>
      </c>
    </row>
    <row r="18" spans="1:25" x14ac:dyDescent="0.3">
      <c r="A18" s="5" t="s">
        <v>88</v>
      </c>
      <c r="B18" s="58">
        <f>'data entry '!N16</f>
        <v>15308.806116835876</v>
      </c>
      <c r="C18" s="67">
        <f t="shared" si="0"/>
        <v>27.094177070690833</v>
      </c>
      <c r="D18" s="308"/>
      <c r="E18" s="58">
        <f t="shared" ref="E18:Q18" si="10">E10+E17</f>
        <v>-521.19678535509365</v>
      </c>
      <c r="F18" s="58">
        <f t="shared" si="10"/>
        <v>17242.143741407843</v>
      </c>
      <c r="G18" s="58">
        <f t="shared" si="10"/>
        <v>-393.26520589208076</v>
      </c>
      <c r="H18" s="58">
        <f t="shared" si="10"/>
        <v>1400.1420303356767</v>
      </c>
      <c r="I18" s="58">
        <f t="shared" si="10"/>
        <v>14787.609331480784</v>
      </c>
      <c r="J18" s="58">
        <f t="shared" si="10"/>
        <v>-9.6566931085203933</v>
      </c>
      <c r="K18" s="58">
        <f t="shared" si="10"/>
        <v>-1501.4605039216863</v>
      </c>
      <c r="L18" s="58">
        <f t="shared" si="10"/>
        <v>0</v>
      </c>
      <c r="M18" s="58">
        <f t="shared" si="10"/>
        <v>274.39217198472545</v>
      </c>
      <c r="N18" s="58">
        <f t="shared" si="10"/>
        <v>508.19727428621388</v>
      </c>
      <c r="O18" s="58">
        <f t="shared" si="10"/>
        <v>0</v>
      </c>
      <c r="P18" s="58">
        <f t="shared" si="10"/>
        <v>-728.52775075926741</v>
      </c>
      <c r="Q18" s="58">
        <f t="shared" si="10"/>
        <v>14059.078095424235</v>
      </c>
      <c r="R18" s="232">
        <f t="shared" si="4"/>
        <v>26.716755294876954</v>
      </c>
      <c r="S18" s="295"/>
      <c r="T18" s="63">
        <f t="shared" si="5"/>
        <v>-3.4852972820544892E-3</v>
      </c>
      <c r="U18" s="63"/>
      <c r="W18" s="396">
        <f t="shared" si="6"/>
        <v>-728.53123605654946</v>
      </c>
      <c r="X18" s="396">
        <f>'YTD VAR'!R17</f>
        <v>-2004.0920509693628</v>
      </c>
      <c r="Y18" s="396">
        <f>'YTD VAR'!S17</f>
        <v>-2732.5322040350893</v>
      </c>
    </row>
    <row r="19" spans="1:25" x14ac:dyDescent="0.3">
      <c r="A19" s="292" t="s">
        <v>89</v>
      </c>
      <c r="B19" s="56">
        <f>'data entry '!N17</f>
        <v>245.46430249113934</v>
      </c>
      <c r="C19" s="65">
        <f t="shared" si="0"/>
        <v>0.43443317692256117</v>
      </c>
      <c r="D19" s="307"/>
      <c r="E19" s="239"/>
      <c r="F19" s="293">
        <f>'data entry '!N96</f>
        <v>0</v>
      </c>
      <c r="G19" s="402">
        <f>'data entry '!N51</f>
        <v>124.89558249113931</v>
      </c>
      <c r="H19" s="402"/>
      <c r="I19" s="242">
        <f t="shared" ref="I19:I21" si="11">B19</f>
        <v>245.46430249113934</v>
      </c>
      <c r="J19" s="236"/>
      <c r="K19" s="313">
        <f>SUM('FCST 26 '!Q22,'FCST 26 '!X22)-J19</f>
        <v>-32.137416691183255</v>
      </c>
      <c r="L19" s="236"/>
      <c r="M19" s="236">
        <f>SUM('FCST 26 '!R22,'FCST 26 '!Y22)</f>
        <v>0</v>
      </c>
      <c r="N19" s="236">
        <f>SUM('FCST 26 '!S22,'FCST 26 '!Z22)</f>
        <v>5.4497984122856229</v>
      </c>
      <c r="O19" s="236"/>
      <c r="P19" s="309">
        <f t="shared" si="3"/>
        <v>-26.687618278897631</v>
      </c>
      <c r="Q19" s="213">
        <f>'data entry '!N129</f>
        <v>218.78145942192785</v>
      </c>
      <c r="R19" s="237">
        <f t="shared" si="4"/>
        <v>0.41575490759483685</v>
      </c>
      <c r="S19" s="295"/>
      <c r="T19" s="63">
        <f t="shared" si="5"/>
        <v>4.7752096861444215E-3</v>
      </c>
      <c r="U19" s="63"/>
      <c r="W19" s="169">
        <f t="shared" si="6"/>
        <v>-26.682843069211486</v>
      </c>
      <c r="X19" s="169">
        <f>'YTD VAR'!R18</f>
        <v>120.56872000000004</v>
      </c>
      <c r="Y19" s="169">
        <f>'YTD VAR'!S18</f>
        <v>93.885876930788555</v>
      </c>
    </row>
    <row r="20" spans="1:25" x14ac:dyDescent="0.3">
      <c r="A20" s="5" t="s">
        <v>90</v>
      </c>
      <c r="B20" s="58">
        <f>'data entry '!N18</f>
        <v>15554.270419327018</v>
      </c>
      <c r="C20" s="67">
        <f t="shared" si="0"/>
        <v>27.5286102476134</v>
      </c>
      <c r="D20" s="308"/>
      <c r="E20" s="58">
        <f t="shared" ref="E20:Q20" si="12">E18+E19</f>
        <v>-521.19678535509365</v>
      </c>
      <c r="F20" s="58">
        <f t="shared" si="12"/>
        <v>17242.143741407843</v>
      </c>
      <c r="G20" s="58">
        <f t="shared" si="12"/>
        <v>-268.36962340094146</v>
      </c>
      <c r="H20" s="58">
        <f>H18+H19</f>
        <v>1400.1420303356767</v>
      </c>
      <c r="I20" s="58">
        <f t="shared" si="12"/>
        <v>15033.073633971924</v>
      </c>
      <c r="J20" s="58">
        <f t="shared" si="12"/>
        <v>-9.6566931085203933</v>
      </c>
      <c r="K20" s="58">
        <f t="shared" si="12"/>
        <v>-1533.5979206128695</v>
      </c>
      <c r="L20" s="58">
        <f t="shared" si="12"/>
        <v>0</v>
      </c>
      <c r="M20" s="58">
        <f t="shared" si="12"/>
        <v>274.39217198472545</v>
      </c>
      <c r="N20" s="58">
        <f t="shared" si="12"/>
        <v>513.64707269849953</v>
      </c>
      <c r="O20" s="58">
        <f t="shared" si="12"/>
        <v>0</v>
      </c>
      <c r="P20" s="58">
        <f t="shared" si="12"/>
        <v>-755.21536903816502</v>
      </c>
      <c r="Q20" s="58">
        <f t="shared" si="12"/>
        <v>14277.859554846162</v>
      </c>
      <c r="R20" s="232">
        <f t="shared" si="4"/>
        <v>27.132510202471789</v>
      </c>
      <c r="S20" s="295"/>
      <c r="T20" s="63">
        <f t="shared" si="5"/>
        <v>1.2899124025125275E-3</v>
      </c>
      <c r="U20" s="63"/>
      <c r="W20" s="396">
        <f t="shared" si="6"/>
        <v>-755.21407912576251</v>
      </c>
      <c r="X20" s="396">
        <f>'YTD VAR'!R19</f>
        <v>-1883.5233309693629</v>
      </c>
      <c r="Y20" s="396">
        <f>'YTD VAR'!S19</f>
        <v>-2638.6463271043003</v>
      </c>
    </row>
    <row r="21" spans="1:25" x14ac:dyDescent="0.3">
      <c r="A21" s="423" t="s">
        <v>91</v>
      </c>
      <c r="B21" s="637">
        <f>+'data entry '!N19</f>
        <v>5048.1922410511525</v>
      </c>
      <c r="C21" s="638">
        <f t="shared" ref="C21:C22" si="13">B21/$B$4*1000</f>
        <v>8.9345056317296532</v>
      </c>
      <c r="D21" s="308"/>
      <c r="E21" s="517"/>
      <c r="F21" s="517">
        <f>'data entry '!N98</f>
        <v>0</v>
      </c>
      <c r="G21" s="517">
        <f>'data entry '!N53</f>
        <v>-3.4106051316484809E-13</v>
      </c>
      <c r="H21" s="517">
        <f>'Budget assumption'!N339</f>
        <v>2586.4360467796018</v>
      </c>
      <c r="I21" s="242">
        <f t="shared" si="11"/>
        <v>5048.1922410511525</v>
      </c>
      <c r="J21" s="517"/>
      <c r="K21" s="517">
        <f>SUM('FCST 26 '!Q24,'FCST 26 '!X24)</f>
        <v>0</v>
      </c>
      <c r="L21" s="517"/>
      <c r="M21" s="236">
        <f>SUM('FCST 26 '!R24,'FCST 26 '!Y24)</f>
        <v>0</v>
      </c>
      <c r="N21" s="236">
        <f>SUM('FCST 26 '!S24,'FCST 26 '!Z24)</f>
        <v>-1351.9349856726728</v>
      </c>
      <c r="O21" s="517"/>
      <c r="P21" s="309">
        <f t="shared" si="3"/>
        <v>-1351.9349856726728</v>
      </c>
      <c r="Q21" s="659">
        <f>+'data entry '!N131</f>
        <v>3696.2599758449851</v>
      </c>
      <c r="R21" s="660">
        <f t="shared" si="4"/>
        <v>7.0240788628266317</v>
      </c>
      <c r="S21" s="295"/>
      <c r="T21" s="63">
        <f>+Q21-I21-P21</f>
        <v>2.7204665054796351E-3</v>
      </c>
      <c r="U21" s="63"/>
      <c r="W21" s="169">
        <f t="shared" si="6"/>
        <v>-1351.9322652061674</v>
      </c>
      <c r="X21" s="169">
        <f>'YTD VAR'!R20</f>
        <v>5048.1922410511525</v>
      </c>
      <c r="Y21" s="169">
        <f>'YTD VAR'!S20</f>
        <v>3696.2599758449851</v>
      </c>
    </row>
    <row r="22" spans="1:25" x14ac:dyDescent="0.3">
      <c r="A22" s="426" t="s">
        <v>92</v>
      </c>
      <c r="B22" s="58">
        <f>'data entry '!N20</f>
        <v>20602.462660378173</v>
      </c>
      <c r="C22" s="67">
        <f t="shared" si="13"/>
        <v>36.463115879343057</v>
      </c>
      <c r="D22" s="308"/>
      <c r="E22" s="516">
        <f>E20+E21</f>
        <v>-521.19678535509365</v>
      </c>
      <c r="F22" s="516">
        <f t="shared" ref="F22:Q22" si="14">F20+F21</f>
        <v>17242.143741407843</v>
      </c>
      <c r="G22" s="516">
        <f t="shared" si="14"/>
        <v>-268.3696234009418</v>
      </c>
      <c r="H22" s="516">
        <f t="shared" si="14"/>
        <v>3986.5780771152786</v>
      </c>
      <c r="I22" s="516">
        <f t="shared" si="14"/>
        <v>20081.265875023077</v>
      </c>
      <c r="J22" s="516">
        <f t="shared" si="14"/>
        <v>-9.6566931085203933</v>
      </c>
      <c r="K22" s="516">
        <f t="shared" si="14"/>
        <v>-1533.5979206128695</v>
      </c>
      <c r="L22" s="516">
        <f t="shared" si="14"/>
        <v>0</v>
      </c>
      <c r="M22" s="516">
        <f t="shared" si="14"/>
        <v>274.39217198472545</v>
      </c>
      <c r="N22" s="516">
        <f t="shared" si="14"/>
        <v>-838.28791297417331</v>
      </c>
      <c r="O22" s="516">
        <f t="shared" si="14"/>
        <v>0</v>
      </c>
      <c r="P22" s="516">
        <f t="shared" si="14"/>
        <v>-2107.1503547108377</v>
      </c>
      <c r="Q22" s="516">
        <f t="shared" si="14"/>
        <v>17974.119530691147</v>
      </c>
      <c r="R22" s="516">
        <f t="shared" si="4"/>
        <v>34.156589065298419</v>
      </c>
      <c r="S22" s="295"/>
      <c r="T22" s="63">
        <f t="shared" si="5"/>
        <v>4.0103789078784757E-3</v>
      </c>
      <c r="U22" s="63"/>
      <c r="W22" s="396">
        <f t="shared" si="6"/>
        <v>-2107.1463443319299</v>
      </c>
      <c r="X22" s="396">
        <f>'YTD VAR'!R21</f>
        <v>3164.6689100817894</v>
      </c>
      <c r="Y22" s="396">
        <f>'YTD VAR'!S21</f>
        <v>1057.6136487406843</v>
      </c>
    </row>
    <row r="23" spans="1:25" x14ac:dyDescent="0.3">
      <c r="A23" s="51"/>
      <c r="B23" s="51"/>
      <c r="C23" s="51"/>
      <c r="D23" s="308"/>
      <c r="E23" s="51"/>
      <c r="F23" s="53"/>
      <c r="G23" s="404"/>
      <c r="H23" s="404"/>
      <c r="I23" s="53"/>
      <c r="J23" s="51"/>
      <c r="K23" s="51"/>
      <c r="L23" s="51"/>
      <c r="M23" s="51"/>
      <c r="N23" s="51"/>
      <c r="O23" s="51"/>
      <c r="P23" s="53"/>
      <c r="Q23" s="51"/>
      <c r="R23" s="51"/>
      <c r="S23" s="295"/>
      <c r="T23" s="63"/>
      <c r="U23" s="51"/>
    </row>
    <row r="24" spans="1:25" x14ac:dyDescent="0.3">
      <c r="A24" s="291" t="s">
        <v>76</v>
      </c>
      <c r="B24" s="269">
        <f>'data entry '!N21</f>
        <v>247</v>
      </c>
      <c r="C24" s="321">
        <f t="shared" ref="C24:C29" si="15">B24/$B$4*1000</f>
        <v>0.43715111977940679</v>
      </c>
      <c r="D24" s="240"/>
      <c r="E24" s="271">
        <f>I24-B24</f>
        <v>-22.708617517527216</v>
      </c>
      <c r="F24" s="254">
        <f>'data entry '!N100</f>
        <v>259.60840137546137</v>
      </c>
      <c r="G24" s="401">
        <f>'data entry '!N55</f>
        <v>-35.317018892988571</v>
      </c>
      <c r="H24" s="401"/>
      <c r="I24" s="303">
        <f>F24+G24</f>
        <v>224.29138248247278</v>
      </c>
      <c r="J24" s="317">
        <f>SUM('ACE 2026'!N45/1000)</f>
        <v>-0.37074999999999636</v>
      </c>
      <c r="K24" s="305">
        <f>(SUM('FCST 26 '!Q27,'FCST 26 '!X27)-J24)+-0.446690142301684</f>
        <v>31.441530820878825</v>
      </c>
      <c r="L24" s="317"/>
      <c r="M24" s="304">
        <f>SUM('FCST 26 '!R27,'FCST 26 '!Y27)</f>
        <v>-3.0950899999999999</v>
      </c>
      <c r="N24" s="305">
        <f>SUM('FCST 26 '!S27,'FCST 26 '!Z27)</f>
        <v>1.2846766966483594</v>
      </c>
      <c r="O24" s="304"/>
      <c r="P24" s="304">
        <f t="shared" ref="P24:P28" si="16">SUM(J24:O24)</f>
        <v>29.260367517527186</v>
      </c>
      <c r="Q24" s="305">
        <f>'data entry '!N133</f>
        <v>253.55174999999997</v>
      </c>
      <c r="R24" s="405">
        <f t="shared" ref="R24:R29" si="17">Q24*1000/$Q$4</f>
        <v>0.48182960599262592</v>
      </c>
      <c r="S24" s="61"/>
      <c r="T24" s="63">
        <f t="shared" si="5"/>
        <v>0</v>
      </c>
      <c r="U24" s="63"/>
      <c r="W24" s="169">
        <f t="shared" ref="W24:W29" si="18">Q24-I24</f>
        <v>29.260367517527186</v>
      </c>
      <c r="X24" s="169">
        <f>'YTD VAR'!R22</f>
        <v>0</v>
      </c>
      <c r="Y24" s="169">
        <f>'YTD VAR'!S22</f>
        <v>29.701117517527116</v>
      </c>
    </row>
    <row r="25" spans="1:25" x14ac:dyDescent="0.3">
      <c r="A25" s="292" t="s">
        <v>77</v>
      </c>
      <c r="B25" s="56">
        <f>'data entry '!N22</f>
        <v>-585</v>
      </c>
      <c r="C25" s="322">
        <f t="shared" si="15"/>
        <v>-1.0353579152670163</v>
      </c>
      <c r="D25" s="240"/>
      <c r="E25" s="239">
        <f>I25-B25</f>
        <v>55.969652276842226</v>
      </c>
      <c r="F25" s="254">
        <f>'data entry '!N101</f>
        <v>-639.00740772315771</v>
      </c>
      <c r="G25" s="401">
        <f>'data entry '!N56</f>
        <v>109.97705999999988</v>
      </c>
      <c r="H25" s="401"/>
      <c r="I25" s="242">
        <f t="shared" ref="I25:I26" si="19">F25+G25</f>
        <v>-529.03034772315777</v>
      </c>
      <c r="J25" s="310">
        <f>SUM('ACE 2026'!N46/1000)</f>
        <v>0</v>
      </c>
      <c r="K25" s="309">
        <f>(SUM('FCST 26 '!Q28,'FCST 26 '!X28)-J25)+0.0103626315788219</f>
        <v>-9.9902200762939657</v>
      </c>
      <c r="L25" s="310"/>
      <c r="M25" s="236">
        <f>SUM('FCST 26 '!R28,'FCST 26 '!Y28)</f>
        <v>10.613671280329463</v>
      </c>
      <c r="N25" s="309">
        <f>SUM('FCST 26 '!S28,'FCST 26 '!Z28)</f>
        <v>-23.011815333973324</v>
      </c>
      <c r="O25" s="236"/>
      <c r="P25" s="236">
        <f t="shared" si="16"/>
        <v>-22.388364129937827</v>
      </c>
      <c r="Q25" s="309">
        <f>'data entry '!N134</f>
        <v>-551.4187118530956</v>
      </c>
      <c r="R25" s="406">
        <f t="shared" si="17"/>
        <v>-1.0478723206175402</v>
      </c>
      <c r="S25" s="61"/>
      <c r="T25" s="63">
        <f t="shared" si="5"/>
        <v>0</v>
      </c>
      <c r="U25" s="63"/>
      <c r="W25" s="169">
        <f t="shared" si="18"/>
        <v>-22.388364129937827</v>
      </c>
      <c r="X25" s="169">
        <f>'YTD VAR'!R23</f>
        <v>0</v>
      </c>
      <c r="Y25" s="169">
        <f>'YTD VAR'!S23</f>
        <v>-22.38836412993777</v>
      </c>
    </row>
    <row r="26" spans="1:25" x14ac:dyDescent="0.3">
      <c r="A26" s="292" t="s">
        <v>144</v>
      </c>
      <c r="B26" s="56">
        <f>'data entry '!N23</f>
        <v>0</v>
      </c>
      <c r="C26" s="322">
        <f t="shared" si="15"/>
        <v>0</v>
      </c>
      <c r="D26" s="240"/>
      <c r="E26" s="239"/>
      <c r="F26" s="254">
        <f>'data entry '!N102</f>
        <v>0</v>
      </c>
      <c r="G26" s="401">
        <f>'data entry '!N57</f>
        <v>0</v>
      </c>
      <c r="H26" s="401"/>
      <c r="I26" s="242">
        <f t="shared" si="19"/>
        <v>0</v>
      </c>
      <c r="J26" s="310"/>
      <c r="K26" s="309">
        <f>(SUM('FCST 26 '!Q29,'FCST 26 '!X29))+-0.0029700000000048</f>
        <v>65.468189999999993</v>
      </c>
      <c r="L26" s="310"/>
      <c r="M26" s="236">
        <f>SUM('FCST 26 '!R29,'FCST 26 '!Y29)</f>
        <v>-3.3339799999999999</v>
      </c>
      <c r="N26" s="309">
        <f>SUM('FCST 26 '!S29,'FCST 26 '!Z29)</f>
        <v>0</v>
      </c>
      <c r="O26" s="236"/>
      <c r="P26" s="236">
        <f t="shared" si="16"/>
        <v>62.134209999999996</v>
      </c>
      <c r="Q26" s="309">
        <f>'data entry '!N135</f>
        <v>62.134209999999996</v>
      </c>
      <c r="R26" s="406">
        <f t="shared" si="17"/>
        <v>0.11807491734118609</v>
      </c>
      <c r="S26" s="61"/>
      <c r="T26" s="63">
        <f t="shared" si="5"/>
        <v>0</v>
      </c>
      <c r="U26" s="63"/>
      <c r="W26" s="169">
        <f t="shared" si="18"/>
        <v>62.134209999999996</v>
      </c>
      <c r="X26" s="169">
        <f>'YTD VAR'!R24</f>
        <v>0</v>
      </c>
      <c r="Y26" s="169">
        <f>'YTD VAR'!S24</f>
        <v>62.134209999999996</v>
      </c>
    </row>
    <row r="27" spans="1:25" x14ac:dyDescent="0.3">
      <c r="A27" s="292" t="s">
        <v>85</v>
      </c>
      <c r="B27" s="56">
        <f>'data entry '!N24</f>
        <v>100</v>
      </c>
      <c r="C27" s="322">
        <f t="shared" si="15"/>
        <v>0.17698425902000275</v>
      </c>
      <c r="D27" s="240"/>
      <c r="E27" s="239"/>
      <c r="F27" s="254">
        <f>'data entry '!N103</f>
        <v>0</v>
      </c>
      <c r="G27" s="401">
        <f>'data entry '!N58</f>
        <v>100</v>
      </c>
      <c r="H27" s="401">
        <v>0</v>
      </c>
      <c r="I27" s="242">
        <f>B27</f>
        <v>100</v>
      </c>
      <c r="J27" s="310"/>
      <c r="K27" s="309">
        <f>(SUM('FCST 26 '!Q30,'FCST 26 '!X30))+0.413282223527176</f>
        <v>-33.564617776472829</v>
      </c>
      <c r="L27" s="310"/>
      <c r="M27" s="236">
        <f>SUM('FCST 26 '!R30,'FCST 26 '!Y30)</f>
        <v>0</v>
      </c>
      <c r="N27" s="309">
        <f>SUM('FCST 26 '!S30,'FCST 26 '!Z30)</f>
        <v>0</v>
      </c>
      <c r="O27" s="236"/>
      <c r="P27" s="236">
        <f t="shared" si="16"/>
        <v>-33.564617776472829</v>
      </c>
      <c r="Q27" s="309">
        <f>'data entry '!N136</f>
        <v>66.435382223527171</v>
      </c>
      <c r="R27" s="406">
        <f t="shared" si="17"/>
        <v>0.12624852339110892</v>
      </c>
      <c r="S27" s="61"/>
      <c r="T27" s="63">
        <f t="shared" si="5"/>
        <v>0</v>
      </c>
      <c r="U27" s="63"/>
      <c r="W27" s="169">
        <f t="shared" si="18"/>
        <v>-33.564617776472829</v>
      </c>
      <c r="X27" s="169">
        <f>'YTD VAR'!R25</f>
        <v>2.1316282072803006E-14</v>
      </c>
      <c r="Y27" s="169">
        <f>'YTD VAR'!S25</f>
        <v>-33.564617776472808</v>
      </c>
    </row>
    <row r="28" spans="1:25" x14ac:dyDescent="0.3">
      <c r="A28" s="306" t="s">
        <v>145</v>
      </c>
      <c r="B28" s="323">
        <f>'data entry '!N25</f>
        <v>0</v>
      </c>
      <c r="C28" s="324">
        <f t="shared" si="15"/>
        <v>0</v>
      </c>
      <c r="D28" s="240"/>
      <c r="E28" s="239"/>
      <c r="F28" s="254">
        <f>'data entry '!N104</f>
        <v>0</v>
      </c>
      <c r="G28" s="401">
        <f>'data entry '!N59</f>
        <v>0</v>
      </c>
      <c r="H28" s="401"/>
      <c r="I28" s="242">
        <f>B28</f>
        <v>0</v>
      </c>
      <c r="J28" s="310"/>
      <c r="K28" s="309">
        <f>(SUM('FCST 26 '!Q31,'FCST 26 '!X31))+0</f>
        <v>0</v>
      </c>
      <c r="L28" s="310"/>
      <c r="M28" s="236">
        <f>SUM('FCST 26 '!R31,'FCST 26 '!Y31)</f>
        <v>0</v>
      </c>
      <c r="N28" s="309">
        <f>SUM('FCST 26 '!S31,'FCST 26 '!Z31)</f>
        <v>0</v>
      </c>
      <c r="O28" s="236"/>
      <c r="P28" s="236">
        <f t="shared" si="16"/>
        <v>0</v>
      </c>
      <c r="Q28" s="407">
        <f>'data entry '!N137</f>
        <v>0</v>
      </c>
      <c r="R28" s="406">
        <f t="shared" si="17"/>
        <v>0</v>
      </c>
      <c r="S28" s="61"/>
      <c r="T28" s="63">
        <f t="shared" si="5"/>
        <v>0</v>
      </c>
      <c r="U28" s="63"/>
      <c r="W28" s="169">
        <f t="shared" si="18"/>
        <v>0</v>
      </c>
      <c r="X28" s="169">
        <f>'YTD VAR'!R26</f>
        <v>0</v>
      </c>
      <c r="Y28" s="169">
        <f>'YTD VAR'!S26</f>
        <v>0</v>
      </c>
    </row>
    <row r="29" spans="1:25" x14ac:dyDescent="0.3">
      <c r="A29" s="200" t="s">
        <v>146</v>
      </c>
      <c r="B29" s="201">
        <f>'data entry '!N26</f>
        <v>-238</v>
      </c>
      <c r="C29" s="218">
        <f t="shared" si="15"/>
        <v>-0.42122253646760655</v>
      </c>
      <c r="D29" s="240"/>
      <c r="E29" s="201">
        <f t="shared" ref="E29:P29" si="20">SUM(E24:E28)</f>
        <v>33.26103475931501</v>
      </c>
      <c r="F29" s="201">
        <f t="shared" si="20"/>
        <v>-379.39900634769634</v>
      </c>
      <c r="G29" s="201">
        <f t="shared" si="20"/>
        <v>174.6600411070113</v>
      </c>
      <c r="H29" s="201">
        <f t="shared" si="20"/>
        <v>0</v>
      </c>
      <c r="I29" s="201">
        <f t="shared" si="20"/>
        <v>-204.73896524068499</v>
      </c>
      <c r="J29" s="201">
        <f t="shared" si="20"/>
        <v>-0.37074999999999636</v>
      </c>
      <c r="K29" s="201">
        <f t="shared" si="20"/>
        <v>53.354882968112022</v>
      </c>
      <c r="L29" s="201">
        <f t="shared" si="20"/>
        <v>0</v>
      </c>
      <c r="M29" s="201">
        <f t="shared" si="20"/>
        <v>4.1846012803294634</v>
      </c>
      <c r="N29" s="201">
        <f t="shared" si="20"/>
        <v>-21.727138637324966</v>
      </c>
      <c r="O29" s="201">
        <f t="shared" si="20"/>
        <v>0</v>
      </c>
      <c r="P29" s="201">
        <f t="shared" si="20"/>
        <v>35.441595611116526</v>
      </c>
      <c r="Q29" s="201">
        <f>SUM(Q24:Q28)</f>
        <v>-169.29736962956846</v>
      </c>
      <c r="R29" s="218">
        <f t="shared" si="17"/>
        <v>-0.32171927389261934</v>
      </c>
      <c r="T29" s="63">
        <f t="shared" si="5"/>
        <v>0</v>
      </c>
      <c r="W29" s="396">
        <f t="shared" si="18"/>
        <v>35.441595611116526</v>
      </c>
      <c r="X29" s="396">
        <f>'YTD VAR'!R27</f>
        <v>2.1316282072803006E-14</v>
      </c>
      <c r="Y29" s="396">
        <f>'YTD VAR'!S27</f>
        <v>35.882345611116527</v>
      </c>
    </row>
    <row r="30" spans="1:25" x14ac:dyDescent="0.3">
      <c r="A30" s="51"/>
      <c r="T30" s="63">
        <f t="shared" si="5"/>
        <v>0</v>
      </c>
    </row>
    <row r="31" spans="1:25" x14ac:dyDescent="0.3">
      <c r="A31" s="2" t="s">
        <v>148</v>
      </c>
      <c r="B31" s="639">
        <f>'data entry '!N27</f>
        <v>1088.3666699999999</v>
      </c>
      <c r="C31" s="321">
        <f t="shared" ref="C31:C32" si="21">B31/$B$4*1000</f>
        <v>1.9262376863201784</v>
      </c>
      <c r="E31" s="271"/>
      <c r="F31" s="254">
        <f>'data entry '!N106</f>
        <v>835.65603647222952</v>
      </c>
      <c r="G31" s="401">
        <f>'data entry '!N61</f>
        <v>-77.503330000000119</v>
      </c>
      <c r="H31" s="401">
        <f>'Budget assumption'!N337</f>
        <v>348.56674123661048</v>
      </c>
      <c r="I31" s="319">
        <f>B31</f>
        <v>1088.3666699999999</v>
      </c>
      <c r="J31" s="317"/>
      <c r="K31" s="317">
        <f>SUM('FCST 26 '!Q34,'FCST 26 '!X34)</f>
        <v>-1.2821035559607594</v>
      </c>
      <c r="L31" s="317"/>
      <c r="M31" s="304">
        <f>SUM('FCST 26 '!R34,'FCST 26 '!Y34)</f>
        <v>0</v>
      </c>
      <c r="N31" s="305">
        <f>SUM('FCST 26 '!S34,'FCST 26 '!Z34)</f>
        <v>-4.37</v>
      </c>
      <c r="O31" s="304"/>
      <c r="P31" s="304">
        <f t="shared" ref="P31:P32" si="22">SUM(J31:O31)</f>
        <v>-5.6521035559607595</v>
      </c>
      <c r="Q31" s="305">
        <f>'data entry '!N139</f>
        <v>1082.713478944039</v>
      </c>
      <c r="R31" s="405">
        <f t="shared" ref="R31:R33" si="23">Q31*1000/$Q$4</f>
        <v>2.0575026950613107</v>
      </c>
      <c r="T31" s="63">
        <f t="shared" si="5"/>
        <v>-1.0875000001009383E-3</v>
      </c>
      <c r="W31" s="169">
        <f t="shared" ref="W31:W33" si="24">Q31-I31</f>
        <v>-5.6531910559608605</v>
      </c>
      <c r="X31" s="169">
        <f>'YTD VAR'!R28</f>
        <v>344.44827225178614</v>
      </c>
      <c r="Y31" s="169">
        <f>'YTD VAR'!S28</f>
        <v>338.79508119582528</v>
      </c>
    </row>
    <row r="32" spans="1:25" x14ac:dyDescent="0.3">
      <c r="A32" s="270" t="s">
        <v>149</v>
      </c>
      <c r="B32" s="640">
        <f>'data entry '!N28</f>
        <v>1134.3840256941698</v>
      </c>
      <c r="C32" s="324">
        <f t="shared" si="21"/>
        <v>2.0076811623161044</v>
      </c>
      <c r="E32" s="239"/>
      <c r="F32" s="254">
        <f>'data entry '!N107</f>
        <v>870.98850495761826</v>
      </c>
      <c r="G32" s="401">
        <f>'data entry '!N62</f>
        <v>149.60402569416968</v>
      </c>
      <c r="H32" s="401"/>
      <c r="I32" s="320">
        <f>B32</f>
        <v>1134.3840256941698</v>
      </c>
      <c r="J32" s="310"/>
      <c r="K32" s="310">
        <f>SUM('FCST 26 '!Q35,'FCST 26 '!X35)</f>
        <v>-61.285771861399041</v>
      </c>
      <c r="L32" s="310"/>
      <c r="M32" s="236">
        <f>SUM('FCST 26 '!R35,'FCST 26 '!Y35)</f>
        <v>-24.83</v>
      </c>
      <c r="N32" s="309">
        <f>SUM('FCST 26 '!S35,'FCST 26 '!Z35)</f>
        <v>31.650189762160558</v>
      </c>
      <c r="O32" s="236"/>
      <c r="P32" s="236">
        <f t="shared" si="22"/>
        <v>-54.465582099238482</v>
      </c>
      <c r="Q32" s="407">
        <f>'data entry '!N140</f>
        <v>1079.9198771713891</v>
      </c>
      <c r="R32" s="406">
        <f t="shared" si="23"/>
        <v>2.0521939561493676</v>
      </c>
      <c r="T32" s="63">
        <f t="shared" si="5"/>
        <v>1.4335764577211307E-3</v>
      </c>
      <c r="W32" s="169">
        <f t="shared" si="24"/>
        <v>-54.464148522780761</v>
      </c>
      <c r="X32" s="169">
        <f>'YTD VAR'!R29</f>
        <v>113.79149504238173</v>
      </c>
      <c r="Y32" s="169">
        <f>'YTD VAR'!S29</f>
        <v>59.327346519600965</v>
      </c>
    </row>
    <row r="33" spans="1:25" x14ac:dyDescent="0.3">
      <c r="A33" s="200" t="s">
        <v>150</v>
      </c>
      <c r="B33" s="201">
        <f>'data entry '!N29</f>
        <v>2222.7506956941697</v>
      </c>
      <c r="C33" s="218">
        <f>B33/$B$4*1000</f>
        <v>3.9339188486362824</v>
      </c>
      <c r="E33" s="201">
        <f t="shared" ref="E33:Q33" si="25">E31+E32</f>
        <v>0</v>
      </c>
      <c r="F33" s="201">
        <f t="shared" si="25"/>
        <v>1706.6445414298478</v>
      </c>
      <c r="G33" s="201">
        <f t="shared" si="25"/>
        <v>72.100695694169559</v>
      </c>
      <c r="H33" s="201">
        <f>H31+H32</f>
        <v>348.56674123661048</v>
      </c>
      <c r="I33" s="201">
        <f t="shared" si="25"/>
        <v>2222.7506956941697</v>
      </c>
      <c r="J33" s="201">
        <f t="shared" si="25"/>
        <v>0</v>
      </c>
      <c r="K33" s="201">
        <f t="shared" si="25"/>
        <v>-62.567875417359801</v>
      </c>
      <c r="L33" s="201">
        <f t="shared" si="25"/>
        <v>0</v>
      </c>
      <c r="M33" s="201">
        <f t="shared" si="25"/>
        <v>-24.83</v>
      </c>
      <c r="N33" s="201">
        <f t="shared" si="25"/>
        <v>27.280189762160557</v>
      </c>
      <c r="O33" s="201">
        <f t="shared" si="25"/>
        <v>0</v>
      </c>
      <c r="P33" s="201">
        <f t="shared" si="25"/>
        <v>-60.117685655199239</v>
      </c>
      <c r="Q33" s="201">
        <f t="shared" si="25"/>
        <v>2162.6333561154279</v>
      </c>
      <c r="R33" s="218">
        <f t="shared" si="23"/>
        <v>4.1096966512106778</v>
      </c>
      <c r="T33" s="63">
        <f t="shared" si="5"/>
        <v>3.4607645739015425E-4</v>
      </c>
      <c r="W33" s="396">
        <f t="shared" si="24"/>
        <v>-60.117339578741849</v>
      </c>
      <c r="X33" s="396">
        <f>'YTD VAR'!R30</f>
        <v>458.23976729416785</v>
      </c>
      <c r="Y33" s="396">
        <f>'YTD VAR'!S30</f>
        <v>398.12242771542623</v>
      </c>
    </row>
    <row r="34" spans="1:25" x14ac:dyDescent="0.3">
      <c r="A34" s="51"/>
      <c r="R34"/>
      <c r="T34" s="63">
        <f t="shared" si="5"/>
        <v>0</v>
      </c>
    </row>
    <row r="35" spans="1:25" s="50" customFormat="1" x14ac:dyDescent="0.3">
      <c r="A35" s="200" t="s">
        <v>152</v>
      </c>
      <c r="B35" s="234">
        <f>B22+B29+B33</f>
        <v>22587.213356072341</v>
      </c>
      <c r="C35" s="218">
        <f>C22+C29+C33</f>
        <v>39.975812191511736</v>
      </c>
      <c r="D35"/>
      <c r="E35" s="234">
        <f>E22+E29+E33</f>
        <v>-487.93575059577864</v>
      </c>
      <c r="F35" s="234">
        <f t="shared" ref="F35:R35" si="26">F22+F29+F33</f>
        <v>18569.389276489994</v>
      </c>
      <c r="G35" s="234">
        <f t="shared" si="26"/>
        <v>-21.60888659976095</v>
      </c>
      <c r="H35" s="234">
        <f t="shared" si="26"/>
        <v>4335.1448183518887</v>
      </c>
      <c r="I35" s="234">
        <f t="shared" si="26"/>
        <v>22099.27760547656</v>
      </c>
      <c r="J35" s="234">
        <f t="shared" si="26"/>
        <v>-10.027443108520389</v>
      </c>
      <c r="K35" s="234">
        <f t="shared" si="26"/>
        <v>-1542.8109130621174</v>
      </c>
      <c r="L35" s="234">
        <f t="shared" si="26"/>
        <v>0</v>
      </c>
      <c r="M35" s="234">
        <f t="shared" si="26"/>
        <v>253.74677326505491</v>
      </c>
      <c r="N35" s="234">
        <f t="shared" si="26"/>
        <v>-832.73486184933768</v>
      </c>
      <c r="O35" s="234">
        <f t="shared" si="26"/>
        <v>0</v>
      </c>
      <c r="P35" s="234">
        <f t="shared" si="26"/>
        <v>-2131.8264447549204</v>
      </c>
      <c r="Q35" s="234">
        <f t="shared" si="26"/>
        <v>19967.455517177008</v>
      </c>
      <c r="R35" s="218">
        <f t="shared" si="26"/>
        <v>37.944566442616477</v>
      </c>
      <c r="T35" s="63">
        <f>+Q35-I35-P35</f>
        <v>4.3564553684518614E-3</v>
      </c>
      <c r="W35" s="396">
        <f>Q35-I35</f>
        <v>-2131.822088299552</v>
      </c>
      <c r="X35" s="396">
        <f>'YTD VAR'!R32</f>
        <v>3622.9086773759573</v>
      </c>
      <c r="Y35" s="396">
        <f>'YTD VAR'!S32</f>
        <v>1491.6184220672267</v>
      </c>
    </row>
    <row r="37" spans="1:25" s="50" customFormat="1" x14ac:dyDescent="0.3">
      <c r="A37"/>
      <c r="B37" s="107"/>
      <c r="C37" s="23"/>
      <c r="D37"/>
      <c r="E37"/>
      <c r="F37"/>
      <c r="G37" s="159"/>
      <c r="H37" s="159"/>
      <c r="I37"/>
      <c r="J37" s="105"/>
      <c r="K37" s="105"/>
      <c r="L37" s="105"/>
      <c r="M37" s="105"/>
      <c r="N37" s="105"/>
      <c r="O37" s="105"/>
      <c r="P37" s="23"/>
      <c r="Q37" s="23"/>
      <c r="R37" s="23"/>
    </row>
    <row r="40" spans="1:25" s="50" customFormat="1" x14ac:dyDescent="0.3">
      <c r="A40"/>
      <c r="B40"/>
      <c r="C40"/>
      <c r="D40"/>
      <c r="E40"/>
      <c r="F40"/>
      <c r="G40" s="159"/>
      <c r="H40" s="159"/>
      <c r="I40"/>
      <c r="J40"/>
      <c r="K40"/>
      <c r="L40"/>
      <c r="M40"/>
      <c r="N40" s="107"/>
      <c r="O40"/>
      <c r="P40"/>
      <c r="Q40"/>
    </row>
  </sheetData>
  <mergeCells count="18">
    <mergeCell ref="A2:A3"/>
    <mergeCell ref="B2:C3"/>
    <mergeCell ref="D2:D3"/>
    <mergeCell ref="E2:E3"/>
    <mergeCell ref="F2:F3"/>
    <mergeCell ref="N2:N3"/>
    <mergeCell ref="O2:O3"/>
    <mergeCell ref="P2:P3"/>
    <mergeCell ref="Q2:R3"/>
    <mergeCell ref="B4:C4"/>
    <mergeCell ref="Q4:R4"/>
    <mergeCell ref="H2:H3"/>
    <mergeCell ref="I2:I3"/>
    <mergeCell ref="J2:J3"/>
    <mergeCell ref="K2:K3"/>
    <mergeCell ref="L2:L3"/>
    <mergeCell ref="M2:M3"/>
    <mergeCell ref="G2:G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9860-5AB7-48C6-AD35-AA43C74F310D}">
  <dimension ref="A1:Q32"/>
  <sheetViews>
    <sheetView zoomScale="80" zoomScaleNormal="80" workbookViewId="0">
      <selection activeCell="R21" sqref="R21"/>
    </sheetView>
  </sheetViews>
  <sheetFormatPr defaultRowHeight="14.4" x14ac:dyDescent="0.3"/>
  <cols>
    <col min="1" max="1" width="34.33203125" bestFit="1" customWidth="1"/>
    <col min="2" max="5" width="0" hidden="1" customWidth="1"/>
  </cols>
  <sheetData>
    <row r="1" spans="1:17" x14ac:dyDescent="0.3">
      <c r="B1" s="513" t="s">
        <v>0</v>
      </c>
      <c r="C1" s="513" t="s">
        <v>1</v>
      </c>
      <c r="D1" s="513" t="s">
        <v>2</v>
      </c>
      <c r="E1" s="513" t="s">
        <v>3</v>
      </c>
      <c r="F1" s="513" t="s">
        <v>4</v>
      </c>
      <c r="G1" s="513" t="s">
        <v>5</v>
      </c>
      <c r="H1" s="513" t="s">
        <v>6</v>
      </c>
      <c r="I1" s="513" t="s">
        <v>7</v>
      </c>
      <c r="J1" s="513" t="s">
        <v>8</v>
      </c>
      <c r="K1" s="513" t="s">
        <v>9</v>
      </c>
      <c r="L1" s="513" t="s">
        <v>10</v>
      </c>
      <c r="M1" s="513" t="s">
        <v>11</v>
      </c>
      <c r="N1" s="513" t="s">
        <v>12</v>
      </c>
    </row>
    <row r="2" spans="1:17" x14ac:dyDescent="0.3">
      <c r="B2" s="632" t="s">
        <v>71</v>
      </c>
      <c r="C2" s="632" t="s">
        <v>71</v>
      </c>
      <c r="D2" s="632" t="s">
        <v>71</v>
      </c>
      <c r="E2" s="632" t="s">
        <v>71</v>
      </c>
      <c r="F2" s="632" t="s">
        <v>71</v>
      </c>
      <c r="G2" s="632" t="s">
        <v>71</v>
      </c>
      <c r="H2" s="632" t="s">
        <v>71</v>
      </c>
      <c r="I2" s="632" t="s">
        <v>71</v>
      </c>
      <c r="J2" s="632" t="s">
        <v>71</v>
      </c>
      <c r="K2" s="632" t="s">
        <v>71</v>
      </c>
      <c r="L2" s="632" t="s">
        <v>71</v>
      </c>
      <c r="M2" s="632" t="s">
        <v>71</v>
      </c>
      <c r="N2" s="632" t="s">
        <v>71</v>
      </c>
    </row>
    <row r="3" spans="1:17" x14ac:dyDescent="0.3">
      <c r="A3" s="683" t="s">
        <v>74</v>
      </c>
      <c r="B3" s="694">
        <v>5.3312814235904638</v>
      </c>
      <c r="C3" s="694">
        <v>-4.3449999999999998</v>
      </c>
      <c r="D3" s="694">
        <v>93</v>
      </c>
      <c r="E3" s="694">
        <v>15.885610479429999</v>
      </c>
      <c r="F3" s="694">
        <v>24.127724082199904</v>
      </c>
      <c r="G3" s="694">
        <v>21.914665681261681</v>
      </c>
      <c r="H3" s="694">
        <v>16.861343185634098</v>
      </c>
      <c r="I3" s="694">
        <v>14.020777713902362</v>
      </c>
      <c r="J3" s="694">
        <v>15.353450397027189</v>
      </c>
      <c r="K3" s="694">
        <v>17.485217865269078</v>
      </c>
      <c r="L3" s="694">
        <v>18.849656299435253</v>
      </c>
      <c r="M3" s="694">
        <v>21.003099124012579</v>
      </c>
      <c r="N3" s="694">
        <f>SUM(F3:M3)</f>
        <v>149.61593434874214</v>
      </c>
      <c r="O3" s="716">
        <f>SUM(F3:M3)</f>
        <v>149.61593434874214</v>
      </c>
      <c r="P3" s="8">
        <f>'FCST 26 '!Z10</f>
        <v>149.61593434874214</v>
      </c>
      <c r="Q3" s="107">
        <f>O3-P3</f>
        <v>0</v>
      </c>
    </row>
    <row r="4" spans="1:17" x14ac:dyDescent="0.3">
      <c r="A4" s="684" t="s">
        <v>75</v>
      </c>
      <c r="B4" s="695">
        <v>0.41774150477750327</v>
      </c>
      <c r="C4" s="695">
        <v>0.4</v>
      </c>
      <c r="D4" s="695">
        <v>1.1000000000000001</v>
      </c>
      <c r="E4" s="695">
        <v>1.5282519608461698</v>
      </c>
      <c r="F4" s="695">
        <v>1.1977015878490356</v>
      </c>
      <c r="G4" s="695">
        <v>2.1993620914014116</v>
      </c>
      <c r="H4" s="695">
        <v>1.4870129272620183</v>
      </c>
      <c r="I4" s="695">
        <v>1.3805887078242947</v>
      </c>
      <c r="J4" s="695">
        <v>1.1767261301639635</v>
      </c>
      <c r="K4" s="695">
        <v>1.1964741194369779</v>
      </c>
      <c r="L4" s="695">
        <v>1.5190106096540887</v>
      </c>
      <c r="M4" s="695">
        <v>1.3857105479830949</v>
      </c>
      <c r="N4" s="695">
        <f t="shared" ref="N4:N31" si="0">SUM(F4:M4)</f>
        <v>11.542586721574885</v>
      </c>
      <c r="O4" s="716">
        <f t="shared" ref="O4:O31" si="1">SUM(F4:M4)</f>
        <v>11.542586721574885</v>
      </c>
      <c r="P4" s="8">
        <f>'FCST 26 '!Z11</f>
        <v>11.542586721574885</v>
      </c>
      <c r="Q4" s="107">
        <f t="shared" ref="Q4:Q12" si="2">O4-P4</f>
        <v>0</v>
      </c>
    </row>
    <row r="5" spans="1:17" x14ac:dyDescent="0.3">
      <c r="A5" s="684" t="s">
        <v>141</v>
      </c>
      <c r="B5" s="695">
        <v>0.25443126242624836</v>
      </c>
      <c r="C5" s="695"/>
      <c r="D5" s="695">
        <v>0.85</v>
      </c>
      <c r="E5" s="695">
        <v>0.75346165979241242</v>
      </c>
      <c r="F5" s="695">
        <v>0.61509655900613325</v>
      </c>
      <c r="G5" s="695">
        <v>0.94331016093361342</v>
      </c>
      <c r="H5" s="695">
        <v>0.61644459129380991</v>
      </c>
      <c r="I5" s="695">
        <v>0.50220357772725066</v>
      </c>
      <c r="J5" s="695">
        <v>0.55553436995364081</v>
      </c>
      <c r="K5" s="695">
        <v>0.56771435842059859</v>
      </c>
      <c r="L5" s="695">
        <v>0.65721185501172208</v>
      </c>
      <c r="M5" s="695">
        <v>0.59039842482162008</v>
      </c>
      <c r="N5" s="695">
        <f t="shared" si="0"/>
        <v>5.0479138971683888</v>
      </c>
      <c r="O5" s="716">
        <f t="shared" si="1"/>
        <v>5.0479138971683888</v>
      </c>
      <c r="P5" s="8">
        <f>'FCST 26 '!Z12</f>
        <v>5.0479138971683888</v>
      </c>
      <c r="Q5" s="107">
        <f t="shared" si="2"/>
        <v>0</v>
      </c>
    </row>
    <row r="6" spans="1:17" x14ac:dyDescent="0.3">
      <c r="A6" s="685" t="s">
        <v>79</v>
      </c>
      <c r="B6" s="696">
        <v>6.0034541907942156</v>
      </c>
      <c r="C6" s="696">
        <v>-3.9449999999999998</v>
      </c>
      <c r="D6" s="696">
        <v>94.949999999999989</v>
      </c>
      <c r="E6" s="696">
        <v>18.167324100068583</v>
      </c>
      <c r="F6" s="696">
        <f>SUM(F3:F5)</f>
        <v>25.940522229055073</v>
      </c>
      <c r="G6" s="696">
        <f t="shared" ref="G6:M6" si="3">SUM(G3:G5)</f>
        <v>25.057337933596706</v>
      </c>
      <c r="H6" s="696">
        <f t="shared" si="3"/>
        <v>18.964800704189926</v>
      </c>
      <c r="I6" s="696">
        <f t="shared" si="3"/>
        <v>15.903569999453907</v>
      </c>
      <c r="J6" s="696">
        <f t="shared" si="3"/>
        <v>17.085710897144793</v>
      </c>
      <c r="K6" s="696">
        <f t="shared" si="3"/>
        <v>19.249406343126655</v>
      </c>
      <c r="L6" s="696">
        <f t="shared" si="3"/>
        <v>21.025878764101066</v>
      </c>
      <c r="M6" s="696">
        <f t="shared" si="3"/>
        <v>22.979208096817295</v>
      </c>
      <c r="N6" s="696">
        <f t="shared" si="0"/>
        <v>166.20643496748542</v>
      </c>
      <c r="O6" s="107">
        <f t="shared" si="1"/>
        <v>166.20643496748542</v>
      </c>
    </row>
    <row r="7" spans="1:17" x14ac:dyDescent="0.3">
      <c r="A7" s="684" t="s">
        <v>80</v>
      </c>
      <c r="B7" s="695">
        <v>2.44</v>
      </c>
      <c r="C7" s="695">
        <v>-2.7</v>
      </c>
      <c r="D7" s="695">
        <v>9.1999999999999993</v>
      </c>
      <c r="E7" s="695">
        <v>12.151094524318466</v>
      </c>
      <c r="F7" s="695">
        <v>14.547185982840148</v>
      </c>
      <c r="G7" s="695">
        <v>13.435704390524876</v>
      </c>
      <c r="H7" s="695">
        <v>12.463648014510653</v>
      </c>
      <c r="I7" s="695">
        <v>9.7930014662167082</v>
      </c>
      <c r="J7" s="695">
        <v>7.3933595493946598</v>
      </c>
      <c r="K7" s="695">
        <v>7.7415685786633048</v>
      </c>
      <c r="L7" s="695">
        <v>8.4483857088951311</v>
      </c>
      <c r="M7" s="695">
        <v>12.267099335537694</v>
      </c>
      <c r="N7" s="695">
        <f t="shared" si="0"/>
        <v>86.089953026583174</v>
      </c>
      <c r="O7" s="716">
        <f t="shared" si="1"/>
        <v>86.089953026583174</v>
      </c>
      <c r="P7" s="8">
        <f>'FCST 26 '!Z14</f>
        <v>86.089953026583174</v>
      </c>
      <c r="Q7" s="107">
        <f t="shared" si="2"/>
        <v>0</v>
      </c>
    </row>
    <row r="8" spans="1:17" x14ac:dyDescent="0.3">
      <c r="A8" s="684" t="s">
        <v>81</v>
      </c>
      <c r="B8" s="695">
        <v>0.14392453935312613</v>
      </c>
      <c r="C8" s="695">
        <v>2.8</v>
      </c>
      <c r="D8" s="695">
        <v>4</v>
      </c>
      <c r="E8" s="695">
        <v>5.8642632614901515</v>
      </c>
      <c r="F8" s="695">
        <v>6.5007671304211812</v>
      </c>
      <c r="G8" s="695">
        <v>6.1127376041004595</v>
      </c>
      <c r="H8" s="695">
        <v>4.8120108160856603</v>
      </c>
      <c r="I8" s="695">
        <v>4.0282805907185519</v>
      </c>
      <c r="J8" s="695">
        <v>3.3998510649353051</v>
      </c>
      <c r="K8" s="695">
        <v>3.5869619544134395</v>
      </c>
      <c r="L8" s="695">
        <v>3.9428854181840194</v>
      </c>
      <c r="M8" s="695">
        <v>4.3040318773279438</v>
      </c>
      <c r="N8" s="695">
        <f t="shared" si="0"/>
        <v>36.687526456186561</v>
      </c>
      <c r="O8" s="716">
        <f t="shared" si="1"/>
        <v>36.687526456186561</v>
      </c>
      <c r="P8" s="8">
        <f>'FCST 26 '!Z15</f>
        <v>36.687526456186561</v>
      </c>
      <c r="Q8" s="107">
        <f t="shared" si="2"/>
        <v>0</v>
      </c>
    </row>
    <row r="9" spans="1:17" x14ac:dyDescent="0.3">
      <c r="A9" s="684" t="s">
        <v>82</v>
      </c>
      <c r="B9" s="695">
        <v>6.138621709061475</v>
      </c>
      <c r="C9" s="695">
        <v>3</v>
      </c>
      <c r="D9" s="695">
        <v>1.4</v>
      </c>
      <c r="E9" s="695">
        <v>10.099789948667933</v>
      </c>
      <c r="F9" s="695">
        <v>9.5322767193278821</v>
      </c>
      <c r="G9" s="695">
        <v>11.04394477614747</v>
      </c>
      <c r="H9" s="695">
        <v>8.8390249750917746</v>
      </c>
      <c r="I9" s="695">
        <v>7.3170890167745029</v>
      </c>
      <c r="J9" s="695">
        <v>7.3024331248767282</v>
      </c>
      <c r="K9" s="695">
        <v>6.498862644682788</v>
      </c>
      <c r="L9" s="695">
        <v>7.2860646248811349</v>
      </c>
      <c r="M9" s="695">
        <v>7.3953095435060163</v>
      </c>
      <c r="N9" s="695">
        <f t="shared" si="0"/>
        <v>65.215005425288297</v>
      </c>
      <c r="O9" s="716">
        <f t="shared" si="1"/>
        <v>65.215005425288297</v>
      </c>
      <c r="P9" s="8">
        <f>'FCST 26 '!Z16</f>
        <v>65.215005425288297</v>
      </c>
      <c r="Q9" s="107">
        <f t="shared" si="2"/>
        <v>0</v>
      </c>
    </row>
    <row r="10" spans="1:17" x14ac:dyDescent="0.3">
      <c r="A10" s="684" t="s">
        <v>83</v>
      </c>
      <c r="B10" s="695">
        <v>6.0051174978838391E-2</v>
      </c>
      <c r="C10" s="695"/>
      <c r="D10" s="695"/>
      <c r="E10" s="695">
        <v>0.29135977375152056</v>
      </c>
      <c r="F10" s="695">
        <v>0.23448943282627477</v>
      </c>
      <c r="G10" s="695">
        <v>0.38812581491404075</v>
      </c>
      <c r="H10" s="695">
        <v>0.25475051921351888</v>
      </c>
      <c r="I10" s="695">
        <v>0.20765427786651891</v>
      </c>
      <c r="J10" s="695">
        <v>0.22825104553860065</v>
      </c>
      <c r="K10" s="695">
        <v>0.24984164688638533</v>
      </c>
      <c r="L10" s="695">
        <v>0.29087268204774297</v>
      </c>
      <c r="M10" s="695">
        <v>0.26331971194777637</v>
      </c>
      <c r="N10" s="695">
        <f t="shared" si="0"/>
        <v>2.1173051312408586</v>
      </c>
      <c r="O10" s="716">
        <f t="shared" si="1"/>
        <v>2.1173051312408586</v>
      </c>
      <c r="P10" s="8">
        <f>'FCST 26 '!Z17</f>
        <v>2.1173051312408586</v>
      </c>
      <c r="Q10" s="107">
        <f t="shared" si="2"/>
        <v>0</v>
      </c>
    </row>
    <row r="11" spans="1:17" x14ac:dyDescent="0.3">
      <c r="A11" s="684" t="s">
        <v>84</v>
      </c>
      <c r="B11" s="695">
        <v>1.2860963261856906</v>
      </c>
      <c r="C11" s="695">
        <v>-1.1000000000000001</v>
      </c>
      <c r="D11" s="695"/>
      <c r="E11" s="695">
        <v>2.1494166398358487</v>
      </c>
      <c r="F11" s="695">
        <v>2.7498775128922333</v>
      </c>
      <c r="G11" s="695">
        <v>2.7369736207320443</v>
      </c>
      <c r="H11" s="695">
        <v>1.8978315115531998</v>
      </c>
      <c r="I11" s="695">
        <v>1.568663974283254</v>
      </c>
      <c r="J11" s="695">
        <v>1.2505408903229096</v>
      </c>
      <c r="K11" s="695">
        <v>1.6741795651324978</v>
      </c>
      <c r="L11" s="695">
        <v>1.8505615178962103</v>
      </c>
      <c r="M11" s="695">
        <v>2.164208225733141</v>
      </c>
      <c r="N11" s="695">
        <f t="shared" si="0"/>
        <v>15.89283681854549</v>
      </c>
      <c r="O11" s="716">
        <f t="shared" si="1"/>
        <v>15.89283681854549</v>
      </c>
      <c r="P11" s="8">
        <f>'FCST 26 '!Z18</f>
        <v>15.89283681854549</v>
      </c>
      <c r="Q11" s="107">
        <f t="shared" si="2"/>
        <v>0</v>
      </c>
    </row>
    <row r="12" spans="1:17" x14ac:dyDescent="0.3">
      <c r="A12" s="684" t="s">
        <v>86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695">
        <f t="shared" si="0"/>
        <v>0</v>
      </c>
      <c r="O12" s="716"/>
      <c r="P12" s="8">
        <f>'FCST 26 '!Z19</f>
        <v>0</v>
      </c>
      <c r="Q12" s="107">
        <f t="shared" si="2"/>
        <v>0</v>
      </c>
    </row>
    <row r="13" spans="1:17" x14ac:dyDescent="0.3">
      <c r="A13" s="685" t="s">
        <v>87</v>
      </c>
      <c r="B13" s="696">
        <v>19.628693749579131</v>
      </c>
      <c r="C13" s="696">
        <v>10.44</v>
      </c>
      <c r="D13" s="696">
        <v>25.27</v>
      </c>
      <c r="E13" s="696">
        <v>39.527374288680335</v>
      </c>
      <c r="F13" s="696">
        <f>SUM(F7:F12)</f>
        <v>33.564596778307717</v>
      </c>
      <c r="G13" s="696">
        <f t="shared" ref="G13:M13" si="4">SUM(G7:G12)</f>
        <v>33.71748620641889</v>
      </c>
      <c r="H13" s="696">
        <f t="shared" si="4"/>
        <v>28.267265836454808</v>
      </c>
      <c r="I13" s="696">
        <f t="shared" si="4"/>
        <v>22.914689325859534</v>
      </c>
      <c r="J13" s="696">
        <f t="shared" si="4"/>
        <v>19.574435675068202</v>
      </c>
      <c r="K13" s="696">
        <f t="shared" si="4"/>
        <v>19.751414389778414</v>
      </c>
      <c r="L13" s="696">
        <f t="shared" si="4"/>
        <v>21.818769951904237</v>
      </c>
      <c r="M13" s="696">
        <f t="shared" si="4"/>
        <v>26.393968694052571</v>
      </c>
      <c r="N13" s="696">
        <f t="shared" si="0"/>
        <v>206.00262685784438</v>
      </c>
      <c r="O13" s="107">
        <f t="shared" si="1"/>
        <v>206.00262685784438</v>
      </c>
    </row>
    <row r="14" spans="1:17" x14ac:dyDescent="0.3">
      <c r="A14" s="686" t="s">
        <v>88</v>
      </c>
      <c r="B14" s="192">
        <v>25.632147940373347</v>
      </c>
      <c r="C14" s="192">
        <v>6.4949999999999992</v>
      </c>
      <c r="D14" s="192">
        <v>120.21999999999998</v>
      </c>
      <c r="E14" s="192">
        <v>57.694698388748975</v>
      </c>
      <c r="F14" s="192">
        <f>SUM(F13,F6)</f>
        <v>59.505119007362794</v>
      </c>
      <c r="G14" s="192">
        <f t="shared" ref="G14:M14" si="5">SUM(G13,G6)</f>
        <v>58.774824140015596</v>
      </c>
      <c r="H14" s="192">
        <f t="shared" si="5"/>
        <v>47.232066540644738</v>
      </c>
      <c r="I14" s="192">
        <f t="shared" si="5"/>
        <v>38.818259325313441</v>
      </c>
      <c r="J14" s="192">
        <f t="shared" si="5"/>
        <v>36.660146572212994</v>
      </c>
      <c r="K14" s="192">
        <f t="shared" si="5"/>
        <v>39.000820732905069</v>
      </c>
      <c r="L14" s="192">
        <f t="shared" si="5"/>
        <v>42.844648716005302</v>
      </c>
      <c r="M14" s="192">
        <f t="shared" si="5"/>
        <v>49.373176790869863</v>
      </c>
      <c r="N14" s="192">
        <f t="shared" si="0"/>
        <v>372.2090618253298</v>
      </c>
      <c r="O14" s="107">
        <f t="shared" si="1"/>
        <v>372.2090618253298</v>
      </c>
    </row>
    <row r="15" spans="1:17" x14ac:dyDescent="0.3">
      <c r="A15" s="684" t="s">
        <v>89</v>
      </c>
      <c r="B15" s="695"/>
      <c r="C15" s="695"/>
      <c r="D15" s="695"/>
      <c r="E15" s="695">
        <v>0.92476063908804562</v>
      </c>
      <c r="F15" s="695">
        <v>1.0184442468834654</v>
      </c>
      <c r="G15" s="695">
        <v>0.96793340706265596</v>
      </c>
      <c r="H15" s="695">
        <v>0.81490547578933814</v>
      </c>
      <c r="I15" s="695">
        <v>0.66755060727455628</v>
      </c>
      <c r="J15" s="695">
        <v>0.54551533513361861</v>
      </c>
      <c r="K15" s="695">
        <v>0.6181229520933833</v>
      </c>
      <c r="L15" s="695">
        <v>0.67544958446253389</v>
      </c>
      <c r="M15" s="695">
        <v>0.75648933172985977</v>
      </c>
      <c r="N15" s="695">
        <f t="shared" si="0"/>
        <v>6.0644109404294113</v>
      </c>
      <c r="O15" s="716">
        <f t="shared" si="1"/>
        <v>6.0644109404294113</v>
      </c>
    </row>
    <row r="16" spans="1:17" x14ac:dyDescent="0.3">
      <c r="A16" s="686" t="s">
        <v>90</v>
      </c>
      <c r="B16" s="192">
        <v>25.632147940373347</v>
      </c>
      <c r="C16" s="192">
        <v>6.4949999999999992</v>
      </c>
      <c r="D16" s="192">
        <v>120.21999999999998</v>
      </c>
      <c r="E16" s="192">
        <v>58.619459027836911</v>
      </c>
      <c r="F16" s="192">
        <f>SUM(F14,F15)</f>
        <v>60.523563254246255</v>
      </c>
      <c r="G16" s="192">
        <f t="shared" ref="G16:M16" si="6">SUM(G14,G15)</f>
        <v>59.742757547078256</v>
      </c>
      <c r="H16" s="192">
        <f t="shared" si="6"/>
        <v>48.046972016434076</v>
      </c>
      <c r="I16" s="192">
        <f t="shared" si="6"/>
        <v>39.485809932587998</v>
      </c>
      <c r="J16" s="192">
        <f t="shared" si="6"/>
        <v>37.205661907346609</v>
      </c>
      <c r="K16" s="192">
        <f t="shared" si="6"/>
        <v>39.618943684998456</v>
      </c>
      <c r="L16" s="192">
        <f t="shared" si="6"/>
        <v>43.520098300467836</v>
      </c>
      <c r="M16" s="192">
        <f t="shared" si="6"/>
        <v>50.129666122599723</v>
      </c>
      <c r="N16" s="192">
        <f t="shared" si="0"/>
        <v>378.27347276575921</v>
      </c>
      <c r="O16" s="107">
        <f t="shared" si="1"/>
        <v>378.27347276575921</v>
      </c>
    </row>
    <row r="17" spans="1:15" x14ac:dyDescent="0.3">
      <c r="A17" s="687" t="s">
        <v>91</v>
      </c>
      <c r="B17" s="635"/>
      <c r="C17" s="635"/>
      <c r="D17" s="635"/>
      <c r="E17" s="635"/>
      <c r="F17" s="635"/>
      <c r="G17" s="635"/>
      <c r="H17" s="635"/>
      <c r="I17" s="635"/>
      <c r="J17" s="635"/>
      <c r="K17" s="635"/>
      <c r="L17" s="635"/>
      <c r="M17" s="635"/>
      <c r="N17" s="635">
        <f t="shared" si="0"/>
        <v>0</v>
      </c>
      <c r="O17" s="107">
        <f t="shared" si="1"/>
        <v>0</v>
      </c>
    </row>
    <row r="18" spans="1:15" x14ac:dyDescent="0.3">
      <c r="A18" s="688" t="s">
        <v>92</v>
      </c>
      <c r="B18" s="636">
        <f>+B17+B16</f>
        <v>25.632147940373347</v>
      </c>
      <c r="C18" s="636">
        <f t="shared" ref="C18:M18" si="7">+C17+C16</f>
        <v>6.4949999999999992</v>
      </c>
      <c r="D18" s="636">
        <f t="shared" si="7"/>
        <v>120.21999999999998</v>
      </c>
      <c r="E18" s="636">
        <f>+E17+E16</f>
        <v>58.619459027836911</v>
      </c>
      <c r="F18" s="636">
        <f t="shared" si="7"/>
        <v>60.523563254246255</v>
      </c>
      <c r="G18" s="636">
        <f t="shared" si="7"/>
        <v>59.742757547078256</v>
      </c>
      <c r="H18" s="636">
        <f t="shared" si="7"/>
        <v>48.046972016434076</v>
      </c>
      <c r="I18" s="636">
        <f t="shared" si="7"/>
        <v>39.485809932587998</v>
      </c>
      <c r="J18" s="636">
        <f t="shared" si="7"/>
        <v>37.205661907346609</v>
      </c>
      <c r="K18" s="636">
        <f t="shared" si="7"/>
        <v>39.618943684998456</v>
      </c>
      <c r="L18" s="636">
        <f t="shared" si="7"/>
        <v>43.520098300467836</v>
      </c>
      <c r="M18" s="636">
        <f t="shared" si="7"/>
        <v>50.129666122599723</v>
      </c>
      <c r="N18" s="636">
        <f t="shared" si="0"/>
        <v>378.27347276575921</v>
      </c>
      <c r="O18" s="107">
        <f t="shared" si="1"/>
        <v>378.27347276575921</v>
      </c>
    </row>
    <row r="19" spans="1:15" x14ac:dyDescent="0.3">
      <c r="A19" s="689"/>
      <c r="B19" s="194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</row>
    <row r="20" spans="1:15" x14ac:dyDescent="0.3">
      <c r="A20" s="683" t="s">
        <v>76</v>
      </c>
      <c r="B20" s="694">
        <v>1.2846766966483594</v>
      </c>
      <c r="C20" s="694"/>
      <c r="D20" s="694"/>
      <c r="E20" s="694"/>
      <c r="F20" s="694"/>
      <c r="G20" s="694"/>
      <c r="H20" s="694"/>
      <c r="I20" s="694"/>
      <c r="J20" s="694"/>
      <c r="K20" s="694"/>
      <c r="L20" s="694"/>
      <c r="M20" s="694"/>
      <c r="N20" s="694">
        <f t="shared" si="0"/>
        <v>0</v>
      </c>
      <c r="O20" s="716">
        <f t="shared" si="1"/>
        <v>0</v>
      </c>
    </row>
    <row r="21" spans="1:15" x14ac:dyDescent="0.3">
      <c r="A21" s="684" t="s">
        <v>77</v>
      </c>
      <c r="B21" s="695">
        <v>-2</v>
      </c>
      <c r="C21" s="695">
        <v>-1.9</v>
      </c>
      <c r="D21" s="695">
        <v>-1.8990219797570518</v>
      </c>
      <c r="E21" s="695">
        <v>-2.2446906322835076</v>
      </c>
      <c r="F21" s="695">
        <v>-2.8701031743596133</v>
      </c>
      <c r="G21" s="695">
        <v>-1.8738374318576376</v>
      </c>
      <c r="H21" s="695">
        <v>-1.524758270306549</v>
      </c>
      <c r="I21" s="695">
        <v>-1.686727045158932</v>
      </c>
      <c r="J21" s="695">
        <v>-1.7267842455008307</v>
      </c>
      <c r="K21" s="695">
        <v>-2.0068889155073393</v>
      </c>
      <c r="L21" s="695">
        <v>-1.7981347528577345</v>
      </c>
      <c r="M21" s="695">
        <v>-0.96358149842468777</v>
      </c>
      <c r="N21" s="695">
        <f t="shared" si="0"/>
        <v>-14.450815333973324</v>
      </c>
      <c r="O21" s="716">
        <f t="shared" si="1"/>
        <v>-14.450815333973324</v>
      </c>
    </row>
    <row r="22" spans="1:15" x14ac:dyDescent="0.3">
      <c r="A22" s="684" t="s">
        <v>144</v>
      </c>
      <c r="B22" s="695"/>
      <c r="C22" s="695"/>
      <c r="D22" s="695">
        <v>-3.4749883044876584E-2</v>
      </c>
      <c r="E22" s="695">
        <v>0</v>
      </c>
      <c r="F22" s="695">
        <v>0</v>
      </c>
      <c r="G22" s="695">
        <v>0</v>
      </c>
      <c r="H22" s="695">
        <v>0</v>
      </c>
      <c r="I22" s="695">
        <v>0</v>
      </c>
      <c r="J22" s="695">
        <v>0</v>
      </c>
      <c r="K22" s="695">
        <v>0</v>
      </c>
      <c r="L22" s="695">
        <v>0</v>
      </c>
      <c r="M22" s="695">
        <v>0</v>
      </c>
      <c r="N22" s="694">
        <f t="shared" si="0"/>
        <v>0</v>
      </c>
      <c r="O22" s="716">
        <f t="shared" si="1"/>
        <v>0</v>
      </c>
    </row>
    <row r="23" spans="1:15" x14ac:dyDescent="0.3">
      <c r="A23" s="684" t="s">
        <v>85</v>
      </c>
      <c r="B23" s="695"/>
      <c r="C23" s="695"/>
      <c r="D23" s="695"/>
      <c r="E23" s="695"/>
      <c r="F23" s="695"/>
      <c r="G23" s="695"/>
      <c r="H23" s="695"/>
      <c r="I23" s="695"/>
      <c r="J23" s="695"/>
      <c r="K23" s="695"/>
      <c r="L23" s="695"/>
      <c r="M23" s="695"/>
      <c r="N23" s="694">
        <f t="shared" si="0"/>
        <v>0</v>
      </c>
      <c r="O23" s="716">
        <f t="shared" si="1"/>
        <v>0</v>
      </c>
    </row>
    <row r="24" spans="1:15" x14ac:dyDescent="0.3">
      <c r="A24" s="690" t="s">
        <v>145</v>
      </c>
      <c r="B24" s="697"/>
      <c r="C24" s="697"/>
      <c r="D24" s="697">
        <v>0</v>
      </c>
      <c r="E24" s="697">
        <v>0</v>
      </c>
      <c r="F24" s="697">
        <v>0</v>
      </c>
      <c r="G24" s="697">
        <v>0</v>
      </c>
      <c r="H24" s="697">
        <v>0</v>
      </c>
      <c r="I24" s="697">
        <v>0</v>
      </c>
      <c r="J24" s="697">
        <v>0</v>
      </c>
      <c r="K24" s="697">
        <v>0</v>
      </c>
      <c r="L24" s="697">
        <v>0</v>
      </c>
      <c r="M24" s="697">
        <v>0</v>
      </c>
      <c r="N24" s="694">
        <f t="shared" si="0"/>
        <v>0</v>
      </c>
      <c r="O24" s="716">
        <f t="shared" si="1"/>
        <v>0</v>
      </c>
    </row>
    <row r="25" spans="1:15" x14ac:dyDescent="0.3">
      <c r="A25" s="691" t="s">
        <v>146</v>
      </c>
      <c r="B25" s="234">
        <v>-0.71532330335164063</v>
      </c>
      <c r="C25" s="234">
        <v>-1.9</v>
      </c>
      <c r="D25" s="234">
        <v>-1.9337718628019283</v>
      </c>
      <c r="E25" s="234">
        <v>-2.2446906322835076</v>
      </c>
      <c r="F25" s="234">
        <f>SUM(F20:F24)</f>
        <v>-2.8701031743596133</v>
      </c>
      <c r="G25" s="234">
        <f t="shared" ref="G25:M25" si="8">SUM(G20:G24)</f>
        <v>-1.8738374318576376</v>
      </c>
      <c r="H25" s="234">
        <f t="shared" si="8"/>
        <v>-1.524758270306549</v>
      </c>
      <c r="I25" s="234">
        <f t="shared" si="8"/>
        <v>-1.686727045158932</v>
      </c>
      <c r="J25" s="234">
        <f t="shared" si="8"/>
        <v>-1.7267842455008307</v>
      </c>
      <c r="K25" s="234">
        <f t="shared" si="8"/>
        <v>-2.0068889155073393</v>
      </c>
      <c r="L25" s="234">
        <f t="shared" si="8"/>
        <v>-1.7981347528577345</v>
      </c>
      <c r="M25" s="234">
        <f t="shared" si="8"/>
        <v>-0.96358149842468777</v>
      </c>
      <c r="N25" s="234">
        <f t="shared" si="0"/>
        <v>-14.450815333973324</v>
      </c>
      <c r="O25" s="107">
        <f t="shared" si="1"/>
        <v>-14.450815333973324</v>
      </c>
    </row>
    <row r="26" spans="1:15" x14ac:dyDescent="0.3">
      <c r="A26" s="689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>
        <f t="shared" ref="N26:N30" si="9">SUM(B26:M26)</f>
        <v>0</v>
      </c>
    </row>
    <row r="27" spans="1:15" x14ac:dyDescent="0.3">
      <c r="A27" s="692" t="s">
        <v>148</v>
      </c>
      <c r="B27" s="698">
        <v>-1.81</v>
      </c>
      <c r="C27" s="698">
        <v>-1.28</v>
      </c>
      <c r="D27" s="698">
        <v>-1.28</v>
      </c>
      <c r="E27" s="698"/>
      <c r="F27" s="698"/>
      <c r="G27" s="698"/>
      <c r="H27" s="698"/>
      <c r="I27" s="698"/>
      <c r="J27" s="698"/>
      <c r="K27" s="698"/>
      <c r="L27" s="698"/>
      <c r="M27" s="698"/>
      <c r="N27" s="694">
        <f t="shared" si="0"/>
        <v>0</v>
      </c>
      <c r="O27" s="716">
        <f t="shared" si="1"/>
        <v>0</v>
      </c>
    </row>
    <row r="28" spans="1:15" x14ac:dyDescent="0.3">
      <c r="A28" s="693" t="s">
        <v>149</v>
      </c>
      <c r="B28" s="699"/>
      <c r="C28" s="699"/>
      <c r="D28" s="699"/>
      <c r="E28" s="699">
        <v>5.62938044126075</v>
      </c>
      <c r="F28" s="699">
        <v>6.0756265549457567</v>
      </c>
      <c r="G28" s="699">
        <v>5.8041669883946554</v>
      </c>
      <c r="H28" s="699">
        <v>4.9226474094149495</v>
      </c>
      <c r="I28" s="699">
        <v>4.064540764414474</v>
      </c>
      <c r="J28" s="699">
        <v>3.3956170683562021</v>
      </c>
      <c r="K28" s="699">
        <v>3.6272177296328181</v>
      </c>
      <c r="L28" s="699">
        <v>4.0154718122374931</v>
      </c>
      <c r="M28" s="699">
        <v>3.9326265707642847</v>
      </c>
      <c r="N28" s="694">
        <f t="shared" si="0"/>
        <v>35.837914898160633</v>
      </c>
      <c r="O28" s="716">
        <f t="shared" si="1"/>
        <v>35.837914898160633</v>
      </c>
    </row>
    <row r="29" spans="1:15" x14ac:dyDescent="0.3">
      <c r="A29" s="691" t="s">
        <v>150</v>
      </c>
      <c r="B29" s="234">
        <v>-1.81</v>
      </c>
      <c r="C29" s="234">
        <v>-1.28</v>
      </c>
      <c r="D29" s="234">
        <v>-1.28</v>
      </c>
      <c r="E29" s="234">
        <v>5.62938044126075</v>
      </c>
      <c r="F29" s="234">
        <f>SUM(F27:F28)</f>
        <v>6.0756265549457567</v>
      </c>
      <c r="G29" s="234">
        <f t="shared" ref="G29:M29" si="10">SUM(G27:G28)</f>
        <v>5.8041669883946554</v>
      </c>
      <c r="H29" s="234">
        <f t="shared" si="10"/>
        <v>4.9226474094149495</v>
      </c>
      <c r="I29" s="234">
        <f t="shared" si="10"/>
        <v>4.064540764414474</v>
      </c>
      <c r="J29" s="234">
        <f t="shared" si="10"/>
        <v>3.3956170683562021</v>
      </c>
      <c r="K29" s="234">
        <f t="shared" si="10"/>
        <v>3.6272177296328181</v>
      </c>
      <c r="L29" s="234">
        <f t="shared" si="10"/>
        <v>4.0154718122374931</v>
      </c>
      <c r="M29" s="234">
        <f t="shared" si="10"/>
        <v>3.9326265707642847</v>
      </c>
      <c r="N29" s="234">
        <f t="shared" si="0"/>
        <v>35.837914898160633</v>
      </c>
      <c r="O29" s="107">
        <f t="shared" si="1"/>
        <v>35.837914898160633</v>
      </c>
    </row>
    <row r="30" spans="1:15" x14ac:dyDescent="0.3">
      <c r="A30" s="689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>
        <f t="shared" si="9"/>
        <v>0</v>
      </c>
    </row>
    <row r="31" spans="1:15" x14ac:dyDescent="0.3">
      <c r="A31" s="691" t="s">
        <v>152</v>
      </c>
      <c r="B31" s="700">
        <v>0.10682463702170608</v>
      </c>
      <c r="C31" s="700">
        <v>-17.204999999999998</v>
      </c>
      <c r="D31" s="700">
        <v>89.656228137198042</v>
      </c>
      <c r="E31" s="700">
        <f>+E29+E25+E18</f>
        <v>62.004148836814153</v>
      </c>
      <c r="F31" s="700">
        <f t="shared" ref="F31:M31" si="11">+F29+F25+F18</f>
        <v>63.729086634832399</v>
      </c>
      <c r="G31" s="700">
        <f t="shared" si="11"/>
        <v>63.673087103615273</v>
      </c>
      <c r="H31" s="700">
        <f t="shared" si="11"/>
        <v>51.444861155542476</v>
      </c>
      <c r="I31" s="700">
        <f t="shared" si="11"/>
        <v>41.86362365184354</v>
      </c>
      <c r="J31" s="700">
        <f t="shared" si="11"/>
        <v>38.874494730201981</v>
      </c>
      <c r="K31" s="700">
        <f t="shared" si="11"/>
        <v>41.239272499123935</v>
      </c>
      <c r="L31" s="700">
        <f t="shared" si="11"/>
        <v>45.737435359847595</v>
      </c>
      <c r="M31" s="700">
        <f t="shared" si="11"/>
        <v>53.09871119493932</v>
      </c>
      <c r="N31" s="700">
        <f t="shared" si="0"/>
        <v>399.66057232994655</v>
      </c>
      <c r="O31" s="107">
        <f t="shared" si="1"/>
        <v>399.66057232994655</v>
      </c>
    </row>
    <row r="32" spans="1:15" x14ac:dyDescent="0.3">
      <c r="F32" s="107">
        <f>F31-F17-F12</f>
        <v>63.729086634832399</v>
      </c>
      <c r="G32" s="107">
        <f t="shared" ref="G32:M32" si="12">G31-G17-G12</f>
        <v>63.673087103615273</v>
      </c>
      <c r="H32" s="107">
        <f t="shared" si="12"/>
        <v>51.444861155542476</v>
      </c>
      <c r="I32" s="107">
        <f t="shared" si="12"/>
        <v>41.86362365184354</v>
      </c>
      <c r="J32" s="107">
        <f t="shared" si="12"/>
        <v>38.874494730201981</v>
      </c>
      <c r="K32" s="107">
        <f t="shared" si="12"/>
        <v>41.239272499123935</v>
      </c>
      <c r="L32" s="107">
        <f t="shared" si="12"/>
        <v>45.737435359847595</v>
      </c>
      <c r="M32" s="107">
        <f t="shared" si="12"/>
        <v>53.09871119493932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E305-7919-4993-8A76-C31764A1976F}">
  <sheetPr>
    <tabColor rgb="FF002060"/>
  </sheetPr>
  <dimension ref="A1:AF153"/>
  <sheetViews>
    <sheetView showGridLines="0" tabSelected="1" zoomScale="55" zoomScaleNormal="5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C124" sqref="AC124"/>
    </sheetView>
  </sheetViews>
  <sheetFormatPr defaultRowHeight="14.4" x14ac:dyDescent="0.3"/>
  <cols>
    <col min="1" max="1" width="44.88671875" customWidth="1"/>
    <col min="2" max="5" width="0" hidden="1" customWidth="1"/>
    <col min="14" max="14" width="10.6640625" style="32" bestFit="1" customWidth="1"/>
    <col min="15" max="15" width="8.6640625" customWidth="1"/>
    <col min="16" max="16" width="9.21875" style="32" bestFit="1" customWidth="1"/>
    <col min="17" max="20" width="8.44140625" customWidth="1"/>
    <col min="21" max="22" width="4.21875" customWidth="1"/>
    <col min="23" max="23" width="15.109375" style="32" customWidth="1"/>
    <col min="24" max="27" width="8.44140625" customWidth="1"/>
    <col min="28" max="28" width="6.33203125" bestFit="1" customWidth="1"/>
    <col min="29" max="29" width="129.5546875" customWidth="1"/>
    <col min="30" max="30" width="33.5546875" bestFit="1" customWidth="1"/>
  </cols>
  <sheetData>
    <row r="1" spans="1:32" x14ac:dyDescent="0.3">
      <c r="A1" s="476" t="s">
        <v>442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6"/>
      <c r="O1" s="477"/>
      <c r="P1" s="476"/>
      <c r="Q1" s="477"/>
      <c r="R1" s="477"/>
      <c r="S1" s="477"/>
      <c r="T1" s="477"/>
      <c r="U1" s="477"/>
      <c r="V1" s="477"/>
      <c r="W1" s="476"/>
      <c r="X1" s="477"/>
      <c r="Y1" s="477"/>
      <c r="Z1" s="477"/>
      <c r="AA1" s="477"/>
    </row>
    <row r="2" spans="1:32" x14ac:dyDescent="0.3">
      <c r="A2" s="476"/>
      <c r="B2" s="477"/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6"/>
      <c r="O2" s="477"/>
      <c r="P2" s="476"/>
      <c r="Q2" s="477"/>
      <c r="R2" s="477"/>
      <c r="S2" s="477"/>
      <c r="T2" s="477"/>
      <c r="U2" s="477"/>
      <c r="V2" s="477"/>
      <c r="W2" s="476"/>
      <c r="X2" s="477"/>
      <c r="Y2" s="477"/>
      <c r="Z2" s="477"/>
      <c r="AA2" s="477"/>
    </row>
    <row r="3" spans="1:32" x14ac:dyDescent="0.3">
      <c r="A3" s="476" t="s">
        <v>443</v>
      </c>
      <c r="B3" s="478" t="s">
        <v>0</v>
      </c>
      <c r="C3" s="478" t="s">
        <v>1</v>
      </c>
      <c r="D3" s="478" t="s">
        <v>2</v>
      </c>
      <c r="E3" s="478" t="s">
        <v>3</v>
      </c>
      <c r="F3" s="478" t="s">
        <v>4</v>
      </c>
      <c r="G3" s="478" t="s">
        <v>5</v>
      </c>
      <c r="H3" s="478" t="s">
        <v>6</v>
      </c>
      <c r="I3" s="478" t="s">
        <v>7</v>
      </c>
      <c r="J3" s="478" t="s">
        <v>8</v>
      </c>
      <c r="K3" s="478" t="s">
        <v>9</v>
      </c>
      <c r="L3" s="478" t="s">
        <v>10</v>
      </c>
      <c r="M3" s="478" t="s">
        <v>11</v>
      </c>
      <c r="N3" s="478" t="s">
        <v>12</v>
      </c>
      <c r="O3" s="477"/>
      <c r="P3" s="478" t="s">
        <v>95</v>
      </c>
      <c r="Q3" s="479" t="s">
        <v>444</v>
      </c>
      <c r="R3" s="479" t="s">
        <v>445</v>
      </c>
      <c r="S3" s="479" t="s">
        <v>446</v>
      </c>
      <c r="T3" s="479" t="s">
        <v>447</v>
      </c>
      <c r="U3" s="477"/>
      <c r="V3" s="477"/>
      <c r="W3" s="478" t="s">
        <v>558</v>
      </c>
      <c r="X3" s="479" t="s">
        <v>444</v>
      </c>
      <c r="Y3" s="479" t="s">
        <v>445</v>
      </c>
      <c r="Z3" s="479" t="s">
        <v>446</v>
      </c>
      <c r="AA3" s="479" t="s">
        <v>447</v>
      </c>
      <c r="AC3" s="479"/>
    </row>
    <row r="4" spans="1:32" x14ac:dyDescent="0.3">
      <c r="A4" s="480" t="s">
        <v>448</v>
      </c>
      <c r="B4" s="481">
        <f>'data entry '!B115</f>
        <v>47357</v>
      </c>
      <c r="C4" s="481">
        <f>'data entry '!C115</f>
        <v>42593.000999999997</v>
      </c>
      <c r="D4" s="481">
        <f>'data entry '!D115</f>
        <v>23002.001</v>
      </c>
      <c r="E4" s="481">
        <f>'data entry '!E115</f>
        <v>44096</v>
      </c>
      <c r="F4" s="481">
        <f>'data entry '!F115</f>
        <v>36000</v>
      </c>
      <c r="G4" s="481">
        <f>'data entry '!G115</f>
        <v>54500.000999999997</v>
      </c>
      <c r="H4" s="481">
        <f>'data entry '!H115</f>
        <v>41500</v>
      </c>
      <c r="I4" s="481">
        <f>'data entry '!I115</f>
        <v>39000.000999999997</v>
      </c>
      <c r="J4" s="481">
        <f>'data entry '!J115</f>
        <v>54085</v>
      </c>
      <c r="K4" s="481">
        <f>'data entry '!K115</f>
        <v>49968</v>
      </c>
      <c r="L4" s="481">
        <f>'data entry '!L115</f>
        <v>51936</v>
      </c>
      <c r="M4" s="481">
        <f>'data entry '!M115</f>
        <v>42190</v>
      </c>
      <c r="N4" s="481">
        <f>'data entry '!N115</f>
        <v>526227.00399999996</v>
      </c>
      <c r="O4" s="483"/>
      <c r="P4" s="482">
        <f>SUM(B4:E4)</f>
        <v>157048.00199999998</v>
      </c>
      <c r="Q4" s="727"/>
      <c r="R4" s="728"/>
      <c r="S4" s="728"/>
      <c r="T4" s="728"/>
      <c r="U4" s="483"/>
      <c r="V4" s="483"/>
      <c r="W4" s="482">
        <f>N4-P4</f>
        <v>369179.00199999998</v>
      </c>
      <c r="X4" s="727"/>
      <c r="Y4" s="728"/>
      <c r="Z4" s="728"/>
      <c r="AA4" s="728"/>
    </row>
    <row r="5" spans="1:32" x14ac:dyDescent="0.3">
      <c r="A5" s="480" t="s">
        <v>96</v>
      </c>
      <c r="B5" s="481">
        <f>'data entry '!B3</f>
        <v>50463</v>
      </c>
      <c r="C5" s="481">
        <f>'data entry '!C3</f>
        <v>50446</v>
      </c>
      <c r="D5" s="481">
        <f>'data entry '!D3</f>
        <v>50447</v>
      </c>
      <c r="E5" s="481">
        <f>'data entry '!E3</f>
        <v>48050</v>
      </c>
      <c r="F5" s="481">
        <f>'data entry '!F3</f>
        <v>36788</v>
      </c>
      <c r="G5" s="481">
        <f>'data entry '!G3</f>
        <v>53265</v>
      </c>
      <c r="H5" s="481">
        <f>'data entry '!H3</f>
        <v>42049</v>
      </c>
      <c r="I5" s="481">
        <f>'data entry '!I3</f>
        <v>39150</v>
      </c>
      <c r="J5" s="481">
        <f>'data entry '!J3</f>
        <v>53732</v>
      </c>
      <c r="K5" s="481">
        <f>'data entry '!K3</f>
        <v>48548</v>
      </c>
      <c r="L5" s="481">
        <f>'data entry '!L3</f>
        <v>51408</v>
      </c>
      <c r="M5" s="481">
        <f>'data entry '!M3</f>
        <v>40676</v>
      </c>
      <c r="N5" s="481">
        <f>'data entry '!N3</f>
        <v>565022</v>
      </c>
      <c r="O5" s="483"/>
      <c r="P5" s="482">
        <f>SUM(B5:E5)</f>
        <v>199406</v>
      </c>
      <c r="Q5" s="729"/>
      <c r="R5" s="730"/>
      <c r="S5" s="730"/>
      <c r="T5" s="730"/>
      <c r="U5" s="483"/>
      <c r="V5" s="483"/>
      <c r="W5" s="482">
        <f t="shared" ref="W5:W6" si="0">N5-P5</f>
        <v>365616</v>
      </c>
      <c r="X5" s="729"/>
      <c r="Y5" s="730"/>
      <c r="Z5" s="730"/>
      <c r="AA5" s="730"/>
    </row>
    <row r="6" spans="1:32" ht="15" thickBot="1" x14ac:dyDescent="0.35">
      <c r="A6" s="484" t="s">
        <v>97</v>
      </c>
      <c r="B6" s="485">
        <f>B4-B5</f>
        <v>-3106</v>
      </c>
      <c r="C6" s="485">
        <f t="shared" ref="C6:N6" si="1">C4-C5</f>
        <v>-7852.9990000000034</v>
      </c>
      <c r="D6" s="485">
        <f t="shared" si="1"/>
        <v>-27444.999</v>
      </c>
      <c r="E6" s="485">
        <f t="shared" si="1"/>
        <v>-3954</v>
      </c>
      <c r="F6" s="485">
        <f t="shared" si="1"/>
        <v>-788</v>
      </c>
      <c r="G6" s="485">
        <f t="shared" si="1"/>
        <v>1235.0009999999966</v>
      </c>
      <c r="H6" s="485">
        <f t="shared" si="1"/>
        <v>-549</v>
      </c>
      <c r="I6" s="485">
        <f t="shared" si="1"/>
        <v>-149.99900000000343</v>
      </c>
      <c r="J6" s="485">
        <f t="shared" si="1"/>
        <v>353</v>
      </c>
      <c r="K6" s="485">
        <f t="shared" si="1"/>
        <v>1420</v>
      </c>
      <c r="L6" s="485">
        <f t="shared" si="1"/>
        <v>528</v>
      </c>
      <c r="M6" s="485">
        <f t="shared" si="1"/>
        <v>1514</v>
      </c>
      <c r="N6" s="486">
        <f t="shared" si="1"/>
        <v>-38794.996000000043</v>
      </c>
      <c r="O6" s="483"/>
      <c r="P6" s="486">
        <f>SUM(B6:E6)</f>
        <v>-42357.998000000007</v>
      </c>
      <c r="Q6" s="729"/>
      <c r="R6" s="730"/>
      <c r="S6" s="730"/>
      <c r="T6" s="730"/>
      <c r="U6" s="483"/>
      <c r="V6" s="483"/>
      <c r="W6" s="486">
        <f t="shared" si="0"/>
        <v>3563.001999999964</v>
      </c>
      <c r="X6" s="729"/>
      <c r="Y6" s="730"/>
      <c r="Z6" s="730"/>
      <c r="AA6" s="730"/>
      <c r="AC6" s="35"/>
    </row>
    <row r="7" spans="1:32" ht="8.4" customHeight="1" x14ac:dyDescent="0.3">
      <c r="A7" s="487"/>
      <c r="B7" s="483"/>
      <c r="C7" s="483"/>
      <c r="D7" s="483"/>
      <c r="E7" s="483"/>
      <c r="F7" s="483"/>
      <c r="G7" s="483"/>
      <c r="H7" s="483"/>
      <c r="I7" s="483"/>
      <c r="J7" s="483"/>
      <c r="K7" s="483"/>
      <c r="L7" s="483"/>
      <c r="M7" s="483"/>
      <c r="N7" s="488"/>
      <c r="O7" s="483"/>
      <c r="P7" s="488"/>
      <c r="Q7" s="483"/>
      <c r="R7" s="483"/>
      <c r="S7" s="483"/>
      <c r="T7" s="483"/>
      <c r="U7" s="483"/>
      <c r="V7" s="483"/>
      <c r="W7" s="488"/>
      <c r="X7" s="483"/>
      <c r="Y7" s="483"/>
      <c r="Z7" s="483"/>
      <c r="AA7" s="483"/>
    </row>
    <row r="8" spans="1:32" ht="15" thickBot="1" x14ac:dyDescent="0.35">
      <c r="A8" s="489" t="s">
        <v>449</v>
      </c>
      <c r="B8" s="490">
        <f>'data entry '!B182</f>
        <v>74.155661215989426</v>
      </c>
      <c r="C8" s="490">
        <f>'data entry '!C182</f>
        <v>186.38396565789671</v>
      </c>
      <c r="D8" s="490">
        <f>'data entry '!D182</f>
        <v>622.98541887442025</v>
      </c>
      <c r="E8" s="490">
        <f>'data entry '!E182</f>
        <v>165.86341342894065</v>
      </c>
      <c r="F8" s="490">
        <f>'data entry '!F182</f>
        <v>18.648319365989565</v>
      </c>
      <c r="G8" s="490">
        <f>'data entry '!G182</f>
        <v>-29.228330560037989</v>
      </c>
      <c r="H8" s="490">
        <f>'data entry '!H182</f>
        <v>12.992062253174026</v>
      </c>
      <c r="I8" s="490">
        <f>'data entry '!I182</f>
        <v>3.5493304153876579</v>
      </c>
      <c r="J8" s="490">
        <f>'data entry '!J182</f>
        <v>-8.354868284071074</v>
      </c>
      <c r="K8" s="490">
        <f>'data entry '!K182</f>
        <v>-33.60645740022062</v>
      </c>
      <c r="L8" s="490">
        <f>'data entry '!L182</f>
        <v>-12.496392127668571</v>
      </c>
      <c r="M8" s="490">
        <f>'data entry '!M182</f>
        <v>-35.830954033079536</v>
      </c>
      <c r="N8" s="490">
        <f>'data entry '!N182</f>
        <v>965.06116880672062</v>
      </c>
      <c r="O8" s="483"/>
      <c r="P8" s="491">
        <f>SUM(B8:E8)</f>
        <v>1049.3884591772471</v>
      </c>
      <c r="Q8" s="481">
        <f>+P8</f>
        <v>1049.3884591772471</v>
      </c>
      <c r="R8" s="481"/>
      <c r="S8" s="481"/>
      <c r="T8" s="481"/>
      <c r="U8" s="483"/>
      <c r="V8" s="483"/>
      <c r="W8" s="486">
        <f>N8-P8</f>
        <v>-84.327290370526498</v>
      </c>
      <c r="X8" s="481">
        <f>+W8</f>
        <v>-84.327290370526498</v>
      </c>
      <c r="Y8" s="481"/>
      <c r="Z8" s="481"/>
      <c r="AA8" s="481"/>
    </row>
    <row r="9" spans="1:32" ht="10.199999999999999" customHeight="1" x14ac:dyDescent="0.3">
      <c r="A9" s="492"/>
      <c r="B9" s="483"/>
      <c r="C9" s="483"/>
      <c r="D9" s="483"/>
      <c r="E9" s="483"/>
      <c r="F9" s="483"/>
      <c r="G9" s="483"/>
      <c r="H9" s="483"/>
      <c r="I9" s="483"/>
      <c r="J9" s="483"/>
      <c r="K9" s="483"/>
      <c r="L9" s="483"/>
      <c r="M9" s="483"/>
      <c r="N9" s="488"/>
      <c r="O9" s="483"/>
      <c r="P9" s="488"/>
      <c r="Q9" s="483"/>
      <c r="R9" s="483"/>
      <c r="S9" s="483"/>
      <c r="T9" s="483"/>
      <c r="U9" s="483"/>
      <c r="V9" s="483"/>
      <c r="W9" s="488"/>
      <c r="X9" s="483"/>
      <c r="Y9" s="483"/>
      <c r="Z9" s="483"/>
      <c r="AA9" s="483"/>
    </row>
    <row r="10" spans="1:32" ht="28.8" x14ac:dyDescent="0.3">
      <c r="A10" s="291" t="s">
        <v>74</v>
      </c>
      <c r="B10" s="493">
        <f>'data entry '!B153</f>
        <v>3.850631330558258</v>
      </c>
      <c r="C10" s="493">
        <f>'data entry '!C153</f>
        <v>25.73881423876211</v>
      </c>
      <c r="D10" s="493">
        <f>'data entry '!D153</f>
        <v>44.841605151282494</v>
      </c>
      <c r="E10" s="493">
        <f>'data entry '!E153</f>
        <v>-63.826529006296937</v>
      </c>
      <c r="F10" s="493">
        <f>'data entry '!F153</f>
        <v>-149.53212774556951</v>
      </c>
      <c r="G10" s="493">
        <f>'data entry '!G153</f>
        <v>-123.28104162732107</v>
      </c>
      <c r="H10" s="493">
        <f>'data entry '!H153</f>
        <v>-89.42375928631651</v>
      </c>
      <c r="I10" s="493">
        <f>'data entry '!I153</f>
        <v>-102.81241168621733</v>
      </c>
      <c r="J10" s="493">
        <f>'data entry '!J153</f>
        <v>-68.423160567231832</v>
      </c>
      <c r="K10" s="493">
        <f>'data entry '!K153</f>
        <v>-30.683376890775818</v>
      </c>
      <c r="L10" s="493">
        <f>'data entry '!L153</f>
        <v>-17.339155115579629</v>
      </c>
      <c r="M10" s="493">
        <f>'data entry '!M153</f>
        <v>-28.943185526951979</v>
      </c>
      <c r="N10" s="493">
        <f>'data entry '!N153</f>
        <v>-599.83369673165771</v>
      </c>
      <c r="O10" s="661"/>
      <c r="P10" s="494">
        <f>SUM(B10:E10)</f>
        <v>10.604521714305918</v>
      </c>
      <c r="Q10" s="493">
        <v>-191.440038942933</v>
      </c>
      <c r="R10" s="493">
        <v>90.406999999999996</v>
      </c>
      <c r="S10" s="493">
        <v>111.63648636383117</v>
      </c>
      <c r="T10" s="493"/>
      <c r="U10" s="483"/>
      <c r="V10" s="651"/>
      <c r="W10" s="494">
        <f t="shared" ref="W10:W25" si="2">N10-P10</f>
        <v>-610.43821844596368</v>
      </c>
      <c r="X10" s="493">
        <f>-918</f>
        <v>-918</v>
      </c>
      <c r="Y10" s="678">
        <f>220-60-2</f>
        <v>158</v>
      </c>
      <c r="Z10" s="493">
        <f>SUM('FX IMPACT'!F3:M3)</f>
        <v>149.61593434874214</v>
      </c>
      <c r="AA10" s="493"/>
      <c r="AB10" s="8"/>
      <c r="AC10" s="677" t="s">
        <v>560</v>
      </c>
      <c r="AD10">
        <f>-264-274-90-290</f>
        <v>-918</v>
      </c>
      <c r="AE10" s="572">
        <f>-250-112-108-270</f>
        <v>-740</v>
      </c>
      <c r="AF10" s="351">
        <f>300/9</f>
        <v>33.333333333333336</v>
      </c>
    </row>
    <row r="11" spans="1:32" x14ac:dyDescent="0.3">
      <c r="A11" s="292" t="s">
        <v>75</v>
      </c>
      <c r="B11" s="495">
        <f>'data entry '!B154</f>
        <v>-9.945895665293417</v>
      </c>
      <c r="C11" s="495">
        <f>'data entry '!C154</f>
        <v>-14.54630544957892</v>
      </c>
      <c r="D11" s="495">
        <f>'data entry '!D154</f>
        <v>4.3597875673948714</v>
      </c>
      <c r="E11" s="495">
        <f>'data entry '!E154</f>
        <v>-1.5262964651115176</v>
      </c>
      <c r="F11" s="495">
        <f>'data entry '!F154</f>
        <v>-2.542464169262324</v>
      </c>
      <c r="G11" s="495">
        <f>'data entry '!G154</f>
        <v>2.800524889733893</v>
      </c>
      <c r="H11" s="495">
        <f>'data entry '!H154</f>
        <v>2.2267660607496005</v>
      </c>
      <c r="I11" s="495">
        <f>'data entry '!I154</f>
        <v>3.9063515323169469</v>
      </c>
      <c r="J11" s="495">
        <f>'data entry '!J154</f>
        <v>5.3846540655106025</v>
      </c>
      <c r="K11" s="495">
        <f>'data entry '!K154</f>
        <v>2.0308928803240036</v>
      </c>
      <c r="L11" s="495">
        <f>'data entry '!L154</f>
        <v>-3.0986576671457726</v>
      </c>
      <c r="M11" s="495">
        <f>'data entry '!M154</f>
        <v>-1.2702521009590839</v>
      </c>
      <c r="N11" s="496">
        <f>'data entry '!N154</f>
        <v>-12.220894521321117</v>
      </c>
      <c r="O11" s="483"/>
      <c r="P11" s="496">
        <f t="shared" ref="P11:P25" si="3">SUM(B11:E11)</f>
        <v>-21.658710012588983</v>
      </c>
      <c r="Q11" s="495">
        <v>-11.492975991291988</v>
      </c>
      <c r="R11" s="495">
        <v>-11.600000000000001</v>
      </c>
      <c r="S11" s="495">
        <v>1.4344210309579741</v>
      </c>
      <c r="T11" s="495"/>
      <c r="U11" s="483"/>
      <c r="V11" s="651"/>
      <c r="W11" s="496">
        <f t="shared" si="2"/>
        <v>9.437815491267866</v>
      </c>
      <c r="X11" s="495">
        <v>-1.7124233002500837</v>
      </c>
      <c r="Y11" s="495">
        <v>-0.39234793005693491</v>
      </c>
      <c r="Z11" s="495">
        <f>SUM('FX IMPACT'!F4:M4)</f>
        <v>11.542586721574885</v>
      </c>
      <c r="AA11" s="495"/>
      <c r="AB11" s="8"/>
      <c r="AD11">
        <f>346-76</f>
        <v>270</v>
      </c>
      <c r="AF11" s="351">
        <f>300-33</f>
        <v>267</v>
      </c>
    </row>
    <row r="12" spans="1:32" x14ac:dyDescent="0.3">
      <c r="A12" s="292" t="s">
        <v>141</v>
      </c>
      <c r="B12" s="495">
        <f>'data entry '!B155</f>
        <v>-1.8356719955925378</v>
      </c>
      <c r="C12" s="495">
        <f>'data entry '!C155</f>
        <v>-1.7736303713014188</v>
      </c>
      <c r="D12" s="495">
        <f>'data entry '!D155</f>
        <v>1.8466906167433788</v>
      </c>
      <c r="E12" s="495">
        <f>'data entry '!E155</f>
        <v>25.924282004155671</v>
      </c>
      <c r="F12" s="495">
        <f>'data entry '!F155</f>
        <v>-0.71069052445532854</v>
      </c>
      <c r="G12" s="495">
        <f>'data entry '!G155</f>
        <v>-1.056140998528484</v>
      </c>
      <c r="H12" s="495">
        <f>'data entry '!H155</f>
        <v>-1.0357377992817778</v>
      </c>
      <c r="I12" s="495">
        <f>'data entry '!I155</f>
        <v>-0.17431281567888668</v>
      </c>
      <c r="J12" s="495">
        <f>'data entry '!J155</f>
        <v>-0.71363467564459171</v>
      </c>
      <c r="K12" s="495">
        <f>'data entry '!K155</f>
        <v>-7.5776673913908965E-2</v>
      </c>
      <c r="L12" s="495">
        <f>'data entry '!L155</f>
        <v>-0.84809090742866644</v>
      </c>
      <c r="M12" s="495">
        <f>'data entry '!M155</f>
        <v>1.4901630160931862</v>
      </c>
      <c r="N12" s="496">
        <f>'data entry '!N155</f>
        <v>21.037448875166639</v>
      </c>
      <c r="O12" s="483"/>
      <c r="P12" s="496">
        <f t="shared" si="3"/>
        <v>24.161670254005095</v>
      </c>
      <c r="Q12" s="495">
        <v>24.017732370231787</v>
      </c>
      <c r="R12" s="495"/>
      <c r="S12" s="495">
        <v>0.14726812879925255</v>
      </c>
      <c r="T12" s="495"/>
      <c r="U12" s="483"/>
      <c r="V12" s="651"/>
      <c r="W12" s="496">
        <f t="shared" si="2"/>
        <v>-3.1242213788384561</v>
      </c>
      <c r="X12" s="495">
        <v>-8.1721352760068449</v>
      </c>
      <c r="Y12" s="495">
        <v>0</v>
      </c>
      <c r="Z12" s="495">
        <f>SUM('FX IMPACT'!F5:M5)</f>
        <v>5.0479138971683888</v>
      </c>
      <c r="AA12" s="495"/>
      <c r="AB12" s="8"/>
      <c r="AF12" s="351"/>
    </row>
    <row r="13" spans="1:32" x14ac:dyDescent="0.3">
      <c r="A13" s="4" t="s">
        <v>79</v>
      </c>
      <c r="B13" s="497">
        <f>'data entry '!B156</f>
        <v>-7.9309363303276967</v>
      </c>
      <c r="C13" s="497">
        <f>'data entry '!C156</f>
        <v>9.4188784178817713</v>
      </c>
      <c r="D13" s="497">
        <f>'data entry '!D156</f>
        <v>51.048083335420749</v>
      </c>
      <c r="E13" s="497">
        <f>'data entry '!E156</f>
        <v>-39.42854346725278</v>
      </c>
      <c r="F13" s="497">
        <f>'data entry '!F156</f>
        <v>-152.78528243928716</v>
      </c>
      <c r="G13" s="497">
        <f>'data entry '!G156</f>
        <v>-121.53665773611567</v>
      </c>
      <c r="H13" s="497">
        <f>'data entry '!H156</f>
        <v>-88.23273102484869</v>
      </c>
      <c r="I13" s="497">
        <f>'data entry '!I156</f>
        <v>-99.080372969579273</v>
      </c>
      <c r="J13" s="497">
        <f>'data entry '!J156</f>
        <v>-63.752141177365822</v>
      </c>
      <c r="K13" s="497">
        <f>'data entry '!K156</f>
        <v>-28.728260684365722</v>
      </c>
      <c r="L13" s="497">
        <f>'data entry '!L156</f>
        <v>-21.285903690154068</v>
      </c>
      <c r="M13" s="497">
        <f>'data entry '!M156</f>
        <v>-28.723274611817878</v>
      </c>
      <c r="N13" s="497">
        <f>'data entry '!N156</f>
        <v>-591.01714237781221</v>
      </c>
      <c r="O13" s="483"/>
      <c r="P13" s="497">
        <f t="shared" si="3"/>
        <v>13.107481955722044</v>
      </c>
      <c r="Q13" s="497">
        <f t="shared" ref="Q13:T13" si="4">+SUM(Q10:Q12)</f>
        <v>-178.9152825639932</v>
      </c>
      <c r="R13" s="497">
        <f t="shared" si="4"/>
        <v>78.806999999999988</v>
      </c>
      <c r="S13" s="497">
        <f t="shared" si="4"/>
        <v>113.2181755235884</v>
      </c>
      <c r="T13" s="497">
        <f t="shared" si="4"/>
        <v>0</v>
      </c>
      <c r="U13" s="483"/>
      <c r="V13" s="651"/>
      <c r="W13" s="497">
        <f t="shared" si="2"/>
        <v>-604.12462433353426</v>
      </c>
      <c r="X13" s="497">
        <f t="shared" ref="X13:AA13" si="5">SUM(X10:X12)</f>
        <v>-927.88455857625695</v>
      </c>
      <c r="Y13" s="497">
        <f t="shared" si="5"/>
        <v>157.60765206994307</v>
      </c>
      <c r="Z13" s="497">
        <f t="shared" si="5"/>
        <v>166.20643496748542</v>
      </c>
      <c r="AA13" s="497">
        <f t="shared" si="5"/>
        <v>0</v>
      </c>
      <c r="AB13" s="8"/>
      <c r="AF13" s="351"/>
    </row>
    <row r="14" spans="1:32" x14ac:dyDescent="0.3">
      <c r="A14" s="292" t="s">
        <v>80</v>
      </c>
      <c r="B14" s="495">
        <f>'data entry '!B157</f>
        <v>41.768166511777196</v>
      </c>
      <c r="C14" s="495">
        <f>'data entry '!C157</f>
        <v>2.8140731883988792</v>
      </c>
      <c r="D14" s="495">
        <f>'data entry '!D157</f>
        <v>-22.465181005166755</v>
      </c>
      <c r="E14" s="495">
        <f>'data entry '!E157</f>
        <v>7.2207334379732515</v>
      </c>
      <c r="F14" s="495">
        <f>'data entry '!F157</f>
        <v>25.045668366487547</v>
      </c>
      <c r="G14" s="495">
        <f>'data entry '!G157</f>
        <v>24.099349069977904</v>
      </c>
      <c r="H14" s="495">
        <f>'data entry '!H157</f>
        <v>11.101979974821148</v>
      </c>
      <c r="I14" s="495">
        <f>'data entry '!I157</f>
        <v>19.043856912590456</v>
      </c>
      <c r="J14" s="495">
        <f>'data entry '!J157</f>
        <v>-1.2179850900896838</v>
      </c>
      <c r="K14" s="495">
        <f>'data entry '!K157</f>
        <v>-0.94060877241528829</v>
      </c>
      <c r="L14" s="495">
        <f>'data entry '!L157</f>
        <v>4.6188191261023803E-2</v>
      </c>
      <c r="M14" s="495">
        <f>'data entry '!M157</f>
        <v>-7.6621928633616676</v>
      </c>
      <c r="N14" s="496">
        <f>'data entry '!N157</f>
        <v>98.854047922254011</v>
      </c>
      <c r="O14" s="483"/>
      <c r="P14" s="496">
        <f t="shared" si="3"/>
        <v>29.337792132982571</v>
      </c>
      <c r="Q14" s="495">
        <v>-29.621762589517935</v>
      </c>
      <c r="R14" s="495">
        <v>43.034265552794864</v>
      </c>
      <c r="S14" s="495">
        <v>15.926467885178383</v>
      </c>
      <c r="T14" s="495"/>
      <c r="U14" s="483"/>
      <c r="V14" s="651"/>
      <c r="W14" s="496">
        <f t="shared" si="2"/>
        <v>69.51625578927144</v>
      </c>
      <c r="X14" s="495">
        <f>-5.90374011773238-10</f>
        <v>-15.903740117732379</v>
      </c>
      <c r="Y14" s="679">
        <v>-0.47815850382465896</v>
      </c>
      <c r="Z14" s="495">
        <f>SUM('FX IMPACT'!F7:M7)</f>
        <v>86.089953026583174</v>
      </c>
      <c r="AA14" s="495"/>
      <c r="AB14" s="8"/>
      <c r="AC14" t="s">
        <v>567</v>
      </c>
      <c r="AF14" s="351"/>
    </row>
    <row r="15" spans="1:32" x14ac:dyDescent="0.3">
      <c r="A15" s="292" t="s">
        <v>81</v>
      </c>
      <c r="B15" s="495">
        <f>'data entry '!B158</f>
        <v>8.5898946241478029</v>
      </c>
      <c r="C15" s="495">
        <f>'data entry '!C158</f>
        <v>-1.9189555897595199</v>
      </c>
      <c r="D15" s="495">
        <f>'data entry '!D158</f>
        <v>1.7958045431961978</v>
      </c>
      <c r="E15" s="495">
        <f>'data entry '!E158</f>
        <v>-18.064406472686457</v>
      </c>
      <c r="F15" s="495">
        <f>'data entry '!F158</f>
        <v>2.5382266399867746</v>
      </c>
      <c r="G15" s="495">
        <f>'data entry '!G158</f>
        <v>2.2087568253473222</v>
      </c>
      <c r="H15" s="495">
        <f>'data entry '!H158</f>
        <v>0.9423811384074412</v>
      </c>
      <c r="I15" s="495">
        <f>'data entry '!I158</f>
        <v>0.59720350987123538</v>
      </c>
      <c r="J15" s="495">
        <f>'data entry '!J158</f>
        <v>0.55738296025796785</v>
      </c>
      <c r="K15" s="495">
        <f>'data entry '!K158</f>
        <v>0.7984103162931433</v>
      </c>
      <c r="L15" s="495">
        <f>'data entry '!L158</f>
        <v>1.2022941276481163</v>
      </c>
      <c r="M15" s="495">
        <f>'data entry '!M158</f>
        <v>1.6105760635334576</v>
      </c>
      <c r="N15" s="496">
        <f>'data entry '!N158</f>
        <v>0.85756868624348215</v>
      </c>
      <c r="O15" s="483"/>
      <c r="P15" s="496">
        <f t="shared" si="3"/>
        <v>-9.5976628951019762</v>
      </c>
      <c r="Q15" s="495">
        <v>-16.811928715181022</v>
      </c>
      <c r="R15" s="495">
        <v>2.3930000000000007</v>
      </c>
      <c r="S15" s="495">
        <v>4.8284467818477026</v>
      </c>
      <c r="T15" s="495"/>
      <c r="U15" s="483"/>
      <c r="V15" s="651"/>
      <c r="W15" s="496">
        <f t="shared" si="2"/>
        <v>10.455231581345458</v>
      </c>
      <c r="X15" s="495">
        <v>0</v>
      </c>
      <c r="Y15" s="679">
        <v>-26.144433931891864</v>
      </c>
      <c r="Z15" s="495">
        <f>SUM('FX IMPACT'!F8:M8)</f>
        <v>36.687526456186561</v>
      </c>
      <c r="AA15" s="495"/>
      <c r="AB15" s="8"/>
      <c r="AC15" t="s">
        <v>564</v>
      </c>
      <c r="AF15" s="351"/>
    </row>
    <row r="16" spans="1:32" x14ac:dyDescent="0.3">
      <c r="A16" s="292" t="s">
        <v>82</v>
      </c>
      <c r="B16" s="495">
        <f>'data entry '!B159</f>
        <v>-18.928770547539955</v>
      </c>
      <c r="C16" s="495">
        <f>'data entry '!C159</f>
        <v>67.511113790441613</v>
      </c>
      <c r="D16" s="495">
        <f>'data entry '!D159</f>
        <v>-46.719596456877753</v>
      </c>
      <c r="E16" s="495">
        <f>'data entry '!E159</f>
        <v>-90.961276793068478</v>
      </c>
      <c r="F16" s="495">
        <f>'data entry '!F159</f>
        <v>10.419950194345518</v>
      </c>
      <c r="G16" s="495">
        <f>'data entry '!G159</f>
        <v>10.063214568237754</v>
      </c>
      <c r="H16" s="495">
        <f>'data entry '!H159</f>
        <v>7.6962290565596732</v>
      </c>
      <c r="I16" s="495">
        <f>'data entry '!I159</f>
        <v>13.683442360661189</v>
      </c>
      <c r="J16" s="495">
        <f>'data entry '!J159</f>
        <v>37.834369973517397</v>
      </c>
      <c r="K16" s="495">
        <f>'data entry '!K159</f>
        <v>-6.7406071604002875</v>
      </c>
      <c r="L16" s="495">
        <f>'data entry '!L159</f>
        <v>-0.67254040764669298</v>
      </c>
      <c r="M16" s="495">
        <f>'data entry '!M159</f>
        <v>-7.6112944584297395</v>
      </c>
      <c r="N16" s="496">
        <f>'data entry '!N159</f>
        <v>-24.425765880199762</v>
      </c>
      <c r="O16" s="483"/>
      <c r="P16" s="496">
        <f t="shared" si="3"/>
        <v>-89.098530007044573</v>
      </c>
      <c r="Q16" s="495">
        <v>-108.02841289791021</v>
      </c>
      <c r="R16" s="495">
        <v>14.44</v>
      </c>
      <c r="S16" s="495">
        <v>4.4831493928505735</v>
      </c>
      <c r="T16" s="495"/>
      <c r="U16" s="483"/>
      <c r="V16" s="651"/>
      <c r="W16" s="496">
        <f t="shared" si="2"/>
        <v>64.672764126844811</v>
      </c>
      <c r="X16" s="495">
        <v>-8.2155817326487437</v>
      </c>
      <c r="Y16" s="495">
        <v>7.6733404342052562</v>
      </c>
      <c r="Z16" s="495">
        <f>SUM('FX IMPACT'!F9:M9)</f>
        <v>65.215005425288297</v>
      </c>
      <c r="AA16" s="495"/>
      <c r="AB16" s="8"/>
      <c r="AC16" s="657"/>
      <c r="AE16" s="572"/>
      <c r="AF16" s="657"/>
    </row>
    <row r="17" spans="1:32" x14ac:dyDescent="0.3">
      <c r="A17" s="292" t="s">
        <v>83</v>
      </c>
      <c r="B17" s="495">
        <f>'data entry '!B160</f>
        <v>-0.71595999999999993</v>
      </c>
      <c r="C17" s="495">
        <f>'data entry '!C160</f>
        <v>-1.9222900000000003</v>
      </c>
      <c r="D17" s="495">
        <f>'data entry '!D160</f>
        <v>-2.4577300000000002</v>
      </c>
      <c r="E17" s="495">
        <f>'data entry '!E160</f>
        <v>-1.1946699999999999</v>
      </c>
      <c r="F17" s="495">
        <f>'data entry '!F160</f>
        <v>8.6718878673813116E-2</v>
      </c>
      <c r="G17" s="495">
        <f>'data entry '!G160</f>
        <v>0.97399401071476888</v>
      </c>
      <c r="H17" s="495">
        <f>'data entry '!H160</f>
        <v>0.3685160218724608</v>
      </c>
      <c r="I17" s="495">
        <f>'data entry '!I160</f>
        <v>1.2648378197233843</v>
      </c>
      <c r="J17" s="495">
        <f>'data entry '!J160</f>
        <v>0.21904146218498877</v>
      </c>
      <c r="K17" s="495">
        <f>'data entry '!K160</f>
        <v>1.0368274334861702</v>
      </c>
      <c r="L17" s="495">
        <f>'data entry '!L160</f>
        <v>0.35556475416879874</v>
      </c>
      <c r="M17" s="495">
        <f>'data entry '!M160</f>
        <v>1.0214028655964391</v>
      </c>
      <c r="N17" s="496">
        <f>'data entry '!N160</f>
        <v>-0.96374675357917727</v>
      </c>
      <c r="O17" s="483"/>
      <c r="P17" s="496">
        <f t="shared" si="3"/>
        <v>-6.2906500000000012</v>
      </c>
      <c r="Q17" s="495">
        <v>-2.420324877130636</v>
      </c>
      <c r="R17" s="495">
        <v>-3.7800000000000002</v>
      </c>
      <c r="S17" s="495">
        <v>-9.1493947890525312E-2</v>
      </c>
      <c r="T17" s="495"/>
      <c r="U17" s="483"/>
      <c r="V17" s="651"/>
      <c r="W17" s="496">
        <f t="shared" si="2"/>
        <v>5.3269032464208239</v>
      </c>
      <c r="X17" s="495">
        <v>2.3700917516811248</v>
      </c>
      <c r="Y17" s="495">
        <v>0.83950636349884067</v>
      </c>
      <c r="Z17" s="495">
        <f>SUM('FX IMPACT'!F10:M10)</f>
        <v>2.1173051312408586</v>
      </c>
      <c r="AA17" s="495"/>
      <c r="AB17" s="8"/>
      <c r="AF17" s="351"/>
    </row>
    <row r="18" spans="1:32" x14ac:dyDescent="0.3">
      <c r="A18" s="292" t="s">
        <v>84</v>
      </c>
      <c r="B18" s="495">
        <f>'data entry '!B161</f>
        <v>3.4758806587722972</v>
      </c>
      <c r="C18" s="495">
        <f>'data entry '!C161</f>
        <v>-7.5784653888396747</v>
      </c>
      <c r="D18" s="495">
        <f>'data entry '!D161</f>
        <v>-8.3359835219231684</v>
      </c>
      <c r="E18" s="495">
        <f>'data entry '!E161</f>
        <v>-45.916888494505592</v>
      </c>
      <c r="F18" s="495">
        <f>'data entry '!F161</f>
        <v>5.1564194153695126</v>
      </c>
      <c r="G18" s="495">
        <f>'data entry '!G161</f>
        <v>5.353256126228473</v>
      </c>
      <c r="H18" s="495">
        <f>'data entry '!H161</f>
        <v>-2.0970900500982026</v>
      </c>
      <c r="I18" s="495">
        <f>'data entry '!I161</f>
        <v>-2.0869783904296924</v>
      </c>
      <c r="J18" s="495">
        <f>'data entry '!J161</f>
        <v>-2.0762537121731839</v>
      </c>
      <c r="K18" s="495">
        <f>'data entry '!K161</f>
        <v>6.0217140623933219</v>
      </c>
      <c r="L18" s="495">
        <f>'data entry '!L161</f>
        <v>6.1526165714193937</v>
      </c>
      <c r="M18" s="495">
        <f>'data entry '!M161</f>
        <v>6.3427977736272396</v>
      </c>
      <c r="N18" s="496">
        <f>'data entry '!N161</f>
        <v>-35.588974950159276</v>
      </c>
      <c r="O18" s="483"/>
      <c r="P18" s="496">
        <f t="shared" si="3"/>
        <v>-58.355456746496138</v>
      </c>
      <c r="Q18" s="495">
        <v>-55.984258993629439</v>
      </c>
      <c r="R18" s="495"/>
      <c r="S18" s="495">
        <v>-2.3765331746904601</v>
      </c>
      <c r="T18" s="495"/>
      <c r="U18" s="483"/>
      <c r="V18" s="651"/>
      <c r="W18" s="496">
        <f t="shared" si="2"/>
        <v>22.766481796336862</v>
      </c>
      <c r="X18" s="495">
        <v>6.873644977791372</v>
      </c>
      <c r="Y18" s="495">
        <v>0</v>
      </c>
      <c r="Z18" s="495">
        <f>SUM('FX IMPACT'!F11:M11)</f>
        <v>15.89283681854549</v>
      </c>
      <c r="AA18" s="495"/>
      <c r="AB18" s="8"/>
      <c r="AF18" s="351"/>
    </row>
    <row r="19" spans="1:32" x14ac:dyDescent="0.3">
      <c r="A19" s="292" t="s">
        <v>86</v>
      </c>
      <c r="B19" s="495">
        <f>'data entry '!B162</f>
        <v>9.5564881465310805</v>
      </c>
      <c r="C19" s="495">
        <f>'data entry '!C162</f>
        <v>8.4431558840506682</v>
      </c>
      <c r="D19" s="495">
        <f>'data entry '!D162</f>
        <v>10.670501336242751</v>
      </c>
      <c r="E19" s="495">
        <f>'data entry '!E162</f>
        <v>-162.19022143443954</v>
      </c>
      <c r="F19" s="495">
        <f>'data entry '!F162</f>
        <v>-6.7091981600268582</v>
      </c>
      <c r="G19" s="495">
        <f>'data entry '!G162</f>
        <v>-4.6663172186816837</v>
      </c>
      <c r="H19" s="495">
        <f>'data entry '!H162</f>
        <v>-5.2395848973835086</v>
      </c>
      <c r="I19" s="495">
        <f>'data entry '!I162</f>
        <v>-5.8767105809751001</v>
      </c>
      <c r="J19" s="495">
        <f>'data entry '!J162</f>
        <v>-6.1309883865570782</v>
      </c>
      <c r="K19" s="495">
        <f>'data entry '!K162</f>
        <v>-5.3952813092795111</v>
      </c>
      <c r="L19" s="495">
        <f>'data entry '!L162</f>
        <v>-4.051991673728196</v>
      </c>
      <c r="M19" s="495">
        <f>'data entry '!M162</f>
        <v>-4.5659914182249963</v>
      </c>
      <c r="N19" s="496">
        <f>'data entry '!N162</f>
        <v>-176.15613971247197</v>
      </c>
      <c r="O19" s="483"/>
      <c r="P19" s="496">
        <f t="shared" si="3"/>
        <v>-133.52007606761504</v>
      </c>
      <c r="Q19" s="495">
        <v>-133.52007606761504</v>
      </c>
      <c r="R19" s="495"/>
      <c r="S19" s="495"/>
      <c r="T19" s="495"/>
      <c r="U19" s="483"/>
      <c r="V19" s="651"/>
      <c r="W19" s="496">
        <f t="shared" si="2"/>
        <v>-42.636063644856932</v>
      </c>
      <c r="X19" s="495">
        <v>-42.636063644856932</v>
      </c>
      <c r="Y19" s="495"/>
      <c r="Z19" s="495"/>
      <c r="AA19" s="495"/>
      <c r="AB19" s="8"/>
      <c r="AC19" s="572" t="s">
        <v>568</v>
      </c>
      <c r="AF19" s="351"/>
    </row>
    <row r="20" spans="1:32" x14ac:dyDescent="0.3">
      <c r="A20" s="4" t="s">
        <v>87</v>
      </c>
      <c r="B20" s="497">
        <f>'data entry '!B163</f>
        <v>43.745699393688426</v>
      </c>
      <c r="C20" s="497">
        <f>'data entry '!C163</f>
        <v>67.348631884291962</v>
      </c>
      <c r="D20" s="497">
        <f>'data entry '!D163</f>
        <v>-67.512185104528726</v>
      </c>
      <c r="E20" s="497">
        <f>'data entry '!E163</f>
        <v>-311.10672975672685</v>
      </c>
      <c r="F20" s="497">
        <f>'data entry '!F163</f>
        <v>36.537785334836308</v>
      </c>
      <c r="G20" s="497">
        <f>'data entry '!G163</f>
        <v>38.032253381824539</v>
      </c>
      <c r="H20" s="497">
        <f>'data entry '!H163</f>
        <v>12.77243124417901</v>
      </c>
      <c r="I20" s="497">
        <f>'data entry '!I163</f>
        <v>26.625651631441471</v>
      </c>
      <c r="J20" s="497">
        <f>'data entry '!J163</f>
        <v>29.185567207140409</v>
      </c>
      <c r="K20" s="497">
        <f>'data entry '!K163</f>
        <v>-5.2195454299224515</v>
      </c>
      <c r="L20" s="497">
        <f>'data entry '!L163</f>
        <v>3.0321315631224435</v>
      </c>
      <c r="M20" s="497">
        <f>'data entry '!M163</f>
        <v>-10.864702037259267</v>
      </c>
      <c r="N20" s="497">
        <f>'data entry '!N163</f>
        <v>-137.42301068791269</v>
      </c>
      <c r="O20" s="483"/>
      <c r="P20" s="497">
        <f t="shared" si="3"/>
        <v>-267.52458358327522</v>
      </c>
      <c r="Q20" s="497">
        <f>SUM(Q14:Q19)</f>
        <v>-346.38676414098427</v>
      </c>
      <c r="R20" s="497">
        <f t="shared" ref="R20:T20" si="6">SUM(R14:R19)</f>
        <v>56.087265552794861</v>
      </c>
      <c r="S20" s="497">
        <f t="shared" si="6"/>
        <v>22.770036937295671</v>
      </c>
      <c r="T20" s="497">
        <f t="shared" si="6"/>
        <v>0</v>
      </c>
      <c r="U20" s="483"/>
      <c r="V20" s="651"/>
      <c r="W20" s="497">
        <f t="shared" si="2"/>
        <v>130.10157289536252</v>
      </c>
      <c r="X20" s="497">
        <f t="shared" ref="X20:AA20" si="7">SUM(X14:X19)</f>
        <v>-57.511648765765557</v>
      </c>
      <c r="Y20" s="497">
        <f t="shared" si="7"/>
        <v>-18.109745638012427</v>
      </c>
      <c r="Z20" s="497">
        <f t="shared" si="7"/>
        <v>206.0026268578444</v>
      </c>
      <c r="AA20" s="497">
        <f t="shared" si="7"/>
        <v>0</v>
      </c>
      <c r="AB20" s="8"/>
      <c r="AF20" s="351"/>
    </row>
    <row r="21" spans="1:32" x14ac:dyDescent="0.3">
      <c r="A21" s="5" t="s">
        <v>88</v>
      </c>
      <c r="B21" s="58">
        <f>'data entry '!B164</f>
        <v>35.814763063360729</v>
      </c>
      <c r="C21" s="58">
        <f>'data entry '!C164</f>
        <v>76.767510302173733</v>
      </c>
      <c r="D21" s="58">
        <f>'data entry '!D164</f>
        <v>-16.464101769107977</v>
      </c>
      <c r="E21" s="58">
        <f>'data entry '!E164</f>
        <v>-350.53527322397963</v>
      </c>
      <c r="F21" s="58">
        <f>'data entry '!F164</f>
        <v>-116.24749710445084</v>
      </c>
      <c r="G21" s="58">
        <f>'data entry '!G164</f>
        <v>-83.504404354291125</v>
      </c>
      <c r="H21" s="58">
        <f>'data entry '!H164</f>
        <v>-75.460299780669686</v>
      </c>
      <c r="I21" s="58">
        <f>'data entry '!I164</f>
        <v>-72.454721338137801</v>
      </c>
      <c r="J21" s="58">
        <f>'data entry '!J164</f>
        <v>-34.566573970225413</v>
      </c>
      <c r="K21" s="58">
        <f>'data entry '!K164</f>
        <v>-33.94780611428817</v>
      </c>
      <c r="L21" s="58">
        <f>'data entry '!L164</f>
        <v>-18.253772127031624</v>
      </c>
      <c r="M21" s="58">
        <f>'data entry '!M164</f>
        <v>-39.587976649077149</v>
      </c>
      <c r="N21" s="58">
        <f>'data entry '!N164</f>
        <v>-728.44015306572487</v>
      </c>
      <c r="O21" s="483"/>
      <c r="P21" s="58">
        <f t="shared" si="3"/>
        <v>-254.41710162755314</v>
      </c>
      <c r="Q21" s="58">
        <f t="shared" ref="Q21:T21" si="8">Q20+Q13</f>
        <v>-525.30204670497744</v>
      </c>
      <c r="R21" s="58">
        <f t="shared" si="8"/>
        <v>134.89426555279485</v>
      </c>
      <c r="S21" s="58">
        <f t="shared" si="8"/>
        <v>135.98821246088409</v>
      </c>
      <c r="T21" s="58">
        <f t="shared" si="8"/>
        <v>0</v>
      </c>
      <c r="U21" s="483"/>
      <c r="V21" s="651"/>
      <c r="W21" s="58">
        <f t="shared" si="2"/>
        <v>-474.02305143817171</v>
      </c>
      <c r="X21" s="58">
        <f t="shared" ref="X21" si="9">X20+X13</f>
        <v>-985.39620734202254</v>
      </c>
      <c r="Y21" s="58">
        <f t="shared" ref="Y21" si="10">Y20+Y13</f>
        <v>139.49790643193063</v>
      </c>
      <c r="Z21" s="58">
        <f t="shared" ref="Z21" si="11">Z20+Z13</f>
        <v>372.20906182532985</v>
      </c>
      <c r="AA21" s="58">
        <f t="shared" ref="AA21" si="12">AA20+AA13</f>
        <v>0</v>
      </c>
      <c r="AB21" s="8"/>
      <c r="AF21" s="351"/>
    </row>
    <row r="22" spans="1:32" x14ac:dyDescent="0.3">
      <c r="A22" s="292" t="s">
        <v>89</v>
      </c>
      <c r="B22" s="495">
        <f>'data entry '!B165</f>
        <v>-3.8459299443241335</v>
      </c>
      <c r="C22" s="495">
        <f>'data entry '!C165</f>
        <v>-6.2792948459896962</v>
      </c>
      <c r="D22" s="495">
        <f>'data entry '!D165</f>
        <v>14.301274567969617</v>
      </c>
      <c r="E22" s="495">
        <f>'data entry '!E165</f>
        <v>-7.5195740440629528</v>
      </c>
      <c r="F22" s="495">
        <f>'data entry '!F165</f>
        <v>-3.2688706821266642</v>
      </c>
      <c r="G22" s="495">
        <f>'data entry '!G165</f>
        <v>-3.0823174006090532</v>
      </c>
      <c r="H22" s="495">
        <f>'data entry '!H165</f>
        <v>-3.0443918187799426</v>
      </c>
      <c r="I22" s="495">
        <f>'data entry '!I165</f>
        <v>-3.1138847804382834</v>
      </c>
      <c r="J22" s="495">
        <f>'data entry '!J165</f>
        <v>-3.337552206635138</v>
      </c>
      <c r="K22" s="495">
        <f>'data entry '!K165</f>
        <v>-2.5345277846794687</v>
      </c>
      <c r="L22" s="495">
        <f>'data entry '!L165</f>
        <v>-2.4668622705728858</v>
      </c>
      <c r="M22" s="495">
        <f>'data entry '!M165</f>
        <v>-2.4909118589628569</v>
      </c>
      <c r="N22" s="496">
        <f>'data entry '!N165</f>
        <v>-26.682843069211458</v>
      </c>
      <c r="O22" s="483"/>
      <c r="P22" s="496">
        <f t="shared" si="3"/>
        <v>-3.3435242664071652</v>
      </c>
      <c r="Q22" s="495">
        <v>-2.7336869479495487</v>
      </c>
      <c r="R22" s="495"/>
      <c r="S22" s="495">
        <v>-0.61461252814378831</v>
      </c>
      <c r="T22" s="495"/>
      <c r="U22" s="483"/>
      <c r="V22" s="651"/>
      <c r="W22" s="496">
        <f t="shared" si="2"/>
        <v>-23.339318802804293</v>
      </c>
      <c r="X22" s="495">
        <v>-29.403729743233704</v>
      </c>
      <c r="Y22" s="495">
        <v>0</v>
      </c>
      <c r="Z22" s="495">
        <f>SUM('FX IMPACT'!F15:M15)</f>
        <v>6.0644109404294113</v>
      </c>
      <c r="AA22" s="495"/>
      <c r="AB22" s="8"/>
      <c r="AF22" s="351"/>
    </row>
    <row r="23" spans="1:32" x14ac:dyDescent="0.3">
      <c r="A23" s="5" t="s">
        <v>90</v>
      </c>
      <c r="B23" s="58">
        <f>'data entry '!B166</f>
        <v>31.968833119036596</v>
      </c>
      <c r="C23" s="58">
        <f>'data entry '!C166</f>
        <v>70.488215456184037</v>
      </c>
      <c r="D23" s="58">
        <f>'data entry '!D166</f>
        <v>-2.1628272011383594</v>
      </c>
      <c r="E23" s="58">
        <f>'data entry '!E166</f>
        <v>-358.05484726804258</v>
      </c>
      <c r="F23" s="58">
        <f>'data entry '!F166</f>
        <v>-119.5163677865775</v>
      </c>
      <c r="G23" s="58">
        <f>'data entry '!G166</f>
        <v>-86.586721754900182</v>
      </c>
      <c r="H23" s="58">
        <f>'data entry '!H166</f>
        <v>-78.504691599449629</v>
      </c>
      <c r="I23" s="58">
        <f>'data entry '!I166</f>
        <v>-75.568606118576085</v>
      </c>
      <c r="J23" s="58">
        <f>'data entry '!J166</f>
        <v>-37.904126176860551</v>
      </c>
      <c r="K23" s="58">
        <f>'data entry '!K166</f>
        <v>-36.482333898967639</v>
      </c>
      <c r="L23" s="58">
        <f>'data entry '!L166</f>
        <v>-20.72063439760451</v>
      </c>
      <c r="M23" s="58">
        <f>'data entry '!M166</f>
        <v>-42.078888508040009</v>
      </c>
      <c r="N23" s="58">
        <f>'data entry '!N166</f>
        <v>-755.12299613493633</v>
      </c>
      <c r="O23" s="483"/>
      <c r="P23" s="58">
        <f t="shared" si="3"/>
        <v>-257.76062589396031</v>
      </c>
      <c r="Q23" s="58">
        <f t="shared" ref="Q23:T23" si="13">+Q22+Q21</f>
        <v>-528.03573365292698</v>
      </c>
      <c r="R23" s="58">
        <f t="shared" si="13"/>
        <v>134.89426555279485</v>
      </c>
      <c r="S23" s="58">
        <f t="shared" si="13"/>
        <v>135.37359993274029</v>
      </c>
      <c r="T23" s="58">
        <f t="shared" si="13"/>
        <v>0</v>
      </c>
      <c r="U23" s="483"/>
      <c r="V23" s="651"/>
      <c r="W23" s="58">
        <f t="shared" si="2"/>
        <v>-497.36237024097602</v>
      </c>
      <c r="X23" s="58">
        <f t="shared" ref="X23" si="14">+X22+X21</f>
        <v>-1014.7999370852563</v>
      </c>
      <c r="Y23" s="58">
        <f t="shared" ref="Y23" si="15">+Y22+Y21</f>
        <v>139.49790643193063</v>
      </c>
      <c r="Z23" s="58">
        <f t="shared" ref="Z23" si="16">+Z22+Z21</f>
        <v>378.27347276575927</v>
      </c>
      <c r="AA23" s="58">
        <f t="shared" ref="AA23" si="17">+AA22+AA21</f>
        <v>0</v>
      </c>
      <c r="AB23" s="8"/>
      <c r="AF23" s="351"/>
    </row>
    <row r="24" spans="1:32" x14ac:dyDescent="0.3">
      <c r="A24" s="423" t="s">
        <v>91</v>
      </c>
      <c r="B24" s="652">
        <f>'data entry '!B167</f>
        <v>-22.785653979865913</v>
      </c>
      <c r="C24" s="652">
        <f>'data entry '!C167</f>
        <v>-20.524111717384415</v>
      </c>
      <c r="D24" s="652">
        <f>'data entry '!D167</f>
        <v>-27.34751383624473</v>
      </c>
      <c r="E24" s="652">
        <f>'data entry '!E167</f>
        <v>-376.14383106556062</v>
      </c>
      <c r="F24" s="652">
        <f>'data entry '!F167</f>
        <v>-114.91711073403849</v>
      </c>
      <c r="G24" s="652">
        <f>'data entry '!G167</f>
        <v>-112.37311498794077</v>
      </c>
      <c r="H24" s="652">
        <f>'data entry '!H167</f>
        <v>-114.30546644051748</v>
      </c>
      <c r="I24" s="652">
        <f>'data entry '!I167</f>
        <v>-113.65853075692547</v>
      </c>
      <c r="J24" s="652">
        <f>'data entry '!J167</f>
        <v>-109.87637729951791</v>
      </c>
      <c r="K24" s="652">
        <f>'data entry '!K167</f>
        <v>-113.67571002862167</v>
      </c>
      <c r="L24" s="652">
        <f>'data entry '!L167</f>
        <v>-111.47527401234572</v>
      </c>
      <c r="M24" s="652">
        <f>'data entry '!M167</f>
        <v>-114.84957034720446</v>
      </c>
      <c r="N24" s="652">
        <f>'data entry '!N167</f>
        <v>-1351.9322652061678</v>
      </c>
      <c r="O24" s="483"/>
      <c r="P24" s="496">
        <f t="shared" si="3"/>
        <v>-446.80111059905568</v>
      </c>
      <c r="Q24" s="652"/>
      <c r="R24" s="652"/>
      <c r="S24" s="652">
        <v>-446.80383106556064</v>
      </c>
      <c r="T24" s="652"/>
      <c r="U24" s="483"/>
      <c r="V24" s="651"/>
      <c r="W24" s="496">
        <f t="shared" si="2"/>
        <v>-905.13115460711219</v>
      </c>
      <c r="X24" s="652"/>
      <c r="Y24" s="652"/>
      <c r="Z24" s="652">
        <f>+W24</f>
        <v>-905.13115460711219</v>
      </c>
      <c r="AA24" s="652"/>
      <c r="AB24" s="8"/>
      <c r="AC24" s="572"/>
      <c r="AF24" s="351"/>
    </row>
    <row r="25" spans="1:32" x14ac:dyDescent="0.3">
      <c r="A25" s="426" t="s">
        <v>92</v>
      </c>
      <c r="B25" s="516">
        <f>'data entry '!B168</f>
        <v>9.183179139170683</v>
      </c>
      <c r="C25" s="516">
        <f>'data entry '!C168</f>
        <v>49.964103738799622</v>
      </c>
      <c r="D25" s="516">
        <f>'data entry '!D168</f>
        <v>-29.510341037383089</v>
      </c>
      <c r="E25" s="516">
        <f>'data entry '!E168</f>
        <v>-734.1986783336032</v>
      </c>
      <c r="F25" s="516">
        <f>'data entry '!F168</f>
        <v>-234.43347852061601</v>
      </c>
      <c r="G25" s="516">
        <f>'data entry '!G168</f>
        <v>-198.95983674284093</v>
      </c>
      <c r="H25" s="516">
        <f>'data entry '!H168</f>
        <v>-192.81015803996712</v>
      </c>
      <c r="I25" s="516">
        <f>'data entry '!I168</f>
        <v>-189.22713687550157</v>
      </c>
      <c r="J25" s="516">
        <f>'data entry '!J168</f>
        <v>-147.78050347637847</v>
      </c>
      <c r="K25" s="516">
        <f>'data entry '!K168</f>
        <v>-150.15804392758929</v>
      </c>
      <c r="L25" s="516">
        <f>'data entry '!L168</f>
        <v>-132.19590840995022</v>
      </c>
      <c r="M25" s="516">
        <f>'data entry '!M168</f>
        <v>-156.92845885524446</v>
      </c>
      <c r="N25" s="516">
        <f>'data entry '!N168</f>
        <v>-2107.0552613411041</v>
      </c>
      <c r="O25" s="483"/>
      <c r="P25" s="58">
        <f t="shared" si="3"/>
        <v>-704.56173649301593</v>
      </c>
      <c r="Q25" s="58">
        <f t="shared" ref="Q25:T25" si="18">+Q23+Q24</f>
        <v>-528.03573365292698</v>
      </c>
      <c r="R25" s="58">
        <f t="shared" si="18"/>
        <v>134.89426555279485</v>
      </c>
      <c r="S25" s="58">
        <f t="shared" si="18"/>
        <v>-311.43023113282038</v>
      </c>
      <c r="T25" s="58">
        <f t="shared" si="18"/>
        <v>0</v>
      </c>
      <c r="U25" s="483"/>
      <c r="V25" s="651"/>
      <c r="W25" s="58">
        <f t="shared" si="2"/>
        <v>-1402.4935248480883</v>
      </c>
      <c r="X25" s="58">
        <f t="shared" ref="X25" si="19">+X23+X24</f>
        <v>-1014.7999370852563</v>
      </c>
      <c r="Y25" s="58">
        <f t="shared" ref="Y25" si="20">+Y23+Y24</f>
        <v>139.49790643193063</v>
      </c>
      <c r="Z25" s="58">
        <f t="shared" ref="Z25" si="21">+Z23+Z24</f>
        <v>-526.85768184135293</v>
      </c>
      <c r="AA25" s="58">
        <f t="shared" ref="AA25" si="22">+AA23+AA24</f>
        <v>0</v>
      </c>
      <c r="AB25" s="8"/>
      <c r="AF25" s="351">
        <f>+W25-SUM(X25:AA25)</f>
        <v>-0.33381235340993953</v>
      </c>
    </row>
    <row r="26" spans="1:32" ht="9" customHeight="1" x14ac:dyDescent="0.3">
      <c r="A26" s="51"/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498"/>
      <c r="O26" s="483"/>
      <c r="P26" s="498"/>
      <c r="Q26" s="204"/>
      <c r="R26" s="204"/>
      <c r="S26" s="204"/>
      <c r="T26" s="204"/>
      <c r="U26" s="651"/>
      <c r="V26" s="651"/>
      <c r="W26" s="498"/>
      <c r="X26" s="204"/>
      <c r="Y26" s="204"/>
      <c r="Z26" s="204"/>
      <c r="AA26" s="204"/>
      <c r="AF26" s="351"/>
    </row>
    <row r="27" spans="1:32" x14ac:dyDescent="0.3">
      <c r="A27" s="291" t="s">
        <v>76</v>
      </c>
      <c r="B27" s="493">
        <f>'data entry '!B169</f>
        <v>-6.3537157323029128</v>
      </c>
      <c r="C27" s="493">
        <f>'data entry '!C169</f>
        <v>-7.9342843849887288</v>
      </c>
      <c r="D27" s="493">
        <f>'data entry '!D169</f>
        <v>-3.8912386850887462</v>
      </c>
      <c r="E27" s="493">
        <f>'data entry '!E169</f>
        <v>35.69074291973898</v>
      </c>
      <c r="F27" s="493">
        <f>'data entry '!F169</f>
        <v>0.12980377273988175</v>
      </c>
      <c r="G27" s="493">
        <f>'data entry '!G169</f>
        <v>1.6859305074158177</v>
      </c>
      <c r="H27" s="493">
        <f>'data entry '!H169</f>
        <v>1.1362077123389653</v>
      </c>
      <c r="I27" s="493">
        <f>'data entry '!I169</f>
        <v>1.5843281780826102</v>
      </c>
      <c r="J27" s="493">
        <f>'data entry '!J169</f>
        <v>1.9804817164250004</v>
      </c>
      <c r="K27" s="493">
        <f>'data entry '!K169</f>
        <v>2.2734102953954567</v>
      </c>
      <c r="L27" s="493">
        <f>'data entry '!L169</f>
        <v>1.5918948185582096</v>
      </c>
      <c r="M27" s="493">
        <f>'data entry '!M169</f>
        <v>1.8075563992126753</v>
      </c>
      <c r="N27" s="493">
        <f>'data entry '!N169</f>
        <v>29.701117517527212</v>
      </c>
      <c r="O27" s="483"/>
      <c r="P27" s="496">
        <f t="shared" ref="P27:P32" si="23">SUM(B27:E27)</f>
        <v>17.511504117358591</v>
      </c>
      <c r="Q27" s="493">
        <v>19.327857563011889</v>
      </c>
      <c r="R27" s="493">
        <v>-3.0950899999999999</v>
      </c>
      <c r="S27" s="493">
        <v>1.2846766966483594</v>
      </c>
      <c r="T27" s="493"/>
      <c r="U27" s="483"/>
      <c r="V27" s="651"/>
      <c r="W27" s="494">
        <f t="shared" ref="W27:W32" si="24">N27-P27</f>
        <v>12.189613400168621</v>
      </c>
      <c r="X27" s="493">
        <v>12.189613400168621</v>
      </c>
      <c r="Y27" s="494">
        <v>0</v>
      </c>
      <c r="Z27" s="493">
        <v>0</v>
      </c>
      <c r="AA27" s="493"/>
      <c r="AB27" s="8"/>
      <c r="AF27" s="351"/>
    </row>
    <row r="28" spans="1:32" x14ac:dyDescent="0.3">
      <c r="A28" s="292" t="s">
        <v>77</v>
      </c>
      <c r="B28" s="495">
        <f>'data entry '!B170</f>
        <v>-7.1277019298245534</v>
      </c>
      <c r="C28" s="495">
        <f>'data entry '!C170</f>
        <v>-12.295643333333317</v>
      </c>
      <c r="D28" s="495">
        <f>'data entry '!D170</f>
        <v>-7.3862921052631485</v>
      </c>
      <c r="E28" s="495">
        <f>'data entry '!E170</f>
        <v>-16.106707368421034</v>
      </c>
      <c r="F28" s="495">
        <f>'data entry '!F170</f>
        <v>3.7452233137406203</v>
      </c>
      <c r="G28" s="495">
        <f>'data entry '!G170</f>
        <v>2.9479328478062641</v>
      </c>
      <c r="H28" s="495">
        <f>'data entry '!H170</f>
        <v>3.8361891861518131</v>
      </c>
      <c r="I28" s="495">
        <f>'data entry '!I170</f>
        <v>1.1569910855275225</v>
      </c>
      <c r="J28" s="495">
        <f>'data entry '!J170</f>
        <v>3.0869974574279766</v>
      </c>
      <c r="K28" s="495">
        <f>'data entry '!K170</f>
        <v>1.111462896626648</v>
      </c>
      <c r="L28" s="495">
        <f>'data entry '!L170</f>
        <v>2.899396137115545</v>
      </c>
      <c r="M28" s="495">
        <f>'data entry '!M170</f>
        <v>1.7437876825079925</v>
      </c>
      <c r="N28" s="496">
        <f>'data entry '!N170</f>
        <v>-22.388364129937663</v>
      </c>
      <c r="O28" s="483"/>
      <c r="P28" s="496">
        <f t="shared" si="23"/>
        <v>-42.916344736842049</v>
      </c>
      <c r="Q28" s="495">
        <v>0.89329263157896577</v>
      </c>
      <c r="R28" s="495">
        <v>-35.259</v>
      </c>
      <c r="S28" s="495">
        <v>-8.5609999999999999</v>
      </c>
      <c r="T28" s="495"/>
      <c r="U28" s="483"/>
      <c r="V28" s="651"/>
      <c r="W28" s="496">
        <f t="shared" si="24"/>
        <v>20.527980606904386</v>
      </c>
      <c r="X28" s="495">
        <v>-10.893875339451753</v>
      </c>
      <c r="Y28" s="496">
        <v>45.872671280329463</v>
      </c>
      <c r="Z28" s="495">
        <f>SUM('FX IMPACT'!F21:M21)</f>
        <v>-14.450815333973324</v>
      </c>
      <c r="AA28" s="495"/>
      <c r="AB28" s="8"/>
      <c r="AC28" s="351" t="s">
        <v>565</v>
      </c>
      <c r="AE28" s="8"/>
    </row>
    <row r="29" spans="1:32" x14ac:dyDescent="0.3">
      <c r="A29" s="292" t="s">
        <v>144</v>
      </c>
      <c r="B29" s="495">
        <f>'data entry '!B171</f>
        <v>-2.7324800000000007</v>
      </c>
      <c r="C29" s="495">
        <f>'data entry '!C171</f>
        <v>-0.15481999999999996</v>
      </c>
      <c r="D29" s="495">
        <f>'data entry '!D171</f>
        <v>-0.55567000000000011</v>
      </c>
      <c r="E29" s="495">
        <f>'data entry '!E171</f>
        <v>65.577179999999998</v>
      </c>
      <c r="F29" s="495">
        <f>'data entry '!F171</f>
        <v>0</v>
      </c>
      <c r="G29" s="495">
        <f>'data entry '!G171</f>
        <v>0</v>
      </c>
      <c r="H29" s="495">
        <f>'data entry '!H171</f>
        <v>0</v>
      </c>
      <c r="I29" s="495">
        <f>'data entry '!I171</f>
        <v>0</v>
      </c>
      <c r="J29" s="495">
        <f>'data entry '!J171</f>
        <v>0</v>
      </c>
      <c r="K29" s="495">
        <f>'data entry '!K171</f>
        <v>0</v>
      </c>
      <c r="L29" s="495">
        <f>'data entry '!L171</f>
        <v>0</v>
      </c>
      <c r="M29" s="495">
        <f>'data entry '!M171</f>
        <v>0</v>
      </c>
      <c r="N29" s="496">
        <f>'data entry '!N171</f>
        <v>62.134209999999996</v>
      </c>
      <c r="O29" s="483"/>
      <c r="P29" s="496">
        <f t="shared" si="23"/>
        <v>62.134209999999996</v>
      </c>
      <c r="Q29" s="495">
        <v>65.471159999999998</v>
      </c>
      <c r="R29" s="495">
        <v>-3.3339799999999999</v>
      </c>
      <c r="S29" s="495"/>
      <c r="T29" s="495"/>
      <c r="U29" s="483"/>
      <c r="V29" s="651"/>
      <c r="W29" s="496">
        <f t="shared" si="24"/>
        <v>0</v>
      </c>
      <c r="X29" s="495">
        <v>0</v>
      </c>
      <c r="Y29" s="496">
        <v>0</v>
      </c>
      <c r="Z29" s="495">
        <v>0</v>
      </c>
      <c r="AA29" s="495"/>
      <c r="AB29" s="8"/>
      <c r="AC29" s="351"/>
      <c r="AE29" s="8"/>
    </row>
    <row r="30" spans="1:32" x14ac:dyDescent="0.3">
      <c r="A30" s="292" t="s">
        <v>85</v>
      </c>
      <c r="B30" s="495">
        <f>'data entry '!B172</f>
        <v>-35.068060000000003</v>
      </c>
      <c r="C30" s="495">
        <f>'data entry '!C172</f>
        <v>-3.9061899999999996</v>
      </c>
      <c r="D30" s="495">
        <f>'data entry '!D172</f>
        <v>191.17382999999998</v>
      </c>
      <c r="E30" s="495">
        <f>'data entry '!E172</f>
        <v>-186.1679</v>
      </c>
      <c r="F30" s="495">
        <f>'data entry '!F172</f>
        <v>0</v>
      </c>
      <c r="G30" s="495">
        <f>'data entry '!G172</f>
        <v>0.31647696100527867</v>
      </c>
      <c r="H30" s="495">
        <f>'data entry '!H172</f>
        <v>0.25047317560047411</v>
      </c>
      <c r="I30" s="495">
        <f>'data entry '!I172</f>
        <v>0.18499322976237664</v>
      </c>
      <c r="J30" s="495">
        <f>'data entry '!J172</f>
        <v>0.12003296603410263</v>
      </c>
      <c r="K30" s="495">
        <f>'data entry '!K172</f>
        <v>-1.9623620605304204E-2</v>
      </c>
      <c r="L30" s="495">
        <f>'data entry '!L172</f>
        <v>-0.15687825120914578</v>
      </c>
      <c r="M30" s="495">
        <f>'data entry '!M172</f>
        <v>-0.29177223706058619</v>
      </c>
      <c r="N30" s="496">
        <f>'data entry '!N172</f>
        <v>-33.564617776472829</v>
      </c>
      <c r="O30" s="483"/>
      <c r="P30" s="496">
        <f t="shared" si="23"/>
        <v>-33.968320000000034</v>
      </c>
      <c r="Q30" s="495">
        <v>-33.977900000000005</v>
      </c>
      <c r="R30" s="495"/>
      <c r="S30" s="495"/>
      <c r="T30" s="495"/>
      <c r="U30" s="483"/>
      <c r="V30" s="651"/>
      <c r="W30" s="496">
        <f t="shared" si="24"/>
        <v>0.40370222352720475</v>
      </c>
      <c r="X30" s="495">
        <v>0</v>
      </c>
      <c r="Y30" s="496">
        <v>0</v>
      </c>
      <c r="Z30" s="495">
        <v>0</v>
      </c>
      <c r="AA30" s="495"/>
      <c r="AB30" s="8"/>
      <c r="AC30" s="351"/>
      <c r="AE30" s="8"/>
    </row>
    <row r="31" spans="1:32" x14ac:dyDescent="0.3">
      <c r="A31" s="306" t="s">
        <v>145</v>
      </c>
      <c r="B31" s="499">
        <f>'data entry '!B173</f>
        <v>0</v>
      </c>
      <c r="C31" s="499">
        <f>'data entry '!C173</f>
        <v>0</v>
      </c>
      <c r="D31" s="499">
        <f>'data entry '!D173</f>
        <v>0</v>
      </c>
      <c r="E31" s="499">
        <f>'data entry '!E173</f>
        <v>0</v>
      </c>
      <c r="F31" s="499">
        <f>'data entry '!F173</f>
        <v>0</v>
      </c>
      <c r="G31" s="499">
        <f>'data entry '!G173</f>
        <v>0</v>
      </c>
      <c r="H31" s="499">
        <f>'data entry '!H173</f>
        <v>0</v>
      </c>
      <c r="I31" s="499">
        <f>'data entry '!I173</f>
        <v>0</v>
      </c>
      <c r="J31" s="499">
        <f>'data entry '!J173</f>
        <v>0</v>
      </c>
      <c r="K31" s="499">
        <f>'data entry '!K173</f>
        <v>0</v>
      </c>
      <c r="L31" s="499">
        <f>'data entry '!L173</f>
        <v>0</v>
      </c>
      <c r="M31" s="499">
        <f>'data entry '!M173</f>
        <v>0</v>
      </c>
      <c r="N31" s="500">
        <f>'data entry '!N173</f>
        <v>0</v>
      </c>
      <c r="O31" s="483"/>
      <c r="P31" s="496">
        <f t="shared" si="23"/>
        <v>0</v>
      </c>
      <c r="Q31" s="499">
        <v>0</v>
      </c>
      <c r="R31" s="499"/>
      <c r="S31" s="499"/>
      <c r="T31" s="499"/>
      <c r="U31" s="483"/>
      <c r="V31" s="651"/>
      <c r="W31" s="500">
        <f t="shared" si="24"/>
        <v>0</v>
      </c>
      <c r="X31" s="499">
        <v>0</v>
      </c>
      <c r="Y31" s="500">
        <v>0</v>
      </c>
      <c r="Z31" s="499">
        <v>0</v>
      </c>
      <c r="AA31" s="499"/>
      <c r="AB31" s="8"/>
      <c r="AC31" s="351"/>
      <c r="AE31" s="8"/>
    </row>
    <row r="32" spans="1:32" x14ac:dyDescent="0.3">
      <c r="A32" s="200" t="s">
        <v>146</v>
      </c>
      <c r="B32" s="201">
        <f>'data entry '!B174</f>
        <v>-51.281957662127468</v>
      </c>
      <c r="C32" s="201">
        <f>'data entry '!C174</f>
        <v>-24.290937718322045</v>
      </c>
      <c r="D32" s="201">
        <f>'data entry '!D174</f>
        <v>179.34062920964809</v>
      </c>
      <c r="E32" s="201">
        <f>'data entry '!E174</f>
        <v>-101.00668444868205</v>
      </c>
      <c r="F32" s="201">
        <f>'data entry '!F174</f>
        <v>3.8750270864805021</v>
      </c>
      <c r="G32" s="201">
        <f>'data entry '!G174</f>
        <v>4.9503403162273605</v>
      </c>
      <c r="H32" s="201">
        <f>'data entry '!H174</f>
        <v>5.2228700740912526</v>
      </c>
      <c r="I32" s="201">
        <f>'data entry '!I174</f>
        <v>2.9263124933725093</v>
      </c>
      <c r="J32" s="201">
        <f>'data entry '!J174</f>
        <v>5.1875121398870796</v>
      </c>
      <c r="K32" s="201">
        <f>'data entry '!K174</f>
        <v>3.3652495714168005</v>
      </c>
      <c r="L32" s="201">
        <f>'data entry '!L174</f>
        <v>4.3344127044646088</v>
      </c>
      <c r="M32" s="201">
        <f>'data entry '!M174</f>
        <v>3.2595718446600817</v>
      </c>
      <c r="N32" s="201">
        <f>'data entry '!N174</f>
        <v>35.882345611116719</v>
      </c>
      <c r="O32" s="483"/>
      <c r="P32" s="201">
        <f t="shared" si="23"/>
        <v>2.7610493805165248</v>
      </c>
      <c r="Q32" s="201">
        <f t="shared" ref="Q32:T32" si="25">SUM(Q27:Q31)</f>
        <v>51.71441019459084</v>
      </c>
      <c r="R32" s="201">
        <f t="shared" si="25"/>
        <v>-41.688069999999996</v>
      </c>
      <c r="S32" s="201">
        <f t="shared" si="25"/>
        <v>-7.2763233033516403</v>
      </c>
      <c r="T32" s="201">
        <f t="shared" si="25"/>
        <v>0</v>
      </c>
      <c r="U32" s="483"/>
      <c r="V32" s="651"/>
      <c r="W32" s="201">
        <f t="shared" si="24"/>
        <v>33.121296230600194</v>
      </c>
      <c r="X32" s="201">
        <f t="shared" ref="X32:AA32" si="26">SUM(X27:X31)</f>
        <v>1.295738060716868</v>
      </c>
      <c r="Y32" s="201">
        <f t="shared" si="26"/>
        <v>45.872671280329463</v>
      </c>
      <c r="Z32" s="201">
        <f t="shared" si="26"/>
        <v>-14.450815333973324</v>
      </c>
      <c r="AA32" s="201">
        <f t="shared" si="26"/>
        <v>0</v>
      </c>
      <c r="AB32" s="8"/>
      <c r="AC32" s="351"/>
      <c r="AE32" s="8"/>
    </row>
    <row r="33" spans="1:31" x14ac:dyDescent="0.3">
      <c r="A33" s="51"/>
      <c r="B33" s="204"/>
      <c r="C33" s="483"/>
      <c r="D33" s="483"/>
      <c r="E33" s="483"/>
      <c r="F33" s="483"/>
      <c r="G33" s="483"/>
      <c r="H33" s="483"/>
      <c r="I33" s="483"/>
      <c r="J33" s="483"/>
      <c r="K33" s="483"/>
      <c r="L33" s="483"/>
      <c r="M33" s="483"/>
      <c r="N33" s="488"/>
      <c r="O33" s="483"/>
      <c r="P33" s="488"/>
      <c r="Q33" s="483"/>
      <c r="R33" s="483"/>
      <c r="S33" s="483"/>
      <c r="T33" s="483"/>
      <c r="U33" s="651"/>
      <c r="V33" s="651"/>
      <c r="W33" s="488"/>
      <c r="X33" s="483"/>
      <c r="Y33" s="483"/>
      <c r="Z33" s="483"/>
      <c r="AA33" s="483"/>
      <c r="AC33" s="351"/>
      <c r="AE33" s="8"/>
    </row>
    <row r="34" spans="1:31" x14ac:dyDescent="0.3">
      <c r="A34" s="2" t="s">
        <v>148</v>
      </c>
      <c r="B34" s="501">
        <f>'data entry '!B175</f>
        <v>-1.8068825000000146</v>
      </c>
      <c r="C34" s="501">
        <f>'data entry '!C175</f>
        <v>-1.2821025000000077</v>
      </c>
      <c r="D34" s="501">
        <f>'data entry '!D175</f>
        <v>-1.2821025000000077</v>
      </c>
      <c r="E34" s="501">
        <f>'data entry '!E175</f>
        <v>-1.2821025000000077</v>
      </c>
      <c r="F34" s="501">
        <f>'data entry '!F175</f>
        <v>-1.3199509396599751E-7</v>
      </c>
      <c r="G34" s="501">
        <f>'data entry '!G175</f>
        <v>-1.3199509396599751E-7</v>
      </c>
      <c r="H34" s="501">
        <f>'data entry '!H175</f>
        <v>-1.3199509396599751E-7</v>
      </c>
      <c r="I34" s="501">
        <f>'data entry '!I175</f>
        <v>-1.3199509396599751E-7</v>
      </c>
      <c r="J34" s="501">
        <f>'data entry '!J175</f>
        <v>-1.3199509396599751E-7</v>
      </c>
      <c r="K34" s="501">
        <f>'data entry '!K175</f>
        <v>-1.3199509396599751E-7</v>
      </c>
      <c r="L34" s="501">
        <f>'data entry '!L175</f>
        <v>-1.3199509396599751E-7</v>
      </c>
      <c r="M34" s="501">
        <f>'data entry '!M175</f>
        <v>-1.3199509396599751E-7</v>
      </c>
      <c r="N34" s="501">
        <f>'data entry '!N175</f>
        <v>-5.6531910559607894</v>
      </c>
      <c r="O34" s="483"/>
      <c r="P34" s="496">
        <f t="shared" ref="P34:P36" si="27">SUM(B34:E34)</f>
        <v>-5.6531900000000377</v>
      </c>
      <c r="Q34" s="501">
        <v>-1.2821025000000077</v>
      </c>
      <c r="R34" s="501"/>
      <c r="S34" s="501">
        <v>-4.37</v>
      </c>
      <c r="T34" s="501"/>
      <c r="U34" s="483"/>
      <c r="V34" s="651"/>
      <c r="W34" s="653">
        <f t="shared" ref="W34:W36" si="28">N34-P34</f>
        <v>-1.0559607517279801E-6</v>
      </c>
      <c r="X34" s="654">
        <f t="shared" ref="X34" si="29">+W34-SUM(Y34:Z34)</f>
        <v>-1.0559607517279801E-6</v>
      </c>
      <c r="Y34" s="655">
        <v>0</v>
      </c>
      <c r="Z34" s="654">
        <v>0</v>
      </c>
      <c r="AA34" s="654"/>
      <c r="AB34" s="8"/>
      <c r="AC34" s="351"/>
      <c r="AE34" s="8"/>
    </row>
    <row r="35" spans="1:31" x14ac:dyDescent="0.3">
      <c r="A35" s="270" t="s">
        <v>149</v>
      </c>
      <c r="B35" s="501">
        <f>'data entry '!B176</f>
        <v>24.483647858819225</v>
      </c>
      <c r="C35" s="501">
        <f>'data entry '!C176</f>
        <v>-29.792662141180827</v>
      </c>
      <c r="D35" s="501">
        <f>'data entry '!D176</f>
        <v>-19.519552141180839</v>
      </c>
      <c r="E35" s="501">
        <f>'data entry '!E176</f>
        <v>-25.724772141180821</v>
      </c>
      <c r="F35" s="501">
        <f>'data entry '!F176</f>
        <v>3.8585893595959675</v>
      </c>
      <c r="G35" s="501">
        <f>'data entry '!G176</f>
        <v>2.3013032510602045</v>
      </c>
      <c r="H35" s="501">
        <f>'data entry '!H176</f>
        <v>-0.28123465643142254</v>
      </c>
      <c r="I35" s="501">
        <f>'data entry '!I176</f>
        <v>-0.89287606260772634</v>
      </c>
      <c r="J35" s="501">
        <f>'data entry '!J176</f>
        <v>5.7415953435685481</v>
      </c>
      <c r="K35" s="501">
        <f>'data entry '!K176</f>
        <v>-0.60448746878401494</v>
      </c>
      <c r="L35" s="501">
        <f>'data entry '!L176</f>
        <v>-1.0014872730069868</v>
      </c>
      <c r="M35" s="501">
        <f>'data entry '!M176</f>
        <v>-13.032212451452239</v>
      </c>
      <c r="N35" s="502">
        <f>'data entry '!N176</f>
        <v>-54.464148522780931</v>
      </c>
      <c r="O35" s="483"/>
      <c r="P35" s="496">
        <f t="shared" si="27"/>
        <v>-50.553338564723262</v>
      </c>
      <c r="Q35" s="501">
        <v>-21.537047005180739</v>
      </c>
      <c r="R35" s="501">
        <v>-24.83</v>
      </c>
      <c r="S35" s="501">
        <v>-4.1877251360000765</v>
      </c>
      <c r="T35" s="501"/>
      <c r="U35" s="483"/>
      <c r="V35" s="651"/>
      <c r="W35" s="653">
        <f t="shared" si="28"/>
        <v>-3.9108099580576692</v>
      </c>
      <c r="X35" s="499">
        <v>-39.748724856218303</v>
      </c>
      <c r="Y35" s="654"/>
      <c r="Z35" s="654">
        <f>SUM('FX IMPACT'!F28:M28)</f>
        <v>35.837914898160633</v>
      </c>
      <c r="AA35" s="654"/>
      <c r="AB35" s="8"/>
      <c r="AC35" s="351"/>
      <c r="AE35" s="8"/>
    </row>
    <row r="36" spans="1:31" x14ac:dyDescent="0.3">
      <c r="A36" s="200" t="s">
        <v>150</v>
      </c>
      <c r="B36" s="201">
        <f>SUM(B34:B35)</f>
        <v>22.67676535881921</v>
      </c>
      <c r="C36" s="201">
        <f t="shared" ref="C36:N36" si="30">SUM(C34:C35)</f>
        <v>-31.074764641180835</v>
      </c>
      <c r="D36" s="201">
        <f t="shared" si="30"/>
        <v>-20.801654641180846</v>
      </c>
      <c r="E36" s="201">
        <f t="shared" si="30"/>
        <v>-27.006874641180829</v>
      </c>
      <c r="F36" s="201">
        <f t="shared" si="30"/>
        <v>3.8585892276008735</v>
      </c>
      <c r="G36" s="201">
        <f t="shared" si="30"/>
        <v>2.3013031190651105</v>
      </c>
      <c r="H36" s="201">
        <f t="shared" si="30"/>
        <v>-0.2812347884265165</v>
      </c>
      <c r="I36" s="201">
        <f t="shared" si="30"/>
        <v>-0.89287619460282031</v>
      </c>
      <c r="J36" s="201">
        <f t="shared" si="30"/>
        <v>5.7415952115734541</v>
      </c>
      <c r="K36" s="201">
        <f t="shared" si="30"/>
        <v>-0.6044876007791089</v>
      </c>
      <c r="L36" s="201">
        <f t="shared" si="30"/>
        <v>-1.0014874050020808</v>
      </c>
      <c r="M36" s="201">
        <f t="shared" si="30"/>
        <v>-13.032212583447333</v>
      </c>
      <c r="N36" s="201">
        <f t="shared" si="30"/>
        <v>-60.117339578741721</v>
      </c>
      <c r="O36" s="483"/>
      <c r="P36" s="201">
        <f t="shared" si="27"/>
        <v>-56.2065285647233</v>
      </c>
      <c r="Q36" s="201">
        <f t="shared" ref="Q36:T36" si="31">SUM(Q34:Q35)</f>
        <v>-22.819149505180746</v>
      </c>
      <c r="R36" s="201">
        <f t="shared" si="31"/>
        <v>-24.83</v>
      </c>
      <c r="S36" s="201">
        <f t="shared" si="31"/>
        <v>-8.5577251360000766</v>
      </c>
      <c r="T36" s="201">
        <f t="shared" si="31"/>
        <v>0</v>
      </c>
      <c r="U36" s="483"/>
      <c r="V36" s="651"/>
      <c r="W36" s="201">
        <f t="shared" si="28"/>
        <v>-3.9108110140184209</v>
      </c>
      <c r="X36" s="201">
        <f t="shared" ref="X36:AA36" si="32">+X35+X34</f>
        <v>-39.748725912179054</v>
      </c>
      <c r="Y36" s="201">
        <f t="shared" si="32"/>
        <v>0</v>
      </c>
      <c r="Z36" s="201">
        <f t="shared" si="32"/>
        <v>35.837914898160633</v>
      </c>
      <c r="AA36" s="201">
        <f t="shared" si="32"/>
        <v>0</v>
      </c>
      <c r="AB36" s="8"/>
      <c r="AC36" s="351"/>
      <c r="AE36" s="8"/>
    </row>
    <row r="37" spans="1:31" ht="9" customHeight="1" x14ac:dyDescent="0.3">
      <c r="A37" s="51"/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498"/>
      <c r="O37" s="483"/>
      <c r="P37" s="498"/>
      <c r="Q37" s="204"/>
      <c r="R37" s="204"/>
      <c r="S37" s="204"/>
      <c r="T37" s="204"/>
      <c r="U37" s="651"/>
      <c r="V37" s="651"/>
      <c r="W37" s="498"/>
      <c r="X37" s="204"/>
      <c r="Y37" s="204"/>
      <c r="Z37" s="204"/>
      <c r="AA37" s="204"/>
      <c r="AC37" s="351"/>
      <c r="AE37" s="8"/>
    </row>
    <row r="38" spans="1:31" x14ac:dyDescent="0.3">
      <c r="A38" s="200" t="s">
        <v>152</v>
      </c>
      <c r="B38" s="201">
        <f>B25+B32+B36+B8</f>
        <v>54.733648051851851</v>
      </c>
      <c r="C38" s="201">
        <f t="shared" ref="C38:N38" si="33">C25+C32+C36+C8</f>
        <v>180.98236703719346</v>
      </c>
      <c r="D38" s="201">
        <f t="shared" si="33"/>
        <v>752.01405240550434</v>
      </c>
      <c r="E38" s="201">
        <f t="shared" si="33"/>
        <v>-696.34882399452545</v>
      </c>
      <c r="F38" s="201">
        <f t="shared" si="33"/>
        <v>-208.05154284054504</v>
      </c>
      <c r="G38" s="201">
        <f t="shared" si="33"/>
        <v>-220.93652386758646</v>
      </c>
      <c r="H38" s="201">
        <f t="shared" si="33"/>
        <v>-174.87646050112835</v>
      </c>
      <c r="I38" s="201">
        <f t="shared" si="33"/>
        <v>-183.64437016134423</v>
      </c>
      <c r="J38" s="201">
        <f t="shared" si="33"/>
        <v>-145.206264408989</v>
      </c>
      <c r="K38" s="201">
        <f t="shared" si="33"/>
        <v>-181.00373935717221</v>
      </c>
      <c r="L38" s="201">
        <f t="shared" si="33"/>
        <v>-141.35937523815625</v>
      </c>
      <c r="M38" s="201">
        <f t="shared" si="33"/>
        <v>-202.53205362711122</v>
      </c>
      <c r="N38" s="201">
        <f t="shared" si="33"/>
        <v>-1166.2290865020086</v>
      </c>
      <c r="O38" s="483"/>
      <c r="P38" s="201">
        <f>+P36+P32+P25+P8</f>
        <v>291.38124350002442</v>
      </c>
      <c r="Q38" s="201">
        <f t="shared" ref="Q38:T38" si="34">+Q36+Q32+Q25+Q8</f>
        <v>550.2479862137302</v>
      </c>
      <c r="R38" s="201">
        <f t="shared" si="34"/>
        <v>68.376195552794854</v>
      </c>
      <c r="S38" s="201">
        <f t="shared" si="34"/>
        <v>-327.26427957217209</v>
      </c>
      <c r="T38" s="201">
        <f t="shared" si="34"/>
        <v>0</v>
      </c>
      <c r="U38" s="483"/>
      <c r="V38" s="651"/>
      <c r="W38" s="201">
        <f t="shared" ref="W38:AA38" si="35">+W36+W32+W25+W8</f>
        <v>-1457.6103300020332</v>
      </c>
      <c r="X38" s="201">
        <f t="shared" si="35"/>
        <v>-1137.580215307245</v>
      </c>
      <c r="Y38" s="201">
        <f t="shared" si="35"/>
        <v>185.37057771226009</v>
      </c>
      <c r="Z38" s="201">
        <f>+Z36+Z32+Z25+Z8</f>
        <v>-505.47058227716559</v>
      </c>
      <c r="AA38" s="201">
        <f t="shared" si="35"/>
        <v>0</v>
      </c>
      <c r="AB38" s="8"/>
      <c r="AC38" s="351"/>
      <c r="AE38" s="8"/>
    </row>
    <row r="39" spans="1:31" x14ac:dyDescent="0.3">
      <c r="A39" s="477"/>
      <c r="B39" s="483"/>
      <c r="C39" s="483"/>
      <c r="D39" s="483"/>
      <c r="E39" s="483"/>
      <c r="F39" s="483"/>
      <c r="G39" s="483"/>
      <c r="H39" s="483"/>
      <c r="I39" s="483"/>
      <c r="J39" s="483"/>
      <c r="K39" s="483"/>
      <c r="L39" s="483"/>
      <c r="M39" s="483"/>
      <c r="N39" s="488"/>
      <c r="O39" s="483"/>
      <c r="P39" s="488"/>
      <c r="Q39" s="483"/>
      <c r="R39" s="483"/>
      <c r="S39" s="483"/>
      <c r="T39" s="483"/>
      <c r="U39" s="483"/>
      <c r="V39" s="483"/>
      <c r="W39" s="488"/>
      <c r="X39" s="483"/>
      <c r="Y39" s="661"/>
      <c r="Z39" s="483"/>
      <c r="AA39" s="483"/>
    </row>
    <row r="40" spans="1:31" x14ac:dyDescent="0.3">
      <c r="A40" s="477"/>
      <c r="B40" s="483"/>
      <c r="C40" s="483"/>
      <c r="D40" s="483"/>
      <c r="E40" s="483"/>
      <c r="F40" s="483"/>
      <c r="G40" s="483"/>
      <c r="H40" s="483"/>
      <c r="I40" s="483"/>
      <c r="J40" s="483"/>
      <c r="K40" s="483"/>
      <c r="L40" s="483"/>
      <c r="M40" s="483"/>
      <c r="N40" s="488"/>
      <c r="O40" s="483"/>
      <c r="P40" s="488"/>
      <c r="Q40" s="483"/>
      <c r="R40" s="483"/>
      <c r="S40" s="483"/>
      <c r="T40" s="483"/>
      <c r="U40" s="483"/>
      <c r="V40" s="483"/>
      <c r="W40" s="488"/>
      <c r="X40" s="483"/>
      <c r="Y40" s="483"/>
      <c r="Z40" s="483"/>
      <c r="AA40" s="725"/>
    </row>
    <row r="41" spans="1:31" x14ac:dyDescent="0.3">
      <c r="A41" s="291" t="s">
        <v>43</v>
      </c>
      <c r="B41" s="493">
        <f>'data entry '!B73</f>
        <v>-6.7443971410000003</v>
      </c>
      <c r="C41" s="493">
        <f>'data entry '!C73</f>
        <v>-7.110674586</v>
      </c>
      <c r="D41" s="493">
        <f>'data entry '!D73</f>
        <v>-7.1575233750000002</v>
      </c>
      <c r="E41" s="493">
        <f>'data entry '!E73</f>
        <v>-13.784255769000001</v>
      </c>
      <c r="F41" s="493">
        <f>'data entry '!F73</f>
        <v>-22.499889510000003</v>
      </c>
      <c r="G41" s="493">
        <f>'data entry '!G73</f>
        <v>-58.908533430000006</v>
      </c>
      <c r="H41" s="493">
        <f>'data entry '!H73</f>
        <v>-57.523254780000002</v>
      </c>
      <c r="I41" s="493">
        <f>'data entry '!I73</f>
        <v>-57.204807999999993</v>
      </c>
      <c r="J41" s="493">
        <f>'data entry '!J73</f>
        <v>-68.485446039999999</v>
      </c>
      <c r="K41" s="493">
        <f>'data entry '!K73</f>
        <v>-63.211466780000002</v>
      </c>
      <c r="L41" s="493">
        <f>'data entry '!L73</f>
        <v>-61.94707133</v>
      </c>
      <c r="M41" s="493">
        <f>'data entry '!M73</f>
        <v>-60.138508710000004</v>
      </c>
      <c r="N41" s="493">
        <f>'data entry '!N73</f>
        <v>-484</v>
      </c>
      <c r="O41" s="483"/>
      <c r="P41" s="488"/>
      <c r="Q41" s="483"/>
      <c r="R41" s="483"/>
      <c r="S41" s="483"/>
      <c r="T41" s="483"/>
      <c r="U41" s="483"/>
      <c r="V41" s="483"/>
      <c r="W41" s="488"/>
      <c r="X41" s="483"/>
      <c r="Y41" s="483"/>
      <c r="Z41" s="483"/>
      <c r="AA41" s="483"/>
    </row>
    <row r="42" spans="1:31" x14ac:dyDescent="0.3">
      <c r="A42" s="292" t="s">
        <v>182</v>
      </c>
      <c r="B42" s="495">
        <f>'data entry '!B74</f>
        <v>-67.734713934301453</v>
      </c>
      <c r="C42" s="495">
        <f>'data entry '!C74</f>
        <v>-136.59810400625676</v>
      </c>
      <c r="D42" s="495">
        <f>'data entry '!D74</f>
        <v>-106.87028077062521</v>
      </c>
      <c r="E42" s="495">
        <f>'data entry '!E74</f>
        <v>-47.120573765839055</v>
      </c>
      <c r="F42" s="495">
        <f>'data entry '!F74</f>
        <v>-70.370517793427254</v>
      </c>
      <c r="G42" s="495">
        <f>'data entry '!G74</f>
        <v>-71.974600624891949</v>
      </c>
      <c r="H42" s="495">
        <f>'data entry '!H74</f>
        <v>-11.001751376680557</v>
      </c>
      <c r="I42" s="495">
        <f>'data entry '!I74</f>
        <v>-7.4535706962784793</v>
      </c>
      <c r="J42" s="495">
        <f>'data entry '!J74</f>
        <v>-49.424680182121804</v>
      </c>
      <c r="K42" s="495">
        <f>'data entry '!K74</f>
        <v>-40.99932315198992</v>
      </c>
      <c r="L42" s="495">
        <f>'data entry '!L74</f>
        <v>-42.471503218980303</v>
      </c>
      <c r="M42" s="495">
        <f>'data entry '!M74</f>
        <v>45.11883909940903</v>
      </c>
      <c r="N42" s="495">
        <f>'data entry '!N74</f>
        <v>-605.66</v>
      </c>
      <c r="O42" s="483"/>
      <c r="P42" s="488"/>
      <c r="Q42" s="483"/>
      <c r="R42" s="483"/>
      <c r="S42" s="483"/>
      <c r="T42" s="483"/>
      <c r="U42" s="483"/>
      <c r="V42" s="483"/>
      <c r="W42" s="488"/>
      <c r="X42" s="726"/>
      <c r="Y42" s="483"/>
      <c r="Z42" s="483"/>
      <c r="AA42" s="483"/>
    </row>
    <row r="43" spans="1:31" x14ac:dyDescent="0.3">
      <c r="A43" s="292" t="s">
        <v>426</v>
      </c>
      <c r="B43" s="495">
        <f>'data entry '!B75</f>
        <v>107.45658513410379</v>
      </c>
      <c r="C43" s="495">
        <f>'data entry '!C75</f>
        <v>105.73560126551953</v>
      </c>
      <c r="D43" s="495">
        <f>'data entry '!D75</f>
        <v>151.32286221096018</v>
      </c>
      <c r="E43" s="495">
        <f>'data entry '!E75</f>
        <v>176.96096088893012</v>
      </c>
      <c r="F43" s="495">
        <f>'data entry '!F75</f>
        <v>157.88250481952844</v>
      </c>
      <c r="G43" s="495">
        <f>'data entry '!G75</f>
        <v>72.777114255238189</v>
      </c>
      <c r="H43" s="495">
        <f>'data entry '!H75</f>
        <v>-34.077079016971233</v>
      </c>
      <c r="I43" s="495">
        <f>'data entry '!I75</f>
        <v>-54.265054139728022</v>
      </c>
      <c r="J43" s="495">
        <f>'data entry '!J75</f>
        <v>106.29454896090741</v>
      </c>
      <c r="K43" s="495">
        <f>'data entry '!K75</f>
        <v>119.42666440835524</v>
      </c>
      <c r="L43" s="495">
        <f>'data entry '!L75</f>
        <v>31.320630022374189</v>
      </c>
      <c r="M43" s="495">
        <f>'data entry '!M75</f>
        <v>128.64055147318282</v>
      </c>
      <c r="N43" s="495">
        <f>'data entry '!N75</f>
        <v>1069.4758902824008</v>
      </c>
      <c r="O43" s="483"/>
      <c r="P43" s="488"/>
      <c r="Q43" s="483"/>
      <c r="R43" s="483"/>
      <c r="S43" s="483"/>
      <c r="T43" s="483"/>
      <c r="U43" s="483"/>
      <c r="V43" s="483"/>
      <c r="W43" s="488"/>
      <c r="X43" s="483"/>
      <c r="Y43" s="483"/>
      <c r="Z43" s="483"/>
      <c r="AA43" s="483"/>
    </row>
    <row r="44" spans="1:31" x14ac:dyDescent="0.3">
      <c r="A44" s="292" t="s">
        <v>66</v>
      </c>
      <c r="B44" s="495">
        <f>'data entry '!B76</f>
        <v>-105.62146306377917</v>
      </c>
      <c r="C44" s="495">
        <f>'data entry '!C76</f>
        <v>-105.21914066358104</v>
      </c>
      <c r="D44" s="495">
        <f>'data entry '!D76</f>
        <v>-105.24280668712211</v>
      </c>
      <c r="E44" s="495">
        <f>'data entry '!E76</f>
        <v>5.9165058852665906</v>
      </c>
      <c r="F44" s="495">
        <f>'data entry '!F76</f>
        <v>-108.57971600641248</v>
      </c>
      <c r="G44" s="495">
        <f>'data entry '!G76</f>
        <v>431.54993927134512</v>
      </c>
      <c r="H44" s="495">
        <f>'data entry '!H76</f>
        <v>371.58023561828293</v>
      </c>
      <c r="I44" s="495">
        <f>'data entry '!I76</f>
        <v>310.02490838796928</v>
      </c>
      <c r="J44" s="495">
        <f>'data entry '!J76</f>
        <v>420.49790627766714</v>
      </c>
      <c r="K44" s="495">
        <f>'data entry '!K76</f>
        <v>543.18257231455516</v>
      </c>
      <c r="L44" s="495">
        <f>'data entry '!L76</f>
        <v>410.41618024917284</v>
      </c>
      <c r="M44" s="495">
        <f>'data entry '!M76</f>
        <v>517.93092519623724</v>
      </c>
      <c r="N44" s="495">
        <f>'data entry '!N76</f>
        <v>2586.4360467796018</v>
      </c>
      <c r="O44" s="483"/>
      <c r="P44" s="488"/>
      <c r="Q44" s="483"/>
      <c r="R44" s="483"/>
      <c r="S44" s="483"/>
      <c r="T44" s="483"/>
      <c r="U44" s="483"/>
      <c r="V44" s="483"/>
      <c r="W44" s="488"/>
      <c r="X44" s="483"/>
      <c r="Y44" s="483"/>
      <c r="Z44" s="483"/>
      <c r="AA44" s="483"/>
    </row>
    <row r="45" spans="1:31" x14ac:dyDescent="0.3">
      <c r="A45" s="306" t="s">
        <v>435</v>
      </c>
      <c r="B45" s="499">
        <f>'data entry '!B77</f>
        <v>123.67408718677302</v>
      </c>
      <c r="C45" s="499">
        <f>'data entry '!C77</f>
        <v>208.34408718677298</v>
      </c>
      <c r="D45" s="499">
        <f>'data entry '!D77</f>
        <v>172.90408718677293</v>
      </c>
      <c r="E45" s="499">
        <f>'data entry '!E77</f>
        <v>24.360041546111656</v>
      </c>
      <c r="F45" s="499">
        <f>'data entry '!F77</f>
        <v>669.833361030741</v>
      </c>
      <c r="G45" s="499">
        <f>'data entry '!G77</f>
        <v>-390.60881013360284</v>
      </c>
      <c r="H45" s="499">
        <f>'data entry '!H77</f>
        <v>99.197114892089942</v>
      </c>
      <c r="I45" s="499">
        <f>'data entry '!I77</f>
        <v>263.12548490236702</v>
      </c>
      <c r="J45" s="499">
        <f>'data entry '!J77</f>
        <v>-364.11881013360289</v>
      </c>
      <c r="K45" s="499">
        <f>'data entry '!K77</f>
        <v>-383.94881013360282</v>
      </c>
      <c r="L45" s="499">
        <f>'data entry '!L77</f>
        <v>-296.52962512846426</v>
      </c>
      <c r="M45" s="499">
        <f>'data entry '!M77</f>
        <v>-126.23220840235432</v>
      </c>
      <c r="N45" s="499">
        <f>'data entry '!N77</f>
        <v>-1.956609872981204</v>
      </c>
      <c r="O45" s="483"/>
      <c r="P45" s="488"/>
      <c r="Q45" s="483"/>
      <c r="R45" s="483"/>
      <c r="S45" s="483"/>
      <c r="T45" s="483"/>
      <c r="U45" s="483"/>
      <c r="V45" s="483"/>
      <c r="W45" s="488"/>
      <c r="X45" s="483"/>
      <c r="Y45" s="483"/>
      <c r="Z45" s="483"/>
      <c r="AA45" s="483"/>
    </row>
    <row r="46" spans="1:31" x14ac:dyDescent="0.3">
      <c r="A46" s="477"/>
      <c r="B46" s="483"/>
      <c r="C46" s="483"/>
      <c r="D46" s="483"/>
      <c r="E46" s="483"/>
      <c r="F46" s="483"/>
      <c r="G46" s="483"/>
      <c r="H46" s="483"/>
      <c r="I46" s="483"/>
      <c r="J46" s="483"/>
      <c r="K46" s="483"/>
      <c r="L46" s="483"/>
      <c r="M46" s="483"/>
      <c r="N46" s="488"/>
      <c r="O46" s="483"/>
      <c r="P46" s="488"/>
      <c r="Q46" s="483"/>
      <c r="R46" s="483"/>
      <c r="S46" s="483"/>
      <c r="T46" s="483"/>
      <c r="U46" s="483"/>
      <c r="V46" s="483"/>
      <c r="W46" s="488"/>
      <c r="X46" s="483"/>
      <c r="Y46" s="483"/>
      <c r="Z46" s="483"/>
      <c r="AA46" s="483"/>
    </row>
    <row r="47" spans="1:31" x14ac:dyDescent="0.3">
      <c r="A47" s="503" t="s">
        <v>450</v>
      </c>
      <c r="B47" s="504">
        <f>SUM(B41:B45)</f>
        <v>51.030098181796177</v>
      </c>
      <c r="C47" s="504">
        <f t="shared" ref="C47:N47" si="36">SUM(C41:C45)</f>
        <v>65.151769196454723</v>
      </c>
      <c r="D47" s="504">
        <f t="shared" si="36"/>
        <v>104.95633856498578</v>
      </c>
      <c r="E47" s="504">
        <f t="shared" si="36"/>
        <v>146.33267878546931</v>
      </c>
      <c r="F47" s="504">
        <f t="shared" si="36"/>
        <v>626.26574254042976</v>
      </c>
      <c r="G47" s="504">
        <f t="shared" si="36"/>
        <v>-17.1648906619115</v>
      </c>
      <c r="H47" s="504">
        <f t="shared" si="36"/>
        <v>368.17526533672105</v>
      </c>
      <c r="I47" s="504">
        <f t="shared" si="36"/>
        <v>454.2269604543298</v>
      </c>
      <c r="J47" s="504">
        <f t="shared" si="36"/>
        <v>44.763518882849837</v>
      </c>
      <c r="K47" s="504">
        <f t="shared" si="36"/>
        <v>174.44963665731768</v>
      </c>
      <c r="L47" s="504">
        <f t="shared" si="36"/>
        <v>40.788610594102465</v>
      </c>
      <c r="M47" s="504">
        <f t="shared" si="36"/>
        <v>505.3195986564748</v>
      </c>
      <c r="N47" s="504">
        <f t="shared" si="36"/>
        <v>2564.2953271890219</v>
      </c>
      <c r="O47" s="483"/>
      <c r="P47" s="488"/>
      <c r="Q47" s="483"/>
      <c r="R47" s="483"/>
      <c r="S47" s="483"/>
      <c r="T47" s="483"/>
      <c r="U47" s="483"/>
      <c r="V47" s="483"/>
      <c r="W47" s="488"/>
      <c r="X47" s="483"/>
      <c r="Y47" s="483"/>
      <c r="Z47" s="483"/>
      <c r="AA47" s="483"/>
    </row>
    <row r="48" spans="1:31" x14ac:dyDescent="0.3">
      <c r="A48" s="477"/>
      <c r="B48" s="483"/>
      <c r="C48" s="483"/>
      <c r="D48" s="483"/>
      <c r="E48" s="483"/>
      <c r="F48" s="483"/>
      <c r="G48" s="483"/>
      <c r="H48" s="483"/>
      <c r="I48" s="483"/>
      <c r="J48" s="483"/>
      <c r="K48" s="483"/>
      <c r="L48" s="483"/>
      <c r="M48" s="483"/>
      <c r="N48" s="488"/>
      <c r="O48" s="483"/>
      <c r="P48" s="488"/>
      <c r="Q48" s="483"/>
      <c r="R48" s="483"/>
      <c r="S48" s="483"/>
      <c r="T48" s="483"/>
      <c r="U48" s="483"/>
      <c r="V48" s="483"/>
      <c r="W48" s="488"/>
      <c r="X48" s="483"/>
      <c r="Y48" s="483"/>
      <c r="Z48" s="483"/>
      <c r="AA48" s="483"/>
    </row>
    <row r="49" spans="1:28" x14ac:dyDescent="0.3">
      <c r="A49" s="477"/>
      <c r="B49" s="483"/>
      <c r="C49" s="483"/>
      <c r="D49" s="483"/>
      <c r="E49" s="483"/>
      <c r="F49" s="483"/>
      <c r="G49" s="483"/>
      <c r="H49" s="483"/>
      <c r="I49" s="483"/>
      <c r="J49" s="483"/>
      <c r="K49" s="483"/>
      <c r="L49" s="483"/>
      <c r="M49" s="483"/>
      <c r="N49" s="488"/>
      <c r="O49" s="483"/>
      <c r="P49" s="488"/>
      <c r="Q49" s="483"/>
      <c r="R49" s="483"/>
      <c r="S49" s="483"/>
      <c r="T49" s="483"/>
      <c r="U49" s="483"/>
      <c r="V49" s="483"/>
      <c r="W49" s="488"/>
      <c r="X49" s="483"/>
      <c r="Y49" s="483"/>
      <c r="Z49" s="483"/>
      <c r="AA49" s="483"/>
    </row>
    <row r="50" spans="1:28" x14ac:dyDescent="0.3">
      <c r="A50" s="505" t="s">
        <v>99</v>
      </c>
      <c r="B50" s="506">
        <f>B38+B47</f>
        <v>105.76374623364802</v>
      </c>
      <c r="C50" s="506">
        <f t="shared" ref="C50:N50" si="37">C38+C47</f>
        <v>246.13413623364818</v>
      </c>
      <c r="D50" s="506">
        <f t="shared" si="37"/>
        <v>856.97039097049014</v>
      </c>
      <c r="E50" s="506">
        <f t="shared" si="37"/>
        <v>-550.01614520905616</v>
      </c>
      <c r="F50" s="506">
        <f t="shared" si="37"/>
        <v>418.21419969988472</v>
      </c>
      <c r="G50" s="506">
        <f t="shared" si="37"/>
        <v>-238.10141452949796</v>
      </c>
      <c r="H50" s="506">
        <f t="shared" si="37"/>
        <v>193.2988048355927</v>
      </c>
      <c r="I50" s="506">
        <f t="shared" si="37"/>
        <v>270.58259029298557</v>
      </c>
      <c r="J50" s="506">
        <f t="shared" si="37"/>
        <v>-100.44274552613916</v>
      </c>
      <c r="K50" s="506">
        <f t="shared" si="37"/>
        <v>-6.5541026998545249</v>
      </c>
      <c r="L50" s="506">
        <f t="shared" si="37"/>
        <v>-100.57076464405378</v>
      </c>
      <c r="M50" s="506">
        <f t="shared" si="37"/>
        <v>302.78754502936357</v>
      </c>
      <c r="N50" s="506">
        <f t="shared" si="37"/>
        <v>1398.0662406870133</v>
      </c>
      <c r="O50" s="483"/>
      <c r="P50" s="488"/>
      <c r="Q50" s="483"/>
      <c r="R50" s="483"/>
      <c r="S50" s="483"/>
      <c r="T50" s="483"/>
      <c r="U50" s="483"/>
      <c r="V50" s="483"/>
      <c r="W50" s="488"/>
      <c r="X50" s="483"/>
      <c r="Y50" s="483"/>
      <c r="Z50" s="483"/>
      <c r="AA50" s="483"/>
    </row>
    <row r="51" spans="1:28" x14ac:dyDescent="0.3">
      <c r="A51" s="507"/>
      <c r="B51" s="507"/>
      <c r="C51" s="508"/>
      <c r="D51" s="508"/>
      <c r="E51" s="508"/>
      <c r="F51" s="508"/>
      <c r="G51" s="508"/>
      <c r="H51" s="508"/>
      <c r="I51" s="508"/>
      <c r="J51" s="508"/>
      <c r="K51" s="508"/>
      <c r="L51" s="508"/>
      <c r="M51" s="508"/>
      <c r="N51" s="492"/>
      <c r="O51" s="509"/>
      <c r="P51" s="476"/>
      <c r="Q51" s="477"/>
      <c r="R51" s="477"/>
      <c r="S51" s="477"/>
      <c r="T51" s="477"/>
      <c r="U51" s="477"/>
      <c r="V51" s="477"/>
      <c r="W51" s="476"/>
      <c r="X51" s="477"/>
      <c r="Y51" s="477"/>
      <c r="Z51" s="477"/>
      <c r="AA51" s="477"/>
    </row>
    <row r="52" spans="1:28" x14ac:dyDescent="0.3">
      <c r="A52" s="477"/>
      <c r="B52" s="477"/>
      <c r="C52" s="477"/>
      <c r="D52" s="477"/>
      <c r="E52" s="477"/>
      <c r="F52" s="477"/>
      <c r="G52" s="477"/>
      <c r="H52" s="477"/>
      <c r="I52" s="477"/>
      <c r="J52" s="477"/>
      <c r="K52" s="477"/>
      <c r="L52" s="477"/>
      <c r="M52" s="477"/>
      <c r="N52" s="476"/>
      <c r="O52" s="509"/>
      <c r="P52" s="476"/>
      <c r="Q52" s="477"/>
      <c r="R52" s="477"/>
      <c r="S52" s="477"/>
      <c r="T52" s="477"/>
      <c r="U52" s="477"/>
      <c r="V52" s="477"/>
      <c r="W52" s="476"/>
      <c r="X52" s="477"/>
      <c r="Y52" s="477"/>
      <c r="Z52" s="477"/>
      <c r="AA52" s="477"/>
    </row>
    <row r="53" spans="1:28" x14ac:dyDescent="0.3">
      <c r="A53" s="674" t="s">
        <v>557</v>
      </c>
      <c r="B53" s="675"/>
      <c r="C53" s="675"/>
      <c r="D53" s="675"/>
      <c r="E53" s="675"/>
      <c r="F53" s="675"/>
      <c r="G53" s="675"/>
      <c r="H53" s="675"/>
      <c r="I53" s="675"/>
      <c r="J53" s="675"/>
      <c r="K53" s="675"/>
      <c r="L53" s="675"/>
      <c r="M53" s="675"/>
      <c r="N53" s="674"/>
      <c r="O53" s="509"/>
      <c r="P53" s="476"/>
      <c r="Q53" s="477"/>
      <c r="R53" s="477"/>
      <c r="S53" s="477"/>
      <c r="T53" s="477"/>
      <c r="U53" s="477"/>
      <c r="V53" s="477"/>
      <c r="W53" s="476"/>
      <c r="X53" s="477"/>
      <c r="Y53" s="477"/>
      <c r="Z53" s="477"/>
      <c r="AA53" s="477"/>
    </row>
    <row r="54" spans="1:28" x14ac:dyDescent="0.3">
      <c r="A54" s="476" t="s">
        <v>443</v>
      </c>
      <c r="B54" s="478" t="s">
        <v>0</v>
      </c>
      <c r="C54" s="478" t="s">
        <v>1</v>
      </c>
      <c r="D54" s="478" t="s">
        <v>2</v>
      </c>
      <c r="E54" s="478" t="s">
        <v>3</v>
      </c>
      <c r="F54" s="478" t="s">
        <v>4</v>
      </c>
      <c r="G54" s="478" t="s">
        <v>5</v>
      </c>
      <c r="H54" s="478" t="s">
        <v>6</v>
      </c>
      <c r="I54" s="478" t="s">
        <v>7</v>
      </c>
      <c r="J54" s="478" t="s">
        <v>8</v>
      </c>
      <c r="K54" s="478" t="s">
        <v>9</v>
      </c>
      <c r="L54" s="478" t="s">
        <v>10</v>
      </c>
      <c r="M54" s="478" t="s">
        <v>11</v>
      </c>
      <c r="N54" s="478" t="s">
        <v>12</v>
      </c>
      <c r="O54" s="477"/>
      <c r="P54" s="478" t="s">
        <v>95</v>
      </c>
      <c r="Q54" s="479" t="s">
        <v>444</v>
      </c>
      <c r="R54" s="479" t="s">
        <v>445</v>
      </c>
      <c r="S54" s="479" t="s">
        <v>446</v>
      </c>
      <c r="T54" s="479" t="s">
        <v>447</v>
      </c>
      <c r="U54" s="477"/>
      <c r="W54" s="478" t="s">
        <v>95</v>
      </c>
      <c r="X54" s="479" t="s">
        <v>444</v>
      </c>
      <c r="Y54" s="479" t="s">
        <v>445</v>
      </c>
      <c r="Z54" s="479" t="s">
        <v>446</v>
      </c>
      <c r="AA54" s="479" t="s">
        <v>447</v>
      </c>
    </row>
    <row r="55" spans="1:28" x14ac:dyDescent="0.3">
      <c r="A55" s="480" t="s">
        <v>448</v>
      </c>
      <c r="B55" s="481">
        <v>47357</v>
      </c>
      <c r="C55" s="481">
        <v>42593.000999999997</v>
      </c>
      <c r="D55" s="481">
        <v>23002.001</v>
      </c>
      <c r="E55" s="481">
        <v>44096</v>
      </c>
      <c r="F55" s="481">
        <v>33500</v>
      </c>
      <c r="G55" s="481">
        <v>52968</v>
      </c>
      <c r="H55" s="481">
        <v>40596</v>
      </c>
      <c r="I55" s="481">
        <v>39790</v>
      </c>
      <c r="J55" s="481">
        <v>54907</v>
      </c>
      <c r="K55" s="481">
        <v>49968</v>
      </c>
      <c r="L55" s="481">
        <v>51936</v>
      </c>
      <c r="M55" s="481">
        <v>42190</v>
      </c>
      <c r="N55" s="481">
        <v>522903.00199999998</v>
      </c>
      <c r="O55" s="483"/>
      <c r="P55" s="482">
        <v>112952.00199999999</v>
      </c>
      <c r="Q55" s="727"/>
      <c r="R55" s="728"/>
      <c r="S55" s="728"/>
      <c r="T55" s="728"/>
      <c r="U55" s="483"/>
      <c r="W55" s="482">
        <v>409951</v>
      </c>
      <c r="X55" s="667"/>
      <c r="Y55" s="668"/>
      <c r="Z55" s="668"/>
      <c r="AA55" s="668"/>
    </row>
    <row r="56" spans="1:28" x14ac:dyDescent="0.3">
      <c r="A56" s="480" t="s">
        <v>96</v>
      </c>
      <c r="B56" s="481">
        <v>50463</v>
      </c>
      <c r="C56" s="481">
        <v>50446</v>
      </c>
      <c r="D56" s="481">
        <v>50447</v>
      </c>
      <c r="E56" s="481">
        <v>48050</v>
      </c>
      <c r="F56" s="481">
        <v>36788</v>
      </c>
      <c r="G56" s="481">
        <v>53265</v>
      </c>
      <c r="H56" s="481">
        <v>42049</v>
      </c>
      <c r="I56" s="481">
        <v>39150</v>
      </c>
      <c r="J56" s="481">
        <v>53732</v>
      </c>
      <c r="K56" s="481">
        <v>48548</v>
      </c>
      <c r="L56" s="481">
        <v>51408</v>
      </c>
      <c r="M56" s="481">
        <v>40676</v>
      </c>
      <c r="N56" s="481">
        <v>565022</v>
      </c>
      <c r="O56" s="483"/>
      <c r="P56" s="482">
        <v>151356</v>
      </c>
      <c r="Q56" s="729"/>
      <c r="R56" s="730"/>
      <c r="S56" s="730"/>
      <c r="T56" s="730"/>
      <c r="U56" s="483"/>
      <c r="W56" s="482">
        <v>413666</v>
      </c>
      <c r="X56" s="669"/>
      <c r="Y56" s="670"/>
      <c r="Z56" s="670"/>
      <c r="AA56" s="670"/>
    </row>
    <row r="57" spans="1:28" ht="15" thickBot="1" x14ac:dyDescent="0.35">
      <c r="A57" s="484" t="s">
        <v>97</v>
      </c>
      <c r="B57" s="485">
        <v>-3106</v>
      </c>
      <c r="C57" s="485">
        <v>-7852.9990000000034</v>
      </c>
      <c r="D57" s="485">
        <v>-27444.999</v>
      </c>
      <c r="E57" s="485">
        <v>-3954</v>
      </c>
      <c r="F57" s="485">
        <v>-3288</v>
      </c>
      <c r="G57" s="485">
        <v>-297</v>
      </c>
      <c r="H57" s="485">
        <v>-1453</v>
      </c>
      <c r="I57" s="485">
        <v>640</v>
      </c>
      <c r="J57" s="485">
        <v>1175</v>
      </c>
      <c r="K57" s="485">
        <v>1420</v>
      </c>
      <c r="L57" s="485">
        <v>528</v>
      </c>
      <c r="M57" s="485">
        <v>1514</v>
      </c>
      <c r="N57" s="486">
        <v>-42118.998000000021</v>
      </c>
      <c r="O57" s="483"/>
      <c r="P57" s="486">
        <v>-38403.998000000007</v>
      </c>
      <c r="Q57" s="729"/>
      <c r="R57" s="730"/>
      <c r="S57" s="730"/>
      <c r="T57" s="730"/>
      <c r="U57" s="483"/>
      <c r="W57" s="486">
        <v>-3715</v>
      </c>
      <c r="X57" s="669"/>
      <c r="Y57" s="670"/>
      <c r="Z57" s="670"/>
      <c r="AA57" s="670"/>
    </row>
    <row r="58" spans="1:28" x14ac:dyDescent="0.3">
      <c r="A58" s="487"/>
      <c r="B58" s="483"/>
      <c r="C58" s="483"/>
      <c r="D58" s="483"/>
      <c r="E58" s="483"/>
      <c r="F58" s="483"/>
      <c r="G58" s="483"/>
      <c r="H58" s="483"/>
      <c r="I58" s="483"/>
      <c r="J58" s="483"/>
      <c r="K58" s="483"/>
      <c r="L58" s="483"/>
      <c r="M58" s="483"/>
      <c r="N58" s="488"/>
      <c r="O58" s="483"/>
      <c r="P58" s="488"/>
      <c r="Q58" s="483"/>
      <c r="R58" s="483"/>
      <c r="S58" s="483"/>
      <c r="T58" s="483"/>
      <c r="U58" s="483"/>
      <c r="W58" s="488"/>
      <c r="X58" s="483"/>
      <c r="Y58" s="483"/>
      <c r="Z58" s="483"/>
      <c r="AA58" s="483"/>
    </row>
    <row r="59" spans="1:28" ht="15" thickBot="1" x14ac:dyDescent="0.35">
      <c r="A59" s="489" t="s">
        <v>449</v>
      </c>
      <c r="B59" s="490">
        <v>74.155661215989426</v>
      </c>
      <c r="C59" s="490">
        <v>186.38396565789671</v>
      </c>
      <c r="D59" s="490">
        <v>622.98541887442025</v>
      </c>
      <c r="E59" s="490">
        <v>93.574835836876275</v>
      </c>
      <c r="F59" s="490">
        <v>77.813413439792512</v>
      </c>
      <c r="G59" s="490">
        <v>7.0280627544258323</v>
      </c>
      <c r="H59" s="490">
        <v>34.386160270260916</v>
      </c>
      <c r="I59" s="490">
        <v>-15.146815645896595</v>
      </c>
      <c r="J59" s="490">
        <v>-27.808351215537243</v>
      </c>
      <c r="K59" s="490">
        <v>-33.60645740022062</v>
      </c>
      <c r="L59" s="490">
        <v>-12.496392127668571</v>
      </c>
      <c r="M59" s="490">
        <v>-35.830954033079536</v>
      </c>
      <c r="N59" s="490">
        <v>971.4385476272596</v>
      </c>
      <c r="O59" s="483"/>
      <c r="P59" s="491">
        <v>883.52504574830641</v>
      </c>
      <c r="Q59" s="481">
        <f>+P59</f>
        <v>883.52504574830641</v>
      </c>
      <c r="R59" s="481"/>
      <c r="S59" s="481"/>
      <c r="T59" s="481"/>
      <c r="U59" s="483"/>
      <c r="W59" s="491">
        <v>87.913501878952957</v>
      </c>
      <c r="X59" s="481">
        <f>+W59</f>
        <v>87.913501878952957</v>
      </c>
      <c r="Y59" s="481"/>
      <c r="Z59" s="481"/>
      <c r="AA59" s="481"/>
    </row>
    <row r="60" spans="1:28" x14ac:dyDescent="0.3">
      <c r="A60" s="492"/>
      <c r="B60" s="483"/>
      <c r="C60" s="483"/>
      <c r="D60" s="483"/>
      <c r="E60" s="483"/>
      <c r="F60" s="483"/>
      <c r="G60" s="483"/>
      <c r="H60" s="483"/>
      <c r="I60" s="483"/>
      <c r="J60" s="483"/>
      <c r="K60" s="483"/>
      <c r="L60" s="483"/>
      <c r="M60" s="483"/>
      <c r="N60" s="488"/>
      <c r="O60" s="483"/>
      <c r="P60" s="488"/>
      <c r="Q60" s="483"/>
      <c r="R60" s="483"/>
      <c r="S60" s="483"/>
      <c r="T60" s="483"/>
      <c r="U60" s="483"/>
      <c r="W60" s="488"/>
      <c r="X60" s="483"/>
      <c r="Y60" s="483"/>
      <c r="Z60" s="483"/>
      <c r="AA60" s="483"/>
    </row>
    <row r="61" spans="1:28" x14ac:dyDescent="0.3">
      <c r="A61" s="291" t="s">
        <v>74</v>
      </c>
      <c r="B61" s="493">
        <v>3.850631330558258</v>
      </c>
      <c r="C61" s="493">
        <v>25.73881423876211</v>
      </c>
      <c r="D61" s="493">
        <v>44.841605151282494</v>
      </c>
      <c r="E61" s="493">
        <v>-95.106067828112828</v>
      </c>
      <c r="F61" s="493">
        <v>-126.3007187262501</v>
      </c>
      <c r="G61" s="493">
        <v>-112.96900917198717</v>
      </c>
      <c r="H61" s="493">
        <v>-85.37683090466669</v>
      </c>
      <c r="I61" s="493">
        <v>-117.86325198647728</v>
      </c>
      <c r="J61" s="493">
        <v>-54.659641623037771</v>
      </c>
      <c r="K61" s="493">
        <v>-39.553431867346646</v>
      </c>
      <c r="L61" s="493">
        <v>-26.594803520798862</v>
      </c>
      <c r="M61" s="493">
        <v>-38.925097459233129</v>
      </c>
      <c r="N61" s="493">
        <v>-622.91780236730756</v>
      </c>
      <c r="O61" s="661"/>
      <c r="P61" s="494">
        <v>74.431050720602855</v>
      </c>
      <c r="Q61" s="493">
        <v>-99</v>
      </c>
      <c r="R61" s="493">
        <v>79.5</v>
      </c>
      <c r="S61" s="493">
        <v>93.986281423590469</v>
      </c>
      <c r="T61" s="493"/>
      <c r="U61" s="105"/>
      <c r="W61" s="494">
        <v>-697.34885308791036</v>
      </c>
      <c r="X61" s="493">
        <v>-966</v>
      </c>
      <c r="Y61" s="493">
        <v>180</v>
      </c>
      <c r="Z61" s="493">
        <v>88.760037144837327</v>
      </c>
      <c r="AA61" s="493"/>
      <c r="AB61" s="105">
        <f>+W61-Y61-Z61-X61</f>
        <v>-0.10889023274762621</v>
      </c>
    </row>
    <row r="62" spans="1:28" x14ac:dyDescent="0.3">
      <c r="A62" s="292" t="s">
        <v>75</v>
      </c>
      <c r="B62" s="495">
        <v>-9.945895665293417</v>
      </c>
      <c r="C62" s="495">
        <v>-14.54630544957892</v>
      </c>
      <c r="D62" s="495">
        <v>4.3597875673948714</v>
      </c>
      <c r="E62" s="495">
        <v>-4.0667949101359966</v>
      </c>
      <c r="F62" s="495">
        <v>-0.61438498918073137</v>
      </c>
      <c r="G62" s="495">
        <v>3.9820525825195645</v>
      </c>
      <c r="H62" s="495">
        <v>2.9239594922670982</v>
      </c>
      <c r="I62" s="495">
        <v>3.2970792826428337</v>
      </c>
      <c r="J62" s="495">
        <v>4.7507016310997869</v>
      </c>
      <c r="K62" s="495">
        <v>2.0308928803240036</v>
      </c>
      <c r="L62" s="495">
        <v>-3.0986576671457726</v>
      </c>
      <c r="M62" s="495">
        <v>-1.2702521009590839</v>
      </c>
      <c r="N62" s="496">
        <v>-12.197817346045763</v>
      </c>
      <c r="O62" s="483"/>
      <c r="P62" s="496">
        <v>-20.132413547477466</v>
      </c>
      <c r="Q62" s="495">
        <v>-11</v>
      </c>
      <c r="R62" s="495">
        <v>-10.600000000000001</v>
      </c>
      <c r="S62" s="495">
        <v>1.9177415047775033</v>
      </c>
      <c r="T62" s="495"/>
      <c r="U62" s="105"/>
      <c r="W62" s="496">
        <v>7.9345962014317024</v>
      </c>
      <c r="X62" s="495">
        <v>-0.11747791272417274</v>
      </c>
      <c r="Y62" s="495">
        <v>-0.39234793005693491</v>
      </c>
      <c r="Z62" s="495">
        <v>8.4444220442128106</v>
      </c>
      <c r="AA62" s="495"/>
      <c r="AB62" s="105">
        <f t="shared" ref="AB62:AB89" si="38">+W62-Y62-Z62-X62</f>
        <v>0</v>
      </c>
    </row>
    <row r="63" spans="1:28" x14ac:dyDescent="0.3">
      <c r="A63" s="292" t="s">
        <v>141</v>
      </c>
      <c r="B63" s="495">
        <v>-1.8356719955925378</v>
      </c>
      <c r="C63" s="495">
        <v>-1.7736303713014188</v>
      </c>
      <c r="D63" s="495">
        <v>1.8466906167433788</v>
      </c>
      <c r="E63" s="495">
        <v>-0.38814934237065302</v>
      </c>
      <c r="F63" s="495">
        <v>0.16803697554466979</v>
      </c>
      <c r="G63" s="495">
        <v>-0.51765643503748748</v>
      </c>
      <c r="H63" s="495">
        <v>-0.71798993528177668</v>
      </c>
      <c r="I63" s="495">
        <v>-0.45199035418788647</v>
      </c>
      <c r="J63" s="495">
        <v>-1.0025602776445908</v>
      </c>
      <c r="K63" s="495">
        <v>-7.5776673913908965E-2</v>
      </c>
      <c r="L63" s="495">
        <v>-0.84809090742866644</v>
      </c>
      <c r="M63" s="495">
        <v>1.4901630160931862</v>
      </c>
      <c r="N63" s="496">
        <v>-4.1066256843776916</v>
      </c>
      <c r="O63" s="483"/>
      <c r="P63" s="496">
        <v>-1.7626117501505778</v>
      </c>
      <c r="Q63" s="495">
        <v>-3</v>
      </c>
      <c r="R63" s="495"/>
      <c r="S63" s="495">
        <v>1.1044312624262482</v>
      </c>
      <c r="T63" s="495"/>
      <c r="U63" s="105"/>
      <c r="W63" s="496">
        <v>-2.3440139342271138</v>
      </c>
      <c r="X63" s="495">
        <v>-6.1316542274792969</v>
      </c>
      <c r="Y63" s="495">
        <v>0</v>
      </c>
      <c r="Z63" s="495">
        <v>3.7876402932521831</v>
      </c>
      <c r="AA63" s="495"/>
      <c r="AB63" s="105">
        <f t="shared" si="38"/>
        <v>0</v>
      </c>
    </row>
    <row r="64" spans="1:28" x14ac:dyDescent="0.3">
      <c r="A64" s="4" t="s">
        <v>79</v>
      </c>
      <c r="B64" s="497">
        <v>-7.9309363303276967</v>
      </c>
      <c r="C64" s="497">
        <v>9.4188784178817713</v>
      </c>
      <c r="D64" s="497">
        <v>51.048083335420749</v>
      </c>
      <c r="E64" s="497">
        <v>-99.561012080619477</v>
      </c>
      <c r="F64" s="497">
        <v>-126.74706673988617</v>
      </c>
      <c r="G64" s="497">
        <v>-109.50461302450509</v>
      </c>
      <c r="H64" s="497">
        <v>-83.170861347681367</v>
      </c>
      <c r="I64" s="497">
        <v>-115.01816305802232</v>
      </c>
      <c r="J64" s="497">
        <v>-50.911500269582575</v>
      </c>
      <c r="K64" s="497">
        <v>-37.598315660936549</v>
      </c>
      <c r="L64" s="497">
        <v>-30.541552095373302</v>
      </c>
      <c r="M64" s="497">
        <v>-38.705186544099028</v>
      </c>
      <c r="N64" s="497">
        <v>-639.22224539773106</v>
      </c>
      <c r="O64" s="483"/>
      <c r="P64" s="497">
        <v>52.536025422974809</v>
      </c>
      <c r="Q64" s="497">
        <v>-113</v>
      </c>
      <c r="R64" s="497">
        <v>68.900000000000006</v>
      </c>
      <c r="S64" s="497">
        <v>97.008454190794225</v>
      </c>
      <c r="T64" s="497">
        <v>0</v>
      </c>
      <c r="U64" s="105"/>
      <c r="W64" s="497">
        <v>-691.75827082070566</v>
      </c>
      <c r="X64" s="497">
        <v>-972.24913214020353</v>
      </c>
      <c r="Y64" s="497">
        <v>179.60765206994307</v>
      </c>
      <c r="Z64" s="497">
        <v>100.99209948230232</v>
      </c>
      <c r="AA64" s="497">
        <v>0</v>
      </c>
      <c r="AB64" s="105">
        <f t="shared" si="38"/>
        <v>-0.10889023274762621</v>
      </c>
    </row>
    <row r="65" spans="1:28" x14ac:dyDescent="0.3">
      <c r="A65" s="292" t="s">
        <v>80</v>
      </c>
      <c r="B65" s="495">
        <v>41.768166511777196</v>
      </c>
      <c r="C65" s="495">
        <v>2.8140731883988792</v>
      </c>
      <c r="D65" s="495">
        <v>-22.465181005166755</v>
      </c>
      <c r="E65" s="495">
        <v>22.864650915571644</v>
      </c>
      <c r="F65" s="495">
        <v>22.166578419882569</v>
      </c>
      <c r="G65" s="495">
        <v>20.09604414960981</v>
      </c>
      <c r="H65" s="495">
        <v>6.8413475025347736</v>
      </c>
      <c r="I65" s="495">
        <v>15.287247960208049</v>
      </c>
      <c r="J65" s="495">
        <v>-5.0910202885132207</v>
      </c>
      <c r="K65" s="495">
        <v>-4.8678197129225111</v>
      </c>
      <c r="L65" s="495">
        <v>-4.1021785731533953</v>
      </c>
      <c r="M65" s="495">
        <v>-13.492242253162772</v>
      </c>
      <c r="N65" s="496">
        <v>81.819666815064267</v>
      </c>
      <c r="O65" s="483"/>
      <c r="P65" s="496">
        <v>22.11705869500932</v>
      </c>
      <c r="Q65" s="495">
        <v>-15.682941304990678</v>
      </c>
      <c r="R65" s="495">
        <v>28.86</v>
      </c>
      <c r="S65" s="495">
        <v>8.94</v>
      </c>
      <c r="T65" s="495"/>
      <c r="U65" s="105"/>
      <c r="W65" s="496">
        <v>59.702608120054947</v>
      </c>
      <c r="X65" s="495">
        <v>-3.9917975304501851</v>
      </c>
      <c r="Y65" s="495">
        <v>-0.47815850382465896</v>
      </c>
      <c r="Z65" s="495">
        <v>64.172564154329791</v>
      </c>
      <c r="AA65" s="495"/>
      <c r="AB65" s="105">
        <f t="shared" si="38"/>
        <v>0</v>
      </c>
    </row>
    <row r="66" spans="1:28" x14ac:dyDescent="0.3">
      <c r="A66" s="292" t="s">
        <v>81</v>
      </c>
      <c r="B66" s="495">
        <v>8.5898946241478029</v>
      </c>
      <c r="C66" s="495">
        <v>-1.9189555897595199</v>
      </c>
      <c r="D66" s="495">
        <v>1.7958045431961978</v>
      </c>
      <c r="E66" s="495">
        <v>5.4964200236934602</v>
      </c>
      <c r="F66" s="495">
        <v>4.9219114070951093</v>
      </c>
      <c r="G66" s="495">
        <v>3.9188705415566432</v>
      </c>
      <c r="H66" s="495">
        <v>2.7875778001902205</v>
      </c>
      <c r="I66" s="495">
        <v>2.4243391140921631</v>
      </c>
      <c r="J66" s="495">
        <v>1.7268747380297071</v>
      </c>
      <c r="K66" s="495">
        <v>1.8739361374238399</v>
      </c>
      <c r="L66" s="495">
        <v>2.1194734700519717</v>
      </c>
      <c r="M66" s="495">
        <v>2.3775588572017909</v>
      </c>
      <c r="N66" s="496">
        <v>36.113705666919387</v>
      </c>
      <c r="O66" s="483"/>
      <c r="P66" s="496">
        <v>8.4667435775844808</v>
      </c>
      <c r="Q66" s="495">
        <v>-7.9471809617686446</v>
      </c>
      <c r="R66" s="495">
        <v>9.4700000000000006</v>
      </c>
      <c r="S66" s="495">
        <v>6.9439245393531266</v>
      </c>
      <c r="T66" s="495"/>
      <c r="U66" s="105"/>
      <c r="W66" s="496">
        <v>27.646962089334906</v>
      </c>
      <c r="X66" s="495">
        <v>3.907985046680551E-14</v>
      </c>
      <c r="Y66" s="495">
        <v>-1.1444339318918637</v>
      </c>
      <c r="Z66" s="495">
        <v>28.791396021226731</v>
      </c>
      <c r="AA66" s="495"/>
      <c r="AB66" s="105">
        <f t="shared" si="38"/>
        <v>0</v>
      </c>
    </row>
    <row r="67" spans="1:28" x14ac:dyDescent="0.3">
      <c r="A67" s="292" t="s">
        <v>82</v>
      </c>
      <c r="B67" s="495">
        <v>-18.928770547539955</v>
      </c>
      <c r="C67" s="495">
        <v>67.511113790441613</v>
      </c>
      <c r="D67" s="495">
        <v>-46.719596456877753</v>
      </c>
      <c r="E67" s="495">
        <v>11.948285343290792</v>
      </c>
      <c r="F67" s="495">
        <v>12.322496896880494</v>
      </c>
      <c r="G67" s="495">
        <v>10.403002689291242</v>
      </c>
      <c r="H67" s="495">
        <v>8.3553774478371565</v>
      </c>
      <c r="I67" s="495">
        <v>14.451620972250538</v>
      </c>
      <c r="J67" s="495">
        <v>-5.3285072448227595</v>
      </c>
      <c r="K67" s="495">
        <v>-6.1094522048912552</v>
      </c>
      <c r="L67" s="495">
        <v>-0.32784817883396045</v>
      </c>
      <c r="M67" s="495">
        <v>-7.2091153860642407</v>
      </c>
      <c r="N67" s="496">
        <v>40.368607120961912</v>
      </c>
      <c r="O67" s="483"/>
      <c r="P67" s="496">
        <v>1.8627467860239051</v>
      </c>
      <c r="Q67" s="495">
        <v>-18.27587492303757</v>
      </c>
      <c r="R67" s="495">
        <v>9.6</v>
      </c>
      <c r="S67" s="495">
        <v>10.538621709061475</v>
      </c>
      <c r="T67" s="495"/>
      <c r="U67" s="105"/>
      <c r="W67" s="496">
        <v>38.505860334938006</v>
      </c>
      <c r="X67" s="495">
        <v>-18.37719449624224</v>
      </c>
      <c r="Y67" s="495">
        <v>7.6733404342052562</v>
      </c>
      <c r="Z67" s="495">
        <v>49.209714396974988</v>
      </c>
      <c r="AA67" s="495"/>
      <c r="AB67" s="105">
        <f t="shared" si="38"/>
        <v>0</v>
      </c>
    </row>
    <row r="68" spans="1:28" x14ac:dyDescent="0.3">
      <c r="A68" s="292" t="s">
        <v>83</v>
      </c>
      <c r="B68" s="495">
        <v>-0.71595999999999993</v>
      </c>
      <c r="C68" s="495">
        <v>-1.9222900000000003</v>
      </c>
      <c r="D68" s="495">
        <v>-2.4577300000000002</v>
      </c>
      <c r="E68" s="495">
        <v>0.45654332007254794</v>
      </c>
      <c r="F68" s="495">
        <v>3.6335637902753959E-2</v>
      </c>
      <c r="G68" s="495">
        <v>0.84790202070147913</v>
      </c>
      <c r="H68" s="495">
        <v>0.27425318362582907</v>
      </c>
      <c r="I68" s="495">
        <v>1.1750566193104657</v>
      </c>
      <c r="J68" s="495">
        <v>9.9471417262670059E-2</v>
      </c>
      <c r="K68" s="495">
        <v>0.91008556727693612</v>
      </c>
      <c r="L68" s="495">
        <v>0.2127390584133968</v>
      </c>
      <c r="M68" s="495">
        <v>0.89625780204287597</v>
      </c>
      <c r="N68" s="496">
        <v>-0.18733537339104611</v>
      </c>
      <c r="O68" s="483"/>
      <c r="P68" s="496">
        <v>-5.0959800000000008</v>
      </c>
      <c r="Q68" s="495">
        <v>-2.8760311749788392</v>
      </c>
      <c r="R68" s="495">
        <v>-2.2800000000000002</v>
      </c>
      <c r="S68" s="495">
        <v>6.0051174978838391E-2</v>
      </c>
      <c r="T68" s="495"/>
      <c r="U68" s="105"/>
      <c r="W68" s="496">
        <v>4.9086446266089547</v>
      </c>
      <c r="X68" s="495">
        <v>2.5352752980021522</v>
      </c>
      <c r="Y68" s="495">
        <v>0.83950636349884067</v>
      </c>
      <c r="Z68" s="495">
        <v>1.5338629651079621</v>
      </c>
      <c r="AA68" s="495"/>
      <c r="AB68" s="105">
        <f t="shared" si="38"/>
        <v>0</v>
      </c>
    </row>
    <row r="69" spans="1:28" x14ac:dyDescent="0.3">
      <c r="A69" s="292" t="s">
        <v>84</v>
      </c>
      <c r="B69" s="495">
        <v>3.4758806587722972</v>
      </c>
      <c r="C69" s="495">
        <v>-7.5784653888396747</v>
      </c>
      <c r="D69" s="495">
        <v>-8.3359835219231684</v>
      </c>
      <c r="E69" s="495">
        <v>-2.9647073620695608</v>
      </c>
      <c r="F69" s="495">
        <v>4.565570867726791</v>
      </c>
      <c r="G69" s="495">
        <v>4.4640845298263798</v>
      </c>
      <c r="H69" s="495">
        <v>-2.7993260468890782</v>
      </c>
      <c r="I69" s="495">
        <v>-2.7652044115963719</v>
      </c>
      <c r="J69" s="495">
        <v>-2.731353582932897</v>
      </c>
      <c r="K69" s="495">
        <v>5.1724215401152094</v>
      </c>
      <c r="L69" s="495">
        <v>5.2439450025701859</v>
      </c>
      <c r="M69" s="495">
        <v>5.3142383317642867</v>
      </c>
      <c r="N69" s="496">
        <v>1.0611006165243992</v>
      </c>
      <c r="O69" s="483"/>
      <c r="P69" s="496">
        <v>-12.438568251990546</v>
      </c>
      <c r="Q69" s="495">
        <v>-12.624664578176237</v>
      </c>
      <c r="R69" s="495"/>
      <c r="S69" s="495">
        <v>0.1860963261856905</v>
      </c>
      <c r="T69" s="495"/>
      <c r="U69" s="105"/>
      <c r="W69" s="496">
        <v>13.499668868514945</v>
      </c>
      <c r="X69" s="495">
        <v>1.7595209758859625</v>
      </c>
      <c r="Y69" s="495">
        <v>0</v>
      </c>
      <c r="Z69" s="495">
        <v>11.740147892628983</v>
      </c>
      <c r="AA69" s="495"/>
      <c r="AB69" s="105">
        <f t="shared" si="38"/>
        <v>0</v>
      </c>
    </row>
    <row r="70" spans="1:28" x14ac:dyDescent="0.3">
      <c r="A70" s="292" t="s">
        <v>86</v>
      </c>
      <c r="B70" s="495">
        <v>9.5564881465310805</v>
      </c>
      <c r="C70" s="495">
        <v>8.4431558840506682</v>
      </c>
      <c r="D70" s="495">
        <v>10.670501336242751</v>
      </c>
      <c r="E70" s="495">
        <v>12.923707453229724</v>
      </c>
      <c r="F70" s="495">
        <v>14.118416925674069</v>
      </c>
      <c r="G70" s="495">
        <v>11.595915307392261</v>
      </c>
      <c r="H70" s="495">
        <v>-6.1773746125263074</v>
      </c>
      <c r="I70" s="495">
        <v>-7.7146608476930396</v>
      </c>
      <c r="J70" s="495">
        <v>-9.0824002428123549</v>
      </c>
      <c r="K70" s="495">
        <v>-11.004024473807135</v>
      </c>
      <c r="L70" s="495">
        <v>-14.272168709859329</v>
      </c>
      <c r="M70" s="495">
        <v>-23.422964957253214</v>
      </c>
      <c r="N70" s="496">
        <v>-4.365408790830827</v>
      </c>
      <c r="O70" s="483"/>
      <c r="P70" s="496">
        <v>28.670145366824499</v>
      </c>
      <c r="Q70" s="495">
        <v>1.4536682449772798E-4</v>
      </c>
      <c r="R70" s="495"/>
      <c r="S70" s="495">
        <v>28.67</v>
      </c>
      <c r="T70" s="495"/>
      <c r="U70" s="105"/>
      <c r="W70" s="496">
        <v>-33.035554157655326</v>
      </c>
      <c r="X70" s="495">
        <v>-33</v>
      </c>
      <c r="Y70" s="495">
        <v>0</v>
      </c>
      <c r="Z70" s="495"/>
      <c r="AA70" s="495"/>
      <c r="AB70" s="105">
        <f t="shared" si="38"/>
        <v>-3.5554157655326435E-2</v>
      </c>
    </row>
    <row r="71" spans="1:28" x14ac:dyDescent="0.3">
      <c r="A71" s="4" t="s">
        <v>87</v>
      </c>
      <c r="B71" s="497">
        <v>43.745699393688426</v>
      </c>
      <c r="C71" s="497">
        <v>67.348631884291962</v>
      </c>
      <c r="D71" s="497">
        <v>-67.512185104528726</v>
      </c>
      <c r="E71" s="497">
        <v>50.724899693788608</v>
      </c>
      <c r="F71" s="497">
        <v>58.131310155161785</v>
      </c>
      <c r="G71" s="497">
        <v>51.325819238377818</v>
      </c>
      <c r="H71" s="497">
        <v>9.281855274772596</v>
      </c>
      <c r="I71" s="497">
        <v>22.858399406571806</v>
      </c>
      <c r="J71" s="497">
        <v>-20.406935203788855</v>
      </c>
      <c r="K71" s="497">
        <v>-14.024853146804915</v>
      </c>
      <c r="L71" s="497">
        <v>-11.12603793081113</v>
      </c>
      <c r="M71" s="497">
        <v>-35.536267605471274</v>
      </c>
      <c r="N71" s="497">
        <v>154.81033605524806</v>
      </c>
      <c r="O71" s="483"/>
      <c r="P71" s="497">
        <v>43.582146173451662</v>
      </c>
      <c r="Q71" s="497">
        <v>-57.406547576127473</v>
      </c>
      <c r="R71" s="497">
        <v>45.65</v>
      </c>
      <c r="S71" s="497">
        <v>55.338693749579136</v>
      </c>
      <c r="T71" s="497">
        <v>0</v>
      </c>
      <c r="U71" s="105"/>
      <c r="W71" s="497">
        <v>111.22818988179642</v>
      </c>
      <c r="X71" s="497">
        <v>-51.074195752804272</v>
      </c>
      <c r="Y71" s="497">
        <v>6.8902543619875747</v>
      </c>
      <c r="Z71" s="497">
        <v>155.44768543026848</v>
      </c>
      <c r="AA71" s="497">
        <v>0</v>
      </c>
      <c r="AB71" s="105">
        <f t="shared" si="38"/>
        <v>-3.5554157655354857E-2</v>
      </c>
    </row>
    <row r="72" spans="1:28" x14ac:dyDescent="0.3">
      <c r="A72" s="5" t="s">
        <v>88</v>
      </c>
      <c r="B72" s="58">
        <v>35.814763063360729</v>
      </c>
      <c r="C72" s="58">
        <v>76.767510302173733</v>
      </c>
      <c r="D72" s="58">
        <v>-16.464101769107977</v>
      </c>
      <c r="E72" s="58">
        <v>-48.83611238683087</v>
      </c>
      <c r="F72" s="58">
        <v>-68.61575658472438</v>
      </c>
      <c r="G72" s="58">
        <v>-58.178793786127272</v>
      </c>
      <c r="H72" s="58">
        <v>-73.889006072908771</v>
      </c>
      <c r="I72" s="58">
        <v>-92.159763651450518</v>
      </c>
      <c r="J72" s="58">
        <v>-71.318435473371437</v>
      </c>
      <c r="K72" s="58">
        <v>-51.623168807741465</v>
      </c>
      <c r="L72" s="58">
        <v>-41.667590026184428</v>
      </c>
      <c r="M72" s="58">
        <v>-74.241454149570302</v>
      </c>
      <c r="N72" s="58">
        <v>-484.411909342483</v>
      </c>
      <c r="O72" s="483"/>
      <c r="P72" s="58">
        <v>96.118171596426464</v>
      </c>
      <c r="Q72" s="58">
        <v>-170.40654757612748</v>
      </c>
      <c r="R72" s="58">
        <v>114.55000000000001</v>
      </c>
      <c r="S72" s="58">
        <v>152.34714794037336</v>
      </c>
      <c r="T72" s="58">
        <v>0</v>
      </c>
      <c r="U72" s="105"/>
      <c r="W72" s="58">
        <v>-580.53008093890924</v>
      </c>
      <c r="X72" s="58">
        <v>-1023.3233278930078</v>
      </c>
      <c r="Y72" s="58">
        <v>186.49790643193066</v>
      </c>
      <c r="Z72" s="58">
        <v>256.43978491257081</v>
      </c>
      <c r="AA72" s="58">
        <v>0</v>
      </c>
      <c r="AB72" s="105">
        <f t="shared" si="38"/>
        <v>-0.14444439040300949</v>
      </c>
    </row>
    <row r="73" spans="1:28" x14ac:dyDescent="0.3">
      <c r="A73" s="292" t="s">
        <v>89</v>
      </c>
      <c r="B73" s="495">
        <v>-3.8459299443241335</v>
      </c>
      <c r="C73" s="495">
        <v>-6.2792948459896962</v>
      </c>
      <c r="D73" s="495">
        <v>14.301274567969617</v>
      </c>
      <c r="E73" s="495">
        <v>-3.2482617601871411</v>
      </c>
      <c r="F73" s="495">
        <v>-3.4876972666945285</v>
      </c>
      <c r="G73" s="495">
        <v>-3.3967738083177323</v>
      </c>
      <c r="H73" s="495">
        <v>-3.3459233064792571</v>
      </c>
      <c r="I73" s="495">
        <v>-3.4025063078792357</v>
      </c>
      <c r="J73" s="495">
        <v>-3.6233221709033181</v>
      </c>
      <c r="K73" s="495">
        <v>-2.848094627803512</v>
      </c>
      <c r="L73" s="495">
        <v>-2.7985247566111013</v>
      </c>
      <c r="M73" s="495">
        <v>-2.8504402239175555</v>
      </c>
      <c r="N73" s="496">
        <v>-24.825494451137594</v>
      </c>
      <c r="O73" s="483"/>
      <c r="P73" s="496">
        <v>4.1760497776557877</v>
      </c>
      <c r="Q73" s="495">
        <v>4.1760497776557877</v>
      </c>
      <c r="R73" s="495"/>
      <c r="S73" s="495"/>
      <c r="T73" s="495"/>
      <c r="U73" s="105"/>
      <c r="W73" s="496">
        <v>-29.001544228793382</v>
      </c>
      <c r="X73" s="495">
        <v>-33.576752142508894</v>
      </c>
      <c r="Y73" s="495">
        <v>0</v>
      </c>
      <c r="Z73" s="495">
        <v>4.5752079137155128</v>
      </c>
      <c r="AA73" s="495"/>
      <c r="AB73" s="105">
        <f t="shared" si="38"/>
        <v>0</v>
      </c>
    </row>
    <row r="74" spans="1:28" x14ac:dyDescent="0.3">
      <c r="A74" s="5" t="s">
        <v>90</v>
      </c>
      <c r="B74" s="58">
        <v>31.968833119036596</v>
      </c>
      <c r="C74" s="58">
        <v>70.488215456184037</v>
      </c>
      <c r="D74" s="58">
        <v>-2.1628272011383594</v>
      </c>
      <c r="E74" s="58">
        <v>-52.084374147018011</v>
      </c>
      <c r="F74" s="58">
        <v>-72.103453851418905</v>
      </c>
      <c r="G74" s="58">
        <v>-61.575567594445005</v>
      </c>
      <c r="H74" s="58">
        <v>-77.234929379388035</v>
      </c>
      <c r="I74" s="58">
        <v>-95.562269959329754</v>
      </c>
      <c r="J74" s="58">
        <v>-74.941757644274759</v>
      </c>
      <c r="K74" s="58">
        <v>-54.471263435544977</v>
      </c>
      <c r="L74" s="58">
        <v>-44.466114782795529</v>
      </c>
      <c r="M74" s="58">
        <v>-77.091894373487861</v>
      </c>
      <c r="N74" s="58">
        <v>-509.23740379362062</v>
      </c>
      <c r="O74" s="483"/>
      <c r="P74" s="58">
        <v>100.29422137408226</v>
      </c>
      <c r="Q74" s="58">
        <v>-166.2304977984717</v>
      </c>
      <c r="R74" s="58">
        <v>114.55000000000001</v>
      </c>
      <c r="S74" s="58">
        <v>152.34714794037336</v>
      </c>
      <c r="T74" s="58">
        <v>0</v>
      </c>
      <c r="U74" s="105"/>
      <c r="W74" s="58">
        <v>-609.5316251677026</v>
      </c>
      <c r="X74" s="58">
        <v>-1056.9000800355166</v>
      </c>
      <c r="Y74" s="58">
        <v>186.49790643193066</v>
      </c>
      <c r="Z74" s="58">
        <v>261.01499282628635</v>
      </c>
      <c r="AA74" s="58">
        <v>0</v>
      </c>
      <c r="AB74" s="105">
        <f t="shared" si="38"/>
        <v>-0.14444439040312318</v>
      </c>
    </row>
    <row r="75" spans="1:28" x14ac:dyDescent="0.3">
      <c r="A75" s="423" t="s">
        <v>91</v>
      </c>
      <c r="B75" s="652">
        <v>-22.785653979865913</v>
      </c>
      <c r="C75" s="652">
        <v>-20.524111717384415</v>
      </c>
      <c r="D75" s="652">
        <v>-27.34751383624473</v>
      </c>
      <c r="E75" s="652">
        <v>-24.743861215786012</v>
      </c>
      <c r="F75" s="652">
        <v>-24.006314699873201</v>
      </c>
      <c r="G75" s="652">
        <v>-21.88848719141015</v>
      </c>
      <c r="H75" s="652">
        <v>-21.284226540035831</v>
      </c>
      <c r="I75" s="652">
        <v>-20.012061340484479</v>
      </c>
      <c r="J75" s="652">
        <v>-18.144483562947585</v>
      </c>
      <c r="K75" s="652">
        <v>-19.082800012087318</v>
      </c>
      <c r="L75" s="652">
        <v>-18.221780325123859</v>
      </c>
      <c r="M75" s="652">
        <v>-19.190368289503397</v>
      </c>
      <c r="N75" s="652">
        <v>-257.23166271074689</v>
      </c>
      <c r="O75" s="483"/>
      <c r="P75" s="518">
        <v>-70.657279533495057</v>
      </c>
      <c r="Q75" s="652"/>
      <c r="R75" s="652"/>
      <c r="S75" s="652">
        <v>-70.657279533495057</v>
      </c>
      <c r="T75" s="652"/>
      <c r="U75" s="105"/>
      <c r="W75" s="652">
        <v>-186.57438317725183</v>
      </c>
      <c r="X75" s="652"/>
      <c r="Y75" s="652"/>
      <c r="Z75" s="652">
        <v>-186.57438317725183</v>
      </c>
      <c r="AA75" s="652"/>
      <c r="AB75" s="105">
        <f t="shared" si="38"/>
        <v>0</v>
      </c>
    </row>
    <row r="76" spans="1:28" x14ac:dyDescent="0.3">
      <c r="A76" s="426" t="s">
        <v>92</v>
      </c>
      <c r="B76" s="516">
        <v>9.183179139170683</v>
      </c>
      <c r="C76" s="516">
        <v>49.964103738799622</v>
      </c>
      <c r="D76" s="516">
        <v>-29.510341037383089</v>
      </c>
      <c r="E76" s="516">
        <v>-76.828235362804023</v>
      </c>
      <c r="F76" s="516">
        <v>-96.109768551292106</v>
      </c>
      <c r="G76" s="516">
        <v>-83.464054785855154</v>
      </c>
      <c r="H76" s="516">
        <v>-98.519155919423866</v>
      </c>
      <c r="I76" s="516">
        <v>-115.57433129981423</v>
      </c>
      <c r="J76" s="516">
        <v>-93.086241207222344</v>
      </c>
      <c r="K76" s="516">
        <v>-73.554063447632302</v>
      </c>
      <c r="L76" s="516">
        <v>-62.687895107919388</v>
      </c>
      <c r="M76" s="516">
        <v>-96.282262662991258</v>
      </c>
      <c r="N76" s="516">
        <v>-766.46906650436745</v>
      </c>
      <c r="O76" s="483"/>
      <c r="P76" s="58">
        <v>29.636941840587198</v>
      </c>
      <c r="Q76" s="58">
        <v>-166.2304977984717</v>
      </c>
      <c r="R76" s="58">
        <v>114.55000000000001</v>
      </c>
      <c r="S76" s="58">
        <v>81.689868406878304</v>
      </c>
      <c r="T76" s="58">
        <v>0</v>
      </c>
      <c r="U76" s="105"/>
      <c r="W76" s="516">
        <v>-796.10600834495449</v>
      </c>
      <c r="X76" s="516">
        <v>-1056.9000800355166</v>
      </c>
      <c r="Y76" s="516">
        <v>186.49790643193066</v>
      </c>
      <c r="Z76" s="516">
        <v>74.440609649034513</v>
      </c>
      <c r="AA76" s="516">
        <v>0</v>
      </c>
      <c r="AB76" s="105">
        <f t="shared" si="38"/>
        <v>-0.14444439040312318</v>
      </c>
    </row>
    <row r="77" spans="1:28" x14ac:dyDescent="0.3">
      <c r="A77" s="51"/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498"/>
      <c r="O77" s="483"/>
      <c r="P77" s="498"/>
      <c r="Q77" s="204"/>
      <c r="R77" s="204"/>
      <c r="S77" s="204"/>
      <c r="T77" s="204"/>
      <c r="U77" s="105"/>
      <c r="W77" s="498"/>
      <c r="X77" s="204"/>
      <c r="Y77" s="204"/>
      <c r="Z77" s="204"/>
      <c r="AA77" s="204"/>
      <c r="AB77" s="105"/>
    </row>
    <row r="78" spans="1:28" x14ac:dyDescent="0.3">
      <c r="A78" s="291" t="s">
        <v>76</v>
      </c>
      <c r="B78" s="493">
        <v>-6.3537157323029128</v>
      </c>
      <c r="C78" s="493">
        <v>-7.9342843849887288</v>
      </c>
      <c r="D78" s="493">
        <v>-3.8912386850887462</v>
      </c>
      <c r="E78" s="493">
        <v>2.3792876144758148</v>
      </c>
      <c r="F78" s="493">
        <v>1.3809287727398836</v>
      </c>
      <c r="G78" s="493">
        <v>2.4526204078658145</v>
      </c>
      <c r="H78" s="493">
        <v>1.5886145123389639</v>
      </c>
      <c r="I78" s="493">
        <v>1.188973178532609</v>
      </c>
      <c r="J78" s="493">
        <v>1.569111816425</v>
      </c>
      <c r="K78" s="493">
        <v>2.2734102953954567</v>
      </c>
      <c r="L78" s="493">
        <v>1.5918948185582096</v>
      </c>
      <c r="M78" s="493">
        <v>1.8075563992126753</v>
      </c>
      <c r="N78" s="493">
        <v>-1.9468409868359631</v>
      </c>
      <c r="O78" s="483"/>
      <c r="P78" s="494">
        <v>-18.179238802380389</v>
      </c>
      <c r="Q78" s="493">
        <v>-10.624825499028749</v>
      </c>
      <c r="R78" s="493">
        <v>-8.8390900000000006</v>
      </c>
      <c r="S78" s="493">
        <v>1.2846766966483594</v>
      </c>
      <c r="T78" s="493"/>
      <c r="U78" s="105"/>
      <c r="W78" s="494">
        <v>16.232397815544427</v>
      </c>
      <c r="X78" s="493">
        <v>16.232397815544427</v>
      </c>
      <c r="Y78" s="494">
        <v>0</v>
      </c>
      <c r="Z78" s="493">
        <v>0</v>
      </c>
      <c r="AA78" s="493"/>
      <c r="AB78" s="105">
        <f t="shared" si="38"/>
        <v>0</v>
      </c>
    </row>
    <row r="79" spans="1:28" x14ac:dyDescent="0.3">
      <c r="A79" s="292" t="s">
        <v>77</v>
      </c>
      <c r="B79" s="495">
        <v>-7.1277019298245534</v>
      </c>
      <c r="C79" s="495">
        <v>-12.295643333333317</v>
      </c>
      <c r="D79" s="495">
        <v>-7.3862921052631485</v>
      </c>
      <c r="E79" s="495">
        <v>1.0983414418465927</v>
      </c>
      <c r="F79" s="495">
        <v>0.6702233137406175</v>
      </c>
      <c r="G79" s="495">
        <v>1.063571617806268</v>
      </c>
      <c r="H79" s="495">
        <v>2.7242691861518082</v>
      </c>
      <c r="I79" s="495">
        <v>2.1286898555275258</v>
      </c>
      <c r="J79" s="495">
        <v>4.0980574574279771</v>
      </c>
      <c r="K79" s="495">
        <v>1.111462896626648</v>
      </c>
      <c r="L79" s="495">
        <v>2.899396137115545</v>
      </c>
      <c r="M79" s="495">
        <v>1.7437876825079925</v>
      </c>
      <c r="N79" s="496">
        <v>-9.2718377796700437</v>
      </c>
      <c r="O79" s="483"/>
      <c r="P79" s="496">
        <v>-26.809637368421019</v>
      </c>
      <c r="Q79" s="495">
        <v>1.0362631578981762E-2</v>
      </c>
      <c r="R79" s="495">
        <v>-20.92</v>
      </c>
      <c r="S79" s="495">
        <v>-5.9</v>
      </c>
      <c r="T79" s="495"/>
      <c r="U79" s="105"/>
      <c r="W79" s="496">
        <v>17.537799588750975</v>
      </c>
      <c r="X79" s="495">
        <v>-16.91937772166715</v>
      </c>
      <c r="Y79" s="496">
        <v>45.872671280329463</v>
      </c>
      <c r="Z79" s="495">
        <v>-11.415493969911338</v>
      </c>
      <c r="AA79" s="495"/>
      <c r="AB79" s="105">
        <f t="shared" si="38"/>
        <v>0</v>
      </c>
    </row>
    <row r="80" spans="1:28" x14ac:dyDescent="0.3">
      <c r="A80" s="292" t="s">
        <v>144</v>
      </c>
      <c r="B80" s="495">
        <v>-2.7324800000000007</v>
      </c>
      <c r="C80" s="495">
        <v>-0.15481999999999996</v>
      </c>
      <c r="D80" s="495">
        <v>-0.55567000000000011</v>
      </c>
      <c r="E80" s="495">
        <v>0</v>
      </c>
      <c r="F80" s="495">
        <v>0</v>
      </c>
      <c r="G80" s="495">
        <v>0</v>
      </c>
      <c r="H80" s="495">
        <v>0</v>
      </c>
      <c r="I80" s="495">
        <v>0</v>
      </c>
      <c r="J80" s="495">
        <v>0</v>
      </c>
      <c r="K80" s="495">
        <v>0</v>
      </c>
      <c r="L80" s="495">
        <v>0</v>
      </c>
      <c r="M80" s="495">
        <v>0</v>
      </c>
      <c r="N80" s="496">
        <v>-3.4429700000000008</v>
      </c>
      <c r="O80" s="483"/>
      <c r="P80" s="496">
        <v>-3.4429700000000008</v>
      </c>
      <c r="Q80" s="495">
        <v>-0.23297000000000079</v>
      </c>
      <c r="R80" s="495">
        <v>-3.21</v>
      </c>
      <c r="S80" s="495"/>
      <c r="T80" s="495"/>
      <c r="U80" s="105"/>
      <c r="W80" s="496">
        <v>0</v>
      </c>
      <c r="X80" s="495">
        <v>0</v>
      </c>
      <c r="Y80" s="496">
        <v>0</v>
      </c>
      <c r="Z80" s="495">
        <v>0</v>
      </c>
      <c r="AA80" s="495"/>
      <c r="AB80" s="105">
        <f t="shared" si="38"/>
        <v>0</v>
      </c>
    </row>
    <row r="81" spans="1:28" x14ac:dyDescent="0.3">
      <c r="A81" s="292" t="s">
        <v>85</v>
      </c>
      <c r="B81" s="495">
        <v>-35.068060000000003</v>
      </c>
      <c r="C81" s="495">
        <v>-3.9061899999999996</v>
      </c>
      <c r="D81" s="495">
        <v>191.17382999999998</v>
      </c>
      <c r="E81" s="495">
        <v>-174.74924000000001</v>
      </c>
      <c r="F81" s="495">
        <v>0.44122411542035778</v>
      </c>
      <c r="G81" s="495">
        <v>0.31647696100527867</v>
      </c>
      <c r="H81" s="495">
        <v>0.25047317560047411</v>
      </c>
      <c r="I81" s="495">
        <v>0.18499322976237664</v>
      </c>
      <c r="J81" s="495">
        <v>0.12003296603410263</v>
      </c>
      <c r="K81" s="495">
        <v>-1.9623620605304204E-2</v>
      </c>
      <c r="L81" s="495">
        <v>-0.15687825120914578</v>
      </c>
      <c r="M81" s="495">
        <v>-0.29177223706058619</v>
      </c>
      <c r="N81" s="496">
        <v>-21.704733661052494</v>
      </c>
      <c r="O81" s="483"/>
      <c r="P81" s="496">
        <v>152.19957999999997</v>
      </c>
      <c r="Q81" s="495">
        <v>152.19957999999997</v>
      </c>
      <c r="R81" s="495"/>
      <c r="S81" s="495"/>
      <c r="T81" s="495"/>
      <c r="U81" s="105"/>
      <c r="W81" s="496">
        <v>-173.90431366105247</v>
      </c>
      <c r="X81" s="495">
        <v>-173.90431366105247</v>
      </c>
      <c r="Y81" s="496">
        <v>0</v>
      </c>
      <c r="Z81" s="495">
        <v>0</v>
      </c>
      <c r="AA81" s="495"/>
      <c r="AB81" s="105">
        <f t="shared" si="38"/>
        <v>0</v>
      </c>
    </row>
    <row r="82" spans="1:28" x14ac:dyDescent="0.3">
      <c r="A82" s="306" t="s">
        <v>145</v>
      </c>
      <c r="B82" s="499">
        <v>0</v>
      </c>
      <c r="C82" s="499">
        <v>0</v>
      </c>
      <c r="D82" s="499">
        <v>0</v>
      </c>
      <c r="E82" s="499">
        <v>0</v>
      </c>
      <c r="F82" s="499">
        <v>0</v>
      </c>
      <c r="G82" s="499">
        <v>0</v>
      </c>
      <c r="H82" s="499">
        <v>0</v>
      </c>
      <c r="I82" s="499">
        <v>0</v>
      </c>
      <c r="J82" s="499">
        <v>0</v>
      </c>
      <c r="K82" s="499">
        <v>0</v>
      </c>
      <c r="L82" s="499">
        <v>0</v>
      </c>
      <c r="M82" s="499">
        <v>0</v>
      </c>
      <c r="N82" s="500">
        <v>0</v>
      </c>
      <c r="O82" s="483"/>
      <c r="P82" s="500">
        <v>0</v>
      </c>
      <c r="Q82" s="499">
        <v>0</v>
      </c>
      <c r="R82" s="499"/>
      <c r="S82" s="499"/>
      <c r="T82" s="499"/>
      <c r="U82" s="105"/>
      <c r="W82" s="500">
        <v>0</v>
      </c>
      <c r="X82" s="499">
        <v>0</v>
      </c>
      <c r="Y82" s="500">
        <v>0</v>
      </c>
      <c r="Z82" s="499">
        <v>0</v>
      </c>
      <c r="AA82" s="499"/>
      <c r="AB82" s="105">
        <f t="shared" si="38"/>
        <v>0</v>
      </c>
    </row>
    <row r="83" spans="1:28" x14ac:dyDescent="0.3">
      <c r="A83" s="200" t="s">
        <v>146</v>
      </c>
      <c r="B83" s="201">
        <v>-51.281957662127468</v>
      </c>
      <c r="C83" s="201">
        <v>-24.290937718322045</v>
      </c>
      <c r="D83" s="201">
        <v>179.34062920964809</v>
      </c>
      <c r="E83" s="201">
        <v>-171.27161094367762</v>
      </c>
      <c r="F83" s="201">
        <v>2.4923762019008588</v>
      </c>
      <c r="G83" s="201">
        <v>3.8326689866773611</v>
      </c>
      <c r="H83" s="201">
        <v>4.5633568740912462</v>
      </c>
      <c r="I83" s="201">
        <v>3.5026562638225114</v>
      </c>
      <c r="J83" s="201">
        <v>5.7872022398870797</v>
      </c>
      <c r="K83" s="201">
        <v>3.3652495714168005</v>
      </c>
      <c r="L83" s="201">
        <v>4.3344127044646088</v>
      </c>
      <c r="M83" s="201">
        <v>3.2595718446600817</v>
      </c>
      <c r="N83" s="201">
        <v>-36.366382427558499</v>
      </c>
      <c r="O83" s="483"/>
      <c r="P83" s="201">
        <v>103.76773382919856</v>
      </c>
      <c r="Q83" s="201">
        <v>141.35214713255021</v>
      </c>
      <c r="R83" s="201">
        <v>-32.969090000000001</v>
      </c>
      <c r="S83" s="201">
        <v>-4.6153233033516408</v>
      </c>
      <c r="T83" s="201">
        <v>0</v>
      </c>
      <c r="U83" s="105"/>
      <c r="W83" s="201">
        <v>-140.13411625675707</v>
      </c>
      <c r="X83" s="201">
        <v>-174.5912935671752</v>
      </c>
      <c r="Y83" s="201">
        <v>45.872671280329463</v>
      </c>
      <c r="Z83" s="201">
        <v>-11.415493969911338</v>
      </c>
      <c r="AA83" s="201">
        <v>0</v>
      </c>
      <c r="AB83" s="105">
        <f t="shared" si="38"/>
        <v>0</v>
      </c>
    </row>
    <row r="84" spans="1:28" x14ac:dyDescent="0.3">
      <c r="A84" s="51"/>
      <c r="B84" s="204"/>
      <c r="C84" s="483"/>
      <c r="D84" s="483"/>
      <c r="E84" s="483"/>
      <c r="F84" s="483"/>
      <c r="G84" s="483"/>
      <c r="H84" s="483"/>
      <c r="I84" s="483"/>
      <c r="J84" s="483"/>
      <c r="K84" s="483"/>
      <c r="L84" s="483"/>
      <c r="M84" s="483"/>
      <c r="N84" s="488"/>
      <c r="O84" s="483"/>
      <c r="P84" s="488"/>
      <c r="Q84" s="483"/>
      <c r="R84" s="483"/>
      <c r="S84" s="483"/>
      <c r="T84" s="483"/>
      <c r="U84" s="105"/>
      <c r="W84" s="488"/>
      <c r="X84" s="483"/>
      <c r="Y84" s="483"/>
      <c r="Z84" s="483"/>
      <c r="AA84" s="483"/>
      <c r="AB84" s="105">
        <f t="shared" ref="AB84" si="39">+W84-Y84-Z84</f>
        <v>0</v>
      </c>
    </row>
    <row r="85" spans="1:28" x14ac:dyDescent="0.3">
      <c r="A85" s="2" t="s">
        <v>148</v>
      </c>
      <c r="B85" s="501">
        <v>-1.8068825000000146</v>
      </c>
      <c r="C85" s="501">
        <v>-1.2821025000000077</v>
      </c>
      <c r="D85" s="501">
        <v>-1.2821025000000077</v>
      </c>
      <c r="E85" s="501">
        <v>-1.3199509396599751E-7</v>
      </c>
      <c r="F85" s="501">
        <v>-1.3199509396599751E-7</v>
      </c>
      <c r="G85" s="501">
        <v>-1.3199509396599751E-7</v>
      </c>
      <c r="H85" s="501">
        <v>-1.3199509396599751E-7</v>
      </c>
      <c r="I85" s="501">
        <v>-1.3199509396599751E-7</v>
      </c>
      <c r="J85" s="501">
        <v>-1.3199509396599751E-7</v>
      </c>
      <c r="K85" s="501">
        <v>-1.3199509396599751E-7</v>
      </c>
      <c r="L85" s="501">
        <v>-1.3199509396599751E-7</v>
      </c>
      <c r="M85" s="501">
        <v>-1.3199509396599751E-7</v>
      </c>
      <c r="N85" s="501">
        <v>-4.3710886879558757</v>
      </c>
      <c r="O85" s="483"/>
      <c r="P85" s="502">
        <v>-4.37108750000003</v>
      </c>
      <c r="Q85" s="501"/>
      <c r="R85" s="501"/>
      <c r="S85" s="501">
        <v>-4.37</v>
      </c>
      <c r="T85" s="501"/>
      <c r="U85" s="105"/>
      <c r="W85" s="653">
        <v>-1.1879558456939776E-6</v>
      </c>
      <c r="X85" s="654">
        <v>-1.1879558456939776E-6</v>
      </c>
      <c r="Y85" s="655">
        <v>0</v>
      </c>
      <c r="Z85" s="654">
        <v>0</v>
      </c>
      <c r="AA85" s="654"/>
      <c r="AB85" s="105">
        <f t="shared" si="38"/>
        <v>0</v>
      </c>
    </row>
    <row r="86" spans="1:28" x14ac:dyDescent="0.3">
      <c r="A86" s="270" t="s">
        <v>149</v>
      </c>
      <c r="B86" s="501">
        <v>24.483647858819225</v>
      </c>
      <c r="C86" s="501">
        <v>-29.792662141180827</v>
      </c>
      <c r="D86" s="501">
        <v>-19.519552141180839</v>
      </c>
      <c r="E86" s="501">
        <v>10.894213178112409</v>
      </c>
      <c r="F86" s="501">
        <v>11.354977253169878</v>
      </c>
      <c r="G86" s="501">
        <v>9.7595040118369099</v>
      </c>
      <c r="H86" s="501">
        <v>9.2060062014953559</v>
      </c>
      <c r="I86" s="501">
        <v>8.5198018291286388</v>
      </c>
      <c r="J86" s="501">
        <v>12.863345592378479</v>
      </c>
      <c r="K86" s="501">
        <v>7.6291289000124749</v>
      </c>
      <c r="L86" s="501">
        <v>7.0109228441375677</v>
      </c>
      <c r="M86" s="501">
        <v>-4.6035697904072066</v>
      </c>
      <c r="N86" s="502">
        <v>47.805763596322066</v>
      </c>
      <c r="O86" s="483"/>
      <c r="P86" s="502">
        <v>-24.828566423542441</v>
      </c>
      <c r="Q86" s="501"/>
      <c r="R86" s="501">
        <v>-24.83</v>
      </c>
      <c r="S86" s="501"/>
      <c r="T86" s="501"/>
      <c r="U86" s="105"/>
      <c r="W86" s="653">
        <v>72.634330019864507</v>
      </c>
      <c r="X86" s="654">
        <v>2.5044163341320314E-2</v>
      </c>
      <c r="Y86" s="654">
        <v>45</v>
      </c>
      <c r="Z86" s="654">
        <v>27.609285856523186</v>
      </c>
      <c r="AA86" s="654"/>
      <c r="AB86" s="105">
        <f t="shared" si="38"/>
        <v>0</v>
      </c>
    </row>
    <row r="87" spans="1:28" x14ac:dyDescent="0.3">
      <c r="A87" s="200" t="s">
        <v>150</v>
      </c>
      <c r="B87" s="201">
        <v>22.67676535881921</v>
      </c>
      <c r="C87" s="201">
        <v>-31.074764641180835</v>
      </c>
      <c r="D87" s="201">
        <v>-20.801654641180846</v>
      </c>
      <c r="E87" s="201">
        <v>10.894213046117315</v>
      </c>
      <c r="F87" s="201">
        <v>11.354977121174784</v>
      </c>
      <c r="G87" s="201">
        <v>9.7595038798418159</v>
      </c>
      <c r="H87" s="201">
        <v>9.2060060695002619</v>
      </c>
      <c r="I87" s="201">
        <v>8.5198016971335448</v>
      </c>
      <c r="J87" s="201">
        <v>12.863345460383385</v>
      </c>
      <c r="K87" s="201">
        <v>7.6291287680173809</v>
      </c>
      <c r="L87" s="201">
        <v>7.0109227121424738</v>
      </c>
      <c r="M87" s="201">
        <v>-4.6035699224023006</v>
      </c>
      <c r="N87" s="201">
        <v>43.43467490836619</v>
      </c>
      <c r="O87" s="483"/>
      <c r="P87" s="201">
        <v>-29.199653923542471</v>
      </c>
      <c r="Q87" s="201">
        <v>0</v>
      </c>
      <c r="R87" s="201">
        <v>-24.83</v>
      </c>
      <c r="S87" s="201">
        <v>-4.37</v>
      </c>
      <c r="T87" s="201">
        <v>0</v>
      </c>
      <c r="U87" s="105"/>
      <c r="W87" s="201">
        <v>72.634328831908661</v>
      </c>
      <c r="X87" s="201">
        <v>2.504297538547462E-2</v>
      </c>
      <c r="Y87" s="201">
        <v>45</v>
      </c>
      <c r="Z87" s="201">
        <v>27.609285856523186</v>
      </c>
      <c r="AA87" s="201">
        <v>0</v>
      </c>
      <c r="AB87" s="105">
        <f t="shared" si="38"/>
        <v>0</v>
      </c>
    </row>
    <row r="88" spans="1:28" x14ac:dyDescent="0.3">
      <c r="A88" s="51"/>
      <c r="B88" s="204"/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498"/>
      <c r="O88" s="483"/>
      <c r="P88" s="498"/>
      <c r="Q88" s="204"/>
      <c r="R88" s="204"/>
      <c r="S88" s="204"/>
      <c r="T88" s="204"/>
      <c r="U88" s="105"/>
      <c r="W88" s="498"/>
      <c r="X88" s="204"/>
      <c r="Y88" s="204"/>
      <c r="Z88" s="204"/>
      <c r="AA88" s="204"/>
      <c r="AB88" s="105">
        <f t="shared" si="38"/>
        <v>0</v>
      </c>
    </row>
    <row r="89" spans="1:28" x14ac:dyDescent="0.3">
      <c r="A89" s="200" t="s">
        <v>152</v>
      </c>
      <c r="B89" s="201">
        <v>54.733648051851851</v>
      </c>
      <c r="C89" s="201">
        <v>180.98236703719346</v>
      </c>
      <c r="D89" s="201">
        <v>752.01405240550434</v>
      </c>
      <c r="E89" s="201">
        <v>-143.63079742348805</v>
      </c>
      <c r="F89" s="201">
        <v>-4.4490017884239563</v>
      </c>
      <c r="G89" s="201">
        <v>-62.843819164910144</v>
      </c>
      <c r="H89" s="201">
        <v>-50.363632705571447</v>
      </c>
      <c r="I89" s="201">
        <v>-118.69868898475477</v>
      </c>
      <c r="J89" s="201">
        <v>-102.24404472248912</v>
      </c>
      <c r="K89" s="201">
        <v>-96.166142508418744</v>
      </c>
      <c r="L89" s="201">
        <v>-63.838951818980874</v>
      </c>
      <c r="M89" s="201">
        <v>-133.45721477381301</v>
      </c>
      <c r="N89" s="201">
        <v>212.03777360369986</v>
      </c>
      <c r="O89" s="483"/>
      <c r="P89" s="201">
        <v>987.73006749454976</v>
      </c>
      <c r="Q89" s="201">
        <v>858.64669508238489</v>
      </c>
      <c r="R89" s="201">
        <v>56.750910000000012</v>
      </c>
      <c r="S89" s="201">
        <v>72.704545103526669</v>
      </c>
      <c r="T89" s="201">
        <v>0</v>
      </c>
      <c r="U89" s="105"/>
      <c r="W89" s="201">
        <v>-775.6922938908499</v>
      </c>
      <c r="X89" s="201">
        <v>-1143.5528287483532</v>
      </c>
      <c r="Y89" s="201">
        <v>277.37057771226011</v>
      </c>
      <c r="Z89" s="201">
        <v>90.634401535646361</v>
      </c>
      <c r="AA89" s="201">
        <v>0</v>
      </c>
      <c r="AB89" s="105">
        <f t="shared" si="38"/>
        <v>-0.14444439040312318</v>
      </c>
    </row>
    <row r="90" spans="1:28" x14ac:dyDescent="0.3">
      <c r="A90" s="477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8"/>
      <c r="O90" s="483"/>
      <c r="P90" s="488"/>
      <c r="Q90" s="483"/>
      <c r="R90" s="483"/>
      <c r="S90" s="483"/>
      <c r="T90" s="483"/>
      <c r="U90" s="483"/>
      <c r="V90" s="488"/>
      <c r="W90" s="483"/>
      <c r="X90" s="483"/>
      <c r="Y90" s="483"/>
      <c r="Z90" s="483"/>
    </row>
    <row r="91" spans="1:28" x14ac:dyDescent="0.3">
      <c r="A91" s="477"/>
      <c r="B91" s="483"/>
      <c r="C91" s="483"/>
      <c r="D91" s="483"/>
      <c r="E91" s="483"/>
      <c r="F91" s="483"/>
      <c r="G91" s="483"/>
      <c r="H91" s="483"/>
      <c r="I91" s="483"/>
      <c r="J91" s="483"/>
      <c r="K91" s="483"/>
      <c r="L91" s="483"/>
      <c r="M91" s="483"/>
      <c r="N91" s="488"/>
      <c r="O91" s="483"/>
      <c r="P91" s="488"/>
      <c r="Q91" s="483"/>
      <c r="R91" s="483"/>
      <c r="S91" s="483"/>
      <c r="T91" s="483"/>
      <c r="U91" s="483"/>
      <c r="V91" s="488"/>
      <c r="W91" s="483"/>
      <c r="X91" s="483"/>
      <c r="Y91" s="483"/>
      <c r="Z91" s="483"/>
    </row>
    <row r="92" spans="1:28" x14ac:dyDescent="0.3">
      <c r="A92" s="291" t="s">
        <v>43</v>
      </c>
      <c r="B92" s="493">
        <v>-6.7443971410000003</v>
      </c>
      <c r="C92" s="493">
        <v>-7.110674586</v>
      </c>
      <c r="D92" s="493">
        <v>-7.1575233750000002</v>
      </c>
      <c r="E92" s="493">
        <v>-13.784255769000001</v>
      </c>
      <c r="F92" s="493">
        <v>-22.499889510000003</v>
      </c>
      <c r="G92" s="493">
        <v>-58.908533430000006</v>
      </c>
      <c r="H92" s="493">
        <v>-57.523254780000002</v>
      </c>
      <c r="I92" s="493">
        <v>-57.204807999999993</v>
      </c>
      <c r="J92" s="493">
        <v>-68.485446039999999</v>
      </c>
      <c r="K92" s="493">
        <v>-63.211466780000002</v>
      </c>
      <c r="L92" s="493">
        <v>-61.94707133</v>
      </c>
      <c r="M92" s="493">
        <v>-60.138508710000004</v>
      </c>
      <c r="N92" s="493">
        <v>-484</v>
      </c>
      <c r="O92" s="483"/>
      <c r="P92" s="488"/>
      <c r="Q92" s="483"/>
      <c r="R92" s="483"/>
      <c r="S92" s="483"/>
      <c r="T92" s="483"/>
      <c r="U92" s="483"/>
      <c r="V92" s="488"/>
      <c r="W92" s="483"/>
      <c r="X92" s="483"/>
      <c r="Y92" s="483"/>
      <c r="Z92" s="483"/>
    </row>
    <row r="93" spans="1:28" x14ac:dyDescent="0.3">
      <c r="A93" s="292" t="s">
        <v>182</v>
      </c>
      <c r="B93" s="495">
        <v>-67.734713934301453</v>
      </c>
      <c r="C93" s="495">
        <v>-136.59810400625676</v>
      </c>
      <c r="D93" s="495">
        <v>-106.87028077062521</v>
      </c>
      <c r="E93" s="495">
        <v>-47.120573765839055</v>
      </c>
      <c r="F93" s="495">
        <v>-70.370517793427254</v>
      </c>
      <c r="G93" s="495">
        <v>-71.974600624891949</v>
      </c>
      <c r="H93" s="495">
        <v>-11.001751376680557</v>
      </c>
      <c r="I93" s="495">
        <v>-7.4535706962784793</v>
      </c>
      <c r="J93" s="495">
        <v>-49.424680182121804</v>
      </c>
      <c r="K93" s="495">
        <v>-40.99932315198992</v>
      </c>
      <c r="L93" s="495">
        <v>-42.471503218980303</v>
      </c>
      <c r="M93" s="495">
        <v>45.11883909940903</v>
      </c>
      <c r="N93" s="495">
        <v>-605.66</v>
      </c>
      <c r="O93" s="483"/>
      <c r="P93" s="488"/>
      <c r="Q93" s="483"/>
      <c r="R93" s="483"/>
      <c r="S93" s="483"/>
      <c r="T93" s="483"/>
      <c r="U93" s="483"/>
      <c r="V93" s="488"/>
      <c r="W93" s="483"/>
      <c r="X93" s="483"/>
      <c r="Y93" s="483"/>
      <c r="Z93" s="483"/>
    </row>
    <row r="94" spans="1:28" x14ac:dyDescent="0.3">
      <c r="A94" s="292" t="s">
        <v>426</v>
      </c>
      <c r="B94" s="495">
        <v>107.45658513410379</v>
      </c>
      <c r="C94" s="495">
        <v>105.73560126551953</v>
      </c>
      <c r="D94" s="495">
        <v>151.32286221096018</v>
      </c>
      <c r="E94" s="495">
        <v>176.96096088893012</v>
      </c>
      <c r="F94" s="495">
        <v>157.88250481952844</v>
      </c>
      <c r="G94" s="495">
        <v>72.777114255238189</v>
      </c>
      <c r="H94" s="495">
        <v>-34.077079016971233</v>
      </c>
      <c r="I94" s="495">
        <v>-54.265054139728022</v>
      </c>
      <c r="J94" s="495">
        <v>106.29454896090741</v>
      </c>
      <c r="K94" s="495">
        <v>119.42666440835524</v>
      </c>
      <c r="L94" s="495">
        <v>31.320630022374189</v>
      </c>
      <c r="M94" s="495">
        <v>128.64055147318282</v>
      </c>
      <c r="N94" s="495">
        <v>1069.4758902824008</v>
      </c>
      <c r="O94" s="483"/>
      <c r="P94" s="488"/>
      <c r="Q94" s="483"/>
      <c r="R94" s="483"/>
      <c r="S94" s="483"/>
      <c r="T94" s="483"/>
      <c r="U94" s="483"/>
      <c r="V94" s="488"/>
      <c r="W94" s="483"/>
      <c r="X94" s="483"/>
      <c r="Y94" s="483"/>
      <c r="Z94" s="483"/>
    </row>
    <row r="95" spans="1:28" x14ac:dyDescent="0.3">
      <c r="A95" s="292" t="s">
        <v>66</v>
      </c>
      <c r="B95" s="495">
        <v>-105.62146306377917</v>
      </c>
      <c r="C95" s="495">
        <v>-105.21914066358104</v>
      </c>
      <c r="D95" s="495">
        <v>-105.24280668712211</v>
      </c>
      <c r="E95" s="495">
        <v>5.9165058852665906</v>
      </c>
      <c r="F95" s="495">
        <v>-108.57971600641248</v>
      </c>
      <c r="G95" s="495">
        <v>431.54993927134512</v>
      </c>
      <c r="H95" s="495">
        <v>371.58023561828293</v>
      </c>
      <c r="I95" s="495">
        <v>310.02490838796928</v>
      </c>
      <c r="J95" s="495">
        <v>420.49790627766714</v>
      </c>
      <c r="K95" s="495">
        <v>543.18257231455516</v>
      </c>
      <c r="L95" s="495">
        <v>410.41618024917284</v>
      </c>
      <c r="M95" s="495">
        <v>517.93092519623724</v>
      </c>
      <c r="N95" s="495">
        <v>2586.4360467796018</v>
      </c>
      <c r="O95" s="483"/>
      <c r="P95" s="488"/>
      <c r="Q95" s="483"/>
      <c r="R95" s="483"/>
      <c r="S95" s="483"/>
      <c r="T95" s="483"/>
      <c r="U95" s="483"/>
      <c r="V95" s="488"/>
      <c r="W95" s="483"/>
      <c r="X95" s="483"/>
      <c r="Y95" s="483"/>
      <c r="Z95" s="483"/>
    </row>
    <row r="96" spans="1:28" x14ac:dyDescent="0.3">
      <c r="A96" s="306" t="s">
        <v>435</v>
      </c>
      <c r="B96" s="499">
        <v>123.67408718677302</v>
      </c>
      <c r="C96" s="499">
        <v>208.34408718677298</v>
      </c>
      <c r="D96" s="499">
        <v>172.90408718677293</v>
      </c>
      <c r="E96" s="499">
        <v>24.360041546111656</v>
      </c>
      <c r="F96" s="499">
        <v>669.833361030741</v>
      </c>
      <c r="G96" s="499">
        <v>-390.60881013360284</v>
      </c>
      <c r="H96" s="499">
        <v>99.197114892089942</v>
      </c>
      <c r="I96" s="499">
        <v>263.12548490236702</v>
      </c>
      <c r="J96" s="499">
        <v>-364.11881013360289</v>
      </c>
      <c r="K96" s="499">
        <v>-383.94881013360282</v>
      </c>
      <c r="L96" s="499">
        <v>-296.52962512846426</v>
      </c>
      <c r="M96" s="499">
        <v>-126.23220840235432</v>
      </c>
      <c r="N96" s="499">
        <v>-1.956609872981204</v>
      </c>
      <c r="O96" s="483"/>
      <c r="P96" s="488"/>
      <c r="Q96" s="483"/>
      <c r="R96" s="483"/>
      <c r="S96" s="483"/>
      <c r="T96" s="483"/>
      <c r="U96" s="483"/>
      <c r="V96" s="488"/>
      <c r="W96" s="483"/>
      <c r="X96" s="483"/>
      <c r="Y96" s="483"/>
      <c r="Z96" s="483"/>
    </row>
    <row r="97" spans="1:32" x14ac:dyDescent="0.3">
      <c r="A97" s="477"/>
      <c r="B97" s="483"/>
      <c r="C97" s="483"/>
      <c r="D97" s="483"/>
      <c r="E97" s="483"/>
      <c r="F97" s="483"/>
      <c r="G97" s="483"/>
      <c r="H97" s="483"/>
      <c r="I97" s="483"/>
      <c r="J97" s="483"/>
      <c r="K97" s="483"/>
      <c r="L97" s="483"/>
      <c r="M97" s="483"/>
      <c r="N97" s="488"/>
      <c r="O97" s="483"/>
      <c r="P97" s="488"/>
      <c r="Q97" s="483"/>
      <c r="R97" s="483"/>
      <c r="S97" s="483"/>
      <c r="T97" s="483"/>
      <c r="U97" s="483"/>
      <c r="V97" s="488"/>
      <c r="W97" s="483"/>
      <c r="X97" s="483"/>
      <c r="Y97" s="483"/>
      <c r="Z97" s="483"/>
    </row>
    <row r="98" spans="1:32" x14ac:dyDescent="0.3">
      <c r="A98" s="503" t="s">
        <v>450</v>
      </c>
      <c r="B98" s="504">
        <v>51.030098181796177</v>
      </c>
      <c r="C98" s="504">
        <v>65.151769196454723</v>
      </c>
      <c r="D98" s="504">
        <v>104.95633856498578</v>
      </c>
      <c r="E98" s="504">
        <v>146.33267878546931</v>
      </c>
      <c r="F98" s="504">
        <v>626.26574254042976</v>
      </c>
      <c r="G98" s="504">
        <v>-17.1648906619115</v>
      </c>
      <c r="H98" s="504">
        <v>368.17526533672105</v>
      </c>
      <c r="I98" s="504">
        <v>454.2269604543298</v>
      </c>
      <c r="J98" s="504">
        <v>44.763518882849837</v>
      </c>
      <c r="K98" s="504">
        <v>174.44963665731768</v>
      </c>
      <c r="L98" s="504">
        <v>40.788610594102465</v>
      </c>
      <c r="M98" s="504">
        <v>505.3195986564748</v>
      </c>
      <c r="N98" s="504">
        <v>2564.2953271890219</v>
      </c>
      <c r="O98" s="483"/>
      <c r="P98" s="488"/>
      <c r="Q98" s="483"/>
      <c r="R98" s="483"/>
      <c r="S98" s="483"/>
      <c r="T98" s="483"/>
      <c r="U98" s="483"/>
      <c r="V98" s="488"/>
      <c r="W98" s="483"/>
      <c r="X98" s="483"/>
      <c r="Y98" s="483"/>
      <c r="Z98" s="483"/>
    </row>
    <row r="99" spans="1:32" x14ac:dyDescent="0.3">
      <c r="A99" s="477"/>
      <c r="B99" s="483"/>
      <c r="C99" s="483"/>
      <c r="D99" s="483"/>
      <c r="E99" s="483"/>
      <c r="F99" s="483"/>
      <c r="G99" s="483"/>
      <c r="H99" s="483"/>
      <c r="I99" s="483"/>
      <c r="J99" s="483"/>
      <c r="K99" s="483"/>
      <c r="L99" s="483"/>
      <c r="M99" s="483"/>
      <c r="N99" s="488"/>
      <c r="O99" s="483"/>
      <c r="P99" s="488"/>
      <c r="Q99" s="483"/>
      <c r="R99" s="483"/>
      <c r="S99" s="483"/>
      <c r="T99" s="483"/>
      <c r="U99" s="483"/>
      <c r="V99" s="488"/>
      <c r="W99" s="483"/>
      <c r="X99" s="483"/>
      <c r="Y99" s="483"/>
      <c r="Z99" s="483"/>
    </row>
    <row r="100" spans="1:32" x14ac:dyDescent="0.3">
      <c r="A100" s="477"/>
      <c r="B100" s="483"/>
      <c r="C100" s="483"/>
      <c r="D100" s="483"/>
      <c r="E100" s="483"/>
      <c r="F100" s="483"/>
      <c r="G100" s="483"/>
      <c r="H100" s="483"/>
      <c r="I100" s="483"/>
      <c r="J100" s="483"/>
      <c r="K100" s="483"/>
      <c r="L100" s="483"/>
      <c r="M100" s="483"/>
      <c r="N100" s="488"/>
      <c r="O100" s="483"/>
      <c r="P100" s="488"/>
      <c r="Q100" s="483"/>
      <c r="R100" s="483"/>
      <c r="S100" s="483"/>
      <c r="T100" s="483"/>
      <c r="U100" s="483"/>
      <c r="V100" s="488"/>
      <c r="W100" s="483"/>
      <c r="X100" s="483"/>
      <c r="Y100" s="483"/>
      <c r="Z100" s="483"/>
    </row>
    <row r="101" spans="1:32" x14ac:dyDescent="0.3">
      <c r="A101" s="505" t="s">
        <v>99</v>
      </c>
      <c r="B101" s="676">
        <v>105.76374623364802</v>
      </c>
      <c r="C101" s="506">
        <v>246.13413623364818</v>
      </c>
      <c r="D101" s="506">
        <v>856.97039097049014</v>
      </c>
      <c r="E101" s="506">
        <v>2.7018813619812647</v>
      </c>
      <c r="F101" s="506">
        <v>621.81674075200578</v>
      </c>
      <c r="G101" s="506">
        <v>-80.008709826821644</v>
      </c>
      <c r="H101" s="506">
        <v>317.81163263114962</v>
      </c>
      <c r="I101" s="506">
        <v>335.52827146957503</v>
      </c>
      <c r="J101" s="506">
        <v>-57.480525839639284</v>
      </c>
      <c r="K101" s="506">
        <v>78.283494148898939</v>
      </c>
      <c r="L101" s="506">
        <v>-23.050341224878409</v>
      </c>
      <c r="M101" s="506">
        <v>371.86238388266179</v>
      </c>
      <c r="N101" s="506">
        <v>2776.3331007927218</v>
      </c>
      <c r="O101" s="483"/>
      <c r="P101" s="488"/>
      <c r="Q101" s="483"/>
      <c r="R101" s="483"/>
      <c r="S101" s="483"/>
      <c r="T101" s="483"/>
      <c r="U101" s="483"/>
      <c r="V101" s="488"/>
      <c r="W101" s="483"/>
      <c r="X101" s="483"/>
      <c r="Y101" s="483"/>
      <c r="Z101" s="483"/>
    </row>
    <row r="104" spans="1:32" x14ac:dyDescent="0.3">
      <c r="A104" s="650" t="s">
        <v>554</v>
      </c>
    </row>
    <row r="106" spans="1:32" x14ac:dyDescent="0.3">
      <c r="A106" s="476" t="s">
        <v>443</v>
      </c>
      <c r="P106" s="478" t="s">
        <v>95</v>
      </c>
      <c r="Q106" s="479" t="s">
        <v>444</v>
      </c>
      <c r="R106" s="479" t="s">
        <v>445</v>
      </c>
      <c r="S106" s="479" t="s">
        <v>446</v>
      </c>
      <c r="T106" s="479" t="s">
        <v>447</v>
      </c>
      <c r="U106" s="477"/>
      <c r="W106" s="478" t="s">
        <v>558</v>
      </c>
      <c r="X106" s="479" t="s">
        <v>444</v>
      </c>
      <c r="Y106" s="479" t="s">
        <v>445</v>
      </c>
      <c r="Z106" s="479" t="s">
        <v>446</v>
      </c>
      <c r="AA106" s="479" t="s">
        <v>447</v>
      </c>
    </row>
    <row r="107" spans="1:32" x14ac:dyDescent="0.3">
      <c r="A107" s="480" t="s">
        <v>448</v>
      </c>
      <c r="B107" s="481">
        <f>+B4-B55</f>
        <v>0</v>
      </c>
      <c r="C107" s="481">
        <f t="shared" ref="C107:N107" si="40">+C4-C55</f>
        <v>0</v>
      </c>
      <c r="D107" s="481">
        <f t="shared" si="40"/>
        <v>0</v>
      </c>
      <c r="E107" s="481">
        <f t="shared" si="40"/>
        <v>0</v>
      </c>
      <c r="F107" s="481">
        <f t="shared" si="40"/>
        <v>2500</v>
      </c>
      <c r="G107" s="481">
        <f t="shared" si="40"/>
        <v>1532.0009999999966</v>
      </c>
      <c r="H107" s="481">
        <f t="shared" si="40"/>
        <v>904</v>
      </c>
      <c r="I107" s="481">
        <f t="shared" si="40"/>
        <v>-789.99900000000343</v>
      </c>
      <c r="J107" s="481">
        <f t="shared" si="40"/>
        <v>-822</v>
      </c>
      <c r="K107" s="481">
        <f t="shared" si="40"/>
        <v>0</v>
      </c>
      <c r="L107" s="481">
        <f t="shared" si="40"/>
        <v>0</v>
      </c>
      <c r="M107" s="481">
        <f t="shared" si="40"/>
        <v>0</v>
      </c>
      <c r="N107" s="481">
        <f t="shared" si="40"/>
        <v>3324.0019999999786</v>
      </c>
      <c r="P107" s="482">
        <f>SUM(B107:E107)</f>
        <v>0</v>
      </c>
      <c r="Q107" s="727"/>
      <c r="R107" s="728"/>
      <c r="S107" s="728"/>
      <c r="T107" s="728"/>
      <c r="U107" s="483"/>
      <c r="W107" s="482">
        <f t="shared" ref="W107:W109" si="41">N107-P107</f>
        <v>3324.0019999999786</v>
      </c>
      <c r="X107" s="667"/>
      <c r="Y107" s="668"/>
      <c r="Z107" s="668"/>
      <c r="AA107" s="668"/>
    </row>
    <row r="108" spans="1:32" x14ac:dyDescent="0.3">
      <c r="A108" s="480" t="s">
        <v>96</v>
      </c>
      <c r="B108" s="481">
        <f>+B5-B56</f>
        <v>0</v>
      </c>
      <c r="C108" s="481">
        <f t="shared" ref="C108:N109" si="42">+C5-C56</f>
        <v>0</v>
      </c>
      <c r="D108" s="481">
        <f t="shared" si="42"/>
        <v>0</v>
      </c>
      <c r="E108" s="481">
        <f t="shared" si="42"/>
        <v>0</v>
      </c>
      <c r="F108" s="481">
        <f t="shared" si="42"/>
        <v>0</v>
      </c>
      <c r="G108" s="481">
        <f t="shared" si="42"/>
        <v>0</v>
      </c>
      <c r="H108" s="481">
        <f t="shared" si="42"/>
        <v>0</v>
      </c>
      <c r="I108" s="481">
        <f t="shared" si="42"/>
        <v>0</v>
      </c>
      <c r="J108" s="481">
        <f t="shared" si="42"/>
        <v>0</v>
      </c>
      <c r="K108" s="481">
        <f t="shared" si="42"/>
        <v>0</v>
      </c>
      <c r="L108" s="481">
        <f t="shared" si="42"/>
        <v>0</v>
      </c>
      <c r="M108" s="481">
        <f t="shared" si="42"/>
        <v>0</v>
      </c>
      <c r="N108" s="481">
        <f t="shared" si="42"/>
        <v>0</v>
      </c>
      <c r="P108" s="482">
        <f t="shared" ref="P108:P109" si="43">SUM(B108:E108)</f>
        <v>0</v>
      </c>
      <c r="Q108" s="729"/>
      <c r="R108" s="730"/>
      <c r="S108" s="730"/>
      <c r="T108" s="730"/>
      <c r="U108" s="483"/>
      <c r="W108" s="482">
        <f t="shared" si="41"/>
        <v>0</v>
      </c>
      <c r="X108" s="669"/>
      <c r="Y108" s="670"/>
      <c r="Z108" s="670"/>
      <c r="AA108" s="670"/>
      <c r="AE108" s="35"/>
    </row>
    <row r="109" spans="1:32" ht="15" thickBot="1" x14ac:dyDescent="0.35">
      <c r="A109" s="484" t="s">
        <v>97</v>
      </c>
      <c r="B109" s="485">
        <f>+B6-B57</f>
        <v>0</v>
      </c>
      <c r="C109" s="485">
        <f t="shared" si="42"/>
        <v>0</v>
      </c>
      <c r="D109" s="485">
        <f t="shared" si="42"/>
        <v>0</v>
      </c>
      <c r="E109" s="485">
        <f t="shared" si="42"/>
        <v>0</v>
      </c>
      <c r="F109" s="485">
        <f t="shared" si="42"/>
        <v>2500</v>
      </c>
      <c r="G109" s="485">
        <f t="shared" si="42"/>
        <v>1532.0009999999966</v>
      </c>
      <c r="H109" s="485">
        <f t="shared" si="42"/>
        <v>904</v>
      </c>
      <c r="I109" s="485">
        <f t="shared" si="42"/>
        <v>-789.99900000000343</v>
      </c>
      <c r="J109" s="485">
        <f t="shared" si="42"/>
        <v>-822</v>
      </c>
      <c r="K109" s="485">
        <f t="shared" si="42"/>
        <v>0</v>
      </c>
      <c r="L109" s="485">
        <f t="shared" si="42"/>
        <v>0</v>
      </c>
      <c r="M109" s="485">
        <f t="shared" si="42"/>
        <v>0</v>
      </c>
      <c r="N109" s="486">
        <f t="shared" si="42"/>
        <v>3324.0019999999786</v>
      </c>
      <c r="P109" s="486">
        <f t="shared" si="43"/>
        <v>0</v>
      </c>
      <c r="Q109" s="729"/>
      <c r="R109" s="730"/>
      <c r="S109" s="730"/>
      <c r="T109" s="730"/>
      <c r="U109" s="483"/>
      <c r="W109" s="486">
        <f t="shared" si="41"/>
        <v>3324.0019999999786</v>
      </c>
      <c r="X109" s="669"/>
      <c r="Y109" s="670"/>
      <c r="Z109" s="670"/>
      <c r="AA109" s="670"/>
    </row>
    <row r="110" spans="1:32" x14ac:dyDescent="0.3">
      <c r="A110" s="487"/>
      <c r="B110" s="483"/>
      <c r="C110" s="483"/>
      <c r="D110" s="483"/>
      <c r="E110" s="483"/>
      <c r="F110" s="483"/>
      <c r="G110" s="483"/>
      <c r="H110" s="483"/>
      <c r="I110" s="483"/>
      <c r="J110" s="483"/>
      <c r="K110" s="483"/>
      <c r="L110" s="483"/>
      <c r="M110" s="483"/>
      <c r="N110" s="488"/>
      <c r="P110" s="488"/>
      <c r="Q110" s="483"/>
      <c r="R110" s="483"/>
      <c r="S110" s="483"/>
      <c r="T110" s="483"/>
      <c r="U110" s="483"/>
      <c r="W110" s="488"/>
      <c r="X110" s="483"/>
      <c r="Y110" s="483"/>
      <c r="Z110" s="483"/>
      <c r="AA110" s="483"/>
      <c r="AC110" s="35">
        <f>30*(2300-1600)</f>
        <v>21000</v>
      </c>
    </row>
    <row r="111" spans="1:32" ht="15" thickBot="1" x14ac:dyDescent="0.35">
      <c r="A111" s="489" t="s">
        <v>449</v>
      </c>
      <c r="B111" s="490">
        <f>+B8-B59</f>
        <v>0</v>
      </c>
      <c r="C111" s="490">
        <f t="shared" ref="C111:N111" si="44">+C8-C59</f>
        <v>0</v>
      </c>
      <c r="D111" s="490">
        <f t="shared" si="44"/>
        <v>0</v>
      </c>
      <c r="E111" s="490">
        <f t="shared" si="44"/>
        <v>72.288577592064371</v>
      </c>
      <c r="F111" s="490">
        <f t="shared" si="44"/>
        <v>-59.165094073802948</v>
      </c>
      <c r="G111" s="490">
        <f t="shared" si="44"/>
        <v>-36.256393314463821</v>
      </c>
      <c r="H111" s="490">
        <f t="shared" si="44"/>
        <v>-21.39409801708689</v>
      </c>
      <c r="I111" s="490">
        <f t="shared" si="44"/>
        <v>18.696146061284253</v>
      </c>
      <c r="J111" s="490">
        <f t="shared" si="44"/>
        <v>19.453482931466169</v>
      </c>
      <c r="K111" s="490">
        <f t="shared" si="44"/>
        <v>0</v>
      </c>
      <c r="L111" s="490">
        <f t="shared" si="44"/>
        <v>0</v>
      </c>
      <c r="M111" s="490">
        <f t="shared" si="44"/>
        <v>0</v>
      </c>
      <c r="N111" s="490">
        <f t="shared" si="44"/>
        <v>-6.3773788205389792</v>
      </c>
      <c r="P111" s="491">
        <f>SUM(B111:E111)</f>
        <v>72.288577592064371</v>
      </c>
      <c r="Q111" s="481">
        <f>+P111</f>
        <v>72.288577592064371</v>
      </c>
      <c r="R111" s="481"/>
      <c r="S111" s="481"/>
      <c r="T111" s="481"/>
      <c r="U111" s="483"/>
      <c r="W111" s="491">
        <f>N111-P111</f>
        <v>-78.66595641260335</v>
      </c>
      <c r="X111" s="481">
        <f>+W111</f>
        <v>-78.66595641260335</v>
      </c>
      <c r="Y111" s="481"/>
      <c r="Z111" s="481"/>
      <c r="AA111" s="481"/>
      <c r="AC111" s="35">
        <f>+AC110*10</f>
        <v>210000</v>
      </c>
    </row>
    <row r="112" spans="1:32" x14ac:dyDescent="0.3">
      <c r="A112" s="492"/>
      <c r="B112" s="483"/>
      <c r="C112" s="483"/>
      <c r="D112" s="483"/>
      <c r="E112" s="483"/>
      <c r="F112" s="483"/>
      <c r="G112" s="483"/>
      <c r="H112" s="483"/>
      <c r="I112" s="483"/>
      <c r="J112" s="483"/>
      <c r="K112" s="483"/>
      <c r="L112" s="483"/>
      <c r="M112" s="483"/>
      <c r="N112" s="488"/>
      <c r="P112" s="488"/>
      <c r="Q112" s="483"/>
      <c r="R112" s="483"/>
      <c r="S112" s="483"/>
      <c r="T112" s="483"/>
      <c r="U112" s="483"/>
      <c r="W112" s="488"/>
      <c r="X112" s="483"/>
      <c r="Y112" s="483"/>
      <c r="Z112" s="483"/>
      <c r="AA112" s="483"/>
      <c r="AC112" s="479" t="s">
        <v>444</v>
      </c>
      <c r="AD112" s="479" t="s">
        <v>445</v>
      </c>
      <c r="AE112" s="479" t="s">
        <v>446</v>
      </c>
      <c r="AF112" s="479" t="s">
        <v>447</v>
      </c>
    </row>
    <row r="113" spans="1:30" ht="57.6" x14ac:dyDescent="0.3">
      <c r="A113" s="291" t="s">
        <v>74</v>
      </c>
      <c r="B113" s="493">
        <f>+B10-B61</f>
        <v>0</v>
      </c>
      <c r="C113" s="493">
        <f t="shared" ref="C113:M113" si="45">+C10-C61</f>
        <v>0</v>
      </c>
      <c r="D113" s="493">
        <f t="shared" si="45"/>
        <v>0</v>
      </c>
      <c r="E113" s="493">
        <f t="shared" si="45"/>
        <v>31.279538821815891</v>
      </c>
      <c r="F113" s="493">
        <f t="shared" si="45"/>
        <v>-23.231409019319415</v>
      </c>
      <c r="G113" s="493">
        <f t="shared" si="45"/>
        <v>-10.312032455333906</v>
      </c>
      <c r="H113" s="493">
        <f t="shared" si="45"/>
        <v>-4.0469283816498205</v>
      </c>
      <c r="I113" s="493">
        <f t="shared" si="45"/>
        <v>15.050840300259949</v>
      </c>
      <c r="J113" s="493">
        <f t="shared" si="45"/>
        <v>-13.763518944194061</v>
      </c>
      <c r="K113" s="493">
        <f t="shared" si="45"/>
        <v>8.8700549765708274</v>
      </c>
      <c r="L113" s="493">
        <f t="shared" si="45"/>
        <v>9.2556484052192332</v>
      </c>
      <c r="M113" s="493">
        <f t="shared" si="45"/>
        <v>9.9819119322811503</v>
      </c>
      <c r="N113" s="493">
        <f>+N10-N61</f>
        <v>23.084105635649848</v>
      </c>
      <c r="P113" s="494">
        <f>SUM(B113:E113)</f>
        <v>31.279538821815891</v>
      </c>
      <c r="Q113" s="717">
        <f>+Q10-Q61</f>
        <v>-92.440038942933</v>
      </c>
      <c r="R113" s="717">
        <f t="shared" ref="R113:S113" si="46">+R10-R61</f>
        <v>10.906999999999996</v>
      </c>
      <c r="S113" s="717">
        <f t="shared" si="46"/>
        <v>17.650204940240698</v>
      </c>
      <c r="T113" s="717"/>
      <c r="U113" s="651"/>
      <c r="W113" s="494">
        <f>N113-P113</f>
        <v>-8.1954331861660421</v>
      </c>
      <c r="X113" s="493">
        <v>-63.195433186166042</v>
      </c>
      <c r="Y113" s="493">
        <f>158-180</f>
        <v>-22</v>
      </c>
      <c r="Z113" s="493">
        <f>150-73</f>
        <v>77</v>
      </c>
      <c r="AA113" s="493"/>
      <c r="AB113" s="8">
        <f>W113-SUM(X113:AA113)</f>
        <v>0</v>
      </c>
      <c r="AC113" t="s">
        <v>566</v>
      </c>
      <c r="AD113" s="677" t="s">
        <v>555</v>
      </c>
    </row>
    <row r="114" spans="1:30" x14ac:dyDescent="0.3">
      <c r="A114" s="292" t="s">
        <v>75</v>
      </c>
      <c r="B114" s="495">
        <f t="shared" ref="B114:N114" si="47">+B11-B62</f>
        <v>0</v>
      </c>
      <c r="C114" s="495">
        <f t="shared" si="47"/>
        <v>0</v>
      </c>
      <c r="D114" s="495">
        <f t="shared" si="47"/>
        <v>0</v>
      </c>
      <c r="E114" s="495">
        <f t="shared" si="47"/>
        <v>2.540498445024479</v>
      </c>
      <c r="F114" s="495">
        <f t="shared" si="47"/>
        <v>-1.9280791800815926</v>
      </c>
      <c r="G114" s="495">
        <f t="shared" si="47"/>
        <v>-1.1815276927856715</v>
      </c>
      <c r="H114" s="495">
        <f t="shared" si="47"/>
        <v>-0.69719343151749769</v>
      </c>
      <c r="I114" s="495">
        <f t="shared" si="47"/>
        <v>0.6092722496741132</v>
      </c>
      <c r="J114" s="495">
        <f t="shared" si="47"/>
        <v>0.63395243441081561</v>
      </c>
      <c r="K114" s="495">
        <f t="shared" si="47"/>
        <v>0</v>
      </c>
      <c r="L114" s="495">
        <f t="shared" si="47"/>
        <v>0</v>
      </c>
      <c r="M114" s="495">
        <f t="shared" si="47"/>
        <v>0</v>
      </c>
      <c r="N114" s="496">
        <f t="shared" si="47"/>
        <v>-2.3077175275354023E-2</v>
      </c>
      <c r="P114" s="496">
        <f t="shared" ref="P114:P128" si="48">SUM(B114:E114)</f>
        <v>2.540498445024479</v>
      </c>
      <c r="Q114" s="718">
        <f t="shared" ref="Q114:S115" si="49">+Q11-Q62</f>
        <v>-0.49297599129198844</v>
      </c>
      <c r="R114" s="718">
        <f t="shared" si="49"/>
        <v>-1</v>
      </c>
      <c r="S114" s="718">
        <f t="shared" si="49"/>
        <v>-0.48332047381952914</v>
      </c>
      <c r="T114" s="718"/>
      <c r="U114" s="651"/>
      <c r="W114" s="496">
        <f t="shared" ref="W114:W128" si="50">N114-P114</f>
        <v>-2.563575620299833</v>
      </c>
      <c r="X114" s="495">
        <v>-7.1061623418747182</v>
      </c>
      <c r="Y114" s="495">
        <f t="shared" ref="Y114" si="51">+Y11-Y62</f>
        <v>0</v>
      </c>
      <c r="Z114" s="495">
        <f>+Z11-7</f>
        <v>4.5425867215748852</v>
      </c>
      <c r="AA114" s="495"/>
      <c r="AB114" s="8">
        <f t="shared" ref="AB114:AB141" si="52">W114-SUM(X114:AA114)</f>
        <v>0</v>
      </c>
    </row>
    <row r="115" spans="1:30" x14ac:dyDescent="0.3">
      <c r="A115" s="292" t="s">
        <v>141</v>
      </c>
      <c r="B115" s="495">
        <f t="shared" ref="B115:N115" si="53">+B12-B63</f>
        <v>0</v>
      </c>
      <c r="C115" s="495">
        <f t="shared" si="53"/>
        <v>0</v>
      </c>
      <c r="D115" s="495">
        <f t="shared" si="53"/>
        <v>0</v>
      </c>
      <c r="E115" s="495">
        <f t="shared" si="53"/>
        <v>26.312431346526324</v>
      </c>
      <c r="F115" s="495">
        <f t="shared" si="53"/>
        <v>-0.87872749999999833</v>
      </c>
      <c r="G115" s="495">
        <f t="shared" si="53"/>
        <v>-0.53848456349099649</v>
      </c>
      <c r="H115" s="495">
        <f t="shared" si="53"/>
        <v>-0.3177478640000011</v>
      </c>
      <c r="I115" s="495">
        <f t="shared" si="53"/>
        <v>0.27767753850899979</v>
      </c>
      <c r="J115" s="495">
        <f t="shared" si="53"/>
        <v>0.28892560199999906</v>
      </c>
      <c r="K115" s="495">
        <f t="shared" si="53"/>
        <v>0</v>
      </c>
      <c r="L115" s="495">
        <f t="shared" si="53"/>
        <v>0</v>
      </c>
      <c r="M115" s="495">
        <f t="shared" si="53"/>
        <v>0</v>
      </c>
      <c r="N115" s="496">
        <f t="shared" si="53"/>
        <v>25.144074559544329</v>
      </c>
      <c r="P115" s="496">
        <f t="shared" si="48"/>
        <v>26.312431346526324</v>
      </c>
      <c r="Q115" s="718">
        <f t="shared" si="49"/>
        <v>27.017732370231787</v>
      </c>
      <c r="R115" s="718">
        <f t="shared" si="49"/>
        <v>0</v>
      </c>
      <c r="S115" s="718">
        <f t="shared" si="49"/>
        <v>-0.95716313362699568</v>
      </c>
      <c r="T115" s="718"/>
      <c r="U115" s="651"/>
      <c r="W115" s="496">
        <f t="shared" si="50"/>
        <v>-1.1683567869819953</v>
      </c>
      <c r="X115" s="495">
        <f>(+X12-X63)+-1.17578963562284</f>
        <v>-3.2162706841503841</v>
      </c>
      <c r="Y115" s="495">
        <f t="shared" ref="X115:Z125" si="54">+Y12-Y63</f>
        <v>0</v>
      </c>
      <c r="Z115" s="495">
        <f>+Z12-3</f>
        <v>2.0479138971683888</v>
      </c>
      <c r="AA115" s="495"/>
      <c r="AB115" s="8">
        <f t="shared" si="52"/>
        <v>0</v>
      </c>
    </row>
    <row r="116" spans="1:30" x14ac:dyDescent="0.3">
      <c r="A116" s="4" t="s">
        <v>79</v>
      </c>
      <c r="B116" s="497">
        <f t="shared" ref="B116:N116" si="55">+B13-B64</f>
        <v>0</v>
      </c>
      <c r="C116" s="497">
        <f t="shared" si="55"/>
        <v>0</v>
      </c>
      <c r="D116" s="497">
        <f t="shared" si="55"/>
        <v>0</v>
      </c>
      <c r="E116" s="497">
        <f t="shared" si="55"/>
        <v>60.132468613366697</v>
      </c>
      <c r="F116" s="497">
        <f t="shared" si="55"/>
        <v>-26.038215699400993</v>
      </c>
      <c r="G116" s="497">
        <f t="shared" si="55"/>
        <v>-12.032044711610581</v>
      </c>
      <c r="H116" s="497">
        <f t="shared" si="55"/>
        <v>-5.0618696771673228</v>
      </c>
      <c r="I116" s="497">
        <f t="shared" si="55"/>
        <v>15.937790088443052</v>
      </c>
      <c r="J116" s="497">
        <f t="shared" si="55"/>
        <v>-12.840640907783246</v>
      </c>
      <c r="K116" s="497">
        <f t="shared" si="55"/>
        <v>8.8700549765708274</v>
      </c>
      <c r="L116" s="497">
        <f t="shared" si="55"/>
        <v>9.2556484052192332</v>
      </c>
      <c r="M116" s="497">
        <f t="shared" si="55"/>
        <v>9.9819119322811503</v>
      </c>
      <c r="N116" s="497">
        <f t="shared" si="55"/>
        <v>48.205103019918852</v>
      </c>
      <c r="P116" s="497">
        <f t="shared" si="48"/>
        <v>60.132468613366697</v>
      </c>
      <c r="Q116" s="720">
        <f>SUM(Q113:Q115)</f>
        <v>-65.915282563993202</v>
      </c>
      <c r="R116" s="720">
        <f>SUM(R113:R115)</f>
        <v>9.9069999999999965</v>
      </c>
      <c r="S116" s="720">
        <f>SUM(S113:S115)</f>
        <v>16.209721332794174</v>
      </c>
      <c r="T116" s="720">
        <f>SUM(T113:T115)</f>
        <v>0</v>
      </c>
      <c r="U116" s="651"/>
      <c r="W116" s="497">
        <f t="shared" si="50"/>
        <v>-11.927365593447846</v>
      </c>
      <c r="X116" s="497">
        <f t="shared" ref="X116:Z116" si="56">SUM(X113:X115)</f>
        <v>-73.517866212191151</v>
      </c>
      <c r="Y116" s="497">
        <f t="shared" si="56"/>
        <v>-22</v>
      </c>
      <c r="Z116" s="497">
        <f t="shared" si="56"/>
        <v>83.590500618743263</v>
      </c>
      <c r="AA116" s="497">
        <v>0</v>
      </c>
      <c r="AB116" s="8">
        <f t="shared" si="52"/>
        <v>4.2632564145606011E-14</v>
      </c>
    </row>
    <row r="117" spans="1:30" x14ac:dyDescent="0.3">
      <c r="A117" s="292" t="s">
        <v>80</v>
      </c>
      <c r="B117" s="495">
        <f t="shared" ref="B117:N117" si="57">+B14-B65</f>
        <v>0</v>
      </c>
      <c r="C117" s="495">
        <f t="shared" si="57"/>
        <v>0</v>
      </c>
      <c r="D117" s="495">
        <f t="shared" si="57"/>
        <v>0</v>
      </c>
      <c r="E117" s="495">
        <f t="shared" si="57"/>
        <v>-15.643917477598393</v>
      </c>
      <c r="F117" s="495">
        <f t="shared" si="57"/>
        <v>2.879089946604978</v>
      </c>
      <c r="G117" s="495">
        <f t="shared" si="57"/>
        <v>4.0033049203680946</v>
      </c>
      <c r="H117" s="495">
        <f t="shared" si="57"/>
        <v>4.2606324722863747</v>
      </c>
      <c r="I117" s="495">
        <f t="shared" si="57"/>
        <v>3.7566089523824076</v>
      </c>
      <c r="J117" s="495">
        <f t="shared" si="57"/>
        <v>3.8730351984235369</v>
      </c>
      <c r="K117" s="495">
        <f t="shared" si="57"/>
        <v>3.9272109405072229</v>
      </c>
      <c r="L117" s="495">
        <f t="shared" si="57"/>
        <v>4.1483667644144191</v>
      </c>
      <c r="M117" s="495">
        <f t="shared" si="57"/>
        <v>5.8300493898011041</v>
      </c>
      <c r="N117" s="496">
        <f t="shared" si="57"/>
        <v>17.034381107189745</v>
      </c>
      <c r="P117" s="496">
        <f t="shared" si="48"/>
        <v>-15.643917477598393</v>
      </c>
      <c r="Q117" s="718">
        <f t="shared" ref="Q117:S122" si="58">+Q14-Q65</f>
        <v>-13.938821284527258</v>
      </c>
      <c r="R117" s="718">
        <f t="shared" si="58"/>
        <v>14.174265552794864</v>
      </c>
      <c r="S117" s="718">
        <f t="shared" si="58"/>
        <v>6.9864678851783832</v>
      </c>
      <c r="T117" s="718"/>
      <c r="U117" s="651"/>
      <c r="W117" s="496">
        <f t="shared" si="50"/>
        <v>32.678298584788138</v>
      </c>
      <c r="X117" s="495"/>
      <c r="Y117" s="495">
        <v>-1.4116544417950365</v>
      </c>
      <c r="Z117" s="495">
        <f>+Z14-52</f>
        <v>34.089953026583174</v>
      </c>
      <c r="AA117" s="495"/>
      <c r="AB117" s="8">
        <f t="shared" si="52"/>
        <v>0</v>
      </c>
    </row>
    <row r="118" spans="1:30" x14ac:dyDescent="0.3">
      <c r="A118" s="292" t="s">
        <v>81</v>
      </c>
      <c r="B118" s="495">
        <f t="shared" ref="B118:N118" si="59">+B15-B66</f>
        <v>0</v>
      </c>
      <c r="C118" s="495">
        <f t="shared" si="59"/>
        <v>0</v>
      </c>
      <c r="D118" s="495">
        <f t="shared" si="59"/>
        <v>0</v>
      </c>
      <c r="E118" s="495">
        <f t="shared" si="59"/>
        <v>-23.560826496379917</v>
      </c>
      <c r="F118" s="495">
        <f t="shared" si="59"/>
        <v>-2.3836847671083348</v>
      </c>
      <c r="G118" s="495">
        <f t="shared" si="59"/>
        <v>-1.710113716209321</v>
      </c>
      <c r="H118" s="495">
        <f t="shared" si="59"/>
        <v>-1.8451966617827793</v>
      </c>
      <c r="I118" s="495">
        <f t="shared" si="59"/>
        <v>-1.8271356042209277</v>
      </c>
      <c r="J118" s="495">
        <f t="shared" si="59"/>
        <v>-1.1694917777717393</v>
      </c>
      <c r="K118" s="495">
        <f t="shared" si="59"/>
        <v>-1.0755258211306966</v>
      </c>
      <c r="L118" s="495">
        <f t="shared" si="59"/>
        <v>-0.91717934240385546</v>
      </c>
      <c r="M118" s="495">
        <f t="shared" si="59"/>
        <v>-0.76698279366833333</v>
      </c>
      <c r="N118" s="496">
        <f t="shared" si="59"/>
        <v>-35.256136980675905</v>
      </c>
      <c r="P118" s="496">
        <f t="shared" si="48"/>
        <v>-23.560826496379917</v>
      </c>
      <c r="Q118" s="718">
        <f t="shared" si="58"/>
        <v>-8.8647477534123773</v>
      </c>
      <c r="R118" s="718">
        <f t="shared" si="58"/>
        <v>-7.077</v>
      </c>
      <c r="S118" s="718">
        <f t="shared" si="58"/>
        <v>-2.115477757505424</v>
      </c>
      <c r="T118" s="718"/>
      <c r="U118" s="651"/>
      <c r="W118" s="496">
        <f t="shared" si="50"/>
        <v>-11.695310484295987</v>
      </c>
      <c r="X118" s="495">
        <f t="shared" si="54"/>
        <v>-3.907985046680551E-14</v>
      </c>
      <c r="Y118" s="495">
        <f t="shared" si="54"/>
        <v>-25</v>
      </c>
      <c r="Z118" s="495">
        <f>+Z15-23</f>
        <v>13.687526456186561</v>
      </c>
      <c r="AA118" s="495"/>
      <c r="AB118" s="8">
        <f t="shared" si="52"/>
        <v>-0.38283694048250894</v>
      </c>
    </row>
    <row r="119" spans="1:30" x14ac:dyDescent="0.3">
      <c r="A119" s="292" t="s">
        <v>82</v>
      </c>
      <c r="B119" s="495">
        <f t="shared" ref="B119:N119" si="60">+B16-B67</f>
        <v>0</v>
      </c>
      <c r="C119" s="495">
        <f t="shared" si="60"/>
        <v>0</v>
      </c>
      <c r="D119" s="495">
        <f t="shared" si="60"/>
        <v>0</v>
      </c>
      <c r="E119" s="495">
        <f t="shared" si="60"/>
        <v>-102.90956213635927</v>
      </c>
      <c r="F119" s="495">
        <f t="shared" si="60"/>
        <v>-1.9025467025349769</v>
      </c>
      <c r="G119" s="495">
        <f t="shared" si="60"/>
        <v>-0.33978812105348766</v>
      </c>
      <c r="H119" s="495">
        <f t="shared" si="60"/>
        <v>-0.65914839127748337</v>
      </c>
      <c r="I119" s="495">
        <f t="shared" si="60"/>
        <v>-0.76817861158934875</v>
      </c>
      <c r="J119" s="495">
        <f t="shared" si="60"/>
        <v>43.162877218340157</v>
      </c>
      <c r="K119" s="495">
        <f t="shared" si="60"/>
        <v>-0.63115495550903233</v>
      </c>
      <c r="L119" s="495">
        <f t="shared" si="60"/>
        <v>-0.34469222881273254</v>
      </c>
      <c r="M119" s="495">
        <f t="shared" si="60"/>
        <v>-0.40217907236549877</v>
      </c>
      <c r="N119" s="496">
        <f t="shared" si="60"/>
        <v>-64.794373001161674</v>
      </c>
      <c r="P119" s="496">
        <f t="shared" si="48"/>
        <v>-102.90956213635927</v>
      </c>
      <c r="Q119" s="718">
        <f t="shared" si="58"/>
        <v>-89.752537974872638</v>
      </c>
      <c r="R119" s="718">
        <f t="shared" si="58"/>
        <v>4.84</v>
      </c>
      <c r="S119" s="718">
        <f t="shared" si="58"/>
        <v>-6.0554723162109019</v>
      </c>
      <c r="T119" s="718"/>
      <c r="U119" s="651"/>
      <c r="W119" s="496">
        <f t="shared" si="50"/>
        <v>38.115189135197596</v>
      </c>
      <c r="X119" s="495">
        <v>6</v>
      </c>
      <c r="Y119" s="495">
        <v>6</v>
      </c>
      <c r="Z119" s="495">
        <f>+Z16-39</f>
        <v>26.215005425288297</v>
      </c>
      <c r="AA119" s="495"/>
      <c r="AB119" s="8">
        <f t="shared" si="52"/>
        <v>-9.9816290090700477E-2</v>
      </c>
      <c r="AC119" t="s">
        <v>556</v>
      </c>
    </row>
    <row r="120" spans="1:30" x14ac:dyDescent="0.3">
      <c r="A120" s="292" t="s">
        <v>83</v>
      </c>
      <c r="B120" s="495">
        <f t="shared" ref="B120:N120" si="61">+B17-B68</f>
        <v>0</v>
      </c>
      <c r="C120" s="495">
        <f t="shared" si="61"/>
        <v>0</v>
      </c>
      <c r="D120" s="495">
        <f t="shared" si="61"/>
        <v>0</v>
      </c>
      <c r="E120" s="495">
        <f t="shared" si="61"/>
        <v>-1.6512133200725478</v>
      </c>
      <c r="F120" s="495">
        <f t="shared" si="61"/>
        <v>5.0383240771059157E-2</v>
      </c>
      <c r="G120" s="495">
        <f t="shared" si="61"/>
        <v>0.12609199001328975</v>
      </c>
      <c r="H120" s="495">
        <f t="shared" si="61"/>
        <v>9.426283824663173E-2</v>
      </c>
      <c r="I120" s="495">
        <f t="shared" si="61"/>
        <v>8.9781200412918594E-2</v>
      </c>
      <c r="J120" s="495">
        <f t="shared" si="61"/>
        <v>0.11957004492231871</v>
      </c>
      <c r="K120" s="495">
        <f t="shared" si="61"/>
        <v>0.12674186620923411</v>
      </c>
      <c r="L120" s="495">
        <f t="shared" si="61"/>
        <v>0.14282569575540194</v>
      </c>
      <c r="M120" s="495">
        <f t="shared" si="61"/>
        <v>0.12514506355356314</v>
      </c>
      <c r="N120" s="496">
        <f t="shared" si="61"/>
        <v>-0.77641138018813116</v>
      </c>
      <c r="P120" s="496">
        <f t="shared" si="48"/>
        <v>-1.6512133200725478</v>
      </c>
      <c r="Q120" s="718">
        <f t="shared" si="58"/>
        <v>0.45570629784820316</v>
      </c>
      <c r="R120" s="718">
        <f t="shared" si="58"/>
        <v>-1.5</v>
      </c>
      <c r="S120" s="718">
        <f t="shared" si="58"/>
        <v>-0.1515451228693637</v>
      </c>
      <c r="T120" s="718"/>
      <c r="U120" s="651"/>
      <c r="W120" s="496">
        <f t="shared" si="50"/>
        <v>0.87480193988441668</v>
      </c>
      <c r="X120" s="495">
        <f t="shared" si="54"/>
        <v>-0.16518354632102739</v>
      </c>
      <c r="Y120" s="495">
        <f t="shared" si="54"/>
        <v>0</v>
      </c>
      <c r="Z120" s="495">
        <f>+Z17-1</f>
        <v>1.1173051312408586</v>
      </c>
      <c r="AA120" s="495"/>
      <c r="AB120" s="8">
        <f t="shared" si="52"/>
        <v>-7.7319645035414553E-2</v>
      </c>
    </row>
    <row r="121" spans="1:30" x14ac:dyDescent="0.3">
      <c r="A121" s="292" t="s">
        <v>84</v>
      </c>
      <c r="B121" s="495">
        <f t="shared" ref="B121:N121" si="62">+B18-B69</f>
        <v>0</v>
      </c>
      <c r="C121" s="495">
        <f t="shared" si="62"/>
        <v>0</v>
      </c>
      <c r="D121" s="495">
        <f t="shared" si="62"/>
        <v>0</v>
      </c>
      <c r="E121" s="495">
        <f t="shared" si="62"/>
        <v>-42.952181132436031</v>
      </c>
      <c r="F121" s="495">
        <f t="shared" si="62"/>
        <v>0.59084854764272166</v>
      </c>
      <c r="G121" s="495">
        <f t="shared" si="62"/>
        <v>0.8891715964020932</v>
      </c>
      <c r="H121" s="495">
        <f t="shared" si="62"/>
        <v>0.70223599679087556</v>
      </c>
      <c r="I121" s="495">
        <f t="shared" si="62"/>
        <v>0.67822602116667952</v>
      </c>
      <c r="J121" s="495">
        <f t="shared" si="62"/>
        <v>0.6550998707597131</v>
      </c>
      <c r="K121" s="495">
        <f t="shared" si="62"/>
        <v>0.84929252227811247</v>
      </c>
      <c r="L121" s="495">
        <f t="shared" si="62"/>
        <v>0.90867156884920774</v>
      </c>
      <c r="M121" s="495">
        <f t="shared" si="62"/>
        <v>1.0285594418629529</v>
      </c>
      <c r="N121" s="496">
        <f t="shared" si="62"/>
        <v>-36.650075566683675</v>
      </c>
      <c r="P121" s="496">
        <f t="shared" si="48"/>
        <v>-42.952181132436031</v>
      </c>
      <c r="Q121" s="718">
        <f t="shared" si="58"/>
        <v>-43.359594415453202</v>
      </c>
      <c r="R121" s="718">
        <f t="shared" si="58"/>
        <v>0</v>
      </c>
      <c r="S121" s="718">
        <f t="shared" si="58"/>
        <v>-2.5626295008761506</v>
      </c>
      <c r="T121" s="718"/>
      <c r="U121" s="651"/>
      <c r="W121" s="496">
        <f t="shared" si="50"/>
        <v>6.3021055657523561</v>
      </c>
      <c r="X121" s="495">
        <v>0</v>
      </c>
      <c r="Y121" s="495">
        <f t="shared" si="54"/>
        <v>0</v>
      </c>
      <c r="Z121" s="495">
        <f>+Z18-10</f>
        <v>5.89283681854549</v>
      </c>
      <c r="AA121" s="495"/>
      <c r="AB121" s="8">
        <f t="shared" si="52"/>
        <v>0.40926874720686612</v>
      </c>
    </row>
    <row r="122" spans="1:30" x14ac:dyDescent="0.3">
      <c r="A122" s="292" t="s">
        <v>86</v>
      </c>
      <c r="B122" s="495">
        <f t="shared" ref="B122:N122" si="63">+B19-B70</f>
        <v>0</v>
      </c>
      <c r="C122" s="495">
        <f t="shared" si="63"/>
        <v>0</v>
      </c>
      <c r="D122" s="495">
        <f t="shared" si="63"/>
        <v>0</v>
      </c>
      <c r="E122" s="495">
        <f t="shared" si="63"/>
        <v>-175.11392888766926</v>
      </c>
      <c r="F122" s="495">
        <f t="shared" si="63"/>
        <v>-20.827615085700927</v>
      </c>
      <c r="G122" s="495">
        <f t="shared" si="63"/>
        <v>-16.262232526073944</v>
      </c>
      <c r="H122" s="495">
        <f t="shared" si="63"/>
        <v>0.93778971514279874</v>
      </c>
      <c r="I122" s="495">
        <f t="shared" si="63"/>
        <v>1.8379502667179395</v>
      </c>
      <c r="J122" s="495">
        <f t="shared" si="63"/>
        <v>2.9514118562552767</v>
      </c>
      <c r="K122" s="495">
        <f t="shared" si="63"/>
        <v>5.608743164527624</v>
      </c>
      <c r="L122" s="495">
        <f t="shared" si="63"/>
        <v>10.220177036131133</v>
      </c>
      <c r="M122" s="495">
        <f t="shared" si="63"/>
        <v>18.856973539028218</v>
      </c>
      <c r="N122" s="496">
        <f t="shared" si="63"/>
        <v>-171.79073092164114</v>
      </c>
      <c r="P122" s="496">
        <f t="shared" si="48"/>
        <v>-175.11392888766926</v>
      </c>
      <c r="Q122" s="718">
        <f t="shared" si="58"/>
        <v>-133.52022143443952</v>
      </c>
      <c r="R122" s="718">
        <f t="shared" si="58"/>
        <v>0</v>
      </c>
      <c r="S122" s="718">
        <f t="shared" si="58"/>
        <v>-28.67</v>
      </c>
      <c r="T122" s="718"/>
      <c r="U122" s="651"/>
      <c r="W122" s="496">
        <f t="shared" si="50"/>
        <v>3.3231979660281183</v>
      </c>
      <c r="X122" s="495">
        <v>3.3231979660281183</v>
      </c>
      <c r="Y122" s="495">
        <f t="shared" si="54"/>
        <v>0</v>
      </c>
      <c r="Z122" s="495">
        <f t="shared" si="54"/>
        <v>0</v>
      </c>
      <c r="AA122" s="495"/>
      <c r="AB122" s="8">
        <f t="shared" si="52"/>
        <v>0</v>
      </c>
    </row>
    <row r="123" spans="1:30" x14ac:dyDescent="0.3">
      <c r="A123" s="4" t="s">
        <v>87</v>
      </c>
      <c r="B123" s="497">
        <f t="shared" ref="B123:N123" si="64">+B20-B71</f>
        <v>0</v>
      </c>
      <c r="C123" s="497">
        <f t="shared" si="64"/>
        <v>0</v>
      </c>
      <c r="D123" s="497">
        <f t="shared" si="64"/>
        <v>0</v>
      </c>
      <c r="E123" s="497">
        <f t="shared" si="64"/>
        <v>-361.83162945051544</v>
      </c>
      <c r="F123" s="497">
        <f t="shared" si="64"/>
        <v>-21.593524820325477</v>
      </c>
      <c r="G123" s="497">
        <f t="shared" si="64"/>
        <v>-13.293565856553279</v>
      </c>
      <c r="H123" s="497">
        <f t="shared" si="64"/>
        <v>3.4905759694064145</v>
      </c>
      <c r="I123" s="497">
        <f t="shared" si="64"/>
        <v>3.7672522248696652</v>
      </c>
      <c r="J123" s="497">
        <f t="shared" si="64"/>
        <v>49.592502410929264</v>
      </c>
      <c r="K123" s="497">
        <f t="shared" si="64"/>
        <v>8.8053077168824636</v>
      </c>
      <c r="L123" s="497">
        <f t="shared" si="64"/>
        <v>14.158169493933574</v>
      </c>
      <c r="M123" s="497">
        <f t="shared" si="64"/>
        <v>24.671565568212007</v>
      </c>
      <c r="N123" s="497">
        <f t="shared" si="64"/>
        <v>-292.23334674316072</v>
      </c>
      <c r="P123" s="497">
        <f t="shared" si="48"/>
        <v>-361.83162945051544</v>
      </c>
      <c r="Q123" s="720">
        <f>SUM(Q117:Q122)</f>
        <v>-288.98021656485679</v>
      </c>
      <c r="R123" s="720">
        <f t="shared" ref="R123:T123" si="65">SUM(R117:R122)</f>
        <v>10.437265552794864</v>
      </c>
      <c r="S123" s="720">
        <f t="shared" si="65"/>
        <v>-32.568656812283457</v>
      </c>
      <c r="T123" s="720">
        <f t="shared" si="65"/>
        <v>0</v>
      </c>
      <c r="U123" s="651"/>
      <c r="W123" s="497">
        <f t="shared" si="50"/>
        <v>69.598282707354713</v>
      </c>
      <c r="X123" s="497">
        <f>SUM(X117:X122)</f>
        <v>9.158014419707051</v>
      </c>
      <c r="Y123" s="497">
        <f t="shared" ref="Y123:AA123" si="66">SUM(Y117:Y122)</f>
        <v>-20.411654441795037</v>
      </c>
      <c r="Z123" s="497">
        <f t="shared" si="66"/>
        <v>81.002626857844376</v>
      </c>
      <c r="AA123" s="497">
        <f t="shared" si="66"/>
        <v>0</v>
      </c>
      <c r="AB123" s="8">
        <f t="shared" si="52"/>
        <v>-0.15070412840168501</v>
      </c>
    </row>
    <row r="124" spans="1:30" x14ac:dyDescent="0.3">
      <c r="A124" s="5" t="s">
        <v>88</v>
      </c>
      <c r="B124" s="58">
        <f t="shared" ref="B124:N124" si="67">+B21-B72</f>
        <v>0</v>
      </c>
      <c r="C124" s="58">
        <f t="shared" si="67"/>
        <v>0</v>
      </c>
      <c r="D124" s="58">
        <f t="shared" si="67"/>
        <v>0</v>
      </c>
      <c r="E124" s="58">
        <f t="shared" si="67"/>
        <v>-301.69916083714878</v>
      </c>
      <c r="F124" s="58">
        <f t="shared" si="67"/>
        <v>-47.631740519726463</v>
      </c>
      <c r="G124" s="58">
        <f t="shared" si="67"/>
        <v>-25.325610568163853</v>
      </c>
      <c r="H124" s="58">
        <f t="shared" si="67"/>
        <v>-1.5712937077609155</v>
      </c>
      <c r="I124" s="58">
        <f t="shared" si="67"/>
        <v>19.705042313312717</v>
      </c>
      <c r="J124" s="58">
        <f t="shared" si="67"/>
        <v>36.751861503146024</v>
      </c>
      <c r="K124" s="58">
        <f t="shared" si="67"/>
        <v>17.675362693453295</v>
      </c>
      <c r="L124" s="58">
        <f t="shared" si="67"/>
        <v>23.413817899152804</v>
      </c>
      <c r="M124" s="58">
        <f t="shared" si="67"/>
        <v>34.653477500493153</v>
      </c>
      <c r="N124" s="58">
        <f t="shared" si="67"/>
        <v>-244.02824372324187</v>
      </c>
      <c r="P124" s="58">
        <f t="shared" si="48"/>
        <v>-301.69916083714878</v>
      </c>
      <c r="Q124" s="721">
        <f t="shared" ref="Q124:T124" si="68">+Q123+Q116</f>
        <v>-354.89549912885002</v>
      </c>
      <c r="R124" s="721">
        <f t="shared" si="68"/>
        <v>20.344265552794859</v>
      </c>
      <c r="S124" s="721">
        <f t="shared" si="68"/>
        <v>-16.358935479489283</v>
      </c>
      <c r="T124" s="721">
        <f t="shared" si="68"/>
        <v>0</v>
      </c>
      <c r="U124" s="651"/>
      <c r="W124" s="58">
        <f t="shared" si="50"/>
        <v>57.67091711390691</v>
      </c>
      <c r="X124" s="58">
        <f>SUM(X123,X116)</f>
        <v>-64.359851792484108</v>
      </c>
      <c r="Y124" s="58">
        <f t="shared" ref="Y124:AA124" si="69">SUM(Y123,Y116)</f>
        <v>-42.411654441795037</v>
      </c>
      <c r="Z124" s="58">
        <f t="shared" si="69"/>
        <v>164.59312747658765</v>
      </c>
      <c r="AA124" s="58">
        <f t="shared" si="69"/>
        <v>0</v>
      </c>
      <c r="AB124" s="8">
        <f t="shared" si="52"/>
        <v>-0.15070412840159975</v>
      </c>
    </row>
    <row r="125" spans="1:30" x14ac:dyDescent="0.3">
      <c r="A125" s="292" t="s">
        <v>89</v>
      </c>
      <c r="B125" s="495">
        <f t="shared" ref="B125:N125" si="70">+B22-B73</f>
        <v>0</v>
      </c>
      <c r="C125" s="495">
        <f t="shared" si="70"/>
        <v>0</v>
      </c>
      <c r="D125" s="495">
        <f t="shared" si="70"/>
        <v>0</v>
      </c>
      <c r="E125" s="495">
        <f t="shared" si="70"/>
        <v>-4.2713122838758117</v>
      </c>
      <c r="F125" s="495">
        <f t="shared" si="70"/>
        <v>0.2188265845678643</v>
      </c>
      <c r="G125" s="495">
        <f t="shared" si="70"/>
        <v>0.31445640770867911</v>
      </c>
      <c r="H125" s="495">
        <f t="shared" si="70"/>
        <v>0.30153148769931448</v>
      </c>
      <c r="I125" s="495">
        <f t="shared" si="70"/>
        <v>0.28862152744095226</v>
      </c>
      <c r="J125" s="495">
        <f t="shared" si="70"/>
        <v>0.28576996426818013</v>
      </c>
      <c r="K125" s="495">
        <f t="shared" si="70"/>
        <v>0.31356684312404326</v>
      </c>
      <c r="L125" s="495">
        <f t="shared" si="70"/>
        <v>0.33166248603821558</v>
      </c>
      <c r="M125" s="495">
        <f t="shared" si="70"/>
        <v>0.35952836495469853</v>
      </c>
      <c r="N125" s="496">
        <f t="shared" si="70"/>
        <v>-1.8573486180738641</v>
      </c>
      <c r="P125" s="496">
        <f t="shared" si="48"/>
        <v>-4.2713122838758117</v>
      </c>
      <c r="Q125" s="718">
        <f t="shared" ref="Q125:S125" si="71">+Q22-Q73</f>
        <v>-6.9097367256053364</v>
      </c>
      <c r="R125" s="718">
        <f t="shared" si="71"/>
        <v>0</v>
      </c>
      <c r="S125" s="718">
        <f t="shared" si="71"/>
        <v>-0.61461252814378831</v>
      </c>
      <c r="T125" s="718"/>
      <c r="U125" s="651"/>
      <c r="W125" s="496">
        <f t="shared" si="50"/>
        <v>2.4139636658019477</v>
      </c>
      <c r="X125" s="495">
        <v>1</v>
      </c>
      <c r="Y125" s="495">
        <f t="shared" si="54"/>
        <v>0</v>
      </c>
      <c r="Z125" s="495">
        <f t="shared" si="54"/>
        <v>1.4892030267138985</v>
      </c>
      <c r="AA125" s="495"/>
      <c r="AB125" s="8">
        <f t="shared" si="52"/>
        <v>-7.5239360911950826E-2</v>
      </c>
    </row>
    <row r="126" spans="1:30" x14ac:dyDescent="0.3">
      <c r="A126" s="5" t="s">
        <v>90</v>
      </c>
      <c r="B126" s="58">
        <f t="shared" ref="B126:N126" si="72">+B23-B74</f>
        <v>0</v>
      </c>
      <c r="C126" s="58">
        <f t="shared" si="72"/>
        <v>0</v>
      </c>
      <c r="D126" s="58">
        <f t="shared" si="72"/>
        <v>0</v>
      </c>
      <c r="E126" s="58">
        <f t="shared" si="72"/>
        <v>-305.97047312102455</v>
      </c>
      <c r="F126" s="58">
        <f t="shared" si="72"/>
        <v>-47.412913935158599</v>
      </c>
      <c r="G126" s="58">
        <f t="shared" si="72"/>
        <v>-25.011154160455177</v>
      </c>
      <c r="H126" s="58">
        <f t="shared" si="72"/>
        <v>-1.2697622200615939</v>
      </c>
      <c r="I126" s="58">
        <f t="shared" si="72"/>
        <v>19.993663840753669</v>
      </c>
      <c r="J126" s="58">
        <f t="shared" si="72"/>
        <v>37.037631467414208</v>
      </c>
      <c r="K126" s="58">
        <f t="shared" si="72"/>
        <v>17.988929536577338</v>
      </c>
      <c r="L126" s="58">
        <f t="shared" si="72"/>
        <v>23.745480385191019</v>
      </c>
      <c r="M126" s="58">
        <f t="shared" si="72"/>
        <v>35.013005865447852</v>
      </c>
      <c r="N126" s="58">
        <f t="shared" si="72"/>
        <v>-245.88559234131571</v>
      </c>
      <c r="P126" s="58">
        <f t="shared" si="48"/>
        <v>-305.97047312102455</v>
      </c>
      <c r="Q126" s="721">
        <f>+Q125+Q124</f>
        <v>-361.80523585445536</v>
      </c>
      <c r="R126" s="721">
        <f t="shared" ref="R126:T126" si="73">+R125+R124</f>
        <v>20.344265552794859</v>
      </c>
      <c r="S126" s="721">
        <f t="shared" si="73"/>
        <v>-16.97354800763307</v>
      </c>
      <c r="T126" s="721">
        <f t="shared" si="73"/>
        <v>0</v>
      </c>
      <c r="U126" s="651"/>
      <c r="W126" s="58">
        <f t="shared" si="50"/>
        <v>60.08488077970884</v>
      </c>
      <c r="X126" s="58">
        <f t="shared" ref="X126:AA126" si="74">+X124+X125</f>
        <v>-63.359851792484108</v>
      </c>
      <c r="Y126" s="58">
        <f t="shared" si="74"/>
        <v>-42.411654441795037</v>
      </c>
      <c r="Z126" s="58">
        <f t="shared" si="74"/>
        <v>166.08233050330156</v>
      </c>
      <c r="AA126" s="58">
        <f t="shared" si="74"/>
        <v>0</v>
      </c>
      <c r="AB126" s="8">
        <f t="shared" si="52"/>
        <v>-0.22594348931357899</v>
      </c>
    </row>
    <row r="127" spans="1:30" x14ac:dyDescent="0.3">
      <c r="A127" s="423" t="s">
        <v>91</v>
      </c>
      <c r="B127" s="652">
        <f t="shared" ref="B127:N127" si="75">+B24-B75</f>
        <v>0</v>
      </c>
      <c r="C127" s="652">
        <f t="shared" si="75"/>
        <v>0</v>
      </c>
      <c r="D127" s="652">
        <f t="shared" si="75"/>
        <v>0</v>
      </c>
      <c r="E127" s="652">
        <f t="shared" si="75"/>
        <v>-351.39996984977461</v>
      </c>
      <c r="F127" s="652">
        <f t="shared" si="75"/>
        <v>-90.910796034165287</v>
      </c>
      <c r="G127" s="652">
        <f t="shared" si="75"/>
        <v>-90.484627796530617</v>
      </c>
      <c r="H127" s="652">
        <f t="shared" si="75"/>
        <v>-93.021239900481646</v>
      </c>
      <c r="I127" s="652">
        <f t="shared" si="75"/>
        <v>-93.646469416440993</v>
      </c>
      <c r="J127" s="652">
        <f t="shared" si="75"/>
        <v>-91.731893736570328</v>
      </c>
      <c r="K127" s="652">
        <f t="shared" si="75"/>
        <v>-94.592910016534347</v>
      </c>
      <c r="L127" s="652">
        <f t="shared" si="75"/>
        <v>-93.253493687221862</v>
      </c>
      <c r="M127" s="652">
        <f t="shared" si="75"/>
        <v>-95.659202057701066</v>
      </c>
      <c r="N127" s="652">
        <f t="shared" si="75"/>
        <v>-1094.700602495421</v>
      </c>
      <c r="P127" s="518">
        <f t="shared" si="48"/>
        <v>-351.39996984977461</v>
      </c>
      <c r="Q127" s="722">
        <v>0</v>
      </c>
      <c r="R127" s="722">
        <v>0</v>
      </c>
      <c r="S127" s="722">
        <f>+P127</f>
        <v>-351.39996984977461</v>
      </c>
      <c r="T127" s="722"/>
      <c r="U127" s="651"/>
      <c r="W127" s="496">
        <f t="shared" si="50"/>
        <v>-743.30063264564637</v>
      </c>
      <c r="X127" s="495">
        <v>0</v>
      </c>
      <c r="Y127" s="495">
        <v>0</v>
      </c>
      <c r="Z127" s="495">
        <f>+W127</f>
        <v>-743.30063264564637</v>
      </c>
      <c r="AA127" s="495"/>
      <c r="AB127" s="8">
        <f t="shared" si="52"/>
        <v>0</v>
      </c>
    </row>
    <row r="128" spans="1:30" x14ac:dyDescent="0.3">
      <c r="A128" s="426" t="s">
        <v>92</v>
      </c>
      <c r="B128" s="516">
        <f t="shared" ref="B128:N128" si="76">+B25-B76</f>
        <v>0</v>
      </c>
      <c r="C128" s="516">
        <f t="shared" si="76"/>
        <v>0</v>
      </c>
      <c r="D128" s="516">
        <f t="shared" si="76"/>
        <v>0</v>
      </c>
      <c r="E128" s="516">
        <f t="shared" si="76"/>
        <v>-657.37044297079922</v>
      </c>
      <c r="F128" s="516">
        <f t="shared" si="76"/>
        <v>-138.32370996932389</v>
      </c>
      <c r="G128" s="516">
        <f t="shared" si="76"/>
        <v>-115.49578195698578</v>
      </c>
      <c r="H128" s="516">
        <f t="shared" si="76"/>
        <v>-94.291002120543254</v>
      </c>
      <c r="I128" s="516">
        <f t="shared" si="76"/>
        <v>-73.652805575687339</v>
      </c>
      <c r="J128" s="516">
        <f t="shared" si="76"/>
        <v>-54.694262269156127</v>
      </c>
      <c r="K128" s="516">
        <f t="shared" si="76"/>
        <v>-76.603980479956988</v>
      </c>
      <c r="L128" s="516">
        <f t="shared" si="76"/>
        <v>-69.508013302030832</v>
      </c>
      <c r="M128" s="516">
        <f t="shared" si="76"/>
        <v>-60.6461961922532</v>
      </c>
      <c r="N128" s="516">
        <f t="shared" si="76"/>
        <v>-1340.5861948367367</v>
      </c>
      <c r="P128" s="58">
        <f t="shared" si="48"/>
        <v>-657.37044297079922</v>
      </c>
      <c r="Q128" s="721">
        <f t="shared" ref="Q128:T128" si="77">+Q127+Q126</f>
        <v>-361.80523585445536</v>
      </c>
      <c r="R128" s="721">
        <f t="shared" si="77"/>
        <v>20.344265552794859</v>
      </c>
      <c r="S128" s="721">
        <f t="shared" si="77"/>
        <v>-368.37351785740771</v>
      </c>
      <c r="T128" s="721">
        <f t="shared" si="77"/>
        <v>0</v>
      </c>
      <c r="U128" s="651"/>
      <c r="W128" s="516">
        <f t="shared" si="50"/>
        <v>-683.21575186593748</v>
      </c>
      <c r="X128" s="516">
        <f t="shared" ref="X128:AA128" si="78">+X127+X126</f>
        <v>-63.359851792484108</v>
      </c>
      <c r="Y128" s="516">
        <f t="shared" si="78"/>
        <v>-42.411654441795037</v>
      </c>
      <c r="Z128" s="516">
        <f t="shared" si="78"/>
        <v>-577.21830214234478</v>
      </c>
      <c r="AA128" s="516">
        <f t="shared" si="78"/>
        <v>0</v>
      </c>
      <c r="AB128" s="8">
        <f t="shared" si="52"/>
        <v>-0.22594348931352215</v>
      </c>
    </row>
    <row r="129" spans="1:29" x14ac:dyDescent="0.3">
      <c r="A129" s="51"/>
      <c r="B129" s="204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498"/>
      <c r="P129" s="498"/>
      <c r="Q129" s="723"/>
      <c r="R129" s="723"/>
      <c r="S129" s="723"/>
      <c r="T129" s="723"/>
      <c r="U129" s="651"/>
      <c r="W129" s="498"/>
      <c r="X129" s="204"/>
      <c r="Y129" s="204"/>
      <c r="Z129" s="204"/>
      <c r="AA129" s="204"/>
      <c r="AB129" s="8"/>
    </row>
    <row r="130" spans="1:29" x14ac:dyDescent="0.3">
      <c r="A130" s="291" t="s">
        <v>76</v>
      </c>
      <c r="B130" s="493">
        <f t="shared" ref="B130:N130" si="79">+B27-B78</f>
        <v>0</v>
      </c>
      <c r="C130" s="493">
        <f t="shared" si="79"/>
        <v>0</v>
      </c>
      <c r="D130" s="493">
        <f t="shared" si="79"/>
        <v>0</v>
      </c>
      <c r="E130" s="493">
        <f t="shared" si="79"/>
        <v>33.311455305263166</v>
      </c>
      <c r="F130" s="493">
        <f t="shared" si="79"/>
        <v>-1.2511250000000018</v>
      </c>
      <c r="G130" s="493">
        <f t="shared" si="79"/>
        <v>-0.76668990044999674</v>
      </c>
      <c r="H130" s="493">
        <f t="shared" si="79"/>
        <v>-0.45240679999999855</v>
      </c>
      <c r="I130" s="493">
        <f t="shared" si="79"/>
        <v>0.3953549995500012</v>
      </c>
      <c r="J130" s="493">
        <f t="shared" si="79"/>
        <v>0.4113699000000004</v>
      </c>
      <c r="K130" s="493">
        <f t="shared" si="79"/>
        <v>0</v>
      </c>
      <c r="L130" s="493">
        <f t="shared" si="79"/>
        <v>0</v>
      </c>
      <c r="M130" s="493">
        <f t="shared" si="79"/>
        <v>0</v>
      </c>
      <c r="N130" s="493">
        <f t="shared" si="79"/>
        <v>31.647958504363174</v>
      </c>
      <c r="P130" s="494">
        <f t="shared" ref="P130:P135" si="80">SUM(B130:E130)</f>
        <v>33.311455305263166</v>
      </c>
      <c r="Q130" s="717">
        <f t="shared" ref="Q130:S134" si="81">+Q27-Q78</f>
        <v>29.952683062040638</v>
      </c>
      <c r="R130" s="717">
        <f t="shared" si="81"/>
        <v>5.7440000000000007</v>
      </c>
      <c r="S130" s="717">
        <f t="shared" si="81"/>
        <v>0</v>
      </c>
      <c r="T130" s="717"/>
      <c r="U130" s="651"/>
      <c r="W130" s="494">
        <f t="shared" ref="W130:W135" si="82">N130-P130</f>
        <v>-1.663496800899992</v>
      </c>
      <c r="X130" s="493">
        <v>-2</v>
      </c>
      <c r="Y130" s="494">
        <f t="shared" ref="X130:Z134" si="83">+Y27-Y78</f>
        <v>0</v>
      </c>
      <c r="Z130" s="493">
        <f t="shared" si="83"/>
        <v>0</v>
      </c>
      <c r="AA130" s="493">
        <f t="shared" ref="AA130:AA134" si="84">+AA128+AA129</f>
        <v>0</v>
      </c>
      <c r="AB130" s="8">
        <f t="shared" si="52"/>
        <v>0.33650319910000803</v>
      </c>
    </row>
    <row r="131" spans="1:29" x14ac:dyDescent="0.3">
      <c r="A131" s="292" t="s">
        <v>77</v>
      </c>
      <c r="B131" s="495">
        <f t="shared" ref="B131:N131" si="85">+B28-B79</f>
        <v>0</v>
      </c>
      <c r="C131" s="495">
        <f t="shared" si="85"/>
        <v>0</v>
      </c>
      <c r="D131" s="495">
        <f t="shared" si="85"/>
        <v>0</v>
      </c>
      <c r="E131" s="495">
        <f t="shared" si="85"/>
        <v>-17.205048810267627</v>
      </c>
      <c r="F131" s="495">
        <f t="shared" si="85"/>
        <v>3.0750000000000028</v>
      </c>
      <c r="G131" s="495">
        <f t="shared" si="85"/>
        <v>1.8843612299999961</v>
      </c>
      <c r="H131" s="495">
        <f t="shared" si="85"/>
        <v>1.1119200000000049</v>
      </c>
      <c r="I131" s="495">
        <f t="shared" si="85"/>
        <v>-0.97169877000000326</v>
      </c>
      <c r="J131" s="495">
        <f t="shared" si="85"/>
        <v>-1.0110600000000005</v>
      </c>
      <c r="K131" s="495">
        <f t="shared" si="85"/>
        <v>0</v>
      </c>
      <c r="L131" s="495">
        <f t="shared" si="85"/>
        <v>0</v>
      </c>
      <c r="M131" s="495">
        <f t="shared" si="85"/>
        <v>0</v>
      </c>
      <c r="N131" s="496">
        <f t="shared" si="85"/>
        <v>-13.11652635026762</v>
      </c>
      <c r="P131" s="496">
        <f t="shared" si="80"/>
        <v>-17.205048810267627</v>
      </c>
      <c r="Q131" s="718">
        <f t="shared" si="81"/>
        <v>0.88292999999998401</v>
      </c>
      <c r="R131" s="718">
        <f t="shared" si="81"/>
        <v>-14.338999999999999</v>
      </c>
      <c r="S131" s="718">
        <f t="shared" si="81"/>
        <v>-2.6609999999999996</v>
      </c>
      <c r="T131" s="718"/>
      <c r="U131" s="651"/>
      <c r="W131" s="496">
        <f t="shared" si="82"/>
        <v>4.0885224600000072</v>
      </c>
      <c r="X131" s="495">
        <f>(+X28-X79)+-6.48616458824207</f>
        <v>-0.46066220602666874</v>
      </c>
      <c r="Y131" s="496">
        <v>10</v>
      </c>
      <c r="Z131" s="495">
        <f>+Z28--9</f>
        <v>-5.4508153339733241</v>
      </c>
      <c r="AA131" s="495">
        <f t="shared" si="84"/>
        <v>0</v>
      </c>
      <c r="AB131" s="8">
        <f t="shared" si="52"/>
        <v>0</v>
      </c>
    </row>
    <row r="132" spans="1:29" x14ac:dyDescent="0.3">
      <c r="A132" s="292" t="s">
        <v>144</v>
      </c>
      <c r="B132" s="495">
        <f t="shared" ref="B132:N132" si="86">+B29-B80</f>
        <v>0</v>
      </c>
      <c r="C132" s="495">
        <f t="shared" si="86"/>
        <v>0</v>
      </c>
      <c r="D132" s="495">
        <f t="shared" si="86"/>
        <v>0</v>
      </c>
      <c r="E132" s="495">
        <f t="shared" si="86"/>
        <v>65.577179999999998</v>
      </c>
      <c r="F132" s="495">
        <f t="shared" si="86"/>
        <v>0</v>
      </c>
      <c r="G132" s="495">
        <f t="shared" si="86"/>
        <v>0</v>
      </c>
      <c r="H132" s="495">
        <f t="shared" si="86"/>
        <v>0</v>
      </c>
      <c r="I132" s="495">
        <f t="shared" si="86"/>
        <v>0</v>
      </c>
      <c r="J132" s="495">
        <f t="shared" si="86"/>
        <v>0</v>
      </c>
      <c r="K132" s="495">
        <f t="shared" si="86"/>
        <v>0</v>
      </c>
      <c r="L132" s="495">
        <f t="shared" si="86"/>
        <v>0</v>
      </c>
      <c r="M132" s="495">
        <f t="shared" si="86"/>
        <v>0</v>
      </c>
      <c r="N132" s="496">
        <f t="shared" si="86"/>
        <v>65.577179999999998</v>
      </c>
      <c r="P132" s="496">
        <f t="shared" si="80"/>
        <v>65.577179999999998</v>
      </c>
      <c r="Q132" s="718">
        <f t="shared" si="81"/>
        <v>65.704129999999992</v>
      </c>
      <c r="R132" s="718">
        <f t="shared" si="81"/>
        <v>-0.12397999999999998</v>
      </c>
      <c r="S132" s="718">
        <f t="shared" si="81"/>
        <v>0</v>
      </c>
      <c r="T132" s="718"/>
      <c r="U132" s="651"/>
      <c r="W132" s="496">
        <f t="shared" si="82"/>
        <v>0</v>
      </c>
      <c r="X132" s="495">
        <f t="shared" si="83"/>
        <v>0</v>
      </c>
      <c r="Y132" s="496">
        <f t="shared" si="83"/>
        <v>0</v>
      </c>
      <c r="Z132" s="495">
        <f t="shared" si="83"/>
        <v>0</v>
      </c>
      <c r="AA132" s="495">
        <f t="shared" si="84"/>
        <v>0</v>
      </c>
      <c r="AB132" s="8">
        <f t="shared" si="52"/>
        <v>0</v>
      </c>
    </row>
    <row r="133" spans="1:29" x14ac:dyDescent="0.3">
      <c r="A133" s="292" t="s">
        <v>85</v>
      </c>
      <c r="B133" s="495">
        <f t="shared" ref="B133:N133" si="87">+B30-B81</f>
        <v>0</v>
      </c>
      <c r="C133" s="495">
        <f t="shared" si="87"/>
        <v>0</v>
      </c>
      <c r="D133" s="495">
        <f t="shared" si="87"/>
        <v>0</v>
      </c>
      <c r="E133" s="495">
        <f t="shared" si="87"/>
        <v>-11.418659999999988</v>
      </c>
      <c r="F133" s="495">
        <f t="shared" si="87"/>
        <v>-0.44122411542035778</v>
      </c>
      <c r="G133" s="495">
        <f t="shared" si="87"/>
        <v>0</v>
      </c>
      <c r="H133" s="495">
        <f t="shared" si="87"/>
        <v>0</v>
      </c>
      <c r="I133" s="495">
        <f t="shared" si="87"/>
        <v>0</v>
      </c>
      <c r="J133" s="495">
        <f t="shared" si="87"/>
        <v>0</v>
      </c>
      <c r="K133" s="495">
        <f t="shared" si="87"/>
        <v>0</v>
      </c>
      <c r="L133" s="495">
        <f t="shared" si="87"/>
        <v>0</v>
      </c>
      <c r="M133" s="495">
        <f t="shared" si="87"/>
        <v>0</v>
      </c>
      <c r="N133" s="496">
        <f t="shared" si="87"/>
        <v>-11.859884115420336</v>
      </c>
      <c r="P133" s="496">
        <f t="shared" si="80"/>
        <v>-11.418659999999988</v>
      </c>
      <c r="Q133" s="718">
        <v>-11.418659999999988</v>
      </c>
      <c r="R133" s="718">
        <f t="shared" si="81"/>
        <v>0</v>
      </c>
      <c r="S133" s="718">
        <f t="shared" si="81"/>
        <v>0</v>
      </c>
      <c r="T133" s="718"/>
      <c r="U133" s="651"/>
      <c r="W133" s="496">
        <f t="shared" si="82"/>
        <v>-0.44122411542034712</v>
      </c>
      <c r="X133" s="495">
        <v>0</v>
      </c>
      <c r="Y133" s="496">
        <f t="shared" si="83"/>
        <v>0</v>
      </c>
      <c r="Z133" s="495">
        <f t="shared" si="83"/>
        <v>0</v>
      </c>
      <c r="AA133" s="495">
        <f t="shared" si="84"/>
        <v>0</v>
      </c>
      <c r="AB133" s="8">
        <f t="shared" si="52"/>
        <v>-0.44122411542034712</v>
      </c>
    </row>
    <row r="134" spans="1:29" x14ac:dyDescent="0.3">
      <c r="A134" s="306" t="s">
        <v>145</v>
      </c>
      <c r="B134" s="499">
        <f t="shared" ref="B134:N134" si="88">+B31-B82</f>
        <v>0</v>
      </c>
      <c r="C134" s="499">
        <f t="shared" si="88"/>
        <v>0</v>
      </c>
      <c r="D134" s="499">
        <f t="shared" si="88"/>
        <v>0</v>
      </c>
      <c r="E134" s="499">
        <f t="shared" si="88"/>
        <v>0</v>
      </c>
      <c r="F134" s="499">
        <f t="shared" si="88"/>
        <v>0</v>
      </c>
      <c r="G134" s="499">
        <f t="shared" si="88"/>
        <v>0</v>
      </c>
      <c r="H134" s="499">
        <f t="shared" si="88"/>
        <v>0</v>
      </c>
      <c r="I134" s="499">
        <f t="shared" si="88"/>
        <v>0</v>
      </c>
      <c r="J134" s="499">
        <f t="shared" si="88"/>
        <v>0</v>
      </c>
      <c r="K134" s="499">
        <f t="shared" si="88"/>
        <v>0</v>
      </c>
      <c r="L134" s="499">
        <f t="shared" si="88"/>
        <v>0</v>
      </c>
      <c r="M134" s="499">
        <f t="shared" si="88"/>
        <v>0</v>
      </c>
      <c r="N134" s="500">
        <f t="shared" si="88"/>
        <v>0</v>
      </c>
      <c r="P134" s="500">
        <f t="shared" si="80"/>
        <v>0</v>
      </c>
      <c r="Q134" s="719">
        <f t="shared" si="81"/>
        <v>0</v>
      </c>
      <c r="R134" s="719">
        <f t="shared" si="81"/>
        <v>0</v>
      </c>
      <c r="S134" s="719">
        <f t="shared" si="81"/>
        <v>0</v>
      </c>
      <c r="T134" s="719"/>
      <c r="U134" s="651"/>
      <c r="W134" s="500">
        <f t="shared" si="82"/>
        <v>0</v>
      </c>
      <c r="X134" s="499">
        <f t="shared" si="83"/>
        <v>0</v>
      </c>
      <c r="Y134" s="500">
        <f t="shared" si="83"/>
        <v>0</v>
      </c>
      <c r="Z134" s="499">
        <f t="shared" si="83"/>
        <v>0</v>
      </c>
      <c r="AA134" s="499">
        <f t="shared" si="84"/>
        <v>0</v>
      </c>
      <c r="AB134" s="8">
        <f t="shared" si="52"/>
        <v>0</v>
      </c>
    </row>
    <row r="135" spans="1:29" x14ac:dyDescent="0.3">
      <c r="A135" s="200" t="s">
        <v>146</v>
      </c>
      <c r="B135" s="201">
        <f t="shared" ref="B135:N135" si="89">+B32-B83</f>
        <v>0</v>
      </c>
      <c r="C135" s="201">
        <f t="shared" si="89"/>
        <v>0</v>
      </c>
      <c r="D135" s="201">
        <f t="shared" si="89"/>
        <v>0</v>
      </c>
      <c r="E135" s="201">
        <f t="shared" si="89"/>
        <v>70.264926494995564</v>
      </c>
      <c r="F135" s="201">
        <f t="shared" si="89"/>
        <v>1.3826508845796432</v>
      </c>
      <c r="G135" s="201">
        <f t="shared" si="89"/>
        <v>1.1176713295499994</v>
      </c>
      <c r="H135" s="201">
        <f t="shared" si="89"/>
        <v>0.65951320000000635</v>
      </c>
      <c r="I135" s="201">
        <f t="shared" si="89"/>
        <v>-0.57634377045000207</v>
      </c>
      <c r="J135" s="201">
        <f t="shared" si="89"/>
        <v>-0.59969010000000011</v>
      </c>
      <c r="K135" s="201">
        <f t="shared" si="89"/>
        <v>0</v>
      </c>
      <c r="L135" s="201">
        <f t="shared" si="89"/>
        <v>0</v>
      </c>
      <c r="M135" s="201">
        <f t="shared" si="89"/>
        <v>0</v>
      </c>
      <c r="N135" s="201">
        <f t="shared" si="89"/>
        <v>72.24872803867521</v>
      </c>
      <c r="P135" s="201">
        <f t="shared" si="80"/>
        <v>70.264926494995564</v>
      </c>
      <c r="Q135" s="721">
        <f>SUM(Q130:Q134)</f>
        <v>85.121083062040626</v>
      </c>
      <c r="R135" s="721">
        <f t="shared" ref="R135:T135" si="90">SUM(R130:R134)</f>
        <v>-8.7189799999999984</v>
      </c>
      <c r="S135" s="721">
        <f t="shared" si="90"/>
        <v>-2.6609999999999996</v>
      </c>
      <c r="T135" s="721">
        <f t="shared" si="90"/>
        <v>0</v>
      </c>
      <c r="U135" s="651"/>
      <c r="W135" s="201">
        <f t="shared" si="82"/>
        <v>1.9838015436796468</v>
      </c>
      <c r="X135" s="201">
        <f>SUM(X130:X134)</f>
        <v>-2.4606622060266687</v>
      </c>
      <c r="Y135" s="201">
        <f t="shared" ref="Y135:AA135" si="91">SUM(Y130:Y134)</f>
        <v>10</v>
      </c>
      <c r="Z135" s="201">
        <f t="shared" si="91"/>
        <v>-5.4508153339733241</v>
      </c>
      <c r="AA135" s="201">
        <f t="shared" si="91"/>
        <v>0</v>
      </c>
      <c r="AB135" s="8">
        <f t="shared" si="52"/>
        <v>-0.1047209163203604</v>
      </c>
    </row>
    <row r="136" spans="1:29" x14ac:dyDescent="0.3">
      <c r="A136" s="51"/>
      <c r="B136" s="204"/>
      <c r="C136" s="483"/>
      <c r="D136" s="483"/>
      <c r="E136" s="483"/>
      <c r="F136" s="483"/>
      <c r="G136" s="483"/>
      <c r="H136" s="483"/>
      <c r="I136" s="483"/>
      <c r="J136" s="483"/>
      <c r="K136" s="483"/>
      <c r="L136" s="483"/>
      <c r="M136" s="483"/>
      <c r="N136" s="488"/>
      <c r="P136" s="488">
        <f t="shared" ref="P136" si="92">SUM(B136:C136)</f>
        <v>0</v>
      </c>
      <c r="Q136" s="724"/>
      <c r="R136" s="724"/>
      <c r="S136" s="724"/>
      <c r="T136" s="724"/>
      <c r="U136" s="651"/>
      <c r="W136" s="488"/>
      <c r="X136" s="483"/>
      <c r="Y136" s="483"/>
      <c r="Z136" s="483"/>
      <c r="AA136" s="483"/>
      <c r="AB136" s="8">
        <f t="shared" si="52"/>
        <v>0</v>
      </c>
    </row>
    <row r="137" spans="1:29" x14ac:dyDescent="0.3">
      <c r="A137" s="2" t="s">
        <v>148</v>
      </c>
      <c r="B137" s="501">
        <f t="shared" ref="B137:N137" si="93">+B34-B85</f>
        <v>0</v>
      </c>
      <c r="C137" s="501">
        <f t="shared" si="93"/>
        <v>0</v>
      </c>
      <c r="D137" s="501">
        <f t="shared" si="93"/>
        <v>0</v>
      </c>
      <c r="E137" s="501">
        <f t="shared" si="93"/>
        <v>-1.2821023680049137</v>
      </c>
      <c r="F137" s="501">
        <f t="shared" si="93"/>
        <v>0</v>
      </c>
      <c r="G137" s="501">
        <f t="shared" si="93"/>
        <v>0</v>
      </c>
      <c r="H137" s="501">
        <f t="shared" si="93"/>
        <v>0</v>
      </c>
      <c r="I137" s="501">
        <f t="shared" si="93"/>
        <v>0</v>
      </c>
      <c r="J137" s="501">
        <f t="shared" si="93"/>
        <v>0</v>
      </c>
      <c r="K137" s="501">
        <f t="shared" si="93"/>
        <v>0</v>
      </c>
      <c r="L137" s="501">
        <f t="shared" si="93"/>
        <v>0</v>
      </c>
      <c r="M137" s="501">
        <f t="shared" si="93"/>
        <v>0</v>
      </c>
      <c r="N137" s="501">
        <f t="shared" si="93"/>
        <v>-1.2821023680049137</v>
      </c>
      <c r="P137" s="502">
        <f t="shared" ref="P137:P139" si="94">SUM(B137:E137)</f>
        <v>-1.2821023680049137</v>
      </c>
      <c r="Q137" s="717">
        <f t="shared" ref="Q137:S138" si="95">+Q34-Q85</f>
        <v>-1.2821025000000077</v>
      </c>
      <c r="R137" s="717">
        <f t="shared" si="95"/>
        <v>0</v>
      </c>
      <c r="S137" s="717">
        <f t="shared" si="95"/>
        <v>0</v>
      </c>
      <c r="T137" s="717"/>
      <c r="U137" s="651"/>
      <c r="W137" s="653">
        <f t="shared" ref="W137:W139" si="96">N137-P137</f>
        <v>0</v>
      </c>
      <c r="X137" s="654">
        <f t="shared" ref="X137:Z140" si="97">+X34-X85</f>
        <v>1.3199509396599751E-7</v>
      </c>
      <c r="Y137" s="655">
        <f t="shared" si="97"/>
        <v>0</v>
      </c>
      <c r="Z137" s="654">
        <f t="shared" si="97"/>
        <v>0</v>
      </c>
      <c r="AA137" s="654">
        <f t="shared" ref="AA137:AA140" si="98">+AA135+AA136</f>
        <v>0</v>
      </c>
      <c r="AB137" s="8">
        <f t="shared" si="52"/>
        <v>-1.3199509396599751E-7</v>
      </c>
    </row>
    <row r="138" spans="1:29" x14ac:dyDescent="0.3">
      <c r="A138" s="270" t="s">
        <v>149</v>
      </c>
      <c r="B138" s="501">
        <f t="shared" ref="B138:N138" si="99">+B35-B86</f>
        <v>0</v>
      </c>
      <c r="C138" s="501">
        <f t="shared" si="99"/>
        <v>0</v>
      </c>
      <c r="D138" s="501">
        <f t="shared" si="99"/>
        <v>0</v>
      </c>
      <c r="E138" s="501">
        <f t="shared" si="99"/>
        <v>-36.61898531929323</v>
      </c>
      <c r="F138" s="501">
        <f t="shared" si="99"/>
        <v>-7.4963878935739103</v>
      </c>
      <c r="G138" s="501">
        <f t="shared" si="99"/>
        <v>-7.4582007607767054</v>
      </c>
      <c r="H138" s="501">
        <f t="shared" si="99"/>
        <v>-9.4872408579267784</v>
      </c>
      <c r="I138" s="501">
        <f t="shared" si="99"/>
        <v>-9.4126778917363652</v>
      </c>
      <c r="J138" s="501">
        <f t="shared" si="99"/>
        <v>-7.1217502488099313</v>
      </c>
      <c r="K138" s="501">
        <f t="shared" si="99"/>
        <v>-8.2336163687964898</v>
      </c>
      <c r="L138" s="501">
        <f t="shared" si="99"/>
        <v>-8.0124101171445545</v>
      </c>
      <c r="M138" s="501">
        <f t="shared" si="99"/>
        <v>-8.428642661045032</v>
      </c>
      <c r="N138" s="502">
        <f t="shared" si="99"/>
        <v>-102.269912119103</v>
      </c>
      <c r="P138" s="502">
        <f t="shared" si="94"/>
        <v>-36.61898531929323</v>
      </c>
      <c r="Q138" s="717">
        <f t="shared" si="95"/>
        <v>-21.537047005180739</v>
      </c>
      <c r="R138" s="717">
        <f t="shared" si="95"/>
        <v>0</v>
      </c>
      <c r="S138" s="717">
        <f t="shared" si="95"/>
        <v>-4.1877251360000765</v>
      </c>
      <c r="T138" s="717"/>
      <c r="U138" s="651"/>
      <c r="W138" s="653">
        <f t="shared" si="96"/>
        <v>-65.650926799809767</v>
      </c>
      <c r="X138" s="654">
        <v>-79.4888416979704</v>
      </c>
      <c r="Y138" s="654"/>
      <c r="Z138" s="654">
        <f>+Z35-22</f>
        <v>13.837914898160633</v>
      </c>
      <c r="AA138" s="654">
        <f t="shared" si="98"/>
        <v>0</v>
      </c>
      <c r="AB138" s="8">
        <f t="shared" si="52"/>
        <v>0</v>
      </c>
      <c r="AC138" s="534"/>
    </row>
    <row r="139" spans="1:29" x14ac:dyDescent="0.3">
      <c r="A139" s="200" t="s">
        <v>150</v>
      </c>
      <c r="B139" s="201">
        <f t="shared" ref="B139:N141" si="100">+B36-B87</f>
        <v>0</v>
      </c>
      <c r="C139" s="201">
        <f t="shared" si="100"/>
        <v>0</v>
      </c>
      <c r="D139" s="201">
        <f t="shared" si="100"/>
        <v>0</v>
      </c>
      <c r="E139" s="201">
        <f t="shared" si="100"/>
        <v>-37.901087687298144</v>
      </c>
      <c r="F139" s="201">
        <f t="shared" si="100"/>
        <v>-7.4963878935739103</v>
      </c>
      <c r="G139" s="201">
        <f t="shared" si="100"/>
        <v>-7.4582007607767054</v>
      </c>
      <c r="H139" s="201">
        <f t="shared" si="100"/>
        <v>-9.4872408579267784</v>
      </c>
      <c r="I139" s="201">
        <f t="shared" si="100"/>
        <v>-9.4126778917363652</v>
      </c>
      <c r="J139" s="201">
        <f t="shared" si="100"/>
        <v>-7.1217502488099313</v>
      </c>
      <c r="K139" s="201">
        <f t="shared" si="100"/>
        <v>-8.2336163687964898</v>
      </c>
      <c r="L139" s="201">
        <f t="shared" si="100"/>
        <v>-8.0124101171445545</v>
      </c>
      <c r="M139" s="201">
        <f t="shared" si="100"/>
        <v>-8.428642661045032</v>
      </c>
      <c r="N139" s="201">
        <f t="shared" si="100"/>
        <v>-103.55201448710791</v>
      </c>
      <c r="P139" s="201">
        <f t="shared" si="94"/>
        <v>-37.901087687298144</v>
      </c>
      <c r="Q139" s="721">
        <f>+Q138+Q137</f>
        <v>-22.819149505180746</v>
      </c>
      <c r="R139" s="721">
        <f t="shared" ref="R139:T139" si="101">+R138+R137</f>
        <v>0</v>
      </c>
      <c r="S139" s="721">
        <f t="shared" si="101"/>
        <v>-4.1877251360000765</v>
      </c>
      <c r="T139" s="721">
        <f t="shared" si="101"/>
        <v>0</v>
      </c>
      <c r="U139" s="651"/>
      <c r="W139" s="201">
        <f t="shared" si="96"/>
        <v>-65.650926799809767</v>
      </c>
      <c r="X139" s="201">
        <f>SUM(X137:X138)</f>
        <v>-79.488841565975306</v>
      </c>
      <c r="Y139" s="201">
        <f t="shared" ref="Y139:AA139" si="102">SUM(Y137:Y138)</f>
        <v>0</v>
      </c>
      <c r="Z139" s="201">
        <f t="shared" si="102"/>
        <v>13.837914898160633</v>
      </c>
      <c r="AA139" s="201">
        <f t="shared" si="102"/>
        <v>0</v>
      </c>
      <c r="AB139" s="8">
        <f t="shared" si="52"/>
        <v>-1.3199509396599751E-7</v>
      </c>
    </row>
    <row r="140" spans="1:29" x14ac:dyDescent="0.3">
      <c r="A140" s="51"/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498"/>
      <c r="P140" s="498"/>
      <c r="Q140" s="723"/>
      <c r="R140" s="723"/>
      <c r="S140" s="723"/>
      <c r="T140" s="723"/>
      <c r="U140" s="651"/>
      <c r="W140" s="498">
        <f t="shared" ref="W140" si="103">SUM(E140:M140)</f>
        <v>0</v>
      </c>
      <c r="X140" s="204">
        <f t="shared" si="97"/>
        <v>0</v>
      </c>
      <c r="Y140" s="204">
        <f t="shared" si="97"/>
        <v>0</v>
      </c>
      <c r="Z140" s="204">
        <f t="shared" si="97"/>
        <v>0</v>
      </c>
      <c r="AA140" s="204">
        <f t="shared" si="98"/>
        <v>0</v>
      </c>
      <c r="AB140" s="8">
        <f t="shared" si="52"/>
        <v>0</v>
      </c>
    </row>
    <row r="141" spans="1:29" x14ac:dyDescent="0.3">
      <c r="A141" s="200" t="s">
        <v>152</v>
      </c>
      <c r="B141" s="201">
        <f>+B38-B89</f>
        <v>0</v>
      </c>
      <c r="C141" s="201">
        <f t="shared" si="100"/>
        <v>0</v>
      </c>
      <c r="D141" s="201">
        <f t="shared" si="100"/>
        <v>0</v>
      </c>
      <c r="E141" s="201">
        <f t="shared" si="100"/>
        <v>-552.7180265710374</v>
      </c>
      <c r="F141" s="201">
        <f t="shared" si="100"/>
        <v>-203.60254105212107</v>
      </c>
      <c r="G141" s="201">
        <f t="shared" si="100"/>
        <v>-158.09270470267631</v>
      </c>
      <c r="H141" s="201">
        <f t="shared" si="100"/>
        <v>-124.5128277955569</v>
      </c>
      <c r="I141" s="201">
        <f t="shared" si="100"/>
        <v>-64.94568117658946</v>
      </c>
      <c r="J141" s="201">
        <f t="shared" si="100"/>
        <v>-42.962219686499878</v>
      </c>
      <c r="K141" s="201">
        <f t="shared" si="100"/>
        <v>-84.837596848753464</v>
      </c>
      <c r="L141" s="201">
        <f t="shared" si="100"/>
        <v>-77.520423419175373</v>
      </c>
      <c r="M141" s="201">
        <f t="shared" si="100"/>
        <v>-69.074838853298218</v>
      </c>
      <c r="N141" s="201">
        <f t="shared" si="100"/>
        <v>-1378.2668601057085</v>
      </c>
      <c r="P141" s="201">
        <f>SUM(B141:E141)</f>
        <v>-552.7180265710374</v>
      </c>
      <c r="Q141" s="721">
        <f>+Q139+Q135+Q128+Q111</f>
        <v>-227.21472470553113</v>
      </c>
      <c r="R141" s="721">
        <f>+R139+R135+R128+R111</f>
        <v>11.62528555279486</v>
      </c>
      <c r="S141" s="721">
        <f>+S139+S135+S128+S111</f>
        <v>-375.2222429934078</v>
      </c>
      <c r="T141" s="721">
        <f>+T139+T135+T128+T111</f>
        <v>0</v>
      </c>
      <c r="U141" s="651"/>
      <c r="W141" s="201">
        <f>+W139+W135+W128+W111</f>
        <v>-825.54883353467096</v>
      </c>
      <c r="X141" s="201">
        <f t="shared" ref="X141:AA141" si="104">+X139+X135+X128+X111</f>
        <v>-223.97531197708943</v>
      </c>
      <c r="Y141" s="201">
        <f t="shared" si="104"/>
        <v>-32.411654441795037</v>
      </c>
      <c r="Z141" s="201">
        <f t="shared" si="104"/>
        <v>-568.83120257815744</v>
      </c>
      <c r="AA141" s="201">
        <f t="shared" si="104"/>
        <v>0</v>
      </c>
      <c r="AB141" s="8">
        <f t="shared" si="52"/>
        <v>-0.33066453762910442</v>
      </c>
    </row>
    <row r="142" spans="1:29" x14ac:dyDescent="0.3">
      <c r="A142" s="477"/>
      <c r="B142" s="483"/>
      <c r="C142" s="483"/>
      <c r="D142" s="483"/>
      <c r="E142" s="483"/>
      <c r="F142" s="483"/>
      <c r="G142" s="483"/>
      <c r="H142" s="483"/>
      <c r="I142" s="483"/>
      <c r="J142" s="483"/>
      <c r="K142" s="483"/>
      <c r="L142" s="483"/>
      <c r="M142" s="483"/>
      <c r="N142" s="488"/>
      <c r="Z142" s="8">
        <f>Z141-Z127</f>
        <v>174.46943006748893</v>
      </c>
    </row>
    <row r="143" spans="1:29" x14ac:dyDescent="0.3">
      <c r="A143" s="477"/>
      <c r="B143" s="483"/>
      <c r="C143" s="483"/>
      <c r="D143" s="483"/>
      <c r="E143" s="483"/>
      <c r="F143" s="483"/>
      <c r="G143" s="483"/>
      <c r="H143" s="483"/>
      <c r="I143" s="483"/>
      <c r="J143" s="483"/>
      <c r="K143" s="483"/>
      <c r="L143" s="483"/>
      <c r="M143" s="483"/>
      <c r="N143" s="488"/>
    </row>
    <row r="144" spans="1:29" x14ac:dyDescent="0.3">
      <c r="A144" s="291" t="s">
        <v>43</v>
      </c>
      <c r="B144" s="493">
        <f t="shared" ref="B144:N144" si="105">+B41-B92</f>
        <v>0</v>
      </c>
      <c r="C144" s="493">
        <f t="shared" si="105"/>
        <v>0</v>
      </c>
      <c r="D144" s="493">
        <f t="shared" si="105"/>
        <v>0</v>
      </c>
      <c r="E144" s="493">
        <f t="shared" si="105"/>
        <v>0</v>
      </c>
      <c r="F144" s="493">
        <f t="shared" si="105"/>
        <v>0</v>
      </c>
      <c r="G144" s="493">
        <f t="shared" si="105"/>
        <v>0</v>
      </c>
      <c r="H144" s="493">
        <f t="shared" si="105"/>
        <v>0</v>
      </c>
      <c r="I144" s="493">
        <f t="shared" si="105"/>
        <v>0</v>
      </c>
      <c r="J144" s="493">
        <f t="shared" si="105"/>
        <v>0</v>
      </c>
      <c r="K144" s="493">
        <f t="shared" si="105"/>
        <v>0</v>
      </c>
      <c r="L144" s="493">
        <f t="shared" si="105"/>
        <v>0</v>
      </c>
      <c r="M144" s="493">
        <f t="shared" si="105"/>
        <v>0</v>
      </c>
      <c r="N144" s="493">
        <f t="shared" si="105"/>
        <v>0</v>
      </c>
    </row>
    <row r="145" spans="1:14" x14ac:dyDescent="0.3">
      <c r="A145" s="292" t="s">
        <v>182</v>
      </c>
      <c r="B145" s="495">
        <f t="shared" ref="B145:N145" si="106">+B42-B93</f>
        <v>0</v>
      </c>
      <c r="C145" s="495">
        <f t="shared" si="106"/>
        <v>0</v>
      </c>
      <c r="D145" s="495">
        <f t="shared" si="106"/>
        <v>0</v>
      </c>
      <c r="E145" s="495">
        <f t="shared" si="106"/>
        <v>0</v>
      </c>
      <c r="F145" s="495">
        <f t="shared" si="106"/>
        <v>0</v>
      </c>
      <c r="G145" s="495">
        <f t="shared" si="106"/>
        <v>0</v>
      </c>
      <c r="H145" s="495">
        <f t="shared" si="106"/>
        <v>0</v>
      </c>
      <c r="I145" s="495">
        <f t="shared" si="106"/>
        <v>0</v>
      </c>
      <c r="J145" s="495">
        <f t="shared" si="106"/>
        <v>0</v>
      </c>
      <c r="K145" s="495">
        <f t="shared" si="106"/>
        <v>0</v>
      </c>
      <c r="L145" s="495">
        <f t="shared" si="106"/>
        <v>0</v>
      </c>
      <c r="M145" s="495">
        <f t="shared" si="106"/>
        <v>0</v>
      </c>
      <c r="N145" s="495">
        <f t="shared" si="106"/>
        <v>0</v>
      </c>
    </row>
    <row r="146" spans="1:14" x14ac:dyDescent="0.3">
      <c r="A146" s="292" t="s">
        <v>426</v>
      </c>
      <c r="B146" s="495">
        <f t="shared" ref="B146:N146" si="107">+B43-B94</f>
        <v>0</v>
      </c>
      <c r="C146" s="495">
        <f t="shared" si="107"/>
        <v>0</v>
      </c>
      <c r="D146" s="495">
        <f t="shared" si="107"/>
        <v>0</v>
      </c>
      <c r="E146" s="495">
        <f t="shared" si="107"/>
        <v>0</v>
      </c>
      <c r="F146" s="495">
        <f t="shared" si="107"/>
        <v>0</v>
      </c>
      <c r="G146" s="495">
        <f t="shared" si="107"/>
        <v>0</v>
      </c>
      <c r="H146" s="495">
        <f t="shared" si="107"/>
        <v>0</v>
      </c>
      <c r="I146" s="495">
        <f t="shared" si="107"/>
        <v>0</v>
      </c>
      <c r="J146" s="495">
        <f t="shared" si="107"/>
        <v>0</v>
      </c>
      <c r="K146" s="495">
        <f t="shared" si="107"/>
        <v>0</v>
      </c>
      <c r="L146" s="495">
        <f t="shared" si="107"/>
        <v>0</v>
      </c>
      <c r="M146" s="495">
        <f t="shared" si="107"/>
        <v>0</v>
      </c>
      <c r="N146" s="495">
        <f t="shared" si="107"/>
        <v>0</v>
      </c>
    </row>
    <row r="147" spans="1:14" x14ac:dyDescent="0.3">
      <c r="A147" s="292" t="s">
        <v>66</v>
      </c>
      <c r="B147" s="495">
        <f t="shared" ref="B147:N147" si="108">+B44-B95</f>
        <v>0</v>
      </c>
      <c r="C147" s="495">
        <f t="shared" si="108"/>
        <v>0</v>
      </c>
      <c r="D147" s="495">
        <f t="shared" si="108"/>
        <v>0</v>
      </c>
      <c r="E147" s="495">
        <f t="shared" si="108"/>
        <v>0</v>
      </c>
      <c r="F147" s="495">
        <f t="shared" si="108"/>
        <v>0</v>
      </c>
      <c r="G147" s="495">
        <f t="shared" si="108"/>
        <v>0</v>
      </c>
      <c r="H147" s="495">
        <f t="shared" si="108"/>
        <v>0</v>
      </c>
      <c r="I147" s="495">
        <f t="shared" si="108"/>
        <v>0</v>
      </c>
      <c r="J147" s="495">
        <f t="shared" si="108"/>
        <v>0</v>
      </c>
      <c r="K147" s="495">
        <f t="shared" si="108"/>
        <v>0</v>
      </c>
      <c r="L147" s="495">
        <f t="shared" si="108"/>
        <v>0</v>
      </c>
      <c r="M147" s="495">
        <f t="shared" si="108"/>
        <v>0</v>
      </c>
      <c r="N147" s="495">
        <f t="shared" si="108"/>
        <v>0</v>
      </c>
    </row>
    <row r="148" spans="1:14" x14ac:dyDescent="0.3">
      <c r="A148" s="306" t="s">
        <v>435</v>
      </c>
      <c r="B148" s="499">
        <f t="shared" ref="B148:N150" si="109">+B45-B96</f>
        <v>0</v>
      </c>
      <c r="C148" s="499">
        <f t="shared" si="109"/>
        <v>0</v>
      </c>
      <c r="D148" s="499">
        <f t="shared" si="109"/>
        <v>0</v>
      </c>
      <c r="E148" s="499">
        <f t="shared" si="109"/>
        <v>0</v>
      </c>
      <c r="F148" s="499">
        <f t="shared" si="109"/>
        <v>0</v>
      </c>
      <c r="G148" s="499">
        <f t="shared" si="109"/>
        <v>0</v>
      </c>
      <c r="H148" s="499">
        <f t="shared" si="109"/>
        <v>0</v>
      </c>
      <c r="I148" s="499">
        <f t="shared" si="109"/>
        <v>0</v>
      </c>
      <c r="J148" s="499">
        <f t="shared" si="109"/>
        <v>0</v>
      </c>
      <c r="K148" s="499">
        <f t="shared" si="109"/>
        <v>0</v>
      </c>
      <c r="L148" s="499">
        <f t="shared" si="109"/>
        <v>0</v>
      </c>
      <c r="M148" s="499">
        <f t="shared" si="109"/>
        <v>0</v>
      </c>
      <c r="N148" s="499">
        <f t="shared" si="109"/>
        <v>0</v>
      </c>
    </row>
    <row r="149" spans="1:14" x14ac:dyDescent="0.3">
      <c r="A149" s="477"/>
      <c r="B149" s="483"/>
      <c r="C149" s="483"/>
      <c r="D149" s="483"/>
      <c r="E149" s="483"/>
      <c r="F149" s="483"/>
      <c r="G149" s="483"/>
      <c r="H149" s="483"/>
      <c r="I149" s="483"/>
      <c r="J149" s="483"/>
      <c r="K149" s="483"/>
      <c r="L149" s="483"/>
      <c r="M149" s="483"/>
      <c r="N149" s="488"/>
    </row>
    <row r="150" spans="1:14" x14ac:dyDescent="0.3">
      <c r="A150" s="503" t="s">
        <v>450</v>
      </c>
      <c r="B150" s="504">
        <f t="shared" si="109"/>
        <v>0</v>
      </c>
      <c r="C150" s="504">
        <f t="shared" si="109"/>
        <v>0</v>
      </c>
      <c r="D150" s="504">
        <f t="shared" si="109"/>
        <v>0</v>
      </c>
      <c r="E150" s="504">
        <f t="shared" si="109"/>
        <v>0</v>
      </c>
      <c r="F150" s="504">
        <f t="shared" si="109"/>
        <v>0</v>
      </c>
      <c r="G150" s="504">
        <f t="shared" si="109"/>
        <v>0</v>
      </c>
      <c r="H150" s="504">
        <f t="shared" si="109"/>
        <v>0</v>
      </c>
      <c r="I150" s="504">
        <f t="shared" si="109"/>
        <v>0</v>
      </c>
      <c r="J150" s="504">
        <f t="shared" si="109"/>
        <v>0</v>
      </c>
      <c r="K150" s="504">
        <f t="shared" si="109"/>
        <v>0</v>
      </c>
      <c r="L150" s="504">
        <f t="shared" si="109"/>
        <v>0</v>
      </c>
      <c r="M150" s="504">
        <f t="shared" si="109"/>
        <v>0</v>
      </c>
      <c r="N150" s="504">
        <f t="shared" si="109"/>
        <v>0</v>
      </c>
    </row>
    <row r="151" spans="1:14" x14ac:dyDescent="0.3">
      <c r="A151" s="477"/>
      <c r="B151" s="483"/>
      <c r="C151" s="483"/>
      <c r="D151" s="483"/>
      <c r="E151" s="483"/>
      <c r="F151" s="483"/>
      <c r="G151" s="483"/>
      <c r="H151" s="483"/>
      <c r="I151" s="483"/>
      <c r="J151" s="483"/>
      <c r="K151" s="483"/>
      <c r="L151" s="483"/>
      <c r="M151" s="483"/>
      <c r="N151" s="488"/>
    </row>
    <row r="152" spans="1:14" x14ac:dyDescent="0.3">
      <c r="A152" s="477"/>
      <c r="B152" s="483"/>
      <c r="C152" s="483"/>
      <c r="D152" s="483"/>
      <c r="E152" s="483"/>
      <c r="F152" s="483"/>
      <c r="G152" s="483"/>
      <c r="H152" s="483"/>
      <c r="I152" s="483"/>
      <c r="J152" s="483"/>
      <c r="K152" s="483"/>
      <c r="L152" s="483"/>
      <c r="M152" s="483"/>
      <c r="N152" s="488"/>
    </row>
    <row r="153" spans="1:14" x14ac:dyDescent="0.3">
      <c r="A153" s="505" t="s">
        <v>99</v>
      </c>
      <c r="B153" s="506">
        <f t="shared" ref="B153:N153" si="110">+B50-B101</f>
        <v>0</v>
      </c>
      <c r="C153" s="506">
        <f t="shared" si="110"/>
        <v>0</v>
      </c>
      <c r="D153" s="506">
        <f t="shared" si="110"/>
        <v>0</v>
      </c>
      <c r="E153" s="506">
        <f t="shared" si="110"/>
        <v>-552.7180265710374</v>
      </c>
      <c r="F153" s="506">
        <f t="shared" si="110"/>
        <v>-203.60254105212107</v>
      </c>
      <c r="G153" s="506">
        <f t="shared" si="110"/>
        <v>-158.09270470267631</v>
      </c>
      <c r="H153" s="506">
        <f t="shared" si="110"/>
        <v>-124.51282779555692</v>
      </c>
      <c r="I153" s="506">
        <f t="shared" si="110"/>
        <v>-64.94568117658946</v>
      </c>
      <c r="J153" s="506">
        <f t="shared" si="110"/>
        <v>-42.962219686499878</v>
      </c>
      <c r="K153" s="506">
        <f t="shared" si="110"/>
        <v>-84.837596848753464</v>
      </c>
      <c r="L153" s="506">
        <f t="shared" si="110"/>
        <v>-77.520423419175373</v>
      </c>
      <c r="M153" s="506">
        <f t="shared" si="110"/>
        <v>-69.074838853298218</v>
      </c>
      <c r="N153" s="506">
        <f t="shared" si="110"/>
        <v>-1378.2668601057085</v>
      </c>
    </row>
  </sheetData>
  <mergeCells count="4">
    <mergeCell ref="Q4:T6"/>
    <mergeCell ref="X4:AA6"/>
    <mergeCell ref="Q55:T57"/>
    <mergeCell ref="Q107:T109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ECAA-EAF8-4890-8121-EFB11B17C5A1}">
  <sheetPr>
    <tabColor rgb="FF002060"/>
  </sheetPr>
  <dimension ref="A1:AP38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RowHeight="14.4" x14ac:dyDescent="0.3"/>
  <cols>
    <col min="1" max="1" width="36.88671875" bestFit="1" customWidth="1"/>
    <col min="2" max="13" width="9" style="45" customWidth="1"/>
    <col min="14" max="14" width="9" style="167" customWidth="1"/>
    <col min="15" max="28" width="9.5546875" customWidth="1"/>
    <col min="30" max="31" width="9.5546875" style="103" customWidth="1"/>
    <col min="33" max="34" width="13.77734375" bestFit="1" customWidth="1"/>
    <col min="36" max="37" width="7.21875" style="103" bestFit="1" customWidth="1"/>
    <col min="39" max="39" width="10.109375" bestFit="1" customWidth="1"/>
    <col min="41" max="41" width="10.77734375" bestFit="1" customWidth="1"/>
    <col min="42" max="42" width="11.21875" bestFit="1" customWidth="1"/>
  </cols>
  <sheetData>
    <row r="1" spans="1:42" x14ac:dyDescent="0.3">
      <c r="A1" s="789" t="s">
        <v>451</v>
      </c>
      <c r="B1" s="789"/>
      <c r="C1" s="789"/>
      <c r="D1" s="789"/>
      <c r="E1" s="789"/>
      <c r="F1" s="510"/>
      <c r="G1" s="510"/>
      <c r="H1" s="510"/>
      <c r="I1" s="510"/>
      <c r="J1" s="510"/>
      <c r="K1" s="510"/>
      <c r="L1" s="510"/>
      <c r="M1" s="510"/>
      <c r="N1" s="511"/>
      <c r="O1" s="790"/>
      <c r="P1" s="790"/>
      <c r="Q1" s="510"/>
      <c r="R1" s="510"/>
      <c r="S1" s="510"/>
      <c r="T1" s="512"/>
      <c r="U1" s="512"/>
      <c r="V1" s="512"/>
      <c r="W1" s="512"/>
      <c r="X1" s="512"/>
      <c r="Y1" s="512"/>
      <c r="Z1" s="512"/>
      <c r="AA1" s="512"/>
      <c r="AB1" s="512"/>
      <c r="AC1" s="512"/>
      <c r="AG1" s="512"/>
      <c r="AH1" s="512"/>
      <c r="AI1" s="512"/>
    </row>
    <row r="2" spans="1:42" ht="13.8" customHeight="1" x14ac:dyDescent="0.3">
      <c r="A2" s="627" t="s">
        <v>448</v>
      </c>
      <c r="B2" s="628">
        <f>'FCST 26 '!B4</f>
        <v>47357</v>
      </c>
      <c r="C2" s="628">
        <f>'FCST 26 '!C4</f>
        <v>42593.000999999997</v>
      </c>
      <c r="D2" s="628">
        <f>'FCST 26 '!D4</f>
        <v>23002.001</v>
      </c>
      <c r="E2" s="628">
        <f>'FCST 26 '!E4</f>
        <v>44096</v>
      </c>
      <c r="F2" s="628">
        <f>'FCST 26 '!F4</f>
        <v>36000</v>
      </c>
      <c r="G2" s="628">
        <f>'FCST 26 '!G4</f>
        <v>54500.000999999997</v>
      </c>
      <c r="H2" s="628">
        <f>'FCST 26 '!H4</f>
        <v>41500</v>
      </c>
      <c r="I2" s="628">
        <f>'FCST 26 '!I4</f>
        <v>39000.000999999997</v>
      </c>
      <c r="J2" s="628">
        <f>'FCST 26 '!J4</f>
        <v>54085</v>
      </c>
      <c r="K2" s="628">
        <f>'FCST 26 '!K4</f>
        <v>49968</v>
      </c>
      <c r="L2" s="628">
        <f>'FCST 26 '!L4</f>
        <v>51936</v>
      </c>
      <c r="M2" s="628">
        <f>'FCST 26 '!M4</f>
        <v>42190</v>
      </c>
      <c r="N2" s="628">
        <f>'FCST 26 '!N4</f>
        <v>526227.00399999996</v>
      </c>
      <c r="O2" s="512"/>
      <c r="P2" s="629">
        <f>+B2</f>
        <v>47357</v>
      </c>
      <c r="Q2" s="629">
        <f t="shared" ref="Q2:AA2" si="0">+C2</f>
        <v>42593.000999999997</v>
      </c>
      <c r="R2" s="629">
        <f t="shared" si="0"/>
        <v>23002.001</v>
      </c>
      <c r="S2" s="629">
        <f t="shared" si="0"/>
        <v>44096</v>
      </c>
      <c r="T2" s="629">
        <f t="shared" si="0"/>
        <v>36000</v>
      </c>
      <c r="U2" s="629">
        <f t="shared" si="0"/>
        <v>54500.000999999997</v>
      </c>
      <c r="V2" s="629">
        <f t="shared" si="0"/>
        <v>41500</v>
      </c>
      <c r="W2" s="629">
        <f t="shared" si="0"/>
        <v>39000.000999999997</v>
      </c>
      <c r="X2" s="629">
        <f t="shared" si="0"/>
        <v>54085</v>
      </c>
      <c r="Y2" s="629">
        <f t="shared" si="0"/>
        <v>49968</v>
      </c>
      <c r="Z2" s="629">
        <f t="shared" si="0"/>
        <v>51936</v>
      </c>
      <c r="AA2" s="629">
        <f t="shared" si="0"/>
        <v>42190</v>
      </c>
      <c r="AB2" s="629">
        <f>SUM(P2:AA2)</f>
        <v>526227.00399999996</v>
      </c>
      <c r="AC2" s="512"/>
      <c r="AG2" s="629"/>
      <c r="AH2" s="629">
        <v>522903.00199999998</v>
      </c>
      <c r="AI2" s="512"/>
    </row>
    <row r="3" spans="1:42" x14ac:dyDescent="0.3">
      <c r="A3" s="630"/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663"/>
      <c r="O3" s="790"/>
      <c r="P3" s="790"/>
      <c r="Q3" s="512"/>
      <c r="R3" s="512"/>
      <c r="S3" s="512"/>
      <c r="T3" s="512"/>
      <c r="U3" s="512"/>
      <c r="V3" s="512"/>
      <c r="W3" s="512"/>
      <c r="X3" s="512"/>
      <c r="Y3" s="512"/>
      <c r="Z3" s="512"/>
      <c r="AA3" s="512"/>
      <c r="AB3" s="630"/>
      <c r="AC3" s="512"/>
      <c r="AD3" s="103">
        <v>4</v>
      </c>
      <c r="AE3" s="103">
        <v>8</v>
      </c>
      <c r="AG3" s="630"/>
      <c r="AH3" s="630"/>
      <c r="AI3" s="512"/>
      <c r="AJ3" s="103">
        <v>3</v>
      </c>
      <c r="AK3" s="103">
        <v>9</v>
      </c>
    </row>
    <row r="4" spans="1:42" x14ac:dyDescent="0.3">
      <c r="A4" s="512"/>
      <c r="B4" s="513" t="s">
        <v>0</v>
      </c>
      <c r="C4" s="513" t="s">
        <v>1</v>
      </c>
      <c r="D4" s="513" t="s">
        <v>2</v>
      </c>
      <c r="E4" s="513" t="s">
        <v>3</v>
      </c>
      <c r="F4" s="513" t="s">
        <v>4</v>
      </c>
      <c r="G4" s="513" t="s">
        <v>5</v>
      </c>
      <c r="H4" s="513" t="s">
        <v>6</v>
      </c>
      <c r="I4" s="513" t="s">
        <v>7</v>
      </c>
      <c r="J4" s="513" t="s">
        <v>8</v>
      </c>
      <c r="K4" s="513" t="s">
        <v>9</v>
      </c>
      <c r="L4" s="513" t="s">
        <v>10</v>
      </c>
      <c r="M4" s="513" t="s">
        <v>11</v>
      </c>
      <c r="N4" s="513" t="s">
        <v>12</v>
      </c>
      <c r="O4" s="512"/>
      <c r="P4" s="513" t="s">
        <v>0</v>
      </c>
      <c r="Q4" s="513" t="s">
        <v>1</v>
      </c>
      <c r="R4" s="513" t="s">
        <v>2</v>
      </c>
      <c r="S4" s="513" t="s">
        <v>3</v>
      </c>
      <c r="T4" s="513" t="s">
        <v>4</v>
      </c>
      <c r="U4" s="513" t="s">
        <v>5</v>
      </c>
      <c r="V4" s="513" t="s">
        <v>6</v>
      </c>
      <c r="W4" s="513" t="s">
        <v>7</v>
      </c>
      <c r="X4" s="513" t="s">
        <v>8</v>
      </c>
      <c r="Y4" s="513" t="s">
        <v>9</v>
      </c>
      <c r="Z4" s="513" t="s">
        <v>10</v>
      </c>
      <c r="AA4" s="513" t="s">
        <v>11</v>
      </c>
      <c r="AB4" s="513" t="s">
        <v>12</v>
      </c>
      <c r="AC4" s="512"/>
      <c r="AD4" s="625" t="s">
        <v>94</v>
      </c>
      <c r="AE4" s="625" t="s">
        <v>452</v>
      </c>
      <c r="AG4" s="513" t="s">
        <v>561</v>
      </c>
      <c r="AH4" s="513" t="s">
        <v>12</v>
      </c>
      <c r="AI4" s="512"/>
      <c r="AJ4" s="625" t="s">
        <v>94</v>
      </c>
      <c r="AK4" s="625" t="s">
        <v>452</v>
      </c>
      <c r="AM4" s="35"/>
      <c r="AN4" s="8"/>
      <c r="AO4" s="662"/>
    </row>
    <row r="5" spans="1:42" x14ac:dyDescent="0.3">
      <c r="A5" s="631"/>
      <c r="B5" s="632" t="s">
        <v>71</v>
      </c>
      <c r="C5" s="632" t="s">
        <v>71</v>
      </c>
      <c r="D5" s="632" t="s">
        <v>71</v>
      </c>
      <c r="E5" s="632" t="s">
        <v>71</v>
      </c>
      <c r="F5" s="632" t="s">
        <v>71</v>
      </c>
      <c r="G5" s="632" t="s">
        <v>71</v>
      </c>
      <c r="H5" s="632" t="s">
        <v>71</v>
      </c>
      <c r="I5" s="632" t="s">
        <v>71</v>
      </c>
      <c r="J5" s="632" t="s">
        <v>71</v>
      </c>
      <c r="K5" s="632" t="s">
        <v>71</v>
      </c>
      <c r="L5" s="632" t="s">
        <v>71</v>
      </c>
      <c r="M5" s="632" t="s">
        <v>71</v>
      </c>
      <c r="N5" s="632" t="s">
        <v>71</v>
      </c>
      <c r="O5" s="631"/>
      <c r="P5" s="632" t="s">
        <v>71</v>
      </c>
      <c r="Q5" s="632" t="s">
        <v>71</v>
      </c>
      <c r="R5" s="632" t="s">
        <v>71</v>
      </c>
      <c r="S5" s="632" t="s">
        <v>71</v>
      </c>
      <c r="T5" s="632" t="s">
        <v>71</v>
      </c>
      <c r="U5" s="632" t="s">
        <v>71</v>
      </c>
      <c r="V5" s="632" t="s">
        <v>71</v>
      </c>
      <c r="W5" s="632" t="s">
        <v>71</v>
      </c>
      <c r="X5" s="632" t="s">
        <v>71</v>
      </c>
      <c r="Y5" s="632" t="s">
        <v>71</v>
      </c>
      <c r="Z5" s="632" t="s">
        <v>71</v>
      </c>
      <c r="AA5" s="632" t="s">
        <v>71</v>
      </c>
      <c r="AB5" s="632" t="s">
        <v>71</v>
      </c>
      <c r="AC5" s="512"/>
      <c r="AG5" s="632"/>
      <c r="AH5" s="632" t="s">
        <v>71</v>
      </c>
      <c r="AI5" s="512"/>
    </row>
    <row r="6" spans="1:42" x14ac:dyDescent="0.3">
      <c r="A6" s="631"/>
      <c r="B6" s="633"/>
      <c r="C6" s="633"/>
      <c r="D6" s="633"/>
      <c r="E6" s="633"/>
      <c r="F6" s="633"/>
      <c r="G6" s="633"/>
      <c r="H6" s="633"/>
      <c r="I6" s="633"/>
      <c r="J6" s="633"/>
      <c r="K6" s="633"/>
      <c r="L6" s="633"/>
      <c r="M6" s="633"/>
      <c r="N6" s="633"/>
      <c r="O6" s="631"/>
      <c r="P6" s="631"/>
      <c r="Q6" s="631"/>
      <c r="R6" s="631"/>
      <c r="S6" s="631"/>
      <c r="T6" s="631"/>
      <c r="U6" s="631"/>
      <c r="V6" s="631"/>
      <c r="W6" s="631"/>
      <c r="X6" s="631"/>
      <c r="Y6" s="631"/>
      <c r="Z6" s="631"/>
      <c r="AA6" s="631"/>
      <c r="AB6" s="631"/>
      <c r="AC6" s="634"/>
      <c r="AG6" s="631"/>
      <c r="AH6" s="631"/>
      <c r="AI6" s="634"/>
    </row>
    <row r="7" spans="1:42" x14ac:dyDescent="0.3">
      <c r="A7" s="291" t="s">
        <v>74</v>
      </c>
      <c r="B7" s="273">
        <f>'data entry '!B117</f>
        <v>451.11424</v>
      </c>
      <c r="C7" s="273">
        <f>'data entry '!C117</f>
        <v>457.78683000000007</v>
      </c>
      <c r="D7" s="273">
        <f>'data entry '!D117</f>
        <v>275.96458999999999</v>
      </c>
      <c r="E7" s="273">
        <f>'data entry '!E117</f>
        <v>363.73443262781774</v>
      </c>
      <c r="F7" s="273">
        <f>'data entry '!F117</f>
        <v>420.5017868724629</v>
      </c>
      <c r="G7" s="273">
        <f>'data entry '!G117</f>
        <v>393.77114671381526</v>
      </c>
      <c r="H7" s="273">
        <f>'data entry '!H117</f>
        <v>355.32956447675423</v>
      </c>
      <c r="I7" s="273">
        <f>'data entry '!I117</f>
        <v>355.48085755082604</v>
      </c>
      <c r="J7" s="273">
        <f>'data entry '!J117</f>
        <v>485.59337260514707</v>
      </c>
      <c r="K7" s="273">
        <f>'data entry '!K117</f>
        <v>492.4737820462725</v>
      </c>
      <c r="L7" s="273">
        <f>'data entry '!L117</f>
        <v>476.6685772215763</v>
      </c>
      <c r="M7" s="273">
        <f>'data entry '!M117</f>
        <v>480.28353181860513</v>
      </c>
      <c r="N7" s="643">
        <f>SUM(B7:M7)</f>
        <v>5008.702711933277</v>
      </c>
      <c r="O7" s="631"/>
      <c r="P7" s="611">
        <f>B7*1000/B$2</f>
        <v>9.5258196253985687</v>
      </c>
      <c r="Q7" s="611">
        <f t="shared" ref="Q7:AB20" si="1">C7*1000/C$2</f>
        <v>10.747935558708345</v>
      </c>
      <c r="R7" s="611">
        <f t="shared" si="1"/>
        <v>11.997416659533227</v>
      </c>
      <c r="S7" s="611">
        <f t="shared" si="1"/>
        <v>8.2486944989980433</v>
      </c>
      <c r="T7" s="611">
        <f t="shared" si="1"/>
        <v>11.680605190901748</v>
      </c>
      <c r="U7" s="611">
        <f t="shared" si="1"/>
        <v>7.2251585227276474</v>
      </c>
      <c r="V7" s="611">
        <f t="shared" si="1"/>
        <v>8.5621581801627524</v>
      </c>
      <c r="W7" s="611">
        <f t="shared" si="1"/>
        <v>9.1148935496392962</v>
      </c>
      <c r="X7" s="611">
        <f>J7*1000/J$2</f>
        <v>8.9783372950937803</v>
      </c>
      <c r="Y7" s="611">
        <f t="shared" si="1"/>
        <v>9.8557833422644983</v>
      </c>
      <c r="Z7" s="611">
        <f t="shared" si="1"/>
        <v>9.1779994073778557</v>
      </c>
      <c r="AA7" s="611">
        <f>M7*1000/M$2</f>
        <v>11.383823935022638</v>
      </c>
      <c r="AB7" s="611">
        <f>N7*1000/N$2</f>
        <v>9.5181407906867452</v>
      </c>
      <c r="AC7" s="512"/>
      <c r="AD7" s="611">
        <f>+SUM(B7:E7)/SUM($B$2:$E$2)*1000</f>
        <v>9.860680001696668</v>
      </c>
      <c r="AE7" s="611">
        <f>+SUM(F7:M7)/SUM($F$2:$M$2)*1000</f>
        <v>9.372425301982533</v>
      </c>
      <c r="AG7" s="611">
        <f>AB7-AH7</f>
        <v>-1.3735052730398323E-2</v>
      </c>
      <c r="AH7" s="611">
        <v>9.5318758434171436</v>
      </c>
      <c r="AI7" s="512"/>
      <c r="AJ7" s="611">
        <v>10.489992554536574</v>
      </c>
      <c r="AK7" s="611">
        <v>9.2678901459298952</v>
      </c>
      <c r="AL7" s="23"/>
      <c r="AM7" s="103"/>
      <c r="AN7" s="107"/>
      <c r="AO7" s="662"/>
    </row>
    <row r="8" spans="1:42" x14ac:dyDescent="0.3">
      <c r="A8" s="292" t="s">
        <v>75</v>
      </c>
      <c r="B8" s="244">
        <f>'data entry '!B118</f>
        <v>25.342169999999999</v>
      </c>
      <c r="C8" s="244">
        <f>'data entry '!C118</f>
        <v>16.14554</v>
      </c>
      <c r="D8" s="244">
        <f>'data entry '!D118</f>
        <v>21.752949999999998</v>
      </c>
      <c r="E8" s="244">
        <f>'data entry '!E118</f>
        <v>28.068419999999996</v>
      </c>
      <c r="F8" s="244">
        <f>'data entry '!F118</f>
        <v>20.87373247947826</v>
      </c>
      <c r="G8" s="244">
        <f>'data entry '!G118</f>
        <v>39.518984472144915</v>
      </c>
      <c r="H8" s="244">
        <f>'data entry '!H118</f>
        <v>31.336747612461661</v>
      </c>
      <c r="I8" s="244">
        <f>'data entry '!I118</f>
        <v>35.003255011720206</v>
      </c>
      <c r="J8" s="244">
        <f>'data entry '!J118</f>
        <v>37.217068177037383</v>
      </c>
      <c r="K8" s="244">
        <f>'data entry '!K118</f>
        <v>33.698872914246401</v>
      </c>
      <c r="L8" s="244">
        <f>'data entry '!L118</f>
        <v>38.412616897953001</v>
      </c>
      <c r="M8" s="244">
        <f>'data entry '!M118</f>
        <v>31.687416801395667</v>
      </c>
      <c r="N8" s="644">
        <f t="shared" ref="N8:N9" si="2">SUM(B8:M8)</f>
        <v>359.05777436643751</v>
      </c>
      <c r="O8" s="631"/>
      <c r="P8" s="612">
        <f t="shared" ref="P8:P20" si="3">B8*1000/B$2</f>
        <v>0.53513039255020378</v>
      </c>
      <c r="Q8" s="612">
        <f t="shared" si="1"/>
        <v>0.3790655652556626</v>
      </c>
      <c r="R8" s="612">
        <f t="shared" si="1"/>
        <v>0.94569815904277188</v>
      </c>
      <c r="S8" s="612">
        <f t="shared" si="1"/>
        <v>0.63652984397677781</v>
      </c>
      <c r="T8" s="612">
        <f t="shared" si="1"/>
        <v>0.57982590220772945</v>
      </c>
      <c r="U8" s="612">
        <f t="shared" si="1"/>
        <v>0.72511896783533847</v>
      </c>
      <c r="V8" s="612">
        <f t="shared" si="1"/>
        <v>0.75510235210750998</v>
      </c>
      <c r="W8" s="612">
        <f t="shared" si="1"/>
        <v>0.89751933626156077</v>
      </c>
      <c r="X8" s="612">
        <f t="shared" si="1"/>
        <v>0.68812181153808605</v>
      </c>
      <c r="Y8" s="612">
        <f t="shared" si="1"/>
        <v>0.67440908009618961</v>
      </c>
      <c r="Z8" s="612">
        <f t="shared" si="1"/>
        <v>0.73961446584167045</v>
      </c>
      <c r="AA8" s="612">
        <f t="shared" si="1"/>
        <v>0.75106463146232916</v>
      </c>
      <c r="AB8" s="612">
        <f t="shared" si="1"/>
        <v>0.68232487431685951</v>
      </c>
      <c r="AC8" s="512"/>
      <c r="AD8" s="612">
        <f t="shared" ref="AD8:AD22" si="4">+SUM(B8:E8)/SUM($B$2:$E$2)*1000</f>
        <v>0.58140873387233549</v>
      </c>
      <c r="AE8" s="612">
        <f t="shared" ref="AE8:AE22" si="5">+SUM(F8:M8)/SUM($F$2:$M$2)*1000</f>
        <v>0.72525439669084313</v>
      </c>
      <c r="AG8" s="612">
        <f t="shared" ref="AG8:AG35" si="6">AB8-AH8</f>
        <v>-5.3939428857879834E-3</v>
      </c>
      <c r="AH8" s="612">
        <v>0.68771881720264749</v>
      </c>
      <c r="AI8" s="512"/>
      <c r="AJ8" s="612">
        <v>0.55988967774117004</v>
      </c>
      <c r="AK8" s="612">
        <v>0.7229390196563823</v>
      </c>
    </row>
    <row r="9" spans="1:42" x14ac:dyDescent="0.3">
      <c r="A9" s="292" t="s">
        <v>141</v>
      </c>
      <c r="B9" s="244">
        <f>'data entry '!B119</f>
        <v>12.326379999999999</v>
      </c>
      <c r="C9" s="244">
        <f>'data entry '!C119</f>
        <v>10.969389999999999</v>
      </c>
      <c r="D9" s="244">
        <f>'data entry '!D119</f>
        <v>8.7221700000000002</v>
      </c>
      <c r="E9" s="244">
        <f>'data entry '!E119</f>
        <v>38.196779999999997</v>
      </c>
      <c r="F9" s="244">
        <f>'data entry '!F119</f>
        <v>10.72</v>
      </c>
      <c r="G9" s="244">
        <f>'data entry '!G119</f>
        <v>16.949760000000001</v>
      </c>
      <c r="H9" s="244">
        <f>'data entry '!H119</f>
        <v>12.990720000000001</v>
      </c>
      <c r="I9" s="244">
        <f>'data entry '!I119</f>
        <v>12.732800000000001</v>
      </c>
      <c r="J9" s="244">
        <f>'data entry '!J119</f>
        <v>17.570240000000002</v>
      </c>
      <c r="K9" s="244">
        <f>'data entry '!K119</f>
        <v>15.98976</v>
      </c>
      <c r="L9" s="244">
        <f>'data entry '!L119</f>
        <v>16.619520000000001</v>
      </c>
      <c r="M9" s="244">
        <f>'data entry '!M119</f>
        <v>13.500800000000002</v>
      </c>
      <c r="N9" s="644">
        <f t="shared" si="2"/>
        <v>187.28831999999997</v>
      </c>
      <c r="O9" s="631"/>
      <c r="P9" s="612">
        <f t="shared" si="3"/>
        <v>0.26028633570538673</v>
      </c>
      <c r="Q9" s="612">
        <f t="shared" si="1"/>
        <v>0.25753973052990559</v>
      </c>
      <c r="R9" s="612">
        <f t="shared" si="1"/>
        <v>0.37919179292271138</v>
      </c>
      <c r="S9" s="612">
        <f t="shared" si="1"/>
        <v>0.8662187046444122</v>
      </c>
      <c r="T9" s="612">
        <f t="shared" si="1"/>
        <v>0.29777777777777775</v>
      </c>
      <c r="U9" s="612">
        <f t="shared" si="1"/>
        <v>0.31100476493569246</v>
      </c>
      <c r="V9" s="612">
        <f t="shared" si="1"/>
        <v>0.31302939759036147</v>
      </c>
      <c r="W9" s="612">
        <f t="shared" si="1"/>
        <v>0.32648204291071692</v>
      </c>
      <c r="X9" s="612">
        <f t="shared" si="1"/>
        <v>0.324863455671628</v>
      </c>
      <c r="Y9" s="612">
        <f t="shared" si="1"/>
        <v>0.32</v>
      </c>
      <c r="Z9" s="612">
        <f t="shared" si="1"/>
        <v>0.32</v>
      </c>
      <c r="AA9" s="612">
        <f t="shared" si="1"/>
        <v>0.32</v>
      </c>
      <c r="AB9" s="612">
        <f t="shared" si="1"/>
        <v>0.35590784694888061</v>
      </c>
      <c r="AC9" s="512"/>
      <c r="AD9" s="612">
        <f t="shared" si="4"/>
        <v>0.44709082004112355</v>
      </c>
      <c r="AE9" s="612">
        <f t="shared" si="5"/>
        <v>0.31711879431322587</v>
      </c>
      <c r="AG9" s="612">
        <f t="shared" si="6"/>
        <v>4.379975161230043E-2</v>
      </c>
      <c r="AH9" s="612">
        <v>0.31210809533658018</v>
      </c>
      <c r="AI9" s="512"/>
      <c r="AJ9" s="612">
        <v>0.28346500666716823</v>
      </c>
      <c r="AK9" s="612">
        <v>0.32</v>
      </c>
      <c r="AM9" s="35"/>
      <c r="AN9" s="35"/>
      <c r="AO9" s="35"/>
      <c r="AP9" s="103"/>
    </row>
    <row r="10" spans="1:42" x14ac:dyDescent="0.3">
      <c r="A10" s="4" t="s">
        <v>79</v>
      </c>
      <c r="B10" s="570">
        <f>SUM(B7:B9)</f>
        <v>488.78278999999998</v>
      </c>
      <c r="C10" s="570">
        <f t="shared" ref="C10:N10" si="7">SUM(C7:C9)</f>
        <v>484.90176000000002</v>
      </c>
      <c r="D10" s="570">
        <f t="shared" si="7"/>
        <v>306.43970999999999</v>
      </c>
      <c r="E10" s="570">
        <f t="shared" si="7"/>
        <v>429.99963262781773</v>
      </c>
      <c r="F10" s="570">
        <f t="shared" si="7"/>
        <v>452.09551935194116</v>
      </c>
      <c r="G10" s="570">
        <f t="shared" si="7"/>
        <v>450.23989118596018</v>
      </c>
      <c r="H10" s="570">
        <f t="shared" si="7"/>
        <v>399.65703208921587</v>
      </c>
      <c r="I10" s="570">
        <f t="shared" si="7"/>
        <v>403.21691256254627</v>
      </c>
      <c r="J10" s="570">
        <f t="shared" si="7"/>
        <v>540.38068078218441</v>
      </c>
      <c r="K10" s="570">
        <f t="shared" si="7"/>
        <v>542.16241496051896</v>
      </c>
      <c r="L10" s="570">
        <f t="shared" si="7"/>
        <v>531.70071411952927</v>
      </c>
      <c r="M10" s="570">
        <f t="shared" si="7"/>
        <v>525.47174862000077</v>
      </c>
      <c r="N10" s="570">
        <f t="shared" si="7"/>
        <v>5555.0488062997138</v>
      </c>
      <c r="O10" s="631"/>
      <c r="P10" s="613">
        <f t="shared" si="3"/>
        <v>10.321236353654159</v>
      </c>
      <c r="Q10" s="613">
        <f t="shared" si="1"/>
        <v>11.384540854493912</v>
      </c>
      <c r="R10" s="613">
        <f t="shared" si="1"/>
        <v>13.322306611498711</v>
      </c>
      <c r="S10" s="613">
        <f t="shared" si="1"/>
        <v>9.7514430476192349</v>
      </c>
      <c r="T10" s="613">
        <f t="shared" si="1"/>
        <v>12.558208870887254</v>
      </c>
      <c r="U10" s="613">
        <f t="shared" si="1"/>
        <v>8.2612822554986778</v>
      </c>
      <c r="V10" s="613">
        <f t="shared" si="1"/>
        <v>9.6302899298606235</v>
      </c>
      <c r="W10" s="613">
        <f t="shared" si="1"/>
        <v>10.338894928811573</v>
      </c>
      <c r="X10" s="613">
        <f t="shared" si="1"/>
        <v>9.9913225623034947</v>
      </c>
      <c r="Y10" s="613">
        <f t="shared" si="1"/>
        <v>10.85019242236069</v>
      </c>
      <c r="Z10" s="613">
        <f t="shared" si="1"/>
        <v>10.237613873219525</v>
      </c>
      <c r="AA10" s="613">
        <f t="shared" si="1"/>
        <v>12.454888566484968</v>
      </c>
      <c r="AB10" s="613">
        <f t="shared" si="1"/>
        <v>10.556373511952485</v>
      </c>
      <c r="AC10" s="512"/>
      <c r="AD10" s="613">
        <f t="shared" si="4"/>
        <v>10.889179555610125</v>
      </c>
      <c r="AE10" s="613">
        <f t="shared" si="5"/>
        <v>10.4147984929866</v>
      </c>
      <c r="AG10" s="613">
        <f t="shared" si="6"/>
        <v>2.4670755996112348E-2</v>
      </c>
      <c r="AH10" s="613">
        <v>10.531702755956372</v>
      </c>
      <c r="AI10" s="512"/>
      <c r="AJ10" s="613">
        <v>11.333347238944912</v>
      </c>
      <c r="AK10" s="613">
        <v>10.310829165586281</v>
      </c>
    </row>
    <row r="11" spans="1:42" x14ac:dyDescent="0.3">
      <c r="A11" s="292" t="s">
        <v>80</v>
      </c>
      <c r="B11" s="244">
        <f>'data entry '!B121</f>
        <v>236.51712000000001</v>
      </c>
      <c r="C11" s="244">
        <f>'data entry '!C121</f>
        <v>210.33045999999996</v>
      </c>
      <c r="D11" s="244">
        <f>'data entry '!D121</f>
        <v>189.488</v>
      </c>
      <c r="E11" s="244">
        <f>'data entry '!E121</f>
        <v>211.9200073721822</v>
      </c>
      <c r="F11" s="244">
        <f>'data entry '!F121</f>
        <v>253.53065539502001</v>
      </c>
      <c r="G11" s="244">
        <f>'data entry '!G121</f>
        <v>241.41790715468619</v>
      </c>
      <c r="H11" s="244">
        <f>'data entry '!H121</f>
        <v>262.65420091567171</v>
      </c>
      <c r="I11" s="244">
        <f>'data entry '!I121</f>
        <v>248.29040373098536</v>
      </c>
      <c r="J11" s="244">
        <f>'data entry '!J121</f>
        <v>233.83450010482071</v>
      </c>
      <c r="K11" s="244">
        <f>'data entry '!K121</f>
        <v>218.04243940693019</v>
      </c>
      <c r="L11" s="244">
        <f>'data entry '!L121</f>
        <v>213.64209148995394</v>
      </c>
      <c r="M11" s="244">
        <f>'data entry '!M121</f>
        <v>280.51506871696927</v>
      </c>
      <c r="N11" s="644">
        <f t="shared" ref="N11:N16" si="8">SUM(B11:M11)</f>
        <v>2800.1828542872195</v>
      </c>
      <c r="O11" s="631"/>
      <c r="P11" s="612">
        <f t="shared" si="3"/>
        <v>4.9943433916844393</v>
      </c>
      <c r="Q11" s="612">
        <f t="shared" si="1"/>
        <v>4.9381460583160122</v>
      </c>
      <c r="R11" s="612">
        <f t="shared" si="1"/>
        <v>8.2378919990482569</v>
      </c>
      <c r="S11" s="612">
        <f t="shared" si="1"/>
        <v>4.8058782513648</v>
      </c>
      <c r="T11" s="612">
        <f t="shared" si="1"/>
        <v>7.0425182054172222</v>
      </c>
      <c r="U11" s="612">
        <f t="shared" si="1"/>
        <v>4.4296862885321087</v>
      </c>
      <c r="V11" s="612">
        <f t="shared" si="1"/>
        <v>6.329016889534258</v>
      </c>
      <c r="W11" s="612">
        <f t="shared" si="1"/>
        <v>6.3664204452452546</v>
      </c>
      <c r="X11" s="612">
        <f t="shared" si="1"/>
        <v>4.3234630693319902</v>
      </c>
      <c r="Y11" s="612">
        <f t="shared" si="1"/>
        <v>4.3636415187105779</v>
      </c>
      <c r="Z11" s="612">
        <f t="shared" si="1"/>
        <v>4.1135646081707096</v>
      </c>
      <c r="AA11" s="612">
        <f t="shared" si="1"/>
        <v>6.6488520672426947</v>
      </c>
      <c r="AB11" s="612">
        <f t="shared" si="1"/>
        <v>5.3212450767487027</v>
      </c>
      <c r="AC11" s="512"/>
      <c r="AD11" s="612">
        <f t="shared" si="4"/>
        <v>5.4012504238811161</v>
      </c>
      <c r="AE11" s="612">
        <f t="shared" si="5"/>
        <v>5.28721096362636</v>
      </c>
      <c r="AG11" s="612">
        <f t="shared" si="6"/>
        <v>-1.2496546547131615E-3</v>
      </c>
      <c r="AH11" s="612">
        <v>5.3224947314034159</v>
      </c>
      <c r="AI11" s="512"/>
      <c r="AJ11" s="612">
        <v>5.6336812870302193</v>
      </c>
      <c r="AK11" s="612">
        <v>5.2367548638252615</v>
      </c>
    </row>
    <row r="12" spans="1:42" x14ac:dyDescent="0.3">
      <c r="A12" s="292" t="s">
        <v>81</v>
      </c>
      <c r="B12" s="244">
        <f>'data entry '!B122</f>
        <v>115.16989000000001</v>
      </c>
      <c r="C12" s="244">
        <f>'data entry '!C122</f>
        <v>111.05252999999999</v>
      </c>
      <c r="D12" s="244">
        <f>'data entry '!D122</f>
        <v>104.43832999999998</v>
      </c>
      <c r="E12" s="244">
        <f>'data entry '!E122</f>
        <v>86.264239999999987</v>
      </c>
      <c r="F12" s="244">
        <f>'data entry '!F122</f>
        <v>113.29639650515468</v>
      </c>
      <c r="G12" s="244">
        <f>'data entry '!G122</f>
        <v>109.83602172792594</v>
      </c>
      <c r="H12" s="244">
        <f>'data entry '!H122</f>
        <v>101.40649464948595</v>
      </c>
      <c r="I12" s="244">
        <f>'data entry '!I122</f>
        <v>102.13246854517206</v>
      </c>
      <c r="J12" s="244">
        <f>'data entry '!J122</f>
        <v>107.52925904504205</v>
      </c>
      <c r="K12" s="244">
        <f>'data entry '!K122</f>
        <v>101.02732109817424</v>
      </c>
      <c r="L12" s="244">
        <f>'data entry '!L122</f>
        <v>99.707366149152875</v>
      </c>
      <c r="M12" s="244">
        <f>'data entry '!M122</f>
        <v>98.421457657149915</v>
      </c>
      <c r="N12" s="644">
        <f t="shared" si="8"/>
        <v>1250.2817753772576</v>
      </c>
      <c r="O12" s="631"/>
      <c r="P12" s="612">
        <f t="shared" si="3"/>
        <v>2.4319507147834538</v>
      </c>
      <c r="Q12" s="612">
        <f t="shared" si="1"/>
        <v>2.6072952690044073</v>
      </c>
      <c r="R12" s="612">
        <f t="shared" si="1"/>
        <v>4.5404019415528225</v>
      </c>
      <c r="S12" s="612">
        <f t="shared" si="1"/>
        <v>1.9562826560232218</v>
      </c>
      <c r="T12" s="612">
        <f t="shared" si="1"/>
        <v>3.1471221251431851</v>
      </c>
      <c r="U12" s="612">
        <f t="shared" si="1"/>
        <v>2.0153398112401124</v>
      </c>
      <c r="V12" s="612">
        <f t="shared" si="1"/>
        <v>2.4435299915538784</v>
      </c>
      <c r="W12" s="612">
        <f t="shared" si="1"/>
        <v>2.6187811775997663</v>
      </c>
      <c r="X12" s="612">
        <f t="shared" si="1"/>
        <v>1.9881530746980134</v>
      </c>
      <c r="Y12" s="612">
        <f t="shared" si="1"/>
        <v>2.0218403998193692</v>
      </c>
      <c r="Z12" s="612">
        <f t="shared" si="1"/>
        <v>1.9198121948003866</v>
      </c>
      <c r="AA12" s="612">
        <f t="shared" si="1"/>
        <v>2.3328148295129161</v>
      </c>
      <c r="AB12" s="612">
        <f t="shared" si="1"/>
        <v>2.3759361755924973</v>
      </c>
      <c r="AC12" s="512"/>
      <c r="AD12" s="612">
        <f t="shared" si="4"/>
        <v>2.6547615040654895</v>
      </c>
      <c r="AE12" s="612">
        <f t="shared" si="5"/>
        <v>2.257324443867633</v>
      </c>
      <c r="AG12" s="612">
        <f t="shared" si="6"/>
        <v>-8.2527263020413244E-2</v>
      </c>
      <c r="AH12" s="612">
        <v>2.4584634386129105</v>
      </c>
      <c r="AI12" s="512"/>
      <c r="AJ12" s="612">
        <v>2.9274447919922659</v>
      </c>
      <c r="AK12" s="612">
        <v>2.3292470621072607</v>
      </c>
    </row>
    <row r="13" spans="1:42" x14ac:dyDescent="0.3">
      <c r="A13" s="292" t="s">
        <v>82</v>
      </c>
      <c r="B13" s="244">
        <f>'data entry '!B123</f>
        <v>164.10092</v>
      </c>
      <c r="C13" s="244">
        <f>'data entry '!C123</f>
        <v>247.34623999999999</v>
      </c>
      <c r="D13" s="244">
        <f>'data entry '!D123</f>
        <v>129.98053999999999</v>
      </c>
      <c r="E13" s="244">
        <f>'data entry '!E123</f>
        <v>86.237830000000017</v>
      </c>
      <c r="F13" s="244">
        <f>'data entry '!F123</f>
        <v>166.13002452217566</v>
      </c>
      <c r="G13" s="244">
        <f>'data entry '!G123</f>
        <v>198.44184994645423</v>
      </c>
      <c r="H13" s="244">
        <f>'data entry '!H123</f>
        <v>186.27026685954991</v>
      </c>
      <c r="I13" s="244">
        <f>'data entry '!I123</f>
        <v>185.51646217738815</v>
      </c>
      <c r="J13" s="244">
        <f>'data entry '!J123</f>
        <v>230.95871205726101</v>
      </c>
      <c r="K13" s="244">
        <f>'data entry '!K123</f>
        <v>183.04144050634793</v>
      </c>
      <c r="L13" s="244">
        <f>'data entry '!L123</f>
        <v>184.2494103402089</v>
      </c>
      <c r="M13" s="244">
        <f>'data entry '!M123</f>
        <v>169.11053771041409</v>
      </c>
      <c r="N13" s="644">
        <f t="shared" si="8"/>
        <v>2131.3842341197997</v>
      </c>
      <c r="O13" s="631"/>
      <c r="P13" s="612">
        <f t="shared" si="3"/>
        <v>3.4651882509449505</v>
      </c>
      <c r="Q13" s="612">
        <f t="shared" si="1"/>
        <v>5.8072038643156425</v>
      </c>
      <c r="R13" s="612">
        <f t="shared" si="1"/>
        <v>5.6508362033372661</v>
      </c>
      <c r="S13" s="612">
        <f t="shared" si="1"/>
        <v>1.9556837354862122</v>
      </c>
      <c r="T13" s="612">
        <f t="shared" si="1"/>
        <v>4.6147229033937682</v>
      </c>
      <c r="U13" s="612">
        <f t="shared" si="1"/>
        <v>3.6411347945930173</v>
      </c>
      <c r="V13" s="612">
        <f t="shared" si="1"/>
        <v>4.4884401652903589</v>
      </c>
      <c r="W13" s="612">
        <f t="shared" si="1"/>
        <v>4.7568322415527158</v>
      </c>
      <c r="X13" s="612">
        <f t="shared" si="1"/>
        <v>4.2702914312149582</v>
      </c>
      <c r="Y13" s="612">
        <f t="shared" si="1"/>
        <v>3.663173241001199</v>
      </c>
      <c r="Z13" s="612">
        <f t="shared" si="1"/>
        <v>3.5476241978629255</v>
      </c>
      <c r="AA13" s="612">
        <f t="shared" si="1"/>
        <v>4.0083085496661317</v>
      </c>
      <c r="AB13" s="612">
        <f t="shared" si="1"/>
        <v>4.0503133018992683</v>
      </c>
      <c r="AC13" s="512"/>
      <c r="AD13" s="612">
        <f t="shared" si="4"/>
        <v>3.9966476619040341</v>
      </c>
      <c r="AE13" s="612">
        <f t="shared" si="5"/>
        <v>4.073142556790919</v>
      </c>
      <c r="AG13" s="612">
        <f t="shared" si="6"/>
        <v>-0.14965992204669298</v>
      </c>
      <c r="AH13" s="612">
        <v>4.1999732239459613</v>
      </c>
      <c r="AI13" s="512"/>
      <c r="AJ13" s="612">
        <v>4.7934316383343072</v>
      </c>
      <c r="AK13" s="612">
        <v>4.0364602284686741</v>
      </c>
    </row>
    <row r="14" spans="1:42" x14ac:dyDescent="0.3">
      <c r="A14" s="292" t="s">
        <v>83</v>
      </c>
      <c r="B14" s="244">
        <f>'data entry '!B124</f>
        <v>4.2840400000000001</v>
      </c>
      <c r="C14" s="244">
        <f>'data entry '!C124</f>
        <v>4.0777099999999997</v>
      </c>
      <c r="D14" s="244">
        <f>'data entry '!D124</f>
        <v>3.5422699999999998</v>
      </c>
      <c r="E14" s="244">
        <f>'data entry '!E124</f>
        <v>3.8053300000000001</v>
      </c>
      <c r="F14" s="244">
        <f>'data entry '!F124</f>
        <v>4.0867188786738131</v>
      </c>
      <c r="G14" s="244">
        <f>'data entry '!G124</f>
        <v>6.9739940107147689</v>
      </c>
      <c r="H14" s="244">
        <f>'data entry '!H124</f>
        <v>5.3685160218724608</v>
      </c>
      <c r="I14" s="244">
        <f>'data entry '!I124</f>
        <v>5.2648378197233843</v>
      </c>
      <c r="J14" s="244">
        <f>'data entry '!J124</f>
        <v>7.2190414621849888</v>
      </c>
      <c r="K14" s="244">
        <f>'data entry '!K124</f>
        <v>7.0368274334861702</v>
      </c>
      <c r="L14" s="244">
        <f>'data entry '!L124</f>
        <v>7.3555647541687987</v>
      </c>
      <c r="M14" s="244">
        <f>'data entry '!M124</f>
        <v>6.0214028655964391</v>
      </c>
      <c r="N14" s="644">
        <f t="shared" si="8"/>
        <v>65.036253246420827</v>
      </c>
      <c r="O14" s="631"/>
      <c r="P14" s="612">
        <f t="shared" si="3"/>
        <v>9.046265599594569E-2</v>
      </c>
      <c r="Q14" s="612">
        <f t="shared" si="1"/>
        <v>9.5736621141111894E-2</v>
      </c>
      <c r="R14" s="612">
        <f t="shared" si="1"/>
        <v>0.15399834127474388</v>
      </c>
      <c r="S14" s="612">
        <f t="shared" si="1"/>
        <v>8.6296489477503624E-2</v>
      </c>
      <c r="T14" s="612">
        <f t="shared" si="1"/>
        <v>0.11351996885205036</v>
      </c>
      <c r="U14" s="612">
        <f t="shared" si="1"/>
        <v>0.12796319050920327</v>
      </c>
      <c r="V14" s="612">
        <f t="shared" si="1"/>
        <v>0.12936183185234845</v>
      </c>
      <c r="W14" s="612">
        <f t="shared" si="1"/>
        <v>0.13499583806993709</v>
      </c>
      <c r="X14" s="612">
        <f t="shared" si="1"/>
        <v>0.13347585212508067</v>
      </c>
      <c r="Y14" s="612">
        <f t="shared" si="1"/>
        <v>0.14082667774347923</v>
      </c>
      <c r="Z14" s="612">
        <f t="shared" si="1"/>
        <v>0.14162747909289891</v>
      </c>
      <c r="AA14" s="612">
        <f t="shared" si="1"/>
        <v>0.14272109186054607</v>
      </c>
      <c r="AB14" s="612">
        <f t="shared" si="1"/>
        <v>0.12358972981633765</v>
      </c>
      <c r="AC14" s="512"/>
      <c r="AD14" s="612">
        <f t="shared" si="4"/>
        <v>0.10002897076016289</v>
      </c>
      <c r="AE14" s="612">
        <f t="shared" si="5"/>
        <v>0.13361242914465873</v>
      </c>
      <c r="AG14" s="612">
        <f t="shared" si="6"/>
        <v>-2.2704476446610833E-3</v>
      </c>
      <c r="AH14" s="612">
        <v>0.12586017746099873</v>
      </c>
      <c r="AI14" s="512"/>
      <c r="AJ14" s="612">
        <v>0.10539007533483118</v>
      </c>
      <c r="AK14" s="612">
        <v>0.13150021496864006</v>
      </c>
    </row>
    <row r="15" spans="1:42" x14ac:dyDescent="0.3">
      <c r="A15" s="292" t="s">
        <v>84</v>
      </c>
      <c r="B15" s="244">
        <f>'data entry '!B125</f>
        <v>48.336139999999986</v>
      </c>
      <c r="C15" s="244">
        <f>'data entry '!C125</f>
        <v>36.683690000000027</v>
      </c>
      <c r="D15" s="244">
        <f>'data entry '!D125</f>
        <v>35.33921999999999</v>
      </c>
      <c r="E15" s="244">
        <f>'data entry '!E125</f>
        <v>-2.6982200000000036</v>
      </c>
      <c r="F15" s="244">
        <f>'data entry '!F125</f>
        <v>47.925299705522804</v>
      </c>
      <c r="G15" s="244">
        <f>'data entry '!G125</f>
        <v>49.178995328349941</v>
      </c>
      <c r="H15" s="244">
        <f>'data entry '!H125</f>
        <v>39.994182967879439</v>
      </c>
      <c r="I15" s="244">
        <f>'data entry '!I125</f>
        <v>39.771689286135498</v>
      </c>
      <c r="J15" s="244">
        <f>'data entry '!J125</f>
        <v>39.551654697117662</v>
      </c>
      <c r="K15" s="244">
        <f>'data entry '!K125</f>
        <v>47.153518395848572</v>
      </c>
      <c r="L15" s="244">
        <f>'data entry '!L125</f>
        <v>46.79684933157202</v>
      </c>
      <c r="M15" s="244">
        <f>'data entry '!M125</f>
        <v>49.489533145021426</v>
      </c>
      <c r="N15" s="644">
        <f t="shared" si="8"/>
        <v>477.52255285744735</v>
      </c>
      <c r="O15" s="631"/>
      <c r="P15" s="612">
        <f t="shared" si="3"/>
        <v>1.0206757184787885</v>
      </c>
      <c r="Q15" s="612">
        <f t="shared" si="1"/>
        <v>0.86126098510879823</v>
      </c>
      <c r="R15" s="612">
        <f t="shared" si="1"/>
        <v>1.5363541632747513</v>
      </c>
      <c r="S15" s="612">
        <f t="shared" si="1"/>
        <v>-6.1189677068214883E-2</v>
      </c>
      <c r="T15" s="612">
        <f t="shared" si="1"/>
        <v>1.3312583251534111</v>
      </c>
      <c r="U15" s="612">
        <f t="shared" si="1"/>
        <v>0.90236687020152428</v>
      </c>
      <c r="V15" s="612">
        <f t="shared" si="1"/>
        <v>0.96371525223805876</v>
      </c>
      <c r="W15" s="612">
        <f t="shared" si="1"/>
        <v>1.0197868786243238</v>
      </c>
      <c r="X15" s="612">
        <f t="shared" si="1"/>
        <v>0.73128695011773437</v>
      </c>
      <c r="Y15" s="612">
        <f t="shared" si="1"/>
        <v>0.94367431948143954</v>
      </c>
      <c r="Z15" s="612">
        <f t="shared" si="1"/>
        <v>0.9010483928599049</v>
      </c>
      <c r="AA15" s="612">
        <f t="shared" si="1"/>
        <v>1.1730157180616598</v>
      </c>
      <c r="AB15" s="612">
        <f t="shared" si="1"/>
        <v>0.90744592966089477</v>
      </c>
      <c r="AC15" s="512"/>
      <c r="AD15" s="612">
        <f t="shared" si="4"/>
        <v>0.74920297298656502</v>
      </c>
      <c r="AE15" s="612">
        <f t="shared" si="5"/>
        <v>0.97476216390402215</v>
      </c>
      <c r="AG15" s="612">
        <f t="shared" si="6"/>
        <v>-7.5858098920931982E-2</v>
      </c>
      <c r="AH15" s="612">
        <v>0.98330402858182675</v>
      </c>
      <c r="AI15" s="512"/>
      <c r="AJ15" s="612">
        <v>1.0655769518808529</v>
      </c>
      <c r="AK15" s="612">
        <v>0.9606357306705704</v>
      </c>
    </row>
    <row r="16" spans="1:42" x14ac:dyDescent="0.3">
      <c r="A16" s="292" t="s">
        <v>86</v>
      </c>
      <c r="B16" s="244">
        <f>'data entry '!B126</f>
        <v>171.34822992298916</v>
      </c>
      <c r="C16" s="244">
        <f>'data entry '!C126</f>
        <v>158.03624719540193</v>
      </c>
      <c r="D16" s="244">
        <f>'data entry '!D126</f>
        <v>171.02916982572503</v>
      </c>
      <c r="E16" s="244">
        <f>'data entry '!E126</f>
        <v>-7.097920000000002</v>
      </c>
      <c r="F16" s="244">
        <f>'data entry '!F126</f>
        <v>148.91044775300276</v>
      </c>
      <c r="G16" s="244">
        <f>'data entry '!G126</f>
        <v>148.20746272927659</v>
      </c>
      <c r="H16" s="244">
        <f>'data entry '!H126</f>
        <v>166.04382670792239</v>
      </c>
      <c r="I16" s="244">
        <f>'data entry '!I126</f>
        <v>164.4118413552539</v>
      </c>
      <c r="J16" s="244">
        <f>'data entry '!J126</f>
        <v>160.15944368846539</v>
      </c>
      <c r="K16" s="244">
        <f>'data entry '!K126</f>
        <v>163.35063501998039</v>
      </c>
      <c r="L16" s="244">
        <f>'data entry '!L126</f>
        <v>162.86554560284378</v>
      </c>
      <c r="M16" s="244">
        <f>'data entry '!M126</f>
        <v>172.35668943551457</v>
      </c>
      <c r="N16" s="644">
        <f t="shared" si="8"/>
        <v>1779.6216192363759</v>
      </c>
      <c r="O16" s="631"/>
      <c r="P16" s="612">
        <f t="shared" si="3"/>
        <v>3.6182239145847319</v>
      </c>
      <c r="Q16" s="612">
        <f t="shared" si="1"/>
        <v>3.7103806607898311</v>
      </c>
      <c r="R16" s="612">
        <f t="shared" si="1"/>
        <v>7.435403981841624</v>
      </c>
      <c r="S16" s="612">
        <f t="shared" si="1"/>
        <v>-0.16096516690856319</v>
      </c>
      <c r="T16" s="612">
        <f t="shared" si="1"/>
        <v>4.1364013264722983</v>
      </c>
      <c r="U16" s="612">
        <f t="shared" si="1"/>
        <v>2.7194029359609848</v>
      </c>
      <c r="V16" s="612">
        <f t="shared" si="1"/>
        <v>4.0010560652511415</v>
      </c>
      <c r="W16" s="612">
        <f t="shared" si="1"/>
        <v>4.2156881317837378</v>
      </c>
      <c r="X16" s="612">
        <f t="shared" si="1"/>
        <v>2.9612543900982784</v>
      </c>
      <c r="Y16" s="612">
        <f t="shared" si="1"/>
        <v>3.2691049275532422</v>
      </c>
      <c r="Z16" s="612">
        <f t="shared" si="1"/>
        <v>3.1358892791675097</v>
      </c>
      <c r="AA16" s="612">
        <f t="shared" si="1"/>
        <v>4.0852498088531535</v>
      </c>
      <c r="AB16" s="612">
        <f t="shared" si="1"/>
        <v>3.3818515692067677</v>
      </c>
      <c r="AC16" s="512"/>
      <c r="AD16" s="612">
        <f t="shared" si="4"/>
        <v>3.141177988014876</v>
      </c>
      <c r="AE16" s="612">
        <f t="shared" si="5"/>
        <v>3.4842336246747312</v>
      </c>
      <c r="AG16" s="612">
        <f t="shared" si="6"/>
        <v>-0.35003052497562015</v>
      </c>
      <c r="AH16" s="612">
        <v>3.7318820941823878</v>
      </c>
      <c r="AI16" s="512"/>
      <c r="AJ16" s="612">
        <v>4.4303211814175381</v>
      </c>
      <c r="AK16" s="612">
        <v>3.5394442341009076</v>
      </c>
    </row>
    <row r="17" spans="1:37" x14ac:dyDescent="0.3">
      <c r="A17" s="4" t="s">
        <v>87</v>
      </c>
      <c r="B17" s="570">
        <f>SUM(B11:B16)</f>
        <v>739.75633992298913</v>
      </c>
      <c r="C17" s="570">
        <f t="shared" ref="C17:N17" si="9">SUM(C11:C16)</f>
        <v>767.52687719540199</v>
      </c>
      <c r="D17" s="570">
        <f t="shared" si="9"/>
        <v>633.81752982572505</v>
      </c>
      <c r="E17" s="570">
        <f t="shared" si="9"/>
        <v>378.43126737218228</v>
      </c>
      <c r="F17" s="570">
        <f t="shared" si="9"/>
        <v>733.87954275954962</v>
      </c>
      <c r="G17" s="570">
        <f t="shared" si="9"/>
        <v>754.05623089740766</v>
      </c>
      <c r="H17" s="570">
        <f t="shared" si="9"/>
        <v>761.73748812238182</v>
      </c>
      <c r="I17" s="570">
        <f t="shared" si="9"/>
        <v>745.38770291465835</v>
      </c>
      <c r="J17" s="570">
        <f t="shared" si="9"/>
        <v>779.25261105489176</v>
      </c>
      <c r="K17" s="570">
        <f t="shared" si="9"/>
        <v>719.65218186076754</v>
      </c>
      <c r="L17" s="570">
        <f t="shared" si="9"/>
        <v>714.61682766790034</v>
      </c>
      <c r="M17" s="570">
        <f t="shared" si="9"/>
        <v>775.91468953066567</v>
      </c>
      <c r="N17" s="570">
        <f t="shared" si="9"/>
        <v>8504.0292891245208</v>
      </c>
      <c r="O17" s="631"/>
      <c r="P17" s="613">
        <f t="shared" si="3"/>
        <v>15.620844646472309</v>
      </c>
      <c r="Q17" s="613">
        <f t="shared" si="1"/>
        <v>18.020023458675809</v>
      </c>
      <c r="R17" s="613">
        <f t="shared" si="1"/>
        <v>27.554886630329467</v>
      </c>
      <c r="S17" s="613">
        <f t="shared" si="1"/>
        <v>8.5819862883749618</v>
      </c>
      <c r="T17" s="613">
        <f t="shared" si="1"/>
        <v>20.385542854431932</v>
      </c>
      <c r="U17" s="613">
        <f t="shared" si="1"/>
        <v>13.83589389103695</v>
      </c>
      <c r="V17" s="613">
        <f t="shared" si="1"/>
        <v>18.355120195720044</v>
      </c>
      <c r="W17" s="613">
        <f t="shared" si="1"/>
        <v>19.112504712875737</v>
      </c>
      <c r="X17" s="613">
        <f t="shared" si="1"/>
        <v>14.407924767586055</v>
      </c>
      <c r="Y17" s="613">
        <f t="shared" si="1"/>
        <v>14.402261084309309</v>
      </c>
      <c r="Z17" s="613">
        <f t="shared" si="1"/>
        <v>13.759566151954335</v>
      </c>
      <c r="AA17" s="613">
        <f t="shared" si="1"/>
        <v>18.390962065197101</v>
      </c>
      <c r="AB17" s="613">
        <f t="shared" si="1"/>
        <v>16.160381782924468</v>
      </c>
      <c r="AC17" s="512"/>
      <c r="AD17" s="613">
        <f t="shared" si="4"/>
        <v>16.043069521612242</v>
      </c>
      <c r="AE17" s="613">
        <f t="shared" si="5"/>
        <v>16.210286182008318</v>
      </c>
      <c r="AG17" s="613">
        <f t="shared" si="6"/>
        <v>-0.66159591126303496</v>
      </c>
      <c r="AH17" s="613">
        <v>16.821977694187503</v>
      </c>
      <c r="AI17" s="512"/>
      <c r="AJ17" s="613">
        <v>18.955845925990015</v>
      </c>
      <c r="AK17" s="613">
        <v>16.234042334141311</v>
      </c>
    </row>
    <row r="18" spans="1:37" x14ac:dyDescent="0.3">
      <c r="A18" s="5" t="s">
        <v>88</v>
      </c>
      <c r="B18" s="192">
        <f>B10+B17</f>
        <v>1228.5391299229891</v>
      </c>
      <c r="C18" s="192">
        <f t="shared" ref="C18:N18" si="10">C10+C17</f>
        <v>1252.428637195402</v>
      </c>
      <c r="D18" s="192">
        <f t="shared" si="10"/>
        <v>940.25723982572504</v>
      </c>
      <c r="E18" s="192">
        <f t="shared" si="10"/>
        <v>808.43090000000007</v>
      </c>
      <c r="F18" s="192">
        <f t="shared" si="10"/>
        <v>1185.9750621114908</v>
      </c>
      <c r="G18" s="192">
        <f t="shared" si="10"/>
        <v>1204.2961220833679</v>
      </c>
      <c r="H18" s="192">
        <f t="shared" si="10"/>
        <v>1161.3945202115976</v>
      </c>
      <c r="I18" s="192">
        <f t="shared" si="10"/>
        <v>1148.6046154772046</v>
      </c>
      <c r="J18" s="192">
        <f t="shared" si="10"/>
        <v>1319.6332918370763</v>
      </c>
      <c r="K18" s="192">
        <f t="shared" si="10"/>
        <v>1261.8145968212866</v>
      </c>
      <c r="L18" s="192">
        <f t="shared" si="10"/>
        <v>1246.3175417874295</v>
      </c>
      <c r="M18" s="192">
        <f t="shared" si="10"/>
        <v>1301.3864381506664</v>
      </c>
      <c r="N18" s="192">
        <f t="shared" si="10"/>
        <v>14059.078095424235</v>
      </c>
      <c r="O18" s="631"/>
      <c r="P18" s="179">
        <f t="shared" si="3"/>
        <v>25.942081000126468</v>
      </c>
      <c r="Q18" s="179">
        <f t="shared" si="1"/>
        <v>29.404564313169718</v>
      </c>
      <c r="R18" s="179">
        <f t="shared" si="1"/>
        <v>40.877193241828181</v>
      </c>
      <c r="S18" s="179">
        <f t="shared" si="1"/>
        <v>18.333429335994197</v>
      </c>
      <c r="T18" s="179">
        <f t="shared" si="1"/>
        <v>32.943751725319188</v>
      </c>
      <c r="U18" s="179">
        <f t="shared" si="1"/>
        <v>22.097176146535627</v>
      </c>
      <c r="V18" s="179">
        <f t="shared" si="1"/>
        <v>27.985410125580668</v>
      </c>
      <c r="W18" s="179">
        <f t="shared" si="1"/>
        <v>29.45139964168731</v>
      </c>
      <c r="X18" s="179">
        <f t="shared" si="1"/>
        <v>24.399247329889548</v>
      </c>
      <c r="Y18" s="179">
        <f t="shared" si="1"/>
        <v>25.252453506670005</v>
      </c>
      <c r="Z18" s="179">
        <f t="shared" si="1"/>
        <v>23.997180025173858</v>
      </c>
      <c r="AA18" s="179">
        <f t="shared" si="1"/>
        <v>30.845850631682069</v>
      </c>
      <c r="AB18" s="179">
        <f t="shared" si="1"/>
        <v>26.716755294876954</v>
      </c>
      <c r="AC18" s="512"/>
      <c r="AD18" s="179">
        <f t="shared" si="4"/>
        <v>26.932249077222369</v>
      </c>
      <c r="AE18" s="179">
        <f t="shared" si="5"/>
        <v>26.62508467499492</v>
      </c>
      <c r="AG18" s="179">
        <f t="shared" si="6"/>
        <v>-0.63692515526692262</v>
      </c>
      <c r="AH18" s="179">
        <v>27.353680450143877</v>
      </c>
      <c r="AI18" s="512"/>
      <c r="AJ18" s="179">
        <v>30.289193164934929</v>
      </c>
      <c r="AK18" s="179">
        <v>26.544871499727599</v>
      </c>
    </row>
    <row r="19" spans="1:37" x14ac:dyDescent="0.3">
      <c r="A19" s="292" t="s">
        <v>89</v>
      </c>
      <c r="B19" s="244">
        <f>'data entry '!B129</f>
        <v>17.28707</v>
      </c>
      <c r="C19" s="244">
        <f>'data entry '!C129</f>
        <v>14.930529999999997</v>
      </c>
      <c r="D19" s="244">
        <f>'data entry '!D129</f>
        <v>35.234139999999996</v>
      </c>
      <c r="E19" s="244">
        <f>'data entry '!E129</f>
        <v>13.047470000000001</v>
      </c>
      <c r="F19" s="244">
        <f>'data entry '!F129</f>
        <v>17.74960722302119</v>
      </c>
      <c r="G19" s="244">
        <f>'data entry '!G129</f>
        <v>17.392199962583572</v>
      </c>
      <c r="H19" s="244">
        <f>'data entry '!H129</f>
        <v>17.17300956478093</v>
      </c>
      <c r="I19" s="244">
        <f>'data entry '!I129</f>
        <v>16.924985701559013</v>
      </c>
      <c r="J19" s="244">
        <f>'data entry '!J129</f>
        <v>17.253361592691448</v>
      </c>
      <c r="K19" s="244">
        <f>'data entry '!K129</f>
        <v>17.409525596571697</v>
      </c>
      <c r="L19" s="244">
        <f>'data entry '!L129</f>
        <v>17.080714220784344</v>
      </c>
      <c r="M19" s="244">
        <f>'data entry '!M129</f>
        <v>17.298845559935646</v>
      </c>
      <c r="N19" s="644">
        <f>SUM(B19:M19)</f>
        <v>218.78145942192785</v>
      </c>
      <c r="O19" s="631"/>
      <c r="P19" s="612">
        <f t="shared" si="3"/>
        <v>0.36503727009734571</v>
      </c>
      <c r="Q19" s="612">
        <f t="shared" si="1"/>
        <v>0.3505395170441265</v>
      </c>
      <c r="R19" s="612">
        <f t="shared" si="1"/>
        <v>1.531785865064522</v>
      </c>
      <c r="S19" s="612">
        <f t="shared" si="1"/>
        <v>0.29588783563134979</v>
      </c>
      <c r="T19" s="612">
        <f t="shared" si="1"/>
        <v>0.49304464508392193</v>
      </c>
      <c r="U19" s="612">
        <f t="shared" si="1"/>
        <v>0.31912292923780994</v>
      </c>
      <c r="V19" s="612">
        <f t="shared" si="1"/>
        <v>0.41380745939231151</v>
      </c>
      <c r="W19" s="612">
        <f t="shared" si="1"/>
        <v>0.43397398122012909</v>
      </c>
      <c r="X19" s="612">
        <f t="shared" si="1"/>
        <v>0.31900455935456129</v>
      </c>
      <c r="Y19" s="612">
        <f t="shared" si="1"/>
        <v>0.34841349656923826</v>
      </c>
      <c r="Z19" s="612">
        <f t="shared" si="1"/>
        <v>0.3288800489214484</v>
      </c>
      <c r="AA19" s="612">
        <f t="shared" si="1"/>
        <v>0.4100224119444334</v>
      </c>
      <c r="AB19" s="612">
        <f t="shared" si="1"/>
        <v>0.41575490759483685</v>
      </c>
      <c r="AC19" s="512"/>
      <c r="AD19" s="612">
        <f t="shared" si="4"/>
        <v>0.51257710365522524</v>
      </c>
      <c r="AE19" s="612">
        <f t="shared" si="5"/>
        <v>0.37456694089532167</v>
      </c>
      <c r="AG19" s="612">
        <f t="shared" si="6"/>
        <v>-6.1948750533830643E-3</v>
      </c>
      <c r="AH19" s="612">
        <v>0.42194978264821992</v>
      </c>
      <c r="AI19" s="512"/>
      <c r="AJ19" s="612">
        <v>0.59717170838636391</v>
      </c>
      <c r="AK19" s="612">
        <v>0.37367165353908571</v>
      </c>
    </row>
    <row r="20" spans="1:37" x14ac:dyDescent="0.3">
      <c r="A20" s="5" t="s">
        <v>90</v>
      </c>
      <c r="B20" s="192">
        <f>B18+B19</f>
        <v>1245.8261999229892</v>
      </c>
      <c r="C20" s="192">
        <f t="shared" ref="C20:N20" si="11">C18+C19</f>
        <v>1267.3591671954021</v>
      </c>
      <c r="D20" s="192">
        <f t="shared" si="11"/>
        <v>975.49137982572506</v>
      </c>
      <c r="E20" s="192">
        <f t="shared" si="11"/>
        <v>821.47837000000004</v>
      </c>
      <c r="F20" s="192">
        <f t="shared" si="11"/>
        <v>1203.7246693345121</v>
      </c>
      <c r="G20" s="192">
        <f t="shared" si="11"/>
        <v>1221.6883220459515</v>
      </c>
      <c r="H20" s="192">
        <f t="shared" si="11"/>
        <v>1178.5675297763785</v>
      </c>
      <c r="I20" s="192">
        <f t="shared" si="11"/>
        <v>1165.5296011787636</v>
      </c>
      <c r="J20" s="192">
        <f t="shared" si="11"/>
        <v>1336.8866534297676</v>
      </c>
      <c r="K20" s="192">
        <f t="shared" si="11"/>
        <v>1279.2241224178583</v>
      </c>
      <c r="L20" s="192">
        <f t="shared" si="11"/>
        <v>1263.3982560082138</v>
      </c>
      <c r="M20" s="192">
        <f t="shared" si="11"/>
        <v>1318.6852837106021</v>
      </c>
      <c r="N20" s="192">
        <f t="shared" si="11"/>
        <v>14277.859554846162</v>
      </c>
      <c r="O20" s="631"/>
      <c r="P20" s="179">
        <f t="shared" si="3"/>
        <v>26.307118270223814</v>
      </c>
      <c r="Q20" s="179">
        <f t="shared" si="1"/>
        <v>29.755103830213848</v>
      </c>
      <c r="R20" s="179">
        <f t="shared" si="1"/>
        <v>42.408979106892701</v>
      </c>
      <c r="S20" s="179">
        <f t="shared" si="1"/>
        <v>18.629317171625544</v>
      </c>
      <c r="T20" s="179">
        <f t="shared" si="1"/>
        <v>33.436796370403115</v>
      </c>
      <c r="U20" s="179">
        <f t="shared" si="1"/>
        <v>22.416299075773441</v>
      </c>
      <c r="V20" s="179">
        <f t="shared" si="1"/>
        <v>28.399217584972977</v>
      </c>
      <c r="W20" s="179">
        <f t="shared" si="1"/>
        <v>29.885373622907441</v>
      </c>
      <c r="X20" s="179">
        <f t="shared" si="1"/>
        <v>24.718251889244108</v>
      </c>
      <c r="Y20" s="179">
        <f t="shared" si="1"/>
        <v>25.600867003239241</v>
      </c>
      <c r="Z20" s="179">
        <f t="shared" si="1"/>
        <v>24.326060074095306</v>
      </c>
      <c r="AA20" s="179">
        <f t="shared" si="1"/>
        <v>31.255873043626504</v>
      </c>
      <c r="AB20" s="179">
        <f t="shared" si="1"/>
        <v>27.132510202471789</v>
      </c>
      <c r="AC20" s="512"/>
      <c r="AD20" s="179">
        <f t="shared" si="4"/>
        <v>27.444826180877595</v>
      </c>
      <c r="AE20" s="179">
        <f t="shared" si="5"/>
        <v>26.99965161589024</v>
      </c>
      <c r="AG20" s="179">
        <f t="shared" si="6"/>
        <v>-0.64312003032030418</v>
      </c>
      <c r="AH20" s="179">
        <v>27.775630232792093</v>
      </c>
      <c r="AI20" s="512"/>
      <c r="AJ20" s="179">
        <v>30.886364873321298</v>
      </c>
      <c r="AK20" s="179">
        <v>26.918543153266675</v>
      </c>
    </row>
    <row r="21" spans="1:37" x14ac:dyDescent="0.3">
      <c r="A21" s="635" t="s">
        <v>91</v>
      </c>
      <c r="B21" s="626">
        <f>'data entry '!B131</f>
        <v>392.90298007701097</v>
      </c>
      <c r="C21" s="626">
        <f>'data entry '!C131</f>
        <v>366.36480280459801</v>
      </c>
      <c r="D21" s="626">
        <f>'data entry '!D131</f>
        <v>394.15364017427498</v>
      </c>
      <c r="E21" s="626">
        <f>'data entry '!E131</f>
        <v>36.995220000000003</v>
      </c>
      <c r="F21" s="626">
        <f>'data entry '!F131</f>
        <v>309.69852585293307</v>
      </c>
      <c r="G21" s="626">
        <f>'data entry '!G131</f>
        <v>303.97954589743586</v>
      </c>
      <c r="H21" s="626">
        <f>'data entry '!H131</f>
        <v>313.81512993847633</v>
      </c>
      <c r="I21" s="626">
        <f>'data entry '!I131</f>
        <v>315.73582195781159</v>
      </c>
      <c r="J21" s="626">
        <f>'data entry '!J131</f>
        <v>309.41235527642624</v>
      </c>
      <c r="K21" s="626">
        <f>'data entry '!K131</f>
        <v>319.01422162641825</v>
      </c>
      <c r="L21" s="626">
        <f>'data entry '!L131</f>
        <v>312.32812002871498</v>
      </c>
      <c r="M21" s="626">
        <f>'data entry '!M131</f>
        <v>321.85961221088411</v>
      </c>
      <c r="N21" s="626">
        <f>SUM(B21:M21)</f>
        <v>3696.2599758449851</v>
      </c>
      <c r="O21" s="610"/>
      <c r="P21" s="682">
        <f t="shared" ref="P21:P22" si="12">B21*1000/B$2</f>
        <v>8.2966188752879404</v>
      </c>
      <c r="Q21" s="682">
        <f t="shared" ref="Q21:Q22" si="13">C21*1000/C$2</f>
        <v>8.6015259362588239</v>
      </c>
      <c r="R21" s="682">
        <f t="shared" ref="R21:R22" si="14">D21*1000/D$2</f>
        <v>17.135623990898662</v>
      </c>
      <c r="S21" s="682">
        <f t="shared" ref="S21:S22" si="15">E21*1000/E$2</f>
        <v>0.83896997460087086</v>
      </c>
      <c r="T21" s="682">
        <f t="shared" ref="T21:T22" si="16">F21*1000/F$2</f>
        <v>8.6027368292481405</v>
      </c>
      <c r="U21" s="682">
        <f t="shared" ref="U21:U22" si="17">G21*1000/G$2</f>
        <v>5.5776062444005436</v>
      </c>
      <c r="V21" s="682">
        <f t="shared" ref="V21:V22" si="18">H21*1000/H$2</f>
        <v>7.5618103599632844</v>
      </c>
      <c r="W21" s="682">
        <f t="shared" ref="W21:W22" si="19">I21*1000/I$2</f>
        <v>8.0957900990261926</v>
      </c>
      <c r="X21" s="682">
        <f t="shared" ref="X21:X22" si="20">J21*1000/J$2</f>
        <v>5.7208533840515159</v>
      </c>
      <c r="Y21" s="682">
        <f t="shared" ref="Y21:Y22" si="21">K21*1000/K$2</f>
        <v>6.3843704296033108</v>
      </c>
      <c r="Z21" s="682">
        <f t="shared" ref="Z21:Z22" si="22">L21*1000/L$2</f>
        <v>6.0137114916188192</v>
      </c>
      <c r="AA21" s="682">
        <f t="shared" ref="AA21:AA22" si="23">M21*1000/M$2</f>
        <v>7.6288128042399643</v>
      </c>
      <c r="AB21" s="682">
        <f t="shared" ref="AB21:AB22" si="24">N21*1000/N$2</f>
        <v>7.0240788628266317</v>
      </c>
      <c r="AC21" s="512"/>
      <c r="AD21" s="682">
        <f t="shared" si="4"/>
        <v>7.5799540770718261</v>
      </c>
      <c r="AE21" s="682">
        <f t="shared" si="5"/>
        <v>6.7876106691168232</v>
      </c>
      <c r="AG21" s="682">
        <f t="shared" si="6"/>
        <v>-2.1381568864728253</v>
      </c>
      <c r="AH21" s="682">
        <v>9.1622357492994571</v>
      </c>
      <c r="AI21" s="512"/>
      <c r="AJ21" s="682">
        <v>10.211606723499104</v>
      </c>
      <c r="AK21" s="682">
        <v>8.8731071647209578</v>
      </c>
    </row>
    <row r="22" spans="1:37" x14ac:dyDescent="0.3">
      <c r="A22" s="636" t="s">
        <v>92</v>
      </c>
      <c r="B22" s="645">
        <f>B20+B21</f>
        <v>1638.7291800000003</v>
      </c>
      <c r="C22" s="645">
        <f t="shared" ref="C22:N22" si="25">C20+C21</f>
        <v>1633.72397</v>
      </c>
      <c r="D22" s="645">
        <f t="shared" si="25"/>
        <v>1369.6450199999999</v>
      </c>
      <c r="E22" s="645">
        <f t="shared" si="25"/>
        <v>858.47359000000006</v>
      </c>
      <c r="F22" s="645">
        <f t="shared" si="25"/>
        <v>1513.4231951874451</v>
      </c>
      <c r="G22" s="645">
        <f t="shared" si="25"/>
        <v>1525.6678679433874</v>
      </c>
      <c r="H22" s="645">
        <f t="shared" si="25"/>
        <v>1492.3826597148548</v>
      </c>
      <c r="I22" s="645">
        <f t="shared" si="25"/>
        <v>1481.2654231365752</v>
      </c>
      <c r="J22" s="645">
        <f t="shared" si="25"/>
        <v>1646.2990087061939</v>
      </c>
      <c r="K22" s="645">
        <f t="shared" si="25"/>
        <v>1598.2383440442766</v>
      </c>
      <c r="L22" s="645">
        <f t="shared" si="25"/>
        <v>1575.7263760369287</v>
      </c>
      <c r="M22" s="645">
        <f t="shared" si="25"/>
        <v>1640.5448959214862</v>
      </c>
      <c r="N22" s="645">
        <f t="shared" si="25"/>
        <v>17974.119530691147</v>
      </c>
      <c r="O22" s="610"/>
      <c r="P22" s="614">
        <f t="shared" si="12"/>
        <v>34.603737145511758</v>
      </c>
      <c r="Q22" s="614">
        <f t="shared" si="13"/>
        <v>38.356629766472665</v>
      </c>
      <c r="R22" s="614">
        <f t="shared" si="14"/>
        <v>59.544603097791359</v>
      </c>
      <c r="S22" s="614">
        <f t="shared" si="15"/>
        <v>19.468287146226416</v>
      </c>
      <c r="T22" s="614">
        <f t="shared" si="16"/>
        <v>42.039533199651252</v>
      </c>
      <c r="U22" s="614">
        <f t="shared" si="17"/>
        <v>27.993905320173987</v>
      </c>
      <c r="V22" s="614">
        <f t="shared" si="18"/>
        <v>35.961027944936262</v>
      </c>
      <c r="W22" s="614">
        <f t="shared" si="19"/>
        <v>37.981163721933626</v>
      </c>
      <c r="X22" s="614">
        <f t="shared" si="20"/>
        <v>30.439105273295624</v>
      </c>
      <c r="Y22" s="614">
        <f t="shared" si="21"/>
        <v>31.985237432842549</v>
      </c>
      <c r="Z22" s="614">
        <f t="shared" si="22"/>
        <v>30.339771565714123</v>
      </c>
      <c r="AA22" s="614">
        <f t="shared" si="23"/>
        <v>38.884685847866464</v>
      </c>
      <c r="AB22" s="614">
        <f t="shared" si="24"/>
        <v>34.156589065298419</v>
      </c>
      <c r="AC22" s="512"/>
      <c r="AD22" s="614">
        <f t="shared" si="4"/>
        <v>35.024780257949423</v>
      </c>
      <c r="AE22" s="614">
        <f t="shared" si="5"/>
        <v>33.787262285007074</v>
      </c>
      <c r="AG22" s="614">
        <f t="shared" si="6"/>
        <v>-2.7812769167931322</v>
      </c>
      <c r="AH22" s="614">
        <v>36.937865982091552</v>
      </c>
      <c r="AI22" s="512"/>
      <c r="AJ22" s="614">
        <v>41.097971596820393</v>
      </c>
      <c r="AK22" s="614">
        <v>35.791650317987639</v>
      </c>
    </row>
    <row r="23" spans="1:37" x14ac:dyDescent="0.3">
      <c r="A23" s="51"/>
      <c r="B23" s="646"/>
      <c r="C23" s="646"/>
      <c r="D23" s="646"/>
      <c r="E23" s="646"/>
      <c r="F23" s="646"/>
      <c r="G23" s="646"/>
      <c r="H23" s="646"/>
      <c r="I23" s="646"/>
      <c r="J23" s="646"/>
      <c r="K23" s="646"/>
      <c r="L23" s="646"/>
      <c r="M23" s="646"/>
      <c r="N23" s="647"/>
      <c r="O23" s="610"/>
      <c r="P23" s="610"/>
      <c r="Q23" s="610"/>
      <c r="R23" s="610"/>
      <c r="S23" s="610"/>
      <c r="T23" s="610"/>
      <c r="U23" s="610"/>
      <c r="V23" s="610"/>
      <c r="W23" s="610"/>
      <c r="X23" s="610"/>
      <c r="Y23" s="610"/>
      <c r="Z23" s="610"/>
      <c r="AA23" s="610"/>
      <c r="AB23" s="610"/>
      <c r="AC23" s="512"/>
      <c r="AD23" s="610"/>
      <c r="AE23" s="610"/>
      <c r="AG23" s="610">
        <f t="shared" si="6"/>
        <v>0</v>
      </c>
      <c r="AH23" s="610"/>
      <c r="AI23" s="512"/>
      <c r="AJ23" s="610"/>
      <c r="AK23" s="610"/>
    </row>
    <row r="24" spans="1:37" x14ac:dyDescent="0.3">
      <c r="A24" s="291" t="s">
        <v>76</v>
      </c>
      <c r="B24" s="273">
        <f>'data entry '!B133</f>
        <v>18.225650000000002</v>
      </c>
      <c r="C24" s="273">
        <f>'data entry '!C133</f>
        <v>14.337690000000006</v>
      </c>
      <c r="D24" s="273">
        <f>'data entry '!D133</f>
        <v>9.554800000000002</v>
      </c>
      <c r="E24" s="273">
        <f>'data entry '!E133</f>
        <v>50.457409999999996</v>
      </c>
      <c r="F24" s="273">
        <f>'data entry '!F133</f>
        <v>14.74</v>
      </c>
      <c r="G24" s="273">
        <f>'data entry '!G133</f>
        <v>23.30592</v>
      </c>
      <c r="H24" s="273">
        <f>'data entry '!H133</f>
        <v>17.86224</v>
      </c>
      <c r="I24" s="273">
        <f>'data entry '!I133</f>
        <v>17.5076</v>
      </c>
      <c r="J24" s="273">
        <f>'data entry '!J133</f>
        <v>24.159080000000003</v>
      </c>
      <c r="K24" s="273">
        <f>'data entry '!K133</f>
        <v>21.98592</v>
      </c>
      <c r="L24" s="273">
        <f>'data entry '!L133</f>
        <v>22.851839999999999</v>
      </c>
      <c r="M24" s="273">
        <f>'data entry '!M133</f>
        <v>18.563599999999997</v>
      </c>
      <c r="N24" s="273">
        <f t="shared" ref="N24:N28" si="26">SUM(B24:M24)</f>
        <v>253.55174999999997</v>
      </c>
      <c r="O24" s="615"/>
      <c r="P24" s="611">
        <f t="shared" ref="P24:AB29" si="27">B24*1000/B$2</f>
        <v>0.38485651540426974</v>
      </c>
      <c r="Q24" s="611">
        <f t="shared" si="27"/>
        <v>0.3366207983325713</v>
      </c>
      <c r="R24" s="611">
        <f t="shared" si="27"/>
        <v>0.41538994803104307</v>
      </c>
      <c r="S24" s="611">
        <f t="shared" si="27"/>
        <v>1.1442627449201741</v>
      </c>
      <c r="T24" s="611">
        <f t="shared" si="27"/>
        <v>0.40944444444444444</v>
      </c>
      <c r="U24" s="611">
        <f t="shared" si="27"/>
        <v>0.42763155178657708</v>
      </c>
      <c r="V24" s="611">
        <f t="shared" si="27"/>
        <v>0.43041542168674701</v>
      </c>
      <c r="W24" s="611">
        <f t="shared" si="27"/>
        <v>0.44891280900223568</v>
      </c>
      <c r="X24" s="611">
        <f t="shared" si="27"/>
        <v>0.44668725154848854</v>
      </c>
      <c r="Y24" s="611">
        <f t="shared" si="27"/>
        <v>0.44000000000000006</v>
      </c>
      <c r="Z24" s="611">
        <f t="shared" si="27"/>
        <v>0.44</v>
      </c>
      <c r="AA24" s="611">
        <f t="shared" si="27"/>
        <v>0.43999999999999995</v>
      </c>
      <c r="AB24" s="611">
        <f t="shared" si="27"/>
        <v>0.48182960599262592</v>
      </c>
      <c r="AC24" s="510"/>
      <c r="AD24" s="611">
        <f t="shared" ref="AD24:AD29" si="28">+SUM(B24:E24)/SUM($B$2:$E$2)*1000</f>
        <v>0.58947295617297957</v>
      </c>
      <c r="AE24" s="611">
        <f t="shared" ref="AE24:AE29" si="29">+SUM(F24:M24)/SUM($F$2:$M$2)*1000</f>
        <v>0.43603834218068566</v>
      </c>
      <c r="AG24" s="611">
        <f t="shared" si="6"/>
        <v>5.6327019185904825E-2</v>
      </c>
      <c r="AH24" s="611">
        <v>0.42550258680672109</v>
      </c>
      <c r="AI24" s="510"/>
      <c r="AJ24" s="611">
        <v>0.37288528980655</v>
      </c>
      <c r="AK24" s="611">
        <v>0.44</v>
      </c>
    </row>
    <row r="25" spans="1:37" x14ac:dyDescent="0.3">
      <c r="A25" s="292" t="s">
        <v>77</v>
      </c>
      <c r="B25" s="244">
        <f>'data entry '!B134</f>
        <v>-56.35548</v>
      </c>
      <c r="C25" s="244">
        <f>'data entry '!C134</f>
        <v>-55.948819999999998</v>
      </c>
      <c r="D25" s="244">
        <f>'data entry '!D134</f>
        <v>-30.366419999999998</v>
      </c>
      <c r="E25" s="244">
        <f>'data entry '!E134</f>
        <v>-53.893480000000004</v>
      </c>
      <c r="F25" s="244">
        <f>'data entry '!F134</f>
        <v>-31.28553668625938</v>
      </c>
      <c r="G25" s="244">
        <f>'data entry '!G134</f>
        <v>-51.571118382193724</v>
      </c>
      <c r="H25" s="244">
        <f>'data entry '!H134</f>
        <v>-39.488540813848189</v>
      </c>
      <c r="I25" s="244">
        <f>'data entry '!I134</f>
        <v>-38.658510144472473</v>
      </c>
      <c r="J25" s="244">
        <f>'data entry '!J134</f>
        <v>-53.347192542572024</v>
      </c>
      <c r="K25" s="244">
        <f>'data entry '!K134</f>
        <v>-48.635137103373353</v>
      </c>
      <c r="L25" s="244">
        <f>'data entry '!L134</f>
        <v>-50.750043862884446</v>
      </c>
      <c r="M25" s="244">
        <f>'data entry '!M134</f>
        <v>-41.118432317492008</v>
      </c>
      <c r="N25" s="244">
        <f t="shared" si="26"/>
        <v>-551.4187118530956</v>
      </c>
      <c r="O25" s="615"/>
      <c r="P25" s="612">
        <f t="shared" si="27"/>
        <v>-1.1900137255316006</v>
      </c>
      <c r="Q25" s="612">
        <f t="shared" si="27"/>
        <v>-1.3135683958967814</v>
      </c>
      <c r="R25" s="612">
        <f t="shared" si="27"/>
        <v>-1.3201642761427581</v>
      </c>
      <c r="S25" s="612">
        <f t="shared" si="27"/>
        <v>-1.2221852322206097</v>
      </c>
      <c r="T25" s="612">
        <f t="shared" si="27"/>
        <v>-0.86904268572942722</v>
      </c>
      <c r="U25" s="612">
        <f t="shared" si="27"/>
        <v>-0.9462590355217374</v>
      </c>
      <c r="V25" s="612">
        <f t="shared" si="27"/>
        <v>-0.9515311039481491</v>
      </c>
      <c r="W25" s="612">
        <f t="shared" si="27"/>
        <v>-0.99124382444176029</v>
      </c>
      <c r="X25" s="612">
        <f t="shared" si="27"/>
        <v>-0.98635837186968711</v>
      </c>
      <c r="Y25" s="612">
        <f t="shared" si="27"/>
        <v>-0.9733256704965848</v>
      </c>
      <c r="Z25" s="612">
        <f t="shared" si="27"/>
        <v>-0.97716504665134873</v>
      </c>
      <c r="AA25" s="612">
        <f t="shared" si="27"/>
        <v>-0.97460138225863968</v>
      </c>
      <c r="AB25" s="612">
        <f t="shared" si="27"/>
        <v>-1.0478723206175402</v>
      </c>
      <c r="AC25" s="512"/>
      <c r="AD25" s="612">
        <f t="shared" si="28"/>
        <v>-1.2516185974782412</v>
      </c>
      <c r="AE25" s="612">
        <f t="shared" si="29"/>
        <v>-0.96119906584799653</v>
      </c>
      <c r="AG25" s="612">
        <f t="shared" si="6"/>
        <v>-1.6010831302072592E-2</v>
      </c>
      <c r="AH25" s="612">
        <v>-1.0318614893154676</v>
      </c>
      <c r="AI25" s="512"/>
      <c r="AJ25" s="612">
        <v>-1.2631092629947365</v>
      </c>
      <c r="AK25" s="612">
        <v>-0.96814680391375818</v>
      </c>
    </row>
    <row r="26" spans="1:37" x14ac:dyDescent="0.3">
      <c r="A26" s="292" t="s">
        <v>144</v>
      </c>
      <c r="B26" s="244">
        <f>'data entry '!B135</f>
        <v>-2.7324800000000007</v>
      </c>
      <c r="C26" s="244">
        <f>'data entry '!C135</f>
        <v>-0.15481999999999996</v>
      </c>
      <c r="D26" s="244">
        <f>'data entry '!D135</f>
        <v>-0.55567000000000011</v>
      </c>
      <c r="E26" s="244">
        <f>'data entry '!E135</f>
        <v>65.577179999999998</v>
      </c>
      <c r="F26" s="244">
        <f>'data entry '!F135</f>
        <v>0</v>
      </c>
      <c r="G26" s="244">
        <f>'data entry '!G135</f>
        <v>0</v>
      </c>
      <c r="H26" s="244">
        <f>'data entry '!H135</f>
        <v>0</v>
      </c>
      <c r="I26" s="244">
        <f>'data entry '!I135</f>
        <v>0</v>
      </c>
      <c r="J26" s="244">
        <f>'data entry '!J135</f>
        <v>0</v>
      </c>
      <c r="K26" s="244">
        <f>'data entry '!K135</f>
        <v>0</v>
      </c>
      <c r="L26" s="244">
        <f>'data entry '!L135</f>
        <v>0</v>
      </c>
      <c r="M26" s="244">
        <f>'data entry '!M135</f>
        <v>0</v>
      </c>
      <c r="N26" s="244">
        <f t="shared" si="26"/>
        <v>62.134209999999996</v>
      </c>
      <c r="O26" s="615"/>
      <c r="P26" s="612">
        <f t="shared" si="27"/>
        <v>-5.7699600903773476E-2</v>
      </c>
      <c r="Q26" s="612">
        <f t="shared" si="27"/>
        <v>-3.6348694941687716E-3</v>
      </c>
      <c r="R26" s="612">
        <f t="shared" si="27"/>
        <v>-2.4157463518065237E-2</v>
      </c>
      <c r="S26" s="612">
        <f t="shared" si="27"/>
        <v>1.4871457728592161</v>
      </c>
      <c r="T26" s="612">
        <f t="shared" si="27"/>
        <v>0</v>
      </c>
      <c r="U26" s="612">
        <f t="shared" si="27"/>
        <v>0</v>
      </c>
      <c r="V26" s="612">
        <f t="shared" si="27"/>
        <v>0</v>
      </c>
      <c r="W26" s="612">
        <f t="shared" si="27"/>
        <v>0</v>
      </c>
      <c r="X26" s="612">
        <f t="shared" si="27"/>
        <v>0</v>
      </c>
      <c r="Y26" s="612">
        <f t="shared" si="27"/>
        <v>0</v>
      </c>
      <c r="Z26" s="612">
        <f t="shared" si="27"/>
        <v>0</v>
      </c>
      <c r="AA26" s="612">
        <f t="shared" si="27"/>
        <v>0</v>
      </c>
      <c r="AB26" s="612">
        <f t="shared" si="27"/>
        <v>0.11807491734118609</v>
      </c>
      <c r="AC26" s="512"/>
      <c r="AD26" s="612">
        <f t="shared" si="28"/>
        <v>0.39563833483217448</v>
      </c>
      <c r="AE26" s="612">
        <f t="shared" si="29"/>
        <v>0</v>
      </c>
      <c r="AG26" s="612">
        <f t="shared" si="6"/>
        <v>0.1246592551377398</v>
      </c>
      <c r="AH26" s="612">
        <v>-6.584337796553711E-3</v>
      </c>
      <c r="AI26" s="512"/>
      <c r="AJ26" s="612">
        <v>-3.0481708504821375E-2</v>
      </c>
      <c r="AK26" s="612">
        <v>0</v>
      </c>
    </row>
    <row r="27" spans="1:37" x14ac:dyDescent="0.3">
      <c r="A27" s="292" t="s">
        <v>85</v>
      </c>
      <c r="B27" s="244">
        <f>'data entry '!B136</f>
        <v>-26.068060000000003</v>
      </c>
      <c r="C27" s="244">
        <f>'data entry '!C136</f>
        <v>5.0938100000000004</v>
      </c>
      <c r="D27" s="244">
        <f>'data entry '!D136</f>
        <v>200.17382999999998</v>
      </c>
      <c r="E27" s="244">
        <f>'data entry '!E136</f>
        <v>-177.1679</v>
      </c>
      <c r="F27" s="244">
        <f>'data entry '!F136</f>
        <v>8</v>
      </c>
      <c r="G27" s="244">
        <f>'data entry '!G136</f>
        <v>8.3164769610052787</v>
      </c>
      <c r="H27" s="244">
        <f>'data entry '!H136</f>
        <v>8.2504731756004741</v>
      </c>
      <c r="I27" s="244">
        <f>'data entry '!I136</f>
        <v>8.1849932297623766</v>
      </c>
      <c r="J27" s="244">
        <f>'data entry '!J136</f>
        <v>8.1200329660341026</v>
      </c>
      <c r="K27" s="244">
        <f>'data entry '!K136</f>
        <v>7.9803763793946958</v>
      </c>
      <c r="L27" s="244">
        <f>'data entry '!L136</f>
        <v>7.8431217487908542</v>
      </c>
      <c r="M27" s="244">
        <f>'data entry '!M136</f>
        <v>7.7082277629394138</v>
      </c>
      <c r="N27" s="244">
        <f t="shared" si="26"/>
        <v>66.435382223527171</v>
      </c>
      <c r="O27" s="615"/>
      <c r="P27" s="612">
        <f t="shared" si="27"/>
        <v>-0.55045843275545325</v>
      </c>
      <c r="Q27" s="612">
        <f t="shared" si="27"/>
        <v>0.11959265326244566</v>
      </c>
      <c r="R27" s="612">
        <f t="shared" si="27"/>
        <v>8.7024528865988646</v>
      </c>
      <c r="S27" s="612">
        <f t="shared" si="27"/>
        <v>-4.0177771226415091</v>
      </c>
      <c r="T27" s="612">
        <f t="shared" si="27"/>
        <v>0.22222222222222221</v>
      </c>
      <c r="U27" s="612">
        <f t="shared" si="27"/>
        <v>0.15259590474145643</v>
      </c>
      <c r="V27" s="612">
        <f t="shared" si="27"/>
        <v>0.19880658254458974</v>
      </c>
      <c r="W27" s="612">
        <f t="shared" si="27"/>
        <v>0.20987161589463491</v>
      </c>
      <c r="X27" s="612">
        <f t="shared" si="27"/>
        <v>0.15013465778005183</v>
      </c>
      <c r="Y27" s="612">
        <f t="shared" si="27"/>
        <v>0.1597097418226604</v>
      </c>
      <c r="Z27" s="612">
        <f t="shared" si="27"/>
        <v>0.15101512917419235</v>
      </c>
      <c r="AA27" s="612">
        <f t="shared" si="27"/>
        <v>0.18270272014551822</v>
      </c>
      <c r="AB27" s="612">
        <f t="shared" si="27"/>
        <v>0.12624852339110892</v>
      </c>
      <c r="AC27" s="512"/>
      <c r="AD27" s="612">
        <f t="shared" si="28"/>
        <v>1.2936681614070876E-2</v>
      </c>
      <c r="AE27" s="612">
        <f t="shared" si="29"/>
        <v>0.17445115208239068</v>
      </c>
      <c r="AG27" s="612">
        <f t="shared" si="6"/>
        <v>-2.34833887216227E-2</v>
      </c>
      <c r="AH27" s="612">
        <v>0.14973191211273162</v>
      </c>
      <c r="AI27" s="512"/>
      <c r="AJ27" s="612">
        <v>1.5865108791962799</v>
      </c>
      <c r="AK27" s="612">
        <v>-0.24613749853287942</v>
      </c>
    </row>
    <row r="28" spans="1:37" x14ac:dyDescent="0.3">
      <c r="A28" s="306" t="s">
        <v>145</v>
      </c>
      <c r="B28" s="277">
        <f>'data entry '!B137</f>
        <v>0</v>
      </c>
      <c r="C28" s="277">
        <f>'data entry '!C137</f>
        <v>0</v>
      </c>
      <c r="D28" s="277">
        <f>'data entry '!D137</f>
        <v>0</v>
      </c>
      <c r="E28" s="277">
        <f>'data entry '!E137</f>
        <v>0</v>
      </c>
      <c r="F28" s="277">
        <f>'data entry '!F137</f>
        <v>0</v>
      </c>
      <c r="G28" s="277">
        <f>'data entry '!G137</f>
        <v>0</v>
      </c>
      <c r="H28" s="277">
        <f>'data entry '!H137</f>
        <v>0</v>
      </c>
      <c r="I28" s="277">
        <f>'data entry '!I137</f>
        <v>0</v>
      </c>
      <c r="J28" s="277">
        <f>'data entry '!J137</f>
        <v>0</v>
      </c>
      <c r="K28" s="277">
        <f>'data entry '!K137</f>
        <v>0</v>
      </c>
      <c r="L28" s="277">
        <f>'data entry '!L137</f>
        <v>0</v>
      </c>
      <c r="M28" s="277">
        <f>'data entry '!M137</f>
        <v>0</v>
      </c>
      <c r="N28" s="277">
        <f t="shared" si="26"/>
        <v>0</v>
      </c>
      <c r="O28" s="615"/>
      <c r="P28" s="616">
        <f t="shared" si="27"/>
        <v>0</v>
      </c>
      <c r="Q28" s="616">
        <f t="shared" si="27"/>
        <v>0</v>
      </c>
      <c r="R28" s="616">
        <f t="shared" si="27"/>
        <v>0</v>
      </c>
      <c r="S28" s="616">
        <f t="shared" si="27"/>
        <v>0</v>
      </c>
      <c r="T28" s="616">
        <f t="shared" si="27"/>
        <v>0</v>
      </c>
      <c r="U28" s="616">
        <f t="shared" si="27"/>
        <v>0</v>
      </c>
      <c r="V28" s="616">
        <f t="shared" si="27"/>
        <v>0</v>
      </c>
      <c r="W28" s="616">
        <f t="shared" si="27"/>
        <v>0</v>
      </c>
      <c r="X28" s="616">
        <f t="shared" si="27"/>
        <v>0</v>
      </c>
      <c r="Y28" s="616">
        <f t="shared" si="27"/>
        <v>0</v>
      </c>
      <c r="Z28" s="616">
        <f t="shared" si="27"/>
        <v>0</v>
      </c>
      <c r="AA28" s="616">
        <f t="shared" si="27"/>
        <v>0</v>
      </c>
      <c r="AB28" s="616">
        <f t="shared" si="27"/>
        <v>0</v>
      </c>
      <c r="AC28" s="512"/>
      <c r="AD28" s="616">
        <f t="shared" si="28"/>
        <v>0</v>
      </c>
      <c r="AE28" s="616">
        <f t="shared" si="29"/>
        <v>0</v>
      </c>
      <c r="AG28" s="616">
        <f t="shared" si="6"/>
        <v>0</v>
      </c>
      <c r="AH28" s="616">
        <v>0</v>
      </c>
      <c r="AI28" s="512"/>
      <c r="AJ28" s="616">
        <v>0</v>
      </c>
      <c r="AK28" s="616">
        <v>0</v>
      </c>
    </row>
    <row r="29" spans="1:37" x14ac:dyDescent="0.3">
      <c r="A29" s="200" t="s">
        <v>146</v>
      </c>
      <c r="B29" s="234">
        <f>SUM(B24:B28)</f>
        <v>-66.930370000000011</v>
      </c>
      <c r="C29" s="234">
        <f t="shared" ref="C29:N29" si="30">SUM(C24:C28)</f>
        <v>-36.672139999999992</v>
      </c>
      <c r="D29" s="234">
        <f t="shared" si="30"/>
        <v>178.80653999999998</v>
      </c>
      <c r="E29" s="234">
        <f t="shared" si="30"/>
        <v>-115.02679000000001</v>
      </c>
      <c r="F29" s="234">
        <f t="shared" si="30"/>
        <v>-8.545536686259382</v>
      </c>
      <c r="G29" s="234">
        <f t="shared" si="30"/>
        <v>-19.948721421188445</v>
      </c>
      <c r="H29" s="234">
        <f t="shared" si="30"/>
        <v>-13.375827638247715</v>
      </c>
      <c r="I29" s="234">
        <f t="shared" si="30"/>
        <v>-12.965916914710096</v>
      </c>
      <c r="J29" s="234">
        <f t="shared" si="30"/>
        <v>-21.068079576537919</v>
      </c>
      <c r="K29" s="234">
        <f t="shared" si="30"/>
        <v>-18.668840723978658</v>
      </c>
      <c r="L29" s="234">
        <f t="shared" si="30"/>
        <v>-20.055082114093594</v>
      </c>
      <c r="M29" s="234">
        <f t="shared" si="30"/>
        <v>-14.846604554552597</v>
      </c>
      <c r="N29" s="234">
        <f t="shared" si="30"/>
        <v>-169.29736962956846</v>
      </c>
      <c r="O29" s="615"/>
      <c r="P29" s="218">
        <f t="shared" si="27"/>
        <v>-1.4133152437865577</v>
      </c>
      <c r="Q29" s="218">
        <f t="shared" si="27"/>
        <v>-0.8609898137959332</v>
      </c>
      <c r="R29" s="218">
        <f t="shared" si="27"/>
        <v>7.7735210949690847</v>
      </c>
      <c r="S29" s="218">
        <f t="shared" si="27"/>
        <v>-2.6085538370827286</v>
      </c>
      <c r="T29" s="218">
        <f t="shared" si="27"/>
        <v>-0.2373760190627606</v>
      </c>
      <c r="U29" s="218">
        <f t="shared" si="27"/>
        <v>-0.36603157899370398</v>
      </c>
      <c r="V29" s="218">
        <f t="shared" si="27"/>
        <v>-0.32230909971681243</v>
      </c>
      <c r="W29" s="218">
        <f t="shared" si="27"/>
        <v>-0.33245939954488968</v>
      </c>
      <c r="X29" s="218">
        <f t="shared" si="27"/>
        <v>-0.38953646254114671</v>
      </c>
      <c r="Y29" s="218">
        <f t="shared" si="27"/>
        <v>-0.37361592867392446</v>
      </c>
      <c r="Z29" s="218">
        <f t="shared" si="27"/>
        <v>-0.38614991747715638</v>
      </c>
      <c r="AA29" s="218">
        <f t="shared" si="27"/>
        <v>-0.35189866211312154</v>
      </c>
      <c r="AB29" s="218">
        <f t="shared" si="27"/>
        <v>-0.32171927389261934</v>
      </c>
      <c r="AC29" s="512"/>
      <c r="AD29" s="218">
        <f t="shared" si="28"/>
        <v>-0.25357062485901621</v>
      </c>
      <c r="AE29" s="218">
        <f t="shared" si="29"/>
        <v>-0.35070957158492028</v>
      </c>
      <c r="AG29" s="218">
        <f t="shared" si="6"/>
        <v>0.14149205429994949</v>
      </c>
      <c r="AH29" s="218">
        <v>-0.46321132819256883</v>
      </c>
      <c r="AI29" s="512"/>
      <c r="AJ29" s="218">
        <v>0.66580519750327216</v>
      </c>
      <c r="AK29" s="218">
        <v>-0.77428430244663737</v>
      </c>
    </row>
    <row r="30" spans="1:37" x14ac:dyDescent="0.3">
      <c r="A30" s="51"/>
      <c r="B30" s="646"/>
      <c r="C30" s="646"/>
      <c r="D30" s="646"/>
      <c r="E30" s="646"/>
      <c r="F30" s="646"/>
      <c r="G30" s="646"/>
      <c r="H30" s="646"/>
      <c r="I30" s="646"/>
      <c r="J30" s="646"/>
      <c r="K30" s="646"/>
      <c r="L30" s="646"/>
      <c r="M30" s="646"/>
      <c r="N30" s="647"/>
      <c r="O30" s="61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512"/>
      <c r="AD30" s="205"/>
      <c r="AE30" s="205">
        <f t="shared" ref="AE30" si="31">SUM(C30:M30)*1000/SUM($C$2:$M$2)</f>
        <v>0</v>
      </c>
      <c r="AG30" s="205">
        <f t="shared" si="6"/>
        <v>0</v>
      </c>
      <c r="AH30" s="205"/>
      <c r="AI30" s="512"/>
      <c r="AJ30" s="205"/>
      <c r="AK30" s="205">
        <v>0</v>
      </c>
    </row>
    <row r="31" spans="1:37" x14ac:dyDescent="0.3">
      <c r="A31" s="2" t="s">
        <v>148</v>
      </c>
      <c r="B31" s="648">
        <f>'data entry '!B139</f>
        <v>88.890339999999995</v>
      </c>
      <c r="C31" s="648">
        <f>'data entry '!C139</f>
        <v>89.415120000000002</v>
      </c>
      <c r="D31" s="648">
        <f>'data entry '!D139</f>
        <v>89.415120000000002</v>
      </c>
      <c r="E31" s="648">
        <f>'data entry '!E139</f>
        <v>89.415120000000002</v>
      </c>
      <c r="F31" s="648">
        <f>'data entry '!F139</f>
        <v>90.697222368004915</v>
      </c>
      <c r="G31" s="648">
        <f>'data entry '!G139</f>
        <v>90.697222368004915</v>
      </c>
      <c r="H31" s="648">
        <f>'data entry '!H139</f>
        <v>90.697222368004915</v>
      </c>
      <c r="I31" s="648">
        <f>'data entry '!I139</f>
        <v>90.697222368004915</v>
      </c>
      <c r="J31" s="648">
        <f>'data entry '!J139</f>
        <v>90.697222368004915</v>
      </c>
      <c r="K31" s="648">
        <f>'data entry '!K139</f>
        <v>90.697222368004915</v>
      </c>
      <c r="L31" s="648">
        <f>'data entry '!L139</f>
        <v>90.697222368004915</v>
      </c>
      <c r="M31" s="648">
        <f>'data entry '!M139</f>
        <v>90.697222368004915</v>
      </c>
      <c r="N31" s="680">
        <f t="shared" ref="N31:N32" si="32">SUM(B31:M31)</f>
        <v>1082.713478944039</v>
      </c>
      <c r="O31" s="615"/>
      <c r="P31" s="617">
        <f t="shared" ref="P31:AB33" si="33">B31*1000/B$2</f>
        <v>1.87702641636928</v>
      </c>
      <c r="Q31" s="617">
        <f t="shared" si="33"/>
        <v>2.0992913835773162</v>
      </c>
      <c r="R31" s="617">
        <f t="shared" si="33"/>
        <v>3.887275720055833</v>
      </c>
      <c r="S31" s="617">
        <f t="shared" si="33"/>
        <v>2.0277376632801158</v>
      </c>
      <c r="T31" s="617">
        <f t="shared" si="33"/>
        <v>2.5193672880001365</v>
      </c>
      <c r="U31" s="617">
        <f t="shared" si="33"/>
        <v>1.6641691872263438</v>
      </c>
      <c r="V31" s="617">
        <f t="shared" si="33"/>
        <v>2.1854752377832511</v>
      </c>
      <c r="W31" s="617">
        <f t="shared" si="33"/>
        <v>2.3255697446778254</v>
      </c>
      <c r="X31" s="617">
        <f t="shared" si="33"/>
        <v>1.6769385664787819</v>
      </c>
      <c r="Y31" s="617">
        <f t="shared" si="33"/>
        <v>1.8151061152738737</v>
      </c>
      <c r="Z31" s="617">
        <f t="shared" si="33"/>
        <v>1.7463266783734774</v>
      </c>
      <c r="AA31" s="617">
        <f t="shared" si="33"/>
        <v>2.1497326941930535</v>
      </c>
      <c r="AB31" s="617">
        <f t="shared" si="33"/>
        <v>2.0575026950613107</v>
      </c>
      <c r="AC31" s="512"/>
      <c r="AD31" s="617">
        <f t="shared" ref="AD31:AD33" si="34">+SUM(B31:E31)/SUM($B$2:$E$2)*1000</f>
        <v>2.274054400259101</v>
      </c>
      <c r="AE31" s="617">
        <f t="shared" ref="AE31:AE35" si="35">+SUM(F31:M31)/SUM($F$2:$M$2)*1000</f>
        <v>1.9653820369340487</v>
      </c>
      <c r="AG31" s="617">
        <f t="shared" si="6"/>
        <v>-1.5531074425528146E-2</v>
      </c>
      <c r="AH31" s="617">
        <v>2.0730337694868388</v>
      </c>
      <c r="AI31" s="512"/>
      <c r="AJ31" s="617">
        <v>2.3702154477970212</v>
      </c>
      <c r="AK31" s="617">
        <v>1.9911526043650194</v>
      </c>
    </row>
    <row r="32" spans="1:37" x14ac:dyDescent="0.3">
      <c r="A32" s="270" t="s">
        <v>149</v>
      </c>
      <c r="B32" s="649">
        <f>'data entry '!B140</f>
        <v>119.01565000000006</v>
      </c>
      <c r="C32" s="649">
        <f>'data entry '!C140</f>
        <v>64.739339999999999</v>
      </c>
      <c r="D32" s="649">
        <f>'data entry '!D140</f>
        <v>75.012450000000001</v>
      </c>
      <c r="E32" s="649">
        <f>'data entry '!E140</f>
        <v>68.807230000000004</v>
      </c>
      <c r="F32" s="649">
        <f>'data entry '!F140</f>
        <v>98.390591500776807</v>
      </c>
      <c r="G32" s="649">
        <f>'data entry '!G140</f>
        <v>96.833305392241044</v>
      </c>
      <c r="H32" s="649">
        <f>'data entry '!H140</f>
        <v>94.250767484749417</v>
      </c>
      <c r="I32" s="649">
        <f>'data entry '!I140</f>
        <v>93.639126078573113</v>
      </c>
      <c r="J32" s="649">
        <f>'data entry '!J140</f>
        <v>100.27359748474939</v>
      </c>
      <c r="K32" s="649">
        <f>'data entry '!K140</f>
        <v>93.927514672396825</v>
      </c>
      <c r="L32" s="649">
        <f>'data entry '!L140</f>
        <v>93.530514868173853</v>
      </c>
      <c r="M32" s="649">
        <f>'data entry '!M140</f>
        <v>81.499789689728601</v>
      </c>
      <c r="N32" s="681">
        <f t="shared" si="32"/>
        <v>1079.9198771713891</v>
      </c>
      <c r="O32" s="615"/>
      <c r="P32" s="618">
        <f t="shared" si="33"/>
        <v>2.5131585615642895</v>
      </c>
      <c r="Q32" s="618">
        <f t="shared" si="33"/>
        <v>1.5199525386811792</v>
      </c>
      <c r="R32" s="618">
        <f t="shared" si="33"/>
        <v>3.2611271515030364</v>
      </c>
      <c r="S32" s="618">
        <f t="shared" si="33"/>
        <v>1.5603961810595068</v>
      </c>
      <c r="T32" s="618">
        <f t="shared" si="33"/>
        <v>2.7330719861326891</v>
      </c>
      <c r="U32" s="618">
        <f t="shared" si="33"/>
        <v>1.7767578645042787</v>
      </c>
      <c r="V32" s="618">
        <f t="shared" si="33"/>
        <v>2.2711028309578172</v>
      </c>
      <c r="W32" s="618">
        <f t="shared" si="33"/>
        <v>2.4010031712197422</v>
      </c>
      <c r="X32" s="618">
        <f t="shared" si="33"/>
        <v>1.8540001383886362</v>
      </c>
      <c r="Y32" s="618">
        <f t="shared" si="33"/>
        <v>1.8797533355827094</v>
      </c>
      <c r="Z32" s="618">
        <f t="shared" si="33"/>
        <v>1.8008802154223247</v>
      </c>
      <c r="AA32" s="618">
        <f t="shared" si="33"/>
        <v>1.9317323936887556</v>
      </c>
      <c r="AB32" s="618">
        <f t="shared" si="33"/>
        <v>2.0521939561493676</v>
      </c>
      <c r="AC32" s="512"/>
      <c r="AD32" s="618">
        <f t="shared" si="34"/>
        <v>2.0858251351710932</v>
      </c>
      <c r="AE32" s="618">
        <f t="shared" si="35"/>
        <v>2.0378873205020178</v>
      </c>
      <c r="AG32" s="618">
        <f t="shared" si="6"/>
        <v>-0.20862647281900948</v>
      </c>
      <c r="AH32" s="618">
        <v>2.2608204289683771</v>
      </c>
      <c r="AI32" s="512"/>
      <c r="AJ32" s="618">
        <v>2.2909504516794672</v>
      </c>
      <c r="AK32" s="618">
        <v>2.2525188358864647</v>
      </c>
    </row>
    <row r="33" spans="1:37" x14ac:dyDescent="0.3">
      <c r="A33" s="200" t="s">
        <v>150</v>
      </c>
      <c r="B33" s="234">
        <f>SUM(B31:B32)</f>
        <v>207.90599000000006</v>
      </c>
      <c r="C33" s="234">
        <f t="shared" ref="C33:N33" si="36">SUM(C31:C32)</f>
        <v>154.15446</v>
      </c>
      <c r="D33" s="234">
        <f t="shared" si="36"/>
        <v>164.42757</v>
      </c>
      <c r="E33" s="234">
        <f t="shared" si="36"/>
        <v>158.22235000000001</v>
      </c>
      <c r="F33" s="234">
        <f t="shared" si="36"/>
        <v>189.08781386878172</v>
      </c>
      <c r="G33" s="234">
        <f t="shared" si="36"/>
        <v>187.53052776024595</v>
      </c>
      <c r="H33" s="234">
        <f t="shared" si="36"/>
        <v>184.94798985275435</v>
      </c>
      <c r="I33" s="234">
        <f t="shared" si="36"/>
        <v>184.33634844657803</v>
      </c>
      <c r="J33" s="234">
        <f t="shared" si="36"/>
        <v>190.97081985275429</v>
      </c>
      <c r="K33" s="234">
        <f t="shared" si="36"/>
        <v>184.62473704040173</v>
      </c>
      <c r="L33" s="234">
        <f t="shared" si="36"/>
        <v>184.22773723617877</v>
      </c>
      <c r="M33" s="234">
        <f t="shared" si="36"/>
        <v>172.1970120577335</v>
      </c>
      <c r="N33" s="234">
        <f t="shared" si="36"/>
        <v>2162.6333561154279</v>
      </c>
      <c r="O33" s="615"/>
      <c r="P33" s="218">
        <f t="shared" si="33"/>
        <v>4.3901849779335693</v>
      </c>
      <c r="Q33" s="218">
        <f t="shared" si="33"/>
        <v>3.6192439222584949</v>
      </c>
      <c r="R33" s="218">
        <f t="shared" si="33"/>
        <v>7.1484028715588703</v>
      </c>
      <c r="S33" s="218">
        <f t="shared" si="33"/>
        <v>3.5881338443396227</v>
      </c>
      <c r="T33" s="218">
        <f t="shared" si="33"/>
        <v>5.2524392741328256</v>
      </c>
      <c r="U33" s="218">
        <f t="shared" si="33"/>
        <v>3.4409270517306223</v>
      </c>
      <c r="V33" s="218">
        <f t="shared" si="33"/>
        <v>4.4565780687410683</v>
      </c>
      <c r="W33" s="218">
        <f t="shared" si="33"/>
        <v>4.7265729158975676</v>
      </c>
      <c r="X33" s="218">
        <f t="shared" si="33"/>
        <v>3.5309387048674181</v>
      </c>
      <c r="Y33" s="218">
        <f t="shared" si="33"/>
        <v>3.6948594508565828</v>
      </c>
      <c r="Z33" s="218">
        <f t="shared" si="33"/>
        <v>3.5472068937958019</v>
      </c>
      <c r="AA33" s="218">
        <f t="shared" si="33"/>
        <v>4.0814650878818082</v>
      </c>
      <c r="AB33" s="218">
        <f t="shared" si="33"/>
        <v>4.1096966512106778</v>
      </c>
      <c r="AD33" s="218">
        <f t="shared" si="34"/>
        <v>4.3598795354301938</v>
      </c>
      <c r="AE33" s="218">
        <f t="shared" si="35"/>
        <v>4.0032693574360669</v>
      </c>
      <c r="AG33" s="218">
        <f t="shared" si="6"/>
        <v>-0.22415754724453851</v>
      </c>
      <c r="AH33" s="218">
        <v>4.3338541984552164</v>
      </c>
      <c r="AJ33" s="218">
        <v>4.6611658994764875</v>
      </c>
      <c r="AK33" s="218">
        <v>4.2436714402514841</v>
      </c>
    </row>
    <row r="34" spans="1:37" x14ac:dyDescent="0.3">
      <c r="A34" s="51"/>
      <c r="B34" s="646"/>
      <c r="C34" s="646"/>
      <c r="D34" s="646"/>
      <c r="E34" s="646"/>
      <c r="F34" s="646"/>
      <c r="G34" s="646"/>
      <c r="H34" s="646"/>
      <c r="I34" s="646"/>
      <c r="J34" s="646"/>
      <c r="K34" s="646"/>
      <c r="L34" s="646"/>
      <c r="M34" s="646"/>
      <c r="N34" s="647"/>
      <c r="O34" s="61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D34" s="205"/>
      <c r="AE34" s="205"/>
      <c r="AG34" s="205">
        <f t="shared" si="6"/>
        <v>0</v>
      </c>
      <c r="AH34" s="205"/>
      <c r="AJ34" s="205"/>
      <c r="AK34" s="205"/>
    </row>
    <row r="35" spans="1:37" x14ac:dyDescent="0.3">
      <c r="A35" s="200" t="s">
        <v>152</v>
      </c>
      <c r="B35" s="234">
        <f>B22+B29+B33</f>
        <v>1779.7048000000002</v>
      </c>
      <c r="C35" s="234">
        <f t="shared" ref="C35:N35" si="37">C22+C29+C33</f>
        <v>1751.2062900000001</v>
      </c>
      <c r="D35" s="234">
        <f t="shared" si="37"/>
        <v>1712.87913</v>
      </c>
      <c r="E35" s="234">
        <f t="shared" si="37"/>
        <v>901.66915000000006</v>
      </c>
      <c r="F35" s="234">
        <f t="shared" si="37"/>
        <v>1693.9654723699675</v>
      </c>
      <c r="G35" s="234">
        <f t="shared" si="37"/>
        <v>1693.2496742824451</v>
      </c>
      <c r="H35" s="234">
        <f t="shared" si="37"/>
        <v>1663.9548219293613</v>
      </c>
      <c r="I35" s="234">
        <f t="shared" si="37"/>
        <v>1652.6358546684432</v>
      </c>
      <c r="J35" s="234">
        <f t="shared" si="37"/>
        <v>1816.2017489824102</v>
      </c>
      <c r="K35" s="234">
        <f t="shared" si="37"/>
        <v>1764.1942403606995</v>
      </c>
      <c r="L35" s="234">
        <f t="shared" si="37"/>
        <v>1739.8990311590137</v>
      </c>
      <c r="M35" s="234">
        <f t="shared" si="37"/>
        <v>1797.895303424667</v>
      </c>
      <c r="N35" s="234">
        <f t="shared" si="37"/>
        <v>19967.455517177008</v>
      </c>
      <c r="O35" s="615"/>
      <c r="P35" s="218">
        <f>B35*1000/B$2</f>
        <v>37.580606879658767</v>
      </c>
      <c r="Q35" s="218">
        <f t="shared" ref="Q35:AA35" si="38">C35*1000/C$2</f>
        <v>41.114883874935231</v>
      </c>
      <c r="R35" s="218">
        <f t="shared" si="38"/>
        <v>74.466527064319322</v>
      </c>
      <c r="S35" s="218">
        <f t="shared" si="38"/>
        <v>20.447867153483308</v>
      </c>
      <c r="T35" s="218">
        <f t="shared" si="38"/>
        <v>47.05459645472132</v>
      </c>
      <c r="U35" s="218">
        <f t="shared" si="38"/>
        <v>31.068800792910906</v>
      </c>
      <c r="V35" s="218">
        <f t="shared" si="38"/>
        <v>40.09529691396051</v>
      </c>
      <c r="W35" s="218">
        <f t="shared" si="38"/>
        <v>42.375277238286316</v>
      </c>
      <c r="X35" s="218">
        <f t="shared" si="38"/>
        <v>33.580507515621896</v>
      </c>
      <c r="Y35" s="218">
        <f t="shared" si="38"/>
        <v>35.306480955025208</v>
      </c>
      <c r="Z35" s="218">
        <f t="shared" si="38"/>
        <v>33.500828542032764</v>
      </c>
      <c r="AA35" s="218">
        <f t="shared" si="38"/>
        <v>42.614252273635145</v>
      </c>
      <c r="AB35" s="218">
        <f>N35*1000/N$2</f>
        <v>37.944566442616484</v>
      </c>
      <c r="AD35" s="218">
        <f>+SUM(B35:E35)/SUM($B$2:$E$2)*1000</f>
        <v>39.131089168520603</v>
      </c>
      <c r="AE35" s="218">
        <f t="shared" si="35"/>
        <v>37.439822070858213</v>
      </c>
      <c r="AG35" s="218">
        <f t="shared" si="6"/>
        <v>-2.8639424097377102</v>
      </c>
      <c r="AH35" s="218">
        <v>40.808508852354194</v>
      </c>
      <c r="AJ35" s="218">
        <v>46.424942693800162</v>
      </c>
      <c r="AK35" s="218">
        <v>39.261037455792483</v>
      </c>
    </row>
    <row r="36" spans="1:37" x14ac:dyDescent="0.3">
      <c r="O36" s="514"/>
      <c r="P36" s="514"/>
      <c r="AB36" s="23"/>
      <c r="AG36" s="23">
        <v>-2.4900000000000002</v>
      </c>
      <c r="AH36" s="23">
        <f>AB35-AH35</f>
        <v>-2.8639424097377102</v>
      </c>
    </row>
    <row r="37" spans="1:37" x14ac:dyDescent="0.3">
      <c r="AG37" s="711">
        <f>AG36*AB2</f>
        <v>-1310305.2399599999</v>
      </c>
      <c r="AH37" s="711">
        <f>AH36*AB2</f>
        <v>-1507083.8339048156</v>
      </c>
    </row>
    <row r="38" spans="1:37" x14ac:dyDescent="0.3">
      <c r="AG38">
        <v>-371000</v>
      </c>
    </row>
  </sheetData>
  <mergeCells count="3">
    <mergeCell ref="A1:E1"/>
    <mergeCell ref="O1:P1"/>
    <mergeCell ref="O3:P3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DF0A-5670-45E5-A2CB-F9DC2714A656}">
  <sheetPr>
    <tabColor theme="8" tint="0.79998168889431442"/>
  </sheetPr>
  <dimension ref="A1:P77"/>
  <sheetViews>
    <sheetView topLeftCell="A18" workbookViewId="0">
      <selection activeCell="E16" sqref="E16"/>
    </sheetView>
  </sheetViews>
  <sheetFormatPr defaultRowHeight="14.4" x14ac:dyDescent="0.3"/>
  <cols>
    <col min="2" max="2" width="23.44140625" customWidth="1"/>
    <col min="3" max="3" width="20.44140625" bestFit="1" customWidth="1"/>
    <col min="4" max="4" width="27.21875" bestFit="1" customWidth="1"/>
    <col min="5" max="8" width="12.21875" bestFit="1" customWidth="1"/>
    <col min="9" max="9" width="12.44140625" bestFit="1" customWidth="1"/>
    <col min="10" max="10" width="13.44140625" bestFit="1" customWidth="1"/>
    <col min="11" max="15" width="12.21875" bestFit="1" customWidth="1"/>
    <col min="16" max="16" width="13.5546875" bestFit="1" customWidth="1"/>
  </cols>
  <sheetData>
    <row r="1" spans="1:16" s="32" customFormat="1" ht="15" thickBot="1" x14ac:dyDescent="0.35">
      <c r="D1" s="32" t="s">
        <v>0</v>
      </c>
      <c r="E1" s="32" t="s">
        <v>1</v>
      </c>
      <c r="F1" s="32" t="s">
        <v>2</v>
      </c>
      <c r="G1" s="32" t="s">
        <v>3</v>
      </c>
      <c r="H1" s="32" t="s">
        <v>4</v>
      </c>
      <c r="I1" s="32" t="s">
        <v>5</v>
      </c>
      <c r="J1" s="32" t="s">
        <v>6</v>
      </c>
      <c r="K1" s="32" t="s">
        <v>7</v>
      </c>
      <c r="L1" s="32" t="s">
        <v>8</v>
      </c>
      <c r="M1" s="32" t="s">
        <v>9</v>
      </c>
      <c r="N1" s="32" t="s">
        <v>10</v>
      </c>
      <c r="O1" s="32" t="s">
        <v>11</v>
      </c>
      <c r="P1" s="32" t="s">
        <v>114</v>
      </c>
    </row>
    <row r="2" spans="1:16" x14ac:dyDescent="0.3">
      <c r="A2" s="791" t="s">
        <v>369</v>
      </c>
      <c r="B2" s="180" t="s">
        <v>209</v>
      </c>
      <c r="C2" s="180" t="s">
        <v>371</v>
      </c>
      <c r="D2" s="181">
        <v>-17262.859515982309</v>
      </c>
      <c r="E2" s="181">
        <v>-15188.036511539411</v>
      </c>
      <c r="F2" s="181">
        <v>-10208.304087540257</v>
      </c>
      <c r="G2" s="181">
        <v>-18469.79904007287</v>
      </c>
      <c r="H2" s="181">
        <v>-19228.678170644587</v>
      </c>
      <c r="I2" s="181">
        <v>-8759.6577600799537</v>
      </c>
      <c r="J2" s="181">
        <v>-33149.131919773266</v>
      </c>
      <c r="K2" s="181">
        <v>-34510.321591986736</v>
      </c>
      <c r="L2" s="181">
        <v>-44119.246054388401</v>
      </c>
      <c r="M2" s="181">
        <v>-45162.526296578333</v>
      </c>
      <c r="N2" s="181">
        <v>-54323.690998383463</v>
      </c>
      <c r="O2" s="181">
        <v>-38616.726356417574</v>
      </c>
      <c r="P2" s="182">
        <f t="shared" ref="P2:P12" si="0">SUM(D2:O2)</f>
        <v>-338998.97830338718</v>
      </c>
    </row>
    <row r="3" spans="1:16" x14ac:dyDescent="0.3">
      <c r="A3" s="792"/>
      <c r="B3" s="70" t="s">
        <v>217</v>
      </c>
      <c r="C3" s="70" t="s">
        <v>75</v>
      </c>
      <c r="D3" s="150">
        <v>-1690.8450167861001</v>
      </c>
      <c r="E3" s="150">
        <v>-1690.8450167861001</v>
      </c>
      <c r="F3" s="150">
        <v>-1690.8450167861001</v>
      </c>
      <c r="G3" s="150">
        <v>-1690.8450167861001</v>
      </c>
      <c r="H3" s="150">
        <v>-1690.8450167861001</v>
      </c>
      <c r="I3" s="150">
        <v>-1690.8450167861001</v>
      </c>
      <c r="J3" s="150">
        <v>-1690.8450167861001</v>
      </c>
      <c r="K3" s="150">
        <v>-1690.8450167861001</v>
      </c>
      <c r="L3" s="150">
        <v>-1690.8450167861001</v>
      </c>
      <c r="M3" s="150">
        <v>-1690.8450167861001</v>
      </c>
      <c r="N3" s="150">
        <v>-1690.8450167861001</v>
      </c>
      <c r="O3" s="150">
        <v>-1690.8450167861001</v>
      </c>
      <c r="P3" s="183">
        <f t="shared" si="0"/>
        <v>-20290.140201433209</v>
      </c>
    </row>
    <row r="4" spans="1:16" x14ac:dyDescent="0.3">
      <c r="A4" s="792"/>
      <c r="B4" s="70" t="s">
        <v>210</v>
      </c>
      <c r="C4" s="70" t="s">
        <v>76</v>
      </c>
      <c r="D4" s="150">
        <v>-519.26525000000004</v>
      </c>
      <c r="E4" s="150">
        <v>-519.26525000000004</v>
      </c>
      <c r="F4" s="150">
        <v>-519.26525000000004</v>
      </c>
      <c r="G4" s="150">
        <v>-519.26525000000004</v>
      </c>
      <c r="H4" s="150">
        <v>-519.26525000000004</v>
      </c>
      <c r="I4" s="150">
        <v>-519.26525000000004</v>
      </c>
      <c r="J4" s="150">
        <v>-519.26525000000004</v>
      </c>
      <c r="K4" s="150">
        <v>-519.26525000000004</v>
      </c>
      <c r="L4" s="150">
        <v>-519.26525000000004</v>
      </c>
      <c r="M4" s="150">
        <v>-519.26525000000004</v>
      </c>
      <c r="N4" s="150">
        <v>-519.26525000000004</v>
      </c>
      <c r="O4" s="150">
        <v>-519.26525000000004</v>
      </c>
      <c r="P4" s="183">
        <f t="shared" si="0"/>
        <v>-6231.1830000000018</v>
      </c>
    </row>
    <row r="5" spans="1:16" x14ac:dyDescent="0.3">
      <c r="A5" s="792"/>
      <c r="B5" s="70" t="s">
        <v>215</v>
      </c>
      <c r="C5" s="70"/>
      <c r="D5" s="150">
        <v>0</v>
      </c>
      <c r="E5" s="150">
        <v>0</v>
      </c>
      <c r="F5" s="150">
        <v>0</v>
      </c>
      <c r="G5" s="150">
        <v>0</v>
      </c>
      <c r="H5" s="150">
        <v>0</v>
      </c>
      <c r="I5" s="150">
        <v>0</v>
      </c>
      <c r="J5" s="150">
        <v>0</v>
      </c>
      <c r="K5" s="150">
        <v>0</v>
      </c>
      <c r="L5" s="150">
        <v>0</v>
      </c>
      <c r="M5" s="150">
        <v>0</v>
      </c>
      <c r="N5" s="150">
        <v>0</v>
      </c>
      <c r="O5" s="150">
        <v>0</v>
      </c>
      <c r="P5" s="183">
        <f t="shared" si="0"/>
        <v>0</v>
      </c>
    </row>
    <row r="6" spans="1:16" x14ac:dyDescent="0.3">
      <c r="A6" s="792"/>
      <c r="B6" s="70" t="s">
        <v>213</v>
      </c>
      <c r="C6" s="70" t="s">
        <v>372</v>
      </c>
      <c r="D6" s="150">
        <v>-1791.43388191335</v>
      </c>
      <c r="E6" s="150">
        <v>-1791.43388191335</v>
      </c>
      <c r="F6" s="150">
        <v>-1791.43388191335</v>
      </c>
      <c r="G6" s="150">
        <v>-1791.43388191335</v>
      </c>
      <c r="H6" s="150">
        <v>-1791.43388191335</v>
      </c>
      <c r="I6" s="150">
        <v>-1791.43388191335</v>
      </c>
      <c r="J6" s="150">
        <v>-1791.43388191335</v>
      </c>
      <c r="K6" s="150">
        <v>-1791.43388191335</v>
      </c>
      <c r="L6" s="150">
        <v>-1791.43388191335</v>
      </c>
      <c r="M6" s="150">
        <v>-1791.43388191335</v>
      </c>
      <c r="N6" s="150">
        <v>-1791.43388191335</v>
      </c>
      <c r="O6" s="150">
        <v>-1791.43388191335</v>
      </c>
      <c r="P6" s="183">
        <f t="shared" si="0"/>
        <v>-21497.2065829602</v>
      </c>
    </row>
    <row r="7" spans="1:16" x14ac:dyDescent="0.3">
      <c r="A7" s="792"/>
      <c r="B7" s="70"/>
      <c r="C7" s="70"/>
      <c r="D7" s="150">
        <v>0</v>
      </c>
      <c r="E7" s="150">
        <v>0</v>
      </c>
      <c r="F7" s="150">
        <v>0</v>
      </c>
      <c r="G7" s="150">
        <v>0</v>
      </c>
      <c r="H7" s="150">
        <v>0</v>
      </c>
      <c r="I7" s="150">
        <v>0</v>
      </c>
      <c r="J7" s="150">
        <v>0</v>
      </c>
      <c r="K7" s="150">
        <v>0</v>
      </c>
      <c r="L7" s="150">
        <v>0</v>
      </c>
      <c r="M7" s="150">
        <v>0</v>
      </c>
      <c r="N7" s="150">
        <v>0</v>
      </c>
      <c r="O7" s="150">
        <v>0</v>
      </c>
      <c r="P7" s="183">
        <f t="shared" si="0"/>
        <v>0</v>
      </c>
    </row>
    <row r="8" spans="1:16" x14ac:dyDescent="0.3">
      <c r="A8" s="792"/>
      <c r="B8" s="70" t="s">
        <v>218</v>
      </c>
      <c r="C8" s="70" t="s">
        <v>373</v>
      </c>
      <c r="D8" s="150">
        <v>-7333.333333333333</v>
      </c>
      <c r="E8" s="150">
        <v>-7333.333333333333</v>
      </c>
      <c r="F8" s="150">
        <v>-7333.333333333333</v>
      </c>
      <c r="G8" s="150">
        <v>-7333.333333333333</v>
      </c>
      <c r="H8" s="150">
        <v>-7333.333333333333</v>
      </c>
      <c r="I8" s="150">
        <v>-7333.333333333333</v>
      </c>
      <c r="J8" s="150">
        <v>-28227.450980392157</v>
      </c>
      <c r="K8" s="150">
        <v>-7333.333333333333</v>
      </c>
      <c r="L8" s="150">
        <v>-7333.333333333333</v>
      </c>
      <c r="M8" s="150">
        <v>-40086.274509803923</v>
      </c>
      <c r="N8" s="150">
        <v>-49686.274509803923</v>
      </c>
      <c r="O8" s="150">
        <v>-7333.333333333333</v>
      </c>
      <c r="P8" s="183">
        <f t="shared" si="0"/>
        <v>-184000</v>
      </c>
    </row>
    <row r="9" spans="1:16" x14ac:dyDescent="0.3">
      <c r="A9" s="792"/>
      <c r="B9" s="70" t="s">
        <v>219</v>
      </c>
      <c r="C9" s="70"/>
      <c r="D9" s="150">
        <v>0</v>
      </c>
      <c r="E9" s="150">
        <v>0</v>
      </c>
      <c r="F9" s="150">
        <v>0</v>
      </c>
      <c r="G9" s="150">
        <v>0</v>
      </c>
      <c r="H9" s="150">
        <v>0</v>
      </c>
      <c r="I9" s="150">
        <v>0</v>
      </c>
      <c r="J9" s="150">
        <v>0</v>
      </c>
      <c r="K9" s="150">
        <v>0</v>
      </c>
      <c r="L9" s="150">
        <v>0</v>
      </c>
      <c r="M9" s="150">
        <v>0</v>
      </c>
      <c r="N9" s="150">
        <v>0</v>
      </c>
      <c r="O9" s="150">
        <v>0</v>
      </c>
      <c r="P9" s="183">
        <f t="shared" si="0"/>
        <v>0</v>
      </c>
    </row>
    <row r="10" spans="1:16" x14ac:dyDescent="0.3">
      <c r="A10" s="792"/>
      <c r="B10" s="70" t="s">
        <v>220</v>
      </c>
      <c r="C10" s="70" t="s">
        <v>82</v>
      </c>
      <c r="D10" s="150">
        <v>-21785.625370370373</v>
      </c>
      <c r="E10" s="150">
        <v>-21785.625370370373</v>
      </c>
      <c r="F10" s="150">
        <v>-21785.625370370373</v>
      </c>
      <c r="G10" s="150">
        <v>-21785.625370370373</v>
      </c>
      <c r="H10" s="150">
        <v>-21785.625370370373</v>
      </c>
      <c r="I10" s="150">
        <v>-21785.625370370373</v>
      </c>
      <c r="J10" s="150">
        <v>-21785.625370370373</v>
      </c>
      <c r="K10" s="150">
        <v>-21785.625370370373</v>
      </c>
      <c r="L10" s="150">
        <v>-21785.625370370373</v>
      </c>
      <c r="M10" s="150">
        <v>-21785.625370370373</v>
      </c>
      <c r="N10" s="150">
        <v>-21785.625370370373</v>
      </c>
      <c r="O10" s="150">
        <v>-21785.625370370373</v>
      </c>
      <c r="P10" s="183">
        <f t="shared" si="0"/>
        <v>-261427.50444444446</v>
      </c>
    </row>
    <row r="11" spans="1:16" x14ac:dyDescent="0.3">
      <c r="A11" s="792"/>
      <c r="B11" s="70" t="s">
        <v>216</v>
      </c>
      <c r="C11" s="70" t="s">
        <v>83</v>
      </c>
      <c r="D11" s="150">
        <v>-1468.957866666665</v>
      </c>
      <c r="E11" s="150">
        <v>-1468.957866666665</v>
      </c>
      <c r="F11" s="150">
        <v>-1468.957866666665</v>
      </c>
      <c r="G11" s="150">
        <v>-1468.957866666665</v>
      </c>
      <c r="H11" s="150">
        <v>-1468.957866666665</v>
      </c>
      <c r="I11" s="150">
        <v>-1468.957866666665</v>
      </c>
      <c r="J11" s="150">
        <v>-1468.957866666665</v>
      </c>
      <c r="K11" s="150">
        <v>-1468.957866666665</v>
      </c>
      <c r="L11" s="150">
        <v>-1468.957866666665</v>
      </c>
      <c r="M11" s="150">
        <v>-1468.957866666665</v>
      </c>
      <c r="N11" s="150">
        <v>-1468.957866666665</v>
      </c>
      <c r="O11" s="150">
        <v>-1468.957866666665</v>
      </c>
      <c r="P11" s="183">
        <f t="shared" si="0"/>
        <v>-17627.494399999985</v>
      </c>
    </row>
    <row r="12" spans="1:16" x14ac:dyDescent="0.3">
      <c r="A12" s="792"/>
      <c r="B12" s="70" t="s">
        <v>211</v>
      </c>
      <c r="C12" s="70" t="s">
        <v>84</v>
      </c>
      <c r="D12" s="150">
        <v>-3806.2339076281646</v>
      </c>
      <c r="E12" s="150">
        <v>-3806.2339076281646</v>
      </c>
      <c r="F12" s="150">
        <v>-3806.2339076281646</v>
      </c>
      <c r="G12" s="150">
        <v>-3806.2339076281646</v>
      </c>
      <c r="H12" s="150">
        <v>-3806.2339076281646</v>
      </c>
      <c r="I12" s="150">
        <v>-3806.2339076281646</v>
      </c>
      <c r="J12" s="150">
        <v>-3806.2339076281646</v>
      </c>
      <c r="K12" s="150">
        <v>-3806.2339076281646</v>
      </c>
      <c r="L12" s="150">
        <v>-3806.2339076281646</v>
      </c>
      <c r="M12" s="150">
        <v>-3806.2339076281646</v>
      </c>
      <c r="N12" s="150">
        <v>-3806.2339076281646</v>
      </c>
      <c r="O12" s="150">
        <v>-3806.2339076281646</v>
      </c>
      <c r="P12" s="183">
        <f t="shared" si="0"/>
        <v>-45674.806891537977</v>
      </c>
    </row>
    <row r="13" spans="1:16" x14ac:dyDescent="0.3">
      <c r="A13" s="792"/>
      <c r="B13" s="70" t="s">
        <v>214</v>
      </c>
      <c r="C13" s="70"/>
      <c r="D13" s="150">
        <v>0</v>
      </c>
      <c r="E13" s="150">
        <v>0</v>
      </c>
      <c r="F13" s="150">
        <v>0</v>
      </c>
      <c r="G13" s="150">
        <v>0</v>
      </c>
      <c r="H13" s="150">
        <v>0</v>
      </c>
      <c r="I13" s="150">
        <v>0</v>
      </c>
      <c r="J13" s="150">
        <v>0</v>
      </c>
      <c r="K13" s="150">
        <v>0</v>
      </c>
      <c r="L13" s="150">
        <v>0</v>
      </c>
      <c r="M13" s="150">
        <v>0</v>
      </c>
      <c r="N13" s="150">
        <v>0</v>
      </c>
      <c r="O13" s="150">
        <v>0</v>
      </c>
      <c r="P13" s="183">
        <v>0</v>
      </c>
    </row>
    <row r="14" spans="1:16" ht="15" thickBot="1" x14ac:dyDescent="0.35">
      <c r="A14" s="793"/>
      <c r="B14" s="184" t="s">
        <v>208</v>
      </c>
      <c r="C14" s="184"/>
      <c r="D14" s="185">
        <v>0</v>
      </c>
      <c r="E14" s="185">
        <v>0</v>
      </c>
      <c r="F14" s="185">
        <v>0</v>
      </c>
      <c r="G14" s="185">
        <v>0</v>
      </c>
      <c r="H14" s="185">
        <v>0</v>
      </c>
      <c r="I14" s="185">
        <v>0</v>
      </c>
      <c r="J14" s="185">
        <v>0</v>
      </c>
      <c r="K14" s="185">
        <v>0</v>
      </c>
      <c r="L14" s="185">
        <v>0</v>
      </c>
      <c r="M14" s="185">
        <v>0</v>
      </c>
      <c r="N14" s="185">
        <v>0</v>
      </c>
      <c r="O14" s="185">
        <v>0</v>
      </c>
      <c r="P14" s="186">
        <v>0</v>
      </c>
    </row>
    <row r="15" spans="1:16" ht="15" thickBot="1" x14ac:dyDescent="0.35">
      <c r="D15" s="107"/>
    </row>
    <row r="16" spans="1:16" x14ac:dyDescent="0.3">
      <c r="A16" s="791" t="s">
        <v>70</v>
      </c>
      <c r="B16" s="180" t="s">
        <v>209</v>
      </c>
      <c r="C16" s="180" t="s">
        <v>371</v>
      </c>
      <c r="D16" s="181">
        <v>-42262.859515982309</v>
      </c>
      <c r="E16" s="181">
        <v>-4654.2186436065895</v>
      </c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2">
        <f t="shared" ref="P16:P26" si="1">SUM(D16:O16)</f>
        <v>-46917.078159588898</v>
      </c>
    </row>
    <row r="17" spans="1:16" x14ac:dyDescent="0.3">
      <c r="A17" s="792"/>
      <c r="B17" s="70" t="s">
        <v>217</v>
      </c>
      <c r="C17" s="70" t="s">
        <v>75</v>
      </c>
      <c r="D17" s="150">
        <v>-1690.8450167861001</v>
      </c>
      <c r="E17" s="150">
        <v>1690.8450167861001</v>
      </c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83">
        <f t="shared" si="1"/>
        <v>0</v>
      </c>
    </row>
    <row r="18" spans="1:16" x14ac:dyDescent="0.3">
      <c r="A18" s="792"/>
      <c r="B18" s="70" t="s">
        <v>210</v>
      </c>
      <c r="C18" s="70" t="s">
        <v>76</v>
      </c>
      <c r="D18" s="150">
        <v>-519.26525000000004</v>
      </c>
      <c r="E18" s="150">
        <v>519.26525000000004</v>
      </c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83">
        <f t="shared" si="1"/>
        <v>0</v>
      </c>
    </row>
    <row r="19" spans="1:16" x14ac:dyDescent="0.3">
      <c r="A19" s="792"/>
      <c r="B19" s="70" t="s">
        <v>215</v>
      </c>
      <c r="C19" s="70"/>
      <c r="D19" s="150">
        <v>0</v>
      </c>
      <c r="E19" s="150">
        <v>0</v>
      </c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83">
        <f t="shared" si="1"/>
        <v>0</v>
      </c>
    </row>
    <row r="20" spans="1:16" x14ac:dyDescent="0.3">
      <c r="A20" s="792"/>
      <c r="B20" s="70" t="s">
        <v>213</v>
      </c>
      <c r="C20" s="70" t="s">
        <v>372</v>
      </c>
      <c r="D20" s="150">
        <v>-38881.433881913348</v>
      </c>
      <c r="E20" s="150">
        <v>-21118.566118086652</v>
      </c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83">
        <f t="shared" si="1"/>
        <v>-60000</v>
      </c>
    </row>
    <row r="21" spans="1:16" x14ac:dyDescent="0.3">
      <c r="A21" s="792"/>
      <c r="B21" s="70"/>
      <c r="C21" s="70"/>
      <c r="D21" s="150">
        <v>0</v>
      </c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83">
        <f t="shared" si="1"/>
        <v>0</v>
      </c>
    </row>
    <row r="22" spans="1:16" x14ac:dyDescent="0.3">
      <c r="A22" s="792"/>
      <c r="B22" s="70" t="s">
        <v>218</v>
      </c>
      <c r="C22" s="70" t="s">
        <v>373</v>
      </c>
      <c r="D22" s="150">
        <v>-22333.333333333332</v>
      </c>
      <c r="E22" s="150">
        <v>-16793.072035256326</v>
      </c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83">
        <f t="shared" si="1"/>
        <v>-39126.405368589658</v>
      </c>
    </row>
    <row r="23" spans="1:16" x14ac:dyDescent="0.3">
      <c r="A23" s="792"/>
      <c r="B23" s="70" t="s">
        <v>219</v>
      </c>
      <c r="C23" s="70"/>
      <c r="D23" s="150">
        <v>-11000</v>
      </c>
      <c r="E23" s="150">
        <v>-3000</v>
      </c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83">
        <f t="shared" si="1"/>
        <v>-14000</v>
      </c>
    </row>
    <row r="24" spans="1:16" x14ac:dyDescent="0.3">
      <c r="A24" s="792"/>
      <c r="B24" s="70" t="s">
        <v>220</v>
      </c>
      <c r="C24" s="70" t="s">
        <v>82</v>
      </c>
      <c r="D24" s="150">
        <v>-56785.62537037037</v>
      </c>
      <c r="E24" s="150">
        <v>-43900.42436026936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83">
        <f t="shared" si="1"/>
        <v>-100686.04973063973</v>
      </c>
    </row>
    <row r="25" spans="1:16" x14ac:dyDescent="0.3">
      <c r="A25" s="792"/>
      <c r="B25" s="70" t="s">
        <v>216</v>
      </c>
      <c r="C25" s="70" t="s">
        <v>83</v>
      </c>
      <c r="D25" s="150">
        <v>-1468.957866666665</v>
      </c>
      <c r="E25" s="150">
        <v>-2858.1089333333348</v>
      </c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83">
        <f t="shared" si="1"/>
        <v>-4327.0667999999996</v>
      </c>
    </row>
    <row r="26" spans="1:16" x14ac:dyDescent="0.3">
      <c r="A26" s="792"/>
      <c r="B26" s="70" t="s">
        <v>211</v>
      </c>
      <c r="C26" s="70" t="s">
        <v>84</v>
      </c>
      <c r="D26" s="150">
        <v>-31316.233907628164</v>
      </c>
      <c r="E26" s="150">
        <v>-11075.787434594073</v>
      </c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83">
        <f t="shared" si="1"/>
        <v>-42392.021342222237</v>
      </c>
    </row>
    <row r="27" spans="1:16" x14ac:dyDescent="0.3">
      <c r="A27" s="792"/>
      <c r="B27" s="70" t="s">
        <v>214</v>
      </c>
      <c r="C27" s="70"/>
      <c r="D27" s="150">
        <v>0</v>
      </c>
      <c r="E27" s="150">
        <v>0</v>
      </c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83">
        <v>0</v>
      </c>
    </row>
    <row r="28" spans="1:16" ht="15" thickBot="1" x14ac:dyDescent="0.35">
      <c r="A28" s="793"/>
      <c r="B28" s="184" t="s">
        <v>208</v>
      </c>
      <c r="C28" s="184"/>
      <c r="D28" s="185">
        <v>-48910</v>
      </c>
      <c r="E28" s="185">
        <v>-36583.750707797284</v>
      </c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6">
        <v>0</v>
      </c>
    </row>
    <row r="30" spans="1:16" ht="15" thickBot="1" x14ac:dyDescent="0.35">
      <c r="D30" s="107"/>
    </row>
    <row r="31" spans="1:16" x14ac:dyDescent="0.3">
      <c r="A31" s="791" t="s">
        <v>374</v>
      </c>
      <c r="B31" s="180" t="s">
        <v>209</v>
      </c>
      <c r="C31" s="180" t="s">
        <v>371</v>
      </c>
      <c r="D31" s="181">
        <f>D16-D2</f>
        <v>-25000</v>
      </c>
      <c r="E31" s="181">
        <f>E16-E2</f>
        <v>10533.817867932821</v>
      </c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2">
        <f t="shared" ref="P31:P41" si="2">SUM(D31:O31)</f>
        <v>-14466.182132067179</v>
      </c>
    </row>
    <row r="32" spans="1:16" x14ac:dyDescent="0.3">
      <c r="A32" s="792"/>
      <c r="B32" s="70" t="s">
        <v>217</v>
      </c>
      <c r="C32" s="70" t="s">
        <v>75</v>
      </c>
      <c r="D32" s="150">
        <f t="shared" ref="D32:E43" si="3">D17-D3</f>
        <v>0</v>
      </c>
      <c r="E32" s="150">
        <f t="shared" si="3"/>
        <v>3381.6900335722003</v>
      </c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83">
        <f t="shared" si="2"/>
        <v>3381.6900335722003</v>
      </c>
    </row>
    <row r="33" spans="1:16" x14ac:dyDescent="0.3">
      <c r="A33" s="792"/>
      <c r="B33" s="70" t="s">
        <v>210</v>
      </c>
      <c r="C33" s="70" t="s">
        <v>76</v>
      </c>
      <c r="D33" s="150">
        <f t="shared" si="3"/>
        <v>0</v>
      </c>
      <c r="E33" s="150">
        <f t="shared" si="3"/>
        <v>1038.5305000000001</v>
      </c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83">
        <f t="shared" si="2"/>
        <v>1038.5305000000001</v>
      </c>
    </row>
    <row r="34" spans="1:16" x14ac:dyDescent="0.3">
      <c r="A34" s="792"/>
      <c r="B34" s="70" t="s">
        <v>215</v>
      </c>
      <c r="C34" s="70"/>
      <c r="D34" s="150">
        <f t="shared" si="3"/>
        <v>0</v>
      </c>
      <c r="E34" s="150">
        <f t="shared" si="3"/>
        <v>0</v>
      </c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83">
        <f t="shared" si="2"/>
        <v>0</v>
      </c>
    </row>
    <row r="35" spans="1:16" x14ac:dyDescent="0.3">
      <c r="A35" s="792"/>
      <c r="B35" s="70" t="s">
        <v>213</v>
      </c>
      <c r="C35" s="70" t="s">
        <v>372</v>
      </c>
      <c r="D35" s="150">
        <f t="shared" si="3"/>
        <v>-37090</v>
      </c>
      <c r="E35" s="150">
        <f t="shared" si="3"/>
        <v>-19327.132236173304</v>
      </c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83">
        <f t="shared" si="2"/>
        <v>-56417.132236173304</v>
      </c>
    </row>
    <row r="36" spans="1:16" x14ac:dyDescent="0.3">
      <c r="A36" s="792"/>
      <c r="B36" s="70"/>
      <c r="C36" s="70"/>
      <c r="D36" s="150">
        <f t="shared" si="3"/>
        <v>0</v>
      </c>
      <c r="E36" s="150">
        <f t="shared" si="3"/>
        <v>0</v>
      </c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83">
        <f t="shared" si="2"/>
        <v>0</v>
      </c>
    </row>
    <row r="37" spans="1:16" x14ac:dyDescent="0.3">
      <c r="A37" s="792"/>
      <c r="B37" s="70" t="s">
        <v>218</v>
      </c>
      <c r="C37" s="70" t="s">
        <v>373</v>
      </c>
      <c r="D37" s="150">
        <f t="shared" si="3"/>
        <v>-15000</v>
      </c>
      <c r="E37" s="150">
        <f t="shared" si="3"/>
        <v>-9459.7387019229936</v>
      </c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83">
        <f t="shared" si="2"/>
        <v>-24459.738701922994</v>
      </c>
    </row>
    <row r="38" spans="1:16" x14ac:dyDescent="0.3">
      <c r="A38" s="792"/>
      <c r="B38" s="70" t="s">
        <v>219</v>
      </c>
      <c r="C38" s="70"/>
      <c r="D38" s="150">
        <f t="shared" si="3"/>
        <v>-11000</v>
      </c>
      <c r="E38" s="150">
        <f t="shared" si="3"/>
        <v>-3000</v>
      </c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83">
        <f t="shared" si="2"/>
        <v>-14000</v>
      </c>
    </row>
    <row r="39" spans="1:16" x14ac:dyDescent="0.3">
      <c r="A39" s="792"/>
      <c r="B39" s="70" t="s">
        <v>220</v>
      </c>
      <c r="C39" s="70" t="s">
        <v>82</v>
      </c>
      <c r="D39" s="150">
        <f t="shared" si="3"/>
        <v>-35000</v>
      </c>
      <c r="E39" s="150">
        <f t="shared" si="3"/>
        <v>-22114.798989898987</v>
      </c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83">
        <f t="shared" si="2"/>
        <v>-57114.798989898991</v>
      </c>
    </row>
    <row r="40" spans="1:16" x14ac:dyDescent="0.3">
      <c r="A40" s="792"/>
      <c r="B40" s="70" t="s">
        <v>216</v>
      </c>
      <c r="C40" s="70" t="s">
        <v>83</v>
      </c>
      <c r="D40" s="150">
        <f t="shared" si="3"/>
        <v>0</v>
      </c>
      <c r="E40" s="150">
        <f t="shared" si="3"/>
        <v>-1389.1510666666697</v>
      </c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83">
        <f t="shared" si="2"/>
        <v>-1389.1510666666697</v>
      </c>
    </row>
    <row r="41" spans="1:16" x14ac:dyDescent="0.3">
      <c r="A41" s="792"/>
      <c r="B41" s="70" t="s">
        <v>211</v>
      </c>
      <c r="C41" s="70" t="s">
        <v>84</v>
      </c>
      <c r="D41" s="150">
        <f t="shared" si="3"/>
        <v>-27510</v>
      </c>
      <c r="E41" s="150">
        <f t="shared" si="3"/>
        <v>-7269.5535269659085</v>
      </c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83">
        <f t="shared" si="2"/>
        <v>-34779.553526965909</v>
      </c>
    </row>
    <row r="42" spans="1:16" x14ac:dyDescent="0.3">
      <c r="A42" s="792"/>
      <c r="B42" s="70" t="s">
        <v>214</v>
      </c>
      <c r="C42" s="70"/>
      <c r="D42" s="150">
        <f t="shared" si="3"/>
        <v>0</v>
      </c>
      <c r="E42" s="150">
        <f t="shared" si="3"/>
        <v>0</v>
      </c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83">
        <v>0</v>
      </c>
    </row>
    <row r="43" spans="1:16" ht="15" thickBot="1" x14ac:dyDescent="0.35">
      <c r="A43" s="793"/>
      <c r="B43" s="184" t="s">
        <v>208</v>
      </c>
      <c r="C43" s="184"/>
      <c r="D43" s="185">
        <f t="shared" si="3"/>
        <v>-48910</v>
      </c>
      <c r="E43" s="185">
        <f t="shared" si="3"/>
        <v>-36583.750707797284</v>
      </c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6">
        <v>0</v>
      </c>
    </row>
    <row r="51" spans="2:12" x14ac:dyDescent="0.3">
      <c r="J51" t="s">
        <v>193</v>
      </c>
    </row>
    <row r="52" spans="2:12" x14ac:dyDescent="0.3">
      <c r="B52" s="170" t="s">
        <v>375</v>
      </c>
      <c r="C52" s="170" t="s">
        <v>376</v>
      </c>
      <c r="D52" s="170" t="s">
        <v>377</v>
      </c>
      <c r="E52" s="170" t="s">
        <v>378</v>
      </c>
      <c r="F52" s="170" t="s">
        <v>379</v>
      </c>
      <c r="I52" s="161" t="s">
        <v>380</v>
      </c>
      <c r="J52" t="s">
        <v>381</v>
      </c>
    </row>
    <row r="53" spans="2:12" x14ac:dyDescent="0.3">
      <c r="B53" s="171" t="s">
        <v>382</v>
      </c>
      <c r="C53" s="172">
        <v>2024</v>
      </c>
      <c r="D53" s="172" t="s">
        <v>383</v>
      </c>
      <c r="E53" s="172" t="s">
        <v>74</v>
      </c>
      <c r="F53" s="173">
        <v>15915.943333333335</v>
      </c>
      <c r="I53" s="176" t="s">
        <v>74</v>
      </c>
      <c r="J53" s="177">
        <v>23482.267907304169</v>
      </c>
      <c r="K53" s="164"/>
      <c r="L53" s="164"/>
    </row>
    <row r="54" spans="2:12" x14ac:dyDescent="0.3">
      <c r="B54" s="171" t="s">
        <v>384</v>
      </c>
      <c r="C54" s="172">
        <v>2025</v>
      </c>
      <c r="D54" s="172" t="s">
        <v>385</v>
      </c>
      <c r="E54" s="172" t="s">
        <v>74</v>
      </c>
      <c r="F54" s="173">
        <v>1680.5629999999999</v>
      </c>
      <c r="I54" s="176" t="s">
        <v>84</v>
      </c>
      <c r="J54" s="177">
        <v>2196.0106711111171</v>
      </c>
      <c r="K54" s="164"/>
      <c r="L54" s="164"/>
    </row>
    <row r="55" spans="2:12" x14ac:dyDescent="0.3">
      <c r="B55" s="171" t="s">
        <v>386</v>
      </c>
      <c r="C55" s="172">
        <v>2025</v>
      </c>
      <c r="D55" s="172" t="s">
        <v>387</v>
      </c>
      <c r="E55" s="172" t="s">
        <v>74</v>
      </c>
      <c r="F55" s="173">
        <v>5885.7615739708344</v>
      </c>
      <c r="I55" s="176" t="s">
        <v>83</v>
      </c>
      <c r="J55" s="177">
        <v>72.198000000000093</v>
      </c>
      <c r="K55" s="164"/>
      <c r="L55" s="164"/>
    </row>
    <row r="56" spans="2:12" x14ac:dyDescent="0.3">
      <c r="B56" s="171" t="s">
        <v>388</v>
      </c>
      <c r="C56" s="172">
        <v>2025</v>
      </c>
      <c r="D56" s="172" t="s">
        <v>389</v>
      </c>
      <c r="E56" s="172" t="s">
        <v>74</v>
      </c>
      <c r="F56" s="173">
        <v>0</v>
      </c>
      <c r="I56" s="176" t="s">
        <v>373</v>
      </c>
      <c r="J56" s="177">
        <v>5454.4245402308998</v>
      </c>
      <c r="K56" s="164"/>
      <c r="L56" s="164"/>
    </row>
    <row r="57" spans="2:12" x14ac:dyDescent="0.3">
      <c r="B57" s="171" t="s">
        <v>390</v>
      </c>
      <c r="C57" s="172">
        <v>2025</v>
      </c>
      <c r="D57" s="172" t="s">
        <v>385</v>
      </c>
      <c r="E57" s="172" t="s">
        <v>74</v>
      </c>
      <c r="F57" s="173">
        <v>0</v>
      </c>
      <c r="I57" s="176" t="s">
        <v>82</v>
      </c>
      <c r="J57" s="177">
        <v>9888.439106002892</v>
      </c>
      <c r="K57" s="164"/>
      <c r="L57" s="164"/>
    </row>
    <row r="58" spans="2:12" x14ac:dyDescent="0.3">
      <c r="B58" s="174" t="s">
        <v>391</v>
      </c>
      <c r="C58" s="172">
        <v>2025</v>
      </c>
      <c r="D58" s="172" t="s">
        <v>385</v>
      </c>
      <c r="E58" s="172" t="s">
        <v>74</v>
      </c>
      <c r="F58" s="173">
        <v>0</v>
      </c>
      <c r="I58" s="176" t="s">
        <v>203</v>
      </c>
      <c r="J58" s="177">
        <v>41093.34022464908</v>
      </c>
      <c r="K58" s="165"/>
      <c r="L58" s="164"/>
    </row>
    <row r="59" spans="2:12" x14ac:dyDescent="0.3">
      <c r="B59" s="174" t="s">
        <v>392</v>
      </c>
      <c r="C59" s="172">
        <v>2025</v>
      </c>
      <c r="D59" s="172" t="s">
        <v>385</v>
      </c>
      <c r="E59" s="172" t="s">
        <v>74</v>
      </c>
      <c r="F59" s="173">
        <v>0</v>
      </c>
    </row>
    <row r="60" spans="2:12" x14ac:dyDescent="0.3">
      <c r="B60" s="175" t="s">
        <v>393</v>
      </c>
      <c r="C60" s="172">
        <v>2025</v>
      </c>
      <c r="D60" s="172" t="s">
        <v>394</v>
      </c>
      <c r="E60" s="172" t="s">
        <v>83</v>
      </c>
      <c r="F60" s="173">
        <v>72.198000000000093</v>
      </c>
    </row>
    <row r="61" spans="2:12" x14ac:dyDescent="0.3">
      <c r="B61" s="171" t="s">
        <v>395</v>
      </c>
      <c r="C61" s="172">
        <v>2025</v>
      </c>
      <c r="D61" s="172" t="s">
        <v>394</v>
      </c>
      <c r="E61" s="172" t="s">
        <v>83</v>
      </c>
      <c r="F61" s="173">
        <v>0</v>
      </c>
    </row>
    <row r="62" spans="2:12" x14ac:dyDescent="0.3">
      <c r="B62" s="171" t="s">
        <v>396</v>
      </c>
      <c r="C62" s="172">
        <v>2025</v>
      </c>
      <c r="D62" s="172" t="s">
        <v>394</v>
      </c>
      <c r="E62" s="172" t="s">
        <v>83</v>
      </c>
      <c r="F62" s="173">
        <v>0</v>
      </c>
    </row>
    <row r="63" spans="2:12" x14ac:dyDescent="0.3">
      <c r="B63" s="171" t="s">
        <v>397</v>
      </c>
      <c r="C63" s="172">
        <v>2025</v>
      </c>
      <c r="D63" s="172" t="s">
        <v>398</v>
      </c>
      <c r="E63" s="172" t="s">
        <v>84</v>
      </c>
      <c r="F63" s="173">
        <v>1109.3145555555584</v>
      </c>
    </row>
    <row r="64" spans="2:12" x14ac:dyDescent="0.3">
      <c r="B64" s="171" t="s">
        <v>399</v>
      </c>
      <c r="C64" s="172">
        <v>2025</v>
      </c>
      <c r="D64" s="172" t="s">
        <v>398</v>
      </c>
      <c r="E64" s="172" t="s">
        <v>84</v>
      </c>
      <c r="F64" s="173">
        <v>1008.9571555555584</v>
      </c>
    </row>
    <row r="65" spans="2:6" x14ac:dyDescent="0.3">
      <c r="B65" s="171" t="s">
        <v>400</v>
      </c>
      <c r="C65" s="172">
        <v>2025</v>
      </c>
      <c r="D65" s="172" t="s">
        <v>401</v>
      </c>
      <c r="E65" s="172" t="s">
        <v>84</v>
      </c>
      <c r="F65" s="173">
        <v>77.738960000000006</v>
      </c>
    </row>
    <row r="66" spans="2:6" x14ac:dyDescent="0.3">
      <c r="B66" s="171" t="s">
        <v>402</v>
      </c>
      <c r="C66" s="172">
        <v>2025</v>
      </c>
      <c r="D66" s="172" t="s">
        <v>403</v>
      </c>
      <c r="E66" s="172" t="s">
        <v>82</v>
      </c>
      <c r="F66" s="173">
        <v>1236.9642592592584</v>
      </c>
    </row>
    <row r="67" spans="2:6" x14ac:dyDescent="0.3">
      <c r="B67" s="171" t="s">
        <v>404</v>
      </c>
      <c r="C67" s="172">
        <v>2025</v>
      </c>
      <c r="D67" s="172" t="s">
        <v>405</v>
      </c>
      <c r="E67" s="172" t="s">
        <v>82</v>
      </c>
      <c r="F67" s="173">
        <v>2083.3333333333335</v>
      </c>
    </row>
    <row r="68" spans="2:6" x14ac:dyDescent="0.3">
      <c r="B68" s="171" t="s">
        <v>406</v>
      </c>
      <c r="C68" s="172">
        <v>2025</v>
      </c>
      <c r="D68" s="172" t="s">
        <v>405</v>
      </c>
      <c r="E68" s="172" t="s">
        <v>82</v>
      </c>
      <c r="F68" s="173">
        <v>2500</v>
      </c>
    </row>
    <row r="69" spans="2:6" x14ac:dyDescent="0.3">
      <c r="B69" s="171" t="s">
        <v>407</v>
      </c>
      <c r="C69" s="172">
        <v>2025</v>
      </c>
      <c r="D69" s="172" t="s">
        <v>408</v>
      </c>
      <c r="E69" s="172" t="s">
        <v>84</v>
      </c>
      <c r="F69" s="173">
        <v>0</v>
      </c>
    </row>
    <row r="70" spans="2:6" x14ac:dyDescent="0.3">
      <c r="B70" s="171" t="s">
        <v>409</v>
      </c>
      <c r="C70" s="172">
        <v>2025</v>
      </c>
      <c r="D70" s="172" t="s">
        <v>401</v>
      </c>
      <c r="E70" s="172" t="s">
        <v>82</v>
      </c>
      <c r="F70" s="173">
        <v>0</v>
      </c>
    </row>
    <row r="71" spans="2:6" x14ac:dyDescent="0.3">
      <c r="B71" s="171" t="s">
        <v>410</v>
      </c>
      <c r="C71" s="172">
        <v>2025</v>
      </c>
      <c r="D71" s="172" t="s">
        <v>411</v>
      </c>
      <c r="E71" s="172" t="s">
        <v>82</v>
      </c>
      <c r="F71" s="173">
        <v>2250</v>
      </c>
    </row>
    <row r="72" spans="2:6" x14ac:dyDescent="0.3">
      <c r="B72" s="171" t="s">
        <v>412</v>
      </c>
      <c r="C72" s="172">
        <v>2025</v>
      </c>
      <c r="D72" s="172" t="s">
        <v>385</v>
      </c>
      <c r="E72" s="172" t="s">
        <v>82</v>
      </c>
      <c r="F72" s="173">
        <v>1818.1415134102999</v>
      </c>
    </row>
    <row r="73" spans="2:6" x14ac:dyDescent="0.3">
      <c r="B73" s="171" t="s">
        <v>413</v>
      </c>
      <c r="C73" s="172">
        <v>2025</v>
      </c>
      <c r="D73" s="172" t="s">
        <v>385</v>
      </c>
      <c r="E73" s="172" t="s">
        <v>373</v>
      </c>
      <c r="F73" s="173">
        <v>1818.1415134102999</v>
      </c>
    </row>
    <row r="74" spans="2:6" x14ac:dyDescent="0.3">
      <c r="B74" s="171" t="s">
        <v>414</v>
      </c>
      <c r="C74" s="172">
        <v>2025</v>
      </c>
      <c r="D74" s="172" t="s">
        <v>385</v>
      </c>
      <c r="E74" s="172" t="s">
        <v>373</v>
      </c>
      <c r="F74" s="173">
        <v>1818.1415134102999</v>
      </c>
    </row>
    <row r="75" spans="2:6" x14ac:dyDescent="0.3">
      <c r="B75" s="171" t="s">
        <v>415</v>
      </c>
      <c r="C75" s="172">
        <v>2025</v>
      </c>
      <c r="D75" s="172" t="s">
        <v>385</v>
      </c>
      <c r="E75" s="172" t="s">
        <v>373</v>
      </c>
      <c r="F75" s="173">
        <v>1818.1415134102999</v>
      </c>
    </row>
    <row r="76" spans="2:6" x14ac:dyDescent="0.3">
      <c r="B76" s="171" t="s">
        <v>416</v>
      </c>
      <c r="C76" s="172">
        <v>2025</v>
      </c>
      <c r="D76" s="172" t="s">
        <v>417</v>
      </c>
      <c r="E76" s="172" t="s">
        <v>373</v>
      </c>
      <c r="F76" s="173">
        <v>0</v>
      </c>
    </row>
    <row r="77" spans="2:6" x14ac:dyDescent="0.3">
      <c r="B77" s="171" t="s">
        <v>418</v>
      </c>
      <c r="C77" s="172">
        <v>2025</v>
      </c>
      <c r="D77" s="172" t="s">
        <v>419</v>
      </c>
      <c r="E77" s="172" t="s">
        <v>82</v>
      </c>
      <c r="F77" s="173">
        <v>0</v>
      </c>
    </row>
  </sheetData>
  <mergeCells count="3">
    <mergeCell ref="A16:A28"/>
    <mergeCell ref="A2:A14"/>
    <mergeCell ref="A31:A43"/>
  </mergeCells>
  <dataValidations count="2">
    <dataValidation type="list" allowBlank="1" showInputMessage="1" showErrorMessage="1" sqref="E53:E77" xr:uid="{2C393D7C-0283-44A4-BB4B-9912AA9026D2}">
      <formula1>$C$52:$C$64</formula1>
    </dataValidation>
    <dataValidation type="list" allowBlank="1" showInputMessage="1" showErrorMessage="1" sqref="D77" xr:uid="{BA4CF1B8-3FE9-410E-96DD-FFC98761A5D8}">
      <formula1>"In Budget, New"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6649-431A-47F5-A5AA-0AE14D549AC0}">
  <dimension ref="C3:P9"/>
  <sheetViews>
    <sheetView workbookViewId="0">
      <selection activeCell="N17" sqref="A17:N18"/>
    </sheetView>
  </sheetViews>
  <sheetFormatPr defaultRowHeight="14.4" x14ac:dyDescent="0.3"/>
  <cols>
    <col min="4" max="15" width="10.21875" bestFit="1" customWidth="1"/>
    <col min="16" max="16" width="11.21875" bestFit="1" customWidth="1"/>
  </cols>
  <sheetData>
    <row r="3" spans="3:16" x14ac:dyDescent="0.3">
      <c r="C3" t="s">
        <v>420</v>
      </c>
      <c r="D3" s="83">
        <v>1905</v>
      </c>
      <c r="E3" s="83">
        <v>1669</v>
      </c>
      <c r="F3" s="83">
        <v>1660</v>
      </c>
      <c r="G3" s="83">
        <v>1574</v>
      </c>
      <c r="H3" s="83">
        <v>1591</v>
      </c>
      <c r="I3" s="83">
        <v>1733</v>
      </c>
      <c r="J3" s="83">
        <v>1763</v>
      </c>
      <c r="K3" s="83">
        <v>1786</v>
      </c>
      <c r="L3" s="83">
        <v>2251</v>
      </c>
      <c r="M3" s="83">
        <v>2185</v>
      </c>
      <c r="N3" s="83">
        <v>2472</v>
      </c>
      <c r="O3" s="83">
        <v>2539</v>
      </c>
      <c r="P3" s="83">
        <v>23128</v>
      </c>
    </row>
    <row r="4" spans="3:16" x14ac:dyDescent="0.3">
      <c r="C4" t="s">
        <v>421</v>
      </c>
      <c r="D4" s="84">
        <v>14228.668333824597</v>
      </c>
      <c r="E4" s="84">
        <v>13034.430133044491</v>
      </c>
      <c r="F4" s="84">
        <v>13085.720604711414</v>
      </c>
      <c r="G4" s="84">
        <v>12491.740601743701</v>
      </c>
      <c r="H4" s="84">
        <v>12540.940267554412</v>
      </c>
      <c r="I4" s="84">
        <v>13801.257472403699</v>
      </c>
      <c r="J4" s="84">
        <v>13244.117289255108</v>
      </c>
      <c r="K4" s="84">
        <v>13305.541216018524</v>
      </c>
      <c r="L4" s="84">
        <v>15822.630154246483</v>
      </c>
      <c r="M4" s="84">
        <v>15423.56481919653</v>
      </c>
      <c r="N4" s="84">
        <v>16830.473117913501</v>
      </c>
      <c r="O4" s="84">
        <v>17269.507035466093</v>
      </c>
      <c r="P4" s="85">
        <v>171078.59104537856</v>
      </c>
    </row>
    <row r="5" spans="3:16" x14ac:dyDescent="0.3">
      <c r="C5" t="s">
        <v>43</v>
      </c>
      <c r="D5" s="86">
        <v>-74645.609485313587</v>
      </c>
      <c r="E5" s="86">
        <v>-74645.609485313587</v>
      </c>
      <c r="F5" s="86">
        <v>-74645.609485313587</v>
      </c>
      <c r="G5" s="86">
        <v>-74645.609485313587</v>
      </c>
      <c r="H5" s="86">
        <v>-74645.609485313587</v>
      </c>
      <c r="I5" s="86">
        <v>-74645.609485313587</v>
      </c>
      <c r="J5" s="86">
        <v>-74645.609485313587</v>
      </c>
      <c r="K5" s="86">
        <v>-74645.609485313587</v>
      </c>
      <c r="L5" s="86">
        <v>-74645.609485313587</v>
      </c>
      <c r="M5" s="86">
        <v>-74645.609485313587</v>
      </c>
      <c r="N5" s="86">
        <v>-74645.609485313587</v>
      </c>
      <c r="O5" s="86">
        <v>-74645.609485313587</v>
      </c>
      <c r="P5" s="86">
        <v>-895747.31382376328</v>
      </c>
    </row>
    <row r="7" spans="3:16" x14ac:dyDescent="0.3">
      <c r="D7" s="87">
        <f>D3*1000+D4+D5</f>
        <v>1844583.058848511</v>
      </c>
      <c r="E7" s="87">
        <f t="shared" ref="E7:P7" si="0">E3*1000+E4+E5</f>
        <v>1607388.820647731</v>
      </c>
      <c r="F7" s="87">
        <f t="shared" si="0"/>
        <v>1598440.1111193979</v>
      </c>
      <c r="G7" s="87">
        <f t="shared" si="0"/>
        <v>1511846.1311164303</v>
      </c>
      <c r="H7" s="87">
        <f t="shared" si="0"/>
        <v>1528895.330782241</v>
      </c>
      <c r="I7" s="87">
        <f t="shared" si="0"/>
        <v>1672155.6479870903</v>
      </c>
      <c r="J7" s="87">
        <f t="shared" si="0"/>
        <v>1701598.5078039416</v>
      </c>
      <c r="K7" s="87">
        <f t="shared" si="0"/>
        <v>1724659.9317307051</v>
      </c>
      <c r="L7" s="87">
        <f t="shared" si="0"/>
        <v>2192177.0206689327</v>
      </c>
      <c r="M7" s="87">
        <f t="shared" si="0"/>
        <v>2125777.9553338829</v>
      </c>
      <c r="N7" s="87">
        <f t="shared" si="0"/>
        <v>2414184.8636325998</v>
      </c>
      <c r="O7" s="87">
        <f t="shared" si="0"/>
        <v>2481623.8975501521</v>
      </c>
      <c r="P7" s="87">
        <f t="shared" si="0"/>
        <v>22403331.277221616</v>
      </c>
    </row>
    <row r="9" spans="3:16" x14ac:dyDescent="0.3">
      <c r="D9" s="20">
        <v>1844603.05884851</v>
      </c>
      <c r="E9" s="20">
        <v>1607268.8206477307</v>
      </c>
      <c r="F9" s="20">
        <v>1599080.1111193977</v>
      </c>
      <c r="G9" s="20">
        <v>1512456.1311164298</v>
      </c>
      <c r="H9" s="20">
        <v>1528295.3307822407</v>
      </c>
      <c r="I9" s="20">
        <v>1671855.6479870901</v>
      </c>
      <c r="J9" s="20">
        <v>1702718.5078039414</v>
      </c>
      <c r="K9" s="20">
        <v>1724879.9317307046</v>
      </c>
      <c r="L9" s="20">
        <v>2191317.0206689327</v>
      </c>
      <c r="M9" s="20">
        <v>2125727.9553338829</v>
      </c>
      <c r="N9" s="20">
        <v>2413734.8636325998</v>
      </c>
      <c r="O9" s="20">
        <v>2482053.8975501526</v>
      </c>
      <c r="P9" s="20">
        <v>22403991.277221616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e10aad-a95a-47db-a41a-d71e64b6e20e" xsi:nil="true"/>
    <lcf76f155ced4ddcb4097134ff3c332f xmlns="da0ac492-7576-45d8-a3d8-6ed4e3a4298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79EA4AAF87084D8A4D0D0461CD88FB" ma:contentTypeVersion="14" ma:contentTypeDescription="Creare un nuovo documento." ma:contentTypeScope="" ma:versionID="7eaac695b813874d2af5d967a4076018">
  <xsd:schema xmlns:xsd="http://www.w3.org/2001/XMLSchema" xmlns:xs="http://www.w3.org/2001/XMLSchema" xmlns:p="http://schemas.microsoft.com/office/2006/metadata/properties" xmlns:ns2="da0ac492-7576-45d8-a3d8-6ed4e3a4298b" xmlns:ns3="11e10aad-a95a-47db-a41a-d71e64b6e20e" targetNamespace="http://schemas.microsoft.com/office/2006/metadata/properties" ma:root="true" ma:fieldsID="2f2a0e9ca2c84a7a95b034fcebb287ad" ns2:_="" ns3:_="">
    <xsd:import namespace="da0ac492-7576-45d8-a3d8-6ed4e3a4298b"/>
    <xsd:import namespace="11e10aad-a95a-47db-a41a-d71e64b6e2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ac492-7576-45d8-a3d8-6ed4e3a429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daff384d-8d87-412f-a084-949fff9a30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10aad-a95a-47db-a41a-d71e64b6e2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9e02b88-dce9-4530-8cba-ee6df80d782a}" ma:internalName="TaxCatchAll" ma:showField="CatchAllData" ma:web="11e10aad-a95a-47db-a41a-d71e64b6e2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60387C-FA7E-4A1B-9EF1-84294B9FC6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06620D-57FD-4AB6-8130-970336A1A604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11e10aad-a95a-47db-a41a-d71e64b6e20e"/>
    <ds:schemaRef ds:uri="da0ac492-7576-45d8-a3d8-6ed4e3a4298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11703D5-0327-4F92-897E-C84200A08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0ac492-7576-45d8-a3d8-6ed4e3a4298b"/>
    <ds:schemaRef ds:uri="11e10aad-a95a-47db-a41a-d71e64b6e2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1b89379-e28c-4971-b9ce-0b428bf8dafd}" enabled="0" method="" siteId="{41b89379-e28c-4971-b9ce-0b428bf8da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Instruction</vt:lpstr>
      <vt:lpstr>Root cause explanations</vt:lpstr>
      <vt:lpstr>HC 2026</vt:lpstr>
      <vt:lpstr>G&amp;A _Out of Per_</vt:lpstr>
      <vt:lpstr>CC</vt:lpstr>
      <vt:lpstr>ACE 2026</vt:lpstr>
      <vt:lpstr>VOLUME</vt:lpstr>
      <vt:lpstr>HQD</vt:lpstr>
      <vt:lpstr>&gt;&gt;&gt;</vt:lpstr>
      <vt:lpstr>MTD Report  (HQD) (deneme)</vt:lpstr>
      <vt:lpstr>MTD Report  (HQD)</vt:lpstr>
      <vt:lpstr>MTD VAR </vt:lpstr>
      <vt:lpstr>Budget assumption</vt:lpstr>
      <vt:lpstr>MTD Report(HQD)_variance</vt:lpstr>
      <vt:lpstr>YTD Report(HQD)_variance </vt:lpstr>
      <vt:lpstr>YTD VAR</vt:lpstr>
      <vt:lpstr>List</vt:lpstr>
      <vt:lpstr>data entry </vt:lpstr>
      <vt:lpstr>SAP Actual extraction</vt:lpstr>
      <vt:lpstr>MTD</vt:lpstr>
      <vt:lpstr>YTD</vt:lpstr>
      <vt:lpstr>ACE Details_FULL</vt:lpstr>
      <vt:lpstr>FCST &gt;&gt;</vt:lpstr>
      <vt:lpstr>GTN FCST </vt:lpstr>
      <vt:lpstr>FX IMPACT</vt:lpstr>
      <vt:lpstr>FCST 26 </vt:lpstr>
      <vt:lpstr>FCST CPU </vt:lpstr>
      <vt:lpstr>ACE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Özlem Çakmakçı</dc:creator>
  <cp:keywords/>
  <dc:description/>
  <cp:lastModifiedBy>Bengisu  Sarıtürk Ceran</cp:lastModifiedBy>
  <cp:revision/>
  <dcterms:created xsi:type="dcterms:W3CDTF">2025-01-06T08:03:37Z</dcterms:created>
  <dcterms:modified xsi:type="dcterms:W3CDTF">2026-05-20T11:28:43Z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0x010100C479EA4AAF87084D8A4D0D0461CD88FB</vt:lpwstr>
  </property>
  <property fmtid="{D5CDD505-2E9C-101B-9397-08002B2CF9AE}" pid="5" name="MediaServiceImageTags">
    <vt:lpwstr/>
  </property>
</Properties>
</file>